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queryTables/queryTable1.xml" ContentType="application/vnd.openxmlformats-officedocument.spreadsheetml.queryTable+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6" rupBuild="16925" codeName="{00000000-0000-0000-0000-000000000000}"/>
  <workbookPr codeName="ThisWorkbook" defaultThemeVersion="153222"/>
  <mc:AlternateContent xmlns:mc="http://schemas.openxmlformats.org/markup-compatibility/2006">
    <mc:Choice Requires="x15">
      <x15ac:absPath xmlns:x15ac="http://schemas.microsoft.com/office/spreadsheetml/2010/11/ac" url="C:\Users\stu\Documents\GitHub\eaglep3-reporting\EC\"/>
    </mc:Choice>
  </mc:AlternateContent>
  <bookViews>
    <workbookView xWindow="0" yWindow="0" windowWidth="9180" windowHeight="3135"/>
  </bookViews>
  <sheets>
    <sheet name="Train Runs" sheetId="1" r:id="rId1"/>
    <sheet name="Enforcements" sheetId="3" r:id="rId2"/>
    <sheet name="Missing Trips" sheetId="6" r:id="rId3"/>
    <sheet name="Trips&amp;Operators" sheetId="4" r:id="rId4"/>
    <sheet name="Weather" sheetId="8" r:id="rId5"/>
    <sheet name="Variables" sheetId="5" r:id="rId6"/>
    <sheet name="Redmine List Values" sheetId="7" r:id="rId7"/>
    <sheet name="Slice Disagreement Check" sheetId="9" r:id="rId8"/>
  </sheets>
  <externalReferences>
    <externalReference r:id="rId9"/>
    <externalReference r:id="rId10"/>
  </externalReferences>
  <definedNames>
    <definedName name="_xlnm._FilterDatabase" localSheetId="1" hidden="1">Enforcements!$A$6:$AC$35</definedName>
    <definedName name="_xlnm._FilterDatabase" localSheetId="2" hidden="1">'Missing Trips'!$A$2:$J$120</definedName>
    <definedName name="_xlnm._FilterDatabase" localSheetId="0" hidden="1">'Train Runs'!$A$12:$AG$227</definedName>
    <definedName name="_xlnm._FilterDatabase" localSheetId="3" hidden="1">'Trips&amp;Operators'!$A$1:$E$211</definedName>
    <definedName name="astrogrep_path">Variables!$M$18</definedName>
    <definedName name="Denver_Train_Runs_04122016" localSheetId="0">'Train Runs'!$A$12:$J$54</definedName>
    <definedName name="dls3logs">Variables!$M$31</definedName>
    <definedName name="enforcements_txt">Variables!$M$27</definedName>
    <definedName name="outputrefinedruntimes">Variables!$M$25</definedName>
    <definedName name="redm_api_key">[1]Constants!$B$4</definedName>
    <definedName name="redm_url">[1]Constants!$B$5</definedName>
    <definedName name="redmine_api">'Redmine List Values'!$I$1</definedName>
    <definedName name="redmine_assignee">'Redmine List Values'!$I$5</definedName>
    <definedName name="redmine_op_impact">'Redmine List Values'!$I$6</definedName>
    <definedName name="redmine_priority">'Redmine List Values'!$I$4</definedName>
    <definedName name="redmine_status">'Redmine List Values'!$I$3</definedName>
    <definedName name="redmine_url">'Redmine List Values'!$I$2</definedName>
    <definedName name="RefinedRTDCRunTimesOutputFile">Variables!$M$26</definedName>
    <definedName name="refinertdcruntimes">Variables!$M$24</definedName>
    <definedName name="runsrefined_txt">Variables!$M$28</definedName>
    <definedName name="s3_bucket">Variables!$M$21</definedName>
    <definedName name="search_path">Variables!$M$19</definedName>
    <definedName name="search_regexp">Variables!$M$20</definedName>
    <definedName name="trips_txt">Variables!$M$29</definedName>
    <definedName name="utc_offset">Variables!$M$23</definedName>
    <definedName name="walkandungz">Variables!$M$22</definedName>
    <definedName name="weather_txt">Variables!$M$30</definedName>
  </definedNames>
  <calcPr calcId="171027"/>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Z12" i="3" l="1"/>
  <c r="Z13" i="3"/>
  <c r="Z11" i="3"/>
  <c r="P156" i="1"/>
  <c r="X159" i="1"/>
  <c r="X161" i="1"/>
  <c r="Y152" i="1"/>
  <c r="Y153" i="1"/>
  <c r="Y154" i="1"/>
  <c r="Y155" i="1"/>
  <c r="K14" i="1"/>
  <c r="L14" i="1"/>
  <c r="M14" i="1"/>
  <c r="N14" i="1" s="1"/>
  <c r="V14" i="1"/>
  <c r="Y14" i="1"/>
  <c r="Z14" i="1"/>
  <c r="AB14" i="1"/>
  <c r="AC14" i="1"/>
  <c r="AD14" i="1"/>
  <c r="AG14" i="1" s="1"/>
  <c r="AE14" i="1"/>
  <c r="AF14" i="1"/>
  <c r="AH14" i="1"/>
  <c r="AM14" i="1"/>
  <c r="AN14" i="1"/>
  <c r="K15" i="1"/>
  <c r="L15" i="1"/>
  <c r="M15" i="1"/>
  <c r="N15" i="1" s="1"/>
  <c r="V15" i="1"/>
  <c r="Y15" i="1"/>
  <c r="Z15" i="1"/>
  <c r="AB15" i="1"/>
  <c r="AC15" i="1"/>
  <c r="AD15" i="1"/>
  <c r="T15" i="1" s="1"/>
  <c r="AE15" i="1"/>
  <c r="AF15" i="1"/>
  <c r="AH15" i="1"/>
  <c r="AM15" i="1"/>
  <c r="AN15" i="1"/>
  <c r="K16" i="1"/>
  <c r="L16" i="1"/>
  <c r="M16" i="1"/>
  <c r="N16" i="1" s="1"/>
  <c r="V16" i="1"/>
  <c r="Y16" i="1"/>
  <c r="Z16" i="1"/>
  <c r="AB16" i="1"/>
  <c r="AC16" i="1"/>
  <c r="AD16" i="1"/>
  <c r="AG16" i="1" s="1"/>
  <c r="AE16" i="1"/>
  <c r="AF16" i="1"/>
  <c r="AH16" i="1"/>
  <c r="AM16" i="1"/>
  <c r="AN16" i="1"/>
  <c r="K17" i="1"/>
  <c r="L17" i="1"/>
  <c r="M17" i="1"/>
  <c r="N17" i="1" s="1"/>
  <c r="V17" i="1"/>
  <c r="Y17" i="1"/>
  <c r="Z17" i="1"/>
  <c r="AB17" i="1"/>
  <c r="AC17" i="1"/>
  <c r="AD17" i="1"/>
  <c r="AG17" i="1" s="1"/>
  <c r="AE17" i="1"/>
  <c r="AF17" i="1"/>
  <c r="AH17" i="1"/>
  <c r="AM17" i="1"/>
  <c r="AN17" i="1"/>
  <c r="K18" i="1"/>
  <c r="L18" i="1"/>
  <c r="M18" i="1"/>
  <c r="N18" i="1" s="1"/>
  <c r="V18" i="1"/>
  <c r="Y18" i="1"/>
  <c r="Z18" i="1"/>
  <c r="AB18" i="1"/>
  <c r="AC18" i="1"/>
  <c r="AD18" i="1"/>
  <c r="AG18" i="1" s="1"/>
  <c r="AE18" i="1"/>
  <c r="AF18" i="1"/>
  <c r="AH18" i="1"/>
  <c r="AM18" i="1"/>
  <c r="AN18" i="1"/>
  <c r="K19" i="1"/>
  <c r="L19" i="1"/>
  <c r="M19" i="1"/>
  <c r="N19" i="1" s="1"/>
  <c r="V19" i="1"/>
  <c r="Y19" i="1"/>
  <c r="Z19" i="1"/>
  <c r="AB19" i="1"/>
  <c r="AC19" i="1"/>
  <c r="AD19" i="1"/>
  <c r="T19" i="1" s="1"/>
  <c r="AE19" i="1"/>
  <c r="AF19" i="1"/>
  <c r="AG19" i="1"/>
  <c r="AH19" i="1"/>
  <c r="AM19" i="1"/>
  <c r="AN19" i="1"/>
  <c r="K20" i="1"/>
  <c r="L20" i="1"/>
  <c r="M20" i="1"/>
  <c r="N20" i="1" s="1"/>
  <c r="V20" i="1"/>
  <c r="Y20" i="1"/>
  <c r="Z20" i="1"/>
  <c r="AB20" i="1"/>
  <c r="AC20" i="1"/>
  <c r="AD20" i="1"/>
  <c r="AG20" i="1" s="1"/>
  <c r="AE20" i="1"/>
  <c r="AF20" i="1"/>
  <c r="AH20" i="1"/>
  <c r="AM20" i="1"/>
  <c r="AN20" i="1"/>
  <c r="K21" i="1"/>
  <c r="L21" i="1"/>
  <c r="M21" i="1"/>
  <c r="N21" i="1" s="1"/>
  <c r="V21" i="1"/>
  <c r="S18" i="3" s="1"/>
  <c r="Y21" i="1"/>
  <c r="Z21" i="1"/>
  <c r="AB21" i="1"/>
  <c r="AC21" i="1"/>
  <c r="AD21" i="1"/>
  <c r="AE21" i="1"/>
  <c r="AF21" i="1"/>
  <c r="AH21" i="1"/>
  <c r="AM21" i="1"/>
  <c r="AN21" i="1"/>
  <c r="K22" i="1"/>
  <c r="L22" i="1"/>
  <c r="M22" i="1"/>
  <c r="N22" i="1" s="1"/>
  <c r="V22" i="1"/>
  <c r="Y22" i="1"/>
  <c r="Z22" i="1"/>
  <c r="AB22" i="1"/>
  <c r="AC22" i="1"/>
  <c r="AD22" i="1"/>
  <c r="AG22" i="1" s="1"/>
  <c r="AE22" i="1"/>
  <c r="AF22" i="1"/>
  <c r="AH22" i="1"/>
  <c r="AM22" i="1"/>
  <c r="AN22" i="1"/>
  <c r="K23" i="1"/>
  <c r="L23" i="1"/>
  <c r="M23" i="1"/>
  <c r="N23" i="1" s="1"/>
  <c r="V23" i="1"/>
  <c r="Y23" i="1"/>
  <c r="Z23" i="1"/>
  <c r="AB23" i="1"/>
  <c r="AC23" i="1"/>
  <c r="AD23" i="1"/>
  <c r="T23" i="1" s="1"/>
  <c r="AE23" i="1"/>
  <c r="AF23" i="1"/>
  <c r="AH23" i="1"/>
  <c r="AM23" i="1"/>
  <c r="AN23" i="1"/>
  <c r="K24" i="1"/>
  <c r="L24" i="1"/>
  <c r="M24" i="1"/>
  <c r="N24" i="1" s="1"/>
  <c r="V24" i="1"/>
  <c r="Y24" i="1"/>
  <c r="Z24" i="1"/>
  <c r="AB24" i="1"/>
  <c r="AC24" i="1"/>
  <c r="AD24" i="1"/>
  <c r="AG24" i="1" s="1"/>
  <c r="AE24" i="1"/>
  <c r="AF24" i="1"/>
  <c r="AH24" i="1"/>
  <c r="AM24" i="1"/>
  <c r="AN24" i="1"/>
  <c r="K25" i="1"/>
  <c r="L25" i="1"/>
  <c r="M25" i="1"/>
  <c r="N25" i="1" s="1"/>
  <c r="V25" i="1"/>
  <c r="Y25" i="1"/>
  <c r="Z25" i="1"/>
  <c r="AB25" i="1"/>
  <c r="AC25" i="1"/>
  <c r="AD25" i="1"/>
  <c r="AG25" i="1" s="1"/>
  <c r="AE25" i="1"/>
  <c r="AF25" i="1"/>
  <c r="AH25" i="1"/>
  <c r="AM25" i="1"/>
  <c r="AN25" i="1"/>
  <c r="K26" i="1"/>
  <c r="L26" i="1"/>
  <c r="M26" i="1"/>
  <c r="N26" i="1" s="1"/>
  <c r="V26" i="1"/>
  <c r="S14" i="3" s="1"/>
  <c r="Y26" i="1"/>
  <c r="Z26" i="1"/>
  <c r="AB26" i="1"/>
  <c r="AC26" i="1"/>
  <c r="AD26" i="1"/>
  <c r="AG26" i="1" s="1"/>
  <c r="AE26" i="1"/>
  <c r="R14" i="3" s="1"/>
  <c r="AF26" i="1"/>
  <c r="AH26" i="1"/>
  <c r="AM26" i="1"/>
  <c r="AN26" i="1"/>
  <c r="K27" i="1"/>
  <c r="L27" i="1"/>
  <c r="M27" i="1"/>
  <c r="N27" i="1" s="1"/>
  <c r="V27" i="1"/>
  <c r="Y27" i="1"/>
  <c r="Z27" i="1"/>
  <c r="AB27" i="1"/>
  <c r="AC27" i="1"/>
  <c r="AD27" i="1"/>
  <c r="T27" i="1" s="1"/>
  <c r="AE27" i="1"/>
  <c r="AF27" i="1"/>
  <c r="AH27" i="1"/>
  <c r="AM27" i="1"/>
  <c r="AN27" i="1"/>
  <c r="K28" i="1"/>
  <c r="L28" i="1"/>
  <c r="M28" i="1"/>
  <c r="N28" i="1" s="1"/>
  <c r="V28" i="1"/>
  <c r="Y28" i="1"/>
  <c r="Z28" i="1"/>
  <c r="AB28" i="1"/>
  <c r="AC28" i="1"/>
  <c r="AD28" i="1"/>
  <c r="AG28" i="1" s="1"/>
  <c r="AE28" i="1"/>
  <c r="AF28" i="1"/>
  <c r="AH28" i="1"/>
  <c r="AM28" i="1"/>
  <c r="AN28" i="1"/>
  <c r="K29" i="1"/>
  <c r="L29" i="1"/>
  <c r="M29" i="1"/>
  <c r="N29" i="1" s="1"/>
  <c r="V29" i="1"/>
  <c r="Y29" i="1"/>
  <c r="Z29" i="1"/>
  <c r="AB29" i="1"/>
  <c r="AC29" i="1"/>
  <c r="AD29" i="1"/>
  <c r="AG29" i="1" s="1"/>
  <c r="AE29" i="1"/>
  <c r="AF29" i="1"/>
  <c r="AH29" i="1"/>
  <c r="AM29" i="1"/>
  <c r="AN29" i="1"/>
  <c r="K30" i="1"/>
  <c r="L30" i="1"/>
  <c r="M30" i="1"/>
  <c r="N30" i="1" s="1"/>
  <c r="V30" i="1"/>
  <c r="Y30" i="1"/>
  <c r="Z30" i="1"/>
  <c r="AB30" i="1"/>
  <c r="AC30" i="1"/>
  <c r="AD30" i="1"/>
  <c r="T30" i="1" s="1"/>
  <c r="AE30" i="1"/>
  <c r="AF30" i="1"/>
  <c r="AH30" i="1"/>
  <c r="AM30" i="1"/>
  <c r="AN30" i="1"/>
  <c r="K31" i="1"/>
  <c r="L31" i="1"/>
  <c r="M31" i="1"/>
  <c r="N31" i="1"/>
  <c r="V31" i="1"/>
  <c r="Y31" i="1"/>
  <c r="Z31" i="1"/>
  <c r="AB31" i="1"/>
  <c r="AC31" i="1"/>
  <c r="AD31" i="1"/>
  <c r="AG31" i="1" s="1"/>
  <c r="AE31" i="1"/>
  <c r="AF31" i="1"/>
  <c r="AH31" i="1"/>
  <c r="AM31" i="1"/>
  <c r="AN31" i="1"/>
  <c r="K32" i="1"/>
  <c r="L32" i="1"/>
  <c r="M32" i="1"/>
  <c r="N32" i="1" s="1"/>
  <c r="V32" i="1"/>
  <c r="Y32" i="1"/>
  <c r="Z32" i="1"/>
  <c r="AB32" i="1"/>
  <c r="AC32" i="1"/>
  <c r="AD32" i="1"/>
  <c r="AG32" i="1" s="1"/>
  <c r="AE32" i="1"/>
  <c r="AF32" i="1"/>
  <c r="AH32" i="1"/>
  <c r="AM32" i="1"/>
  <c r="AN32" i="1"/>
  <c r="K33" i="1"/>
  <c r="L33" i="1"/>
  <c r="M33" i="1"/>
  <c r="N33" i="1" s="1"/>
  <c r="V33" i="1"/>
  <c r="Y33" i="1"/>
  <c r="Z33" i="1"/>
  <c r="AB33" i="1"/>
  <c r="AC33" i="1"/>
  <c r="AD33" i="1"/>
  <c r="AG33" i="1" s="1"/>
  <c r="AE33" i="1"/>
  <c r="AF33" i="1"/>
  <c r="AH33" i="1"/>
  <c r="AM33" i="1"/>
  <c r="AN33" i="1"/>
  <c r="K34" i="1"/>
  <c r="L34" i="1"/>
  <c r="M34" i="1"/>
  <c r="N34" i="1" s="1"/>
  <c r="V34" i="1"/>
  <c r="Y34" i="1"/>
  <c r="Z34" i="1"/>
  <c r="AB34" i="1"/>
  <c r="AC34" i="1"/>
  <c r="AD34" i="1"/>
  <c r="T34" i="1" s="1"/>
  <c r="AE34" i="1"/>
  <c r="AF34" i="1"/>
  <c r="AH34" i="1"/>
  <c r="AM34" i="1"/>
  <c r="AN34" i="1"/>
  <c r="K35" i="1"/>
  <c r="L35" i="1"/>
  <c r="M35" i="1"/>
  <c r="N35" i="1" s="1"/>
  <c r="V35" i="1"/>
  <c r="Y35" i="1"/>
  <c r="Z35" i="1"/>
  <c r="AB35" i="1"/>
  <c r="AC35" i="1"/>
  <c r="AD35" i="1"/>
  <c r="AG35" i="1" s="1"/>
  <c r="AE35" i="1"/>
  <c r="AF35" i="1"/>
  <c r="AH35" i="1"/>
  <c r="AM35" i="1"/>
  <c r="AN35" i="1"/>
  <c r="K36" i="1"/>
  <c r="L36" i="1"/>
  <c r="M36" i="1"/>
  <c r="N36" i="1" s="1"/>
  <c r="V36" i="1"/>
  <c r="Y36" i="1"/>
  <c r="Z36" i="1"/>
  <c r="AB36" i="1"/>
  <c r="AC36" i="1"/>
  <c r="AD36" i="1"/>
  <c r="T36" i="1" s="1"/>
  <c r="AE36" i="1"/>
  <c r="AF36" i="1"/>
  <c r="AH36" i="1"/>
  <c r="AM36" i="1"/>
  <c r="AN36" i="1"/>
  <c r="K37" i="1"/>
  <c r="L37" i="1"/>
  <c r="M37" i="1"/>
  <c r="N37" i="1" s="1"/>
  <c r="V37" i="1"/>
  <c r="Y37" i="1"/>
  <c r="Z37" i="1"/>
  <c r="AB37" i="1"/>
  <c r="AC37" i="1"/>
  <c r="AD37" i="1"/>
  <c r="AG37" i="1" s="1"/>
  <c r="AE37" i="1"/>
  <c r="AF37" i="1"/>
  <c r="AH37" i="1"/>
  <c r="AM37" i="1"/>
  <c r="AN37" i="1"/>
  <c r="K38" i="1"/>
  <c r="L38" i="1"/>
  <c r="M38" i="1"/>
  <c r="N38" i="1" s="1"/>
  <c r="V38" i="1"/>
  <c r="Y38" i="1"/>
  <c r="Z38" i="1"/>
  <c r="AB38" i="1"/>
  <c r="AC38" i="1"/>
  <c r="AD38" i="1"/>
  <c r="T38" i="1" s="1"/>
  <c r="AE38" i="1"/>
  <c r="AF38" i="1"/>
  <c r="AH38" i="1"/>
  <c r="AM38" i="1"/>
  <c r="AN38" i="1"/>
  <c r="K39" i="1"/>
  <c r="L39" i="1"/>
  <c r="M39" i="1"/>
  <c r="N39" i="1" s="1"/>
  <c r="V39" i="1"/>
  <c r="Y39" i="1"/>
  <c r="Z39" i="1"/>
  <c r="AB39" i="1"/>
  <c r="AC39" i="1"/>
  <c r="AD39" i="1"/>
  <c r="AG39" i="1" s="1"/>
  <c r="AE39" i="1"/>
  <c r="R19" i="3" s="1"/>
  <c r="AF39" i="1"/>
  <c r="AH39" i="1"/>
  <c r="AM39" i="1"/>
  <c r="AN39" i="1"/>
  <c r="K40" i="1"/>
  <c r="L40" i="1"/>
  <c r="M40" i="1"/>
  <c r="N40" i="1" s="1"/>
  <c r="V40" i="1"/>
  <c r="S15" i="3" s="1"/>
  <c r="Y40" i="1"/>
  <c r="Z40" i="1"/>
  <c r="AB40" i="1"/>
  <c r="AC40" i="1"/>
  <c r="AD40" i="1"/>
  <c r="AG40" i="1" s="1"/>
  <c r="AE40" i="1"/>
  <c r="AF40" i="1"/>
  <c r="AH40" i="1"/>
  <c r="AM40" i="1"/>
  <c r="AN40" i="1"/>
  <c r="K41" i="1"/>
  <c r="L41" i="1"/>
  <c r="M41" i="1"/>
  <c r="N41" i="1" s="1"/>
  <c r="V41" i="1"/>
  <c r="Y41" i="1"/>
  <c r="Z41" i="1"/>
  <c r="AB41" i="1"/>
  <c r="AC41" i="1"/>
  <c r="AD41" i="1"/>
  <c r="AG41" i="1" s="1"/>
  <c r="AE41" i="1"/>
  <c r="AF41" i="1"/>
  <c r="AH41" i="1"/>
  <c r="AM41" i="1"/>
  <c r="AN41" i="1"/>
  <c r="K42" i="1"/>
  <c r="L42" i="1"/>
  <c r="M42" i="1"/>
  <c r="N42" i="1" s="1"/>
  <c r="V42" i="1"/>
  <c r="Y42" i="1"/>
  <c r="Z42" i="1"/>
  <c r="AB42" i="1"/>
  <c r="AC42" i="1"/>
  <c r="AD42" i="1"/>
  <c r="T42" i="1" s="1"/>
  <c r="AE42" i="1"/>
  <c r="AF42" i="1"/>
  <c r="AH42" i="1"/>
  <c r="AM42" i="1"/>
  <c r="AN42" i="1"/>
  <c r="K43" i="1"/>
  <c r="L43" i="1"/>
  <c r="M43" i="1"/>
  <c r="N43" i="1" s="1"/>
  <c r="V43" i="1"/>
  <c r="Y43" i="1"/>
  <c r="Z43" i="1"/>
  <c r="AB43" i="1"/>
  <c r="AC43" i="1"/>
  <c r="AD43" i="1"/>
  <c r="AG43" i="1" s="1"/>
  <c r="AE43" i="1"/>
  <c r="AF43" i="1"/>
  <c r="AH43" i="1"/>
  <c r="AM43" i="1"/>
  <c r="AN43" i="1"/>
  <c r="K44" i="1"/>
  <c r="L44" i="1"/>
  <c r="M44" i="1"/>
  <c r="N44" i="1" s="1"/>
  <c r="V44" i="1"/>
  <c r="Y44" i="1"/>
  <c r="Z44" i="1"/>
  <c r="AB44" i="1"/>
  <c r="AC44" i="1"/>
  <c r="AD44" i="1"/>
  <c r="AG44" i="1" s="1"/>
  <c r="AE44" i="1"/>
  <c r="R9" i="3" s="1"/>
  <c r="AF44" i="1"/>
  <c r="AH44" i="1"/>
  <c r="AM44" i="1"/>
  <c r="AN44" i="1"/>
  <c r="K45" i="1"/>
  <c r="L45" i="1"/>
  <c r="M45" i="1"/>
  <c r="N45" i="1" s="1"/>
  <c r="V45" i="1"/>
  <c r="Y45" i="1"/>
  <c r="Z45" i="1"/>
  <c r="AB45" i="1"/>
  <c r="AC45" i="1"/>
  <c r="AD45" i="1"/>
  <c r="AG45" i="1" s="1"/>
  <c r="AE45" i="1"/>
  <c r="AF45" i="1"/>
  <c r="AH45" i="1"/>
  <c r="AM45" i="1"/>
  <c r="AN45" i="1"/>
  <c r="K46" i="1"/>
  <c r="L46" i="1"/>
  <c r="M46" i="1"/>
  <c r="N46" i="1" s="1"/>
  <c r="V46" i="1"/>
  <c r="Y46" i="1"/>
  <c r="Z46" i="1"/>
  <c r="AB46" i="1"/>
  <c r="AC46" i="1"/>
  <c r="AD46" i="1"/>
  <c r="T46" i="1" s="1"/>
  <c r="AE46" i="1"/>
  <c r="AF46" i="1"/>
  <c r="AH46" i="1"/>
  <c r="AM46" i="1"/>
  <c r="AN46" i="1"/>
  <c r="K47" i="1"/>
  <c r="L47" i="1"/>
  <c r="M47" i="1"/>
  <c r="N47" i="1" s="1"/>
  <c r="V47" i="1"/>
  <c r="Y47" i="1"/>
  <c r="Z47" i="1"/>
  <c r="AB47" i="1"/>
  <c r="AC47" i="1"/>
  <c r="AD47" i="1"/>
  <c r="AE47" i="1"/>
  <c r="AF47" i="1"/>
  <c r="AH47" i="1"/>
  <c r="AM47" i="1"/>
  <c r="AN47" i="1"/>
  <c r="K48" i="1"/>
  <c r="L48" i="1"/>
  <c r="M48" i="1"/>
  <c r="N48" i="1" s="1"/>
  <c r="V48" i="1"/>
  <c r="Y48" i="1"/>
  <c r="Z48" i="1"/>
  <c r="AB48" i="1"/>
  <c r="AC48" i="1"/>
  <c r="AD48" i="1"/>
  <c r="AG48" i="1" s="1"/>
  <c r="AE48" i="1"/>
  <c r="AF48" i="1"/>
  <c r="AH48" i="1"/>
  <c r="AM48" i="1"/>
  <c r="AN48" i="1"/>
  <c r="K49" i="1"/>
  <c r="L49" i="1"/>
  <c r="M49" i="1"/>
  <c r="N49" i="1" s="1"/>
  <c r="V49" i="1"/>
  <c r="Y49" i="1"/>
  <c r="Z49" i="1"/>
  <c r="AB49" i="1"/>
  <c r="AC49" i="1"/>
  <c r="AD49" i="1"/>
  <c r="AG49" i="1" s="1"/>
  <c r="AE49" i="1"/>
  <c r="AF49" i="1"/>
  <c r="AH49" i="1"/>
  <c r="AM49" i="1"/>
  <c r="AN49" i="1"/>
  <c r="K50" i="1"/>
  <c r="L50" i="1"/>
  <c r="M50" i="1"/>
  <c r="N50" i="1" s="1"/>
  <c r="V50" i="1"/>
  <c r="Y50" i="1"/>
  <c r="Z50" i="1"/>
  <c r="AB50" i="1"/>
  <c r="AC50" i="1"/>
  <c r="AD50" i="1"/>
  <c r="T50" i="1" s="1"/>
  <c r="AE50" i="1"/>
  <c r="AF50" i="1"/>
  <c r="AH50" i="1"/>
  <c r="AM50" i="1"/>
  <c r="AN50" i="1"/>
  <c r="K51" i="1"/>
  <c r="L51" i="1"/>
  <c r="M51" i="1"/>
  <c r="N51" i="1" s="1"/>
  <c r="V51" i="1"/>
  <c r="Y51" i="1"/>
  <c r="Z51" i="1"/>
  <c r="AB51" i="1"/>
  <c r="AC51" i="1"/>
  <c r="AD51" i="1"/>
  <c r="T51" i="1" s="1"/>
  <c r="AE51" i="1"/>
  <c r="AF51" i="1"/>
  <c r="AH51" i="1"/>
  <c r="AM51" i="1"/>
  <c r="AN51" i="1"/>
  <c r="K52" i="1"/>
  <c r="L52" i="1"/>
  <c r="M52" i="1"/>
  <c r="N52" i="1" s="1"/>
  <c r="V52" i="1"/>
  <c r="Y52" i="1"/>
  <c r="Z52" i="1"/>
  <c r="AB52" i="1"/>
  <c r="AC52" i="1"/>
  <c r="AD52" i="1"/>
  <c r="AG52" i="1" s="1"/>
  <c r="AE52" i="1"/>
  <c r="AF52" i="1"/>
  <c r="AH52" i="1"/>
  <c r="AM52" i="1"/>
  <c r="AN52" i="1"/>
  <c r="K53" i="1"/>
  <c r="L53" i="1"/>
  <c r="M53" i="1"/>
  <c r="N53" i="1" s="1"/>
  <c r="V53" i="1"/>
  <c r="Y53" i="1"/>
  <c r="Z53" i="1"/>
  <c r="AB53" i="1"/>
  <c r="AC53" i="1"/>
  <c r="AD53" i="1"/>
  <c r="T53" i="1" s="1"/>
  <c r="AE53" i="1"/>
  <c r="AF53" i="1"/>
  <c r="AH53" i="1"/>
  <c r="AM53" i="1"/>
  <c r="AN53" i="1"/>
  <c r="K54" i="1"/>
  <c r="L54" i="1"/>
  <c r="M54" i="1"/>
  <c r="N54" i="1" s="1"/>
  <c r="V54" i="1"/>
  <c r="Y54" i="1"/>
  <c r="Z54" i="1"/>
  <c r="AB54" i="1"/>
  <c r="AC54" i="1"/>
  <c r="AD54" i="1"/>
  <c r="AE54" i="1"/>
  <c r="AF54" i="1"/>
  <c r="AH54" i="1"/>
  <c r="AM54" i="1"/>
  <c r="AN54" i="1"/>
  <c r="K55" i="1"/>
  <c r="L55" i="1"/>
  <c r="M55" i="1"/>
  <c r="N55" i="1" s="1"/>
  <c r="V55" i="1"/>
  <c r="Y55" i="1"/>
  <c r="Z55" i="1"/>
  <c r="AB55" i="1"/>
  <c r="AC55" i="1"/>
  <c r="AD55" i="1"/>
  <c r="T55" i="1" s="1"/>
  <c r="AE55" i="1"/>
  <c r="AF55" i="1"/>
  <c r="AH55" i="1"/>
  <c r="AM55" i="1"/>
  <c r="AN55" i="1"/>
  <c r="K56" i="1"/>
  <c r="L56" i="1"/>
  <c r="M56" i="1"/>
  <c r="N56" i="1" s="1"/>
  <c r="V56" i="1"/>
  <c r="Y56" i="1"/>
  <c r="Z56" i="1"/>
  <c r="AB56" i="1"/>
  <c r="AC56" i="1"/>
  <c r="AD56" i="1"/>
  <c r="AG56" i="1" s="1"/>
  <c r="AE56" i="1"/>
  <c r="AF56" i="1"/>
  <c r="AH56" i="1"/>
  <c r="AM56" i="1"/>
  <c r="AN56" i="1"/>
  <c r="K57" i="1"/>
  <c r="L57" i="1"/>
  <c r="M57" i="1"/>
  <c r="N57" i="1" s="1"/>
  <c r="V57" i="1"/>
  <c r="Y57" i="1"/>
  <c r="Z57" i="1"/>
  <c r="AB57" i="1"/>
  <c r="AC57" i="1"/>
  <c r="AD57" i="1"/>
  <c r="AG57" i="1" s="1"/>
  <c r="AE57" i="1"/>
  <c r="AF57" i="1"/>
  <c r="AH57" i="1"/>
  <c r="AM57" i="1"/>
  <c r="AN57" i="1"/>
  <c r="K58" i="1"/>
  <c r="L58" i="1"/>
  <c r="M58" i="1"/>
  <c r="N58" i="1" s="1"/>
  <c r="V58" i="1"/>
  <c r="Y58" i="1"/>
  <c r="Z58" i="1"/>
  <c r="AB58" i="1"/>
  <c r="AC58" i="1"/>
  <c r="AD58" i="1"/>
  <c r="AE58" i="1"/>
  <c r="AF58" i="1"/>
  <c r="AH58" i="1"/>
  <c r="AM58" i="1"/>
  <c r="AN58" i="1"/>
  <c r="K59" i="1"/>
  <c r="L59" i="1"/>
  <c r="M59" i="1"/>
  <c r="N59" i="1" s="1"/>
  <c r="V59" i="1"/>
  <c r="Y59" i="1"/>
  <c r="Z59" i="1"/>
  <c r="AB59" i="1"/>
  <c r="AC59" i="1"/>
  <c r="AD59" i="1"/>
  <c r="T59" i="1" s="1"/>
  <c r="AE59" i="1"/>
  <c r="AF59" i="1"/>
  <c r="AH59" i="1"/>
  <c r="AM59" i="1"/>
  <c r="AN59" i="1"/>
  <c r="K60" i="1"/>
  <c r="L60" i="1"/>
  <c r="M60" i="1"/>
  <c r="N60" i="1" s="1"/>
  <c r="V60" i="1"/>
  <c r="Y60" i="1"/>
  <c r="Z60" i="1"/>
  <c r="AB60" i="1"/>
  <c r="AC60" i="1"/>
  <c r="AD60" i="1"/>
  <c r="AG60" i="1" s="1"/>
  <c r="AE60" i="1"/>
  <c r="AF60" i="1"/>
  <c r="AH60" i="1"/>
  <c r="AM60" i="1"/>
  <c r="AN60" i="1"/>
  <c r="K61" i="1"/>
  <c r="L61" i="1"/>
  <c r="M61" i="1"/>
  <c r="N61" i="1" s="1"/>
  <c r="V61" i="1"/>
  <c r="Y61" i="1"/>
  <c r="Z61" i="1"/>
  <c r="AB61" i="1"/>
  <c r="AC61" i="1"/>
  <c r="AD61" i="1"/>
  <c r="AG61" i="1" s="1"/>
  <c r="AE61" i="1"/>
  <c r="R8" i="3" s="1"/>
  <c r="AF61" i="1"/>
  <c r="AH61" i="1"/>
  <c r="AM61" i="1"/>
  <c r="AN61" i="1"/>
  <c r="K62" i="1"/>
  <c r="L62" i="1"/>
  <c r="M62" i="1"/>
  <c r="N62" i="1" s="1"/>
  <c r="V62" i="1"/>
  <c r="Y62" i="1"/>
  <c r="Z62" i="1"/>
  <c r="AB62" i="1"/>
  <c r="AC62" i="1"/>
  <c r="AD62" i="1"/>
  <c r="T62" i="1" s="1"/>
  <c r="AE62" i="1"/>
  <c r="AF62" i="1"/>
  <c r="AH62" i="1"/>
  <c r="AM62" i="1"/>
  <c r="AN62" i="1"/>
  <c r="K63" i="1"/>
  <c r="L63" i="1"/>
  <c r="M63" i="1"/>
  <c r="N63" i="1" s="1"/>
  <c r="V63" i="1"/>
  <c r="Y63" i="1"/>
  <c r="Z63" i="1"/>
  <c r="AB63" i="1"/>
  <c r="AC63" i="1"/>
  <c r="AD63" i="1"/>
  <c r="T63" i="1" s="1"/>
  <c r="AE63" i="1"/>
  <c r="R12" i="3" s="1"/>
  <c r="AF63" i="1"/>
  <c r="AH63" i="1"/>
  <c r="AM63" i="1"/>
  <c r="AN63" i="1"/>
  <c r="K64" i="1"/>
  <c r="L64" i="1"/>
  <c r="M64" i="1"/>
  <c r="N64" i="1" s="1"/>
  <c r="V64" i="1"/>
  <c r="Y64" i="1"/>
  <c r="Z64" i="1"/>
  <c r="AB64" i="1"/>
  <c r="AC64" i="1"/>
  <c r="AD64" i="1"/>
  <c r="AG64" i="1" s="1"/>
  <c r="AE64" i="1"/>
  <c r="AF64" i="1"/>
  <c r="AH64" i="1"/>
  <c r="AM64" i="1"/>
  <c r="AN64" i="1"/>
  <c r="K65" i="1"/>
  <c r="L65" i="1"/>
  <c r="M65" i="1"/>
  <c r="N65" i="1" s="1"/>
  <c r="V65" i="1"/>
  <c r="Y65" i="1"/>
  <c r="Z65" i="1"/>
  <c r="AB65" i="1"/>
  <c r="AC65" i="1"/>
  <c r="AD65" i="1"/>
  <c r="AG65" i="1" s="1"/>
  <c r="AE65" i="1"/>
  <c r="AF65" i="1"/>
  <c r="AH65" i="1"/>
  <c r="AM65" i="1"/>
  <c r="AN65" i="1"/>
  <c r="K66" i="1"/>
  <c r="L66" i="1"/>
  <c r="M66" i="1"/>
  <c r="N66" i="1" s="1"/>
  <c r="V66" i="1"/>
  <c r="Y66" i="1"/>
  <c r="Z66" i="1"/>
  <c r="AB66" i="1"/>
  <c r="AC66" i="1"/>
  <c r="AD66" i="1"/>
  <c r="AE66" i="1"/>
  <c r="AF66" i="1"/>
  <c r="AH66" i="1"/>
  <c r="AM66" i="1"/>
  <c r="AN66" i="1"/>
  <c r="K67" i="1"/>
  <c r="L67" i="1"/>
  <c r="M67" i="1"/>
  <c r="N67" i="1" s="1"/>
  <c r="V67" i="1"/>
  <c r="Y67" i="1"/>
  <c r="Z67" i="1"/>
  <c r="AB67" i="1"/>
  <c r="AC67" i="1"/>
  <c r="AD67" i="1"/>
  <c r="T67" i="1" s="1"/>
  <c r="AE67" i="1"/>
  <c r="AF67" i="1"/>
  <c r="AH67" i="1"/>
  <c r="AM67" i="1"/>
  <c r="AN67" i="1"/>
  <c r="K68" i="1"/>
  <c r="L68" i="1"/>
  <c r="M68" i="1"/>
  <c r="N68" i="1" s="1"/>
  <c r="V68" i="1"/>
  <c r="Y68" i="1"/>
  <c r="Z68" i="1"/>
  <c r="AB68" i="1"/>
  <c r="AC68" i="1"/>
  <c r="AD68" i="1"/>
  <c r="AG68" i="1" s="1"/>
  <c r="AE68" i="1"/>
  <c r="AF68" i="1"/>
  <c r="AH68" i="1"/>
  <c r="AM68" i="1"/>
  <c r="AN68" i="1"/>
  <c r="K69" i="1"/>
  <c r="L69" i="1"/>
  <c r="M69" i="1"/>
  <c r="N69" i="1" s="1"/>
  <c r="V69" i="1"/>
  <c r="Y69" i="1"/>
  <c r="Z69" i="1"/>
  <c r="AB69" i="1"/>
  <c r="AC69" i="1"/>
  <c r="AD69" i="1"/>
  <c r="AG69" i="1" s="1"/>
  <c r="AE69" i="1"/>
  <c r="AF69" i="1"/>
  <c r="AH69" i="1"/>
  <c r="AM69" i="1"/>
  <c r="AN69" i="1"/>
  <c r="K70" i="1"/>
  <c r="L70" i="1"/>
  <c r="M70" i="1"/>
  <c r="N70" i="1" s="1"/>
  <c r="V70" i="1"/>
  <c r="Y70" i="1"/>
  <c r="Z70" i="1"/>
  <c r="AB70" i="1"/>
  <c r="AC70" i="1"/>
  <c r="AD70" i="1"/>
  <c r="T70" i="1" s="1"/>
  <c r="AE70" i="1"/>
  <c r="AF70" i="1"/>
  <c r="AH70" i="1"/>
  <c r="AM70" i="1"/>
  <c r="AN70" i="1"/>
  <c r="K71" i="1"/>
  <c r="L71" i="1"/>
  <c r="M71" i="1"/>
  <c r="N71" i="1" s="1"/>
  <c r="V71" i="1"/>
  <c r="Y71" i="1"/>
  <c r="Z71" i="1"/>
  <c r="AB71" i="1"/>
  <c r="AC71" i="1"/>
  <c r="AD71" i="1"/>
  <c r="T71" i="1" s="1"/>
  <c r="AE71" i="1"/>
  <c r="AF71" i="1"/>
  <c r="AH71" i="1"/>
  <c r="AM71" i="1"/>
  <c r="AN71" i="1"/>
  <c r="K72" i="1"/>
  <c r="L72" i="1"/>
  <c r="M72" i="1"/>
  <c r="N72" i="1" s="1"/>
  <c r="V72" i="1"/>
  <c r="Y72" i="1"/>
  <c r="Z72" i="1"/>
  <c r="AB72" i="1"/>
  <c r="AC72" i="1"/>
  <c r="AD72" i="1"/>
  <c r="AG72" i="1" s="1"/>
  <c r="AE72" i="1"/>
  <c r="AF72" i="1"/>
  <c r="AH72" i="1"/>
  <c r="AM72" i="1"/>
  <c r="AN72" i="1"/>
  <c r="K73" i="1"/>
  <c r="L73" i="1"/>
  <c r="M73" i="1"/>
  <c r="N73" i="1" s="1"/>
  <c r="V73" i="1"/>
  <c r="Y73" i="1"/>
  <c r="Z73" i="1"/>
  <c r="AB73" i="1"/>
  <c r="AC73" i="1"/>
  <c r="AD73" i="1"/>
  <c r="AG73" i="1" s="1"/>
  <c r="AE73" i="1"/>
  <c r="AF73" i="1"/>
  <c r="AH73" i="1"/>
  <c r="AM73" i="1"/>
  <c r="AN73" i="1"/>
  <c r="K74" i="1"/>
  <c r="L74" i="1"/>
  <c r="M74" i="1"/>
  <c r="N74" i="1" s="1"/>
  <c r="V74" i="1"/>
  <c r="Y74" i="1"/>
  <c r="Z74" i="1"/>
  <c r="AB74" i="1"/>
  <c r="AC74" i="1"/>
  <c r="AD74" i="1"/>
  <c r="T74" i="1" s="1"/>
  <c r="AE74" i="1"/>
  <c r="AF74" i="1"/>
  <c r="AH74" i="1"/>
  <c r="AM74" i="1"/>
  <c r="AN74" i="1"/>
  <c r="K75" i="1"/>
  <c r="L75" i="1"/>
  <c r="M75" i="1"/>
  <c r="N75" i="1" s="1"/>
  <c r="V75" i="1"/>
  <c r="Y75" i="1"/>
  <c r="Z75" i="1"/>
  <c r="AB75" i="1"/>
  <c r="AC75" i="1"/>
  <c r="AD75" i="1"/>
  <c r="T75" i="1" s="1"/>
  <c r="AE75" i="1"/>
  <c r="AF75" i="1"/>
  <c r="AH75" i="1"/>
  <c r="AM75" i="1"/>
  <c r="AN75" i="1"/>
  <c r="K76" i="1"/>
  <c r="L76" i="1"/>
  <c r="M76" i="1"/>
  <c r="N76" i="1" s="1"/>
  <c r="V76" i="1"/>
  <c r="Y76" i="1"/>
  <c r="Z76" i="1"/>
  <c r="AB76" i="1"/>
  <c r="AC76" i="1"/>
  <c r="AD76" i="1"/>
  <c r="AG76" i="1" s="1"/>
  <c r="AE76" i="1"/>
  <c r="AF76" i="1"/>
  <c r="AH76" i="1"/>
  <c r="AM76" i="1"/>
  <c r="AN76" i="1"/>
  <c r="K77" i="1"/>
  <c r="L77" i="1"/>
  <c r="M77" i="1"/>
  <c r="N77" i="1" s="1"/>
  <c r="V77" i="1"/>
  <c r="Y77" i="1"/>
  <c r="Z77" i="1"/>
  <c r="AB77" i="1"/>
  <c r="AC77" i="1"/>
  <c r="AD77" i="1"/>
  <c r="AG77" i="1" s="1"/>
  <c r="AE77" i="1"/>
  <c r="AF77" i="1"/>
  <c r="AH77" i="1"/>
  <c r="AM77" i="1"/>
  <c r="AN77" i="1"/>
  <c r="K78" i="1"/>
  <c r="L78" i="1"/>
  <c r="M78" i="1"/>
  <c r="N78" i="1" s="1"/>
  <c r="V78" i="1"/>
  <c r="Y78" i="1"/>
  <c r="Z78" i="1"/>
  <c r="AB78" i="1"/>
  <c r="AC78" i="1"/>
  <c r="AD78" i="1"/>
  <c r="AE78" i="1"/>
  <c r="AF78" i="1"/>
  <c r="AH78" i="1"/>
  <c r="AM78" i="1"/>
  <c r="AN78" i="1"/>
  <c r="K79" i="1"/>
  <c r="L79" i="1"/>
  <c r="M79" i="1"/>
  <c r="N79" i="1" s="1"/>
  <c r="V79" i="1"/>
  <c r="Y79" i="1"/>
  <c r="Z79" i="1"/>
  <c r="AB79" i="1"/>
  <c r="AC79" i="1"/>
  <c r="AD79" i="1"/>
  <c r="T79" i="1" s="1"/>
  <c r="AE79" i="1"/>
  <c r="AF79" i="1"/>
  <c r="AH79" i="1"/>
  <c r="AM79" i="1"/>
  <c r="AN79" i="1"/>
  <c r="K80" i="1"/>
  <c r="L80" i="1"/>
  <c r="M80" i="1"/>
  <c r="N80" i="1" s="1"/>
  <c r="V80" i="1"/>
  <c r="Y80" i="1"/>
  <c r="Z80" i="1"/>
  <c r="AB80" i="1"/>
  <c r="AC80" i="1"/>
  <c r="AD80" i="1"/>
  <c r="AG80" i="1" s="1"/>
  <c r="AE80" i="1"/>
  <c r="AF80" i="1"/>
  <c r="AH80" i="1"/>
  <c r="AM80" i="1"/>
  <c r="AN80" i="1"/>
  <c r="K81" i="1"/>
  <c r="L81" i="1"/>
  <c r="M81" i="1"/>
  <c r="N81" i="1" s="1"/>
  <c r="V81" i="1"/>
  <c r="Y81" i="1"/>
  <c r="Z81" i="1"/>
  <c r="AB81" i="1"/>
  <c r="AC81" i="1"/>
  <c r="AD81" i="1"/>
  <c r="AG81" i="1" s="1"/>
  <c r="AE81" i="1"/>
  <c r="AF81" i="1"/>
  <c r="AH81" i="1"/>
  <c r="AM81" i="1"/>
  <c r="AN81" i="1"/>
  <c r="K82" i="1"/>
  <c r="L82" i="1"/>
  <c r="M82" i="1"/>
  <c r="N82" i="1" s="1"/>
  <c r="V82" i="1"/>
  <c r="Y82" i="1"/>
  <c r="Z82" i="1"/>
  <c r="AB82" i="1"/>
  <c r="AC82" i="1"/>
  <c r="AD82" i="1"/>
  <c r="T82" i="1" s="1"/>
  <c r="AE82" i="1"/>
  <c r="AF82" i="1"/>
  <c r="AH82" i="1"/>
  <c r="AM82" i="1"/>
  <c r="AN82" i="1"/>
  <c r="K83" i="1"/>
  <c r="L83" i="1"/>
  <c r="M83" i="1"/>
  <c r="N83" i="1" s="1"/>
  <c r="V83" i="1"/>
  <c r="Y83" i="1"/>
  <c r="Z83" i="1"/>
  <c r="AB83" i="1"/>
  <c r="AC83" i="1"/>
  <c r="AD83" i="1"/>
  <c r="T83" i="1" s="1"/>
  <c r="AE83" i="1"/>
  <c r="AF83" i="1"/>
  <c r="AH83" i="1"/>
  <c r="AM83" i="1"/>
  <c r="AN83" i="1"/>
  <c r="K84" i="1"/>
  <c r="L84" i="1"/>
  <c r="M84" i="1"/>
  <c r="P84" i="1" s="1"/>
  <c r="V84" i="1"/>
  <c r="Y84" i="1"/>
  <c r="Z84" i="1"/>
  <c r="AB84" i="1"/>
  <c r="AC84" i="1"/>
  <c r="AD84" i="1"/>
  <c r="AE84" i="1"/>
  <c r="AF84" i="1"/>
  <c r="AH84" i="1"/>
  <c r="AM84" i="1"/>
  <c r="AN84" i="1"/>
  <c r="K85" i="1"/>
  <c r="L85" i="1"/>
  <c r="M85" i="1"/>
  <c r="N85" i="1" s="1"/>
  <c r="V85" i="1"/>
  <c r="Y85" i="1"/>
  <c r="Z85" i="1"/>
  <c r="AB85" i="1"/>
  <c r="AC85" i="1"/>
  <c r="AD85" i="1"/>
  <c r="AG85" i="1" s="1"/>
  <c r="AE85" i="1"/>
  <c r="AF85" i="1"/>
  <c r="AH85" i="1"/>
  <c r="AM85" i="1"/>
  <c r="AN85" i="1"/>
  <c r="K86" i="1"/>
  <c r="L86" i="1"/>
  <c r="M86" i="1"/>
  <c r="N86" i="1" s="1"/>
  <c r="V86" i="1"/>
  <c r="Y86" i="1"/>
  <c r="Z86" i="1"/>
  <c r="AB86" i="1"/>
  <c r="AC86" i="1"/>
  <c r="AD86" i="1"/>
  <c r="AE86" i="1"/>
  <c r="AF86" i="1"/>
  <c r="AH86" i="1"/>
  <c r="AM86" i="1"/>
  <c r="AN86" i="1"/>
  <c r="K87" i="1"/>
  <c r="L87" i="1"/>
  <c r="M87" i="1"/>
  <c r="N87" i="1" s="1"/>
  <c r="V87" i="1"/>
  <c r="Y87" i="1"/>
  <c r="Z87" i="1"/>
  <c r="AB87" i="1"/>
  <c r="AC87" i="1"/>
  <c r="AD87" i="1"/>
  <c r="T87" i="1" s="1"/>
  <c r="AE87" i="1"/>
  <c r="AF87" i="1"/>
  <c r="AH87" i="1"/>
  <c r="AM87" i="1"/>
  <c r="AN87" i="1"/>
  <c r="K88" i="1"/>
  <c r="L88" i="1"/>
  <c r="M88" i="1"/>
  <c r="N88" i="1" s="1"/>
  <c r="V88" i="1"/>
  <c r="Y88" i="1"/>
  <c r="Z88" i="1"/>
  <c r="AB88" i="1"/>
  <c r="AC88" i="1"/>
  <c r="AD88" i="1"/>
  <c r="AE88" i="1"/>
  <c r="AF88" i="1"/>
  <c r="AH88" i="1"/>
  <c r="AM88" i="1"/>
  <c r="AN88" i="1"/>
  <c r="K89" i="1"/>
  <c r="L89" i="1"/>
  <c r="M89" i="1"/>
  <c r="N89" i="1" s="1"/>
  <c r="V89" i="1"/>
  <c r="Y89" i="1"/>
  <c r="Z89" i="1"/>
  <c r="AB89" i="1"/>
  <c r="AC89" i="1"/>
  <c r="AD89" i="1"/>
  <c r="T89" i="1" s="1"/>
  <c r="AE89" i="1"/>
  <c r="AF89" i="1"/>
  <c r="AH89" i="1"/>
  <c r="AM89" i="1"/>
  <c r="AN89" i="1"/>
  <c r="K90" i="1"/>
  <c r="L90" i="1"/>
  <c r="M90" i="1"/>
  <c r="N90" i="1" s="1"/>
  <c r="V90" i="1"/>
  <c r="Y90" i="1"/>
  <c r="Z90" i="1"/>
  <c r="AB90" i="1"/>
  <c r="AC90" i="1"/>
  <c r="AD90" i="1"/>
  <c r="T90" i="1" s="1"/>
  <c r="AE90" i="1"/>
  <c r="AF90" i="1"/>
  <c r="AH90" i="1"/>
  <c r="AM90" i="1"/>
  <c r="AN90" i="1"/>
  <c r="K91" i="1"/>
  <c r="L91" i="1"/>
  <c r="M91" i="1"/>
  <c r="N91" i="1" s="1"/>
  <c r="V91" i="1"/>
  <c r="Y91" i="1"/>
  <c r="Z91" i="1"/>
  <c r="AB91" i="1"/>
  <c r="AC91" i="1"/>
  <c r="AD91" i="1"/>
  <c r="AG91" i="1" s="1"/>
  <c r="AE91" i="1"/>
  <c r="AF91" i="1"/>
  <c r="AH91" i="1"/>
  <c r="AM91" i="1"/>
  <c r="AN91" i="1"/>
  <c r="K92" i="1"/>
  <c r="L92" i="1"/>
  <c r="M92" i="1"/>
  <c r="N92" i="1" s="1"/>
  <c r="V92" i="1"/>
  <c r="Y92" i="1"/>
  <c r="Z92" i="1"/>
  <c r="AB92" i="1"/>
  <c r="AC92" i="1"/>
  <c r="AD92" i="1"/>
  <c r="AE92" i="1"/>
  <c r="AF92" i="1"/>
  <c r="AH92" i="1"/>
  <c r="AM92" i="1"/>
  <c r="AN92" i="1"/>
  <c r="K157" i="1"/>
  <c r="L157" i="1"/>
  <c r="M157" i="1"/>
  <c r="N157" i="1" s="1"/>
  <c r="V157" i="1"/>
  <c r="Y157" i="1"/>
  <c r="Z157" i="1"/>
  <c r="AB157" i="1"/>
  <c r="AC157" i="1"/>
  <c r="AD157" i="1"/>
  <c r="T157" i="1" s="1"/>
  <c r="AE157" i="1"/>
  <c r="AF157" i="1"/>
  <c r="AH93" i="1"/>
  <c r="AM93" i="1"/>
  <c r="AN93" i="1"/>
  <c r="K158" i="1"/>
  <c r="L158" i="1"/>
  <c r="M158" i="1"/>
  <c r="N158" i="1" s="1"/>
  <c r="V158" i="1"/>
  <c r="Y158" i="1"/>
  <c r="Z158" i="1"/>
  <c r="AB158" i="1"/>
  <c r="AC158" i="1"/>
  <c r="AD158" i="1"/>
  <c r="AG158" i="1" s="1"/>
  <c r="AE158" i="1"/>
  <c r="AF158" i="1"/>
  <c r="AH94" i="1"/>
  <c r="AM94" i="1"/>
  <c r="AN94" i="1"/>
  <c r="K159" i="1"/>
  <c r="L159" i="1"/>
  <c r="M159" i="1"/>
  <c r="N159" i="1" s="1"/>
  <c r="V159" i="1"/>
  <c r="Y159" i="1"/>
  <c r="Z159" i="1"/>
  <c r="AI159" i="1" s="1"/>
  <c r="AB159" i="1"/>
  <c r="AC159" i="1"/>
  <c r="AD159" i="1"/>
  <c r="AG159" i="1" s="1"/>
  <c r="AE159" i="1"/>
  <c r="AF159" i="1"/>
  <c r="AH95" i="1"/>
  <c r="AM95" i="1"/>
  <c r="AN95" i="1"/>
  <c r="K160" i="1"/>
  <c r="L160" i="1"/>
  <c r="M160" i="1"/>
  <c r="N160" i="1" s="1"/>
  <c r="V160" i="1"/>
  <c r="Y160" i="1"/>
  <c r="Z160" i="1"/>
  <c r="AB160" i="1"/>
  <c r="AC160" i="1"/>
  <c r="AD160" i="1"/>
  <c r="T160" i="1" s="1"/>
  <c r="AE160" i="1"/>
  <c r="AF160" i="1"/>
  <c r="AH96" i="1"/>
  <c r="AM96" i="1"/>
  <c r="AN96" i="1"/>
  <c r="K161" i="1"/>
  <c r="L161" i="1"/>
  <c r="M161" i="1"/>
  <c r="N161" i="1" s="1"/>
  <c r="V161" i="1"/>
  <c r="Y161" i="1"/>
  <c r="Z161" i="1"/>
  <c r="AB161" i="1"/>
  <c r="AC161" i="1"/>
  <c r="AD161" i="1"/>
  <c r="T161" i="1" s="1"/>
  <c r="AE161" i="1"/>
  <c r="AF161" i="1"/>
  <c r="AH97" i="1"/>
  <c r="AM97" i="1"/>
  <c r="AN97" i="1"/>
  <c r="K162" i="1"/>
  <c r="L162" i="1"/>
  <c r="M162" i="1"/>
  <c r="N162" i="1" s="1"/>
  <c r="V162" i="1"/>
  <c r="Y162" i="1"/>
  <c r="Z162" i="1"/>
  <c r="AB162" i="1"/>
  <c r="AC162" i="1"/>
  <c r="AD162" i="1"/>
  <c r="AG162" i="1" s="1"/>
  <c r="AE162" i="1"/>
  <c r="AF162" i="1"/>
  <c r="AH98" i="1"/>
  <c r="AM98" i="1"/>
  <c r="AN98" i="1"/>
  <c r="K163" i="1"/>
  <c r="L163" i="1"/>
  <c r="M163" i="1"/>
  <c r="N163" i="1" s="1"/>
  <c r="V163" i="1"/>
  <c r="Y163" i="1"/>
  <c r="Z163" i="1"/>
  <c r="AB163" i="1"/>
  <c r="AC163" i="1"/>
  <c r="AD163" i="1"/>
  <c r="AG163" i="1" s="1"/>
  <c r="AE163" i="1"/>
  <c r="AF163" i="1"/>
  <c r="AH99" i="1"/>
  <c r="AM99" i="1"/>
  <c r="AN99" i="1"/>
  <c r="K164" i="1"/>
  <c r="L164" i="1"/>
  <c r="M164" i="1"/>
  <c r="N164" i="1" s="1"/>
  <c r="V164" i="1"/>
  <c r="Y164" i="1"/>
  <c r="Z164" i="1"/>
  <c r="AB164" i="1"/>
  <c r="AC164" i="1"/>
  <c r="AD164" i="1"/>
  <c r="AE164" i="1"/>
  <c r="AF164" i="1"/>
  <c r="AH100" i="1"/>
  <c r="AM100" i="1"/>
  <c r="AN100" i="1"/>
  <c r="K165" i="1"/>
  <c r="L165" i="1"/>
  <c r="M165" i="1"/>
  <c r="N165" i="1" s="1"/>
  <c r="V165" i="1"/>
  <c r="Y165" i="1"/>
  <c r="Z165" i="1"/>
  <c r="AB165" i="1"/>
  <c r="AC165" i="1"/>
  <c r="AD165" i="1"/>
  <c r="T165" i="1" s="1"/>
  <c r="AE165" i="1"/>
  <c r="AF165" i="1"/>
  <c r="AH101" i="1"/>
  <c r="AM101" i="1"/>
  <c r="AN101" i="1"/>
  <c r="K166" i="1"/>
  <c r="L166" i="1"/>
  <c r="M166" i="1"/>
  <c r="N166" i="1" s="1"/>
  <c r="V166" i="1"/>
  <c r="Y166" i="1"/>
  <c r="Z166" i="1"/>
  <c r="AB166" i="1"/>
  <c r="AC166" i="1"/>
  <c r="AD166" i="1"/>
  <c r="T166" i="1" s="1"/>
  <c r="AE166" i="1"/>
  <c r="AF166" i="1"/>
  <c r="AH102" i="1"/>
  <c r="AM102" i="1"/>
  <c r="AN102" i="1"/>
  <c r="K93" i="1"/>
  <c r="L93" i="1"/>
  <c r="M93" i="1"/>
  <c r="N93" i="1" s="1"/>
  <c r="V93" i="1"/>
  <c r="Y93" i="1"/>
  <c r="Z93" i="1"/>
  <c r="AB93" i="1"/>
  <c r="AC93" i="1"/>
  <c r="AD93" i="1"/>
  <c r="AG93" i="1" s="1"/>
  <c r="AE93" i="1"/>
  <c r="AF93" i="1"/>
  <c r="AH103" i="1"/>
  <c r="AM103" i="1"/>
  <c r="AN103" i="1"/>
  <c r="K167" i="1"/>
  <c r="L167" i="1"/>
  <c r="M167" i="1"/>
  <c r="N167" i="1" s="1"/>
  <c r="V167" i="1"/>
  <c r="Y167" i="1"/>
  <c r="Z167" i="1"/>
  <c r="AB167" i="1"/>
  <c r="AC167" i="1"/>
  <c r="AD167" i="1"/>
  <c r="T167" i="1" s="1"/>
  <c r="AE167" i="1"/>
  <c r="AF167" i="1"/>
  <c r="AH104" i="1"/>
  <c r="AM104" i="1"/>
  <c r="AN104" i="1"/>
  <c r="K168" i="1"/>
  <c r="L168" i="1"/>
  <c r="M168" i="1"/>
  <c r="N168" i="1" s="1"/>
  <c r="V168" i="1"/>
  <c r="Y168" i="1"/>
  <c r="Z168" i="1"/>
  <c r="AB168" i="1"/>
  <c r="AC168" i="1"/>
  <c r="AD168" i="1"/>
  <c r="T168" i="1" s="1"/>
  <c r="AE168" i="1"/>
  <c r="AF168" i="1"/>
  <c r="AH105" i="1"/>
  <c r="AM105" i="1"/>
  <c r="AN105" i="1"/>
  <c r="K169" i="1"/>
  <c r="L169" i="1"/>
  <c r="M169" i="1"/>
  <c r="N169" i="1" s="1"/>
  <c r="V169" i="1"/>
  <c r="Y169" i="1"/>
  <c r="Z169" i="1"/>
  <c r="AB169" i="1"/>
  <c r="AC169" i="1"/>
  <c r="AD169" i="1"/>
  <c r="T169" i="1" s="1"/>
  <c r="AE169" i="1"/>
  <c r="AF169" i="1"/>
  <c r="AH106" i="1"/>
  <c r="AM106" i="1"/>
  <c r="AN106" i="1"/>
  <c r="K170" i="1"/>
  <c r="L170" i="1"/>
  <c r="M170" i="1"/>
  <c r="N170" i="1" s="1"/>
  <c r="V170" i="1"/>
  <c r="Y170" i="1"/>
  <c r="Z170" i="1"/>
  <c r="AB170" i="1"/>
  <c r="AC170" i="1"/>
  <c r="AD170" i="1"/>
  <c r="AG170" i="1" s="1"/>
  <c r="AE170" i="1"/>
  <c r="AF170" i="1"/>
  <c r="AH107" i="1"/>
  <c r="AM107" i="1"/>
  <c r="AN107" i="1"/>
  <c r="K171" i="1"/>
  <c r="L171" i="1"/>
  <c r="M171" i="1"/>
  <c r="N171" i="1" s="1"/>
  <c r="V171" i="1"/>
  <c r="Y171" i="1"/>
  <c r="Z171" i="1"/>
  <c r="AB171" i="1"/>
  <c r="AC171" i="1"/>
  <c r="AD171" i="1"/>
  <c r="T171" i="1" s="1"/>
  <c r="AE171" i="1"/>
  <c r="AF171" i="1"/>
  <c r="AH108" i="1"/>
  <c r="AM108" i="1"/>
  <c r="AN108" i="1"/>
  <c r="K172" i="1"/>
  <c r="L172" i="1"/>
  <c r="M172" i="1"/>
  <c r="N172" i="1" s="1"/>
  <c r="V172" i="1"/>
  <c r="Y172" i="1"/>
  <c r="Z172" i="1"/>
  <c r="AB172" i="1"/>
  <c r="AC172" i="1"/>
  <c r="AD172" i="1"/>
  <c r="T172" i="1" s="1"/>
  <c r="AE172" i="1"/>
  <c r="AF172" i="1"/>
  <c r="AH109" i="1"/>
  <c r="AM109" i="1"/>
  <c r="AN109" i="1"/>
  <c r="K173" i="1"/>
  <c r="L173" i="1"/>
  <c r="M173" i="1"/>
  <c r="N173" i="1" s="1"/>
  <c r="V173" i="1"/>
  <c r="Y173" i="1"/>
  <c r="Z173" i="1"/>
  <c r="AB173" i="1"/>
  <c r="AC173" i="1"/>
  <c r="AD173" i="1"/>
  <c r="T173" i="1" s="1"/>
  <c r="AE173" i="1"/>
  <c r="AF173" i="1"/>
  <c r="AH110" i="1"/>
  <c r="AM110" i="1"/>
  <c r="AN110" i="1"/>
  <c r="K174" i="1"/>
  <c r="L174" i="1"/>
  <c r="M174" i="1"/>
  <c r="N174" i="1" s="1"/>
  <c r="V174" i="1"/>
  <c r="Y174" i="1"/>
  <c r="Z174" i="1"/>
  <c r="AB174" i="1"/>
  <c r="AC174" i="1"/>
  <c r="AD174" i="1"/>
  <c r="AG174" i="1" s="1"/>
  <c r="AE174" i="1"/>
  <c r="AF174" i="1"/>
  <c r="AH111" i="1"/>
  <c r="AM111" i="1"/>
  <c r="AN111" i="1"/>
  <c r="K175" i="1"/>
  <c r="L175" i="1"/>
  <c r="M175" i="1"/>
  <c r="N175" i="1" s="1"/>
  <c r="V175" i="1"/>
  <c r="S26" i="3" s="1"/>
  <c r="Y175" i="1"/>
  <c r="Z175" i="1"/>
  <c r="AB175" i="1"/>
  <c r="AC175" i="1"/>
  <c r="AD175" i="1"/>
  <c r="T175" i="1" s="1"/>
  <c r="AE175" i="1"/>
  <c r="AF175" i="1"/>
  <c r="AH112" i="1"/>
  <c r="AM112" i="1"/>
  <c r="AN112" i="1"/>
  <c r="K176" i="1"/>
  <c r="L176" i="1"/>
  <c r="M176" i="1"/>
  <c r="N176" i="1" s="1"/>
  <c r="V176" i="1"/>
  <c r="Y176" i="1"/>
  <c r="Z176" i="1"/>
  <c r="AB176" i="1"/>
  <c r="AC176" i="1"/>
  <c r="AD176" i="1"/>
  <c r="T176" i="1" s="1"/>
  <c r="AE176" i="1"/>
  <c r="AF176" i="1"/>
  <c r="AH113" i="1"/>
  <c r="AM113" i="1"/>
  <c r="AN113" i="1"/>
  <c r="K94" i="1"/>
  <c r="L94" i="1"/>
  <c r="M94" i="1"/>
  <c r="N94" i="1" s="1"/>
  <c r="V94" i="1"/>
  <c r="Y94" i="1"/>
  <c r="Z94" i="1"/>
  <c r="AB94" i="1"/>
  <c r="AC94" i="1"/>
  <c r="AD94" i="1"/>
  <c r="T94" i="1" s="1"/>
  <c r="AE94" i="1"/>
  <c r="AF94" i="1"/>
  <c r="AH114" i="1"/>
  <c r="AM114" i="1"/>
  <c r="AN114" i="1"/>
  <c r="K177" i="1"/>
  <c r="L177" i="1"/>
  <c r="M177" i="1"/>
  <c r="N177" i="1" s="1"/>
  <c r="V177" i="1"/>
  <c r="Y177" i="1"/>
  <c r="Z177" i="1"/>
  <c r="AB177" i="1"/>
  <c r="AC177" i="1"/>
  <c r="AD177" i="1"/>
  <c r="AG177" i="1" s="1"/>
  <c r="AE177" i="1"/>
  <c r="AF177" i="1"/>
  <c r="AH115" i="1"/>
  <c r="AM115" i="1"/>
  <c r="AN115" i="1"/>
  <c r="K178" i="1"/>
  <c r="L178" i="1"/>
  <c r="M178" i="1"/>
  <c r="N178" i="1" s="1"/>
  <c r="V178" i="1"/>
  <c r="S24" i="3" s="1"/>
  <c r="Y178" i="1"/>
  <c r="Z178" i="1"/>
  <c r="AB178" i="1"/>
  <c r="AC178" i="1"/>
  <c r="AD178" i="1"/>
  <c r="AE178" i="1"/>
  <c r="AF178" i="1"/>
  <c r="AH116" i="1"/>
  <c r="AM116" i="1"/>
  <c r="AN116" i="1"/>
  <c r="K179" i="1"/>
  <c r="L179" i="1"/>
  <c r="M179" i="1"/>
  <c r="N179" i="1" s="1"/>
  <c r="V179" i="1"/>
  <c r="Y179" i="1"/>
  <c r="Z179" i="1"/>
  <c r="AB179" i="1"/>
  <c r="AC179" i="1"/>
  <c r="AD179" i="1"/>
  <c r="T179" i="1" s="1"/>
  <c r="AE179" i="1"/>
  <c r="AF179" i="1"/>
  <c r="AH117" i="1"/>
  <c r="AM117" i="1"/>
  <c r="AN117" i="1"/>
  <c r="K180" i="1"/>
  <c r="L180" i="1"/>
  <c r="M180" i="1"/>
  <c r="N180" i="1" s="1"/>
  <c r="V180" i="1"/>
  <c r="Y180" i="1"/>
  <c r="Z180" i="1"/>
  <c r="AB180" i="1"/>
  <c r="AC180" i="1"/>
  <c r="AD180" i="1"/>
  <c r="T180" i="1" s="1"/>
  <c r="AE180" i="1"/>
  <c r="AF180" i="1"/>
  <c r="AH118" i="1"/>
  <c r="AM118" i="1"/>
  <c r="AN118" i="1"/>
  <c r="K181" i="1"/>
  <c r="L181" i="1"/>
  <c r="M181" i="1"/>
  <c r="N181" i="1" s="1"/>
  <c r="V181" i="1"/>
  <c r="Y181" i="1"/>
  <c r="Z181" i="1"/>
  <c r="AB181" i="1"/>
  <c r="AC181" i="1"/>
  <c r="AD181" i="1"/>
  <c r="AG181" i="1" s="1"/>
  <c r="AE181" i="1"/>
  <c r="AF181" i="1"/>
  <c r="AH119" i="1"/>
  <c r="AM119" i="1"/>
  <c r="AN119" i="1"/>
  <c r="K182" i="1"/>
  <c r="L182" i="1"/>
  <c r="M182" i="1"/>
  <c r="N182" i="1" s="1"/>
  <c r="V182" i="1"/>
  <c r="S25" i="3" s="1"/>
  <c r="Y182" i="1"/>
  <c r="Z182" i="1"/>
  <c r="AB182" i="1"/>
  <c r="AC182" i="1"/>
  <c r="AD182" i="1"/>
  <c r="AE182" i="1"/>
  <c r="AF182" i="1"/>
  <c r="AH120" i="1"/>
  <c r="AM120" i="1"/>
  <c r="AN120" i="1"/>
  <c r="K183" i="1"/>
  <c r="L183" i="1"/>
  <c r="M183" i="1"/>
  <c r="N183" i="1" s="1"/>
  <c r="V183" i="1"/>
  <c r="Y183" i="1"/>
  <c r="Z183" i="1"/>
  <c r="AB183" i="1"/>
  <c r="AC183" i="1"/>
  <c r="AD183" i="1"/>
  <c r="T183" i="1" s="1"/>
  <c r="AE183" i="1"/>
  <c r="AF183" i="1"/>
  <c r="AH121" i="1"/>
  <c r="AM121" i="1"/>
  <c r="AN121" i="1"/>
  <c r="K184" i="1"/>
  <c r="L184" i="1"/>
  <c r="M184" i="1"/>
  <c r="N184" i="1" s="1"/>
  <c r="V184" i="1"/>
  <c r="Y184" i="1"/>
  <c r="AA184" i="1" s="1"/>
  <c r="Z184" i="1"/>
  <c r="AB184" i="1"/>
  <c r="AC184" i="1"/>
  <c r="AD184" i="1"/>
  <c r="T184" i="1" s="1"/>
  <c r="AE184" i="1"/>
  <c r="AF184" i="1"/>
  <c r="AH122" i="1"/>
  <c r="AM122" i="1"/>
  <c r="AN122" i="1"/>
  <c r="K185" i="1"/>
  <c r="L185" i="1"/>
  <c r="M185" i="1"/>
  <c r="N185" i="1" s="1"/>
  <c r="V185" i="1"/>
  <c r="Y185" i="1"/>
  <c r="Z185" i="1"/>
  <c r="AB185" i="1"/>
  <c r="AC185" i="1"/>
  <c r="AD185" i="1"/>
  <c r="AG185" i="1" s="1"/>
  <c r="AE185" i="1"/>
  <c r="AF185" i="1"/>
  <c r="AH123" i="1"/>
  <c r="AM123" i="1"/>
  <c r="AN123" i="1"/>
  <c r="K186" i="1"/>
  <c r="L186" i="1"/>
  <c r="M186" i="1"/>
  <c r="N186" i="1" s="1"/>
  <c r="V186" i="1"/>
  <c r="Y186" i="1"/>
  <c r="Z186" i="1"/>
  <c r="AB186" i="1"/>
  <c r="AC186" i="1"/>
  <c r="AD186" i="1"/>
  <c r="T186" i="1" s="1"/>
  <c r="AE186" i="1"/>
  <c r="AF186" i="1"/>
  <c r="AH124" i="1"/>
  <c r="AM124" i="1"/>
  <c r="AN124" i="1"/>
  <c r="K95" i="1"/>
  <c r="L95" i="1"/>
  <c r="M95" i="1"/>
  <c r="N95" i="1" s="1"/>
  <c r="V95" i="1"/>
  <c r="Y95" i="1"/>
  <c r="Z95" i="1"/>
  <c r="AB95" i="1"/>
  <c r="AC95" i="1"/>
  <c r="AD95" i="1"/>
  <c r="T95" i="1" s="1"/>
  <c r="AE95" i="1"/>
  <c r="AF95" i="1"/>
  <c r="K187" i="1"/>
  <c r="L187" i="1"/>
  <c r="M187" i="1"/>
  <c r="N187" i="1" s="1"/>
  <c r="V187" i="1"/>
  <c r="Y187" i="1"/>
  <c r="Z187" i="1"/>
  <c r="AB187" i="1"/>
  <c r="AC187" i="1"/>
  <c r="AD187" i="1"/>
  <c r="T187" i="1" s="1"/>
  <c r="AE187" i="1"/>
  <c r="AF187" i="1"/>
  <c r="AH125" i="1"/>
  <c r="AM125" i="1"/>
  <c r="AN125" i="1"/>
  <c r="K188" i="1"/>
  <c r="L188" i="1"/>
  <c r="M188" i="1"/>
  <c r="N188" i="1" s="1"/>
  <c r="V188" i="1"/>
  <c r="Y188" i="1"/>
  <c r="Z188" i="1"/>
  <c r="AB188" i="1"/>
  <c r="AC188" i="1"/>
  <c r="AD188" i="1"/>
  <c r="AE188" i="1"/>
  <c r="AF188" i="1"/>
  <c r="AH126" i="1"/>
  <c r="AM126" i="1"/>
  <c r="AN126" i="1"/>
  <c r="K189" i="1"/>
  <c r="L189" i="1"/>
  <c r="M189" i="1"/>
  <c r="N189" i="1" s="1"/>
  <c r="V189" i="1"/>
  <c r="Y189" i="1"/>
  <c r="Z189" i="1"/>
  <c r="AB189" i="1"/>
  <c r="AC189" i="1"/>
  <c r="AD189" i="1"/>
  <c r="AE189" i="1"/>
  <c r="AF189" i="1"/>
  <c r="AH127" i="1"/>
  <c r="AM127" i="1"/>
  <c r="AN127" i="1"/>
  <c r="K190" i="1"/>
  <c r="L190" i="1"/>
  <c r="M190" i="1"/>
  <c r="N190" i="1" s="1"/>
  <c r="V190" i="1"/>
  <c r="Y190" i="1"/>
  <c r="Z190" i="1"/>
  <c r="AB190" i="1"/>
  <c r="AC190" i="1"/>
  <c r="AD190" i="1"/>
  <c r="T190" i="1" s="1"/>
  <c r="AE190" i="1"/>
  <c r="AF190" i="1"/>
  <c r="AH128" i="1"/>
  <c r="AM128" i="1"/>
  <c r="AN128" i="1"/>
  <c r="K96" i="1"/>
  <c r="L96" i="1"/>
  <c r="M96" i="1"/>
  <c r="N96" i="1" s="1"/>
  <c r="V96" i="1"/>
  <c r="Y96" i="1"/>
  <c r="Z96" i="1"/>
  <c r="AB96" i="1"/>
  <c r="AC96" i="1"/>
  <c r="AD96" i="1"/>
  <c r="T96" i="1" s="1"/>
  <c r="AE96" i="1"/>
  <c r="AF96" i="1"/>
  <c r="AH129" i="1"/>
  <c r="AM129" i="1"/>
  <c r="AN129" i="1"/>
  <c r="K97" i="1"/>
  <c r="L97" i="1"/>
  <c r="M97" i="1"/>
  <c r="V97" i="1"/>
  <c r="S10" i="3" s="1"/>
  <c r="Y97" i="1"/>
  <c r="Z97" i="1"/>
  <c r="AB97" i="1"/>
  <c r="AC97" i="1"/>
  <c r="AD97" i="1"/>
  <c r="AG97" i="1" s="1"/>
  <c r="AE97" i="1"/>
  <c r="AF97" i="1"/>
  <c r="AH130" i="1"/>
  <c r="AM130" i="1"/>
  <c r="AN130" i="1"/>
  <c r="K98" i="1"/>
  <c r="L98" i="1"/>
  <c r="M98" i="1"/>
  <c r="P98" i="1" s="1"/>
  <c r="V98" i="1"/>
  <c r="Y98" i="1"/>
  <c r="Z98" i="1"/>
  <c r="AB98" i="1"/>
  <c r="AC98" i="1"/>
  <c r="AD98" i="1"/>
  <c r="T98" i="1" s="1"/>
  <c r="AE98" i="1"/>
  <c r="AF98" i="1"/>
  <c r="AH131" i="1"/>
  <c r="AM131" i="1"/>
  <c r="AN131" i="1"/>
  <c r="K99" i="1"/>
  <c r="L99" i="1"/>
  <c r="M99" i="1"/>
  <c r="N99" i="1" s="1"/>
  <c r="V99" i="1"/>
  <c r="Y99" i="1"/>
  <c r="Z99" i="1"/>
  <c r="AB99" i="1"/>
  <c r="AC99" i="1"/>
  <c r="AD99" i="1"/>
  <c r="AE99" i="1"/>
  <c r="AF99" i="1"/>
  <c r="AH132" i="1"/>
  <c r="AM132" i="1"/>
  <c r="AN132" i="1"/>
  <c r="K100" i="1"/>
  <c r="L100" i="1"/>
  <c r="M100" i="1"/>
  <c r="N100" i="1" s="1"/>
  <c r="V100" i="1"/>
  <c r="Y100" i="1"/>
  <c r="Z100" i="1"/>
  <c r="AB100" i="1"/>
  <c r="AC100" i="1"/>
  <c r="AD100" i="1"/>
  <c r="AE100" i="1"/>
  <c r="AF100" i="1"/>
  <c r="AH133" i="1"/>
  <c r="AM133" i="1"/>
  <c r="AN133" i="1"/>
  <c r="K101" i="1"/>
  <c r="L101" i="1"/>
  <c r="M101" i="1"/>
  <c r="N101" i="1" s="1"/>
  <c r="V101" i="1"/>
  <c r="Y101" i="1"/>
  <c r="Z101" i="1"/>
  <c r="AB101" i="1"/>
  <c r="AC101" i="1"/>
  <c r="AD101" i="1"/>
  <c r="AE101" i="1"/>
  <c r="AF101" i="1"/>
  <c r="AH134" i="1"/>
  <c r="AM134" i="1"/>
  <c r="AN134" i="1"/>
  <c r="K102" i="1"/>
  <c r="L102" i="1"/>
  <c r="M102" i="1"/>
  <c r="N102" i="1" s="1"/>
  <c r="V102" i="1"/>
  <c r="S20" i="3" s="1"/>
  <c r="Y102" i="1"/>
  <c r="Z102" i="1"/>
  <c r="AB102" i="1"/>
  <c r="AC102" i="1"/>
  <c r="AD102" i="1"/>
  <c r="T102" i="1" s="1"/>
  <c r="AE102" i="1"/>
  <c r="AF102" i="1"/>
  <c r="AH135" i="1"/>
  <c r="AM135" i="1"/>
  <c r="AN135" i="1"/>
  <c r="K103" i="1"/>
  <c r="L103" i="1"/>
  <c r="M103" i="1"/>
  <c r="N103" i="1" s="1"/>
  <c r="V103" i="1"/>
  <c r="Y103" i="1"/>
  <c r="Z103" i="1"/>
  <c r="AB103" i="1"/>
  <c r="AC103" i="1"/>
  <c r="AD103" i="1"/>
  <c r="AG103" i="1" s="1"/>
  <c r="AE103" i="1"/>
  <c r="AF103" i="1"/>
  <c r="AH136" i="1"/>
  <c r="AM136" i="1"/>
  <c r="AN136" i="1"/>
  <c r="K199" i="1"/>
  <c r="L199" i="1"/>
  <c r="M199" i="1"/>
  <c r="N199" i="1" s="1"/>
  <c r="V199" i="1"/>
  <c r="Y199" i="1"/>
  <c r="Z199" i="1"/>
  <c r="AB199" i="1"/>
  <c r="AC199" i="1"/>
  <c r="AD199" i="1"/>
  <c r="AE199" i="1"/>
  <c r="AF199" i="1"/>
  <c r="AH137" i="1"/>
  <c r="AM137" i="1"/>
  <c r="AN137" i="1"/>
  <c r="K200" i="1"/>
  <c r="L200" i="1"/>
  <c r="M200" i="1"/>
  <c r="N200" i="1" s="1"/>
  <c r="V200" i="1"/>
  <c r="Y200" i="1"/>
  <c r="Z200" i="1"/>
  <c r="AB200" i="1"/>
  <c r="AC200" i="1"/>
  <c r="AD200" i="1"/>
  <c r="AE200" i="1"/>
  <c r="AF200" i="1"/>
  <c r="AH138" i="1"/>
  <c r="AM138" i="1"/>
  <c r="AN138" i="1"/>
  <c r="K104" i="1"/>
  <c r="L104" i="1"/>
  <c r="M104" i="1"/>
  <c r="N104" i="1" s="1"/>
  <c r="V104" i="1"/>
  <c r="S21" i="3" s="1"/>
  <c r="Y104" i="1"/>
  <c r="Z104" i="1"/>
  <c r="AB104" i="1"/>
  <c r="AC104" i="1"/>
  <c r="AD104" i="1"/>
  <c r="AG104" i="1" s="1"/>
  <c r="AE104" i="1"/>
  <c r="AF104" i="1"/>
  <c r="AH139" i="1"/>
  <c r="AM139" i="1"/>
  <c r="AN139" i="1"/>
  <c r="K105" i="1"/>
  <c r="L105" i="1"/>
  <c r="M105" i="1"/>
  <c r="N105" i="1" s="1"/>
  <c r="V105" i="1"/>
  <c r="Y105" i="1"/>
  <c r="Z105" i="1"/>
  <c r="AB105" i="1"/>
  <c r="AC105" i="1"/>
  <c r="AD105" i="1"/>
  <c r="AG105" i="1" s="1"/>
  <c r="AE105" i="1"/>
  <c r="AF105" i="1"/>
  <c r="AH140" i="1"/>
  <c r="AM140" i="1"/>
  <c r="AN140" i="1"/>
  <c r="K106" i="1"/>
  <c r="L106" i="1"/>
  <c r="M106" i="1"/>
  <c r="N106" i="1" s="1"/>
  <c r="V106" i="1"/>
  <c r="Y106" i="1"/>
  <c r="Z106" i="1"/>
  <c r="AB106" i="1"/>
  <c r="AC106" i="1"/>
  <c r="AD106" i="1"/>
  <c r="AE106" i="1"/>
  <c r="AF106" i="1"/>
  <c r="AH141" i="1"/>
  <c r="AM141" i="1"/>
  <c r="AN141" i="1"/>
  <c r="K107" i="1"/>
  <c r="L107" i="1"/>
  <c r="M107" i="1"/>
  <c r="N107" i="1" s="1"/>
  <c r="V107" i="1"/>
  <c r="Y107" i="1"/>
  <c r="Z107" i="1"/>
  <c r="AB107" i="1"/>
  <c r="AC107" i="1"/>
  <c r="AD107" i="1"/>
  <c r="AE107" i="1"/>
  <c r="AF107" i="1"/>
  <c r="AH142" i="1"/>
  <c r="AM142" i="1"/>
  <c r="AN142" i="1"/>
  <c r="K108" i="1"/>
  <c r="L108" i="1"/>
  <c r="M108" i="1"/>
  <c r="N108" i="1" s="1"/>
  <c r="V108" i="1"/>
  <c r="Y108" i="1"/>
  <c r="Z108" i="1"/>
  <c r="AB108" i="1"/>
  <c r="AC108" i="1"/>
  <c r="AD108" i="1"/>
  <c r="AG108" i="1" s="1"/>
  <c r="AE108" i="1"/>
  <c r="AF108" i="1"/>
  <c r="AH143" i="1"/>
  <c r="AM143" i="1"/>
  <c r="AN143" i="1"/>
  <c r="K109" i="1"/>
  <c r="L109" i="1"/>
  <c r="M109" i="1"/>
  <c r="N109" i="1" s="1"/>
  <c r="V109" i="1"/>
  <c r="Y109" i="1"/>
  <c r="Z109" i="1"/>
  <c r="AB109" i="1"/>
  <c r="AC109" i="1"/>
  <c r="AD109" i="1"/>
  <c r="AG109" i="1" s="1"/>
  <c r="AE109" i="1"/>
  <c r="AF109" i="1"/>
  <c r="AH144" i="1"/>
  <c r="AM144" i="1"/>
  <c r="AN144" i="1"/>
  <c r="K110" i="1"/>
  <c r="L110" i="1"/>
  <c r="M110" i="1"/>
  <c r="N110" i="1" s="1"/>
  <c r="V110" i="1"/>
  <c r="Y110" i="1"/>
  <c r="Z110" i="1"/>
  <c r="AB110" i="1"/>
  <c r="AC110" i="1"/>
  <c r="AD110" i="1"/>
  <c r="AE110" i="1"/>
  <c r="AF110" i="1"/>
  <c r="AH145" i="1"/>
  <c r="AM145" i="1"/>
  <c r="AN145" i="1"/>
  <c r="K111" i="1"/>
  <c r="L111" i="1"/>
  <c r="M111" i="1"/>
  <c r="N111" i="1" s="1"/>
  <c r="V111" i="1"/>
  <c r="Y111" i="1"/>
  <c r="Z111" i="1"/>
  <c r="AB111" i="1"/>
  <c r="AC111" i="1"/>
  <c r="AD111" i="1"/>
  <c r="AE111" i="1"/>
  <c r="AF111" i="1"/>
  <c r="K112" i="1"/>
  <c r="L112" i="1"/>
  <c r="M112" i="1"/>
  <c r="N112" i="1" s="1"/>
  <c r="V112" i="1"/>
  <c r="Y112" i="1"/>
  <c r="Z112" i="1"/>
  <c r="AB112" i="1"/>
  <c r="AC112" i="1"/>
  <c r="AD112" i="1"/>
  <c r="AG112" i="1" s="1"/>
  <c r="AE112" i="1"/>
  <c r="AF112" i="1"/>
  <c r="AH146" i="1"/>
  <c r="AM146" i="1"/>
  <c r="AN146" i="1"/>
  <c r="K113" i="1"/>
  <c r="L113" i="1"/>
  <c r="M113" i="1"/>
  <c r="N113" i="1" s="1"/>
  <c r="V113" i="1"/>
  <c r="Y113" i="1"/>
  <c r="Z113" i="1"/>
  <c r="AB113" i="1"/>
  <c r="AC113" i="1"/>
  <c r="AD113" i="1"/>
  <c r="AG113" i="1" s="1"/>
  <c r="AE113" i="1"/>
  <c r="AF113" i="1"/>
  <c r="AH147" i="1"/>
  <c r="AM147" i="1"/>
  <c r="AN147" i="1"/>
  <c r="K114" i="1"/>
  <c r="L114" i="1"/>
  <c r="M114" i="1"/>
  <c r="N114" i="1" s="1"/>
  <c r="V114" i="1"/>
  <c r="S22" i="3" s="1"/>
  <c r="Y114" i="1"/>
  <c r="Z114" i="1"/>
  <c r="AB114" i="1"/>
  <c r="AC114" i="1"/>
  <c r="AD114" i="1"/>
  <c r="AE114" i="1"/>
  <c r="AF114" i="1"/>
  <c r="AH148" i="1"/>
  <c r="AM148" i="1"/>
  <c r="AN148" i="1"/>
  <c r="K115" i="1"/>
  <c r="L115" i="1"/>
  <c r="M115" i="1"/>
  <c r="N115" i="1" s="1"/>
  <c r="V115" i="1"/>
  <c r="Y115" i="1"/>
  <c r="Z115" i="1"/>
  <c r="AA115" i="1" s="1"/>
  <c r="AB115" i="1"/>
  <c r="AC115" i="1"/>
  <c r="AD115" i="1"/>
  <c r="AE115" i="1"/>
  <c r="AF115" i="1"/>
  <c r="AH149" i="1"/>
  <c r="AM149" i="1"/>
  <c r="AN149" i="1"/>
  <c r="K116" i="1"/>
  <c r="L116" i="1"/>
  <c r="M116" i="1"/>
  <c r="N116" i="1" s="1"/>
  <c r="T116" i="1"/>
  <c r="V116" i="1"/>
  <c r="S23" i="3" s="1"/>
  <c r="Y116" i="1"/>
  <c r="Z116" i="1"/>
  <c r="AA116" i="1"/>
  <c r="AB116" i="1"/>
  <c r="AC116" i="1"/>
  <c r="AD116" i="1"/>
  <c r="AG116" i="1" s="1"/>
  <c r="AE116" i="1"/>
  <c r="R23" i="3" s="1"/>
  <c r="AF116" i="1"/>
  <c r="AH150" i="1"/>
  <c r="AM150" i="1"/>
  <c r="AN150" i="1"/>
  <c r="K117" i="1"/>
  <c r="L117" i="1"/>
  <c r="M117" i="1"/>
  <c r="N117" i="1" s="1"/>
  <c r="V117" i="1"/>
  <c r="S16" i="3" s="1"/>
  <c r="Y117" i="1"/>
  <c r="Z117" i="1"/>
  <c r="AB117" i="1"/>
  <c r="AC117" i="1"/>
  <c r="AD117" i="1"/>
  <c r="AG117" i="1" s="1"/>
  <c r="AE117" i="1"/>
  <c r="R16" i="3" s="1"/>
  <c r="AF117" i="1"/>
  <c r="AH151" i="1"/>
  <c r="AM151" i="1"/>
  <c r="AN151" i="1"/>
  <c r="K118" i="1"/>
  <c r="L118" i="1"/>
  <c r="M118" i="1"/>
  <c r="N118" i="1" s="1"/>
  <c r="V118" i="1"/>
  <c r="Y118" i="1"/>
  <c r="Z118" i="1"/>
  <c r="AB118" i="1"/>
  <c r="AC118" i="1"/>
  <c r="AD118" i="1"/>
  <c r="AG118" i="1" s="1"/>
  <c r="AE118" i="1"/>
  <c r="AF118" i="1"/>
  <c r="K119" i="1"/>
  <c r="L119" i="1"/>
  <c r="M119" i="1"/>
  <c r="N119" i="1" s="1"/>
  <c r="V119" i="1"/>
  <c r="Y119" i="1"/>
  <c r="Z119" i="1"/>
  <c r="AB119" i="1"/>
  <c r="AC119" i="1"/>
  <c r="AD119" i="1"/>
  <c r="AE119" i="1"/>
  <c r="AF119" i="1"/>
  <c r="K120" i="1"/>
  <c r="L120" i="1"/>
  <c r="M120" i="1"/>
  <c r="N120" i="1" s="1"/>
  <c r="V120" i="1"/>
  <c r="Y120" i="1"/>
  <c r="Z120" i="1"/>
  <c r="AB120" i="1"/>
  <c r="AC120" i="1"/>
  <c r="AD120" i="1"/>
  <c r="AG120" i="1" s="1"/>
  <c r="AE120" i="1"/>
  <c r="AF120" i="1"/>
  <c r="AH152" i="1"/>
  <c r="AM152" i="1"/>
  <c r="AN152" i="1"/>
  <c r="K121" i="1"/>
  <c r="L121" i="1"/>
  <c r="M121" i="1"/>
  <c r="N121" i="1" s="1"/>
  <c r="V121" i="1"/>
  <c r="Y121" i="1"/>
  <c r="Z121" i="1"/>
  <c r="AB121" i="1"/>
  <c r="AC121" i="1"/>
  <c r="AD121" i="1"/>
  <c r="AG121" i="1" s="1"/>
  <c r="AE121" i="1"/>
  <c r="AF121" i="1"/>
  <c r="AH153" i="1"/>
  <c r="AM153" i="1"/>
  <c r="AN153" i="1"/>
  <c r="K122" i="1"/>
  <c r="L122" i="1"/>
  <c r="M122" i="1"/>
  <c r="N122" i="1" s="1"/>
  <c r="V122" i="1"/>
  <c r="Y122" i="1"/>
  <c r="Z122" i="1"/>
  <c r="AB122" i="1"/>
  <c r="AC122" i="1"/>
  <c r="AD122" i="1"/>
  <c r="T122" i="1" s="1"/>
  <c r="AE122" i="1"/>
  <c r="AF122" i="1"/>
  <c r="AH154" i="1"/>
  <c r="AM154" i="1"/>
  <c r="AN154" i="1"/>
  <c r="K123" i="1"/>
  <c r="L123" i="1"/>
  <c r="M123" i="1"/>
  <c r="N123" i="1" s="1"/>
  <c r="V123" i="1"/>
  <c r="Y123" i="1"/>
  <c r="Z123" i="1"/>
  <c r="AB123" i="1"/>
  <c r="AC123" i="1"/>
  <c r="AD123" i="1"/>
  <c r="AE123" i="1"/>
  <c r="AF123" i="1"/>
  <c r="AH155" i="1"/>
  <c r="AM155" i="1"/>
  <c r="AN155" i="1"/>
  <c r="K124" i="1"/>
  <c r="L124" i="1"/>
  <c r="M124" i="1"/>
  <c r="N124" i="1" s="1"/>
  <c r="V124" i="1"/>
  <c r="Y124" i="1"/>
  <c r="Z124" i="1"/>
  <c r="AB124" i="1"/>
  <c r="AC124" i="1"/>
  <c r="AD124" i="1"/>
  <c r="AG124" i="1" s="1"/>
  <c r="AE124" i="1"/>
  <c r="AF124" i="1"/>
  <c r="AH156" i="1"/>
  <c r="AM156" i="1"/>
  <c r="AN156" i="1"/>
  <c r="K125" i="1"/>
  <c r="L125" i="1"/>
  <c r="M125" i="1"/>
  <c r="N125" i="1" s="1"/>
  <c r="V125" i="1"/>
  <c r="Y125" i="1"/>
  <c r="Z125" i="1"/>
  <c r="AB125" i="1"/>
  <c r="AC125" i="1"/>
  <c r="AD125" i="1"/>
  <c r="T125" i="1" s="1"/>
  <c r="AE125" i="1"/>
  <c r="AF125" i="1"/>
  <c r="AH157" i="1"/>
  <c r="AM157" i="1"/>
  <c r="AN157" i="1"/>
  <c r="K126" i="1"/>
  <c r="L126" i="1"/>
  <c r="M126" i="1"/>
  <c r="N126" i="1" s="1"/>
  <c r="V126" i="1"/>
  <c r="S13" i="3" s="1"/>
  <c r="Y126" i="1"/>
  <c r="Z126" i="1"/>
  <c r="AB126" i="1"/>
  <c r="AC126" i="1"/>
  <c r="AD126" i="1"/>
  <c r="AE126" i="1"/>
  <c r="R13" i="3" s="1"/>
  <c r="AF126" i="1"/>
  <c r="AH158" i="1"/>
  <c r="AM158" i="1"/>
  <c r="AN158" i="1"/>
  <c r="K127" i="1"/>
  <c r="L127" i="1"/>
  <c r="M127" i="1"/>
  <c r="N127" i="1" s="1"/>
  <c r="V127" i="1"/>
  <c r="Y127" i="1"/>
  <c r="Z127" i="1"/>
  <c r="AB127" i="1"/>
  <c r="AC127" i="1"/>
  <c r="AD127" i="1"/>
  <c r="T127" i="1" s="1"/>
  <c r="AE127" i="1"/>
  <c r="AF127" i="1"/>
  <c r="AH159" i="1"/>
  <c r="AM159" i="1"/>
  <c r="AN159" i="1"/>
  <c r="K128" i="1"/>
  <c r="L128" i="1"/>
  <c r="M128" i="1"/>
  <c r="N128" i="1" s="1"/>
  <c r="V128" i="1"/>
  <c r="Y128" i="1"/>
  <c r="Z128" i="1"/>
  <c r="AB128" i="1"/>
  <c r="AC128" i="1"/>
  <c r="AD128" i="1"/>
  <c r="AG128" i="1" s="1"/>
  <c r="AE128" i="1"/>
  <c r="AF128" i="1"/>
  <c r="AH160" i="1"/>
  <c r="AM160" i="1"/>
  <c r="AN160" i="1"/>
  <c r="K129" i="1"/>
  <c r="L129" i="1"/>
  <c r="M129" i="1"/>
  <c r="N129" i="1" s="1"/>
  <c r="V129" i="1"/>
  <c r="Y129" i="1"/>
  <c r="Z129" i="1"/>
  <c r="AB129" i="1"/>
  <c r="AC129" i="1"/>
  <c r="AD129" i="1"/>
  <c r="AG129" i="1" s="1"/>
  <c r="AE129" i="1"/>
  <c r="AF129" i="1"/>
  <c r="AH161" i="1"/>
  <c r="AM161" i="1"/>
  <c r="AN161" i="1"/>
  <c r="K130" i="1"/>
  <c r="L130" i="1"/>
  <c r="M130" i="1"/>
  <c r="N130" i="1" s="1"/>
  <c r="V130" i="1"/>
  <c r="Y130" i="1"/>
  <c r="Z130" i="1"/>
  <c r="AB130" i="1"/>
  <c r="AC130" i="1"/>
  <c r="AD130" i="1"/>
  <c r="AE130" i="1"/>
  <c r="AF130" i="1"/>
  <c r="AH162" i="1"/>
  <c r="AM162" i="1"/>
  <c r="AN162" i="1"/>
  <c r="K131" i="1"/>
  <c r="L131" i="1"/>
  <c r="M131" i="1"/>
  <c r="N131" i="1" s="1"/>
  <c r="V131" i="1"/>
  <c r="Y131" i="1"/>
  <c r="Z131" i="1"/>
  <c r="AB131" i="1"/>
  <c r="AC131" i="1"/>
  <c r="AD131" i="1"/>
  <c r="AG131" i="1" s="1"/>
  <c r="AE131" i="1"/>
  <c r="AF131" i="1"/>
  <c r="AH163" i="1"/>
  <c r="AI163" i="1"/>
  <c r="AM163" i="1"/>
  <c r="AN163" i="1"/>
  <c r="K132" i="1"/>
  <c r="L132" i="1"/>
  <c r="M132" i="1"/>
  <c r="N132" i="1" s="1"/>
  <c r="V132" i="1"/>
  <c r="Y132" i="1"/>
  <c r="Z132" i="1"/>
  <c r="AB132" i="1"/>
  <c r="AC132" i="1"/>
  <c r="AD132" i="1"/>
  <c r="AG132" i="1" s="1"/>
  <c r="AE132" i="1"/>
  <c r="AF132" i="1"/>
  <c r="AH164" i="1"/>
  <c r="AM164" i="1"/>
  <c r="AN164" i="1"/>
  <c r="K133" i="1"/>
  <c r="L133" i="1"/>
  <c r="M133" i="1"/>
  <c r="N133" i="1" s="1"/>
  <c r="V133" i="1"/>
  <c r="Y133" i="1"/>
  <c r="Z133" i="1"/>
  <c r="AB133" i="1"/>
  <c r="AC133" i="1"/>
  <c r="AD133" i="1"/>
  <c r="T133" i="1" s="1"/>
  <c r="AE133" i="1"/>
  <c r="AF133" i="1"/>
  <c r="AH165" i="1"/>
  <c r="AM165" i="1"/>
  <c r="AN165" i="1"/>
  <c r="K134" i="1"/>
  <c r="L134" i="1"/>
  <c r="M134" i="1"/>
  <c r="N134" i="1" s="1"/>
  <c r="V134" i="1"/>
  <c r="S7" i="3" s="1"/>
  <c r="Y134" i="1"/>
  <c r="Z134" i="1"/>
  <c r="AB134" i="1"/>
  <c r="AC134" i="1"/>
  <c r="AD134" i="1"/>
  <c r="AE134" i="1"/>
  <c r="R7" i="3" s="1"/>
  <c r="AF134" i="1"/>
  <c r="AH166" i="1"/>
  <c r="AM166" i="1"/>
  <c r="AN166" i="1"/>
  <c r="K135" i="1"/>
  <c r="L135" i="1"/>
  <c r="M135" i="1"/>
  <c r="N135" i="1" s="1"/>
  <c r="V135" i="1"/>
  <c r="Y135" i="1"/>
  <c r="Z135" i="1"/>
  <c r="AB135" i="1"/>
  <c r="AC135" i="1"/>
  <c r="AD135" i="1"/>
  <c r="AG135" i="1" s="1"/>
  <c r="AE135" i="1"/>
  <c r="AF135" i="1"/>
  <c r="AH167" i="1"/>
  <c r="AM167" i="1"/>
  <c r="AN167" i="1"/>
  <c r="K136" i="1"/>
  <c r="L136" i="1"/>
  <c r="M136" i="1"/>
  <c r="N136" i="1" s="1"/>
  <c r="V136" i="1"/>
  <c r="Y136" i="1"/>
  <c r="Z136" i="1"/>
  <c r="AB136" i="1"/>
  <c r="AC136" i="1"/>
  <c r="AD136" i="1"/>
  <c r="AG136" i="1" s="1"/>
  <c r="AE136" i="1"/>
  <c r="AF136" i="1"/>
  <c r="AH168" i="1"/>
  <c r="AM168" i="1"/>
  <c r="AN168" i="1"/>
  <c r="K137" i="1"/>
  <c r="L137" i="1"/>
  <c r="M137" i="1"/>
  <c r="N137" i="1" s="1"/>
  <c r="V137" i="1"/>
  <c r="Y137" i="1"/>
  <c r="Z137" i="1"/>
  <c r="AB137" i="1"/>
  <c r="AC137" i="1"/>
  <c r="AD137" i="1"/>
  <c r="T137" i="1" s="1"/>
  <c r="AE137" i="1"/>
  <c r="AF137" i="1"/>
  <c r="AH169" i="1"/>
  <c r="AM169" i="1"/>
  <c r="AN169" i="1"/>
  <c r="K138" i="1"/>
  <c r="L138" i="1"/>
  <c r="M138" i="1"/>
  <c r="N138" i="1" s="1"/>
  <c r="V138" i="1"/>
  <c r="Y138" i="1"/>
  <c r="Z138" i="1"/>
  <c r="AB138" i="1"/>
  <c r="AC138" i="1"/>
  <c r="AD138" i="1"/>
  <c r="AE138" i="1"/>
  <c r="AF138" i="1"/>
  <c r="AH170" i="1"/>
  <c r="AM170" i="1"/>
  <c r="AN170" i="1"/>
  <c r="K139" i="1"/>
  <c r="L139" i="1"/>
  <c r="M139" i="1"/>
  <c r="N139" i="1" s="1"/>
  <c r="V139" i="1"/>
  <c r="Y139" i="1"/>
  <c r="Z139" i="1"/>
  <c r="AB139" i="1"/>
  <c r="AC139" i="1"/>
  <c r="AD139" i="1"/>
  <c r="AG139" i="1" s="1"/>
  <c r="AE139" i="1"/>
  <c r="AF139" i="1"/>
  <c r="AH171" i="1"/>
  <c r="AM171" i="1"/>
  <c r="AN171" i="1"/>
  <c r="K140" i="1"/>
  <c r="L140" i="1"/>
  <c r="M140" i="1"/>
  <c r="N140" i="1" s="1"/>
  <c r="V140" i="1"/>
  <c r="Y140" i="1"/>
  <c r="Z140" i="1"/>
  <c r="AB140" i="1"/>
  <c r="AC140" i="1"/>
  <c r="AD140" i="1"/>
  <c r="AG140" i="1" s="1"/>
  <c r="AE140" i="1"/>
  <c r="AF140" i="1"/>
  <c r="AH172" i="1"/>
  <c r="AM172" i="1"/>
  <c r="AN172" i="1"/>
  <c r="K141" i="1"/>
  <c r="L141" i="1"/>
  <c r="M141" i="1"/>
  <c r="N141" i="1" s="1"/>
  <c r="V141" i="1"/>
  <c r="Y141" i="1"/>
  <c r="Z141" i="1"/>
  <c r="AB141" i="1"/>
  <c r="AC141" i="1"/>
  <c r="AD141" i="1"/>
  <c r="T141" i="1" s="1"/>
  <c r="AE141" i="1"/>
  <c r="AF141" i="1"/>
  <c r="AH173" i="1"/>
  <c r="AM173" i="1"/>
  <c r="AN173" i="1"/>
  <c r="K142" i="1"/>
  <c r="L142" i="1"/>
  <c r="M142" i="1"/>
  <c r="N142" i="1" s="1"/>
  <c r="V142" i="1"/>
  <c r="Y142" i="1"/>
  <c r="Z142" i="1"/>
  <c r="AB142" i="1"/>
  <c r="AC142" i="1"/>
  <c r="AD142" i="1"/>
  <c r="AE142" i="1"/>
  <c r="AF142" i="1"/>
  <c r="AH174" i="1"/>
  <c r="AM174" i="1"/>
  <c r="AN174" i="1"/>
  <c r="K143" i="1"/>
  <c r="L143" i="1"/>
  <c r="M143" i="1"/>
  <c r="N143" i="1" s="1"/>
  <c r="V143" i="1"/>
  <c r="Y143" i="1"/>
  <c r="Z143" i="1"/>
  <c r="AB143" i="1"/>
  <c r="AC143" i="1"/>
  <c r="AD143" i="1"/>
  <c r="T143" i="1" s="1"/>
  <c r="AE143" i="1"/>
  <c r="AF143" i="1"/>
  <c r="AH175" i="1"/>
  <c r="AM175" i="1"/>
  <c r="AN175" i="1"/>
  <c r="K144" i="1"/>
  <c r="L144" i="1"/>
  <c r="M144" i="1"/>
  <c r="N144" i="1" s="1"/>
  <c r="V144" i="1"/>
  <c r="Y144" i="1"/>
  <c r="Z144" i="1"/>
  <c r="AB144" i="1"/>
  <c r="AC144" i="1"/>
  <c r="AD144" i="1"/>
  <c r="AG144" i="1" s="1"/>
  <c r="AE144" i="1"/>
  <c r="AF144" i="1"/>
  <c r="AH176" i="1"/>
  <c r="AM176" i="1"/>
  <c r="AN176" i="1"/>
  <c r="K145" i="1"/>
  <c r="L145" i="1"/>
  <c r="M145" i="1"/>
  <c r="N145" i="1" s="1"/>
  <c r="V145" i="1"/>
  <c r="Y145" i="1"/>
  <c r="Z145" i="1"/>
  <c r="AB145" i="1"/>
  <c r="AC145" i="1"/>
  <c r="AD145" i="1"/>
  <c r="T145" i="1" s="1"/>
  <c r="AE145" i="1"/>
  <c r="AF145" i="1"/>
  <c r="AH177" i="1"/>
  <c r="AM177" i="1"/>
  <c r="AN177" i="1"/>
  <c r="AH178" i="1"/>
  <c r="AM178" i="1"/>
  <c r="AN178" i="1"/>
  <c r="K146" i="1"/>
  <c r="L146" i="1"/>
  <c r="M146" i="1"/>
  <c r="N146" i="1" s="1"/>
  <c r="V146" i="1"/>
  <c r="Y146" i="1"/>
  <c r="Z146" i="1"/>
  <c r="AB146" i="1"/>
  <c r="AC146" i="1"/>
  <c r="AD146" i="1"/>
  <c r="T146" i="1" s="1"/>
  <c r="AE146" i="1"/>
  <c r="AF146" i="1"/>
  <c r="AH179" i="1"/>
  <c r="AM179" i="1"/>
  <c r="AN179" i="1"/>
  <c r="K147" i="1"/>
  <c r="L147" i="1"/>
  <c r="M147" i="1"/>
  <c r="N147" i="1" s="1"/>
  <c r="V147" i="1"/>
  <c r="S17" i="3" s="1"/>
  <c r="Y147" i="1"/>
  <c r="Z147" i="1"/>
  <c r="AB147" i="1"/>
  <c r="AC147" i="1"/>
  <c r="AD147" i="1"/>
  <c r="AG147" i="1" s="1"/>
  <c r="AE147" i="1"/>
  <c r="R17" i="3" s="1"/>
  <c r="AF147" i="1"/>
  <c r="AH180" i="1"/>
  <c r="AM180" i="1"/>
  <c r="AN180" i="1"/>
  <c r="K148" i="1"/>
  <c r="L148" i="1"/>
  <c r="M148" i="1"/>
  <c r="N148" i="1" s="1"/>
  <c r="V148" i="1"/>
  <c r="Y148" i="1"/>
  <c r="Z148" i="1"/>
  <c r="AB148" i="1"/>
  <c r="AC148" i="1"/>
  <c r="AD148" i="1"/>
  <c r="T148" i="1" s="1"/>
  <c r="AE148" i="1"/>
  <c r="AF148" i="1"/>
  <c r="AH181" i="1"/>
  <c r="AM181" i="1"/>
  <c r="AN181" i="1"/>
  <c r="K149" i="1"/>
  <c r="L149" i="1"/>
  <c r="M149" i="1"/>
  <c r="P149" i="1" s="1"/>
  <c r="V149" i="1"/>
  <c r="Y149" i="1"/>
  <c r="Z149" i="1"/>
  <c r="AB149" i="1"/>
  <c r="AC149" i="1"/>
  <c r="AD149" i="1"/>
  <c r="AE149" i="1"/>
  <c r="AF149" i="1"/>
  <c r="AH182" i="1"/>
  <c r="AM182" i="1"/>
  <c r="AN182" i="1"/>
  <c r="K150" i="1"/>
  <c r="L150" i="1"/>
  <c r="M150" i="1"/>
  <c r="N150" i="1" s="1"/>
  <c r="V150" i="1"/>
  <c r="Y150" i="1"/>
  <c r="Z150" i="1"/>
  <c r="AB150" i="1"/>
  <c r="AC150" i="1"/>
  <c r="AD150" i="1"/>
  <c r="T150" i="1" s="1"/>
  <c r="AE150" i="1"/>
  <c r="AF150" i="1"/>
  <c r="AH183" i="1"/>
  <c r="AM183" i="1"/>
  <c r="AN183" i="1"/>
  <c r="K151" i="1"/>
  <c r="L151" i="1"/>
  <c r="M151" i="1"/>
  <c r="P151" i="1" s="1"/>
  <c r="V151" i="1"/>
  <c r="Y151" i="1"/>
  <c r="AB151" i="1"/>
  <c r="AC151" i="1"/>
  <c r="AD151" i="1"/>
  <c r="AG151" i="1" s="1"/>
  <c r="AE151" i="1"/>
  <c r="AF151" i="1"/>
  <c r="AH184" i="1"/>
  <c r="AM184" i="1"/>
  <c r="AN184" i="1"/>
  <c r="AH185" i="1"/>
  <c r="AM185" i="1"/>
  <c r="AN185" i="1"/>
  <c r="AH186" i="1"/>
  <c r="AM186" i="1"/>
  <c r="AN186" i="1"/>
  <c r="K152" i="1"/>
  <c r="L152" i="1"/>
  <c r="M152" i="1"/>
  <c r="P152" i="1" s="1"/>
  <c r="V152" i="1"/>
  <c r="Z152" i="1"/>
  <c r="AB152" i="1"/>
  <c r="AC152" i="1"/>
  <c r="AD152" i="1"/>
  <c r="T152" i="1" s="1"/>
  <c r="AE152" i="1"/>
  <c r="AF152" i="1"/>
  <c r="AH187" i="1"/>
  <c r="AM187" i="1"/>
  <c r="AN187" i="1"/>
  <c r="K153" i="1"/>
  <c r="L153" i="1"/>
  <c r="M153" i="1"/>
  <c r="N153" i="1" s="1"/>
  <c r="V153" i="1"/>
  <c r="Z153" i="1"/>
  <c r="AB153" i="1"/>
  <c r="AC153" i="1"/>
  <c r="AD153" i="1"/>
  <c r="AG153" i="1" s="1"/>
  <c r="AE153" i="1"/>
  <c r="AF153" i="1"/>
  <c r="AH188" i="1"/>
  <c r="AM188" i="1"/>
  <c r="AN188" i="1"/>
  <c r="K154" i="1"/>
  <c r="L154" i="1"/>
  <c r="M154" i="1"/>
  <c r="N154" i="1" s="1"/>
  <c r="V154" i="1"/>
  <c r="Z154" i="1"/>
  <c r="AB154" i="1"/>
  <c r="AC154" i="1"/>
  <c r="AD154" i="1"/>
  <c r="T154" i="1" s="1"/>
  <c r="AE154" i="1"/>
  <c r="AF154" i="1"/>
  <c r="AH189" i="1"/>
  <c r="AM189" i="1"/>
  <c r="AN189" i="1"/>
  <c r="K155" i="1"/>
  <c r="L155" i="1"/>
  <c r="M155" i="1"/>
  <c r="N155" i="1" s="1"/>
  <c r="V155" i="1"/>
  <c r="Z155" i="1"/>
  <c r="AB155" i="1"/>
  <c r="AC155" i="1"/>
  <c r="AD155" i="1"/>
  <c r="AE155" i="1"/>
  <c r="AF155" i="1"/>
  <c r="AH190" i="1"/>
  <c r="AM190" i="1"/>
  <c r="AN190" i="1"/>
  <c r="K156" i="1"/>
  <c r="L156" i="1"/>
  <c r="M156" i="1"/>
  <c r="V156" i="1"/>
  <c r="Y156" i="1"/>
  <c r="Z156" i="1"/>
  <c r="AB156" i="1"/>
  <c r="AC156" i="1"/>
  <c r="AD156" i="1"/>
  <c r="T156" i="1" s="1"/>
  <c r="AE156" i="1"/>
  <c r="AF156" i="1"/>
  <c r="AH191" i="1"/>
  <c r="AM191" i="1"/>
  <c r="AN191" i="1"/>
  <c r="AH192" i="1"/>
  <c r="AM192" i="1"/>
  <c r="AN192" i="1"/>
  <c r="K191" i="1"/>
  <c r="L191" i="1"/>
  <c r="M191" i="1"/>
  <c r="N191" i="1" s="1"/>
  <c r="V191" i="1"/>
  <c r="Y191" i="1"/>
  <c r="Z191" i="1"/>
  <c r="AB191" i="1"/>
  <c r="AC191" i="1"/>
  <c r="AD191" i="1"/>
  <c r="T191" i="1" s="1"/>
  <c r="AE191" i="1"/>
  <c r="AF191" i="1"/>
  <c r="AH193" i="1"/>
  <c r="AM193" i="1"/>
  <c r="AN193" i="1"/>
  <c r="K192" i="1"/>
  <c r="L192" i="1"/>
  <c r="M192" i="1"/>
  <c r="N192" i="1" s="1"/>
  <c r="V192" i="1"/>
  <c r="Y192" i="1"/>
  <c r="Z192" i="1"/>
  <c r="AB192" i="1"/>
  <c r="AC192" i="1"/>
  <c r="AD192" i="1"/>
  <c r="AE192" i="1"/>
  <c r="AF192" i="1"/>
  <c r="AH194" i="1"/>
  <c r="AM194" i="1"/>
  <c r="AN194" i="1"/>
  <c r="K193" i="1"/>
  <c r="L193" i="1"/>
  <c r="M193" i="1"/>
  <c r="N193" i="1" s="1"/>
  <c r="V193" i="1"/>
  <c r="Y193" i="1"/>
  <c r="Z193" i="1"/>
  <c r="AB193" i="1"/>
  <c r="AC193" i="1"/>
  <c r="AD193" i="1"/>
  <c r="T193" i="1" s="1"/>
  <c r="AE193" i="1"/>
  <c r="AF193" i="1"/>
  <c r="AH195" i="1"/>
  <c r="AM195" i="1"/>
  <c r="AN195" i="1"/>
  <c r="K194" i="1"/>
  <c r="L194" i="1"/>
  <c r="M194" i="1"/>
  <c r="N194" i="1" s="1"/>
  <c r="V194" i="1"/>
  <c r="Y194" i="1"/>
  <c r="Z194" i="1"/>
  <c r="AB194" i="1"/>
  <c r="AC194" i="1"/>
  <c r="AD194" i="1"/>
  <c r="AG194" i="1" s="1"/>
  <c r="AE194" i="1"/>
  <c r="AF194" i="1"/>
  <c r="AH196" i="1"/>
  <c r="AM196" i="1"/>
  <c r="AN196" i="1"/>
  <c r="K195" i="1"/>
  <c r="L195" i="1"/>
  <c r="M195" i="1"/>
  <c r="N195" i="1" s="1"/>
  <c r="V195" i="1"/>
  <c r="Y195" i="1"/>
  <c r="Z195" i="1"/>
  <c r="AB195" i="1"/>
  <c r="AC195" i="1"/>
  <c r="AD195" i="1"/>
  <c r="T195" i="1" s="1"/>
  <c r="AE195" i="1"/>
  <c r="AF195" i="1"/>
  <c r="AH197" i="1"/>
  <c r="AM197" i="1"/>
  <c r="AN197" i="1"/>
  <c r="K196" i="1"/>
  <c r="L196" i="1"/>
  <c r="M196" i="1"/>
  <c r="N196" i="1" s="1"/>
  <c r="V196" i="1"/>
  <c r="Y196" i="1"/>
  <c r="Z196" i="1"/>
  <c r="AB196" i="1"/>
  <c r="AC196" i="1"/>
  <c r="AD196" i="1"/>
  <c r="AE196" i="1"/>
  <c r="AF196" i="1"/>
  <c r="AH198" i="1"/>
  <c r="AM198" i="1"/>
  <c r="AN198" i="1"/>
  <c r="K197" i="1"/>
  <c r="L197" i="1"/>
  <c r="M197" i="1"/>
  <c r="N197" i="1" s="1"/>
  <c r="V197" i="1"/>
  <c r="Y197" i="1"/>
  <c r="Z197" i="1"/>
  <c r="AB197" i="1"/>
  <c r="AC197" i="1"/>
  <c r="AD197" i="1"/>
  <c r="T197" i="1" s="1"/>
  <c r="AE197" i="1"/>
  <c r="AF197" i="1"/>
  <c r="AH199" i="1"/>
  <c r="AM199" i="1"/>
  <c r="AN199" i="1"/>
  <c r="K198" i="1"/>
  <c r="L198" i="1"/>
  <c r="M198" i="1"/>
  <c r="N198" i="1" s="1"/>
  <c r="V198" i="1"/>
  <c r="Y198" i="1"/>
  <c r="Z198" i="1"/>
  <c r="AB198" i="1"/>
  <c r="AC198" i="1"/>
  <c r="AD198" i="1"/>
  <c r="AG198" i="1" s="1"/>
  <c r="AE198" i="1"/>
  <c r="AF198" i="1"/>
  <c r="AH200" i="1"/>
  <c r="AM200" i="1"/>
  <c r="AN200" i="1"/>
  <c r="K201" i="1"/>
  <c r="L201" i="1"/>
  <c r="M201" i="1"/>
  <c r="N201" i="1" s="1"/>
  <c r="V201" i="1"/>
  <c r="S29" i="3" s="1"/>
  <c r="Y201" i="1"/>
  <c r="Z201" i="1"/>
  <c r="AB201" i="1"/>
  <c r="AC201" i="1"/>
  <c r="AD201" i="1"/>
  <c r="T201" i="1" s="1"/>
  <c r="AE201" i="1"/>
  <c r="R29" i="3" s="1"/>
  <c r="AF201" i="1"/>
  <c r="AH201" i="1"/>
  <c r="AM201" i="1"/>
  <c r="AN201" i="1"/>
  <c r="K202" i="1"/>
  <c r="L202" i="1"/>
  <c r="M202" i="1"/>
  <c r="N202" i="1" s="1"/>
  <c r="V202" i="1"/>
  <c r="Y202" i="1"/>
  <c r="Z202" i="1"/>
  <c r="AB202" i="1"/>
  <c r="AC202" i="1"/>
  <c r="AD202" i="1"/>
  <c r="AE202" i="1"/>
  <c r="AF202" i="1"/>
  <c r="AH202" i="1"/>
  <c r="AM202" i="1"/>
  <c r="AN202" i="1"/>
  <c r="K203" i="1"/>
  <c r="L203" i="1"/>
  <c r="M203" i="1"/>
  <c r="N203" i="1" s="1"/>
  <c r="V203" i="1"/>
  <c r="Y203" i="1"/>
  <c r="Z203" i="1"/>
  <c r="AB203" i="1"/>
  <c r="AC203" i="1"/>
  <c r="AD203" i="1"/>
  <c r="AG203" i="1" s="1"/>
  <c r="AE203" i="1"/>
  <c r="AF203" i="1"/>
  <c r="AH203" i="1"/>
  <c r="AM203" i="1"/>
  <c r="AN203" i="1"/>
  <c r="K204" i="1"/>
  <c r="L204" i="1"/>
  <c r="M204" i="1"/>
  <c r="N204" i="1" s="1"/>
  <c r="V204" i="1"/>
  <c r="Y204" i="1"/>
  <c r="Z204" i="1"/>
  <c r="AB204" i="1"/>
  <c r="AC204" i="1"/>
  <c r="AD204" i="1"/>
  <c r="AG204" i="1" s="1"/>
  <c r="AE204" i="1"/>
  <c r="AF204" i="1"/>
  <c r="AH204" i="1"/>
  <c r="AM204" i="1"/>
  <c r="AN204" i="1"/>
  <c r="K205" i="1"/>
  <c r="L205" i="1"/>
  <c r="M205" i="1"/>
  <c r="N205" i="1" s="1"/>
  <c r="V205" i="1"/>
  <c r="Y205" i="1"/>
  <c r="Z205" i="1"/>
  <c r="AB205" i="1"/>
  <c r="AC205" i="1"/>
  <c r="AD205" i="1"/>
  <c r="T205" i="1" s="1"/>
  <c r="AE205" i="1"/>
  <c r="AF205" i="1"/>
  <c r="AH205" i="1"/>
  <c r="AM205" i="1"/>
  <c r="AN205" i="1"/>
  <c r="K206" i="1"/>
  <c r="L206" i="1"/>
  <c r="M206" i="1"/>
  <c r="N206" i="1" s="1"/>
  <c r="V206" i="1"/>
  <c r="Y206" i="1"/>
  <c r="Z206" i="1"/>
  <c r="AB206" i="1"/>
  <c r="AC206" i="1"/>
  <c r="AD206" i="1"/>
  <c r="AE206" i="1"/>
  <c r="AF206" i="1"/>
  <c r="AH206" i="1"/>
  <c r="AM206" i="1"/>
  <c r="AN206" i="1"/>
  <c r="K207" i="1"/>
  <c r="L207" i="1"/>
  <c r="M207" i="1"/>
  <c r="N207" i="1" s="1"/>
  <c r="V207" i="1"/>
  <c r="Y207" i="1"/>
  <c r="Z207" i="1"/>
  <c r="AB207" i="1"/>
  <c r="AC207" i="1"/>
  <c r="AD207" i="1"/>
  <c r="T207" i="1" s="1"/>
  <c r="AE207" i="1"/>
  <c r="AF207" i="1"/>
  <c r="AH207" i="1"/>
  <c r="AM207" i="1"/>
  <c r="AN207" i="1"/>
  <c r="K208" i="1"/>
  <c r="L208" i="1"/>
  <c r="M208" i="1"/>
  <c r="N208" i="1" s="1"/>
  <c r="V208" i="1"/>
  <c r="Y208" i="1"/>
  <c r="Z208" i="1"/>
  <c r="AB208" i="1"/>
  <c r="AC208" i="1"/>
  <c r="AD208" i="1"/>
  <c r="AG208" i="1" s="1"/>
  <c r="AE208" i="1"/>
  <c r="AF208" i="1"/>
  <c r="AH208" i="1"/>
  <c r="AM208" i="1"/>
  <c r="AN208" i="1"/>
  <c r="K209" i="1"/>
  <c r="L209" i="1"/>
  <c r="M209" i="1"/>
  <c r="N209" i="1" s="1"/>
  <c r="V209" i="1"/>
  <c r="S27" i="3" s="1"/>
  <c r="Y209" i="1"/>
  <c r="Z209" i="1"/>
  <c r="AB209" i="1"/>
  <c r="AC209" i="1"/>
  <c r="AD209" i="1"/>
  <c r="T209" i="1" s="1"/>
  <c r="AE209" i="1"/>
  <c r="R27" i="3" s="1"/>
  <c r="AF209" i="1"/>
  <c r="AH209" i="1"/>
  <c r="AM209" i="1"/>
  <c r="AN209" i="1"/>
  <c r="K210" i="1"/>
  <c r="L210" i="1"/>
  <c r="M210" i="1"/>
  <c r="N210" i="1" s="1"/>
  <c r="V210" i="1"/>
  <c r="Y210" i="1"/>
  <c r="Z210" i="1"/>
  <c r="AB210" i="1"/>
  <c r="AC210" i="1"/>
  <c r="AD210" i="1"/>
  <c r="T210" i="1" s="1"/>
  <c r="AE210" i="1"/>
  <c r="AF210" i="1"/>
  <c r="AH210" i="1"/>
  <c r="AM210" i="1"/>
  <c r="AN210" i="1"/>
  <c r="K211" i="1"/>
  <c r="L211" i="1"/>
  <c r="M211" i="1"/>
  <c r="N211" i="1" s="1"/>
  <c r="V211" i="1"/>
  <c r="Y211" i="1"/>
  <c r="Z211" i="1"/>
  <c r="AB211" i="1"/>
  <c r="AC211" i="1"/>
  <c r="AD211" i="1"/>
  <c r="T211" i="1" s="1"/>
  <c r="AE211" i="1"/>
  <c r="AF211" i="1"/>
  <c r="AH211" i="1"/>
  <c r="AM211" i="1"/>
  <c r="AN211" i="1"/>
  <c r="K212" i="1"/>
  <c r="L212" i="1"/>
  <c r="M212" i="1"/>
  <c r="N212" i="1" s="1"/>
  <c r="V212" i="1"/>
  <c r="Y212" i="1"/>
  <c r="Z212" i="1"/>
  <c r="AB212" i="1"/>
  <c r="AC212" i="1"/>
  <c r="AD212" i="1"/>
  <c r="T212" i="1" s="1"/>
  <c r="AE212" i="1"/>
  <c r="AF212" i="1"/>
  <c r="AH212" i="1"/>
  <c r="AM212" i="1"/>
  <c r="AN212" i="1"/>
  <c r="K213" i="1"/>
  <c r="L213" i="1"/>
  <c r="M213" i="1"/>
  <c r="N213" i="1" s="1"/>
  <c r="V213" i="1"/>
  <c r="Y213" i="1"/>
  <c r="Z213" i="1"/>
  <c r="AB213" i="1"/>
  <c r="AC213" i="1"/>
  <c r="AD213" i="1"/>
  <c r="T213" i="1" s="1"/>
  <c r="AE213" i="1"/>
  <c r="AF213" i="1"/>
  <c r="AH213" i="1"/>
  <c r="AM213" i="1"/>
  <c r="AN213" i="1"/>
  <c r="K214" i="1"/>
  <c r="L214" i="1"/>
  <c r="M214" i="1"/>
  <c r="N214" i="1" s="1"/>
  <c r="V214" i="1"/>
  <c r="Y214" i="1"/>
  <c r="Z214" i="1"/>
  <c r="AB214" i="1"/>
  <c r="AC214" i="1"/>
  <c r="AD214" i="1"/>
  <c r="AE214" i="1"/>
  <c r="AF214" i="1"/>
  <c r="AH214" i="1"/>
  <c r="AM214" i="1"/>
  <c r="AN214" i="1"/>
  <c r="K215" i="1"/>
  <c r="L215" i="1"/>
  <c r="M215" i="1"/>
  <c r="N215" i="1" s="1"/>
  <c r="V215" i="1"/>
  <c r="Y215" i="1"/>
  <c r="Z215" i="1"/>
  <c r="AB215" i="1"/>
  <c r="AC215" i="1"/>
  <c r="AD215" i="1"/>
  <c r="T215" i="1" s="1"/>
  <c r="AE215" i="1"/>
  <c r="AF215" i="1"/>
  <c r="AH215" i="1"/>
  <c r="AM215" i="1"/>
  <c r="AN215" i="1"/>
  <c r="K216" i="1"/>
  <c r="L216" i="1"/>
  <c r="M216" i="1"/>
  <c r="N216" i="1" s="1"/>
  <c r="V216" i="1"/>
  <c r="Y216" i="1"/>
  <c r="Z216" i="1"/>
  <c r="AB216" i="1"/>
  <c r="AC216" i="1"/>
  <c r="AD216" i="1"/>
  <c r="AG216" i="1" s="1"/>
  <c r="AE216" i="1"/>
  <c r="AF216" i="1"/>
  <c r="AH216" i="1"/>
  <c r="AM216" i="1"/>
  <c r="AN216" i="1"/>
  <c r="K217" i="1"/>
  <c r="L217" i="1"/>
  <c r="M217" i="1"/>
  <c r="N217" i="1" s="1"/>
  <c r="V217" i="1"/>
  <c r="Y217" i="1"/>
  <c r="Z217" i="1"/>
  <c r="AB217" i="1"/>
  <c r="AC217" i="1"/>
  <c r="AD217" i="1"/>
  <c r="T217" i="1" s="1"/>
  <c r="AE217" i="1"/>
  <c r="AF217" i="1"/>
  <c r="AH217" i="1"/>
  <c r="AM217" i="1"/>
  <c r="AN217" i="1"/>
  <c r="K218" i="1"/>
  <c r="L218" i="1"/>
  <c r="M218" i="1"/>
  <c r="N218" i="1" s="1"/>
  <c r="V218" i="1"/>
  <c r="Y218" i="1"/>
  <c r="Z218" i="1"/>
  <c r="AB218" i="1"/>
  <c r="AC218" i="1"/>
  <c r="AD218" i="1"/>
  <c r="AG218" i="1" s="1"/>
  <c r="AE218" i="1"/>
  <c r="AF218" i="1"/>
  <c r="AH218" i="1"/>
  <c r="AM218" i="1"/>
  <c r="AN218" i="1"/>
  <c r="M18" i="3"/>
  <c r="R18" i="3"/>
  <c r="U18" i="3"/>
  <c r="T18" i="3" s="1"/>
  <c r="V18" i="3"/>
  <c r="W18" i="3"/>
  <c r="X18" i="3"/>
  <c r="AC18" i="3"/>
  <c r="M11" i="3"/>
  <c r="R11" i="3"/>
  <c r="S11" i="3"/>
  <c r="U11" i="3"/>
  <c r="AD11" i="3" s="1"/>
  <c r="V11" i="3"/>
  <c r="W11" i="3"/>
  <c r="X11" i="3"/>
  <c r="M14" i="3"/>
  <c r="U14" i="3"/>
  <c r="AC14" i="3" s="1"/>
  <c r="V14" i="3"/>
  <c r="W14" i="3"/>
  <c r="X14" i="3"/>
  <c r="M19" i="3"/>
  <c r="S19" i="3"/>
  <c r="U19" i="3"/>
  <c r="AC19" i="3" s="1"/>
  <c r="V19" i="3"/>
  <c r="W19" i="3"/>
  <c r="X19" i="3"/>
  <c r="M9" i="3"/>
  <c r="S9" i="3"/>
  <c r="U9" i="3"/>
  <c r="T9" i="3" s="1"/>
  <c r="V9" i="3"/>
  <c r="W9" i="3"/>
  <c r="X9" i="3"/>
  <c r="AC9" i="3"/>
  <c r="M15" i="3"/>
  <c r="R15" i="3"/>
  <c r="U15" i="3"/>
  <c r="AD15" i="3" s="1"/>
  <c r="V15" i="3"/>
  <c r="W15" i="3"/>
  <c r="X15" i="3"/>
  <c r="M8" i="3"/>
  <c r="S8" i="3"/>
  <c r="U8" i="3"/>
  <c r="AC8" i="3" s="1"/>
  <c r="V8" i="3"/>
  <c r="W8" i="3"/>
  <c r="X8" i="3"/>
  <c r="M12" i="3"/>
  <c r="S12" i="3"/>
  <c r="U12" i="3"/>
  <c r="AC12" i="3" s="1"/>
  <c r="V12" i="3"/>
  <c r="W12" i="3"/>
  <c r="X12" i="3"/>
  <c r="M29" i="3"/>
  <c r="U29" i="3"/>
  <c r="T29" i="3" s="1"/>
  <c r="V29" i="3"/>
  <c r="W29" i="3"/>
  <c r="X29" i="3"/>
  <c r="AC29" i="3"/>
  <c r="M10" i="3"/>
  <c r="R10" i="3"/>
  <c r="U10" i="3"/>
  <c r="V10" i="3"/>
  <c r="W10" i="3"/>
  <c r="X10" i="3"/>
  <c r="M26" i="3"/>
  <c r="R26" i="3"/>
  <c r="U26" i="3"/>
  <c r="AC26" i="3" s="1"/>
  <c r="V26" i="3"/>
  <c r="W26" i="3"/>
  <c r="X26" i="3"/>
  <c r="M20" i="3"/>
  <c r="R20" i="3"/>
  <c r="U20" i="3"/>
  <c r="T20" i="3" s="1"/>
  <c r="V20" i="3"/>
  <c r="W20" i="3"/>
  <c r="X20" i="3"/>
  <c r="AC20" i="3"/>
  <c r="M21" i="3"/>
  <c r="R21" i="3"/>
  <c r="U21" i="3"/>
  <c r="T21" i="3" s="1"/>
  <c r="V21" i="3"/>
  <c r="W21" i="3"/>
  <c r="X21" i="3"/>
  <c r="AC21" i="3"/>
  <c r="M24" i="3"/>
  <c r="R24" i="3"/>
  <c r="U24" i="3"/>
  <c r="AC24" i="3" s="1"/>
  <c r="V24" i="3"/>
  <c r="W24" i="3"/>
  <c r="X24" i="3"/>
  <c r="M22" i="3"/>
  <c r="R22" i="3"/>
  <c r="U22" i="3"/>
  <c r="AC22" i="3" s="1"/>
  <c r="V22" i="3"/>
  <c r="W22" i="3"/>
  <c r="X22" i="3"/>
  <c r="M23" i="3"/>
  <c r="U23" i="3"/>
  <c r="AD23" i="3" s="1"/>
  <c r="V23" i="3"/>
  <c r="W23" i="3"/>
  <c r="X23" i="3"/>
  <c r="AC23" i="3"/>
  <c r="M13" i="3"/>
  <c r="U13" i="3"/>
  <c r="T13" i="3" s="1"/>
  <c r="V13" i="3"/>
  <c r="W13" i="3"/>
  <c r="X13" i="3"/>
  <c r="AC13" i="3"/>
  <c r="M16" i="3"/>
  <c r="U16" i="3"/>
  <c r="V16" i="3"/>
  <c r="W16" i="3"/>
  <c r="X16" i="3"/>
  <c r="M25" i="3"/>
  <c r="R25" i="3"/>
  <c r="U25" i="3"/>
  <c r="AC25" i="3" s="1"/>
  <c r="V25" i="3"/>
  <c r="W25" i="3"/>
  <c r="X25" i="3"/>
  <c r="M7" i="3"/>
  <c r="U7" i="3"/>
  <c r="V7" i="3"/>
  <c r="W7" i="3"/>
  <c r="X7" i="3"/>
  <c r="AC7" i="3"/>
  <c r="M17" i="3"/>
  <c r="U17" i="3"/>
  <c r="T17" i="3" s="1"/>
  <c r="V17" i="3"/>
  <c r="W17" i="3"/>
  <c r="X17" i="3"/>
  <c r="AC17" i="3"/>
  <c r="M27" i="3"/>
  <c r="U27" i="3"/>
  <c r="V27" i="3"/>
  <c r="W27" i="3"/>
  <c r="X27" i="3"/>
  <c r="Y25" i="3" l="1"/>
  <c r="Y14" i="3"/>
  <c r="T93" i="1"/>
  <c r="U93" i="1" s="1"/>
  <c r="S93" i="1" s="1"/>
  <c r="X26" i="1"/>
  <c r="AI19" i="1"/>
  <c r="X155" i="1"/>
  <c r="AA179" i="1"/>
  <c r="X88" i="1"/>
  <c r="X86" i="1"/>
  <c r="X58" i="1"/>
  <c r="X158" i="1"/>
  <c r="AA192" i="1"/>
  <c r="AA69" i="1"/>
  <c r="AA39" i="1"/>
  <c r="X160" i="1"/>
  <c r="X157" i="1"/>
  <c r="X156" i="1"/>
  <c r="AA218" i="1"/>
  <c r="W218" i="1" s="1"/>
  <c r="AA108" i="1"/>
  <c r="W108" i="1" s="1"/>
  <c r="AA104" i="1"/>
  <c r="AA166" i="1"/>
  <c r="AA162" i="1"/>
  <c r="X153" i="1"/>
  <c r="X154" i="1"/>
  <c r="X152" i="1"/>
  <c r="Y11" i="3"/>
  <c r="AA209" i="1"/>
  <c r="X194" i="1"/>
  <c r="AA145" i="1"/>
  <c r="AA135" i="1"/>
  <c r="AG70" i="1"/>
  <c r="AI70" i="1" s="1"/>
  <c r="X70" i="1"/>
  <c r="T69" i="1"/>
  <c r="AA68" i="1"/>
  <c r="W68" i="1" s="1"/>
  <c r="X25" i="1"/>
  <c r="AA217" i="1"/>
  <c r="AA213" i="1"/>
  <c r="AA136" i="1"/>
  <c r="W136" i="1" s="1"/>
  <c r="T108" i="1"/>
  <c r="U108" i="1" s="1"/>
  <c r="S108" i="1" s="1"/>
  <c r="AA107" i="1"/>
  <c r="AA180" i="1"/>
  <c r="AA173" i="1"/>
  <c r="AA59" i="1"/>
  <c r="AA16" i="1"/>
  <c r="T16" i="1"/>
  <c r="AA15" i="1"/>
  <c r="X31" i="1"/>
  <c r="X147" i="1"/>
  <c r="X97" i="1"/>
  <c r="AG96" i="1"/>
  <c r="AI96" i="1" s="1"/>
  <c r="AI32" i="1"/>
  <c r="X16" i="1"/>
  <c r="X146" i="1"/>
  <c r="Y24" i="3"/>
  <c r="AA196" i="1"/>
  <c r="AA194" i="1"/>
  <c r="W194" i="1" s="1"/>
  <c r="T194" i="1"/>
  <c r="AA98" i="1"/>
  <c r="T40" i="1"/>
  <c r="U40" i="1" s="1"/>
  <c r="S40" i="1" s="1"/>
  <c r="AA26" i="1"/>
  <c r="T26" i="1"/>
  <c r="AA25" i="1"/>
  <c r="AG23" i="1"/>
  <c r="AI23" i="1" s="1"/>
  <c r="AA20" i="1"/>
  <c r="W20" i="1" s="1"/>
  <c r="AA81" i="1"/>
  <c r="W81" i="1" s="1"/>
  <c r="AA71" i="1"/>
  <c r="W69" i="1"/>
  <c r="AA65" i="1"/>
  <c r="W65" i="1" s="1"/>
  <c r="AA63" i="1"/>
  <c r="AA44" i="1"/>
  <c r="X28" i="1"/>
  <c r="X151" i="1"/>
  <c r="AA150" i="1"/>
  <c r="AG98" i="1"/>
  <c r="U98" i="1" s="1"/>
  <c r="S98" i="1" s="1"/>
  <c r="X98" i="1"/>
  <c r="AI177" i="1"/>
  <c r="AG171" i="1"/>
  <c r="AI171" i="1" s="1"/>
  <c r="AA207" i="1"/>
  <c r="Y27" i="3"/>
  <c r="Y22" i="3"/>
  <c r="X210" i="1"/>
  <c r="AG152" i="1"/>
  <c r="U152" i="1" s="1"/>
  <c r="S152" i="1" s="1"/>
  <c r="AG150" i="1"/>
  <c r="U150" i="1" s="1"/>
  <c r="S150" i="1" s="1"/>
  <c r="AG74" i="1"/>
  <c r="AI74" i="1" s="1"/>
  <c r="X74" i="1"/>
  <c r="AG71" i="1"/>
  <c r="U71" i="1" s="1"/>
  <c r="S71" i="1" s="1"/>
  <c r="X30" i="1"/>
  <c r="AG154" i="1"/>
  <c r="AG137" i="1"/>
  <c r="AI137" i="1" s="1"/>
  <c r="Y26" i="3"/>
  <c r="AA193" i="1"/>
  <c r="AA151" i="1"/>
  <c r="W151" i="1" s="1"/>
  <c r="T151" i="1"/>
  <c r="U151" i="1" s="1"/>
  <c r="S151" i="1" s="1"/>
  <c r="AA149" i="1"/>
  <c r="AA139" i="1"/>
  <c r="AA127" i="1"/>
  <c r="AA112" i="1"/>
  <c r="W112" i="1" s="1"/>
  <c r="AA106" i="1"/>
  <c r="AA96" i="1"/>
  <c r="W96" i="1" s="1"/>
  <c r="AA189" i="1"/>
  <c r="AA169" i="1"/>
  <c r="T86" i="1"/>
  <c r="AI85" i="1"/>
  <c r="AA78" i="1"/>
  <c r="AA76" i="1"/>
  <c r="W76" i="1" s="1"/>
  <c r="AA73" i="1"/>
  <c r="W73" i="1" s="1"/>
  <c r="X62" i="1"/>
  <c r="X29" i="1"/>
  <c r="X125" i="1"/>
  <c r="AG215" i="1"/>
  <c r="AG197" i="1"/>
  <c r="U197" i="1" s="1"/>
  <c r="S197" i="1" s="1"/>
  <c r="AG193" i="1"/>
  <c r="U193" i="1" s="1"/>
  <c r="S193" i="1" s="1"/>
  <c r="T218" i="1"/>
  <c r="X215" i="1"/>
  <c r="T198" i="1"/>
  <c r="X208" i="1"/>
  <c r="AG205" i="1"/>
  <c r="AA146" i="1"/>
  <c r="AG167" i="1"/>
  <c r="AI167" i="1" s="1"/>
  <c r="AA88" i="1"/>
  <c r="AG82" i="1"/>
  <c r="AI82" i="1" s="1"/>
  <c r="X82" i="1"/>
  <c r="AG75" i="1"/>
  <c r="U75" i="1" s="1"/>
  <c r="S75" i="1" s="1"/>
  <c r="AD29" i="3"/>
  <c r="Y17" i="3"/>
  <c r="AD20" i="3"/>
  <c r="AA210" i="1"/>
  <c r="AG201" i="1"/>
  <c r="U201" i="1" s="1"/>
  <c r="S201" i="1" s="1"/>
  <c r="AA198" i="1"/>
  <c r="W198" i="1" s="1"/>
  <c r="T129" i="1"/>
  <c r="AA128" i="1"/>
  <c r="AA110" i="1"/>
  <c r="AA100" i="1"/>
  <c r="AA186" i="1"/>
  <c r="X185" i="1"/>
  <c r="AG184" i="1"/>
  <c r="W184" i="1" s="1"/>
  <c r="AG175" i="1"/>
  <c r="AI175" i="1" s="1"/>
  <c r="X175" i="1"/>
  <c r="AG62" i="1"/>
  <c r="AI62" i="1" s="1"/>
  <c r="AG38" i="1"/>
  <c r="X33" i="1"/>
  <c r="AA21" i="1"/>
  <c r="AA19" i="1"/>
  <c r="W19" i="1" s="1"/>
  <c r="X18" i="1"/>
  <c r="AD9" i="3"/>
  <c r="AA156" i="1"/>
  <c r="AG125" i="1"/>
  <c r="U125" i="1" s="1"/>
  <c r="S125" i="1" s="1"/>
  <c r="AG94" i="1"/>
  <c r="AA92" i="1"/>
  <c r="AA61" i="1"/>
  <c r="W61" i="1" s="1"/>
  <c r="Y10" i="3"/>
  <c r="Y15" i="3"/>
  <c r="Y9" i="3"/>
  <c r="Y19" i="3"/>
  <c r="Y18" i="3"/>
  <c r="T136" i="1"/>
  <c r="AA131" i="1"/>
  <c r="W131" i="1" s="1"/>
  <c r="T118" i="1"/>
  <c r="T112" i="1"/>
  <c r="U112" i="1" s="1"/>
  <c r="S112" i="1" s="1"/>
  <c r="AA111" i="1"/>
  <c r="T104" i="1"/>
  <c r="U104" i="1" s="1"/>
  <c r="S104" i="1" s="1"/>
  <c r="AG186" i="1"/>
  <c r="X186" i="1"/>
  <c r="X182" i="1"/>
  <c r="X178" i="1"/>
  <c r="AA178" i="1"/>
  <c r="AG86" i="1"/>
  <c r="U86" i="1" s="1"/>
  <c r="S86" i="1" s="1"/>
  <c r="T81" i="1"/>
  <c r="X66" i="1"/>
  <c r="AG63" i="1"/>
  <c r="W63" i="1" s="1"/>
  <c r="T61" i="1"/>
  <c r="U61" i="1" s="1"/>
  <c r="S61" i="1" s="1"/>
  <c r="AA60" i="1"/>
  <c r="W60" i="1" s="1"/>
  <c r="X57" i="1"/>
  <c r="AG50" i="1"/>
  <c r="AI50" i="1" s="1"/>
  <c r="X50" i="1"/>
  <c r="AA48" i="1"/>
  <c r="X45" i="1"/>
  <c r="AA40" i="1"/>
  <c r="AG36" i="1"/>
  <c r="AI36" i="1" s="1"/>
  <c r="AA34" i="1"/>
  <c r="AA32" i="1"/>
  <c r="W32" i="1" s="1"/>
  <c r="AA22" i="1"/>
  <c r="W22" i="1" s="1"/>
  <c r="X21" i="1"/>
  <c r="T20" i="1"/>
  <c r="U20" i="1" s="1"/>
  <c r="S20" i="1" s="1"/>
  <c r="AA14" i="1"/>
  <c r="W139" i="1"/>
  <c r="AA211" i="1"/>
  <c r="U205" i="1"/>
  <c r="S205" i="1" s="1"/>
  <c r="AA204" i="1"/>
  <c r="W204" i="1" s="1"/>
  <c r="T204" i="1"/>
  <c r="U204" i="1" s="1"/>
  <c r="S204" i="1" s="1"/>
  <c r="T203" i="1"/>
  <c r="U203" i="1" s="1"/>
  <c r="S203" i="1" s="1"/>
  <c r="AA202" i="1"/>
  <c r="U154" i="1"/>
  <c r="S154" i="1" s="1"/>
  <c r="AA153" i="1"/>
  <c r="W153" i="1" s="1"/>
  <c r="T153" i="1"/>
  <c r="AA144" i="1"/>
  <c r="W144" i="1" s="1"/>
  <c r="AA143" i="1"/>
  <c r="T139" i="1"/>
  <c r="AA138" i="1"/>
  <c r="AI132" i="1"/>
  <c r="T131" i="1"/>
  <c r="AA130" i="1"/>
  <c r="T128" i="1"/>
  <c r="U128" i="1" s="1"/>
  <c r="S128" i="1" s="1"/>
  <c r="T124" i="1"/>
  <c r="U124" i="1" s="1"/>
  <c r="S124" i="1" s="1"/>
  <c r="AA123" i="1"/>
  <c r="AA121" i="1"/>
  <c r="W121" i="1" s="1"/>
  <c r="T121" i="1"/>
  <c r="U121" i="1" s="1"/>
  <c r="S121" i="1" s="1"/>
  <c r="AA120" i="1"/>
  <c r="W120" i="1" s="1"/>
  <c r="X114" i="1"/>
  <c r="AA114" i="1"/>
  <c r="X110" i="1"/>
  <c r="X106" i="1"/>
  <c r="X199" i="1"/>
  <c r="T103" i="1"/>
  <c r="T181" i="1"/>
  <c r="AA174" i="1"/>
  <c r="W174" i="1" s="1"/>
  <c r="T174" i="1"/>
  <c r="U174" i="1" s="1"/>
  <c r="S174" i="1" s="1"/>
  <c r="X171" i="1"/>
  <c r="AA163" i="1"/>
  <c r="W163" i="1" s="1"/>
  <c r="AA161" i="1"/>
  <c r="AA159" i="1"/>
  <c r="W159" i="1" s="1"/>
  <c r="X93" i="1"/>
  <c r="AA90" i="1"/>
  <c r="X78" i="1"/>
  <c r="AA58" i="1"/>
  <c r="AA57" i="1"/>
  <c r="W57" i="1" s="1"/>
  <c r="W40" i="1"/>
  <c r="U38" i="1"/>
  <c r="AA36" i="1"/>
  <c r="W116" i="1"/>
  <c r="W104" i="1"/>
  <c r="AA200" i="1"/>
  <c r="AA103" i="1"/>
  <c r="W103" i="1" s="1"/>
  <c r="AA187" i="1"/>
  <c r="T182" i="1"/>
  <c r="AA181" i="1"/>
  <c r="W181" i="1" s="1"/>
  <c r="AA77" i="1"/>
  <c r="AA67" i="1"/>
  <c r="T66" i="1"/>
  <c r="T65" i="1"/>
  <c r="U65" i="1" s="1"/>
  <c r="S65" i="1" s="1"/>
  <c r="AA64" i="1"/>
  <c r="W64" i="1" s="1"/>
  <c r="T32" i="1"/>
  <c r="AA31" i="1"/>
  <c r="W31" i="1" s="1"/>
  <c r="AA27" i="1"/>
  <c r="AA17" i="1"/>
  <c r="W17" i="1" s="1"/>
  <c r="AG207" i="1"/>
  <c r="U207" i="1" s="1"/>
  <c r="S207" i="1" s="1"/>
  <c r="X204" i="1"/>
  <c r="AA203" i="1"/>
  <c r="W203" i="1" s="1"/>
  <c r="AG195" i="1"/>
  <c r="U195" i="1" s="1"/>
  <c r="AG156" i="1"/>
  <c r="U156" i="1" s="1"/>
  <c r="S156" i="1" s="1"/>
  <c r="AG146" i="1"/>
  <c r="W146" i="1" s="1"/>
  <c r="AA141" i="1"/>
  <c r="AG133" i="1"/>
  <c r="U133" i="1" s="1"/>
  <c r="AA124" i="1"/>
  <c r="W124" i="1" s="1"/>
  <c r="X121" i="1"/>
  <c r="X174" i="1"/>
  <c r="AG90" i="1"/>
  <c r="X90" i="1"/>
  <c r="AA53" i="1"/>
  <c r="AG51" i="1"/>
  <c r="AA46" i="1"/>
  <c r="AA216" i="1"/>
  <c r="W216" i="1" s="1"/>
  <c r="AG213" i="1"/>
  <c r="AI213" i="1" s="1"/>
  <c r="AA208" i="1"/>
  <c r="W208" i="1" s="1"/>
  <c r="T208" i="1"/>
  <c r="AA206" i="1"/>
  <c r="X198" i="1"/>
  <c r="AA197" i="1"/>
  <c r="AG191" i="1"/>
  <c r="U191" i="1" s="1"/>
  <c r="S191" i="1" s="1"/>
  <c r="AA155" i="1"/>
  <c r="AA152" i="1"/>
  <c r="W152" i="1" s="1"/>
  <c r="AG148" i="1"/>
  <c r="AI148" i="1" s="1"/>
  <c r="AA147" i="1"/>
  <c r="W147" i="1" s="1"/>
  <c r="T147" i="1"/>
  <c r="T144" i="1"/>
  <c r="U144" i="1" s="1"/>
  <c r="S144" i="1" s="1"/>
  <c r="X136" i="1"/>
  <c r="AA129" i="1"/>
  <c r="W129" i="1" s="1"/>
  <c r="AA122" i="1"/>
  <c r="AA99" i="1"/>
  <c r="AG187" i="1"/>
  <c r="AI187" i="1" s="1"/>
  <c r="AG182" i="1"/>
  <c r="AA94" i="1"/>
  <c r="W94" i="1" s="1"/>
  <c r="AG173" i="1"/>
  <c r="U173" i="1" s="1"/>
  <c r="S173" i="1" s="1"/>
  <c r="AA172" i="1"/>
  <c r="AA171" i="1"/>
  <c r="X170" i="1"/>
  <c r="AG169" i="1"/>
  <c r="W169" i="1" s="1"/>
  <c r="AA93" i="1"/>
  <c r="W93" i="1" s="1"/>
  <c r="X164" i="1"/>
  <c r="AA164" i="1"/>
  <c r="AA160" i="1"/>
  <c r="AA158" i="1"/>
  <c r="W158" i="1" s="1"/>
  <c r="AA85" i="1"/>
  <c r="AG83" i="1"/>
  <c r="U83" i="1" s="1"/>
  <c r="S83" i="1" s="1"/>
  <c r="X83" i="1"/>
  <c r="AA75" i="1"/>
  <c r="T73" i="1"/>
  <c r="AA72" i="1"/>
  <c r="W72" i="1" s="1"/>
  <c r="AG67" i="1"/>
  <c r="U67" i="1" s="1"/>
  <c r="S67" i="1" s="1"/>
  <c r="AG66" i="1"/>
  <c r="AI66" i="1" s="1"/>
  <c r="T58" i="1"/>
  <c r="X54" i="1"/>
  <c r="AG53" i="1"/>
  <c r="U53" i="1" s="1"/>
  <c r="S53" i="1" s="1"/>
  <c r="X53" i="1"/>
  <c r="AA45" i="1"/>
  <c r="T45" i="1"/>
  <c r="U45" i="1" s="1"/>
  <c r="S45" i="1" s="1"/>
  <c r="T44" i="1"/>
  <c r="U44" i="1" s="1"/>
  <c r="S44" i="1" s="1"/>
  <c r="AA43" i="1"/>
  <c r="W43" i="1" s="1"/>
  <c r="AA33" i="1"/>
  <c r="T33" i="1"/>
  <c r="AG30" i="1"/>
  <c r="U30" i="1" s="1"/>
  <c r="S30" i="1" s="1"/>
  <c r="AA23" i="1"/>
  <c r="T22" i="1"/>
  <c r="X17" i="1"/>
  <c r="AI120" i="1"/>
  <c r="W135" i="1"/>
  <c r="AI135" i="1"/>
  <c r="U129" i="1"/>
  <c r="S129" i="1" s="1"/>
  <c r="AI129" i="1"/>
  <c r="X143" i="1"/>
  <c r="AG217" i="1"/>
  <c r="AI217" i="1" s="1"/>
  <c r="AA214" i="1"/>
  <c r="T214" i="1"/>
  <c r="AG211" i="1"/>
  <c r="U211" i="1" s="1"/>
  <c r="S211" i="1" s="1"/>
  <c r="AG143" i="1"/>
  <c r="AG141" i="1"/>
  <c r="AA140" i="1"/>
  <c r="T140" i="1"/>
  <c r="U140" i="1" s="1"/>
  <c r="S140" i="1" s="1"/>
  <c r="X139" i="1"/>
  <c r="AA137" i="1"/>
  <c r="W137" i="1" s="1"/>
  <c r="T135" i="1"/>
  <c r="U135" i="1" s="1"/>
  <c r="S135" i="1" s="1"/>
  <c r="AA134" i="1"/>
  <c r="AA132" i="1"/>
  <c r="T132" i="1"/>
  <c r="U132" i="1" s="1"/>
  <c r="S132" i="1" s="1"/>
  <c r="X131" i="1"/>
  <c r="AG127" i="1"/>
  <c r="U127" i="1" s="1"/>
  <c r="S127" i="1" s="1"/>
  <c r="AA125" i="1"/>
  <c r="AG122" i="1"/>
  <c r="W122" i="1" s="1"/>
  <c r="AI152" i="1"/>
  <c r="T120" i="1"/>
  <c r="U120" i="1" s="1"/>
  <c r="S120" i="1" s="1"/>
  <c r="AA119" i="1"/>
  <c r="AA117" i="1"/>
  <c r="W117" i="1" s="1"/>
  <c r="T117" i="1"/>
  <c r="U117" i="1" s="1"/>
  <c r="S117" i="1" s="1"/>
  <c r="X116" i="1"/>
  <c r="T114" i="1"/>
  <c r="AA113" i="1"/>
  <c r="W113" i="1" s="1"/>
  <c r="T113" i="1"/>
  <c r="U113" i="1" s="1"/>
  <c r="S113" i="1" s="1"/>
  <c r="X112" i="1"/>
  <c r="T110" i="1"/>
  <c r="AA109" i="1"/>
  <c r="W109" i="1" s="1"/>
  <c r="T109" i="1"/>
  <c r="U109" i="1" s="1"/>
  <c r="S109" i="1" s="1"/>
  <c r="X108" i="1"/>
  <c r="T106" i="1"/>
  <c r="AA105" i="1"/>
  <c r="W105" i="1" s="1"/>
  <c r="T105" i="1"/>
  <c r="U105" i="1" s="1"/>
  <c r="S105" i="1" s="1"/>
  <c r="X104" i="1"/>
  <c r="T199" i="1"/>
  <c r="AG102" i="1"/>
  <c r="T99" i="1"/>
  <c r="X99" i="1"/>
  <c r="AG99" i="1"/>
  <c r="AG188" i="1"/>
  <c r="AI188" i="1" s="1"/>
  <c r="X188" i="1"/>
  <c r="T188" i="1"/>
  <c r="AI44" i="1"/>
  <c r="X218" i="1"/>
  <c r="AI203" i="1"/>
  <c r="X144" i="1"/>
  <c r="U139" i="1"/>
  <c r="S139" i="1" s="1"/>
  <c r="U137" i="1"/>
  <c r="X135" i="1"/>
  <c r="U131" i="1"/>
  <c r="S131" i="1" s="1"/>
  <c r="X128" i="1"/>
  <c r="X120" i="1"/>
  <c r="U116" i="1"/>
  <c r="S116" i="1" s="1"/>
  <c r="AI116" i="1"/>
  <c r="AI112" i="1"/>
  <c r="AI108" i="1"/>
  <c r="AI104" i="1"/>
  <c r="X102" i="1"/>
  <c r="AI133" i="1"/>
  <c r="T100" i="1"/>
  <c r="AG100" i="1"/>
  <c r="AI100" i="1" s="1"/>
  <c r="W48" i="1"/>
  <c r="AA215" i="1"/>
  <c r="W215" i="1" s="1"/>
  <c r="X214" i="1"/>
  <c r="AA212" i="1"/>
  <c r="X211" i="1"/>
  <c r="AG209" i="1"/>
  <c r="X207" i="1"/>
  <c r="AA205" i="1"/>
  <c r="W205" i="1" s="1"/>
  <c r="X203" i="1"/>
  <c r="AA201" i="1"/>
  <c r="X197" i="1"/>
  <c r="AA195" i="1"/>
  <c r="X193" i="1"/>
  <c r="AA191" i="1"/>
  <c r="AA154" i="1"/>
  <c r="W154" i="1" s="1"/>
  <c r="X150" i="1"/>
  <c r="AA148" i="1"/>
  <c r="W148" i="1" s="1"/>
  <c r="AG145" i="1"/>
  <c r="AA142" i="1"/>
  <c r="X140" i="1"/>
  <c r="AA133" i="1"/>
  <c r="W133" i="1" s="1"/>
  <c r="X132" i="1"/>
  <c r="AA126" i="1"/>
  <c r="X124" i="1"/>
  <c r="AI154" i="1"/>
  <c r="AA118" i="1"/>
  <c r="W118" i="1" s="1"/>
  <c r="X117" i="1"/>
  <c r="AG114" i="1"/>
  <c r="W114" i="1" s="1"/>
  <c r="X113" i="1"/>
  <c r="AG110" i="1"/>
  <c r="X109" i="1"/>
  <c r="AG106" i="1"/>
  <c r="W106" i="1" s="1"/>
  <c r="X105" i="1"/>
  <c r="AG199" i="1"/>
  <c r="X103" i="1"/>
  <c r="AA102" i="1"/>
  <c r="X189" i="1"/>
  <c r="AG189" i="1"/>
  <c r="W189" i="1" s="1"/>
  <c r="T189" i="1"/>
  <c r="U189" i="1" s="1"/>
  <c r="S189" i="1" s="1"/>
  <c r="AI48" i="1"/>
  <c r="AI17" i="1"/>
  <c r="U146" i="1"/>
  <c r="S146" i="1" s="1"/>
  <c r="X127" i="1"/>
  <c r="U118" i="1"/>
  <c r="S118" i="1" s="1"/>
  <c r="AI118" i="1"/>
  <c r="AI146" i="1"/>
  <c r="AI139" i="1"/>
  <c r="AI131" i="1"/>
  <c r="AI25" i="1"/>
  <c r="AA190" i="1"/>
  <c r="AA188" i="1"/>
  <c r="AA183" i="1"/>
  <c r="T178" i="1"/>
  <c r="AA177" i="1"/>
  <c r="W177" i="1" s="1"/>
  <c r="T177" i="1"/>
  <c r="U177" i="1" s="1"/>
  <c r="S177" i="1" s="1"/>
  <c r="AA175" i="1"/>
  <c r="W175" i="1" s="1"/>
  <c r="AA168" i="1"/>
  <c r="T164" i="1"/>
  <c r="AG160" i="1"/>
  <c r="U160" i="1" s="1"/>
  <c r="S160" i="1" s="1"/>
  <c r="T92" i="1"/>
  <c r="AA91" i="1"/>
  <c r="W91" i="1" s="1"/>
  <c r="T91" i="1"/>
  <c r="U91" i="1" s="1"/>
  <c r="S91" i="1" s="1"/>
  <c r="U90" i="1"/>
  <c r="S90" i="1" s="1"/>
  <c r="T88" i="1"/>
  <c r="AA87" i="1"/>
  <c r="AG79" i="1"/>
  <c r="U79" i="1" s="1"/>
  <c r="S79" i="1" s="1"/>
  <c r="X79" i="1"/>
  <c r="T78" i="1"/>
  <c r="T77" i="1"/>
  <c r="U77" i="1" s="1"/>
  <c r="S77" i="1" s="1"/>
  <c r="T57" i="1"/>
  <c r="U57" i="1" s="1"/>
  <c r="S57" i="1" s="1"/>
  <c r="AA56" i="1"/>
  <c r="W56" i="1" s="1"/>
  <c r="AA55" i="1"/>
  <c r="AA54" i="1"/>
  <c r="T54" i="1"/>
  <c r="T48" i="1"/>
  <c r="U48" i="1" s="1"/>
  <c r="S48" i="1" s="1"/>
  <c r="AA47" i="1"/>
  <c r="AA37" i="1"/>
  <c r="W37" i="1" s="1"/>
  <c r="T37" i="1"/>
  <c r="U37" i="1" s="1"/>
  <c r="S37" i="1" s="1"/>
  <c r="AA29" i="1"/>
  <c r="W29" i="1" s="1"/>
  <c r="T29" i="1"/>
  <c r="W14" i="1"/>
  <c r="T14" i="1"/>
  <c r="U14" i="1" s="1"/>
  <c r="S14" i="1" s="1"/>
  <c r="T163" i="1"/>
  <c r="W44" i="1"/>
  <c r="X41" i="1"/>
  <c r="W25" i="1"/>
  <c r="T21" i="1"/>
  <c r="AA199" i="1"/>
  <c r="AA97" i="1"/>
  <c r="W97" i="1" s="1"/>
  <c r="T97" i="1"/>
  <c r="AA95" i="1"/>
  <c r="AA185" i="1"/>
  <c r="W185" i="1" s="1"/>
  <c r="T185" i="1"/>
  <c r="AA182" i="1"/>
  <c r="AG180" i="1"/>
  <c r="W180" i="1" s="1"/>
  <c r="AG178" i="1"/>
  <c r="AI178" i="1" s="1"/>
  <c r="X177" i="1"/>
  <c r="AA176" i="1"/>
  <c r="AA170" i="1"/>
  <c r="W170" i="1" s="1"/>
  <c r="T170" i="1"/>
  <c r="U170" i="1" s="1"/>
  <c r="S170" i="1" s="1"/>
  <c r="AA167" i="1"/>
  <c r="AG166" i="1"/>
  <c r="W166" i="1" s="1"/>
  <c r="AG164" i="1"/>
  <c r="AG92" i="1"/>
  <c r="AI92" i="1" s="1"/>
  <c r="X92" i="1"/>
  <c r="X91" i="1"/>
  <c r="AI90" i="1"/>
  <c r="AG88" i="1"/>
  <c r="AI88" i="1" s="1"/>
  <c r="X87" i="1"/>
  <c r="AA86" i="1"/>
  <c r="T85" i="1"/>
  <c r="U85" i="1" s="1"/>
  <c r="S85" i="1" s="1"/>
  <c r="AA82" i="1"/>
  <c r="W82" i="1" s="1"/>
  <c r="AA80" i="1"/>
  <c r="AA79" i="1"/>
  <c r="AG78" i="1"/>
  <c r="AI78" i="1" s="1"/>
  <c r="AA74" i="1"/>
  <c r="W74" i="1" s="1"/>
  <c r="AA70" i="1"/>
  <c r="AA66" i="1"/>
  <c r="AA62" i="1"/>
  <c r="AG55" i="1"/>
  <c r="U55" i="1" s="1"/>
  <c r="S55" i="1" s="1"/>
  <c r="AG54" i="1"/>
  <c r="AI54" i="1" s="1"/>
  <c r="AG46" i="1"/>
  <c r="W46" i="1" s="1"/>
  <c r="AA42" i="1"/>
  <c r="AI40" i="1"/>
  <c r="X37" i="1"/>
  <c r="AG34" i="1"/>
  <c r="AI34" i="1" s="1"/>
  <c r="AI30" i="1"/>
  <c r="AG27" i="1"/>
  <c r="T25" i="1"/>
  <c r="U25" i="1" s="1"/>
  <c r="S25" i="1" s="1"/>
  <c r="AA24" i="1"/>
  <c r="AG21" i="1"/>
  <c r="W21" i="1" s="1"/>
  <c r="T17" i="1"/>
  <c r="U17" i="1" s="1"/>
  <c r="S17" i="1" s="1"/>
  <c r="AA101" i="1"/>
  <c r="W186" i="1"/>
  <c r="X181" i="1"/>
  <c r="W171" i="1"/>
  <c r="X167" i="1"/>
  <c r="AA165" i="1"/>
  <c r="X163" i="1"/>
  <c r="T159" i="1"/>
  <c r="U159" i="1" s="1"/>
  <c r="S159" i="1" s="1"/>
  <c r="AA157" i="1"/>
  <c r="AA89" i="1"/>
  <c r="AA84" i="1"/>
  <c r="AA83" i="1"/>
  <c r="W83" i="1" s="1"/>
  <c r="U63" i="1"/>
  <c r="S63" i="1" s="1"/>
  <c r="AG59" i="1"/>
  <c r="U59" i="1" s="1"/>
  <c r="AG58" i="1"/>
  <c r="AI58" i="1" s="1"/>
  <c r="AI57" i="1"/>
  <c r="AA52" i="1"/>
  <c r="W52" i="1" s="1"/>
  <c r="AA51" i="1"/>
  <c r="W51" i="1" s="1"/>
  <c r="AA50" i="1"/>
  <c r="W50" i="1" s="1"/>
  <c r="AA49" i="1"/>
  <c r="AG42" i="1"/>
  <c r="U42" i="1" s="1"/>
  <c r="AA41" i="1"/>
  <c r="T41" i="1"/>
  <c r="U41" i="1" s="1"/>
  <c r="S41" i="1" s="1"/>
  <c r="AA38" i="1"/>
  <c r="W38" i="1" s="1"/>
  <c r="AA35" i="1"/>
  <c r="U32" i="1"/>
  <c r="S32" i="1" s="1"/>
  <c r="AA30" i="1"/>
  <c r="AA28" i="1"/>
  <c r="X22" i="1"/>
  <c r="X20" i="1"/>
  <c r="AA18" i="1"/>
  <c r="T18" i="1"/>
  <c r="U18" i="1" s="1"/>
  <c r="S18" i="1" s="1"/>
  <c r="AG15" i="1"/>
  <c r="AI15" i="1" s="1"/>
  <c r="U208" i="1"/>
  <c r="S208" i="1" s="1"/>
  <c r="AI208" i="1"/>
  <c r="AI204" i="1"/>
  <c r="U198" i="1"/>
  <c r="S198" i="1" s="1"/>
  <c r="U194" i="1"/>
  <c r="S194" i="1" s="1"/>
  <c r="U153" i="1"/>
  <c r="S153" i="1" s="1"/>
  <c r="U147" i="1"/>
  <c r="S147" i="1" s="1"/>
  <c r="AI180" i="1"/>
  <c r="AI218" i="1"/>
  <c r="U218" i="1"/>
  <c r="S218" i="1" s="1"/>
  <c r="U217" i="1"/>
  <c r="S217" i="1" s="1"/>
  <c r="U213" i="1"/>
  <c r="S213" i="1" s="1"/>
  <c r="AI216" i="1"/>
  <c r="X216" i="1"/>
  <c r="T216" i="1"/>
  <c r="U216" i="1" s="1"/>
  <c r="S216" i="1" s="1"/>
  <c r="AI215" i="1"/>
  <c r="X217" i="1"/>
  <c r="AG214" i="1"/>
  <c r="X213" i="1"/>
  <c r="AG210" i="1"/>
  <c r="X209" i="1"/>
  <c r="AG206" i="1"/>
  <c r="X205" i="1"/>
  <c r="AG202" i="1"/>
  <c r="X201" i="1"/>
  <c r="AG196" i="1"/>
  <c r="AI196" i="1" s="1"/>
  <c r="X195" i="1"/>
  <c r="AG192" i="1"/>
  <c r="W192" i="1" s="1"/>
  <c r="X191" i="1"/>
  <c r="AG155" i="1"/>
  <c r="W155" i="1" s="1"/>
  <c r="AG149" i="1"/>
  <c r="X148" i="1"/>
  <c r="W128" i="1"/>
  <c r="U215" i="1"/>
  <c r="S215" i="1" s="1"/>
  <c r="X206" i="1"/>
  <c r="T206" i="1"/>
  <c r="AI205" i="1"/>
  <c r="X202" i="1"/>
  <c r="T202" i="1"/>
  <c r="X196" i="1"/>
  <c r="T196" i="1"/>
  <c r="S195" i="1"/>
  <c r="X192" i="1"/>
  <c r="T192" i="1"/>
  <c r="T155" i="1"/>
  <c r="AI189" i="1"/>
  <c r="AI185" i="1"/>
  <c r="X149" i="1"/>
  <c r="T149" i="1"/>
  <c r="AI181" i="1"/>
  <c r="W140" i="1"/>
  <c r="W132" i="1"/>
  <c r="AG212" i="1"/>
  <c r="AI151" i="1"/>
  <c r="AI147" i="1"/>
  <c r="AI144" i="1"/>
  <c r="AI140" i="1"/>
  <c r="U103" i="1"/>
  <c r="S103" i="1" s="1"/>
  <c r="AI136" i="1"/>
  <c r="X212" i="1"/>
  <c r="AI211" i="1"/>
  <c r="U136" i="1"/>
  <c r="S136" i="1" s="1"/>
  <c r="AI153" i="1"/>
  <c r="X145" i="1"/>
  <c r="AG142" i="1"/>
  <c r="X141" i="1"/>
  <c r="AG138" i="1"/>
  <c r="X137" i="1"/>
  <c r="AG134" i="1"/>
  <c r="X133" i="1"/>
  <c r="AG130" i="1"/>
  <c r="AI130" i="1" s="1"/>
  <c r="X129" i="1"/>
  <c r="AG126" i="1"/>
  <c r="AG123" i="1"/>
  <c r="AI123" i="1" s="1"/>
  <c r="X122" i="1"/>
  <c r="AG119" i="1"/>
  <c r="AI119" i="1" s="1"/>
  <c r="X118" i="1"/>
  <c r="AG115" i="1"/>
  <c r="W115" i="1" s="1"/>
  <c r="AG111" i="1"/>
  <c r="W111" i="1" s="1"/>
  <c r="AG107" i="1"/>
  <c r="W107" i="1" s="1"/>
  <c r="AG200" i="1"/>
  <c r="AI200" i="1" s="1"/>
  <c r="AG101" i="1"/>
  <c r="X100" i="1"/>
  <c r="X142" i="1"/>
  <c r="T142" i="1"/>
  <c r="AI173" i="1"/>
  <c r="X138" i="1"/>
  <c r="T138" i="1"/>
  <c r="S137" i="1"/>
  <c r="X134" i="1"/>
  <c r="T134" i="1"/>
  <c r="S133" i="1"/>
  <c r="X130" i="1"/>
  <c r="T130" i="1"/>
  <c r="X126" i="1"/>
  <c r="T126" i="1"/>
  <c r="X123" i="1"/>
  <c r="T123" i="1"/>
  <c r="X119" i="1"/>
  <c r="T119" i="1"/>
  <c r="X115" i="1"/>
  <c r="T115" i="1"/>
  <c r="X111" i="1"/>
  <c r="T111" i="1"/>
  <c r="X107" i="1"/>
  <c r="T107" i="1"/>
  <c r="X200" i="1"/>
  <c r="T200" i="1"/>
  <c r="X101" i="1"/>
  <c r="T101" i="1"/>
  <c r="U97" i="1"/>
  <c r="S97" i="1" s="1"/>
  <c r="U96" i="1"/>
  <c r="S96" i="1" s="1"/>
  <c r="U188" i="1"/>
  <c r="S188" i="1" s="1"/>
  <c r="U187" i="1"/>
  <c r="S187" i="1" s="1"/>
  <c r="U94" i="1"/>
  <c r="S94" i="1" s="1"/>
  <c r="AI99" i="1"/>
  <c r="U163" i="1"/>
  <c r="S163" i="1" s="1"/>
  <c r="AI94" i="1"/>
  <c r="AI91" i="1"/>
  <c r="U181" i="1"/>
  <c r="S181" i="1" s="1"/>
  <c r="AI103" i="1"/>
  <c r="U166" i="1"/>
  <c r="S166" i="1" s="1"/>
  <c r="W162" i="1"/>
  <c r="U185" i="1"/>
  <c r="S185" i="1" s="1"/>
  <c r="X96" i="1"/>
  <c r="X187" i="1"/>
  <c r="X184" i="1"/>
  <c r="X180" i="1"/>
  <c r="X94" i="1"/>
  <c r="X173" i="1"/>
  <c r="X169" i="1"/>
  <c r="X166" i="1"/>
  <c r="X162" i="1"/>
  <c r="T162" i="1"/>
  <c r="U162" i="1" s="1"/>
  <c r="S162" i="1" s="1"/>
  <c r="T158" i="1"/>
  <c r="U158" i="1" s="1"/>
  <c r="S158" i="1" s="1"/>
  <c r="AG87" i="1"/>
  <c r="AG84" i="1"/>
  <c r="W84" i="1" s="1"/>
  <c r="X85" i="1"/>
  <c r="T84" i="1"/>
  <c r="X84" i="1"/>
  <c r="W77" i="1"/>
  <c r="AI52" i="1"/>
  <c r="U186" i="1"/>
  <c r="S186" i="1" s="1"/>
  <c r="U175" i="1"/>
  <c r="S175" i="1" s="1"/>
  <c r="U171" i="1"/>
  <c r="S171" i="1" s="1"/>
  <c r="AI77" i="1"/>
  <c r="AI56" i="1"/>
  <c r="U51" i="1"/>
  <c r="S51" i="1" s="1"/>
  <c r="AG190" i="1"/>
  <c r="AG95" i="1"/>
  <c r="AI95" i="1" s="1"/>
  <c r="AG183" i="1"/>
  <c r="AI183" i="1" s="1"/>
  <c r="AG179" i="1"/>
  <c r="AI179" i="1" s="1"/>
  <c r="AG176" i="1"/>
  <c r="AI176" i="1" s="1"/>
  <c r="AG172" i="1"/>
  <c r="W172" i="1" s="1"/>
  <c r="AG168" i="1"/>
  <c r="AI168" i="1" s="1"/>
  <c r="AG165" i="1"/>
  <c r="AI165" i="1" s="1"/>
  <c r="AG161" i="1"/>
  <c r="AI161" i="1" s="1"/>
  <c r="AG157" i="1"/>
  <c r="AG89" i="1"/>
  <c r="AI81" i="1"/>
  <c r="U81" i="1"/>
  <c r="S81" i="1" s="1"/>
  <c r="W80" i="1"/>
  <c r="AI76" i="1"/>
  <c r="AI73" i="1"/>
  <c r="U73" i="1"/>
  <c r="S73" i="1" s="1"/>
  <c r="AI72" i="1"/>
  <c r="AI69" i="1"/>
  <c r="U69" i="1"/>
  <c r="S69" i="1" s="1"/>
  <c r="AI68" i="1"/>
  <c r="AI65" i="1"/>
  <c r="AI64" i="1"/>
  <c r="AI61" i="1"/>
  <c r="AI60" i="1"/>
  <c r="X190" i="1"/>
  <c r="AI127" i="1"/>
  <c r="X95" i="1"/>
  <c r="AI124" i="1"/>
  <c r="X183" i="1"/>
  <c r="X179" i="1"/>
  <c r="X176" i="1"/>
  <c r="X172" i="1"/>
  <c r="X168" i="1"/>
  <c r="X165" i="1"/>
  <c r="X89" i="1"/>
  <c r="AI86" i="1"/>
  <c r="W85" i="1"/>
  <c r="AI80" i="1"/>
  <c r="X80" i="1"/>
  <c r="T80" i="1"/>
  <c r="U80" i="1" s="1"/>
  <c r="S80" i="1" s="1"/>
  <c r="X76" i="1"/>
  <c r="T76" i="1"/>
  <c r="U76" i="1" s="1"/>
  <c r="S76" i="1" s="1"/>
  <c r="X72" i="1"/>
  <c r="T72" i="1"/>
  <c r="U72" i="1" s="1"/>
  <c r="S72" i="1" s="1"/>
  <c r="AI71" i="1"/>
  <c r="X68" i="1"/>
  <c r="T68" i="1"/>
  <c r="U68" i="1" s="1"/>
  <c r="S68" i="1" s="1"/>
  <c r="AI67" i="1"/>
  <c r="X64" i="1"/>
  <c r="T64" i="1"/>
  <c r="U64" i="1" s="1"/>
  <c r="S64" i="1" s="1"/>
  <c r="AI63" i="1"/>
  <c r="X60" i="1"/>
  <c r="T60" i="1"/>
  <c r="U60" i="1" s="1"/>
  <c r="S60" i="1" s="1"/>
  <c r="AI59" i="1"/>
  <c r="S59" i="1"/>
  <c r="X56" i="1"/>
  <c r="T56" i="1"/>
  <c r="U56" i="1" s="1"/>
  <c r="S56" i="1" s="1"/>
  <c r="X52" i="1"/>
  <c r="T52" i="1"/>
  <c r="U52" i="1" s="1"/>
  <c r="S52" i="1" s="1"/>
  <c r="AI51" i="1"/>
  <c r="AI49" i="1"/>
  <c r="AI41" i="1"/>
  <c r="AI35" i="1"/>
  <c r="AI28" i="1"/>
  <c r="AI18" i="1"/>
  <c r="U82" i="1"/>
  <c r="S82" i="1" s="1"/>
  <c r="X81" i="1"/>
  <c r="X77" i="1"/>
  <c r="U74" i="1"/>
  <c r="S74" i="1" s="1"/>
  <c r="X73" i="1"/>
  <c r="X69" i="1"/>
  <c r="X65" i="1"/>
  <c r="X61" i="1"/>
  <c r="U50" i="1"/>
  <c r="S50" i="1" s="1"/>
  <c r="X49" i="1"/>
  <c r="AG47" i="1"/>
  <c r="X48" i="1"/>
  <c r="T47" i="1"/>
  <c r="X47" i="1"/>
  <c r="AI37" i="1"/>
  <c r="AI29" i="1"/>
  <c r="U29" i="1"/>
  <c r="S29" i="1" s="1"/>
  <c r="U23" i="1"/>
  <c r="S23" i="1" s="1"/>
  <c r="AI14" i="1"/>
  <c r="U46" i="1"/>
  <c r="S46" i="1" s="1"/>
  <c r="W45" i="1"/>
  <c r="AI43" i="1"/>
  <c r="W39" i="1"/>
  <c r="U34" i="1"/>
  <c r="S34" i="1" s="1"/>
  <c r="W33" i="1"/>
  <c r="AI31" i="1"/>
  <c r="W26" i="1"/>
  <c r="W24" i="1"/>
  <c r="AI22" i="1"/>
  <c r="U22" i="1"/>
  <c r="S22" i="1" s="1"/>
  <c r="AI20" i="1"/>
  <c r="U19" i="1"/>
  <c r="S19" i="1" s="1"/>
  <c r="W16" i="1"/>
  <c r="X75" i="1"/>
  <c r="X71" i="1"/>
  <c r="X67" i="1"/>
  <c r="X63" i="1"/>
  <c r="X59" i="1"/>
  <c r="X55" i="1"/>
  <c r="X51" i="1"/>
  <c r="W49" i="1"/>
  <c r="T49" i="1"/>
  <c r="U49" i="1" s="1"/>
  <c r="S49" i="1" s="1"/>
  <c r="AI45" i="1"/>
  <c r="W41" i="1"/>
  <c r="AI39" i="1"/>
  <c r="W35" i="1"/>
  <c r="AI33" i="1"/>
  <c r="U33" i="1"/>
  <c r="S33" i="1" s="1"/>
  <c r="W28" i="1"/>
  <c r="AI26" i="1"/>
  <c r="U26" i="1"/>
  <c r="S26" i="1" s="1"/>
  <c r="AI24" i="1"/>
  <c r="W18" i="1"/>
  <c r="U16" i="1"/>
  <c r="S16" i="1" s="1"/>
  <c r="AI16" i="1"/>
  <c r="U15" i="1"/>
  <c r="S15" i="1" s="1"/>
  <c r="AI46" i="1"/>
  <c r="X43" i="1"/>
  <c r="T43" i="1"/>
  <c r="U43" i="1" s="1"/>
  <c r="S43" i="1" s="1"/>
  <c r="S42" i="1"/>
  <c r="X39" i="1"/>
  <c r="T39" i="1"/>
  <c r="U39" i="1" s="1"/>
  <c r="S39" i="1" s="1"/>
  <c r="AI38" i="1"/>
  <c r="S38" i="1"/>
  <c r="X35" i="1"/>
  <c r="T35" i="1"/>
  <c r="U35" i="1" s="1"/>
  <c r="S35" i="1" s="1"/>
  <c r="T31" i="1"/>
  <c r="U31" i="1" s="1"/>
  <c r="S31" i="1" s="1"/>
  <c r="T28" i="1"/>
  <c r="U28" i="1" s="1"/>
  <c r="S28" i="1" s="1"/>
  <c r="X24" i="1"/>
  <c r="T24" i="1"/>
  <c r="U24" i="1" s="1"/>
  <c r="S24" i="1" s="1"/>
  <c r="X44" i="1"/>
  <c r="X40" i="1"/>
  <c r="X36" i="1"/>
  <c r="X32" i="1"/>
  <c r="X46" i="1"/>
  <c r="X42" i="1"/>
  <c r="X38" i="1"/>
  <c r="X34" i="1"/>
  <c r="X27" i="1"/>
  <c r="X23" i="1"/>
  <c r="X19" i="1"/>
  <c r="X15" i="1"/>
  <c r="AD25" i="3"/>
  <c r="T23" i="3"/>
  <c r="Y29" i="3"/>
  <c r="AD13" i="3"/>
  <c r="Y7" i="3"/>
  <c r="Y23" i="3"/>
  <c r="AC27" i="3"/>
  <c r="AE27" i="3"/>
  <c r="Y16" i="3"/>
  <c r="AE23" i="3"/>
  <c r="AD21" i="3"/>
  <c r="Y21" i="3"/>
  <c r="AD17" i="3"/>
  <c r="Y8" i="3"/>
  <c r="AD8" i="3"/>
  <c r="AD27" i="3"/>
  <c r="AE19" i="3"/>
  <c r="T7" i="3"/>
  <c r="AD24" i="3"/>
  <c r="AD19" i="3"/>
  <c r="AC10" i="3"/>
  <c r="AE15" i="3"/>
  <c r="AC15" i="3"/>
  <c r="AE11" i="3"/>
  <c r="AC11" i="3"/>
  <c r="AC16" i="3"/>
  <c r="AD16" i="3"/>
  <c r="T12" i="3"/>
  <c r="AD12" i="3"/>
  <c r="T19" i="3"/>
  <c r="Y13" i="3"/>
  <c r="Y20" i="3"/>
  <c r="Y12" i="3"/>
  <c r="AE22" i="3"/>
  <c r="T22" i="3"/>
  <c r="AE14" i="3"/>
  <c r="T8" i="3"/>
  <c r="AE10" i="3"/>
  <c r="T14" i="3"/>
  <c r="AD22" i="3"/>
  <c r="AE21" i="3"/>
  <c r="T24" i="3"/>
  <c r="AD18" i="3"/>
  <c r="AE17" i="3"/>
  <c r="T10" i="3"/>
  <c r="AD14" i="3"/>
  <c r="AE13" i="3"/>
  <c r="T15" i="3"/>
  <c r="AD10" i="3"/>
  <c r="AE9" i="3"/>
  <c r="T11" i="3"/>
  <c r="AE26" i="3"/>
  <c r="T25" i="3"/>
  <c r="AE18" i="3"/>
  <c r="T26" i="3"/>
  <c r="AE29" i="3"/>
  <c r="T27" i="3"/>
  <c r="AD26" i="3"/>
  <c r="AE25" i="3"/>
  <c r="T16" i="3"/>
  <c r="AE24" i="3"/>
  <c r="AE20" i="3"/>
  <c r="AE16" i="3"/>
  <c r="AE12" i="3"/>
  <c r="AE8" i="3"/>
  <c r="B55" i="9"/>
  <c r="C55" i="9" s="1"/>
  <c r="B56" i="9"/>
  <c r="B57" i="9"/>
  <c r="C57" i="9" s="1"/>
  <c r="B58" i="9"/>
  <c r="B59" i="9"/>
  <c r="C59" i="9" s="1"/>
  <c r="B60" i="9"/>
  <c r="B61" i="9"/>
  <c r="C61" i="9" s="1"/>
  <c r="B62" i="9"/>
  <c r="B63" i="9"/>
  <c r="C63" i="9" s="1"/>
  <c r="B64" i="9"/>
  <c r="B65" i="9"/>
  <c r="C65" i="9" s="1"/>
  <c r="B66" i="9"/>
  <c r="B67" i="9"/>
  <c r="C67" i="9" s="1"/>
  <c r="B68" i="9"/>
  <c r="B69" i="9"/>
  <c r="C69" i="9" s="1"/>
  <c r="B70" i="9"/>
  <c r="B71" i="9"/>
  <c r="C71" i="9" s="1"/>
  <c r="B72" i="9"/>
  <c r="B73" i="9"/>
  <c r="C73" i="9" s="1"/>
  <c r="B74" i="9"/>
  <c r="W28" i="3"/>
  <c r="AI55" i="1" l="1"/>
  <c r="AI75" i="1"/>
  <c r="AI197" i="1"/>
  <c r="W70" i="1"/>
  <c r="W167" i="1"/>
  <c r="U36" i="1"/>
  <c r="S36" i="1" s="1"/>
  <c r="AI156" i="1"/>
  <c r="AI207" i="1"/>
  <c r="U70" i="1"/>
  <c r="S70" i="1" s="1"/>
  <c r="AI83" i="1"/>
  <c r="W126" i="1"/>
  <c r="W142" i="1"/>
  <c r="W164" i="1"/>
  <c r="AI150" i="1"/>
  <c r="W150" i="1"/>
  <c r="AI79" i="1"/>
  <c r="U167" i="1"/>
  <c r="S167" i="1" s="1"/>
  <c r="W210" i="1"/>
  <c r="W86" i="1"/>
  <c r="W23" i="1"/>
  <c r="W75" i="1"/>
  <c r="W197" i="1"/>
  <c r="W141" i="1"/>
  <c r="U54" i="1"/>
  <c r="S54" i="1" s="1"/>
  <c r="W99" i="1"/>
  <c r="W207" i="1"/>
  <c r="W71" i="1"/>
  <c r="W66" i="1"/>
  <c r="U58" i="1"/>
  <c r="S58" i="1" s="1"/>
  <c r="U88" i="1"/>
  <c r="S88" i="1" s="1"/>
  <c r="W195" i="1"/>
  <c r="AI195" i="1"/>
  <c r="U66" i="1"/>
  <c r="S66" i="1" s="1"/>
  <c r="U182" i="1"/>
  <c r="S182" i="1" s="1"/>
  <c r="U180" i="1"/>
  <c r="S180" i="1" s="1"/>
  <c r="AI160" i="1"/>
  <c r="W160" i="1"/>
  <c r="U184" i="1"/>
  <c r="S184" i="1" s="1"/>
  <c r="W199" i="1"/>
  <c r="W98" i="1"/>
  <c r="U78" i="1"/>
  <c r="S78" i="1" s="1"/>
  <c r="W89" i="1"/>
  <c r="AI98" i="1"/>
  <c r="U100" i="1"/>
  <c r="S100" i="1" s="1"/>
  <c r="AI164" i="1"/>
  <c r="W182" i="1"/>
  <c r="U164" i="1"/>
  <c r="S164" i="1" s="1"/>
  <c r="W191" i="1"/>
  <c r="AI125" i="1"/>
  <c r="AI191" i="1"/>
  <c r="AI42" i="1"/>
  <c r="U92" i="1"/>
  <c r="S92" i="1" s="1"/>
  <c r="W87" i="1"/>
  <c r="U169" i="1"/>
  <c r="S169" i="1" s="1"/>
  <c r="AI169" i="1"/>
  <c r="W138" i="1"/>
  <c r="W206" i="1"/>
  <c r="W30" i="1"/>
  <c r="W62" i="1"/>
  <c r="W193" i="1"/>
  <c r="U62" i="1"/>
  <c r="S62" i="1" s="1"/>
  <c r="AI184" i="1"/>
  <c r="U148" i="1"/>
  <c r="S148" i="1" s="1"/>
  <c r="AI53" i="1"/>
  <c r="W79" i="1"/>
  <c r="W201" i="1"/>
  <c r="W125" i="1"/>
  <c r="U178" i="1"/>
  <c r="S178" i="1" s="1"/>
  <c r="W212" i="1"/>
  <c r="AI193" i="1"/>
  <c r="AI201" i="1"/>
  <c r="W110" i="1"/>
  <c r="W211" i="1"/>
  <c r="W188" i="1"/>
  <c r="AI115" i="1"/>
  <c r="W36" i="1"/>
  <c r="W88" i="1"/>
  <c r="W187" i="1"/>
  <c r="W156" i="1"/>
  <c r="W183" i="1"/>
  <c r="W102" i="1"/>
  <c r="U99" i="1"/>
  <c r="S99" i="1" s="1"/>
  <c r="W213" i="1"/>
  <c r="W173" i="1"/>
  <c r="W90" i="1"/>
  <c r="W58" i="1"/>
  <c r="W178" i="1"/>
  <c r="W100" i="1"/>
  <c r="W53" i="1"/>
  <c r="W67" i="1"/>
  <c r="W157" i="1"/>
  <c r="AI157" i="1"/>
  <c r="AI111" i="1"/>
  <c r="AI172" i="1"/>
  <c r="W34" i="1"/>
  <c r="W78" i="1"/>
  <c r="U209" i="1"/>
  <c r="S209" i="1" s="1"/>
  <c r="AI209" i="1"/>
  <c r="W15" i="1"/>
  <c r="U141" i="1"/>
  <c r="S141" i="1" s="1"/>
  <c r="AI141" i="1"/>
  <c r="W127" i="1"/>
  <c r="U27" i="1"/>
  <c r="S27" i="1" s="1"/>
  <c r="AI27" i="1"/>
  <c r="U106" i="1"/>
  <c r="S106" i="1" s="1"/>
  <c r="AI106" i="1"/>
  <c r="U114" i="1"/>
  <c r="S114" i="1" s="1"/>
  <c r="AI114" i="1"/>
  <c r="U145" i="1"/>
  <c r="S145" i="1" s="1"/>
  <c r="AI145" i="1"/>
  <c r="U143" i="1"/>
  <c r="S143" i="1" s="1"/>
  <c r="AI143" i="1"/>
  <c r="W145" i="1"/>
  <c r="W209" i="1"/>
  <c r="W165" i="1"/>
  <c r="AI107" i="1"/>
  <c r="AI126" i="1"/>
  <c r="U21" i="1"/>
  <c r="S21" i="1" s="1"/>
  <c r="AI21" i="1"/>
  <c r="W27" i="1"/>
  <c r="W54" i="1"/>
  <c r="W217" i="1"/>
  <c r="AI192" i="1"/>
  <c r="W42" i="1"/>
  <c r="W59" i="1"/>
  <c r="W92" i="1"/>
  <c r="W55" i="1"/>
  <c r="U199" i="1"/>
  <c r="S199" i="1" s="1"/>
  <c r="AI199" i="1"/>
  <c r="U110" i="1"/>
  <c r="S110" i="1" s="1"/>
  <c r="AI110" i="1"/>
  <c r="U102" i="1"/>
  <c r="S102" i="1" s="1"/>
  <c r="AI102" i="1"/>
  <c r="U122" i="1"/>
  <c r="S122" i="1" s="1"/>
  <c r="AI122" i="1"/>
  <c r="W143" i="1"/>
  <c r="U47" i="1"/>
  <c r="S47" i="1" s="1"/>
  <c r="AI47" i="1"/>
  <c r="W47" i="1"/>
  <c r="U161" i="1"/>
  <c r="S161" i="1" s="1"/>
  <c r="AI97" i="1"/>
  <c r="U176" i="1"/>
  <c r="S176" i="1" s="1"/>
  <c r="AI113" i="1"/>
  <c r="U190" i="1"/>
  <c r="S190" i="1" s="1"/>
  <c r="AI128" i="1"/>
  <c r="U84" i="1"/>
  <c r="S84" i="1" s="1"/>
  <c r="AI84" i="1"/>
  <c r="W161" i="1"/>
  <c r="AI138" i="1"/>
  <c r="U200" i="1"/>
  <c r="S200" i="1" s="1"/>
  <c r="U165" i="1"/>
  <c r="S165" i="1" s="1"/>
  <c r="AI101" i="1"/>
  <c r="U179" i="1"/>
  <c r="S179" i="1" s="1"/>
  <c r="AI117" i="1"/>
  <c r="U87" i="1"/>
  <c r="S87" i="1" s="1"/>
  <c r="AI87" i="1"/>
  <c r="W176" i="1"/>
  <c r="W190" i="1"/>
  <c r="AI142" i="1"/>
  <c r="U107" i="1"/>
  <c r="S107" i="1" s="1"/>
  <c r="U119" i="1"/>
  <c r="S119" i="1" s="1"/>
  <c r="AI158" i="1"/>
  <c r="U126" i="1"/>
  <c r="S126" i="1" s="1"/>
  <c r="AI166" i="1"/>
  <c r="U134" i="1"/>
  <c r="S134" i="1" s="1"/>
  <c r="AI174" i="1"/>
  <c r="U142" i="1"/>
  <c r="S142" i="1" s="1"/>
  <c r="W119" i="1"/>
  <c r="AI182" i="1"/>
  <c r="U149" i="1"/>
  <c r="S149" i="1" s="1"/>
  <c r="AI190" i="1"/>
  <c r="U155" i="1"/>
  <c r="S155" i="1" s="1"/>
  <c r="AI198" i="1"/>
  <c r="U196" i="1"/>
  <c r="S196" i="1" s="1"/>
  <c r="AI206" i="1"/>
  <c r="U206" i="1"/>
  <c r="S206" i="1" s="1"/>
  <c r="AI214" i="1"/>
  <c r="U214" i="1"/>
  <c r="S214" i="1" s="1"/>
  <c r="W214" i="1"/>
  <c r="U89" i="1"/>
  <c r="S89" i="1" s="1"/>
  <c r="AI89" i="1"/>
  <c r="U168" i="1"/>
  <c r="S168" i="1" s="1"/>
  <c r="AI105" i="1"/>
  <c r="U183" i="1"/>
  <c r="S183" i="1" s="1"/>
  <c r="AI121" i="1"/>
  <c r="W179" i="1"/>
  <c r="W168" i="1"/>
  <c r="U111" i="1"/>
  <c r="S111" i="1" s="1"/>
  <c r="W134" i="1"/>
  <c r="W149" i="1"/>
  <c r="W196" i="1"/>
  <c r="U157" i="1"/>
  <c r="S157" i="1" s="1"/>
  <c r="AI93" i="1"/>
  <c r="U172" i="1"/>
  <c r="S172" i="1" s="1"/>
  <c r="AI109" i="1"/>
  <c r="U95" i="1"/>
  <c r="S95" i="1" s="1"/>
  <c r="W95" i="1"/>
  <c r="AI134" i="1"/>
  <c r="U101" i="1"/>
  <c r="S101" i="1" s="1"/>
  <c r="AI149" i="1"/>
  <c r="U115" i="1"/>
  <c r="S115" i="1" s="1"/>
  <c r="AI155" i="1"/>
  <c r="U123" i="1"/>
  <c r="S123" i="1" s="1"/>
  <c r="AI162" i="1"/>
  <c r="U130" i="1"/>
  <c r="S130" i="1" s="1"/>
  <c r="AI170" i="1"/>
  <c r="U138" i="1"/>
  <c r="S138" i="1" s="1"/>
  <c r="W101" i="1"/>
  <c r="W123" i="1"/>
  <c r="U212" i="1"/>
  <c r="S212" i="1" s="1"/>
  <c r="AI212" i="1"/>
  <c r="W200" i="1"/>
  <c r="W130" i="1"/>
  <c r="AI186" i="1"/>
  <c r="AI194" i="1"/>
  <c r="U192" i="1"/>
  <c r="S192" i="1" s="1"/>
  <c r="AI202" i="1"/>
  <c r="U202" i="1"/>
  <c r="S202" i="1" s="1"/>
  <c r="AI210" i="1"/>
  <c r="U210" i="1"/>
  <c r="S210" i="1" s="1"/>
  <c r="W202" i="1"/>
  <c r="C74" i="9"/>
  <c r="C72" i="9"/>
  <c r="C70" i="9"/>
  <c r="C68" i="9"/>
  <c r="C66" i="9"/>
  <c r="C64" i="9"/>
  <c r="C62" i="9"/>
  <c r="C60" i="9"/>
  <c r="C58" i="9"/>
  <c r="C56" i="9"/>
  <c r="R28" i="3"/>
  <c r="M28" i="3"/>
  <c r="S28" i="3"/>
  <c r="U28" i="3"/>
  <c r="V28" i="3"/>
  <c r="X28" i="3"/>
  <c r="T28" i="3" l="1"/>
  <c r="AD28" i="3"/>
  <c r="AE28" i="3"/>
  <c r="AC28" i="3"/>
  <c r="AD7" i="3"/>
  <c r="AE7" i="3"/>
  <c r="Y28" i="3"/>
  <c r="B50" i="9" l="1"/>
  <c r="B51" i="9"/>
  <c r="B52" i="9"/>
  <c r="C52" i="9" s="1"/>
  <c r="B53" i="9"/>
  <c r="B54" i="9"/>
  <c r="C54" i="9" s="1"/>
  <c r="C53" i="9" l="1"/>
  <c r="C51" i="9"/>
  <c r="Y13" i="1"/>
  <c r="K13" i="1"/>
  <c r="L13" i="1"/>
  <c r="M13" i="1"/>
  <c r="N13" i="1" s="1"/>
  <c r="V13" i="1"/>
  <c r="Z13" i="1"/>
  <c r="AB13" i="1"/>
  <c r="AC13" i="1"/>
  <c r="AD13" i="1"/>
  <c r="X14" i="1" s="1"/>
  <c r="AE13" i="1"/>
  <c r="AF13" i="1"/>
  <c r="AM13" i="1"/>
  <c r="AN13" i="1"/>
  <c r="T13" i="1" l="1"/>
  <c r="X13" i="1"/>
  <c r="AA13" i="1"/>
  <c r="AG13" i="1"/>
  <c r="W13" i="1" l="1"/>
  <c r="U13" i="1"/>
  <c r="S13" i="1" s="1"/>
  <c r="AI13" i="1"/>
  <c r="M28" i="5" l="1"/>
  <c r="B33" i="9" l="1"/>
  <c r="B34" i="9"/>
  <c r="B35" i="9"/>
  <c r="B36" i="9"/>
  <c r="B37" i="9"/>
  <c r="B38" i="9"/>
  <c r="B39" i="9"/>
  <c r="B40" i="9"/>
  <c r="B41" i="9"/>
  <c r="B42" i="9"/>
  <c r="B43" i="9"/>
  <c r="B44" i="9"/>
  <c r="B45" i="9"/>
  <c r="B46" i="9"/>
  <c r="B47" i="9"/>
  <c r="B48" i="9"/>
  <c r="B49" i="9"/>
  <c r="C50" i="9" s="1"/>
  <c r="C46" i="9" l="1"/>
  <c r="C38" i="9"/>
  <c r="C45" i="9"/>
  <c r="C35" i="9"/>
  <c r="C36" i="9"/>
  <c r="C43" i="9"/>
  <c r="C37" i="9"/>
  <c r="C48" i="9"/>
  <c r="C44" i="9"/>
  <c r="C40" i="9"/>
  <c r="C47" i="9"/>
  <c r="C39" i="9"/>
  <c r="C49" i="9"/>
  <c r="C42" i="9"/>
  <c r="C41" i="9"/>
  <c r="C34" i="9"/>
  <c r="M23" i="5" l="1"/>
  <c r="B31" i="9" l="1"/>
  <c r="B32" i="9"/>
  <c r="C33" i="9" s="1"/>
  <c r="C32" i="9" l="1"/>
  <c r="B3" i="6" l="1"/>
  <c r="I3" i="6" s="1"/>
  <c r="G3" i="4"/>
  <c r="G4" i="4"/>
  <c r="G5" i="4"/>
  <c r="G6" i="4"/>
  <c r="G7" i="4"/>
  <c r="G8" i="4"/>
  <c r="G9" i="4"/>
  <c r="G10" i="4"/>
  <c r="G11" i="4"/>
  <c r="G12" i="4"/>
  <c r="G13" i="4"/>
  <c r="G14" i="4"/>
  <c r="G15" i="4"/>
  <c r="G16" i="4"/>
  <c r="G17" i="4"/>
  <c r="G18" i="4"/>
  <c r="G19" i="4"/>
  <c r="G20" i="4"/>
  <c r="G21" i="4"/>
  <c r="G22" i="4"/>
  <c r="G23" i="4"/>
  <c r="G24" i="4"/>
  <c r="G25" i="4"/>
  <c r="G26" i="4"/>
  <c r="G27" i="4"/>
  <c r="G28" i="4"/>
  <c r="G29" i="4"/>
  <c r="N18" i="3" s="1"/>
  <c r="G30" i="4"/>
  <c r="G31" i="4"/>
  <c r="G32" i="4"/>
  <c r="G33" i="4"/>
  <c r="G34" i="4"/>
  <c r="G35" i="4"/>
  <c r="G36" i="4"/>
  <c r="G37" i="4"/>
  <c r="G38" i="4"/>
  <c r="G39" i="4"/>
  <c r="G40" i="4"/>
  <c r="G41" i="4"/>
  <c r="N11" i="3" s="1"/>
  <c r="G42" i="4"/>
  <c r="N14" i="3" s="1"/>
  <c r="G43" i="4"/>
  <c r="G44" i="4"/>
  <c r="G45" i="4"/>
  <c r="G46" i="4"/>
  <c r="G47" i="4"/>
  <c r="G48" i="4"/>
  <c r="G49" i="4"/>
  <c r="G50" i="4"/>
  <c r="N19" i="3" s="1"/>
  <c r="G51" i="4"/>
  <c r="G52" i="4"/>
  <c r="G53" i="4"/>
  <c r="G54" i="4"/>
  <c r="G55" i="4"/>
  <c r="G56" i="4"/>
  <c r="G57" i="4"/>
  <c r="G58" i="4"/>
  <c r="G59" i="4"/>
  <c r="N15" i="3" s="1"/>
  <c r="G60" i="4"/>
  <c r="G61" i="4"/>
  <c r="G62" i="4"/>
  <c r="G63" i="4"/>
  <c r="G64" i="4"/>
  <c r="N9" i="3" s="1"/>
  <c r="G65" i="4"/>
  <c r="G66" i="4"/>
  <c r="N28" i="3" s="1"/>
  <c r="G67" i="4"/>
  <c r="G68" i="4"/>
  <c r="G69" i="4"/>
  <c r="G70" i="4"/>
  <c r="G71" i="4"/>
  <c r="G72" i="4"/>
  <c r="G73" i="4"/>
  <c r="G74" i="4"/>
  <c r="G75" i="4"/>
  <c r="G76" i="4"/>
  <c r="G77" i="4"/>
  <c r="G78" i="4"/>
  <c r="N8" i="3" s="1"/>
  <c r="G79" i="4"/>
  <c r="G80" i="4"/>
  <c r="N12" i="3" s="1"/>
  <c r="G81" i="4"/>
  <c r="G82" i="4"/>
  <c r="G83" i="4"/>
  <c r="G84" i="4"/>
  <c r="G85" i="4"/>
  <c r="G86" i="4"/>
  <c r="G87" i="4"/>
  <c r="G88" i="4"/>
  <c r="G89" i="4"/>
  <c r="G90" i="4"/>
  <c r="G91" i="4"/>
  <c r="G92" i="4"/>
  <c r="N29" i="3" s="1"/>
  <c r="G93" i="4"/>
  <c r="G94" i="4"/>
  <c r="G95" i="4"/>
  <c r="G96" i="4"/>
  <c r="G97" i="4"/>
  <c r="G98" i="4"/>
  <c r="G99" i="4"/>
  <c r="G100" i="4"/>
  <c r="G101" i="4"/>
  <c r="G102" i="4"/>
  <c r="G103" i="4"/>
  <c r="G104" i="4"/>
  <c r="G105" i="4"/>
  <c r="G106" i="4"/>
  <c r="G107" i="4"/>
  <c r="G108" i="4"/>
  <c r="G109" i="4"/>
  <c r="G110" i="4"/>
  <c r="G111" i="4"/>
  <c r="G112" i="4"/>
  <c r="G113" i="4"/>
  <c r="G114" i="4"/>
  <c r="G115" i="4"/>
  <c r="G116" i="4"/>
  <c r="G117" i="4"/>
  <c r="G118" i="4"/>
  <c r="G119" i="4"/>
  <c r="G120" i="4"/>
  <c r="G121" i="4"/>
  <c r="G122" i="4"/>
  <c r="G123" i="4"/>
  <c r="N10" i="3" s="1"/>
  <c r="G124" i="4"/>
  <c r="G125" i="4"/>
  <c r="G126" i="4"/>
  <c r="G127" i="4"/>
  <c r="G128" i="4"/>
  <c r="G129" i="4"/>
  <c r="G130" i="4"/>
  <c r="N26" i="3" s="1"/>
  <c r="G131" i="4"/>
  <c r="G132" i="4"/>
  <c r="N20" i="3" s="1"/>
  <c r="G133" i="4"/>
  <c r="N21" i="3" s="1"/>
  <c r="G134" i="4"/>
  <c r="G135" i="4"/>
  <c r="G136" i="4"/>
  <c r="G137" i="4"/>
  <c r="G138" i="4"/>
  <c r="G139" i="4"/>
  <c r="G140" i="4"/>
  <c r="G141" i="4"/>
  <c r="G142" i="4"/>
  <c r="G143" i="4"/>
  <c r="G144" i="4"/>
  <c r="G145" i="4"/>
  <c r="N22" i="3" s="1"/>
  <c r="G146" i="4"/>
  <c r="G147" i="4"/>
  <c r="N24" i="3" s="1"/>
  <c r="G148" i="4"/>
  <c r="G149" i="4"/>
  <c r="N23" i="3" s="1"/>
  <c r="G150" i="4"/>
  <c r="G151" i="4"/>
  <c r="G152" i="4"/>
  <c r="G153" i="4"/>
  <c r="G154" i="4"/>
  <c r="G155" i="4"/>
  <c r="G156" i="4"/>
  <c r="G157" i="4"/>
  <c r="G158" i="4"/>
  <c r="G159" i="4"/>
  <c r="G160" i="4"/>
  <c r="N16" i="3" s="1"/>
  <c r="G161" i="4"/>
  <c r="G162" i="4"/>
  <c r="G163" i="4"/>
  <c r="G164" i="4"/>
  <c r="G165" i="4"/>
  <c r="N13" i="3" s="1"/>
  <c r="G166" i="4"/>
  <c r="G167" i="4"/>
  <c r="G168" i="4"/>
  <c r="G169" i="4"/>
  <c r="G170" i="4"/>
  <c r="G171" i="4"/>
  <c r="N25" i="3" s="1"/>
  <c r="G172" i="4"/>
  <c r="G173" i="4"/>
  <c r="G174" i="4"/>
  <c r="G175" i="4"/>
  <c r="G176" i="4"/>
  <c r="G177" i="4"/>
  <c r="G178" i="4"/>
  <c r="G179" i="4"/>
  <c r="N7" i="3" s="1"/>
  <c r="G180" i="4"/>
  <c r="G181" i="4"/>
  <c r="G182" i="4"/>
  <c r="G183" i="4"/>
  <c r="G184" i="4"/>
  <c r="G185" i="4"/>
  <c r="G186" i="4"/>
  <c r="G187" i="4"/>
  <c r="G188" i="4"/>
  <c r="G189" i="4"/>
  <c r="G190" i="4"/>
  <c r="G191" i="4"/>
  <c r="G192" i="4"/>
  <c r="G193" i="4"/>
  <c r="G194" i="4"/>
  <c r="G195" i="4"/>
  <c r="G196" i="4"/>
  <c r="G197" i="4"/>
  <c r="G198" i="4"/>
  <c r="G199" i="4"/>
  <c r="G200" i="4"/>
  <c r="G201" i="4"/>
  <c r="N27" i="3" s="1"/>
  <c r="G202" i="4"/>
  <c r="G203" i="4"/>
  <c r="G204" i="4"/>
  <c r="G205" i="4"/>
  <c r="G206" i="4"/>
  <c r="G207" i="4"/>
  <c r="G208" i="4"/>
  <c r="G209" i="4"/>
  <c r="G210" i="4"/>
  <c r="G211" i="4"/>
  <c r="G212" i="4"/>
  <c r="G213" i="4"/>
  <c r="G214" i="4"/>
  <c r="N17" i="3" s="1"/>
  <c r="G215" i="4"/>
  <c r="G216" i="4"/>
  <c r="G217" i="4"/>
  <c r="G218" i="4"/>
  <c r="G219" i="4"/>
  <c r="G220" i="4"/>
  <c r="G221" i="4"/>
  <c r="G222" i="4"/>
  <c r="G223" i="4"/>
  <c r="G224" i="4"/>
  <c r="G225" i="4"/>
  <c r="G226" i="4"/>
  <c r="G227" i="4"/>
  <c r="G228" i="4"/>
  <c r="G229" i="4"/>
  <c r="G230" i="4"/>
  <c r="G231" i="4"/>
  <c r="G232" i="4"/>
  <c r="G233" i="4"/>
  <c r="G234" i="4"/>
  <c r="G235" i="4"/>
  <c r="G236" i="4"/>
  <c r="G237" i="4"/>
  <c r="G238" i="4"/>
  <c r="G239" i="4"/>
  <c r="G240" i="4"/>
  <c r="G241" i="4"/>
  <c r="G242" i="4"/>
  <c r="G243" i="4"/>
  <c r="G244" i="4"/>
  <c r="G245" i="4"/>
  <c r="G246" i="4"/>
  <c r="G247" i="4"/>
  <c r="G248" i="4"/>
  <c r="G249" i="4"/>
  <c r="G250" i="4"/>
  <c r="G251" i="4"/>
  <c r="G252" i="4"/>
  <c r="G253" i="4"/>
  <c r="G254" i="4"/>
  <c r="G255" i="4"/>
  <c r="G256" i="4"/>
  <c r="G257" i="4"/>
  <c r="G258" i="4"/>
  <c r="G2" i="4"/>
  <c r="G3" i="6" l="1"/>
  <c r="F3" i="6"/>
  <c r="J3" i="6"/>
  <c r="H3" i="6"/>
  <c r="B2" i="9" l="1"/>
  <c r="B3" i="9"/>
  <c r="B4" i="9"/>
  <c r="B5" i="9"/>
  <c r="B6" i="9"/>
  <c r="B7" i="9"/>
  <c r="B8" i="9"/>
  <c r="B9" i="9"/>
  <c r="B10" i="9"/>
  <c r="B11" i="9"/>
  <c r="B12" i="9"/>
  <c r="B13" i="9"/>
  <c r="B14" i="9"/>
  <c r="B15" i="9"/>
  <c r="B16" i="9"/>
  <c r="B17" i="9"/>
  <c r="B18" i="9"/>
  <c r="B19" i="9"/>
  <c r="B20" i="9"/>
  <c r="B21" i="9"/>
  <c r="B22" i="9"/>
  <c r="B23" i="9"/>
  <c r="B24" i="9"/>
  <c r="B25" i="9"/>
  <c r="B26" i="9"/>
  <c r="B27" i="9"/>
  <c r="B28" i="9"/>
  <c r="B29" i="9"/>
  <c r="B30" i="9"/>
  <c r="C31" i="9" s="1"/>
  <c r="C26" i="9" l="1"/>
  <c r="B1" i="9"/>
  <c r="C1" i="9" s="1"/>
  <c r="C4" i="9"/>
  <c r="C7" i="9"/>
  <c r="C24" i="9"/>
  <c r="C10" i="9"/>
  <c r="C15" i="9"/>
  <c r="C30" i="9"/>
  <c r="C16" i="9"/>
  <c r="C29" i="9"/>
  <c r="C12" i="9"/>
  <c r="C13" i="9"/>
  <c r="C25" i="9" l="1"/>
  <c r="C19" i="9"/>
  <c r="C22" i="9"/>
  <c r="C17" i="9"/>
  <c r="C18" i="9"/>
  <c r="C20" i="9"/>
  <c r="C8" i="9"/>
  <c r="C9" i="9"/>
  <c r="C5" i="9"/>
  <c r="C6" i="9"/>
  <c r="C27" i="9"/>
  <c r="C14" i="9"/>
  <c r="C28" i="9"/>
  <c r="C11" i="9"/>
  <c r="C2" i="9"/>
  <c r="C3" i="9"/>
  <c r="C21" i="9"/>
  <c r="C23" i="9"/>
  <c r="M30" i="5" l="1"/>
  <c r="M29" i="5"/>
  <c r="M27" i="5"/>
  <c r="M26" i="5" l="1"/>
  <c r="AH13" i="1" l="1"/>
  <c r="J7" i="1"/>
  <c r="X6" i="1" l="1"/>
  <c r="W6" i="1"/>
  <c r="V6" i="1"/>
  <c r="S6" i="1"/>
  <c r="R2" i="1"/>
  <c r="I2" i="1"/>
  <c r="O6" i="1"/>
  <c r="N6" i="1"/>
  <c r="M6" i="1"/>
  <c r="J6" i="1"/>
  <c r="P3" i="5" l="1"/>
  <c r="M18" i="5" l="1"/>
  <c r="B4" i="6" l="1"/>
  <c r="I4" i="6" s="1"/>
  <c r="F282" i="4"/>
  <c r="G282" i="4" s="1"/>
  <c r="F283" i="4"/>
  <c r="G283" i="4" s="1"/>
  <c r="F284" i="4"/>
  <c r="G284" i="4" s="1"/>
  <c r="F285" i="4"/>
  <c r="G285" i="4" s="1"/>
  <c r="F286" i="4"/>
  <c r="G286" i="4" s="1"/>
  <c r="F287" i="4"/>
  <c r="G287" i="4" s="1"/>
  <c r="F288" i="4"/>
  <c r="G288" i="4" s="1"/>
  <c r="F289" i="4"/>
  <c r="G289" i="4" s="1"/>
  <c r="F290" i="4"/>
  <c r="G290" i="4" s="1"/>
  <c r="F291" i="4"/>
  <c r="G291" i="4" s="1"/>
  <c r="F292" i="4"/>
  <c r="G292" i="4" s="1"/>
  <c r="F293" i="4"/>
  <c r="G293" i="4" s="1"/>
  <c r="F294" i="4"/>
  <c r="G294" i="4" s="1"/>
  <c r="F295" i="4"/>
  <c r="G295" i="4" s="1"/>
  <c r="F296" i="4"/>
  <c r="G296" i="4" s="1"/>
  <c r="F297" i="4"/>
  <c r="G297" i="4" s="1"/>
  <c r="F298" i="4"/>
  <c r="G298" i="4" s="1"/>
  <c r="F299" i="4"/>
  <c r="G299" i="4" s="1"/>
  <c r="F300" i="4"/>
  <c r="G300" i="4" s="1"/>
  <c r="F301" i="4"/>
  <c r="G301" i="4" s="1"/>
  <c r="F302" i="4"/>
  <c r="G302" i="4" s="1"/>
  <c r="F303" i="4"/>
  <c r="G303" i="4" s="1"/>
  <c r="F304" i="4"/>
  <c r="G304" i="4" s="1"/>
  <c r="F305" i="4"/>
  <c r="G305" i="4" s="1"/>
  <c r="F306" i="4"/>
  <c r="G306" i="4" s="1"/>
  <c r="F307" i="4"/>
  <c r="G307" i="4" s="1"/>
  <c r="F308" i="4"/>
  <c r="G308" i="4" s="1"/>
  <c r="F309" i="4"/>
  <c r="G309" i="4" s="1"/>
  <c r="F310" i="4"/>
  <c r="G310" i="4" s="1"/>
  <c r="F311" i="4"/>
  <c r="G311" i="4" s="1"/>
  <c r="F312" i="4"/>
  <c r="G312" i="4" s="1"/>
  <c r="F313" i="4"/>
  <c r="G313" i="4" s="1"/>
  <c r="F314" i="4"/>
  <c r="G314" i="4" s="1"/>
  <c r="F315" i="4"/>
  <c r="G315" i="4" s="1"/>
  <c r="F316" i="4"/>
  <c r="G316" i="4" s="1"/>
  <c r="F317" i="4"/>
  <c r="G317" i="4" s="1"/>
  <c r="F318" i="4"/>
  <c r="G318" i="4" s="1"/>
  <c r="F319" i="4"/>
  <c r="G319" i="4" s="1"/>
  <c r="F320" i="4"/>
  <c r="G320" i="4" s="1"/>
  <c r="F321" i="4"/>
  <c r="G321" i="4" s="1"/>
  <c r="F322" i="4"/>
  <c r="G322" i="4" s="1"/>
  <c r="F323" i="4"/>
  <c r="G323" i="4" s="1"/>
  <c r="F324" i="4"/>
  <c r="G324" i="4" s="1"/>
  <c r="F325" i="4"/>
  <c r="G325" i="4" s="1"/>
  <c r="F326" i="4"/>
  <c r="G326" i="4" s="1"/>
  <c r="F327" i="4"/>
  <c r="G327" i="4" s="1"/>
  <c r="F328" i="4"/>
  <c r="G328" i="4" s="1"/>
  <c r="F329" i="4"/>
  <c r="G329" i="4" s="1"/>
  <c r="F330" i="4"/>
  <c r="G330" i="4" s="1"/>
  <c r="F331" i="4"/>
  <c r="G331" i="4" s="1"/>
  <c r="F332" i="4"/>
  <c r="G332" i="4" s="1"/>
  <c r="F333" i="4"/>
  <c r="G333" i="4" s="1"/>
  <c r="F334" i="4"/>
  <c r="G334" i="4" s="1"/>
  <c r="F335" i="4"/>
  <c r="G335" i="4" s="1"/>
  <c r="F336" i="4"/>
  <c r="G336" i="4" s="1"/>
  <c r="F337" i="4"/>
  <c r="G337" i="4" s="1"/>
  <c r="F338" i="4"/>
  <c r="G338" i="4" s="1"/>
  <c r="F339" i="4"/>
  <c r="G339" i="4" s="1"/>
  <c r="F340" i="4"/>
  <c r="G340" i="4" s="1"/>
  <c r="F341" i="4"/>
  <c r="G341" i="4" s="1"/>
  <c r="F342" i="4"/>
  <c r="G342" i="4" s="1"/>
  <c r="F343" i="4"/>
  <c r="G343" i="4" s="1"/>
  <c r="F344" i="4"/>
  <c r="G344" i="4" s="1"/>
  <c r="F345" i="4"/>
  <c r="G345" i="4" s="1"/>
  <c r="F346" i="4"/>
  <c r="G346" i="4" s="1"/>
  <c r="F347" i="4"/>
  <c r="G347" i="4" s="1"/>
  <c r="F348" i="4"/>
  <c r="G348" i="4" s="1"/>
  <c r="F349" i="4"/>
  <c r="G349" i="4" s="1"/>
  <c r="F350" i="4"/>
  <c r="G350" i="4" s="1"/>
  <c r="F351" i="4"/>
  <c r="G351" i="4" s="1"/>
  <c r="F352" i="4"/>
  <c r="G352" i="4" s="1"/>
  <c r="F353" i="4"/>
  <c r="G353" i="4" s="1"/>
  <c r="F354" i="4"/>
  <c r="G354" i="4" s="1"/>
  <c r="F355" i="4"/>
  <c r="G355" i="4" s="1"/>
  <c r="F356" i="4"/>
  <c r="G356" i="4" s="1"/>
  <c r="F357" i="4"/>
  <c r="G357" i="4" s="1"/>
  <c r="F358" i="4"/>
  <c r="G358" i="4" s="1"/>
  <c r="F359" i="4"/>
  <c r="G359" i="4" s="1"/>
  <c r="F360" i="4"/>
  <c r="G360" i="4" s="1"/>
  <c r="F361" i="4"/>
  <c r="G361" i="4" s="1"/>
  <c r="F362" i="4"/>
  <c r="G362" i="4" s="1"/>
  <c r="F363" i="4"/>
  <c r="G363" i="4" s="1"/>
  <c r="F364" i="4"/>
  <c r="G364" i="4" s="1"/>
  <c r="F365" i="4"/>
  <c r="G365" i="4" s="1"/>
  <c r="F366" i="4"/>
  <c r="G366" i="4" s="1"/>
  <c r="F367" i="4"/>
  <c r="G367" i="4" s="1"/>
  <c r="F368" i="4"/>
  <c r="G368" i="4" s="1"/>
  <c r="F369" i="4"/>
  <c r="G369" i="4" s="1"/>
  <c r="F370" i="4"/>
  <c r="G370" i="4" s="1"/>
  <c r="F371" i="4"/>
  <c r="G371" i="4" s="1"/>
  <c r="F372" i="4"/>
  <c r="G372" i="4" s="1"/>
  <c r="F373" i="4"/>
  <c r="G373" i="4" s="1"/>
  <c r="F374" i="4"/>
  <c r="G374" i="4" s="1"/>
  <c r="F375" i="4"/>
  <c r="G375" i="4" s="1"/>
  <c r="F376" i="4"/>
  <c r="G376" i="4" s="1"/>
  <c r="F377" i="4"/>
  <c r="G377" i="4" s="1"/>
  <c r="F378" i="4"/>
  <c r="G378" i="4" s="1"/>
  <c r="F379" i="4"/>
  <c r="G379" i="4" s="1"/>
  <c r="F380" i="4"/>
  <c r="G380" i="4" s="1"/>
  <c r="F381" i="4"/>
  <c r="G381" i="4" s="1"/>
  <c r="F382" i="4"/>
  <c r="G382" i="4" s="1"/>
  <c r="F383" i="4"/>
  <c r="G383" i="4" s="1"/>
  <c r="F384" i="4"/>
  <c r="G384" i="4" s="1"/>
  <c r="F385" i="4"/>
  <c r="G385" i="4" s="1"/>
  <c r="F386" i="4"/>
  <c r="G386" i="4" s="1"/>
  <c r="F387" i="4"/>
  <c r="G387" i="4" s="1"/>
  <c r="F388" i="4"/>
  <c r="G388" i="4" s="1"/>
  <c r="F389" i="4"/>
  <c r="G389" i="4" s="1"/>
  <c r="F390" i="4"/>
  <c r="G390" i="4" s="1"/>
  <c r="F391" i="4"/>
  <c r="G391" i="4" s="1"/>
  <c r="F392" i="4"/>
  <c r="G392" i="4" s="1"/>
  <c r="F393" i="4"/>
  <c r="G393" i="4" s="1"/>
  <c r="F394" i="4"/>
  <c r="G394" i="4" s="1"/>
  <c r="F395" i="4"/>
  <c r="G395" i="4" s="1"/>
  <c r="F396" i="4"/>
  <c r="G396" i="4" s="1"/>
  <c r="F397" i="4"/>
  <c r="G397" i="4" s="1"/>
  <c r="F398" i="4"/>
  <c r="G398" i="4" s="1"/>
  <c r="F399" i="4"/>
  <c r="G399" i="4" s="1"/>
  <c r="F400" i="4"/>
  <c r="G400" i="4" s="1"/>
  <c r="F401" i="4"/>
  <c r="G401" i="4" s="1"/>
  <c r="F402" i="4"/>
  <c r="G402" i="4" s="1"/>
  <c r="F403" i="4"/>
  <c r="G403" i="4" s="1"/>
  <c r="F404" i="4"/>
  <c r="G404" i="4" s="1"/>
  <c r="F405" i="4"/>
  <c r="G405" i="4" s="1"/>
  <c r="F406" i="4"/>
  <c r="G406" i="4" s="1"/>
  <c r="F407" i="4"/>
  <c r="G407" i="4" s="1"/>
  <c r="F408" i="4"/>
  <c r="G408" i="4" s="1"/>
  <c r="F409" i="4"/>
  <c r="G409" i="4" s="1"/>
  <c r="F410" i="4"/>
  <c r="G410" i="4" s="1"/>
  <c r="F411" i="4"/>
  <c r="G411" i="4" s="1"/>
  <c r="F412" i="4"/>
  <c r="G412" i="4" s="1"/>
  <c r="F413" i="4"/>
  <c r="G413" i="4" s="1"/>
  <c r="F414" i="4"/>
  <c r="G414" i="4" s="1"/>
  <c r="F415" i="4"/>
  <c r="G415" i="4" s="1"/>
  <c r="F416" i="4"/>
  <c r="G416" i="4" s="1"/>
  <c r="F417" i="4"/>
  <c r="G417" i="4" s="1"/>
  <c r="F418" i="4"/>
  <c r="G418" i="4" s="1"/>
  <c r="F419" i="4"/>
  <c r="G419" i="4" s="1"/>
  <c r="F420" i="4"/>
  <c r="G420" i="4" s="1"/>
  <c r="F421" i="4"/>
  <c r="G421" i="4" s="1"/>
  <c r="F422" i="4"/>
  <c r="G422" i="4" s="1"/>
  <c r="F423" i="4"/>
  <c r="G423" i="4" s="1"/>
  <c r="F424" i="4"/>
  <c r="G424" i="4" s="1"/>
  <c r="F425" i="4"/>
  <c r="G425" i="4" s="1"/>
  <c r="F426" i="4"/>
  <c r="G426" i="4" s="1"/>
  <c r="F427" i="4"/>
  <c r="G427" i="4" s="1"/>
  <c r="F428" i="4"/>
  <c r="G428" i="4" s="1"/>
  <c r="F429" i="4"/>
  <c r="G429" i="4" s="1"/>
  <c r="F430" i="4"/>
  <c r="G430" i="4" s="1"/>
  <c r="F431" i="4"/>
  <c r="G431" i="4" s="1"/>
  <c r="F432" i="4"/>
  <c r="G432" i="4" s="1"/>
  <c r="F433" i="4"/>
  <c r="G433" i="4" s="1"/>
  <c r="F434" i="4"/>
  <c r="G434" i="4" s="1"/>
  <c r="F435" i="4"/>
  <c r="G435" i="4" s="1"/>
  <c r="F436" i="4"/>
  <c r="G436" i="4" s="1"/>
  <c r="F437" i="4"/>
  <c r="G437" i="4" s="1"/>
  <c r="F438" i="4"/>
  <c r="G438" i="4" s="1"/>
  <c r="F439" i="4"/>
  <c r="G439" i="4" s="1"/>
  <c r="F440" i="4"/>
  <c r="G440" i="4" s="1"/>
  <c r="F441" i="4"/>
  <c r="G441" i="4" s="1"/>
  <c r="F442" i="4"/>
  <c r="G442" i="4" s="1"/>
  <c r="F443" i="4"/>
  <c r="G443" i="4" s="1"/>
  <c r="F444" i="4"/>
  <c r="G444" i="4" s="1"/>
  <c r="F445" i="4"/>
  <c r="G445" i="4" s="1"/>
  <c r="F446" i="4"/>
  <c r="G446" i="4" s="1"/>
  <c r="F447" i="4"/>
  <c r="G447" i="4" s="1"/>
  <c r="F448" i="4"/>
  <c r="G448" i="4" s="1"/>
  <c r="F449" i="4"/>
  <c r="G449" i="4" s="1"/>
  <c r="F450" i="4"/>
  <c r="G450" i="4" s="1"/>
  <c r="F451" i="4"/>
  <c r="G451" i="4" s="1"/>
  <c r="F452" i="4"/>
  <c r="G452" i="4" s="1"/>
  <c r="F453" i="4"/>
  <c r="G453" i="4" s="1"/>
  <c r="F454" i="4"/>
  <c r="G454" i="4" s="1"/>
  <c r="F455" i="4"/>
  <c r="G455" i="4" s="1"/>
  <c r="F456" i="4"/>
  <c r="G456" i="4" s="1"/>
  <c r="F457" i="4"/>
  <c r="G457" i="4" s="1"/>
  <c r="F458" i="4"/>
  <c r="G458" i="4" s="1"/>
  <c r="F459" i="4"/>
  <c r="G459" i="4" s="1"/>
  <c r="F460" i="4"/>
  <c r="G460" i="4" s="1"/>
  <c r="F461" i="4"/>
  <c r="G461" i="4" s="1"/>
  <c r="F462" i="4"/>
  <c r="G462" i="4" s="1"/>
  <c r="F463" i="4"/>
  <c r="G463" i="4" s="1"/>
  <c r="F464" i="4"/>
  <c r="G464" i="4" s="1"/>
  <c r="F465" i="4"/>
  <c r="G465" i="4" s="1"/>
  <c r="F466" i="4"/>
  <c r="G466" i="4" s="1"/>
  <c r="F467" i="4"/>
  <c r="G467" i="4" s="1"/>
  <c r="F468" i="4"/>
  <c r="G468" i="4" s="1"/>
  <c r="F469" i="4"/>
  <c r="G469" i="4" s="1"/>
  <c r="F470" i="4"/>
  <c r="G470" i="4" s="1"/>
  <c r="F471" i="4"/>
  <c r="G471" i="4" s="1"/>
  <c r="F472" i="4"/>
  <c r="G472" i="4" s="1"/>
  <c r="F473" i="4"/>
  <c r="G473" i="4" s="1"/>
  <c r="F474" i="4"/>
  <c r="G474" i="4" s="1"/>
  <c r="F475" i="4"/>
  <c r="G475" i="4" s="1"/>
  <c r="F476" i="4"/>
  <c r="G476" i="4" s="1"/>
  <c r="F477" i="4"/>
  <c r="G477" i="4" s="1"/>
  <c r="F478" i="4"/>
  <c r="G478" i="4" s="1"/>
  <c r="F479" i="4"/>
  <c r="G479" i="4" s="1"/>
  <c r="F480" i="4"/>
  <c r="G480" i="4" s="1"/>
  <c r="F481" i="4"/>
  <c r="G481" i="4" s="1"/>
  <c r="F482" i="4"/>
  <c r="G482" i="4" s="1"/>
  <c r="F483" i="4"/>
  <c r="G483" i="4" s="1"/>
  <c r="F484" i="4"/>
  <c r="G484" i="4" s="1"/>
  <c r="F485" i="4"/>
  <c r="G485" i="4" s="1"/>
  <c r="F486" i="4"/>
  <c r="G486" i="4" s="1"/>
  <c r="F487" i="4"/>
  <c r="G487" i="4" s="1"/>
  <c r="F488" i="4"/>
  <c r="G488" i="4" s="1"/>
  <c r="F489" i="4"/>
  <c r="G489" i="4" s="1"/>
  <c r="F490" i="4"/>
  <c r="G490" i="4" s="1"/>
  <c r="F491" i="4"/>
  <c r="G491" i="4" s="1"/>
  <c r="F492" i="4"/>
  <c r="G492" i="4" s="1"/>
  <c r="F493" i="4"/>
  <c r="G493" i="4" s="1"/>
  <c r="F494" i="4"/>
  <c r="G494" i="4" s="1"/>
  <c r="F495" i="4"/>
  <c r="G495" i="4" s="1"/>
  <c r="F496" i="4"/>
  <c r="G496" i="4" s="1"/>
  <c r="F497" i="4"/>
  <c r="G497" i="4" s="1"/>
  <c r="F498" i="4"/>
  <c r="G498" i="4" s="1"/>
  <c r="F499" i="4"/>
  <c r="G499" i="4" s="1"/>
  <c r="F500" i="4"/>
  <c r="G500" i="4" s="1"/>
  <c r="F501" i="4"/>
  <c r="G501" i="4" s="1"/>
  <c r="F502" i="4"/>
  <c r="G502" i="4" s="1"/>
  <c r="F503" i="4"/>
  <c r="G503" i="4" s="1"/>
  <c r="F504" i="4"/>
  <c r="G504" i="4" s="1"/>
  <c r="F505" i="4"/>
  <c r="G505" i="4" s="1"/>
  <c r="F506" i="4"/>
  <c r="G506" i="4" s="1"/>
  <c r="F507" i="4"/>
  <c r="G507" i="4" s="1"/>
  <c r="F508" i="4"/>
  <c r="G508" i="4" s="1"/>
  <c r="F509" i="4"/>
  <c r="G509" i="4" s="1"/>
  <c r="F510" i="4"/>
  <c r="G510" i="4" s="1"/>
  <c r="F511" i="4"/>
  <c r="G511" i="4" s="1"/>
  <c r="F512" i="4"/>
  <c r="G512" i="4" s="1"/>
  <c r="F513" i="4"/>
  <c r="G513" i="4" s="1"/>
  <c r="F514" i="4"/>
  <c r="G514" i="4" s="1"/>
  <c r="F515" i="4"/>
  <c r="G515" i="4" s="1"/>
  <c r="F516" i="4"/>
  <c r="G516" i="4" s="1"/>
  <c r="F517" i="4"/>
  <c r="G517" i="4" s="1"/>
  <c r="F518" i="4"/>
  <c r="G518" i="4" s="1"/>
  <c r="F519" i="4"/>
  <c r="G519" i="4" s="1"/>
  <c r="F520" i="4"/>
  <c r="G520" i="4" s="1"/>
  <c r="F521" i="4"/>
  <c r="G521" i="4" s="1"/>
  <c r="F522" i="4"/>
  <c r="G522" i="4" s="1"/>
  <c r="F523" i="4"/>
  <c r="G523" i="4" s="1"/>
  <c r="F524" i="4"/>
  <c r="G524" i="4" s="1"/>
  <c r="F525" i="4"/>
  <c r="G525" i="4" s="1"/>
  <c r="F526" i="4"/>
  <c r="G526" i="4" s="1"/>
  <c r="F527" i="4"/>
  <c r="G527" i="4" s="1"/>
  <c r="F528" i="4"/>
  <c r="G528" i="4" s="1"/>
  <c r="F529" i="4"/>
  <c r="G529" i="4" s="1"/>
  <c r="F530" i="4"/>
  <c r="G530" i="4" s="1"/>
  <c r="F531" i="4"/>
  <c r="G531" i="4" s="1"/>
  <c r="F532" i="4"/>
  <c r="G532" i="4" s="1"/>
  <c r="F533" i="4"/>
  <c r="G533" i="4" s="1"/>
  <c r="F534" i="4"/>
  <c r="G534" i="4" s="1"/>
  <c r="F535" i="4"/>
  <c r="G535" i="4" s="1"/>
  <c r="F536" i="4"/>
  <c r="G536" i="4" s="1"/>
  <c r="F537" i="4"/>
  <c r="G537" i="4" s="1"/>
  <c r="F538" i="4"/>
  <c r="G538" i="4" s="1"/>
  <c r="F539" i="4"/>
  <c r="G539" i="4" s="1"/>
  <c r="F540" i="4"/>
  <c r="G540" i="4" s="1"/>
  <c r="F541" i="4"/>
  <c r="G541" i="4" s="1"/>
  <c r="F542" i="4"/>
  <c r="G542" i="4" s="1"/>
  <c r="F543" i="4"/>
  <c r="G543" i="4" s="1"/>
  <c r="B5" i="6" l="1"/>
  <c r="I5" i="6" s="1"/>
  <c r="G4" i="6"/>
  <c r="F4" i="6"/>
  <c r="J4" i="6"/>
  <c r="H4" i="6"/>
  <c r="V5" i="1"/>
  <c r="V8" i="1" s="1"/>
  <c r="G266" i="4"/>
  <c r="G267" i="4"/>
  <c r="G268" i="4"/>
  <c r="G269" i="4"/>
  <c r="G270" i="4"/>
  <c r="G271" i="4"/>
  <c r="G272" i="4"/>
  <c r="G273" i="4"/>
  <c r="F274" i="4"/>
  <c r="G274" i="4" s="1"/>
  <c r="F275" i="4"/>
  <c r="G275" i="4" s="1"/>
  <c r="F276" i="4"/>
  <c r="G276" i="4" s="1"/>
  <c r="F277" i="4"/>
  <c r="G277" i="4" s="1"/>
  <c r="F278" i="4"/>
  <c r="G278" i="4" s="1"/>
  <c r="F279" i="4"/>
  <c r="G279" i="4" s="1"/>
  <c r="F280" i="4"/>
  <c r="G280" i="4" s="1"/>
  <c r="F281" i="4"/>
  <c r="G281" i="4" s="1"/>
  <c r="B6" i="6" l="1"/>
  <c r="I6" i="6" s="1"/>
  <c r="F5" i="6"/>
  <c r="J5" i="6"/>
  <c r="G5" i="6"/>
  <c r="H5" i="6"/>
  <c r="G259" i="4"/>
  <c r="G260" i="4"/>
  <c r="G261" i="4"/>
  <c r="G262" i="4"/>
  <c r="G263" i="4"/>
  <c r="G264" i="4"/>
  <c r="G265" i="4"/>
  <c r="F6" i="6" l="1"/>
  <c r="J6" i="6"/>
  <c r="G6" i="6"/>
  <c r="H6" i="6"/>
  <c r="B7" i="6"/>
  <c r="I7" i="6" s="1"/>
  <c r="M14" i="5"/>
  <c r="M13" i="5"/>
  <c r="M12" i="5"/>
  <c r="M11" i="5"/>
  <c r="M10" i="5"/>
  <c r="M9" i="5"/>
  <c r="M8" i="5"/>
  <c r="M7" i="5"/>
  <c r="M6" i="5"/>
  <c r="M5" i="5"/>
  <c r="M4" i="5"/>
  <c r="M3" i="5"/>
  <c r="F7" i="6" l="1"/>
  <c r="H7" i="6"/>
  <c r="J7" i="6"/>
  <c r="G7" i="6"/>
  <c r="B8" i="6"/>
  <c r="I8" i="6" s="1"/>
  <c r="O2" i="3"/>
  <c r="O3" i="3" s="1"/>
  <c r="F8" i="6" l="1"/>
  <c r="J8" i="6"/>
  <c r="G8" i="6"/>
  <c r="H8" i="6"/>
  <c r="B9" i="6"/>
  <c r="I9" i="6" s="1"/>
  <c r="S7" i="1"/>
  <c r="S5" i="1"/>
  <c r="J5" i="1"/>
  <c r="M5" i="1"/>
  <c r="M8" i="1" s="1"/>
  <c r="W5" i="1" a="1"/>
  <c r="W5" i="1" s="1"/>
  <c r="W8" i="1" s="1"/>
  <c r="N5" i="1" a="1"/>
  <c r="N5" i="1" s="1"/>
  <c r="N8" i="1" s="1"/>
  <c r="X5" i="1" a="1"/>
  <c r="X5" i="1" s="1"/>
  <c r="X8" i="1" s="1"/>
  <c r="O5" i="1" a="1"/>
  <c r="O5" i="1" s="1"/>
  <c r="O8" i="1" s="1"/>
  <c r="J9" i="6" l="1"/>
  <c r="F9" i="6"/>
  <c r="G9" i="6"/>
  <c r="H9" i="6"/>
  <c r="B10" i="6"/>
  <c r="I10" i="6" s="1"/>
  <c r="J8" i="1"/>
  <c r="J4" i="1"/>
  <c r="S8" i="1"/>
  <c r="S4" i="1"/>
  <c r="F10" i="6" l="1"/>
  <c r="J10" i="6"/>
  <c r="H10" i="6"/>
  <c r="G10" i="6"/>
  <c r="B11" i="6"/>
  <c r="I11" i="6" s="1"/>
  <c r="S9" i="1"/>
  <c r="J9" i="1"/>
  <c r="B12" i="6" l="1"/>
  <c r="I12" i="6" s="1"/>
  <c r="F11" i="6"/>
  <c r="G11" i="6"/>
  <c r="J11" i="6"/>
  <c r="H11" i="6"/>
  <c r="S11" i="1"/>
  <c r="A11" i="1"/>
  <c r="B13" i="6" l="1"/>
  <c r="I13" i="6" s="1"/>
  <c r="G12" i="6"/>
  <c r="H12" i="6"/>
  <c r="J12" i="6"/>
  <c r="F12" i="6"/>
  <c r="B1" i="6"/>
  <c r="A5" i="3"/>
  <c r="G13" i="6" l="1"/>
  <c r="F13" i="6"/>
  <c r="J13" i="6"/>
  <c r="H13" i="6"/>
  <c r="B14" i="6"/>
  <c r="I14" i="6" s="1"/>
  <c r="F14" i="6" l="1"/>
  <c r="J14" i="6"/>
  <c r="G14" i="6"/>
  <c r="H14" i="6"/>
  <c r="B15" i="6"/>
  <c r="I15" i="6" s="1"/>
  <c r="B16" i="6" l="1"/>
  <c r="I16" i="6" s="1"/>
  <c r="J15" i="6"/>
  <c r="G15" i="6"/>
  <c r="F15" i="6"/>
  <c r="H15" i="6"/>
  <c r="F16" i="6" l="1"/>
  <c r="G16" i="6"/>
  <c r="H16" i="6"/>
  <c r="J16" i="6"/>
  <c r="B17" i="6"/>
  <c r="I17" i="6" s="1"/>
  <c r="J17" i="6" l="1"/>
  <c r="H17" i="6"/>
  <c r="F17" i="6"/>
  <c r="G17" i="6"/>
  <c r="B18" i="6"/>
  <c r="I18" i="6" s="1"/>
  <c r="B19" i="6" l="1"/>
  <c r="I19" i="6" s="1"/>
  <c r="J18" i="6"/>
  <c r="F18" i="6"/>
  <c r="H18" i="6"/>
  <c r="G18" i="6"/>
  <c r="F19" i="6" l="1"/>
  <c r="G19" i="6"/>
  <c r="H19" i="6"/>
  <c r="J19" i="6"/>
  <c r="B20" i="6"/>
  <c r="I20" i="6" s="1"/>
  <c r="G20" i="6" l="1"/>
  <c r="H20" i="6"/>
  <c r="J20" i="6"/>
  <c r="F20" i="6"/>
  <c r="B21" i="6"/>
  <c r="I21" i="6" s="1"/>
  <c r="F21" i="6" l="1"/>
  <c r="H21" i="6"/>
  <c r="J21" i="6"/>
  <c r="G21" i="6"/>
  <c r="B22" i="6"/>
  <c r="I22" i="6" s="1"/>
  <c r="F22" i="6" l="1"/>
  <c r="J22" i="6"/>
  <c r="G22" i="6"/>
  <c r="H22" i="6"/>
  <c r="B23" i="6"/>
  <c r="I23" i="6" s="1"/>
  <c r="B24" i="6" l="1"/>
  <c r="I24" i="6" s="1"/>
  <c r="F23" i="6"/>
  <c r="H23" i="6"/>
  <c r="J23" i="6"/>
  <c r="G23" i="6"/>
  <c r="F24" i="6" l="1"/>
  <c r="H24" i="6"/>
  <c r="J24" i="6"/>
  <c r="G24" i="6"/>
  <c r="B25" i="6"/>
  <c r="I25" i="6" s="1"/>
  <c r="J25" i="6" l="1"/>
  <c r="H25" i="6"/>
  <c r="F25" i="6"/>
  <c r="G25" i="6"/>
  <c r="B26" i="6"/>
  <c r="I26" i="6" s="1"/>
  <c r="B27" i="6" l="1"/>
  <c r="I27" i="6" s="1"/>
  <c r="F26" i="6"/>
  <c r="G26" i="6"/>
  <c r="H26" i="6"/>
  <c r="J26" i="6"/>
  <c r="B28" i="6" l="1"/>
  <c r="I28" i="6" s="1"/>
  <c r="H27" i="6"/>
  <c r="F27" i="6"/>
  <c r="J27" i="6"/>
  <c r="G27" i="6"/>
  <c r="B29" i="6" l="1"/>
  <c r="I29" i="6" s="1"/>
  <c r="F28" i="6"/>
  <c r="H28" i="6"/>
  <c r="J28" i="6"/>
  <c r="G28" i="6"/>
  <c r="F29" i="6" l="1"/>
  <c r="G29" i="6"/>
  <c r="J29" i="6"/>
  <c r="H29" i="6"/>
  <c r="B30" i="6"/>
  <c r="I30" i="6" s="1"/>
  <c r="F30" i="6" l="1"/>
  <c r="J30" i="6"/>
  <c r="H30" i="6"/>
  <c r="G30" i="6"/>
  <c r="B31" i="6"/>
  <c r="I31" i="6" s="1"/>
  <c r="F31" i="6" l="1"/>
  <c r="H31" i="6"/>
  <c r="G31" i="6"/>
  <c r="J31" i="6"/>
  <c r="B32" i="6"/>
  <c r="I32" i="6" s="1"/>
  <c r="B33" i="6" l="1"/>
  <c r="I33" i="6" s="1"/>
  <c r="G32" i="6"/>
  <c r="F32" i="6"/>
  <c r="H32" i="6"/>
  <c r="J32" i="6"/>
  <c r="J33" i="6" l="1"/>
  <c r="H33" i="6"/>
  <c r="F33" i="6"/>
  <c r="G33" i="6"/>
  <c r="B34" i="6"/>
  <c r="I34" i="6" s="1"/>
  <c r="H34" i="6" l="1"/>
  <c r="J34" i="6"/>
  <c r="F34" i="6"/>
  <c r="G34" i="6"/>
  <c r="B35" i="6"/>
  <c r="I35" i="6" s="1"/>
  <c r="H35" i="6" l="1"/>
  <c r="J35" i="6"/>
  <c r="F35" i="6"/>
  <c r="G35" i="6"/>
  <c r="B36" i="6"/>
  <c r="I36" i="6" s="1"/>
  <c r="H36" i="6" l="1"/>
  <c r="J36" i="6"/>
  <c r="F36" i="6"/>
  <c r="G36" i="6"/>
  <c r="B37" i="6"/>
  <c r="I37" i="6" s="1"/>
  <c r="G37" i="6" l="1"/>
  <c r="F37" i="6"/>
  <c r="H37" i="6"/>
  <c r="J37" i="6"/>
  <c r="B38" i="6"/>
  <c r="I38" i="6" s="1"/>
  <c r="B39" i="6" l="1"/>
  <c r="I39" i="6" s="1"/>
  <c r="J38" i="6"/>
  <c r="G38" i="6"/>
  <c r="F38" i="6"/>
  <c r="H38" i="6"/>
  <c r="B40" i="6" l="1"/>
  <c r="I40" i="6" s="1"/>
  <c r="J39" i="6"/>
  <c r="G39" i="6"/>
  <c r="F39" i="6"/>
  <c r="H39" i="6"/>
  <c r="F40" i="6" l="1"/>
  <c r="H40" i="6"/>
  <c r="J40" i="6"/>
  <c r="G40" i="6"/>
  <c r="B41" i="6"/>
  <c r="I41" i="6" s="1"/>
  <c r="B42" i="6" l="1"/>
  <c r="I42" i="6" s="1"/>
  <c r="F41" i="6"/>
  <c r="G41" i="6"/>
  <c r="J41" i="6"/>
  <c r="H41" i="6"/>
  <c r="G42" i="6" l="1"/>
  <c r="F42" i="6"/>
  <c r="H42" i="6"/>
  <c r="J42" i="6"/>
  <c r="B43" i="6"/>
  <c r="I43" i="6" s="1"/>
  <c r="F43" i="6" l="1"/>
  <c r="J43" i="6"/>
  <c r="G43" i="6"/>
  <c r="H43" i="6"/>
  <c r="B44" i="6"/>
  <c r="I44" i="6" s="1"/>
  <c r="G44" i="6" l="1"/>
  <c r="H44" i="6"/>
  <c r="J44" i="6"/>
  <c r="F44" i="6"/>
  <c r="B45" i="6"/>
  <c r="I45" i="6" s="1"/>
  <c r="B46" i="6" l="1"/>
  <c r="I46" i="6" s="1"/>
  <c r="J45" i="6"/>
  <c r="H45" i="6"/>
  <c r="F45" i="6"/>
  <c r="G45" i="6"/>
  <c r="J46" i="6" l="1"/>
  <c r="G46" i="6"/>
  <c r="F46" i="6"/>
  <c r="H46" i="6"/>
  <c r="B47" i="6"/>
  <c r="I47" i="6" s="1"/>
  <c r="B48" i="6" l="1"/>
  <c r="I48" i="6" s="1"/>
  <c r="G47" i="6"/>
  <c r="J47" i="6"/>
  <c r="F47" i="6"/>
  <c r="H47" i="6"/>
  <c r="F48" i="6" l="1"/>
  <c r="G48" i="6"/>
  <c r="J48" i="6"/>
  <c r="H48" i="6"/>
  <c r="B49" i="6"/>
  <c r="I49" i="6" s="1"/>
  <c r="B50" i="6" l="1"/>
  <c r="I50" i="6" s="1"/>
  <c r="F49" i="6"/>
  <c r="G49" i="6"/>
  <c r="J49" i="6"/>
  <c r="H49" i="6"/>
  <c r="G50" i="6" l="1"/>
  <c r="H50" i="6"/>
  <c r="J50" i="6"/>
  <c r="F50" i="6"/>
  <c r="B51" i="6"/>
  <c r="I51" i="6" s="1"/>
  <c r="B52" i="6" l="1"/>
  <c r="I52" i="6" s="1"/>
  <c r="G51" i="6"/>
  <c r="H51" i="6"/>
  <c r="J51" i="6"/>
  <c r="F51" i="6"/>
  <c r="F52" i="6" l="1"/>
  <c r="G52" i="6"/>
  <c r="H52" i="6"/>
  <c r="J52" i="6"/>
  <c r="B53" i="6"/>
  <c r="I53" i="6" s="1"/>
  <c r="G53" i="6" l="1"/>
  <c r="F53" i="6"/>
  <c r="H53" i="6"/>
  <c r="J53" i="6"/>
  <c r="B54" i="6"/>
  <c r="I54" i="6" s="1"/>
  <c r="B55" i="6" l="1"/>
  <c r="I55" i="6" s="1"/>
  <c r="J54" i="6"/>
  <c r="G54" i="6"/>
  <c r="F54" i="6"/>
  <c r="H54" i="6"/>
  <c r="B56" i="6" l="1"/>
  <c r="I56" i="6" s="1"/>
  <c r="J55" i="6"/>
  <c r="G55" i="6"/>
  <c r="F55" i="6"/>
  <c r="H55" i="6"/>
  <c r="H56" i="6" l="1"/>
  <c r="F56" i="6"/>
  <c r="G56" i="6"/>
  <c r="J56" i="6"/>
  <c r="B57" i="6"/>
  <c r="I57" i="6" s="1"/>
  <c r="B58" i="6" l="1"/>
  <c r="I58" i="6" s="1"/>
  <c r="F57" i="6"/>
  <c r="G57" i="6"/>
  <c r="J57" i="6"/>
  <c r="H57" i="6"/>
  <c r="B59" i="6" l="1"/>
  <c r="I59" i="6" s="1"/>
  <c r="J58" i="6"/>
  <c r="F58" i="6"/>
  <c r="G58" i="6"/>
  <c r="H58" i="6"/>
  <c r="F59" i="6" l="1"/>
  <c r="J59" i="6"/>
  <c r="G59" i="6"/>
  <c r="H59" i="6"/>
  <c r="B60" i="6"/>
  <c r="I60" i="6" s="1"/>
  <c r="H60" i="6" l="1"/>
  <c r="J60" i="6"/>
  <c r="G60" i="6"/>
  <c r="F60" i="6"/>
  <c r="B61" i="6"/>
  <c r="I61" i="6" s="1"/>
  <c r="B62" i="6" l="1"/>
  <c r="I62" i="6" s="1"/>
  <c r="J61" i="6"/>
  <c r="H61" i="6"/>
  <c r="F61" i="6"/>
  <c r="G61" i="6"/>
  <c r="J62" i="6" l="1"/>
  <c r="G62" i="6"/>
  <c r="F62" i="6"/>
  <c r="H62" i="6"/>
  <c r="B63" i="6"/>
  <c r="I63" i="6" s="1"/>
  <c r="G63" i="6" l="1"/>
  <c r="H63" i="6"/>
  <c r="J63" i="6"/>
  <c r="F63" i="6"/>
  <c r="B64" i="6"/>
  <c r="I64" i="6" s="1"/>
  <c r="G64" i="6" l="1"/>
  <c r="F64" i="6"/>
  <c r="H64" i="6"/>
  <c r="J64" i="6"/>
  <c r="B65" i="6"/>
  <c r="I65" i="6" s="1"/>
  <c r="B66" i="6" l="1"/>
  <c r="I66" i="6" s="1"/>
  <c r="J65" i="6"/>
  <c r="F65" i="6"/>
  <c r="H65" i="6"/>
  <c r="G65" i="6"/>
  <c r="B67" i="6" l="1"/>
  <c r="I67" i="6" s="1"/>
  <c r="J66" i="6"/>
  <c r="F66" i="6"/>
  <c r="G66" i="6"/>
  <c r="H66" i="6"/>
  <c r="H67" i="6" l="1"/>
  <c r="G67" i="6"/>
  <c r="F67" i="6"/>
  <c r="J67" i="6"/>
  <c r="B68" i="6"/>
  <c r="I68" i="6" s="1"/>
  <c r="G68" i="6" l="1"/>
  <c r="H68" i="6"/>
  <c r="J68" i="6"/>
  <c r="F68" i="6"/>
  <c r="B69" i="6"/>
  <c r="I69" i="6" s="1"/>
  <c r="B70" i="6" l="1"/>
  <c r="I70" i="6" s="1"/>
  <c r="J69" i="6"/>
  <c r="F69" i="6"/>
  <c r="H69" i="6"/>
  <c r="G69" i="6"/>
  <c r="B71" i="6" l="1"/>
  <c r="I71" i="6" s="1"/>
  <c r="J70" i="6"/>
  <c r="F70" i="6"/>
  <c r="G70" i="6"/>
  <c r="H70" i="6"/>
  <c r="B72" i="6" l="1"/>
  <c r="I72" i="6" s="1"/>
  <c r="J71" i="6"/>
  <c r="F71" i="6"/>
  <c r="G71" i="6"/>
  <c r="H71" i="6"/>
  <c r="J72" i="6" l="1"/>
  <c r="F72" i="6"/>
  <c r="H72" i="6"/>
  <c r="G72" i="6"/>
  <c r="B73" i="6"/>
  <c r="I73" i="6" s="1"/>
  <c r="F73" i="6" l="1"/>
  <c r="J73" i="6"/>
  <c r="H73" i="6"/>
  <c r="G73" i="6"/>
  <c r="B74" i="6"/>
  <c r="I74" i="6" s="1"/>
  <c r="J74" i="6" l="1"/>
  <c r="G74" i="6"/>
  <c r="F74" i="6"/>
  <c r="H74" i="6"/>
  <c r="B75" i="6"/>
  <c r="I75" i="6" s="1"/>
  <c r="B76" i="6" l="1"/>
  <c r="I76" i="6" s="1"/>
  <c r="F75" i="6"/>
  <c r="G75" i="6"/>
  <c r="H75" i="6"/>
  <c r="J75" i="6"/>
  <c r="F76" i="6" l="1"/>
  <c r="G76" i="6"/>
  <c r="H76" i="6"/>
  <c r="J76" i="6"/>
  <c r="B77" i="6"/>
  <c r="I77" i="6" s="1"/>
  <c r="B78" i="6" l="1"/>
  <c r="I78" i="6" s="1"/>
  <c r="J77" i="6"/>
  <c r="F77" i="6"/>
  <c r="G77" i="6"/>
  <c r="H77" i="6"/>
  <c r="F78" i="6" l="1"/>
  <c r="H78" i="6"/>
  <c r="G78" i="6"/>
  <c r="J78" i="6"/>
  <c r="B79" i="6"/>
  <c r="I79" i="6" s="1"/>
  <c r="B80" i="6" l="1"/>
  <c r="I80" i="6" s="1"/>
  <c r="H79" i="6"/>
  <c r="G79" i="6"/>
  <c r="F79" i="6"/>
  <c r="J79" i="6"/>
  <c r="B81" i="6" l="1"/>
  <c r="I81" i="6" s="1"/>
  <c r="J80" i="6"/>
  <c r="H80" i="6"/>
  <c r="F80" i="6"/>
  <c r="G80" i="6"/>
  <c r="J81" i="6" l="1"/>
  <c r="H81" i="6"/>
  <c r="F81" i="6"/>
  <c r="G81" i="6"/>
  <c r="B82" i="6"/>
  <c r="I82" i="6" s="1"/>
  <c r="J82" i="6" l="1"/>
  <c r="F82" i="6"/>
  <c r="H82" i="6"/>
  <c r="G82" i="6"/>
  <c r="B83" i="6"/>
  <c r="I83" i="6" s="1"/>
  <c r="B84" i="6" l="1"/>
  <c r="I84" i="6" s="1"/>
  <c r="F83" i="6"/>
  <c r="J83" i="6"/>
  <c r="G83" i="6"/>
  <c r="H83" i="6"/>
  <c r="B85" i="6" l="1"/>
  <c r="I85" i="6" s="1"/>
  <c r="F84" i="6"/>
  <c r="G84" i="6"/>
  <c r="H84" i="6"/>
  <c r="J84" i="6"/>
  <c r="B86" i="6" l="1"/>
  <c r="I86" i="6" s="1"/>
  <c r="J85" i="6"/>
  <c r="H85" i="6"/>
  <c r="G85" i="6"/>
  <c r="F85" i="6"/>
  <c r="B87" i="6" l="1"/>
  <c r="I87" i="6" s="1"/>
  <c r="H86" i="6"/>
  <c r="J86" i="6"/>
  <c r="F86" i="6"/>
  <c r="G86" i="6"/>
  <c r="G87" i="6" l="1"/>
  <c r="H87" i="6"/>
  <c r="J87" i="6"/>
  <c r="F87" i="6"/>
  <c r="B88" i="6"/>
  <c r="I88" i="6" s="1"/>
  <c r="B89" i="6" l="1"/>
  <c r="I89" i="6" s="1"/>
  <c r="G88" i="6"/>
  <c r="J88" i="6"/>
  <c r="H88" i="6"/>
  <c r="F88" i="6"/>
  <c r="F89" i="6" l="1"/>
  <c r="H89" i="6"/>
  <c r="J89" i="6"/>
  <c r="G89" i="6"/>
  <c r="B90" i="6"/>
  <c r="I90" i="6" s="1"/>
  <c r="H90" i="6" l="1"/>
  <c r="F90" i="6"/>
  <c r="G90" i="6"/>
  <c r="J90" i="6"/>
  <c r="B91" i="6"/>
  <c r="I91" i="6" s="1"/>
  <c r="H91" i="6" l="1"/>
  <c r="G91" i="6"/>
  <c r="F91" i="6"/>
  <c r="J91" i="6"/>
  <c r="B92" i="6"/>
  <c r="I92" i="6" s="1"/>
  <c r="H92" i="6" l="1"/>
  <c r="J92" i="6"/>
  <c r="G92" i="6"/>
  <c r="F92" i="6"/>
  <c r="B93" i="6"/>
  <c r="I93" i="6" s="1"/>
  <c r="J93" i="6" l="1"/>
  <c r="G93" i="6"/>
  <c r="F93" i="6"/>
  <c r="H93" i="6"/>
  <c r="B94" i="6"/>
  <c r="I94" i="6" s="1"/>
  <c r="J94" i="6" l="1"/>
  <c r="F94" i="6"/>
  <c r="H94" i="6"/>
  <c r="G94" i="6"/>
  <c r="B95" i="6"/>
  <c r="I95" i="6" s="1"/>
  <c r="G95" i="6" l="1"/>
  <c r="H95" i="6"/>
  <c r="F95" i="6"/>
  <c r="J95" i="6"/>
  <c r="B96" i="6"/>
  <c r="I96" i="6" s="1"/>
  <c r="B97" i="6" l="1"/>
  <c r="I97" i="6" s="1"/>
  <c r="J96" i="6"/>
  <c r="G96" i="6"/>
  <c r="H96" i="6"/>
  <c r="F96" i="6"/>
  <c r="J97" i="6" l="1"/>
  <c r="F97" i="6"/>
  <c r="H97" i="6"/>
  <c r="G97" i="6"/>
  <c r="B98" i="6"/>
  <c r="I98" i="6" s="1"/>
  <c r="B99" i="6" l="1"/>
  <c r="I99" i="6" s="1"/>
  <c r="J98" i="6"/>
  <c r="G98" i="6"/>
  <c r="H98" i="6"/>
  <c r="F98" i="6"/>
  <c r="B100" i="6" l="1"/>
  <c r="I100" i="6" s="1"/>
  <c r="F99" i="6"/>
  <c r="H99" i="6"/>
  <c r="G99" i="6"/>
  <c r="J99" i="6"/>
  <c r="B101" i="6" l="1"/>
  <c r="I101" i="6" s="1"/>
  <c r="J100" i="6"/>
  <c r="F100" i="6"/>
  <c r="G100" i="6"/>
  <c r="H100" i="6"/>
  <c r="B102" i="6" l="1"/>
  <c r="I102" i="6" s="1"/>
  <c r="J101" i="6"/>
  <c r="H101" i="6"/>
  <c r="G101" i="6"/>
  <c r="F101" i="6"/>
  <c r="G102" i="6" l="1"/>
  <c r="H102" i="6"/>
  <c r="J102" i="6"/>
  <c r="F102" i="6"/>
  <c r="B103" i="6"/>
  <c r="I103" i="6" s="1"/>
  <c r="B104" i="6" l="1"/>
  <c r="I104" i="6" s="1"/>
  <c r="J103" i="6"/>
  <c r="F103" i="6"/>
  <c r="G103" i="6"/>
  <c r="H103" i="6"/>
  <c r="F104" i="6" l="1"/>
  <c r="G104" i="6"/>
  <c r="H104" i="6"/>
  <c r="J104" i="6"/>
  <c r="B105" i="6"/>
  <c r="I105" i="6" s="1"/>
  <c r="F105" i="6" l="1"/>
  <c r="H105" i="6"/>
  <c r="G105" i="6"/>
  <c r="J105" i="6"/>
  <c r="B106" i="6"/>
  <c r="I106" i="6" s="1"/>
  <c r="J106" i="6" l="1"/>
  <c r="H106" i="6"/>
  <c r="F106" i="6"/>
  <c r="G106" i="6"/>
  <c r="B107" i="6"/>
  <c r="I107" i="6" s="1"/>
  <c r="F107" i="6" l="1"/>
  <c r="H107" i="6"/>
  <c r="G107" i="6"/>
  <c r="J107" i="6"/>
  <c r="B108" i="6"/>
  <c r="I108" i="6" s="1"/>
  <c r="F108" i="6" l="1"/>
  <c r="H108" i="6"/>
  <c r="G108" i="6"/>
  <c r="J108" i="6"/>
  <c r="B109" i="6"/>
  <c r="I109" i="6" s="1"/>
  <c r="J109" i="6" l="1"/>
  <c r="F109" i="6"/>
  <c r="G109" i="6"/>
  <c r="H109" i="6"/>
  <c r="B110" i="6"/>
  <c r="I110" i="6" s="1"/>
  <c r="G110" i="6" l="1"/>
  <c r="H110" i="6"/>
  <c r="J110" i="6"/>
  <c r="F110" i="6"/>
  <c r="B111" i="6"/>
  <c r="I111" i="6" s="1"/>
  <c r="B112" i="6" l="1"/>
  <c r="I112" i="6" s="1"/>
  <c r="H111" i="6"/>
  <c r="G111" i="6"/>
  <c r="J111" i="6"/>
  <c r="F111" i="6"/>
  <c r="B113" i="6" l="1"/>
  <c r="I113" i="6" s="1"/>
  <c r="J112" i="6"/>
  <c r="G112" i="6"/>
  <c r="H112" i="6"/>
  <c r="F112" i="6"/>
  <c r="H113" i="6" l="1"/>
  <c r="F113" i="6"/>
  <c r="G113" i="6"/>
  <c r="J113" i="6"/>
  <c r="B114" i="6"/>
  <c r="I114" i="6" s="1"/>
  <c r="F114" i="6" l="1"/>
  <c r="H114" i="6"/>
  <c r="J114" i="6"/>
  <c r="G114" i="6"/>
  <c r="B115" i="6"/>
  <c r="I115" i="6" s="1"/>
  <c r="F115" i="6" l="1"/>
  <c r="G115" i="6"/>
  <c r="J115" i="6"/>
  <c r="H115" i="6"/>
  <c r="B116" i="6"/>
  <c r="I116" i="6" s="1"/>
  <c r="B117" i="6" l="1"/>
  <c r="I117" i="6" s="1"/>
  <c r="H116" i="6"/>
  <c r="J116" i="6"/>
  <c r="F116" i="6"/>
  <c r="G116" i="6"/>
  <c r="B118" i="6" l="1"/>
  <c r="I118" i="6" s="1"/>
  <c r="J117" i="6"/>
  <c r="H117" i="6"/>
  <c r="G117" i="6"/>
  <c r="F117" i="6"/>
  <c r="B120" i="6" l="1"/>
  <c r="I120" i="6" s="1"/>
  <c r="B119" i="6"/>
  <c r="I119" i="6" s="1"/>
  <c r="F118" i="6"/>
  <c r="G118" i="6"/>
  <c r="H118" i="6"/>
  <c r="J118" i="6"/>
  <c r="G119" i="6" l="1"/>
  <c r="H119" i="6"/>
  <c r="J119" i="6"/>
  <c r="F119" i="6"/>
  <c r="J120" i="6"/>
  <c r="F120" i="6"/>
  <c r="G120" i="6"/>
  <c r="H120" i="6"/>
</calcChain>
</file>

<file path=xl/connections.xml><?xml version="1.0" encoding="utf-8"?>
<connections xmlns="http://schemas.openxmlformats.org/spreadsheetml/2006/main">
  <connection id="1" name="Denver Train Runs 04122016" type="6" refreshedVersion="5" deleted="1" background="1" saveData="1">
    <textPr codePage="437" sourceFile="C:\Users\rwhitlock\Desktop\Denver Train Runs 04122016.txt">
      <textFields count="10">
        <textField/>
        <textField/>
        <textField/>
        <textField/>
        <textField/>
        <textField/>
        <textField/>
        <textField/>
        <textField/>
        <textField/>
      </textFields>
    </textPr>
  </connection>
</connections>
</file>

<file path=xl/sharedStrings.xml><?xml version="1.0" encoding="utf-8"?>
<sst xmlns="http://schemas.openxmlformats.org/spreadsheetml/2006/main" count="2474" uniqueCount="914">
  <si>
    <t>Train ID</t>
  </si>
  <si>
    <t>Departure/Init Location</t>
  </si>
  <si>
    <t>Initialization Date/Time (US/Mountain)</t>
  </si>
  <si>
    <t>Departure Date/Time (US/Mountain)</t>
  </si>
  <si>
    <t>Delay (minutes)</t>
  </si>
  <si>
    <t>Arrival Location</t>
  </si>
  <si>
    <t>Arrival Date/Time (US/Mountain)</t>
  </si>
  <si>
    <t>2083 Enforcements (count)</t>
  </si>
  <si>
    <t>Trip Length</t>
  </si>
  <si>
    <t>Cut out runs</t>
  </si>
  <si>
    <t>PTC Runs</t>
  </si>
  <si>
    <t>Average</t>
  </si>
  <si>
    <t>Min</t>
  </si>
  <si>
    <t>Max</t>
  </si>
  <si>
    <t>Total</t>
  </si>
  <si>
    <t>NA</t>
  </si>
  <si>
    <t>Total Completed PTC runs</t>
  </si>
  <si>
    <t>Single Init runs</t>
  </si>
  <si>
    <t>Cut out</t>
  </si>
  <si>
    <t>Total Completed PTC runs (%)</t>
  </si>
  <si>
    <t>Trip Start MP</t>
  </si>
  <si>
    <t>Trip End MP</t>
  </si>
  <si>
    <t>Trip Distance</t>
  </si>
  <si>
    <t>Concerning?</t>
  </si>
  <si>
    <t>Comments</t>
  </si>
  <si>
    <t>Operating Date</t>
  </si>
  <si>
    <t>Onboard Software Version</t>
  </si>
  <si>
    <t>System Enforcement Y/N</t>
  </si>
  <si>
    <t xml:space="preserve">Data.Enforcement Direction of Travel </t>
  </si>
  <si>
    <t xml:space="preserve">Data.Target Start Milepost </t>
  </si>
  <si>
    <t xml:space="preserve">Data.Target Type </t>
  </si>
  <si>
    <t xml:space="preserve">Data.Enforcement Start Milepost </t>
  </si>
  <si>
    <t xml:space="preserve">Data.Enforcement Train Speed </t>
  </si>
  <si>
    <t xml:space="preserve">Data.Target Speed </t>
  </si>
  <si>
    <t xml:space="preserve">Data.Target Description </t>
  </si>
  <si>
    <t xml:space="preserve">Data.Warning/Enforcement Type </t>
  </si>
  <si>
    <t xml:space="preserve">Data.Train ID </t>
  </si>
  <si>
    <t xml:space="preserve">Source </t>
  </si>
  <si>
    <t xml:space="preserve">Time </t>
  </si>
  <si>
    <t>Enforcement MP</t>
  </si>
  <si>
    <t>Enforcement Desc</t>
  </si>
  <si>
    <t>w/o multiple inits</t>
  </si>
  <si>
    <t>w/ multiple inits</t>
  </si>
  <si>
    <t>Multi Init runs</t>
  </si>
  <si>
    <t>Loco ID</t>
  </si>
  <si>
    <t>Kibana Link</t>
  </si>
  <si>
    <t>Status</t>
  </si>
  <si>
    <t>Operator Name</t>
  </si>
  <si>
    <t>Difference between last trip</t>
  </si>
  <si>
    <t>Predictive Enforcement (2)</t>
  </si>
  <si>
    <t>Increasing Mileposts (1)</t>
  </si>
  <si>
    <t>Decreasing Mileposts (2)</t>
  </si>
  <si>
    <t>sunday - thu - 144/day</t>
  </si>
  <si>
    <t>fri-sat - 146/day</t>
  </si>
  <si>
    <t>Married Pair</t>
  </si>
  <si>
    <t>Kibana URL</t>
  </si>
  <si>
    <t>Possible Explanation</t>
  </si>
  <si>
    <t>Recorded Operator</t>
  </si>
  <si>
    <t>Trip ID</t>
  </si>
  <si>
    <t># Of Times Offered</t>
  </si>
  <si>
    <t>Loco</t>
  </si>
  <si>
    <t>Recorded Loco</t>
  </si>
  <si>
    <t>Recorded time</t>
  </si>
  <si>
    <t>Xing Completion Percentage</t>
  </si>
  <si>
    <t>IsEven</t>
  </si>
  <si>
    <t>Xing#</t>
  </si>
  <si>
    <t>BEGINMILEPOST</t>
  </si>
  <si>
    <t>ENDMILEPOST</t>
  </si>
  <si>
    <t>York and Josephine Street</t>
  </si>
  <si>
    <t>CLAYTON ST</t>
  </si>
  <si>
    <t>STEELE ST</t>
  </si>
  <si>
    <t>Dahlia Street</t>
  </si>
  <si>
    <t>Holly Street</t>
  </si>
  <si>
    <t>Monaco Parkway</t>
  </si>
  <si>
    <t>SB Quebec Parkway</t>
  </si>
  <si>
    <t>NB Quebec Parkway</t>
  </si>
  <si>
    <t>Ulster Street</t>
  </si>
  <si>
    <t>Havana Street</t>
  </si>
  <si>
    <t>Sable Boulevard</t>
  </si>
  <si>
    <t>Chambers Road</t>
  </si>
  <si>
    <t>Possible System Enforcement</t>
  </si>
  <si>
    <t>Training enforcement</t>
  </si>
  <si>
    <t>Trip Number Sortable</t>
  </si>
  <si>
    <t>LocoID</t>
  </si>
  <si>
    <t>UTC Time</t>
  </si>
  <si>
    <t>AstroGrep Path</t>
  </si>
  <si>
    <t>Search Path</t>
  </si>
  <si>
    <t>Search RegExp</t>
  </si>
  <si>
    <t>AstroGrepCall</t>
  </si>
  <si>
    <t>AWS CP</t>
  </si>
  <si>
    <t>S3 Bucket</t>
  </si>
  <si>
    <t>s3://rtdc.mdm.uploadarchive</t>
  </si>
  <si>
    <t>WalkAndUnGZ</t>
  </si>
  <si>
    <t>C:\Users\stu\Documents\GitHub\mrs-test-scripts\Headless Mode &amp; Sideloading\WalkAndUnGZ.bat</t>
  </si>
  <si>
    <t>AstroGrep</t>
  </si>
  <si>
    <t>UTC Offset</t>
  </si>
  <si>
    <t>EC or NWGL</t>
  </si>
  <si>
    <t>Omit due to TWC &lt; 1</t>
  </si>
  <si>
    <t>Reactive Enforcement (3)</t>
  </si>
  <si>
    <t>EC Threshold for Pink Highlight (Slow Run) (mins)</t>
  </si>
  <si>
    <t>NWGL Threshold for Pink Highlight (Slow run) (mins)</t>
  </si>
  <si>
    <t>EC Crossings</t>
  </si>
  <si>
    <t>NW Crossings</t>
  </si>
  <si>
    <t>BNSF FUEL YARD</t>
  </si>
  <si>
    <t>Kibana link</t>
  </si>
  <si>
    <t>EC</t>
  </si>
  <si>
    <t>NW</t>
  </si>
  <si>
    <t>EC/NW/GL</t>
  </si>
  <si>
    <t>RefineRTDCRunTimes</t>
  </si>
  <si>
    <t>RefineTime</t>
  </si>
  <si>
    <t>"%USERPROFILE%\Documents\GitHub\eaglep3\Utilities\RefineRTDCRunTimes.py"</t>
  </si>
  <si>
    <t>%USERPROFILE%\Documents\GitHub\mrs-test-scripts\Headless Mode &amp; Sideloading\WalkAndUnGZ.bat</t>
  </si>
  <si>
    <t>"%USERPROFILE%\AppData\Local\Temp\OnboardLogs"</t>
  </si>
  <si>
    <t xml:space="preserve">baselines for EC: </t>
  </si>
  <si>
    <t>baselines for NWES:</t>
  </si>
  <si>
    <t>M - F = 47 trips</t>
  </si>
  <si>
    <t>Sat - Sun = 33 Trips</t>
  </si>
  <si>
    <t>Redmine API Key</t>
  </si>
  <si>
    <t>Redmine URL</t>
  </si>
  <si>
    <t>d6333d4a04012a730768444271f8ca06482dae87</t>
  </si>
  <si>
    <t>https://secure.xorail.net/redmine/issues.json</t>
  </si>
  <si>
    <t>Impact</t>
  </si>
  <si>
    <t>Operational Impact</t>
  </si>
  <si>
    <t>Denver Segment Assigned</t>
  </si>
  <si>
    <t>Enforcement</t>
  </si>
  <si>
    <t>Yes</t>
  </si>
  <si>
    <t>General</t>
  </si>
  <si>
    <t>Failed State</t>
  </si>
  <si>
    <t>No</t>
  </si>
  <si>
    <t>Signal</t>
  </si>
  <si>
    <t>Unexpected Cut-Out or Disengaged</t>
  </si>
  <si>
    <t>Crossings</t>
  </si>
  <si>
    <t>Initialization Problem</t>
  </si>
  <si>
    <t>STMS</t>
  </si>
  <si>
    <t>Immediate Train Stop</t>
  </si>
  <si>
    <t>Comms</t>
  </si>
  <si>
    <t>Others</t>
  </si>
  <si>
    <t>Wi-MAX</t>
  </si>
  <si>
    <t>Loco - Comms</t>
  </si>
  <si>
    <t>Subdiv</t>
  </si>
  <si>
    <t>RTDC Issue</t>
  </si>
  <si>
    <t>TBD</t>
  </si>
  <si>
    <t>Training</t>
  </si>
  <si>
    <t>Redmine Status</t>
  </si>
  <si>
    <t>Redmine Priority</t>
  </si>
  <si>
    <t>Redmine Assignee</t>
  </si>
  <si>
    <t>Redmine Operational Impact</t>
  </si>
  <si>
    <t>Redmine cURL</t>
  </si>
  <si>
    <t>Redmine add'l desc</t>
  </si>
  <si>
    <t>Seg't</t>
  </si>
  <si>
    <t>Output Refined Run Times to File?</t>
  </si>
  <si>
    <t>RefinedRTDCRunTimesOutputFile</t>
  </si>
  <si>
    <t>Trip Number</t>
  </si>
  <si>
    <t>Data.Current Information Milepost</t>
  </si>
  <si>
    <t>Stopped Distance Short of Target (ft)</t>
  </si>
  <si>
    <t>ozone</t>
  </si>
  <si>
    <t>temperature</t>
  </si>
  <si>
    <t>icon</t>
  </si>
  <si>
    <t>dewPoint</t>
  </si>
  <si>
    <t>humidity</t>
  </si>
  <si>
    <t>visibility</t>
  </si>
  <si>
    <t>summary</t>
  </si>
  <si>
    <t>apparentTemperature</t>
  </si>
  <si>
    <t>pressure</t>
  </si>
  <si>
    <t>windSpeed</t>
  </si>
  <si>
    <t>cloudCover</t>
  </si>
  <si>
    <t>time</t>
  </si>
  <si>
    <t>windBearing</t>
  </si>
  <si>
    <t>precipIntensity</t>
  </si>
  <si>
    <t>precipProbability</t>
  </si>
  <si>
    <t>human_readable_time</t>
  </si>
  <si>
    <t>Loco - PTC</t>
  </si>
  <si>
    <t>Power</t>
  </si>
  <si>
    <t>CLI Grep</t>
  </si>
  <si>
    <t>Time (US/Mountain)</t>
  </si>
  <si>
    <t>Source</t>
  </si>
  <si>
    <t>Employee Identifier</t>
  </si>
  <si>
    <t>Employee Last Name</t>
  </si>
  <si>
    <t>s3://rtdc.mdm.uploadarchive.raw</t>
  </si>
  <si>
    <t>Powered by darksky [darksky.net]</t>
  </si>
  <si>
    <t>Enforcements Text</t>
  </si>
  <si>
    <t>Runs-Refined Text</t>
  </si>
  <si>
    <t>Trips Text</t>
  </si>
  <si>
    <t>Weather Text</t>
  </si>
  <si>
    <t>204:149</t>
  </si>
  <si>
    <t>N</t>
  </si>
  <si>
    <t>SIGNAL</t>
  </si>
  <si>
    <t>Signal based authority (5)</t>
  </si>
  <si>
    <t>TRACK WARRANT AUTHORITY</t>
  </si>
  <si>
    <t>Form based authority (4)</t>
  </si>
  <si>
    <t>Summary for DUS 2016-10-12: Partly cloudy until night.</t>
  </si>
  <si>
    <t>AWS CP Commands</t>
  </si>
  <si>
    <t>rtdc.l.rtdc.4011:itc</t>
  </si>
  <si>
    <t>DE.1.0.8.0</t>
  </si>
  <si>
    <t>Human Factors</t>
  </si>
  <si>
    <t>rtdc.l.rtdc.4012:itc</t>
  </si>
  <si>
    <t>204:150</t>
  </si>
  <si>
    <t>rtdc.l.rtdc.4022:itc</t>
  </si>
  <si>
    <t>rtdc.l.rtdc.4038:itc</t>
  </si>
  <si>
    <t>CLI Grep2 (for slice disagreement)</t>
  </si>
  <si>
    <t>204:145</t>
  </si>
  <si>
    <t>GRADE CROSSING</t>
  </si>
  <si>
    <t>Bulletin (2)</t>
  </si>
  <si>
    <t>JAMES</t>
  </si>
  <si>
    <t>Last + First</t>
  </si>
  <si>
    <t>Employee First Name</t>
  </si>
  <si>
    <t>204:147</t>
  </si>
  <si>
    <t>MICHAEL</t>
  </si>
  <si>
    <t>204:160</t>
  </si>
  <si>
    <t>204:462</t>
  </si>
  <si>
    <t>NEWELL</t>
  </si>
  <si>
    <t>204:449</t>
  </si>
  <si>
    <t>204:152</t>
  </si>
  <si>
    <t>204:158</t>
  </si>
  <si>
    <t>rtdc.l.rtdc.4030:itc</t>
  </si>
  <si>
    <t>AWS CP Parallel</t>
  </si>
  <si>
    <t>DownloadS3Logs</t>
  </si>
  <si>
    <t>%USERPROFILE%\Documents\GitHub\eaglep3\Utilities\DownloadLogsFromS3.py</t>
  </si>
  <si>
    <t>:.+((SYSTEM_STATE.+slice.+state.+changed )|(ment ac)|(multiple cpu faults)|(system.+state.+changed )|(\[timeout)|(PRM\|1\|D)|(kpr)|(kdp)|(\|lc)|(penalty))</t>
  </si>
  <si>
    <t>PERMANENT SPEED RESTRICTION</t>
  </si>
  <si>
    <t>Speed (6)</t>
  </si>
  <si>
    <t>Y</t>
  </si>
  <si>
    <t>204:469</t>
  </si>
  <si>
    <t>204:233299</t>
  </si>
  <si>
    <t>rtdc.l.rtdc.4026:itc</t>
  </si>
  <si>
    <t>204:154</t>
  </si>
  <si>
    <t>204:458</t>
  </si>
  <si>
    <t>HILLS</t>
  </si>
  <si>
    <t>DUSTIN</t>
  </si>
  <si>
    <t>rtdc.l.rtdc.4046:itc</t>
  </si>
  <si>
    <t>rtdc.l.rtdc.4045:itc</t>
  </si>
  <si>
    <t>rtdc.l.rtdc.4021:itc</t>
  </si>
  <si>
    <t>Uncaught Wi-MAX GREP</t>
  </si>
  <si>
    <t>rtdc.l.rtdc.4028:itc</t>
  </si>
  <si>
    <t>rtdc.l.rtdc.4027:itc</t>
  </si>
  <si>
    <t>MCREYNOLDS</t>
  </si>
  <si>
    <t>KYLE</t>
  </si>
  <si>
    <t>204:143</t>
  </si>
  <si>
    <t>rtdc.l.rtdc.4015:itc</t>
  </si>
  <si>
    <t>rtdc.l.rtdc.4029:itc</t>
  </si>
  <si>
    <t>204:451</t>
  </si>
  <si>
    <t>204:457</t>
  </si>
  <si>
    <t>STORY</t>
  </si>
  <si>
    <t>SAMANTHA</t>
  </si>
  <si>
    <t>204:460</t>
  </si>
  <si>
    <t>rtdc.l.rtdc.4007:itc</t>
  </si>
  <si>
    <t>BROWN</t>
  </si>
  <si>
    <t>JACOB</t>
  </si>
  <si>
    <t>rtdc.l.rtdc.4025:itc</t>
  </si>
  <si>
    <t>78-18</t>
  </si>
  <si>
    <t>NELSON</t>
  </si>
  <si>
    <t>ARIANE</t>
  </si>
  <si>
    <t>80-18</t>
  </si>
  <si>
    <t>81-18</t>
  </si>
  <si>
    <t>77-18</t>
  </si>
  <si>
    <t>rtdc.l.rtdc.4054:itc</t>
  </si>
  <si>
    <t>85-18</t>
  </si>
  <si>
    <t>COMELLA</t>
  </si>
  <si>
    <t>JUSTIN</t>
  </si>
  <si>
    <t>86-18</t>
  </si>
  <si>
    <t>rtdc.l.rtdc.4053:itc</t>
  </si>
  <si>
    <t>244-18</t>
  </si>
  <si>
    <t>313-18</t>
  </si>
  <si>
    <t>315-18</t>
  </si>
  <si>
    <t>rtdc.l.rtdc.4043:itc</t>
  </si>
  <si>
    <t>STAMBAUGH</t>
  </si>
  <si>
    <t>244-20</t>
  </si>
  <si>
    <t>311-20</t>
  </si>
  <si>
    <t>313-20</t>
  </si>
  <si>
    <t>302-21</t>
  </si>
  <si>
    <t>SANTIZO</t>
  </si>
  <si>
    <t>D. EDY</t>
  </si>
  <si>
    <t>partly-cloudy-night</t>
  </si>
  <si>
    <t>partly-cloudy-day</t>
  </si>
  <si>
    <t>Partly Cloudy</t>
  </si>
  <si>
    <t>204:453</t>
  </si>
  <si>
    <t>204:471</t>
  </si>
  <si>
    <t>rtdc.l.rtdc.4003:itc</t>
  </si>
  <si>
    <t>rtdc.l.rtdc.4004:itc</t>
  </si>
  <si>
    <t>CHANDLER</t>
  </si>
  <si>
    <t>KELVIN</t>
  </si>
  <si>
    <t>rtdc.l.rtdc.4041:itc</t>
  </si>
  <si>
    <t>rtdc.l.rtdc.4042:itc</t>
  </si>
  <si>
    <t>204:232982</t>
  </si>
  <si>
    <t>204:233301</t>
  </si>
  <si>
    <t>204:232994</t>
  </si>
  <si>
    <t>204:467</t>
  </si>
  <si>
    <t>rtdc.l.rtdc.4002:itc</t>
  </si>
  <si>
    <t>204:233307</t>
  </si>
  <si>
    <t>204:156</t>
  </si>
  <si>
    <t>204:446</t>
  </si>
  <si>
    <t>204:455</t>
  </si>
  <si>
    <t>rtdc.l.rtdc.4051:itc</t>
  </si>
  <si>
    <t>rtdc.l.rtdc.4052:itc</t>
  </si>
  <si>
    <t>241-26</t>
  </si>
  <si>
    <t>242-26</t>
  </si>
  <si>
    <t>239-26</t>
  </si>
  <si>
    <t>238-26</t>
  </si>
  <si>
    <t>243-26</t>
  </si>
  <si>
    <t>240-26</t>
  </si>
  <si>
    <t>309-26</t>
  </si>
  <si>
    <t>311-26</t>
  </si>
  <si>
    <t>244-26</t>
  </si>
  <si>
    <t>313-26</t>
  </si>
  <si>
    <t>315-26</t>
  </si>
  <si>
    <t>204:233311</t>
  </si>
  <si>
    <t>204:233308</t>
  </si>
  <si>
    <t>204:139</t>
  </si>
  <si>
    <t>204:232998</t>
  </si>
  <si>
    <t>204:232979</t>
  </si>
  <si>
    <t>204:233323</t>
  </si>
  <si>
    <t>204:232992</t>
  </si>
  <si>
    <t>204:437</t>
  </si>
  <si>
    <t>204:233278</t>
  </si>
  <si>
    <t>204:233304</t>
  </si>
  <si>
    <t>204:232976</t>
  </si>
  <si>
    <t>rtdc.l.rtdc.4016:itc</t>
  </si>
  <si>
    <t>Mostly Cloudy</t>
  </si>
  <si>
    <t>204:447</t>
  </si>
  <si>
    <t>204:232993</t>
  </si>
  <si>
    <t>204:233317</t>
  </si>
  <si>
    <t>204:233291</t>
  </si>
  <si>
    <t>rtdc.l.rtdc.4010:itc</t>
  </si>
  <si>
    <t>rtdc.l.rtdc.4009:itc</t>
  </si>
  <si>
    <t>204:232977</t>
  </si>
  <si>
    <t>204:138</t>
  </si>
  <si>
    <t>204:232986</t>
  </si>
  <si>
    <t>204:232981</t>
  </si>
  <si>
    <t>204:167</t>
  </si>
  <si>
    <t>204:233309</t>
  </si>
  <si>
    <t>204:233303</t>
  </si>
  <si>
    <t>204:233306</t>
  </si>
  <si>
    <t>204:232985</t>
  </si>
  <si>
    <t>204:174</t>
  </si>
  <si>
    <t>300:23346</t>
  </si>
  <si>
    <t>300:58944</t>
  </si>
  <si>
    <t>300:58624</t>
  </si>
  <si>
    <t>rtdc.l.rtdc.4055:itc</t>
  </si>
  <si>
    <t>GEBRETEKLE</t>
  </si>
  <si>
    <t>DAGNEW</t>
  </si>
  <si>
    <t>YORK</t>
  </si>
  <si>
    <t>EDGAR</t>
  </si>
  <si>
    <t>BADERTSCHER</t>
  </si>
  <si>
    <t>DIANE</t>
  </si>
  <si>
    <t>HELVIE</t>
  </si>
  <si>
    <t>ADAM</t>
  </si>
  <si>
    <t>WHITED</t>
  </si>
  <si>
    <t>rtdc.l.rtdc.4057:itc</t>
  </si>
  <si>
    <t>311-01</t>
  </si>
  <si>
    <t>313-01</t>
  </si>
  <si>
    <t>315-01</t>
  </si>
  <si>
    <t>204:129</t>
  </si>
  <si>
    <t>204:750</t>
  </si>
  <si>
    <t>204:232963</t>
  </si>
  <si>
    <t>204:232978</t>
  </si>
  <si>
    <t>204:233302</t>
  </si>
  <si>
    <t>204:232991</t>
  </si>
  <si>
    <t>204:233015</t>
  </si>
  <si>
    <t>204:438</t>
  </si>
  <si>
    <t>204:233293</t>
  </si>
  <si>
    <t>204:442</t>
  </si>
  <si>
    <t>204:232959</t>
  </si>
  <si>
    <t>204:233270</t>
  </si>
  <si>
    <t>204:233004</t>
  </si>
  <si>
    <t>204:475</t>
  </si>
  <si>
    <t>204:233289</t>
  </si>
  <si>
    <t>204:232996</t>
  </si>
  <si>
    <t>204:233027</t>
  </si>
  <si>
    <t>204:233288</t>
  </si>
  <si>
    <t>204:748</t>
  </si>
  <si>
    <t>204:1032</t>
  </si>
  <si>
    <t>300:58623</t>
  </si>
  <si>
    <t>rtdc.l.rtdc.4019:itc</t>
  </si>
  <si>
    <t>SOUTH57-02</t>
  </si>
  <si>
    <t>SHOOK</t>
  </si>
  <si>
    <t>JOHN</t>
  </si>
  <si>
    <t>rtdc.l.rtdc.4001:itc</t>
  </si>
  <si>
    <t>SMITH</t>
  </si>
  <si>
    <t>rtdc.l.rtdc.4018:itc</t>
  </si>
  <si>
    <t>MACDONALD</t>
  </si>
  <si>
    <t>THOMAS</t>
  </si>
  <si>
    <t>YANG</t>
  </si>
  <si>
    <t>JAN</t>
  </si>
  <si>
    <t>SIMMONS</t>
  </si>
  <si>
    <t>SHYHESHA</t>
  </si>
  <si>
    <t>GRASTON</t>
  </si>
  <si>
    <t>MATHEU</t>
  </si>
  <si>
    <t>NORTH55-02</t>
  </si>
  <si>
    <t>309-02</t>
  </si>
  <si>
    <t>242-02</t>
  </si>
  <si>
    <t>311-02</t>
  </si>
  <si>
    <t>244-02</t>
  </si>
  <si>
    <t>313-02</t>
  </si>
  <si>
    <t>315-02</t>
  </si>
  <si>
    <t>204:233334</t>
  </si>
  <si>
    <t>204:233006</t>
  </si>
  <si>
    <t>204:233282</t>
  </si>
  <si>
    <t>204:424</t>
  </si>
  <si>
    <t>204:233310</t>
  </si>
  <si>
    <t>204:464</t>
  </si>
  <si>
    <t>204:232965</t>
  </si>
  <si>
    <t>204:233312</t>
  </si>
  <si>
    <t>204:233315</t>
  </si>
  <si>
    <t>204:165</t>
  </si>
  <si>
    <t>204:431</t>
  </si>
  <si>
    <t>204:169</t>
  </si>
  <si>
    <t>204:466</t>
  </si>
  <si>
    <t>204:233366</t>
  </si>
  <si>
    <t>204:233285</t>
  </si>
  <si>
    <t>204:233300</t>
  </si>
  <si>
    <t>204:435</t>
  </si>
  <si>
    <t>204:478</t>
  </si>
  <si>
    <t>204:232971</t>
  </si>
  <si>
    <t>204:172</t>
  </si>
  <si>
    <t>204:233094</t>
  </si>
  <si>
    <t>204:488</t>
  </si>
  <si>
    <t>204:233314</t>
  </si>
  <si>
    <t>204:119</t>
  </si>
  <si>
    <t>204:233339</t>
  </si>
  <si>
    <t>300:23312</t>
  </si>
  <si>
    <t>204:1014</t>
  </si>
  <si>
    <t>204:712</t>
  </si>
  <si>
    <t>204:1027</t>
  </si>
  <si>
    <t>204:727</t>
  </si>
  <si>
    <t>SYS :2017/02/02 13:23:38.347:ENFORCEMENT:Predictive Enforcement Action:  Target Number: 00001005  Target Speed:   0.0  Current Speed:   7.1</t>
  </si>
  <si>
    <t>SYS :2017/02/02 13:23:38.509:ENFORCEMENT:Predictive Enforcement Action:  Target Number: 00001005  Target Speed:   0.0  Current Speed:   7.1</t>
  </si>
  <si>
    <t>SYS :2017/02/02 14:04:28.693:ENFORCEMENT:Predictive Enforcement Action:  Target Number: 00001003  Target Speed:   0.0  Current Speed:   9.0</t>
  </si>
  <si>
    <t>SYS :2017/02/02 14:04:28.994:ENFORCEMENT:Predictive Enforcement Action:  Target Number: 00001003  Target Speed:   0.0  Current Speed:   9.0</t>
  </si>
  <si>
    <t>SYS :2017/02/02 14:04:29.154:ENFORCEMENT:Predictive Enforcement Action:  Target Number: 00001003  Target Speed:   0.0  Current Speed:   9.0</t>
  </si>
  <si>
    <t>SYS :2017/02/02 14:21:42.185:ENFORCEMENT:Predictive Enforcement Action:  Target Number: 00010055  Target Speed:  20.0  Current Speed:  45.8</t>
  </si>
  <si>
    <t>SYS :2017/02/02 14:21:42.222:ENFORCEMENT:Predictive Enforcement Action:  Target Number: 00010009  Target Speed:  20.0  Current Speed:  45.8</t>
  </si>
  <si>
    <t>SYS :2017/02/02 14:21:42.756:ENFORCEMENT:Predictive Enforcement Action:  Target Number: 00010055  Target Speed:  20.0  Current Speed:  45.8</t>
  </si>
  <si>
    <t>SYS :2017/02/02 14:48:20.986:ENFORCEMENT:Predictive Enforcement Action:  Target Number: 00010016  Target Speed:  55.0  Current Speed:  79.5</t>
  </si>
  <si>
    <t>SYS :2017/02/02 14:48:21.182:ENFORCEMENT:Predictive Enforcement Action:  Target Number: 00010069  Target Speed:  55.0  Current Speed:  79.5</t>
  </si>
  <si>
    <t>SYS :2017/02/02 14:48:21.752:ENFORCEMENT:Predictive Enforcement Action:  Target Number: 00010068  Target Speed:  55.0  Current Speed:  79.5</t>
  </si>
  <si>
    <t>SYS :2017/02/02 15:26:15.951:ENFORCEMENT:Predictive Enforcement Action:  Target Number: 00010088  Target Speed:  30.0  Current Speed:  39.5</t>
  </si>
  <si>
    <t>SYS :2017/02/02 15:26:15.964:ENFORCEMENT:Predictive Enforcement Action:  Target Number: 00010088  Target Speed:  30.0  Current Speed:  39.9</t>
  </si>
  <si>
    <t>SYS :2017/02/02 15:26:16.086:ENFORCEMENT:Predictive Enforcement Action:  Target Number: 00010080  Target Speed:  30.0  Current Speed:  39.9</t>
  </si>
  <si>
    <t>SYS :2017/02/02 15:36:15.778:ENFORCEMENT:Predictive Enforcement Action:  Target Number: 00017038  Target Speed:   0.0  Current Speed:  23.6</t>
  </si>
  <si>
    <t>SYS :2017/02/02 15:36:16.920:ENFORCEMENT:Predictive Enforcement Action:  Target Number: 00017044  Target Speed:   0.0  Current Speed:  22.4</t>
  </si>
  <si>
    <t>SYS :2017/02/02 15:36:17.400:ENFORCEMENT:Predictive Enforcement Action:  Target Number: 00017044  Target Speed:   0.0  Current Speed:  22.4</t>
  </si>
  <si>
    <t>SYS :2017/02/02 16:51:30.559:ENFORCEMENT:Predictive Enforcement Action:  Target Number: 0000102B  Target Speed:   0.0  Current Speed:   9.7</t>
  </si>
  <si>
    <t>SYS :2017/02/02 16:51:30.912:ENFORCEMENT:Predictive Enforcement Action:  Target Number: 0000102B  Target Speed:   0.0  Current Speed:   9.7</t>
  </si>
  <si>
    <t>SYS :2017/02/02 16:51:31.380:ENFORCEMENT:Predictive Enforcement Action:  Target Number: 0000102B  Target Speed:   0.0  Current Speed:   9.7</t>
  </si>
  <si>
    <t>SYS :2017/02/02 16:52:05.919:ENFORCEMENT:Predictive Enforcement Action:  Target Number: 0000102B  Target Speed:   0.0  Current Speed:   4.2</t>
  </si>
  <si>
    <t>SYS :2017/02/02 16:52:06.371:ENFORCEMENT:Predictive Enforcement Action:  Target Number: 0000102B  Target Speed:   0.0  Current Speed:   4.2</t>
  </si>
  <si>
    <t>SYS :2017/02/02 16:52:08.554:ENFORCEMENT:Predictive Enforcement Action:  Target Number: 0000102B  Target Speed:   0.0  Current Speed:   4.1</t>
  </si>
  <si>
    <t>SYS :2017/02/02 16:55:07.476:ENFORCEMENT:Predictive Enforcement Action:  Target Number: 00017045  Target Speed:  24.0  Current Speed:  35.5</t>
  </si>
  <si>
    <t>SYS :2017/02/02 16:55:07.641:ENFORCEMENT:Predictive Enforcement Action:  Target Number: 00017045  Target Speed:  24.0  Current Speed:  35.6</t>
  </si>
  <si>
    <t>SYS :2017/02/02 17:23:18.412:ENFORCEMENT:Reactive Enforcement Action:  Target Number: 00017057  Target Speed:  15.0  Current Speed:  20.2</t>
  </si>
  <si>
    <t>SYS :2017/02/02 17:47:02.206:ENFORCEMENT:Predictive Enforcement Action:  Target Number: 00006116  Target Speed:   0.0  Current Speed:   6.4</t>
  </si>
  <si>
    <t>SYS :2017/02/02 17:51:41.353:ENFORCEMENT:Predictive Enforcement Action:  Target Number: 00010009  Target Speed:  20.0  Current Speed:  25.8</t>
  </si>
  <si>
    <t>SYS :2017/02/02 17:52:57.736:ENFORCEMENT:Predictive Enforcement Action:  Target Number: 00017062  Target Speed:   0.0  Current Speed:  18.0</t>
  </si>
  <si>
    <t>SYS :2017/02/02 17:52:57.779:ENFORCEMENT:Predictive Enforcement Action:  Target Number: 0001703E  Target Speed:   0.0  Current Speed:  17.0</t>
  </si>
  <si>
    <t>SYS :2017/02/02 18:17:02.566:ENFORCEMENT:Reactive Enforcement Action:  Target Number: 000063AD  Target Speed:   0.0  Current Speed:  47.8</t>
  </si>
  <si>
    <t>SYS :2017/02/02 18:17:03.367:ENFORCEMENT:Reactive Enforcement Action:  Target Number: 00006369  Target Speed:   0.0  Current Speed:  47.8</t>
  </si>
  <si>
    <t>SYS :2017/02/02 18:36:23.340:ENFORCEMENT:Predictive Enforcement Action:  Target Number: 0000100C  Target Speed:   0.0  Current Speed:   4.3</t>
  </si>
  <si>
    <t>SYS :2017/02/02 18:36:23.507:ENFORCEMENT:Predictive Enforcement Action:  Target Number: 0000100C  Target Speed:   0.0  Current Speed:   4.3</t>
  </si>
  <si>
    <t>SYS :2017/02/02 18:36:23.897:ENFORCEMENT:Predictive Enforcement Action:  Target Number: 0000100C  Target Speed:   0.0  Current Speed:   4.3</t>
  </si>
  <si>
    <t>SYS :2017/02/02 19:53:50.567:ENFORCEMENT:Predictive Enforcement Action:  Target Number: 000063F6  Target Speed:   0.0  Current Speed:  37.5</t>
  </si>
  <si>
    <t>SYS :2017/02/02 19:53:51.381:ENFORCEMENT:Predictive Enforcement Action:  Target Number: 000063B2  Target Speed:   0.0  Current Speed:  36.5</t>
  </si>
  <si>
    <t>SYS :2017/02/02 19:54:47.379:ENFORCEMENT:Reactive Enforcement Action:  Target Number: 000063B2  Target Speed:   0.0  Current Speed:   0.6</t>
  </si>
  <si>
    <t>SYS :2017/02/02 20:35:40.453:ENFORCEMENT:Predictive Enforcement Action:  Target Number: 0000100D  Target Speed:   0.0  Current Speed:   4.0</t>
  </si>
  <si>
    <t>SYS :2017/02/02 22:43:32.781:ENFORCEMENT:Predictive Enforcement Action:  Target Number: 00017095  Target Speed:   0.0  Current Speed:  49.1</t>
  </si>
  <si>
    <t>SYS :2017/02/02 22:43:34.398:ENFORCEMENT:Predictive Enforcement Action:  Target Number: 000170A1  Target Speed:   0.0  Current Speed:  45.8</t>
  </si>
  <si>
    <t>SYS :2017/02/03 00:27:13.281:ENFORCEMENT:Predictive Enforcement Action:  Target Number: 00001012  Target Speed:   0.0  Current Speed:   4.4</t>
  </si>
  <si>
    <t>SYS :2017/02/03 00:27:13.461:ENFORCEMENT:Predictive Enforcement Action:  Target Number: 0000100E  Target Speed:   0.0  Current Speed:   4.4</t>
  </si>
  <si>
    <t>SYS :2017/02/03 00:27:14.083:ENFORCEMENT:Predictive Enforcement Action:  Target Number: 00001012  Target Speed:   0.0  Current Speed:   4.4</t>
  </si>
  <si>
    <t>SYS :2017/02/03 01:27:26.085:ENFORCEMENT:Predictive Enforcement Action:  Target Number: 00001017  Target Speed:   0.0  Current Speed:   5.9</t>
  </si>
  <si>
    <t>SYS :2017/02/03 01:27:26.460:ENFORCEMENT:Predictive Enforcement Action:  Target Number: 00001013  Target Speed:   0.0  Current Speed:   5.9</t>
  </si>
  <si>
    <t>SYS :2017/02/03 01:27:27.274:ENFORCEMENT:Predictive Enforcement Action:  Target Number: 00001017  Target Speed:   0.0  Current Speed:   5.9</t>
  </si>
  <si>
    <t>SYS :2017/02/03 01:36:14.411:ENFORCEMENT:Predictive Enforcement Action:  Target Number: 00017173  Target Speed:   0.0  Current Speed:  20.3</t>
  </si>
  <si>
    <t>SYS :2017/02/03 01:36:14.993:ENFORCEMENT:Predictive Enforcement Action:  Target Number: 00017173  Target Speed:   0.0  Current Speed:  20.3</t>
  </si>
  <si>
    <t>SYS :2017/02/03 01:36:15.019:ENFORCEMENT:Predictive Enforcement Action:  Target Number: 0001716C  Target Speed:   0.0  Current Speed:  20.3</t>
  </si>
  <si>
    <t>SYS :2017/02/03 02:28:20.686:ENFORCEMENT:Reactive Enforcement Action:  Target Number: 000101D4  Target Speed:  35.0  Current Speed:  40.1</t>
  </si>
  <si>
    <t>SYS :2017/02/03 02:28:21.331:ENFORCEMENT:Reactive Enforcement Action:  Target Number: 00010366  Target Speed:  35.0  Current Speed:  40.1</t>
  </si>
  <si>
    <t>SYS :2017/02/03 02:28:21.373:ENFORCEMENT:Reactive Enforcement Action:  Target Number: 000100F6  Target Speed:  35.0  Current Speed:  40.1</t>
  </si>
  <si>
    <t>SYS :2017/02/03 02:35:37.922:ENFORCEMENT:Predictive Enforcement Action:  Target Number: 00001029  Target Speed:   0.0  Current Speed:   5.1</t>
  </si>
  <si>
    <t>SYS :2017/02/03 02:35:37.943:ENFORCEMENT:Predictive Enforcement Action:  Target Number: 00001029  Target Speed:   0.0  Current Speed:   5.1</t>
  </si>
  <si>
    <t>SYS :2017/02/03 03:08:06.796:ENFORCEMENT:Predictive Enforcement Action:  Target Number: 000170D5  Target Speed:   0.0  Current Speed:  16.8</t>
  </si>
  <si>
    <t>SYS :2017/02/03 03:08:06.975:ENFORCEMENT:Predictive Enforcement Action:  Target Number: 000170D5  Target Speed:   0.0  Current Speed:  16.8</t>
  </si>
  <si>
    <t>SYS :2017/02/03 03:08:07.140:ENFORCEMENT:Predictive Enforcement Action:  Target Number: 000170D5  Target Speed:   0.0  Current Speed:  16.8</t>
  </si>
  <si>
    <t>SYS :2017/02/03 03:36:46.408:ENFORCEMENT:Reactive Enforcement Action:  Target Number: 000103EF  Target Speed:  20.0  Current Speed:  25.6</t>
  </si>
  <si>
    <t>SYS :2017/02/03 03:36:46.999:ENFORCEMENT:Reactive Enforcement Action:  Target Number: 0001040A  Target Speed:  20.0  Current Speed:  25.6</t>
  </si>
  <si>
    <t>SYS :2017/02/03 03:36:47.034:ENFORCEMENT:Reactive Enforcement Action:  Target Number: 00010400  Target Speed:  20.0  Current Speed:  25.6</t>
  </si>
  <si>
    <t>SYS :2017/02/03 04:55:49.662:ENFORCEMENT:Predictive Enforcement Action:  Target Number: 0000103C  Target Speed:   0.0  Current Speed:   3.8</t>
  </si>
  <si>
    <t>SYS :2017/02/03 04:55:50.376:ENFORCEMENT:Predictive Enforcement Action:  Target Number: 0000103C  Target Speed:   0.0  Current Speed:   3.8</t>
  </si>
  <si>
    <t>SYS :2017/02/03 05:03:14.671:ENFORCEMENT:Predictive Enforcement Action:  Target Number: 0000101F  Target Speed:   0.0  Current Speed:   7.0</t>
  </si>
  <si>
    <t>SYS :2017/02/03 05:03:16.315:ENFORCEMENT:Predictive Enforcement Action:  Target Number: 0000103F  Target Speed:   0.0  Current Speed:   6.9</t>
  </si>
  <si>
    <t>SYS :2017/02/03 05:03:16.362:ENFORCEMENT:Predictive Enforcement Action:  Target Number: 00001010  Target Speed:   0.0  Current Speed:   6.9</t>
  </si>
  <si>
    <t>SYS :2017/02/03 06:51:53.709:ENFORCEMENT:Predictive Enforcement Action:  Target Number: 00017156  Target Speed:  53.0  Current Speed:  61.9</t>
  </si>
  <si>
    <t>SYS :2017/02/03 07:03:32.365:ENFORCEMENT:Predictive Enforcement Action:  Target Number: 00001012  Target Speed:   0.0  Current Speed:   4.6</t>
  </si>
  <si>
    <t>SYS :2017/02/03 07:03:32.827:ENFORCEMENT:Predictive Enforcement Action:  Target Number: 00001001  Target Speed:   0.0  Current Speed:   4.6</t>
  </si>
  <si>
    <t>SYS :2017/02/03 08:03:54.498:ENFORCEMENT:Predictive Enforcement Action:  Target Number: 00001021  Target Speed:   0.0  Current Speed:   3.0</t>
  </si>
  <si>
    <t>SYS :2017/02/03 08:03:54.854:ENFORCEMENT:Predictive Enforcement Action:  Target Number: 00001020  Target Speed:   0.0  Current Speed:   3.0</t>
  </si>
  <si>
    <t>SYS :2017/02/03 08:04:07.975:ENFORCEMENT:Predictive Enforcement Action:  Target Number: 00001045  Target Speed:   0.0  Current Speed:   6.4</t>
  </si>
  <si>
    <t>SYS :2017/02/03 08:04:08.013:ENFORCEMENT:Predictive Enforcement Action:  Target Number: 00001044  Target Speed:   0.0  Current Speed:   6.4</t>
  </si>
  <si>
    <t>SYS :2017/02/03 08:04:08.394:ENFORCEMENT:Predictive Enforcement Action:  Target Number: 00001044  Target Speed:   0.0  Current Speed:   6.4</t>
  </si>
  <si>
    <t>315-04</t>
  </si>
  <si>
    <t>109-05</t>
  </si>
  <si>
    <t>119-05</t>
  </si>
  <si>
    <t>114-05</t>
  </si>
  <si>
    <t>127-05</t>
  </si>
  <si>
    <t>132-05</t>
  </si>
  <si>
    <t>128-05</t>
  </si>
  <si>
    <t>149-05</t>
  </si>
  <si>
    <t>151-05</t>
  </si>
  <si>
    <t>50-05</t>
  </si>
  <si>
    <t>185-05</t>
  </si>
  <si>
    <t>1818-05</t>
  </si>
  <si>
    <t>189-05</t>
  </si>
  <si>
    <t>191-05</t>
  </si>
  <si>
    <t>1821-05</t>
  </si>
  <si>
    <t>201-05</t>
  </si>
  <si>
    <t>203-05</t>
  </si>
  <si>
    <t>213-05</t>
  </si>
  <si>
    <t>204-05</t>
  </si>
  <si>
    <t>1825-05</t>
  </si>
  <si>
    <t>rtdc.l.rtdc.4031:itc</t>
  </si>
  <si>
    <t>221-05</t>
  </si>
  <si>
    <t>234-05</t>
  </si>
  <si>
    <t>rtdc.l.rtdc.4056:itc</t>
  </si>
  <si>
    <t>80-05</t>
  </si>
  <si>
    <t>245-04</t>
  </si>
  <si>
    <t>242-04</t>
  </si>
  <si>
    <t>SAFIEF</t>
  </si>
  <si>
    <t>AEIMEN</t>
  </si>
  <si>
    <t>81-04</t>
  </si>
  <si>
    <t>244-04</t>
  </si>
  <si>
    <t>311-04</t>
  </si>
  <si>
    <t>rtdc.l.rtdc.4008:itc</t>
  </si>
  <si>
    <t>246-04</t>
  </si>
  <si>
    <t>80-04</t>
  </si>
  <si>
    <t>101-05</t>
  </si>
  <si>
    <t>OUN</t>
  </si>
  <si>
    <t>ZACK</t>
  </si>
  <si>
    <t>rtdc.l.rtdc.4040:itc</t>
  </si>
  <si>
    <t>103-05</t>
  </si>
  <si>
    <t>MAELZER</t>
  </si>
  <si>
    <t>KURT</t>
  </si>
  <si>
    <t>rtdc.l.rtdc.4037:itc</t>
  </si>
  <si>
    <t>306-05</t>
  </si>
  <si>
    <t>102-05</t>
  </si>
  <si>
    <t>NEPTUNE-05</t>
  </si>
  <si>
    <t>308-05</t>
  </si>
  <si>
    <t>DAVIS</t>
  </si>
  <si>
    <t>WENDY</t>
  </si>
  <si>
    <t>105-05</t>
  </si>
  <si>
    <t>310-05</t>
  </si>
  <si>
    <t>BERLING</t>
  </si>
  <si>
    <t>GARY</t>
  </si>
  <si>
    <t>107-05</t>
  </si>
  <si>
    <t>104-05</t>
  </si>
  <si>
    <t>106-05</t>
  </si>
  <si>
    <t>111-05</t>
  </si>
  <si>
    <t>113-05</t>
  </si>
  <si>
    <t>108-05</t>
  </si>
  <si>
    <t>1901-05</t>
  </si>
  <si>
    <t>115-05</t>
  </si>
  <si>
    <t>117-05</t>
  </si>
  <si>
    <t>110-05</t>
  </si>
  <si>
    <t>1800-05</t>
  </si>
  <si>
    <t>rtdc.l.rtdc.4032:itc</t>
  </si>
  <si>
    <t>112-05</t>
  </si>
  <si>
    <t>1801-05</t>
  </si>
  <si>
    <t>121-05</t>
  </si>
  <si>
    <t>rtdc.l.rtdc.4039:itc</t>
  </si>
  <si>
    <t>116-05</t>
  </si>
  <si>
    <t>123-05</t>
  </si>
  <si>
    <t>118-05</t>
  </si>
  <si>
    <t>1802-05</t>
  </si>
  <si>
    <t>125-05</t>
  </si>
  <si>
    <t>120-05</t>
  </si>
  <si>
    <t>1803-05</t>
  </si>
  <si>
    <t>122-05</t>
  </si>
  <si>
    <t>129-05</t>
  </si>
  <si>
    <t>124-05</t>
  </si>
  <si>
    <t>131-05</t>
  </si>
  <si>
    <t>126-05</t>
  </si>
  <si>
    <t>1804-05</t>
  </si>
  <si>
    <t>133-05</t>
  </si>
  <si>
    <t>135-05</t>
  </si>
  <si>
    <t>130-05</t>
  </si>
  <si>
    <t>1805-05</t>
  </si>
  <si>
    <t>137-05</t>
  </si>
  <si>
    <t>139-05</t>
  </si>
  <si>
    <t>134-05</t>
  </si>
  <si>
    <t>1806-05</t>
  </si>
  <si>
    <t>141-05</t>
  </si>
  <si>
    <t>136-05</t>
  </si>
  <si>
    <t>143-05</t>
  </si>
  <si>
    <t>1807-05</t>
  </si>
  <si>
    <t>138-05</t>
  </si>
  <si>
    <t>145-05</t>
  </si>
  <si>
    <t>140-05</t>
  </si>
  <si>
    <t>147-05</t>
  </si>
  <si>
    <t>142-05</t>
  </si>
  <si>
    <t>1808-05</t>
  </si>
  <si>
    <t>144-05</t>
  </si>
  <si>
    <t>1809-05</t>
  </si>
  <si>
    <t>146-05</t>
  </si>
  <si>
    <t>153-05</t>
  </si>
  <si>
    <t>148-05</t>
  </si>
  <si>
    <t>155-05</t>
  </si>
  <si>
    <t>ROMERO</t>
  </si>
  <si>
    <t>CHAD</t>
  </si>
  <si>
    <t>1810-05</t>
  </si>
  <si>
    <t>150-05</t>
  </si>
  <si>
    <t>157-05</t>
  </si>
  <si>
    <t>152-05</t>
  </si>
  <si>
    <t>159-05</t>
  </si>
  <si>
    <t>STEWART</t>
  </si>
  <si>
    <t>1811-05</t>
  </si>
  <si>
    <t>154-05</t>
  </si>
  <si>
    <t>156-05</t>
  </si>
  <si>
    <t>161-05</t>
  </si>
  <si>
    <t>163-05</t>
  </si>
  <si>
    <t>LEVIN</t>
  </si>
  <si>
    <t>SCOTT</t>
  </si>
  <si>
    <t>158-05</t>
  </si>
  <si>
    <t>51-05</t>
  </si>
  <si>
    <t>1812-05</t>
  </si>
  <si>
    <t>165-05</t>
  </si>
  <si>
    <t>160-05</t>
  </si>
  <si>
    <t>167-05</t>
  </si>
  <si>
    <t>CRAYTON</t>
  </si>
  <si>
    <t>QUNTRELL</t>
  </si>
  <si>
    <t>1813-05</t>
  </si>
  <si>
    <t>169-05</t>
  </si>
  <si>
    <t>162-05</t>
  </si>
  <si>
    <t>171-05</t>
  </si>
  <si>
    <t>KILLION</t>
  </si>
  <si>
    <t>DAVID</t>
  </si>
  <si>
    <t>164-05</t>
  </si>
  <si>
    <t>166-05</t>
  </si>
  <si>
    <t>1814-05</t>
  </si>
  <si>
    <t>173-05</t>
  </si>
  <si>
    <t>LALONDE</t>
  </si>
  <si>
    <t>GREGORY</t>
  </si>
  <si>
    <t>168-05</t>
  </si>
  <si>
    <t>175-05</t>
  </si>
  <si>
    <t>1815-05</t>
  </si>
  <si>
    <t>170-05</t>
  </si>
  <si>
    <t>177-05</t>
  </si>
  <si>
    <t>172-05</t>
  </si>
  <si>
    <t>179-05</t>
  </si>
  <si>
    <t>174-05</t>
  </si>
  <si>
    <t>1816-05</t>
  </si>
  <si>
    <t>181-05</t>
  </si>
  <si>
    <t>176-05</t>
  </si>
  <si>
    <t>183-05</t>
  </si>
  <si>
    <t>LOPES</t>
  </si>
  <si>
    <t>KIMBERLY</t>
  </si>
  <si>
    <t>178-05</t>
  </si>
  <si>
    <t>1817-05</t>
  </si>
  <si>
    <t>180-05</t>
  </si>
  <si>
    <t>187-05</t>
  </si>
  <si>
    <t>182-05</t>
  </si>
  <si>
    <t>184-05</t>
  </si>
  <si>
    <t>186-05</t>
  </si>
  <si>
    <t>193-05</t>
  </si>
  <si>
    <t>1819-05</t>
  </si>
  <si>
    <t>188-05</t>
  </si>
  <si>
    <t>195-05</t>
  </si>
  <si>
    <t>1820-05</t>
  </si>
  <si>
    <t>190-05</t>
  </si>
  <si>
    <t>197-05</t>
  </si>
  <si>
    <t>192-05</t>
  </si>
  <si>
    <t>199-05</t>
  </si>
  <si>
    <t>194-05</t>
  </si>
  <si>
    <t>196-05</t>
  </si>
  <si>
    <t>198-05</t>
  </si>
  <si>
    <t>1822-05</t>
  </si>
  <si>
    <t>205-05</t>
  </si>
  <si>
    <t>200-05</t>
  </si>
  <si>
    <t>53-05</t>
  </si>
  <si>
    <t>HOLCOMB</t>
  </si>
  <si>
    <t>KAMDEN</t>
  </si>
  <si>
    <t>207-05</t>
  </si>
  <si>
    <t>202-05</t>
  </si>
  <si>
    <t>209-05</t>
  </si>
  <si>
    <t>MAGEE</t>
  </si>
  <si>
    <t>KENYA</t>
  </si>
  <si>
    <t>1823-05</t>
  </si>
  <si>
    <t>211-05</t>
  </si>
  <si>
    <t>75-05</t>
  </si>
  <si>
    <t>206-05</t>
  </si>
  <si>
    <t>1824-05</t>
  </si>
  <si>
    <t>52-05</t>
  </si>
  <si>
    <t>208-05</t>
  </si>
  <si>
    <t>215-05</t>
  </si>
  <si>
    <t>54-05</t>
  </si>
  <si>
    <t>210-05</t>
  </si>
  <si>
    <t>217-05</t>
  </si>
  <si>
    <t>212-05</t>
  </si>
  <si>
    <t>55-05</t>
  </si>
  <si>
    <t>219-05</t>
  </si>
  <si>
    <t>214-05</t>
  </si>
  <si>
    <t>1826-05</t>
  </si>
  <si>
    <t>303-05</t>
  </si>
  <si>
    <t>216-05</t>
  </si>
  <si>
    <t>218-05</t>
  </si>
  <si>
    <t>305-05</t>
  </si>
  <si>
    <t>220-05</t>
  </si>
  <si>
    <t>1827-05</t>
  </si>
  <si>
    <t>58-05</t>
  </si>
  <si>
    <t>223-05</t>
  </si>
  <si>
    <t>1828-05</t>
  </si>
  <si>
    <t>307-05</t>
  </si>
  <si>
    <t>81-05</t>
  </si>
  <si>
    <t>222-05</t>
  </si>
  <si>
    <t>225-05</t>
  </si>
  <si>
    <t>1829-05</t>
  </si>
  <si>
    <t>224-05</t>
  </si>
  <si>
    <t>227-05</t>
  </si>
  <si>
    <t>1830-05</t>
  </si>
  <si>
    <t>226-05</t>
  </si>
  <si>
    <t>229-05</t>
  </si>
  <si>
    <t>231-05</t>
  </si>
  <si>
    <t>1831-05</t>
  </si>
  <si>
    <t>228-05</t>
  </si>
  <si>
    <t>1832-05</t>
  </si>
  <si>
    <t>230-05</t>
  </si>
  <si>
    <t>233-05</t>
  </si>
  <si>
    <t>232-05</t>
  </si>
  <si>
    <t>1833-05</t>
  </si>
  <si>
    <t>235-05</t>
  </si>
  <si>
    <t>1902-05</t>
  </si>
  <si>
    <t>237-05</t>
  </si>
  <si>
    <t>236-05</t>
  </si>
  <si>
    <t>239-05</t>
  </si>
  <si>
    <t>241-05</t>
  </si>
  <si>
    <t>238-05</t>
  </si>
  <si>
    <t>243-05</t>
  </si>
  <si>
    <t>242-05</t>
  </si>
  <si>
    <t>315-05</t>
  </si>
  <si>
    <t>311-05</t>
  </si>
  <si>
    <t>244-05</t>
  </si>
  <si>
    <t>313-05</t>
  </si>
  <si>
    <t>clear-day</t>
  </si>
  <si>
    <t>Clear</t>
  </si>
  <si>
    <t>clear-night</t>
  </si>
  <si>
    <t>204:233363</t>
  </si>
  <si>
    <t>204:232717</t>
  </si>
  <si>
    <t>204:766</t>
  </si>
  <si>
    <t>204:233325</t>
  </si>
  <si>
    <t>204:232694</t>
  </si>
  <si>
    <t>204:717</t>
  </si>
  <si>
    <t>204:233297</t>
  </si>
  <si>
    <t>204:232655</t>
  </si>
  <si>
    <t>204:232968</t>
  </si>
  <si>
    <t>204:744</t>
  </si>
  <si>
    <t>204:232961</t>
  </si>
  <si>
    <t>204:233353</t>
  </si>
  <si>
    <t>204:233034</t>
  </si>
  <si>
    <t>204:743</t>
  </si>
  <si>
    <t>204:233326</t>
  </si>
  <si>
    <t>204:231083</t>
  </si>
  <si>
    <t>204:161</t>
  </si>
  <si>
    <t>204:233011</t>
  </si>
  <si>
    <t>204:440</t>
  </si>
  <si>
    <t>204:233259</t>
  </si>
  <si>
    <t>204:233013</t>
  </si>
  <si>
    <t>204:96</t>
  </si>
  <si>
    <t>204:233349</t>
  </si>
  <si>
    <t>204:233343</t>
  </si>
  <si>
    <t>204:233026</t>
  </si>
  <si>
    <t>204:233036</t>
  </si>
  <si>
    <t>204:233000</t>
  </si>
  <si>
    <t>204:180</t>
  </si>
  <si>
    <t>204:233023</t>
  </si>
  <si>
    <t>204:233320</t>
  </si>
  <si>
    <t>204:134</t>
  </si>
  <si>
    <t>204:233330</t>
  </si>
  <si>
    <t>204:429</t>
  </si>
  <si>
    <t>204:233001</t>
  </si>
  <si>
    <t>204:163</t>
  </si>
  <si>
    <t>204:233342</t>
  </si>
  <si>
    <t>204:493</t>
  </si>
  <si>
    <t>204:233336</t>
  </si>
  <si>
    <t>204:132</t>
  </si>
  <si>
    <t>204:18770</t>
  </si>
  <si>
    <t>204:233383</t>
  </si>
  <si>
    <t>204:233068</t>
  </si>
  <si>
    <t>204:233347</t>
  </si>
  <si>
    <t>300:58626</t>
  </si>
  <si>
    <t>300:58928</t>
  </si>
  <si>
    <t>300:58621</t>
  </si>
  <si>
    <t>204:734</t>
  </si>
  <si>
    <t>204:1009</t>
  </si>
  <si>
    <t>300:58918</t>
  </si>
  <si>
    <t>300:58613</t>
  </si>
  <si>
    <t>204:1025</t>
  </si>
  <si>
    <t>300:58615</t>
  </si>
  <si>
    <t>204:740</t>
  </si>
  <si>
    <t>204:1016</t>
  </si>
  <si>
    <t>300:58929</t>
  </si>
  <si>
    <t>300:58617</t>
  </si>
  <si>
    <t>204:736</t>
  </si>
  <si>
    <t>204:427</t>
  </si>
  <si>
    <t>204:745</t>
  </si>
  <si>
    <t>204:1018</t>
  </si>
  <si>
    <t>300:58609</t>
  </si>
  <si>
    <t>204:755</t>
  </si>
  <si>
    <t>204:1023</t>
  </si>
  <si>
    <t>204:792</t>
  </si>
  <si>
    <t>204:1083</t>
  </si>
  <si>
    <t>300:58941</t>
  </si>
  <si>
    <t>300:58634</t>
  </si>
  <si>
    <t>204:1049</t>
  </si>
  <si>
    <t>204:183</t>
  </si>
  <si>
    <t>204:722</t>
  </si>
  <si>
    <t>204:726</t>
  </si>
  <si>
    <t>204:1004</t>
  </si>
  <si>
    <t>300:58943</t>
  </si>
  <si>
    <t>204:764</t>
  </si>
  <si>
    <t>300:58937</t>
  </si>
  <si>
    <t>204:762</t>
  </si>
  <si>
    <t>204:1041</t>
  </si>
  <si>
    <t>300:58638</t>
  </si>
  <si>
    <t>204:233393</t>
  </si>
  <si>
    <t>300:58939</t>
  </si>
  <si>
    <t>204:759</t>
  </si>
  <si>
    <t>204:1051</t>
  </si>
  <si>
    <t>204:1488</t>
  </si>
  <si>
    <t>204:1684</t>
  </si>
  <si>
    <t>204:19130</t>
  </si>
  <si>
    <t>204:233319</t>
  </si>
  <si>
    <t>204:232984</t>
  </si>
  <si>
    <t>204:233387</t>
  </si>
  <si>
    <t>204:233076</t>
  </si>
  <si>
    <t>300:30250</t>
  </si>
  <si>
    <t>300:58630</t>
  </si>
  <si>
    <t>300:21759</t>
  </si>
  <si>
    <t>204:506</t>
  </si>
  <si>
    <t>204:962</t>
  </si>
  <si>
    <t>204:491</t>
  </si>
  <si>
    <t>204:233295</t>
  </si>
  <si>
    <t>204:233025</t>
  </si>
  <si>
    <t>204:407</t>
  </si>
  <si>
    <t>204:233337</t>
  </si>
  <si>
    <t>204:233021</t>
  </si>
  <si>
    <t>204:233003</t>
  </si>
  <si>
    <t>204:233341</t>
  </si>
  <si>
    <t>204:232962</t>
  </si>
  <si>
    <t>204:232989</t>
  </si>
  <si>
    <t>204:233276</t>
  </si>
  <si>
    <t>204:925</t>
  </si>
  <si>
    <t>204:232969</t>
  </si>
  <si>
    <t>204:233305</t>
  </si>
  <si>
    <t>204:125111</t>
  </si>
  <si>
    <t>204:233338</t>
  </si>
  <si>
    <t>204:233028</t>
  </si>
  <si>
    <t>204:233017</t>
  </si>
  <si>
    <t>204:128266</t>
  </si>
  <si>
    <t>204:313</t>
  </si>
  <si>
    <t>204:127858</t>
  </si>
  <si>
    <t>300:23306</t>
  </si>
  <si>
    <t>300:23063</t>
  </si>
  <si>
    <t>300:23481</t>
  </si>
  <si>
    <t>300:23292</t>
  </si>
  <si>
    <t>300:23308</t>
  </si>
  <si>
    <t>204:1182</t>
  </si>
  <si>
    <t>300:31856</t>
  </si>
  <si>
    <t>300:21818</t>
  </si>
  <si>
    <t>300:23463</t>
  </si>
  <si>
    <t>204:81</t>
  </si>
  <si>
    <t>204:1266</t>
  </si>
  <si>
    <t>300:23295</t>
  </si>
  <si>
    <t>300:23161</t>
  </si>
  <si>
    <t>204:2004</t>
  </si>
  <si>
    <t>204:385</t>
  </si>
  <si>
    <t>300:23108</t>
  </si>
  <si>
    <t>204:232646</t>
  </si>
  <si>
    <t>204:64</t>
  </si>
  <si>
    <t>204:6616</t>
  </si>
  <si>
    <t>204:2246</t>
  </si>
  <si>
    <t>300:31632</t>
  </si>
  <si>
    <t>204:352</t>
  </si>
  <si>
    <t>204:6933</t>
  </si>
  <si>
    <t>204:1323</t>
  </si>
  <si>
    <t>300:23304</t>
  </si>
  <si>
    <t>300:22195</t>
  </si>
  <si>
    <t>start /low /b %USERPROFILE%\Documents\GitHub\eaglep3\Utilities\DownloadLogsFromS3.py --loco 4039 --day 2017-02-05</t>
  </si>
  <si>
    <t>start /low /b %USERPROFILE%\Documents\GitHub\eaglep3\Utilities\DownloadLogsFromS3.py --loco 4038 --day 2017-02-05</t>
  </si>
  <si>
    <t>start /low /b %USERPROFILE%\Documents\GitHub\eaglep3\Utilities\DownloadLogsFromS3.py --loco 4016 --day 2017-02-05</t>
  </si>
  <si>
    <t>start /low /b %USERPROFILE%\Documents\GitHub\eaglep3\Utilities\DownloadLogsFromS3.py --loco 4021 --day 2017-02-05</t>
  </si>
  <si>
    <t>start /low /b %USERPROFILE%\Documents\GitHub\eaglep3\Utilities\DownloadLogsFromS3.py --loco 4032 --day 2017-02-05</t>
  </si>
  <si>
    <t>start /low /b %USERPROFILE%\Documents\GitHub\eaglep3\Utilities\DownloadLogsFromS3.py --loco 4032 --day 2017-02-06</t>
  </si>
  <si>
    <t>start /low /b %USERPROFILE%\Documents\GitHub\eaglep3\Utilities\DownloadLogsFromS3.py --loco 4045 --day 1969-12-31</t>
  </si>
  <si>
    <t>start /low /b %USERPROFILE%\Documents\GitHub\eaglep3\Utilities\DownloadLogsFromS3.py --loco 4031 --day 2017-02-06</t>
  </si>
  <si>
    <t>start /low /b %USERPROFILE%\Documents\GitHub\eaglep3\Utilities\DownloadLogsFromS3.py --loco 4022 --day 2017-02-05</t>
  </si>
  <si>
    <t>start /low /b %USERPROFILE%\Documents\GitHub\eaglep3\Utilities\DownloadLogsFromS3.py --loco 4026 --day 2017-02-05</t>
  </si>
  <si>
    <t>start /low /b %USERPROFILE%\Documents\GitHub\eaglep3\Utilities\DownloadLogsFromS3.py --loco 4002 --day 2017-02-05</t>
  </si>
  <si>
    <t>start /low /b %USERPROFILE%\Documents\GitHub\eaglep3\Utilities\DownloadLogsFromS3.py --loco 4038 --day 2017-02-06</t>
  </si>
  <si>
    <t>start /low /b %USERPROFILE%\Documents\GitHub\eaglep3\Utilities\DownloadLogsFromS3.py --loco 4010 --day 2017-02-05</t>
  </si>
  <si>
    <t>start /low /b %USERPROFILE%\Documents\GitHub\eaglep3\Utilities\DownloadLogsFromS3.py --loco 4015 --day 2017-02-06</t>
  </si>
  <si>
    <t>start /low /b %USERPROFILE%\Documents\GitHub\eaglep3\Utilities\DownloadLogsFromS3.py --loco 4009 --day 2017-02-05</t>
  </si>
  <si>
    <t>start /low /b %USERPROFILE%\Documents\GitHub\eaglep3\Utilities\DownloadLogsFromS3.py --loco 4025 --day 2017-02-05</t>
  </si>
  <si>
    <t>start /low /b %USERPROFILE%\Documents\GitHub\eaglep3\Utilities\DownloadLogsFromS3.py --loco 4016 --day 2017-02-06</t>
  </si>
  <si>
    <t>start /low /b %USERPROFILE%\Documents\GitHub\eaglep3\Utilities\DownloadLogsFromS3.py --loco 4003 --day 2017-02-05</t>
  </si>
  <si>
    <t>start /low /b %USERPROFILE%\Documents\GitHub\eaglep3\Utilities\DownloadLogsFromS3.py --loco 4003 --day 2017-02-06</t>
  </si>
  <si>
    <t>start /low /b %USERPROFILE%\Documents\GitHub\eaglep3\Utilities\DownloadLogsFromS3.py --loco 4004 --day 2017-02-05</t>
  </si>
  <si>
    <t>Onboard in-route failure</t>
  </si>
  <si>
    <t>Main 3 departure</t>
  </si>
  <si>
    <t>Onboard in-route failure delayed departure</t>
  </si>
  <si>
    <t>Delayed due to selecting wrong track</t>
  </si>
  <si>
    <t>Improper execution of bulletin (stopped &gt;800 ft short of Chambers Form C)</t>
  </si>
  <si>
    <t>Form C violation by operator</t>
  </si>
  <si>
    <t>Cancelled due to Form C violation on previous run</t>
  </si>
  <si>
    <t>40th 4S stuck at STOP</t>
  </si>
  <si>
    <t>Starting at 01:42:37.376, 40th 4S dropped to STOP and stayed that way for at least the next hour. Looks like this was undesired. Was there anything odd coming from adjacent locations that caused the drop to STOP?</t>
  </si>
  <si>
    <t>Premature downgrade at EC0816RH 75-1T 1N</t>
  </si>
  <si>
    <t>Restricting aspect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</si>
</sst>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8">
    <numFmt numFmtId="164" formatCode="h:mm:ss;@"/>
    <numFmt numFmtId="165" formatCode="0.0%"/>
    <numFmt numFmtId="166" formatCode="yyyy\-mm\-dd"/>
    <numFmt numFmtId="167" formatCode="yyyy\-mm\-dd\ hh:mm:ss"/>
    <numFmt numFmtId="168" formatCode="m/d/yy\ h:mm;@"/>
    <numFmt numFmtId="169" formatCode="[$-F400]h:mm:ss\ AM/PM"/>
    <numFmt numFmtId="170" formatCode="0.000"/>
    <numFmt numFmtId="171" formatCode="0.0000"/>
  </numFmts>
  <fonts count="20" x14ac:knownFonts="1">
    <font>
      <sz val="11"/>
      <color theme="1"/>
      <name val="Calibri"/>
      <family val="2"/>
      <scheme val="minor"/>
    </font>
    <font>
      <b/>
      <sz val="11"/>
      <color theme="1"/>
      <name val="Calibri"/>
      <family val="2"/>
      <scheme val="minor"/>
    </font>
    <font>
      <b/>
      <sz val="12"/>
      <color theme="1"/>
      <name val="Calibri"/>
      <family val="2"/>
      <scheme val="minor"/>
    </font>
    <font>
      <b/>
      <sz val="14"/>
      <color theme="1"/>
      <name val="Calibri"/>
      <family val="2"/>
      <scheme val="minor"/>
    </font>
    <font>
      <b/>
      <sz val="10"/>
      <color theme="1"/>
      <name val="Calibri"/>
      <family val="2"/>
      <scheme val="minor"/>
    </font>
    <font>
      <sz val="11"/>
      <color theme="0" tint="-0.14999847407452621"/>
      <name val="Calibri"/>
      <family val="2"/>
      <scheme val="minor"/>
    </font>
    <font>
      <sz val="11"/>
      <color theme="0" tint="-0.34998626667073579"/>
      <name val="Calibri"/>
      <family val="2"/>
      <scheme val="minor"/>
    </font>
    <font>
      <sz val="10"/>
      <color indexed="8"/>
      <name val="Arial"/>
      <family val="2"/>
    </font>
    <font>
      <sz val="11"/>
      <color indexed="8"/>
      <name val="Calibri"/>
      <family val="2"/>
    </font>
    <font>
      <sz val="11"/>
      <color theme="0" tint="-0.499984740745262"/>
      <name val="Calibri"/>
      <family val="2"/>
      <scheme val="minor"/>
    </font>
    <font>
      <sz val="11"/>
      <color theme="1"/>
      <name val="Calibri"/>
      <family val="2"/>
      <scheme val="minor"/>
    </font>
    <font>
      <sz val="11"/>
      <color rgb="FF000000"/>
      <name val="Calibri"/>
      <family val="2"/>
    </font>
    <font>
      <sz val="11"/>
      <color theme="1"/>
      <name val="Consolas"/>
      <family val="3"/>
    </font>
    <font>
      <b/>
      <sz val="9"/>
      <color theme="1"/>
      <name val="Calibri"/>
      <family val="2"/>
      <scheme val="minor"/>
    </font>
    <font>
      <sz val="9"/>
      <color theme="1"/>
      <name val="Calibri"/>
      <family val="2"/>
      <scheme val="minor"/>
    </font>
    <font>
      <b/>
      <sz val="9"/>
      <color theme="0" tint="-0.499984740745262"/>
      <name val="Calibri"/>
      <family val="2"/>
      <scheme val="minor"/>
    </font>
    <font>
      <sz val="9"/>
      <color theme="0" tint="-0.499984740745262"/>
      <name val="Calibri"/>
      <family val="2"/>
      <scheme val="minor"/>
    </font>
    <font>
      <sz val="11"/>
      <color rgb="FF00B050"/>
      <name val="Calibri"/>
      <family val="2"/>
      <scheme val="minor"/>
    </font>
    <font>
      <sz val="11"/>
      <color rgb="FFFF0000"/>
      <name val="Calibri"/>
      <family val="2"/>
      <scheme val="minor"/>
    </font>
    <font>
      <sz val="9"/>
      <name val="Calibri"/>
      <family val="2"/>
      <scheme val="minor"/>
    </font>
  </fonts>
  <fills count="10">
    <fill>
      <patternFill patternType="none"/>
    </fill>
    <fill>
      <patternFill patternType="gray125"/>
    </fill>
    <fill>
      <patternFill patternType="solid">
        <fgColor rgb="FFFFFF00"/>
        <bgColor indexed="64"/>
      </patternFill>
    </fill>
    <fill>
      <patternFill patternType="solid">
        <fgColor rgb="FFFF0000"/>
        <bgColor indexed="64"/>
      </patternFill>
    </fill>
    <fill>
      <patternFill patternType="solid">
        <fgColor indexed="22"/>
        <bgColor indexed="0"/>
      </patternFill>
    </fill>
    <fill>
      <patternFill patternType="solid">
        <fgColor theme="4" tint="0.79998168889431442"/>
        <bgColor indexed="64"/>
      </patternFill>
    </fill>
    <fill>
      <patternFill patternType="solid">
        <fgColor theme="9" tint="0.79998168889431442"/>
        <bgColor indexed="64"/>
      </patternFill>
    </fill>
    <fill>
      <patternFill patternType="solid">
        <fgColor theme="6" tint="0.79998168889431442"/>
        <bgColor indexed="64"/>
      </patternFill>
    </fill>
    <fill>
      <patternFill patternType="solid">
        <fgColor rgb="FFE4C9FF"/>
        <bgColor indexed="64"/>
      </patternFill>
    </fill>
    <fill>
      <patternFill patternType="solid">
        <fgColor theme="5" tint="0.79998168889431442"/>
        <bgColor indexed="64"/>
      </patternFill>
    </fill>
  </fills>
  <borders count="18">
    <border>
      <left/>
      <right/>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medium">
        <color indexed="64"/>
      </bottom>
      <diagonal/>
    </border>
    <border>
      <left/>
      <right/>
      <top/>
      <bottom style="medium">
        <color rgb="FFECF0F1"/>
      </bottom>
      <diagonal/>
    </border>
    <border>
      <left style="thin">
        <color indexed="8"/>
      </left>
      <right style="thin">
        <color indexed="8"/>
      </right>
      <top style="thin">
        <color indexed="8"/>
      </top>
      <bottom style="thin">
        <color indexed="8"/>
      </bottom>
      <diagonal/>
    </border>
    <border>
      <left style="thin">
        <color indexed="22"/>
      </left>
      <right style="thin">
        <color indexed="22"/>
      </right>
      <top style="thin">
        <color indexed="22"/>
      </top>
      <bottom style="thin">
        <color indexed="22"/>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s>
  <cellStyleXfs count="4">
    <xf numFmtId="169" fontId="0" fillId="0" borderId="0"/>
    <xf numFmtId="169" fontId="7" fillId="0" borderId="0"/>
    <xf numFmtId="9" fontId="10" fillId="0" borderId="0" applyFont="0" applyFill="0" applyBorder="0" applyAlignment="0" applyProtection="0"/>
    <xf numFmtId="169" fontId="10" fillId="0" borderId="0"/>
  </cellStyleXfs>
  <cellXfs count="197">
    <xf numFmtId="169" fontId="0" fillId="0" borderId="0" xfId="0"/>
    <xf numFmtId="169" fontId="0" fillId="0" borderId="0" xfId="0" applyFill="1"/>
    <xf numFmtId="1" fontId="0" fillId="0" borderId="0" xfId="0" applyNumberFormat="1"/>
    <xf numFmtId="1" fontId="0" fillId="0" borderId="2" xfId="0" applyNumberFormat="1" applyBorder="1" applyAlignment="1">
      <alignment horizontal="center" vertical="center"/>
    </xf>
    <xf numFmtId="169" fontId="0" fillId="0" borderId="0" xfId="0" applyBorder="1" applyAlignment="1">
      <alignment horizontal="center" vertical="center" wrapText="1"/>
    </xf>
    <xf numFmtId="169" fontId="0" fillId="0" borderId="4" xfId="0" applyBorder="1" applyAlignment="1">
      <alignment horizontal="center" vertical="center" wrapText="1"/>
    </xf>
    <xf numFmtId="164" fontId="0" fillId="0" borderId="5" xfId="0" applyNumberFormat="1" applyFill="1" applyBorder="1" applyAlignment="1">
      <alignment horizontal="left"/>
    </xf>
    <xf numFmtId="1" fontId="0" fillId="0" borderId="5" xfId="0" applyNumberFormat="1" applyFill="1" applyBorder="1" applyAlignment="1">
      <alignment horizontal="left"/>
    </xf>
    <xf numFmtId="167" fontId="0" fillId="0" borderId="0" xfId="0" applyNumberFormat="1"/>
    <xf numFmtId="169" fontId="0" fillId="0" borderId="5" xfId="0" applyFill="1" applyBorder="1" applyAlignment="1"/>
    <xf numFmtId="169" fontId="0" fillId="0" borderId="0" xfId="0" applyAlignment="1">
      <alignment horizontal="center" vertical="center"/>
    </xf>
    <xf numFmtId="169" fontId="3" fillId="0" borderId="6" xfId="0" applyFont="1" applyBorder="1" applyAlignment="1">
      <alignment horizontal="center" wrapText="1"/>
    </xf>
    <xf numFmtId="166" fontId="4" fillId="0" borderId="7" xfId="0" applyNumberFormat="1" applyFont="1" applyBorder="1" applyAlignment="1">
      <alignment horizontal="center" vertical="center" wrapText="1"/>
    </xf>
    <xf numFmtId="167" fontId="0" fillId="0" borderId="5" xfId="0" applyNumberFormat="1" applyFill="1" applyBorder="1" applyAlignment="1">
      <alignment horizontal="left"/>
    </xf>
    <xf numFmtId="169" fontId="1" fillId="0" borderId="5" xfId="0" applyFont="1" applyFill="1" applyBorder="1" applyAlignment="1">
      <alignment horizontal="left" vertical="center" wrapText="1"/>
    </xf>
    <xf numFmtId="169" fontId="1" fillId="0" borderId="5" xfId="0" applyFont="1" applyBorder="1" applyAlignment="1">
      <alignment horizontal="left" vertical="center" wrapText="1"/>
    </xf>
    <xf numFmtId="167" fontId="1" fillId="0" borderId="5" xfId="0" applyNumberFormat="1" applyFont="1" applyBorder="1" applyAlignment="1">
      <alignment horizontal="left" vertical="center" wrapText="1"/>
    </xf>
    <xf numFmtId="20" fontId="1" fillId="0" borderId="5" xfId="0" applyNumberFormat="1" applyFont="1" applyFill="1" applyBorder="1" applyAlignment="1">
      <alignment horizontal="left" vertical="center" wrapText="1"/>
    </xf>
    <xf numFmtId="1" fontId="1" fillId="0" borderId="5" xfId="0" applyNumberFormat="1" applyFont="1" applyBorder="1" applyAlignment="1">
      <alignment horizontal="left" vertical="center" wrapText="1"/>
    </xf>
    <xf numFmtId="169" fontId="1" fillId="0" borderId="5" xfId="0" applyFont="1" applyBorder="1" applyAlignment="1">
      <alignment horizontal="center" vertical="center" wrapText="1"/>
    </xf>
    <xf numFmtId="169" fontId="0" fillId="0" borderId="0" xfId="0"/>
    <xf numFmtId="169" fontId="0" fillId="0" borderId="5" xfId="0" applyFill="1" applyBorder="1" applyAlignment="1">
      <alignment horizontal="left"/>
    </xf>
    <xf numFmtId="1" fontId="0" fillId="0" borderId="5" xfId="0" applyNumberFormat="1" applyFill="1" applyBorder="1"/>
    <xf numFmtId="169" fontId="0" fillId="0" borderId="0" xfId="0" applyBorder="1"/>
    <xf numFmtId="167" fontId="0" fillId="0" borderId="8" xfId="0" applyNumberFormat="1" applyBorder="1"/>
    <xf numFmtId="17" fontId="0" fillId="0" borderId="0" xfId="0" applyNumberFormat="1"/>
    <xf numFmtId="167" fontId="0" fillId="0" borderId="0" xfId="0" applyNumberFormat="1" applyBorder="1"/>
    <xf numFmtId="169" fontId="0" fillId="0" borderId="0" xfId="0" applyAlignment="1">
      <alignment horizontal="left"/>
    </xf>
    <xf numFmtId="169" fontId="0" fillId="0" borderId="0" xfId="0" applyFill="1" applyBorder="1"/>
    <xf numFmtId="168" fontId="0" fillId="0" borderId="5" xfId="0" applyNumberFormat="1" applyFill="1" applyBorder="1" applyAlignment="1">
      <alignment horizontal="left"/>
    </xf>
    <xf numFmtId="169" fontId="0" fillId="0" borderId="5" xfId="0" applyBorder="1"/>
    <xf numFmtId="9" fontId="0" fillId="0" borderId="5" xfId="0" applyNumberFormat="1" applyFill="1" applyBorder="1"/>
    <xf numFmtId="167" fontId="0" fillId="0" borderId="5" xfId="0" applyNumberFormat="1" applyBorder="1"/>
    <xf numFmtId="22" fontId="0" fillId="0" borderId="5" xfId="0" applyNumberFormat="1" applyFill="1" applyBorder="1" applyAlignment="1">
      <alignment horizontal="left"/>
    </xf>
    <xf numFmtId="167" fontId="0" fillId="0" borderId="0" xfId="0" applyNumberFormat="1" applyAlignment="1">
      <alignment horizontal="left"/>
    </xf>
    <xf numFmtId="169" fontId="0" fillId="0" borderId="0" xfId="0" applyFill="1" applyAlignment="1">
      <alignment horizontal="left"/>
    </xf>
    <xf numFmtId="20" fontId="0" fillId="0" borderId="0" xfId="0" applyNumberFormat="1" applyFill="1" applyAlignment="1">
      <alignment horizontal="left" wrapText="1"/>
    </xf>
    <xf numFmtId="1" fontId="0" fillId="0" borderId="0" xfId="0" applyNumberFormat="1" applyAlignment="1">
      <alignment horizontal="left"/>
    </xf>
    <xf numFmtId="169" fontId="0" fillId="0" borderId="3" xfId="0" applyFill="1" applyBorder="1" applyAlignment="1">
      <alignment horizontal="left" vertical="center"/>
    </xf>
    <xf numFmtId="1" fontId="0" fillId="0" borderId="3" xfId="0" applyNumberFormat="1" applyBorder="1" applyAlignment="1">
      <alignment horizontal="left" vertical="center"/>
    </xf>
    <xf numFmtId="169" fontId="0" fillId="0" borderId="4" xfId="0" applyBorder="1" applyAlignment="1">
      <alignment horizontal="left" vertical="center"/>
    </xf>
    <xf numFmtId="1" fontId="0" fillId="0" borderId="3" xfId="0" applyNumberFormat="1" applyFill="1" applyBorder="1" applyAlignment="1">
      <alignment horizontal="left" vertical="center"/>
    </xf>
    <xf numFmtId="165" fontId="0" fillId="0" borderId="0" xfId="0" applyNumberFormat="1" applyAlignment="1">
      <alignment horizontal="left"/>
    </xf>
    <xf numFmtId="1" fontId="0" fillId="0" borderId="5" xfId="0" applyNumberFormat="1" applyBorder="1"/>
    <xf numFmtId="169" fontId="0" fillId="0" borderId="0" xfId="0" applyNumberFormat="1"/>
    <xf numFmtId="169" fontId="0" fillId="0" borderId="0" xfId="0" applyNumberFormat="1" applyAlignment="1">
      <alignment horizontal="center" vertical="center"/>
    </xf>
    <xf numFmtId="169" fontId="0" fillId="0" borderId="5" xfId="0" applyFill="1" applyBorder="1"/>
    <xf numFmtId="169" fontId="9" fillId="0" borderId="0" xfId="0" applyFont="1" applyBorder="1" applyAlignment="1">
      <alignment horizontal="center" vertical="center" wrapText="1"/>
    </xf>
    <xf numFmtId="169" fontId="9" fillId="0" borderId="0" xfId="0" applyFont="1" applyFill="1"/>
    <xf numFmtId="169" fontId="0" fillId="0" borderId="5" xfId="0" applyBorder="1" applyAlignment="1">
      <alignment horizontal="center" vertical="center" wrapText="1"/>
    </xf>
    <xf numFmtId="1" fontId="0" fillId="0" borderId="4" xfId="0" applyNumberFormat="1" applyBorder="1" applyAlignment="1">
      <alignment horizontal="left" vertical="center"/>
    </xf>
    <xf numFmtId="170" fontId="5" fillId="0" borderId="0" xfId="0" applyNumberFormat="1" applyFont="1" applyAlignment="1">
      <alignment horizontal="left"/>
    </xf>
    <xf numFmtId="170" fontId="0" fillId="0" borderId="0" xfId="0" applyNumberFormat="1"/>
    <xf numFmtId="170" fontId="9" fillId="0" borderId="0" xfId="0" applyNumberFormat="1" applyFont="1" applyBorder="1" applyAlignment="1">
      <alignment horizontal="center" vertical="center" wrapText="1"/>
    </xf>
    <xf numFmtId="170" fontId="9" fillId="0" borderId="0" xfId="0" applyNumberFormat="1" applyFont="1" applyBorder="1" applyAlignment="1">
      <alignment horizontal="left" vertical="center" wrapText="1"/>
    </xf>
    <xf numFmtId="170" fontId="9" fillId="0" borderId="0" xfId="0" applyNumberFormat="1" applyFont="1" applyFill="1" applyBorder="1" applyAlignment="1">
      <alignment horizontal="left"/>
    </xf>
    <xf numFmtId="170" fontId="9" fillId="0" borderId="0" xfId="0" applyNumberFormat="1" applyFont="1" applyFill="1"/>
    <xf numFmtId="1" fontId="5" fillId="0" borderId="0" xfId="0" applyNumberFormat="1" applyFont="1" applyAlignment="1">
      <alignment horizontal="left"/>
    </xf>
    <xf numFmtId="1" fontId="9" fillId="0" borderId="0" xfId="0" applyNumberFormat="1" applyFont="1" applyBorder="1" applyAlignment="1">
      <alignment horizontal="left" vertical="center" wrapText="1"/>
    </xf>
    <xf numFmtId="1" fontId="9" fillId="0" borderId="0" xfId="0" applyNumberFormat="1" applyFont="1" applyFill="1" applyBorder="1" applyAlignment="1">
      <alignment horizontal="left"/>
    </xf>
    <xf numFmtId="171" fontId="5" fillId="0" borderId="0" xfId="0" applyNumberFormat="1" applyFont="1"/>
    <xf numFmtId="171" fontId="9" fillId="0" borderId="0" xfId="0" applyNumberFormat="1" applyFont="1" applyBorder="1" applyAlignment="1">
      <alignment horizontal="center" vertical="center" wrapText="1"/>
    </xf>
    <xf numFmtId="171" fontId="9" fillId="0" borderId="0" xfId="0" applyNumberFormat="1" applyFont="1" applyFill="1" applyBorder="1"/>
    <xf numFmtId="169" fontId="0" fillId="0" borderId="0" xfId="0" applyNumberFormat="1"/>
    <xf numFmtId="2" fontId="0" fillId="0" borderId="0" xfId="0" applyNumberFormat="1"/>
    <xf numFmtId="166" fontId="0" fillId="0" borderId="1" xfId="0" applyNumberFormat="1" applyBorder="1" applyAlignment="1"/>
    <xf numFmtId="166" fontId="0" fillId="0" borderId="2" xfId="0" applyNumberFormat="1" applyBorder="1" applyAlignment="1"/>
    <xf numFmtId="166" fontId="0" fillId="0" borderId="4" xfId="0" applyNumberFormat="1" applyBorder="1" applyAlignment="1">
      <alignment horizontal="left"/>
    </xf>
    <xf numFmtId="169" fontId="1" fillId="0" borderId="1" xfId="0" applyFont="1" applyBorder="1" applyAlignment="1"/>
    <xf numFmtId="169" fontId="1" fillId="0" borderId="4" xfId="0" applyFont="1" applyBorder="1" applyAlignment="1"/>
    <xf numFmtId="169" fontId="1" fillId="0" borderId="2" xfId="0" applyFont="1" applyBorder="1" applyAlignment="1"/>
    <xf numFmtId="20" fontId="0" fillId="0" borderId="1" xfId="0" applyNumberFormat="1" applyBorder="1" applyAlignment="1">
      <alignment vertical="center"/>
    </xf>
    <xf numFmtId="20" fontId="0" fillId="0" borderId="2" xfId="0" applyNumberFormat="1" applyBorder="1" applyAlignment="1">
      <alignment vertical="center"/>
    </xf>
    <xf numFmtId="20" fontId="0" fillId="0" borderId="2" xfId="0" applyNumberFormat="1" applyBorder="1" applyAlignment="1">
      <alignment horizontal="left" vertical="center"/>
    </xf>
    <xf numFmtId="167" fontId="0" fillId="0" borderId="3" xfId="0" applyNumberFormat="1" applyBorder="1" applyAlignment="1">
      <alignment horizontal="left" vertical="center"/>
    </xf>
    <xf numFmtId="167" fontId="0" fillId="2" borderId="3" xfId="0" applyNumberFormat="1" applyFill="1" applyBorder="1" applyAlignment="1">
      <alignment horizontal="left" vertical="center"/>
    </xf>
    <xf numFmtId="167" fontId="0" fillId="3" borderId="3" xfId="0" applyNumberFormat="1" applyFill="1" applyBorder="1" applyAlignment="1">
      <alignment horizontal="left" vertical="center"/>
    </xf>
    <xf numFmtId="20" fontId="0" fillId="0" borderId="0" xfId="0" applyNumberFormat="1" applyFill="1" applyAlignment="1">
      <alignment horizontal="left"/>
    </xf>
    <xf numFmtId="1" fontId="0" fillId="0" borderId="0" xfId="0" applyNumberFormat="1" applyAlignment="1"/>
    <xf numFmtId="169" fontId="1" fillId="0" borderId="17" xfId="0" applyFont="1" applyBorder="1" applyAlignment="1">
      <alignment horizontal="left" vertical="center" wrapText="1"/>
    </xf>
    <xf numFmtId="169" fontId="0" fillId="5" borderId="0" xfId="0" applyFill="1"/>
    <xf numFmtId="169" fontId="9" fillId="5" borderId="0" xfId="0" applyFont="1" applyFill="1" applyBorder="1" applyAlignment="1">
      <alignment horizontal="center" vertical="center" wrapText="1"/>
    </xf>
    <xf numFmtId="169" fontId="9" fillId="5" borderId="0" xfId="0" applyFont="1" applyFill="1"/>
    <xf numFmtId="169" fontId="0" fillId="6" borderId="0" xfId="0" applyFill="1"/>
    <xf numFmtId="169" fontId="9" fillId="6" borderId="0" xfId="0" applyFont="1" applyFill="1" applyBorder="1" applyAlignment="1">
      <alignment horizontal="center" vertical="center" wrapText="1"/>
    </xf>
    <xf numFmtId="169" fontId="9" fillId="6" borderId="0" xfId="0" applyFont="1" applyFill="1"/>
    <xf numFmtId="169" fontId="9" fillId="7" borderId="0" xfId="0" applyFont="1" applyFill="1"/>
    <xf numFmtId="169" fontId="9" fillId="7" borderId="0" xfId="0" applyFont="1" applyFill="1" applyBorder="1" applyAlignment="1">
      <alignment horizontal="center" vertical="center" wrapText="1"/>
    </xf>
    <xf numFmtId="169" fontId="0" fillId="6" borderId="0" xfId="0" applyFill="1" applyAlignment="1">
      <alignment horizontal="center" vertical="center"/>
    </xf>
    <xf numFmtId="169" fontId="9" fillId="6" borderId="5" xfId="0" applyFont="1" applyFill="1" applyBorder="1"/>
    <xf numFmtId="169" fontId="6" fillId="8" borderId="0" xfId="0" applyFont="1" applyFill="1"/>
    <xf numFmtId="169" fontId="6" fillId="8" borderId="0" xfId="0" applyFont="1" applyFill="1" applyAlignment="1">
      <alignment horizontal="center" vertical="center"/>
    </xf>
    <xf numFmtId="169" fontId="9" fillId="8" borderId="5" xfId="0" applyFont="1" applyFill="1" applyBorder="1" applyAlignment="1"/>
    <xf numFmtId="169" fontId="0" fillId="5" borderId="0" xfId="0" applyFill="1" applyAlignment="1">
      <alignment horizontal="center" vertical="center"/>
    </xf>
    <xf numFmtId="169" fontId="9" fillId="5" borderId="5" xfId="0" applyFont="1" applyFill="1" applyBorder="1"/>
    <xf numFmtId="169" fontId="0" fillId="0" borderId="0" xfId="0" applyNumberFormat="1"/>
    <xf numFmtId="169" fontId="1" fillId="0" borderId="0" xfId="0" applyNumberFormat="1" applyFont="1" applyBorder="1" applyAlignment="1">
      <alignment horizontal="center" wrapText="1"/>
    </xf>
    <xf numFmtId="169" fontId="0" fillId="0" borderId="0" xfId="0" applyNumberFormat="1" applyAlignment="1">
      <alignment horizontal="center"/>
    </xf>
    <xf numFmtId="169" fontId="0" fillId="0" borderId="17" xfId="0" applyFill="1" applyBorder="1" applyAlignment="1">
      <alignment horizontal="left"/>
    </xf>
    <xf numFmtId="1" fontId="1" fillId="0" borderId="0" xfId="0" applyNumberFormat="1" applyFont="1" applyBorder="1"/>
    <xf numFmtId="169" fontId="0" fillId="9" borderId="0" xfId="0" applyFill="1"/>
    <xf numFmtId="169" fontId="1" fillId="0" borderId="0" xfId="3" applyFont="1"/>
    <xf numFmtId="169" fontId="10" fillId="0" borderId="0" xfId="3"/>
    <xf numFmtId="169" fontId="12" fillId="0" borderId="0" xfId="0" applyNumberFormat="1" applyFont="1"/>
    <xf numFmtId="169" fontId="10" fillId="0" borderId="0" xfId="3" applyNumberFormat="1"/>
    <xf numFmtId="169" fontId="0" fillId="0" borderId="0" xfId="3" applyFont="1"/>
    <xf numFmtId="169" fontId="0" fillId="0" borderId="0" xfId="3" applyNumberFormat="1" applyFont="1"/>
    <xf numFmtId="169" fontId="9" fillId="9" borderId="0" xfId="0" applyFont="1" applyFill="1" applyBorder="1" applyAlignment="1">
      <alignment horizontal="center" vertical="center" wrapText="1"/>
    </xf>
    <xf numFmtId="169" fontId="9" fillId="9" borderId="0" xfId="0" applyFont="1" applyFill="1"/>
    <xf numFmtId="167" fontId="13" fillId="0" borderId="5" xfId="0" applyNumberFormat="1" applyFont="1" applyFill="1" applyBorder="1" applyAlignment="1">
      <alignment horizontal="center" vertical="center" wrapText="1"/>
    </xf>
    <xf numFmtId="169" fontId="13" fillId="0" borderId="5" xfId="0" applyFont="1" applyFill="1" applyBorder="1" applyAlignment="1">
      <alignment horizontal="center" vertical="center" wrapText="1"/>
    </xf>
    <xf numFmtId="1" fontId="13" fillId="0" borderId="5" xfId="0" applyNumberFormat="1" applyFont="1" applyFill="1" applyBorder="1" applyAlignment="1">
      <alignment horizontal="center" vertical="center" wrapText="1"/>
    </xf>
    <xf numFmtId="169" fontId="14" fillId="0" borderId="5" xfId="0" applyFont="1" applyFill="1" applyBorder="1"/>
    <xf numFmtId="169" fontId="15" fillId="6" borderId="5" xfId="0" applyFont="1" applyFill="1" applyBorder="1" applyAlignment="1">
      <alignment horizontal="center" vertical="center" wrapText="1"/>
    </xf>
    <xf numFmtId="169" fontId="15" fillId="8" borderId="5" xfId="0" applyFont="1" applyFill="1" applyBorder="1" applyAlignment="1">
      <alignment horizontal="center" vertical="center" wrapText="1"/>
    </xf>
    <xf numFmtId="169" fontId="15" fillId="5" borderId="5" xfId="0" applyFont="1" applyFill="1" applyBorder="1"/>
    <xf numFmtId="169" fontId="13" fillId="0" borderId="5" xfId="0" applyNumberFormat="1" applyFont="1" applyFill="1" applyBorder="1" applyAlignment="1">
      <alignment horizontal="center" vertical="center" wrapText="1"/>
    </xf>
    <xf numFmtId="169" fontId="16" fillId="9" borderId="0" xfId="0" applyFont="1" applyFill="1" applyBorder="1" applyAlignment="1">
      <alignment horizontal="center" vertical="center" wrapText="1"/>
    </xf>
    <xf numFmtId="169" fontId="16" fillId="0" borderId="0" xfId="0" applyFont="1" applyBorder="1" applyAlignment="1">
      <alignment horizontal="center" vertical="center" wrapText="1"/>
    </xf>
    <xf numFmtId="169" fontId="14" fillId="0" borderId="0" xfId="0" applyFont="1" applyFill="1"/>
    <xf numFmtId="1" fontId="0" fillId="2" borderId="12" xfId="0" applyNumberFormat="1" applyFill="1" applyBorder="1" applyAlignment="1">
      <alignment vertical="center"/>
    </xf>
    <xf numFmtId="1" fontId="0" fillId="0" borderId="15" xfId="0" applyNumberFormat="1" applyBorder="1" applyAlignment="1">
      <alignment vertical="center"/>
    </xf>
    <xf numFmtId="169" fontId="0" fillId="0" borderId="0" xfId="0" applyNumberFormat="1" applyAlignment="1"/>
    <xf numFmtId="169" fontId="1" fillId="0" borderId="0" xfId="0" applyNumberFormat="1" applyFont="1" applyAlignment="1"/>
    <xf numFmtId="169" fontId="0" fillId="0" borderId="0" xfId="0" applyNumberFormat="1" applyAlignment="1">
      <alignment horizontal="left"/>
    </xf>
    <xf numFmtId="169" fontId="0" fillId="0" borderId="0" xfId="0" applyNumberFormat="1"/>
    <xf numFmtId="169" fontId="13" fillId="0" borderId="5" xfId="0" applyNumberFormat="1" applyFont="1" applyFill="1" applyBorder="1" applyAlignment="1">
      <alignment horizontal="center" vertical="center" wrapText="1"/>
    </xf>
    <xf numFmtId="169" fontId="17" fillId="6" borderId="0" xfId="0" applyFont="1" applyFill="1"/>
    <xf numFmtId="169" fontId="18" fillId="0" borderId="0" xfId="0" applyFont="1" applyFill="1"/>
    <xf numFmtId="169" fontId="18" fillId="0" borderId="0" xfId="0" applyFont="1" applyFill="1" applyAlignment="1">
      <alignment horizontal="center" vertical="center"/>
    </xf>
    <xf numFmtId="169" fontId="19" fillId="0" borderId="0" xfId="0" applyFont="1" applyFill="1"/>
    <xf numFmtId="2" fontId="1" fillId="0" borderId="5" xfId="0" applyNumberFormat="1" applyFont="1" applyFill="1" applyBorder="1" applyAlignment="1">
      <alignment horizontal="center" wrapText="1"/>
    </xf>
    <xf numFmtId="2" fontId="1" fillId="0" borderId="5" xfId="0" applyNumberFormat="1" applyFont="1" applyBorder="1" applyAlignment="1">
      <alignment horizontal="center" vertical="center" wrapText="1"/>
    </xf>
    <xf numFmtId="2" fontId="1" fillId="0" borderId="5" xfId="0" applyNumberFormat="1" applyFont="1" applyFill="1" applyBorder="1" applyAlignment="1">
      <alignment horizontal="center" vertical="center"/>
    </xf>
    <xf numFmtId="2" fontId="1" fillId="0" borderId="5" xfId="0" applyNumberFormat="1" applyFont="1" applyBorder="1"/>
    <xf numFmtId="9" fontId="0" fillId="0" borderId="0" xfId="2" applyNumberFormat="1" applyFont="1" applyAlignment="1">
      <alignment horizontal="left"/>
    </xf>
    <xf numFmtId="169" fontId="0" fillId="2" borderId="11" xfId="0" applyNumberFormat="1" applyFill="1" applyBorder="1" applyAlignment="1">
      <alignment vertical="center"/>
    </xf>
    <xf numFmtId="169" fontId="0" fillId="2" borderId="12" xfId="0" applyNumberFormat="1" applyFill="1" applyBorder="1" applyAlignment="1">
      <alignment horizontal="left" vertical="center"/>
    </xf>
    <xf numFmtId="169" fontId="0" fillId="0" borderId="14" xfId="0" applyNumberFormat="1" applyBorder="1" applyAlignment="1">
      <alignment vertical="center"/>
    </xf>
    <xf numFmtId="169" fontId="0" fillId="0" borderId="15" xfId="0" applyNumberFormat="1" applyBorder="1" applyAlignment="1">
      <alignment horizontal="left" vertical="center"/>
    </xf>
    <xf numFmtId="169" fontId="0" fillId="0" borderId="0" xfId="0" applyNumberFormat="1" applyAlignment="1">
      <alignment horizontal="center" vertical="center"/>
    </xf>
    <xf numFmtId="169" fontId="13" fillId="0" borderId="5" xfId="0" applyNumberFormat="1" applyFont="1" applyFill="1" applyBorder="1" applyAlignment="1">
      <alignment horizontal="left" vertical="center" wrapText="1"/>
    </xf>
    <xf numFmtId="167" fontId="0" fillId="0" borderId="0" xfId="0" applyNumberFormat="1" applyAlignment="1"/>
    <xf numFmtId="2" fontId="0" fillId="0" borderId="5" xfId="0" applyNumberFormat="1" applyBorder="1"/>
    <xf numFmtId="1" fontId="0" fillId="0" borderId="17" xfId="0" applyNumberFormat="1" applyBorder="1"/>
    <xf numFmtId="169" fontId="0" fillId="0" borderId="17" xfId="0" applyFill="1" applyBorder="1" applyAlignment="1">
      <alignment horizontal="left" vertical="center"/>
    </xf>
    <xf numFmtId="169" fontId="0" fillId="0" borderId="5" xfId="0" applyFill="1" applyBorder="1" applyAlignment="1">
      <alignment vertical="center"/>
    </xf>
    <xf numFmtId="169" fontId="0" fillId="0" borderId="5" xfId="0" applyNumberFormat="1" applyBorder="1" applyAlignment="1">
      <alignment horizontal="center"/>
    </xf>
    <xf numFmtId="167" fontId="1" fillId="0" borderId="0" xfId="0" applyNumberFormat="1" applyFont="1"/>
    <xf numFmtId="2" fontId="1" fillId="0" borderId="0" xfId="0" applyNumberFormat="1" applyFont="1"/>
    <xf numFmtId="169" fontId="0" fillId="0" borderId="0" xfId="0" applyNumberFormat="1"/>
    <xf numFmtId="169" fontId="0" fillId="0" borderId="0" xfId="0" applyNumberFormat="1" applyAlignment="1">
      <alignment horizontal="left"/>
    </xf>
    <xf numFmtId="169" fontId="0" fillId="0" borderId="0" xfId="0" applyNumberFormat="1"/>
    <xf numFmtId="169" fontId="0" fillId="0" borderId="0" xfId="0" applyNumberFormat="1" applyAlignment="1"/>
    <xf numFmtId="169" fontId="0" fillId="2" borderId="13" xfId="0" applyNumberFormat="1" applyFill="1" applyBorder="1" applyAlignment="1"/>
    <xf numFmtId="169" fontId="0" fillId="0" borderId="16" xfId="0" applyNumberFormat="1" applyBorder="1" applyAlignment="1"/>
    <xf numFmtId="169" fontId="13" fillId="0" borderId="5" xfId="0" applyNumberFormat="1" applyFont="1" applyFill="1" applyBorder="1" applyAlignment="1">
      <alignment horizontal="center" vertical="center" wrapText="1"/>
    </xf>
    <xf numFmtId="169" fontId="0" fillId="0" borderId="5" xfId="0" applyNumberFormat="1" applyFill="1" applyBorder="1" applyAlignment="1"/>
    <xf numFmtId="169" fontId="6" fillId="0" borderId="0" xfId="0" applyFont="1"/>
    <xf numFmtId="169" fontId="6" fillId="0" borderId="0" xfId="0" applyFont="1" applyBorder="1" applyAlignment="1">
      <alignment horizontal="center" vertical="center" wrapText="1"/>
    </xf>
    <xf numFmtId="169" fontId="6" fillId="0" borderId="0" xfId="0" applyFont="1" applyAlignment="1">
      <alignment horizontal="center" vertical="center"/>
    </xf>
    <xf numFmtId="169" fontId="6" fillId="0" borderId="0" xfId="0" applyFont="1" applyFill="1"/>
    <xf numFmtId="169" fontId="8" fillId="4" borderId="9" xfId="1" applyNumberFormat="1" applyFont="1" applyFill="1" applyBorder="1" applyAlignment="1">
      <alignment horizontal="center"/>
    </xf>
    <xf numFmtId="169" fontId="8" fillId="4" borderId="0" xfId="1" applyNumberFormat="1" applyFont="1" applyFill="1" applyBorder="1" applyAlignment="1">
      <alignment horizontal="center"/>
    </xf>
    <xf numFmtId="169" fontId="8" fillId="0" borderId="10" xfId="1" applyNumberFormat="1" applyFont="1" applyFill="1" applyBorder="1" applyAlignment="1">
      <alignment wrapText="1"/>
    </xf>
    <xf numFmtId="169" fontId="8" fillId="0" borderId="10" xfId="1" applyNumberFormat="1" applyFont="1" applyFill="1" applyBorder="1" applyAlignment="1">
      <alignment horizontal="right" wrapText="1"/>
    </xf>
    <xf numFmtId="169" fontId="0" fillId="0" borderId="0" xfId="0" applyNumberFormat="1" applyFill="1" applyBorder="1"/>
    <xf numFmtId="169" fontId="9" fillId="0" borderId="0" xfId="0" applyFont="1"/>
    <xf numFmtId="169" fontId="1" fillId="0" borderId="0" xfId="0" applyNumberFormat="1" applyFont="1" applyBorder="1" applyAlignment="1">
      <alignment horizontal="left" wrapText="1"/>
    </xf>
    <xf numFmtId="169" fontId="0" fillId="0" borderId="5" xfId="0" applyNumberFormat="1" applyBorder="1" applyAlignment="1">
      <alignment horizontal="left"/>
    </xf>
    <xf numFmtId="0" fontId="1" fillId="0" borderId="0" xfId="0" applyNumberFormat="1" applyFont="1"/>
    <xf numFmtId="0" fontId="0" fillId="0" borderId="0" xfId="0" applyNumberFormat="1"/>
    <xf numFmtId="0" fontId="0" fillId="0" borderId="0" xfId="0" applyNumberFormat="1" applyAlignment="1">
      <alignment horizontal="left"/>
    </xf>
    <xf numFmtId="0" fontId="0" fillId="0" borderId="0" xfId="0" applyNumberFormat="1" applyFill="1" applyAlignment="1">
      <alignment horizontal="left" wrapText="1"/>
    </xf>
    <xf numFmtId="0" fontId="0" fillId="0" borderId="4" xfId="0" applyNumberFormat="1" applyBorder="1" applyAlignment="1">
      <alignment horizontal="left"/>
    </xf>
    <xf numFmtId="0" fontId="1" fillId="0" borderId="1" xfId="0" applyNumberFormat="1" applyFont="1" applyFill="1" applyBorder="1" applyAlignment="1"/>
    <xf numFmtId="0" fontId="1" fillId="0" borderId="4" xfId="0" applyNumberFormat="1" applyFont="1" applyBorder="1" applyAlignment="1"/>
    <xf numFmtId="0" fontId="1" fillId="0" borderId="2" xfId="0" applyNumberFormat="1" applyFont="1" applyBorder="1" applyAlignment="1"/>
    <xf numFmtId="0" fontId="0" fillId="0" borderId="2" xfId="0" applyNumberFormat="1" applyBorder="1" applyAlignment="1">
      <alignment horizontal="left" vertical="center"/>
    </xf>
    <xf numFmtId="0" fontId="0" fillId="0" borderId="3" xfId="0" applyNumberFormat="1" applyFill="1" applyBorder="1" applyAlignment="1">
      <alignment horizontal="left" vertical="center"/>
    </xf>
    <xf numFmtId="0" fontId="0" fillId="0" borderId="3" xfId="0" applyNumberFormat="1" applyBorder="1" applyAlignment="1">
      <alignment horizontal="left" vertical="center"/>
    </xf>
    <xf numFmtId="0" fontId="0" fillId="0" borderId="2" xfId="0" applyNumberFormat="1" applyBorder="1" applyAlignment="1">
      <alignment horizontal="center" vertical="center"/>
    </xf>
    <xf numFmtId="0" fontId="0" fillId="0" borderId="4" xfId="0" applyNumberFormat="1" applyBorder="1" applyAlignment="1">
      <alignment horizontal="left" vertical="center"/>
    </xf>
    <xf numFmtId="0" fontId="0" fillId="0" borderId="0" xfId="0" applyNumberFormat="1" applyFill="1" applyAlignment="1">
      <alignment horizontal="left"/>
    </xf>
    <xf numFmtId="0" fontId="0" fillId="0" borderId="0" xfId="0" applyNumberFormat="1" applyAlignment="1"/>
    <xf numFmtId="0" fontId="5" fillId="0" borderId="0" xfId="0" applyNumberFormat="1" applyFont="1" applyFill="1"/>
    <xf numFmtId="0" fontId="5" fillId="0" borderId="0" xfId="0" applyNumberFormat="1" applyFont="1"/>
    <xf numFmtId="0" fontId="0" fillId="0" borderId="5" xfId="0" applyNumberFormat="1" applyBorder="1" applyAlignment="1">
      <alignment horizontal="center" vertical="center" wrapText="1"/>
    </xf>
    <xf numFmtId="0" fontId="9" fillId="8" borderId="0" xfId="0" applyNumberFormat="1" applyFont="1" applyFill="1" applyBorder="1" applyAlignment="1">
      <alignment horizontal="center" vertical="center" wrapText="1"/>
    </xf>
    <xf numFmtId="0" fontId="9" fillId="0" borderId="0" xfId="0" applyNumberFormat="1" applyFont="1" applyBorder="1" applyAlignment="1">
      <alignment horizontal="center" vertical="center" wrapText="1"/>
    </xf>
    <xf numFmtId="0" fontId="0" fillId="0" borderId="5" xfId="0" applyNumberFormat="1" applyFill="1" applyBorder="1"/>
    <xf numFmtId="0" fontId="9" fillId="8" borderId="0" xfId="0" applyNumberFormat="1" applyFont="1" applyFill="1" applyBorder="1"/>
    <xf numFmtId="0" fontId="9" fillId="0" borderId="0" xfId="0" applyNumberFormat="1" applyFont="1" applyFill="1" applyBorder="1"/>
    <xf numFmtId="0" fontId="5" fillId="8" borderId="0" xfId="0" applyNumberFormat="1" applyFont="1" applyFill="1"/>
    <xf numFmtId="169" fontId="2" fillId="0" borderId="0" xfId="0" applyFont="1" applyBorder="1" applyAlignment="1">
      <alignment horizontal="center" vertical="center"/>
    </xf>
    <xf numFmtId="169" fontId="1" fillId="0" borderId="0" xfId="0" applyFont="1" applyBorder="1" applyAlignment="1">
      <alignment horizontal="center"/>
    </xf>
    <xf numFmtId="0" fontId="0" fillId="0" borderId="0" xfId="0" applyNumberFormat="1" applyBorder="1"/>
  </cellXfs>
  <cellStyles count="4">
    <cellStyle name="Normal" xfId="0" builtinId="0"/>
    <cellStyle name="Normal 2" xfId="3"/>
    <cellStyle name="Normal_XINGS" xfId="1"/>
    <cellStyle name="Percent" xfId="2" builtinId="5"/>
  </cellStyles>
  <dxfs count="11">
    <dxf>
      <font>
        <color rgb="FF9C0006"/>
      </font>
      <fill>
        <patternFill>
          <bgColor rgb="FFFFC7CE"/>
        </patternFill>
      </fill>
    </dxf>
    <dxf>
      <fill>
        <patternFill>
          <bgColor rgb="FFFFFF00"/>
        </patternFill>
      </fill>
    </dxf>
    <dxf>
      <font>
        <color rgb="FF9C6500"/>
      </font>
      <fill>
        <patternFill>
          <bgColor rgb="FFFFEB9C"/>
        </patternFill>
      </fill>
    </dxf>
    <dxf>
      <font>
        <color rgb="FF9C6500"/>
      </font>
      <fill>
        <patternFill>
          <bgColor rgb="FFFFEB9C"/>
        </patternFill>
      </fill>
    </dxf>
    <dxf>
      <fill>
        <patternFill>
          <bgColor theme="5" tint="0.79998168889431442"/>
        </patternFill>
      </fill>
    </dxf>
    <dxf>
      <fill>
        <patternFill>
          <bgColor theme="5" tint="0.79998168889431442"/>
        </patternFill>
      </fill>
    </dxf>
    <dxf>
      <fill>
        <patternFill>
          <bgColor rgb="FFFFFF00"/>
        </patternFill>
      </fill>
    </dxf>
    <dxf>
      <font>
        <color theme="0"/>
      </font>
      <fill>
        <patternFill>
          <bgColor rgb="FFFF0000"/>
        </patternFill>
      </fill>
    </dxf>
    <dxf>
      <font>
        <color rgb="FF9C6500"/>
      </font>
      <fill>
        <patternFill>
          <bgColor rgb="FFFFEB9C"/>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mruColors>
      <color rgb="FFE4C9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onnections" Target="connection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externalLink" Target="externalLinks/externalLink2.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24</xdr:col>
          <xdr:colOff>552450</xdr:colOff>
          <xdr:row>2</xdr:row>
          <xdr:rowOff>38100</xdr:rowOff>
        </xdr:from>
        <xdr:to>
          <xdr:col>26</xdr:col>
          <xdr:colOff>466725</xdr:colOff>
          <xdr:row>4</xdr:row>
          <xdr:rowOff>190500</xdr:rowOff>
        </xdr:to>
        <xdr:sp macro="" textlink="">
          <xdr:nvSpPr>
            <xdr:cNvPr id="1025" name="Button 1" hidden="1">
              <a:extLst>
                <a:ext uri="{63B3BB69-23CF-44E3-9099-C40C66FF867C}">
                  <a14:compatExt spid="_x0000_s102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Apply Formatting</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15</xdr:col>
          <xdr:colOff>352425</xdr:colOff>
          <xdr:row>1</xdr:row>
          <xdr:rowOff>28575</xdr:rowOff>
        </xdr:from>
        <xdr:to>
          <xdr:col>15</xdr:col>
          <xdr:colOff>1152525</xdr:colOff>
          <xdr:row>3</xdr:row>
          <xdr:rowOff>66675</xdr:rowOff>
        </xdr:to>
        <xdr:sp macro="" textlink="">
          <xdr:nvSpPr>
            <xdr:cNvPr id="2049" name="Button 1" hidden="1">
              <a:extLst>
                <a:ext uri="{63B3BB69-23CF-44E3-9099-C40C66FF867C}">
                  <a14:compatExt spid="_x0000_s204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Apply Formatting</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295275</xdr:colOff>
          <xdr:row>5</xdr:row>
          <xdr:rowOff>47625</xdr:rowOff>
        </xdr:from>
        <xdr:to>
          <xdr:col>0</xdr:col>
          <xdr:colOff>1628775</xdr:colOff>
          <xdr:row>8</xdr:row>
          <xdr:rowOff>66675</xdr:rowOff>
        </xdr:to>
        <xdr:sp macro="" textlink="">
          <xdr:nvSpPr>
            <xdr:cNvPr id="6145" name="Button 1" hidden="1">
              <a:extLst>
                <a:ext uri="{63B3BB69-23CF-44E3-9099-C40C66FF867C}">
                  <a14:compatExt spid="_x0000_s614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Email Report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304800</xdr:colOff>
          <xdr:row>9</xdr:row>
          <xdr:rowOff>85725</xdr:rowOff>
        </xdr:from>
        <xdr:to>
          <xdr:col>0</xdr:col>
          <xdr:colOff>1552575</xdr:colOff>
          <xdr:row>12</xdr:row>
          <xdr:rowOff>38100</xdr:rowOff>
        </xdr:to>
        <xdr:sp macro="" textlink="">
          <xdr:nvSpPr>
            <xdr:cNvPr id="6146" name="Button 2" hidden="1">
              <a:extLst>
                <a:ext uri="{63B3BB69-23CF-44E3-9099-C40C66FF867C}">
                  <a14:compatExt spid="_x0000_s614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Import Raw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295275</xdr:colOff>
          <xdr:row>12</xdr:row>
          <xdr:rowOff>142875</xdr:rowOff>
        </xdr:from>
        <xdr:to>
          <xdr:col>0</xdr:col>
          <xdr:colOff>1543050</xdr:colOff>
          <xdr:row>15</xdr:row>
          <xdr:rowOff>95250</xdr:rowOff>
        </xdr:to>
        <xdr:sp macro="" textlink="">
          <xdr:nvSpPr>
            <xdr:cNvPr id="6147" name="Button 3" hidden="1">
              <a:extLst>
                <a:ext uri="{63B3BB69-23CF-44E3-9099-C40C66FF867C}">
                  <a14:compatExt spid="_x0000_s614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Update Date</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stu\Documents\GitHub\eaglep3\Utilities\Daily%20Observations.xlsb" TargetMode="External"/></Relationships>
</file>

<file path=xl/externalLinks/_rels/externalLink2.xml.rels><?xml version="1.0" encoding="UTF-8" standalone="yes"?>
<Relationships xmlns="http://schemas.openxmlformats.org/package/2006/relationships"><Relationship Id="rId1" Type="http://schemas.microsoft.com/office/2006/relationships/xlExternalLinkPath/xlStartup" Target="PERSONAL.XLSB"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river"/>
      <sheetName val="List Values"/>
      <sheetName val="Constants"/>
    </sheetNames>
    <sheetDataSet>
      <sheetData sheetId="0"/>
      <sheetData sheetId="1"/>
      <sheetData sheetId="2">
        <row r="4">
          <cell r="B4" t="str">
            <v>d6333d4a04012a730768444271f8ca06482dae87</v>
          </cell>
        </row>
        <row r="5">
          <cell r="B5" t="str">
            <v>https://secure.xorail.net/redmine/issues.json</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s>
    <definedNames>
      <definedName name="DailyMorningStuff_Enforcements"/>
      <definedName name="DailyMorningStuff_Runs"/>
      <definedName name="ImportRawText"/>
      <definedName name="Mail_workbook_Outlook"/>
      <definedName name="SetTodaysDate"/>
    </definedNames>
    <sheetDataSet>
      <sheetData sheetId="0"/>
    </sheetDataSet>
  </externalBook>
</externalLink>
</file>

<file path=xl/queryTables/queryTable1.xml><?xml version="1.0" encoding="utf-8"?>
<queryTable xmlns="http://schemas.openxmlformats.org/spreadsheetml/2006/main" name="Denver Train Runs 04122016" connectionId="1" autoFormatId="16" applyNumberFormats="0" applyBorderFormats="0" applyFontFormats="0" applyPatternFormats="0"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queryTable" Target="../queryTables/queryTable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6" Type="http://schemas.openxmlformats.org/officeDocument/2006/relationships/ctrlProp" Target="../ctrlProps/ctrlProp5.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A1:CM256"/>
  <sheetViews>
    <sheetView tabSelected="1" zoomScaleNormal="100" workbookViewId="0"/>
  </sheetViews>
  <sheetFormatPr defaultRowHeight="15" x14ac:dyDescent="0.25"/>
  <cols>
    <col min="1" max="1" width="8" style="35" customWidth="1"/>
    <col min="2" max="2" width="6.140625" style="37" customWidth="1"/>
    <col min="3" max="3" width="13.5703125" style="27" hidden="1" customWidth="1"/>
    <col min="4" max="4" width="16.140625" style="27" hidden="1" customWidth="1"/>
    <col min="5" max="5" width="19.5703125" style="34" hidden="1" customWidth="1"/>
    <col min="6" max="6" width="18.28515625" style="34" customWidth="1"/>
    <col min="7" max="7" width="4.85546875" style="37" hidden="1" customWidth="1"/>
    <col min="8" max="8" width="22.140625" style="34" hidden="1" customWidth="1"/>
    <col min="9" max="9" width="18.5703125" style="34" customWidth="1"/>
    <col min="10" max="10" width="7.28515625" style="37" customWidth="1"/>
    <col min="11" max="11" width="10.42578125" style="27" customWidth="1"/>
    <col min="12" max="12" width="12" style="27" customWidth="1"/>
    <col min="13" max="13" width="7.42578125" style="36" customWidth="1"/>
    <col min="14" max="14" width="3.85546875" style="37" customWidth="1"/>
    <col min="15" max="15" width="3.7109375" style="2" customWidth="1"/>
    <col min="16" max="16" width="3.42578125" style="2" customWidth="1"/>
    <col min="17" max="17" width="3.7109375" hidden="1" customWidth="1"/>
    <col min="18" max="18" width="30.5703125" customWidth="1"/>
    <col min="19" max="19" width="6" style="20" customWidth="1"/>
    <col min="20" max="20" width="3.85546875" customWidth="1"/>
    <col min="21" max="21" width="5" style="171" customWidth="1"/>
    <col min="22" max="22" width="5.7109375" style="193" customWidth="1"/>
    <col min="23" max="23" width="3.85546875" style="186" customWidth="1"/>
    <col min="24" max="24" width="6.5703125" style="186" customWidth="1"/>
    <col min="25" max="25" width="11.5703125" style="60" bestFit="1" customWidth="1"/>
    <col min="26" max="26" width="7.28515625" style="60" customWidth="1"/>
    <col min="27" max="27" width="9.140625" style="60"/>
    <col min="28" max="28" width="10.7109375" style="57" hidden="1" customWidth="1"/>
    <col min="29" max="29" width="9.42578125" style="51" hidden="1" customWidth="1"/>
    <col min="30" max="30" width="7.85546875" style="52" customWidth="1"/>
    <col min="31" max="31" width="4.5703125" style="83" customWidth="1"/>
    <col min="32" max="32" width="6.28515625" style="80" customWidth="1"/>
    <col min="33" max="33" width="5.42578125" customWidth="1"/>
    <col min="34" max="34" width="5" style="86" customWidth="1"/>
    <col min="35" max="35" width="5.7109375" style="100" customWidth="1"/>
    <col min="36" max="36" width="9.85546875" customWidth="1"/>
    <col min="37" max="37" width="7.7109375" customWidth="1"/>
    <col min="38" max="38" width="7.85546875" customWidth="1"/>
    <col min="39" max="39" width="9.140625" style="158"/>
  </cols>
  <sheetData>
    <row r="1" spans="1:91" s="20" customFormat="1" ht="15.75" thickBot="1" x14ac:dyDescent="0.3">
      <c r="A1" s="35"/>
      <c r="B1" s="37"/>
      <c r="C1" s="27"/>
      <c r="D1" s="27"/>
      <c r="E1" s="34"/>
      <c r="F1" s="34"/>
      <c r="G1" s="37"/>
      <c r="H1" s="34"/>
      <c r="I1" s="34" t="s">
        <v>105</v>
      </c>
      <c r="J1" s="37"/>
      <c r="K1" s="27"/>
      <c r="L1" s="27"/>
      <c r="M1" s="36"/>
      <c r="N1" s="37"/>
      <c r="O1" s="2"/>
      <c r="P1" s="2"/>
      <c r="R1" s="34" t="s">
        <v>106</v>
      </c>
      <c r="S1" s="37"/>
      <c r="T1" s="27"/>
      <c r="U1" s="172"/>
      <c r="V1" s="173"/>
      <c r="W1" s="172"/>
      <c r="X1" s="171"/>
      <c r="Y1" s="60"/>
      <c r="Z1" s="60"/>
      <c r="AA1" s="60"/>
      <c r="AB1" s="57"/>
      <c r="AC1" s="51"/>
      <c r="AD1" s="52"/>
      <c r="AE1" s="1"/>
      <c r="AF1" s="1"/>
      <c r="AG1" s="1"/>
      <c r="AH1" s="48"/>
      <c r="AI1" s="1"/>
      <c r="AM1" s="158"/>
    </row>
    <row r="2" spans="1:91" s="20" customFormat="1" ht="15.75" thickBot="1" x14ac:dyDescent="0.3">
      <c r="A2" s="35"/>
      <c r="B2" s="37"/>
      <c r="C2" s="27"/>
      <c r="D2" s="27"/>
      <c r="E2" s="34"/>
      <c r="F2" s="34"/>
      <c r="G2" s="37"/>
      <c r="H2" s="34"/>
      <c r="I2" s="65">
        <f>Variables!$A$2</f>
        <v>42771</v>
      </c>
      <c r="J2" s="66"/>
      <c r="K2" s="67"/>
      <c r="L2" s="67"/>
      <c r="M2" s="68" t="s">
        <v>8</v>
      </c>
      <c r="N2" s="69"/>
      <c r="O2" s="70"/>
      <c r="P2" s="2"/>
      <c r="R2" s="65">
        <f>Variables!$A$2</f>
        <v>42771</v>
      </c>
      <c r="S2" s="66"/>
      <c r="T2" s="67"/>
      <c r="U2" s="174"/>
      <c r="V2" s="175" t="s">
        <v>8</v>
      </c>
      <c r="W2" s="176"/>
      <c r="X2" s="177"/>
      <c r="Y2" s="60"/>
      <c r="Z2" s="60"/>
      <c r="AA2" s="60"/>
      <c r="AB2" s="57"/>
      <c r="AC2" s="51"/>
      <c r="AD2" s="52"/>
      <c r="AE2" s="1"/>
      <c r="AF2" s="1"/>
      <c r="AG2" s="1"/>
      <c r="AH2" s="48"/>
      <c r="AI2" s="1"/>
      <c r="AM2" s="158"/>
    </row>
    <row r="3" spans="1:91" s="20" customFormat="1" ht="15.75" thickBot="1" x14ac:dyDescent="0.3">
      <c r="A3" s="35"/>
      <c r="B3" s="37"/>
      <c r="C3" s="27"/>
      <c r="D3" s="27"/>
      <c r="E3" s="34"/>
      <c r="F3" s="34"/>
      <c r="G3" s="37"/>
      <c r="H3" s="34"/>
      <c r="I3" s="71" t="s">
        <v>10</v>
      </c>
      <c r="J3" s="72"/>
      <c r="K3" s="73"/>
      <c r="L3" s="73"/>
      <c r="M3" s="38" t="s">
        <v>11</v>
      </c>
      <c r="N3" s="39" t="s">
        <v>12</v>
      </c>
      <c r="O3" s="3" t="s">
        <v>13</v>
      </c>
      <c r="P3" s="2"/>
      <c r="R3" s="71" t="s">
        <v>10</v>
      </c>
      <c r="S3" s="72"/>
      <c r="T3" s="73"/>
      <c r="U3" s="178"/>
      <c r="V3" s="179" t="s">
        <v>11</v>
      </c>
      <c r="W3" s="180" t="s">
        <v>12</v>
      </c>
      <c r="X3" s="181" t="s">
        <v>13</v>
      </c>
      <c r="Y3" s="60"/>
      <c r="Z3" s="60"/>
      <c r="AA3" s="60"/>
      <c r="AB3" s="57"/>
      <c r="AC3" s="51"/>
      <c r="AD3" s="52"/>
      <c r="AE3" s="1"/>
      <c r="AF3" s="1"/>
      <c r="AG3" s="1"/>
      <c r="AH3" s="48"/>
      <c r="AI3" s="1"/>
      <c r="AM3" s="158"/>
    </row>
    <row r="4" spans="1:91" s="20" customFormat="1" ht="15.75" thickBot="1" x14ac:dyDescent="0.3">
      <c r="A4" s="35"/>
      <c r="B4" s="37"/>
      <c r="C4" s="27"/>
      <c r="D4" s="27"/>
      <c r="E4" s="34"/>
      <c r="F4" s="34"/>
      <c r="G4" s="37"/>
      <c r="H4" s="34"/>
      <c r="I4" s="74" t="s">
        <v>14</v>
      </c>
      <c r="J4" s="50">
        <f>SUM(J5:J7)</f>
        <v>143</v>
      </c>
      <c r="K4" s="40"/>
      <c r="L4" s="40"/>
      <c r="M4" s="41" t="s">
        <v>15</v>
      </c>
      <c r="N4" s="39" t="s">
        <v>15</v>
      </c>
      <c r="O4" s="3" t="s">
        <v>15</v>
      </c>
      <c r="P4" s="2"/>
      <c r="R4" s="74" t="s">
        <v>14</v>
      </c>
      <c r="S4" s="50">
        <f>SUM(S5:S7)</f>
        <v>34</v>
      </c>
      <c r="T4" s="40"/>
      <c r="U4" s="182"/>
      <c r="V4" s="179" t="s">
        <v>15</v>
      </c>
      <c r="W4" s="180" t="s">
        <v>15</v>
      </c>
      <c r="X4" s="181" t="s">
        <v>15</v>
      </c>
      <c r="Y4" s="60"/>
      <c r="Z4" s="60"/>
      <c r="AA4" s="60"/>
      <c r="AB4" s="57"/>
      <c r="AC4" s="51"/>
      <c r="AD4" s="52"/>
      <c r="AE4" s="1"/>
      <c r="AF4" s="1"/>
      <c r="AG4" s="1"/>
      <c r="AH4" s="48"/>
      <c r="AI4" s="1"/>
      <c r="AM4" s="158"/>
    </row>
    <row r="5" spans="1:91" s="20" customFormat="1" ht="15.75" thickBot="1" x14ac:dyDescent="0.3">
      <c r="A5" s="35"/>
      <c r="B5" s="37"/>
      <c r="C5" s="27"/>
      <c r="D5" s="27"/>
      <c r="E5" s="34"/>
      <c r="F5" s="34"/>
      <c r="G5" s="37"/>
      <c r="H5" s="34"/>
      <c r="I5" s="74" t="s">
        <v>17</v>
      </c>
      <c r="J5" s="50">
        <f>COUNTIFS($N$13:$N$9350,"&gt;0",$AG$13:$AG$9350,I1)</f>
        <v>137</v>
      </c>
      <c r="K5" s="40"/>
      <c r="L5" s="40"/>
      <c r="M5" s="41">
        <f>AVERAGEIFS($N$13:$N$9350,$AG$13:$AG$9350,I1)</f>
        <v>38.660827251032238</v>
      </c>
      <c r="N5" s="39">
        <f t="array" ref="N5">MIN(IF($AG$13:$AG$9350=I1,IF(ISNUMBER($N$13:$N$9350),IF($N$13:$N$9350&gt;0,$N$13:$N$9350))))</f>
        <v>34.950000008102506</v>
      </c>
      <c r="O5" s="3">
        <f t="array" ref="O5">MAX(IF($AG$13:$AG$9350=I1,IF(ISNUMBER($N$13:$N$9350),IF($N$13:$N$9350&gt;0,$N$13:$N$9350))))</f>
        <v>49.783333330415189</v>
      </c>
      <c r="P5" s="2"/>
      <c r="R5" s="74" t="s">
        <v>17</v>
      </c>
      <c r="S5" s="50">
        <f>COUNTIFS($N$13:$N$9350,"&gt;0",$AG$13:$AG$9350,R1)</f>
        <v>34</v>
      </c>
      <c r="T5" s="40"/>
      <c r="U5" s="182"/>
      <c r="V5" s="179">
        <f>AVERAGEIFS($N$13:$N$9350,$AG$13:$AG$9350,R1)</f>
        <v>14.128921568592299</v>
      </c>
      <c r="W5" s="180">
        <f t="array" ref="W5">MIN(IF($AG$13:$AG$9350=R1,IF(ISNUMBER($N$13:$N$9350),IF($N$13:$N$9350&gt;0,$N$13:$N$9350))))</f>
        <v>11.833333333488554</v>
      </c>
      <c r="X5" s="181">
        <f t="array" ref="X5">MAX(IF($AG$13:$AG$9350=R1,IF(ISNUMBER($N$13:$N$9350),IF($N$13:$N$9350&gt;0,$N$13:$N$9350))))</f>
        <v>18.200000000651926</v>
      </c>
      <c r="Y5" s="60"/>
      <c r="Z5" s="60"/>
      <c r="AA5" s="60"/>
      <c r="AB5" s="57"/>
      <c r="AC5" s="51"/>
      <c r="AD5" s="52"/>
      <c r="AE5" s="1"/>
      <c r="AF5" s="1"/>
      <c r="AG5" s="1"/>
      <c r="AH5" s="48"/>
      <c r="AI5" s="1"/>
      <c r="AM5" s="158"/>
    </row>
    <row r="6" spans="1:91" s="20" customFormat="1" ht="15.75" thickBot="1" x14ac:dyDescent="0.3">
      <c r="A6" s="35"/>
      <c r="B6" s="37"/>
      <c r="C6" s="27"/>
      <c r="D6" s="27"/>
      <c r="E6" s="34"/>
      <c r="F6" s="34"/>
      <c r="G6" s="37"/>
      <c r="H6" s="34"/>
      <c r="I6" s="75" t="s">
        <v>43</v>
      </c>
      <c r="J6" s="50">
        <f>COUNT($O$13:$O$113)</f>
        <v>0</v>
      </c>
      <c r="K6" s="40"/>
      <c r="L6" s="40"/>
      <c r="M6" s="41">
        <f>IFERROR(AVERAGE($O$13:$O$113),0)</f>
        <v>0</v>
      </c>
      <c r="N6" s="39">
        <f>MIN($O$13:$O$113)</f>
        <v>0</v>
      </c>
      <c r="O6" s="3">
        <f>MAX($O$13:$O$113)</f>
        <v>0</v>
      </c>
      <c r="P6" s="2"/>
      <c r="R6" s="75" t="s">
        <v>43</v>
      </c>
      <c r="S6" s="50">
        <f>COUNT($O$13:$O$113)</f>
        <v>0</v>
      </c>
      <c r="T6" s="40"/>
      <c r="U6" s="182"/>
      <c r="V6" s="179">
        <f>IFERROR(AVERAGE($O$13:$O$113),0)</f>
        <v>0</v>
      </c>
      <c r="W6" s="180">
        <f>MIN($O$13:$O$113)</f>
        <v>0</v>
      </c>
      <c r="X6" s="181">
        <f>MAX($O$13:$O$113)</f>
        <v>0</v>
      </c>
      <c r="Y6" s="60"/>
      <c r="Z6" s="60"/>
      <c r="AA6" s="60"/>
      <c r="AB6" s="57"/>
      <c r="AC6" s="51"/>
      <c r="AD6" s="52"/>
      <c r="AE6" s="1"/>
      <c r="AF6" s="1"/>
      <c r="AG6" s="1"/>
      <c r="AH6" s="48"/>
      <c r="AI6" s="1"/>
      <c r="AM6" s="158"/>
    </row>
    <row r="7" spans="1:91" s="20" customFormat="1" ht="15.75" thickBot="1" x14ac:dyDescent="0.3">
      <c r="A7" s="35"/>
      <c r="B7" s="37"/>
      <c r="C7" s="27"/>
      <c r="D7" s="27"/>
      <c r="E7" s="34"/>
      <c r="F7" s="34"/>
      <c r="G7" s="37"/>
      <c r="H7" s="34"/>
      <c r="I7" s="76" t="s">
        <v>9</v>
      </c>
      <c r="J7" s="50">
        <f>COUNTIFS($P$13:$P$9350,"&gt;0",$AG$13:$AG$9350,I1)</f>
        <v>6</v>
      </c>
      <c r="K7" s="40"/>
      <c r="L7" s="40"/>
      <c r="M7" s="39" t="s">
        <v>15</v>
      </c>
      <c r="N7" s="39" t="s">
        <v>15</v>
      </c>
      <c r="O7" s="3" t="s">
        <v>15</v>
      </c>
      <c r="P7" s="2"/>
      <c r="R7" s="76" t="s">
        <v>9</v>
      </c>
      <c r="S7" s="50">
        <f>COUNTIFS($P$13:$P$9350,"&gt;0",$AG$13:$AG$9350,R1)</f>
        <v>0</v>
      </c>
      <c r="T7" s="40"/>
      <c r="U7" s="182"/>
      <c r="V7" s="179" t="s">
        <v>15</v>
      </c>
      <c r="W7" s="180" t="s">
        <v>15</v>
      </c>
      <c r="X7" s="181" t="s">
        <v>15</v>
      </c>
      <c r="Y7" s="60"/>
      <c r="Z7" s="60"/>
      <c r="AA7" s="60"/>
      <c r="AB7" s="57"/>
      <c r="AC7" s="51"/>
      <c r="AD7" s="52"/>
      <c r="AE7" s="1"/>
      <c r="AF7" s="1"/>
      <c r="AG7" s="1"/>
      <c r="AH7" s="48"/>
      <c r="AI7" s="1"/>
      <c r="AM7" s="158"/>
    </row>
    <row r="8" spans="1:91" s="20" customFormat="1" ht="15.75" thickBot="1" x14ac:dyDescent="0.3">
      <c r="A8" s="35"/>
      <c r="B8" s="37"/>
      <c r="C8" s="27"/>
      <c r="D8" s="27"/>
      <c r="E8" s="34"/>
      <c r="F8" s="34"/>
      <c r="G8" s="37"/>
      <c r="H8" s="34"/>
      <c r="I8" s="74" t="s">
        <v>16</v>
      </c>
      <c r="J8" s="50">
        <f>J5</f>
        <v>137</v>
      </c>
      <c r="K8" s="40"/>
      <c r="L8" s="40"/>
      <c r="M8" s="41">
        <f>M5</f>
        <v>38.660827251032238</v>
      </c>
      <c r="N8" s="39">
        <f>N5</f>
        <v>34.950000008102506</v>
      </c>
      <c r="O8" s="3">
        <f>O5</f>
        <v>49.783333330415189</v>
      </c>
      <c r="P8" s="2"/>
      <c r="R8" s="74" t="s">
        <v>16</v>
      </c>
      <c r="S8" s="50">
        <f>S5</f>
        <v>34</v>
      </c>
      <c r="T8" s="40"/>
      <c r="U8" s="182"/>
      <c r="V8" s="179">
        <f>V5</f>
        <v>14.128921568592299</v>
      </c>
      <c r="W8" s="180">
        <f>W5</f>
        <v>11.833333333488554</v>
      </c>
      <c r="X8" s="181">
        <f>X5</f>
        <v>18.200000000651926</v>
      </c>
      <c r="Y8" s="60"/>
      <c r="Z8" s="60"/>
      <c r="AA8" s="60"/>
      <c r="AB8" s="57"/>
      <c r="AC8" s="51"/>
      <c r="AD8" s="52"/>
      <c r="AE8" s="1"/>
      <c r="AF8" s="1"/>
      <c r="AG8" s="1"/>
      <c r="AH8" s="48"/>
      <c r="AI8" s="1"/>
      <c r="AM8" s="158"/>
    </row>
    <row r="9" spans="1:91" s="20" customFormat="1" ht="15.75" thickBot="1" x14ac:dyDescent="0.3">
      <c r="A9" s="35"/>
      <c r="B9" s="37"/>
      <c r="C9" s="27"/>
      <c r="D9" s="27"/>
      <c r="E9" s="34"/>
      <c r="F9" s="34"/>
      <c r="G9" s="37"/>
      <c r="H9" s="34"/>
      <c r="I9" s="74" t="s">
        <v>19</v>
      </c>
      <c r="J9" s="135">
        <f>J8/J4</f>
        <v>0.95804195804195802</v>
      </c>
      <c r="K9" s="42"/>
      <c r="L9" s="42"/>
      <c r="M9" s="77"/>
      <c r="N9" s="37"/>
      <c r="O9" s="78"/>
      <c r="P9" s="2"/>
      <c r="R9" s="74" t="s">
        <v>19</v>
      </c>
      <c r="S9" s="135">
        <f>S8/S4</f>
        <v>1</v>
      </c>
      <c r="T9" s="42"/>
      <c r="U9" s="172"/>
      <c r="V9" s="183"/>
      <c r="W9" s="172"/>
      <c r="X9" s="184"/>
      <c r="Y9" s="60"/>
      <c r="Z9" s="60"/>
      <c r="AA9" s="60"/>
      <c r="AB9" s="57"/>
      <c r="AC9" s="51"/>
      <c r="AD9" s="52"/>
      <c r="AE9" s="1"/>
      <c r="AF9" s="1"/>
      <c r="AG9" s="1"/>
      <c r="AH9" s="48"/>
      <c r="AI9" s="1"/>
      <c r="AM9" s="158"/>
    </row>
    <row r="10" spans="1:91" s="20" customFormat="1" x14ac:dyDescent="0.25">
      <c r="A10" s="35"/>
      <c r="B10" s="37"/>
      <c r="C10" s="27"/>
      <c r="D10" s="27"/>
      <c r="E10" s="34"/>
      <c r="F10" s="34"/>
      <c r="G10" s="37"/>
      <c r="H10" s="34"/>
      <c r="I10" s="34"/>
      <c r="J10" s="37"/>
      <c r="K10" s="27"/>
      <c r="L10" s="27"/>
      <c r="M10" s="36"/>
      <c r="N10" s="37"/>
      <c r="O10" s="2"/>
      <c r="P10" s="2"/>
      <c r="U10" s="171"/>
      <c r="V10" s="185"/>
      <c r="W10" s="186"/>
      <c r="X10" s="186"/>
      <c r="Y10" s="60"/>
      <c r="Z10" s="60"/>
      <c r="AA10" s="60"/>
      <c r="AB10" s="57"/>
      <c r="AC10" s="51"/>
      <c r="AD10" s="52"/>
      <c r="AE10" s="1"/>
      <c r="AF10" s="1"/>
      <c r="AG10" s="1"/>
      <c r="AH10" s="48"/>
      <c r="AI10" s="1"/>
      <c r="AM10" s="158"/>
    </row>
    <row r="11" spans="1:91" ht="16.5" thickBot="1" x14ac:dyDescent="0.3">
      <c r="A11" s="194" t="str">
        <f>"Eagle P3 System Performance - "&amp;TEXT(Variables!A2,"yyyy-mm-dd")</f>
        <v>Eagle P3 System Performance - 2017-02-05</v>
      </c>
      <c r="B11" s="194"/>
      <c r="C11" s="194"/>
      <c r="D11" s="194"/>
      <c r="E11" s="194"/>
      <c r="F11" s="194"/>
      <c r="G11" s="194"/>
      <c r="H11" s="194"/>
      <c r="I11" s="194"/>
      <c r="J11" s="194"/>
      <c r="K11" s="194"/>
      <c r="L11" s="194"/>
      <c r="M11" s="194"/>
      <c r="N11" s="194"/>
      <c r="O11" s="194"/>
      <c r="P11" s="194"/>
      <c r="S11" s="64">
        <f>AVERAGE(S13:S80)</f>
        <v>1</v>
      </c>
      <c r="V11" s="185"/>
      <c r="AE11" s="1"/>
      <c r="AF11" s="1"/>
      <c r="AG11" s="1"/>
      <c r="AH11" s="48"/>
      <c r="AI11" s="1"/>
    </row>
    <row r="12" spans="1:91" s="5" customFormat="1" ht="69" customHeight="1" thickBot="1" x14ac:dyDescent="0.3">
      <c r="A12" s="14" t="s">
        <v>0</v>
      </c>
      <c r="B12" s="18" t="s">
        <v>44</v>
      </c>
      <c r="C12" s="15" t="s">
        <v>26</v>
      </c>
      <c r="D12" s="15" t="s">
        <v>1</v>
      </c>
      <c r="E12" s="16" t="s">
        <v>2</v>
      </c>
      <c r="F12" s="16" t="s">
        <v>3</v>
      </c>
      <c r="G12" s="18" t="s">
        <v>4</v>
      </c>
      <c r="H12" s="16" t="s">
        <v>5</v>
      </c>
      <c r="I12" s="16" t="s">
        <v>6</v>
      </c>
      <c r="J12" s="18" t="s">
        <v>7</v>
      </c>
      <c r="K12" s="79" t="s">
        <v>54</v>
      </c>
      <c r="L12" s="15" t="s">
        <v>47</v>
      </c>
      <c r="M12" s="17" t="s">
        <v>8</v>
      </c>
      <c r="N12" s="15" t="s">
        <v>41</v>
      </c>
      <c r="O12" s="18" t="s">
        <v>42</v>
      </c>
      <c r="P12" s="18" t="s">
        <v>18</v>
      </c>
      <c r="Q12" s="19" t="s">
        <v>46</v>
      </c>
      <c r="R12" s="19" t="s">
        <v>24</v>
      </c>
      <c r="S12" s="19" t="s">
        <v>63</v>
      </c>
      <c r="T12" s="49" t="s">
        <v>64</v>
      </c>
      <c r="U12" s="187" t="s">
        <v>65</v>
      </c>
      <c r="V12" s="188" t="s">
        <v>45</v>
      </c>
      <c r="W12" s="189" t="s">
        <v>23</v>
      </c>
      <c r="X12" s="189" t="s">
        <v>48</v>
      </c>
      <c r="Y12" s="61" t="s">
        <v>20</v>
      </c>
      <c r="Z12" s="61" t="s">
        <v>21</v>
      </c>
      <c r="AA12" s="61" t="s">
        <v>22</v>
      </c>
      <c r="AB12" s="58" t="s">
        <v>39</v>
      </c>
      <c r="AC12" s="54" t="s">
        <v>40</v>
      </c>
      <c r="AD12" s="53" t="s">
        <v>82</v>
      </c>
      <c r="AE12" s="84" t="s">
        <v>89</v>
      </c>
      <c r="AF12" s="81" t="s">
        <v>94</v>
      </c>
      <c r="AG12" s="4" t="s">
        <v>107</v>
      </c>
      <c r="AH12" s="87" t="s">
        <v>109</v>
      </c>
      <c r="AI12" s="107" t="s">
        <v>147</v>
      </c>
      <c r="AJ12" s="47" t="s">
        <v>148</v>
      </c>
      <c r="AK12" s="47" t="s">
        <v>121</v>
      </c>
      <c r="AL12" s="47" t="s">
        <v>149</v>
      </c>
      <c r="AM12" s="159" t="s">
        <v>215</v>
      </c>
      <c r="AN12" s="47" t="s">
        <v>232</v>
      </c>
      <c r="AO12" s="4"/>
      <c r="AP12" s="4"/>
      <c r="AQ12" s="4"/>
      <c r="AR12" s="4"/>
      <c r="AS12" s="4"/>
      <c r="AT12" s="4"/>
      <c r="AU12" s="4"/>
      <c r="AV12" s="4"/>
      <c r="AW12" s="4"/>
      <c r="AX12" s="4"/>
      <c r="AY12" s="4"/>
      <c r="AZ12" s="4"/>
      <c r="BA12" s="4"/>
      <c r="BB12" s="4"/>
      <c r="BC12" s="4"/>
      <c r="BD12" s="4"/>
      <c r="BE12" s="4"/>
      <c r="BF12" s="4"/>
      <c r="BG12" s="4"/>
      <c r="BH12" s="4"/>
      <c r="BI12" s="4"/>
      <c r="BJ12" s="4"/>
      <c r="BK12" s="4"/>
      <c r="BL12" s="4"/>
      <c r="BM12" s="4"/>
      <c r="BN12" s="4"/>
      <c r="BO12" s="4"/>
      <c r="BP12" s="4"/>
      <c r="BQ12" s="4"/>
      <c r="BR12" s="4"/>
      <c r="BS12" s="4"/>
      <c r="BT12" s="4"/>
      <c r="BU12" s="4"/>
      <c r="BV12" s="4"/>
      <c r="BW12" s="4"/>
      <c r="BX12" s="4"/>
      <c r="BY12" s="4"/>
      <c r="BZ12" s="4"/>
      <c r="CA12" s="4"/>
      <c r="CB12" s="4"/>
      <c r="CC12" s="4"/>
      <c r="CD12" s="4"/>
      <c r="CE12" s="4"/>
      <c r="CF12" s="4"/>
      <c r="CG12" s="4"/>
      <c r="CH12" s="4"/>
      <c r="CI12" s="4"/>
      <c r="CJ12" s="4"/>
      <c r="CK12" s="4"/>
      <c r="CL12" s="4"/>
      <c r="CM12" s="4"/>
    </row>
    <row r="13" spans="1:91" s="1" customFormat="1" x14ac:dyDescent="0.25">
      <c r="A13" s="33" t="s">
        <v>533</v>
      </c>
      <c r="B13" s="7">
        <v>4031</v>
      </c>
      <c r="C13" s="21" t="s">
        <v>193</v>
      </c>
      <c r="D13" s="21" t="s">
        <v>369</v>
      </c>
      <c r="E13" s="13">
        <v>42771.128912037035</v>
      </c>
      <c r="F13" s="13">
        <v>42771.135717592595</v>
      </c>
      <c r="G13" s="7">
        <v>1</v>
      </c>
      <c r="H13" s="21" t="s">
        <v>742</v>
      </c>
      <c r="I13" s="13">
        <v>42771.161956018521</v>
      </c>
      <c r="J13" s="7">
        <v>0</v>
      </c>
      <c r="K13" s="98" t="str">
        <f>IF(ISEVEN(B13),(B13-1)&amp;"/"&amp;B13,B13&amp;"/"&amp;(B13+1))</f>
        <v>4031/4032</v>
      </c>
      <c r="L13" s="21" t="str">
        <f>VLOOKUP(A13,'Trips&amp;Operators'!$C$1:$G$99999,5,FALSE)</f>
        <v>OUN ZACK</v>
      </c>
      <c r="M13" s="6">
        <f>I13-F13</f>
        <v>2.6238425925839692E-2</v>
      </c>
      <c r="N13" s="7">
        <f>24*60*SUM($M13:$M13)</f>
        <v>37.783333333209157</v>
      </c>
      <c r="O13" s="7"/>
      <c r="P13" s="7"/>
      <c r="Q13" s="22"/>
      <c r="R13" s="22"/>
      <c r="S13" s="31">
        <f>SUM(U13:U13)/IF(AG13="EC",12,1)</f>
        <v>1</v>
      </c>
      <c r="T13" s="46" t="str">
        <f>IF(ISEVEN(LEFT(AD13,4)),"Southbound","NorthBound")</f>
        <v>NorthBound</v>
      </c>
      <c r="U13" s="190">
        <f>IF(AG13="EC",COUNTIFS(Variables!$M$2:$M$19,IF(T13="NorthBound","&gt;=","&lt;=")&amp;Y13,Variables!$M$2:$M$19,IF(T13="NorthBound","&lt;=","&gt;=")&amp;Z13),COUNTIFS(Variables!$P$2:$P$19,IF(T13="NorthBound","&gt;=","&lt;=")&amp;Y13,Variables!$P$2:$P$19,IF(T13="NorthBound","&lt;=","&gt;=")&amp;Z13))</f>
        <v>12</v>
      </c>
      <c r="V13" s="191" t="str">
        <f>"https://d0f6bd738d7f1b3e5a7ca70fe4ff75f0.us-east-1.aws.found.io/app/kibana#/discover/Steve-Slow-Train-Analysis-(2080s-and-2083s)?_g="&amp;"(refreshInterval:(display:Off,pause:!f,section:0,value:0),time:(from:'"&amp;TEXT(E13-1/24,"yyyy-MM-DDThh:mm:ss")&amp;utc_offset&amp;"00"&amp;"',mode:absolute,to:'"&amp;TEXT(I13+1/24,"yyyy-MM-DDThh:mm:ss")&amp;utc_offset&amp;"00"&amp;"'))&amp;_a=(columns:!('Locomotive+ID','Data.Head+End+Milepost',Data.Speed,'Data.Locomotive+State','Data.Train+ID',"&amp;"'Data.Warning%2FEnforcement+Type','Data.Target+Start+Milepost','Data.Target+Description','Data.Target+Speed',"&amp;"'Data.Enforcement+Train+Speed','Data.Enforcement+Start+Milepost','Data.Target+Type','Data.Enforcement+Direction+of+Travel','Message+ID',"&amp;"'Data.Body+of+Summary+Text','Data.Head+End+Track+name'),filters:!(),index:'emp_*',interval:auto,query:"&amp;"(query_string:(analyze_wildcard:!t,query:'Message%5C+ID:(2083+OR+2080+OR+1041+OR+2003+OR+1051+OR+1043+OR+1053)+AND+%22rtdc.l.rtdc."&amp;B13&amp;"%22')),sort:!(Time.ISO8601,asc))"</f>
        <v>https://d0f6bd738d7f1b3e5a7ca70fe4ff75f0.us-east-1.aws.found.io/app/kibana#/discover/Steve-Slow-Train-Analysis-(2080s-and-2083s)?_g=(refreshInterval:(display:Off,pause:!f,section:0,value:0),time:(from:'2017-02-05T02:05:38-0700',mode:absolute,to:'2017-02-05T04:53:13-0700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4031%22')),sort:!(Time.ISO8601,asc))</v>
      </c>
      <c r="W13" s="192" t="str">
        <f>IF(AA13&lt;IF(AG13="EC",23,5.65),"Y","N")</f>
        <v>N</v>
      </c>
      <c r="X13" s="192" t="e">
        <f>VALUE(LEFT(AD13,4))-VALUE(LEFT(AD12,4))</f>
        <v>#VALUE!</v>
      </c>
      <c r="Y13" s="62">
        <f>RIGHT(D13,LEN(D13)-4)/10000</f>
        <v>7.4800000000000005E-2</v>
      </c>
      <c r="Z13" s="62">
        <f>RIGHT(H13,LEN(H13)-4)/10000</f>
        <v>23.336300000000001</v>
      </c>
      <c r="AA13" s="62">
        <f>ABS(Z13-Y13)</f>
        <v>23.261500000000002</v>
      </c>
      <c r="AB13" s="59" t="e">
        <f>VLOOKUP(A13,Enforcements!$C$7:$K$16,8,0)</f>
        <v>#N/A</v>
      </c>
      <c r="AC13" s="55" t="e">
        <f>VLOOKUP(A13,Enforcements!$C$7:$E$16,3,0)</f>
        <v>#N/A</v>
      </c>
      <c r="AD13" s="56" t="str">
        <f>IF(LEN(A13)=6,"0"&amp;A13,A13)</f>
        <v>0101-05</v>
      </c>
      <c r="AE13" s="85" t="str">
        <f>"aws s3 cp "&amp;s3_bucket&amp;"/RTDC"&amp;B13&amp;"/ "&amp;search_path&amp;"\RTDC"&amp;B13&amp;"\"&amp;TEXT(F13,"YYYY-MM-DD")&amp;" --exclude ""*"" --recursive --include ""*"&amp;TEXT(F13,"YYYYMMDD")&amp;"*"" &amp; """&amp;walkandungz&amp;""" "&amp;search_path&amp;"\RTDC"&amp;B13&amp;"\"&amp;TEXT(F13,"YYYY-MM-DD")
&amp;" &amp; "&amp;"aws s3 cp "&amp;s3_bucket&amp;"/RTDC"&amp;B13&amp;"/ "&amp;search_path&amp;"\RTDC"&amp;B13&amp;"\"&amp;TEXT(F13+1,"YYYY-MM-DD")&amp;" --exclude ""*"" --recursive --include ""*"&amp;TEXT(F13+1,"YYYYMMDD")&amp;"*"" &amp; """&amp;walkandungz&amp;""" "&amp;search_path&amp;"\RTDC"&amp;B13&amp;"\"&amp;TEXT(F13+1,"YYYY-MM-DD")</f>
        <v>aws s3 cp s3://rtdc.mdm.uploadarchive.raw/RTDC4031/ "%USERPROFILE%\AppData\Local\Temp\OnboardLogs"\RTDC4031\2017-02-05 --exclude "*" --recursive --include "*20170205*" &amp; "%USERPROFILE%\Documents\GitHub\mrs-test-scripts\Headless Mode &amp; Sideloading\WalkAndUnGZ.bat" "%USERPROFILE%\AppData\Local\Temp\OnboardLogs"\RTDC4031\2017-02-05 &amp; aws s3 cp s3://rtdc.mdm.uploadarchive.raw/RTDC4031/ "%USERPROFILE%\AppData\Local\Temp\OnboardLogs"\RTDC4031\2017-02-06 --exclude "*" --recursive --include "*20170206*" &amp; "%USERPROFILE%\Documents\GitHub\mrs-test-scripts\Headless Mode &amp; Sideloading\WalkAndUnGZ.bat" "%USERPROFILE%\AppData\Local\Temp\OnboardLogs"\RTDC4031\2017-02-06</v>
      </c>
      <c r="AF13" s="82" t="str">
        <f>astrogrep_path&amp;" /spath="&amp;search_path&amp;" /stypes=""app*"&amp;B13&amp;"*"&amp;TEXT(I13-utc_offset/24,"YYYYMMDD")&amp;"*"" /stext="" "&amp;TEXT(I13-utc_offset/24,"HH")&amp;search_regexp&amp;""" /e /r /s"</f>
        <v>"C:\Program Files (x86)\AstroGrep\AstroGrep.exe" /spath="%USERPROFILE%\AppData\Local\Temp\OnboardLogs" /stypes="app*4031*20170205*" /stext=" 10:.+((SYSTEM_STATE.+slice.+state.+changed )|(ment ac)|(multiple cpu faults)|(system.+state.+changed )|(\[timeout)|(PRM\|1\|D)|(kpr)|(kdp)|(\|lc)|(penalty))" /e /r /s</v>
      </c>
      <c r="AG13" s="1" t="str">
        <f>IFERROR(IF(VALUE(LEFT(AD13,2))&lt;=2,"EC",IF(OR(VALUE(LEFT(AD13,2))=8,VALUE(LEFT(AD13,2))=18),"NW","Other")),"Other")</f>
        <v>EC</v>
      </c>
      <c r="AH13" s="86" t="str">
        <f t="shared" ref="AH13" si="0">refinertdcruntimes&amp;" --tripid "&amp;A13&amp;" --locoid "&amp;B13&amp;" --swversion "&amp;C13&amp;" --startMP "&amp;D13&amp;" --initTime "&amp;TEXT(E13,"yyyy-mm-ddTHH:MM:SS")&amp;" --startdatetime "&amp;TEXT(F13,"yyyy-mm-ddTHH:MM:SS")&amp;" --delay "&amp;G13&amp;" --endMP "&amp;H13&amp;" --enddatetime "&amp;TEXT(I13,"yyyy-mm-ddTHH:MM:SS")&amp;" --enforcementcount "&amp;J13&amp;IF(outputrefinedruntimes," &gt;&gt;"&amp;RefinedRTDCRunTimesOutputFile,"")</f>
        <v>"%USERPROFILE%\Documents\GitHub\eaglep3\Utilities\RefineRTDCRunTimes.py" --tripid 101-05 --locoid 4031 --swversion DE.1.0.8.0 --startMP 204:748 --initTime 2017-02-05T03:05:38 --startdatetime 2017-02-05T03:15:26 --delay 1 --endMP 204:233363 --enddatetime 2017-02-05T03:53:13 --enforcementcount 0 &gt;&gt;C:\Users\stu\Documents\GitHub\eaglep3-reporting\EC\2017-02-05-refined-times.txt</v>
      </c>
      <c r="AI13" s="108" t="str">
        <f t="shared" ref="AI13" si="1">"echo {""issue"":{""subject"":"""&amp;R13&amp;""",""project_id"":79,""tracker_id"":40,""status_id"":"&amp;redmine_status&amp;",""priority_id"":"&amp;redmine_priority&amp;",""assigned_to_id"":"&amp;redmine_assignee&amp;",""start_date"":"""&amp;TEXT(I13,"YYYY-mm-dd")&amp;""",""description"":"""&amp;AJ13&amp;""",""custom_fields"":[{""id"":1,""name"":""Subdivision"",""value"":"""&amp;AG13&amp;"""},{""id"":4,""name"":""Milepost"",""value"":"""&amp;Z13&amp;"""},{""id"":17,""name"":""Train ID"",""value"":"""&amp;A13&amp;"""},{""id"":16,""name"":""Locomotive ID"",""value"":"""&amp;B13&amp;"""},{""id"":130,""name"":""Impact"",""value"":"""&amp;AK13&amp;"""},{""id"":150,""name"":""Time of Event (Mountain Time)"",""value"":"""&amp;TEXT(I13,"hh:mm:ss")&amp;"""},{""id"":151,""name"":""Denver Issue ID"",""value"":"""&amp;"""},{""id"":178,""name"":""Operational Impact"",""value"":"""&amp;redmine_op_impact&amp;"""},{""id"":179,""name"":""Denver Segment Assigned"",""value"":"""&amp;AL13&amp;"""}]}}"&amp;" | curl -X POST -H ""Content-Type: application/json"" -H ""X-Redmine-API-Key: "&amp;redm_api_key&amp;""" "&amp;redm_url&amp;" --data @-"</f>
        <v>echo {"issue":{"subject":"","project_id":79,"tracker_id":40,"status_id":1,"priority_id":2,"assigned_to_id":23,"start_date":"2017-02-05","description":"","custom_fields":[{"id":1,"name":"Subdivision","value":"EC"},{"id":4,"name":"Milepost","value":"23.3363"},{"id":17,"name":"Train ID","value":"101-05"},{"id":16,"name":"Locomotive ID","value":"4031"},{"id":130,"name":"Impact","value":""},{"id":150,"name":"Time of Event (Mountain Time)","value":"03:53:13"},{"id":151,"name":"Denver Issue ID","value":""},{"id":178,"name":"Operational Impact","value":"Yes"},{"id":179,"name":"Denver Segment Assigned","value":""}]}} | curl -X POST -H "Content-Type: application/json" -H "X-Redmine-API-Key: d6333d4a04012a730768444271f8ca06482dae87" https://secure.xorail.net/redmine/issues.json --data @-</v>
      </c>
      <c r="AJ13" s="48"/>
      <c r="AK13" s="48"/>
      <c r="AL13" s="48"/>
      <c r="AM13" s="158" t="str">
        <f t="shared" ref="AM13" si="2">"start /low /b "&amp;dls3logs&amp;" --loco "&amp;B13&amp;" --day "&amp;TEXT(F13,"YYYY-MM-DD")</f>
        <v>start /low /b %USERPROFILE%\Documents\GitHub\eaglep3\Utilities\DownloadLogsFromS3.py --loco 4031 --day 2017-02-05</v>
      </c>
      <c r="AN13" s="167" t="str">
        <f>"grep -SE -B400 ""CHR.+\|PRM\|1\|D.+(SWITCH|SIGNAL).+UNKNOWN"" "&amp;search_path&amp;"\RTDC"&amp;B13&amp;"\*"&amp;B13&amp;"*"&amp;TEXT(AVERAGE(F13,I13)-utc_offset/24,"YYYYMMDD")&amp;"* | grep -SE ""(Enforcement Action)|(\[TIMEOUT)|(CHR.+\|PRM\|1\|D.+(SWITCH|SIGNAL).+UNKNOWN)"" - &gt;&gt; "&amp;TEXT(Variables!$A$2,"YYYY-MM-DD")&amp;"-UncaughtWiMAX.txt"</f>
        <v>grep -SE -B400 "CHR.+\|PRM\|1\|D.+(SWITCH|SIGNAL).+UNKNOWN" "%USERPROFILE%\AppData\Local\Temp\OnboardLogs"\RTDC4031\*4031*20170205* | grep -SE "(Enforcement Action)|(\[TIMEOUT)|(CHR.+\|PRM\|1\|D.+(SWITCH|SIGNAL).+UNKNOWN)" - &gt;&gt; 2017-02-05-UncaughtWiMAX.txt</v>
      </c>
      <c r="AO13"/>
      <c r="AP13"/>
      <c r="AQ13"/>
      <c r="AR13"/>
      <c r="AS13"/>
      <c r="AT13"/>
      <c r="AU13"/>
      <c r="AV13"/>
      <c r="AW13"/>
      <c r="AX13"/>
      <c r="AY13"/>
      <c r="AZ13"/>
      <c r="BA13"/>
      <c r="BB13"/>
      <c r="BC13"/>
      <c r="BD13"/>
      <c r="BE13"/>
      <c r="BF13"/>
      <c r="BG13"/>
      <c r="BH13"/>
      <c r="BI13"/>
      <c r="BJ13"/>
      <c r="BK13"/>
      <c r="BL13"/>
      <c r="BM13"/>
      <c r="BN13"/>
      <c r="BO13"/>
      <c r="BP13"/>
      <c r="BQ13"/>
      <c r="BR13"/>
      <c r="BS13"/>
      <c r="BT13"/>
      <c r="BU13"/>
      <c r="BV13"/>
      <c r="BW13"/>
      <c r="BX13"/>
      <c r="BY13"/>
      <c r="BZ13"/>
      <c r="CA13"/>
      <c r="CB13"/>
      <c r="CC13"/>
      <c r="CD13"/>
      <c r="CE13"/>
      <c r="CF13"/>
      <c r="CG13"/>
      <c r="CH13"/>
      <c r="CI13"/>
      <c r="CJ13"/>
      <c r="CK13"/>
      <c r="CL13"/>
      <c r="CM13"/>
    </row>
    <row r="14" spans="1:91" s="1" customFormat="1" x14ac:dyDescent="0.25">
      <c r="A14" s="33" t="s">
        <v>542</v>
      </c>
      <c r="B14" s="7">
        <v>4010</v>
      </c>
      <c r="C14" s="21" t="s">
        <v>193</v>
      </c>
      <c r="D14" s="21" t="s">
        <v>743</v>
      </c>
      <c r="E14" s="13">
        <v>42771.169409722221</v>
      </c>
      <c r="F14" s="13">
        <v>42771.174513888887</v>
      </c>
      <c r="G14" s="7">
        <v>1</v>
      </c>
      <c r="H14" s="21" t="s">
        <v>289</v>
      </c>
      <c r="I14" s="13">
        <v>42771.201018518521</v>
      </c>
      <c r="J14" s="7">
        <v>0</v>
      </c>
      <c r="K14" s="98" t="str">
        <f>IF(ISEVEN(B14),(B14-1)&amp;"/"&amp;B14,B14&amp;"/"&amp;(B14+1))</f>
        <v>4009/4010</v>
      </c>
      <c r="L14" s="21" t="str">
        <f>VLOOKUP(A14,'Trips&amp;Operators'!$C$1:$G$99999,5,FALSE)</f>
        <v>OUN ZACK</v>
      </c>
      <c r="M14" s="6">
        <f>I14-F14</f>
        <v>2.6504629633564036E-2</v>
      </c>
      <c r="N14" s="7">
        <f>24*60*SUM($M14:$M14)</f>
        <v>38.166666672332212</v>
      </c>
      <c r="O14" s="7"/>
      <c r="P14" s="7"/>
      <c r="Q14" s="22"/>
      <c r="R14" s="22"/>
      <c r="S14" s="31">
        <f>SUM(U14:U14)/IF(AG14="EC",12,1)</f>
        <v>1</v>
      </c>
      <c r="T14" s="46" t="str">
        <f>IF(ISEVEN(LEFT(AD14,4)),"Southbound","NorthBound")</f>
        <v>Southbound</v>
      </c>
      <c r="U14" s="190">
        <f>IF(AG14="EC",COUNTIFS(Variables!$M$2:$M$19,IF(T14="NorthBound","&gt;=","&lt;=")&amp;Y14,Variables!$M$2:$M$19,IF(T14="NorthBound","&lt;=","&gt;=")&amp;Z14),COUNTIFS(Variables!$P$2:$P$19,IF(T14="NorthBound","&gt;=","&lt;=")&amp;Y14,Variables!$P$2:$P$19,IF(T14="NorthBound","&lt;=","&gt;=")&amp;Z14))</f>
        <v>12</v>
      </c>
      <c r="V14" s="191" t="str">
        <f>"https://d0f6bd738d7f1b3e5a7ca70fe4ff75f0.us-east-1.aws.found.io/app/kibana#/discover/Steve-Slow-Train-Analysis-(2080s-and-2083s)?_g="&amp;"(refreshInterval:(display:Off,pause:!f,section:0,value:0),time:(from:'"&amp;TEXT(E14-1/24,"yyyy-MM-DDThh:mm:ss")&amp;utc_offset&amp;"00"&amp;"',mode:absolute,to:'"&amp;TEXT(I14+1/24,"yyyy-MM-DDThh:mm:ss")&amp;utc_offset&amp;"00"&amp;"'))&amp;_a=(columns:!('Locomotive+ID','Data.Head+End+Milepost',Data.Speed,'Data.Locomotive+State','Data.Train+ID',"&amp;"'Data.Warning%2FEnforcement+Type','Data.Target+Start+Milepost','Data.Target+Description','Data.Target+Speed',"&amp;"'Data.Enforcement+Train+Speed','Data.Enforcement+Start+Milepost','Data.Target+Type','Data.Enforcement+Direction+of+Travel','Message+ID',"&amp;"'Data.Body+of+Summary+Text','Data.Head+End+Track+name'),filters:!(),index:'emp_*',interval:auto,query:"&amp;"(query_string:(analyze_wildcard:!t,query:'Message%5C+ID:(2083+OR+2080+OR+1041+OR+2003+OR+1051+OR+1043+OR+1053)+AND+%22rtdc.l.rtdc."&amp;B14&amp;"%22')),sort:!(Time.ISO8601,asc))"</f>
        <v>https://d0f6bd738d7f1b3e5a7ca70fe4ff75f0.us-east-1.aws.found.io/app/kibana#/discover/Steve-Slow-Train-Analysis-(2080s-and-2083s)?_g=(refreshInterval:(display:Off,pause:!f,section:0,value:0),time:(from:'2017-02-05T03:03:57-0700',mode:absolute,to:'2017-02-05T05:49:28-0700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4010%22')),sort:!(Time.ISO8601,asc))</v>
      </c>
      <c r="W14" s="192" t="str">
        <f>IF(AA14&lt;IF(AG14="EC",23,5.65),"Y","N")</f>
        <v>N</v>
      </c>
      <c r="X14" s="192">
        <f>VALUE(LEFT(AD14,4))-VALUE(LEFT(AD13,4))</f>
        <v>1</v>
      </c>
      <c r="Y14" s="62">
        <f>RIGHT(D14,LEN(D14)-4)/10000</f>
        <v>23.271699999999999</v>
      </c>
      <c r="Z14" s="62">
        <f>RIGHT(H14,LEN(H14)-4)/10000</f>
        <v>1.5599999999999999E-2</v>
      </c>
      <c r="AA14" s="62">
        <f>ABS(Z14-Y14)</f>
        <v>23.2561</v>
      </c>
      <c r="AB14" s="59" t="e">
        <f>VLOOKUP(A14,Enforcements!$C$7:$K$16,8,0)</f>
        <v>#N/A</v>
      </c>
      <c r="AC14" s="55" t="e">
        <f>VLOOKUP(A14,Enforcements!$C$7:$E$16,3,0)</f>
        <v>#N/A</v>
      </c>
      <c r="AD14" s="56" t="str">
        <f>IF(LEN(A14)=6,"0"&amp;A14,A14)</f>
        <v>0102-05</v>
      </c>
      <c r="AE14" s="85" t="str">
        <f>"aws s3 cp "&amp;s3_bucket&amp;"/RTDC"&amp;B14&amp;"/ "&amp;search_path&amp;"\RTDC"&amp;B14&amp;"\"&amp;TEXT(F14,"YYYY-MM-DD")&amp;" --exclude ""*"" --recursive --include ""*"&amp;TEXT(F14,"YYYYMMDD")&amp;"*"" &amp; """&amp;walkandungz&amp;""" "&amp;search_path&amp;"\RTDC"&amp;B14&amp;"\"&amp;TEXT(F14,"YYYY-MM-DD")
&amp;" &amp; "&amp;"aws s3 cp "&amp;s3_bucket&amp;"/RTDC"&amp;B14&amp;"/ "&amp;search_path&amp;"\RTDC"&amp;B14&amp;"\"&amp;TEXT(F14+1,"YYYY-MM-DD")&amp;" --exclude ""*"" --recursive --include ""*"&amp;TEXT(F14+1,"YYYYMMDD")&amp;"*"" &amp; """&amp;walkandungz&amp;""" "&amp;search_path&amp;"\RTDC"&amp;B14&amp;"\"&amp;TEXT(F14+1,"YYYY-MM-DD")</f>
        <v>aws s3 cp s3://rtdc.mdm.uploadarchive.raw/RTDC4010/ "%USERPROFILE%\AppData\Local\Temp\OnboardLogs"\RTDC4010\2017-02-05 --exclude "*" --recursive --include "*20170205*" &amp; "%USERPROFILE%\Documents\GitHub\mrs-test-scripts\Headless Mode &amp; Sideloading\WalkAndUnGZ.bat" "%USERPROFILE%\AppData\Local\Temp\OnboardLogs"\RTDC4010\2017-02-05 &amp; aws s3 cp s3://rtdc.mdm.uploadarchive.raw/RTDC4010/ "%USERPROFILE%\AppData\Local\Temp\OnboardLogs"\RTDC4010\2017-02-06 --exclude "*" --recursive --include "*20170206*" &amp; "%USERPROFILE%\Documents\GitHub\mrs-test-scripts\Headless Mode &amp; Sideloading\WalkAndUnGZ.bat" "%USERPROFILE%\AppData\Local\Temp\OnboardLogs"\RTDC4010\2017-02-06</v>
      </c>
      <c r="AF14" s="82" t="str">
        <f>astrogrep_path&amp;" /spath="&amp;search_path&amp;" /stypes=""app*"&amp;B14&amp;"*"&amp;TEXT(I14-utc_offset/24,"YYYYMMDD")&amp;"*"" /stext="" "&amp;TEXT(I14-utc_offset/24,"HH")&amp;search_regexp&amp;""" /e /r /s"</f>
        <v>"C:\Program Files (x86)\AstroGrep\AstroGrep.exe" /spath="%USERPROFILE%\AppData\Local\Temp\OnboardLogs" /stypes="app*4010*20170205*" /stext=" 11:.+((SYSTEM_STATE.+slice.+state.+changed )|(ment ac)|(multiple cpu faults)|(system.+state.+changed )|(\[timeout)|(PRM\|1\|D)|(kpr)|(kdp)|(\|lc)|(penalty))" /e /r /s</v>
      </c>
      <c r="AG14" s="1" t="str">
        <f>IFERROR(IF(VALUE(LEFT(AD14,2))&lt;=2,"EC",IF(OR(VALUE(LEFT(AD14,2))=8,VALUE(LEFT(AD14,2))=18),"NW","Other")),"Other")</f>
        <v>EC</v>
      </c>
      <c r="AH14" s="86" t="str">
        <f t="shared" ref="AH14:AH76" si="3">refinertdcruntimes&amp;" --tripid "&amp;A14&amp;" --locoid "&amp;B14&amp;" --swversion "&amp;C14&amp;" --startMP "&amp;D14&amp;" --initTime "&amp;TEXT(E14,"yyyy-mm-ddTHH:MM:SS")&amp;" --startdatetime "&amp;TEXT(F14,"yyyy-mm-ddTHH:MM:SS")&amp;" --delay "&amp;G14&amp;" --endMP "&amp;H14&amp;" --enddatetime "&amp;TEXT(I14,"yyyy-mm-ddTHH:MM:SS")&amp;" --enforcementcount "&amp;J14&amp;IF(outputrefinedruntimes," &gt;&gt;"&amp;RefinedRTDCRunTimesOutputFile,"")</f>
        <v>"%USERPROFILE%\Documents\GitHub\eaglep3\Utilities\RefineRTDCRunTimes.py" --tripid 102-05 --locoid 4010 --swversion DE.1.0.8.0 --startMP 204:232717 --initTime 2017-02-05T04:03:57 --startdatetime 2017-02-05T04:11:18 --delay 1 --endMP 204:156 --enddatetime 2017-02-05T04:49:28 --enforcementcount 0 &gt;&gt;C:\Users\stu\Documents\GitHub\eaglep3-reporting\EC\2017-02-05-refined-times.txt</v>
      </c>
      <c r="AI14" s="108" t="str">
        <f t="shared" ref="AI14:AI76" si="4">"echo {""issue"":{""subject"":"""&amp;R14&amp;""",""project_id"":79,""tracker_id"":40,""status_id"":"&amp;redmine_status&amp;",""priority_id"":"&amp;redmine_priority&amp;",""assigned_to_id"":"&amp;redmine_assignee&amp;",""start_date"":"""&amp;TEXT(I14,"YYYY-mm-dd")&amp;""",""description"":"""&amp;AJ14&amp;""",""custom_fields"":[{""id"":1,""name"":""Subdivision"",""value"":"""&amp;AG14&amp;"""},{""id"":4,""name"":""Milepost"",""value"":"""&amp;Z14&amp;"""},{""id"":17,""name"":""Train ID"",""value"":"""&amp;A14&amp;"""},{""id"":16,""name"":""Locomotive ID"",""value"":"""&amp;B14&amp;"""},{""id"":130,""name"":""Impact"",""value"":"""&amp;AK14&amp;"""},{""id"":150,""name"":""Time of Event (Mountain Time)"",""value"":"""&amp;TEXT(I14,"hh:mm:ss")&amp;"""},{""id"":151,""name"":""Denver Issue ID"",""value"":"""&amp;"""},{""id"":178,""name"":""Operational Impact"",""value"":"""&amp;redmine_op_impact&amp;"""},{""id"":179,""name"":""Denver Segment Assigned"",""value"":"""&amp;AL14&amp;"""}]}}"&amp;" | curl -X POST -H ""Content-Type: application/json"" -H ""X-Redmine-API-Key: "&amp;redm_api_key&amp;""" "&amp;redm_url&amp;" --data @-"</f>
        <v>echo {"issue":{"subject":"","project_id":79,"tracker_id":40,"status_id":1,"priority_id":2,"assigned_to_id":23,"start_date":"2017-02-05","description":"","custom_fields":[{"id":1,"name":"Subdivision","value":"EC"},{"id":4,"name":"Milepost","value":"0.0156"},{"id":17,"name":"Train ID","value":"102-05"},{"id":16,"name":"Locomotive ID","value":"4010"},{"id":130,"name":"Impact","value":""},{"id":150,"name":"Time of Event (Mountain Time)","value":"04:49:28"},{"id":151,"name":"Denver Issue ID","value":""},{"id":178,"name":"Operational Impact","value":"Yes"},{"id":179,"name":"Denver Segment Assigned","value":""}]}} | curl -X POST -H "Content-Type: application/json" -H "X-Redmine-API-Key: d6333d4a04012a730768444271f8ca06482dae87" https://secure.xorail.net/redmine/issues.json --data @-</v>
      </c>
      <c r="AJ14" s="48"/>
      <c r="AK14" s="48"/>
      <c r="AL14" s="48"/>
      <c r="AM14" s="158" t="str">
        <f t="shared" ref="AM14:AM76" si="5">"start /low /b "&amp;dls3logs&amp;" --loco "&amp;B14&amp;" --day "&amp;TEXT(F14,"YYYY-MM-DD")</f>
        <v>start /low /b %USERPROFILE%\Documents\GitHub\eaglep3\Utilities\DownloadLogsFromS3.py --loco 4010 --day 2017-02-05</v>
      </c>
      <c r="AN14" s="167" t="str">
        <f>"grep -SE -B400 ""CHR.+\|PRM\|1\|D.+(SWITCH|SIGNAL).+UNKNOWN"" "&amp;search_path&amp;"\RTDC"&amp;B14&amp;"\*"&amp;B14&amp;"*"&amp;TEXT(AVERAGE(F14,I14)-utc_offset/24,"YYYYMMDD")&amp;"* | grep -SE ""(Enforcement Action)|(\[TIMEOUT)|(CHR.+\|PRM\|1\|D.+(SWITCH|SIGNAL).+UNKNOWN)"" - &gt;&gt; "&amp;TEXT(Variables!$A$2,"YYYY-MM-DD")&amp;"-UncaughtWiMAX.txt"</f>
        <v>grep -SE -B400 "CHR.+\|PRM\|1\|D.+(SWITCH|SIGNAL).+UNKNOWN" "%USERPROFILE%\AppData\Local\Temp\OnboardLogs"\RTDC4010\*4010*20170205* | grep -SE "(Enforcement Action)|(\[TIMEOUT)|(CHR.+\|PRM\|1\|D.+(SWITCH|SIGNAL).+UNKNOWN)" - &gt;&gt; 2017-02-05-UncaughtWiMAX.txt</v>
      </c>
      <c r="AO14"/>
      <c r="AP14"/>
      <c r="AQ14"/>
      <c r="AR14"/>
      <c r="AS14"/>
      <c r="AT14"/>
      <c r="AU14"/>
      <c r="AV14"/>
      <c r="AW14"/>
      <c r="AX14"/>
      <c r="AY14"/>
      <c r="AZ14"/>
      <c r="BA14"/>
      <c r="BB14"/>
      <c r="BC14"/>
      <c r="BD14"/>
      <c r="BE14"/>
      <c r="BF14"/>
      <c r="BG14"/>
      <c r="BH14"/>
      <c r="BI14"/>
      <c r="BJ14"/>
      <c r="BK14"/>
      <c r="BL14"/>
      <c r="BM14"/>
      <c r="BN14"/>
      <c r="BO14"/>
      <c r="BP14"/>
      <c r="BQ14"/>
      <c r="BR14"/>
      <c r="BS14"/>
      <c r="BT14"/>
      <c r="BU14"/>
      <c r="BV14"/>
      <c r="BW14"/>
      <c r="BX14"/>
      <c r="BY14"/>
      <c r="BZ14"/>
      <c r="CA14"/>
      <c r="CB14"/>
      <c r="CC14"/>
      <c r="CD14"/>
      <c r="CE14"/>
      <c r="CF14"/>
      <c r="CG14"/>
      <c r="CH14"/>
      <c r="CI14"/>
      <c r="CJ14"/>
      <c r="CK14"/>
      <c r="CL14"/>
      <c r="CM14"/>
    </row>
    <row r="15" spans="1:91" s="1" customFormat="1" x14ac:dyDescent="0.25">
      <c r="A15" s="33" t="s">
        <v>537</v>
      </c>
      <c r="B15" s="7">
        <v>4040</v>
      </c>
      <c r="C15" s="21" t="s">
        <v>193</v>
      </c>
      <c r="D15" s="21" t="s">
        <v>744</v>
      </c>
      <c r="E15" s="13">
        <v>42771.152673611112</v>
      </c>
      <c r="F15" s="13">
        <v>42771.1565625</v>
      </c>
      <c r="G15" s="7">
        <v>1</v>
      </c>
      <c r="H15" s="21" t="s">
        <v>745</v>
      </c>
      <c r="I15" s="13">
        <v>42771.182673611111</v>
      </c>
      <c r="J15" s="7">
        <v>0</v>
      </c>
      <c r="K15" s="98" t="str">
        <f>IF(ISEVEN(B15),(B15-1)&amp;"/"&amp;B15,B15&amp;"/"&amp;(B15+1))</f>
        <v>4039/4040</v>
      </c>
      <c r="L15" s="21" t="str">
        <f>VLOOKUP(A15,'Trips&amp;Operators'!$C$1:$G$99999,5,FALSE)</f>
        <v>MAELZER KURT</v>
      </c>
      <c r="M15" s="6">
        <f>I15-F15</f>
        <v>2.6111111110367347E-2</v>
      </c>
      <c r="N15" s="7">
        <f>24*60*SUM($M15:$M15)</f>
        <v>37.599999998928979</v>
      </c>
      <c r="O15" s="7"/>
      <c r="P15" s="7"/>
      <c r="Q15" s="22"/>
      <c r="R15" s="22"/>
      <c r="S15" s="31">
        <f>SUM(U15:U15)/IF(AG15="EC",12,1)</f>
        <v>1</v>
      </c>
      <c r="T15" s="46" t="str">
        <f>IF(ISEVEN(LEFT(AD15,4)),"Southbound","NorthBound")</f>
        <v>NorthBound</v>
      </c>
      <c r="U15" s="190">
        <f>IF(AG15="EC",COUNTIFS(Variables!$M$2:$M$19,IF(T15="NorthBound","&gt;=","&lt;=")&amp;Y15,Variables!$M$2:$M$19,IF(T15="NorthBound","&lt;=","&gt;=")&amp;Z15),COUNTIFS(Variables!$P$2:$P$19,IF(T15="NorthBound","&gt;=","&lt;=")&amp;Y15,Variables!$P$2:$P$19,IF(T15="NorthBound","&lt;=","&gt;=")&amp;Z15))</f>
        <v>12</v>
      </c>
      <c r="V15" s="191" t="str">
        <f>"https://d0f6bd738d7f1b3e5a7ca70fe4ff75f0.us-east-1.aws.found.io/app/kibana#/discover/Steve-Slow-Train-Analysis-(2080s-and-2083s)?_g="&amp;"(refreshInterval:(display:Off,pause:!f,section:0,value:0),time:(from:'"&amp;TEXT(E15-1/24,"yyyy-MM-DDThh:mm:ss")&amp;utc_offset&amp;"00"&amp;"',mode:absolute,to:'"&amp;TEXT(I15+1/24,"yyyy-MM-DDThh:mm:ss")&amp;utc_offset&amp;"00"&amp;"'))&amp;_a=(columns:!('Locomotive+ID','Data.Head+End+Milepost',Data.Speed,'Data.Locomotive+State','Data.Train+ID',"&amp;"'Data.Warning%2FEnforcement+Type','Data.Target+Start+Milepost','Data.Target+Description','Data.Target+Speed',"&amp;"'Data.Enforcement+Train+Speed','Data.Enforcement+Start+Milepost','Data.Target+Type','Data.Enforcement+Direction+of+Travel','Message+ID',"&amp;"'Data.Body+of+Summary+Text','Data.Head+End+Track+name'),filters:!(),index:'emp_*',interval:auto,query:"&amp;"(query_string:(analyze_wildcard:!t,query:'Message%5C+ID:(2083+OR+2080+OR+1041+OR+2003+OR+1051+OR+1043+OR+1053)+AND+%22rtdc.l.rtdc."&amp;B15&amp;"%22')),sort:!(Time.ISO8601,asc))"</f>
        <v>https://d0f6bd738d7f1b3e5a7ca70fe4ff75f0.us-east-1.aws.found.io/app/kibana#/discover/Steve-Slow-Train-Analysis-(2080s-and-2083s)?_g=(refreshInterval:(display:Off,pause:!f,section:0,value:0),time:(from:'2017-02-05T02:39:51-0700',mode:absolute,to:'2017-02-05T05:23:03-0700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4040%22')),sort:!(Time.ISO8601,asc))</v>
      </c>
      <c r="W15" s="192" t="str">
        <f>IF(AA15&lt;IF(AG15="EC",23,5.65),"Y","N")</f>
        <v>N</v>
      </c>
      <c r="X15" s="192">
        <f>VALUE(LEFT(AD15,4))-VALUE(LEFT(AD14,4))</f>
        <v>1</v>
      </c>
      <c r="Y15" s="62">
        <f>RIGHT(D15,LEN(D15)-4)/10000</f>
        <v>7.6600000000000001E-2</v>
      </c>
      <c r="Z15" s="62">
        <f>RIGHT(H15,LEN(H15)-4)/10000</f>
        <v>23.3325</v>
      </c>
      <c r="AA15" s="62">
        <f>ABS(Z15-Y15)</f>
        <v>23.2559</v>
      </c>
      <c r="AB15" s="59" t="e">
        <f>VLOOKUP(A15,Enforcements!$C$7:$K$16,8,0)</f>
        <v>#N/A</v>
      </c>
      <c r="AC15" s="55" t="e">
        <f>VLOOKUP(A15,Enforcements!$C$7:$E$16,3,0)</f>
        <v>#N/A</v>
      </c>
      <c r="AD15" s="56" t="str">
        <f>IF(LEN(A15)=6,"0"&amp;A15,A15)</f>
        <v>0103-05</v>
      </c>
      <c r="AE15" s="85" t="str">
        <f>"aws s3 cp "&amp;s3_bucket&amp;"/RTDC"&amp;B15&amp;"/ "&amp;search_path&amp;"\RTDC"&amp;B15&amp;"\"&amp;TEXT(F15,"YYYY-MM-DD")&amp;" --exclude ""*"" --recursive --include ""*"&amp;TEXT(F15,"YYYYMMDD")&amp;"*"" &amp; """&amp;walkandungz&amp;""" "&amp;search_path&amp;"\RTDC"&amp;B15&amp;"\"&amp;TEXT(F15,"YYYY-MM-DD")
&amp;" &amp; "&amp;"aws s3 cp "&amp;s3_bucket&amp;"/RTDC"&amp;B15&amp;"/ "&amp;search_path&amp;"\RTDC"&amp;B15&amp;"\"&amp;TEXT(F15+1,"YYYY-MM-DD")&amp;" --exclude ""*"" --recursive --include ""*"&amp;TEXT(F15+1,"YYYYMMDD")&amp;"*"" &amp; """&amp;walkandungz&amp;""" "&amp;search_path&amp;"\RTDC"&amp;B15&amp;"\"&amp;TEXT(F15+1,"YYYY-MM-DD")</f>
        <v>aws s3 cp s3://rtdc.mdm.uploadarchive.raw/RTDC4040/ "%USERPROFILE%\AppData\Local\Temp\OnboardLogs"\RTDC4040\2017-02-05 --exclude "*" --recursive --include "*20170205*" &amp; "%USERPROFILE%\Documents\GitHub\mrs-test-scripts\Headless Mode &amp; Sideloading\WalkAndUnGZ.bat" "%USERPROFILE%\AppData\Local\Temp\OnboardLogs"\RTDC4040\2017-02-05 &amp; aws s3 cp s3://rtdc.mdm.uploadarchive.raw/RTDC4040/ "%USERPROFILE%\AppData\Local\Temp\OnboardLogs"\RTDC4040\2017-02-06 --exclude "*" --recursive --include "*20170206*" &amp; "%USERPROFILE%\Documents\GitHub\mrs-test-scripts\Headless Mode &amp; Sideloading\WalkAndUnGZ.bat" "%USERPROFILE%\AppData\Local\Temp\OnboardLogs"\RTDC4040\2017-02-06</v>
      </c>
      <c r="AF15" s="82" t="str">
        <f>astrogrep_path&amp;" /spath="&amp;search_path&amp;" /stypes=""app*"&amp;B15&amp;"*"&amp;TEXT(I15-utc_offset/24,"YYYYMMDD")&amp;"*"" /stext="" "&amp;TEXT(I15-utc_offset/24,"HH")&amp;search_regexp&amp;""" /e /r /s"</f>
        <v>"C:\Program Files (x86)\AstroGrep\AstroGrep.exe" /spath="%USERPROFILE%\AppData\Local\Temp\OnboardLogs" /stypes="app*4040*20170205*" /stext=" 11:.+((SYSTEM_STATE.+slice.+state.+changed )|(ment ac)|(multiple cpu faults)|(system.+state.+changed )|(\[timeout)|(PRM\|1\|D)|(kpr)|(kdp)|(\|lc)|(penalty))" /e /r /s</v>
      </c>
      <c r="AG15" s="1" t="str">
        <f>IFERROR(IF(VALUE(LEFT(AD15,2))&lt;=2,"EC",IF(OR(VALUE(LEFT(AD15,2))=8,VALUE(LEFT(AD15,2))=18),"NW","Other")),"Other")</f>
        <v>EC</v>
      </c>
      <c r="AH15" s="86" t="str">
        <f t="shared" si="3"/>
        <v>"%USERPROFILE%\Documents\GitHub\eaglep3\Utilities\RefineRTDCRunTimes.py" --tripid 103-05 --locoid 4040 --swversion DE.1.0.8.0 --startMP 204:766 --initTime 2017-02-05T03:39:51 --startdatetime 2017-02-05T03:45:27 --delay 1 --endMP 204:233325 --enddatetime 2017-02-05T04:23:03 --enforcementcount 0 &gt;&gt;C:\Users\stu\Documents\GitHub\eaglep3-reporting\EC\2017-02-05-refined-times.txt</v>
      </c>
      <c r="AI15" s="108" t="str">
        <f t="shared" si="4"/>
        <v>echo {"issue":{"subject":"","project_id":79,"tracker_id":40,"status_id":1,"priority_id":2,"assigned_to_id":23,"start_date":"2017-02-05","description":"","custom_fields":[{"id":1,"name":"Subdivision","value":"EC"},{"id":4,"name":"Milepost","value":"23.3325"},{"id":17,"name":"Train ID","value":"103-05"},{"id":16,"name":"Locomotive ID","value":"4040"},{"id":130,"name":"Impact","value":""},{"id":150,"name":"Time of Event (Mountain Time)","value":"04:23:03"},{"id":151,"name":"Denver Issue ID","value":""},{"id":178,"name":"Operational Impact","value":"Yes"},{"id":179,"name":"Denver Segment Assigned","value":""}]}} | curl -X POST -H "Content-Type: application/json" -H "X-Redmine-API-Key: d6333d4a04012a730768444271f8ca06482dae87" https://secure.xorail.net/redmine/issues.json --data @-</v>
      </c>
      <c r="AJ15" s="48"/>
      <c r="AK15" s="48"/>
      <c r="AL15" s="48"/>
      <c r="AM15" s="158" t="str">
        <f t="shared" si="5"/>
        <v>start /low /b %USERPROFILE%\Documents\GitHub\eaglep3\Utilities\DownloadLogsFromS3.py --loco 4040 --day 2017-02-05</v>
      </c>
      <c r="AN15" s="167" t="str">
        <f>"grep -SE -B400 ""CHR.+\|PRM\|1\|D.+(SWITCH|SIGNAL).+UNKNOWN"" "&amp;search_path&amp;"\RTDC"&amp;B15&amp;"\*"&amp;B15&amp;"*"&amp;TEXT(AVERAGE(F15,I15)-utc_offset/24,"YYYYMMDD")&amp;"* | grep -SE ""(Enforcement Action)|(\[TIMEOUT)|(CHR.+\|PRM\|1\|D.+(SWITCH|SIGNAL).+UNKNOWN)"" - &gt;&gt; "&amp;TEXT(Variables!$A$2,"YYYY-MM-DD")&amp;"-UncaughtWiMAX.txt"</f>
        <v>grep -SE -B400 "CHR.+\|PRM\|1\|D.+(SWITCH|SIGNAL).+UNKNOWN" "%USERPROFILE%\AppData\Local\Temp\OnboardLogs"\RTDC4040\*4040*20170205* | grep -SE "(Enforcement Action)|(\[TIMEOUT)|(CHR.+\|PRM\|1\|D.+(SWITCH|SIGNAL).+UNKNOWN)" - &gt;&gt; 2017-02-05-UncaughtWiMAX.txt</v>
      </c>
      <c r="AO15"/>
      <c r="AP15"/>
      <c r="AQ15"/>
      <c r="AR15"/>
      <c r="AS15"/>
      <c r="AT15"/>
      <c r="AU15"/>
      <c r="AV15"/>
      <c r="AW15"/>
      <c r="AX15"/>
      <c r="AY15"/>
      <c r="AZ15"/>
      <c r="BA15"/>
      <c r="BB15"/>
      <c r="BC15"/>
      <c r="BD15"/>
      <c r="BE15"/>
      <c r="BF15"/>
      <c r="BG15"/>
      <c r="BH15"/>
      <c r="BI15"/>
      <c r="BJ15"/>
      <c r="BK15"/>
      <c r="BL15"/>
      <c r="BM15"/>
      <c r="BN15"/>
      <c r="BO15"/>
      <c r="BP15"/>
      <c r="BQ15"/>
      <c r="BR15"/>
      <c r="BS15"/>
      <c r="BT15"/>
      <c r="BU15"/>
      <c r="BV15"/>
      <c r="BW15"/>
      <c r="BX15"/>
      <c r="BY15"/>
      <c r="BZ15"/>
      <c r="CA15"/>
      <c r="CB15"/>
      <c r="CC15"/>
      <c r="CD15"/>
      <c r="CE15"/>
      <c r="CF15"/>
      <c r="CG15"/>
      <c r="CH15"/>
      <c r="CI15"/>
      <c r="CJ15"/>
      <c r="CK15"/>
      <c r="CL15"/>
      <c r="CM15"/>
    </row>
    <row r="16" spans="1:91" s="1" customFormat="1" x14ac:dyDescent="0.25">
      <c r="A16" s="33" t="s">
        <v>552</v>
      </c>
      <c r="B16" s="7">
        <v>4026</v>
      </c>
      <c r="C16" s="21" t="s">
        <v>193</v>
      </c>
      <c r="D16" s="21" t="s">
        <v>746</v>
      </c>
      <c r="E16" s="13">
        <v>42771.189456018517</v>
      </c>
      <c r="F16" s="13">
        <v>42771.195462962962</v>
      </c>
      <c r="G16" s="7">
        <v>1</v>
      </c>
      <c r="H16" s="21" t="s">
        <v>351</v>
      </c>
      <c r="I16" s="13">
        <v>42771.224143518521</v>
      </c>
      <c r="J16" s="7">
        <v>0</v>
      </c>
      <c r="K16" s="98" t="str">
        <f>IF(ISEVEN(B16),(B16-1)&amp;"/"&amp;B16,B16&amp;"/"&amp;(B16+1))</f>
        <v>4025/4026</v>
      </c>
      <c r="L16" s="21" t="str">
        <f>VLOOKUP(A16,'Trips&amp;Operators'!$C$1:$G$99999,5,FALSE)</f>
        <v>MAELZER KURT</v>
      </c>
      <c r="M16" s="6">
        <f>I16-F16</f>
        <v>2.8680555558821652E-2</v>
      </c>
      <c r="N16" s="7">
        <f>24*60*SUM($M16:$M16)</f>
        <v>41.300000004703179</v>
      </c>
      <c r="O16" s="7"/>
      <c r="P16" s="7"/>
      <c r="Q16" s="22"/>
      <c r="R16" s="22"/>
      <c r="S16" s="31">
        <f>SUM(U16:U16)/IF(AG16="EC",12,1)</f>
        <v>1</v>
      </c>
      <c r="T16" s="46" t="str">
        <f>IF(ISEVEN(LEFT(AD16,4)),"Southbound","NorthBound")</f>
        <v>Southbound</v>
      </c>
      <c r="U16" s="190">
        <f>IF(AG16="EC",COUNTIFS(Variables!$M$2:$M$19,IF(T16="NorthBound","&gt;=","&lt;=")&amp;Y16,Variables!$M$2:$M$19,IF(T16="NorthBound","&lt;=","&gt;=")&amp;Z16),COUNTIFS(Variables!$P$2:$P$19,IF(T16="NorthBound","&gt;=","&lt;=")&amp;Y16,Variables!$P$2:$P$19,IF(T16="NorthBound","&lt;=","&gt;=")&amp;Z16))</f>
        <v>12</v>
      </c>
      <c r="V16" s="191" t="str">
        <f>"https://d0f6bd738d7f1b3e5a7ca70fe4ff75f0.us-east-1.aws.found.io/app/kibana#/discover/Steve-Slow-Train-Analysis-(2080s-and-2083s)?_g="&amp;"(refreshInterval:(display:Off,pause:!f,section:0,value:0),time:(from:'"&amp;TEXT(E16-1/24,"yyyy-MM-DDThh:mm:ss")&amp;utc_offset&amp;"00"&amp;"',mode:absolute,to:'"&amp;TEXT(I16+1/24,"yyyy-MM-DDThh:mm:ss")&amp;utc_offset&amp;"00"&amp;"'))&amp;_a=(columns:!('Locomotive+ID','Data.Head+End+Milepost',Data.Speed,'Data.Locomotive+State','Data.Train+ID',"&amp;"'Data.Warning%2FEnforcement+Type','Data.Target+Start+Milepost','Data.Target+Description','Data.Target+Speed',"&amp;"'Data.Enforcement+Train+Speed','Data.Enforcement+Start+Milepost','Data.Target+Type','Data.Enforcement+Direction+of+Travel','Message+ID',"&amp;"'Data.Body+of+Summary+Text','Data.Head+End+Track+name'),filters:!(),index:'emp_*',interval:auto,query:"&amp;"(query_string:(analyze_wildcard:!t,query:'Message%5C+ID:(2083+OR+2080+OR+1041+OR+2003+OR+1051+OR+1043+OR+1053)+AND+%22rtdc.l.rtdc."&amp;B16&amp;"%22')),sort:!(Time.ISO8601,asc))"</f>
        <v>https://d0f6bd738d7f1b3e5a7ca70fe4ff75f0.us-east-1.aws.found.io/app/kibana#/discover/Steve-Slow-Train-Analysis-(2080s-and-2083s)?_g=(refreshInterval:(display:Off,pause:!f,section:0,value:0),time:(from:'2017-02-05T03:32:49-0700',mode:absolute,to:'2017-02-05T06:22:46-0700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4026%22')),sort:!(Time.ISO8601,asc))</v>
      </c>
      <c r="W16" s="192" t="str">
        <f>IF(AA16&lt;IF(AG16="EC",23,5.65),"Y","N")</f>
        <v>N</v>
      </c>
      <c r="X16" s="192">
        <f>VALUE(LEFT(AD16,4))-VALUE(LEFT(AD15,4))</f>
        <v>1</v>
      </c>
      <c r="Y16" s="62">
        <f>RIGHT(D16,LEN(D16)-4)/10000</f>
        <v>23.269400000000001</v>
      </c>
      <c r="Z16" s="62">
        <f>RIGHT(H16,LEN(H16)-4)/10000</f>
        <v>1.29E-2</v>
      </c>
      <c r="AA16" s="62">
        <f>ABS(Z16-Y16)</f>
        <v>23.256500000000003</v>
      </c>
      <c r="AB16" s="59" t="e">
        <f>VLOOKUP(A16,Enforcements!$C$7:$K$16,8,0)</f>
        <v>#N/A</v>
      </c>
      <c r="AC16" s="55" t="e">
        <f>VLOOKUP(A16,Enforcements!$C$7:$E$16,3,0)</f>
        <v>#N/A</v>
      </c>
      <c r="AD16" s="56" t="str">
        <f>IF(LEN(A16)=6,"0"&amp;A16,A16)</f>
        <v>0104-05</v>
      </c>
      <c r="AE16" s="85" t="str">
        <f>"aws s3 cp "&amp;s3_bucket&amp;"/RTDC"&amp;B16&amp;"/ "&amp;search_path&amp;"\RTDC"&amp;B16&amp;"\"&amp;TEXT(F16,"YYYY-MM-DD")&amp;" --exclude ""*"" --recursive --include ""*"&amp;TEXT(F16,"YYYYMMDD")&amp;"*"" &amp; """&amp;walkandungz&amp;""" "&amp;search_path&amp;"\RTDC"&amp;B16&amp;"\"&amp;TEXT(F16,"YYYY-MM-DD")
&amp;" &amp; "&amp;"aws s3 cp "&amp;s3_bucket&amp;"/RTDC"&amp;B16&amp;"/ "&amp;search_path&amp;"\RTDC"&amp;B16&amp;"\"&amp;TEXT(F16+1,"YYYY-MM-DD")&amp;" --exclude ""*"" --recursive --include ""*"&amp;TEXT(F16+1,"YYYYMMDD")&amp;"*"" &amp; """&amp;walkandungz&amp;""" "&amp;search_path&amp;"\RTDC"&amp;B16&amp;"\"&amp;TEXT(F16+1,"YYYY-MM-DD")</f>
        <v>aws s3 cp s3://rtdc.mdm.uploadarchive.raw/RTDC4026/ "%USERPROFILE%\AppData\Local\Temp\OnboardLogs"\RTDC4026\2017-02-05 --exclude "*" --recursive --include "*20170205*" &amp; "%USERPROFILE%\Documents\GitHub\mrs-test-scripts\Headless Mode &amp; Sideloading\WalkAndUnGZ.bat" "%USERPROFILE%\AppData\Local\Temp\OnboardLogs"\RTDC4026\2017-02-05 &amp; aws s3 cp s3://rtdc.mdm.uploadarchive.raw/RTDC4026/ "%USERPROFILE%\AppData\Local\Temp\OnboardLogs"\RTDC4026\2017-02-06 --exclude "*" --recursive --include "*20170206*" &amp; "%USERPROFILE%\Documents\GitHub\mrs-test-scripts\Headless Mode &amp; Sideloading\WalkAndUnGZ.bat" "%USERPROFILE%\AppData\Local\Temp\OnboardLogs"\RTDC4026\2017-02-06</v>
      </c>
      <c r="AF16" s="82" t="str">
        <f>astrogrep_path&amp;" /spath="&amp;search_path&amp;" /stypes=""app*"&amp;B16&amp;"*"&amp;TEXT(I16-utc_offset/24,"YYYYMMDD")&amp;"*"" /stext="" "&amp;TEXT(I16-utc_offset/24,"HH")&amp;search_regexp&amp;""" /e /r /s"</f>
        <v>"C:\Program Files (x86)\AstroGrep\AstroGrep.exe" /spath="%USERPROFILE%\AppData\Local\Temp\OnboardLogs" /stypes="app*4026*20170205*" /stext=" 12:.+((SYSTEM_STATE.+slice.+state.+changed )|(ment ac)|(multiple cpu faults)|(system.+state.+changed )|(\[timeout)|(PRM\|1\|D)|(kpr)|(kdp)|(\|lc)|(penalty))" /e /r /s</v>
      </c>
      <c r="AG16" s="1" t="str">
        <f>IFERROR(IF(VALUE(LEFT(AD16,2))&lt;=2,"EC",IF(OR(VALUE(LEFT(AD16,2))=8,VALUE(LEFT(AD16,2))=18),"NW","Other")),"Other")</f>
        <v>EC</v>
      </c>
      <c r="AH16" s="86" t="str">
        <f t="shared" si="3"/>
        <v>"%USERPROFILE%\Documents\GitHub\eaglep3\Utilities\RefineRTDCRunTimes.py" --tripid 104-05 --locoid 4026 --swversion DE.1.0.8.0 --startMP 204:232694 --initTime 2017-02-05T04:32:49 --startdatetime 2017-02-05T04:41:28 --delay 1 --endMP 204:129 --enddatetime 2017-02-05T05:22:46 --enforcementcount 0 &gt;&gt;C:\Users\stu\Documents\GitHub\eaglep3-reporting\EC\2017-02-05-refined-times.txt</v>
      </c>
      <c r="AI16" s="108" t="str">
        <f t="shared" si="4"/>
        <v>echo {"issue":{"subject":"","project_id":79,"tracker_id":40,"status_id":1,"priority_id":2,"assigned_to_id":23,"start_date":"2017-02-05","description":"","custom_fields":[{"id":1,"name":"Subdivision","value":"EC"},{"id":4,"name":"Milepost","value":"0.0129"},{"id":17,"name":"Train ID","value":"104-05"},{"id":16,"name":"Locomotive ID","value":"4026"},{"id":130,"name":"Impact","value":""},{"id":150,"name":"Time of Event (Mountain Time)","value":"05:22:46"},{"id":151,"name":"Denver Issue ID","value":""},{"id":178,"name":"Operational Impact","value":"Yes"},{"id":179,"name":"Denver Segment Assigned","value":""}]}} | curl -X POST -H "Content-Type: application/json" -H "X-Redmine-API-Key: d6333d4a04012a730768444271f8ca06482dae87" https://secure.xorail.net/redmine/issues.json --data @-</v>
      </c>
      <c r="AJ16" s="48"/>
      <c r="AK16" s="48"/>
      <c r="AL16" s="48"/>
      <c r="AM16" s="158" t="str">
        <f t="shared" si="5"/>
        <v>start /low /b %USERPROFILE%\Documents\GitHub\eaglep3\Utilities\DownloadLogsFromS3.py --loco 4026 --day 2017-02-05</v>
      </c>
      <c r="AN16" s="167" t="str">
        <f>"grep -SE -B400 ""CHR.+\|PRM\|1\|D.+(SWITCH|SIGNAL).+UNKNOWN"" "&amp;search_path&amp;"\RTDC"&amp;B16&amp;"\*"&amp;B16&amp;"*"&amp;TEXT(AVERAGE(F16,I16)-utc_offset/24,"YYYYMMDD")&amp;"* | grep -SE ""(Enforcement Action)|(\[TIMEOUT)|(CHR.+\|PRM\|1\|D.+(SWITCH|SIGNAL).+UNKNOWN)"" - &gt;&gt; "&amp;TEXT(Variables!$A$2,"YYYY-MM-DD")&amp;"-UncaughtWiMAX.txt"</f>
        <v>grep -SE -B400 "CHR.+\|PRM\|1\|D.+(SWITCH|SIGNAL).+UNKNOWN" "%USERPROFILE%\AppData\Local\Temp\OnboardLogs"\RTDC4026\*4026*20170205* | grep -SE "(Enforcement Action)|(\[TIMEOUT)|(CHR.+\|PRM\|1\|D.+(SWITCH|SIGNAL).+UNKNOWN)" - &gt;&gt; 2017-02-05-UncaughtWiMAX.txt</v>
      </c>
      <c r="AO16"/>
      <c r="AP16"/>
      <c r="AQ16"/>
      <c r="AR16"/>
      <c r="AS16"/>
      <c r="AT16"/>
      <c r="AU16"/>
      <c r="AV16"/>
      <c r="AW16"/>
      <c r="AX16"/>
      <c r="AY16"/>
      <c r="AZ16"/>
      <c r="BA16"/>
      <c r="BB16"/>
      <c r="BC16"/>
      <c r="BD16"/>
      <c r="BE16"/>
      <c r="BF16"/>
      <c r="BG16"/>
      <c r="BH16"/>
      <c r="BI16"/>
      <c r="BJ16"/>
      <c r="BK16"/>
      <c r="BL16"/>
      <c r="BM16"/>
      <c r="BN16"/>
      <c r="BO16"/>
      <c r="BP16"/>
      <c r="BQ16"/>
      <c r="BR16"/>
      <c r="BS16"/>
      <c r="BT16"/>
      <c r="BU16"/>
      <c r="BV16"/>
      <c r="BW16"/>
      <c r="BX16"/>
      <c r="BY16"/>
      <c r="BZ16"/>
      <c r="CA16"/>
      <c r="CB16"/>
      <c r="CC16"/>
      <c r="CD16"/>
      <c r="CE16"/>
      <c r="CF16"/>
      <c r="CG16"/>
      <c r="CH16"/>
      <c r="CI16"/>
      <c r="CJ16"/>
      <c r="CK16"/>
      <c r="CL16"/>
      <c r="CM16"/>
    </row>
    <row r="17" spans="1:91" s="1" customFormat="1" x14ac:dyDescent="0.25">
      <c r="A17" s="33" t="s">
        <v>547</v>
      </c>
      <c r="B17" s="7">
        <v>4016</v>
      </c>
      <c r="C17" s="21" t="s">
        <v>193</v>
      </c>
      <c r="D17" s="21" t="s">
        <v>747</v>
      </c>
      <c r="E17" s="13">
        <v>42771.175694444442</v>
      </c>
      <c r="F17" s="13">
        <v>42771.177743055552</v>
      </c>
      <c r="G17" s="7">
        <v>1</v>
      </c>
      <c r="H17" s="21" t="s">
        <v>748</v>
      </c>
      <c r="I17" s="13">
        <v>42771.206458333334</v>
      </c>
      <c r="J17" s="7">
        <v>0</v>
      </c>
      <c r="K17" s="98" t="str">
        <f>IF(ISEVEN(B17),(B17-1)&amp;"/"&amp;B17,B17&amp;"/"&amp;(B17+1))</f>
        <v>4015/4016</v>
      </c>
      <c r="L17" s="21" t="str">
        <f>VLOOKUP(A17,'Trips&amp;Operators'!$C$1:$G$99999,5,FALSE)</f>
        <v>BADERTSCHER DIANE</v>
      </c>
      <c r="M17" s="6">
        <f>I17-F17</f>
        <v>2.8715277781884652E-2</v>
      </c>
      <c r="N17" s="7">
        <f>24*60*SUM($M17:$M17)</f>
        <v>41.350000005913898</v>
      </c>
      <c r="O17" s="7"/>
      <c r="P17" s="7"/>
      <c r="Q17" s="22"/>
      <c r="R17" s="22"/>
      <c r="S17" s="31">
        <f>SUM(U17:U17)/IF(AG17="EC",12,1)</f>
        <v>1</v>
      </c>
      <c r="T17" s="46" t="str">
        <f>IF(ISEVEN(LEFT(AD17,4)),"Southbound","NorthBound")</f>
        <v>NorthBound</v>
      </c>
      <c r="U17" s="190">
        <f>IF(AG17="EC",COUNTIFS(Variables!$M$2:$M$19,IF(T17="NorthBound","&gt;=","&lt;=")&amp;Y17,Variables!$M$2:$M$19,IF(T17="NorthBound","&lt;=","&gt;=")&amp;Z17),COUNTIFS(Variables!$P$2:$P$19,IF(T17="NorthBound","&gt;=","&lt;=")&amp;Y17,Variables!$P$2:$P$19,IF(T17="NorthBound","&lt;=","&gt;=")&amp;Z17))</f>
        <v>12</v>
      </c>
      <c r="V17" s="191" t="str">
        <f>"https://d0f6bd738d7f1b3e5a7ca70fe4ff75f0.us-east-1.aws.found.io/app/kibana#/discover/Steve-Slow-Train-Analysis-(2080s-and-2083s)?_g="&amp;"(refreshInterval:(display:Off,pause:!f,section:0,value:0),time:(from:'"&amp;TEXT(E17-1/24,"yyyy-MM-DDThh:mm:ss")&amp;utc_offset&amp;"00"&amp;"',mode:absolute,to:'"&amp;TEXT(I17+1/24,"yyyy-MM-DDThh:mm:ss")&amp;utc_offset&amp;"00"&amp;"'))&amp;_a=(columns:!('Locomotive+ID','Data.Head+End+Milepost',Data.Speed,'Data.Locomotive+State','Data.Train+ID',"&amp;"'Data.Warning%2FEnforcement+Type','Data.Target+Start+Milepost','Data.Target+Description','Data.Target+Speed',"&amp;"'Data.Enforcement+Train+Speed','Data.Enforcement+Start+Milepost','Data.Target+Type','Data.Enforcement+Direction+of+Travel','Message+ID',"&amp;"'Data.Body+of+Summary+Text','Data.Head+End+Track+name'),filters:!(),index:'emp_*',interval:auto,query:"&amp;"(query_string:(analyze_wildcard:!t,query:'Message%5C+ID:(2083+OR+2080+OR+1041+OR+2003+OR+1051+OR+1043+OR+1053)+AND+%22rtdc.l.rtdc."&amp;B17&amp;"%22')),sort:!(Time.ISO8601,asc))"</f>
        <v>https://d0f6bd738d7f1b3e5a7ca70fe4ff75f0.us-east-1.aws.found.io/app/kibana#/discover/Steve-Slow-Train-Analysis-(2080s-and-2083s)?_g=(refreshInterval:(display:Off,pause:!f,section:0,value:0),time:(from:'2017-02-05T03:13:00-0700',mode:absolute,to:'2017-02-05T05:57:18-0700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4016%22')),sort:!(Time.ISO8601,asc))</v>
      </c>
      <c r="W17" s="192" t="str">
        <f>IF(AA17&lt;IF(AG17="EC",23,5.65),"Y","N")</f>
        <v>N</v>
      </c>
      <c r="X17" s="192">
        <f>VALUE(LEFT(AD17,4))-VALUE(LEFT(AD16,4))</f>
        <v>1</v>
      </c>
      <c r="Y17" s="62">
        <f>RIGHT(D17,LEN(D17)-4)/10000</f>
        <v>7.17E-2</v>
      </c>
      <c r="Z17" s="62">
        <f>RIGHT(H17,LEN(H17)-4)/10000</f>
        <v>23.329699999999999</v>
      </c>
      <c r="AA17" s="62">
        <f>ABS(Z17-Y17)</f>
        <v>23.257999999999999</v>
      </c>
      <c r="AB17" s="59" t="e">
        <f>VLOOKUP(A17,Enforcements!$C$7:$K$16,8,0)</f>
        <v>#N/A</v>
      </c>
      <c r="AC17" s="55" t="e">
        <f>VLOOKUP(A17,Enforcements!$C$7:$E$16,3,0)</f>
        <v>#N/A</v>
      </c>
      <c r="AD17" s="56" t="str">
        <f>IF(LEN(A17)=6,"0"&amp;A17,A17)</f>
        <v>0105-05</v>
      </c>
      <c r="AE17" s="85" t="str">
        <f>"aws s3 cp "&amp;s3_bucket&amp;"/RTDC"&amp;B17&amp;"/ "&amp;search_path&amp;"\RTDC"&amp;B17&amp;"\"&amp;TEXT(F17,"YYYY-MM-DD")&amp;" --exclude ""*"" --recursive --include ""*"&amp;TEXT(F17,"YYYYMMDD")&amp;"*"" &amp; """&amp;walkandungz&amp;""" "&amp;search_path&amp;"\RTDC"&amp;B17&amp;"\"&amp;TEXT(F17,"YYYY-MM-DD")
&amp;" &amp; "&amp;"aws s3 cp "&amp;s3_bucket&amp;"/RTDC"&amp;B17&amp;"/ "&amp;search_path&amp;"\RTDC"&amp;B17&amp;"\"&amp;TEXT(F17+1,"YYYY-MM-DD")&amp;" --exclude ""*"" --recursive --include ""*"&amp;TEXT(F17+1,"YYYYMMDD")&amp;"*"" &amp; """&amp;walkandungz&amp;""" "&amp;search_path&amp;"\RTDC"&amp;B17&amp;"\"&amp;TEXT(F17+1,"YYYY-MM-DD")</f>
        <v>aws s3 cp s3://rtdc.mdm.uploadarchive.raw/RTDC4016/ "%USERPROFILE%\AppData\Local\Temp\OnboardLogs"\RTDC4016\2017-02-05 --exclude "*" --recursive --include "*20170205*" &amp; "%USERPROFILE%\Documents\GitHub\mrs-test-scripts\Headless Mode &amp; Sideloading\WalkAndUnGZ.bat" "%USERPROFILE%\AppData\Local\Temp\OnboardLogs"\RTDC4016\2017-02-05 &amp; aws s3 cp s3://rtdc.mdm.uploadarchive.raw/RTDC4016/ "%USERPROFILE%\AppData\Local\Temp\OnboardLogs"\RTDC4016\2017-02-06 --exclude "*" --recursive --include "*20170206*" &amp; "%USERPROFILE%\Documents\GitHub\mrs-test-scripts\Headless Mode &amp; Sideloading\WalkAndUnGZ.bat" "%USERPROFILE%\AppData\Local\Temp\OnboardLogs"\RTDC4016\2017-02-06</v>
      </c>
      <c r="AF17" s="82" t="str">
        <f>astrogrep_path&amp;" /spath="&amp;search_path&amp;" /stypes=""app*"&amp;B17&amp;"*"&amp;TEXT(I17-utc_offset/24,"YYYYMMDD")&amp;"*"" /stext="" "&amp;TEXT(I17-utc_offset/24,"HH")&amp;search_regexp&amp;""" /e /r /s"</f>
        <v>"C:\Program Files (x86)\AstroGrep\AstroGrep.exe" /spath="%USERPROFILE%\AppData\Local\Temp\OnboardLogs" /stypes="app*4016*20170205*" /stext=" 11:.+((SYSTEM_STATE.+slice.+state.+changed )|(ment ac)|(multiple cpu faults)|(system.+state.+changed )|(\[timeout)|(PRM\|1\|D)|(kpr)|(kdp)|(\|lc)|(penalty))" /e /r /s</v>
      </c>
      <c r="AG17" s="1" t="str">
        <f>IFERROR(IF(VALUE(LEFT(AD17,2))&lt;=2,"EC",IF(OR(VALUE(LEFT(AD17,2))=8,VALUE(LEFT(AD17,2))=18),"NW","Other")),"Other")</f>
        <v>EC</v>
      </c>
      <c r="AH17" s="86" t="str">
        <f t="shared" si="3"/>
        <v>"%USERPROFILE%\Documents\GitHub\eaglep3\Utilities\RefineRTDCRunTimes.py" --tripid 105-05 --locoid 4016 --swversion DE.1.0.8.0 --startMP 204:717 --initTime 2017-02-05T04:13:00 --startdatetime 2017-02-05T04:15:57 --delay 1 --endMP 204:233297 --enddatetime 2017-02-05T04:57:18 --enforcementcount 0 &gt;&gt;C:\Users\stu\Documents\GitHub\eaglep3-reporting\EC\2017-02-05-refined-times.txt</v>
      </c>
      <c r="AI17" s="108" t="str">
        <f t="shared" si="4"/>
        <v>echo {"issue":{"subject":"","project_id":79,"tracker_id":40,"status_id":1,"priority_id":2,"assigned_to_id":23,"start_date":"2017-02-05","description":"","custom_fields":[{"id":1,"name":"Subdivision","value":"EC"},{"id":4,"name":"Milepost","value":"23.3297"},{"id":17,"name":"Train ID","value":"105-05"},{"id":16,"name":"Locomotive ID","value":"4016"},{"id":130,"name":"Impact","value":""},{"id":150,"name":"Time of Event (Mountain Time)","value":"04:57:18"},{"id":151,"name":"Denver Issue ID","value":""},{"id":178,"name":"Operational Impact","value":"Yes"},{"id":179,"name":"Denver Segment Assigned","value":""}]}} | curl -X POST -H "Content-Type: application/json" -H "X-Redmine-API-Key: d6333d4a04012a730768444271f8ca06482dae87" https://secure.xorail.net/redmine/issues.json --data @-</v>
      </c>
      <c r="AJ17" s="48"/>
      <c r="AK17" s="48"/>
      <c r="AL17" s="48"/>
      <c r="AM17" s="158" t="str">
        <f t="shared" si="5"/>
        <v>start /low /b %USERPROFILE%\Documents\GitHub\eaglep3\Utilities\DownloadLogsFromS3.py --loco 4016 --day 2017-02-05</v>
      </c>
      <c r="AN17" s="167" t="str">
        <f>"grep -SE -B400 ""CHR.+\|PRM\|1\|D.+(SWITCH|SIGNAL).+UNKNOWN"" "&amp;search_path&amp;"\RTDC"&amp;B17&amp;"\*"&amp;B17&amp;"*"&amp;TEXT(AVERAGE(F17,I17)-utc_offset/24,"YYYYMMDD")&amp;"* | grep -SE ""(Enforcement Action)|(\[TIMEOUT)|(CHR.+\|PRM\|1\|D.+(SWITCH|SIGNAL).+UNKNOWN)"" - &gt;&gt; "&amp;TEXT(Variables!$A$2,"YYYY-MM-DD")&amp;"-UncaughtWiMAX.txt"</f>
        <v>grep -SE -B400 "CHR.+\|PRM\|1\|D.+(SWITCH|SIGNAL).+UNKNOWN" "%USERPROFILE%\AppData\Local\Temp\OnboardLogs"\RTDC4016\*4016*20170205* | grep -SE "(Enforcement Action)|(\[TIMEOUT)|(CHR.+\|PRM\|1\|D.+(SWITCH|SIGNAL).+UNKNOWN)" - &gt;&gt; 2017-02-05-UncaughtWiMAX.txt</v>
      </c>
      <c r="AO17"/>
      <c r="AP17"/>
      <c r="AQ17"/>
      <c r="AR17"/>
      <c r="AS17"/>
      <c r="AT17"/>
      <c r="AU17"/>
      <c r="AV17"/>
      <c r="AW17"/>
      <c r="AX17"/>
      <c r="AY17"/>
      <c r="AZ17"/>
      <c r="BA17"/>
      <c r="BB17"/>
      <c r="BC17"/>
      <c r="BD17"/>
      <c r="BE17"/>
      <c r="BF17"/>
      <c r="BG17"/>
      <c r="BH17"/>
      <c r="BI17"/>
      <c r="BJ17"/>
      <c r="BK17"/>
      <c r="BL17"/>
      <c r="BM17"/>
      <c r="BN17"/>
      <c r="BO17"/>
      <c r="BP17"/>
      <c r="BQ17"/>
      <c r="BR17"/>
      <c r="BS17"/>
      <c r="BT17"/>
      <c r="BU17"/>
      <c r="BV17"/>
      <c r="BW17"/>
      <c r="BX17"/>
      <c r="BY17"/>
      <c r="BZ17"/>
      <c r="CA17"/>
      <c r="CB17"/>
      <c r="CC17"/>
      <c r="CD17"/>
      <c r="CE17"/>
      <c r="CF17"/>
      <c r="CG17"/>
      <c r="CH17"/>
      <c r="CI17"/>
      <c r="CJ17"/>
      <c r="CK17"/>
      <c r="CL17"/>
      <c r="CM17"/>
    </row>
    <row r="18" spans="1:91" s="1" customFormat="1" x14ac:dyDescent="0.25">
      <c r="A18" s="33" t="s">
        <v>553</v>
      </c>
      <c r="B18" s="7">
        <v>4037</v>
      </c>
      <c r="C18" s="21" t="s">
        <v>193</v>
      </c>
      <c r="D18" s="21" t="s">
        <v>749</v>
      </c>
      <c r="E18" s="13">
        <v>42771.208518518521</v>
      </c>
      <c r="F18" s="13">
        <v>42771.216203703705</v>
      </c>
      <c r="G18" s="7">
        <v>1</v>
      </c>
      <c r="H18" s="21" t="s">
        <v>325</v>
      </c>
      <c r="I18" s="13">
        <v>42771.245370370372</v>
      </c>
      <c r="J18" s="7">
        <v>0</v>
      </c>
      <c r="K18" s="98" t="str">
        <f>IF(ISEVEN(B18),(B18-1)&amp;"/"&amp;B18,B18&amp;"/"&amp;(B18+1))</f>
        <v>4037/4038</v>
      </c>
      <c r="L18" s="21" t="str">
        <f>VLOOKUP(A18,'Trips&amp;Operators'!$C$1:$G$99999,5,FALSE)</f>
        <v>BADERTSCHER DIANE</v>
      </c>
      <c r="M18" s="6">
        <f>I18-F18</f>
        <v>2.9166666667151731E-2</v>
      </c>
      <c r="N18" s="7">
        <f>24*60*SUM($M18:$M18)</f>
        <v>42.000000000698492</v>
      </c>
      <c r="O18" s="7"/>
      <c r="P18" s="7"/>
      <c r="Q18" s="22"/>
      <c r="R18" s="22"/>
      <c r="S18" s="31">
        <f>SUM(U18:U18)/IF(AG18="EC",12,1)</f>
        <v>1</v>
      </c>
      <c r="T18" s="46" t="str">
        <f>IF(ISEVEN(LEFT(AD18,4)),"Southbound","NorthBound")</f>
        <v>Southbound</v>
      </c>
      <c r="U18" s="190">
        <f>IF(AG18="EC",COUNTIFS(Variables!$M$2:$M$19,IF(T18="NorthBound","&gt;=","&lt;=")&amp;Y18,Variables!$M$2:$M$19,IF(T18="NorthBound","&lt;=","&gt;=")&amp;Z18),COUNTIFS(Variables!$P$2:$P$19,IF(T18="NorthBound","&gt;=","&lt;=")&amp;Y18,Variables!$P$2:$P$19,IF(T18="NorthBound","&lt;=","&gt;=")&amp;Z18))</f>
        <v>12</v>
      </c>
      <c r="V18" s="191" t="str">
        <f>"https://d0f6bd738d7f1b3e5a7ca70fe4ff75f0.us-east-1.aws.found.io/app/kibana#/discover/Steve-Slow-Train-Analysis-(2080s-and-2083s)?_g="&amp;"(refreshInterval:(display:Off,pause:!f,section:0,value:0),time:(from:'"&amp;TEXT(E18-1/24,"yyyy-MM-DDThh:mm:ss")&amp;utc_offset&amp;"00"&amp;"',mode:absolute,to:'"&amp;TEXT(I18+1/24,"yyyy-MM-DDThh:mm:ss")&amp;utc_offset&amp;"00"&amp;"'))&amp;_a=(columns:!('Locomotive+ID','Data.Head+End+Milepost',Data.Speed,'Data.Locomotive+State','Data.Train+ID',"&amp;"'Data.Warning%2FEnforcement+Type','Data.Target+Start+Milepost','Data.Target+Description','Data.Target+Speed',"&amp;"'Data.Enforcement+Train+Speed','Data.Enforcement+Start+Milepost','Data.Target+Type','Data.Enforcement+Direction+of+Travel','Message+ID',"&amp;"'Data.Body+of+Summary+Text','Data.Head+End+Track+name'),filters:!(),index:'emp_*',interval:auto,query:"&amp;"(query_string:(analyze_wildcard:!t,query:'Message%5C+ID:(2083+OR+2080+OR+1041+OR+2003+OR+1051+OR+1043+OR+1053)+AND+%22rtdc.l.rtdc."&amp;B18&amp;"%22')),sort:!(Time.ISO8601,asc))"</f>
        <v>https://d0f6bd738d7f1b3e5a7ca70fe4ff75f0.us-east-1.aws.found.io/app/kibana#/discover/Steve-Slow-Train-Analysis-(2080s-and-2083s)?_g=(refreshInterval:(display:Off,pause:!f,section:0,value:0),time:(from:'2017-02-05T04:00:16-0700',mode:absolute,to:'2017-02-05T06:53:20-0700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4037%22')),sort:!(Time.ISO8601,asc))</v>
      </c>
      <c r="W18" s="192" t="str">
        <f>IF(AA18&lt;IF(AG18="EC",23,5.65),"Y","N")</f>
        <v>N</v>
      </c>
      <c r="X18" s="192">
        <f>VALUE(LEFT(AD18,4))-VALUE(LEFT(AD17,4))</f>
        <v>1</v>
      </c>
      <c r="Y18" s="62">
        <f>RIGHT(D18,LEN(D18)-4)/10000</f>
        <v>23.265499999999999</v>
      </c>
      <c r="Z18" s="62">
        <f>RIGHT(H18,LEN(H18)-4)/10000</f>
        <v>1.38E-2</v>
      </c>
      <c r="AA18" s="62">
        <f>ABS(Z18-Y18)</f>
        <v>23.2517</v>
      </c>
      <c r="AB18" s="59" t="e">
        <f>VLOOKUP(A18,Enforcements!$C$7:$K$16,8,0)</f>
        <v>#N/A</v>
      </c>
      <c r="AC18" s="55" t="e">
        <f>VLOOKUP(A18,Enforcements!$C$7:$E$16,3,0)</f>
        <v>#N/A</v>
      </c>
      <c r="AD18" s="56" t="str">
        <f>IF(LEN(A18)=6,"0"&amp;A18,A18)</f>
        <v>0106-05</v>
      </c>
      <c r="AE18" s="85" t="str">
        <f>"aws s3 cp "&amp;s3_bucket&amp;"/RTDC"&amp;B18&amp;"/ "&amp;search_path&amp;"\RTDC"&amp;B18&amp;"\"&amp;TEXT(F18,"YYYY-MM-DD")&amp;" --exclude ""*"" --recursive --include ""*"&amp;TEXT(F18,"YYYYMMDD")&amp;"*"" &amp; """&amp;walkandungz&amp;""" "&amp;search_path&amp;"\RTDC"&amp;B18&amp;"\"&amp;TEXT(F18,"YYYY-MM-DD")
&amp;" &amp; "&amp;"aws s3 cp "&amp;s3_bucket&amp;"/RTDC"&amp;B18&amp;"/ "&amp;search_path&amp;"\RTDC"&amp;B18&amp;"\"&amp;TEXT(F18+1,"YYYY-MM-DD")&amp;" --exclude ""*"" --recursive --include ""*"&amp;TEXT(F18+1,"YYYYMMDD")&amp;"*"" &amp; """&amp;walkandungz&amp;""" "&amp;search_path&amp;"\RTDC"&amp;B18&amp;"\"&amp;TEXT(F18+1,"YYYY-MM-DD")</f>
        <v>aws s3 cp s3://rtdc.mdm.uploadarchive.raw/RTDC4037/ "%USERPROFILE%\AppData\Local\Temp\OnboardLogs"\RTDC4037\2017-02-05 --exclude "*" --recursive --include "*20170205*" &amp; "%USERPROFILE%\Documents\GitHub\mrs-test-scripts\Headless Mode &amp; Sideloading\WalkAndUnGZ.bat" "%USERPROFILE%\AppData\Local\Temp\OnboardLogs"\RTDC4037\2017-02-05 &amp; aws s3 cp s3://rtdc.mdm.uploadarchive.raw/RTDC4037/ "%USERPROFILE%\AppData\Local\Temp\OnboardLogs"\RTDC4037\2017-02-06 --exclude "*" --recursive --include "*20170206*" &amp; "%USERPROFILE%\Documents\GitHub\mrs-test-scripts\Headless Mode &amp; Sideloading\WalkAndUnGZ.bat" "%USERPROFILE%\AppData\Local\Temp\OnboardLogs"\RTDC4037\2017-02-06</v>
      </c>
      <c r="AF18" s="82" t="str">
        <f>astrogrep_path&amp;" /spath="&amp;search_path&amp;" /stypes=""app*"&amp;B18&amp;"*"&amp;TEXT(I18-utc_offset/24,"YYYYMMDD")&amp;"*"" /stext="" "&amp;TEXT(I18-utc_offset/24,"HH")&amp;search_regexp&amp;""" /e /r /s"</f>
        <v>"C:\Program Files (x86)\AstroGrep\AstroGrep.exe" /spath="%USERPROFILE%\AppData\Local\Temp\OnboardLogs" /stypes="app*4037*20170205*" /stext=" 12:.+((SYSTEM_STATE.+slice.+state.+changed )|(ment ac)|(multiple cpu faults)|(system.+state.+changed )|(\[timeout)|(PRM\|1\|D)|(kpr)|(kdp)|(\|lc)|(penalty))" /e /r /s</v>
      </c>
      <c r="AG18" s="1" t="str">
        <f>IFERROR(IF(VALUE(LEFT(AD18,2))&lt;=2,"EC",IF(OR(VALUE(LEFT(AD18,2))=8,VALUE(LEFT(AD18,2))=18),"NW","Other")),"Other")</f>
        <v>EC</v>
      </c>
      <c r="AH18" s="86" t="str">
        <f t="shared" si="3"/>
        <v>"%USERPROFILE%\Documents\GitHub\eaglep3\Utilities\RefineRTDCRunTimes.py" --tripid 106-05 --locoid 4037 --swversion DE.1.0.8.0 --startMP 204:232655 --initTime 2017-02-05T05:00:16 --startdatetime 2017-02-05T05:11:20 --delay 1 --endMP 204:138 --enddatetime 2017-02-05T05:53:20 --enforcementcount 0 &gt;&gt;C:\Users\stu\Documents\GitHub\eaglep3-reporting\EC\2017-02-05-refined-times.txt</v>
      </c>
      <c r="AI18" s="108" t="str">
        <f t="shared" si="4"/>
        <v>echo {"issue":{"subject":"","project_id":79,"tracker_id":40,"status_id":1,"priority_id":2,"assigned_to_id":23,"start_date":"2017-02-05","description":"","custom_fields":[{"id":1,"name":"Subdivision","value":"EC"},{"id":4,"name":"Milepost","value":"0.0138"},{"id":17,"name":"Train ID","value":"106-05"},{"id":16,"name":"Locomotive ID","value":"4037"},{"id":130,"name":"Impact","value":""},{"id":150,"name":"Time of Event (Mountain Time)","value":"05:53:20"},{"id":151,"name":"Denver Issue ID","value":""},{"id":178,"name":"Operational Impact","value":"Yes"},{"id":179,"name":"Denver Segment Assigned","value":""}]}} | curl -X POST -H "Content-Type: application/json" -H "X-Redmine-API-Key: d6333d4a04012a730768444271f8ca06482dae87" https://secure.xorail.net/redmine/issues.json --data @-</v>
      </c>
      <c r="AJ18" s="48"/>
      <c r="AK18" s="48"/>
      <c r="AL18" s="48"/>
      <c r="AM18" s="158" t="str">
        <f t="shared" si="5"/>
        <v>start /low /b %USERPROFILE%\Documents\GitHub\eaglep3\Utilities\DownloadLogsFromS3.py --loco 4037 --day 2017-02-05</v>
      </c>
      <c r="AN18" s="167" t="str">
        <f>"grep -SE -B400 ""CHR.+\|PRM\|1\|D.+(SWITCH|SIGNAL).+UNKNOWN"" "&amp;search_path&amp;"\RTDC"&amp;B18&amp;"\*"&amp;B18&amp;"*"&amp;TEXT(AVERAGE(F18,I18)-utc_offset/24,"YYYYMMDD")&amp;"* | grep -SE ""(Enforcement Action)|(\[TIMEOUT)|(CHR.+\|PRM\|1\|D.+(SWITCH|SIGNAL).+UNKNOWN)"" - &gt;&gt; "&amp;TEXT(Variables!$A$2,"YYYY-MM-DD")&amp;"-UncaughtWiMAX.txt"</f>
        <v>grep -SE -B400 "CHR.+\|PRM\|1\|D.+(SWITCH|SIGNAL).+UNKNOWN" "%USERPROFILE%\AppData\Local\Temp\OnboardLogs"\RTDC4037\*4037*20170205* | grep -SE "(Enforcement Action)|(\[TIMEOUT)|(CHR.+\|PRM\|1\|D.+(SWITCH|SIGNAL).+UNKNOWN)" - &gt;&gt; 2017-02-05-UncaughtWiMAX.txt</v>
      </c>
      <c r="AO18"/>
      <c r="AP18"/>
      <c r="AQ18"/>
      <c r="AR18"/>
      <c r="AS18"/>
      <c r="AT18"/>
      <c r="AU18"/>
      <c r="AV18"/>
      <c r="AW18"/>
      <c r="AX18"/>
      <c r="AY18"/>
      <c r="AZ18"/>
      <c r="BA18"/>
      <c r="BB18"/>
      <c r="BC18"/>
      <c r="BD18"/>
      <c r="BE18"/>
      <c r="BF18"/>
      <c r="BG18"/>
      <c r="BH18"/>
      <c r="BI18"/>
      <c r="BJ18"/>
      <c r="BK18"/>
      <c r="BL18"/>
      <c r="BM18"/>
      <c r="BN18"/>
      <c r="BO18"/>
      <c r="BP18"/>
      <c r="BQ18"/>
      <c r="BR18"/>
      <c r="BS18"/>
      <c r="BT18"/>
      <c r="BU18"/>
      <c r="BV18"/>
      <c r="BW18"/>
      <c r="BX18"/>
      <c r="BY18"/>
      <c r="BZ18"/>
      <c r="CA18"/>
      <c r="CB18"/>
      <c r="CC18"/>
      <c r="CD18"/>
      <c r="CE18"/>
      <c r="CF18"/>
      <c r="CG18"/>
      <c r="CH18"/>
      <c r="CI18"/>
      <c r="CJ18"/>
      <c r="CK18"/>
      <c r="CL18"/>
      <c r="CM18"/>
    </row>
    <row r="19" spans="1:91" s="1" customFormat="1" x14ac:dyDescent="0.25">
      <c r="A19" s="33" t="s">
        <v>551</v>
      </c>
      <c r="B19" s="7">
        <v>4022</v>
      </c>
      <c r="C19" s="21" t="s">
        <v>193</v>
      </c>
      <c r="D19" s="21" t="s">
        <v>222</v>
      </c>
      <c r="E19" s="13">
        <v>42771.183888888889</v>
      </c>
      <c r="F19" s="13">
        <v>42771.187662037039</v>
      </c>
      <c r="G19" s="7">
        <v>1</v>
      </c>
      <c r="H19" s="21" t="s">
        <v>359</v>
      </c>
      <c r="I19" s="13">
        <v>42771.212951388887</v>
      </c>
      <c r="J19" s="7">
        <v>0</v>
      </c>
      <c r="K19" s="98" t="str">
        <f>IF(ISEVEN(B19),(B19-1)&amp;"/"&amp;B19,B19&amp;"/"&amp;(B19+1))</f>
        <v>4021/4022</v>
      </c>
      <c r="L19" s="21" t="str">
        <f>VLOOKUP(A19,'Trips&amp;Operators'!$C$1:$G$99999,5,FALSE)</f>
        <v>DAVIS WENDY</v>
      </c>
      <c r="M19" s="6">
        <f>I19-F19</f>
        <v>2.5289351848186925E-2</v>
      </c>
      <c r="N19" s="7">
        <f>24*60*SUM($M19:$M19)</f>
        <v>36.416666661389172</v>
      </c>
      <c r="O19" s="7"/>
      <c r="P19" s="7"/>
      <c r="Q19" s="22"/>
      <c r="R19" s="22"/>
      <c r="S19" s="31">
        <f>SUM(U19:U19)/IF(AG19="EC",12,1)</f>
        <v>1</v>
      </c>
      <c r="T19" s="46" t="str">
        <f>IF(ISEVEN(LEFT(AD19,4)),"Southbound","NorthBound")</f>
        <v>NorthBound</v>
      </c>
      <c r="U19" s="190">
        <f>IF(AG19="EC",COUNTIFS(Variables!$M$2:$M$19,IF(T19="NorthBound","&gt;=","&lt;=")&amp;Y19,Variables!$M$2:$M$19,IF(T19="NorthBound","&lt;=","&gt;=")&amp;Z19),COUNTIFS(Variables!$P$2:$P$19,IF(T19="NorthBound","&gt;=","&lt;=")&amp;Y19,Variables!$P$2:$P$19,IF(T19="NorthBound","&lt;=","&gt;=")&amp;Z19))</f>
        <v>12</v>
      </c>
      <c r="V19" s="191" t="str">
        <f>"https://d0f6bd738d7f1b3e5a7ca70fe4ff75f0.us-east-1.aws.found.io/app/kibana#/discover/Steve-Slow-Train-Analysis-(2080s-and-2083s)?_g="&amp;"(refreshInterval:(display:Off,pause:!f,section:0,value:0),time:(from:'"&amp;TEXT(E19-1/24,"yyyy-MM-DDThh:mm:ss")&amp;utc_offset&amp;"00"&amp;"',mode:absolute,to:'"&amp;TEXT(I19+1/24,"yyyy-MM-DDThh:mm:ss")&amp;utc_offset&amp;"00"&amp;"'))&amp;_a=(columns:!('Locomotive+ID','Data.Head+End+Milepost',Data.Speed,'Data.Locomotive+State','Data.Train+ID',"&amp;"'Data.Warning%2FEnforcement+Type','Data.Target+Start+Milepost','Data.Target+Description','Data.Target+Speed',"&amp;"'Data.Enforcement+Train+Speed','Data.Enforcement+Start+Milepost','Data.Target+Type','Data.Enforcement+Direction+of+Travel','Message+ID',"&amp;"'Data.Body+of+Summary+Text','Data.Head+End+Track+name'),filters:!(),index:'emp_*',interval:auto,query:"&amp;"(query_string:(analyze_wildcard:!t,query:'Message%5C+ID:(2083+OR+2080+OR+1041+OR+2003+OR+1051+OR+1043+OR+1053)+AND+%22rtdc.l.rtdc."&amp;B19&amp;"%22')),sort:!(Time.ISO8601,asc))"</f>
        <v>https://d0f6bd738d7f1b3e5a7ca70fe4ff75f0.us-east-1.aws.found.io/app/kibana#/discover/Steve-Slow-Train-Analysis-(2080s-and-2083s)?_g=(refreshInterval:(display:Off,pause:!f,section:0,value:0),time:(from:'2017-02-05T03:24:48-0700',mode:absolute,to:'2017-02-05T06:06:39-0700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4022%22')),sort:!(Time.ISO8601,asc))</v>
      </c>
      <c r="W19" s="192" t="str">
        <f>IF(AA19&lt;IF(AG19="EC",23,5.65),"Y","N")</f>
        <v>N</v>
      </c>
      <c r="X19" s="192">
        <f>VALUE(LEFT(AD19,4))-VALUE(LEFT(AD18,4))</f>
        <v>1</v>
      </c>
      <c r="Y19" s="62">
        <f>RIGHT(D19,LEN(D19)-4)/10000</f>
        <v>4.6899999999999997E-2</v>
      </c>
      <c r="Z19" s="62">
        <f>RIGHT(H19,LEN(H19)-4)/10000</f>
        <v>23.3293</v>
      </c>
      <c r="AA19" s="62">
        <f>ABS(Z19-Y19)</f>
        <v>23.282399999999999</v>
      </c>
      <c r="AB19" s="59" t="e">
        <f>VLOOKUP(A19,Enforcements!$C$7:$K$16,8,0)</f>
        <v>#N/A</v>
      </c>
      <c r="AC19" s="55" t="e">
        <f>VLOOKUP(A19,Enforcements!$C$7:$E$16,3,0)</f>
        <v>#N/A</v>
      </c>
      <c r="AD19" s="56" t="str">
        <f>IF(LEN(A19)=6,"0"&amp;A19,A19)</f>
        <v>0107-05</v>
      </c>
      <c r="AE19" s="85" t="str">
        <f>"aws s3 cp "&amp;s3_bucket&amp;"/RTDC"&amp;B19&amp;"/ "&amp;search_path&amp;"\RTDC"&amp;B19&amp;"\"&amp;TEXT(F19,"YYYY-MM-DD")&amp;" --exclude ""*"" --recursive --include ""*"&amp;TEXT(F19,"YYYYMMDD")&amp;"*"" &amp; """&amp;walkandungz&amp;""" "&amp;search_path&amp;"\RTDC"&amp;B19&amp;"\"&amp;TEXT(F19,"YYYY-MM-DD")
&amp;" &amp; "&amp;"aws s3 cp "&amp;s3_bucket&amp;"/RTDC"&amp;B19&amp;"/ "&amp;search_path&amp;"\RTDC"&amp;B19&amp;"\"&amp;TEXT(F19+1,"YYYY-MM-DD")&amp;" --exclude ""*"" --recursive --include ""*"&amp;TEXT(F19+1,"YYYYMMDD")&amp;"*"" &amp; """&amp;walkandungz&amp;""" "&amp;search_path&amp;"\RTDC"&amp;B19&amp;"\"&amp;TEXT(F19+1,"YYYY-MM-DD")</f>
        <v>aws s3 cp s3://rtdc.mdm.uploadarchive.raw/RTDC4022/ "%USERPROFILE%\AppData\Local\Temp\OnboardLogs"\RTDC4022\2017-02-05 --exclude "*" --recursive --include "*20170205*" &amp; "%USERPROFILE%\Documents\GitHub\mrs-test-scripts\Headless Mode &amp; Sideloading\WalkAndUnGZ.bat" "%USERPROFILE%\AppData\Local\Temp\OnboardLogs"\RTDC4022\2017-02-05 &amp; aws s3 cp s3://rtdc.mdm.uploadarchive.raw/RTDC4022/ "%USERPROFILE%\AppData\Local\Temp\OnboardLogs"\RTDC4022\2017-02-06 --exclude "*" --recursive --include "*20170206*" &amp; "%USERPROFILE%\Documents\GitHub\mrs-test-scripts\Headless Mode &amp; Sideloading\WalkAndUnGZ.bat" "%USERPROFILE%\AppData\Local\Temp\OnboardLogs"\RTDC4022\2017-02-06</v>
      </c>
      <c r="AF19" s="82" t="str">
        <f>astrogrep_path&amp;" /spath="&amp;search_path&amp;" /stypes=""app*"&amp;B19&amp;"*"&amp;TEXT(I19-utc_offset/24,"YYYYMMDD")&amp;"*"" /stext="" "&amp;TEXT(I19-utc_offset/24,"HH")&amp;search_regexp&amp;""" /e /r /s"</f>
        <v>"C:\Program Files (x86)\AstroGrep\AstroGrep.exe" /spath="%USERPROFILE%\AppData\Local\Temp\OnboardLogs" /stypes="app*4022*20170205*" /stext=" 12:.+((SYSTEM_STATE.+slice.+state.+changed )|(ment ac)|(multiple cpu faults)|(system.+state.+changed )|(\[timeout)|(PRM\|1\|D)|(kpr)|(kdp)|(\|lc)|(penalty))" /e /r /s</v>
      </c>
      <c r="AG19" s="1" t="str">
        <f>IFERROR(IF(VALUE(LEFT(AD19,2))&lt;=2,"EC",IF(OR(VALUE(LEFT(AD19,2))=8,VALUE(LEFT(AD19,2))=18),"NW","Other")),"Other")</f>
        <v>EC</v>
      </c>
      <c r="AH19" s="86" t="str">
        <f t="shared" si="3"/>
        <v>"%USERPROFILE%\Documents\GitHub\eaglep3\Utilities\RefineRTDCRunTimes.py" --tripid 107-05 --locoid 4022 --swversion DE.1.0.8.0 --startMP 204:469 --initTime 2017-02-05T04:24:48 --startdatetime 2017-02-05T04:30:14 --delay 1 --endMP 204:233293 --enddatetime 2017-02-05T05:06:39 --enforcementcount 0 &gt;&gt;C:\Users\stu\Documents\GitHub\eaglep3-reporting\EC\2017-02-05-refined-times.txt</v>
      </c>
      <c r="AI19" s="108" t="str">
        <f t="shared" si="4"/>
        <v>echo {"issue":{"subject":"","project_id":79,"tracker_id":40,"status_id":1,"priority_id":2,"assigned_to_id":23,"start_date":"2017-02-05","description":"","custom_fields":[{"id":1,"name":"Subdivision","value":"EC"},{"id":4,"name":"Milepost","value":"23.3293"},{"id":17,"name":"Train ID","value":"107-05"},{"id":16,"name":"Locomotive ID","value":"4022"},{"id":130,"name":"Impact","value":""},{"id":150,"name":"Time of Event (Mountain Time)","value":"05:06:39"},{"id":151,"name":"Denver Issue ID","value":""},{"id":178,"name":"Operational Impact","value":"Yes"},{"id":179,"name":"Denver Segment Assigned","value":""}]}} | curl -X POST -H "Content-Type: application/json" -H "X-Redmine-API-Key: d6333d4a04012a730768444271f8ca06482dae87" https://secure.xorail.net/redmine/issues.json --data @-</v>
      </c>
      <c r="AJ19" s="48"/>
      <c r="AK19" s="48"/>
      <c r="AL19" s="48"/>
      <c r="AM19" s="158" t="str">
        <f t="shared" si="5"/>
        <v>start /low /b %USERPROFILE%\Documents\GitHub\eaglep3\Utilities\DownloadLogsFromS3.py --loco 4022 --day 2017-02-05</v>
      </c>
      <c r="AN19" s="167" t="str">
        <f>"grep -SE -B400 ""CHR.+\|PRM\|1\|D.+(SWITCH|SIGNAL).+UNKNOWN"" "&amp;search_path&amp;"\RTDC"&amp;B19&amp;"\*"&amp;B19&amp;"*"&amp;TEXT(AVERAGE(F19,I19)-utc_offset/24,"YYYYMMDD")&amp;"* | grep -SE ""(Enforcement Action)|(\[TIMEOUT)|(CHR.+\|PRM\|1\|D.+(SWITCH|SIGNAL).+UNKNOWN)"" - &gt;&gt; "&amp;TEXT(Variables!$A$2,"YYYY-MM-DD")&amp;"-UncaughtWiMAX.txt"</f>
        <v>grep -SE -B400 "CHR.+\|PRM\|1\|D.+(SWITCH|SIGNAL).+UNKNOWN" "%USERPROFILE%\AppData\Local\Temp\OnboardLogs"\RTDC4022\*4022*20170205* | grep -SE "(Enforcement Action)|(\[TIMEOUT)|(CHR.+\|PRM\|1\|D.+(SWITCH|SIGNAL).+UNKNOWN)" - &gt;&gt; 2017-02-05-UncaughtWiMAX.txt</v>
      </c>
      <c r="AO19"/>
      <c r="AP19"/>
      <c r="AQ19"/>
      <c r="AR19"/>
      <c r="AS19"/>
      <c r="AT19"/>
      <c r="AU19"/>
      <c r="AV19"/>
      <c r="AW19"/>
      <c r="AX19"/>
      <c r="AY19"/>
      <c r="AZ19"/>
      <c r="BA19"/>
      <c r="BB19"/>
      <c r="BC19"/>
      <c r="BD19"/>
      <c r="BE19"/>
      <c r="BF19"/>
      <c r="BG19"/>
      <c r="BH19"/>
      <c r="BI19"/>
      <c r="BJ19"/>
      <c r="BK19"/>
      <c r="BL19"/>
      <c r="BM19"/>
      <c r="BN19"/>
      <c r="BO19"/>
      <c r="BP19"/>
      <c r="BQ19"/>
      <c r="BR19"/>
      <c r="BS19"/>
      <c r="BT19"/>
      <c r="BU19"/>
      <c r="BV19"/>
      <c r="BW19"/>
      <c r="BX19"/>
      <c r="BY19"/>
      <c r="BZ19"/>
      <c r="CA19"/>
      <c r="CB19"/>
      <c r="CC19"/>
      <c r="CD19"/>
      <c r="CE19"/>
      <c r="CF19"/>
      <c r="CG19"/>
      <c r="CH19"/>
      <c r="CI19"/>
      <c r="CJ19"/>
      <c r="CK19"/>
      <c r="CL19"/>
      <c r="CM19"/>
    </row>
    <row r="20" spans="1:91" s="1" customFormat="1" x14ac:dyDescent="0.25">
      <c r="A20" s="33" t="s">
        <v>556</v>
      </c>
      <c r="B20" s="7">
        <v>4021</v>
      </c>
      <c r="C20" s="21" t="s">
        <v>193</v>
      </c>
      <c r="D20" s="21" t="s">
        <v>308</v>
      </c>
      <c r="E20" s="13">
        <v>42771.22378472222</v>
      </c>
      <c r="F20" s="13">
        <v>42771.226550925923</v>
      </c>
      <c r="G20" s="7">
        <v>1</v>
      </c>
      <c r="H20" s="21" t="s">
        <v>196</v>
      </c>
      <c r="I20" s="13">
        <v>42771.254282407404</v>
      </c>
      <c r="J20" s="7">
        <v>0</v>
      </c>
      <c r="K20" s="98" t="str">
        <f>IF(ISEVEN(B20),(B20-1)&amp;"/"&amp;B20,B20&amp;"/"&amp;(B20+1))</f>
        <v>4021/4022</v>
      </c>
      <c r="L20" s="21" t="str">
        <f>VLOOKUP(A20,'Trips&amp;Operators'!$C$1:$G$99999,5,FALSE)</f>
        <v>DAVIS WENDY</v>
      </c>
      <c r="M20" s="6">
        <f>I20-F20</f>
        <v>2.7731481481168885E-2</v>
      </c>
      <c r="N20" s="7">
        <f>24*60*SUM($M20:$M20)</f>
        <v>39.933333332883194</v>
      </c>
      <c r="O20" s="7"/>
      <c r="P20" s="7"/>
      <c r="Q20" s="22"/>
      <c r="R20" s="22"/>
      <c r="S20" s="31">
        <f>SUM(U20:U20)/IF(AG20="EC",12,1)</f>
        <v>1</v>
      </c>
      <c r="T20" s="46" t="str">
        <f>IF(ISEVEN(LEFT(AD20,4)),"Southbound","NorthBound")</f>
        <v>Southbound</v>
      </c>
      <c r="U20" s="190">
        <f>IF(AG20="EC",COUNTIFS(Variables!$M$2:$M$19,IF(T20="NorthBound","&gt;=","&lt;=")&amp;Y20,Variables!$M$2:$M$19,IF(T20="NorthBound","&lt;=","&gt;=")&amp;Z20),COUNTIFS(Variables!$P$2:$P$19,IF(T20="NorthBound","&gt;=","&lt;=")&amp;Y20,Variables!$P$2:$P$19,IF(T20="NorthBound","&lt;=","&gt;=")&amp;Z20))</f>
        <v>12</v>
      </c>
      <c r="V20" s="191" t="str">
        <f>"https://d0f6bd738d7f1b3e5a7ca70fe4ff75f0.us-east-1.aws.found.io/app/kibana#/discover/Steve-Slow-Train-Analysis-(2080s-and-2083s)?_g="&amp;"(refreshInterval:(display:Off,pause:!f,section:0,value:0),time:(from:'"&amp;TEXT(E20-1/24,"yyyy-MM-DDThh:mm:ss")&amp;utc_offset&amp;"00"&amp;"',mode:absolute,to:'"&amp;TEXT(I20+1/24,"yyyy-MM-DDThh:mm:ss")&amp;utc_offset&amp;"00"&amp;"'))&amp;_a=(columns:!('Locomotive+ID','Data.Head+End+Milepost',Data.Speed,'Data.Locomotive+State','Data.Train+ID',"&amp;"'Data.Warning%2FEnforcement+Type','Data.Target+Start+Milepost','Data.Target+Description','Data.Target+Speed',"&amp;"'Data.Enforcement+Train+Speed','Data.Enforcement+Start+Milepost','Data.Target+Type','Data.Enforcement+Direction+of+Travel','Message+ID',"&amp;"'Data.Body+of+Summary+Text','Data.Head+End+Track+name'),filters:!(),index:'emp_*',interval:auto,query:"&amp;"(query_string:(analyze_wildcard:!t,query:'Message%5C+ID:(2083+OR+2080+OR+1041+OR+2003+OR+1051+OR+1043+OR+1053)+AND+%22rtdc.l.rtdc."&amp;B20&amp;"%22')),sort:!(Time.ISO8601,asc))"</f>
        <v>https://d0f6bd738d7f1b3e5a7ca70fe4ff75f0.us-east-1.aws.found.io/app/kibana#/discover/Steve-Slow-Train-Analysis-(2080s-and-2083s)?_g=(refreshInterval:(display:Off,pause:!f,section:0,value:0),time:(from:'2017-02-05T04:22:15-0700',mode:absolute,to:'2017-02-05T07:06:10-0700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4021%22')),sort:!(Time.ISO8601,asc))</v>
      </c>
      <c r="W20" s="192" t="str">
        <f>IF(AA20&lt;IF(AG20="EC",23,5.65),"Y","N")</f>
        <v>N</v>
      </c>
      <c r="X20" s="192">
        <f>VALUE(LEFT(AD20,4))-VALUE(LEFT(AD19,4))</f>
        <v>1</v>
      </c>
      <c r="Y20" s="62">
        <f>RIGHT(D20,LEN(D20)-4)/10000</f>
        <v>23.299800000000001</v>
      </c>
      <c r="Z20" s="62">
        <f>RIGHT(H20,LEN(H20)-4)/10000</f>
        <v>1.4999999999999999E-2</v>
      </c>
      <c r="AA20" s="62">
        <f>ABS(Z20-Y20)</f>
        <v>23.284800000000001</v>
      </c>
      <c r="AB20" s="59" t="e">
        <f>VLOOKUP(A20,Enforcements!$C$7:$K$16,8,0)</f>
        <v>#N/A</v>
      </c>
      <c r="AC20" s="55" t="e">
        <f>VLOOKUP(A20,Enforcements!$C$7:$E$16,3,0)</f>
        <v>#N/A</v>
      </c>
      <c r="AD20" s="56" t="str">
        <f>IF(LEN(A20)=6,"0"&amp;A20,A20)</f>
        <v>0108-05</v>
      </c>
      <c r="AE20" s="85" t="str">
        <f>"aws s3 cp "&amp;s3_bucket&amp;"/RTDC"&amp;B20&amp;"/ "&amp;search_path&amp;"\RTDC"&amp;B20&amp;"\"&amp;TEXT(F20,"YYYY-MM-DD")&amp;" --exclude ""*"" --recursive --include ""*"&amp;TEXT(F20,"YYYYMMDD")&amp;"*"" &amp; """&amp;walkandungz&amp;""" "&amp;search_path&amp;"\RTDC"&amp;B20&amp;"\"&amp;TEXT(F20,"YYYY-MM-DD")
&amp;" &amp; "&amp;"aws s3 cp "&amp;s3_bucket&amp;"/RTDC"&amp;B20&amp;"/ "&amp;search_path&amp;"\RTDC"&amp;B20&amp;"\"&amp;TEXT(F20+1,"YYYY-MM-DD")&amp;" --exclude ""*"" --recursive --include ""*"&amp;TEXT(F20+1,"YYYYMMDD")&amp;"*"" &amp; """&amp;walkandungz&amp;""" "&amp;search_path&amp;"\RTDC"&amp;B20&amp;"\"&amp;TEXT(F20+1,"YYYY-MM-DD")</f>
        <v>aws s3 cp s3://rtdc.mdm.uploadarchive.raw/RTDC4021/ "%USERPROFILE%\AppData\Local\Temp\OnboardLogs"\RTDC4021\2017-02-05 --exclude "*" --recursive --include "*20170205*" &amp; "%USERPROFILE%\Documents\GitHub\mrs-test-scripts\Headless Mode &amp; Sideloading\WalkAndUnGZ.bat" "%USERPROFILE%\AppData\Local\Temp\OnboardLogs"\RTDC4021\2017-02-05 &amp; aws s3 cp s3://rtdc.mdm.uploadarchive.raw/RTDC4021/ "%USERPROFILE%\AppData\Local\Temp\OnboardLogs"\RTDC4021\2017-02-06 --exclude "*" --recursive --include "*20170206*" &amp; "%USERPROFILE%\Documents\GitHub\mrs-test-scripts\Headless Mode &amp; Sideloading\WalkAndUnGZ.bat" "%USERPROFILE%\AppData\Local\Temp\OnboardLogs"\RTDC4021\2017-02-06</v>
      </c>
      <c r="AF20" s="82" t="str">
        <f>astrogrep_path&amp;" /spath="&amp;search_path&amp;" /stypes=""app*"&amp;B20&amp;"*"&amp;TEXT(I20-utc_offset/24,"YYYYMMDD")&amp;"*"" /stext="" "&amp;TEXT(I20-utc_offset/24,"HH")&amp;search_regexp&amp;""" /e /r /s"</f>
        <v>"C:\Program Files (x86)\AstroGrep\AstroGrep.exe" /spath="%USERPROFILE%\AppData\Local\Temp\OnboardLogs" /stypes="app*4021*20170205*" /stext=" 13:.+((SYSTEM_STATE.+slice.+state.+changed )|(ment ac)|(multiple cpu faults)|(system.+state.+changed )|(\[timeout)|(PRM\|1\|D)|(kpr)|(kdp)|(\|lc)|(penalty))" /e /r /s</v>
      </c>
      <c r="AG20" s="1" t="str">
        <f>IFERROR(IF(VALUE(LEFT(AD20,2))&lt;=2,"EC",IF(OR(VALUE(LEFT(AD20,2))=8,VALUE(LEFT(AD20,2))=18),"NW","Other")),"Other")</f>
        <v>EC</v>
      </c>
      <c r="AH20" s="86" t="str">
        <f t="shared" si="3"/>
        <v>"%USERPROFILE%\Documents\GitHub\eaglep3\Utilities\RefineRTDCRunTimes.py" --tripid 108-05 --locoid 4021 --swversion DE.1.0.8.0 --startMP 204:232998 --initTime 2017-02-05T05:22:15 --startdatetime 2017-02-05T05:26:14 --delay 1 --endMP 204:150 --enddatetime 2017-02-05T06:06:10 --enforcementcount 0 &gt;&gt;C:\Users\stu\Documents\GitHub\eaglep3-reporting\EC\2017-02-05-refined-times.txt</v>
      </c>
      <c r="AI20" s="108" t="str">
        <f t="shared" si="4"/>
        <v>echo {"issue":{"subject":"","project_id":79,"tracker_id":40,"status_id":1,"priority_id":2,"assigned_to_id":23,"start_date":"2017-02-05","description":"","custom_fields":[{"id":1,"name":"Subdivision","value":"EC"},{"id":4,"name":"Milepost","value":"0.015"},{"id":17,"name":"Train ID","value":"108-05"},{"id":16,"name":"Locomotive ID","value":"4021"},{"id":130,"name":"Impact","value":""},{"id":150,"name":"Time of Event (Mountain Time)","value":"06:06:10"},{"id":151,"name":"Denver Issue ID","value":""},{"id":178,"name":"Operational Impact","value":"Yes"},{"id":179,"name":"Denver Segment Assigned","value":""}]}} | curl -X POST -H "Content-Type: application/json" -H "X-Redmine-API-Key: d6333d4a04012a730768444271f8ca06482dae87" https://secure.xorail.net/redmine/issues.json --data @-</v>
      </c>
      <c r="AJ20" s="48"/>
      <c r="AK20" s="48"/>
      <c r="AL20" s="48"/>
      <c r="AM20" s="158" t="str">
        <f t="shared" si="5"/>
        <v>start /low /b %USERPROFILE%\Documents\GitHub\eaglep3\Utilities\DownloadLogsFromS3.py --loco 4021 --day 2017-02-05</v>
      </c>
      <c r="AN20" s="167" t="str">
        <f>"grep -SE -B400 ""CHR.+\|PRM\|1\|D.+(SWITCH|SIGNAL).+UNKNOWN"" "&amp;search_path&amp;"\RTDC"&amp;B20&amp;"\*"&amp;B20&amp;"*"&amp;TEXT(AVERAGE(F20,I20)-utc_offset/24,"YYYYMMDD")&amp;"* | grep -SE ""(Enforcement Action)|(\[TIMEOUT)|(CHR.+\|PRM\|1\|D.+(SWITCH|SIGNAL).+UNKNOWN)"" - &gt;&gt; "&amp;TEXT(Variables!$A$2,"YYYY-MM-DD")&amp;"-UncaughtWiMAX.txt"</f>
        <v>grep -SE -B400 "CHR.+\|PRM\|1\|D.+(SWITCH|SIGNAL).+UNKNOWN" "%USERPROFILE%\AppData\Local\Temp\OnboardLogs"\RTDC4021\*4021*20170205* | grep -SE "(Enforcement Action)|(\[TIMEOUT)|(CHR.+\|PRM\|1\|D.+(SWITCH|SIGNAL).+UNKNOWN)" - &gt;&gt; 2017-02-05-UncaughtWiMAX.txt</v>
      </c>
      <c r="AO20"/>
      <c r="AP20"/>
      <c r="AQ20"/>
      <c r="AR20"/>
      <c r="AS20"/>
      <c r="AT20"/>
      <c r="AU20"/>
      <c r="AV20"/>
      <c r="AW20"/>
      <c r="AX20"/>
      <c r="AY20"/>
      <c r="AZ20"/>
      <c r="BA20"/>
      <c r="BB20"/>
      <c r="BC20"/>
      <c r="BD20"/>
      <c r="BE20"/>
      <c r="BF20"/>
      <c r="BG20"/>
      <c r="BH20"/>
      <c r="BI20"/>
      <c r="BJ20"/>
      <c r="BK20"/>
      <c r="BL20"/>
      <c r="BM20"/>
      <c r="BN20"/>
      <c r="BO20"/>
      <c r="BP20"/>
      <c r="BQ20"/>
      <c r="BR20"/>
      <c r="BS20"/>
      <c r="BT20"/>
      <c r="BU20"/>
      <c r="BV20"/>
      <c r="BW20"/>
      <c r="BX20"/>
      <c r="BY20"/>
      <c r="BZ20"/>
      <c r="CA20"/>
      <c r="CB20"/>
      <c r="CC20"/>
      <c r="CD20"/>
      <c r="CE20"/>
      <c r="CF20"/>
      <c r="CG20"/>
      <c r="CH20"/>
      <c r="CI20"/>
      <c r="CJ20"/>
      <c r="CK20"/>
      <c r="CL20"/>
      <c r="CM20"/>
    </row>
    <row r="21" spans="1:91" s="1" customFormat="1" x14ac:dyDescent="0.25">
      <c r="A21" s="33" t="s">
        <v>499</v>
      </c>
      <c r="B21" s="7">
        <v>4002</v>
      </c>
      <c r="C21" s="21" t="s">
        <v>193</v>
      </c>
      <c r="D21" s="21" t="s">
        <v>226</v>
      </c>
      <c r="E21" s="13">
        <v>42771.19253472222</v>
      </c>
      <c r="F21" s="13">
        <v>42771.198206018518</v>
      </c>
      <c r="G21" s="7">
        <v>1</v>
      </c>
      <c r="H21" s="21" t="s">
        <v>359</v>
      </c>
      <c r="I21" s="13">
        <v>42771.224085648151</v>
      </c>
      <c r="J21" s="7">
        <v>0</v>
      </c>
      <c r="K21" s="98" t="str">
        <f>IF(ISEVEN(B21),(B21-1)&amp;"/"&amp;B21,B21&amp;"/"&amp;(B21+1))</f>
        <v>4001/4002</v>
      </c>
      <c r="L21" s="21" t="str">
        <f>VLOOKUP(A21,'Trips&amp;Operators'!$C$1:$G$99999,5,FALSE)</f>
        <v>BERLING GARY</v>
      </c>
      <c r="M21" s="6">
        <f>I21-F21</f>
        <v>2.587962963298196E-2</v>
      </c>
      <c r="N21" s="7">
        <f>24*60*SUM($M21:$M21)</f>
        <v>37.266666671494022</v>
      </c>
      <c r="O21" s="7"/>
      <c r="P21" s="7"/>
      <c r="Q21" s="22"/>
      <c r="R21" s="22"/>
      <c r="S21" s="31">
        <f>SUM(U21:U21)/IF(AG21="EC",12,1)</f>
        <v>1</v>
      </c>
      <c r="T21" s="46" t="str">
        <f>IF(ISEVEN(LEFT(AD21,4)),"Southbound","NorthBound")</f>
        <v>NorthBound</v>
      </c>
      <c r="U21" s="190">
        <f>IF(AG21="EC",COUNTIFS(Variables!$M$2:$M$19,IF(T21="NorthBound","&gt;=","&lt;=")&amp;Y21,Variables!$M$2:$M$19,IF(T21="NorthBound","&lt;=","&gt;=")&amp;Z21),COUNTIFS(Variables!$P$2:$P$19,IF(T21="NorthBound","&gt;=","&lt;=")&amp;Y21,Variables!$P$2:$P$19,IF(T21="NorthBound","&lt;=","&gt;=")&amp;Z21))</f>
        <v>12</v>
      </c>
      <c r="V21" s="191" t="str">
        <f>"https://d0f6bd738d7f1b3e5a7ca70fe4ff75f0.us-east-1.aws.found.io/app/kibana#/discover/Steve-Slow-Train-Analysis-(2080s-and-2083s)?_g="&amp;"(refreshInterval:(display:Off,pause:!f,section:0,value:0),time:(from:'"&amp;TEXT(E21-1/24,"yyyy-MM-DDThh:mm:ss")&amp;utc_offset&amp;"00"&amp;"',mode:absolute,to:'"&amp;TEXT(I21+1/24,"yyyy-MM-DDThh:mm:ss")&amp;utc_offset&amp;"00"&amp;"'))&amp;_a=(columns:!('Locomotive+ID','Data.Head+End+Milepost',Data.Speed,'Data.Locomotive+State','Data.Train+ID',"&amp;"'Data.Warning%2FEnforcement+Type','Data.Target+Start+Milepost','Data.Target+Description','Data.Target+Speed',"&amp;"'Data.Enforcement+Train+Speed','Data.Enforcement+Start+Milepost','Data.Target+Type','Data.Enforcement+Direction+of+Travel','Message+ID',"&amp;"'Data.Body+of+Summary+Text','Data.Head+End+Track+name'),filters:!(),index:'emp_*',interval:auto,query:"&amp;"(query_string:(analyze_wildcard:!t,query:'Message%5C+ID:(2083+OR+2080+OR+1041+OR+2003+OR+1051+OR+1043+OR+1053)+AND+%22rtdc.l.rtdc."&amp;B21&amp;"%22')),sort:!(Time.ISO8601,asc))"</f>
        <v>https://d0f6bd738d7f1b3e5a7ca70fe4ff75f0.us-east-1.aws.found.io/app/kibana#/discover/Steve-Slow-Train-Analysis-(2080s-and-2083s)?_g=(refreshInterval:(display:Off,pause:!f,section:0,value:0),time:(from:'2017-02-05T03:37:15-0700',mode:absolute,to:'2017-02-05T06:22:41-0700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4002%22')),sort:!(Time.ISO8601,asc))</v>
      </c>
      <c r="W21" s="192" t="str">
        <f>IF(AA21&lt;IF(AG21="EC",23,5.65),"Y","N")</f>
        <v>N</v>
      </c>
      <c r="X21" s="192">
        <f>VALUE(LEFT(AD21,4))-VALUE(LEFT(AD20,4))</f>
        <v>1</v>
      </c>
      <c r="Y21" s="62">
        <f>RIGHT(D21,LEN(D21)-4)/10000</f>
        <v>4.58E-2</v>
      </c>
      <c r="Z21" s="62">
        <f>RIGHT(H21,LEN(H21)-4)/10000</f>
        <v>23.3293</v>
      </c>
      <c r="AA21" s="62">
        <f>ABS(Z21-Y21)</f>
        <v>23.2835</v>
      </c>
      <c r="AB21" s="59" t="e">
        <f>VLOOKUP(A21,Enforcements!$C$7:$K$16,8,0)</f>
        <v>#N/A</v>
      </c>
      <c r="AC21" s="55" t="e">
        <f>VLOOKUP(A21,Enforcements!$C$7:$E$16,3,0)</f>
        <v>#N/A</v>
      </c>
      <c r="AD21" s="56" t="str">
        <f>IF(LEN(A21)=6,"0"&amp;A21,A21)</f>
        <v>0109-05</v>
      </c>
      <c r="AE21" s="85" t="str">
        <f>"aws s3 cp "&amp;s3_bucket&amp;"/RTDC"&amp;B21&amp;"/ "&amp;search_path&amp;"\RTDC"&amp;B21&amp;"\"&amp;TEXT(F21,"YYYY-MM-DD")&amp;" --exclude ""*"" --recursive --include ""*"&amp;TEXT(F21,"YYYYMMDD")&amp;"*"" &amp; """&amp;walkandungz&amp;""" "&amp;search_path&amp;"\RTDC"&amp;B21&amp;"\"&amp;TEXT(F21,"YYYY-MM-DD")
&amp;" &amp; "&amp;"aws s3 cp "&amp;s3_bucket&amp;"/RTDC"&amp;B21&amp;"/ "&amp;search_path&amp;"\RTDC"&amp;B21&amp;"\"&amp;TEXT(F21+1,"YYYY-MM-DD")&amp;" --exclude ""*"" --recursive --include ""*"&amp;TEXT(F21+1,"YYYYMMDD")&amp;"*"" &amp; """&amp;walkandungz&amp;""" "&amp;search_path&amp;"\RTDC"&amp;B21&amp;"\"&amp;TEXT(F21+1,"YYYY-MM-DD")</f>
        <v>aws s3 cp s3://rtdc.mdm.uploadarchive.raw/RTDC4002/ "%USERPROFILE%\AppData\Local\Temp\OnboardLogs"\RTDC4002\2017-02-05 --exclude "*" --recursive --include "*20170205*" &amp; "%USERPROFILE%\Documents\GitHub\mrs-test-scripts\Headless Mode &amp; Sideloading\WalkAndUnGZ.bat" "%USERPROFILE%\AppData\Local\Temp\OnboardLogs"\RTDC4002\2017-02-05 &amp; aws s3 cp s3://rtdc.mdm.uploadarchive.raw/RTDC4002/ "%USERPROFILE%\AppData\Local\Temp\OnboardLogs"\RTDC4002\2017-02-06 --exclude "*" --recursive --include "*20170206*" &amp; "%USERPROFILE%\Documents\GitHub\mrs-test-scripts\Headless Mode &amp; Sideloading\WalkAndUnGZ.bat" "%USERPROFILE%\AppData\Local\Temp\OnboardLogs"\RTDC4002\2017-02-06</v>
      </c>
      <c r="AF21" s="82" t="str">
        <f>astrogrep_path&amp;" /spath="&amp;search_path&amp;" /stypes=""app*"&amp;B21&amp;"*"&amp;TEXT(I21-utc_offset/24,"YYYYMMDD")&amp;"*"" /stext="" "&amp;TEXT(I21-utc_offset/24,"HH")&amp;search_regexp&amp;""" /e /r /s"</f>
        <v>"C:\Program Files (x86)\AstroGrep\AstroGrep.exe" /spath="%USERPROFILE%\AppData\Local\Temp\OnboardLogs" /stypes="app*4002*20170205*" /stext=" 12:.+((SYSTEM_STATE.+slice.+state.+changed )|(ment ac)|(multiple cpu faults)|(system.+state.+changed )|(\[timeout)|(PRM\|1\|D)|(kpr)|(kdp)|(\|lc)|(penalty))" /e /r /s</v>
      </c>
      <c r="AG21" s="1" t="str">
        <f>IFERROR(IF(VALUE(LEFT(AD21,2))&lt;=2,"EC",IF(OR(VALUE(LEFT(AD21,2))=8,VALUE(LEFT(AD21,2))=18),"NW","Other")),"Other")</f>
        <v>EC</v>
      </c>
      <c r="AH21" s="86" t="str">
        <f t="shared" si="3"/>
        <v>"%USERPROFILE%\Documents\GitHub\eaglep3\Utilities\RefineRTDCRunTimes.py" --tripid 109-05 --locoid 4002 --swversion DE.1.0.8.0 --startMP 204:458 --initTime 2017-02-05T04:37:15 --startdatetime 2017-02-05T04:45:25 --delay 1 --endMP 204:233293 --enddatetime 2017-02-05T05:22:41 --enforcementcount 0 &gt;&gt;C:\Users\stu\Documents\GitHub\eaglep3-reporting\EC\2017-02-05-refined-times.txt</v>
      </c>
      <c r="AI21" s="108" t="str">
        <f t="shared" si="4"/>
        <v>echo {"issue":{"subject":"","project_id":79,"tracker_id":40,"status_id":1,"priority_id":2,"assigned_to_id":23,"start_date":"2017-02-05","description":"","custom_fields":[{"id":1,"name":"Subdivision","value":"EC"},{"id":4,"name":"Milepost","value":"23.3293"},{"id":17,"name":"Train ID","value":"109-05"},{"id":16,"name":"Locomotive ID","value":"4002"},{"id":130,"name":"Impact","value":""},{"id":150,"name":"Time of Event (Mountain Time)","value":"05:22:41"},{"id":151,"name":"Denver Issue ID","value":""},{"id":178,"name":"Operational Impact","value":"Yes"},{"id":179,"name":"Denver Segment Assigned","value":""}]}} | curl -X POST -H "Content-Type: application/json" -H "X-Redmine-API-Key: d6333d4a04012a730768444271f8ca06482dae87" https://secure.xorail.net/redmine/issues.json --data @-</v>
      </c>
      <c r="AJ21" s="48"/>
      <c r="AK21" s="48"/>
      <c r="AL21" s="48"/>
      <c r="AM21" s="158" t="str">
        <f t="shared" si="5"/>
        <v>start /low /b %USERPROFILE%\Documents\GitHub\eaglep3\Utilities\DownloadLogsFromS3.py --loco 4002 --day 2017-02-05</v>
      </c>
      <c r="AN21" s="167" t="str">
        <f>"grep -SE -B400 ""CHR.+\|PRM\|1\|D.+(SWITCH|SIGNAL).+UNKNOWN"" "&amp;search_path&amp;"\RTDC"&amp;B21&amp;"\*"&amp;B21&amp;"*"&amp;TEXT(AVERAGE(F21,I21)-utc_offset/24,"YYYYMMDD")&amp;"* | grep -SE ""(Enforcement Action)|(\[TIMEOUT)|(CHR.+\|PRM\|1\|D.+(SWITCH|SIGNAL).+UNKNOWN)"" - &gt;&gt; "&amp;TEXT(Variables!$A$2,"YYYY-MM-DD")&amp;"-UncaughtWiMAX.txt"</f>
        <v>grep -SE -B400 "CHR.+\|PRM\|1\|D.+(SWITCH|SIGNAL).+UNKNOWN" "%USERPROFILE%\AppData\Local\Temp\OnboardLogs"\RTDC4002\*4002*20170205* | grep -SE "(Enforcement Action)|(\[TIMEOUT)|(CHR.+\|PRM\|1\|D.+(SWITCH|SIGNAL).+UNKNOWN)" - &gt;&gt; 2017-02-05-UncaughtWiMAX.txt</v>
      </c>
      <c r="AO21"/>
      <c r="AP21"/>
      <c r="AQ21"/>
      <c r="AR21"/>
      <c r="AS21"/>
      <c r="AT21"/>
      <c r="AU21"/>
      <c r="AV21"/>
      <c r="AW21"/>
      <c r="AX21"/>
      <c r="AY21"/>
      <c r="AZ21"/>
      <c r="BA21"/>
      <c r="BB21"/>
      <c r="BC21"/>
      <c r="BD21"/>
      <c r="BE21"/>
      <c r="BF21"/>
      <c r="BG21"/>
      <c r="BH21"/>
      <c r="BI21"/>
      <c r="BJ21"/>
      <c r="BK21"/>
      <c r="BL21"/>
      <c r="BM21"/>
      <c r="BN21"/>
      <c r="BO21"/>
      <c r="BP21"/>
      <c r="BQ21"/>
      <c r="BR21"/>
      <c r="BS21"/>
      <c r="BT21"/>
      <c r="BU21"/>
      <c r="BV21"/>
      <c r="BW21"/>
      <c r="BX21"/>
      <c r="BY21"/>
      <c r="BZ21"/>
      <c r="CA21"/>
      <c r="CB21"/>
      <c r="CC21"/>
      <c r="CD21"/>
      <c r="CE21"/>
      <c r="CF21"/>
      <c r="CG21"/>
      <c r="CH21"/>
      <c r="CI21"/>
      <c r="CJ21"/>
      <c r="CK21"/>
      <c r="CL21"/>
      <c r="CM21"/>
    </row>
    <row r="22" spans="1:91" s="1" customFormat="1" x14ac:dyDescent="0.25">
      <c r="A22" s="33" t="s">
        <v>560</v>
      </c>
      <c r="B22" s="7">
        <v>4001</v>
      </c>
      <c r="C22" s="21" t="s">
        <v>193</v>
      </c>
      <c r="D22" s="21" t="s">
        <v>750</v>
      </c>
      <c r="E22" s="13">
        <v>42771.229814814818</v>
      </c>
      <c r="F22" s="13">
        <v>42771.236979166664</v>
      </c>
      <c r="G22" s="7">
        <v>1</v>
      </c>
      <c r="H22" s="21" t="s">
        <v>307</v>
      </c>
      <c r="I22" s="13">
        <v>42771.264363425929</v>
      </c>
      <c r="J22" s="7">
        <v>0</v>
      </c>
      <c r="K22" s="98" t="str">
        <f>IF(ISEVEN(B22),(B22-1)&amp;"/"&amp;B22,B22&amp;"/"&amp;(B22+1))</f>
        <v>4001/4002</v>
      </c>
      <c r="L22" s="21" t="str">
        <f>VLOOKUP(A22,'Trips&amp;Operators'!$C$1:$G$99999,5,FALSE)</f>
        <v>BERLING GARY</v>
      </c>
      <c r="M22" s="6">
        <f>I22-F22</f>
        <v>2.7384259265090805E-2</v>
      </c>
      <c r="N22" s="7">
        <f>24*60*SUM($M22:$M22)</f>
        <v>39.433333341730759</v>
      </c>
      <c r="O22" s="7"/>
      <c r="P22" s="7"/>
      <c r="Q22" s="22"/>
      <c r="R22" s="22"/>
      <c r="S22" s="31">
        <f>SUM(U22:U22)/IF(AG22="EC",12,1)</f>
        <v>1</v>
      </c>
      <c r="T22" s="46" t="str">
        <f>IF(ISEVEN(LEFT(AD22,4)),"Southbound","NorthBound")</f>
        <v>Southbound</v>
      </c>
      <c r="U22" s="190">
        <f>IF(AG22="EC",COUNTIFS(Variables!$M$2:$M$19,IF(T22="NorthBound","&gt;=","&lt;=")&amp;Y22,Variables!$M$2:$M$19,IF(T22="NorthBound","&lt;=","&gt;=")&amp;Z22),COUNTIFS(Variables!$P$2:$P$19,IF(T22="NorthBound","&gt;=","&lt;=")&amp;Y22,Variables!$P$2:$P$19,IF(T22="NorthBound","&lt;=","&gt;=")&amp;Z22))</f>
        <v>12</v>
      </c>
      <c r="V22" s="191" t="str">
        <f>"https://d0f6bd738d7f1b3e5a7ca70fe4ff75f0.us-east-1.aws.found.io/app/kibana#/discover/Steve-Slow-Train-Analysis-(2080s-and-2083s)?_g="&amp;"(refreshInterval:(display:Off,pause:!f,section:0,value:0),time:(from:'"&amp;TEXT(E22-1/24,"yyyy-MM-DDThh:mm:ss")&amp;utc_offset&amp;"00"&amp;"',mode:absolute,to:'"&amp;TEXT(I22+1/24,"yyyy-MM-DDThh:mm:ss")&amp;utc_offset&amp;"00"&amp;"'))&amp;_a=(columns:!('Locomotive+ID','Data.Head+End+Milepost',Data.Speed,'Data.Locomotive+State','Data.Train+ID',"&amp;"'Data.Warning%2FEnforcement+Type','Data.Target+Start+Milepost','Data.Target+Description','Data.Target+Speed',"&amp;"'Data.Enforcement+Train+Speed','Data.Enforcement+Start+Milepost','Data.Target+Type','Data.Enforcement+Direction+of+Travel','Message+ID',"&amp;"'Data.Body+of+Summary+Text','Data.Head+End+Track+name'),filters:!(),index:'emp_*',interval:auto,query:"&amp;"(query_string:(analyze_wildcard:!t,query:'Message%5C+ID:(2083+OR+2080+OR+1041+OR+2003+OR+1051+OR+1043+OR+1053)+AND+%22rtdc.l.rtdc."&amp;B22&amp;"%22')),sort:!(Time.ISO8601,asc))"</f>
        <v>https://d0f6bd738d7f1b3e5a7ca70fe4ff75f0.us-east-1.aws.found.io/app/kibana#/discover/Steve-Slow-Train-Analysis-(2080s-and-2083s)?_g=(refreshInterval:(display:Off,pause:!f,section:0,value:0),time:(from:'2017-02-05T04:30:56-0700',mode:absolute,to:'2017-02-05T07:20:41-0700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4001%22')),sort:!(Time.ISO8601,asc))</v>
      </c>
      <c r="W22" s="192" t="str">
        <f>IF(AA22&lt;IF(AG22="EC",23,5.65),"Y","N")</f>
        <v>N</v>
      </c>
      <c r="X22" s="192">
        <f>VALUE(LEFT(AD22,4))-VALUE(LEFT(AD21,4))</f>
        <v>1</v>
      </c>
      <c r="Y22" s="62">
        <f>RIGHT(D22,LEN(D22)-4)/10000</f>
        <v>23.296800000000001</v>
      </c>
      <c r="Z22" s="62">
        <f>RIGHT(H22,LEN(H22)-4)/10000</f>
        <v>1.3899999999999999E-2</v>
      </c>
      <c r="AA22" s="62">
        <f>ABS(Z22-Y22)</f>
        <v>23.282900000000001</v>
      </c>
      <c r="AB22" s="59" t="e">
        <f>VLOOKUP(A22,Enforcements!$C$7:$K$16,8,0)</f>
        <v>#N/A</v>
      </c>
      <c r="AC22" s="55" t="e">
        <f>VLOOKUP(A22,Enforcements!$C$7:$E$16,3,0)</f>
        <v>#N/A</v>
      </c>
      <c r="AD22" s="56" t="str">
        <f>IF(LEN(A22)=6,"0"&amp;A22,A22)</f>
        <v>0110-05</v>
      </c>
      <c r="AE22" s="85" t="str">
        <f>"aws s3 cp "&amp;s3_bucket&amp;"/RTDC"&amp;B22&amp;"/ "&amp;search_path&amp;"\RTDC"&amp;B22&amp;"\"&amp;TEXT(F22,"YYYY-MM-DD")&amp;" --exclude ""*"" --recursive --include ""*"&amp;TEXT(F22,"YYYYMMDD")&amp;"*"" &amp; """&amp;walkandungz&amp;""" "&amp;search_path&amp;"\RTDC"&amp;B22&amp;"\"&amp;TEXT(F22,"YYYY-MM-DD")
&amp;" &amp; "&amp;"aws s3 cp "&amp;s3_bucket&amp;"/RTDC"&amp;B22&amp;"/ "&amp;search_path&amp;"\RTDC"&amp;B22&amp;"\"&amp;TEXT(F22+1,"YYYY-MM-DD")&amp;" --exclude ""*"" --recursive --include ""*"&amp;TEXT(F22+1,"YYYYMMDD")&amp;"*"" &amp; """&amp;walkandungz&amp;""" "&amp;search_path&amp;"\RTDC"&amp;B22&amp;"\"&amp;TEXT(F22+1,"YYYY-MM-DD")</f>
        <v>aws s3 cp s3://rtdc.mdm.uploadarchive.raw/RTDC4001/ "%USERPROFILE%\AppData\Local\Temp\OnboardLogs"\RTDC4001\2017-02-05 --exclude "*" --recursive --include "*20170205*" &amp; "%USERPROFILE%\Documents\GitHub\mrs-test-scripts\Headless Mode &amp; Sideloading\WalkAndUnGZ.bat" "%USERPROFILE%\AppData\Local\Temp\OnboardLogs"\RTDC4001\2017-02-05 &amp; aws s3 cp s3://rtdc.mdm.uploadarchive.raw/RTDC4001/ "%USERPROFILE%\AppData\Local\Temp\OnboardLogs"\RTDC4001\2017-02-06 --exclude "*" --recursive --include "*20170206*" &amp; "%USERPROFILE%\Documents\GitHub\mrs-test-scripts\Headless Mode &amp; Sideloading\WalkAndUnGZ.bat" "%USERPROFILE%\AppData\Local\Temp\OnboardLogs"\RTDC4001\2017-02-06</v>
      </c>
      <c r="AF22" s="82" t="str">
        <f>astrogrep_path&amp;" /spath="&amp;search_path&amp;" /stypes=""app*"&amp;B22&amp;"*"&amp;TEXT(I22-utc_offset/24,"YYYYMMDD")&amp;"*"" /stext="" "&amp;TEXT(I22-utc_offset/24,"HH")&amp;search_regexp&amp;""" /e /r /s"</f>
        <v>"C:\Program Files (x86)\AstroGrep\AstroGrep.exe" /spath="%USERPROFILE%\AppData\Local\Temp\OnboardLogs" /stypes="app*4001*20170205*" /stext=" 13:.+((SYSTEM_STATE.+slice.+state.+changed )|(ment ac)|(multiple cpu faults)|(system.+state.+changed )|(\[timeout)|(PRM\|1\|D)|(kpr)|(kdp)|(\|lc)|(penalty))" /e /r /s</v>
      </c>
      <c r="AG22" s="1" t="str">
        <f>IFERROR(IF(VALUE(LEFT(AD22,2))&lt;=2,"EC",IF(OR(VALUE(LEFT(AD22,2))=8,VALUE(LEFT(AD22,2))=18),"NW","Other")),"Other")</f>
        <v>EC</v>
      </c>
      <c r="AH22" s="86" t="str">
        <f t="shared" si="3"/>
        <v>"%USERPROFILE%\Documents\GitHub\eaglep3\Utilities\RefineRTDCRunTimes.py" --tripid 110-05 --locoid 4001 --swversion DE.1.0.8.0 --startMP 204:232968 --initTime 2017-02-05T05:30:56 --startdatetime 2017-02-05T05:41:15 --delay 1 --endMP 204:139 --enddatetime 2017-02-05T06:20:41 --enforcementcount 0 &gt;&gt;C:\Users\stu\Documents\GitHub\eaglep3-reporting\EC\2017-02-05-refined-times.txt</v>
      </c>
      <c r="AI22" s="108" t="str">
        <f t="shared" si="4"/>
        <v>echo {"issue":{"subject":"","project_id":79,"tracker_id":40,"status_id":1,"priority_id":2,"assigned_to_id":23,"start_date":"2017-02-05","description":"","custom_fields":[{"id":1,"name":"Subdivision","value":"EC"},{"id":4,"name":"Milepost","value":"0.0139"},{"id":17,"name":"Train ID","value":"110-05"},{"id":16,"name":"Locomotive ID","value":"4001"},{"id":130,"name":"Impact","value":""},{"id":150,"name":"Time of Event (Mountain Time)","value":"06:20:41"},{"id":151,"name":"Denver Issue ID","value":""},{"id":178,"name":"Operational Impact","value":"Yes"},{"id":179,"name":"Denver Segment Assigned","value":""}]}} | curl -X POST -H "Content-Type: application/json" -H "X-Redmine-API-Key: d6333d4a04012a730768444271f8ca06482dae87" https://secure.xorail.net/redmine/issues.json --data @-</v>
      </c>
      <c r="AJ22" s="48"/>
      <c r="AK22" s="48"/>
      <c r="AL22" s="48"/>
      <c r="AM22" s="158" t="str">
        <f t="shared" si="5"/>
        <v>start /low /b %USERPROFILE%\Documents\GitHub\eaglep3\Utilities\DownloadLogsFromS3.py --loco 4001 --day 2017-02-05</v>
      </c>
      <c r="AN22" s="167" t="str">
        <f>"grep -SE -B400 ""CHR.+\|PRM\|1\|D.+(SWITCH|SIGNAL).+UNKNOWN"" "&amp;search_path&amp;"\RTDC"&amp;B22&amp;"\*"&amp;B22&amp;"*"&amp;TEXT(AVERAGE(F22,I22)-utc_offset/24,"YYYYMMDD")&amp;"* | grep -SE ""(Enforcement Action)|(\[TIMEOUT)|(CHR.+\|PRM\|1\|D.+(SWITCH|SIGNAL).+UNKNOWN)"" - &gt;&gt; "&amp;TEXT(Variables!$A$2,"YYYY-MM-DD")&amp;"-UncaughtWiMAX.txt"</f>
        <v>grep -SE -B400 "CHR.+\|PRM\|1\|D.+(SWITCH|SIGNAL).+UNKNOWN" "%USERPROFILE%\AppData\Local\Temp\OnboardLogs"\RTDC4001\*4001*20170205* | grep -SE "(Enforcement Action)|(\[TIMEOUT)|(CHR.+\|PRM\|1\|D.+(SWITCH|SIGNAL).+UNKNOWN)" - &gt;&gt; 2017-02-05-UncaughtWiMAX.txt</v>
      </c>
      <c r="AO22"/>
      <c r="AP22"/>
      <c r="AQ22"/>
      <c r="AR22"/>
      <c r="AS22"/>
      <c r="AT22"/>
      <c r="AU22"/>
      <c r="AV22"/>
      <c r="AW22"/>
      <c r="AX22"/>
      <c r="AY22"/>
      <c r="AZ22"/>
      <c r="BA22"/>
      <c r="BB22"/>
      <c r="BC22"/>
      <c r="BD22"/>
      <c r="BE22"/>
      <c r="BF22"/>
      <c r="BG22"/>
      <c r="BH22"/>
      <c r="BI22"/>
      <c r="BJ22"/>
      <c r="BK22"/>
      <c r="BL22"/>
      <c r="BM22"/>
      <c r="BN22"/>
      <c r="BO22"/>
      <c r="BP22"/>
      <c r="BQ22"/>
      <c r="BR22"/>
      <c r="BS22"/>
      <c r="BT22"/>
      <c r="BU22"/>
      <c r="BV22"/>
      <c r="BW22"/>
      <c r="BX22"/>
      <c r="BY22"/>
      <c r="BZ22"/>
      <c r="CA22"/>
      <c r="CB22"/>
      <c r="CC22"/>
      <c r="CD22"/>
      <c r="CE22"/>
      <c r="CF22"/>
      <c r="CG22"/>
      <c r="CH22"/>
      <c r="CI22"/>
      <c r="CJ22"/>
      <c r="CK22"/>
      <c r="CL22"/>
      <c r="CM22"/>
    </row>
    <row r="23" spans="1:91" s="1" customFormat="1" x14ac:dyDescent="0.25">
      <c r="A23" s="33" t="s">
        <v>554</v>
      </c>
      <c r="B23" s="7">
        <v>4031</v>
      </c>
      <c r="C23" s="21" t="s">
        <v>193</v>
      </c>
      <c r="D23" s="21" t="s">
        <v>751</v>
      </c>
      <c r="E23" s="13">
        <v>42771.213634259257</v>
      </c>
      <c r="F23" s="13">
        <v>42771.215474537035</v>
      </c>
      <c r="G23" s="7">
        <v>1</v>
      </c>
      <c r="H23" s="21" t="s">
        <v>368</v>
      </c>
      <c r="I23" s="13">
        <v>42771.241782407407</v>
      </c>
      <c r="J23" s="7">
        <v>0</v>
      </c>
      <c r="K23" s="98" t="str">
        <f>IF(ISEVEN(B23),(B23-1)&amp;"/"&amp;B23,B23&amp;"/"&amp;(B23+1))</f>
        <v>4031/4032</v>
      </c>
      <c r="L23" s="21" t="str">
        <f>VLOOKUP(A23,'Trips&amp;Operators'!$C$1:$G$99999,5,FALSE)</f>
        <v>GEBRETEKLE DAGNEW</v>
      </c>
      <c r="M23" s="6">
        <f>I23-F23</f>
        <v>2.6307870371965691E-2</v>
      </c>
      <c r="N23" s="7">
        <f>24*60*SUM($M23:$M23)</f>
        <v>37.883333335630596</v>
      </c>
      <c r="O23" s="7"/>
      <c r="P23" s="7"/>
      <c r="Q23" s="22"/>
      <c r="R23" s="22"/>
      <c r="S23" s="31">
        <f>SUM(U23:U23)/IF(AG23="EC",12,1)</f>
        <v>1</v>
      </c>
      <c r="T23" s="46" t="str">
        <f>IF(ISEVEN(LEFT(AD23,4)),"Southbound","NorthBound")</f>
        <v>NorthBound</v>
      </c>
      <c r="U23" s="190">
        <f>IF(AG23="EC",COUNTIFS(Variables!$M$2:$M$19,IF(T23="NorthBound","&gt;=","&lt;=")&amp;Y23,Variables!$M$2:$M$19,IF(T23="NorthBound","&lt;=","&gt;=")&amp;Z23),COUNTIFS(Variables!$P$2:$P$19,IF(T23="NorthBound","&gt;=","&lt;=")&amp;Y23,Variables!$P$2:$P$19,IF(T23="NorthBound","&lt;=","&gt;=")&amp;Z23))</f>
        <v>12</v>
      </c>
      <c r="V23" s="191" t="str">
        <f>"https://d0f6bd738d7f1b3e5a7ca70fe4ff75f0.us-east-1.aws.found.io/app/kibana#/discover/Steve-Slow-Train-Analysis-(2080s-and-2083s)?_g="&amp;"(refreshInterval:(display:Off,pause:!f,section:0,value:0),time:(from:'"&amp;TEXT(E23-1/24,"yyyy-MM-DDThh:mm:ss")&amp;utc_offset&amp;"00"&amp;"',mode:absolute,to:'"&amp;TEXT(I23+1/24,"yyyy-MM-DDThh:mm:ss")&amp;utc_offset&amp;"00"&amp;"'))&amp;_a=(columns:!('Locomotive+ID','Data.Head+End+Milepost',Data.Speed,'Data.Locomotive+State','Data.Train+ID',"&amp;"'Data.Warning%2FEnforcement+Type','Data.Target+Start+Milepost','Data.Target+Description','Data.Target+Speed',"&amp;"'Data.Enforcement+Train+Speed','Data.Enforcement+Start+Milepost','Data.Target+Type','Data.Enforcement+Direction+of+Travel','Message+ID',"&amp;"'Data.Body+of+Summary+Text','Data.Head+End+Track+name'),filters:!(),index:'emp_*',interval:auto,query:"&amp;"(query_string:(analyze_wildcard:!t,query:'Message%5C+ID:(2083+OR+2080+OR+1041+OR+2003+OR+1051+OR+1043+OR+1053)+AND+%22rtdc.l.rtdc."&amp;B23&amp;"%22')),sort:!(Time.ISO8601,asc))"</f>
        <v>https://d0f6bd738d7f1b3e5a7ca70fe4ff75f0.us-east-1.aws.found.io/app/kibana#/discover/Steve-Slow-Train-Analysis-(2080s-and-2083s)?_g=(refreshInterval:(display:Off,pause:!f,section:0,value:0),time:(from:'2017-02-05T04:07:38-0700',mode:absolute,to:'2017-02-05T06:48:10-0700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4031%22')),sort:!(Time.ISO8601,asc))</v>
      </c>
      <c r="W23" s="192" t="str">
        <f>IF(AA23&lt;IF(AG23="EC",23,5.65),"Y","N")</f>
        <v>N</v>
      </c>
      <c r="X23" s="192">
        <f>VALUE(LEFT(AD23,4))-VALUE(LEFT(AD22,4))</f>
        <v>1</v>
      </c>
      <c r="Y23" s="62">
        <f>RIGHT(D23,LEN(D23)-4)/10000</f>
        <v>7.4399999999999994E-2</v>
      </c>
      <c r="Z23" s="62">
        <f>RIGHT(H23,LEN(H23)-4)/10000</f>
        <v>23.328800000000001</v>
      </c>
      <c r="AA23" s="62">
        <f>ABS(Z23-Y23)</f>
        <v>23.2544</v>
      </c>
      <c r="AB23" s="59" t="e">
        <f>VLOOKUP(A23,Enforcements!$C$7:$K$16,8,0)</f>
        <v>#N/A</v>
      </c>
      <c r="AC23" s="55" t="e">
        <f>VLOOKUP(A23,Enforcements!$C$7:$E$16,3,0)</f>
        <v>#N/A</v>
      </c>
      <c r="AD23" s="56" t="str">
        <f>IF(LEN(A23)=6,"0"&amp;A23,A23)</f>
        <v>0111-05</v>
      </c>
      <c r="AE23" s="85" t="str">
        <f>"aws s3 cp "&amp;s3_bucket&amp;"/RTDC"&amp;B23&amp;"/ "&amp;search_path&amp;"\RTDC"&amp;B23&amp;"\"&amp;TEXT(F23,"YYYY-MM-DD")&amp;" --exclude ""*"" --recursive --include ""*"&amp;TEXT(F23,"YYYYMMDD")&amp;"*"" &amp; """&amp;walkandungz&amp;""" "&amp;search_path&amp;"\RTDC"&amp;B23&amp;"\"&amp;TEXT(F23,"YYYY-MM-DD")
&amp;" &amp; "&amp;"aws s3 cp "&amp;s3_bucket&amp;"/RTDC"&amp;B23&amp;"/ "&amp;search_path&amp;"\RTDC"&amp;B23&amp;"\"&amp;TEXT(F23+1,"YYYY-MM-DD")&amp;" --exclude ""*"" --recursive --include ""*"&amp;TEXT(F23+1,"YYYYMMDD")&amp;"*"" &amp; """&amp;walkandungz&amp;""" "&amp;search_path&amp;"\RTDC"&amp;B23&amp;"\"&amp;TEXT(F23+1,"YYYY-MM-DD")</f>
        <v>aws s3 cp s3://rtdc.mdm.uploadarchive.raw/RTDC4031/ "%USERPROFILE%\AppData\Local\Temp\OnboardLogs"\RTDC4031\2017-02-05 --exclude "*" --recursive --include "*20170205*" &amp; "%USERPROFILE%\Documents\GitHub\mrs-test-scripts\Headless Mode &amp; Sideloading\WalkAndUnGZ.bat" "%USERPROFILE%\AppData\Local\Temp\OnboardLogs"\RTDC4031\2017-02-05 &amp; aws s3 cp s3://rtdc.mdm.uploadarchive.raw/RTDC4031/ "%USERPROFILE%\AppData\Local\Temp\OnboardLogs"\RTDC4031\2017-02-06 --exclude "*" --recursive --include "*20170206*" &amp; "%USERPROFILE%\Documents\GitHub\mrs-test-scripts\Headless Mode &amp; Sideloading\WalkAndUnGZ.bat" "%USERPROFILE%\AppData\Local\Temp\OnboardLogs"\RTDC4031\2017-02-06</v>
      </c>
      <c r="AF23" s="82" t="str">
        <f>astrogrep_path&amp;" /spath="&amp;search_path&amp;" /stypes=""app*"&amp;B23&amp;"*"&amp;TEXT(I23-utc_offset/24,"YYYYMMDD")&amp;"*"" /stext="" "&amp;TEXT(I23-utc_offset/24,"HH")&amp;search_regexp&amp;""" /e /r /s"</f>
        <v>"C:\Program Files (x86)\AstroGrep\AstroGrep.exe" /spath="%USERPROFILE%\AppData\Local\Temp\OnboardLogs" /stypes="app*4031*20170205*" /stext=" 12:.+((SYSTEM_STATE.+slice.+state.+changed )|(ment ac)|(multiple cpu faults)|(system.+state.+changed )|(\[timeout)|(PRM\|1\|D)|(kpr)|(kdp)|(\|lc)|(penalty))" /e /r /s</v>
      </c>
      <c r="AG23" s="1" t="str">
        <f>IFERROR(IF(VALUE(LEFT(AD23,2))&lt;=2,"EC",IF(OR(VALUE(LEFT(AD23,2))=8,VALUE(LEFT(AD23,2))=18),"NW","Other")),"Other")</f>
        <v>EC</v>
      </c>
      <c r="AH23" s="86" t="str">
        <f t="shared" si="3"/>
        <v>"%USERPROFILE%\Documents\GitHub\eaglep3\Utilities\RefineRTDCRunTimes.py" --tripid 111-05 --locoid 4031 --swversion DE.1.0.8.0 --startMP 204:744 --initTime 2017-02-05T05:07:38 --startdatetime 2017-02-05T05:10:17 --delay 1 --endMP 204:233288 --enddatetime 2017-02-05T05:48:10 --enforcementcount 0 &gt;&gt;C:\Users\stu\Documents\GitHub\eaglep3-reporting\EC\2017-02-05-refined-times.txt</v>
      </c>
      <c r="AI23" s="108" t="str">
        <f t="shared" si="4"/>
        <v>echo {"issue":{"subject":"","project_id":79,"tracker_id":40,"status_id":1,"priority_id":2,"assigned_to_id":23,"start_date":"2017-02-05","description":"","custom_fields":[{"id":1,"name":"Subdivision","value":"EC"},{"id":4,"name":"Milepost","value":"23.3288"},{"id":17,"name":"Train ID","value":"111-05"},{"id":16,"name":"Locomotive ID","value":"4031"},{"id":130,"name":"Impact","value":""},{"id":150,"name":"Time of Event (Mountain Time)","value":"05:48:10"},{"id":151,"name":"Denver Issue ID","value":""},{"id":178,"name":"Operational Impact","value":"Yes"},{"id":179,"name":"Denver Segment Assigned","value":""}]}} | curl -X POST -H "Content-Type: application/json" -H "X-Redmine-API-Key: d6333d4a04012a730768444271f8ca06482dae87" https://secure.xorail.net/redmine/issues.json --data @-</v>
      </c>
      <c r="AJ23" s="48"/>
      <c r="AK23" s="48"/>
      <c r="AL23" s="48"/>
      <c r="AM23" s="158" t="str">
        <f t="shared" si="5"/>
        <v>start /low /b %USERPROFILE%\Documents\GitHub\eaglep3\Utilities\DownloadLogsFromS3.py --loco 4031 --day 2017-02-05</v>
      </c>
      <c r="AN23" s="167" t="str">
        <f>"grep -SE -B400 ""CHR.+\|PRM\|1\|D.+(SWITCH|SIGNAL).+UNKNOWN"" "&amp;search_path&amp;"\RTDC"&amp;B23&amp;"\*"&amp;B23&amp;"*"&amp;TEXT(AVERAGE(F23,I23)-utc_offset/24,"YYYYMMDD")&amp;"* | grep -SE ""(Enforcement Action)|(\[TIMEOUT)|(CHR.+\|PRM\|1\|D.+(SWITCH|SIGNAL).+UNKNOWN)"" - &gt;&gt; "&amp;TEXT(Variables!$A$2,"YYYY-MM-DD")&amp;"-UncaughtWiMAX.txt"</f>
        <v>grep -SE -B400 "CHR.+\|PRM\|1\|D.+(SWITCH|SIGNAL).+UNKNOWN" "%USERPROFILE%\AppData\Local\Temp\OnboardLogs"\RTDC4031\*4031*20170205* | grep -SE "(Enforcement Action)|(\[TIMEOUT)|(CHR.+\|PRM\|1\|D.+(SWITCH|SIGNAL).+UNKNOWN)" - &gt;&gt; 2017-02-05-UncaughtWiMAX.txt</v>
      </c>
      <c r="AO23"/>
      <c r="AP23"/>
      <c r="AQ23"/>
      <c r="AR23"/>
      <c r="AS23"/>
      <c r="AT23"/>
      <c r="AU23"/>
      <c r="AV23"/>
      <c r="AW23"/>
      <c r="AX23"/>
      <c r="AY23"/>
      <c r="AZ23"/>
      <c r="BA23"/>
      <c r="BB23"/>
      <c r="BC23"/>
      <c r="BD23"/>
      <c r="BE23"/>
      <c r="BF23"/>
      <c r="BG23"/>
      <c r="BH23"/>
      <c r="BI23"/>
      <c r="BJ23"/>
      <c r="BK23"/>
      <c r="BL23"/>
      <c r="BM23"/>
      <c r="BN23"/>
      <c r="BO23"/>
      <c r="BP23"/>
      <c r="BQ23"/>
      <c r="BR23"/>
      <c r="BS23"/>
      <c r="BT23"/>
      <c r="BU23"/>
      <c r="BV23"/>
      <c r="BW23"/>
      <c r="BX23"/>
      <c r="BY23"/>
      <c r="BZ23"/>
      <c r="CA23"/>
      <c r="CB23"/>
      <c r="CC23"/>
      <c r="CD23"/>
      <c r="CE23"/>
      <c r="CF23"/>
      <c r="CG23"/>
      <c r="CH23"/>
      <c r="CI23"/>
      <c r="CJ23"/>
      <c r="CK23"/>
      <c r="CL23"/>
      <c r="CM23"/>
    </row>
    <row r="24" spans="1:91" s="1" customFormat="1" x14ac:dyDescent="0.25">
      <c r="A24" s="33" t="s">
        <v>563</v>
      </c>
      <c r="B24" s="7">
        <v>4032</v>
      </c>
      <c r="C24" s="21" t="s">
        <v>193</v>
      </c>
      <c r="D24" s="21" t="s">
        <v>752</v>
      </c>
      <c r="E24" s="13">
        <v>42771.243576388886</v>
      </c>
      <c r="F24" s="13">
        <v>42771.247407407405</v>
      </c>
      <c r="G24" s="7">
        <v>1</v>
      </c>
      <c r="H24" s="21" t="s">
        <v>196</v>
      </c>
      <c r="I24" s="13">
        <v>42771.273506944446</v>
      </c>
      <c r="J24" s="7">
        <v>0</v>
      </c>
      <c r="K24" s="98" t="str">
        <f>IF(ISEVEN(B24),(B24-1)&amp;"/"&amp;B24,B24&amp;"/"&amp;(B24+1))</f>
        <v>4031/4032</v>
      </c>
      <c r="L24" s="21" t="str">
        <f>VLOOKUP(A24,'Trips&amp;Operators'!$C$1:$G$99999,5,FALSE)</f>
        <v>GEBRETEKLE DAGNEW</v>
      </c>
      <c r="M24" s="6">
        <f>I24-F24</f>
        <v>2.6099537040863652E-2</v>
      </c>
      <c r="N24" s="7">
        <f>24*60*SUM($M24:$M24)</f>
        <v>37.583333338843659</v>
      </c>
      <c r="O24" s="7"/>
      <c r="P24" s="7"/>
      <c r="Q24" s="22"/>
      <c r="R24" s="22"/>
      <c r="S24" s="31">
        <f>SUM(U24:U24)/IF(AG24="EC",12,1)</f>
        <v>1</v>
      </c>
      <c r="T24" s="46" t="str">
        <f>IF(ISEVEN(LEFT(AD24,4)),"Southbound","NorthBound")</f>
        <v>Southbound</v>
      </c>
      <c r="U24" s="190">
        <f>IF(AG24="EC",COUNTIFS(Variables!$M$2:$M$19,IF(T24="NorthBound","&gt;=","&lt;=")&amp;Y24,Variables!$M$2:$M$19,IF(T24="NorthBound","&lt;=","&gt;=")&amp;Z24),COUNTIFS(Variables!$P$2:$P$19,IF(T24="NorthBound","&gt;=","&lt;=")&amp;Y24,Variables!$P$2:$P$19,IF(T24="NorthBound","&lt;=","&gt;=")&amp;Z24))</f>
        <v>12</v>
      </c>
      <c r="V24" s="191" t="str">
        <f>"https://d0f6bd738d7f1b3e5a7ca70fe4ff75f0.us-east-1.aws.found.io/app/kibana#/discover/Steve-Slow-Train-Analysis-(2080s-and-2083s)?_g="&amp;"(refreshInterval:(display:Off,pause:!f,section:0,value:0),time:(from:'"&amp;TEXT(E24-1/24,"yyyy-MM-DDThh:mm:ss")&amp;utc_offset&amp;"00"&amp;"',mode:absolute,to:'"&amp;TEXT(I24+1/24,"yyyy-MM-DDThh:mm:ss")&amp;utc_offset&amp;"00"&amp;"'))&amp;_a=(columns:!('Locomotive+ID','Data.Head+End+Milepost',Data.Speed,'Data.Locomotive+State','Data.Train+ID',"&amp;"'Data.Warning%2FEnforcement+Type','Data.Target+Start+Milepost','Data.Target+Description','Data.Target+Speed',"&amp;"'Data.Enforcement+Train+Speed','Data.Enforcement+Start+Milepost','Data.Target+Type','Data.Enforcement+Direction+of+Travel','Message+ID',"&amp;"'Data.Body+of+Summary+Text','Data.Head+End+Track+name'),filters:!(),index:'emp_*',interval:auto,query:"&amp;"(query_string:(analyze_wildcard:!t,query:'Message%5C+ID:(2083+OR+2080+OR+1041+OR+2003+OR+1051+OR+1043+OR+1053)+AND+%22rtdc.l.rtdc."&amp;B24&amp;"%22')),sort:!(Time.ISO8601,asc))"</f>
        <v>https://d0f6bd738d7f1b3e5a7ca70fe4ff75f0.us-east-1.aws.found.io/app/kibana#/discover/Steve-Slow-Train-Analysis-(2080s-and-2083s)?_g=(refreshInterval:(display:Off,pause:!f,section:0,value:0),time:(from:'2017-02-05T04:50:45-0700',mode:absolute,to:'2017-02-05T07:33:51-0700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4032%22')),sort:!(Time.ISO8601,asc))</v>
      </c>
      <c r="W24" s="192" t="str">
        <f>IF(AA24&lt;IF(AG24="EC",23,5.65),"Y","N")</f>
        <v>N</v>
      </c>
      <c r="X24" s="192">
        <f>VALUE(LEFT(AD24,4))-VALUE(LEFT(AD23,4))</f>
        <v>1</v>
      </c>
      <c r="Y24" s="62">
        <f>RIGHT(D24,LEN(D24)-4)/10000</f>
        <v>23.296099999999999</v>
      </c>
      <c r="Z24" s="62">
        <f>RIGHT(H24,LEN(H24)-4)/10000</f>
        <v>1.4999999999999999E-2</v>
      </c>
      <c r="AA24" s="62">
        <f>ABS(Z24-Y24)</f>
        <v>23.281099999999999</v>
      </c>
      <c r="AB24" s="59" t="e">
        <f>VLOOKUP(A24,Enforcements!$C$7:$K$16,8,0)</f>
        <v>#N/A</v>
      </c>
      <c r="AC24" s="55" t="e">
        <f>VLOOKUP(A24,Enforcements!$C$7:$E$16,3,0)</f>
        <v>#N/A</v>
      </c>
      <c r="AD24" s="56" t="str">
        <f>IF(LEN(A24)=6,"0"&amp;A24,A24)</f>
        <v>0112-05</v>
      </c>
      <c r="AE24" s="85" t="str">
        <f>"aws s3 cp "&amp;s3_bucket&amp;"/RTDC"&amp;B24&amp;"/ "&amp;search_path&amp;"\RTDC"&amp;B24&amp;"\"&amp;TEXT(F24,"YYYY-MM-DD")&amp;" --exclude ""*"" --recursive --include ""*"&amp;TEXT(F24,"YYYYMMDD")&amp;"*"" &amp; """&amp;walkandungz&amp;""" "&amp;search_path&amp;"\RTDC"&amp;B24&amp;"\"&amp;TEXT(F24,"YYYY-MM-DD")
&amp;" &amp; "&amp;"aws s3 cp "&amp;s3_bucket&amp;"/RTDC"&amp;B24&amp;"/ "&amp;search_path&amp;"\RTDC"&amp;B24&amp;"\"&amp;TEXT(F24+1,"YYYY-MM-DD")&amp;" --exclude ""*"" --recursive --include ""*"&amp;TEXT(F24+1,"YYYYMMDD")&amp;"*"" &amp; """&amp;walkandungz&amp;""" "&amp;search_path&amp;"\RTDC"&amp;B24&amp;"\"&amp;TEXT(F24+1,"YYYY-MM-DD")</f>
        <v>aws s3 cp s3://rtdc.mdm.uploadarchive.raw/RTDC4032/ "%USERPROFILE%\AppData\Local\Temp\OnboardLogs"\RTDC4032\2017-02-05 --exclude "*" --recursive --include "*20170205*" &amp; "%USERPROFILE%\Documents\GitHub\mrs-test-scripts\Headless Mode &amp; Sideloading\WalkAndUnGZ.bat" "%USERPROFILE%\AppData\Local\Temp\OnboardLogs"\RTDC4032\2017-02-05 &amp; aws s3 cp s3://rtdc.mdm.uploadarchive.raw/RTDC4032/ "%USERPROFILE%\AppData\Local\Temp\OnboardLogs"\RTDC4032\2017-02-06 --exclude "*" --recursive --include "*20170206*" &amp; "%USERPROFILE%\Documents\GitHub\mrs-test-scripts\Headless Mode &amp; Sideloading\WalkAndUnGZ.bat" "%USERPROFILE%\AppData\Local\Temp\OnboardLogs"\RTDC4032\2017-02-06</v>
      </c>
      <c r="AF24" s="82" t="str">
        <f>astrogrep_path&amp;" /spath="&amp;search_path&amp;" /stypes=""app*"&amp;B24&amp;"*"&amp;TEXT(I24-utc_offset/24,"YYYYMMDD")&amp;"*"" /stext="" "&amp;TEXT(I24-utc_offset/24,"HH")&amp;search_regexp&amp;""" /e /r /s"</f>
        <v>"C:\Program Files (x86)\AstroGrep\AstroGrep.exe" /spath="%USERPROFILE%\AppData\Local\Temp\OnboardLogs" /stypes="app*4032*20170205*" /stext=" 13:.+((SYSTEM_STATE.+slice.+state.+changed )|(ment ac)|(multiple cpu faults)|(system.+state.+changed )|(\[timeout)|(PRM\|1\|D)|(kpr)|(kdp)|(\|lc)|(penalty))" /e /r /s</v>
      </c>
      <c r="AG24" s="1" t="str">
        <f>IFERROR(IF(VALUE(LEFT(AD24,2))&lt;=2,"EC",IF(OR(VALUE(LEFT(AD24,2))=8,VALUE(LEFT(AD24,2))=18),"NW","Other")),"Other")</f>
        <v>EC</v>
      </c>
      <c r="AH24" s="86" t="str">
        <f t="shared" si="3"/>
        <v>"%USERPROFILE%\Documents\GitHub\eaglep3\Utilities\RefineRTDCRunTimes.py" --tripid 112-05 --locoid 4032 --swversion DE.1.0.8.0 --startMP 204:232961 --initTime 2017-02-05T05:50:45 --startdatetime 2017-02-05T05:56:16 --delay 1 --endMP 204:150 --enddatetime 2017-02-05T06:33:51 --enforcementcount 0 &gt;&gt;C:\Users\stu\Documents\GitHub\eaglep3-reporting\EC\2017-02-05-refined-times.txt</v>
      </c>
      <c r="AI24" s="108" t="str">
        <f t="shared" si="4"/>
        <v>echo {"issue":{"subject":"","project_id":79,"tracker_id":40,"status_id":1,"priority_id":2,"assigned_to_id":23,"start_date":"2017-02-05","description":"","custom_fields":[{"id":1,"name":"Subdivision","value":"EC"},{"id":4,"name":"Milepost","value":"0.015"},{"id":17,"name":"Train ID","value":"112-05"},{"id":16,"name":"Locomotive ID","value":"4032"},{"id":130,"name":"Impact","value":""},{"id":150,"name":"Time of Event (Mountain Time)","value":"06:33:51"},{"id":151,"name":"Denver Issue ID","value":""},{"id":178,"name":"Operational Impact","value":"Yes"},{"id":179,"name":"Denver Segment Assigned","value":""}]}} | curl -X POST -H "Content-Type: application/json" -H "X-Redmine-API-Key: d6333d4a04012a730768444271f8ca06482dae87" https://secure.xorail.net/redmine/issues.json --data @-</v>
      </c>
      <c r="AJ24" s="48"/>
      <c r="AK24" s="48"/>
      <c r="AL24" s="48"/>
      <c r="AM24" s="158" t="str">
        <f t="shared" si="5"/>
        <v>start /low /b %USERPROFILE%\Documents\GitHub\eaglep3\Utilities\DownloadLogsFromS3.py --loco 4032 --day 2017-02-05</v>
      </c>
      <c r="AN24" s="167" t="str">
        <f>"grep -SE -B400 ""CHR.+\|PRM\|1\|D.+(SWITCH|SIGNAL).+UNKNOWN"" "&amp;search_path&amp;"\RTDC"&amp;B24&amp;"\*"&amp;B24&amp;"*"&amp;TEXT(AVERAGE(F24,I24)-utc_offset/24,"YYYYMMDD")&amp;"* | grep -SE ""(Enforcement Action)|(\[TIMEOUT)|(CHR.+\|PRM\|1\|D.+(SWITCH|SIGNAL).+UNKNOWN)"" - &gt;&gt; "&amp;TEXT(Variables!$A$2,"YYYY-MM-DD")&amp;"-UncaughtWiMAX.txt"</f>
        <v>grep -SE -B400 "CHR.+\|PRM\|1\|D.+(SWITCH|SIGNAL).+UNKNOWN" "%USERPROFILE%\AppData\Local\Temp\OnboardLogs"\RTDC4032\*4032*20170205* | grep -SE "(Enforcement Action)|(\[TIMEOUT)|(CHR.+\|PRM\|1\|D.+(SWITCH|SIGNAL).+UNKNOWN)" - &gt;&gt; 2017-02-05-UncaughtWiMAX.txt</v>
      </c>
      <c r="AO24"/>
      <c r="AP24"/>
      <c r="AQ24"/>
      <c r="AR24"/>
      <c r="AS24"/>
      <c r="AT24"/>
      <c r="AU24"/>
      <c r="AV24"/>
      <c r="AW24"/>
      <c r="AX24"/>
      <c r="AY24"/>
      <c r="AZ24"/>
      <c r="BA24"/>
      <c r="BB24"/>
      <c r="BC24"/>
      <c r="BD24"/>
      <c r="BE24"/>
      <c r="BF24"/>
      <c r="BG24"/>
      <c r="BH24"/>
      <c r="BI24"/>
      <c r="BJ24"/>
      <c r="BK24"/>
      <c r="BL24"/>
      <c r="BM24"/>
      <c r="BN24"/>
      <c r="BO24"/>
      <c r="BP24"/>
      <c r="BQ24"/>
      <c r="BR24"/>
      <c r="BS24"/>
      <c r="BT24"/>
      <c r="BU24"/>
      <c r="BV24"/>
      <c r="BW24"/>
      <c r="BX24"/>
      <c r="BY24"/>
      <c r="BZ24"/>
      <c r="CA24"/>
      <c r="CB24"/>
      <c r="CC24"/>
      <c r="CD24"/>
      <c r="CE24"/>
      <c r="CF24"/>
      <c r="CG24"/>
      <c r="CH24"/>
      <c r="CI24"/>
      <c r="CJ24"/>
      <c r="CK24"/>
      <c r="CL24"/>
      <c r="CM24"/>
    </row>
    <row r="25" spans="1:91" s="1" customFormat="1" x14ac:dyDescent="0.25">
      <c r="A25" s="33" t="s">
        <v>555</v>
      </c>
      <c r="B25" s="7">
        <v>4009</v>
      </c>
      <c r="C25" s="21" t="s">
        <v>193</v>
      </c>
      <c r="D25" s="21" t="s">
        <v>406</v>
      </c>
      <c r="E25" s="13">
        <v>42771.215011574073</v>
      </c>
      <c r="F25" s="13">
        <v>42771.219085648147</v>
      </c>
      <c r="G25" s="7">
        <v>2</v>
      </c>
      <c r="H25" s="21" t="s">
        <v>753</v>
      </c>
      <c r="I25" s="13">
        <v>42771.246134259258</v>
      </c>
      <c r="J25" s="7">
        <v>0</v>
      </c>
      <c r="K25" s="98" t="str">
        <f>IF(ISEVEN(B25),(B25-1)&amp;"/"&amp;B25,B25&amp;"/"&amp;(B25+1))</f>
        <v>4009/4010</v>
      </c>
      <c r="L25" s="21" t="str">
        <f>VLOOKUP(A25,'Trips&amp;Operators'!$C$1:$G$99999,5,FALSE)</f>
        <v>OUN ZACK</v>
      </c>
      <c r="M25" s="6">
        <f>I25-F25</f>
        <v>2.7048611111240461E-2</v>
      </c>
      <c r="N25" s="7">
        <f>24*60*SUM($M25:$M25)</f>
        <v>38.950000000186265</v>
      </c>
      <c r="O25" s="7"/>
      <c r="P25" s="7"/>
      <c r="Q25" s="22"/>
      <c r="R25" s="22"/>
      <c r="S25" s="31">
        <f>SUM(U25:U25)/IF(AG25="EC",12,1)</f>
        <v>1</v>
      </c>
      <c r="T25" s="46" t="str">
        <f>IF(ISEVEN(LEFT(AD25,4)),"Southbound","NorthBound")</f>
        <v>NorthBound</v>
      </c>
      <c r="U25" s="190">
        <f>IF(AG25="EC",COUNTIFS(Variables!$M$2:$M$19,IF(T25="NorthBound","&gt;=","&lt;=")&amp;Y25,Variables!$M$2:$M$19,IF(T25="NorthBound","&lt;=","&gt;=")&amp;Z25),COUNTIFS(Variables!$P$2:$P$19,IF(T25="NorthBound","&gt;=","&lt;=")&amp;Y25,Variables!$P$2:$P$19,IF(T25="NorthBound","&lt;=","&gt;=")&amp;Z25))</f>
        <v>12</v>
      </c>
      <c r="V25" s="191" t="str">
        <f>"https://d0f6bd738d7f1b3e5a7ca70fe4ff75f0.us-east-1.aws.found.io/app/kibana#/discover/Steve-Slow-Train-Analysis-(2080s-and-2083s)?_g="&amp;"(refreshInterval:(display:Off,pause:!f,section:0,value:0),time:(from:'"&amp;TEXT(E25-1/24,"yyyy-MM-DDThh:mm:ss")&amp;utc_offset&amp;"00"&amp;"',mode:absolute,to:'"&amp;TEXT(I25+1/24,"yyyy-MM-DDThh:mm:ss")&amp;utc_offset&amp;"00"&amp;"'))&amp;_a=(columns:!('Locomotive+ID','Data.Head+End+Milepost',Data.Speed,'Data.Locomotive+State','Data.Train+ID',"&amp;"'Data.Warning%2FEnforcement+Type','Data.Target+Start+Milepost','Data.Target+Description','Data.Target+Speed',"&amp;"'Data.Enforcement+Train+Speed','Data.Enforcement+Start+Milepost','Data.Target+Type','Data.Enforcement+Direction+of+Travel','Message+ID',"&amp;"'Data.Body+of+Summary+Text','Data.Head+End+Track+name'),filters:!(),index:'emp_*',interval:auto,query:"&amp;"(query_string:(analyze_wildcard:!t,query:'Message%5C+ID:(2083+OR+2080+OR+1041+OR+2003+OR+1051+OR+1043+OR+1053)+AND+%22rtdc.l.rtdc."&amp;B25&amp;"%22')),sort:!(Time.ISO8601,asc))"</f>
        <v>https://d0f6bd738d7f1b3e5a7ca70fe4ff75f0.us-east-1.aws.found.io/app/kibana#/discover/Steve-Slow-Train-Analysis-(2080s-and-2083s)?_g=(refreshInterval:(display:Off,pause:!f,section:0,value:0),time:(from:'2017-02-05T04:09:37-0700',mode:absolute,to:'2017-02-05T06:54:26-0700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4009%22')),sort:!(Time.ISO8601,asc))</v>
      </c>
      <c r="W25" s="192" t="str">
        <f>IF(AA25&lt;IF(AG25="EC",23,5.65),"Y","N")</f>
        <v>N</v>
      </c>
      <c r="X25" s="192">
        <f>VALUE(LEFT(AD25,4))-VALUE(LEFT(AD24,4))</f>
        <v>1</v>
      </c>
      <c r="Y25" s="62">
        <f>RIGHT(D25,LEN(D25)-4)/10000</f>
        <v>4.6600000000000003E-2</v>
      </c>
      <c r="Z25" s="62">
        <f>RIGHT(H25,LEN(H25)-4)/10000</f>
        <v>23.3353</v>
      </c>
      <c r="AA25" s="62">
        <f>ABS(Z25-Y25)</f>
        <v>23.288699999999999</v>
      </c>
      <c r="AB25" s="59" t="e">
        <f>VLOOKUP(A25,Enforcements!$C$7:$K$16,8,0)</f>
        <v>#N/A</v>
      </c>
      <c r="AC25" s="55" t="e">
        <f>VLOOKUP(A25,Enforcements!$C$7:$E$16,3,0)</f>
        <v>#N/A</v>
      </c>
      <c r="AD25" s="56" t="str">
        <f>IF(LEN(A25)=6,"0"&amp;A25,A25)</f>
        <v>0113-05</v>
      </c>
      <c r="AE25" s="85" t="str">
        <f>"aws s3 cp "&amp;s3_bucket&amp;"/RTDC"&amp;B25&amp;"/ "&amp;search_path&amp;"\RTDC"&amp;B25&amp;"\"&amp;TEXT(F25,"YYYY-MM-DD")&amp;" --exclude ""*"" --recursive --include ""*"&amp;TEXT(F25,"YYYYMMDD")&amp;"*"" &amp; """&amp;walkandungz&amp;""" "&amp;search_path&amp;"\RTDC"&amp;B25&amp;"\"&amp;TEXT(F25,"YYYY-MM-DD")
&amp;" &amp; "&amp;"aws s3 cp "&amp;s3_bucket&amp;"/RTDC"&amp;B25&amp;"/ "&amp;search_path&amp;"\RTDC"&amp;B25&amp;"\"&amp;TEXT(F25+1,"YYYY-MM-DD")&amp;" --exclude ""*"" --recursive --include ""*"&amp;TEXT(F25+1,"YYYYMMDD")&amp;"*"" &amp; """&amp;walkandungz&amp;""" "&amp;search_path&amp;"\RTDC"&amp;B25&amp;"\"&amp;TEXT(F25+1,"YYYY-MM-DD")</f>
        <v>aws s3 cp s3://rtdc.mdm.uploadarchive.raw/RTDC4009/ "%USERPROFILE%\AppData\Local\Temp\OnboardLogs"\RTDC4009\2017-02-05 --exclude "*" --recursive --include "*20170205*" &amp; "%USERPROFILE%\Documents\GitHub\mrs-test-scripts\Headless Mode &amp; Sideloading\WalkAndUnGZ.bat" "%USERPROFILE%\AppData\Local\Temp\OnboardLogs"\RTDC4009\2017-02-05 &amp; aws s3 cp s3://rtdc.mdm.uploadarchive.raw/RTDC4009/ "%USERPROFILE%\AppData\Local\Temp\OnboardLogs"\RTDC4009\2017-02-06 --exclude "*" --recursive --include "*20170206*" &amp; "%USERPROFILE%\Documents\GitHub\mrs-test-scripts\Headless Mode &amp; Sideloading\WalkAndUnGZ.bat" "%USERPROFILE%\AppData\Local\Temp\OnboardLogs"\RTDC4009\2017-02-06</v>
      </c>
      <c r="AF25" s="82" t="str">
        <f>astrogrep_path&amp;" /spath="&amp;search_path&amp;" /stypes=""app*"&amp;B25&amp;"*"&amp;TEXT(I25-utc_offset/24,"YYYYMMDD")&amp;"*"" /stext="" "&amp;TEXT(I25-utc_offset/24,"HH")&amp;search_regexp&amp;""" /e /r /s"</f>
        <v>"C:\Program Files (x86)\AstroGrep\AstroGrep.exe" /spath="%USERPROFILE%\AppData\Local\Temp\OnboardLogs" /stypes="app*4009*20170205*" /stext=" 12:.+((SYSTEM_STATE.+slice.+state.+changed )|(ment ac)|(multiple cpu faults)|(system.+state.+changed )|(\[timeout)|(PRM\|1\|D)|(kpr)|(kdp)|(\|lc)|(penalty))" /e /r /s</v>
      </c>
      <c r="AG25" s="1" t="str">
        <f>IFERROR(IF(VALUE(LEFT(AD25,2))&lt;=2,"EC",IF(OR(VALUE(LEFT(AD25,2))=8,VALUE(LEFT(AD25,2))=18),"NW","Other")),"Other")</f>
        <v>EC</v>
      </c>
      <c r="AH25" s="86" t="str">
        <f t="shared" si="3"/>
        <v>"%USERPROFILE%\Documents\GitHub\eaglep3\Utilities\RefineRTDCRunTimes.py" --tripid 113-05 --locoid 4009 --swversion DE.1.0.8.0 --startMP 204:466 --initTime 2017-02-05T05:09:37 --startdatetime 2017-02-05T05:15:29 --delay 2 --endMP 204:233353 --enddatetime 2017-02-05T05:54:26 --enforcementcount 0 &gt;&gt;C:\Users\stu\Documents\GitHub\eaglep3-reporting\EC\2017-02-05-refined-times.txt</v>
      </c>
      <c r="AI25" s="108" t="str">
        <f t="shared" si="4"/>
        <v>echo {"issue":{"subject":"","project_id":79,"tracker_id":40,"status_id":1,"priority_id":2,"assigned_to_id":23,"start_date":"2017-02-05","description":"","custom_fields":[{"id":1,"name":"Subdivision","value":"EC"},{"id":4,"name":"Milepost","value":"23.3353"},{"id":17,"name":"Train ID","value":"113-05"},{"id":16,"name":"Locomotive ID","value":"4009"},{"id":130,"name":"Impact","value":""},{"id":150,"name":"Time of Event (Mountain Time)","value":"05:54:26"},{"id":151,"name":"Denver Issue ID","value":""},{"id":178,"name":"Operational Impact","value":"Yes"},{"id":179,"name":"Denver Segment Assigned","value":""}]}} | curl -X POST -H "Content-Type: application/json" -H "X-Redmine-API-Key: d6333d4a04012a730768444271f8ca06482dae87" https://secure.xorail.net/redmine/issues.json --data @-</v>
      </c>
      <c r="AJ25" s="48"/>
      <c r="AK25" s="48"/>
      <c r="AL25" s="48"/>
      <c r="AM25" s="158" t="str">
        <f t="shared" si="5"/>
        <v>start /low /b %USERPROFILE%\Documents\GitHub\eaglep3\Utilities\DownloadLogsFromS3.py --loco 4009 --day 2017-02-05</v>
      </c>
      <c r="AN25" s="167" t="str">
        <f>"grep -SE -B400 ""CHR.+\|PRM\|1\|D.+(SWITCH|SIGNAL).+UNKNOWN"" "&amp;search_path&amp;"\RTDC"&amp;B25&amp;"\*"&amp;B25&amp;"*"&amp;TEXT(AVERAGE(F25,I25)-utc_offset/24,"YYYYMMDD")&amp;"* | grep -SE ""(Enforcement Action)|(\[TIMEOUT)|(CHR.+\|PRM\|1\|D.+(SWITCH|SIGNAL).+UNKNOWN)"" - &gt;&gt; "&amp;TEXT(Variables!$A$2,"YYYY-MM-DD")&amp;"-UncaughtWiMAX.txt"</f>
        <v>grep -SE -B400 "CHR.+\|PRM\|1\|D.+(SWITCH|SIGNAL).+UNKNOWN" "%USERPROFILE%\AppData\Local\Temp\OnboardLogs"\RTDC4009\*4009*20170205* | grep -SE "(Enforcement Action)|(\[TIMEOUT)|(CHR.+\|PRM\|1\|D.+(SWITCH|SIGNAL).+UNKNOWN)" - &gt;&gt; 2017-02-05-UncaughtWiMAX.txt</v>
      </c>
      <c r="AO25"/>
      <c r="AP25"/>
      <c r="AQ25"/>
      <c r="AR25"/>
      <c r="AS25"/>
      <c r="AT25"/>
      <c r="AU25"/>
      <c r="AV25"/>
      <c r="AW25"/>
      <c r="AX25"/>
      <c r="AY25"/>
      <c r="AZ25"/>
      <c r="BA25"/>
      <c r="BB25"/>
      <c r="BC25"/>
      <c r="BD25"/>
      <c r="BE25"/>
      <c r="BF25"/>
      <c r="BG25"/>
      <c r="BH25"/>
      <c r="BI25"/>
      <c r="BJ25"/>
      <c r="BK25"/>
      <c r="BL25"/>
      <c r="BM25"/>
      <c r="BN25"/>
      <c r="BO25"/>
      <c r="BP25"/>
      <c r="BQ25"/>
      <c r="BR25"/>
      <c r="BS25"/>
      <c r="BT25"/>
      <c r="BU25"/>
      <c r="BV25"/>
      <c r="BW25"/>
      <c r="BX25"/>
      <c r="BY25"/>
      <c r="BZ25"/>
      <c r="CA25"/>
      <c r="CB25"/>
      <c r="CC25"/>
      <c r="CD25"/>
      <c r="CE25"/>
      <c r="CF25"/>
      <c r="CG25"/>
      <c r="CH25"/>
      <c r="CI25"/>
      <c r="CJ25"/>
      <c r="CK25"/>
      <c r="CL25"/>
      <c r="CM25"/>
    </row>
    <row r="26" spans="1:91" s="1" customFormat="1" x14ac:dyDescent="0.25">
      <c r="A26" s="33" t="s">
        <v>501</v>
      </c>
      <c r="B26" s="7">
        <v>4010</v>
      </c>
      <c r="C26" s="21" t="s">
        <v>193</v>
      </c>
      <c r="D26" s="21" t="s">
        <v>754</v>
      </c>
      <c r="E26" s="13">
        <v>42771.254618055558</v>
      </c>
      <c r="F26" s="13">
        <v>42771.257824074077</v>
      </c>
      <c r="G26" s="7">
        <v>1</v>
      </c>
      <c r="H26" s="21" t="s">
        <v>213</v>
      </c>
      <c r="I26" s="13">
        <v>42771.28665509259</v>
      </c>
      <c r="J26" s="7">
        <v>0</v>
      </c>
      <c r="K26" s="98" t="str">
        <f>IF(ISEVEN(B26),(B26-1)&amp;"/"&amp;B26,B26&amp;"/"&amp;(B26+1))</f>
        <v>4009/4010</v>
      </c>
      <c r="L26" s="21" t="str">
        <f>VLOOKUP(A26,'Trips&amp;Operators'!$C$1:$G$99999,5,FALSE)</f>
        <v>OUN ZACK</v>
      </c>
      <c r="M26" s="6">
        <f>I26-F26</f>
        <v>2.8831018513301387E-2</v>
      </c>
      <c r="N26" s="7">
        <f>24*60*SUM($M26:$M26)</f>
        <v>41.516666659153998</v>
      </c>
      <c r="O26" s="7"/>
      <c r="P26" s="7"/>
      <c r="Q26" s="22"/>
      <c r="R26" s="22"/>
      <c r="S26" s="31">
        <f>SUM(U26:U26)/IF(AG26="EC",12,1)</f>
        <v>1</v>
      </c>
      <c r="T26" s="46" t="str">
        <f>IF(ISEVEN(LEFT(AD26,4)),"Southbound","NorthBound")</f>
        <v>Southbound</v>
      </c>
      <c r="U26" s="190">
        <f>IF(AG26="EC",COUNTIFS(Variables!$M$2:$M$19,IF(T26="NorthBound","&gt;=","&lt;=")&amp;Y26,Variables!$M$2:$M$19,IF(T26="NorthBound","&lt;=","&gt;=")&amp;Z26),COUNTIFS(Variables!$P$2:$P$19,IF(T26="NorthBound","&gt;=","&lt;=")&amp;Y26,Variables!$P$2:$P$19,IF(T26="NorthBound","&lt;=","&gt;=")&amp;Z26))</f>
        <v>12</v>
      </c>
      <c r="V26" s="191" t="str">
        <f>"https://d0f6bd738d7f1b3e5a7ca70fe4ff75f0.us-east-1.aws.found.io/app/kibana#/discover/Steve-Slow-Train-Analysis-(2080s-and-2083s)?_g="&amp;"(refreshInterval:(display:Off,pause:!f,section:0,value:0),time:(from:'"&amp;TEXT(E26-1/24,"yyyy-MM-DDThh:mm:ss")&amp;utc_offset&amp;"00"&amp;"',mode:absolute,to:'"&amp;TEXT(I26+1/24,"yyyy-MM-DDThh:mm:ss")&amp;utc_offset&amp;"00"&amp;"'))&amp;_a=(columns:!('Locomotive+ID','Data.Head+End+Milepost',Data.Speed,'Data.Locomotive+State','Data.Train+ID',"&amp;"'Data.Warning%2FEnforcement+Type','Data.Target+Start+Milepost','Data.Target+Description','Data.Target+Speed',"&amp;"'Data.Enforcement+Train+Speed','Data.Enforcement+Start+Milepost','Data.Target+Type','Data.Enforcement+Direction+of+Travel','Message+ID',"&amp;"'Data.Body+of+Summary+Text','Data.Head+End+Track+name'),filters:!(),index:'emp_*',interval:auto,query:"&amp;"(query_string:(analyze_wildcard:!t,query:'Message%5C+ID:(2083+OR+2080+OR+1041+OR+2003+OR+1051+OR+1043+OR+1053)+AND+%22rtdc.l.rtdc."&amp;B26&amp;"%22')),sort:!(Time.ISO8601,asc))"</f>
        <v>https://d0f6bd738d7f1b3e5a7ca70fe4ff75f0.us-east-1.aws.found.io/app/kibana#/discover/Steve-Slow-Train-Analysis-(2080s-and-2083s)?_g=(refreshInterval:(display:Off,pause:!f,section:0,value:0),time:(from:'2017-02-05T05:06:39-0700',mode:absolute,to:'2017-02-05T07:52:47-0700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4010%22')),sort:!(Time.ISO8601,asc))</v>
      </c>
      <c r="W26" s="192" t="str">
        <f>IF(AA26&lt;IF(AG26="EC",23,5.65),"Y","N")</f>
        <v>N</v>
      </c>
      <c r="X26" s="192">
        <f>VALUE(LEFT(AD26,4))-VALUE(LEFT(AD25,4))</f>
        <v>1</v>
      </c>
      <c r="Y26" s="62">
        <f>RIGHT(D26,LEN(D26)-4)/10000</f>
        <v>23.3034</v>
      </c>
      <c r="Z26" s="62">
        <f>RIGHT(H26,LEN(H26)-4)/10000</f>
        <v>1.5800000000000002E-2</v>
      </c>
      <c r="AA26" s="62">
        <f>ABS(Z26-Y26)</f>
        <v>23.287600000000001</v>
      </c>
      <c r="AB26" s="59" t="str">
        <f>VLOOKUP(A26,Enforcements!$C$7:$K$16,8,0)</f>
        <v>Form based authority (4)</v>
      </c>
      <c r="AC26" s="55" t="str">
        <f>VLOOKUP(A26,Enforcements!$C$7:$E$16,3,0)</f>
        <v>TRACK WARRANT AUTHORITY</v>
      </c>
      <c r="AD26" s="56" t="str">
        <f>IF(LEN(A26)=6,"0"&amp;A26,A26)</f>
        <v>0114-05</v>
      </c>
      <c r="AE26" s="85" t="str">
        <f>"aws s3 cp "&amp;s3_bucket&amp;"/RTDC"&amp;B26&amp;"/ "&amp;search_path&amp;"\RTDC"&amp;B26&amp;"\"&amp;TEXT(F26,"YYYY-MM-DD")&amp;" --exclude ""*"" --recursive --include ""*"&amp;TEXT(F26,"YYYYMMDD")&amp;"*"" &amp; """&amp;walkandungz&amp;""" "&amp;search_path&amp;"\RTDC"&amp;B26&amp;"\"&amp;TEXT(F26,"YYYY-MM-DD")
&amp;" &amp; "&amp;"aws s3 cp "&amp;s3_bucket&amp;"/RTDC"&amp;B26&amp;"/ "&amp;search_path&amp;"\RTDC"&amp;B26&amp;"\"&amp;TEXT(F26+1,"YYYY-MM-DD")&amp;" --exclude ""*"" --recursive --include ""*"&amp;TEXT(F26+1,"YYYYMMDD")&amp;"*"" &amp; """&amp;walkandungz&amp;""" "&amp;search_path&amp;"\RTDC"&amp;B26&amp;"\"&amp;TEXT(F26+1,"YYYY-MM-DD")</f>
        <v>aws s3 cp s3://rtdc.mdm.uploadarchive.raw/RTDC4010/ "%USERPROFILE%\AppData\Local\Temp\OnboardLogs"\RTDC4010\2017-02-05 --exclude "*" --recursive --include "*20170205*" &amp; "%USERPROFILE%\Documents\GitHub\mrs-test-scripts\Headless Mode &amp; Sideloading\WalkAndUnGZ.bat" "%USERPROFILE%\AppData\Local\Temp\OnboardLogs"\RTDC4010\2017-02-05 &amp; aws s3 cp s3://rtdc.mdm.uploadarchive.raw/RTDC4010/ "%USERPROFILE%\AppData\Local\Temp\OnboardLogs"\RTDC4010\2017-02-06 --exclude "*" --recursive --include "*20170206*" &amp; "%USERPROFILE%\Documents\GitHub\mrs-test-scripts\Headless Mode &amp; Sideloading\WalkAndUnGZ.bat" "%USERPROFILE%\AppData\Local\Temp\OnboardLogs"\RTDC4010\2017-02-06</v>
      </c>
      <c r="AF26" s="82" t="str">
        <f>astrogrep_path&amp;" /spath="&amp;search_path&amp;" /stypes=""app*"&amp;B26&amp;"*"&amp;TEXT(I26-utc_offset/24,"YYYYMMDD")&amp;"*"" /stext="" "&amp;TEXT(I26-utc_offset/24,"HH")&amp;search_regexp&amp;""" /e /r /s"</f>
        <v>"C:\Program Files (x86)\AstroGrep\AstroGrep.exe" /spath="%USERPROFILE%\AppData\Local\Temp\OnboardLogs" /stypes="app*4010*20170205*" /stext=" 13:.+((SYSTEM_STATE.+slice.+state.+changed )|(ment ac)|(multiple cpu faults)|(system.+state.+changed )|(\[timeout)|(PRM\|1\|D)|(kpr)|(kdp)|(\|lc)|(penalty))" /e /r /s</v>
      </c>
      <c r="AG26" s="1" t="str">
        <f>IFERROR(IF(VALUE(LEFT(AD26,2))&lt;=2,"EC",IF(OR(VALUE(LEFT(AD26,2))=8,VALUE(LEFT(AD26,2))=18),"NW","Other")),"Other")</f>
        <v>EC</v>
      </c>
      <c r="AH26" s="86" t="str">
        <f t="shared" si="3"/>
        <v>"%USERPROFILE%\Documents\GitHub\eaglep3\Utilities\RefineRTDCRunTimes.py" --tripid 114-05 --locoid 4010 --swversion DE.1.0.8.0 --startMP 204:233034 --initTime 2017-02-05T06:06:39 --startdatetime 2017-02-05T06:11:16 --delay 1 --endMP 204:158 --enddatetime 2017-02-05T06:52:47 --enforcementcount 0 &gt;&gt;C:\Users\stu\Documents\GitHub\eaglep3-reporting\EC\2017-02-05-refined-times.txt</v>
      </c>
      <c r="AI26" s="108" t="str">
        <f t="shared" si="4"/>
        <v>echo {"issue":{"subject":"","project_id":79,"tracker_id":40,"status_id":1,"priority_id":2,"assigned_to_id":23,"start_date":"2017-02-05","description":"","custom_fields":[{"id":1,"name":"Subdivision","value":"EC"},{"id":4,"name":"Milepost","value":"0.0158"},{"id":17,"name":"Train ID","value":"114-05"},{"id":16,"name":"Locomotive ID","value":"4010"},{"id":130,"name":"Impact","value":""},{"id":150,"name":"Time of Event (Mountain Time)","value":"06:52:47"},{"id":151,"name":"Denver Issue ID","value":""},{"id":178,"name":"Operational Impact","value":"Yes"},{"id":179,"name":"Denver Segment Assigned","value":""}]}} | curl -X POST -H "Content-Type: application/json" -H "X-Redmine-API-Key: d6333d4a04012a730768444271f8ca06482dae87" https://secure.xorail.net/redmine/issues.json --data @-</v>
      </c>
      <c r="AJ26" s="48"/>
      <c r="AK26" s="48"/>
      <c r="AL26" s="48"/>
      <c r="AM26" s="158" t="str">
        <f t="shared" si="5"/>
        <v>start /low /b %USERPROFILE%\Documents\GitHub\eaglep3\Utilities\DownloadLogsFromS3.py --loco 4010 --day 2017-02-05</v>
      </c>
      <c r="AN26" s="167" t="str">
        <f>"grep -SE -B400 ""CHR.+\|PRM\|1\|D.+(SWITCH|SIGNAL).+UNKNOWN"" "&amp;search_path&amp;"\RTDC"&amp;B26&amp;"\*"&amp;B26&amp;"*"&amp;TEXT(AVERAGE(F26,I26)-utc_offset/24,"YYYYMMDD")&amp;"* | grep -SE ""(Enforcement Action)|(\[TIMEOUT)|(CHR.+\|PRM\|1\|D.+(SWITCH|SIGNAL).+UNKNOWN)"" - &gt;&gt; "&amp;TEXT(Variables!$A$2,"YYYY-MM-DD")&amp;"-UncaughtWiMAX.txt"</f>
        <v>grep -SE -B400 "CHR.+\|PRM\|1\|D.+(SWITCH|SIGNAL).+UNKNOWN" "%USERPROFILE%\AppData\Local\Temp\OnboardLogs"\RTDC4010\*4010*20170205* | grep -SE "(Enforcement Action)|(\[TIMEOUT)|(CHR.+\|PRM\|1\|D.+(SWITCH|SIGNAL).+UNKNOWN)" - &gt;&gt; 2017-02-05-UncaughtWiMAX.txt</v>
      </c>
      <c r="AO26"/>
      <c r="AP26"/>
      <c r="AQ26"/>
      <c r="AR26"/>
      <c r="AS26"/>
      <c r="AT26"/>
      <c r="AU26"/>
      <c r="AV26"/>
      <c r="AW26"/>
      <c r="AX26"/>
      <c r="AY26"/>
      <c r="AZ26"/>
      <c r="BA26"/>
      <c r="BB26"/>
      <c r="BC26"/>
      <c r="BD26"/>
      <c r="BE26"/>
      <c r="BF26"/>
      <c r="BG26"/>
      <c r="BH26"/>
      <c r="BI26"/>
      <c r="BJ26"/>
      <c r="BK26"/>
      <c r="BL26"/>
      <c r="BM26"/>
      <c r="BN26"/>
      <c r="BO26"/>
      <c r="BP26"/>
      <c r="BQ26"/>
      <c r="BR26"/>
      <c r="BS26"/>
      <c r="BT26"/>
      <c r="BU26"/>
      <c r="BV26"/>
      <c r="BW26"/>
      <c r="BX26"/>
      <c r="BY26"/>
      <c r="BZ26"/>
      <c r="CA26"/>
      <c r="CB26"/>
      <c r="CC26"/>
      <c r="CD26"/>
      <c r="CE26"/>
      <c r="CF26"/>
      <c r="CG26"/>
      <c r="CH26"/>
      <c r="CI26"/>
      <c r="CJ26"/>
      <c r="CK26"/>
      <c r="CL26"/>
      <c r="CM26"/>
    </row>
    <row r="27" spans="1:91" s="1" customFormat="1" x14ac:dyDescent="0.25">
      <c r="A27" s="33" t="s">
        <v>558</v>
      </c>
      <c r="B27" s="7">
        <v>4040</v>
      </c>
      <c r="C27" s="21" t="s">
        <v>193</v>
      </c>
      <c r="D27" s="21" t="s">
        <v>755</v>
      </c>
      <c r="E27" s="13">
        <v>42771.226759259262</v>
      </c>
      <c r="F27" s="13">
        <v>42771.229351851849</v>
      </c>
      <c r="G27" s="7">
        <v>1</v>
      </c>
      <c r="H27" s="21" t="s">
        <v>756</v>
      </c>
      <c r="I27" s="13">
        <v>42771.255624999998</v>
      </c>
      <c r="J27" s="7">
        <v>0</v>
      </c>
      <c r="K27" s="98" t="str">
        <f>IF(ISEVEN(B27),(B27-1)&amp;"/"&amp;B27,B27&amp;"/"&amp;(B27+1))</f>
        <v>4039/4040</v>
      </c>
      <c r="L27" s="21" t="str">
        <f>VLOOKUP(A27,'Trips&amp;Operators'!$C$1:$G$99999,5,FALSE)</f>
        <v>SHOOK JOHN</v>
      </c>
      <c r="M27" s="6">
        <f>I27-F27</f>
        <v>2.6273148148902692E-2</v>
      </c>
      <c r="N27" s="7">
        <f>24*60*SUM($M27:$M27)</f>
        <v>37.833333334419876</v>
      </c>
      <c r="O27" s="7"/>
      <c r="P27" s="7"/>
      <c r="Q27" s="22"/>
      <c r="R27" s="22"/>
      <c r="S27" s="31">
        <f>SUM(U27:U27)/IF(AG27="EC",12,1)</f>
        <v>1</v>
      </c>
      <c r="T27" s="46" t="str">
        <f>IF(ISEVEN(LEFT(AD27,4)),"Southbound","NorthBound")</f>
        <v>NorthBound</v>
      </c>
      <c r="U27" s="190">
        <f>IF(AG27="EC",COUNTIFS(Variables!$M$2:$M$19,IF(T27="NorthBound","&gt;=","&lt;=")&amp;Y27,Variables!$M$2:$M$19,IF(T27="NorthBound","&lt;=","&gt;=")&amp;Z27),COUNTIFS(Variables!$P$2:$P$19,IF(T27="NorthBound","&gt;=","&lt;=")&amp;Y27,Variables!$P$2:$P$19,IF(T27="NorthBound","&lt;=","&gt;=")&amp;Z27))</f>
        <v>12</v>
      </c>
      <c r="V27" s="191" t="str">
        <f>"https://d0f6bd738d7f1b3e5a7ca70fe4ff75f0.us-east-1.aws.found.io/app/kibana#/discover/Steve-Slow-Train-Analysis-(2080s-and-2083s)?_g="&amp;"(refreshInterval:(display:Off,pause:!f,section:0,value:0),time:(from:'"&amp;TEXT(E27-1/24,"yyyy-MM-DDThh:mm:ss")&amp;utc_offset&amp;"00"&amp;"',mode:absolute,to:'"&amp;TEXT(I27+1/24,"yyyy-MM-DDThh:mm:ss")&amp;utc_offset&amp;"00"&amp;"'))&amp;_a=(columns:!('Locomotive+ID','Data.Head+End+Milepost',Data.Speed,'Data.Locomotive+State','Data.Train+ID',"&amp;"'Data.Warning%2FEnforcement+Type','Data.Target+Start+Milepost','Data.Target+Description','Data.Target+Speed',"&amp;"'Data.Enforcement+Train+Speed','Data.Enforcement+Start+Milepost','Data.Target+Type','Data.Enforcement+Direction+of+Travel','Message+ID',"&amp;"'Data.Body+of+Summary+Text','Data.Head+End+Track+name'),filters:!(),index:'emp_*',interval:auto,query:"&amp;"(query_string:(analyze_wildcard:!t,query:'Message%5C+ID:(2083+OR+2080+OR+1041+OR+2003+OR+1051+OR+1043+OR+1053)+AND+%22rtdc.l.rtdc."&amp;B27&amp;"%22')),sort:!(Time.ISO8601,asc))"</f>
        <v>https://d0f6bd738d7f1b3e5a7ca70fe4ff75f0.us-east-1.aws.found.io/app/kibana#/discover/Steve-Slow-Train-Analysis-(2080s-and-2083s)?_g=(refreshInterval:(display:Off,pause:!f,section:0,value:0),time:(from:'2017-02-05T04:26:32-0700',mode:absolute,to:'2017-02-05T07:08:06-0700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4040%22')),sort:!(Time.ISO8601,asc))</v>
      </c>
      <c r="W27" s="192" t="str">
        <f>IF(AA27&lt;IF(AG27="EC",23,5.65),"Y","N")</f>
        <v>N</v>
      </c>
      <c r="X27" s="192">
        <f>VALUE(LEFT(AD27,4))-VALUE(LEFT(AD26,4))</f>
        <v>1</v>
      </c>
      <c r="Y27" s="62">
        <f>RIGHT(D27,LEN(D27)-4)/10000</f>
        <v>7.4300000000000005E-2</v>
      </c>
      <c r="Z27" s="62">
        <f>RIGHT(H27,LEN(H27)-4)/10000</f>
        <v>23.332599999999999</v>
      </c>
      <c r="AA27" s="62">
        <f>ABS(Z27-Y27)</f>
        <v>23.258299999999998</v>
      </c>
      <c r="AB27" s="59" t="e">
        <f>VLOOKUP(A27,Enforcements!$C$7:$K$16,8,0)</f>
        <v>#N/A</v>
      </c>
      <c r="AC27" s="55" t="e">
        <f>VLOOKUP(A27,Enforcements!$C$7:$E$16,3,0)</f>
        <v>#N/A</v>
      </c>
      <c r="AD27" s="56" t="str">
        <f>IF(LEN(A27)=6,"0"&amp;A27,A27)</f>
        <v>0115-05</v>
      </c>
      <c r="AE27" s="85" t="str">
        <f>"aws s3 cp "&amp;s3_bucket&amp;"/RTDC"&amp;B27&amp;"/ "&amp;search_path&amp;"\RTDC"&amp;B27&amp;"\"&amp;TEXT(F27,"YYYY-MM-DD")&amp;" --exclude ""*"" --recursive --include ""*"&amp;TEXT(F27,"YYYYMMDD")&amp;"*"" &amp; """&amp;walkandungz&amp;""" "&amp;search_path&amp;"\RTDC"&amp;B27&amp;"\"&amp;TEXT(F27,"YYYY-MM-DD")
&amp;" &amp; "&amp;"aws s3 cp "&amp;s3_bucket&amp;"/RTDC"&amp;B27&amp;"/ "&amp;search_path&amp;"\RTDC"&amp;B27&amp;"\"&amp;TEXT(F27+1,"YYYY-MM-DD")&amp;" --exclude ""*"" --recursive --include ""*"&amp;TEXT(F27+1,"YYYYMMDD")&amp;"*"" &amp; """&amp;walkandungz&amp;""" "&amp;search_path&amp;"\RTDC"&amp;B27&amp;"\"&amp;TEXT(F27+1,"YYYY-MM-DD")</f>
        <v>aws s3 cp s3://rtdc.mdm.uploadarchive.raw/RTDC4040/ "%USERPROFILE%\AppData\Local\Temp\OnboardLogs"\RTDC4040\2017-02-05 --exclude "*" --recursive --include "*20170205*" &amp; "%USERPROFILE%\Documents\GitHub\mrs-test-scripts\Headless Mode &amp; Sideloading\WalkAndUnGZ.bat" "%USERPROFILE%\AppData\Local\Temp\OnboardLogs"\RTDC4040\2017-02-05 &amp; aws s3 cp s3://rtdc.mdm.uploadarchive.raw/RTDC4040/ "%USERPROFILE%\AppData\Local\Temp\OnboardLogs"\RTDC4040\2017-02-06 --exclude "*" --recursive --include "*20170206*" &amp; "%USERPROFILE%\Documents\GitHub\mrs-test-scripts\Headless Mode &amp; Sideloading\WalkAndUnGZ.bat" "%USERPROFILE%\AppData\Local\Temp\OnboardLogs"\RTDC4040\2017-02-06</v>
      </c>
      <c r="AF27" s="82" t="str">
        <f>astrogrep_path&amp;" /spath="&amp;search_path&amp;" /stypes=""app*"&amp;B27&amp;"*"&amp;TEXT(I27-utc_offset/24,"YYYYMMDD")&amp;"*"" /stext="" "&amp;TEXT(I27-utc_offset/24,"HH")&amp;search_regexp&amp;""" /e /r /s"</f>
        <v>"C:\Program Files (x86)\AstroGrep\AstroGrep.exe" /spath="%USERPROFILE%\AppData\Local\Temp\OnboardLogs" /stypes="app*4040*20170205*" /stext=" 13:.+((SYSTEM_STATE.+slice.+state.+changed )|(ment ac)|(multiple cpu faults)|(system.+state.+changed )|(\[timeout)|(PRM\|1\|D)|(kpr)|(kdp)|(\|lc)|(penalty))" /e /r /s</v>
      </c>
      <c r="AG27" s="1" t="str">
        <f>IFERROR(IF(VALUE(LEFT(AD27,2))&lt;=2,"EC",IF(OR(VALUE(LEFT(AD27,2))=8,VALUE(LEFT(AD27,2))=18),"NW","Other")),"Other")</f>
        <v>EC</v>
      </c>
      <c r="AH27" s="86" t="str">
        <f t="shared" si="3"/>
        <v>"%USERPROFILE%\Documents\GitHub\eaglep3\Utilities\RefineRTDCRunTimes.py" --tripid 115-05 --locoid 4040 --swversion DE.1.0.8.0 --startMP 204:743 --initTime 2017-02-05T05:26:32 --startdatetime 2017-02-05T05:30:16 --delay 1 --endMP 204:233326 --enddatetime 2017-02-05T06:08:06 --enforcementcount 0 &gt;&gt;C:\Users\stu\Documents\GitHub\eaglep3-reporting\EC\2017-02-05-refined-times.txt</v>
      </c>
      <c r="AI27" s="108" t="str">
        <f t="shared" si="4"/>
        <v>echo {"issue":{"subject":"","project_id":79,"tracker_id":40,"status_id":1,"priority_id":2,"assigned_to_id":23,"start_date":"2017-02-05","description":"","custom_fields":[{"id":1,"name":"Subdivision","value":"EC"},{"id":4,"name":"Milepost","value":"23.3326"},{"id":17,"name":"Train ID","value":"115-05"},{"id":16,"name":"Locomotive ID","value":"4040"},{"id":130,"name":"Impact","value":""},{"id":150,"name":"Time of Event (Mountain Time)","value":"06:08:06"},{"id":151,"name":"Denver Issue ID","value":""},{"id":178,"name":"Operational Impact","value":"Yes"},{"id":179,"name":"Denver Segment Assigned","value":""}]}} | curl -X POST -H "Content-Type: application/json" -H "X-Redmine-API-Key: d6333d4a04012a730768444271f8ca06482dae87" https://secure.xorail.net/redmine/issues.json --data @-</v>
      </c>
      <c r="AJ27" s="48"/>
      <c r="AK27" s="48"/>
      <c r="AL27" s="48"/>
      <c r="AM27" s="158" t="str">
        <f t="shared" si="5"/>
        <v>start /low /b %USERPROFILE%\Documents\GitHub\eaglep3\Utilities\DownloadLogsFromS3.py --loco 4040 --day 2017-02-05</v>
      </c>
      <c r="AN27" s="167" t="str">
        <f>"grep -SE -B400 ""CHR.+\|PRM\|1\|D.+(SWITCH|SIGNAL).+UNKNOWN"" "&amp;search_path&amp;"\RTDC"&amp;B27&amp;"\*"&amp;B27&amp;"*"&amp;TEXT(AVERAGE(F27,I27)-utc_offset/24,"YYYYMMDD")&amp;"* | grep -SE ""(Enforcement Action)|(\[TIMEOUT)|(CHR.+\|PRM\|1\|D.+(SWITCH|SIGNAL).+UNKNOWN)"" - &gt;&gt; "&amp;TEXT(Variables!$A$2,"YYYY-MM-DD")&amp;"-UncaughtWiMAX.txt"</f>
        <v>grep -SE -B400 "CHR.+\|PRM\|1\|D.+(SWITCH|SIGNAL).+UNKNOWN" "%USERPROFILE%\AppData\Local\Temp\OnboardLogs"\RTDC4040\*4040*20170205* | grep -SE "(Enforcement Action)|(\[TIMEOUT)|(CHR.+\|PRM\|1\|D.+(SWITCH|SIGNAL).+UNKNOWN)" - &gt;&gt; 2017-02-05-UncaughtWiMAX.txt</v>
      </c>
      <c r="AO27"/>
      <c r="AP27"/>
      <c r="AQ27"/>
      <c r="AR27"/>
      <c r="AS27"/>
      <c r="AT27"/>
      <c r="AU27"/>
      <c r="AV27"/>
      <c r="AW27"/>
      <c r="AX27"/>
      <c r="AY27"/>
      <c r="AZ27"/>
      <c r="BA27"/>
      <c r="BB27"/>
      <c r="BC27"/>
      <c r="BD27"/>
      <c r="BE27"/>
      <c r="BF27"/>
      <c r="BG27"/>
      <c r="BH27"/>
      <c r="BI27"/>
      <c r="BJ27"/>
      <c r="BK27"/>
      <c r="BL27"/>
      <c r="BM27"/>
      <c r="BN27"/>
      <c r="BO27"/>
      <c r="BP27"/>
      <c r="BQ27"/>
      <c r="BR27"/>
      <c r="BS27"/>
      <c r="BT27"/>
      <c r="BU27"/>
      <c r="BV27"/>
      <c r="BW27"/>
      <c r="BX27"/>
      <c r="BY27"/>
      <c r="BZ27"/>
      <c r="CA27"/>
      <c r="CB27"/>
      <c r="CC27"/>
      <c r="CD27"/>
      <c r="CE27"/>
      <c r="CF27"/>
      <c r="CG27"/>
      <c r="CH27"/>
      <c r="CI27"/>
      <c r="CJ27"/>
      <c r="CK27"/>
      <c r="CL27"/>
      <c r="CM27"/>
    </row>
    <row r="28" spans="1:91" s="1" customFormat="1" x14ac:dyDescent="0.25">
      <c r="A28" s="33" t="s">
        <v>567</v>
      </c>
      <c r="B28" s="7">
        <v>4039</v>
      </c>
      <c r="C28" s="21" t="s">
        <v>193</v>
      </c>
      <c r="D28" s="21" t="s">
        <v>757</v>
      </c>
      <c r="E28" s="13">
        <v>42771.257569444446</v>
      </c>
      <c r="F28" s="13">
        <v>42771.268240740741</v>
      </c>
      <c r="G28" s="7">
        <v>16</v>
      </c>
      <c r="H28" s="21" t="s">
        <v>758</v>
      </c>
      <c r="I28" s="13">
        <v>42771.29587962963</v>
      </c>
      <c r="J28" s="7">
        <v>0</v>
      </c>
      <c r="K28" s="98" t="str">
        <f>IF(ISEVEN(B28),(B28-1)&amp;"/"&amp;B28,B28&amp;"/"&amp;(B28+1))</f>
        <v>4039/4040</v>
      </c>
      <c r="L28" s="21" t="str">
        <f>VLOOKUP(A28,'Trips&amp;Operators'!$C$1:$G$99999,5,FALSE)</f>
        <v>SHOOK JOHN</v>
      </c>
      <c r="M28" s="6">
        <f>I28-F28</f>
        <v>2.7638888888759539E-2</v>
      </c>
      <c r="N28" s="7">
        <f>24*60*SUM($M28:$M28)</f>
        <v>39.799999999813735</v>
      </c>
      <c r="O28" s="7"/>
      <c r="P28" s="7"/>
      <c r="Q28" s="22"/>
      <c r="R28" s="22"/>
      <c r="S28" s="31">
        <f>SUM(U28:U28)/IF(AG28="EC",12,1)</f>
        <v>1</v>
      </c>
      <c r="T28" s="46" t="str">
        <f>IF(ISEVEN(LEFT(AD28,4)),"Southbound","NorthBound")</f>
        <v>Southbound</v>
      </c>
      <c r="U28" s="190">
        <f>IF(AG28="EC",COUNTIFS(Variables!$M$2:$M$19,IF(T28="NorthBound","&gt;=","&lt;=")&amp;Y28,Variables!$M$2:$M$19,IF(T28="NorthBound","&lt;=","&gt;=")&amp;Z28),COUNTIFS(Variables!$P$2:$P$19,IF(T28="NorthBound","&gt;=","&lt;=")&amp;Y28,Variables!$P$2:$P$19,IF(T28="NorthBound","&lt;=","&gt;=")&amp;Z28))</f>
        <v>12</v>
      </c>
      <c r="V28" s="191" t="str">
        <f>"https://d0f6bd738d7f1b3e5a7ca70fe4ff75f0.us-east-1.aws.found.io/app/kibana#/discover/Steve-Slow-Train-Analysis-(2080s-and-2083s)?_g="&amp;"(refreshInterval:(display:Off,pause:!f,section:0,value:0),time:(from:'"&amp;TEXT(E28-1/24,"yyyy-MM-DDThh:mm:ss")&amp;utc_offset&amp;"00"&amp;"',mode:absolute,to:'"&amp;TEXT(I28+1/24,"yyyy-MM-DDThh:mm:ss")&amp;utc_offset&amp;"00"&amp;"'))&amp;_a=(columns:!('Locomotive+ID','Data.Head+End+Milepost',Data.Speed,'Data.Locomotive+State','Data.Train+ID',"&amp;"'Data.Warning%2FEnforcement+Type','Data.Target+Start+Milepost','Data.Target+Description','Data.Target+Speed',"&amp;"'Data.Enforcement+Train+Speed','Data.Enforcement+Start+Milepost','Data.Target+Type','Data.Enforcement+Direction+of+Travel','Message+ID',"&amp;"'Data.Body+of+Summary+Text','Data.Head+End+Track+name'),filters:!(),index:'emp_*',interval:auto,query:"&amp;"(query_string:(analyze_wildcard:!t,query:'Message%5C+ID:(2083+OR+2080+OR+1041+OR+2003+OR+1051+OR+1043+OR+1053)+AND+%22rtdc.l.rtdc."&amp;B28&amp;"%22')),sort:!(Time.ISO8601,asc))"</f>
        <v>https://d0f6bd738d7f1b3e5a7ca70fe4ff75f0.us-east-1.aws.found.io/app/kibana#/discover/Steve-Slow-Train-Analysis-(2080s-and-2083s)?_g=(refreshInterval:(display:Off,pause:!f,section:0,value:0),time:(from:'2017-02-05T05:10:54-0700',mode:absolute,to:'2017-02-05T08:06:04-0700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4039%22')),sort:!(Time.ISO8601,asc))</v>
      </c>
      <c r="W28" s="192" t="str">
        <f>IF(AA28&lt;IF(AG28="EC",23,5.65),"Y","N")</f>
        <v>N</v>
      </c>
      <c r="X28" s="192">
        <f t="shared" ref="X28:X31" si="6">VALUE(LEFT(AD28,4))-VALUE(LEFT(AD27,4))</f>
        <v>1</v>
      </c>
      <c r="Y28" s="62">
        <f>RIGHT(D28,LEN(D28)-4)/10000</f>
        <v>23.1083</v>
      </c>
      <c r="Z28" s="62">
        <f>RIGHT(H28,LEN(H28)-4)/10000</f>
        <v>1.61E-2</v>
      </c>
      <c r="AA28" s="62">
        <f>ABS(Z28-Y28)</f>
        <v>23.092199999999998</v>
      </c>
      <c r="AB28" s="59" t="e">
        <f>VLOOKUP(A28,Enforcements!$C$7:$K$16,8,0)</f>
        <v>#N/A</v>
      </c>
      <c r="AC28" s="55" t="e">
        <f>VLOOKUP(A28,Enforcements!$C$7:$E$16,3,0)</f>
        <v>#N/A</v>
      </c>
      <c r="AD28" s="56" t="str">
        <f>IF(LEN(A28)=6,"0"&amp;A28,A28)</f>
        <v>0116-05</v>
      </c>
      <c r="AE28" s="85" t="str">
        <f>"aws s3 cp "&amp;s3_bucket&amp;"/RTDC"&amp;B28&amp;"/ "&amp;search_path&amp;"\RTDC"&amp;B28&amp;"\"&amp;TEXT(F28,"YYYY-MM-DD")&amp;" --exclude ""*"" --recursive --include ""*"&amp;TEXT(F28,"YYYYMMDD")&amp;"*"" &amp; """&amp;walkandungz&amp;""" "&amp;search_path&amp;"\RTDC"&amp;B28&amp;"\"&amp;TEXT(F28,"YYYY-MM-DD")
&amp;" &amp; "&amp;"aws s3 cp "&amp;s3_bucket&amp;"/RTDC"&amp;B28&amp;"/ "&amp;search_path&amp;"\RTDC"&amp;B28&amp;"\"&amp;TEXT(F28+1,"YYYY-MM-DD")&amp;" --exclude ""*"" --recursive --include ""*"&amp;TEXT(F28+1,"YYYYMMDD")&amp;"*"" &amp; """&amp;walkandungz&amp;""" "&amp;search_path&amp;"\RTDC"&amp;B28&amp;"\"&amp;TEXT(F28+1,"YYYY-MM-DD")</f>
        <v>aws s3 cp s3://rtdc.mdm.uploadarchive.raw/RTDC4039/ "%USERPROFILE%\AppData\Local\Temp\OnboardLogs"\RTDC4039\2017-02-05 --exclude "*" --recursive --include "*20170205*" &amp; "%USERPROFILE%\Documents\GitHub\mrs-test-scripts\Headless Mode &amp; Sideloading\WalkAndUnGZ.bat" "%USERPROFILE%\AppData\Local\Temp\OnboardLogs"\RTDC4039\2017-02-05 &amp; aws s3 cp s3://rtdc.mdm.uploadarchive.raw/RTDC4039/ "%USERPROFILE%\AppData\Local\Temp\OnboardLogs"\RTDC4039\2017-02-06 --exclude "*" --recursive --include "*20170206*" &amp; "%USERPROFILE%\Documents\GitHub\mrs-test-scripts\Headless Mode &amp; Sideloading\WalkAndUnGZ.bat" "%USERPROFILE%\AppData\Local\Temp\OnboardLogs"\RTDC4039\2017-02-06</v>
      </c>
      <c r="AF28" s="82" t="str">
        <f>astrogrep_path&amp;" /spath="&amp;search_path&amp;" /stypes=""app*"&amp;B28&amp;"*"&amp;TEXT(I28-utc_offset/24,"YYYYMMDD")&amp;"*"" /stext="" "&amp;TEXT(I28-utc_offset/24,"HH")&amp;search_regexp&amp;""" /e /r /s"</f>
        <v>"C:\Program Files (x86)\AstroGrep\AstroGrep.exe" /spath="%USERPROFILE%\AppData\Local\Temp\OnboardLogs" /stypes="app*4039*20170205*" /stext=" 14:.+((SYSTEM_STATE.+slice.+state.+changed )|(ment ac)|(multiple cpu faults)|(system.+state.+changed )|(\[timeout)|(PRM\|1\|D)|(kpr)|(kdp)|(\|lc)|(penalty))" /e /r /s</v>
      </c>
      <c r="AG28" s="1" t="str">
        <f>IFERROR(IF(VALUE(LEFT(AD28,2))&lt;=2,"EC",IF(OR(VALUE(LEFT(AD28,2))=8,VALUE(LEFT(AD28,2))=18),"NW","Other")),"Other")</f>
        <v>EC</v>
      </c>
      <c r="AH28" s="86" t="str">
        <f t="shared" si="3"/>
        <v>"%USERPROFILE%\Documents\GitHub\eaglep3\Utilities\RefineRTDCRunTimes.py" --tripid 116-05 --locoid 4039 --swversion DE.1.0.8.0 --startMP 204:231083 --initTime 2017-02-05T06:10:54 --startdatetime 2017-02-05T06:26:16 --delay 16 --endMP 204:161 --enddatetime 2017-02-05T07:06:04 --enforcementcount 0 &gt;&gt;C:\Users\stu\Documents\GitHub\eaglep3-reporting\EC\2017-02-05-refined-times.txt</v>
      </c>
      <c r="AI28" s="108" t="str">
        <f t="shared" si="4"/>
        <v>echo {"issue":{"subject":"","project_id":79,"tracker_id":40,"status_id":1,"priority_id":2,"assigned_to_id":23,"start_date":"2017-02-05","description":"","custom_fields":[{"id":1,"name":"Subdivision","value":"EC"},{"id":4,"name":"Milepost","value":"0.0161"},{"id":17,"name":"Train ID","value":"116-05"},{"id":16,"name":"Locomotive ID","value":"4039"},{"id":130,"name":"Impact","value":""},{"id":150,"name":"Time of Event (Mountain Time)","value":"07:06:04"},{"id":151,"name":"Denver Issue ID","value":""},{"id":178,"name":"Operational Impact","value":"Yes"},{"id":179,"name":"Denver Segment Assigned","value":""}]}} | curl -X POST -H "Content-Type: application/json" -H "X-Redmine-API-Key: d6333d4a04012a730768444271f8ca06482dae87" https://secure.xorail.net/redmine/issues.json --data @-</v>
      </c>
      <c r="AJ28" s="48"/>
      <c r="AK28" s="48"/>
      <c r="AL28" s="48"/>
      <c r="AM28" s="158" t="str">
        <f t="shared" si="5"/>
        <v>start /low /b %USERPROFILE%\Documents\GitHub\eaglep3\Utilities\DownloadLogsFromS3.py --loco 4039 --day 2017-02-05</v>
      </c>
      <c r="AN28" s="167" t="str">
        <f>"grep -SE -B400 ""CHR.+\|PRM\|1\|D.+(SWITCH|SIGNAL).+UNKNOWN"" "&amp;search_path&amp;"\RTDC"&amp;B28&amp;"\*"&amp;B28&amp;"*"&amp;TEXT(AVERAGE(F28,I28)-utc_offset/24,"YYYYMMDD")&amp;"* | grep -SE ""(Enforcement Action)|(\[TIMEOUT)|(CHR.+\|PRM\|1\|D.+(SWITCH|SIGNAL).+UNKNOWN)"" - &gt;&gt; "&amp;TEXT(Variables!$A$2,"YYYY-MM-DD")&amp;"-UncaughtWiMAX.txt"</f>
        <v>grep -SE -B400 "CHR.+\|PRM\|1\|D.+(SWITCH|SIGNAL).+UNKNOWN" "%USERPROFILE%\AppData\Local\Temp\OnboardLogs"\RTDC4039\*4039*20170205* | grep -SE "(Enforcement Action)|(\[TIMEOUT)|(CHR.+\|PRM\|1\|D.+(SWITCH|SIGNAL).+UNKNOWN)" - &gt;&gt; 2017-02-05-UncaughtWiMAX.txt</v>
      </c>
      <c r="AO28"/>
      <c r="AP28"/>
      <c r="AQ28"/>
      <c r="AR28"/>
      <c r="AS28"/>
      <c r="AT28"/>
      <c r="AU28"/>
      <c r="AV28"/>
      <c r="AW28"/>
      <c r="AX28"/>
      <c r="AY28"/>
      <c r="AZ28"/>
      <c r="BA28"/>
      <c r="BB28"/>
      <c r="BC28"/>
      <c r="BD28"/>
      <c r="BE28"/>
      <c r="BF28"/>
      <c r="BG28"/>
      <c r="BH28"/>
      <c r="BI28"/>
      <c r="BJ28"/>
      <c r="BK28"/>
      <c r="BL28"/>
      <c r="BM28"/>
      <c r="BN28"/>
      <c r="BO28"/>
      <c r="BP28"/>
      <c r="BQ28"/>
      <c r="BR28"/>
      <c r="BS28"/>
      <c r="BT28"/>
      <c r="BU28"/>
      <c r="BV28"/>
      <c r="BW28"/>
      <c r="BX28"/>
      <c r="BY28"/>
      <c r="BZ28"/>
      <c r="CA28"/>
      <c r="CB28"/>
      <c r="CC28"/>
      <c r="CD28"/>
      <c r="CE28"/>
      <c r="CF28"/>
      <c r="CG28"/>
      <c r="CH28"/>
      <c r="CI28"/>
      <c r="CJ28"/>
      <c r="CK28"/>
      <c r="CL28"/>
      <c r="CM28"/>
    </row>
    <row r="29" spans="1:91" s="1" customFormat="1" x14ac:dyDescent="0.25">
      <c r="A29" s="33" t="s">
        <v>559</v>
      </c>
      <c r="B29" s="7">
        <v>4025</v>
      </c>
      <c r="C29" s="21" t="s">
        <v>193</v>
      </c>
      <c r="D29" s="21" t="s">
        <v>760</v>
      </c>
      <c r="E29" s="13">
        <v>42771.227638888886</v>
      </c>
      <c r="F29" s="13">
        <v>42771.239837962959</v>
      </c>
      <c r="G29" s="7">
        <v>1</v>
      </c>
      <c r="H29" s="21" t="s">
        <v>416</v>
      </c>
      <c r="I29" s="13">
        <v>42771.265810185185</v>
      </c>
      <c r="J29" s="7">
        <v>0</v>
      </c>
      <c r="K29" s="98" t="str">
        <f>IF(ISEVEN(B29),(B29-1)&amp;"/"&amp;B29,B29&amp;"/"&amp;(B29+1))</f>
        <v>4025/4026</v>
      </c>
      <c r="L29" s="21" t="str">
        <f>VLOOKUP(A29,'Trips&amp;Operators'!$C$1:$G$99999,5,FALSE)</f>
        <v>MAELZER KURT</v>
      </c>
      <c r="M29" s="6">
        <f>I29-F29</f>
        <v>2.5972222225391306E-2</v>
      </c>
      <c r="N29" s="7">
        <f>24*60*SUM($M29:$M29)</f>
        <v>37.400000004563481</v>
      </c>
      <c r="O29" s="7"/>
      <c r="P29" s="7"/>
      <c r="Q29" s="22"/>
      <c r="R29" s="22"/>
      <c r="S29" s="31">
        <f>SUM(U29:U29)/IF(AG29="EC",12,1)</f>
        <v>1</v>
      </c>
      <c r="T29" s="46" t="str">
        <f>IF(ISEVEN(LEFT(AD29,4)),"Southbound","NorthBound")</f>
        <v>NorthBound</v>
      </c>
      <c r="U29" s="190">
        <f>IF(AG29="EC",COUNTIFS(Variables!$M$2:$M$19,IF(T29="NorthBound","&gt;=","&lt;=")&amp;Y29,Variables!$M$2:$M$19,IF(T29="NorthBound","&lt;=","&gt;=")&amp;Z29),COUNTIFS(Variables!$P$2:$P$19,IF(T29="NorthBound","&gt;=","&lt;=")&amp;Y29,Variables!$P$2:$P$19,IF(T29="NorthBound","&lt;=","&gt;=")&amp;Z29))</f>
        <v>12</v>
      </c>
      <c r="V29" s="191" t="str">
        <f>"https://d0f6bd738d7f1b3e5a7ca70fe4ff75f0.us-east-1.aws.found.io/app/kibana#/discover/Steve-Slow-Train-Analysis-(2080s-and-2083s)?_g="&amp;"(refreshInterval:(display:Off,pause:!f,section:0,value:0),time:(from:'"&amp;TEXT(E29-1/24,"yyyy-MM-DDThh:mm:ss")&amp;utc_offset&amp;"00"&amp;"',mode:absolute,to:'"&amp;TEXT(I29+1/24,"yyyy-MM-DDThh:mm:ss")&amp;utc_offset&amp;"00"&amp;"'))&amp;_a=(columns:!('Locomotive+ID','Data.Head+End+Milepost',Data.Speed,'Data.Locomotive+State','Data.Train+ID',"&amp;"'Data.Warning%2FEnforcement+Type','Data.Target+Start+Milepost','Data.Target+Description','Data.Target+Speed',"&amp;"'Data.Enforcement+Train+Speed','Data.Enforcement+Start+Milepost','Data.Target+Type','Data.Enforcement+Direction+of+Travel','Message+ID',"&amp;"'Data.Body+of+Summary+Text','Data.Head+End+Track+name'),filters:!(),index:'emp_*',interval:auto,query:"&amp;"(query_string:(analyze_wildcard:!t,query:'Message%5C+ID:(2083+OR+2080+OR+1041+OR+2003+OR+1051+OR+1043+OR+1053)+AND+%22rtdc.l.rtdc."&amp;B29&amp;"%22')),sort:!(Time.ISO8601,asc))"</f>
        <v>https://d0f6bd738d7f1b3e5a7ca70fe4ff75f0.us-east-1.aws.found.io/app/kibana#/discover/Steve-Slow-Train-Analysis-(2080s-and-2083s)?_g=(refreshInterval:(display:Off,pause:!f,section:0,value:0),time:(from:'2017-02-05T04:27:48-0700',mode:absolute,to:'2017-02-05T07:22:46-0700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4025%22')),sort:!(Time.ISO8601,asc))</v>
      </c>
      <c r="W29" s="192" t="str">
        <f>IF(AA29&lt;IF(AG29="EC",23,5.65),"Y","N")</f>
        <v>N</v>
      </c>
      <c r="X29" s="192">
        <f t="shared" si="6"/>
        <v>1</v>
      </c>
      <c r="Y29" s="62">
        <f>RIGHT(D29,LEN(D29)-4)/10000</f>
        <v>4.3999999999999997E-2</v>
      </c>
      <c r="Z29" s="62">
        <f>RIGHT(H29,LEN(H29)-4)/10000</f>
        <v>23.331399999999999</v>
      </c>
      <c r="AA29" s="62">
        <f>ABS(Z29-Y29)</f>
        <v>23.287399999999998</v>
      </c>
      <c r="AB29" s="59" t="e">
        <f>VLOOKUP(A29,Enforcements!$C$7:$K$16,8,0)</f>
        <v>#N/A</v>
      </c>
      <c r="AC29" s="55" t="e">
        <f>VLOOKUP(A29,Enforcements!$C$7:$E$16,3,0)</f>
        <v>#N/A</v>
      </c>
      <c r="AD29" s="56" t="str">
        <f>IF(LEN(A29)=6,"0"&amp;A29,A29)</f>
        <v>0117-05</v>
      </c>
      <c r="AE29" s="85" t="str">
        <f>"aws s3 cp "&amp;s3_bucket&amp;"/RTDC"&amp;B29&amp;"/ "&amp;search_path&amp;"\RTDC"&amp;B29&amp;"\"&amp;TEXT(F29,"YYYY-MM-DD")&amp;" --exclude ""*"" --recursive --include ""*"&amp;TEXT(F29,"YYYYMMDD")&amp;"*"" &amp; """&amp;walkandungz&amp;""" "&amp;search_path&amp;"\RTDC"&amp;B29&amp;"\"&amp;TEXT(F29,"YYYY-MM-DD")
&amp;" &amp; "&amp;"aws s3 cp "&amp;s3_bucket&amp;"/RTDC"&amp;B29&amp;"/ "&amp;search_path&amp;"\RTDC"&amp;B29&amp;"\"&amp;TEXT(F29+1,"YYYY-MM-DD")&amp;" --exclude ""*"" --recursive --include ""*"&amp;TEXT(F29+1,"YYYYMMDD")&amp;"*"" &amp; """&amp;walkandungz&amp;""" "&amp;search_path&amp;"\RTDC"&amp;B29&amp;"\"&amp;TEXT(F29+1,"YYYY-MM-DD")</f>
        <v>aws s3 cp s3://rtdc.mdm.uploadarchive.raw/RTDC4025/ "%USERPROFILE%\AppData\Local\Temp\OnboardLogs"\RTDC4025\2017-02-05 --exclude "*" --recursive --include "*20170205*" &amp; "%USERPROFILE%\Documents\GitHub\mrs-test-scripts\Headless Mode &amp; Sideloading\WalkAndUnGZ.bat" "%USERPROFILE%\AppData\Local\Temp\OnboardLogs"\RTDC4025\2017-02-05 &amp; aws s3 cp s3://rtdc.mdm.uploadarchive.raw/RTDC4025/ "%USERPROFILE%\AppData\Local\Temp\OnboardLogs"\RTDC4025\2017-02-06 --exclude "*" --recursive --include "*20170206*" &amp; "%USERPROFILE%\Documents\GitHub\mrs-test-scripts\Headless Mode &amp; Sideloading\WalkAndUnGZ.bat" "%USERPROFILE%\AppData\Local\Temp\OnboardLogs"\RTDC4025\2017-02-06</v>
      </c>
      <c r="AF29" s="82" t="str">
        <f>astrogrep_path&amp;" /spath="&amp;search_path&amp;" /stypes=""app*"&amp;B29&amp;"*"&amp;TEXT(I29-utc_offset/24,"YYYYMMDD")&amp;"*"" /stext="" "&amp;TEXT(I29-utc_offset/24,"HH")&amp;search_regexp&amp;""" /e /r /s"</f>
        <v>"C:\Program Files (x86)\AstroGrep\AstroGrep.exe" /spath="%USERPROFILE%\AppData\Local\Temp\OnboardLogs" /stypes="app*4025*20170205*" /stext=" 13:.+((SYSTEM_STATE.+slice.+state.+changed )|(ment ac)|(multiple cpu faults)|(system.+state.+changed )|(\[timeout)|(PRM\|1\|D)|(kpr)|(kdp)|(\|lc)|(penalty))" /e /r /s</v>
      </c>
      <c r="AG29" s="1" t="str">
        <f>IFERROR(IF(VALUE(LEFT(AD29,2))&lt;=2,"EC",IF(OR(VALUE(LEFT(AD29,2))=8,VALUE(LEFT(AD29,2))=18),"NW","Other")),"Other")</f>
        <v>EC</v>
      </c>
      <c r="AH29" s="86" t="str">
        <f t="shared" si="3"/>
        <v>"%USERPROFILE%\Documents\GitHub\eaglep3\Utilities\RefineRTDCRunTimes.py" --tripid 117-05 --locoid 4025 --swversion DE.1.0.8.0 --startMP 204:440 --initTime 2017-02-05T05:27:48 --startdatetime 2017-02-05T05:45:22 --delay 1 --endMP 204:233314 --enddatetime 2017-02-05T06:22:46 --enforcementcount 0 &gt;&gt;C:\Users\stu\Documents\GitHub\eaglep3-reporting\EC\2017-02-05-refined-times.txt</v>
      </c>
      <c r="AI29" s="108" t="str">
        <f t="shared" si="4"/>
        <v>echo {"issue":{"subject":"","project_id":79,"tracker_id":40,"status_id":1,"priority_id":2,"assigned_to_id":23,"start_date":"2017-02-05","description":"","custom_fields":[{"id":1,"name":"Subdivision","value":"EC"},{"id":4,"name":"Milepost","value":"23.3314"},{"id":17,"name":"Train ID","value":"117-05"},{"id":16,"name":"Locomotive ID","value":"4025"},{"id":130,"name":"Impact","value":""},{"id":150,"name":"Time of Event (Mountain Time)","value":"06:22:46"},{"id":151,"name":"Denver Issue ID","value":""},{"id":178,"name":"Operational Impact","value":"Yes"},{"id":179,"name":"Denver Segment Assigned","value":""}]}} | curl -X POST -H "Content-Type: application/json" -H "X-Redmine-API-Key: d6333d4a04012a730768444271f8ca06482dae87" https://secure.xorail.net/redmine/issues.json --data @-</v>
      </c>
      <c r="AJ29" s="48"/>
      <c r="AK29" s="48"/>
      <c r="AL29" s="48"/>
      <c r="AM29" s="158" t="str">
        <f t="shared" si="5"/>
        <v>start /low /b %USERPROFILE%\Documents\GitHub\eaglep3\Utilities\DownloadLogsFromS3.py --loco 4025 --day 2017-02-05</v>
      </c>
      <c r="AN29" s="167" t="str">
        <f>"grep -SE -B400 ""CHR.+\|PRM\|1\|D.+(SWITCH|SIGNAL).+UNKNOWN"" "&amp;search_path&amp;"\RTDC"&amp;B29&amp;"\*"&amp;B29&amp;"*"&amp;TEXT(AVERAGE(F29,I29)-utc_offset/24,"YYYYMMDD")&amp;"* | grep -SE ""(Enforcement Action)|(\[TIMEOUT)|(CHR.+\|PRM\|1\|D.+(SWITCH|SIGNAL).+UNKNOWN)"" - &gt;&gt; "&amp;TEXT(Variables!$A$2,"YYYY-MM-DD")&amp;"-UncaughtWiMAX.txt"</f>
        <v>grep -SE -B400 "CHR.+\|PRM\|1\|D.+(SWITCH|SIGNAL).+UNKNOWN" "%USERPROFILE%\AppData\Local\Temp\OnboardLogs"\RTDC4025\*4025*20170205* | grep -SE "(Enforcement Action)|(\[TIMEOUT)|(CHR.+\|PRM\|1\|D.+(SWITCH|SIGNAL).+UNKNOWN)" - &gt;&gt; 2017-02-05-UncaughtWiMAX.txt</v>
      </c>
      <c r="AO29"/>
      <c r="AP29"/>
      <c r="AQ29"/>
      <c r="AR29"/>
      <c r="AS29"/>
      <c r="AT29"/>
      <c r="AU29"/>
      <c r="AV29"/>
      <c r="AW29"/>
      <c r="AX29"/>
      <c r="AY29"/>
      <c r="AZ29"/>
      <c r="BA29"/>
      <c r="BB29"/>
      <c r="BC29"/>
      <c r="BD29"/>
      <c r="BE29"/>
      <c r="BF29"/>
      <c r="BG29"/>
      <c r="BH29"/>
      <c r="BI29"/>
      <c r="BJ29"/>
      <c r="BK29"/>
      <c r="BL29"/>
      <c r="BM29"/>
      <c r="BN29"/>
      <c r="BO29"/>
      <c r="BP29"/>
      <c r="BQ29"/>
      <c r="BR29"/>
      <c r="BS29"/>
      <c r="BT29"/>
      <c r="BU29"/>
      <c r="BV29"/>
      <c r="BW29"/>
      <c r="BX29"/>
      <c r="BY29"/>
      <c r="BZ29"/>
      <c r="CA29"/>
      <c r="CB29"/>
      <c r="CC29"/>
      <c r="CD29"/>
      <c r="CE29"/>
      <c r="CF29"/>
      <c r="CG29"/>
      <c r="CH29"/>
      <c r="CI29"/>
      <c r="CJ29"/>
      <c r="CK29"/>
      <c r="CL29"/>
      <c r="CM29"/>
    </row>
    <row r="30" spans="1:91" s="1" customFormat="1" x14ac:dyDescent="0.25">
      <c r="A30" s="33" t="s">
        <v>569</v>
      </c>
      <c r="B30" s="7">
        <v>4026</v>
      </c>
      <c r="C30" s="21" t="s">
        <v>193</v>
      </c>
      <c r="D30" s="21" t="s">
        <v>366</v>
      </c>
      <c r="E30" s="13">
        <v>42771.270509259259</v>
      </c>
      <c r="F30" s="13">
        <v>42771.278969907406</v>
      </c>
      <c r="G30" s="7">
        <v>1</v>
      </c>
      <c r="H30" s="21" t="s">
        <v>307</v>
      </c>
      <c r="I30" s="13">
        <v>42771.305243055554</v>
      </c>
      <c r="J30" s="7">
        <v>0</v>
      </c>
      <c r="K30" s="98" t="str">
        <f>IF(ISEVEN(B30),(B30-1)&amp;"/"&amp;B30,B30&amp;"/"&amp;(B30+1))</f>
        <v>4025/4026</v>
      </c>
      <c r="L30" s="21" t="str">
        <f>VLOOKUP(A30,'Trips&amp;Operators'!$C$1:$G$99999,5,FALSE)</f>
        <v>MAELZER KURT</v>
      </c>
      <c r="M30" s="6">
        <f>I30-F30</f>
        <v>2.6273148148902692E-2</v>
      </c>
      <c r="N30" s="7">
        <f>24*60*SUM($M30:$M30)</f>
        <v>37.833333334419876</v>
      </c>
      <c r="O30" s="7"/>
      <c r="P30" s="7"/>
      <c r="Q30" s="22"/>
      <c r="R30" s="22"/>
      <c r="S30" s="31">
        <f>SUM(U30:U30)/IF(AG30="EC",12,1)</f>
        <v>1</v>
      </c>
      <c r="T30" s="46" t="str">
        <f>IF(ISEVEN(LEFT(AD30,4)),"Southbound","NorthBound")</f>
        <v>Southbound</v>
      </c>
      <c r="U30" s="190">
        <f>IF(AG30="EC",COUNTIFS(Variables!$M$2:$M$19,IF(T30="NorthBound","&gt;=","&lt;=")&amp;Y30,Variables!$M$2:$M$19,IF(T30="NorthBound","&lt;=","&gt;=")&amp;Z30),COUNTIFS(Variables!$P$2:$P$19,IF(T30="NorthBound","&gt;=","&lt;=")&amp;Y30,Variables!$P$2:$P$19,IF(T30="NorthBound","&lt;=","&gt;=")&amp;Z30))</f>
        <v>12</v>
      </c>
      <c r="V30" s="191" t="str">
        <f>"https://d0f6bd738d7f1b3e5a7ca70fe4ff75f0.us-east-1.aws.found.io/app/kibana#/discover/Steve-Slow-Train-Analysis-(2080s-and-2083s)?_g="&amp;"(refreshInterval:(display:Off,pause:!f,section:0,value:0),time:(from:'"&amp;TEXT(E30-1/24,"yyyy-MM-DDThh:mm:ss")&amp;utc_offset&amp;"00"&amp;"',mode:absolute,to:'"&amp;TEXT(I30+1/24,"yyyy-MM-DDThh:mm:ss")&amp;utc_offset&amp;"00"&amp;"'))&amp;_a=(columns:!('Locomotive+ID','Data.Head+End+Milepost',Data.Speed,'Data.Locomotive+State','Data.Train+ID',"&amp;"'Data.Warning%2FEnforcement+Type','Data.Target+Start+Milepost','Data.Target+Description','Data.Target+Speed',"&amp;"'Data.Enforcement+Train+Speed','Data.Enforcement+Start+Milepost','Data.Target+Type','Data.Enforcement+Direction+of+Travel','Message+ID',"&amp;"'Data.Body+of+Summary+Text','Data.Head+End+Track+name'),filters:!(),index:'emp_*',interval:auto,query:"&amp;"(query_string:(analyze_wildcard:!t,query:'Message%5C+ID:(2083+OR+2080+OR+1041+OR+2003+OR+1051+OR+1043+OR+1053)+AND+%22rtdc.l.rtdc."&amp;B30&amp;"%22')),sort:!(Time.ISO8601,asc))"</f>
        <v>https://d0f6bd738d7f1b3e5a7ca70fe4ff75f0.us-east-1.aws.found.io/app/kibana#/discover/Steve-Slow-Train-Analysis-(2080s-and-2083s)?_g=(refreshInterval:(display:Off,pause:!f,section:0,value:0),time:(from:'2017-02-05T05:29:32-0700',mode:absolute,to:'2017-02-05T08:19:33-0700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4026%22')),sort:!(Time.ISO8601,asc))</v>
      </c>
      <c r="W30" s="192" t="str">
        <f>IF(AA30&lt;IF(AG30="EC",23,5.65),"Y","N")</f>
        <v>N</v>
      </c>
      <c r="X30" s="192">
        <f t="shared" si="6"/>
        <v>1</v>
      </c>
      <c r="Y30" s="62">
        <f>RIGHT(D30,LEN(D30)-4)/10000</f>
        <v>23.299600000000002</v>
      </c>
      <c r="Z30" s="62">
        <f>RIGHT(H30,LEN(H30)-4)/10000</f>
        <v>1.3899999999999999E-2</v>
      </c>
      <c r="AA30" s="62">
        <f>ABS(Z30-Y30)</f>
        <v>23.285700000000002</v>
      </c>
      <c r="AB30" s="59" t="e">
        <f>VLOOKUP(A30,Enforcements!$C$7:$K$16,8,0)</f>
        <v>#N/A</v>
      </c>
      <c r="AC30" s="55" t="e">
        <f>VLOOKUP(A30,Enforcements!$C$7:$E$16,3,0)</f>
        <v>#N/A</v>
      </c>
      <c r="AD30" s="56" t="str">
        <f>IF(LEN(A30)=6,"0"&amp;A30,A30)</f>
        <v>0118-05</v>
      </c>
      <c r="AE30" s="85" t="str">
        <f>"aws s3 cp "&amp;s3_bucket&amp;"/RTDC"&amp;B30&amp;"/ "&amp;search_path&amp;"\RTDC"&amp;B30&amp;"\"&amp;TEXT(F30,"YYYY-MM-DD")&amp;" --exclude ""*"" --recursive --include ""*"&amp;TEXT(F30,"YYYYMMDD")&amp;"*"" &amp; """&amp;walkandungz&amp;""" "&amp;search_path&amp;"\RTDC"&amp;B30&amp;"\"&amp;TEXT(F30,"YYYY-MM-DD")
&amp;" &amp; "&amp;"aws s3 cp "&amp;s3_bucket&amp;"/RTDC"&amp;B30&amp;"/ "&amp;search_path&amp;"\RTDC"&amp;B30&amp;"\"&amp;TEXT(F30+1,"YYYY-MM-DD")&amp;" --exclude ""*"" --recursive --include ""*"&amp;TEXT(F30+1,"YYYYMMDD")&amp;"*"" &amp; """&amp;walkandungz&amp;""" "&amp;search_path&amp;"\RTDC"&amp;B30&amp;"\"&amp;TEXT(F30+1,"YYYY-MM-DD")</f>
        <v>aws s3 cp s3://rtdc.mdm.uploadarchive.raw/RTDC4026/ "%USERPROFILE%\AppData\Local\Temp\OnboardLogs"\RTDC4026\2017-02-05 --exclude "*" --recursive --include "*20170205*" &amp; "%USERPROFILE%\Documents\GitHub\mrs-test-scripts\Headless Mode &amp; Sideloading\WalkAndUnGZ.bat" "%USERPROFILE%\AppData\Local\Temp\OnboardLogs"\RTDC4026\2017-02-05 &amp; aws s3 cp s3://rtdc.mdm.uploadarchive.raw/RTDC4026/ "%USERPROFILE%\AppData\Local\Temp\OnboardLogs"\RTDC4026\2017-02-06 --exclude "*" --recursive --include "*20170206*" &amp; "%USERPROFILE%\Documents\GitHub\mrs-test-scripts\Headless Mode &amp; Sideloading\WalkAndUnGZ.bat" "%USERPROFILE%\AppData\Local\Temp\OnboardLogs"\RTDC4026\2017-02-06</v>
      </c>
      <c r="AF30" s="82" t="str">
        <f>astrogrep_path&amp;" /spath="&amp;search_path&amp;" /stypes=""app*"&amp;B30&amp;"*"&amp;TEXT(I30-utc_offset/24,"YYYYMMDD")&amp;"*"" /stext="" "&amp;TEXT(I30-utc_offset/24,"HH")&amp;search_regexp&amp;""" /e /r /s"</f>
        <v>"C:\Program Files (x86)\AstroGrep\AstroGrep.exe" /spath="%USERPROFILE%\AppData\Local\Temp\OnboardLogs" /stypes="app*4026*20170205*" /stext=" 14:.+((SYSTEM_STATE.+slice.+state.+changed )|(ment ac)|(multiple cpu faults)|(system.+state.+changed )|(\[timeout)|(PRM\|1\|D)|(kpr)|(kdp)|(\|lc)|(penalty))" /e /r /s</v>
      </c>
      <c r="AG30" s="1" t="str">
        <f>IFERROR(IF(VALUE(LEFT(AD30,2))&lt;=2,"EC",IF(OR(VALUE(LEFT(AD30,2))=8,VALUE(LEFT(AD30,2))=18),"NW","Other")),"Other")</f>
        <v>EC</v>
      </c>
      <c r="AH30" s="86" t="str">
        <f t="shared" si="3"/>
        <v>"%USERPROFILE%\Documents\GitHub\eaglep3\Utilities\RefineRTDCRunTimes.py" --tripid 118-05 --locoid 4026 --swversion DE.1.0.8.0 --startMP 204:232996 --initTime 2017-02-05T06:29:32 --startdatetime 2017-02-05T06:41:43 --delay 1 --endMP 204:139 --enddatetime 2017-02-05T07:19:33 --enforcementcount 0 &gt;&gt;C:\Users\stu\Documents\GitHub\eaglep3-reporting\EC\2017-02-05-refined-times.txt</v>
      </c>
      <c r="AI30" s="108" t="str">
        <f t="shared" si="4"/>
        <v>echo {"issue":{"subject":"","project_id":79,"tracker_id":40,"status_id":1,"priority_id":2,"assigned_to_id":23,"start_date":"2017-02-05","description":"","custom_fields":[{"id":1,"name":"Subdivision","value":"EC"},{"id":4,"name":"Milepost","value":"0.0139"},{"id":17,"name":"Train ID","value":"118-05"},{"id":16,"name":"Locomotive ID","value":"4026"},{"id":130,"name":"Impact","value":""},{"id":150,"name":"Time of Event (Mountain Time)","value":"07:19:33"},{"id":151,"name":"Denver Issue ID","value":""},{"id":178,"name":"Operational Impact","value":"Yes"},{"id":179,"name":"Denver Segment Assigned","value":""}]}} | curl -X POST -H "Content-Type: application/json" -H "X-Redmine-API-Key: d6333d4a04012a730768444271f8ca06482dae87" https://secure.xorail.net/redmine/issues.json --data @-</v>
      </c>
      <c r="AJ30" s="48"/>
      <c r="AK30" s="48"/>
      <c r="AL30" s="48"/>
      <c r="AM30" s="158" t="str">
        <f t="shared" si="5"/>
        <v>start /low /b %USERPROFILE%\Documents\GitHub\eaglep3\Utilities\DownloadLogsFromS3.py --loco 4026 --day 2017-02-05</v>
      </c>
      <c r="AN30" s="167" t="str">
        <f>"grep -SE -B400 ""CHR.+\|PRM\|1\|D.+(SWITCH|SIGNAL).+UNKNOWN"" "&amp;search_path&amp;"\RTDC"&amp;B30&amp;"\*"&amp;B30&amp;"*"&amp;TEXT(AVERAGE(F30,I30)-utc_offset/24,"YYYYMMDD")&amp;"* | grep -SE ""(Enforcement Action)|(\[TIMEOUT)|(CHR.+\|PRM\|1\|D.+(SWITCH|SIGNAL).+UNKNOWN)"" - &gt;&gt; "&amp;TEXT(Variables!$A$2,"YYYY-MM-DD")&amp;"-UncaughtWiMAX.txt"</f>
        <v>grep -SE -B400 "CHR.+\|PRM\|1\|D.+(SWITCH|SIGNAL).+UNKNOWN" "%USERPROFILE%\AppData\Local\Temp\OnboardLogs"\RTDC4026\*4026*20170205* | grep -SE "(Enforcement Action)|(\[TIMEOUT)|(CHR.+\|PRM\|1\|D.+(SWITCH|SIGNAL).+UNKNOWN)" - &gt;&gt; 2017-02-05-UncaughtWiMAX.txt</v>
      </c>
      <c r="AO30"/>
      <c r="AP30"/>
      <c r="AQ30"/>
      <c r="AR30"/>
      <c r="AS30"/>
      <c r="AT30"/>
      <c r="AU30"/>
      <c r="AV30"/>
      <c r="AW30"/>
      <c r="AX30"/>
      <c r="AY30"/>
      <c r="AZ30"/>
      <c r="BA30"/>
      <c r="BB30"/>
      <c r="BC30"/>
      <c r="BD30"/>
      <c r="BE30"/>
      <c r="BF30"/>
      <c r="BG30"/>
      <c r="BH30"/>
      <c r="BI30"/>
      <c r="BJ30"/>
      <c r="BK30"/>
      <c r="BL30"/>
      <c r="BM30"/>
      <c r="BN30"/>
      <c r="BO30"/>
      <c r="BP30"/>
      <c r="BQ30"/>
      <c r="BR30"/>
      <c r="BS30"/>
      <c r="BT30"/>
      <c r="BU30"/>
      <c r="BV30"/>
      <c r="BW30"/>
      <c r="BX30"/>
      <c r="BY30"/>
      <c r="BZ30"/>
      <c r="CA30"/>
      <c r="CB30"/>
      <c r="CC30"/>
      <c r="CD30"/>
      <c r="CE30"/>
      <c r="CF30"/>
      <c r="CG30"/>
      <c r="CH30"/>
      <c r="CI30"/>
      <c r="CJ30"/>
      <c r="CK30"/>
      <c r="CL30"/>
      <c r="CM30"/>
    </row>
    <row r="31" spans="1:91" s="1" customFormat="1" x14ac:dyDescent="0.25">
      <c r="A31" s="33" t="s">
        <v>500</v>
      </c>
      <c r="B31" s="7">
        <v>4016</v>
      </c>
      <c r="C31" s="21" t="s">
        <v>193</v>
      </c>
      <c r="D31" s="21" t="s">
        <v>421</v>
      </c>
      <c r="E31" s="13">
        <v>42771.249131944445</v>
      </c>
      <c r="F31" s="13">
        <v>42771.251030092593</v>
      </c>
      <c r="G31" s="7">
        <v>1</v>
      </c>
      <c r="H31" s="21" t="s">
        <v>761</v>
      </c>
      <c r="I31" s="13">
        <v>42771.282546296294</v>
      </c>
      <c r="J31" s="7">
        <v>0</v>
      </c>
      <c r="K31" s="98" t="str">
        <f>IF(ISEVEN(B31),(B31-1)&amp;"/"&amp;B31,B31&amp;"/"&amp;(B31+1))</f>
        <v>4015/4016</v>
      </c>
      <c r="L31" s="21" t="str">
        <f>VLOOKUP(A31,'Trips&amp;Operators'!$C$1:$G$99999,5,FALSE)</f>
        <v>BADERTSCHER DIANE</v>
      </c>
      <c r="M31" s="6">
        <f>I31-F31</f>
        <v>3.1516203700448386E-2</v>
      </c>
      <c r="N31" s="7">
        <f>24*60*SUM($M31:$M31)</f>
        <v>45.383333328645676</v>
      </c>
      <c r="O31" s="7"/>
      <c r="P31" s="7"/>
      <c r="Q31" s="22"/>
      <c r="R31" s="22"/>
      <c r="S31" s="31">
        <f>SUM(U31:U31)/IF(AG31="EC",12,1)</f>
        <v>1</v>
      </c>
      <c r="T31" s="46" t="str">
        <f>IF(ISEVEN(LEFT(AD31,4)),"Southbound","NorthBound")</f>
        <v>NorthBound</v>
      </c>
      <c r="U31" s="190">
        <f>IF(AG31="EC",COUNTIFS(Variables!$M$2:$M$19,IF(T31="NorthBound","&gt;=","&lt;=")&amp;Y31,Variables!$M$2:$M$19,IF(T31="NorthBound","&lt;=","&gt;=")&amp;Z31),COUNTIFS(Variables!$P$2:$P$19,IF(T31="NorthBound","&gt;=","&lt;=")&amp;Y31,Variables!$P$2:$P$19,IF(T31="NorthBound","&lt;=","&gt;=")&amp;Z31))</f>
        <v>12</v>
      </c>
      <c r="V31" s="191" t="str">
        <f>"https://d0f6bd738d7f1b3e5a7ca70fe4ff75f0.us-east-1.aws.found.io/app/kibana#/discover/Steve-Slow-Train-Analysis-(2080s-and-2083s)?_g="&amp;"(refreshInterval:(display:Off,pause:!f,section:0,value:0),time:(from:'"&amp;TEXT(E31-1/24,"yyyy-MM-DDThh:mm:ss")&amp;utc_offset&amp;"00"&amp;"',mode:absolute,to:'"&amp;TEXT(I31+1/24,"yyyy-MM-DDThh:mm:ss")&amp;utc_offset&amp;"00"&amp;"'))&amp;_a=(columns:!('Locomotive+ID','Data.Head+End+Milepost',Data.Speed,'Data.Locomotive+State','Data.Train+ID',"&amp;"'Data.Warning%2FEnforcement+Type','Data.Target+Start+Milepost','Data.Target+Description','Data.Target+Speed',"&amp;"'Data.Enforcement+Train+Speed','Data.Enforcement+Start+Milepost','Data.Target+Type','Data.Enforcement+Direction+of+Travel','Message+ID',"&amp;"'Data.Body+of+Summary+Text','Data.Head+End+Track+name'),filters:!(),index:'emp_*',interval:auto,query:"&amp;"(query_string:(analyze_wildcard:!t,query:'Message%5C+ID:(2083+OR+2080+OR+1041+OR+2003+OR+1051+OR+1043+OR+1053)+AND+%22rtdc.l.rtdc."&amp;B31&amp;"%22')),sort:!(Time.ISO8601,asc))"</f>
        <v>https://d0f6bd738d7f1b3e5a7ca70fe4ff75f0.us-east-1.aws.found.io/app/kibana#/discover/Steve-Slow-Train-Analysis-(2080s-and-2083s)?_g=(refreshInterval:(display:Off,pause:!f,section:0,value:0),time:(from:'2017-02-05T04:58:45-0700',mode:absolute,to:'2017-02-05T07:46:52-0700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4016%22')),sort:!(Time.ISO8601,asc))</v>
      </c>
      <c r="W31" s="192" t="str">
        <f>IF(AA31&lt;IF(AG31="EC",23,5.65),"Y","N")</f>
        <v>N</v>
      </c>
      <c r="X31" s="192">
        <f t="shared" si="6"/>
        <v>1</v>
      </c>
      <c r="Y31" s="62">
        <f>RIGHT(D31,LEN(D31)-4)/10000</f>
        <v>7.1199999999999999E-2</v>
      </c>
      <c r="Z31" s="62">
        <f>RIGHT(H31,LEN(H31)-4)/10000</f>
        <v>23.325900000000001</v>
      </c>
      <c r="AA31" s="62">
        <f>ABS(Z31-Y31)</f>
        <v>23.2547</v>
      </c>
      <c r="AB31" s="59" t="str">
        <f>VLOOKUP(A31,Enforcements!$C$7:$K$16,8,0)</f>
        <v>Signal based authority (5)</v>
      </c>
      <c r="AC31" s="55" t="str">
        <f>VLOOKUP(A31,Enforcements!$C$7:$E$16,3,0)</f>
        <v>SIGNAL</v>
      </c>
      <c r="AD31" s="56" t="str">
        <f>IF(LEN(A31)=6,"0"&amp;A31,A31)</f>
        <v>0119-05</v>
      </c>
      <c r="AE31" s="85" t="str">
        <f>"aws s3 cp "&amp;s3_bucket&amp;"/RTDC"&amp;B31&amp;"/ "&amp;search_path&amp;"\RTDC"&amp;B31&amp;"\"&amp;TEXT(F31,"YYYY-MM-DD")&amp;" --exclude ""*"" --recursive --include ""*"&amp;TEXT(F31,"YYYYMMDD")&amp;"*"" &amp; """&amp;walkandungz&amp;""" "&amp;search_path&amp;"\RTDC"&amp;B31&amp;"\"&amp;TEXT(F31,"YYYY-MM-DD")
&amp;" &amp; "&amp;"aws s3 cp "&amp;s3_bucket&amp;"/RTDC"&amp;B31&amp;"/ "&amp;search_path&amp;"\RTDC"&amp;B31&amp;"\"&amp;TEXT(F31+1,"YYYY-MM-DD")&amp;" --exclude ""*"" --recursive --include ""*"&amp;TEXT(F31+1,"YYYYMMDD")&amp;"*"" &amp; """&amp;walkandungz&amp;""" "&amp;search_path&amp;"\RTDC"&amp;B31&amp;"\"&amp;TEXT(F31+1,"YYYY-MM-DD")</f>
        <v>aws s3 cp s3://rtdc.mdm.uploadarchive.raw/RTDC4016/ "%USERPROFILE%\AppData\Local\Temp\OnboardLogs"\RTDC4016\2017-02-05 --exclude "*" --recursive --include "*20170205*" &amp; "%USERPROFILE%\Documents\GitHub\mrs-test-scripts\Headless Mode &amp; Sideloading\WalkAndUnGZ.bat" "%USERPROFILE%\AppData\Local\Temp\OnboardLogs"\RTDC4016\2017-02-05 &amp; aws s3 cp s3://rtdc.mdm.uploadarchive.raw/RTDC4016/ "%USERPROFILE%\AppData\Local\Temp\OnboardLogs"\RTDC4016\2017-02-06 --exclude "*" --recursive --include "*20170206*" &amp; "%USERPROFILE%\Documents\GitHub\mrs-test-scripts\Headless Mode &amp; Sideloading\WalkAndUnGZ.bat" "%USERPROFILE%\AppData\Local\Temp\OnboardLogs"\RTDC4016\2017-02-06</v>
      </c>
      <c r="AF31" s="82" t="str">
        <f>astrogrep_path&amp;" /spath="&amp;search_path&amp;" /stypes=""app*"&amp;B31&amp;"*"&amp;TEXT(I31-utc_offset/24,"YYYYMMDD")&amp;"*"" /stext="" "&amp;TEXT(I31-utc_offset/24,"HH")&amp;search_regexp&amp;""" /e /r /s"</f>
        <v>"C:\Program Files (x86)\AstroGrep\AstroGrep.exe" /spath="%USERPROFILE%\AppData\Local\Temp\OnboardLogs" /stypes="app*4016*20170205*" /stext=" 13:.+((SYSTEM_STATE.+slice.+state.+changed )|(ment ac)|(multiple cpu faults)|(system.+state.+changed )|(\[timeout)|(PRM\|1\|D)|(kpr)|(kdp)|(\|lc)|(penalty))" /e /r /s</v>
      </c>
      <c r="AG31" s="1" t="str">
        <f>IFERROR(IF(VALUE(LEFT(AD31,2))&lt;=2,"EC",IF(OR(VALUE(LEFT(AD31,2))=8,VALUE(LEFT(AD31,2))=18),"NW","Other")),"Other")</f>
        <v>EC</v>
      </c>
      <c r="AH31" s="86" t="str">
        <f t="shared" si="3"/>
        <v>"%USERPROFILE%\Documents\GitHub\eaglep3\Utilities\RefineRTDCRunTimes.py" --tripid 119-05 --locoid 4016 --swversion DE.1.0.8.0 --startMP 204:712 --initTime 2017-02-05T05:58:45 --startdatetime 2017-02-05T06:01:29 --delay 1 --endMP 204:233259 --enddatetime 2017-02-05T06:46:52 --enforcementcount 0 &gt;&gt;C:\Users\stu\Documents\GitHub\eaglep3-reporting\EC\2017-02-05-refined-times.txt</v>
      </c>
      <c r="AI31" s="108" t="str">
        <f t="shared" si="4"/>
        <v>echo {"issue":{"subject":"","project_id":79,"tracker_id":40,"status_id":1,"priority_id":2,"assigned_to_id":23,"start_date":"2017-02-05","description":"","custom_fields":[{"id":1,"name":"Subdivision","value":"EC"},{"id":4,"name":"Milepost","value":"23.3259"},{"id":17,"name":"Train ID","value":"119-05"},{"id":16,"name":"Locomotive ID","value":"4016"},{"id":130,"name":"Impact","value":""},{"id":150,"name":"Time of Event (Mountain Time)","value":"06:46:52"},{"id":151,"name":"Denver Issue ID","value":""},{"id":178,"name":"Operational Impact","value":"Yes"},{"id":179,"name":"Denver Segment Assigned","value":""}]}} | curl -X POST -H "Content-Type: application/json" -H "X-Redmine-API-Key: d6333d4a04012a730768444271f8ca06482dae87" https://secure.xorail.net/redmine/issues.json --data @-</v>
      </c>
      <c r="AJ31" s="48"/>
      <c r="AK31" s="48"/>
      <c r="AL31" s="48"/>
      <c r="AM31" s="158" t="str">
        <f t="shared" si="5"/>
        <v>start /low /b %USERPROFILE%\Documents\GitHub\eaglep3\Utilities\DownloadLogsFromS3.py --loco 4016 --day 2017-02-05</v>
      </c>
      <c r="AN31" s="167" t="str">
        <f>"grep -SE -B400 ""CHR.+\|PRM\|1\|D.+(SWITCH|SIGNAL).+UNKNOWN"" "&amp;search_path&amp;"\RTDC"&amp;B31&amp;"\*"&amp;B31&amp;"*"&amp;TEXT(AVERAGE(F31,I31)-utc_offset/24,"YYYYMMDD")&amp;"* | grep -SE ""(Enforcement Action)|(\[TIMEOUT)|(CHR.+\|PRM\|1\|D.+(SWITCH|SIGNAL).+UNKNOWN)"" - &gt;&gt; "&amp;TEXT(Variables!$A$2,"YYYY-MM-DD")&amp;"-UncaughtWiMAX.txt"</f>
        <v>grep -SE -B400 "CHR.+\|PRM\|1\|D.+(SWITCH|SIGNAL).+UNKNOWN" "%USERPROFILE%\AppData\Local\Temp\OnboardLogs"\RTDC4016\*4016*20170205* | grep -SE "(Enforcement Action)|(\[TIMEOUT)|(CHR.+\|PRM\|1\|D.+(SWITCH|SIGNAL).+UNKNOWN)" - &gt;&gt; 2017-02-05-UncaughtWiMAX.txt</v>
      </c>
      <c r="AO31"/>
      <c r="AP31"/>
      <c r="AQ31"/>
      <c r="AR31"/>
      <c r="AS31"/>
      <c r="AT31"/>
      <c r="AU31"/>
      <c r="AV31"/>
      <c r="AW31"/>
      <c r="AX31"/>
      <c r="AY31"/>
      <c r="AZ31"/>
      <c r="BA31"/>
      <c r="BB31"/>
      <c r="BC31"/>
      <c r="BD31"/>
      <c r="BE31"/>
      <c r="BF31"/>
      <c r="BG31"/>
      <c r="BH31"/>
      <c r="BI31"/>
      <c r="BJ31"/>
      <c r="BK31"/>
      <c r="BL31"/>
      <c r="BM31"/>
      <c r="BN31"/>
      <c r="BO31"/>
      <c r="BP31"/>
      <c r="BQ31"/>
      <c r="BR31"/>
      <c r="BS31"/>
      <c r="BT31"/>
      <c r="BU31"/>
      <c r="BV31"/>
      <c r="BW31"/>
      <c r="BX31"/>
      <c r="BY31"/>
      <c r="BZ31"/>
      <c r="CA31"/>
      <c r="CB31"/>
      <c r="CC31"/>
      <c r="CD31"/>
      <c r="CE31"/>
      <c r="CF31"/>
      <c r="CG31"/>
      <c r="CH31"/>
      <c r="CI31"/>
      <c r="CJ31"/>
      <c r="CK31"/>
      <c r="CL31"/>
      <c r="CM31"/>
    </row>
    <row r="32" spans="1:91" s="1" customFormat="1" x14ac:dyDescent="0.25">
      <c r="A32" s="33" t="s">
        <v>572</v>
      </c>
      <c r="B32" s="7">
        <v>4015</v>
      </c>
      <c r="C32" s="21" t="s">
        <v>193</v>
      </c>
      <c r="D32" s="21" t="s">
        <v>361</v>
      </c>
      <c r="E32" s="13">
        <v>42771.284907407404</v>
      </c>
      <c r="F32" s="13">
        <v>42771.289097222223</v>
      </c>
      <c r="G32" s="7">
        <v>1</v>
      </c>
      <c r="H32" s="21" t="s">
        <v>307</v>
      </c>
      <c r="I32" s="13">
        <v>42771.31695601852</v>
      </c>
      <c r="J32" s="7">
        <v>0</v>
      </c>
      <c r="K32" s="98" t="str">
        <f>IF(ISEVEN(B32),(B32-1)&amp;"/"&amp;B32,B32&amp;"/"&amp;(B32+1))</f>
        <v>4015/4016</v>
      </c>
      <c r="L32" s="21" t="str">
        <f>VLOOKUP(A32,'Trips&amp;Operators'!$C$1:$G$99999,5,FALSE)</f>
        <v>BADERTSCHER DIANE</v>
      </c>
      <c r="M32" s="6">
        <f>I32-F32</f>
        <v>2.7858796296641231E-2</v>
      </c>
      <c r="N32" s="7">
        <f>24*60*SUM($M32:$M32)</f>
        <v>40.116666667163372</v>
      </c>
      <c r="O32" s="7"/>
      <c r="P32" s="7"/>
      <c r="Q32" s="22"/>
      <c r="R32" s="22"/>
      <c r="S32" s="31">
        <f>SUM(U32:U32)/IF(AG32="EC",12,1)</f>
        <v>1</v>
      </c>
      <c r="T32" s="46" t="str">
        <f>IF(ISEVEN(LEFT(AD32,4)),"Southbound","NorthBound")</f>
        <v>Southbound</v>
      </c>
      <c r="U32" s="190">
        <f>IF(AG32="EC",COUNTIFS(Variables!$M$2:$M$19,IF(T32="NorthBound","&gt;=","&lt;=")&amp;Y32,Variables!$M$2:$M$19,IF(T32="NorthBound","&lt;=","&gt;=")&amp;Z32),COUNTIFS(Variables!$P$2:$P$19,IF(T32="NorthBound","&gt;=","&lt;=")&amp;Y32,Variables!$P$2:$P$19,IF(T32="NorthBound","&lt;=","&gt;=")&amp;Z32))</f>
        <v>12</v>
      </c>
      <c r="V32" s="191" t="str">
        <f>"https://d0f6bd738d7f1b3e5a7ca70fe4ff75f0.us-east-1.aws.found.io/app/kibana#/discover/Steve-Slow-Train-Analysis-(2080s-and-2083s)?_g="&amp;"(refreshInterval:(display:Off,pause:!f,section:0,value:0),time:(from:'"&amp;TEXT(E32-1/24,"yyyy-MM-DDThh:mm:ss")&amp;utc_offset&amp;"00"&amp;"',mode:absolute,to:'"&amp;TEXT(I32+1/24,"yyyy-MM-DDThh:mm:ss")&amp;utc_offset&amp;"00"&amp;"'))&amp;_a=(columns:!('Locomotive+ID','Data.Head+End+Milepost',Data.Speed,'Data.Locomotive+State','Data.Train+ID',"&amp;"'Data.Warning%2FEnforcement+Type','Data.Target+Start+Milepost','Data.Target+Description','Data.Target+Speed',"&amp;"'Data.Enforcement+Train+Speed','Data.Enforcement+Start+Milepost','Data.Target+Type','Data.Enforcement+Direction+of+Travel','Message+ID',"&amp;"'Data.Body+of+Summary+Text','Data.Head+End+Track+name'),filters:!(),index:'emp_*',interval:auto,query:"&amp;"(query_string:(analyze_wildcard:!t,query:'Message%5C+ID:(2083+OR+2080+OR+1041+OR+2003+OR+1051+OR+1043+OR+1053)+AND+%22rtdc.l.rtdc."&amp;B32&amp;"%22')),sort:!(Time.ISO8601,asc))"</f>
        <v>https://d0f6bd738d7f1b3e5a7ca70fe4ff75f0.us-east-1.aws.found.io/app/kibana#/discover/Steve-Slow-Train-Analysis-(2080s-and-2083s)?_g=(refreshInterval:(display:Off,pause:!f,section:0,value:0),time:(from:'2017-02-05T05:50:16-0700',mode:absolute,to:'2017-02-05T08:36:25-0700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4015%22')),sort:!(Time.ISO8601,asc))</v>
      </c>
      <c r="W32" s="192" t="str">
        <f>IF(AA32&lt;IF(AG32="EC",23,5.65),"Y","N")</f>
        <v>N</v>
      </c>
      <c r="X32" s="192">
        <f>VALUE(LEFT(AD32,4))-VALUE(LEFT(AD31,4))</f>
        <v>1</v>
      </c>
      <c r="Y32" s="62">
        <f>RIGHT(D32,LEN(D32)-4)/10000</f>
        <v>23.2959</v>
      </c>
      <c r="Z32" s="62">
        <f>RIGHT(H32,LEN(H32)-4)/10000</f>
        <v>1.3899999999999999E-2</v>
      </c>
      <c r="AA32" s="62">
        <f>ABS(Z32-Y32)</f>
        <v>23.282</v>
      </c>
      <c r="AB32" s="59" t="e">
        <f>VLOOKUP(A32,Enforcements!$C$7:$K$16,8,0)</f>
        <v>#N/A</v>
      </c>
      <c r="AC32" s="55" t="e">
        <f>VLOOKUP(A32,Enforcements!$C$7:$E$16,3,0)</f>
        <v>#N/A</v>
      </c>
      <c r="AD32" s="56" t="str">
        <f>IF(LEN(A32)=6,"0"&amp;A32,A32)</f>
        <v>0120-05</v>
      </c>
      <c r="AE32" s="85" t="str">
        <f>"aws s3 cp "&amp;s3_bucket&amp;"/RTDC"&amp;B32&amp;"/ "&amp;search_path&amp;"\RTDC"&amp;B32&amp;"\"&amp;TEXT(F32,"YYYY-MM-DD")&amp;" --exclude ""*"" --recursive --include ""*"&amp;TEXT(F32,"YYYYMMDD")&amp;"*"" &amp; """&amp;walkandungz&amp;""" "&amp;search_path&amp;"\RTDC"&amp;B32&amp;"\"&amp;TEXT(F32,"YYYY-MM-DD")
&amp;" &amp; "&amp;"aws s3 cp "&amp;s3_bucket&amp;"/RTDC"&amp;B32&amp;"/ "&amp;search_path&amp;"\RTDC"&amp;B32&amp;"\"&amp;TEXT(F32+1,"YYYY-MM-DD")&amp;" --exclude ""*"" --recursive --include ""*"&amp;TEXT(F32+1,"YYYYMMDD")&amp;"*"" &amp; """&amp;walkandungz&amp;""" "&amp;search_path&amp;"\RTDC"&amp;B32&amp;"\"&amp;TEXT(F32+1,"YYYY-MM-DD")</f>
        <v>aws s3 cp s3://rtdc.mdm.uploadarchive.raw/RTDC4015/ "%USERPROFILE%\AppData\Local\Temp\OnboardLogs"\RTDC4015\2017-02-05 --exclude "*" --recursive --include "*20170205*" &amp; "%USERPROFILE%\Documents\GitHub\mrs-test-scripts\Headless Mode &amp; Sideloading\WalkAndUnGZ.bat" "%USERPROFILE%\AppData\Local\Temp\OnboardLogs"\RTDC4015\2017-02-05 &amp; aws s3 cp s3://rtdc.mdm.uploadarchive.raw/RTDC4015/ "%USERPROFILE%\AppData\Local\Temp\OnboardLogs"\RTDC4015\2017-02-06 --exclude "*" --recursive --include "*20170206*" &amp; "%USERPROFILE%\Documents\GitHub\mrs-test-scripts\Headless Mode &amp; Sideloading\WalkAndUnGZ.bat" "%USERPROFILE%\AppData\Local\Temp\OnboardLogs"\RTDC4015\2017-02-06</v>
      </c>
      <c r="AF32" s="82" t="str">
        <f>astrogrep_path&amp;" /spath="&amp;search_path&amp;" /stypes=""app*"&amp;B32&amp;"*"&amp;TEXT(I32-utc_offset/24,"YYYYMMDD")&amp;"*"" /stext="" "&amp;TEXT(I32-utc_offset/24,"HH")&amp;search_regexp&amp;""" /e /r /s"</f>
        <v>"C:\Program Files (x86)\AstroGrep\AstroGrep.exe" /spath="%USERPROFILE%\AppData\Local\Temp\OnboardLogs" /stypes="app*4015*20170205*" /stext=" 14:.+((SYSTEM_STATE.+slice.+state.+changed )|(ment ac)|(multiple cpu faults)|(system.+state.+changed )|(\[timeout)|(PRM\|1\|D)|(kpr)|(kdp)|(\|lc)|(penalty))" /e /r /s</v>
      </c>
      <c r="AG32" s="1" t="str">
        <f>IFERROR(IF(VALUE(LEFT(AD32,2))&lt;=2,"EC",IF(OR(VALUE(LEFT(AD32,2))=8,VALUE(LEFT(AD32,2))=18),"NW","Other")),"Other")</f>
        <v>EC</v>
      </c>
      <c r="AH32" s="86" t="str">
        <f t="shared" si="3"/>
        <v>"%USERPROFILE%\Documents\GitHub\eaglep3\Utilities\RefineRTDCRunTimes.py" --tripid 120-05 --locoid 4015 --swversion DE.1.0.8.0 --startMP 204:232959 --initTime 2017-02-05T06:50:16 --startdatetime 2017-02-05T06:56:18 --delay 1 --endMP 204:139 --enddatetime 2017-02-05T07:36:25 --enforcementcount 0 &gt;&gt;C:\Users\stu\Documents\GitHub\eaglep3-reporting\EC\2017-02-05-refined-times.txt</v>
      </c>
      <c r="AI32" s="108" t="str">
        <f t="shared" si="4"/>
        <v>echo {"issue":{"subject":"","project_id":79,"tracker_id":40,"status_id":1,"priority_id":2,"assigned_to_id":23,"start_date":"2017-02-05","description":"","custom_fields":[{"id":1,"name":"Subdivision","value":"EC"},{"id":4,"name":"Milepost","value":"0.0139"},{"id":17,"name":"Train ID","value":"120-05"},{"id":16,"name":"Locomotive ID","value":"4015"},{"id":130,"name":"Impact","value":""},{"id":150,"name":"Time of Event (Mountain Time)","value":"07:36:25"},{"id":151,"name":"Denver Issue ID","value":""},{"id":178,"name":"Operational Impact","value":"Yes"},{"id":179,"name":"Denver Segment Assigned","value":""}]}} | curl -X POST -H "Content-Type: application/json" -H "X-Redmine-API-Key: d6333d4a04012a730768444271f8ca06482dae87" https://secure.xorail.net/redmine/issues.json --data @-</v>
      </c>
      <c r="AJ32" s="48"/>
      <c r="AK32" s="48"/>
      <c r="AL32" s="48"/>
      <c r="AM32" s="158" t="str">
        <f t="shared" si="5"/>
        <v>start /low /b %USERPROFILE%\Documents\GitHub\eaglep3\Utilities\DownloadLogsFromS3.py --loco 4015 --day 2017-02-05</v>
      </c>
      <c r="AN32" s="167" t="str">
        <f>"grep -SE -B400 ""CHR.+\|PRM\|1\|D.+(SWITCH|SIGNAL).+UNKNOWN"" "&amp;search_path&amp;"\RTDC"&amp;B32&amp;"\*"&amp;B32&amp;"*"&amp;TEXT(AVERAGE(F32,I32)-utc_offset/24,"YYYYMMDD")&amp;"* | grep -SE ""(Enforcement Action)|(\[TIMEOUT)|(CHR.+\|PRM\|1\|D.+(SWITCH|SIGNAL).+UNKNOWN)"" - &gt;&gt; "&amp;TEXT(Variables!$A$2,"YYYY-MM-DD")&amp;"-UncaughtWiMAX.txt"</f>
        <v>grep -SE -B400 "CHR.+\|PRM\|1\|D.+(SWITCH|SIGNAL).+UNKNOWN" "%USERPROFILE%\AppData\Local\Temp\OnboardLogs"\RTDC4015\*4015*20170205* | grep -SE "(Enforcement Action)|(\[TIMEOUT)|(CHR.+\|PRM\|1\|D.+(SWITCH|SIGNAL).+UNKNOWN)" - &gt;&gt; 2017-02-05-UncaughtWiMAX.txt</v>
      </c>
      <c r="AO32"/>
      <c r="AP32"/>
      <c r="AQ32"/>
      <c r="AR32"/>
      <c r="AS32"/>
      <c r="AT32"/>
      <c r="AU32"/>
      <c r="AV32"/>
      <c r="AW32"/>
      <c r="AX32"/>
      <c r="AY32"/>
      <c r="AZ32"/>
      <c r="BA32"/>
      <c r="BB32"/>
      <c r="BC32"/>
      <c r="BD32"/>
      <c r="BE32"/>
      <c r="BF32"/>
      <c r="BG32"/>
      <c r="BH32"/>
      <c r="BI32"/>
      <c r="BJ32"/>
      <c r="BK32"/>
      <c r="BL32"/>
      <c r="BM32"/>
      <c r="BN32"/>
      <c r="BO32"/>
      <c r="BP32"/>
      <c r="BQ32"/>
      <c r="BR32"/>
      <c r="BS32"/>
      <c r="BT32"/>
      <c r="BU32"/>
      <c r="BV32"/>
      <c r="BW32"/>
      <c r="BX32"/>
      <c r="BY32"/>
      <c r="BZ32"/>
      <c r="CA32"/>
      <c r="CB32"/>
      <c r="CC32"/>
      <c r="CD32"/>
      <c r="CE32"/>
      <c r="CF32"/>
      <c r="CG32"/>
      <c r="CH32"/>
      <c r="CI32"/>
      <c r="CJ32"/>
      <c r="CK32"/>
      <c r="CL32"/>
      <c r="CM32"/>
    </row>
    <row r="33" spans="1:91" s="1" customFormat="1" x14ac:dyDescent="0.25">
      <c r="A33" s="33" t="s">
        <v>565</v>
      </c>
      <c r="B33" s="7">
        <v>4022</v>
      </c>
      <c r="C33" s="21" t="s">
        <v>193</v>
      </c>
      <c r="D33" s="21" t="s">
        <v>291</v>
      </c>
      <c r="E33" s="13">
        <v>42771.255694444444</v>
      </c>
      <c r="F33" s="13">
        <v>42771.26059027778</v>
      </c>
      <c r="G33" s="7">
        <v>1</v>
      </c>
      <c r="H33" s="21" t="s">
        <v>314</v>
      </c>
      <c r="I33" s="13">
        <v>42771.286631944444</v>
      </c>
      <c r="J33" s="7">
        <v>0</v>
      </c>
      <c r="K33" s="98" t="str">
        <f>IF(ISEVEN(B33),(B33-1)&amp;"/"&amp;B33,B33&amp;"/"&amp;(B33+1))</f>
        <v>4021/4022</v>
      </c>
      <c r="L33" s="21" t="str">
        <f>VLOOKUP(A33,'Trips&amp;Operators'!$C$1:$G$99999,5,FALSE)</f>
        <v>DAVIS WENDY</v>
      </c>
      <c r="M33" s="6">
        <f>I33-F33</f>
        <v>2.6041666664241347E-2</v>
      </c>
      <c r="N33" s="7">
        <f>24*60*SUM($M33:$M33)</f>
        <v>37.49999999650754</v>
      </c>
      <c r="O33" s="7"/>
      <c r="P33" s="7"/>
      <c r="Q33" s="22"/>
      <c r="R33" s="22"/>
      <c r="S33" s="31">
        <f>SUM(U33:U33)/IF(AG33="EC",12,1)</f>
        <v>1</v>
      </c>
      <c r="T33" s="46" t="str">
        <f>IF(ISEVEN(LEFT(AD33,4)),"Southbound","NorthBound")</f>
        <v>NorthBound</v>
      </c>
      <c r="U33" s="190">
        <f>IF(AG33="EC",COUNTIFS(Variables!$M$2:$M$19,IF(T33="NorthBound","&gt;=","&lt;=")&amp;Y33,Variables!$M$2:$M$19,IF(T33="NorthBound","&lt;=","&gt;=")&amp;Z33),COUNTIFS(Variables!$P$2:$P$19,IF(T33="NorthBound","&gt;=","&lt;=")&amp;Y33,Variables!$P$2:$P$19,IF(T33="NorthBound","&lt;=","&gt;=")&amp;Z33))</f>
        <v>12</v>
      </c>
      <c r="V33" s="191" t="str">
        <f>"https://d0f6bd738d7f1b3e5a7ca70fe4ff75f0.us-east-1.aws.found.io/app/kibana#/discover/Steve-Slow-Train-Analysis-(2080s-and-2083s)?_g="&amp;"(refreshInterval:(display:Off,pause:!f,section:0,value:0),time:(from:'"&amp;TEXT(E33-1/24,"yyyy-MM-DDThh:mm:ss")&amp;utc_offset&amp;"00"&amp;"',mode:absolute,to:'"&amp;TEXT(I33+1/24,"yyyy-MM-DDThh:mm:ss")&amp;utc_offset&amp;"00"&amp;"'))&amp;_a=(columns:!('Locomotive+ID','Data.Head+End+Milepost',Data.Speed,'Data.Locomotive+State','Data.Train+ID',"&amp;"'Data.Warning%2FEnforcement+Type','Data.Target+Start+Milepost','Data.Target+Description','Data.Target+Speed',"&amp;"'Data.Enforcement+Train+Speed','Data.Enforcement+Start+Milepost','Data.Target+Type','Data.Enforcement+Direction+of+Travel','Message+ID',"&amp;"'Data.Body+of+Summary+Text','Data.Head+End+Track+name'),filters:!(),index:'emp_*',interval:auto,query:"&amp;"(query_string:(analyze_wildcard:!t,query:'Message%5C+ID:(2083+OR+2080+OR+1041+OR+2003+OR+1051+OR+1043+OR+1053)+AND+%22rtdc.l.rtdc."&amp;B33&amp;"%22')),sort:!(Time.ISO8601,asc))"</f>
        <v>https://d0f6bd738d7f1b3e5a7ca70fe4ff75f0.us-east-1.aws.found.io/app/kibana#/discover/Steve-Slow-Train-Analysis-(2080s-and-2083s)?_g=(refreshInterval:(display:Off,pause:!f,section:0,value:0),time:(from:'2017-02-05T05:08:12-0700',mode:absolute,to:'2017-02-05T07:52:45-0700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4022%22')),sort:!(Time.ISO8601,asc))</v>
      </c>
      <c r="W33" s="192" t="str">
        <f>IF(AA33&lt;IF(AG33="EC",23,5.65),"Y","N")</f>
        <v>N</v>
      </c>
      <c r="X33" s="192">
        <f>VALUE(LEFT(AD33,4))-VALUE(LEFT(AD32,4))</f>
        <v>1</v>
      </c>
      <c r="Y33" s="62">
        <f>RIGHT(D33,LEN(D33)-4)/10000</f>
        <v>4.5499999999999999E-2</v>
      </c>
      <c r="Z33" s="62">
        <f>RIGHT(H33,LEN(H33)-4)/10000</f>
        <v>23.330400000000001</v>
      </c>
      <c r="AA33" s="62">
        <f>ABS(Z33-Y33)</f>
        <v>23.2849</v>
      </c>
      <c r="AB33" s="59" t="e">
        <f>VLOOKUP(A33,Enforcements!$C$7:$K$16,8,0)</f>
        <v>#N/A</v>
      </c>
      <c r="AC33" s="55" t="e">
        <f>VLOOKUP(A33,Enforcements!$C$7:$E$16,3,0)</f>
        <v>#N/A</v>
      </c>
      <c r="AD33" s="56" t="str">
        <f>IF(LEN(A33)=6,"0"&amp;A33,A33)</f>
        <v>0121-05</v>
      </c>
      <c r="AE33" s="85" t="str">
        <f>"aws s3 cp "&amp;s3_bucket&amp;"/RTDC"&amp;B33&amp;"/ "&amp;search_path&amp;"\RTDC"&amp;B33&amp;"\"&amp;TEXT(F33,"YYYY-MM-DD")&amp;" --exclude ""*"" --recursive --include ""*"&amp;TEXT(F33,"YYYYMMDD")&amp;"*"" &amp; """&amp;walkandungz&amp;""" "&amp;search_path&amp;"\RTDC"&amp;B33&amp;"\"&amp;TEXT(F33,"YYYY-MM-DD")
&amp;" &amp; "&amp;"aws s3 cp "&amp;s3_bucket&amp;"/RTDC"&amp;B33&amp;"/ "&amp;search_path&amp;"\RTDC"&amp;B33&amp;"\"&amp;TEXT(F33+1,"YYYY-MM-DD")&amp;" --exclude ""*"" --recursive --include ""*"&amp;TEXT(F33+1,"YYYYMMDD")&amp;"*"" &amp; """&amp;walkandungz&amp;""" "&amp;search_path&amp;"\RTDC"&amp;B33&amp;"\"&amp;TEXT(F33+1,"YYYY-MM-DD")</f>
        <v>aws s3 cp s3://rtdc.mdm.uploadarchive.raw/RTDC4022/ "%USERPROFILE%\AppData\Local\Temp\OnboardLogs"\RTDC4022\2017-02-05 --exclude "*" --recursive --include "*20170205*" &amp; "%USERPROFILE%\Documents\GitHub\mrs-test-scripts\Headless Mode &amp; Sideloading\WalkAndUnGZ.bat" "%USERPROFILE%\AppData\Local\Temp\OnboardLogs"\RTDC4022\2017-02-05 &amp; aws s3 cp s3://rtdc.mdm.uploadarchive.raw/RTDC4022/ "%USERPROFILE%\AppData\Local\Temp\OnboardLogs"\RTDC4022\2017-02-06 --exclude "*" --recursive --include "*20170206*" &amp; "%USERPROFILE%\Documents\GitHub\mrs-test-scripts\Headless Mode &amp; Sideloading\WalkAndUnGZ.bat" "%USERPROFILE%\AppData\Local\Temp\OnboardLogs"\RTDC4022\2017-02-06</v>
      </c>
      <c r="AF33" s="82" t="str">
        <f>astrogrep_path&amp;" /spath="&amp;search_path&amp;" /stypes=""app*"&amp;B33&amp;"*"&amp;TEXT(I33-utc_offset/24,"YYYYMMDD")&amp;"*"" /stext="" "&amp;TEXT(I33-utc_offset/24,"HH")&amp;search_regexp&amp;""" /e /r /s"</f>
        <v>"C:\Program Files (x86)\AstroGrep\AstroGrep.exe" /spath="%USERPROFILE%\AppData\Local\Temp\OnboardLogs" /stypes="app*4022*20170205*" /stext=" 13:.+((SYSTEM_STATE.+slice.+state.+changed )|(ment ac)|(multiple cpu faults)|(system.+state.+changed )|(\[timeout)|(PRM\|1\|D)|(kpr)|(kdp)|(\|lc)|(penalty))" /e /r /s</v>
      </c>
      <c r="AG33" s="1" t="str">
        <f>IFERROR(IF(VALUE(LEFT(AD33,2))&lt;=2,"EC",IF(OR(VALUE(LEFT(AD33,2))=8,VALUE(LEFT(AD33,2))=18),"NW","Other")),"Other")</f>
        <v>EC</v>
      </c>
      <c r="AH33" s="86" t="str">
        <f t="shared" si="3"/>
        <v>"%USERPROFILE%\Documents\GitHub\eaglep3\Utilities\RefineRTDCRunTimes.py" --tripid 121-05 --locoid 4022 --swversion DE.1.0.8.0 --startMP 204:455 --initTime 2017-02-05T06:08:12 --startdatetime 2017-02-05T06:15:15 --delay 1 --endMP 204:233304 --enddatetime 2017-02-05T06:52:45 --enforcementcount 0 &gt;&gt;C:\Users\stu\Documents\GitHub\eaglep3-reporting\EC\2017-02-05-refined-times.txt</v>
      </c>
      <c r="AI33" s="108" t="str">
        <f t="shared" si="4"/>
        <v>echo {"issue":{"subject":"","project_id":79,"tracker_id":40,"status_id":1,"priority_id":2,"assigned_to_id":23,"start_date":"2017-02-05","description":"","custom_fields":[{"id":1,"name":"Subdivision","value":"EC"},{"id":4,"name":"Milepost","value":"23.3304"},{"id":17,"name":"Train ID","value":"121-05"},{"id":16,"name":"Locomotive ID","value":"4022"},{"id":130,"name":"Impact","value":""},{"id":150,"name":"Time of Event (Mountain Time)","value":"06:52:45"},{"id":151,"name":"Denver Issue ID","value":""},{"id":178,"name":"Operational Impact","value":"Yes"},{"id":179,"name":"Denver Segment Assigned","value":""}]}} | curl -X POST -H "Content-Type: application/json" -H "X-Redmine-API-Key: d6333d4a04012a730768444271f8ca06482dae87" https://secure.xorail.net/redmine/issues.json --data @-</v>
      </c>
      <c r="AJ33" s="48"/>
      <c r="AK33" s="48"/>
      <c r="AL33" s="48"/>
      <c r="AM33" s="158" t="str">
        <f t="shared" si="5"/>
        <v>start /low /b %USERPROFILE%\Documents\GitHub\eaglep3\Utilities\DownloadLogsFromS3.py --loco 4022 --day 2017-02-05</v>
      </c>
      <c r="AN33" s="167" t="str">
        <f>"grep -SE -B400 ""CHR.+\|PRM\|1\|D.+(SWITCH|SIGNAL).+UNKNOWN"" "&amp;search_path&amp;"\RTDC"&amp;B33&amp;"\*"&amp;B33&amp;"*"&amp;TEXT(AVERAGE(F33,I33)-utc_offset/24,"YYYYMMDD")&amp;"* | grep -SE ""(Enforcement Action)|(\[TIMEOUT)|(CHR.+\|PRM\|1\|D.+(SWITCH|SIGNAL).+UNKNOWN)"" - &gt;&gt; "&amp;TEXT(Variables!$A$2,"YYYY-MM-DD")&amp;"-UncaughtWiMAX.txt"</f>
        <v>grep -SE -B400 "CHR.+\|PRM\|1\|D.+(SWITCH|SIGNAL).+UNKNOWN" "%USERPROFILE%\AppData\Local\Temp\OnboardLogs"\RTDC4022\*4022*20170205* | grep -SE "(Enforcement Action)|(\[TIMEOUT)|(CHR.+\|PRM\|1\|D.+(SWITCH|SIGNAL).+UNKNOWN)" - &gt;&gt; 2017-02-05-UncaughtWiMAX.txt</v>
      </c>
      <c r="AO33"/>
      <c r="AP33"/>
      <c r="AQ33"/>
      <c r="AR33"/>
      <c r="AS33"/>
      <c r="AT33"/>
      <c r="AU33"/>
      <c r="AV33"/>
      <c r="AW33"/>
      <c r="AX33"/>
      <c r="AY33"/>
      <c r="AZ33"/>
      <c r="BA33"/>
      <c r="BB33"/>
      <c r="BC33"/>
      <c r="BD33"/>
      <c r="BE33"/>
      <c r="BF33"/>
      <c r="BG33"/>
      <c r="BH33"/>
      <c r="BI33"/>
      <c r="BJ33"/>
      <c r="BK33"/>
      <c r="BL33"/>
      <c r="BM33"/>
      <c r="BN33"/>
      <c r="BO33"/>
      <c r="BP33"/>
      <c r="BQ33"/>
      <c r="BR33"/>
      <c r="BS33"/>
      <c r="BT33"/>
      <c r="BU33"/>
      <c r="BV33"/>
      <c r="BW33"/>
      <c r="BX33"/>
      <c r="BY33"/>
      <c r="BZ33"/>
      <c r="CA33"/>
      <c r="CB33"/>
      <c r="CC33"/>
      <c r="CD33"/>
      <c r="CE33"/>
      <c r="CF33"/>
      <c r="CG33"/>
      <c r="CH33"/>
      <c r="CI33"/>
      <c r="CJ33"/>
      <c r="CK33"/>
      <c r="CL33"/>
      <c r="CM33"/>
    </row>
    <row r="34" spans="1:91" s="1" customFormat="1" x14ac:dyDescent="0.25">
      <c r="A34" s="33" t="s">
        <v>574</v>
      </c>
      <c r="B34" s="7">
        <v>4021</v>
      </c>
      <c r="C34" s="21" t="s">
        <v>193</v>
      </c>
      <c r="D34" s="21" t="s">
        <v>285</v>
      </c>
      <c r="E34" s="13">
        <v>42771.295254629629</v>
      </c>
      <c r="F34" s="13">
        <v>42771.299479166664</v>
      </c>
      <c r="G34" s="7">
        <v>1</v>
      </c>
      <c r="H34" s="21" t="s">
        <v>208</v>
      </c>
      <c r="I34" s="13">
        <v>42771.326979166668</v>
      </c>
      <c r="J34" s="7">
        <v>0</v>
      </c>
      <c r="K34" s="98" t="str">
        <f>IF(ISEVEN(B34),(B34-1)&amp;"/"&amp;B34,B34&amp;"/"&amp;(B34+1))</f>
        <v>4021/4022</v>
      </c>
      <c r="L34" s="21" t="str">
        <f>VLOOKUP(A34,'Trips&amp;Operators'!$C$1:$G$99999,5,FALSE)</f>
        <v>DAVIS WENDY</v>
      </c>
      <c r="M34" s="6">
        <f>I34-F34</f>
        <v>2.7500000003783498E-2</v>
      </c>
      <c r="N34" s="7">
        <f>24*60*SUM($M34:$M34)</f>
        <v>39.600000005448237</v>
      </c>
      <c r="O34" s="7"/>
      <c r="P34" s="7"/>
      <c r="Q34" s="22"/>
      <c r="R34" s="22"/>
      <c r="S34" s="31">
        <f>SUM(U34:U34)/IF(AG34="EC",12,1)</f>
        <v>1</v>
      </c>
      <c r="T34" s="46" t="str">
        <f>IF(ISEVEN(LEFT(AD34,4)),"Southbound","NorthBound")</f>
        <v>Southbound</v>
      </c>
      <c r="U34" s="190">
        <f>IF(AG34="EC",COUNTIFS(Variables!$M$2:$M$19,IF(T34="NorthBound","&gt;=","&lt;=")&amp;Y34,Variables!$M$2:$M$19,IF(T34="NorthBound","&lt;=","&gt;=")&amp;Z34),COUNTIFS(Variables!$P$2:$P$19,IF(T34="NorthBound","&gt;=","&lt;=")&amp;Y34,Variables!$P$2:$P$19,IF(T34="NorthBound","&lt;=","&gt;=")&amp;Z34))</f>
        <v>12</v>
      </c>
      <c r="V34" s="191" t="str">
        <f>"https://d0f6bd738d7f1b3e5a7ca70fe4ff75f0.us-east-1.aws.found.io/app/kibana#/discover/Steve-Slow-Train-Analysis-(2080s-and-2083s)?_g="&amp;"(refreshInterval:(display:Off,pause:!f,section:0,value:0),time:(from:'"&amp;TEXT(E34-1/24,"yyyy-MM-DDThh:mm:ss")&amp;utc_offset&amp;"00"&amp;"',mode:absolute,to:'"&amp;TEXT(I34+1/24,"yyyy-MM-DDThh:mm:ss")&amp;utc_offset&amp;"00"&amp;"'))&amp;_a=(columns:!('Locomotive+ID','Data.Head+End+Milepost',Data.Speed,'Data.Locomotive+State','Data.Train+ID',"&amp;"'Data.Warning%2FEnforcement+Type','Data.Target+Start+Milepost','Data.Target+Description','Data.Target+Speed',"&amp;"'Data.Enforcement+Train+Speed','Data.Enforcement+Start+Milepost','Data.Target+Type','Data.Enforcement+Direction+of+Travel','Message+ID',"&amp;"'Data.Body+of+Summary+Text','Data.Head+End+Track+name'),filters:!(),index:'emp_*',interval:auto,query:"&amp;"(query_string:(analyze_wildcard:!t,query:'Message%5C+ID:(2083+OR+2080+OR+1041+OR+2003+OR+1051+OR+1043+OR+1053)+AND+%22rtdc.l.rtdc."&amp;B34&amp;"%22')),sort:!(Time.ISO8601,asc))"</f>
        <v>https://d0f6bd738d7f1b3e5a7ca70fe4ff75f0.us-east-1.aws.found.io/app/kibana#/discover/Steve-Slow-Train-Analysis-(2080s-and-2083s)?_g=(refreshInterval:(display:Off,pause:!f,section:0,value:0),time:(from:'2017-02-05T06:05:10-0700',mode:absolute,to:'2017-02-05T08:50:51-0700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4021%22')),sort:!(Time.ISO8601,asc))</v>
      </c>
      <c r="W34" s="192" t="str">
        <f>IF(AA34&lt;IF(AG34="EC",23,5.65),"Y","N")</f>
        <v>N</v>
      </c>
      <c r="X34" s="192">
        <f>VALUE(LEFT(AD34,4))-VALUE(LEFT(AD33,4))</f>
        <v>1</v>
      </c>
      <c r="Y34" s="62">
        <f>RIGHT(D34,LEN(D34)-4)/10000</f>
        <v>23.299399999999999</v>
      </c>
      <c r="Z34" s="62">
        <f>RIGHT(H34,LEN(H34)-4)/10000</f>
        <v>1.6E-2</v>
      </c>
      <c r="AA34" s="62">
        <f>ABS(Z34-Y34)</f>
        <v>23.2834</v>
      </c>
      <c r="AB34" s="59" t="e">
        <f>VLOOKUP(A34,Enforcements!$C$7:$K$16,8,0)</f>
        <v>#N/A</v>
      </c>
      <c r="AC34" s="55" t="e">
        <f>VLOOKUP(A34,Enforcements!$C$7:$E$16,3,0)</f>
        <v>#N/A</v>
      </c>
      <c r="AD34" s="56" t="str">
        <f>IF(LEN(A34)=6,"0"&amp;A34,A34)</f>
        <v>0122-05</v>
      </c>
      <c r="AE34" s="85" t="str">
        <f>"aws s3 cp "&amp;s3_bucket&amp;"/RTDC"&amp;B34&amp;"/ "&amp;search_path&amp;"\RTDC"&amp;B34&amp;"\"&amp;TEXT(F34,"YYYY-MM-DD")&amp;" --exclude ""*"" --recursive --include ""*"&amp;TEXT(F34,"YYYYMMDD")&amp;"*"" &amp; """&amp;walkandungz&amp;""" "&amp;search_path&amp;"\RTDC"&amp;B34&amp;"\"&amp;TEXT(F34,"YYYY-MM-DD")
&amp;" &amp; "&amp;"aws s3 cp "&amp;s3_bucket&amp;"/RTDC"&amp;B34&amp;"/ "&amp;search_path&amp;"\RTDC"&amp;B34&amp;"\"&amp;TEXT(F34+1,"YYYY-MM-DD")&amp;" --exclude ""*"" --recursive --include ""*"&amp;TEXT(F34+1,"YYYYMMDD")&amp;"*"" &amp; """&amp;walkandungz&amp;""" "&amp;search_path&amp;"\RTDC"&amp;B34&amp;"\"&amp;TEXT(F34+1,"YYYY-MM-DD")</f>
        <v>aws s3 cp s3://rtdc.mdm.uploadarchive.raw/RTDC4021/ "%USERPROFILE%\AppData\Local\Temp\OnboardLogs"\RTDC4021\2017-02-05 --exclude "*" --recursive --include "*20170205*" &amp; "%USERPROFILE%\Documents\GitHub\mrs-test-scripts\Headless Mode &amp; Sideloading\WalkAndUnGZ.bat" "%USERPROFILE%\AppData\Local\Temp\OnboardLogs"\RTDC4021\2017-02-05 &amp; aws s3 cp s3://rtdc.mdm.uploadarchive.raw/RTDC4021/ "%USERPROFILE%\AppData\Local\Temp\OnboardLogs"\RTDC4021\2017-02-06 --exclude "*" --recursive --include "*20170206*" &amp; "%USERPROFILE%\Documents\GitHub\mrs-test-scripts\Headless Mode &amp; Sideloading\WalkAndUnGZ.bat" "%USERPROFILE%\AppData\Local\Temp\OnboardLogs"\RTDC4021\2017-02-06</v>
      </c>
      <c r="AF34" s="82" t="str">
        <f>astrogrep_path&amp;" /spath="&amp;search_path&amp;" /stypes=""app*"&amp;B34&amp;"*"&amp;TEXT(I34-utc_offset/24,"YYYYMMDD")&amp;"*"" /stext="" "&amp;TEXT(I34-utc_offset/24,"HH")&amp;search_regexp&amp;""" /e /r /s"</f>
        <v>"C:\Program Files (x86)\AstroGrep\AstroGrep.exe" /spath="%USERPROFILE%\AppData\Local\Temp\OnboardLogs" /stypes="app*4021*20170205*" /stext=" 14:.+((SYSTEM_STATE.+slice.+state.+changed )|(ment ac)|(multiple cpu faults)|(system.+state.+changed )|(\[timeout)|(PRM\|1\|D)|(kpr)|(kdp)|(\|lc)|(penalty))" /e /r /s</v>
      </c>
      <c r="AG34" s="1" t="str">
        <f>IFERROR(IF(VALUE(LEFT(AD34,2))&lt;=2,"EC",IF(OR(VALUE(LEFT(AD34,2))=8,VALUE(LEFT(AD34,2))=18),"NW","Other")),"Other")</f>
        <v>EC</v>
      </c>
      <c r="AH34" s="86" t="str">
        <f t="shared" si="3"/>
        <v>"%USERPROFILE%\Documents\GitHub\eaglep3\Utilities\RefineRTDCRunTimes.py" --tripid 122-05 --locoid 4021 --swversion DE.1.0.8.0 --startMP 204:232994 --initTime 2017-02-05T07:05:10 --startdatetime 2017-02-05T07:11:15 --delay 1 --endMP 204:160 --enddatetime 2017-02-05T07:50:51 --enforcementcount 0 &gt;&gt;C:\Users\stu\Documents\GitHub\eaglep3-reporting\EC\2017-02-05-refined-times.txt</v>
      </c>
      <c r="AI34" s="108" t="str">
        <f t="shared" si="4"/>
        <v>echo {"issue":{"subject":"","project_id":79,"tracker_id":40,"status_id":1,"priority_id":2,"assigned_to_id":23,"start_date":"2017-02-05","description":"","custom_fields":[{"id":1,"name":"Subdivision","value":"EC"},{"id":4,"name":"Milepost","value":"0.016"},{"id":17,"name":"Train ID","value":"122-05"},{"id":16,"name":"Locomotive ID","value":"4021"},{"id":130,"name":"Impact","value":""},{"id":150,"name":"Time of Event (Mountain Time)","value":"07:50:51"},{"id":151,"name":"Denver Issue ID","value":""},{"id":178,"name":"Operational Impact","value":"Yes"},{"id":179,"name":"Denver Segment Assigned","value":""}]}} | curl -X POST -H "Content-Type: application/json" -H "X-Redmine-API-Key: d6333d4a04012a730768444271f8ca06482dae87" https://secure.xorail.net/redmine/issues.json --data @-</v>
      </c>
      <c r="AJ34" s="48"/>
      <c r="AK34" s="48"/>
      <c r="AL34" s="48"/>
      <c r="AM34" s="158" t="str">
        <f t="shared" si="5"/>
        <v>start /low /b %USERPROFILE%\Documents\GitHub\eaglep3\Utilities\DownloadLogsFromS3.py --loco 4021 --day 2017-02-05</v>
      </c>
      <c r="AN34" s="167" t="str">
        <f>"grep -SE -B400 ""CHR.+\|PRM\|1\|D.+(SWITCH|SIGNAL).+UNKNOWN"" "&amp;search_path&amp;"\RTDC"&amp;B34&amp;"\*"&amp;B34&amp;"*"&amp;TEXT(AVERAGE(F34,I34)-utc_offset/24,"YYYYMMDD")&amp;"* | grep -SE ""(Enforcement Action)|(\[TIMEOUT)|(CHR.+\|PRM\|1\|D.+(SWITCH|SIGNAL).+UNKNOWN)"" - &gt;&gt; "&amp;TEXT(Variables!$A$2,"YYYY-MM-DD")&amp;"-UncaughtWiMAX.txt"</f>
        <v>grep -SE -B400 "CHR.+\|PRM\|1\|D.+(SWITCH|SIGNAL).+UNKNOWN" "%USERPROFILE%\AppData\Local\Temp\OnboardLogs"\RTDC4021\*4021*20170205* | grep -SE "(Enforcement Action)|(\[TIMEOUT)|(CHR.+\|PRM\|1\|D.+(SWITCH|SIGNAL).+UNKNOWN)" - &gt;&gt; 2017-02-05-UncaughtWiMAX.txt</v>
      </c>
      <c r="AO34"/>
      <c r="AP34"/>
      <c r="AQ34"/>
      <c r="AR34"/>
      <c r="AS34"/>
      <c r="AT34"/>
      <c r="AU34"/>
      <c r="AV34"/>
      <c r="AW34"/>
      <c r="AX34"/>
      <c r="AY34"/>
      <c r="AZ34"/>
      <c r="BA34"/>
      <c r="BB34"/>
      <c r="BC34"/>
      <c r="BD34"/>
      <c r="BE34"/>
      <c r="BF34"/>
      <c r="BG34"/>
      <c r="BH34"/>
      <c r="BI34"/>
      <c r="BJ34"/>
      <c r="BK34"/>
      <c r="BL34"/>
      <c r="BM34"/>
      <c r="BN34"/>
      <c r="BO34"/>
      <c r="BP34"/>
      <c r="BQ34"/>
      <c r="BR34"/>
      <c r="BS34"/>
      <c r="BT34"/>
      <c r="BU34"/>
      <c r="BV34"/>
      <c r="BW34"/>
      <c r="BX34"/>
      <c r="BY34"/>
      <c r="BZ34"/>
      <c r="CA34"/>
      <c r="CB34"/>
      <c r="CC34"/>
      <c r="CD34"/>
      <c r="CE34"/>
      <c r="CF34"/>
      <c r="CG34"/>
      <c r="CH34"/>
      <c r="CI34"/>
      <c r="CJ34"/>
      <c r="CK34"/>
      <c r="CL34"/>
      <c r="CM34"/>
    </row>
    <row r="35" spans="1:91" s="1" customFormat="1" x14ac:dyDescent="0.25">
      <c r="A35" s="33" t="s">
        <v>568</v>
      </c>
      <c r="B35" s="7">
        <v>4002</v>
      </c>
      <c r="C35" s="21" t="s">
        <v>193</v>
      </c>
      <c r="D35" s="21" t="s">
        <v>222</v>
      </c>
      <c r="E35" s="13">
        <v>42771.266296296293</v>
      </c>
      <c r="F35" s="13">
        <v>42771.270972222221</v>
      </c>
      <c r="G35" s="7">
        <v>1</v>
      </c>
      <c r="H35" s="21" t="s">
        <v>416</v>
      </c>
      <c r="I35" s="13">
        <v>42771.296226851853</v>
      </c>
      <c r="J35" s="7">
        <v>0</v>
      </c>
      <c r="K35" s="98" t="str">
        <f>IF(ISEVEN(B35),(B35-1)&amp;"/"&amp;B35,B35&amp;"/"&amp;(B35+1))</f>
        <v>4001/4002</v>
      </c>
      <c r="L35" s="21" t="str">
        <f>VLOOKUP(A35,'Trips&amp;Operators'!$C$1:$G$99999,5,FALSE)</f>
        <v>BERLING GARY</v>
      </c>
      <c r="M35" s="6">
        <f>I35-F35</f>
        <v>2.5254629632399883E-2</v>
      </c>
      <c r="N35" s="7">
        <f>24*60*SUM($M35:$M35)</f>
        <v>36.366666670655832</v>
      </c>
      <c r="O35" s="7"/>
      <c r="P35" s="7"/>
      <c r="Q35" s="22"/>
      <c r="R35" s="22"/>
      <c r="S35" s="31">
        <f>SUM(U35:U35)/IF(AG35="EC",12,1)</f>
        <v>1</v>
      </c>
      <c r="T35" s="46" t="str">
        <f>IF(ISEVEN(LEFT(AD35,4)),"Southbound","NorthBound")</f>
        <v>NorthBound</v>
      </c>
      <c r="U35" s="190">
        <f>IF(AG35="EC",COUNTIFS(Variables!$M$2:$M$19,IF(T35="NorthBound","&gt;=","&lt;=")&amp;Y35,Variables!$M$2:$M$19,IF(T35="NorthBound","&lt;=","&gt;=")&amp;Z35),COUNTIFS(Variables!$P$2:$P$19,IF(T35="NorthBound","&gt;=","&lt;=")&amp;Y35,Variables!$P$2:$P$19,IF(T35="NorthBound","&lt;=","&gt;=")&amp;Z35))</f>
        <v>12</v>
      </c>
      <c r="V35" s="191" t="str">
        <f>"https://d0f6bd738d7f1b3e5a7ca70fe4ff75f0.us-east-1.aws.found.io/app/kibana#/discover/Steve-Slow-Train-Analysis-(2080s-and-2083s)?_g="&amp;"(refreshInterval:(display:Off,pause:!f,section:0,value:0),time:(from:'"&amp;TEXT(E35-1/24,"yyyy-MM-DDThh:mm:ss")&amp;utc_offset&amp;"00"&amp;"',mode:absolute,to:'"&amp;TEXT(I35+1/24,"yyyy-MM-DDThh:mm:ss")&amp;utc_offset&amp;"00"&amp;"'))&amp;_a=(columns:!('Locomotive+ID','Data.Head+End+Milepost',Data.Speed,'Data.Locomotive+State','Data.Train+ID',"&amp;"'Data.Warning%2FEnforcement+Type','Data.Target+Start+Milepost','Data.Target+Description','Data.Target+Speed',"&amp;"'Data.Enforcement+Train+Speed','Data.Enforcement+Start+Milepost','Data.Target+Type','Data.Enforcement+Direction+of+Travel','Message+ID',"&amp;"'Data.Body+of+Summary+Text','Data.Head+End+Track+name'),filters:!(),index:'emp_*',interval:auto,query:"&amp;"(query_string:(analyze_wildcard:!t,query:'Message%5C+ID:(2083+OR+2080+OR+1041+OR+2003+OR+1051+OR+1043+OR+1053)+AND+%22rtdc.l.rtdc."&amp;B35&amp;"%22')),sort:!(Time.ISO8601,asc))"</f>
        <v>https://d0f6bd738d7f1b3e5a7ca70fe4ff75f0.us-east-1.aws.found.io/app/kibana#/discover/Steve-Slow-Train-Analysis-(2080s-and-2083s)?_g=(refreshInterval:(display:Off,pause:!f,section:0,value:0),time:(from:'2017-02-05T05:23:28-0700',mode:absolute,to:'2017-02-05T08:06:34-0700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4002%22')),sort:!(Time.ISO8601,asc))</v>
      </c>
      <c r="W35" s="192" t="str">
        <f>IF(AA35&lt;IF(AG35="EC",23,5.65),"Y","N")</f>
        <v>N</v>
      </c>
      <c r="X35" s="192">
        <f>VALUE(LEFT(AD35,4))-VALUE(LEFT(AD34,4))</f>
        <v>1</v>
      </c>
      <c r="Y35" s="62">
        <f>RIGHT(D35,LEN(D35)-4)/10000</f>
        <v>4.6899999999999997E-2</v>
      </c>
      <c r="Z35" s="62">
        <f>RIGHT(H35,LEN(H35)-4)/10000</f>
        <v>23.331399999999999</v>
      </c>
      <c r="AA35" s="62">
        <f>ABS(Z35-Y35)</f>
        <v>23.284499999999998</v>
      </c>
      <c r="AB35" s="59" t="e">
        <f>VLOOKUP(A35,Enforcements!$C$7:$K$16,8,0)</f>
        <v>#N/A</v>
      </c>
      <c r="AC35" s="55" t="e">
        <f>VLOOKUP(A35,Enforcements!$C$7:$E$16,3,0)</f>
        <v>#N/A</v>
      </c>
      <c r="AD35" s="56" t="str">
        <f>IF(LEN(A35)=6,"0"&amp;A35,A35)</f>
        <v>0123-05</v>
      </c>
      <c r="AE35" s="85" t="str">
        <f>"aws s3 cp "&amp;s3_bucket&amp;"/RTDC"&amp;B35&amp;"/ "&amp;search_path&amp;"\RTDC"&amp;B35&amp;"\"&amp;TEXT(F35,"YYYY-MM-DD")&amp;" --exclude ""*"" --recursive --include ""*"&amp;TEXT(F35,"YYYYMMDD")&amp;"*"" &amp; """&amp;walkandungz&amp;""" "&amp;search_path&amp;"\RTDC"&amp;B35&amp;"\"&amp;TEXT(F35,"YYYY-MM-DD")
&amp;" &amp; "&amp;"aws s3 cp "&amp;s3_bucket&amp;"/RTDC"&amp;B35&amp;"/ "&amp;search_path&amp;"\RTDC"&amp;B35&amp;"\"&amp;TEXT(F35+1,"YYYY-MM-DD")&amp;" --exclude ""*"" --recursive --include ""*"&amp;TEXT(F35+1,"YYYYMMDD")&amp;"*"" &amp; """&amp;walkandungz&amp;""" "&amp;search_path&amp;"\RTDC"&amp;B35&amp;"\"&amp;TEXT(F35+1,"YYYY-MM-DD")</f>
        <v>aws s3 cp s3://rtdc.mdm.uploadarchive.raw/RTDC4002/ "%USERPROFILE%\AppData\Local\Temp\OnboardLogs"\RTDC4002\2017-02-05 --exclude "*" --recursive --include "*20170205*" &amp; "%USERPROFILE%\Documents\GitHub\mrs-test-scripts\Headless Mode &amp; Sideloading\WalkAndUnGZ.bat" "%USERPROFILE%\AppData\Local\Temp\OnboardLogs"\RTDC4002\2017-02-05 &amp; aws s3 cp s3://rtdc.mdm.uploadarchive.raw/RTDC4002/ "%USERPROFILE%\AppData\Local\Temp\OnboardLogs"\RTDC4002\2017-02-06 --exclude "*" --recursive --include "*20170206*" &amp; "%USERPROFILE%\Documents\GitHub\mrs-test-scripts\Headless Mode &amp; Sideloading\WalkAndUnGZ.bat" "%USERPROFILE%\AppData\Local\Temp\OnboardLogs"\RTDC4002\2017-02-06</v>
      </c>
      <c r="AF35" s="82" t="str">
        <f>astrogrep_path&amp;" /spath="&amp;search_path&amp;" /stypes=""app*"&amp;B35&amp;"*"&amp;TEXT(I35-utc_offset/24,"YYYYMMDD")&amp;"*"" /stext="" "&amp;TEXT(I35-utc_offset/24,"HH")&amp;search_regexp&amp;""" /e /r /s"</f>
        <v>"C:\Program Files (x86)\AstroGrep\AstroGrep.exe" /spath="%USERPROFILE%\AppData\Local\Temp\OnboardLogs" /stypes="app*4002*20170205*" /stext=" 14:.+((SYSTEM_STATE.+slice.+state.+changed )|(ment ac)|(multiple cpu faults)|(system.+state.+changed )|(\[timeout)|(PRM\|1\|D)|(kpr)|(kdp)|(\|lc)|(penalty))" /e /r /s</v>
      </c>
      <c r="AG35" s="1" t="str">
        <f>IFERROR(IF(VALUE(LEFT(AD35,2))&lt;=2,"EC",IF(OR(VALUE(LEFT(AD35,2))=8,VALUE(LEFT(AD35,2))=18),"NW","Other")),"Other")</f>
        <v>EC</v>
      </c>
      <c r="AH35" s="86" t="str">
        <f t="shared" si="3"/>
        <v>"%USERPROFILE%\Documents\GitHub\eaglep3\Utilities\RefineRTDCRunTimes.py" --tripid 123-05 --locoid 4002 --swversion DE.1.0.8.0 --startMP 204:469 --initTime 2017-02-05T06:23:28 --startdatetime 2017-02-05T06:30:12 --delay 1 --endMP 204:233314 --enddatetime 2017-02-05T07:06:34 --enforcementcount 0 &gt;&gt;C:\Users\stu\Documents\GitHub\eaglep3-reporting\EC\2017-02-05-refined-times.txt</v>
      </c>
      <c r="AI35" s="108" t="str">
        <f t="shared" si="4"/>
        <v>echo {"issue":{"subject":"","project_id":79,"tracker_id":40,"status_id":1,"priority_id":2,"assigned_to_id":23,"start_date":"2017-02-05","description":"","custom_fields":[{"id":1,"name":"Subdivision","value":"EC"},{"id":4,"name":"Milepost","value":"23.3314"},{"id":17,"name":"Train ID","value":"123-05"},{"id":16,"name":"Locomotive ID","value":"4002"},{"id":130,"name":"Impact","value":""},{"id":150,"name":"Time of Event (Mountain Time)","value":"07:06:34"},{"id":151,"name":"Denver Issue ID","value":""},{"id":178,"name":"Operational Impact","value":"Yes"},{"id":179,"name":"Denver Segment Assigned","value":""}]}} | curl -X POST -H "Content-Type: application/json" -H "X-Redmine-API-Key: d6333d4a04012a730768444271f8ca06482dae87" https://secure.xorail.net/redmine/issues.json --data @-</v>
      </c>
      <c r="AJ35" s="48"/>
      <c r="AK35" s="48"/>
      <c r="AL35" s="48"/>
      <c r="AM35" s="158" t="str">
        <f t="shared" si="5"/>
        <v>start /low /b %USERPROFILE%\Documents\GitHub\eaglep3\Utilities\DownloadLogsFromS3.py --loco 4002 --day 2017-02-05</v>
      </c>
      <c r="AN35" s="167" t="str">
        <f>"grep -SE -B400 ""CHR.+\|PRM\|1\|D.+(SWITCH|SIGNAL).+UNKNOWN"" "&amp;search_path&amp;"\RTDC"&amp;B35&amp;"\*"&amp;B35&amp;"*"&amp;TEXT(AVERAGE(F35,I35)-utc_offset/24,"YYYYMMDD")&amp;"* | grep -SE ""(Enforcement Action)|(\[TIMEOUT)|(CHR.+\|PRM\|1\|D.+(SWITCH|SIGNAL).+UNKNOWN)"" - &gt;&gt; "&amp;TEXT(Variables!$A$2,"YYYY-MM-DD")&amp;"-UncaughtWiMAX.txt"</f>
        <v>grep -SE -B400 "CHR.+\|PRM\|1\|D.+(SWITCH|SIGNAL).+UNKNOWN" "%USERPROFILE%\AppData\Local\Temp\OnboardLogs"\RTDC4002\*4002*20170205* | grep -SE "(Enforcement Action)|(\[TIMEOUT)|(CHR.+\|PRM\|1\|D.+(SWITCH|SIGNAL).+UNKNOWN)" - &gt;&gt; 2017-02-05-UncaughtWiMAX.txt</v>
      </c>
      <c r="AO35"/>
      <c r="AP35"/>
      <c r="AQ35"/>
      <c r="AR35"/>
      <c r="AS35"/>
      <c r="AT35"/>
      <c r="AU35"/>
      <c r="AV35"/>
      <c r="AW35"/>
      <c r="AX35"/>
      <c r="AY35"/>
      <c r="AZ35"/>
      <c r="BA35"/>
      <c r="BB35"/>
      <c r="BC35"/>
      <c r="BD35"/>
      <c r="BE35"/>
      <c r="BF35"/>
      <c r="BG35"/>
      <c r="BH35"/>
      <c r="BI35"/>
      <c r="BJ35"/>
      <c r="BK35"/>
      <c r="BL35"/>
      <c r="BM35"/>
      <c r="BN35"/>
      <c r="BO35"/>
      <c r="BP35"/>
      <c r="BQ35"/>
      <c r="BR35"/>
      <c r="BS35"/>
      <c r="BT35"/>
      <c r="BU35"/>
      <c r="BV35"/>
      <c r="BW35"/>
      <c r="BX35"/>
      <c r="BY35"/>
      <c r="BZ35"/>
      <c r="CA35"/>
      <c r="CB35"/>
      <c r="CC35"/>
      <c r="CD35"/>
      <c r="CE35"/>
      <c r="CF35"/>
      <c r="CG35"/>
      <c r="CH35"/>
      <c r="CI35"/>
      <c r="CJ35"/>
      <c r="CK35"/>
      <c r="CL35"/>
      <c r="CM35"/>
    </row>
    <row r="36" spans="1:91" s="1" customFormat="1" x14ac:dyDescent="0.25">
      <c r="A36" s="33" t="s">
        <v>576</v>
      </c>
      <c r="B36" s="7">
        <v>4001</v>
      </c>
      <c r="C36" s="21" t="s">
        <v>193</v>
      </c>
      <c r="D36" s="21" t="s">
        <v>762</v>
      </c>
      <c r="E36" s="13">
        <v>42771.301689814813</v>
      </c>
      <c r="F36" s="13">
        <v>42771.309976851851</v>
      </c>
      <c r="G36" s="7">
        <v>1</v>
      </c>
      <c r="H36" s="21" t="s">
        <v>763</v>
      </c>
      <c r="I36" s="13">
        <v>42771.336817129632</v>
      </c>
      <c r="J36" s="7">
        <v>0</v>
      </c>
      <c r="K36" s="98" t="str">
        <f>IF(ISEVEN(B36),(B36-1)&amp;"/"&amp;B36,B36&amp;"/"&amp;(B36+1))</f>
        <v>4001/4002</v>
      </c>
      <c r="L36" s="21" t="str">
        <f>VLOOKUP(A36,'Trips&amp;Operators'!$C$1:$G$99999,5,FALSE)</f>
        <v>BERLING GARY</v>
      </c>
      <c r="M36" s="6">
        <f>I36-F36</f>
        <v>2.6840277780138422E-2</v>
      </c>
      <c r="N36" s="7">
        <f>24*60*SUM($M36:$M36)</f>
        <v>38.650000003399327</v>
      </c>
      <c r="O36" s="7"/>
      <c r="P36" s="7"/>
      <c r="Q36" s="22"/>
      <c r="R36" s="22"/>
      <c r="S36" s="31">
        <f>SUM(U36:U36)/IF(AG36="EC",12,1)</f>
        <v>1</v>
      </c>
      <c r="T36" s="46" t="str">
        <f>IF(ISEVEN(LEFT(AD36,4)),"Southbound","NorthBound")</f>
        <v>Southbound</v>
      </c>
      <c r="U36" s="190">
        <f>IF(AG36="EC",COUNTIFS(Variables!$M$2:$M$19,IF(T36="NorthBound","&gt;=","&lt;=")&amp;Y36,Variables!$M$2:$M$19,IF(T36="NorthBound","&lt;=","&gt;=")&amp;Z36),COUNTIFS(Variables!$P$2:$P$19,IF(T36="NorthBound","&gt;=","&lt;=")&amp;Y36,Variables!$P$2:$P$19,IF(T36="NorthBound","&lt;=","&gt;=")&amp;Z36))</f>
        <v>12</v>
      </c>
      <c r="V36" s="191" t="str">
        <f>"https://d0f6bd738d7f1b3e5a7ca70fe4ff75f0.us-east-1.aws.found.io/app/kibana#/discover/Steve-Slow-Train-Analysis-(2080s-and-2083s)?_g="&amp;"(refreshInterval:(display:Off,pause:!f,section:0,value:0),time:(from:'"&amp;TEXT(E36-1/24,"yyyy-MM-DDThh:mm:ss")&amp;utc_offset&amp;"00"&amp;"',mode:absolute,to:'"&amp;TEXT(I36+1/24,"yyyy-MM-DDThh:mm:ss")&amp;utc_offset&amp;"00"&amp;"'))&amp;_a=(columns:!('Locomotive+ID','Data.Head+End+Milepost',Data.Speed,'Data.Locomotive+State','Data.Train+ID',"&amp;"'Data.Warning%2FEnforcement+Type','Data.Target+Start+Milepost','Data.Target+Description','Data.Target+Speed',"&amp;"'Data.Enforcement+Train+Speed','Data.Enforcement+Start+Milepost','Data.Target+Type','Data.Enforcement+Direction+of+Travel','Message+ID',"&amp;"'Data.Body+of+Summary+Text','Data.Head+End+Track+name'),filters:!(),index:'emp_*',interval:auto,query:"&amp;"(query_string:(analyze_wildcard:!t,query:'Message%5C+ID:(2083+OR+2080+OR+1041+OR+2003+OR+1051+OR+1043+OR+1053)+AND+%22rtdc.l.rtdc."&amp;B36&amp;"%22')),sort:!(Time.ISO8601,asc))"</f>
        <v>https://d0f6bd738d7f1b3e5a7ca70fe4ff75f0.us-east-1.aws.found.io/app/kibana#/discover/Steve-Slow-Train-Analysis-(2080s-and-2083s)?_g=(refreshInterval:(display:Off,pause:!f,section:0,value:0),time:(from:'2017-02-05T06:14:26-0700',mode:absolute,to:'2017-02-05T09:05:01-0700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4001%22')),sort:!(Time.ISO8601,asc))</v>
      </c>
      <c r="W36" s="192" t="str">
        <f>IF(AA36&lt;IF(AG36="EC",23,5.65),"Y","N")</f>
        <v>N</v>
      </c>
      <c r="X36" s="192">
        <f>VALUE(LEFT(AD36,4))-VALUE(LEFT(AD35,4))</f>
        <v>1</v>
      </c>
      <c r="Y36" s="62">
        <f>RIGHT(D36,LEN(D36)-4)/10000</f>
        <v>23.301300000000001</v>
      </c>
      <c r="Z36" s="62">
        <f>RIGHT(H36,LEN(H36)-4)/10000</f>
        <v>9.5999999999999992E-3</v>
      </c>
      <c r="AA36" s="62">
        <f>ABS(Z36-Y36)</f>
        <v>23.291700000000002</v>
      </c>
      <c r="AB36" s="59" t="e">
        <f>VLOOKUP(A36,Enforcements!$C$7:$K$16,8,0)</f>
        <v>#N/A</v>
      </c>
      <c r="AC36" s="55" t="e">
        <f>VLOOKUP(A36,Enforcements!$C$7:$E$16,3,0)</f>
        <v>#N/A</v>
      </c>
      <c r="AD36" s="56" t="str">
        <f>IF(LEN(A36)=6,"0"&amp;A36,A36)</f>
        <v>0124-05</v>
      </c>
      <c r="AE36" s="85" t="str">
        <f>"aws s3 cp "&amp;s3_bucket&amp;"/RTDC"&amp;B36&amp;"/ "&amp;search_path&amp;"\RTDC"&amp;B36&amp;"\"&amp;TEXT(F36,"YYYY-MM-DD")&amp;" --exclude ""*"" --recursive --include ""*"&amp;TEXT(F36,"YYYYMMDD")&amp;"*"" &amp; """&amp;walkandungz&amp;""" "&amp;search_path&amp;"\RTDC"&amp;B36&amp;"\"&amp;TEXT(F36,"YYYY-MM-DD")
&amp;" &amp; "&amp;"aws s3 cp "&amp;s3_bucket&amp;"/RTDC"&amp;B36&amp;"/ "&amp;search_path&amp;"\RTDC"&amp;B36&amp;"\"&amp;TEXT(F36+1,"YYYY-MM-DD")&amp;" --exclude ""*"" --recursive --include ""*"&amp;TEXT(F36+1,"YYYYMMDD")&amp;"*"" &amp; """&amp;walkandungz&amp;""" "&amp;search_path&amp;"\RTDC"&amp;B36&amp;"\"&amp;TEXT(F36+1,"YYYY-MM-DD")</f>
        <v>aws s3 cp s3://rtdc.mdm.uploadarchive.raw/RTDC4001/ "%USERPROFILE%\AppData\Local\Temp\OnboardLogs"\RTDC4001\2017-02-05 --exclude "*" --recursive --include "*20170205*" &amp; "%USERPROFILE%\Documents\GitHub\mrs-test-scripts\Headless Mode &amp; Sideloading\WalkAndUnGZ.bat" "%USERPROFILE%\AppData\Local\Temp\OnboardLogs"\RTDC4001\2017-02-05 &amp; aws s3 cp s3://rtdc.mdm.uploadarchive.raw/RTDC4001/ "%USERPROFILE%\AppData\Local\Temp\OnboardLogs"\RTDC4001\2017-02-06 --exclude "*" --recursive --include "*20170206*" &amp; "%USERPROFILE%\Documents\GitHub\mrs-test-scripts\Headless Mode &amp; Sideloading\WalkAndUnGZ.bat" "%USERPROFILE%\AppData\Local\Temp\OnboardLogs"\RTDC4001\2017-02-06</v>
      </c>
      <c r="AF36" s="82" t="str">
        <f>astrogrep_path&amp;" /spath="&amp;search_path&amp;" /stypes=""app*"&amp;B36&amp;"*"&amp;TEXT(I36-utc_offset/24,"YYYYMMDD")&amp;"*"" /stext="" "&amp;TEXT(I36-utc_offset/24,"HH")&amp;search_regexp&amp;""" /e /r /s"</f>
        <v>"C:\Program Files (x86)\AstroGrep\AstroGrep.exe" /spath="%USERPROFILE%\AppData\Local\Temp\OnboardLogs" /stypes="app*4001*20170205*" /stext=" 15:.+((SYSTEM_STATE.+slice.+state.+changed )|(ment ac)|(multiple cpu faults)|(system.+state.+changed )|(\[timeout)|(PRM\|1\|D)|(kpr)|(kdp)|(\|lc)|(penalty))" /e /r /s</v>
      </c>
      <c r="AG36" s="1" t="str">
        <f>IFERROR(IF(VALUE(LEFT(AD36,2))&lt;=2,"EC",IF(OR(VALUE(LEFT(AD36,2))=8,VALUE(LEFT(AD36,2))=18),"NW","Other")),"Other")</f>
        <v>EC</v>
      </c>
      <c r="AH36" s="86" t="str">
        <f t="shared" si="3"/>
        <v>"%USERPROFILE%\Documents\GitHub\eaglep3\Utilities\RefineRTDCRunTimes.py" --tripid 124-05 --locoid 4001 --swversion DE.1.0.8.0 --startMP 204:233013 --initTime 2017-02-05T07:14:26 --startdatetime 2017-02-05T07:26:22 --delay 1 --endMP 204:96 --enddatetime 2017-02-05T08:05:01 --enforcementcount 0 &gt;&gt;C:\Users\stu\Documents\GitHub\eaglep3-reporting\EC\2017-02-05-refined-times.txt</v>
      </c>
      <c r="AI36" s="108" t="str">
        <f t="shared" si="4"/>
        <v>echo {"issue":{"subject":"","project_id":79,"tracker_id":40,"status_id":1,"priority_id":2,"assigned_to_id":23,"start_date":"2017-02-05","description":"","custom_fields":[{"id":1,"name":"Subdivision","value":"EC"},{"id":4,"name":"Milepost","value":"0.0096"},{"id":17,"name":"Train ID","value":"124-05"},{"id":16,"name":"Locomotive ID","value":"4001"},{"id":130,"name":"Impact","value":""},{"id":150,"name":"Time of Event (Mountain Time)","value":"08:05:01"},{"id":151,"name":"Denver Issue ID","value":""},{"id":178,"name":"Operational Impact","value":"Yes"},{"id":179,"name":"Denver Segment Assigned","value":""}]}} | curl -X POST -H "Content-Type: application/json" -H "X-Redmine-API-Key: d6333d4a04012a730768444271f8ca06482dae87" https://secure.xorail.net/redmine/issues.json --data @-</v>
      </c>
      <c r="AJ36" s="48"/>
      <c r="AK36" s="48"/>
      <c r="AL36" s="48"/>
      <c r="AM36" s="158" t="str">
        <f t="shared" si="5"/>
        <v>start /low /b %USERPROFILE%\Documents\GitHub\eaglep3\Utilities\DownloadLogsFromS3.py --loco 4001 --day 2017-02-05</v>
      </c>
      <c r="AN36" s="167" t="str">
        <f>"grep -SE -B400 ""CHR.+\|PRM\|1\|D.+(SWITCH|SIGNAL).+UNKNOWN"" "&amp;search_path&amp;"\RTDC"&amp;B36&amp;"\*"&amp;B36&amp;"*"&amp;TEXT(AVERAGE(F36,I36)-utc_offset/24,"YYYYMMDD")&amp;"* | grep -SE ""(Enforcement Action)|(\[TIMEOUT)|(CHR.+\|PRM\|1\|D.+(SWITCH|SIGNAL).+UNKNOWN)"" - &gt;&gt; "&amp;TEXT(Variables!$A$2,"YYYY-MM-DD")&amp;"-UncaughtWiMAX.txt"</f>
        <v>grep -SE -B400 "CHR.+\|PRM\|1\|D.+(SWITCH|SIGNAL).+UNKNOWN" "%USERPROFILE%\AppData\Local\Temp\OnboardLogs"\RTDC4001\*4001*20170205* | grep -SE "(Enforcement Action)|(\[TIMEOUT)|(CHR.+\|PRM\|1\|D.+(SWITCH|SIGNAL).+UNKNOWN)" - &gt;&gt; 2017-02-05-UncaughtWiMAX.txt</v>
      </c>
      <c r="AO36"/>
      <c r="AP36"/>
      <c r="AQ36"/>
      <c r="AR36"/>
      <c r="AS36"/>
      <c r="AT36"/>
      <c r="AU36"/>
      <c r="AV36"/>
      <c r="AW36"/>
      <c r="AX36"/>
      <c r="AY36"/>
      <c r="AZ36"/>
      <c r="BA36"/>
      <c r="BB36"/>
      <c r="BC36"/>
      <c r="BD36"/>
      <c r="BE36"/>
      <c r="BF36"/>
      <c r="BG36"/>
      <c r="BH36"/>
      <c r="BI36"/>
      <c r="BJ36"/>
      <c r="BK36"/>
      <c r="BL36"/>
      <c r="BM36"/>
      <c r="BN36"/>
      <c r="BO36"/>
      <c r="BP36"/>
      <c r="BQ36"/>
      <c r="BR36"/>
      <c r="BS36"/>
      <c r="BT36"/>
      <c r="BU36"/>
      <c r="BV36"/>
      <c r="BW36"/>
      <c r="BX36"/>
      <c r="BY36"/>
      <c r="BZ36"/>
      <c r="CA36"/>
      <c r="CB36"/>
      <c r="CC36"/>
      <c r="CD36"/>
      <c r="CE36"/>
      <c r="CF36"/>
      <c r="CG36"/>
      <c r="CH36"/>
      <c r="CI36"/>
      <c r="CJ36"/>
      <c r="CK36"/>
      <c r="CL36"/>
      <c r="CM36"/>
    </row>
    <row r="37" spans="1:91" s="1" customFormat="1" x14ac:dyDescent="0.25">
      <c r="A37" s="33" t="s">
        <v>571</v>
      </c>
      <c r="B37" s="7">
        <v>4031</v>
      </c>
      <c r="C37" s="21" t="s">
        <v>193</v>
      </c>
      <c r="D37" s="21" t="s">
        <v>241</v>
      </c>
      <c r="E37" s="13">
        <v>42771.275891203702</v>
      </c>
      <c r="F37" s="13">
        <v>42771.281423611108</v>
      </c>
      <c r="G37" s="7">
        <v>1</v>
      </c>
      <c r="H37" s="21" t="s">
        <v>764</v>
      </c>
      <c r="I37" s="13">
        <v>42771.306759259256</v>
      </c>
      <c r="J37" s="7">
        <v>0</v>
      </c>
      <c r="K37" s="98" t="str">
        <f>IF(ISEVEN(B37),(B37-1)&amp;"/"&amp;B37,B37&amp;"/"&amp;(B37+1))</f>
        <v>4031/4032</v>
      </c>
      <c r="L37" s="21" t="str">
        <f>VLOOKUP(A37,'Trips&amp;Operators'!$C$1:$G$99999,5,FALSE)</f>
        <v>GEBRETEKLE DAGNEW</v>
      </c>
      <c r="M37" s="6">
        <f>I37-F37</f>
        <v>2.5335648148029577E-2</v>
      </c>
      <c r="N37" s="7">
        <f>24*60*SUM($M37:$M37)</f>
        <v>36.483333333162591</v>
      </c>
      <c r="O37" s="7"/>
      <c r="P37" s="7"/>
      <c r="Q37" s="22"/>
      <c r="R37" s="22"/>
      <c r="S37" s="31">
        <f>SUM(U37:U37)/IF(AG37="EC",12,1)</f>
        <v>1</v>
      </c>
      <c r="T37" s="46" t="str">
        <f>IF(ISEVEN(LEFT(AD37,4)),"Southbound","NorthBound")</f>
        <v>NorthBound</v>
      </c>
      <c r="U37" s="190">
        <f>IF(AG37="EC",COUNTIFS(Variables!$M$2:$M$19,IF(T37="NorthBound","&gt;=","&lt;=")&amp;Y37,Variables!$M$2:$M$19,IF(T37="NorthBound","&lt;=","&gt;=")&amp;Z37),COUNTIFS(Variables!$P$2:$P$19,IF(T37="NorthBound","&gt;=","&lt;=")&amp;Y37,Variables!$P$2:$P$19,IF(T37="NorthBound","&lt;=","&gt;=")&amp;Z37))</f>
        <v>12</v>
      </c>
      <c r="V37" s="191" t="str">
        <f>"https://d0f6bd738d7f1b3e5a7ca70fe4ff75f0.us-east-1.aws.found.io/app/kibana#/discover/Steve-Slow-Train-Analysis-(2080s-and-2083s)?_g="&amp;"(refreshInterval:(display:Off,pause:!f,section:0,value:0),time:(from:'"&amp;TEXT(E37-1/24,"yyyy-MM-DDThh:mm:ss")&amp;utc_offset&amp;"00"&amp;"',mode:absolute,to:'"&amp;TEXT(I37+1/24,"yyyy-MM-DDThh:mm:ss")&amp;utc_offset&amp;"00"&amp;"'))&amp;_a=(columns:!('Locomotive+ID','Data.Head+End+Milepost',Data.Speed,'Data.Locomotive+State','Data.Train+ID',"&amp;"'Data.Warning%2FEnforcement+Type','Data.Target+Start+Milepost','Data.Target+Description','Data.Target+Speed',"&amp;"'Data.Enforcement+Train+Speed','Data.Enforcement+Start+Milepost','Data.Target+Type','Data.Enforcement+Direction+of+Travel','Message+ID',"&amp;"'Data.Body+of+Summary+Text','Data.Head+End+Track+name'),filters:!(),index:'emp_*',interval:auto,query:"&amp;"(query_string:(analyze_wildcard:!t,query:'Message%5C+ID:(2083+OR+2080+OR+1041+OR+2003+OR+1051+OR+1043+OR+1053)+AND+%22rtdc.l.rtdc."&amp;B37&amp;"%22')),sort:!(Time.ISO8601,asc))"</f>
        <v>https://d0f6bd738d7f1b3e5a7ca70fe4ff75f0.us-east-1.aws.found.io/app/kibana#/discover/Steve-Slow-Train-Analysis-(2080s-and-2083s)?_g=(refreshInterval:(display:Off,pause:!f,section:0,value:0),time:(from:'2017-02-05T05:37:17-0700',mode:absolute,to:'2017-02-05T08:21:44-0700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4031%22')),sort:!(Time.ISO8601,asc))</v>
      </c>
      <c r="W37" s="192" t="str">
        <f>IF(AA37&lt;IF(AG37="EC",23,5.65),"Y","N")</f>
        <v>N</v>
      </c>
      <c r="X37" s="192">
        <f>VALUE(LEFT(AD37,4))-VALUE(LEFT(AD36,4))</f>
        <v>1</v>
      </c>
      <c r="Y37" s="62">
        <f>RIGHT(D37,LEN(D37)-4)/10000</f>
        <v>4.5699999999999998E-2</v>
      </c>
      <c r="Z37" s="62">
        <f>RIGHT(H37,LEN(H37)-4)/10000</f>
        <v>23.334900000000001</v>
      </c>
      <c r="AA37" s="62">
        <f>ABS(Z37-Y37)</f>
        <v>23.289200000000001</v>
      </c>
      <c r="AB37" s="59" t="e">
        <f>VLOOKUP(A37,Enforcements!$C$7:$K$16,8,0)</f>
        <v>#N/A</v>
      </c>
      <c r="AC37" s="55" t="e">
        <f>VLOOKUP(A37,Enforcements!$C$7:$E$16,3,0)</f>
        <v>#N/A</v>
      </c>
      <c r="AD37" s="56" t="str">
        <f>IF(LEN(A37)=6,"0"&amp;A37,A37)</f>
        <v>0125-05</v>
      </c>
      <c r="AE37" s="85" t="str">
        <f>"aws s3 cp "&amp;s3_bucket&amp;"/RTDC"&amp;B37&amp;"/ "&amp;search_path&amp;"\RTDC"&amp;B37&amp;"\"&amp;TEXT(F37,"YYYY-MM-DD")&amp;" --exclude ""*"" --recursive --include ""*"&amp;TEXT(F37,"YYYYMMDD")&amp;"*"" &amp; """&amp;walkandungz&amp;""" "&amp;search_path&amp;"\RTDC"&amp;B37&amp;"\"&amp;TEXT(F37,"YYYY-MM-DD")
&amp;" &amp; "&amp;"aws s3 cp "&amp;s3_bucket&amp;"/RTDC"&amp;B37&amp;"/ "&amp;search_path&amp;"\RTDC"&amp;B37&amp;"\"&amp;TEXT(F37+1,"YYYY-MM-DD")&amp;" --exclude ""*"" --recursive --include ""*"&amp;TEXT(F37+1,"YYYYMMDD")&amp;"*"" &amp; """&amp;walkandungz&amp;""" "&amp;search_path&amp;"\RTDC"&amp;B37&amp;"\"&amp;TEXT(F37+1,"YYYY-MM-DD")</f>
        <v>aws s3 cp s3://rtdc.mdm.uploadarchive.raw/RTDC4031/ "%USERPROFILE%\AppData\Local\Temp\OnboardLogs"\RTDC4031\2017-02-05 --exclude "*" --recursive --include "*20170205*" &amp; "%USERPROFILE%\Documents\GitHub\mrs-test-scripts\Headless Mode &amp; Sideloading\WalkAndUnGZ.bat" "%USERPROFILE%\AppData\Local\Temp\OnboardLogs"\RTDC4031\2017-02-05 &amp; aws s3 cp s3://rtdc.mdm.uploadarchive.raw/RTDC4031/ "%USERPROFILE%\AppData\Local\Temp\OnboardLogs"\RTDC4031\2017-02-06 --exclude "*" --recursive --include "*20170206*" &amp; "%USERPROFILE%\Documents\GitHub\mrs-test-scripts\Headless Mode &amp; Sideloading\WalkAndUnGZ.bat" "%USERPROFILE%\AppData\Local\Temp\OnboardLogs"\RTDC4031\2017-02-06</v>
      </c>
      <c r="AF37" s="82" t="str">
        <f>astrogrep_path&amp;" /spath="&amp;search_path&amp;" /stypes=""app*"&amp;B37&amp;"*"&amp;TEXT(I37-utc_offset/24,"YYYYMMDD")&amp;"*"" /stext="" "&amp;TEXT(I37-utc_offset/24,"HH")&amp;search_regexp&amp;""" /e /r /s"</f>
        <v>"C:\Program Files (x86)\AstroGrep\AstroGrep.exe" /spath="%USERPROFILE%\AppData\Local\Temp\OnboardLogs" /stypes="app*4031*20170205*" /stext=" 14:.+((SYSTEM_STATE.+slice.+state.+changed )|(ment ac)|(multiple cpu faults)|(system.+state.+changed )|(\[timeout)|(PRM\|1\|D)|(kpr)|(kdp)|(\|lc)|(penalty))" /e /r /s</v>
      </c>
      <c r="AG37" s="1" t="str">
        <f>IFERROR(IF(VALUE(LEFT(AD37,2))&lt;=2,"EC",IF(OR(VALUE(LEFT(AD37,2))=8,VALUE(LEFT(AD37,2))=18),"NW","Other")),"Other")</f>
        <v>EC</v>
      </c>
      <c r="AH37" s="86" t="str">
        <f t="shared" si="3"/>
        <v>"%USERPROFILE%\Documents\GitHub\eaglep3\Utilities\RefineRTDCRunTimes.py" --tripid 125-05 --locoid 4031 --swversion DE.1.0.8.0 --startMP 204:457 --initTime 2017-02-05T06:37:17 --startdatetime 2017-02-05T06:45:15 --delay 1 --endMP 204:233349 --enddatetime 2017-02-05T07:21:44 --enforcementcount 0 &gt;&gt;C:\Users\stu\Documents\GitHub\eaglep3-reporting\EC\2017-02-05-refined-times.txt</v>
      </c>
      <c r="AI37" s="108" t="str">
        <f t="shared" si="4"/>
        <v>echo {"issue":{"subject":"","project_id":79,"tracker_id":40,"status_id":1,"priority_id":2,"assigned_to_id":23,"start_date":"2017-02-05","description":"","custom_fields":[{"id":1,"name":"Subdivision","value":"EC"},{"id":4,"name":"Milepost","value":"23.3349"},{"id":17,"name":"Train ID","value":"125-05"},{"id":16,"name":"Locomotive ID","value":"4031"},{"id":130,"name":"Impact","value":""},{"id":150,"name":"Time of Event (Mountain Time)","value":"07:21:44"},{"id":151,"name":"Denver Issue ID","value":""},{"id":178,"name":"Operational Impact","value":"Yes"},{"id":179,"name":"Denver Segment Assigned","value":""}]}} | curl -X POST -H "Content-Type: application/json" -H "X-Redmine-API-Key: d6333d4a04012a730768444271f8ca06482dae87" https://secure.xorail.net/redmine/issues.json --data @-</v>
      </c>
      <c r="AJ37" s="48"/>
      <c r="AK37" s="48"/>
      <c r="AL37" s="48"/>
      <c r="AM37" s="158" t="str">
        <f t="shared" si="5"/>
        <v>start /low /b %USERPROFILE%\Documents\GitHub\eaglep3\Utilities\DownloadLogsFromS3.py --loco 4031 --day 2017-02-05</v>
      </c>
      <c r="AN37" s="167" t="str">
        <f>"grep -SE -B400 ""CHR.+\|PRM\|1\|D.+(SWITCH|SIGNAL).+UNKNOWN"" "&amp;search_path&amp;"\RTDC"&amp;B37&amp;"\*"&amp;B37&amp;"*"&amp;TEXT(AVERAGE(F37,I37)-utc_offset/24,"YYYYMMDD")&amp;"* | grep -SE ""(Enforcement Action)|(\[TIMEOUT)|(CHR.+\|PRM\|1\|D.+(SWITCH|SIGNAL).+UNKNOWN)"" - &gt;&gt; "&amp;TEXT(Variables!$A$2,"YYYY-MM-DD")&amp;"-UncaughtWiMAX.txt"</f>
        <v>grep -SE -B400 "CHR.+\|PRM\|1\|D.+(SWITCH|SIGNAL).+UNKNOWN" "%USERPROFILE%\AppData\Local\Temp\OnboardLogs"\RTDC4031\*4031*20170205* | grep -SE "(Enforcement Action)|(\[TIMEOUT)|(CHR.+\|PRM\|1\|D.+(SWITCH|SIGNAL).+UNKNOWN)" - &gt;&gt; 2017-02-05-UncaughtWiMAX.txt</v>
      </c>
      <c r="AO37"/>
      <c r="AP37"/>
      <c r="AQ37"/>
      <c r="AR37"/>
      <c r="AS37"/>
      <c r="AT37"/>
      <c r="AU37"/>
      <c r="AV37"/>
      <c r="AW37"/>
      <c r="AX37"/>
      <c r="AY37"/>
      <c r="AZ37"/>
      <c r="BA37"/>
      <c r="BB37"/>
      <c r="BC37"/>
      <c r="BD37"/>
      <c r="BE37"/>
      <c r="BF37"/>
      <c r="BG37"/>
      <c r="BH37"/>
      <c r="BI37"/>
      <c r="BJ37"/>
      <c r="BK37"/>
      <c r="BL37"/>
      <c r="BM37"/>
      <c r="BN37"/>
      <c r="BO37"/>
      <c r="BP37"/>
      <c r="BQ37"/>
      <c r="BR37"/>
      <c r="BS37"/>
      <c r="BT37"/>
      <c r="BU37"/>
      <c r="BV37"/>
      <c r="BW37"/>
      <c r="BX37"/>
      <c r="BY37"/>
      <c r="BZ37"/>
      <c r="CA37"/>
      <c r="CB37"/>
      <c r="CC37"/>
      <c r="CD37"/>
      <c r="CE37"/>
      <c r="CF37"/>
      <c r="CG37"/>
      <c r="CH37"/>
      <c r="CI37"/>
      <c r="CJ37"/>
      <c r="CK37"/>
      <c r="CL37"/>
      <c r="CM37"/>
    </row>
    <row r="38" spans="1:91" s="1" customFormat="1" x14ac:dyDescent="0.25">
      <c r="A38" s="33" t="s">
        <v>578</v>
      </c>
      <c r="B38" s="7">
        <v>4032</v>
      </c>
      <c r="C38" s="21" t="s">
        <v>193</v>
      </c>
      <c r="D38" s="21" t="s">
        <v>367</v>
      </c>
      <c r="E38" s="13">
        <v>42771.314513888887</v>
      </c>
      <c r="F38" s="13">
        <v>42771.320324074077</v>
      </c>
      <c r="G38" s="7">
        <v>1</v>
      </c>
      <c r="H38" s="21" t="s">
        <v>289</v>
      </c>
      <c r="I38" s="13">
        <v>42771.34584490741</v>
      </c>
      <c r="J38" s="7">
        <v>0</v>
      </c>
      <c r="K38" s="98" t="str">
        <f>IF(ISEVEN(B38),(B38-1)&amp;"/"&amp;B38,B38&amp;"/"&amp;(B38+1))</f>
        <v>4031/4032</v>
      </c>
      <c r="L38" s="21" t="str">
        <f>VLOOKUP(A38,'Trips&amp;Operators'!$C$1:$G$99999,5,FALSE)</f>
        <v>GEBRETEKLE DAGNEW</v>
      </c>
      <c r="M38" s="6">
        <f>I38-F38</f>
        <v>2.5520833332848269E-2</v>
      </c>
      <c r="N38" s="7">
        <f>24*60*SUM($M38:$M38)</f>
        <v>36.749999999301508</v>
      </c>
      <c r="O38" s="7"/>
      <c r="P38" s="7"/>
      <c r="Q38" s="22"/>
      <c r="R38" s="22"/>
      <c r="S38" s="31">
        <f>SUM(U38:U38)/IF(AG38="EC",12,1)</f>
        <v>1</v>
      </c>
      <c r="T38" s="46" t="str">
        <f>IF(ISEVEN(LEFT(AD38,4)),"Southbound","NorthBound")</f>
        <v>Southbound</v>
      </c>
      <c r="U38" s="190">
        <f>IF(AG38="EC",COUNTIFS(Variables!$M$2:$M$19,IF(T38="NorthBound","&gt;=","&lt;=")&amp;Y38,Variables!$M$2:$M$19,IF(T38="NorthBound","&lt;=","&gt;=")&amp;Z38),COUNTIFS(Variables!$P$2:$P$19,IF(T38="NorthBound","&gt;=","&lt;=")&amp;Y38,Variables!$P$2:$P$19,IF(T38="NorthBound","&lt;=","&gt;=")&amp;Z38))</f>
        <v>12</v>
      </c>
      <c r="V38" s="191" t="str">
        <f>"https://d0f6bd738d7f1b3e5a7ca70fe4ff75f0.us-east-1.aws.found.io/app/kibana#/discover/Steve-Slow-Train-Analysis-(2080s-and-2083s)?_g="&amp;"(refreshInterval:(display:Off,pause:!f,section:0,value:0),time:(from:'"&amp;TEXT(E38-1/24,"yyyy-MM-DDThh:mm:ss")&amp;utc_offset&amp;"00"&amp;"',mode:absolute,to:'"&amp;TEXT(I38+1/24,"yyyy-MM-DDThh:mm:ss")&amp;utc_offset&amp;"00"&amp;"'))&amp;_a=(columns:!('Locomotive+ID','Data.Head+End+Milepost',Data.Speed,'Data.Locomotive+State','Data.Train+ID',"&amp;"'Data.Warning%2FEnforcement+Type','Data.Target+Start+Milepost','Data.Target+Description','Data.Target+Speed',"&amp;"'Data.Enforcement+Train+Speed','Data.Enforcement+Start+Milepost','Data.Target+Type','Data.Enforcement+Direction+of+Travel','Message+ID',"&amp;"'Data.Body+of+Summary+Text','Data.Head+End+Track+name'),filters:!(),index:'emp_*',interval:auto,query:"&amp;"(query_string:(analyze_wildcard:!t,query:'Message%5C+ID:(2083+OR+2080+OR+1041+OR+2003+OR+1051+OR+1043+OR+1053)+AND+%22rtdc.l.rtdc."&amp;B38&amp;"%22')),sort:!(Time.ISO8601,asc))"</f>
        <v>https://d0f6bd738d7f1b3e5a7ca70fe4ff75f0.us-east-1.aws.found.io/app/kibana#/discover/Steve-Slow-Train-Analysis-(2080s-and-2083s)?_g=(refreshInterval:(display:Off,pause:!f,section:0,value:0),time:(from:'2017-02-05T06:32:54-0700',mode:absolute,to:'2017-02-05T09:18:01-0700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4032%22')),sort:!(Time.ISO8601,asc))</v>
      </c>
      <c r="W38" s="192" t="str">
        <f>IF(AA38&lt;IF(AG38="EC",23,5.65),"Y","N")</f>
        <v>N</v>
      </c>
      <c r="X38" s="192">
        <f>VALUE(LEFT(AD38,4))-VALUE(LEFT(AD37,4))</f>
        <v>1</v>
      </c>
      <c r="Y38" s="62">
        <f>RIGHT(D38,LEN(D38)-4)/10000</f>
        <v>23.302700000000002</v>
      </c>
      <c r="Z38" s="62">
        <f>RIGHT(H38,LEN(H38)-4)/10000</f>
        <v>1.5599999999999999E-2</v>
      </c>
      <c r="AA38" s="62">
        <f>ABS(Z38-Y38)</f>
        <v>23.287100000000002</v>
      </c>
      <c r="AB38" s="59" t="e">
        <f>VLOOKUP(A38,Enforcements!$C$7:$K$16,8,0)</f>
        <v>#N/A</v>
      </c>
      <c r="AC38" s="55" t="e">
        <f>VLOOKUP(A38,Enforcements!$C$7:$E$16,3,0)</f>
        <v>#N/A</v>
      </c>
      <c r="AD38" s="56" t="str">
        <f>IF(LEN(A38)=6,"0"&amp;A38,A38)</f>
        <v>0126-05</v>
      </c>
      <c r="AE38" s="85" t="str">
        <f>"aws s3 cp "&amp;s3_bucket&amp;"/RTDC"&amp;B38&amp;"/ "&amp;search_path&amp;"\RTDC"&amp;B38&amp;"\"&amp;TEXT(F38,"YYYY-MM-DD")&amp;" --exclude ""*"" --recursive --include ""*"&amp;TEXT(F38,"YYYYMMDD")&amp;"*"" &amp; """&amp;walkandungz&amp;""" "&amp;search_path&amp;"\RTDC"&amp;B38&amp;"\"&amp;TEXT(F38,"YYYY-MM-DD")
&amp;" &amp; "&amp;"aws s3 cp "&amp;s3_bucket&amp;"/RTDC"&amp;B38&amp;"/ "&amp;search_path&amp;"\RTDC"&amp;B38&amp;"\"&amp;TEXT(F38+1,"YYYY-MM-DD")&amp;" --exclude ""*"" --recursive --include ""*"&amp;TEXT(F38+1,"YYYYMMDD")&amp;"*"" &amp; """&amp;walkandungz&amp;""" "&amp;search_path&amp;"\RTDC"&amp;B38&amp;"\"&amp;TEXT(F38+1,"YYYY-MM-DD")</f>
        <v>aws s3 cp s3://rtdc.mdm.uploadarchive.raw/RTDC4032/ "%USERPROFILE%\AppData\Local\Temp\OnboardLogs"\RTDC4032\2017-02-05 --exclude "*" --recursive --include "*20170205*" &amp; "%USERPROFILE%\Documents\GitHub\mrs-test-scripts\Headless Mode &amp; Sideloading\WalkAndUnGZ.bat" "%USERPROFILE%\AppData\Local\Temp\OnboardLogs"\RTDC4032\2017-02-05 &amp; aws s3 cp s3://rtdc.mdm.uploadarchive.raw/RTDC4032/ "%USERPROFILE%\AppData\Local\Temp\OnboardLogs"\RTDC4032\2017-02-06 --exclude "*" --recursive --include "*20170206*" &amp; "%USERPROFILE%\Documents\GitHub\mrs-test-scripts\Headless Mode &amp; Sideloading\WalkAndUnGZ.bat" "%USERPROFILE%\AppData\Local\Temp\OnboardLogs"\RTDC4032\2017-02-06</v>
      </c>
      <c r="AF38" s="82" t="str">
        <f>astrogrep_path&amp;" /spath="&amp;search_path&amp;" /stypes=""app*"&amp;B38&amp;"*"&amp;TEXT(I38-utc_offset/24,"YYYYMMDD")&amp;"*"" /stext="" "&amp;TEXT(I38-utc_offset/24,"HH")&amp;search_regexp&amp;""" /e /r /s"</f>
        <v>"C:\Program Files (x86)\AstroGrep\AstroGrep.exe" /spath="%USERPROFILE%\AppData\Local\Temp\OnboardLogs" /stypes="app*4032*20170205*" /stext=" 15:.+((SYSTEM_STATE.+slice.+state.+changed )|(ment ac)|(multiple cpu faults)|(system.+state.+changed )|(\[timeout)|(PRM\|1\|D)|(kpr)|(kdp)|(\|lc)|(penalty))" /e /r /s</v>
      </c>
      <c r="AG38" s="1" t="str">
        <f>IFERROR(IF(VALUE(LEFT(AD38,2))&lt;=2,"EC",IF(OR(VALUE(LEFT(AD38,2))=8,VALUE(LEFT(AD38,2))=18),"NW","Other")),"Other")</f>
        <v>EC</v>
      </c>
      <c r="AH38" s="86" t="str">
        <f t="shared" si="3"/>
        <v>"%USERPROFILE%\Documents\GitHub\eaglep3\Utilities\RefineRTDCRunTimes.py" --tripid 126-05 --locoid 4032 --swversion DE.1.0.8.0 --startMP 204:233027 --initTime 2017-02-05T07:32:54 --startdatetime 2017-02-05T07:41:16 --delay 1 --endMP 204:156 --enddatetime 2017-02-05T08:18:01 --enforcementcount 0 &gt;&gt;C:\Users\stu\Documents\GitHub\eaglep3-reporting\EC\2017-02-05-refined-times.txt</v>
      </c>
      <c r="AI38" s="108" t="str">
        <f t="shared" si="4"/>
        <v>echo {"issue":{"subject":"","project_id":79,"tracker_id":40,"status_id":1,"priority_id":2,"assigned_to_id":23,"start_date":"2017-02-05","description":"","custom_fields":[{"id":1,"name":"Subdivision","value":"EC"},{"id":4,"name":"Milepost","value":"0.0156"},{"id":17,"name":"Train ID","value":"126-05"},{"id":16,"name":"Locomotive ID","value":"4032"},{"id":130,"name":"Impact","value":""},{"id":150,"name":"Time of Event (Mountain Time)","value":"08:18:01"},{"id":151,"name":"Denver Issue ID","value":""},{"id":178,"name":"Operational Impact","value":"Yes"},{"id":179,"name":"Denver Segment Assigned","value":""}]}} | curl -X POST -H "Content-Type: application/json" -H "X-Redmine-API-Key: d6333d4a04012a730768444271f8ca06482dae87" https://secure.xorail.net/redmine/issues.json --data @-</v>
      </c>
      <c r="AJ38" s="48"/>
      <c r="AK38" s="48"/>
      <c r="AL38" s="48"/>
      <c r="AM38" s="158" t="str">
        <f t="shared" si="5"/>
        <v>start /low /b %USERPROFILE%\Documents\GitHub\eaglep3\Utilities\DownloadLogsFromS3.py --loco 4032 --day 2017-02-05</v>
      </c>
      <c r="AN38" s="167" t="str">
        <f>"grep -SE -B400 ""CHR.+\|PRM\|1\|D.+(SWITCH|SIGNAL).+UNKNOWN"" "&amp;search_path&amp;"\RTDC"&amp;B38&amp;"\*"&amp;B38&amp;"*"&amp;TEXT(AVERAGE(F38,I38)-utc_offset/24,"YYYYMMDD")&amp;"* | grep -SE ""(Enforcement Action)|(\[TIMEOUT)|(CHR.+\|PRM\|1\|D.+(SWITCH|SIGNAL).+UNKNOWN)"" - &gt;&gt; "&amp;TEXT(Variables!$A$2,"YYYY-MM-DD")&amp;"-UncaughtWiMAX.txt"</f>
        <v>grep -SE -B400 "CHR.+\|PRM\|1\|D.+(SWITCH|SIGNAL).+UNKNOWN" "%USERPROFILE%\AppData\Local\Temp\OnboardLogs"\RTDC4032\*4032*20170205* | grep -SE "(Enforcement Action)|(\[TIMEOUT)|(CHR.+\|PRM\|1\|D.+(SWITCH|SIGNAL).+UNKNOWN)" - &gt;&gt; 2017-02-05-UncaughtWiMAX.txt</v>
      </c>
      <c r="AO38"/>
      <c r="AP38"/>
      <c r="AQ38"/>
      <c r="AR38"/>
      <c r="AS38"/>
      <c r="AT38"/>
      <c r="AU38"/>
      <c r="AV38"/>
      <c r="AW38"/>
      <c r="AX38"/>
      <c r="AY38"/>
      <c r="AZ38"/>
      <c r="BA38"/>
      <c r="BB38"/>
      <c r="BC38"/>
      <c r="BD38"/>
      <c r="BE38"/>
      <c r="BF38"/>
      <c r="BG38"/>
      <c r="BH38"/>
      <c r="BI38"/>
      <c r="BJ38"/>
      <c r="BK38"/>
      <c r="BL38"/>
      <c r="BM38"/>
      <c r="BN38"/>
      <c r="BO38"/>
      <c r="BP38"/>
      <c r="BQ38"/>
      <c r="BR38"/>
      <c r="BS38"/>
      <c r="BT38"/>
      <c r="BU38"/>
      <c r="BV38"/>
      <c r="BW38"/>
      <c r="BX38"/>
      <c r="BY38"/>
      <c r="BZ38"/>
      <c r="CA38"/>
      <c r="CB38"/>
      <c r="CC38"/>
      <c r="CD38"/>
      <c r="CE38"/>
      <c r="CF38"/>
      <c r="CG38"/>
      <c r="CH38"/>
      <c r="CI38"/>
      <c r="CJ38"/>
      <c r="CK38"/>
      <c r="CL38"/>
      <c r="CM38"/>
    </row>
    <row r="39" spans="1:91" s="1" customFormat="1" x14ac:dyDescent="0.25">
      <c r="A39" s="33" t="s">
        <v>502</v>
      </c>
      <c r="B39" s="7">
        <v>4009</v>
      </c>
      <c r="C39" s="21" t="s">
        <v>193</v>
      </c>
      <c r="D39" s="21" t="s">
        <v>240</v>
      </c>
      <c r="E39" s="13">
        <v>42771.288703703707</v>
      </c>
      <c r="F39" s="13">
        <v>42771.29184027778</v>
      </c>
      <c r="G39" s="7">
        <v>1</v>
      </c>
      <c r="H39" s="21" t="s">
        <v>765</v>
      </c>
      <c r="I39" s="13">
        <v>42771.316759259258</v>
      </c>
      <c r="J39" s="7">
        <v>0</v>
      </c>
      <c r="K39" s="98" t="str">
        <f>IF(ISEVEN(B39),(B39-1)&amp;"/"&amp;B39,B39&amp;"/"&amp;(B39+1))</f>
        <v>4009/4010</v>
      </c>
      <c r="L39" s="21" t="str">
        <f>VLOOKUP(A39,'Trips&amp;Operators'!$C$1:$G$99999,5,FALSE)</f>
        <v>OUN ZACK</v>
      </c>
      <c r="M39" s="6">
        <f>I39-F39</f>
        <v>2.491898147854954E-2</v>
      </c>
      <c r="N39" s="7">
        <f>24*60*SUM($M39:$M39)</f>
        <v>35.883333329111338</v>
      </c>
      <c r="O39" s="7"/>
      <c r="P39" s="7"/>
      <c r="Q39" s="22"/>
      <c r="R39" s="22"/>
      <c r="S39" s="31">
        <f>SUM(U39:U39)/IF(AG39="EC",12,1)</f>
        <v>1</v>
      </c>
      <c r="T39" s="46" t="str">
        <f>IF(ISEVEN(LEFT(AD39,4)),"Southbound","NorthBound")</f>
        <v>NorthBound</v>
      </c>
      <c r="U39" s="190">
        <f>IF(AG39="EC",COUNTIFS(Variables!$M$2:$M$19,IF(T39="NorthBound","&gt;=","&lt;=")&amp;Y39,Variables!$M$2:$M$19,IF(T39="NorthBound","&lt;=","&gt;=")&amp;Z39),COUNTIFS(Variables!$P$2:$P$19,IF(T39="NorthBound","&gt;=","&lt;=")&amp;Y39,Variables!$P$2:$P$19,IF(T39="NorthBound","&lt;=","&gt;=")&amp;Z39))</f>
        <v>12</v>
      </c>
      <c r="V39" s="191" t="str">
        <f>"https://d0f6bd738d7f1b3e5a7ca70fe4ff75f0.us-east-1.aws.found.io/app/kibana#/discover/Steve-Slow-Train-Analysis-(2080s-and-2083s)?_g="&amp;"(refreshInterval:(display:Off,pause:!f,section:0,value:0),time:(from:'"&amp;TEXT(E39-1/24,"yyyy-MM-DDThh:mm:ss")&amp;utc_offset&amp;"00"&amp;"',mode:absolute,to:'"&amp;TEXT(I39+1/24,"yyyy-MM-DDThh:mm:ss")&amp;utc_offset&amp;"00"&amp;"'))&amp;_a=(columns:!('Locomotive+ID','Data.Head+End+Milepost',Data.Speed,'Data.Locomotive+State','Data.Train+ID',"&amp;"'Data.Warning%2FEnforcement+Type','Data.Target+Start+Milepost','Data.Target+Description','Data.Target+Speed',"&amp;"'Data.Enforcement+Train+Speed','Data.Enforcement+Start+Milepost','Data.Target+Type','Data.Enforcement+Direction+of+Travel','Message+ID',"&amp;"'Data.Body+of+Summary+Text','Data.Head+End+Track+name'),filters:!(),index:'emp_*',interval:auto,query:"&amp;"(query_string:(analyze_wildcard:!t,query:'Message%5C+ID:(2083+OR+2080+OR+1041+OR+2003+OR+1051+OR+1043+OR+1053)+AND+%22rtdc.l.rtdc."&amp;B39&amp;"%22')),sort:!(Time.ISO8601,asc))"</f>
        <v>https://d0f6bd738d7f1b3e5a7ca70fe4ff75f0.us-east-1.aws.found.io/app/kibana#/discover/Steve-Slow-Train-Analysis-(2080s-and-2083s)?_g=(refreshInterval:(display:Off,pause:!f,section:0,value:0),time:(from:'2017-02-05T05:55:44-0700',mode:absolute,to:'2017-02-05T08:36:08-0700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4009%22')),sort:!(Time.ISO8601,asc))</v>
      </c>
      <c r="W39" s="192" t="str">
        <f>IF(AA39&lt;IF(AG39="EC",23,5.65),"Y","N")</f>
        <v>N</v>
      </c>
      <c r="X39" s="192">
        <f>VALUE(LEFT(AD39,4))-VALUE(LEFT(AD38,4))</f>
        <v>1</v>
      </c>
      <c r="Y39" s="62">
        <f>RIGHT(D39,LEN(D39)-4)/10000</f>
        <v>4.5100000000000001E-2</v>
      </c>
      <c r="Z39" s="62">
        <f>RIGHT(H39,LEN(H39)-4)/10000</f>
        <v>23.334299999999999</v>
      </c>
      <c r="AA39" s="62">
        <f>ABS(Z39-Y39)</f>
        <v>23.289199999999997</v>
      </c>
      <c r="AB39" s="59" t="e">
        <f>VLOOKUP(A39,Enforcements!$C$7:$K$16,8,0)</f>
        <v>#N/A</v>
      </c>
      <c r="AC39" s="55" t="e">
        <f>VLOOKUP(A39,Enforcements!$C$7:$E$16,3,0)</f>
        <v>#N/A</v>
      </c>
      <c r="AD39" s="56" t="str">
        <f>IF(LEN(A39)=6,"0"&amp;A39,A39)</f>
        <v>0127-05</v>
      </c>
      <c r="AE39" s="85" t="str">
        <f>"aws s3 cp "&amp;s3_bucket&amp;"/RTDC"&amp;B39&amp;"/ "&amp;search_path&amp;"\RTDC"&amp;B39&amp;"\"&amp;TEXT(F39,"YYYY-MM-DD")&amp;" --exclude ""*"" --recursive --include ""*"&amp;TEXT(F39,"YYYYMMDD")&amp;"*"" &amp; """&amp;walkandungz&amp;""" "&amp;search_path&amp;"\RTDC"&amp;B39&amp;"\"&amp;TEXT(F39,"YYYY-MM-DD")
&amp;" &amp; "&amp;"aws s3 cp "&amp;s3_bucket&amp;"/RTDC"&amp;B39&amp;"/ "&amp;search_path&amp;"\RTDC"&amp;B39&amp;"\"&amp;TEXT(F39+1,"YYYY-MM-DD")&amp;" --exclude ""*"" --recursive --include ""*"&amp;TEXT(F39+1,"YYYYMMDD")&amp;"*"" &amp; """&amp;walkandungz&amp;""" "&amp;search_path&amp;"\RTDC"&amp;B39&amp;"\"&amp;TEXT(F39+1,"YYYY-MM-DD")</f>
        <v>aws s3 cp s3://rtdc.mdm.uploadarchive.raw/RTDC4009/ "%USERPROFILE%\AppData\Local\Temp\OnboardLogs"\RTDC4009\2017-02-05 --exclude "*" --recursive --include "*20170205*" &amp; "%USERPROFILE%\Documents\GitHub\mrs-test-scripts\Headless Mode &amp; Sideloading\WalkAndUnGZ.bat" "%USERPROFILE%\AppData\Local\Temp\OnboardLogs"\RTDC4009\2017-02-05 &amp; aws s3 cp s3://rtdc.mdm.uploadarchive.raw/RTDC4009/ "%USERPROFILE%\AppData\Local\Temp\OnboardLogs"\RTDC4009\2017-02-06 --exclude "*" --recursive --include "*20170206*" &amp; "%USERPROFILE%\Documents\GitHub\mrs-test-scripts\Headless Mode &amp; Sideloading\WalkAndUnGZ.bat" "%USERPROFILE%\AppData\Local\Temp\OnboardLogs"\RTDC4009\2017-02-06</v>
      </c>
      <c r="AF39" s="82" t="str">
        <f>astrogrep_path&amp;" /spath="&amp;search_path&amp;" /stypes=""app*"&amp;B39&amp;"*"&amp;TEXT(I39-utc_offset/24,"YYYYMMDD")&amp;"*"" /stext="" "&amp;TEXT(I39-utc_offset/24,"HH")&amp;search_regexp&amp;""" /e /r /s"</f>
        <v>"C:\Program Files (x86)\AstroGrep\AstroGrep.exe" /spath="%USERPROFILE%\AppData\Local\Temp\OnboardLogs" /stypes="app*4009*20170205*" /stext=" 14:.+((SYSTEM_STATE.+slice.+state.+changed )|(ment ac)|(multiple cpu faults)|(system.+state.+changed )|(\[timeout)|(PRM\|1\|D)|(kpr)|(kdp)|(\|lc)|(penalty))" /e /r /s</v>
      </c>
      <c r="AG39" s="1" t="str">
        <f>IFERROR(IF(VALUE(LEFT(AD39,2))&lt;=2,"EC",IF(OR(VALUE(LEFT(AD39,2))=8,VALUE(LEFT(AD39,2))=18),"NW","Other")),"Other")</f>
        <v>EC</v>
      </c>
      <c r="AH39" s="86" t="str">
        <f t="shared" si="3"/>
        <v>"%USERPROFILE%\Documents\GitHub\eaglep3\Utilities\RefineRTDCRunTimes.py" --tripid 127-05 --locoid 4009 --swversion DE.1.0.8.0 --startMP 204:451 --initTime 2017-02-05T06:55:44 --startdatetime 2017-02-05T07:00:15 --delay 1 --endMP 204:233343 --enddatetime 2017-02-05T07:36:08 --enforcementcount 0 &gt;&gt;C:\Users\stu\Documents\GitHub\eaglep3-reporting\EC\2017-02-05-refined-times.txt</v>
      </c>
      <c r="AI39" s="108" t="str">
        <f t="shared" si="4"/>
        <v>echo {"issue":{"subject":"","project_id":79,"tracker_id":40,"status_id":1,"priority_id":2,"assigned_to_id":23,"start_date":"2017-02-05","description":"","custom_fields":[{"id":1,"name":"Subdivision","value":"EC"},{"id":4,"name":"Milepost","value":"23.3343"},{"id":17,"name":"Train ID","value":"127-05"},{"id":16,"name":"Locomotive ID","value":"4009"},{"id":130,"name":"Impact","value":""},{"id":150,"name":"Time of Event (Mountain Time)","value":"07:36:08"},{"id":151,"name":"Denver Issue ID","value":""},{"id":178,"name":"Operational Impact","value":"Yes"},{"id":179,"name":"Denver Segment Assigned","value":""}]}} | curl -X POST -H "Content-Type: application/json" -H "X-Redmine-API-Key: d6333d4a04012a730768444271f8ca06482dae87" https://secure.xorail.net/redmine/issues.json --data @-</v>
      </c>
      <c r="AJ39" s="48"/>
      <c r="AK39" s="48"/>
      <c r="AL39" s="48"/>
      <c r="AM39" s="158" t="str">
        <f t="shared" si="5"/>
        <v>start /low /b %USERPROFILE%\Documents\GitHub\eaglep3\Utilities\DownloadLogsFromS3.py --loco 4009 --day 2017-02-05</v>
      </c>
      <c r="AN39" s="167" t="str">
        <f>"grep -SE -B400 ""CHR.+\|PRM\|1\|D.+(SWITCH|SIGNAL).+UNKNOWN"" "&amp;search_path&amp;"\RTDC"&amp;B39&amp;"\*"&amp;B39&amp;"*"&amp;TEXT(AVERAGE(F39,I39)-utc_offset/24,"YYYYMMDD")&amp;"* | grep -SE ""(Enforcement Action)|(\[TIMEOUT)|(CHR.+\|PRM\|1\|D.+(SWITCH|SIGNAL).+UNKNOWN)"" - &gt;&gt; "&amp;TEXT(Variables!$A$2,"YYYY-MM-DD")&amp;"-UncaughtWiMAX.txt"</f>
        <v>grep -SE -B400 "CHR.+\|PRM\|1\|D.+(SWITCH|SIGNAL).+UNKNOWN" "%USERPROFILE%\AppData\Local\Temp\OnboardLogs"\RTDC4009\*4009*20170205* | grep -SE "(Enforcement Action)|(\[TIMEOUT)|(CHR.+\|PRM\|1\|D.+(SWITCH|SIGNAL).+UNKNOWN)" - &gt;&gt; 2017-02-05-UncaughtWiMAX.txt</v>
      </c>
      <c r="AO39"/>
      <c r="AP39"/>
      <c r="AQ39"/>
      <c r="AR39"/>
      <c r="AS39"/>
      <c r="AT39"/>
      <c r="AU39"/>
      <c r="AV39"/>
      <c r="AW39"/>
      <c r="AX39"/>
      <c r="AY39"/>
      <c r="AZ39"/>
      <c r="BA39"/>
      <c r="BB39"/>
      <c r="BC39"/>
      <c r="BD39"/>
      <c r="BE39"/>
      <c r="BF39"/>
      <c r="BG39"/>
      <c r="BH39"/>
      <c r="BI39"/>
      <c r="BJ39"/>
      <c r="BK39"/>
      <c r="BL39"/>
      <c r="BM39"/>
      <c r="BN39"/>
      <c r="BO39"/>
      <c r="BP39"/>
      <c r="BQ39"/>
      <c r="BR39"/>
      <c r="BS39"/>
      <c r="BT39"/>
      <c r="BU39"/>
      <c r="BV39"/>
      <c r="BW39"/>
      <c r="BX39"/>
      <c r="BY39"/>
      <c r="BZ39"/>
      <c r="CA39"/>
      <c r="CB39"/>
      <c r="CC39"/>
      <c r="CD39"/>
      <c r="CE39"/>
      <c r="CF39"/>
      <c r="CG39"/>
      <c r="CH39"/>
      <c r="CI39"/>
      <c r="CJ39"/>
      <c r="CK39"/>
      <c r="CL39"/>
      <c r="CM39"/>
    </row>
    <row r="40" spans="1:91" s="1" customFormat="1" x14ac:dyDescent="0.25">
      <c r="A40" s="33" t="s">
        <v>504</v>
      </c>
      <c r="B40" s="7">
        <v>4010</v>
      </c>
      <c r="C40" s="21" t="s">
        <v>193</v>
      </c>
      <c r="D40" s="21" t="s">
        <v>766</v>
      </c>
      <c r="E40" s="13">
        <v>42771.326631944445</v>
      </c>
      <c r="F40" s="13">
        <v>42771.330810185187</v>
      </c>
      <c r="G40" s="7">
        <v>1</v>
      </c>
      <c r="H40" s="21" t="s">
        <v>225</v>
      </c>
      <c r="I40" s="13">
        <v>42771.357361111113</v>
      </c>
      <c r="J40" s="7">
        <v>0</v>
      </c>
      <c r="K40" s="98" t="str">
        <f>IF(ISEVEN(B40),(B40-1)&amp;"/"&amp;B40,B40&amp;"/"&amp;(B40+1))</f>
        <v>4009/4010</v>
      </c>
      <c r="L40" s="21" t="str">
        <f>VLOOKUP(A40,'Trips&amp;Operators'!$C$1:$G$99999,5,FALSE)</f>
        <v>OUN ZACK</v>
      </c>
      <c r="M40" s="6">
        <f>I40-F40</f>
        <v>2.6550925926130731E-2</v>
      </c>
      <c r="N40" s="7">
        <f>24*60*SUM($M40:$M40)</f>
        <v>38.233333333628252</v>
      </c>
      <c r="O40" s="7"/>
      <c r="P40" s="7"/>
      <c r="Q40" s="22"/>
      <c r="R40" s="22"/>
      <c r="S40" s="31">
        <f>SUM(U40:U40)/IF(AG40="EC",12,1)</f>
        <v>1</v>
      </c>
      <c r="T40" s="46" t="str">
        <f>IF(ISEVEN(LEFT(AD40,4)),"Southbound","NorthBound")</f>
        <v>Southbound</v>
      </c>
      <c r="U40" s="190">
        <f>IF(AG40="EC",COUNTIFS(Variables!$M$2:$M$19,IF(T40="NorthBound","&gt;=","&lt;=")&amp;Y40,Variables!$M$2:$M$19,IF(T40="NorthBound","&lt;=","&gt;=")&amp;Z40),COUNTIFS(Variables!$P$2:$P$19,IF(T40="NorthBound","&gt;=","&lt;=")&amp;Y40,Variables!$P$2:$P$19,IF(T40="NorthBound","&lt;=","&gt;=")&amp;Z40))</f>
        <v>12</v>
      </c>
      <c r="V40" s="191" t="str">
        <f>"https://d0f6bd738d7f1b3e5a7ca70fe4ff75f0.us-east-1.aws.found.io/app/kibana#/discover/Steve-Slow-Train-Analysis-(2080s-and-2083s)?_g="&amp;"(refreshInterval:(display:Off,pause:!f,section:0,value:0),time:(from:'"&amp;TEXT(E40-1/24,"yyyy-MM-DDThh:mm:ss")&amp;utc_offset&amp;"00"&amp;"',mode:absolute,to:'"&amp;TEXT(I40+1/24,"yyyy-MM-DDThh:mm:ss")&amp;utc_offset&amp;"00"&amp;"'))&amp;_a=(columns:!('Locomotive+ID','Data.Head+End+Milepost',Data.Speed,'Data.Locomotive+State','Data.Train+ID',"&amp;"'Data.Warning%2FEnforcement+Type','Data.Target+Start+Milepost','Data.Target+Description','Data.Target+Speed',"&amp;"'Data.Enforcement+Train+Speed','Data.Enforcement+Start+Milepost','Data.Target+Type','Data.Enforcement+Direction+of+Travel','Message+ID',"&amp;"'Data.Body+of+Summary+Text','Data.Head+End+Track+name'),filters:!(),index:'emp_*',interval:auto,query:"&amp;"(query_string:(analyze_wildcard:!t,query:'Message%5C+ID:(2083+OR+2080+OR+1041+OR+2003+OR+1051+OR+1043+OR+1053)+AND+%22rtdc.l.rtdc."&amp;B40&amp;"%22')),sort:!(Time.ISO8601,asc))"</f>
        <v>https://d0f6bd738d7f1b3e5a7ca70fe4ff75f0.us-east-1.aws.found.io/app/kibana#/discover/Steve-Slow-Train-Analysis-(2080s-and-2083s)?_g=(refreshInterval:(display:Off,pause:!f,section:0,value:0),time:(from:'2017-02-05T06:50:21-0700',mode:absolute,to:'2017-02-05T09:34:36-0700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4010%22')),sort:!(Time.ISO8601,asc))</v>
      </c>
      <c r="W40" s="192" t="str">
        <f>IF(AA40&lt;IF(AG40="EC",23,5.65),"Y","N")</f>
        <v>N</v>
      </c>
      <c r="X40" s="192">
        <f>VALUE(LEFT(AD40,4))-VALUE(LEFT(AD39,4))</f>
        <v>1</v>
      </c>
      <c r="Y40" s="62">
        <f>RIGHT(D40,LEN(D40)-4)/10000</f>
        <v>23.302600000000002</v>
      </c>
      <c r="Z40" s="62">
        <f>RIGHT(H40,LEN(H40)-4)/10000</f>
        <v>1.54E-2</v>
      </c>
      <c r="AA40" s="62">
        <f>ABS(Z40-Y40)</f>
        <v>23.287200000000002</v>
      </c>
      <c r="AB40" s="59" t="str">
        <f>VLOOKUP(A40,Enforcements!$C$7:$K$16,8,0)</f>
        <v>Form based authority (4)</v>
      </c>
      <c r="AC40" s="55" t="str">
        <f>VLOOKUP(A40,Enforcements!$C$7:$E$16,3,0)</f>
        <v>TRACK WARRANT AUTHORITY</v>
      </c>
      <c r="AD40" s="56" t="str">
        <f>IF(LEN(A40)=6,"0"&amp;A40,A40)</f>
        <v>0128-05</v>
      </c>
      <c r="AE40" s="85" t="str">
        <f>"aws s3 cp "&amp;s3_bucket&amp;"/RTDC"&amp;B40&amp;"/ "&amp;search_path&amp;"\RTDC"&amp;B40&amp;"\"&amp;TEXT(F40,"YYYY-MM-DD")&amp;" --exclude ""*"" --recursive --include ""*"&amp;TEXT(F40,"YYYYMMDD")&amp;"*"" &amp; """&amp;walkandungz&amp;""" "&amp;search_path&amp;"\RTDC"&amp;B40&amp;"\"&amp;TEXT(F40,"YYYY-MM-DD")
&amp;" &amp; "&amp;"aws s3 cp "&amp;s3_bucket&amp;"/RTDC"&amp;B40&amp;"/ "&amp;search_path&amp;"\RTDC"&amp;B40&amp;"\"&amp;TEXT(F40+1,"YYYY-MM-DD")&amp;" --exclude ""*"" --recursive --include ""*"&amp;TEXT(F40+1,"YYYYMMDD")&amp;"*"" &amp; """&amp;walkandungz&amp;""" "&amp;search_path&amp;"\RTDC"&amp;B40&amp;"\"&amp;TEXT(F40+1,"YYYY-MM-DD")</f>
        <v>aws s3 cp s3://rtdc.mdm.uploadarchive.raw/RTDC4010/ "%USERPROFILE%\AppData\Local\Temp\OnboardLogs"\RTDC4010\2017-02-05 --exclude "*" --recursive --include "*20170205*" &amp; "%USERPROFILE%\Documents\GitHub\mrs-test-scripts\Headless Mode &amp; Sideloading\WalkAndUnGZ.bat" "%USERPROFILE%\AppData\Local\Temp\OnboardLogs"\RTDC4010\2017-02-05 &amp; aws s3 cp s3://rtdc.mdm.uploadarchive.raw/RTDC4010/ "%USERPROFILE%\AppData\Local\Temp\OnboardLogs"\RTDC4010\2017-02-06 --exclude "*" --recursive --include "*20170206*" &amp; "%USERPROFILE%\Documents\GitHub\mrs-test-scripts\Headless Mode &amp; Sideloading\WalkAndUnGZ.bat" "%USERPROFILE%\AppData\Local\Temp\OnboardLogs"\RTDC4010\2017-02-06</v>
      </c>
      <c r="AF40" s="82" t="str">
        <f>astrogrep_path&amp;" /spath="&amp;search_path&amp;" /stypes=""app*"&amp;B40&amp;"*"&amp;TEXT(I40-utc_offset/24,"YYYYMMDD")&amp;"*"" /stext="" "&amp;TEXT(I40-utc_offset/24,"HH")&amp;search_regexp&amp;""" /e /r /s"</f>
        <v>"C:\Program Files (x86)\AstroGrep\AstroGrep.exe" /spath="%USERPROFILE%\AppData\Local\Temp\OnboardLogs" /stypes="app*4010*20170205*" /stext=" 15:.+((SYSTEM_STATE.+slice.+state.+changed )|(ment ac)|(multiple cpu faults)|(system.+state.+changed )|(\[timeout)|(PRM\|1\|D)|(kpr)|(kdp)|(\|lc)|(penalty))" /e /r /s</v>
      </c>
      <c r="AG40" s="1" t="str">
        <f>IFERROR(IF(VALUE(LEFT(AD40,2))&lt;=2,"EC",IF(OR(VALUE(LEFT(AD40,2))=8,VALUE(LEFT(AD40,2))=18),"NW","Other")),"Other")</f>
        <v>EC</v>
      </c>
      <c r="AH40" s="86" t="str">
        <f t="shared" si="3"/>
        <v>"%USERPROFILE%\Documents\GitHub\eaglep3\Utilities\RefineRTDCRunTimes.py" --tripid 128-05 --locoid 4010 --swversion DE.1.0.8.0 --startMP 204:233026 --initTime 2017-02-05T07:50:21 --startdatetime 2017-02-05T07:56:22 --delay 1 --endMP 204:154 --enddatetime 2017-02-05T08:34:36 --enforcementcount 0 &gt;&gt;C:\Users\stu\Documents\GitHub\eaglep3-reporting\EC\2017-02-05-refined-times.txt</v>
      </c>
      <c r="AI40" s="108" t="str">
        <f t="shared" si="4"/>
        <v>echo {"issue":{"subject":"","project_id":79,"tracker_id":40,"status_id":1,"priority_id":2,"assigned_to_id":23,"start_date":"2017-02-05","description":"","custom_fields":[{"id":1,"name":"Subdivision","value":"EC"},{"id":4,"name":"Milepost","value":"0.0154"},{"id":17,"name":"Train ID","value":"128-05"},{"id":16,"name":"Locomotive ID","value":"4010"},{"id":130,"name":"Impact","value":""},{"id":150,"name":"Time of Event (Mountain Time)","value":"08:34:36"},{"id":151,"name":"Denver Issue ID","value":""},{"id":178,"name":"Operational Impact","value":"Yes"},{"id":179,"name":"Denver Segment Assigned","value":""}]}} | curl -X POST -H "Content-Type: application/json" -H "X-Redmine-API-Key: d6333d4a04012a730768444271f8ca06482dae87" https://secure.xorail.net/redmine/issues.json --data @-</v>
      </c>
      <c r="AJ40" s="48"/>
      <c r="AK40" s="48"/>
      <c r="AL40" s="48"/>
      <c r="AM40" s="158" t="str">
        <f t="shared" si="5"/>
        <v>start /low /b %USERPROFILE%\Documents\GitHub\eaglep3\Utilities\DownloadLogsFromS3.py --loco 4010 --day 2017-02-05</v>
      </c>
      <c r="AN40" s="167" t="str">
        <f>"grep -SE -B400 ""CHR.+\|PRM\|1\|D.+(SWITCH|SIGNAL).+UNKNOWN"" "&amp;search_path&amp;"\RTDC"&amp;B40&amp;"\*"&amp;B40&amp;"*"&amp;TEXT(AVERAGE(F40,I40)-utc_offset/24,"YYYYMMDD")&amp;"* | grep -SE ""(Enforcement Action)|(\[TIMEOUT)|(CHR.+\|PRM\|1\|D.+(SWITCH|SIGNAL).+UNKNOWN)"" - &gt;&gt; "&amp;TEXT(Variables!$A$2,"YYYY-MM-DD")&amp;"-UncaughtWiMAX.txt"</f>
        <v>grep -SE -B400 "CHR.+\|PRM\|1\|D.+(SWITCH|SIGNAL).+UNKNOWN" "%USERPROFILE%\AppData\Local\Temp\OnboardLogs"\RTDC4010\*4010*20170205* | grep -SE "(Enforcement Action)|(\[TIMEOUT)|(CHR.+\|PRM\|1\|D.+(SWITCH|SIGNAL).+UNKNOWN)" - &gt;&gt; 2017-02-05-UncaughtWiMAX.txt</v>
      </c>
      <c r="AO40"/>
      <c r="AP40"/>
      <c r="AQ40"/>
      <c r="AR40"/>
      <c r="AS40"/>
      <c r="AT40"/>
      <c r="AU40"/>
      <c r="AV40"/>
      <c r="AW40"/>
      <c r="AX40"/>
      <c r="AY40"/>
      <c r="AZ40"/>
      <c r="BA40"/>
      <c r="BB40"/>
      <c r="BC40"/>
      <c r="BD40"/>
      <c r="BE40"/>
      <c r="BF40"/>
      <c r="BG40"/>
      <c r="BH40"/>
      <c r="BI40"/>
      <c r="BJ40"/>
      <c r="BK40"/>
      <c r="BL40"/>
      <c r="BM40"/>
      <c r="BN40"/>
      <c r="BO40"/>
      <c r="BP40"/>
      <c r="BQ40"/>
      <c r="BR40"/>
      <c r="BS40"/>
      <c r="BT40"/>
      <c r="BU40"/>
      <c r="BV40"/>
      <c r="BW40"/>
      <c r="BX40"/>
      <c r="BY40"/>
      <c r="BZ40"/>
      <c r="CA40"/>
      <c r="CB40"/>
      <c r="CC40"/>
      <c r="CD40"/>
      <c r="CE40"/>
      <c r="CF40"/>
      <c r="CG40"/>
      <c r="CH40"/>
      <c r="CI40"/>
      <c r="CJ40"/>
      <c r="CK40"/>
      <c r="CL40"/>
      <c r="CM40"/>
    </row>
    <row r="41" spans="1:91" s="1" customFormat="1" x14ac:dyDescent="0.25">
      <c r="A41" s="33" t="s">
        <v>575</v>
      </c>
      <c r="B41" s="7">
        <v>4040</v>
      </c>
      <c r="C41" s="21" t="s">
        <v>193</v>
      </c>
      <c r="D41" s="21" t="s">
        <v>211</v>
      </c>
      <c r="E41" s="13">
        <v>42771.297962962963</v>
      </c>
      <c r="F41" s="13">
        <v>42771.302268518521</v>
      </c>
      <c r="G41" s="7">
        <v>1</v>
      </c>
      <c r="H41" s="21" t="s">
        <v>407</v>
      </c>
      <c r="I41" s="13">
        <v>42771.328912037039</v>
      </c>
      <c r="J41" s="7">
        <v>0</v>
      </c>
      <c r="K41" s="98" t="str">
        <f>IF(ISEVEN(B41),(B41-1)&amp;"/"&amp;B41,B41&amp;"/"&amp;(B41+1))</f>
        <v>4039/4040</v>
      </c>
      <c r="L41" s="21" t="str">
        <f>VLOOKUP(A41,'Trips&amp;Operators'!$C$1:$G$99999,5,FALSE)</f>
        <v>SHOOK JOHN</v>
      </c>
      <c r="M41" s="6">
        <f>I41-F41</f>
        <v>2.6643518518540077E-2</v>
      </c>
      <c r="N41" s="7">
        <f>24*60*SUM($M41:$M41)</f>
        <v>38.366666666697711</v>
      </c>
      <c r="O41" s="7"/>
      <c r="P41" s="7"/>
      <c r="Q41" s="22"/>
      <c r="R41" s="22"/>
      <c r="S41" s="31">
        <f>SUM(U41:U41)/IF(AG41="EC",12,1)</f>
        <v>1</v>
      </c>
      <c r="T41" s="46" t="str">
        <f>IF(ISEVEN(LEFT(AD41,4)),"Southbound","NorthBound")</f>
        <v>NorthBound</v>
      </c>
      <c r="U41" s="190">
        <f>IF(AG41="EC",COUNTIFS(Variables!$M$2:$M$19,IF(T41="NorthBound","&gt;=","&lt;=")&amp;Y41,Variables!$M$2:$M$19,IF(T41="NorthBound","&lt;=","&gt;=")&amp;Z41),COUNTIFS(Variables!$P$2:$P$19,IF(T41="NorthBound","&gt;=","&lt;=")&amp;Y41,Variables!$P$2:$P$19,IF(T41="NorthBound","&lt;=","&gt;=")&amp;Z41))</f>
        <v>12</v>
      </c>
      <c r="V41" s="191" t="str">
        <f>"https://d0f6bd738d7f1b3e5a7ca70fe4ff75f0.us-east-1.aws.found.io/app/kibana#/discover/Steve-Slow-Train-Analysis-(2080s-and-2083s)?_g="&amp;"(refreshInterval:(display:Off,pause:!f,section:0,value:0),time:(from:'"&amp;TEXT(E41-1/24,"yyyy-MM-DDThh:mm:ss")&amp;utc_offset&amp;"00"&amp;"',mode:absolute,to:'"&amp;TEXT(I41+1/24,"yyyy-MM-DDThh:mm:ss")&amp;utc_offset&amp;"00"&amp;"'))&amp;_a=(columns:!('Locomotive+ID','Data.Head+End+Milepost',Data.Speed,'Data.Locomotive+State','Data.Train+ID',"&amp;"'Data.Warning%2FEnforcement+Type','Data.Target+Start+Milepost','Data.Target+Description','Data.Target+Speed',"&amp;"'Data.Enforcement+Train+Speed','Data.Enforcement+Start+Milepost','Data.Target+Type','Data.Enforcement+Direction+of+Travel','Message+ID',"&amp;"'Data.Body+of+Summary+Text','Data.Head+End+Track+name'),filters:!(),index:'emp_*',interval:auto,query:"&amp;"(query_string:(analyze_wildcard:!t,query:'Message%5C+ID:(2083+OR+2080+OR+1041+OR+2003+OR+1051+OR+1043+OR+1053)+AND+%22rtdc.l.rtdc."&amp;B41&amp;"%22')),sort:!(Time.ISO8601,asc))"</f>
        <v>https://d0f6bd738d7f1b3e5a7ca70fe4ff75f0.us-east-1.aws.found.io/app/kibana#/discover/Steve-Slow-Train-Analysis-(2080s-and-2083s)?_g=(refreshInterval:(display:Off,pause:!f,section:0,value:0),time:(from:'2017-02-05T06:09:04-0700',mode:absolute,to:'2017-02-05T08:53:38-0700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4040%22')),sort:!(Time.ISO8601,asc))</v>
      </c>
      <c r="W41" s="192" t="str">
        <f>IF(AA41&lt;IF(AG41="EC",23,5.65),"Y","N")</f>
        <v>N</v>
      </c>
      <c r="X41" s="192">
        <f>VALUE(LEFT(AD41,4))-VALUE(LEFT(AD40,4))</f>
        <v>1</v>
      </c>
      <c r="Y41" s="62">
        <f>RIGHT(D41,LEN(D41)-4)/10000</f>
        <v>4.4900000000000002E-2</v>
      </c>
      <c r="Z41" s="62">
        <f>RIGHT(H41,LEN(H41)-4)/10000</f>
        <v>23.336600000000001</v>
      </c>
      <c r="AA41" s="62">
        <f>ABS(Z41-Y41)</f>
        <v>23.291700000000002</v>
      </c>
      <c r="AB41" s="59" t="e">
        <f>VLOOKUP(A41,Enforcements!$C$7:$K$16,8,0)</f>
        <v>#N/A</v>
      </c>
      <c r="AC41" s="55" t="e">
        <f>VLOOKUP(A41,Enforcements!$C$7:$E$16,3,0)</f>
        <v>#N/A</v>
      </c>
      <c r="AD41" s="56" t="str">
        <f>IF(LEN(A41)=6,"0"&amp;A41,A41)</f>
        <v>0129-05</v>
      </c>
      <c r="AE41" s="85" t="str">
        <f>"aws s3 cp "&amp;s3_bucket&amp;"/RTDC"&amp;B41&amp;"/ "&amp;search_path&amp;"\RTDC"&amp;B41&amp;"\"&amp;TEXT(F41,"YYYY-MM-DD")&amp;" --exclude ""*"" --recursive --include ""*"&amp;TEXT(F41,"YYYYMMDD")&amp;"*"" &amp; """&amp;walkandungz&amp;""" "&amp;search_path&amp;"\RTDC"&amp;B41&amp;"\"&amp;TEXT(F41,"YYYY-MM-DD")
&amp;" &amp; "&amp;"aws s3 cp "&amp;s3_bucket&amp;"/RTDC"&amp;B41&amp;"/ "&amp;search_path&amp;"\RTDC"&amp;B41&amp;"\"&amp;TEXT(F41+1,"YYYY-MM-DD")&amp;" --exclude ""*"" --recursive --include ""*"&amp;TEXT(F41+1,"YYYYMMDD")&amp;"*"" &amp; """&amp;walkandungz&amp;""" "&amp;search_path&amp;"\RTDC"&amp;B41&amp;"\"&amp;TEXT(F41+1,"YYYY-MM-DD")</f>
        <v>aws s3 cp s3://rtdc.mdm.uploadarchive.raw/RTDC4040/ "%USERPROFILE%\AppData\Local\Temp\OnboardLogs"\RTDC4040\2017-02-05 --exclude "*" --recursive --include "*20170205*" &amp; "%USERPROFILE%\Documents\GitHub\mrs-test-scripts\Headless Mode &amp; Sideloading\WalkAndUnGZ.bat" "%USERPROFILE%\AppData\Local\Temp\OnboardLogs"\RTDC4040\2017-02-05 &amp; aws s3 cp s3://rtdc.mdm.uploadarchive.raw/RTDC4040/ "%USERPROFILE%\AppData\Local\Temp\OnboardLogs"\RTDC4040\2017-02-06 --exclude "*" --recursive --include "*20170206*" &amp; "%USERPROFILE%\Documents\GitHub\mrs-test-scripts\Headless Mode &amp; Sideloading\WalkAndUnGZ.bat" "%USERPROFILE%\AppData\Local\Temp\OnboardLogs"\RTDC4040\2017-02-06</v>
      </c>
      <c r="AF41" s="82" t="str">
        <f>astrogrep_path&amp;" /spath="&amp;search_path&amp;" /stypes=""app*"&amp;B41&amp;"*"&amp;TEXT(I41-utc_offset/24,"YYYYMMDD")&amp;"*"" /stext="" "&amp;TEXT(I41-utc_offset/24,"HH")&amp;search_regexp&amp;""" /e /r /s"</f>
        <v>"C:\Program Files (x86)\AstroGrep\AstroGrep.exe" /spath="%USERPROFILE%\AppData\Local\Temp\OnboardLogs" /stypes="app*4040*20170205*" /stext=" 14:.+((SYSTEM_STATE.+slice.+state.+changed )|(ment ac)|(multiple cpu faults)|(system.+state.+changed )|(\[timeout)|(PRM\|1\|D)|(kpr)|(kdp)|(\|lc)|(penalty))" /e /r /s</v>
      </c>
      <c r="AG41" s="1" t="str">
        <f>IFERROR(IF(VALUE(LEFT(AD41,2))&lt;=2,"EC",IF(OR(VALUE(LEFT(AD41,2))=8,VALUE(LEFT(AD41,2))=18),"NW","Other")),"Other")</f>
        <v>EC</v>
      </c>
      <c r="AH41" s="86" t="str">
        <f t="shared" si="3"/>
        <v>"%USERPROFILE%\Documents\GitHub\eaglep3\Utilities\RefineRTDCRunTimes.py" --tripid 129-05 --locoid 4040 --swversion DE.1.0.8.0 --startMP 204:449 --initTime 2017-02-05T07:09:04 --startdatetime 2017-02-05T07:15:16 --delay 1 --endMP 204:233366 --enddatetime 2017-02-05T07:53:38 --enforcementcount 0 &gt;&gt;C:\Users\stu\Documents\GitHub\eaglep3-reporting\EC\2017-02-05-refined-times.txt</v>
      </c>
      <c r="AI41" s="108" t="str">
        <f t="shared" si="4"/>
        <v>echo {"issue":{"subject":"","project_id":79,"tracker_id":40,"status_id":1,"priority_id":2,"assigned_to_id":23,"start_date":"2017-02-05","description":"","custom_fields":[{"id":1,"name":"Subdivision","value":"EC"},{"id":4,"name":"Milepost","value":"23.3366"},{"id":17,"name":"Train ID","value":"129-05"},{"id":16,"name":"Locomotive ID","value":"4040"},{"id":130,"name":"Impact","value":""},{"id":150,"name":"Time of Event (Mountain Time)","value":"07:53:38"},{"id":151,"name":"Denver Issue ID","value":""},{"id":178,"name":"Operational Impact","value":"Yes"},{"id":179,"name":"Denver Segment Assigned","value":""}]}} | curl -X POST -H "Content-Type: application/json" -H "X-Redmine-API-Key: d6333d4a04012a730768444271f8ca06482dae87" https://secure.xorail.net/redmine/issues.json --data @-</v>
      </c>
      <c r="AJ41" s="48"/>
      <c r="AK41" s="48"/>
      <c r="AL41" s="48"/>
      <c r="AM41" s="158" t="str">
        <f t="shared" si="5"/>
        <v>start /low /b %USERPROFILE%\Documents\GitHub\eaglep3\Utilities\DownloadLogsFromS3.py --loco 4040 --day 2017-02-05</v>
      </c>
      <c r="AN41" s="167" t="str">
        <f>"grep -SE -B400 ""CHR.+\|PRM\|1\|D.+(SWITCH|SIGNAL).+UNKNOWN"" "&amp;search_path&amp;"\RTDC"&amp;B41&amp;"\*"&amp;B41&amp;"*"&amp;TEXT(AVERAGE(F41,I41)-utc_offset/24,"YYYYMMDD")&amp;"* | grep -SE ""(Enforcement Action)|(\[TIMEOUT)|(CHR.+\|PRM\|1\|D.+(SWITCH|SIGNAL).+UNKNOWN)"" - &gt;&gt; "&amp;TEXT(Variables!$A$2,"YYYY-MM-DD")&amp;"-UncaughtWiMAX.txt"</f>
        <v>grep -SE -B400 "CHR.+\|PRM\|1\|D.+(SWITCH|SIGNAL).+UNKNOWN" "%USERPROFILE%\AppData\Local\Temp\OnboardLogs"\RTDC4040\*4040*20170205* | grep -SE "(Enforcement Action)|(\[TIMEOUT)|(CHR.+\|PRM\|1\|D.+(SWITCH|SIGNAL).+UNKNOWN)" - &gt;&gt; 2017-02-05-UncaughtWiMAX.txt</v>
      </c>
      <c r="AO41"/>
      <c r="AP41"/>
      <c r="AQ41"/>
      <c r="AR41"/>
      <c r="AS41"/>
      <c r="AT41"/>
      <c r="AU41"/>
      <c r="AV41"/>
      <c r="AW41"/>
      <c r="AX41"/>
      <c r="AY41"/>
      <c r="AZ41"/>
      <c r="BA41"/>
      <c r="BB41"/>
      <c r="BC41"/>
      <c r="BD41"/>
      <c r="BE41"/>
      <c r="BF41"/>
      <c r="BG41"/>
      <c r="BH41"/>
      <c r="BI41"/>
      <c r="BJ41"/>
      <c r="BK41"/>
      <c r="BL41"/>
      <c r="BM41"/>
      <c r="BN41"/>
      <c r="BO41"/>
      <c r="BP41"/>
      <c r="BQ41"/>
      <c r="BR41"/>
      <c r="BS41"/>
      <c r="BT41"/>
      <c r="BU41"/>
      <c r="BV41"/>
      <c r="BW41"/>
      <c r="BX41"/>
      <c r="BY41"/>
      <c r="BZ41"/>
      <c r="CA41"/>
      <c r="CB41"/>
      <c r="CC41"/>
      <c r="CD41"/>
      <c r="CE41"/>
      <c r="CF41"/>
      <c r="CG41"/>
      <c r="CH41"/>
      <c r="CI41"/>
      <c r="CJ41"/>
      <c r="CK41"/>
      <c r="CL41"/>
      <c r="CM41"/>
    </row>
    <row r="42" spans="1:91" s="1" customFormat="1" x14ac:dyDescent="0.25">
      <c r="A42" s="33" t="s">
        <v>582</v>
      </c>
      <c r="B42" s="7">
        <v>4039</v>
      </c>
      <c r="C42" s="21" t="s">
        <v>193</v>
      </c>
      <c r="D42" s="21" t="s">
        <v>767</v>
      </c>
      <c r="E42" s="13">
        <v>42771.330810185187</v>
      </c>
      <c r="F42" s="13">
        <v>42771.341168981482</v>
      </c>
      <c r="G42" s="7">
        <v>1</v>
      </c>
      <c r="H42" s="21" t="s">
        <v>184</v>
      </c>
      <c r="I42" s="13">
        <v>42771.369143518517</v>
      </c>
      <c r="J42" s="7">
        <v>0</v>
      </c>
      <c r="K42" s="98" t="str">
        <f>IF(ISEVEN(B42),(B42-1)&amp;"/"&amp;B42,B42&amp;"/"&amp;(B42+1))</f>
        <v>4039/4040</v>
      </c>
      <c r="L42" s="21" t="str">
        <f>VLOOKUP(A42,'Trips&amp;Operators'!$C$1:$G$99999,5,FALSE)</f>
        <v>SHOOK JOHN</v>
      </c>
      <c r="M42" s="6">
        <f>I42-F42</f>
        <v>2.7974537035333924E-2</v>
      </c>
      <c r="N42" s="7">
        <f>24*60*SUM($M42:$M42)</f>
        <v>40.283333330880851</v>
      </c>
      <c r="O42" s="7"/>
      <c r="P42" s="7"/>
      <c r="Q42" s="22"/>
      <c r="R42" s="22"/>
      <c r="S42" s="31">
        <f>SUM(U42:U42)/IF(AG42="EC",12,1)</f>
        <v>1</v>
      </c>
      <c r="T42" s="46" t="str">
        <f>IF(ISEVEN(LEFT(AD42,4)),"Southbound","NorthBound")</f>
        <v>Southbound</v>
      </c>
      <c r="U42" s="190">
        <f>IF(AG42="EC",COUNTIFS(Variables!$M$2:$M$19,IF(T42="NorthBound","&gt;=","&lt;=")&amp;Y42,Variables!$M$2:$M$19,IF(T42="NorthBound","&lt;=","&gt;=")&amp;Z42),COUNTIFS(Variables!$P$2:$P$19,IF(T42="NorthBound","&gt;=","&lt;=")&amp;Y42,Variables!$P$2:$P$19,IF(T42="NorthBound","&lt;=","&gt;=")&amp;Z42))</f>
        <v>12</v>
      </c>
      <c r="V42" s="191" t="str">
        <f>"https://d0f6bd738d7f1b3e5a7ca70fe4ff75f0.us-east-1.aws.found.io/app/kibana#/discover/Steve-Slow-Train-Analysis-(2080s-and-2083s)?_g="&amp;"(refreshInterval:(display:Off,pause:!f,section:0,value:0),time:(from:'"&amp;TEXT(E42-1/24,"yyyy-MM-DDThh:mm:ss")&amp;utc_offset&amp;"00"&amp;"',mode:absolute,to:'"&amp;TEXT(I42+1/24,"yyyy-MM-DDThh:mm:ss")&amp;utc_offset&amp;"00"&amp;"'))&amp;_a=(columns:!('Locomotive+ID','Data.Head+End+Milepost',Data.Speed,'Data.Locomotive+State','Data.Train+ID',"&amp;"'Data.Warning%2FEnforcement+Type','Data.Target+Start+Milepost','Data.Target+Description','Data.Target+Speed',"&amp;"'Data.Enforcement+Train+Speed','Data.Enforcement+Start+Milepost','Data.Target+Type','Data.Enforcement+Direction+of+Travel','Message+ID',"&amp;"'Data.Body+of+Summary+Text','Data.Head+End+Track+name'),filters:!(),index:'emp_*',interval:auto,query:"&amp;"(query_string:(analyze_wildcard:!t,query:'Message%5C+ID:(2083+OR+2080+OR+1041+OR+2003+OR+1051+OR+1043+OR+1053)+AND+%22rtdc.l.rtdc."&amp;B42&amp;"%22')),sort:!(Time.ISO8601,asc))"</f>
        <v>https://d0f6bd738d7f1b3e5a7ca70fe4ff75f0.us-east-1.aws.found.io/app/kibana#/discover/Steve-Slow-Train-Analysis-(2080s-and-2083s)?_g=(refreshInterval:(display:Off,pause:!f,section:0,value:0),time:(from:'2017-02-05T06:56:22-0700',mode:absolute,to:'2017-02-05T09:51:34-0700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4039%22')),sort:!(Time.ISO8601,asc))</v>
      </c>
      <c r="W42" s="192" t="str">
        <f>IF(AA42&lt;IF(AG42="EC",23,5.65),"Y","N")</f>
        <v>N</v>
      </c>
      <c r="X42" s="192">
        <f>VALUE(LEFT(AD42,4))-VALUE(LEFT(AD41,4))</f>
        <v>1</v>
      </c>
      <c r="Y42" s="62">
        <f>RIGHT(D42,LEN(D42)-4)/10000</f>
        <v>23.303599999999999</v>
      </c>
      <c r="Z42" s="62">
        <f>RIGHT(H42,LEN(H42)-4)/10000</f>
        <v>1.49E-2</v>
      </c>
      <c r="AA42" s="62">
        <f>ABS(Z42-Y42)</f>
        <v>23.288699999999999</v>
      </c>
      <c r="AB42" s="59" t="e">
        <f>VLOOKUP(A42,Enforcements!$C$7:$K$16,8,0)</f>
        <v>#N/A</v>
      </c>
      <c r="AC42" s="55" t="e">
        <f>VLOOKUP(A42,Enforcements!$C$7:$E$16,3,0)</f>
        <v>#N/A</v>
      </c>
      <c r="AD42" s="56" t="str">
        <f>IF(LEN(A42)=6,"0"&amp;A42,A42)</f>
        <v>0130-05</v>
      </c>
      <c r="AE42" s="85" t="str">
        <f>"aws s3 cp "&amp;s3_bucket&amp;"/RTDC"&amp;B42&amp;"/ "&amp;search_path&amp;"\RTDC"&amp;B42&amp;"\"&amp;TEXT(F42,"YYYY-MM-DD")&amp;" --exclude ""*"" --recursive --include ""*"&amp;TEXT(F42,"YYYYMMDD")&amp;"*"" &amp; """&amp;walkandungz&amp;""" "&amp;search_path&amp;"\RTDC"&amp;B42&amp;"\"&amp;TEXT(F42,"YYYY-MM-DD")
&amp;" &amp; "&amp;"aws s3 cp "&amp;s3_bucket&amp;"/RTDC"&amp;B42&amp;"/ "&amp;search_path&amp;"\RTDC"&amp;B42&amp;"\"&amp;TEXT(F42+1,"YYYY-MM-DD")&amp;" --exclude ""*"" --recursive --include ""*"&amp;TEXT(F42+1,"YYYYMMDD")&amp;"*"" &amp; """&amp;walkandungz&amp;""" "&amp;search_path&amp;"\RTDC"&amp;B42&amp;"\"&amp;TEXT(F42+1,"YYYY-MM-DD")</f>
        <v>aws s3 cp s3://rtdc.mdm.uploadarchive.raw/RTDC4039/ "%USERPROFILE%\AppData\Local\Temp\OnboardLogs"\RTDC4039\2017-02-05 --exclude "*" --recursive --include "*20170205*" &amp; "%USERPROFILE%\Documents\GitHub\mrs-test-scripts\Headless Mode &amp; Sideloading\WalkAndUnGZ.bat" "%USERPROFILE%\AppData\Local\Temp\OnboardLogs"\RTDC4039\2017-02-05 &amp; aws s3 cp s3://rtdc.mdm.uploadarchive.raw/RTDC4039/ "%USERPROFILE%\AppData\Local\Temp\OnboardLogs"\RTDC4039\2017-02-06 --exclude "*" --recursive --include "*20170206*" &amp; "%USERPROFILE%\Documents\GitHub\mrs-test-scripts\Headless Mode &amp; Sideloading\WalkAndUnGZ.bat" "%USERPROFILE%\AppData\Local\Temp\OnboardLogs"\RTDC4039\2017-02-06</v>
      </c>
      <c r="AF42" s="82" t="str">
        <f>astrogrep_path&amp;" /spath="&amp;search_path&amp;" /stypes=""app*"&amp;B42&amp;"*"&amp;TEXT(I42-utc_offset/24,"YYYYMMDD")&amp;"*"" /stext="" "&amp;TEXT(I42-utc_offset/24,"HH")&amp;search_regexp&amp;""" /e /r /s"</f>
        <v>"C:\Program Files (x86)\AstroGrep\AstroGrep.exe" /spath="%USERPROFILE%\AppData\Local\Temp\OnboardLogs" /stypes="app*4039*20170205*" /stext=" 15:.+((SYSTEM_STATE.+slice.+state.+changed )|(ment ac)|(multiple cpu faults)|(system.+state.+changed )|(\[timeout)|(PRM\|1\|D)|(kpr)|(kdp)|(\|lc)|(penalty))" /e /r /s</v>
      </c>
      <c r="AG42" s="1" t="str">
        <f>IFERROR(IF(VALUE(LEFT(AD42,2))&lt;=2,"EC",IF(OR(VALUE(LEFT(AD42,2))=8,VALUE(LEFT(AD42,2))=18),"NW","Other")),"Other")</f>
        <v>EC</v>
      </c>
      <c r="AH42" s="86" t="str">
        <f t="shared" si="3"/>
        <v>"%USERPROFILE%\Documents\GitHub\eaglep3\Utilities\RefineRTDCRunTimes.py" --tripid 130-05 --locoid 4039 --swversion DE.1.0.8.0 --startMP 204:233036 --initTime 2017-02-05T07:56:22 --startdatetime 2017-02-05T08:11:17 --delay 1 --endMP 204:149 --enddatetime 2017-02-05T08:51:34 --enforcementcount 0 &gt;&gt;C:\Users\stu\Documents\GitHub\eaglep3-reporting\EC\2017-02-05-refined-times.txt</v>
      </c>
      <c r="AI42" s="108" t="str">
        <f t="shared" si="4"/>
        <v>echo {"issue":{"subject":"","project_id":79,"tracker_id":40,"status_id":1,"priority_id":2,"assigned_to_id":23,"start_date":"2017-02-05","description":"","custom_fields":[{"id":1,"name":"Subdivision","value":"EC"},{"id":4,"name":"Milepost","value":"0.0149"},{"id":17,"name":"Train ID","value":"130-05"},{"id":16,"name":"Locomotive ID","value":"4039"},{"id":130,"name":"Impact","value":""},{"id":150,"name":"Time of Event (Mountain Time)","value":"08:51:34"},{"id":151,"name":"Denver Issue ID","value":""},{"id":178,"name":"Operational Impact","value":"Yes"},{"id":179,"name":"Denver Segment Assigned","value":""}]}} | curl -X POST -H "Content-Type: application/json" -H "X-Redmine-API-Key: d6333d4a04012a730768444271f8ca06482dae87" https://secure.xorail.net/redmine/issues.json --data @-</v>
      </c>
      <c r="AJ42" s="48"/>
      <c r="AK42" s="48"/>
      <c r="AL42" s="48"/>
      <c r="AM42" s="158" t="str">
        <f t="shared" si="5"/>
        <v>start /low /b %USERPROFILE%\Documents\GitHub\eaglep3\Utilities\DownloadLogsFromS3.py --loco 4039 --day 2017-02-05</v>
      </c>
      <c r="AN42" s="167" t="str">
        <f>"grep -SE -B400 ""CHR.+\|PRM\|1\|D.+(SWITCH|SIGNAL).+UNKNOWN"" "&amp;search_path&amp;"\RTDC"&amp;B42&amp;"\*"&amp;B42&amp;"*"&amp;TEXT(AVERAGE(F42,I42)-utc_offset/24,"YYYYMMDD")&amp;"* | grep -SE ""(Enforcement Action)|(\[TIMEOUT)|(CHR.+\|PRM\|1\|D.+(SWITCH|SIGNAL).+UNKNOWN)"" - &gt;&gt; "&amp;TEXT(Variables!$A$2,"YYYY-MM-DD")&amp;"-UncaughtWiMAX.txt"</f>
        <v>grep -SE -B400 "CHR.+\|PRM\|1\|D.+(SWITCH|SIGNAL).+UNKNOWN" "%USERPROFILE%\AppData\Local\Temp\OnboardLogs"\RTDC4039\*4039*20170205* | grep -SE "(Enforcement Action)|(\[TIMEOUT)|(CHR.+\|PRM\|1\|D.+(SWITCH|SIGNAL).+UNKNOWN)" - &gt;&gt; 2017-02-05-UncaughtWiMAX.txt</v>
      </c>
      <c r="AO42"/>
      <c r="AP42"/>
      <c r="AQ42"/>
      <c r="AR42"/>
      <c r="AS42"/>
      <c r="AT42"/>
      <c r="AU42"/>
      <c r="AV42"/>
      <c r="AW42"/>
      <c r="AX42"/>
      <c r="AY42"/>
      <c r="AZ42"/>
      <c r="BA42"/>
      <c r="BB42"/>
      <c r="BC42"/>
      <c r="BD42"/>
      <c r="BE42"/>
      <c r="BF42"/>
      <c r="BG42"/>
      <c r="BH42"/>
      <c r="BI42"/>
      <c r="BJ42"/>
      <c r="BK42"/>
      <c r="BL42"/>
      <c r="BM42"/>
      <c r="BN42"/>
      <c r="BO42"/>
      <c r="BP42"/>
      <c r="BQ42"/>
      <c r="BR42"/>
      <c r="BS42"/>
      <c r="BT42"/>
      <c r="BU42"/>
      <c r="BV42"/>
      <c r="BW42"/>
      <c r="BX42"/>
      <c r="BY42"/>
      <c r="BZ42"/>
      <c r="CA42"/>
      <c r="CB42"/>
      <c r="CC42"/>
      <c r="CD42"/>
      <c r="CE42"/>
      <c r="CF42"/>
      <c r="CG42"/>
      <c r="CH42"/>
      <c r="CI42"/>
      <c r="CJ42"/>
      <c r="CK42"/>
      <c r="CL42"/>
      <c r="CM42"/>
    </row>
    <row r="43" spans="1:91" s="1" customFormat="1" x14ac:dyDescent="0.25">
      <c r="A43" s="33" t="s">
        <v>577</v>
      </c>
      <c r="B43" s="7">
        <v>4025</v>
      </c>
      <c r="C43" s="21" t="s">
        <v>193</v>
      </c>
      <c r="D43" s="21" t="s">
        <v>318</v>
      </c>
      <c r="E43" s="13">
        <v>42771.309849537036</v>
      </c>
      <c r="F43" s="13">
        <v>42771.312708333331</v>
      </c>
      <c r="G43" s="7">
        <v>1</v>
      </c>
      <c r="H43" s="21" t="s">
        <v>223</v>
      </c>
      <c r="I43" s="13">
        <v>42771.337766203702</v>
      </c>
      <c r="J43" s="7">
        <v>0</v>
      </c>
      <c r="K43" s="98" t="str">
        <f>IF(ISEVEN(B43),(B43-1)&amp;"/"&amp;B43,B43&amp;"/"&amp;(B43+1))</f>
        <v>4025/4026</v>
      </c>
      <c r="L43" s="21" t="str">
        <f>VLOOKUP(A43,'Trips&amp;Operators'!$C$1:$G$99999,5,FALSE)</f>
        <v>MAELZER KURT</v>
      </c>
      <c r="M43" s="6">
        <f>I43-F43</f>
        <v>2.5057870370801538E-2</v>
      </c>
      <c r="N43" s="7">
        <f>24*60*SUM($M43:$M43)</f>
        <v>36.083333333954215</v>
      </c>
      <c r="O43" s="7"/>
      <c r="P43" s="7"/>
      <c r="Q43" s="22"/>
      <c r="R43" s="22"/>
      <c r="S43" s="31">
        <f>SUM(U43:U43)/IF(AG43="EC",12,1)</f>
        <v>1</v>
      </c>
      <c r="T43" s="46" t="str">
        <f>IF(ISEVEN(LEFT(AD43,4)),"Southbound","NorthBound")</f>
        <v>NorthBound</v>
      </c>
      <c r="U43" s="190">
        <f>IF(AG43="EC",COUNTIFS(Variables!$M$2:$M$19,IF(T43="NorthBound","&gt;=","&lt;=")&amp;Y43,Variables!$M$2:$M$19,IF(T43="NorthBound","&lt;=","&gt;=")&amp;Z43),COUNTIFS(Variables!$P$2:$P$19,IF(T43="NorthBound","&gt;=","&lt;=")&amp;Y43,Variables!$P$2:$P$19,IF(T43="NorthBound","&lt;=","&gt;=")&amp;Z43))</f>
        <v>12</v>
      </c>
      <c r="V43" s="191" t="str">
        <f>"https://d0f6bd738d7f1b3e5a7ca70fe4ff75f0.us-east-1.aws.found.io/app/kibana#/discover/Steve-Slow-Train-Analysis-(2080s-and-2083s)?_g="&amp;"(refreshInterval:(display:Off,pause:!f,section:0,value:0),time:(from:'"&amp;TEXT(E43-1/24,"yyyy-MM-DDThh:mm:ss")&amp;utc_offset&amp;"00"&amp;"',mode:absolute,to:'"&amp;TEXT(I43+1/24,"yyyy-MM-DDThh:mm:ss")&amp;utc_offset&amp;"00"&amp;"'))&amp;_a=(columns:!('Locomotive+ID','Data.Head+End+Milepost',Data.Speed,'Data.Locomotive+State','Data.Train+ID',"&amp;"'Data.Warning%2FEnforcement+Type','Data.Target+Start+Milepost','Data.Target+Description','Data.Target+Speed',"&amp;"'Data.Enforcement+Train+Speed','Data.Enforcement+Start+Milepost','Data.Target+Type','Data.Enforcement+Direction+of+Travel','Message+ID',"&amp;"'Data.Body+of+Summary+Text','Data.Head+End+Track+name'),filters:!(),index:'emp_*',interval:auto,query:"&amp;"(query_string:(analyze_wildcard:!t,query:'Message%5C+ID:(2083+OR+2080+OR+1041+OR+2003+OR+1051+OR+1043+OR+1053)+AND+%22rtdc.l.rtdc."&amp;B43&amp;"%22')),sort:!(Time.ISO8601,asc))"</f>
        <v>https://d0f6bd738d7f1b3e5a7ca70fe4ff75f0.us-east-1.aws.found.io/app/kibana#/discover/Steve-Slow-Train-Analysis-(2080s-and-2083s)?_g=(refreshInterval:(display:Off,pause:!f,section:0,value:0),time:(from:'2017-02-05T06:26:11-0700',mode:absolute,to:'2017-02-05T09:06:23-0700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4025%22')),sort:!(Time.ISO8601,asc))</v>
      </c>
      <c r="W43" s="192" t="str">
        <f>IF(AA43&lt;IF(AG43="EC",23,5.65),"Y","N")</f>
        <v>N</v>
      </c>
      <c r="X43" s="192">
        <f>VALUE(LEFT(AD43,4))-VALUE(LEFT(AD42,4))</f>
        <v>1</v>
      </c>
      <c r="Y43" s="62">
        <f>RIGHT(D43,LEN(D43)-4)/10000</f>
        <v>4.4699999999999997E-2</v>
      </c>
      <c r="Z43" s="62">
        <f>RIGHT(H43,LEN(H43)-4)/10000</f>
        <v>23.329899999999999</v>
      </c>
      <c r="AA43" s="62">
        <f>ABS(Z43-Y43)</f>
        <v>23.2852</v>
      </c>
      <c r="AB43" s="59" t="e">
        <f>VLOOKUP(A43,Enforcements!$C$7:$K$16,8,0)</f>
        <v>#N/A</v>
      </c>
      <c r="AC43" s="55" t="e">
        <f>VLOOKUP(A43,Enforcements!$C$7:$E$16,3,0)</f>
        <v>#N/A</v>
      </c>
      <c r="AD43" s="56" t="str">
        <f>IF(LEN(A43)=6,"0"&amp;A43,A43)</f>
        <v>0131-05</v>
      </c>
      <c r="AE43" s="85" t="str">
        <f>"aws s3 cp "&amp;s3_bucket&amp;"/RTDC"&amp;B43&amp;"/ "&amp;search_path&amp;"\RTDC"&amp;B43&amp;"\"&amp;TEXT(F43,"YYYY-MM-DD")&amp;" --exclude ""*"" --recursive --include ""*"&amp;TEXT(F43,"YYYYMMDD")&amp;"*"" &amp; """&amp;walkandungz&amp;""" "&amp;search_path&amp;"\RTDC"&amp;B43&amp;"\"&amp;TEXT(F43,"YYYY-MM-DD")
&amp;" &amp; "&amp;"aws s3 cp "&amp;s3_bucket&amp;"/RTDC"&amp;B43&amp;"/ "&amp;search_path&amp;"\RTDC"&amp;B43&amp;"\"&amp;TEXT(F43+1,"YYYY-MM-DD")&amp;" --exclude ""*"" --recursive --include ""*"&amp;TEXT(F43+1,"YYYYMMDD")&amp;"*"" &amp; """&amp;walkandungz&amp;""" "&amp;search_path&amp;"\RTDC"&amp;B43&amp;"\"&amp;TEXT(F43+1,"YYYY-MM-DD")</f>
        <v>aws s3 cp s3://rtdc.mdm.uploadarchive.raw/RTDC4025/ "%USERPROFILE%\AppData\Local\Temp\OnboardLogs"\RTDC4025\2017-02-05 --exclude "*" --recursive --include "*20170205*" &amp; "%USERPROFILE%\Documents\GitHub\mrs-test-scripts\Headless Mode &amp; Sideloading\WalkAndUnGZ.bat" "%USERPROFILE%\AppData\Local\Temp\OnboardLogs"\RTDC4025\2017-02-05 &amp; aws s3 cp s3://rtdc.mdm.uploadarchive.raw/RTDC4025/ "%USERPROFILE%\AppData\Local\Temp\OnboardLogs"\RTDC4025\2017-02-06 --exclude "*" --recursive --include "*20170206*" &amp; "%USERPROFILE%\Documents\GitHub\mrs-test-scripts\Headless Mode &amp; Sideloading\WalkAndUnGZ.bat" "%USERPROFILE%\AppData\Local\Temp\OnboardLogs"\RTDC4025\2017-02-06</v>
      </c>
      <c r="AF43" s="82" t="str">
        <f>astrogrep_path&amp;" /spath="&amp;search_path&amp;" /stypes=""app*"&amp;B43&amp;"*"&amp;TEXT(I43-utc_offset/24,"YYYYMMDD")&amp;"*"" /stext="" "&amp;TEXT(I43-utc_offset/24,"HH")&amp;search_regexp&amp;""" /e /r /s"</f>
        <v>"C:\Program Files (x86)\AstroGrep\AstroGrep.exe" /spath="%USERPROFILE%\AppData\Local\Temp\OnboardLogs" /stypes="app*4025*20170205*" /stext=" 15:.+((SYSTEM_STATE.+slice.+state.+changed )|(ment ac)|(multiple cpu faults)|(system.+state.+changed )|(\[timeout)|(PRM\|1\|D)|(kpr)|(kdp)|(\|lc)|(penalty))" /e /r /s</v>
      </c>
      <c r="AG43" s="1" t="str">
        <f>IFERROR(IF(VALUE(LEFT(AD43,2))&lt;=2,"EC",IF(OR(VALUE(LEFT(AD43,2))=8,VALUE(LEFT(AD43,2))=18),"NW","Other")),"Other")</f>
        <v>EC</v>
      </c>
      <c r="AH43" s="86" t="str">
        <f t="shared" si="3"/>
        <v>"%USERPROFILE%\Documents\GitHub\eaglep3\Utilities\RefineRTDCRunTimes.py" --tripid 131-05 --locoid 4025 --swversion DE.1.0.8.0 --startMP 204:447 --initTime 2017-02-05T07:26:11 --startdatetime 2017-02-05T07:30:18 --delay 1 --endMP 204:233299 --enddatetime 2017-02-05T08:06:23 --enforcementcount 0 &gt;&gt;C:\Users\stu\Documents\GitHub\eaglep3-reporting\EC\2017-02-05-refined-times.txt</v>
      </c>
      <c r="AI43" s="108" t="str">
        <f t="shared" si="4"/>
        <v>echo {"issue":{"subject":"","project_id":79,"tracker_id":40,"status_id":1,"priority_id":2,"assigned_to_id":23,"start_date":"2017-02-05","description":"","custom_fields":[{"id":1,"name":"Subdivision","value":"EC"},{"id":4,"name":"Milepost","value":"23.3299"},{"id":17,"name":"Train ID","value":"131-05"},{"id":16,"name":"Locomotive ID","value":"4025"},{"id":130,"name":"Impact","value":""},{"id":150,"name":"Time of Event (Mountain Time)","value":"08:06:23"},{"id":151,"name":"Denver Issue ID","value":""},{"id":178,"name":"Operational Impact","value":"Yes"},{"id":179,"name":"Denver Segment Assigned","value":""}]}} | curl -X POST -H "Content-Type: application/json" -H "X-Redmine-API-Key: d6333d4a04012a730768444271f8ca06482dae87" https://secure.xorail.net/redmine/issues.json --data @-</v>
      </c>
      <c r="AJ43" s="48"/>
      <c r="AK43" s="48"/>
      <c r="AL43" s="48"/>
      <c r="AM43" s="158" t="str">
        <f t="shared" si="5"/>
        <v>start /low /b %USERPROFILE%\Documents\GitHub\eaglep3\Utilities\DownloadLogsFromS3.py --loco 4025 --day 2017-02-05</v>
      </c>
      <c r="AN43" s="167" t="str">
        <f>"grep -SE -B400 ""CHR.+\|PRM\|1\|D.+(SWITCH|SIGNAL).+UNKNOWN"" "&amp;search_path&amp;"\RTDC"&amp;B43&amp;"\*"&amp;B43&amp;"*"&amp;TEXT(AVERAGE(F43,I43)-utc_offset/24,"YYYYMMDD")&amp;"* | grep -SE ""(Enforcement Action)|(\[TIMEOUT)|(CHR.+\|PRM\|1\|D.+(SWITCH|SIGNAL).+UNKNOWN)"" - &gt;&gt; "&amp;TEXT(Variables!$A$2,"YYYY-MM-DD")&amp;"-UncaughtWiMAX.txt"</f>
        <v>grep -SE -B400 "CHR.+\|PRM\|1\|D.+(SWITCH|SIGNAL).+UNKNOWN" "%USERPROFILE%\AppData\Local\Temp\OnboardLogs"\RTDC4025\*4025*20170205* | grep -SE "(Enforcement Action)|(\[TIMEOUT)|(CHR.+\|PRM\|1\|D.+(SWITCH|SIGNAL).+UNKNOWN)" - &gt;&gt; 2017-02-05-UncaughtWiMAX.txt</v>
      </c>
      <c r="AO43"/>
      <c r="AP43"/>
      <c r="AQ43"/>
      <c r="AR43"/>
      <c r="AS43"/>
      <c r="AT43"/>
      <c r="AU43"/>
      <c r="AV43"/>
      <c r="AW43"/>
      <c r="AX43"/>
      <c r="AY43"/>
      <c r="AZ43"/>
      <c r="BA43"/>
      <c r="BB43"/>
      <c r="BC43"/>
      <c r="BD43"/>
      <c r="BE43"/>
      <c r="BF43"/>
      <c r="BG43"/>
      <c r="BH43"/>
      <c r="BI43"/>
      <c r="BJ43"/>
      <c r="BK43"/>
      <c r="BL43"/>
      <c r="BM43"/>
      <c r="BN43"/>
      <c r="BO43"/>
      <c r="BP43"/>
      <c r="BQ43"/>
      <c r="BR43"/>
      <c r="BS43"/>
      <c r="BT43"/>
      <c r="BU43"/>
      <c r="BV43"/>
      <c r="BW43"/>
      <c r="BX43"/>
      <c r="BY43"/>
      <c r="BZ43"/>
      <c r="CA43"/>
      <c r="CB43"/>
      <c r="CC43"/>
      <c r="CD43"/>
      <c r="CE43"/>
      <c r="CF43"/>
      <c r="CG43"/>
      <c r="CH43"/>
      <c r="CI43"/>
      <c r="CJ43"/>
      <c r="CK43"/>
      <c r="CL43"/>
      <c r="CM43"/>
    </row>
    <row r="44" spans="1:91" s="1" customFormat="1" x14ac:dyDescent="0.25">
      <c r="A44" s="33" t="s">
        <v>503</v>
      </c>
      <c r="B44" s="7">
        <v>4026</v>
      </c>
      <c r="C44" s="21" t="s">
        <v>193</v>
      </c>
      <c r="D44" s="21" t="s">
        <v>768</v>
      </c>
      <c r="E44" s="13">
        <v>42771.343611111108</v>
      </c>
      <c r="F44" s="13">
        <v>42771.351643518516</v>
      </c>
      <c r="G44" s="7">
        <v>1</v>
      </c>
      <c r="H44" s="21" t="s">
        <v>237</v>
      </c>
      <c r="I44" s="13">
        <v>42771.378761574073</v>
      </c>
      <c r="J44" s="7">
        <v>0</v>
      </c>
      <c r="K44" s="98" t="str">
        <f>IF(ISEVEN(B44),(B44-1)&amp;"/"&amp;B44,B44&amp;"/"&amp;(B44+1))</f>
        <v>4025/4026</v>
      </c>
      <c r="L44" s="21" t="str">
        <f>VLOOKUP(A44,'Trips&amp;Operators'!$C$1:$G$99999,5,FALSE)</f>
        <v>MAELZER KURT</v>
      </c>
      <c r="M44" s="6">
        <f>I44-F44</f>
        <v>2.7118055557366461E-2</v>
      </c>
      <c r="N44" s="7">
        <f>24*60*SUM($M44:$M44)</f>
        <v>39.050000002607703</v>
      </c>
      <c r="O44" s="7"/>
      <c r="P44" s="7"/>
      <c r="Q44" s="22"/>
      <c r="R44" s="22"/>
      <c r="S44" s="31">
        <f>SUM(U44:U44)/IF(AG44="EC",12,1)</f>
        <v>1</v>
      </c>
      <c r="T44" s="46" t="str">
        <f>IF(ISEVEN(LEFT(AD44,4)),"Southbound","NorthBound")</f>
        <v>Southbound</v>
      </c>
      <c r="U44" s="190">
        <f>IF(AG44="EC",COUNTIFS(Variables!$M$2:$M$19,IF(T44="NorthBound","&gt;=","&lt;=")&amp;Y44,Variables!$M$2:$M$19,IF(T44="NorthBound","&lt;=","&gt;=")&amp;Z44),COUNTIFS(Variables!$P$2:$P$19,IF(T44="NorthBound","&gt;=","&lt;=")&amp;Y44,Variables!$P$2:$P$19,IF(T44="NorthBound","&lt;=","&gt;=")&amp;Z44))</f>
        <v>12</v>
      </c>
      <c r="V44" s="191" t="str">
        <f>"https://d0f6bd738d7f1b3e5a7ca70fe4ff75f0.us-east-1.aws.found.io/app/kibana#/discover/Steve-Slow-Train-Analysis-(2080s-and-2083s)?_g="&amp;"(refreshInterval:(display:Off,pause:!f,section:0,value:0),time:(from:'"&amp;TEXT(E44-1/24,"yyyy-MM-DDThh:mm:ss")&amp;utc_offset&amp;"00"&amp;"',mode:absolute,to:'"&amp;TEXT(I44+1/24,"yyyy-MM-DDThh:mm:ss")&amp;utc_offset&amp;"00"&amp;"'))&amp;_a=(columns:!('Locomotive+ID','Data.Head+End+Milepost',Data.Speed,'Data.Locomotive+State','Data.Train+ID',"&amp;"'Data.Warning%2FEnforcement+Type','Data.Target+Start+Milepost','Data.Target+Description','Data.Target+Speed',"&amp;"'Data.Enforcement+Train+Speed','Data.Enforcement+Start+Milepost','Data.Target+Type','Data.Enforcement+Direction+of+Travel','Message+ID',"&amp;"'Data.Body+of+Summary+Text','Data.Head+End+Track+name'),filters:!(),index:'emp_*',interval:auto,query:"&amp;"(query_string:(analyze_wildcard:!t,query:'Message%5C+ID:(2083+OR+2080+OR+1041+OR+2003+OR+1051+OR+1043+OR+1053)+AND+%22rtdc.l.rtdc."&amp;B44&amp;"%22')),sort:!(Time.ISO8601,asc))"</f>
        <v>https://d0f6bd738d7f1b3e5a7ca70fe4ff75f0.us-east-1.aws.found.io/app/kibana#/discover/Steve-Slow-Train-Analysis-(2080s-and-2083s)?_g=(refreshInterval:(display:Off,pause:!f,section:0,value:0),time:(from:'2017-02-05T07:14:48-0700',mode:absolute,to:'2017-02-05T10:05:25-0700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4026%22')),sort:!(Time.ISO8601,asc))</v>
      </c>
      <c r="W44" s="192" t="str">
        <f>IF(AA44&lt;IF(AG44="EC",23,5.65),"Y","N")</f>
        <v>N</v>
      </c>
      <c r="X44" s="192">
        <f>VALUE(LEFT(AD44,4))-VALUE(LEFT(AD43,4))</f>
        <v>1</v>
      </c>
      <c r="Y44" s="62">
        <f>RIGHT(D44,LEN(D44)-4)/10000</f>
        <v>23.3</v>
      </c>
      <c r="Z44" s="62">
        <f>RIGHT(H44,LEN(H44)-4)/10000</f>
        <v>1.43E-2</v>
      </c>
      <c r="AA44" s="62">
        <f>ABS(Z44-Y44)</f>
        <v>23.285700000000002</v>
      </c>
      <c r="AB44" s="59" t="str">
        <f>VLOOKUP(A44,Enforcements!$C$7:$K$16,8,0)</f>
        <v>Speed (6)</v>
      </c>
      <c r="AC44" s="55" t="str">
        <f>VLOOKUP(A44,Enforcements!$C$7:$E$16,3,0)</f>
        <v>PERMANENT SPEED RESTRICTION</v>
      </c>
      <c r="AD44" s="56" t="str">
        <f>IF(LEN(A44)=6,"0"&amp;A44,A44)</f>
        <v>0132-05</v>
      </c>
      <c r="AE44" s="85" t="str">
        <f>"aws s3 cp "&amp;s3_bucket&amp;"/RTDC"&amp;B44&amp;"/ "&amp;search_path&amp;"\RTDC"&amp;B44&amp;"\"&amp;TEXT(F44,"YYYY-MM-DD")&amp;" --exclude ""*"" --recursive --include ""*"&amp;TEXT(F44,"YYYYMMDD")&amp;"*"" &amp; """&amp;walkandungz&amp;""" "&amp;search_path&amp;"\RTDC"&amp;B44&amp;"\"&amp;TEXT(F44,"YYYY-MM-DD")
&amp;" &amp; "&amp;"aws s3 cp "&amp;s3_bucket&amp;"/RTDC"&amp;B44&amp;"/ "&amp;search_path&amp;"\RTDC"&amp;B44&amp;"\"&amp;TEXT(F44+1,"YYYY-MM-DD")&amp;" --exclude ""*"" --recursive --include ""*"&amp;TEXT(F44+1,"YYYYMMDD")&amp;"*"" &amp; """&amp;walkandungz&amp;""" "&amp;search_path&amp;"\RTDC"&amp;B44&amp;"\"&amp;TEXT(F44+1,"YYYY-MM-DD")</f>
        <v>aws s3 cp s3://rtdc.mdm.uploadarchive.raw/RTDC4026/ "%USERPROFILE%\AppData\Local\Temp\OnboardLogs"\RTDC4026\2017-02-05 --exclude "*" --recursive --include "*20170205*" &amp; "%USERPROFILE%\Documents\GitHub\mrs-test-scripts\Headless Mode &amp; Sideloading\WalkAndUnGZ.bat" "%USERPROFILE%\AppData\Local\Temp\OnboardLogs"\RTDC4026\2017-02-05 &amp; aws s3 cp s3://rtdc.mdm.uploadarchive.raw/RTDC4026/ "%USERPROFILE%\AppData\Local\Temp\OnboardLogs"\RTDC4026\2017-02-06 --exclude "*" --recursive --include "*20170206*" &amp; "%USERPROFILE%\Documents\GitHub\mrs-test-scripts\Headless Mode &amp; Sideloading\WalkAndUnGZ.bat" "%USERPROFILE%\AppData\Local\Temp\OnboardLogs"\RTDC4026\2017-02-06</v>
      </c>
      <c r="AF44" s="82" t="str">
        <f>astrogrep_path&amp;" /spath="&amp;search_path&amp;" /stypes=""app*"&amp;B44&amp;"*"&amp;TEXT(I44-utc_offset/24,"YYYYMMDD")&amp;"*"" /stext="" "&amp;TEXT(I44-utc_offset/24,"HH")&amp;search_regexp&amp;""" /e /r /s"</f>
        <v>"C:\Program Files (x86)\AstroGrep\AstroGrep.exe" /spath="%USERPROFILE%\AppData\Local\Temp\OnboardLogs" /stypes="app*4026*20170205*" /stext=" 16:.+((SYSTEM_STATE.+slice.+state.+changed )|(ment ac)|(multiple cpu faults)|(system.+state.+changed )|(\[timeout)|(PRM\|1\|D)|(kpr)|(kdp)|(\|lc)|(penalty))" /e /r /s</v>
      </c>
      <c r="AG44" s="1" t="str">
        <f>IFERROR(IF(VALUE(LEFT(AD44,2))&lt;=2,"EC",IF(OR(VALUE(LEFT(AD44,2))=8,VALUE(LEFT(AD44,2))=18),"NW","Other")),"Other")</f>
        <v>EC</v>
      </c>
      <c r="AH44" s="86" t="str">
        <f t="shared" si="3"/>
        <v>"%USERPROFILE%\Documents\GitHub\eaglep3\Utilities\RefineRTDCRunTimes.py" --tripid 132-05 --locoid 4026 --swversion DE.1.0.8.0 --startMP 204:233000 --initTime 2017-02-05T08:14:48 --startdatetime 2017-02-05T08:26:22 --delay 1 --endMP 204:143 --enddatetime 2017-02-05T09:05:25 --enforcementcount 0 &gt;&gt;C:\Users\stu\Documents\GitHub\eaglep3-reporting\EC\2017-02-05-refined-times.txt</v>
      </c>
      <c r="AI44" s="108" t="str">
        <f t="shared" si="4"/>
        <v>echo {"issue":{"subject":"","project_id":79,"tracker_id":40,"status_id":1,"priority_id":2,"assigned_to_id":23,"start_date":"2017-02-05","description":"","custom_fields":[{"id":1,"name":"Subdivision","value":"EC"},{"id":4,"name":"Milepost","value":"0.0143"},{"id":17,"name":"Train ID","value":"132-05"},{"id":16,"name":"Locomotive ID","value":"4026"},{"id":130,"name":"Impact","value":""},{"id":150,"name":"Time of Event (Mountain Time)","value":"09:05:25"},{"id":151,"name":"Denver Issue ID","value":""},{"id":178,"name":"Operational Impact","value":"Yes"},{"id":179,"name":"Denver Segment Assigned","value":""}]}} | curl -X POST -H "Content-Type: application/json" -H "X-Redmine-API-Key: d6333d4a04012a730768444271f8ca06482dae87" https://secure.xorail.net/redmine/issues.json --data @-</v>
      </c>
      <c r="AJ44" s="48"/>
      <c r="AK44" s="48"/>
      <c r="AL44" s="48"/>
      <c r="AM44" s="158" t="str">
        <f t="shared" si="5"/>
        <v>start /low /b %USERPROFILE%\Documents\GitHub\eaglep3\Utilities\DownloadLogsFromS3.py --loco 4026 --day 2017-02-05</v>
      </c>
      <c r="AN44" s="167" t="str">
        <f>"grep -SE -B400 ""CHR.+\|PRM\|1\|D.+(SWITCH|SIGNAL).+UNKNOWN"" "&amp;search_path&amp;"\RTDC"&amp;B44&amp;"\*"&amp;B44&amp;"*"&amp;TEXT(AVERAGE(F44,I44)-utc_offset/24,"YYYYMMDD")&amp;"* | grep -SE ""(Enforcement Action)|(\[TIMEOUT)|(CHR.+\|PRM\|1\|D.+(SWITCH|SIGNAL).+UNKNOWN)"" - &gt;&gt; "&amp;TEXT(Variables!$A$2,"YYYY-MM-DD")&amp;"-UncaughtWiMAX.txt"</f>
        <v>grep -SE -B400 "CHR.+\|PRM\|1\|D.+(SWITCH|SIGNAL).+UNKNOWN" "%USERPROFILE%\AppData\Local\Temp\OnboardLogs"\RTDC4026\*4026*20170205* | grep -SE "(Enforcement Action)|(\[TIMEOUT)|(CHR.+\|PRM\|1\|D.+(SWITCH|SIGNAL).+UNKNOWN)" - &gt;&gt; 2017-02-05-UncaughtWiMAX.txt</v>
      </c>
      <c r="AO44"/>
      <c r="AP44"/>
      <c r="AQ44"/>
      <c r="AR44"/>
      <c r="AS44"/>
      <c r="AT44"/>
      <c r="AU44"/>
      <c r="AV44"/>
      <c r="AW44"/>
      <c r="AX44"/>
      <c r="AY44"/>
      <c r="AZ44"/>
      <c r="BA44"/>
      <c r="BB44"/>
      <c r="BC44"/>
      <c r="BD44"/>
      <c r="BE44"/>
      <c r="BF44"/>
      <c r="BG44"/>
      <c r="BH44"/>
      <c r="BI44"/>
      <c r="BJ44"/>
      <c r="BK44"/>
      <c r="BL44"/>
      <c r="BM44"/>
      <c r="BN44"/>
      <c r="BO44"/>
      <c r="BP44"/>
      <c r="BQ44"/>
      <c r="BR44"/>
      <c r="BS44"/>
      <c r="BT44"/>
      <c r="BU44"/>
      <c r="BV44"/>
      <c r="BW44"/>
      <c r="BX44"/>
      <c r="BY44"/>
      <c r="BZ44"/>
      <c r="CA44"/>
      <c r="CB44"/>
      <c r="CC44"/>
      <c r="CD44"/>
      <c r="CE44"/>
      <c r="CF44"/>
      <c r="CG44"/>
      <c r="CH44"/>
      <c r="CI44"/>
      <c r="CJ44"/>
      <c r="CK44"/>
      <c r="CL44"/>
      <c r="CM44"/>
    </row>
    <row r="45" spans="1:91" s="1" customFormat="1" x14ac:dyDescent="0.25">
      <c r="A45" s="33" t="s">
        <v>580</v>
      </c>
      <c r="B45" s="7">
        <v>4016</v>
      </c>
      <c r="C45" s="21" t="s">
        <v>193</v>
      </c>
      <c r="D45" s="21" t="s">
        <v>209</v>
      </c>
      <c r="E45" s="13">
        <v>42771.321319444447</v>
      </c>
      <c r="F45" s="13">
        <v>42771.323425925926</v>
      </c>
      <c r="G45" s="7">
        <v>1</v>
      </c>
      <c r="H45" s="21" t="s">
        <v>745</v>
      </c>
      <c r="I45" s="13">
        <v>42771.350081018521</v>
      </c>
      <c r="J45" s="7">
        <v>0</v>
      </c>
      <c r="K45" s="98" t="str">
        <f>IF(ISEVEN(B45),(B45-1)&amp;"/"&amp;B45,B45&amp;"/"&amp;(B45+1))</f>
        <v>4015/4016</v>
      </c>
      <c r="L45" s="21" t="str">
        <f>VLOOKUP(A45,'Trips&amp;Operators'!$C$1:$G$99999,5,FALSE)</f>
        <v>BADERTSCHER DIANE</v>
      </c>
      <c r="M45" s="6">
        <f>I45-F45</f>
        <v>2.6655092595319729E-2</v>
      </c>
      <c r="N45" s="7">
        <f>24*60*SUM($M45:$M45)</f>
        <v>38.38333333726041</v>
      </c>
      <c r="O45" s="7"/>
      <c r="P45" s="7"/>
      <c r="Q45" s="22"/>
      <c r="R45" s="22"/>
      <c r="S45" s="31">
        <f>SUM(U45:U45)/IF(AG45="EC",12,1)</f>
        <v>1</v>
      </c>
      <c r="T45" s="46" t="str">
        <f>IF(ISEVEN(LEFT(AD45,4)),"Southbound","NorthBound")</f>
        <v>NorthBound</v>
      </c>
      <c r="U45" s="190">
        <f>IF(AG45="EC",COUNTIFS(Variables!$M$2:$M$19,IF(T45="NorthBound","&gt;=","&lt;=")&amp;Y45,Variables!$M$2:$M$19,IF(T45="NorthBound","&lt;=","&gt;=")&amp;Z45),COUNTIFS(Variables!$P$2:$P$19,IF(T45="NorthBound","&gt;=","&lt;=")&amp;Y45,Variables!$P$2:$P$19,IF(T45="NorthBound","&lt;=","&gt;=")&amp;Z45))</f>
        <v>12</v>
      </c>
      <c r="V45" s="191" t="str">
        <f>"https://d0f6bd738d7f1b3e5a7ca70fe4ff75f0.us-east-1.aws.found.io/app/kibana#/discover/Steve-Slow-Train-Analysis-(2080s-and-2083s)?_g="&amp;"(refreshInterval:(display:Off,pause:!f,section:0,value:0),time:(from:'"&amp;TEXT(E45-1/24,"yyyy-MM-DDThh:mm:ss")&amp;utc_offset&amp;"00"&amp;"',mode:absolute,to:'"&amp;TEXT(I45+1/24,"yyyy-MM-DDThh:mm:ss")&amp;utc_offset&amp;"00"&amp;"'))&amp;_a=(columns:!('Locomotive+ID','Data.Head+End+Milepost',Data.Speed,'Data.Locomotive+State','Data.Train+ID',"&amp;"'Data.Warning%2FEnforcement+Type','Data.Target+Start+Milepost','Data.Target+Description','Data.Target+Speed',"&amp;"'Data.Enforcement+Train+Speed','Data.Enforcement+Start+Milepost','Data.Target+Type','Data.Enforcement+Direction+of+Travel','Message+ID',"&amp;"'Data.Body+of+Summary+Text','Data.Head+End+Track+name'),filters:!(),index:'emp_*',interval:auto,query:"&amp;"(query_string:(analyze_wildcard:!t,query:'Message%5C+ID:(2083+OR+2080+OR+1041+OR+2003+OR+1051+OR+1043+OR+1053)+AND+%22rtdc.l.rtdc."&amp;B45&amp;"%22')),sort:!(Time.ISO8601,asc))"</f>
        <v>https://d0f6bd738d7f1b3e5a7ca70fe4ff75f0.us-east-1.aws.found.io/app/kibana#/discover/Steve-Slow-Train-Analysis-(2080s-and-2083s)?_g=(refreshInterval:(display:Off,pause:!f,section:0,value:0),time:(from:'2017-02-05T06:42:42-0700',mode:absolute,to:'2017-02-05T09:24:07-0700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4016%22')),sort:!(Time.ISO8601,asc))</v>
      </c>
      <c r="W45" s="192" t="str">
        <f>IF(AA45&lt;IF(AG45="EC",23,5.65),"Y","N")</f>
        <v>N</v>
      </c>
      <c r="X45" s="192">
        <f>VALUE(LEFT(AD45,4))-VALUE(LEFT(AD44,4))</f>
        <v>1</v>
      </c>
      <c r="Y45" s="62">
        <f>RIGHT(D45,LEN(D45)-4)/10000</f>
        <v>4.6199999999999998E-2</v>
      </c>
      <c r="Z45" s="62">
        <f>RIGHT(H45,LEN(H45)-4)/10000</f>
        <v>23.3325</v>
      </c>
      <c r="AA45" s="62">
        <f>ABS(Z45-Y45)</f>
        <v>23.286300000000001</v>
      </c>
      <c r="AB45" s="59" t="e">
        <f>VLOOKUP(A45,Enforcements!$C$7:$K$16,8,0)</f>
        <v>#N/A</v>
      </c>
      <c r="AC45" s="55" t="e">
        <f>VLOOKUP(A45,Enforcements!$C$7:$E$16,3,0)</f>
        <v>#N/A</v>
      </c>
      <c r="AD45" s="56" t="str">
        <f>IF(LEN(A45)=6,"0"&amp;A45,A45)</f>
        <v>0133-05</v>
      </c>
      <c r="AE45" s="85" t="str">
        <f>"aws s3 cp "&amp;s3_bucket&amp;"/RTDC"&amp;B45&amp;"/ "&amp;search_path&amp;"\RTDC"&amp;B45&amp;"\"&amp;TEXT(F45,"YYYY-MM-DD")&amp;" --exclude ""*"" --recursive --include ""*"&amp;TEXT(F45,"YYYYMMDD")&amp;"*"" &amp; """&amp;walkandungz&amp;""" "&amp;search_path&amp;"\RTDC"&amp;B45&amp;"\"&amp;TEXT(F45,"YYYY-MM-DD")
&amp;" &amp; "&amp;"aws s3 cp "&amp;s3_bucket&amp;"/RTDC"&amp;B45&amp;"/ "&amp;search_path&amp;"\RTDC"&amp;B45&amp;"\"&amp;TEXT(F45+1,"YYYY-MM-DD")&amp;" --exclude ""*"" --recursive --include ""*"&amp;TEXT(F45+1,"YYYYMMDD")&amp;"*"" &amp; """&amp;walkandungz&amp;""" "&amp;search_path&amp;"\RTDC"&amp;B45&amp;"\"&amp;TEXT(F45+1,"YYYY-MM-DD")</f>
        <v>aws s3 cp s3://rtdc.mdm.uploadarchive.raw/RTDC4016/ "%USERPROFILE%\AppData\Local\Temp\OnboardLogs"\RTDC4016\2017-02-05 --exclude "*" --recursive --include "*20170205*" &amp; "%USERPROFILE%\Documents\GitHub\mrs-test-scripts\Headless Mode &amp; Sideloading\WalkAndUnGZ.bat" "%USERPROFILE%\AppData\Local\Temp\OnboardLogs"\RTDC4016\2017-02-05 &amp; aws s3 cp s3://rtdc.mdm.uploadarchive.raw/RTDC4016/ "%USERPROFILE%\AppData\Local\Temp\OnboardLogs"\RTDC4016\2017-02-06 --exclude "*" --recursive --include "*20170206*" &amp; "%USERPROFILE%\Documents\GitHub\mrs-test-scripts\Headless Mode &amp; Sideloading\WalkAndUnGZ.bat" "%USERPROFILE%\AppData\Local\Temp\OnboardLogs"\RTDC4016\2017-02-06</v>
      </c>
      <c r="AF45" s="82" t="str">
        <f>astrogrep_path&amp;" /spath="&amp;search_path&amp;" /stypes=""app*"&amp;B45&amp;"*"&amp;TEXT(I45-utc_offset/24,"YYYYMMDD")&amp;"*"" /stext="" "&amp;TEXT(I45-utc_offset/24,"HH")&amp;search_regexp&amp;""" /e /r /s"</f>
        <v>"C:\Program Files (x86)\AstroGrep\AstroGrep.exe" /spath="%USERPROFILE%\AppData\Local\Temp\OnboardLogs" /stypes="app*4016*20170205*" /stext=" 15:.+((SYSTEM_STATE.+slice.+state.+changed )|(ment ac)|(multiple cpu faults)|(system.+state.+changed )|(\[timeout)|(PRM\|1\|D)|(kpr)|(kdp)|(\|lc)|(penalty))" /e /r /s</v>
      </c>
      <c r="AG45" s="1" t="str">
        <f>IFERROR(IF(VALUE(LEFT(AD45,2))&lt;=2,"EC",IF(OR(VALUE(LEFT(AD45,2))=8,VALUE(LEFT(AD45,2))=18),"NW","Other")),"Other")</f>
        <v>EC</v>
      </c>
      <c r="AH45" s="86" t="str">
        <f t="shared" si="3"/>
        <v>"%USERPROFILE%\Documents\GitHub\eaglep3\Utilities\RefineRTDCRunTimes.py" --tripid 133-05 --locoid 4016 --swversion DE.1.0.8.0 --startMP 204:462 --initTime 2017-02-05T07:42:42 --startdatetime 2017-02-05T07:45:44 --delay 1 --endMP 204:233325 --enddatetime 2017-02-05T08:24:07 --enforcementcount 0 &gt;&gt;C:\Users\stu\Documents\GitHub\eaglep3-reporting\EC\2017-02-05-refined-times.txt</v>
      </c>
      <c r="AI45" s="108" t="str">
        <f t="shared" si="4"/>
        <v>echo {"issue":{"subject":"","project_id":79,"tracker_id":40,"status_id":1,"priority_id":2,"assigned_to_id":23,"start_date":"2017-02-05","description":"","custom_fields":[{"id":1,"name":"Subdivision","value":"EC"},{"id":4,"name":"Milepost","value":"23.3325"},{"id":17,"name":"Train ID","value":"133-05"},{"id":16,"name":"Locomotive ID","value":"4016"},{"id":130,"name":"Impact","value":""},{"id":150,"name":"Time of Event (Mountain Time)","value":"08:24:07"},{"id":151,"name":"Denver Issue ID","value":""},{"id":178,"name":"Operational Impact","value":"Yes"},{"id":179,"name":"Denver Segment Assigned","value":""}]}} | curl -X POST -H "Content-Type: application/json" -H "X-Redmine-API-Key: d6333d4a04012a730768444271f8ca06482dae87" https://secure.xorail.net/redmine/issues.json --data @-</v>
      </c>
      <c r="AJ45" s="48"/>
      <c r="AK45" s="48"/>
      <c r="AL45" s="48"/>
      <c r="AM45" s="158" t="str">
        <f t="shared" si="5"/>
        <v>start /low /b %USERPROFILE%\Documents\GitHub\eaglep3\Utilities\DownloadLogsFromS3.py --loco 4016 --day 2017-02-05</v>
      </c>
      <c r="AN45" s="167" t="str">
        <f>"grep -SE -B400 ""CHR.+\|PRM\|1\|D.+(SWITCH|SIGNAL).+UNKNOWN"" "&amp;search_path&amp;"\RTDC"&amp;B45&amp;"\*"&amp;B45&amp;"*"&amp;TEXT(AVERAGE(F45,I45)-utc_offset/24,"YYYYMMDD")&amp;"* | grep -SE ""(Enforcement Action)|(\[TIMEOUT)|(CHR.+\|PRM\|1\|D.+(SWITCH|SIGNAL).+UNKNOWN)"" - &gt;&gt; "&amp;TEXT(Variables!$A$2,"YYYY-MM-DD")&amp;"-UncaughtWiMAX.txt"</f>
        <v>grep -SE -B400 "CHR.+\|PRM\|1\|D.+(SWITCH|SIGNAL).+UNKNOWN" "%USERPROFILE%\AppData\Local\Temp\OnboardLogs"\RTDC4016\*4016*20170205* | grep -SE "(Enforcement Action)|(\[TIMEOUT)|(CHR.+\|PRM\|1\|D.+(SWITCH|SIGNAL).+UNKNOWN)" - &gt;&gt; 2017-02-05-UncaughtWiMAX.txt</v>
      </c>
      <c r="AO45"/>
      <c r="AP45"/>
      <c r="AQ45"/>
      <c r="AR45"/>
      <c r="AS45"/>
      <c r="AT45"/>
      <c r="AU45"/>
      <c r="AV45"/>
      <c r="AW45"/>
      <c r="AX45"/>
      <c r="AY45"/>
      <c r="AZ45"/>
      <c r="BA45"/>
      <c r="BB45"/>
      <c r="BC45"/>
      <c r="BD45"/>
      <c r="BE45"/>
      <c r="BF45"/>
      <c r="BG45"/>
      <c r="BH45"/>
      <c r="BI45"/>
      <c r="BJ45"/>
      <c r="BK45"/>
      <c r="BL45"/>
      <c r="BM45"/>
      <c r="BN45"/>
      <c r="BO45"/>
      <c r="BP45"/>
      <c r="BQ45"/>
      <c r="BR45"/>
      <c r="BS45"/>
      <c r="BT45"/>
      <c r="BU45"/>
      <c r="BV45"/>
      <c r="BW45"/>
      <c r="BX45"/>
      <c r="BY45"/>
      <c r="BZ45"/>
      <c r="CA45"/>
      <c r="CB45"/>
      <c r="CC45"/>
      <c r="CD45"/>
      <c r="CE45"/>
      <c r="CF45"/>
      <c r="CG45"/>
      <c r="CH45"/>
      <c r="CI45"/>
      <c r="CJ45"/>
      <c r="CK45"/>
      <c r="CL45"/>
      <c r="CM45"/>
    </row>
    <row r="46" spans="1:91" s="1" customFormat="1" x14ac:dyDescent="0.25">
      <c r="A46" s="33" t="s">
        <v>586</v>
      </c>
      <c r="B46" s="7">
        <v>4015</v>
      </c>
      <c r="C46" s="21" t="s">
        <v>193</v>
      </c>
      <c r="D46" s="21" t="s">
        <v>395</v>
      </c>
      <c r="E46" s="13">
        <v>42771.353437500002</v>
      </c>
      <c r="F46" s="13">
        <v>42771.362037037034</v>
      </c>
      <c r="G46" s="7">
        <v>1</v>
      </c>
      <c r="H46" s="21" t="s">
        <v>769</v>
      </c>
      <c r="I46" s="13">
        <v>42771.389884259261</v>
      </c>
      <c r="J46" s="7">
        <v>0</v>
      </c>
      <c r="K46" s="98" t="str">
        <f>IF(ISEVEN(B46),(B46-1)&amp;"/"&amp;B46,B46&amp;"/"&amp;(B46+1))</f>
        <v>4015/4016</v>
      </c>
      <c r="L46" s="21" t="str">
        <f>VLOOKUP(A46,'Trips&amp;Operators'!$C$1:$G$99999,5,FALSE)</f>
        <v>BADERTSCHER DIANE</v>
      </c>
      <c r="M46" s="6">
        <f>I46-F46</f>
        <v>2.7847222227137536E-2</v>
      </c>
      <c r="N46" s="7">
        <f>24*60*SUM($M46:$M46)</f>
        <v>40.100000007078052</v>
      </c>
      <c r="O46" s="7"/>
      <c r="P46" s="7"/>
      <c r="Q46" s="22"/>
      <c r="R46" s="22"/>
      <c r="S46" s="31">
        <f>SUM(U46:U46)/IF(AG46="EC",12,1)</f>
        <v>1</v>
      </c>
      <c r="T46" s="46" t="str">
        <f>IF(ISEVEN(LEFT(AD46,4)),"Southbound","NorthBound")</f>
        <v>Southbound</v>
      </c>
      <c r="U46" s="190">
        <f>IF(AG46="EC",COUNTIFS(Variables!$M$2:$M$19,IF(T46="NorthBound","&gt;=","&lt;=")&amp;Y46,Variables!$M$2:$M$19,IF(T46="NorthBound","&lt;=","&gt;=")&amp;Z46),COUNTIFS(Variables!$P$2:$P$19,IF(T46="NorthBound","&gt;=","&lt;=")&amp;Y46,Variables!$P$2:$P$19,IF(T46="NorthBound","&lt;=","&gt;=")&amp;Z46))</f>
        <v>12</v>
      </c>
      <c r="V46" s="191" t="str">
        <f>"https://d0f6bd738d7f1b3e5a7ca70fe4ff75f0.us-east-1.aws.found.io/app/kibana#/discover/Steve-Slow-Train-Analysis-(2080s-and-2083s)?_g="&amp;"(refreshInterval:(display:Off,pause:!f,section:0,value:0),time:(from:'"&amp;TEXT(E46-1/24,"yyyy-MM-DDThh:mm:ss")&amp;utc_offset&amp;"00"&amp;"',mode:absolute,to:'"&amp;TEXT(I46+1/24,"yyyy-MM-DDThh:mm:ss")&amp;utc_offset&amp;"00"&amp;"'))&amp;_a=(columns:!('Locomotive+ID','Data.Head+End+Milepost',Data.Speed,'Data.Locomotive+State','Data.Train+ID',"&amp;"'Data.Warning%2FEnforcement+Type','Data.Target+Start+Milepost','Data.Target+Description','Data.Target+Speed',"&amp;"'Data.Enforcement+Train+Speed','Data.Enforcement+Start+Milepost','Data.Target+Type','Data.Enforcement+Direction+of+Travel','Message+ID',"&amp;"'Data.Body+of+Summary+Text','Data.Head+End+Track+name'),filters:!(),index:'emp_*',interval:auto,query:"&amp;"(query_string:(analyze_wildcard:!t,query:'Message%5C+ID:(2083+OR+2080+OR+1041+OR+2003+OR+1051+OR+1043+OR+1053)+AND+%22rtdc.l.rtdc."&amp;B46&amp;"%22')),sort:!(Time.ISO8601,asc))"</f>
        <v>https://d0f6bd738d7f1b3e5a7ca70fe4ff75f0.us-east-1.aws.found.io/app/kibana#/discover/Steve-Slow-Train-Analysis-(2080s-and-2083s)?_g=(refreshInterval:(display:Off,pause:!f,section:0,value:0),time:(from:'2017-02-05T07:28:57-0700',mode:absolute,to:'2017-02-05T10:21:26-0700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4015%22')),sort:!(Time.ISO8601,asc))</v>
      </c>
      <c r="W46" s="192" t="str">
        <f>IF(AA46&lt;IF(AG46="EC",23,5.65),"Y","N")</f>
        <v>N</v>
      </c>
      <c r="X46" s="192">
        <f>VALUE(LEFT(AD46,4))-VALUE(LEFT(AD45,4))</f>
        <v>1</v>
      </c>
      <c r="Y46" s="62">
        <f>RIGHT(D46,LEN(D46)-4)/10000</f>
        <v>23.300599999999999</v>
      </c>
      <c r="Z46" s="62">
        <f>RIGHT(H46,LEN(H46)-4)/10000</f>
        <v>1.7999999999999999E-2</v>
      </c>
      <c r="AA46" s="62">
        <f>ABS(Z46-Y46)</f>
        <v>23.282599999999999</v>
      </c>
      <c r="AB46" s="59" t="e">
        <f>VLOOKUP(A46,Enforcements!$C$7:$K$16,8,0)</f>
        <v>#N/A</v>
      </c>
      <c r="AC46" s="55" t="e">
        <f>VLOOKUP(A46,Enforcements!$C$7:$E$16,3,0)</f>
        <v>#N/A</v>
      </c>
      <c r="AD46" s="56" t="str">
        <f>IF(LEN(A46)=6,"0"&amp;A46,A46)</f>
        <v>0134-05</v>
      </c>
      <c r="AE46" s="85" t="str">
        <f>"aws s3 cp "&amp;s3_bucket&amp;"/RTDC"&amp;B46&amp;"/ "&amp;search_path&amp;"\RTDC"&amp;B46&amp;"\"&amp;TEXT(F46,"YYYY-MM-DD")&amp;" --exclude ""*"" --recursive --include ""*"&amp;TEXT(F46,"YYYYMMDD")&amp;"*"" &amp; """&amp;walkandungz&amp;""" "&amp;search_path&amp;"\RTDC"&amp;B46&amp;"\"&amp;TEXT(F46,"YYYY-MM-DD")
&amp;" &amp; "&amp;"aws s3 cp "&amp;s3_bucket&amp;"/RTDC"&amp;B46&amp;"/ "&amp;search_path&amp;"\RTDC"&amp;B46&amp;"\"&amp;TEXT(F46+1,"YYYY-MM-DD")&amp;" --exclude ""*"" --recursive --include ""*"&amp;TEXT(F46+1,"YYYYMMDD")&amp;"*"" &amp; """&amp;walkandungz&amp;""" "&amp;search_path&amp;"\RTDC"&amp;B46&amp;"\"&amp;TEXT(F46+1,"YYYY-MM-DD")</f>
        <v>aws s3 cp s3://rtdc.mdm.uploadarchive.raw/RTDC4015/ "%USERPROFILE%\AppData\Local\Temp\OnboardLogs"\RTDC4015\2017-02-05 --exclude "*" --recursive --include "*20170205*" &amp; "%USERPROFILE%\Documents\GitHub\mrs-test-scripts\Headless Mode &amp; Sideloading\WalkAndUnGZ.bat" "%USERPROFILE%\AppData\Local\Temp\OnboardLogs"\RTDC4015\2017-02-05 &amp; aws s3 cp s3://rtdc.mdm.uploadarchive.raw/RTDC4015/ "%USERPROFILE%\AppData\Local\Temp\OnboardLogs"\RTDC4015\2017-02-06 --exclude "*" --recursive --include "*20170206*" &amp; "%USERPROFILE%\Documents\GitHub\mrs-test-scripts\Headless Mode &amp; Sideloading\WalkAndUnGZ.bat" "%USERPROFILE%\AppData\Local\Temp\OnboardLogs"\RTDC4015\2017-02-06</v>
      </c>
      <c r="AF46" s="82" t="str">
        <f>astrogrep_path&amp;" /spath="&amp;search_path&amp;" /stypes=""app*"&amp;B46&amp;"*"&amp;TEXT(I46-utc_offset/24,"YYYYMMDD")&amp;"*"" /stext="" "&amp;TEXT(I46-utc_offset/24,"HH")&amp;search_regexp&amp;""" /e /r /s"</f>
        <v>"C:\Program Files (x86)\AstroGrep\AstroGrep.exe" /spath="%USERPROFILE%\AppData\Local\Temp\OnboardLogs" /stypes="app*4015*20170205*" /stext=" 16:.+((SYSTEM_STATE.+slice.+state.+changed )|(ment ac)|(multiple cpu faults)|(system.+state.+changed )|(\[timeout)|(PRM\|1\|D)|(kpr)|(kdp)|(\|lc)|(penalty))" /e /r /s</v>
      </c>
      <c r="AG46" s="1" t="str">
        <f>IFERROR(IF(VALUE(LEFT(AD46,2))&lt;=2,"EC",IF(OR(VALUE(LEFT(AD46,2))=8,VALUE(LEFT(AD46,2))=18),"NW","Other")),"Other")</f>
        <v>EC</v>
      </c>
      <c r="AH46" s="86" t="str">
        <f t="shared" si="3"/>
        <v>"%USERPROFILE%\Documents\GitHub\eaglep3\Utilities\RefineRTDCRunTimes.py" --tripid 134-05 --locoid 4015 --swversion DE.1.0.8.0 --startMP 204:233006 --initTime 2017-02-05T08:28:57 --startdatetime 2017-02-05T08:41:20 --delay 1 --endMP 204:180 --enddatetime 2017-02-05T09:21:26 --enforcementcount 0 &gt;&gt;C:\Users\stu\Documents\GitHub\eaglep3-reporting\EC\2017-02-05-refined-times.txt</v>
      </c>
      <c r="AI46" s="108" t="str">
        <f t="shared" si="4"/>
        <v>echo {"issue":{"subject":"","project_id":79,"tracker_id":40,"status_id":1,"priority_id":2,"assigned_to_id":23,"start_date":"2017-02-05","description":"","custom_fields":[{"id":1,"name":"Subdivision","value":"EC"},{"id":4,"name":"Milepost","value":"0.018"},{"id":17,"name":"Train ID","value":"134-05"},{"id":16,"name":"Locomotive ID","value":"4015"},{"id":130,"name":"Impact","value":""},{"id":150,"name":"Time of Event (Mountain Time)","value":"09:21:26"},{"id":151,"name":"Denver Issue ID","value":""},{"id":178,"name":"Operational Impact","value":"Yes"},{"id":179,"name":"Denver Segment Assigned","value":""}]}} | curl -X POST -H "Content-Type: application/json" -H "X-Redmine-API-Key: d6333d4a04012a730768444271f8ca06482dae87" https://secure.xorail.net/redmine/issues.json --data @-</v>
      </c>
      <c r="AJ46" s="48"/>
      <c r="AK46" s="48"/>
      <c r="AL46" s="48"/>
      <c r="AM46" s="158" t="str">
        <f t="shared" si="5"/>
        <v>start /low /b %USERPROFILE%\Documents\GitHub\eaglep3\Utilities\DownloadLogsFromS3.py --loco 4015 --day 2017-02-05</v>
      </c>
      <c r="AN46" s="167" t="str">
        <f>"grep -SE -B400 ""CHR.+\|PRM\|1\|D.+(SWITCH|SIGNAL).+UNKNOWN"" "&amp;search_path&amp;"\RTDC"&amp;B46&amp;"\*"&amp;B46&amp;"*"&amp;TEXT(AVERAGE(F46,I46)-utc_offset/24,"YYYYMMDD")&amp;"* | grep -SE ""(Enforcement Action)|(\[TIMEOUT)|(CHR.+\|PRM\|1\|D.+(SWITCH|SIGNAL).+UNKNOWN)"" - &gt;&gt; "&amp;TEXT(Variables!$A$2,"YYYY-MM-DD")&amp;"-UncaughtWiMAX.txt"</f>
        <v>grep -SE -B400 "CHR.+\|PRM\|1\|D.+(SWITCH|SIGNAL).+UNKNOWN" "%USERPROFILE%\AppData\Local\Temp\OnboardLogs"\RTDC4015\*4015*20170205* | grep -SE "(Enforcement Action)|(\[TIMEOUT)|(CHR.+\|PRM\|1\|D.+(SWITCH|SIGNAL).+UNKNOWN)" - &gt;&gt; 2017-02-05-UncaughtWiMAX.txt</v>
      </c>
      <c r="AO46"/>
      <c r="AP46"/>
      <c r="AQ46"/>
      <c r="AR46"/>
      <c r="AS46"/>
      <c r="AT46"/>
      <c r="AU46"/>
      <c r="AV46"/>
      <c r="AW46"/>
      <c r="AX46"/>
      <c r="AY46"/>
      <c r="AZ46"/>
      <c r="BA46"/>
      <c r="BB46"/>
      <c r="BC46"/>
      <c r="BD46"/>
      <c r="BE46"/>
      <c r="BF46"/>
      <c r="BG46"/>
      <c r="BH46"/>
      <c r="BI46"/>
      <c r="BJ46"/>
      <c r="BK46"/>
      <c r="BL46"/>
      <c r="BM46"/>
      <c r="BN46"/>
      <c r="BO46"/>
      <c r="BP46"/>
      <c r="BQ46"/>
      <c r="BR46"/>
      <c r="BS46"/>
      <c r="BT46"/>
      <c r="BU46"/>
      <c r="BV46"/>
      <c r="BW46"/>
      <c r="BX46"/>
      <c r="BY46"/>
      <c r="BZ46"/>
      <c r="CA46"/>
      <c r="CB46"/>
      <c r="CC46"/>
      <c r="CD46"/>
      <c r="CE46"/>
      <c r="CF46"/>
      <c r="CG46"/>
      <c r="CH46"/>
      <c r="CI46"/>
      <c r="CJ46"/>
      <c r="CK46"/>
      <c r="CL46"/>
      <c r="CM46"/>
    </row>
    <row r="47" spans="1:91" s="1" customFormat="1" x14ac:dyDescent="0.25">
      <c r="A47" s="33" t="s">
        <v>581</v>
      </c>
      <c r="B47" s="7">
        <v>4022</v>
      </c>
      <c r="C47" s="21" t="s">
        <v>193</v>
      </c>
      <c r="D47" s="21" t="s">
        <v>291</v>
      </c>
      <c r="E47" s="13">
        <v>42771.328622685185</v>
      </c>
      <c r="F47" s="13">
        <v>42771.333506944444</v>
      </c>
      <c r="G47" s="7">
        <v>1</v>
      </c>
      <c r="H47" s="21" t="s">
        <v>288</v>
      </c>
      <c r="I47" s="13">
        <v>42771.358807870369</v>
      </c>
      <c r="J47" s="7">
        <v>0</v>
      </c>
      <c r="K47" s="98" t="str">
        <f>IF(ISEVEN(B47),(B47-1)&amp;"/"&amp;B47,B47&amp;"/"&amp;(B47+1))</f>
        <v>4021/4022</v>
      </c>
      <c r="L47" s="21" t="str">
        <f>VLOOKUP(A47,'Trips&amp;Operators'!$C$1:$G$99999,5,FALSE)</f>
        <v>DAVIS WENDY</v>
      </c>
      <c r="M47" s="6">
        <f>I47-F47</f>
        <v>2.5300925924966577E-2</v>
      </c>
      <c r="N47" s="7">
        <f>24*60*SUM($M47:$M47)</f>
        <v>36.433333331951872</v>
      </c>
      <c r="O47" s="7"/>
      <c r="P47" s="7"/>
      <c r="Q47" s="22"/>
      <c r="R47" s="22"/>
      <c r="S47" s="31">
        <f>SUM(U47:U47)/IF(AG47="EC",12,1)</f>
        <v>1</v>
      </c>
      <c r="T47" s="46" t="str">
        <f>IF(ISEVEN(LEFT(AD47,4)),"Southbound","NorthBound")</f>
        <v>NorthBound</v>
      </c>
      <c r="U47" s="190">
        <f>IF(AG47="EC",COUNTIFS(Variables!$M$2:$M$19,IF(T47="NorthBound","&gt;=","&lt;=")&amp;Y47,Variables!$M$2:$M$19,IF(T47="NorthBound","&lt;=","&gt;=")&amp;Z47),COUNTIFS(Variables!$P$2:$P$19,IF(T47="NorthBound","&gt;=","&lt;=")&amp;Y47,Variables!$P$2:$P$19,IF(T47="NorthBound","&lt;=","&gt;=")&amp;Z47))</f>
        <v>12</v>
      </c>
      <c r="V47" s="191" t="str">
        <f>"https://d0f6bd738d7f1b3e5a7ca70fe4ff75f0.us-east-1.aws.found.io/app/kibana#/discover/Steve-Slow-Train-Analysis-(2080s-and-2083s)?_g="&amp;"(refreshInterval:(display:Off,pause:!f,section:0,value:0),time:(from:'"&amp;TEXT(E47-1/24,"yyyy-MM-DDThh:mm:ss")&amp;utc_offset&amp;"00"&amp;"',mode:absolute,to:'"&amp;TEXT(I47+1/24,"yyyy-MM-DDThh:mm:ss")&amp;utc_offset&amp;"00"&amp;"'))&amp;_a=(columns:!('Locomotive+ID','Data.Head+End+Milepost',Data.Speed,'Data.Locomotive+State','Data.Train+ID',"&amp;"'Data.Warning%2FEnforcement+Type','Data.Target+Start+Milepost','Data.Target+Description','Data.Target+Speed',"&amp;"'Data.Enforcement+Train+Speed','Data.Enforcement+Start+Milepost','Data.Target+Type','Data.Enforcement+Direction+of+Travel','Message+ID',"&amp;"'Data.Body+of+Summary+Text','Data.Head+End+Track+name'),filters:!(),index:'emp_*',interval:auto,query:"&amp;"(query_string:(analyze_wildcard:!t,query:'Message%5C+ID:(2083+OR+2080+OR+1041+OR+2003+OR+1051+OR+1043+OR+1053)+AND+%22rtdc.l.rtdc."&amp;B47&amp;"%22')),sort:!(Time.ISO8601,asc))"</f>
        <v>https://d0f6bd738d7f1b3e5a7ca70fe4ff75f0.us-east-1.aws.found.io/app/kibana#/discover/Steve-Slow-Train-Analysis-(2080s-and-2083s)?_g=(refreshInterval:(display:Off,pause:!f,section:0,value:0),time:(from:'2017-02-05T06:53:13-0700',mode:absolute,to:'2017-02-05T09:36:41-0700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4022%22')),sort:!(Time.ISO8601,asc))</v>
      </c>
      <c r="W47" s="192" t="str">
        <f>IF(AA47&lt;IF(AG47="EC",23,5.65),"Y","N")</f>
        <v>N</v>
      </c>
      <c r="X47" s="192">
        <f>VALUE(LEFT(AD47,4))-VALUE(LEFT(AD46,4))</f>
        <v>1</v>
      </c>
      <c r="Y47" s="62">
        <f>RIGHT(D47,LEN(D47)-4)/10000</f>
        <v>4.5499999999999999E-2</v>
      </c>
      <c r="Z47" s="62">
        <f>RIGHT(H47,LEN(H47)-4)/10000</f>
        <v>23.3307</v>
      </c>
      <c r="AA47" s="62">
        <f>ABS(Z47-Y47)</f>
        <v>23.2852</v>
      </c>
      <c r="AB47" s="59" t="e">
        <f>VLOOKUP(A47,Enforcements!$C$7:$K$16,8,0)</f>
        <v>#N/A</v>
      </c>
      <c r="AC47" s="55" t="e">
        <f>VLOOKUP(A47,Enforcements!$C$7:$E$16,3,0)</f>
        <v>#N/A</v>
      </c>
      <c r="AD47" s="56" t="str">
        <f>IF(LEN(A47)=6,"0"&amp;A47,A47)</f>
        <v>0135-05</v>
      </c>
      <c r="AE47" s="85" t="str">
        <f>"aws s3 cp "&amp;s3_bucket&amp;"/RTDC"&amp;B47&amp;"/ "&amp;search_path&amp;"\RTDC"&amp;B47&amp;"\"&amp;TEXT(F47,"YYYY-MM-DD")&amp;" --exclude ""*"" --recursive --include ""*"&amp;TEXT(F47,"YYYYMMDD")&amp;"*"" &amp; """&amp;walkandungz&amp;""" "&amp;search_path&amp;"\RTDC"&amp;B47&amp;"\"&amp;TEXT(F47,"YYYY-MM-DD")
&amp;" &amp; "&amp;"aws s3 cp "&amp;s3_bucket&amp;"/RTDC"&amp;B47&amp;"/ "&amp;search_path&amp;"\RTDC"&amp;B47&amp;"\"&amp;TEXT(F47+1,"YYYY-MM-DD")&amp;" --exclude ""*"" --recursive --include ""*"&amp;TEXT(F47+1,"YYYYMMDD")&amp;"*"" &amp; """&amp;walkandungz&amp;""" "&amp;search_path&amp;"\RTDC"&amp;B47&amp;"\"&amp;TEXT(F47+1,"YYYY-MM-DD")</f>
        <v>aws s3 cp s3://rtdc.mdm.uploadarchive.raw/RTDC4022/ "%USERPROFILE%\AppData\Local\Temp\OnboardLogs"\RTDC4022\2017-02-05 --exclude "*" --recursive --include "*20170205*" &amp; "%USERPROFILE%\Documents\GitHub\mrs-test-scripts\Headless Mode &amp; Sideloading\WalkAndUnGZ.bat" "%USERPROFILE%\AppData\Local\Temp\OnboardLogs"\RTDC4022\2017-02-05 &amp; aws s3 cp s3://rtdc.mdm.uploadarchive.raw/RTDC4022/ "%USERPROFILE%\AppData\Local\Temp\OnboardLogs"\RTDC4022\2017-02-06 --exclude "*" --recursive --include "*20170206*" &amp; "%USERPROFILE%\Documents\GitHub\mrs-test-scripts\Headless Mode &amp; Sideloading\WalkAndUnGZ.bat" "%USERPROFILE%\AppData\Local\Temp\OnboardLogs"\RTDC4022\2017-02-06</v>
      </c>
      <c r="AF47" s="82" t="str">
        <f>astrogrep_path&amp;" /spath="&amp;search_path&amp;" /stypes=""app*"&amp;B47&amp;"*"&amp;TEXT(I47-utc_offset/24,"YYYYMMDD")&amp;"*"" /stext="" "&amp;TEXT(I47-utc_offset/24,"HH")&amp;search_regexp&amp;""" /e /r /s"</f>
        <v>"C:\Program Files (x86)\AstroGrep\AstroGrep.exe" /spath="%USERPROFILE%\AppData\Local\Temp\OnboardLogs" /stypes="app*4022*20170205*" /stext=" 15:.+((SYSTEM_STATE.+slice.+state.+changed )|(ment ac)|(multiple cpu faults)|(system.+state.+changed )|(\[timeout)|(PRM\|1\|D)|(kpr)|(kdp)|(\|lc)|(penalty))" /e /r /s</v>
      </c>
      <c r="AG47" s="1" t="str">
        <f>IFERROR(IF(VALUE(LEFT(AD47,2))&lt;=2,"EC",IF(OR(VALUE(LEFT(AD47,2))=8,VALUE(LEFT(AD47,2))=18),"NW","Other")),"Other")</f>
        <v>EC</v>
      </c>
      <c r="AH47" s="86" t="str">
        <f t="shared" si="3"/>
        <v>"%USERPROFILE%\Documents\GitHub\eaglep3\Utilities\RefineRTDCRunTimes.py" --tripid 135-05 --locoid 4022 --swversion DE.1.0.8.0 --startMP 204:455 --initTime 2017-02-05T07:53:13 --startdatetime 2017-02-05T08:00:15 --delay 1 --endMP 204:233307 --enddatetime 2017-02-05T08:36:41 --enforcementcount 0 &gt;&gt;C:\Users\stu\Documents\GitHub\eaglep3-reporting\EC\2017-02-05-refined-times.txt</v>
      </c>
      <c r="AI47" s="108" t="str">
        <f t="shared" si="4"/>
        <v>echo {"issue":{"subject":"","project_id":79,"tracker_id":40,"status_id":1,"priority_id":2,"assigned_to_id":23,"start_date":"2017-02-05","description":"","custom_fields":[{"id":1,"name":"Subdivision","value":"EC"},{"id":4,"name":"Milepost","value":"23.3307"},{"id":17,"name":"Train ID","value":"135-05"},{"id":16,"name":"Locomotive ID","value":"4022"},{"id":130,"name":"Impact","value":""},{"id":150,"name":"Time of Event (Mountain Time)","value":"08:36:41"},{"id":151,"name":"Denver Issue ID","value":""},{"id":178,"name":"Operational Impact","value":"Yes"},{"id":179,"name":"Denver Segment Assigned","value":""}]}} | curl -X POST -H "Content-Type: application/json" -H "X-Redmine-API-Key: d6333d4a04012a730768444271f8ca06482dae87" https://secure.xorail.net/redmine/issues.json --data @-</v>
      </c>
      <c r="AJ47" s="48"/>
      <c r="AK47" s="48"/>
      <c r="AL47" s="48"/>
      <c r="AM47" s="158" t="str">
        <f t="shared" si="5"/>
        <v>start /low /b %USERPROFILE%\Documents\GitHub\eaglep3\Utilities\DownloadLogsFromS3.py --loco 4022 --day 2017-02-05</v>
      </c>
      <c r="AN47" s="167" t="str">
        <f>"grep -SE -B400 ""CHR.+\|PRM\|1\|D.+(SWITCH|SIGNAL).+UNKNOWN"" "&amp;search_path&amp;"\RTDC"&amp;B47&amp;"\*"&amp;B47&amp;"*"&amp;TEXT(AVERAGE(F47,I47)-utc_offset/24,"YYYYMMDD")&amp;"* | grep -SE ""(Enforcement Action)|(\[TIMEOUT)|(CHR.+\|PRM\|1\|D.+(SWITCH|SIGNAL).+UNKNOWN)"" - &gt;&gt; "&amp;TEXT(Variables!$A$2,"YYYY-MM-DD")&amp;"-UncaughtWiMAX.txt"</f>
        <v>grep -SE -B400 "CHR.+\|PRM\|1\|D.+(SWITCH|SIGNAL).+UNKNOWN" "%USERPROFILE%\AppData\Local\Temp\OnboardLogs"\RTDC4022\*4022*20170205* | grep -SE "(Enforcement Action)|(\[TIMEOUT)|(CHR.+\|PRM\|1\|D.+(SWITCH|SIGNAL).+UNKNOWN)" - &gt;&gt; 2017-02-05-UncaughtWiMAX.txt</v>
      </c>
      <c r="AO47"/>
      <c r="AP47"/>
      <c r="AQ47"/>
      <c r="AR47"/>
      <c r="AS47"/>
      <c r="AT47"/>
      <c r="AU47"/>
      <c r="AV47"/>
      <c r="AW47"/>
      <c r="AX47"/>
      <c r="AY47"/>
      <c r="AZ47"/>
      <c r="BA47"/>
      <c r="BB47"/>
      <c r="BC47"/>
      <c r="BD47"/>
      <c r="BE47"/>
      <c r="BF47"/>
      <c r="BG47"/>
      <c r="BH47"/>
      <c r="BI47"/>
      <c r="BJ47"/>
      <c r="BK47"/>
      <c r="BL47"/>
      <c r="BM47"/>
      <c r="BN47"/>
      <c r="BO47"/>
      <c r="BP47"/>
      <c r="BQ47"/>
      <c r="BR47"/>
      <c r="BS47"/>
      <c r="BT47"/>
      <c r="BU47"/>
      <c r="BV47"/>
      <c r="BW47"/>
      <c r="BX47"/>
      <c r="BY47"/>
      <c r="BZ47"/>
      <c r="CA47"/>
      <c r="CB47"/>
      <c r="CC47"/>
      <c r="CD47"/>
      <c r="CE47"/>
      <c r="CF47"/>
      <c r="CG47"/>
      <c r="CH47"/>
      <c r="CI47"/>
      <c r="CJ47"/>
      <c r="CK47"/>
      <c r="CL47"/>
      <c r="CM47"/>
    </row>
    <row r="48" spans="1:91" s="1" customFormat="1" x14ac:dyDescent="0.25">
      <c r="A48" s="33" t="s">
        <v>589</v>
      </c>
      <c r="B48" s="7">
        <v>4021</v>
      </c>
      <c r="C48" s="21" t="s">
        <v>193</v>
      </c>
      <c r="D48" s="21" t="s">
        <v>326</v>
      </c>
      <c r="E48" s="13">
        <v>42771.368854166663</v>
      </c>
      <c r="F48" s="13">
        <v>42771.372407407405</v>
      </c>
      <c r="G48" s="7">
        <v>0</v>
      </c>
      <c r="H48" s="21" t="s">
        <v>213</v>
      </c>
      <c r="I48" s="13">
        <v>42771.399976851855</v>
      </c>
      <c r="J48" s="7">
        <v>0</v>
      </c>
      <c r="K48" s="98" t="str">
        <f>IF(ISEVEN(B48),(B48-1)&amp;"/"&amp;B48,B48&amp;"/"&amp;(B48+1))</f>
        <v>4021/4022</v>
      </c>
      <c r="L48" s="21" t="str">
        <f>VLOOKUP(A48,'Trips&amp;Operators'!$C$1:$G$99999,5,FALSE)</f>
        <v>DAVIS WENDY</v>
      </c>
      <c r="M48" s="6">
        <f>I48-F48</f>
        <v>2.7569444449909497E-2</v>
      </c>
      <c r="N48" s="7">
        <f>24*60*SUM($M48:$M48)</f>
        <v>39.700000007869676</v>
      </c>
      <c r="O48" s="7"/>
      <c r="P48" s="7"/>
      <c r="Q48" s="22"/>
      <c r="R48" s="22"/>
      <c r="S48" s="31">
        <f>SUM(U48:U48)/IF(AG48="EC",12,1)</f>
        <v>1</v>
      </c>
      <c r="T48" s="46" t="str">
        <f>IF(ISEVEN(LEFT(AD48,4)),"Southbound","NorthBound")</f>
        <v>Southbound</v>
      </c>
      <c r="U48" s="190">
        <f>IF(AG48="EC",COUNTIFS(Variables!$M$2:$M$19,IF(T48="NorthBound","&gt;=","&lt;=")&amp;Y48,Variables!$M$2:$M$19,IF(T48="NorthBound","&lt;=","&gt;=")&amp;Z48),COUNTIFS(Variables!$P$2:$P$19,IF(T48="NorthBound","&gt;=","&lt;=")&amp;Y48,Variables!$P$2:$P$19,IF(T48="NorthBound","&lt;=","&gt;=")&amp;Z48))</f>
        <v>12</v>
      </c>
      <c r="V48" s="191" t="str">
        <f>"https://d0f6bd738d7f1b3e5a7ca70fe4ff75f0.us-east-1.aws.found.io/app/kibana#/discover/Steve-Slow-Train-Analysis-(2080s-and-2083s)?_g="&amp;"(refreshInterval:(display:Off,pause:!f,section:0,value:0),time:(from:'"&amp;TEXT(E48-1/24,"yyyy-MM-DDThh:mm:ss")&amp;utc_offset&amp;"00"&amp;"',mode:absolute,to:'"&amp;TEXT(I48+1/24,"yyyy-MM-DDThh:mm:ss")&amp;utc_offset&amp;"00"&amp;"'))&amp;_a=(columns:!('Locomotive+ID','Data.Head+End+Milepost',Data.Speed,'Data.Locomotive+State','Data.Train+ID',"&amp;"'Data.Warning%2FEnforcement+Type','Data.Target+Start+Milepost','Data.Target+Description','Data.Target+Speed',"&amp;"'Data.Enforcement+Train+Speed','Data.Enforcement+Start+Milepost','Data.Target+Type','Data.Enforcement+Direction+of+Travel','Message+ID',"&amp;"'Data.Body+of+Summary+Text','Data.Head+End+Track+name'),filters:!(),index:'emp_*',interval:auto,query:"&amp;"(query_string:(analyze_wildcard:!t,query:'Message%5C+ID:(2083+OR+2080+OR+1041+OR+2003+OR+1051+OR+1043+OR+1053)+AND+%22rtdc.l.rtdc."&amp;B48&amp;"%22')),sort:!(Time.ISO8601,asc))"</f>
        <v>https://d0f6bd738d7f1b3e5a7ca70fe4ff75f0.us-east-1.aws.found.io/app/kibana#/discover/Steve-Slow-Train-Analysis-(2080s-and-2083s)?_g=(refreshInterval:(display:Off,pause:!f,section:0,value:0),time:(from:'2017-02-05T07:51:09-0700',mode:absolute,to:'2017-02-05T10:35:58-0700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4021%22')),sort:!(Time.ISO8601,asc))</v>
      </c>
      <c r="W48" s="192" t="str">
        <f>IF(AA48&lt;IF(AG48="EC",23,5.65),"Y","N")</f>
        <v>N</v>
      </c>
      <c r="X48" s="192">
        <f>VALUE(LEFT(AD48,4))-VALUE(LEFT(AD47,4))</f>
        <v>1</v>
      </c>
      <c r="Y48" s="62">
        <f>RIGHT(D48,LEN(D48)-4)/10000</f>
        <v>23.2986</v>
      </c>
      <c r="Z48" s="62">
        <f>RIGHT(H48,LEN(H48)-4)/10000</f>
        <v>1.5800000000000002E-2</v>
      </c>
      <c r="AA48" s="62">
        <f>ABS(Z48-Y48)</f>
        <v>23.282800000000002</v>
      </c>
      <c r="AB48" s="59" t="e">
        <f>VLOOKUP(A48,Enforcements!$C$7:$K$16,8,0)</f>
        <v>#N/A</v>
      </c>
      <c r="AC48" s="55" t="e">
        <f>VLOOKUP(A48,Enforcements!$C$7:$E$16,3,0)</f>
        <v>#N/A</v>
      </c>
      <c r="AD48" s="56" t="str">
        <f>IF(LEN(A48)=6,"0"&amp;A48,A48)</f>
        <v>0136-05</v>
      </c>
      <c r="AE48" s="85" t="str">
        <f>"aws s3 cp "&amp;s3_bucket&amp;"/RTDC"&amp;B48&amp;"/ "&amp;search_path&amp;"\RTDC"&amp;B48&amp;"\"&amp;TEXT(F48,"YYYY-MM-DD")&amp;" --exclude ""*"" --recursive --include ""*"&amp;TEXT(F48,"YYYYMMDD")&amp;"*"" &amp; """&amp;walkandungz&amp;""" "&amp;search_path&amp;"\RTDC"&amp;B48&amp;"\"&amp;TEXT(F48,"YYYY-MM-DD")
&amp;" &amp; "&amp;"aws s3 cp "&amp;s3_bucket&amp;"/RTDC"&amp;B48&amp;"/ "&amp;search_path&amp;"\RTDC"&amp;B48&amp;"\"&amp;TEXT(F48+1,"YYYY-MM-DD")&amp;" --exclude ""*"" --recursive --include ""*"&amp;TEXT(F48+1,"YYYYMMDD")&amp;"*"" &amp; """&amp;walkandungz&amp;""" "&amp;search_path&amp;"\RTDC"&amp;B48&amp;"\"&amp;TEXT(F48+1,"YYYY-MM-DD")</f>
        <v>aws s3 cp s3://rtdc.mdm.uploadarchive.raw/RTDC4021/ "%USERPROFILE%\AppData\Local\Temp\OnboardLogs"\RTDC4021\2017-02-05 --exclude "*" --recursive --include "*20170205*" &amp; "%USERPROFILE%\Documents\GitHub\mrs-test-scripts\Headless Mode &amp; Sideloading\WalkAndUnGZ.bat" "%USERPROFILE%\AppData\Local\Temp\OnboardLogs"\RTDC4021\2017-02-05 &amp; aws s3 cp s3://rtdc.mdm.uploadarchive.raw/RTDC4021/ "%USERPROFILE%\AppData\Local\Temp\OnboardLogs"\RTDC4021\2017-02-06 --exclude "*" --recursive --include "*20170206*" &amp; "%USERPROFILE%\Documents\GitHub\mrs-test-scripts\Headless Mode &amp; Sideloading\WalkAndUnGZ.bat" "%USERPROFILE%\AppData\Local\Temp\OnboardLogs"\RTDC4021\2017-02-06</v>
      </c>
      <c r="AF48" s="82" t="str">
        <f>astrogrep_path&amp;" /spath="&amp;search_path&amp;" /stypes=""app*"&amp;B48&amp;"*"&amp;TEXT(I48-utc_offset/24,"YYYYMMDD")&amp;"*"" /stext="" "&amp;TEXT(I48-utc_offset/24,"HH")&amp;search_regexp&amp;""" /e /r /s"</f>
        <v>"C:\Program Files (x86)\AstroGrep\AstroGrep.exe" /spath="%USERPROFILE%\AppData\Local\Temp\OnboardLogs" /stypes="app*4021*20170205*" /stext=" 16:.+((SYSTEM_STATE.+slice.+state.+changed )|(ment ac)|(multiple cpu faults)|(system.+state.+changed )|(\[timeout)|(PRM\|1\|D)|(kpr)|(kdp)|(\|lc)|(penalty))" /e /r /s</v>
      </c>
      <c r="AG48" s="1" t="str">
        <f>IFERROR(IF(VALUE(LEFT(AD48,2))&lt;=2,"EC",IF(OR(VALUE(LEFT(AD48,2))=8,VALUE(LEFT(AD48,2))=18),"NW","Other")),"Other")</f>
        <v>EC</v>
      </c>
      <c r="AH48" s="86" t="str">
        <f t="shared" si="3"/>
        <v>"%USERPROFILE%\Documents\GitHub\eaglep3\Utilities\RefineRTDCRunTimes.py" --tripid 136-05 --locoid 4021 --swversion DE.1.0.8.0 --startMP 204:232986 --initTime 2017-02-05T08:51:09 --startdatetime 2017-02-05T08:56:16 --delay 0 --endMP 204:158 --enddatetime 2017-02-05T09:35:58 --enforcementcount 0 &gt;&gt;C:\Users\stu\Documents\GitHub\eaglep3-reporting\EC\2017-02-05-refined-times.txt</v>
      </c>
      <c r="AI48" s="108" t="str">
        <f t="shared" si="4"/>
        <v>echo {"issue":{"subject":"","project_id":79,"tracker_id":40,"status_id":1,"priority_id":2,"assigned_to_id":23,"start_date":"2017-02-05","description":"","custom_fields":[{"id":1,"name":"Subdivision","value":"EC"},{"id":4,"name":"Milepost","value":"0.0158"},{"id":17,"name":"Train ID","value":"136-05"},{"id":16,"name":"Locomotive ID","value":"4021"},{"id":130,"name":"Impact","value":""},{"id":150,"name":"Time of Event (Mountain Time)","value":"09:35:58"},{"id":151,"name":"Denver Issue ID","value":""},{"id":178,"name":"Operational Impact","value":"Yes"},{"id":179,"name":"Denver Segment Assigned","value":""}]}} | curl -X POST -H "Content-Type: application/json" -H "X-Redmine-API-Key: d6333d4a04012a730768444271f8ca06482dae87" https://secure.xorail.net/redmine/issues.json --data @-</v>
      </c>
      <c r="AJ48" s="48"/>
      <c r="AK48" s="48"/>
      <c r="AL48" s="48"/>
      <c r="AM48" s="158" t="str">
        <f t="shared" si="5"/>
        <v>start /low /b %USERPROFILE%\Documents\GitHub\eaglep3\Utilities\DownloadLogsFromS3.py --loco 4021 --day 2017-02-05</v>
      </c>
      <c r="AN48" s="167" t="str">
        <f>"grep -SE -B400 ""CHR.+\|PRM\|1\|D.+(SWITCH|SIGNAL).+UNKNOWN"" "&amp;search_path&amp;"\RTDC"&amp;B48&amp;"\*"&amp;B48&amp;"*"&amp;TEXT(AVERAGE(F48,I48)-utc_offset/24,"YYYYMMDD")&amp;"* | grep -SE ""(Enforcement Action)|(\[TIMEOUT)|(CHR.+\|PRM\|1\|D.+(SWITCH|SIGNAL).+UNKNOWN)"" - &gt;&gt; "&amp;TEXT(Variables!$A$2,"YYYY-MM-DD")&amp;"-UncaughtWiMAX.txt"</f>
        <v>grep -SE -B400 "CHR.+\|PRM\|1\|D.+(SWITCH|SIGNAL).+UNKNOWN" "%USERPROFILE%\AppData\Local\Temp\OnboardLogs"\RTDC4021\*4021*20170205* | grep -SE "(Enforcement Action)|(\[TIMEOUT)|(CHR.+\|PRM\|1\|D.+(SWITCH|SIGNAL).+UNKNOWN)" - &gt;&gt; 2017-02-05-UncaughtWiMAX.txt</v>
      </c>
      <c r="AO48"/>
      <c r="AP48"/>
      <c r="AQ48"/>
      <c r="AR48"/>
      <c r="AS48"/>
      <c r="AT48"/>
      <c r="AU48"/>
      <c r="AV48"/>
      <c r="AW48"/>
      <c r="AX48"/>
      <c r="AY48"/>
      <c r="AZ48"/>
      <c r="BA48"/>
      <c r="BB48"/>
      <c r="BC48"/>
      <c r="BD48"/>
      <c r="BE48"/>
      <c r="BF48"/>
      <c r="BG48"/>
      <c r="BH48"/>
      <c r="BI48"/>
      <c r="BJ48"/>
      <c r="BK48"/>
      <c r="BL48"/>
      <c r="BM48"/>
      <c r="BN48"/>
      <c r="BO48"/>
      <c r="BP48"/>
      <c r="BQ48"/>
      <c r="BR48"/>
      <c r="BS48"/>
      <c r="BT48"/>
      <c r="BU48"/>
      <c r="BV48"/>
      <c r="BW48"/>
      <c r="BX48"/>
      <c r="BY48"/>
      <c r="BZ48"/>
      <c r="CA48"/>
      <c r="CB48"/>
      <c r="CC48"/>
      <c r="CD48"/>
      <c r="CE48"/>
      <c r="CF48"/>
      <c r="CG48"/>
      <c r="CH48"/>
      <c r="CI48"/>
      <c r="CJ48"/>
      <c r="CK48"/>
      <c r="CL48"/>
      <c r="CM48"/>
    </row>
    <row r="49" spans="1:91" s="1" customFormat="1" x14ac:dyDescent="0.25">
      <c r="A49" s="33" t="s">
        <v>584</v>
      </c>
      <c r="B49" s="7">
        <v>4002</v>
      </c>
      <c r="C49" s="21" t="s">
        <v>193</v>
      </c>
      <c r="D49" s="21" t="s">
        <v>397</v>
      </c>
      <c r="E49" s="13">
        <v>42771.338726851849</v>
      </c>
      <c r="F49" s="13">
        <v>42771.3440625</v>
      </c>
      <c r="G49" s="7">
        <v>1</v>
      </c>
      <c r="H49" s="21" t="s">
        <v>394</v>
      </c>
      <c r="I49" s="13">
        <v>42771.370173611111</v>
      </c>
      <c r="J49" s="7">
        <v>0</v>
      </c>
      <c r="K49" s="98" t="str">
        <f>IF(ISEVEN(B49),(B49-1)&amp;"/"&amp;B49,B49&amp;"/"&amp;(B49+1))</f>
        <v>4001/4002</v>
      </c>
      <c r="L49" s="21" t="str">
        <f>VLOOKUP(A49,'Trips&amp;Operators'!$C$1:$G$99999,5,FALSE)</f>
        <v>BERLING GARY</v>
      </c>
      <c r="M49" s="6">
        <f>I49-F49</f>
        <v>2.6111111110367347E-2</v>
      </c>
      <c r="N49" s="7">
        <f>24*60*SUM($M49:$M49)</f>
        <v>37.599999998928979</v>
      </c>
      <c r="O49" s="7"/>
      <c r="P49" s="7"/>
      <c r="Q49" s="22"/>
      <c r="R49" s="22"/>
      <c r="S49" s="31">
        <f>SUM(U49:U49)/IF(AG49="EC",12,1)</f>
        <v>1</v>
      </c>
      <c r="T49" s="46" t="str">
        <f>IF(ISEVEN(LEFT(AD49,4)),"Southbound","NorthBound")</f>
        <v>NorthBound</v>
      </c>
      <c r="U49" s="190">
        <f>IF(AG49="EC",COUNTIFS(Variables!$M$2:$M$19,IF(T49="NorthBound","&gt;=","&lt;=")&amp;Y49,Variables!$M$2:$M$19,IF(T49="NorthBound","&lt;=","&gt;=")&amp;Z49),COUNTIFS(Variables!$P$2:$P$19,IF(T49="NorthBound","&gt;=","&lt;=")&amp;Y49,Variables!$P$2:$P$19,IF(T49="NorthBound","&lt;=","&gt;=")&amp;Z49))</f>
        <v>12</v>
      </c>
      <c r="V49" s="191" t="str">
        <f>"https://d0f6bd738d7f1b3e5a7ca70fe4ff75f0.us-east-1.aws.found.io/app/kibana#/discover/Steve-Slow-Train-Analysis-(2080s-and-2083s)?_g="&amp;"(refreshInterval:(display:Off,pause:!f,section:0,value:0),time:(from:'"&amp;TEXT(E49-1/24,"yyyy-MM-DDThh:mm:ss")&amp;utc_offset&amp;"00"&amp;"',mode:absolute,to:'"&amp;TEXT(I49+1/24,"yyyy-MM-DDThh:mm:ss")&amp;utc_offset&amp;"00"&amp;"'))&amp;_a=(columns:!('Locomotive+ID','Data.Head+End+Milepost',Data.Speed,'Data.Locomotive+State','Data.Train+ID',"&amp;"'Data.Warning%2FEnforcement+Type','Data.Target+Start+Milepost','Data.Target+Description','Data.Target+Speed',"&amp;"'Data.Enforcement+Train+Speed','Data.Enforcement+Start+Milepost','Data.Target+Type','Data.Enforcement+Direction+of+Travel','Message+ID',"&amp;"'Data.Body+of+Summary+Text','Data.Head+End+Track+name'),filters:!(),index:'emp_*',interval:auto,query:"&amp;"(query_string:(analyze_wildcard:!t,query:'Message%5C+ID:(2083+OR+2080+OR+1041+OR+2003+OR+1051+OR+1043+OR+1053)+AND+%22rtdc.l.rtdc."&amp;B49&amp;"%22')),sort:!(Time.ISO8601,asc))"</f>
        <v>https://d0f6bd738d7f1b3e5a7ca70fe4ff75f0.us-east-1.aws.found.io/app/kibana#/discover/Steve-Slow-Train-Analysis-(2080s-and-2083s)?_g=(refreshInterval:(display:Off,pause:!f,section:0,value:0),time:(from:'2017-02-05T07:07:46-0700',mode:absolute,to:'2017-02-05T09:53:03-0700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4002%22')),sort:!(Time.ISO8601,asc))</v>
      </c>
      <c r="W49" s="192" t="str">
        <f>IF(AA49&lt;IF(AG49="EC",23,5.65),"Y","N")</f>
        <v>N</v>
      </c>
      <c r="X49" s="192">
        <f>VALUE(LEFT(AD49,4))-VALUE(LEFT(AD48,4))</f>
        <v>1</v>
      </c>
      <c r="Y49" s="62">
        <f>RIGHT(D49,LEN(D49)-4)/10000</f>
        <v>4.24E-2</v>
      </c>
      <c r="Z49" s="62">
        <f>RIGHT(H49,LEN(H49)-4)/10000</f>
        <v>23.333400000000001</v>
      </c>
      <c r="AA49" s="62">
        <f>ABS(Z49-Y49)</f>
        <v>23.291</v>
      </c>
      <c r="AB49" s="59" t="e">
        <f>VLOOKUP(A49,Enforcements!$C$7:$K$16,8,0)</f>
        <v>#N/A</v>
      </c>
      <c r="AC49" s="55" t="e">
        <f>VLOOKUP(A49,Enforcements!$C$7:$E$16,3,0)</f>
        <v>#N/A</v>
      </c>
      <c r="AD49" s="56" t="str">
        <f>IF(LEN(A49)=6,"0"&amp;A49,A49)</f>
        <v>0137-05</v>
      </c>
      <c r="AE49" s="85" t="str">
        <f>"aws s3 cp "&amp;s3_bucket&amp;"/RTDC"&amp;B49&amp;"/ "&amp;search_path&amp;"\RTDC"&amp;B49&amp;"\"&amp;TEXT(F49,"YYYY-MM-DD")&amp;" --exclude ""*"" --recursive --include ""*"&amp;TEXT(F49,"YYYYMMDD")&amp;"*"" &amp; """&amp;walkandungz&amp;""" "&amp;search_path&amp;"\RTDC"&amp;B49&amp;"\"&amp;TEXT(F49,"YYYY-MM-DD")
&amp;" &amp; "&amp;"aws s3 cp "&amp;s3_bucket&amp;"/RTDC"&amp;B49&amp;"/ "&amp;search_path&amp;"\RTDC"&amp;B49&amp;"\"&amp;TEXT(F49+1,"YYYY-MM-DD")&amp;" --exclude ""*"" --recursive --include ""*"&amp;TEXT(F49+1,"YYYYMMDD")&amp;"*"" &amp; """&amp;walkandungz&amp;""" "&amp;search_path&amp;"\RTDC"&amp;B49&amp;"\"&amp;TEXT(F49+1,"YYYY-MM-DD")</f>
        <v>aws s3 cp s3://rtdc.mdm.uploadarchive.raw/RTDC4002/ "%USERPROFILE%\AppData\Local\Temp\OnboardLogs"\RTDC4002\2017-02-05 --exclude "*" --recursive --include "*20170205*" &amp; "%USERPROFILE%\Documents\GitHub\mrs-test-scripts\Headless Mode &amp; Sideloading\WalkAndUnGZ.bat" "%USERPROFILE%\AppData\Local\Temp\OnboardLogs"\RTDC4002\2017-02-05 &amp; aws s3 cp s3://rtdc.mdm.uploadarchive.raw/RTDC4002/ "%USERPROFILE%\AppData\Local\Temp\OnboardLogs"\RTDC4002\2017-02-06 --exclude "*" --recursive --include "*20170206*" &amp; "%USERPROFILE%\Documents\GitHub\mrs-test-scripts\Headless Mode &amp; Sideloading\WalkAndUnGZ.bat" "%USERPROFILE%\AppData\Local\Temp\OnboardLogs"\RTDC4002\2017-02-06</v>
      </c>
      <c r="AF49" s="82" t="str">
        <f>astrogrep_path&amp;" /spath="&amp;search_path&amp;" /stypes=""app*"&amp;B49&amp;"*"&amp;TEXT(I49-utc_offset/24,"YYYYMMDD")&amp;"*"" /stext="" "&amp;TEXT(I49-utc_offset/24,"HH")&amp;search_regexp&amp;""" /e /r /s"</f>
        <v>"C:\Program Files (x86)\AstroGrep\AstroGrep.exe" /spath="%USERPROFILE%\AppData\Local\Temp\OnboardLogs" /stypes="app*4002*20170205*" /stext=" 15:.+((SYSTEM_STATE.+slice.+state.+changed )|(ment ac)|(multiple cpu faults)|(system.+state.+changed )|(\[timeout)|(PRM\|1\|D)|(kpr)|(kdp)|(\|lc)|(penalty))" /e /r /s</v>
      </c>
      <c r="AG49" s="1" t="str">
        <f>IFERROR(IF(VALUE(LEFT(AD49,2))&lt;=2,"EC",IF(OR(VALUE(LEFT(AD49,2))=8,VALUE(LEFT(AD49,2))=18),"NW","Other")),"Other")</f>
        <v>EC</v>
      </c>
      <c r="AH49" s="86" t="str">
        <f t="shared" si="3"/>
        <v>"%USERPROFILE%\Documents\GitHub\eaglep3\Utilities\RefineRTDCRunTimes.py" --tripid 137-05 --locoid 4002 --swversion DE.1.0.8.0 --startMP 204:424 --initTime 2017-02-05T08:07:46 --startdatetime 2017-02-05T08:15:27 --delay 1 --endMP 204:233334 --enddatetime 2017-02-05T08:53:03 --enforcementcount 0 &gt;&gt;C:\Users\stu\Documents\GitHub\eaglep3-reporting\EC\2017-02-05-refined-times.txt</v>
      </c>
      <c r="AI49" s="108" t="str">
        <f t="shared" si="4"/>
        <v>echo {"issue":{"subject":"","project_id":79,"tracker_id":40,"status_id":1,"priority_id":2,"assigned_to_id":23,"start_date":"2017-02-05","description":"","custom_fields":[{"id":1,"name":"Subdivision","value":"EC"},{"id":4,"name":"Milepost","value":"23.3334"},{"id":17,"name":"Train ID","value":"137-05"},{"id":16,"name":"Locomotive ID","value":"4002"},{"id":130,"name":"Impact","value":""},{"id":150,"name":"Time of Event (Mountain Time)","value":"08:53:03"},{"id":151,"name":"Denver Issue ID","value":""},{"id":178,"name":"Operational Impact","value":"Yes"},{"id":179,"name":"Denver Segment Assigned","value":""}]}} | curl -X POST -H "Content-Type: application/json" -H "X-Redmine-API-Key: d6333d4a04012a730768444271f8ca06482dae87" https://secure.xorail.net/redmine/issues.json --data @-</v>
      </c>
      <c r="AJ49" s="48"/>
      <c r="AK49" s="48"/>
      <c r="AL49" s="48"/>
      <c r="AM49" s="158" t="str">
        <f t="shared" si="5"/>
        <v>start /low /b %USERPROFILE%\Documents\GitHub\eaglep3\Utilities\DownloadLogsFromS3.py --loco 4002 --day 2017-02-05</v>
      </c>
      <c r="AN49" s="167" t="str">
        <f>"grep -SE -B400 ""CHR.+\|PRM\|1\|D.+(SWITCH|SIGNAL).+UNKNOWN"" "&amp;search_path&amp;"\RTDC"&amp;B49&amp;"\*"&amp;B49&amp;"*"&amp;TEXT(AVERAGE(F49,I49)-utc_offset/24,"YYYYMMDD")&amp;"* | grep -SE ""(Enforcement Action)|(\[TIMEOUT)|(CHR.+\|PRM\|1\|D.+(SWITCH|SIGNAL).+UNKNOWN)"" - &gt;&gt; "&amp;TEXT(Variables!$A$2,"YYYY-MM-DD")&amp;"-UncaughtWiMAX.txt"</f>
        <v>grep -SE -B400 "CHR.+\|PRM\|1\|D.+(SWITCH|SIGNAL).+UNKNOWN" "%USERPROFILE%\AppData\Local\Temp\OnboardLogs"\RTDC4002\*4002*20170205* | grep -SE "(Enforcement Action)|(\[TIMEOUT)|(CHR.+\|PRM\|1\|D.+(SWITCH|SIGNAL).+UNKNOWN)" - &gt;&gt; 2017-02-05-UncaughtWiMAX.txt</v>
      </c>
      <c r="AO49"/>
      <c r="AP49"/>
      <c r="AQ49"/>
      <c r="AR49"/>
      <c r="AS49"/>
      <c r="AT49"/>
      <c r="AU49"/>
      <c r="AV49"/>
      <c r="AW49"/>
      <c r="AX49"/>
      <c r="AY49"/>
      <c r="AZ49"/>
      <c r="BA49"/>
      <c r="BB49"/>
      <c r="BC49"/>
      <c r="BD49"/>
      <c r="BE49"/>
      <c r="BF49"/>
      <c r="BG49"/>
      <c r="BH49"/>
      <c r="BI49"/>
      <c r="BJ49"/>
      <c r="BK49"/>
      <c r="BL49"/>
      <c r="BM49"/>
      <c r="BN49"/>
      <c r="BO49"/>
      <c r="BP49"/>
      <c r="BQ49"/>
      <c r="BR49"/>
      <c r="BS49"/>
      <c r="BT49"/>
      <c r="BU49"/>
      <c r="BV49"/>
      <c r="BW49"/>
      <c r="BX49"/>
      <c r="BY49"/>
      <c r="BZ49"/>
      <c r="CA49"/>
      <c r="CB49"/>
      <c r="CC49"/>
      <c r="CD49"/>
      <c r="CE49"/>
      <c r="CF49"/>
      <c r="CG49"/>
      <c r="CH49"/>
      <c r="CI49"/>
      <c r="CJ49"/>
      <c r="CK49"/>
      <c r="CL49"/>
      <c r="CM49"/>
    </row>
    <row r="50" spans="1:91" s="1" customFormat="1" x14ac:dyDescent="0.25">
      <c r="A50" s="33" t="s">
        <v>592</v>
      </c>
      <c r="B50" s="7">
        <v>4001</v>
      </c>
      <c r="C50" s="21" t="s">
        <v>193</v>
      </c>
      <c r="D50" s="21" t="s">
        <v>357</v>
      </c>
      <c r="E50" s="13">
        <v>42771.376400462963</v>
      </c>
      <c r="F50" s="13">
        <v>42771.382962962962</v>
      </c>
      <c r="G50" s="7">
        <v>1</v>
      </c>
      <c r="H50" s="21" t="s">
        <v>307</v>
      </c>
      <c r="I50" s="13">
        <v>42771.409641203703</v>
      </c>
      <c r="J50" s="7">
        <v>0</v>
      </c>
      <c r="K50" s="98" t="str">
        <f>IF(ISEVEN(B50),(B50-1)&amp;"/"&amp;B50,B50&amp;"/"&amp;(B50+1))</f>
        <v>4001/4002</v>
      </c>
      <c r="L50" s="21" t="str">
        <f>VLOOKUP(A50,'Trips&amp;Operators'!$C$1:$G$99999,5,FALSE)</f>
        <v>BERLING GARY</v>
      </c>
      <c r="M50" s="6">
        <f>I50-F50</f>
        <v>2.6678240741603076E-2</v>
      </c>
      <c r="N50" s="7">
        <f>24*60*SUM($M50:$M50)</f>
        <v>38.41666666790843</v>
      </c>
      <c r="O50" s="7"/>
      <c r="P50" s="7"/>
      <c r="Q50" s="22"/>
      <c r="R50" s="22"/>
      <c r="S50" s="31">
        <f>SUM(U50:U50)/IF(AG50="EC",12,1)</f>
        <v>1</v>
      </c>
      <c r="T50" s="46" t="str">
        <f>IF(ISEVEN(LEFT(AD50,4)),"Southbound","NorthBound")</f>
        <v>Southbound</v>
      </c>
      <c r="U50" s="190">
        <f>IF(AG50="EC",COUNTIFS(Variables!$M$2:$M$19,IF(T50="NorthBound","&gt;=","&lt;=")&amp;Y50,Variables!$M$2:$M$19,IF(T50="NorthBound","&lt;=","&gt;=")&amp;Z50),COUNTIFS(Variables!$P$2:$P$19,IF(T50="NorthBound","&gt;=","&lt;=")&amp;Y50,Variables!$P$2:$P$19,IF(T50="NorthBound","&lt;=","&gt;=")&amp;Z50))</f>
        <v>12</v>
      </c>
      <c r="V50" s="191" t="str">
        <f>"https://d0f6bd738d7f1b3e5a7ca70fe4ff75f0.us-east-1.aws.found.io/app/kibana#/discover/Steve-Slow-Train-Analysis-(2080s-and-2083s)?_g="&amp;"(refreshInterval:(display:Off,pause:!f,section:0,value:0),time:(from:'"&amp;TEXT(E50-1/24,"yyyy-MM-DDThh:mm:ss")&amp;utc_offset&amp;"00"&amp;"',mode:absolute,to:'"&amp;TEXT(I50+1/24,"yyyy-MM-DDThh:mm:ss")&amp;utc_offset&amp;"00"&amp;"'))&amp;_a=(columns:!('Locomotive+ID','Data.Head+End+Milepost',Data.Speed,'Data.Locomotive+State','Data.Train+ID',"&amp;"'Data.Warning%2FEnforcement+Type','Data.Target+Start+Milepost','Data.Target+Description','Data.Target+Speed',"&amp;"'Data.Enforcement+Train+Speed','Data.Enforcement+Start+Milepost','Data.Target+Type','Data.Enforcement+Direction+of+Travel','Message+ID',"&amp;"'Data.Body+of+Summary+Text','Data.Head+End+Track+name'),filters:!(),index:'emp_*',interval:auto,query:"&amp;"(query_string:(analyze_wildcard:!t,query:'Message%5C+ID:(2083+OR+2080+OR+1041+OR+2003+OR+1051+OR+1043+OR+1053)+AND+%22rtdc.l.rtdc."&amp;B50&amp;"%22')),sort:!(Time.ISO8601,asc))"</f>
        <v>https://d0f6bd738d7f1b3e5a7ca70fe4ff75f0.us-east-1.aws.found.io/app/kibana#/discover/Steve-Slow-Train-Analysis-(2080s-and-2083s)?_g=(refreshInterval:(display:Off,pause:!f,section:0,value:0),time:(from:'2017-02-05T08:02:01-0700',mode:absolute,to:'2017-02-05T10:49:53-0700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4001%22')),sort:!(Time.ISO8601,asc))</v>
      </c>
      <c r="W50" s="192" t="str">
        <f>IF(AA50&lt;IF(AG50="EC",23,5.65),"Y","N")</f>
        <v>N</v>
      </c>
      <c r="X50" s="192">
        <f>VALUE(LEFT(AD50,4))-VALUE(LEFT(AD49,4))</f>
        <v>1</v>
      </c>
      <c r="Y50" s="62">
        <f>RIGHT(D50,LEN(D50)-4)/10000</f>
        <v>23.301500000000001</v>
      </c>
      <c r="Z50" s="62">
        <f>RIGHT(H50,LEN(H50)-4)/10000</f>
        <v>1.3899999999999999E-2</v>
      </c>
      <c r="AA50" s="62">
        <f>ABS(Z50-Y50)</f>
        <v>23.287600000000001</v>
      </c>
      <c r="AB50" s="59" t="e">
        <f>VLOOKUP(A50,Enforcements!$C$7:$K$16,8,0)</f>
        <v>#N/A</v>
      </c>
      <c r="AC50" s="55" t="e">
        <f>VLOOKUP(A50,Enforcements!$C$7:$E$16,3,0)</f>
        <v>#N/A</v>
      </c>
      <c r="AD50" s="56" t="str">
        <f>IF(LEN(A50)=6,"0"&amp;A50,A50)</f>
        <v>0138-05</v>
      </c>
      <c r="AE50" s="85" t="str">
        <f>"aws s3 cp "&amp;s3_bucket&amp;"/RTDC"&amp;B50&amp;"/ "&amp;search_path&amp;"\RTDC"&amp;B50&amp;"\"&amp;TEXT(F50,"YYYY-MM-DD")&amp;" --exclude ""*"" --recursive --include ""*"&amp;TEXT(F50,"YYYYMMDD")&amp;"*"" &amp; """&amp;walkandungz&amp;""" "&amp;search_path&amp;"\RTDC"&amp;B50&amp;"\"&amp;TEXT(F50,"YYYY-MM-DD")
&amp;" &amp; "&amp;"aws s3 cp "&amp;s3_bucket&amp;"/RTDC"&amp;B50&amp;"/ "&amp;search_path&amp;"\RTDC"&amp;B50&amp;"\"&amp;TEXT(F50+1,"YYYY-MM-DD")&amp;" --exclude ""*"" --recursive --include ""*"&amp;TEXT(F50+1,"YYYYMMDD")&amp;"*"" &amp; """&amp;walkandungz&amp;""" "&amp;search_path&amp;"\RTDC"&amp;B50&amp;"\"&amp;TEXT(F50+1,"YYYY-MM-DD")</f>
        <v>aws s3 cp s3://rtdc.mdm.uploadarchive.raw/RTDC4001/ "%USERPROFILE%\AppData\Local\Temp\OnboardLogs"\RTDC4001\2017-02-05 --exclude "*" --recursive --include "*20170205*" &amp; "%USERPROFILE%\Documents\GitHub\mrs-test-scripts\Headless Mode &amp; Sideloading\WalkAndUnGZ.bat" "%USERPROFILE%\AppData\Local\Temp\OnboardLogs"\RTDC4001\2017-02-05 &amp; aws s3 cp s3://rtdc.mdm.uploadarchive.raw/RTDC4001/ "%USERPROFILE%\AppData\Local\Temp\OnboardLogs"\RTDC4001\2017-02-06 --exclude "*" --recursive --include "*20170206*" &amp; "%USERPROFILE%\Documents\GitHub\mrs-test-scripts\Headless Mode &amp; Sideloading\WalkAndUnGZ.bat" "%USERPROFILE%\AppData\Local\Temp\OnboardLogs"\RTDC4001\2017-02-06</v>
      </c>
      <c r="AF50" s="82" t="str">
        <f>astrogrep_path&amp;" /spath="&amp;search_path&amp;" /stypes=""app*"&amp;B50&amp;"*"&amp;TEXT(I50-utc_offset/24,"YYYYMMDD")&amp;"*"" /stext="" "&amp;TEXT(I50-utc_offset/24,"HH")&amp;search_regexp&amp;""" /e /r /s"</f>
        <v>"C:\Program Files (x86)\AstroGrep\AstroGrep.exe" /spath="%USERPROFILE%\AppData\Local\Temp\OnboardLogs" /stypes="app*4001*20170205*" /stext=" 16:.+((SYSTEM_STATE.+slice.+state.+changed )|(ment ac)|(multiple cpu faults)|(system.+state.+changed )|(\[timeout)|(PRM\|1\|D)|(kpr)|(kdp)|(\|lc)|(penalty))" /e /r /s</v>
      </c>
      <c r="AG50" s="1" t="str">
        <f>IFERROR(IF(VALUE(LEFT(AD50,2))&lt;=2,"EC",IF(OR(VALUE(LEFT(AD50,2))=8,VALUE(LEFT(AD50,2))=18),"NW","Other")),"Other")</f>
        <v>EC</v>
      </c>
      <c r="AH50" s="86" t="str">
        <f t="shared" si="3"/>
        <v>"%USERPROFILE%\Documents\GitHub\eaglep3\Utilities\RefineRTDCRunTimes.py" --tripid 138-05 --locoid 4001 --swversion DE.1.0.8.0 --startMP 204:233015 --initTime 2017-02-05T09:02:01 --startdatetime 2017-02-05T09:11:28 --delay 1 --endMP 204:139 --enddatetime 2017-02-05T09:49:53 --enforcementcount 0 &gt;&gt;C:\Users\stu\Documents\GitHub\eaglep3-reporting\EC\2017-02-05-refined-times.txt</v>
      </c>
      <c r="AI50" s="108" t="str">
        <f t="shared" si="4"/>
        <v>echo {"issue":{"subject":"","project_id":79,"tracker_id":40,"status_id":1,"priority_id":2,"assigned_to_id":23,"start_date":"2017-02-05","description":"","custom_fields":[{"id":1,"name":"Subdivision","value":"EC"},{"id":4,"name":"Milepost","value":"0.0139"},{"id":17,"name":"Train ID","value":"138-05"},{"id":16,"name":"Locomotive ID","value":"4001"},{"id":130,"name":"Impact","value":""},{"id":150,"name":"Time of Event (Mountain Time)","value":"09:49:53"},{"id":151,"name":"Denver Issue ID","value":""},{"id":178,"name":"Operational Impact","value":"Yes"},{"id":179,"name":"Denver Segment Assigned","value":""}]}} | curl -X POST -H "Content-Type: application/json" -H "X-Redmine-API-Key: d6333d4a04012a730768444271f8ca06482dae87" https://secure.xorail.net/redmine/issues.json --data @-</v>
      </c>
      <c r="AJ50" s="48"/>
      <c r="AK50" s="48"/>
      <c r="AL50" s="48"/>
      <c r="AM50" s="158" t="str">
        <f t="shared" si="5"/>
        <v>start /low /b %USERPROFILE%\Documents\GitHub\eaglep3\Utilities\DownloadLogsFromS3.py --loco 4001 --day 2017-02-05</v>
      </c>
      <c r="AN50" s="167" t="str">
        <f>"grep -SE -B400 ""CHR.+\|PRM\|1\|D.+(SWITCH|SIGNAL).+UNKNOWN"" "&amp;search_path&amp;"\RTDC"&amp;B50&amp;"\*"&amp;B50&amp;"*"&amp;TEXT(AVERAGE(F50,I50)-utc_offset/24,"YYYYMMDD")&amp;"* | grep -SE ""(Enforcement Action)|(\[TIMEOUT)|(CHR.+\|PRM\|1\|D.+(SWITCH|SIGNAL).+UNKNOWN)"" - &gt;&gt; "&amp;TEXT(Variables!$A$2,"YYYY-MM-DD")&amp;"-UncaughtWiMAX.txt"</f>
        <v>grep -SE -B400 "CHR.+\|PRM\|1\|D.+(SWITCH|SIGNAL).+UNKNOWN" "%USERPROFILE%\AppData\Local\Temp\OnboardLogs"\RTDC4001\*4001*20170205* | grep -SE "(Enforcement Action)|(\[TIMEOUT)|(CHR.+\|PRM\|1\|D.+(SWITCH|SIGNAL).+UNKNOWN)" - &gt;&gt; 2017-02-05-UncaughtWiMAX.txt</v>
      </c>
      <c r="AO50"/>
      <c r="AP50"/>
      <c r="AQ50"/>
      <c r="AR50"/>
      <c r="AS50"/>
      <c r="AT50"/>
      <c r="AU50"/>
      <c r="AV50"/>
      <c r="AW50"/>
      <c r="AX50"/>
      <c r="AY50"/>
      <c r="AZ50"/>
      <c r="BA50"/>
      <c r="BB50"/>
      <c r="BC50"/>
      <c r="BD50"/>
      <c r="BE50"/>
      <c r="BF50"/>
      <c r="BG50"/>
      <c r="BH50"/>
      <c r="BI50"/>
      <c r="BJ50"/>
      <c r="BK50"/>
      <c r="BL50"/>
      <c r="BM50"/>
      <c r="BN50"/>
      <c r="BO50"/>
      <c r="BP50"/>
      <c r="BQ50"/>
      <c r="BR50"/>
      <c r="BS50"/>
      <c r="BT50"/>
      <c r="BU50"/>
      <c r="BV50"/>
      <c r="BW50"/>
      <c r="BX50"/>
      <c r="BY50"/>
      <c r="BZ50"/>
      <c r="CA50"/>
      <c r="CB50"/>
      <c r="CC50"/>
      <c r="CD50"/>
      <c r="CE50"/>
      <c r="CF50"/>
      <c r="CG50"/>
      <c r="CH50"/>
      <c r="CI50"/>
      <c r="CJ50"/>
      <c r="CK50"/>
      <c r="CL50"/>
      <c r="CM50"/>
    </row>
    <row r="51" spans="1:91" s="1" customFormat="1" x14ac:dyDescent="0.25">
      <c r="A51" s="33" t="s">
        <v>585</v>
      </c>
      <c r="B51" s="7">
        <v>4031</v>
      </c>
      <c r="C51" s="21" t="s">
        <v>193</v>
      </c>
      <c r="D51" s="21" t="s">
        <v>275</v>
      </c>
      <c r="E51" s="13">
        <v>42771.348263888889</v>
      </c>
      <c r="F51" s="13">
        <v>42771.354351851849</v>
      </c>
      <c r="G51" s="7">
        <v>1</v>
      </c>
      <c r="H51" s="21" t="s">
        <v>418</v>
      </c>
      <c r="I51" s="13">
        <v>42771.378622685188</v>
      </c>
      <c r="J51" s="7">
        <v>0</v>
      </c>
      <c r="K51" s="98" t="str">
        <f>IF(ISEVEN(B51),(B51-1)&amp;"/"&amp;B51,B51&amp;"/"&amp;(B51+1))</f>
        <v>4031/4032</v>
      </c>
      <c r="L51" s="21" t="str">
        <f>VLOOKUP(A51,'Trips&amp;Operators'!$C$1:$G$99999,5,FALSE)</f>
        <v>GEBRETEKLE DAGNEW</v>
      </c>
      <c r="M51" s="6">
        <f>I51-F51</f>
        <v>2.4270833338960074E-2</v>
      </c>
      <c r="N51" s="7">
        <f>24*60*SUM($M51:$M51)</f>
        <v>34.950000008102506</v>
      </c>
      <c r="O51" s="7"/>
      <c r="P51" s="7"/>
      <c r="Q51" s="22"/>
      <c r="R51" s="22"/>
      <c r="S51" s="31">
        <f>SUM(U51:U51)/IF(AG51="EC",12,1)</f>
        <v>1</v>
      </c>
      <c r="T51" s="46" t="str">
        <f>IF(ISEVEN(LEFT(AD51,4)),"Southbound","NorthBound")</f>
        <v>NorthBound</v>
      </c>
      <c r="U51" s="190">
        <f>IF(AG51="EC",COUNTIFS(Variables!$M$2:$M$19,IF(T51="NorthBound","&gt;=","&lt;=")&amp;Y51,Variables!$M$2:$M$19,IF(T51="NorthBound","&lt;=","&gt;=")&amp;Z51),COUNTIFS(Variables!$P$2:$P$19,IF(T51="NorthBound","&gt;=","&lt;=")&amp;Y51,Variables!$P$2:$P$19,IF(T51="NorthBound","&lt;=","&gt;=")&amp;Z51))</f>
        <v>12</v>
      </c>
      <c r="V51" s="191" t="str">
        <f>"https://d0f6bd738d7f1b3e5a7ca70fe4ff75f0.us-east-1.aws.found.io/app/kibana#/discover/Steve-Slow-Train-Analysis-(2080s-and-2083s)?_g="&amp;"(refreshInterval:(display:Off,pause:!f,section:0,value:0),time:(from:'"&amp;TEXT(E51-1/24,"yyyy-MM-DDThh:mm:ss")&amp;utc_offset&amp;"00"&amp;"',mode:absolute,to:'"&amp;TEXT(I51+1/24,"yyyy-MM-DDThh:mm:ss")&amp;utc_offset&amp;"00"&amp;"'))&amp;_a=(columns:!('Locomotive+ID','Data.Head+End+Milepost',Data.Speed,'Data.Locomotive+State','Data.Train+ID',"&amp;"'Data.Warning%2FEnforcement+Type','Data.Target+Start+Milepost','Data.Target+Description','Data.Target+Speed',"&amp;"'Data.Enforcement+Train+Speed','Data.Enforcement+Start+Milepost','Data.Target+Type','Data.Enforcement+Direction+of+Travel','Message+ID',"&amp;"'Data.Body+of+Summary+Text','Data.Head+End+Track+name'),filters:!(),index:'emp_*',interval:auto,query:"&amp;"(query_string:(analyze_wildcard:!t,query:'Message%5C+ID:(2083+OR+2080+OR+1041+OR+2003+OR+1051+OR+1043+OR+1053)+AND+%22rtdc.l.rtdc."&amp;B51&amp;"%22')),sort:!(Time.ISO8601,asc))"</f>
        <v>https://d0f6bd738d7f1b3e5a7ca70fe4ff75f0.us-east-1.aws.found.io/app/kibana#/discover/Steve-Slow-Train-Analysis-(2080s-and-2083s)?_g=(refreshInterval:(display:Off,pause:!f,section:0,value:0),time:(from:'2017-02-05T07:21:30-0700',mode:absolute,to:'2017-02-05T10:05:13-0700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4031%22')),sort:!(Time.ISO8601,asc))</v>
      </c>
      <c r="W51" s="192" t="str">
        <f>IF(AA51&lt;IF(AG51="EC",23,5.65),"Y","N")</f>
        <v>N</v>
      </c>
      <c r="X51" s="192">
        <f>VALUE(LEFT(AD51,4))-VALUE(LEFT(AD50,4))</f>
        <v>1</v>
      </c>
      <c r="Y51" s="62">
        <f>RIGHT(D51,LEN(D51)-4)/10000</f>
        <v>4.53E-2</v>
      </c>
      <c r="Z51" s="62">
        <f>RIGHT(H51,LEN(H51)-4)/10000</f>
        <v>23.3339</v>
      </c>
      <c r="AA51" s="62">
        <f>ABS(Z51-Y51)</f>
        <v>23.288599999999999</v>
      </c>
      <c r="AB51" s="59" t="e">
        <f>VLOOKUP(A51,Enforcements!$C$7:$K$16,8,0)</f>
        <v>#N/A</v>
      </c>
      <c r="AC51" s="55" t="e">
        <f>VLOOKUP(A51,Enforcements!$C$7:$E$16,3,0)</f>
        <v>#N/A</v>
      </c>
      <c r="AD51" s="56" t="str">
        <f>IF(LEN(A51)=6,"0"&amp;A51,A51)</f>
        <v>0139-05</v>
      </c>
      <c r="AE51" s="85" t="str">
        <f>"aws s3 cp "&amp;s3_bucket&amp;"/RTDC"&amp;B51&amp;"/ "&amp;search_path&amp;"\RTDC"&amp;B51&amp;"\"&amp;TEXT(F51,"YYYY-MM-DD")&amp;" --exclude ""*"" --recursive --include ""*"&amp;TEXT(F51,"YYYYMMDD")&amp;"*"" &amp; """&amp;walkandungz&amp;""" "&amp;search_path&amp;"\RTDC"&amp;B51&amp;"\"&amp;TEXT(F51,"YYYY-MM-DD")
&amp;" &amp; "&amp;"aws s3 cp "&amp;s3_bucket&amp;"/RTDC"&amp;B51&amp;"/ "&amp;search_path&amp;"\RTDC"&amp;B51&amp;"\"&amp;TEXT(F51+1,"YYYY-MM-DD")&amp;" --exclude ""*"" --recursive --include ""*"&amp;TEXT(F51+1,"YYYYMMDD")&amp;"*"" &amp; """&amp;walkandungz&amp;""" "&amp;search_path&amp;"\RTDC"&amp;B51&amp;"\"&amp;TEXT(F51+1,"YYYY-MM-DD")</f>
        <v>aws s3 cp s3://rtdc.mdm.uploadarchive.raw/RTDC4031/ "%USERPROFILE%\AppData\Local\Temp\OnboardLogs"\RTDC4031\2017-02-05 --exclude "*" --recursive --include "*20170205*" &amp; "%USERPROFILE%\Documents\GitHub\mrs-test-scripts\Headless Mode &amp; Sideloading\WalkAndUnGZ.bat" "%USERPROFILE%\AppData\Local\Temp\OnboardLogs"\RTDC4031\2017-02-05 &amp; aws s3 cp s3://rtdc.mdm.uploadarchive.raw/RTDC4031/ "%USERPROFILE%\AppData\Local\Temp\OnboardLogs"\RTDC4031\2017-02-06 --exclude "*" --recursive --include "*20170206*" &amp; "%USERPROFILE%\Documents\GitHub\mrs-test-scripts\Headless Mode &amp; Sideloading\WalkAndUnGZ.bat" "%USERPROFILE%\AppData\Local\Temp\OnboardLogs"\RTDC4031\2017-02-06</v>
      </c>
      <c r="AF51" s="82" t="str">
        <f>astrogrep_path&amp;" /spath="&amp;search_path&amp;" /stypes=""app*"&amp;B51&amp;"*"&amp;TEXT(I51-utc_offset/24,"YYYYMMDD")&amp;"*"" /stext="" "&amp;TEXT(I51-utc_offset/24,"HH")&amp;search_regexp&amp;""" /e /r /s"</f>
        <v>"C:\Program Files (x86)\AstroGrep\AstroGrep.exe" /spath="%USERPROFILE%\AppData\Local\Temp\OnboardLogs" /stypes="app*4031*20170205*" /stext=" 16:.+((SYSTEM_STATE.+slice.+state.+changed )|(ment ac)|(multiple cpu faults)|(system.+state.+changed )|(\[timeout)|(PRM\|1\|D)|(kpr)|(kdp)|(\|lc)|(penalty))" /e /r /s</v>
      </c>
      <c r="AG51" s="1" t="str">
        <f>IFERROR(IF(VALUE(LEFT(AD51,2))&lt;=2,"EC",IF(OR(VALUE(LEFT(AD51,2))=8,VALUE(LEFT(AD51,2))=18),"NW","Other")),"Other")</f>
        <v>EC</v>
      </c>
      <c r="AH51" s="86" t="str">
        <f t="shared" si="3"/>
        <v>"%USERPROFILE%\Documents\GitHub\eaglep3\Utilities\RefineRTDCRunTimes.py" --tripid 139-05 --locoid 4031 --swversion DE.1.0.8.0 --startMP 204:453 --initTime 2017-02-05T08:21:30 --startdatetime 2017-02-05T08:30:16 --delay 1 --endMP 204:233339 --enddatetime 2017-02-05T09:05:13 --enforcementcount 0 &gt;&gt;C:\Users\stu\Documents\GitHub\eaglep3-reporting\EC\2017-02-05-refined-times.txt</v>
      </c>
      <c r="AI51" s="108" t="str">
        <f t="shared" si="4"/>
        <v>echo {"issue":{"subject":"","project_id":79,"tracker_id":40,"status_id":1,"priority_id":2,"assigned_to_id":23,"start_date":"2017-02-05","description":"","custom_fields":[{"id":1,"name":"Subdivision","value":"EC"},{"id":4,"name":"Milepost","value":"23.3339"},{"id":17,"name":"Train ID","value":"139-05"},{"id":16,"name":"Locomotive ID","value":"4031"},{"id":130,"name":"Impact","value":""},{"id":150,"name":"Time of Event (Mountain Time)","value":"09:05:13"},{"id":151,"name":"Denver Issue ID","value":""},{"id":178,"name":"Operational Impact","value":"Yes"},{"id":179,"name":"Denver Segment Assigned","value":""}]}} | curl -X POST -H "Content-Type: application/json" -H "X-Redmine-API-Key: d6333d4a04012a730768444271f8ca06482dae87" https://secure.xorail.net/redmine/issues.json --data @-</v>
      </c>
      <c r="AJ51" s="48"/>
      <c r="AK51" s="48"/>
      <c r="AL51" s="48"/>
      <c r="AM51" s="158" t="str">
        <f t="shared" si="5"/>
        <v>start /low /b %USERPROFILE%\Documents\GitHub\eaglep3\Utilities\DownloadLogsFromS3.py --loco 4031 --day 2017-02-05</v>
      </c>
      <c r="AN51" s="167" t="str">
        <f>"grep -SE -B400 ""CHR.+\|PRM\|1\|D.+(SWITCH|SIGNAL).+UNKNOWN"" "&amp;search_path&amp;"\RTDC"&amp;B51&amp;"\*"&amp;B51&amp;"*"&amp;TEXT(AVERAGE(F51,I51)-utc_offset/24,"YYYYMMDD")&amp;"* | grep -SE ""(Enforcement Action)|(\[TIMEOUT)|(CHR.+\|PRM\|1\|D.+(SWITCH|SIGNAL).+UNKNOWN)"" - &gt;&gt; "&amp;TEXT(Variables!$A$2,"YYYY-MM-DD")&amp;"-UncaughtWiMAX.txt"</f>
        <v>grep -SE -B400 "CHR.+\|PRM\|1\|D.+(SWITCH|SIGNAL).+UNKNOWN" "%USERPROFILE%\AppData\Local\Temp\OnboardLogs"\RTDC4031\*4031*20170205* | grep -SE "(Enforcement Action)|(\[TIMEOUT)|(CHR.+\|PRM\|1\|D.+(SWITCH|SIGNAL).+UNKNOWN)" - &gt;&gt; 2017-02-05-UncaughtWiMAX.txt</v>
      </c>
      <c r="AO51"/>
      <c r="AP51"/>
      <c r="AQ51"/>
      <c r="AR51"/>
      <c r="AS51"/>
      <c r="AT51"/>
      <c r="AU51"/>
      <c r="AV51"/>
      <c r="AW51"/>
      <c r="AX51"/>
      <c r="AY51"/>
      <c r="AZ51"/>
      <c r="BA51"/>
      <c r="BB51"/>
      <c r="BC51"/>
      <c r="BD51"/>
      <c r="BE51"/>
      <c r="BF51"/>
      <c r="BG51"/>
      <c r="BH51"/>
      <c r="BI51"/>
      <c r="BJ51"/>
      <c r="BK51"/>
      <c r="BL51"/>
      <c r="BM51"/>
      <c r="BN51"/>
      <c r="BO51"/>
      <c r="BP51"/>
      <c r="BQ51"/>
      <c r="BR51"/>
      <c r="BS51"/>
      <c r="BT51"/>
      <c r="BU51"/>
      <c r="BV51"/>
      <c r="BW51"/>
      <c r="BX51"/>
      <c r="BY51"/>
      <c r="BZ51"/>
      <c r="CA51"/>
      <c r="CB51"/>
      <c r="CC51"/>
      <c r="CD51"/>
      <c r="CE51"/>
      <c r="CF51"/>
      <c r="CG51"/>
      <c r="CH51"/>
      <c r="CI51"/>
      <c r="CJ51"/>
      <c r="CK51"/>
      <c r="CL51"/>
      <c r="CM51"/>
    </row>
    <row r="52" spans="1:91" s="1" customFormat="1" x14ac:dyDescent="0.25">
      <c r="A52" s="33" t="s">
        <v>594</v>
      </c>
      <c r="B52" s="7">
        <v>4032</v>
      </c>
      <c r="C52" s="21" t="s">
        <v>193</v>
      </c>
      <c r="D52" s="21" t="s">
        <v>768</v>
      </c>
      <c r="E52" s="13">
        <v>42771.387129629627</v>
      </c>
      <c r="F52" s="13">
        <v>42771.393229166664</v>
      </c>
      <c r="G52" s="7">
        <v>1</v>
      </c>
      <c r="H52" s="21" t="s">
        <v>289</v>
      </c>
      <c r="I52" s="13">
        <v>42771.41878472222</v>
      </c>
      <c r="J52" s="7">
        <v>0</v>
      </c>
      <c r="K52" s="98" t="str">
        <f>IF(ISEVEN(B52),(B52-1)&amp;"/"&amp;B52,B52&amp;"/"&amp;(B52+1))</f>
        <v>4031/4032</v>
      </c>
      <c r="L52" s="21" t="str">
        <f>VLOOKUP(A52,'Trips&amp;Operators'!$C$1:$G$99999,5,FALSE)</f>
        <v>GEBRETEKLE DAGNEW</v>
      </c>
      <c r="M52" s="6">
        <f>I52-F52</f>
        <v>2.5555555555911269E-2</v>
      </c>
      <c r="N52" s="7">
        <f>24*60*SUM($M52:$M52)</f>
        <v>36.800000000512227</v>
      </c>
      <c r="O52" s="7"/>
      <c r="P52" s="7"/>
      <c r="Q52" s="22"/>
      <c r="R52" s="22"/>
      <c r="S52" s="31">
        <f>SUM(U52:U52)/IF(AG52="EC",12,1)</f>
        <v>1</v>
      </c>
      <c r="T52" s="46" t="str">
        <f>IF(ISEVEN(LEFT(AD52,4)),"Southbound","NorthBound")</f>
        <v>Southbound</v>
      </c>
      <c r="U52" s="190">
        <f>IF(AG52="EC",COUNTIFS(Variables!$M$2:$M$19,IF(T52="NorthBound","&gt;=","&lt;=")&amp;Y52,Variables!$M$2:$M$19,IF(T52="NorthBound","&lt;=","&gt;=")&amp;Z52),COUNTIFS(Variables!$P$2:$P$19,IF(T52="NorthBound","&gt;=","&lt;=")&amp;Y52,Variables!$P$2:$P$19,IF(T52="NorthBound","&lt;=","&gt;=")&amp;Z52))</f>
        <v>12</v>
      </c>
      <c r="V52" s="191" t="str">
        <f>"https://d0f6bd738d7f1b3e5a7ca70fe4ff75f0.us-east-1.aws.found.io/app/kibana#/discover/Steve-Slow-Train-Analysis-(2080s-and-2083s)?_g="&amp;"(refreshInterval:(display:Off,pause:!f,section:0,value:0),time:(from:'"&amp;TEXT(E52-1/24,"yyyy-MM-DDThh:mm:ss")&amp;utc_offset&amp;"00"&amp;"',mode:absolute,to:'"&amp;TEXT(I52+1/24,"yyyy-MM-DDThh:mm:ss")&amp;utc_offset&amp;"00"&amp;"'))&amp;_a=(columns:!('Locomotive+ID','Data.Head+End+Milepost',Data.Speed,'Data.Locomotive+State','Data.Train+ID',"&amp;"'Data.Warning%2FEnforcement+Type','Data.Target+Start+Milepost','Data.Target+Description','Data.Target+Speed',"&amp;"'Data.Enforcement+Train+Speed','Data.Enforcement+Start+Milepost','Data.Target+Type','Data.Enforcement+Direction+of+Travel','Message+ID',"&amp;"'Data.Body+of+Summary+Text','Data.Head+End+Track+name'),filters:!(),index:'emp_*',interval:auto,query:"&amp;"(query_string:(analyze_wildcard:!t,query:'Message%5C+ID:(2083+OR+2080+OR+1041+OR+2003+OR+1051+OR+1043+OR+1053)+AND+%22rtdc.l.rtdc."&amp;B52&amp;"%22')),sort:!(Time.ISO8601,asc))"</f>
        <v>https://d0f6bd738d7f1b3e5a7ca70fe4ff75f0.us-east-1.aws.found.io/app/kibana#/discover/Steve-Slow-Train-Analysis-(2080s-and-2083s)?_g=(refreshInterval:(display:Off,pause:!f,section:0,value:0),time:(from:'2017-02-05T08:17:28-0700',mode:absolute,to:'2017-02-05T11:03:03-0700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4032%22')),sort:!(Time.ISO8601,asc))</v>
      </c>
      <c r="W52" s="192" t="str">
        <f>IF(AA52&lt;IF(AG52="EC",23,5.65),"Y","N")</f>
        <v>N</v>
      </c>
      <c r="X52" s="192">
        <f>VALUE(LEFT(AD52,4))-VALUE(LEFT(AD51,4))</f>
        <v>1</v>
      </c>
      <c r="Y52" s="62">
        <f>RIGHT(D52,LEN(D52)-4)/10000</f>
        <v>23.3</v>
      </c>
      <c r="Z52" s="62">
        <f>RIGHT(H52,LEN(H52)-4)/10000</f>
        <v>1.5599999999999999E-2</v>
      </c>
      <c r="AA52" s="62">
        <f>ABS(Z52-Y52)</f>
        <v>23.284400000000002</v>
      </c>
      <c r="AB52" s="59" t="e">
        <f>VLOOKUP(A52,Enforcements!$C$7:$K$16,8,0)</f>
        <v>#N/A</v>
      </c>
      <c r="AC52" s="55" t="e">
        <f>VLOOKUP(A52,Enforcements!$C$7:$E$16,3,0)</f>
        <v>#N/A</v>
      </c>
      <c r="AD52" s="56" t="str">
        <f>IF(LEN(A52)=6,"0"&amp;A52,A52)</f>
        <v>0140-05</v>
      </c>
      <c r="AE52" s="85" t="str">
        <f>"aws s3 cp "&amp;s3_bucket&amp;"/RTDC"&amp;B52&amp;"/ "&amp;search_path&amp;"\RTDC"&amp;B52&amp;"\"&amp;TEXT(F52,"YYYY-MM-DD")&amp;" --exclude ""*"" --recursive --include ""*"&amp;TEXT(F52,"YYYYMMDD")&amp;"*"" &amp; """&amp;walkandungz&amp;""" "&amp;search_path&amp;"\RTDC"&amp;B52&amp;"\"&amp;TEXT(F52,"YYYY-MM-DD")
&amp;" &amp; "&amp;"aws s3 cp "&amp;s3_bucket&amp;"/RTDC"&amp;B52&amp;"/ "&amp;search_path&amp;"\RTDC"&amp;B52&amp;"\"&amp;TEXT(F52+1,"YYYY-MM-DD")&amp;" --exclude ""*"" --recursive --include ""*"&amp;TEXT(F52+1,"YYYYMMDD")&amp;"*"" &amp; """&amp;walkandungz&amp;""" "&amp;search_path&amp;"\RTDC"&amp;B52&amp;"\"&amp;TEXT(F52+1,"YYYY-MM-DD")</f>
        <v>aws s3 cp s3://rtdc.mdm.uploadarchive.raw/RTDC4032/ "%USERPROFILE%\AppData\Local\Temp\OnboardLogs"\RTDC4032\2017-02-05 --exclude "*" --recursive --include "*20170205*" &amp; "%USERPROFILE%\Documents\GitHub\mrs-test-scripts\Headless Mode &amp; Sideloading\WalkAndUnGZ.bat" "%USERPROFILE%\AppData\Local\Temp\OnboardLogs"\RTDC4032\2017-02-05 &amp; aws s3 cp s3://rtdc.mdm.uploadarchive.raw/RTDC4032/ "%USERPROFILE%\AppData\Local\Temp\OnboardLogs"\RTDC4032\2017-02-06 --exclude "*" --recursive --include "*20170206*" &amp; "%USERPROFILE%\Documents\GitHub\mrs-test-scripts\Headless Mode &amp; Sideloading\WalkAndUnGZ.bat" "%USERPROFILE%\AppData\Local\Temp\OnboardLogs"\RTDC4032\2017-02-06</v>
      </c>
      <c r="AF52" s="82" t="str">
        <f>astrogrep_path&amp;" /spath="&amp;search_path&amp;" /stypes=""app*"&amp;B52&amp;"*"&amp;TEXT(I52-utc_offset/24,"YYYYMMDD")&amp;"*"" /stext="" "&amp;TEXT(I52-utc_offset/24,"HH")&amp;search_regexp&amp;""" /e /r /s"</f>
        <v>"C:\Program Files (x86)\AstroGrep\AstroGrep.exe" /spath="%USERPROFILE%\AppData\Local\Temp\OnboardLogs" /stypes="app*4032*20170205*" /stext=" 17:.+((SYSTEM_STATE.+slice.+state.+changed )|(ment ac)|(multiple cpu faults)|(system.+state.+changed )|(\[timeout)|(PRM\|1\|D)|(kpr)|(kdp)|(\|lc)|(penalty))" /e /r /s</v>
      </c>
      <c r="AG52" s="1" t="str">
        <f>IFERROR(IF(VALUE(LEFT(AD52,2))&lt;=2,"EC",IF(OR(VALUE(LEFT(AD52,2))=8,VALUE(LEFT(AD52,2))=18),"NW","Other")),"Other")</f>
        <v>EC</v>
      </c>
      <c r="AH52" s="86" t="str">
        <f t="shared" si="3"/>
        <v>"%USERPROFILE%\Documents\GitHub\eaglep3\Utilities\RefineRTDCRunTimes.py" --tripid 140-05 --locoid 4032 --swversion DE.1.0.8.0 --startMP 204:233000 --initTime 2017-02-05T09:17:28 --startdatetime 2017-02-05T09:26:15 --delay 1 --endMP 204:156 --enddatetime 2017-02-05T10:03:03 --enforcementcount 0 &gt;&gt;C:\Users\stu\Documents\GitHub\eaglep3-reporting\EC\2017-02-05-refined-times.txt</v>
      </c>
      <c r="AI52" s="108" t="str">
        <f t="shared" si="4"/>
        <v>echo {"issue":{"subject":"","project_id":79,"tracker_id":40,"status_id":1,"priority_id":2,"assigned_to_id":23,"start_date":"2017-02-05","description":"","custom_fields":[{"id":1,"name":"Subdivision","value":"EC"},{"id":4,"name":"Milepost","value":"0.0156"},{"id":17,"name":"Train ID","value":"140-05"},{"id":16,"name":"Locomotive ID","value":"4032"},{"id":130,"name":"Impact","value":""},{"id":150,"name":"Time of Event (Mountain Time)","value":"10:03:03"},{"id":151,"name":"Denver Issue ID","value":""},{"id":178,"name":"Operational Impact","value":"Yes"},{"id":179,"name":"Denver Segment Assigned","value":""}]}} | curl -X POST -H "Content-Type: application/json" -H "X-Redmine-API-Key: d6333d4a04012a730768444271f8ca06482dae87" https://secure.xorail.net/redmine/issues.json --data @-</v>
      </c>
      <c r="AJ52" s="48"/>
      <c r="AK52" s="48"/>
      <c r="AL52" s="48"/>
      <c r="AM52" s="158" t="str">
        <f t="shared" si="5"/>
        <v>start /low /b %USERPROFILE%\Documents\GitHub\eaglep3\Utilities\DownloadLogsFromS3.py --loco 4032 --day 2017-02-05</v>
      </c>
      <c r="AN52" s="167" t="str">
        <f>"grep -SE -B400 ""CHR.+\|PRM\|1\|D.+(SWITCH|SIGNAL).+UNKNOWN"" "&amp;search_path&amp;"\RTDC"&amp;B52&amp;"\*"&amp;B52&amp;"*"&amp;TEXT(AVERAGE(F52,I52)-utc_offset/24,"YYYYMMDD")&amp;"* | grep -SE ""(Enforcement Action)|(\[TIMEOUT)|(CHR.+\|PRM\|1\|D.+(SWITCH|SIGNAL).+UNKNOWN)"" - &gt;&gt; "&amp;TEXT(Variables!$A$2,"YYYY-MM-DD")&amp;"-UncaughtWiMAX.txt"</f>
        <v>grep -SE -B400 "CHR.+\|PRM\|1\|D.+(SWITCH|SIGNAL).+UNKNOWN" "%USERPROFILE%\AppData\Local\Temp\OnboardLogs"\RTDC4032\*4032*20170205* | grep -SE "(Enforcement Action)|(\[TIMEOUT)|(CHR.+\|PRM\|1\|D.+(SWITCH|SIGNAL).+UNKNOWN)" - &gt;&gt; 2017-02-05-UncaughtWiMAX.txt</v>
      </c>
      <c r="AO52"/>
      <c r="AP52"/>
      <c r="AQ52"/>
      <c r="AR52"/>
      <c r="AS52"/>
      <c r="AT52"/>
      <c r="AU52"/>
      <c r="AV52"/>
      <c r="AW52"/>
      <c r="AX52"/>
      <c r="AY52"/>
      <c r="AZ52"/>
      <c r="BA52"/>
      <c r="BB52"/>
      <c r="BC52"/>
      <c r="BD52"/>
      <c r="BE52"/>
      <c r="BF52"/>
      <c r="BG52"/>
      <c r="BH52"/>
      <c r="BI52"/>
      <c r="BJ52"/>
      <c r="BK52"/>
      <c r="BL52"/>
      <c r="BM52"/>
      <c r="BN52"/>
      <c r="BO52"/>
      <c r="BP52"/>
      <c r="BQ52"/>
      <c r="BR52"/>
      <c r="BS52"/>
      <c r="BT52"/>
      <c r="BU52"/>
      <c r="BV52"/>
      <c r="BW52"/>
      <c r="BX52"/>
      <c r="BY52"/>
      <c r="BZ52"/>
      <c r="CA52"/>
      <c r="CB52"/>
      <c r="CC52"/>
      <c r="CD52"/>
      <c r="CE52"/>
      <c r="CF52"/>
      <c r="CG52"/>
      <c r="CH52"/>
      <c r="CI52"/>
      <c r="CJ52"/>
      <c r="CK52"/>
      <c r="CL52"/>
      <c r="CM52"/>
    </row>
    <row r="53" spans="1:91" s="1" customFormat="1" x14ac:dyDescent="0.25">
      <c r="A53" s="33" t="s">
        <v>588</v>
      </c>
      <c r="B53" s="7">
        <v>4009</v>
      </c>
      <c r="C53" s="21" t="s">
        <v>193</v>
      </c>
      <c r="D53" s="21" t="s">
        <v>276</v>
      </c>
      <c r="E53" s="13">
        <v>42771.359074074076</v>
      </c>
      <c r="F53" s="13">
        <v>42771.364803240744</v>
      </c>
      <c r="G53" s="7">
        <v>1</v>
      </c>
      <c r="H53" s="21" t="s">
        <v>416</v>
      </c>
      <c r="I53" s="13">
        <v>42771.390844907408</v>
      </c>
      <c r="J53" s="7">
        <v>0</v>
      </c>
      <c r="K53" s="98" t="str">
        <f>IF(ISEVEN(B53),(B53-1)&amp;"/"&amp;B53,B53&amp;"/"&amp;(B53+1))</f>
        <v>4009/4010</v>
      </c>
      <c r="L53" s="21" t="str">
        <f>VLOOKUP(A53,'Trips&amp;Operators'!$C$1:$G$99999,5,FALSE)</f>
        <v>OUN ZACK</v>
      </c>
      <c r="M53" s="6">
        <f>I53-F53</f>
        <v>2.6041666664241347E-2</v>
      </c>
      <c r="N53" s="7">
        <f>24*60*SUM($M53:$M53)</f>
        <v>37.49999999650754</v>
      </c>
      <c r="O53" s="7"/>
      <c r="P53" s="7"/>
      <c r="Q53" s="22"/>
      <c r="R53" s="22"/>
      <c r="S53" s="31">
        <f>SUM(U53:U53)/IF(AG53="EC",12,1)</f>
        <v>1</v>
      </c>
      <c r="T53" s="46" t="str">
        <f>IF(ISEVEN(LEFT(AD53,4)),"Southbound","NorthBound")</f>
        <v>NorthBound</v>
      </c>
      <c r="U53" s="190">
        <f>IF(AG53="EC",COUNTIFS(Variables!$M$2:$M$19,IF(T53="NorthBound","&gt;=","&lt;=")&amp;Y53,Variables!$M$2:$M$19,IF(T53="NorthBound","&lt;=","&gt;=")&amp;Z53),COUNTIFS(Variables!$P$2:$P$19,IF(T53="NorthBound","&gt;=","&lt;=")&amp;Y53,Variables!$P$2:$P$19,IF(T53="NorthBound","&lt;=","&gt;=")&amp;Z53))</f>
        <v>12</v>
      </c>
      <c r="V53" s="191" t="str">
        <f>"https://d0f6bd738d7f1b3e5a7ca70fe4ff75f0.us-east-1.aws.found.io/app/kibana#/discover/Steve-Slow-Train-Analysis-(2080s-and-2083s)?_g="&amp;"(refreshInterval:(display:Off,pause:!f,section:0,value:0),time:(from:'"&amp;TEXT(E53-1/24,"yyyy-MM-DDThh:mm:ss")&amp;utc_offset&amp;"00"&amp;"',mode:absolute,to:'"&amp;TEXT(I53+1/24,"yyyy-MM-DDThh:mm:ss")&amp;utc_offset&amp;"00"&amp;"'))&amp;_a=(columns:!('Locomotive+ID','Data.Head+End+Milepost',Data.Speed,'Data.Locomotive+State','Data.Train+ID',"&amp;"'Data.Warning%2FEnforcement+Type','Data.Target+Start+Milepost','Data.Target+Description','Data.Target+Speed',"&amp;"'Data.Enforcement+Train+Speed','Data.Enforcement+Start+Milepost','Data.Target+Type','Data.Enforcement+Direction+of+Travel','Message+ID',"&amp;"'Data.Body+of+Summary+Text','Data.Head+End+Track+name'),filters:!(),index:'emp_*',interval:auto,query:"&amp;"(query_string:(analyze_wildcard:!t,query:'Message%5C+ID:(2083+OR+2080+OR+1041+OR+2003+OR+1051+OR+1043+OR+1053)+AND+%22rtdc.l.rtdc."&amp;B53&amp;"%22')),sort:!(Time.ISO8601,asc))"</f>
        <v>https://d0f6bd738d7f1b3e5a7ca70fe4ff75f0.us-east-1.aws.found.io/app/kibana#/discover/Steve-Slow-Train-Analysis-(2080s-and-2083s)?_g=(refreshInterval:(display:Off,pause:!f,section:0,value:0),time:(from:'2017-02-05T07:37:04-0700',mode:absolute,to:'2017-02-05T10:22:49-0700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4009%22')),sort:!(Time.ISO8601,asc))</v>
      </c>
      <c r="W53" s="192" t="str">
        <f>IF(AA53&lt;IF(AG53="EC",23,5.65),"Y","N")</f>
        <v>N</v>
      </c>
      <c r="X53" s="192">
        <f>VALUE(LEFT(AD53,4))-VALUE(LEFT(AD52,4))</f>
        <v>1</v>
      </c>
      <c r="Y53" s="62">
        <f>RIGHT(D53,LEN(D53)-4)/10000</f>
        <v>4.7100000000000003E-2</v>
      </c>
      <c r="Z53" s="62">
        <f>RIGHT(H53,LEN(H53)-4)/10000</f>
        <v>23.331399999999999</v>
      </c>
      <c r="AA53" s="62">
        <f>ABS(Z53-Y53)</f>
        <v>23.284299999999998</v>
      </c>
      <c r="AB53" s="59" t="e">
        <f>VLOOKUP(A53,Enforcements!$C$7:$K$16,8,0)</f>
        <v>#N/A</v>
      </c>
      <c r="AC53" s="55" t="e">
        <f>VLOOKUP(A53,Enforcements!$C$7:$E$16,3,0)</f>
        <v>#N/A</v>
      </c>
      <c r="AD53" s="56" t="str">
        <f>IF(LEN(A53)=6,"0"&amp;A53,A53)</f>
        <v>0141-05</v>
      </c>
      <c r="AE53" s="85" t="str">
        <f>"aws s3 cp "&amp;s3_bucket&amp;"/RTDC"&amp;B53&amp;"/ "&amp;search_path&amp;"\RTDC"&amp;B53&amp;"\"&amp;TEXT(F53,"YYYY-MM-DD")&amp;" --exclude ""*"" --recursive --include ""*"&amp;TEXT(F53,"YYYYMMDD")&amp;"*"" &amp; """&amp;walkandungz&amp;""" "&amp;search_path&amp;"\RTDC"&amp;B53&amp;"\"&amp;TEXT(F53,"YYYY-MM-DD")
&amp;" &amp; "&amp;"aws s3 cp "&amp;s3_bucket&amp;"/RTDC"&amp;B53&amp;"/ "&amp;search_path&amp;"\RTDC"&amp;B53&amp;"\"&amp;TEXT(F53+1,"YYYY-MM-DD")&amp;" --exclude ""*"" --recursive --include ""*"&amp;TEXT(F53+1,"YYYYMMDD")&amp;"*"" &amp; """&amp;walkandungz&amp;""" "&amp;search_path&amp;"\RTDC"&amp;B53&amp;"\"&amp;TEXT(F53+1,"YYYY-MM-DD")</f>
        <v>aws s3 cp s3://rtdc.mdm.uploadarchive.raw/RTDC4009/ "%USERPROFILE%\AppData\Local\Temp\OnboardLogs"\RTDC4009\2017-02-05 --exclude "*" --recursive --include "*20170205*" &amp; "%USERPROFILE%\Documents\GitHub\mrs-test-scripts\Headless Mode &amp; Sideloading\WalkAndUnGZ.bat" "%USERPROFILE%\AppData\Local\Temp\OnboardLogs"\RTDC4009\2017-02-05 &amp; aws s3 cp s3://rtdc.mdm.uploadarchive.raw/RTDC4009/ "%USERPROFILE%\AppData\Local\Temp\OnboardLogs"\RTDC4009\2017-02-06 --exclude "*" --recursive --include "*20170206*" &amp; "%USERPROFILE%\Documents\GitHub\mrs-test-scripts\Headless Mode &amp; Sideloading\WalkAndUnGZ.bat" "%USERPROFILE%\AppData\Local\Temp\OnboardLogs"\RTDC4009\2017-02-06</v>
      </c>
      <c r="AF53" s="82" t="str">
        <f>astrogrep_path&amp;" /spath="&amp;search_path&amp;" /stypes=""app*"&amp;B53&amp;"*"&amp;TEXT(I53-utc_offset/24,"YYYYMMDD")&amp;"*"" /stext="" "&amp;TEXT(I53-utc_offset/24,"HH")&amp;search_regexp&amp;""" /e /r /s"</f>
        <v>"C:\Program Files (x86)\AstroGrep\AstroGrep.exe" /spath="%USERPROFILE%\AppData\Local\Temp\OnboardLogs" /stypes="app*4009*20170205*" /stext=" 16:.+((SYSTEM_STATE.+slice.+state.+changed )|(ment ac)|(multiple cpu faults)|(system.+state.+changed )|(\[timeout)|(PRM\|1\|D)|(kpr)|(kdp)|(\|lc)|(penalty))" /e /r /s</v>
      </c>
      <c r="AG53" s="1" t="str">
        <f>IFERROR(IF(VALUE(LEFT(AD53,2))&lt;=2,"EC",IF(OR(VALUE(LEFT(AD53,2))=8,VALUE(LEFT(AD53,2))=18),"NW","Other")),"Other")</f>
        <v>EC</v>
      </c>
      <c r="AH53" s="86" t="str">
        <f t="shared" si="3"/>
        <v>"%USERPROFILE%\Documents\GitHub\eaglep3\Utilities\RefineRTDCRunTimes.py" --tripid 141-05 --locoid 4009 --swversion DE.1.0.8.0 --startMP 204:471 --initTime 2017-02-05T08:37:04 --startdatetime 2017-02-05T08:45:19 --delay 1 --endMP 204:233314 --enddatetime 2017-02-05T09:22:49 --enforcementcount 0 &gt;&gt;C:\Users\stu\Documents\GitHub\eaglep3-reporting\EC\2017-02-05-refined-times.txt</v>
      </c>
      <c r="AI53" s="108" t="str">
        <f t="shared" si="4"/>
        <v>echo {"issue":{"subject":"","project_id":79,"tracker_id":40,"status_id":1,"priority_id":2,"assigned_to_id":23,"start_date":"2017-02-05","description":"","custom_fields":[{"id":1,"name":"Subdivision","value":"EC"},{"id":4,"name":"Milepost","value":"23.3314"},{"id":17,"name":"Train ID","value":"141-05"},{"id":16,"name":"Locomotive ID","value":"4009"},{"id":130,"name":"Impact","value":""},{"id":150,"name":"Time of Event (Mountain Time)","value":"09:22:49"},{"id":151,"name":"Denver Issue ID","value":""},{"id":178,"name":"Operational Impact","value":"Yes"},{"id":179,"name":"Denver Segment Assigned","value":""}]}} | curl -X POST -H "Content-Type: application/json" -H "X-Redmine-API-Key: d6333d4a04012a730768444271f8ca06482dae87" https://secure.xorail.net/redmine/issues.json --data @-</v>
      </c>
      <c r="AJ53" s="48"/>
      <c r="AK53" s="48"/>
      <c r="AL53" s="48"/>
      <c r="AM53" s="158" t="str">
        <f t="shared" si="5"/>
        <v>start /low /b %USERPROFILE%\Documents\GitHub\eaglep3\Utilities\DownloadLogsFromS3.py --loco 4009 --day 2017-02-05</v>
      </c>
      <c r="AN53" s="167" t="str">
        <f>"grep -SE -B400 ""CHR.+\|PRM\|1\|D.+(SWITCH|SIGNAL).+UNKNOWN"" "&amp;search_path&amp;"\RTDC"&amp;B53&amp;"\*"&amp;B53&amp;"*"&amp;TEXT(AVERAGE(F53,I53)-utc_offset/24,"YYYYMMDD")&amp;"* | grep -SE ""(Enforcement Action)|(\[TIMEOUT)|(CHR.+\|PRM\|1\|D.+(SWITCH|SIGNAL).+UNKNOWN)"" - &gt;&gt; "&amp;TEXT(Variables!$A$2,"YYYY-MM-DD")&amp;"-UncaughtWiMAX.txt"</f>
        <v>grep -SE -B400 "CHR.+\|PRM\|1\|D.+(SWITCH|SIGNAL).+UNKNOWN" "%USERPROFILE%\AppData\Local\Temp\OnboardLogs"\RTDC4009\*4009*20170205* | grep -SE "(Enforcement Action)|(\[TIMEOUT)|(CHR.+\|PRM\|1\|D.+(SWITCH|SIGNAL).+UNKNOWN)" - &gt;&gt; 2017-02-05-UncaughtWiMAX.txt</v>
      </c>
      <c r="AO53"/>
      <c r="AP53"/>
      <c r="AQ53"/>
      <c r="AR53"/>
      <c r="AS53"/>
      <c r="AT53"/>
      <c r="AU53"/>
      <c r="AV53"/>
      <c r="AW53"/>
      <c r="AX53"/>
      <c r="AY53"/>
      <c r="AZ53"/>
      <c r="BA53"/>
      <c r="BB53"/>
      <c r="BC53"/>
      <c r="BD53"/>
      <c r="BE53"/>
      <c r="BF53"/>
      <c r="BG53"/>
      <c r="BH53"/>
      <c r="BI53"/>
      <c r="BJ53"/>
      <c r="BK53"/>
      <c r="BL53"/>
      <c r="BM53"/>
      <c r="BN53"/>
      <c r="BO53"/>
      <c r="BP53"/>
      <c r="BQ53"/>
      <c r="BR53"/>
      <c r="BS53"/>
      <c r="BT53"/>
      <c r="BU53"/>
      <c r="BV53"/>
      <c r="BW53"/>
      <c r="BX53"/>
      <c r="BY53"/>
      <c r="BZ53"/>
      <c r="CA53"/>
      <c r="CB53"/>
      <c r="CC53"/>
      <c r="CD53"/>
      <c r="CE53"/>
      <c r="CF53"/>
      <c r="CG53"/>
      <c r="CH53"/>
      <c r="CI53"/>
      <c r="CJ53"/>
      <c r="CK53"/>
      <c r="CL53"/>
      <c r="CM53"/>
    </row>
    <row r="54" spans="1:91" s="1" customFormat="1" x14ac:dyDescent="0.25">
      <c r="A54" s="33" t="s">
        <v>596</v>
      </c>
      <c r="B54" s="7">
        <v>4010</v>
      </c>
      <c r="C54" s="21" t="s">
        <v>193</v>
      </c>
      <c r="D54" s="21" t="s">
        <v>770</v>
      </c>
      <c r="E54" s="13">
        <v>42771.399398148147</v>
      </c>
      <c r="F54" s="13">
        <v>42771.403657407405</v>
      </c>
      <c r="G54" s="7">
        <v>0</v>
      </c>
      <c r="H54" s="21" t="s">
        <v>196</v>
      </c>
      <c r="I54" s="13">
        <v>42771.430486111109</v>
      </c>
      <c r="J54" s="7">
        <v>0</v>
      </c>
      <c r="K54" s="98" t="str">
        <f>IF(ISEVEN(B54),(B54-1)&amp;"/"&amp;B54,B54&amp;"/"&amp;(B54+1))</f>
        <v>4009/4010</v>
      </c>
      <c r="L54" s="21" t="str">
        <f>VLOOKUP(A54,'Trips&amp;Operators'!$C$1:$G$99999,5,FALSE)</f>
        <v>OUN ZACK</v>
      </c>
      <c r="M54" s="6">
        <f>I54-F54</f>
        <v>2.6828703703358769E-2</v>
      </c>
      <c r="N54" s="7">
        <f>24*60*SUM($M54:$M54)</f>
        <v>38.633333332836628</v>
      </c>
      <c r="O54" s="7"/>
      <c r="P54" s="7"/>
      <c r="Q54" s="22"/>
      <c r="R54" s="22"/>
      <c r="S54" s="31">
        <f>SUM(U54:U54)/IF(AG54="EC",12,1)</f>
        <v>1</v>
      </c>
      <c r="T54" s="46" t="str">
        <f>IF(ISEVEN(LEFT(AD54,4)),"Southbound","NorthBound")</f>
        <v>Southbound</v>
      </c>
      <c r="U54" s="190">
        <f>IF(AG54="EC",COUNTIFS(Variables!$M$2:$M$19,IF(T54="NorthBound","&gt;=","&lt;=")&amp;Y54,Variables!$M$2:$M$19,IF(T54="NorthBound","&lt;=","&gt;=")&amp;Z54),COUNTIFS(Variables!$P$2:$P$19,IF(T54="NorthBound","&gt;=","&lt;=")&amp;Y54,Variables!$P$2:$P$19,IF(T54="NorthBound","&lt;=","&gt;=")&amp;Z54))</f>
        <v>12</v>
      </c>
      <c r="V54" s="191" t="str">
        <f>"https://d0f6bd738d7f1b3e5a7ca70fe4ff75f0.us-east-1.aws.found.io/app/kibana#/discover/Steve-Slow-Train-Analysis-(2080s-and-2083s)?_g="&amp;"(refreshInterval:(display:Off,pause:!f,section:0,value:0),time:(from:'"&amp;TEXT(E54-1/24,"yyyy-MM-DDThh:mm:ss")&amp;utc_offset&amp;"00"&amp;"',mode:absolute,to:'"&amp;TEXT(I54+1/24,"yyyy-MM-DDThh:mm:ss")&amp;utc_offset&amp;"00"&amp;"'))&amp;_a=(columns:!('Locomotive+ID','Data.Head+End+Milepost',Data.Speed,'Data.Locomotive+State','Data.Train+ID',"&amp;"'Data.Warning%2FEnforcement+Type','Data.Target+Start+Milepost','Data.Target+Description','Data.Target+Speed',"&amp;"'Data.Enforcement+Train+Speed','Data.Enforcement+Start+Milepost','Data.Target+Type','Data.Enforcement+Direction+of+Travel','Message+ID',"&amp;"'Data.Body+of+Summary+Text','Data.Head+End+Track+name'),filters:!(),index:'emp_*',interval:auto,query:"&amp;"(query_string:(analyze_wildcard:!t,query:'Message%5C+ID:(2083+OR+2080+OR+1041+OR+2003+OR+1051+OR+1043+OR+1053)+AND+%22rtdc.l.rtdc."&amp;B54&amp;"%22')),sort:!(Time.ISO8601,asc))"</f>
        <v>https://d0f6bd738d7f1b3e5a7ca70fe4ff75f0.us-east-1.aws.found.io/app/kibana#/discover/Steve-Slow-Train-Analysis-(2080s-and-2083s)?_g=(refreshInterval:(display:Off,pause:!f,section:0,value:0),time:(from:'2017-02-05T08:35:08-0700',mode:absolute,to:'2017-02-05T11:19:54-0700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4010%22')),sort:!(Time.ISO8601,asc))</v>
      </c>
      <c r="W54" s="192" t="str">
        <f>IF(AA54&lt;IF(AG54="EC",23,5.65),"Y","N")</f>
        <v>N</v>
      </c>
      <c r="X54" s="192">
        <f>VALUE(LEFT(AD54,4))-VALUE(LEFT(AD53,4))</f>
        <v>1</v>
      </c>
      <c r="Y54" s="62">
        <f>RIGHT(D54,LEN(D54)-4)/10000</f>
        <v>23.302299999999999</v>
      </c>
      <c r="Z54" s="62">
        <f>RIGHT(H54,LEN(H54)-4)/10000</f>
        <v>1.4999999999999999E-2</v>
      </c>
      <c r="AA54" s="62">
        <f>ABS(Z54-Y54)</f>
        <v>23.287299999999998</v>
      </c>
      <c r="AB54" s="59" t="e">
        <f>VLOOKUP(A54,Enforcements!$C$7:$K$16,8,0)</f>
        <v>#N/A</v>
      </c>
      <c r="AC54" s="55" t="e">
        <f>VLOOKUP(A54,Enforcements!$C$7:$E$16,3,0)</f>
        <v>#N/A</v>
      </c>
      <c r="AD54" s="56" t="str">
        <f>IF(LEN(A54)=6,"0"&amp;A54,A54)</f>
        <v>0142-05</v>
      </c>
      <c r="AE54" s="85" t="str">
        <f>"aws s3 cp "&amp;s3_bucket&amp;"/RTDC"&amp;B54&amp;"/ "&amp;search_path&amp;"\RTDC"&amp;B54&amp;"\"&amp;TEXT(F54,"YYYY-MM-DD")&amp;" --exclude ""*"" --recursive --include ""*"&amp;TEXT(F54,"YYYYMMDD")&amp;"*"" &amp; """&amp;walkandungz&amp;""" "&amp;search_path&amp;"\RTDC"&amp;B54&amp;"\"&amp;TEXT(F54,"YYYY-MM-DD")
&amp;" &amp; "&amp;"aws s3 cp "&amp;s3_bucket&amp;"/RTDC"&amp;B54&amp;"/ "&amp;search_path&amp;"\RTDC"&amp;B54&amp;"\"&amp;TEXT(F54+1,"YYYY-MM-DD")&amp;" --exclude ""*"" --recursive --include ""*"&amp;TEXT(F54+1,"YYYYMMDD")&amp;"*"" &amp; """&amp;walkandungz&amp;""" "&amp;search_path&amp;"\RTDC"&amp;B54&amp;"\"&amp;TEXT(F54+1,"YYYY-MM-DD")</f>
        <v>aws s3 cp s3://rtdc.mdm.uploadarchive.raw/RTDC4010/ "%USERPROFILE%\AppData\Local\Temp\OnboardLogs"\RTDC4010\2017-02-05 --exclude "*" --recursive --include "*20170205*" &amp; "%USERPROFILE%\Documents\GitHub\mrs-test-scripts\Headless Mode &amp; Sideloading\WalkAndUnGZ.bat" "%USERPROFILE%\AppData\Local\Temp\OnboardLogs"\RTDC4010\2017-02-05 &amp; aws s3 cp s3://rtdc.mdm.uploadarchive.raw/RTDC4010/ "%USERPROFILE%\AppData\Local\Temp\OnboardLogs"\RTDC4010\2017-02-06 --exclude "*" --recursive --include "*20170206*" &amp; "%USERPROFILE%\Documents\GitHub\mrs-test-scripts\Headless Mode &amp; Sideloading\WalkAndUnGZ.bat" "%USERPROFILE%\AppData\Local\Temp\OnboardLogs"\RTDC4010\2017-02-06</v>
      </c>
      <c r="AF54" s="82" t="str">
        <f>astrogrep_path&amp;" /spath="&amp;search_path&amp;" /stypes=""app*"&amp;B54&amp;"*"&amp;TEXT(I54-utc_offset/24,"YYYYMMDD")&amp;"*"" /stext="" "&amp;TEXT(I54-utc_offset/24,"HH")&amp;search_regexp&amp;""" /e /r /s"</f>
        <v>"C:\Program Files (x86)\AstroGrep\AstroGrep.exe" /spath="%USERPROFILE%\AppData\Local\Temp\OnboardLogs" /stypes="app*4010*20170205*" /stext=" 17:.+((SYSTEM_STATE.+slice.+state.+changed )|(ment ac)|(multiple cpu faults)|(system.+state.+changed )|(\[timeout)|(PRM\|1\|D)|(kpr)|(kdp)|(\|lc)|(penalty))" /e /r /s</v>
      </c>
      <c r="AG54" s="1" t="str">
        <f>IFERROR(IF(VALUE(LEFT(AD54,2))&lt;=2,"EC",IF(OR(VALUE(LEFT(AD54,2))=8,VALUE(LEFT(AD54,2))=18),"NW","Other")),"Other")</f>
        <v>EC</v>
      </c>
      <c r="AH54" s="86" t="str">
        <f t="shared" si="3"/>
        <v>"%USERPROFILE%\Documents\GitHub\eaglep3\Utilities\RefineRTDCRunTimes.py" --tripid 142-05 --locoid 4010 --swversion DE.1.0.8.0 --startMP 204:233023 --initTime 2017-02-05T09:35:08 --startdatetime 2017-02-05T09:41:16 --delay 0 --endMP 204:150 --enddatetime 2017-02-05T10:19:54 --enforcementcount 0 &gt;&gt;C:\Users\stu\Documents\GitHub\eaglep3-reporting\EC\2017-02-05-refined-times.txt</v>
      </c>
      <c r="AI54" s="108" t="str">
        <f t="shared" si="4"/>
        <v>echo {"issue":{"subject":"","project_id":79,"tracker_id":40,"status_id":1,"priority_id":2,"assigned_to_id":23,"start_date":"2017-02-05","description":"","custom_fields":[{"id":1,"name":"Subdivision","value":"EC"},{"id":4,"name":"Milepost","value":"0.015"},{"id":17,"name":"Train ID","value":"142-05"},{"id":16,"name":"Locomotive ID","value":"4010"},{"id":130,"name":"Impact","value":""},{"id":150,"name":"Time of Event (Mountain Time)","value":"10:19:54"},{"id":151,"name":"Denver Issue ID","value":""},{"id":178,"name":"Operational Impact","value":"Yes"},{"id":179,"name":"Denver Segment Assigned","value":""}]}} | curl -X POST -H "Content-Type: application/json" -H "X-Redmine-API-Key: d6333d4a04012a730768444271f8ca06482dae87" https://secure.xorail.net/redmine/issues.json --data @-</v>
      </c>
      <c r="AJ54" s="48"/>
      <c r="AK54" s="48"/>
      <c r="AL54" s="48"/>
      <c r="AM54" s="158" t="str">
        <f t="shared" si="5"/>
        <v>start /low /b %USERPROFILE%\Documents\GitHub\eaglep3\Utilities\DownloadLogsFromS3.py --loco 4010 --day 2017-02-05</v>
      </c>
      <c r="AN54" s="167" t="str">
        <f>"grep -SE -B400 ""CHR.+\|PRM\|1\|D.+(SWITCH|SIGNAL).+UNKNOWN"" "&amp;search_path&amp;"\RTDC"&amp;B54&amp;"\*"&amp;B54&amp;"*"&amp;TEXT(AVERAGE(F54,I54)-utc_offset/24,"YYYYMMDD")&amp;"* | grep -SE ""(Enforcement Action)|(\[TIMEOUT)|(CHR.+\|PRM\|1\|D.+(SWITCH|SIGNAL).+UNKNOWN)"" - &gt;&gt; "&amp;TEXT(Variables!$A$2,"YYYY-MM-DD")&amp;"-UncaughtWiMAX.txt"</f>
        <v>grep -SE -B400 "CHR.+\|PRM\|1\|D.+(SWITCH|SIGNAL).+UNKNOWN" "%USERPROFILE%\AppData\Local\Temp\OnboardLogs"\RTDC4010\*4010*20170205* | grep -SE "(Enforcement Action)|(\[TIMEOUT)|(CHR.+\|PRM\|1\|D.+(SWITCH|SIGNAL).+UNKNOWN)" - &gt;&gt; 2017-02-05-UncaughtWiMAX.txt</v>
      </c>
      <c r="AO54"/>
      <c r="AP54"/>
      <c r="AQ54"/>
      <c r="AR54"/>
      <c r="AS54"/>
      <c r="AT54"/>
      <c r="AU54"/>
      <c r="AV54"/>
      <c r="AW54"/>
      <c r="AX54"/>
      <c r="AY54"/>
      <c r="AZ54"/>
      <c r="BA54"/>
      <c r="BB54"/>
      <c r="BC54"/>
      <c r="BD54"/>
      <c r="BE54"/>
      <c r="BF54"/>
      <c r="BG54"/>
      <c r="BH54"/>
      <c r="BI54"/>
      <c r="BJ54"/>
      <c r="BK54"/>
      <c r="BL54"/>
      <c r="BM54"/>
      <c r="BN54"/>
      <c r="BO54"/>
      <c r="BP54"/>
      <c r="BQ54"/>
      <c r="BR54"/>
      <c r="BS54"/>
      <c r="BT54"/>
      <c r="BU54"/>
      <c r="BV54"/>
      <c r="BW54"/>
      <c r="BX54"/>
      <c r="BY54"/>
      <c r="BZ54"/>
      <c r="CA54"/>
      <c r="CB54"/>
      <c r="CC54"/>
      <c r="CD54"/>
      <c r="CE54"/>
      <c r="CF54"/>
      <c r="CG54"/>
      <c r="CH54"/>
      <c r="CI54"/>
      <c r="CJ54"/>
      <c r="CK54"/>
      <c r="CL54"/>
      <c r="CM54"/>
    </row>
    <row r="55" spans="1:91" s="1" customFormat="1" x14ac:dyDescent="0.25">
      <c r="A55" s="33" t="s">
        <v>590</v>
      </c>
      <c r="B55" s="7">
        <v>4040</v>
      </c>
      <c r="C55" s="21" t="s">
        <v>193</v>
      </c>
      <c r="D55" s="21" t="s">
        <v>291</v>
      </c>
      <c r="E55" s="13">
        <v>42771.370925925927</v>
      </c>
      <c r="F55" s="13">
        <v>42771.375185185185</v>
      </c>
      <c r="G55" s="7">
        <v>1</v>
      </c>
      <c r="H55" s="21" t="s">
        <v>771</v>
      </c>
      <c r="I55" s="13">
        <v>42771.400405092594</v>
      </c>
      <c r="J55" s="7">
        <v>0</v>
      </c>
      <c r="K55" s="98" t="str">
        <f>IF(ISEVEN(B55),(B55-1)&amp;"/"&amp;B55,B55&amp;"/"&amp;(B55+1))</f>
        <v>4039/4040</v>
      </c>
      <c r="L55" s="21" t="str">
        <f>VLOOKUP(A55,'Trips&amp;Operators'!$C$1:$G$99999,5,FALSE)</f>
        <v>SHOOK JOHN</v>
      </c>
      <c r="M55" s="6">
        <f>I55-F55</f>
        <v>2.5219907409336884E-2</v>
      </c>
      <c r="N55" s="7">
        <f>24*60*SUM($M55:$M55)</f>
        <v>36.316666669445112</v>
      </c>
      <c r="O55" s="7"/>
      <c r="P55" s="7"/>
      <c r="Q55" s="22"/>
      <c r="R55" s="22"/>
      <c r="S55" s="31">
        <f>SUM(U55:U55)/IF(AG55="EC",12,1)</f>
        <v>1</v>
      </c>
      <c r="T55" s="46" t="str">
        <f>IF(ISEVEN(LEFT(AD55,4)),"Southbound","NorthBound")</f>
        <v>NorthBound</v>
      </c>
      <c r="U55" s="190">
        <f>IF(AG55="EC",COUNTIFS(Variables!$M$2:$M$19,IF(T55="NorthBound","&gt;=","&lt;=")&amp;Y55,Variables!$M$2:$M$19,IF(T55="NorthBound","&lt;=","&gt;=")&amp;Z55),COUNTIFS(Variables!$P$2:$P$19,IF(T55="NorthBound","&gt;=","&lt;=")&amp;Y55,Variables!$P$2:$P$19,IF(T55="NorthBound","&lt;=","&gt;=")&amp;Z55))</f>
        <v>12</v>
      </c>
      <c r="V55" s="191" t="str">
        <f>"https://d0f6bd738d7f1b3e5a7ca70fe4ff75f0.us-east-1.aws.found.io/app/kibana#/discover/Steve-Slow-Train-Analysis-(2080s-and-2083s)?_g="&amp;"(refreshInterval:(display:Off,pause:!f,section:0,value:0),time:(from:'"&amp;TEXT(E55-1/24,"yyyy-MM-DDThh:mm:ss")&amp;utc_offset&amp;"00"&amp;"',mode:absolute,to:'"&amp;TEXT(I55+1/24,"yyyy-MM-DDThh:mm:ss")&amp;utc_offset&amp;"00"&amp;"'))&amp;_a=(columns:!('Locomotive+ID','Data.Head+End+Milepost',Data.Speed,'Data.Locomotive+State','Data.Train+ID',"&amp;"'Data.Warning%2FEnforcement+Type','Data.Target+Start+Milepost','Data.Target+Description','Data.Target+Speed',"&amp;"'Data.Enforcement+Train+Speed','Data.Enforcement+Start+Milepost','Data.Target+Type','Data.Enforcement+Direction+of+Travel','Message+ID',"&amp;"'Data.Body+of+Summary+Text','Data.Head+End+Track+name'),filters:!(),index:'emp_*',interval:auto,query:"&amp;"(query_string:(analyze_wildcard:!t,query:'Message%5C+ID:(2083+OR+2080+OR+1041+OR+2003+OR+1051+OR+1043+OR+1053)+AND+%22rtdc.l.rtdc."&amp;B55&amp;"%22')),sort:!(Time.ISO8601,asc))"</f>
        <v>https://d0f6bd738d7f1b3e5a7ca70fe4ff75f0.us-east-1.aws.found.io/app/kibana#/discover/Steve-Slow-Train-Analysis-(2080s-and-2083s)?_g=(refreshInterval:(display:Off,pause:!f,section:0,value:0),time:(from:'2017-02-05T07:54:08-0700',mode:absolute,to:'2017-02-05T10:36:35-0700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4040%22')),sort:!(Time.ISO8601,asc))</v>
      </c>
      <c r="W55" s="192" t="str">
        <f>IF(AA55&lt;IF(AG55="EC",23,5.65),"Y","N")</f>
        <v>N</v>
      </c>
      <c r="X55" s="192">
        <f>VALUE(LEFT(AD55,4))-VALUE(LEFT(AD54,4))</f>
        <v>1</v>
      </c>
      <c r="Y55" s="62">
        <f>RIGHT(D55,LEN(D55)-4)/10000</f>
        <v>4.5499999999999999E-2</v>
      </c>
      <c r="Z55" s="62">
        <f>RIGHT(H55,LEN(H55)-4)/10000</f>
        <v>23.332000000000001</v>
      </c>
      <c r="AA55" s="62">
        <f>ABS(Z55-Y55)</f>
        <v>23.2865</v>
      </c>
      <c r="AB55" s="59" t="e">
        <f>VLOOKUP(A55,Enforcements!$C$7:$K$16,8,0)</f>
        <v>#N/A</v>
      </c>
      <c r="AC55" s="55" t="e">
        <f>VLOOKUP(A55,Enforcements!$C$7:$E$16,3,0)</f>
        <v>#N/A</v>
      </c>
      <c r="AD55" s="56" t="str">
        <f>IF(LEN(A55)=6,"0"&amp;A55,A55)</f>
        <v>0143-05</v>
      </c>
      <c r="AE55" s="85" t="str">
        <f>"aws s3 cp "&amp;s3_bucket&amp;"/RTDC"&amp;B55&amp;"/ "&amp;search_path&amp;"\RTDC"&amp;B55&amp;"\"&amp;TEXT(F55,"YYYY-MM-DD")&amp;" --exclude ""*"" --recursive --include ""*"&amp;TEXT(F55,"YYYYMMDD")&amp;"*"" &amp; """&amp;walkandungz&amp;""" "&amp;search_path&amp;"\RTDC"&amp;B55&amp;"\"&amp;TEXT(F55,"YYYY-MM-DD")
&amp;" &amp; "&amp;"aws s3 cp "&amp;s3_bucket&amp;"/RTDC"&amp;B55&amp;"/ "&amp;search_path&amp;"\RTDC"&amp;B55&amp;"\"&amp;TEXT(F55+1,"YYYY-MM-DD")&amp;" --exclude ""*"" --recursive --include ""*"&amp;TEXT(F55+1,"YYYYMMDD")&amp;"*"" &amp; """&amp;walkandungz&amp;""" "&amp;search_path&amp;"\RTDC"&amp;B55&amp;"\"&amp;TEXT(F55+1,"YYYY-MM-DD")</f>
        <v>aws s3 cp s3://rtdc.mdm.uploadarchive.raw/RTDC4040/ "%USERPROFILE%\AppData\Local\Temp\OnboardLogs"\RTDC4040\2017-02-05 --exclude "*" --recursive --include "*20170205*" &amp; "%USERPROFILE%\Documents\GitHub\mrs-test-scripts\Headless Mode &amp; Sideloading\WalkAndUnGZ.bat" "%USERPROFILE%\AppData\Local\Temp\OnboardLogs"\RTDC4040\2017-02-05 &amp; aws s3 cp s3://rtdc.mdm.uploadarchive.raw/RTDC4040/ "%USERPROFILE%\AppData\Local\Temp\OnboardLogs"\RTDC4040\2017-02-06 --exclude "*" --recursive --include "*20170206*" &amp; "%USERPROFILE%\Documents\GitHub\mrs-test-scripts\Headless Mode &amp; Sideloading\WalkAndUnGZ.bat" "%USERPROFILE%\AppData\Local\Temp\OnboardLogs"\RTDC4040\2017-02-06</v>
      </c>
      <c r="AF55" s="82" t="str">
        <f>astrogrep_path&amp;" /spath="&amp;search_path&amp;" /stypes=""app*"&amp;B55&amp;"*"&amp;TEXT(I55-utc_offset/24,"YYYYMMDD")&amp;"*"" /stext="" "&amp;TEXT(I55-utc_offset/24,"HH")&amp;search_regexp&amp;""" /e /r /s"</f>
        <v>"C:\Program Files (x86)\AstroGrep\AstroGrep.exe" /spath="%USERPROFILE%\AppData\Local\Temp\OnboardLogs" /stypes="app*4040*20170205*" /stext=" 16:.+((SYSTEM_STATE.+slice.+state.+changed )|(ment ac)|(multiple cpu faults)|(system.+state.+changed )|(\[timeout)|(PRM\|1\|D)|(kpr)|(kdp)|(\|lc)|(penalty))" /e /r /s</v>
      </c>
      <c r="AG55" s="1" t="str">
        <f>IFERROR(IF(VALUE(LEFT(AD55,2))&lt;=2,"EC",IF(OR(VALUE(LEFT(AD55,2))=8,VALUE(LEFT(AD55,2))=18),"NW","Other")),"Other")</f>
        <v>EC</v>
      </c>
      <c r="AH55" s="86" t="str">
        <f t="shared" si="3"/>
        <v>"%USERPROFILE%\Documents\GitHub\eaglep3\Utilities\RefineRTDCRunTimes.py" --tripid 143-05 --locoid 4040 --swversion DE.1.0.8.0 --startMP 204:455 --initTime 2017-02-05T08:54:08 --startdatetime 2017-02-05T09:00:16 --delay 1 --endMP 204:233320 --enddatetime 2017-02-05T09:36:35 --enforcementcount 0 &gt;&gt;C:\Users\stu\Documents\GitHub\eaglep3-reporting\EC\2017-02-05-refined-times.txt</v>
      </c>
      <c r="AI55" s="108" t="str">
        <f t="shared" si="4"/>
        <v>echo {"issue":{"subject":"","project_id":79,"tracker_id":40,"status_id":1,"priority_id":2,"assigned_to_id":23,"start_date":"2017-02-05","description":"","custom_fields":[{"id":1,"name":"Subdivision","value":"EC"},{"id":4,"name":"Milepost","value":"23.332"},{"id":17,"name":"Train ID","value":"143-05"},{"id":16,"name":"Locomotive ID","value":"4040"},{"id":130,"name":"Impact","value":""},{"id":150,"name":"Time of Event (Mountain Time)","value":"09:36:35"},{"id":151,"name":"Denver Issue ID","value":""},{"id":178,"name":"Operational Impact","value":"Yes"},{"id":179,"name":"Denver Segment Assigned","value":""}]}} | curl -X POST -H "Content-Type: application/json" -H "X-Redmine-API-Key: d6333d4a04012a730768444271f8ca06482dae87" https://secure.xorail.net/redmine/issues.json --data @-</v>
      </c>
      <c r="AJ55" s="48"/>
      <c r="AK55" s="48"/>
      <c r="AL55" s="48"/>
      <c r="AM55" s="158" t="str">
        <f t="shared" si="5"/>
        <v>start /low /b %USERPROFILE%\Documents\GitHub\eaglep3\Utilities\DownloadLogsFromS3.py --loco 4040 --day 2017-02-05</v>
      </c>
      <c r="AN55" s="167" t="str">
        <f>"grep -SE -B400 ""CHR.+\|PRM\|1\|D.+(SWITCH|SIGNAL).+UNKNOWN"" "&amp;search_path&amp;"\RTDC"&amp;B55&amp;"\*"&amp;B55&amp;"*"&amp;TEXT(AVERAGE(F55,I55)-utc_offset/24,"YYYYMMDD")&amp;"* | grep -SE ""(Enforcement Action)|(\[TIMEOUT)|(CHR.+\|PRM\|1\|D.+(SWITCH|SIGNAL).+UNKNOWN)"" - &gt;&gt; "&amp;TEXT(Variables!$A$2,"YYYY-MM-DD")&amp;"-UncaughtWiMAX.txt"</f>
        <v>grep -SE -B400 "CHR.+\|PRM\|1\|D.+(SWITCH|SIGNAL).+UNKNOWN" "%USERPROFILE%\AppData\Local\Temp\OnboardLogs"\RTDC4040\*4040*20170205* | grep -SE "(Enforcement Action)|(\[TIMEOUT)|(CHR.+\|PRM\|1\|D.+(SWITCH|SIGNAL).+UNKNOWN)" - &gt;&gt; 2017-02-05-UncaughtWiMAX.txt</v>
      </c>
      <c r="AO55"/>
      <c r="AP55"/>
      <c r="AQ55"/>
      <c r="AR55"/>
      <c r="AS55"/>
      <c r="AT55"/>
      <c r="AU55"/>
      <c r="AV55"/>
      <c r="AW55"/>
      <c r="AX55"/>
      <c r="AY55"/>
      <c r="AZ55"/>
      <c r="BA55"/>
      <c r="BB55"/>
      <c r="BC55"/>
      <c r="BD55"/>
      <c r="BE55"/>
      <c r="BF55"/>
      <c r="BG55"/>
      <c r="BH55"/>
      <c r="BI55"/>
      <c r="BJ55"/>
      <c r="BK55"/>
      <c r="BL55"/>
      <c r="BM55"/>
      <c r="BN55"/>
      <c r="BO55"/>
      <c r="BP55"/>
      <c r="BQ55"/>
      <c r="BR55"/>
      <c r="BS55"/>
      <c r="BT55"/>
      <c r="BU55"/>
      <c r="BV55"/>
      <c r="BW55"/>
      <c r="BX55"/>
      <c r="BY55"/>
      <c r="BZ55"/>
      <c r="CA55"/>
      <c r="CB55"/>
      <c r="CC55"/>
      <c r="CD55"/>
      <c r="CE55"/>
      <c r="CF55"/>
      <c r="CG55"/>
      <c r="CH55"/>
      <c r="CI55"/>
      <c r="CJ55"/>
      <c r="CK55"/>
      <c r="CL55"/>
      <c r="CM55"/>
    </row>
    <row r="56" spans="1:91" s="1" customFormat="1" x14ac:dyDescent="0.25">
      <c r="A56" s="33" t="s">
        <v>598</v>
      </c>
      <c r="B56" s="7">
        <v>4039</v>
      </c>
      <c r="C56" s="21" t="s">
        <v>193</v>
      </c>
      <c r="D56" s="21" t="s">
        <v>762</v>
      </c>
      <c r="E56" s="13">
        <v>42771.402395833335</v>
      </c>
      <c r="F56" s="13">
        <v>42771.414097222223</v>
      </c>
      <c r="G56" s="7">
        <v>1</v>
      </c>
      <c r="H56" s="21" t="s">
        <v>196</v>
      </c>
      <c r="I56" s="13">
        <v>42771.441689814812</v>
      </c>
      <c r="J56" s="7">
        <v>0</v>
      </c>
      <c r="K56" s="98" t="str">
        <f>IF(ISEVEN(B56),(B56-1)&amp;"/"&amp;B56,B56&amp;"/"&amp;(B56+1))</f>
        <v>4039/4040</v>
      </c>
      <c r="L56" s="21" t="str">
        <f>VLOOKUP(A56,'Trips&amp;Operators'!$C$1:$G$99999,5,FALSE)</f>
        <v>SHOOK JOHN</v>
      </c>
      <c r="M56" s="6">
        <f>I56-F56</f>
        <v>2.7592592588916887E-2</v>
      </c>
      <c r="N56" s="7">
        <f>24*60*SUM($M56:$M56)</f>
        <v>39.733333328040317</v>
      </c>
      <c r="O56" s="7"/>
      <c r="P56" s="7"/>
      <c r="Q56" s="22"/>
      <c r="R56" s="22"/>
      <c r="S56" s="31">
        <f>SUM(U56:U56)/IF(AG56="EC",12,1)</f>
        <v>1</v>
      </c>
      <c r="T56" s="46" t="str">
        <f>IF(ISEVEN(LEFT(AD56,4)),"Southbound","NorthBound")</f>
        <v>Southbound</v>
      </c>
      <c r="U56" s="190">
        <f>IF(AG56="EC",COUNTIFS(Variables!$M$2:$M$19,IF(T56="NorthBound","&gt;=","&lt;=")&amp;Y56,Variables!$M$2:$M$19,IF(T56="NorthBound","&lt;=","&gt;=")&amp;Z56),COUNTIFS(Variables!$P$2:$P$19,IF(T56="NorthBound","&gt;=","&lt;=")&amp;Y56,Variables!$P$2:$P$19,IF(T56="NorthBound","&lt;=","&gt;=")&amp;Z56))</f>
        <v>12</v>
      </c>
      <c r="V56" s="191" t="str">
        <f>"https://d0f6bd738d7f1b3e5a7ca70fe4ff75f0.us-east-1.aws.found.io/app/kibana#/discover/Steve-Slow-Train-Analysis-(2080s-and-2083s)?_g="&amp;"(refreshInterval:(display:Off,pause:!f,section:0,value:0),time:(from:'"&amp;TEXT(E56-1/24,"yyyy-MM-DDThh:mm:ss")&amp;utc_offset&amp;"00"&amp;"',mode:absolute,to:'"&amp;TEXT(I56+1/24,"yyyy-MM-DDThh:mm:ss")&amp;utc_offset&amp;"00"&amp;"'))&amp;_a=(columns:!('Locomotive+ID','Data.Head+End+Milepost',Data.Speed,'Data.Locomotive+State','Data.Train+ID',"&amp;"'Data.Warning%2FEnforcement+Type','Data.Target+Start+Milepost','Data.Target+Description','Data.Target+Speed',"&amp;"'Data.Enforcement+Train+Speed','Data.Enforcement+Start+Milepost','Data.Target+Type','Data.Enforcement+Direction+of+Travel','Message+ID',"&amp;"'Data.Body+of+Summary+Text','Data.Head+End+Track+name'),filters:!(),index:'emp_*',interval:auto,query:"&amp;"(query_string:(analyze_wildcard:!t,query:'Message%5C+ID:(2083+OR+2080+OR+1041+OR+2003+OR+1051+OR+1043+OR+1053)+AND+%22rtdc.l.rtdc."&amp;B56&amp;"%22')),sort:!(Time.ISO8601,asc))"</f>
        <v>https://d0f6bd738d7f1b3e5a7ca70fe4ff75f0.us-east-1.aws.found.io/app/kibana#/discover/Steve-Slow-Train-Analysis-(2080s-and-2083s)?_g=(refreshInterval:(display:Off,pause:!f,section:0,value:0),time:(from:'2017-02-05T08:39:27-0700',mode:absolute,to:'2017-02-05T11:36:02-0700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4039%22')),sort:!(Time.ISO8601,asc))</v>
      </c>
      <c r="W56" s="192" t="str">
        <f>IF(AA56&lt;IF(AG56="EC",23,5.65),"Y","N")</f>
        <v>N</v>
      </c>
      <c r="X56" s="192">
        <f>VALUE(LEFT(AD56,4))-VALUE(LEFT(AD55,4))</f>
        <v>1</v>
      </c>
      <c r="Y56" s="62">
        <f>RIGHT(D56,LEN(D56)-4)/10000</f>
        <v>23.301300000000001</v>
      </c>
      <c r="Z56" s="62">
        <f>RIGHT(H56,LEN(H56)-4)/10000</f>
        <v>1.4999999999999999E-2</v>
      </c>
      <c r="AA56" s="62">
        <f>ABS(Z56-Y56)</f>
        <v>23.286300000000001</v>
      </c>
      <c r="AB56" s="59" t="e">
        <f>VLOOKUP(A56,Enforcements!$C$7:$K$16,8,0)</f>
        <v>#N/A</v>
      </c>
      <c r="AC56" s="55" t="e">
        <f>VLOOKUP(A56,Enforcements!$C$7:$E$16,3,0)</f>
        <v>#N/A</v>
      </c>
      <c r="AD56" s="56" t="str">
        <f>IF(LEN(A56)=6,"0"&amp;A56,A56)</f>
        <v>0144-05</v>
      </c>
      <c r="AE56" s="85" t="str">
        <f>"aws s3 cp "&amp;s3_bucket&amp;"/RTDC"&amp;B56&amp;"/ "&amp;search_path&amp;"\RTDC"&amp;B56&amp;"\"&amp;TEXT(F56,"YYYY-MM-DD")&amp;" --exclude ""*"" --recursive --include ""*"&amp;TEXT(F56,"YYYYMMDD")&amp;"*"" &amp; """&amp;walkandungz&amp;""" "&amp;search_path&amp;"\RTDC"&amp;B56&amp;"\"&amp;TEXT(F56,"YYYY-MM-DD")
&amp;" &amp; "&amp;"aws s3 cp "&amp;s3_bucket&amp;"/RTDC"&amp;B56&amp;"/ "&amp;search_path&amp;"\RTDC"&amp;B56&amp;"\"&amp;TEXT(F56+1,"YYYY-MM-DD")&amp;" --exclude ""*"" --recursive --include ""*"&amp;TEXT(F56+1,"YYYYMMDD")&amp;"*"" &amp; """&amp;walkandungz&amp;""" "&amp;search_path&amp;"\RTDC"&amp;B56&amp;"\"&amp;TEXT(F56+1,"YYYY-MM-DD")</f>
        <v>aws s3 cp s3://rtdc.mdm.uploadarchive.raw/RTDC4039/ "%USERPROFILE%\AppData\Local\Temp\OnboardLogs"\RTDC4039\2017-02-05 --exclude "*" --recursive --include "*20170205*" &amp; "%USERPROFILE%\Documents\GitHub\mrs-test-scripts\Headless Mode &amp; Sideloading\WalkAndUnGZ.bat" "%USERPROFILE%\AppData\Local\Temp\OnboardLogs"\RTDC4039\2017-02-05 &amp; aws s3 cp s3://rtdc.mdm.uploadarchive.raw/RTDC4039/ "%USERPROFILE%\AppData\Local\Temp\OnboardLogs"\RTDC4039\2017-02-06 --exclude "*" --recursive --include "*20170206*" &amp; "%USERPROFILE%\Documents\GitHub\mrs-test-scripts\Headless Mode &amp; Sideloading\WalkAndUnGZ.bat" "%USERPROFILE%\AppData\Local\Temp\OnboardLogs"\RTDC4039\2017-02-06</v>
      </c>
      <c r="AF56" s="82" t="str">
        <f>astrogrep_path&amp;" /spath="&amp;search_path&amp;" /stypes=""app*"&amp;B56&amp;"*"&amp;TEXT(I56-utc_offset/24,"YYYYMMDD")&amp;"*"" /stext="" "&amp;TEXT(I56-utc_offset/24,"HH")&amp;search_regexp&amp;""" /e /r /s"</f>
        <v>"C:\Program Files (x86)\AstroGrep\AstroGrep.exe" /spath="%USERPROFILE%\AppData\Local\Temp\OnboardLogs" /stypes="app*4039*20170205*" /stext=" 17:.+((SYSTEM_STATE.+slice.+state.+changed )|(ment ac)|(multiple cpu faults)|(system.+state.+changed )|(\[timeout)|(PRM\|1\|D)|(kpr)|(kdp)|(\|lc)|(penalty))" /e /r /s</v>
      </c>
      <c r="AG56" s="1" t="str">
        <f>IFERROR(IF(VALUE(LEFT(AD56,2))&lt;=2,"EC",IF(OR(VALUE(LEFT(AD56,2))=8,VALUE(LEFT(AD56,2))=18),"NW","Other")),"Other")</f>
        <v>EC</v>
      </c>
      <c r="AH56" s="86" t="str">
        <f t="shared" si="3"/>
        <v>"%USERPROFILE%\Documents\GitHub\eaglep3\Utilities\RefineRTDCRunTimes.py" --tripid 144-05 --locoid 4039 --swversion DE.1.0.8.0 --startMP 204:233013 --initTime 2017-02-05T09:39:27 --startdatetime 2017-02-05T09:56:18 --delay 1 --endMP 204:150 --enddatetime 2017-02-05T10:36:02 --enforcementcount 0 &gt;&gt;C:\Users\stu\Documents\GitHub\eaglep3-reporting\EC\2017-02-05-refined-times.txt</v>
      </c>
      <c r="AI56" s="108" t="str">
        <f t="shared" si="4"/>
        <v>echo {"issue":{"subject":"","project_id":79,"tracker_id":40,"status_id":1,"priority_id":2,"assigned_to_id":23,"start_date":"2017-02-05","description":"","custom_fields":[{"id":1,"name":"Subdivision","value":"EC"},{"id":4,"name":"Milepost","value":"0.015"},{"id":17,"name":"Train ID","value":"144-05"},{"id":16,"name":"Locomotive ID","value":"4039"},{"id":130,"name":"Impact","value":""},{"id":150,"name":"Time of Event (Mountain Time)","value":"10:36:02"},{"id":151,"name":"Denver Issue ID","value":""},{"id":178,"name":"Operational Impact","value":"Yes"},{"id":179,"name":"Denver Segment Assigned","value":""}]}} | curl -X POST -H "Content-Type: application/json" -H "X-Redmine-API-Key: d6333d4a04012a730768444271f8ca06482dae87" https://secure.xorail.net/redmine/issues.json --data @-</v>
      </c>
      <c r="AJ56" s="48"/>
      <c r="AK56" s="48"/>
      <c r="AL56" s="48"/>
      <c r="AM56" s="158" t="str">
        <f t="shared" si="5"/>
        <v>start /low /b %USERPROFILE%\Documents\GitHub\eaglep3\Utilities\DownloadLogsFromS3.py --loco 4039 --day 2017-02-05</v>
      </c>
      <c r="AN56" s="167" t="str">
        <f>"grep -SE -B400 ""CHR.+\|PRM\|1\|D.+(SWITCH|SIGNAL).+UNKNOWN"" "&amp;search_path&amp;"\RTDC"&amp;B56&amp;"\*"&amp;B56&amp;"*"&amp;TEXT(AVERAGE(F56,I56)-utc_offset/24,"YYYYMMDD")&amp;"* | grep -SE ""(Enforcement Action)|(\[TIMEOUT)|(CHR.+\|PRM\|1\|D.+(SWITCH|SIGNAL).+UNKNOWN)"" - &gt;&gt; "&amp;TEXT(Variables!$A$2,"YYYY-MM-DD")&amp;"-UncaughtWiMAX.txt"</f>
        <v>grep -SE -B400 "CHR.+\|PRM\|1\|D.+(SWITCH|SIGNAL).+UNKNOWN" "%USERPROFILE%\AppData\Local\Temp\OnboardLogs"\RTDC4039\*4039*20170205* | grep -SE "(Enforcement Action)|(\[TIMEOUT)|(CHR.+\|PRM\|1\|D.+(SWITCH|SIGNAL).+UNKNOWN)" - &gt;&gt; 2017-02-05-UncaughtWiMAX.txt</v>
      </c>
      <c r="AO56"/>
      <c r="AP56"/>
      <c r="AQ56"/>
      <c r="AR56"/>
      <c r="AS56"/>
      <c r="AT56"/>
      <c r="AU56"/>
      <c r="AV56"/>
      <c r="AW56"/>
      <c r="AX56"/>
      <c r="AY56"/>
      <c r="AZ56"/>
      <c r="BA56"/>
      <c r="BB56"/>
      <c r="BC56"/>
      <c r="BD56"/>
      <c r="BE56"/>
      <c r="BF56"/>
      <c r="BG56"/>
      <c r="BH56"/>
      <c r="BI56"/>
      <c r="BJ56"/>
      <c r="BK56"/>
      <c r="BL56"/>
      <c r="BM56"/>
      <c r="BN56"/>
      <c r="BO56"/>
      <c r="BP56"/>
      <c r="BQ56"/>
      <c r="BR56"/>
      <c r="BS56"/>
      <c r="BT56"/>
      <c r="BU56"/>
      <c r="BV56"/>
      <c r="BW56"/>
      <c r="BX56"/>
      <c r="BY56"/>
      <c r="BZ56"/>
      <c r="CA56"/>
      <c r="CB56"/>
      <c r="CC56"/>
      <c r="CD56"/>
      <c r="CE56"/>
      <c r="CF56"/>
      <c r="CG56"/>
      <c r="CH56"/>
      <c r="CI56"/>
      <c r="CJ56"/>
      <c r="CK56"/>
      <c r="CL56"/>
      <c r="CM56"/>
    </row>
    <row r="57" spans="1:91" s="1" customFormat="1" x14ac:dyDescent="0.25">
      <c r="A57" s="33" t="s">
        <v>593</v>
      </c>
      <c r="B57" s="7">
        <v>4025</v>
      </c>
      <c r="C57" s="21" t="s">
        <v>193</v>
      </c>
      <c r="D57" s="21" t="s">
        <v>290</v>
      </c>
      <c r="E57" s="13">
        <v>42771.382881944446</v>
      </c>
      <c r="F57" s="13">
        <v>42771.385682870372</v>
      </c>
      <c r="G57" s="7">
        <v>1</v>
      </c>
      <c r="H57" s="21" t="s">
        <v>398</v>
      </c>
      <c r="I57" s="13">
        <v>42771.411527777775</v>
      </c>
      <c r="J57" s="7">
        <v>0</v>
      </c>
      <c r="K57" s="98" t="str">
        <f>IF(ISEVEN(B57),(B57-1)&amp;"/"&amp;B57,B57&amp;"/"&amp;(B57+1))</f>
        <v>4025/4026</v>
      </c>
      <c r="L57" s="21" t="str">
        <f>VLOOKUP(A57,'Trips&amp;Operators'!$C$1:$G$99999,5,FALSE)</f>
        <v>MAELZER KURT</v>
      </c>
      <c r="M57" s="6">
        <f>I57-F57</f>
        <v>2.5844907402643003E-2</v>
      </c>
      <c r="N57" s="7">
        <f>24*60*SUM($M57:$M57)</f>
        <v>37.216666659805924</v>
      </c>
      <c r="O57" s="7"/>
      <c r="P57" s="7"/>
      <c r="Q57" s="22"/>
      <c r="R57" s="22"/>
      <c r="S57" s="31">
        <f>SUM(U57:U57)/IF(AG57="EC",12,1)</f>
        <v>1</v>
      </c>
      <c r="T57" s="46" t="str">
        <f>IF(ISEVEN(LEFT(AD57,4)),"Southbound","NorthBound")</f>
        <v>NorthBound</v>
      </c>
      <c r="U57" s="190">
        <f>IF(AG57="EC",COUNTIFS(Variables!$M$2:$M$19,IF(T57="NorthBound","&gt;=","&lt;=")&amp;Y57,Variables!$M$2:$M$19,IF(T57="NorthBound","&lt;=","&gt;=")&amp;Z57),COUNTIFS(Variables!$P$2:$P$19,IF(T57="NorthBound","&gt;=","&lt;=")&amp;Y57,Variables!$P$2:$P$19,IF(T57="NorthBound","&lt;=","&gt;=")&amp;Z57))</f>
        <v>12</v>
      </c>
      <c r="V57" s="191" t="str">
        <f>"https://d0f6bd738d7f1b3e5a7ca70fe4ff75f0.us-east-1.aws.found.io/app/kibana#/discover/Steve-Slow-Train-Analysis-(2080s-and-2083s)?_g="&amp;"(refreshInterval:(display:Off,pause:!f,section:0,value:0),time:(from:'"&amp;TEXT(E57-1/24,"yyyy-MM-DDThh:mm:ss")&amp;utc_offset&amp;"00"&amp;"',mode:absolute,to:'"&amp;TEXT(I57+1/24,"yyyy-MM-DDThh:mm:ss")&amp;utc_offset&amp;"00"&amp;"'))&amp;_a=(columns:!('Locomotive+ID','Data.Head+End+Milepost',Data.Speed,'Data.Locomotive+State','Data.Train+ID',"&amp;"'Data.Warning%2FEnforcement+Type','Data.Target+Start+Milepost','Data.Target+Description','Data.Target+Speed',"&amp;"'Data.Enforcement+Train+Speed','Data.Enforcement+Start+Milepost','Data.Target+Type','Data.Enforcement+Direction+of+Travel','Message+ID',"&amp;"'Data.Body+of+Summary+Text','Data.Head+End+Track+name'),filters:!(),index:'emp_*',interval:auto,query:"&amp;"(query_string:(analyze_wildcard:!t,query:'Message%5C+ID:(2083+OR+2080+OR+1041+OR+2003+OR+1051+OR+1043+OR+1053)+AND+%22rtdc.l.rtdc."&amp;B57&amp;"%22')),sort:!(Time.ISO8601,asc))"</f>
        <v>https://d0f6bd738d7f1b3e5a7ca70fe4ff75f0.us-east-1.aws.found.io/app/kibana#/discover/Steve-Slow-Train-Analysis-(2080s-and-2083s)?_g=(refreshInterval:(display:Off,pause:!f,section:0,value:0),time:(from:'2017-02-05T08:11:21-0700',mode:absolute,to:'2017-02-05T10:52:36-0700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4025%22')),sort:!(Time.ISO8601,asc))</v>
      </c>
      <c r="W57" s="192" t="str">
        <f>IF(AA57&lt;IF(AG57="EC",23,5.65),"Y","N")</f>
        <v>N</v>
      </c>
      <c r="X57" s="192">
        <f>VALUE(LEFT(AD57,4))-VALUE(LEFT(AD56,4))</f>
        <v>1</v>
      </c>
      <c r="Y57" s="62">
        <f>RIGHT(D57,LEN(D57)-4)/10000</f>
        <v>4.4600000000000001E-2</v>
      </c>
      <c r="Z57" s="62">
        <f>RIGHT(H57,LEN(H57)-4)/10000</f>
        <v>23.331</v>
      </c>
      <c r="AA57" s="62">
        <f>ABS(Z57-Y57)</f>
        <v>23.2864</v>
      </c>
      <c r="AB57" s="59" t="e">
        <f>VLOOKUP(A57,Enforcements!$C$7:$K$16,8,0)</f>
        <v>#N/A</v>
      </c>
      <c r="AC57" s="55" t="e">
        <f>VLOOKUP(A57,Enforcements!$C$7:$E$16,3,0)</f>
        <v>#N/A</v>
      </c>
      <c r="AD57" s="56" t="str">
        <f>IF(LEN(A57)=6,"0"&amp;A57,A57)</f>
        <v>0145-05</v>
      </c>
      <c r="AE57" s="85" t="str">
        <f>"aws s3 cp "&amp;s3_bucket&amp;"/RTDC"&amp;B57&amp;"/ "&amp;search_path&amp;"\RTDC"&amp;B57&amp;"\"&amp;TEXT(F57,"YYYY-MM-DD")&amp;" --exclude ""*"" --recursive --include ""*"&amp;TEXT(F57,"YYYYMMDD")&amp;"*"" &amp; """&amp;walkandungz&amp;""" "&amp;search_path&amp;"\RTDC"&amp;B57&amp;"\"&amp;TEXT(F57,"YYYY-MM-DD")
&amp;" &amp; "&amp;"aws s3 cp "&amp;s3_bucket&amp;"/RTDC"&amp;B57&amp;"/ "&amp;search_path&amp;"\RTDC"&amp;B57&amp;"\"&amp;TEXT(F57+1,"YYYY-MM-DD")&amp;" --exclude ""*"" --recursive --include ""*"&amp;TEXT(F57+1,"YYYYMMDD")&amp;"*"" &amp; """&amp;walkandungz&amp;""" "&amp;search_path&amp;"\RTDC"&amp;B57&amp;"\"&amp;TEXT(F57+1,"YYYY-MM-DD")</f>
        <v>aws s3 cp s3://rtdc.mdm.uploadarchive.raw/RTDC4025/ "%USERPROFILE%\AppData\Local\Temp\OnboardLogs"\RTDC4025\2017-02-05 --exclude "*" --recursive --include "*20170205*" &amp; "%USERPROFILE%\Documents\GitHub\mrs-test-scripts\Headless Mode &amp; Sideloading\WalkAndUnGZ.bat" "%USERPROFILE%\AppData\Local\Temp\OnboardLogs"\RTDC4025\2017-02-05 &amp; aws s3 cp s3://rtdc.mdm.uploadarchive.raw/RTDC4025/ "%USERPROFILE%\AppData\Local\Temp\OnboardLogs"\RTDC4025\2017-02-06 --exclude "*" --recursive --include "*20170206*" &amp; "%USERPROFILE%\Documents\GitHub\mrs-test-scripts\Headless Mode &amp; Sideloading\WalkAndUnGZ.bat" "%USERPROFILE%\AppData\Local\Temp\OnboardLogs"\RTDC4025\2017-02-06</v>
      </c>
      <c r="AF57" s="82" t="str">
        <f>astrogrep_path&amp;" /spath="&amp;search_path&amp;" /stypes=""app*"&amp;B57&amp;"*"&amp;TEXT(I57-utc_offset/24,"YYYYMMDD")&amp;"*"" /stext="" "&amp;TEXT(I57-utc_offset/24,"HH")&amp;search_regexp&amp;""" /e /r /s"</f>
        <v>"C:\Program Files (x86)\AstroGrep\AstroGrep.exe" /spath="%USERPROFILE%\AppData\Local\Temp\OnboardLogs" /stypes="app*4025*20170205*" /stext=" 16:.+((SYSTEM_STATE.+slice.+state.+changed )|(ment ac)|(multiple cpu faults)|(system.+state.+changed )|(\[timeout)|(PRM\|1\|D)|(kpr)|(kdp)|(\|lc)|(penalty))" /e /r /s</v>
      </c>
      <c r="AG57" s="1" t="str">
        <f>IFERROR(IF(VALUE(LEFT(AD57,2))&lt;=2,"EC",IF(OR(VALUE(LEFT(AD57,2))=8,VALUE(LEFT(AD57,2))=18),"NW","Other")),"Other")</f>
        <v>EC</v>
      </c>
      <c r="AH57" s="86" t="str">
        <f t="shared" si="3"/>
        <v>"%USERPROFILE%\Documents\GitHub\eaglep3\Utilities\RefineRTDCRunTimes.py" --tripid 145-05 --locoid 4025 --swversion DE.1.0.8.0 --startMP 204:446 --initTime 2017-02-05T09:11:21 --startdatetime 2017-02-05T09:15:23 --delay 1 --endMP 204:233310 --enddatetime 2017-02-05T09:52:36 --enforcementcount 0 &gt;&gt;C:\Users\stu\Documents\GitHub\eaglep3-reporting\EC\2017-02-05-refined-times.txt</v>
      </c>
      <c r="AI57" s="108" t="str">
        <f t="shared" si="4"/>
        <v>echo {"issue":{"subject":"","project_id":79,"tracker_id":40,"status_id":1,"priority_id":2,"assigned_to_id":23,"start_date":"2017-02-05","description":"","custom_fields":[{"id":1,"name":"Subdivision","value":"EC"},{"id":4,"name":"Milepost","value":"23.331"},{"id":17,"name":"Train ID","value":"145-05"},{"id":16,"name":"Locomotive ID","value":"4025"},{"id":130,"name":"Impact","value":""},{"id":150,"name":"Time of Event (Mountain Time)","value":"09:52:36"},{"id":151,"name":"Denver Issue ID","value":""},{"id":178,"name":"Operational Impact","value":"Yes"},{"id":179,"name":"Denver Segment Assigned","value":""}]}} | curl -X POST -H "Content-Type: application/json" -H "X-Redmine-API-Key: d6333d4a04012a730768444271f8ca06482dae87" https://secure.xorail.net/redmine/issues.json --data @-</v>
      </c>
      <c r="AJ57" s="48"/>
      <c r="AK57" s="48"/>
      <c r="AL57" s="48"/>
      <c r="AM57" s="158" t="str">
        <f t="shared" si="5"/>
        <v>start /low /b %USERPROFILE%\Documents\GitHub\eaglep3\Utilities\DownloadLogsFromS3.py --loco 4025 --day 2017-02-05</v>
      </c>
      <c r="AN57" s="167" t="str">
        <f>"grep -SE -B400 ""CHR.+\|PRM\|1\|D.+(SWITCH|SIGNAL).+UNKNOWN"" "&amp;search_path&amp;"\RTDC"&amp;B57&amp;"\*"&amp;B57&amp;"*"&amp;TEXT(AVERAGE(F57,I57)-utc_offset/24,"YYYYMMDD")&amp;"* | grep -SE ""(Enforcement Action)|(\[TIMEOUT)|(CHR.+\|PRM\|1\|D.+(SWITCH|SIGNAL).+UNKNOWN)"" - &gt;&gt; "&amp;TEXT(Variables!$A$2,"YYYY-MM-DD")&amp;"-UncaughtWiMAX.txt"</f>
        <v>grep -SE -B400 "CHR.+\|PRM\|1\|D.+(SWITCH|SIGNAL).+UNKNOWN" "%USERPROFILE%\AppData\Local\Temp\OnboardLogs"\RTDC4025\*4025*20170205* | grep -SE "(Enforcement Action)|(\[TIMEOUT)|(CHR.+\|PRM\|1\|D.+(SWITCH|SIGNAL).+UNKNOWN)" - &gt;&gt; 2017-02-05-UncaughtWiMAX.txt</v>
      </c>
      <c r="AO57"/>
      <c r="AP57"/>
      <c r="AQ57"/>
      <c r="AR57"/>
      <c r="AS57"/>
      <c r="AT57"/>
      <c r="AU57"/>
      <c r="AV57"/>
      <c r="AW57"/>
      <c r="AX57"/>
      <c r="AY57"/>
      <c r="AZ57"/>
      <c r="BA57"/>
      <c r="BB57"/>
      <c r="BC57"/>
      <c r="BD57"/>
      <c r="BE57"/>
      <c r="BF57"/>
      <c r="BG57"/>
      <c r="BH57"/>
      <c r="BI57"/>
      <c r="BJ57"/>
      <c r="BK57"/>
      <c r="BL57"/>
      <c r="BM57"/>
      <c r="BN57"/>
      <c r="BO57"/>
      <c r="BP57"/>
      <c r="BQ57"/>
      <c r="BR57"/>
      <c r="BS57"/>
      <c r="BT57"/>
      <c r="BU57"/>
      <c r="BV57"/>
      <c r="BW57"/>
      <c r="BX57"/>
      <c r="BY57"/>
      <c r="BZ57"/>
      <c r="CA57"/>
      <c r="CB57"/>
      <c r="CC57"/>
      <c r="CD57"/>
      <c r="CE57"/>
      <c r="CF57"/>
      <c r="CG57"/>
      <c r="CH57"/>
      <c r="CI57"/>
      <c r="CJ57"/>
      <c r="CK57"/>
      <c r="CL57"/>
      <c r="CM57"/>
    </row>
    <row r="58" spans="1:91" s="1" customFormat="1" x14ac:dyDescent="0.25">
      <c r="A58" s="33" t="s">
        <v>600</v>
      </c>
      <c r="B58" s="7">
        <v>4026</v>
      </c>
      <c r="C58" s="21" t="s">
        <v>193</v>
      </c>
      <c r="D58" s="21" t="s">
        <v>285</v>
      </c>
      <c r="E58" s="13">
        <v>42771.420335648145</v>
      </c>
      <c r="F58" s="13">
        <v>42771.424722222226</v>
      </c>
      <c r="G58" s="7">
        <v>0</v>
      </c>
      <c r="H58" s="21" t="s">
        <v>772</v>
      </c>
      <c r="I58" s="13">
        <v>42771.451226851852</v>
      </c>
      <c r="J58" s="7">
        <v>0</v>
      </c>
      <c r="K58" s="98" t="str">
        <f>IF(ISEVEN(B58),(B58-1)&amp;"/"&amp;B58,B58&amp;"/"&amp;(B58+1))</f>
        <v>4025/4026</v>
      </c>
      <c r="L58" s="21" t="str">
        <f>VLOOKUP(A58,'Trips&amp;Operators'!$C$1:$G$99999,5,FALSE)</f>
        <v>MAELZER KURT</v>
      </c>
      <c r="M58" s="6">
        <f>I58-F58</f>
        <v>2.6504629626288079E-2</v>
      </c>
      <c r="N58" s="7">
        <f>24*60*SUM($M58:$M58)</f>
        <v>38.166666661854833</v>
      </c>
      <c r="O58" s="7"/>
      <c r="P58" s="7"/>
      <c r="Q58" s="22"/>
      <c r="R58" s="22"/>
      <c r="S58" s="31">
        <f>SUM(U58:U58)/IF(AG58="EC",12,1)</f>
        <v>1</v>
      </c>
      <c r="T58" s="46" t="str">
        <f>IF(ISEVEN(LEFT(AD58,4)),"Southbound","NorthBound")</f>
        <v>Southbound</v>
      </c>
      <c r="U58" s="190">
        <f>IF(AG58="EC",COUNTIFS(Variables!$M$2:$M$19,IF(T58="NorthBound","&gt;=","&lt;=")&amp;Y58,Variables!$M$2:$M$19,IF(T58="NorthBound","&lt;=","&gt;=")&amp;Z58),COUNTIFS(Variables!$P$2:$P$19,IF(T58="NorthBound","&gt;=","&lt;=")&amp;Y58,Variables!$P$2:$P$19,IF(T58="NorthBound","&lt;=","&gt;=")&amp;Z58))</f>
        <v>12</v>
      </c>
      <c r="V58" s="191" t="str">
        <f>"https://d0f6bd738d7f1b3e5a7ca70fe4ff75f0.us-east-1.aws.found.io/app/kibana#/discover/Steve-Slow-Train-Analysis-(2080s-and-2083s)?_g="&amp;"(refreshInterval:(display:Off,pause:!f,section:0,value:0),time:(from:'"&amp;TEXT(E58-1/24,"yyyy-MM-DDThh:mm:ss")&amp;utc_offset&amp;"00"&amp;"',mode:absolute,to:'"&amp;TEXT(I58+1/24,"yyyy-MM-DDThh:mm:ss")&amp;utc_offset&amp;"00"&amp;"'))&amp;_a=(columns:!('Locomotive+ID','Data.Head+End+Milepost',Data.Speed,'Data.Locomotive+State','Data.Train+ID',"&amp;"'Data.Warning%2FEnforcement+Type','Data.Target+Start+Milepost','Data.Target+Description','Data.Target+Speed',"&amp;"'Data.Enforcement+Train+Speed','Data.Enforcement+Start+Milepost','Data.Target+Type','Data.Enforcement+Direction+of+Travel','Message+ID',"&amp;"'Data.Body+of+Summary+Text','Data.Head+End+Track+name'),filters:!(),index:'emp_*',interval:auto,query:"&amp;"(query_string:(analyze_wildcard:!t,query:'Message%5C+ID:(2083+OR+2080+OR+1041+OR+2003+OR+1051+OR+1043+OR+1053)+AND+%22rtdc.l.rtdc."&amp;B58&amp;"%22')),sort:!(Time.ISO8601,asc))"</f>
        <v>https://d0f6bd738d7f1b3e5a7ca70fe4ff75f0.us-east-1.aws.found.io/app/kibana#/discover/Steve-Slow-Train-Analysis-(2080s-and-2083s)?_g=(refreshInterval:(display:Off,pause:!f,section:0,value:0),time:(from:'2017-02-05T09:05:17-0700',mode:absolute,to:'2017-02-05T11:49:46-0700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4026%22')),sort:!(Time.ISO8601,asc))</v>
      </c>
      <c r="W58" s="192" t="str">
        <f>IF(AA58&lt;IF(AG58="EC",23,5.65),"Y","N")</f>
        <v>N</v>
      </c>
      <c r="X58" s="192">
        <f>VALUE(LEFT(AD58,4))-VALUE(LEFT(AD57,4))</f>
        <v>1</v>
      </c>
      <c r="Y58" s="62">
        <f>RIGHT(D58,LEN(D58)-4)/10000</f>
        <v>23.299399999999999</v>
      </c>
      <c r="Z58" s="62">
        <f>RIGHT(H58,LEN(H58)-4)/10000</f>
        <v>1.34E-2</v>
      </c>
      <c r="AA58" s="62">
        <f>ABS(Z58-Y58)</f>
        <v>23.285999999999998</v>
      </c>
      <c r="AB58" s="59" t="e">
        <f>VLOOKUP(A58,Enforcements!$C$7:$K$16,8,0)</f>
        <v>#N/A</v>
      </c>
      <c r="AC58" s="55" t="e">
        <f>VLOOKUP(A58,Enforcements!$C$7:$E$16,3,0)</f>
        <v>#N/A</v>
      </c>
      <c r="AD58" s="56" t="str">
        <f>IF(LEN(A58)=6,"0"&amp;A58,A58)</f>
        <v>0146-05</v>
      </c>
      <c r="AE58" s="85" t="str">
        <f>"aws s3 cp "&amp;s3_bucket&amp;"/RTDC"&amp;B58&amp;"/ "&amp;search_path&amp;"\RTDC"&amp;B58&amp;"\"&amp;TEXT(F58,"YYYY-MM-DD")&amp;" --exclude ""*"" --recursive --include ""*"&amp;TEXT(F58,"YYYYMMDD")&amp;"*"" &amp; """&amp;walkandungz&amp;""" "&amp;search_path&amp;"\RTDC"&amp;B58&amp;"\"&amp;TEXT(F58,"YYYY-MM-DD")
&amp;" &amp; "&amp;"aws s3 cp "&amp;s3_bucket&amp;"/RTDC"&amp;B58&amp;"/ "&amp;search_path&amp;"\RTDC"&amp;B58&amp;"\"&amp;TEXT(F58+1,"YYYY-MM-DD")&amp;" --exclude ""*"" --recursive --include ""*"&amp;TEXT(F58+1,"YYYYMMDD")&amp;"*"" &amp; """&amp;walkandungz&amp;""" "&amp;search_path&amp;"\RTDC"&amp;B58&amp;"\"&amp;TEXT(F58+1,"YYYY-MM-DD")</f>
        <v>aws s3 cp s3://rtdc.mdm.uploadarchive.raw/RTDC4026/ "%USERPROFILE%\AppData\Local\Temp\OnboardLogs"\RTDC4026\2017-02-05 --exclude "*" --recursive --include "*20170205*" &amp; "%USERPROFILE%\Documents\GitHub\mrs-test-scripts\Headless Mode &amp; Sideloading\WalkAndUnGZ.bat" "%USERPROFILE%\AppData\Local\Temp\OnboardLogs"\RTDC4026\2017-02-05 &amp; aws s3 cp s3://rtdc.mdm.uploadarchive.raw/RTDC4026/ "%USERPROFILE%\AppData\Local\Temp\OnboardLogs"\RTDC4026\2017-02-06 --exclude "*" --recursive --include "*20170206*" &amp; "%USERPROFILE%\Documents\GitHub\mrs-test-scripts\Headless Mode &amp; Sideloading\WalkAndUnGZ.bat" "%USERPROFILE%\AppData\Local\Temp\OnboardLogs"\RTDC4026\2017-02-06</v>
      </c>
      <c r="AF58" s="82" t="str">
        <f>astrogrep_path&amp;" /spath="&amp;search_path&amp;" /stypes=""app*"&amp;B58&amp;"*"&amp;TEXT(I58-utc_offset/24,"YYYYMMDD")&amp;"*"" /stext="" "&amp;TEXT(I58-utc_offset/24,"HH")&amp;search_regexp&amp;""" /e /r /s"</f>
        <v>"C:\Program Files (x86)\AstroGrep\AstroGrep.exe" /spath="%USERPROFILE%\AppData\Local\Temp\OnboardLogs" /stypes="app*4026*20170205*" /stext=" 17:.+((SYSTEM_STATE.+slice.+state.+changed )|(ment ac)|(multiple cpu faults)|(system.+state.+changed )|(\[timeout)|(PRM\|1\|D)|(kpr)|(kdp)|(\|lc)|(penalty))" /e /r /s</v>
      </c>
      <c r="AG58" s="1" t="str">
        <f>IFERROR(IF(VALUE(LEFT(AD58,2))&lt;=2,"EC",IF(OR(VALUE(LEFT(AD58,2))=8,VALUE(LEFT(AD58,2))=18),"NW","Other")),"Other")</f>
        <v>EC</v>
      </c>
      <c r="AH58" s="86" t="str">
        <f t="shared" si="3"/>
        <v>"%USERPROFILE%\Documents\GitHub\eaglep3\Utilities\RefineRTDCRunTimes.py" --tripid 146-05 --locoid 4026 --swversion DE.1.0.8.0 --startMP 204:232994 --initTime 2017-02-05T10:05:17 --startdatetime 2017-02-05T10:11:36 --delay 0 --endMP 204:134 --enddatetime 2017-02-05T10:49:46 --enforcementcount 0 &gt;&gt;C:\Users\stu\Documents\GitHub\eaglep3-reporting\EC\2017-02-05-refined-times.txt</v>
      </c>
      <c r="AI58" s="108" t="str">
        <f t="shared" si="4"/>
        <v>echo {"issue":{"subject":"","project_id":79,"tracker_id":40,"status_id":1,"priority_id":2,"assigned_to_id":23,"start_date":"2017-02-05","description":"","custom_fields":[{"id":1,"name":"Subdivision","value":"EC"},{"id":4,"name":"Milepost","value":"0.0134"},{"id":17,"name":"Train ID","value":"146-05"},{"id":16,"name":"Locomotive ID","value":"4026"},{"id":130,"name":"Impact","value":""},{"id":150,"name":"Time of Event (Mountain Time)","value":"10:49:46"},{"id":151,"name":"Denver Issue ID","value":""},{"id":178,"name":"Operational Impact","value":"Yes"},{"id":179,"name":"Denver Segment Assigned","value":""}]}} | curl -X POST -H "Content-Type: application/json" -H "X-Redmine-API-Key: d6333d4a04012a730768444271f8ca06482dae87" https://secure.xorail.net/redmine/issues.json --data @-</v>
      </c>
      <c r="AJ58" s="48"/>
      <c r="AK58" s="48"/>
      <c r="AL58" s="48"/>
      <c r="AM58" s="158" t="str">
        <f t="shared" si="5"/>
        <v>start /low /b %USERPROFILE%\Documents\GitHub\eaglep3\Utilities\DownloadLogsFromS3.py --loco 4026 --day 2017-02-05</v>
      </c>
      <c r="AN58" s="167" t="str">
        <f>"grep -SE -B400 ""CHR.+\|PRM\|1\|D.+(SWITCH|SIGNAL).+UNKNOWN"" "&amp;search_path&amp;"\RTDC"&amp;B58&amp;"\*"&amp;B58&amp;"*"&amp;TEXT(AVERAGE(F58,I58)-utc_offset/24,"YYYYMMDD")&amp;"* | grep -SE ""(Enforcement Action)|(\[TIMEOUT)|(CHR.+\|PRM\|1\|D.+(SWITCH|SIGNAL).+UNKNOWN)"" - &gt;&gt; "&amp;TEXT(Variables!$A$2,"YYYY-MM-DD")&amp;"-UncaughtWiMAX.txt"</f>
        <v>grep -SE -B400 "CHR.+\|PRM\|1\|D.+(SWITCH|SIGNAL).+UNKNOWN" "%USERPROFILE%\AppData\Local\Temp\OnboardLogs"\RTDC4026\*4026*20170205* | grep -SE "(Enforcement Action)|(\[TIMEOUT)|(CHR.+\|PRM\|1\|D.+(SWITCH|SIGNAL).+UNKNOWN)" - &gt;&gt; 2017-02-05-UncaughtWiMAX.txt</v>
      </c>
      <c r="AO58"/>
      <c r="AP58"/>
      <c r="AQ58"/>
      <c r="AR58"/>
      <c r="AS58"/>
      <c r="AT58"/>
      <c r="AU58"/>
      <c r="AV58"/>
      <c r="AW58"/>
      <c r="AX58"/>
      <c r="AY58"/>
      <c r="AZ58"/>
      <c r="BA58"/>
      <c r="BB58"/>
      <c r="BC58"/>
      <c r="BD58"/>
      <c r="BE58"/>
      <c r="BF58"/>
      <c r="BG58"/>
      <c r="BH58"/>
      <c r="BI58"/>
      <c r="BJ58"/>
      <c r="BK58"/>
      <c r="BL58"/>
      <c r="BM58"/>
      <c r="BN58"/>
      <c r="BO58"/>
      <c r="BP58"/>
      <c r="BQ58"/>
      <c r="BR58"/>
      <c r="BS58"/>
      <c r="BT58"/>
      <c r="BU58"/>
      <c r="BV58"/>
      <c r="BW58"/>
      <c r="BX58"/>
      <c r="BY58"/>
      <c r="BZ58"/>
      <c r="CA58"/>
      <c r="CB58"/>
      <c r="CC58"/>
      <c r="CD58"/>
      <c r="CE58"/>
      <c r="CF58"/>
      <c r="CG58"/>
      <c r="CH58"/>
      <c r="CI58"/>
      <c r="CJ58"/>
      <c r="CK58"/>
      <c r="CL58"/>
      <c r="CM58"/>
    </row>
    <row r="59" spans="1:91" s="1" customFormat="1" x14ac:dyDescent="0.25">
      <c r="A59" s="33" t="s">
        <v>595</v>
      </c>
      <c r="B59" s="7">
        <v>4016</v>
      </c>
      <c r="C59" s="21" t="s">
        <v>193</v>
      </c>
      <c r="D59" s="21" t="s">
        <v>276</v>
      </c>
      <c r="E59" s="13">
        <v>42771.392233796294</v>
      </c>
      <c r="F59" s="13">
        <v>42771.396006944444</v>
      </c>
      <c r="G59" s="7">
        <v>1</v>
      </c>
      <c r="H59" s="21" t="s">
        <v>773</v>
      </c>
      <c r="I59" s="13">
        <v>42771.42114583333</v>
      </c>
      <c r="J59" s="7">
        <v>0</v>
      </c>
      <c r="K59" s="98" t="str">
        <f>IF(ISEVEN(B59),(B59-1)&amp;"/"&amp;B59,B59&amp;"/"&amp;(B59+1))</f>
        <v>4015/4016</v>
      </c>
      <c r="L59" s="21" t="str">
        <f>VLOOKUP(A59,'Trips&amp;Operators'!$C$1:$G$99999,5,FALSE)</f>
        <v>BADERTSCHER DIANE</v>
      </c>
      <c r="M59" s="6">
        <f>I59-F59</f>
        <v>2.5138888886431232E-2</v>
      </c>
      <c r="N59" s="7">
        <f>24*60*SUM($M59:$M59)</f>
        <v>36.199999996460974</v>
      </c>
      <c r="O59" s="7"/>
      <c r="P59" s="7"/>
      <c r="Q59" s="22"/>
      <c r="R59" s="22"/>
      <c r="S59" s="31">
        <f>SUM(U59:U59)/IF(AG59="EC",12,1)</f>
        <v>1</v>
      </c>
      <c r="T59" s="46" t="str">
        <f>IF(ISEVEN(LEFT(AD59,4)),"Southbound","NorthBound")</f>
        <v>NorthBound</v>
      </c>
      <c r="U59" s="190">
        <f>IF(AG59="EC",COUNTIFS(Variables!$M$2:$M$19,IF(T59="NorthBound","&gt;=","&lt;=")&amp;Y59,Variables!$M$2:$M$19,IF(T59="NorthBound","&lt;=","&gt;=")&amp;Z59),COUNTIFS(Variables!$P$2:$P$19,IF(T59="NorthBound","&gt;=","&lt;=")&amp;Y59,Variables!$P$2:$P$19,IF(T59="NorthBound","&lt;=","&gt;=")&amp;Z59))</f>
        <v>12</v>
      </c>
      <c r="V59" s="191" t="str">
        <f>"https://d0f6bd738d7f1b3e5a7ca70fe4ff75f0.us-east-1.aws.found.io/app/kibana#/discover/Steve-Slow-Train-Analysis-(2080s-and-2083s)?_g="&amp;"(refreshInterval:(display:Off,pause:!f,section:0,value:0),time:(from:'"&amp;TEXT(E59-1/24,"yyyy-MM-DDThh:mm:ss")&amp;utc_offset&amp;"00"&amp;"',mode:absolute,to:'"&amp;TEXT(I59+1/24,"yyyy-MM-DDThh:mm:ss")&amp;utc_offset&amp;"00"&amp;"'))&amp;_a=(columns:!('Locomotive+ID','Data.Head+End+Milepost',Data.Speed,'Data.Locomotive+State','Data.Train+ID',"&amp;"'Data.Warning%2FEnforcement+Type','Data.Target+Start+Milepost','Data.Target+Description','Data.Target+Speed',"&amp;"'Data.Enforcement+Train+Speed','Data.Enforcement+Start+Milepost','Data.Target+Type','Data.Enforcement+Direction+of+Travel','Message+ID',"&amp;"'Data.Body+of+Summary+Text','Data.Head+End+Track+name'),filters:!(),index:'emp_*',interval:auto,query:"&amp;"(query_string:(analyze_wildcard:!t,query:'Message%5C+ID:(2083+OR+2080+OR+1041+OR+2003+OR+1051+OR+1043+OR+1053)+AND+%22rtdc.l.rtdc."&amp;B59&amp;"%22')),sort:!(Time.ISO8601,asc))"</f>
        <v>https://d0f6bd738d7f1b3e5a7ca70fe4ff75f0.us-east-1.aws.found.io/app/kibana#/discover/Steve-Slow-Train-Analysis-(2080s-and-2083s)?_g=(refreshInterval:(display:Off,pause:!f,section:0,value:0),time:(from:'2017-02-05T08:24:49-0700',mode:absolute,to:'2017-02-05T11:06:27-0700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4016%22')),sort:!(Time.ISO8601,asc))</v>
      </c>
      <c r="W59" s="192" t="str">
        <f>IF(AA59&lt;IF(AG59="EC",23,5.65),"Y","N")</f>
        <v>N</v>
      </c>
      <c r="X59" s="192">
        <f>VALUE(LEFT(AD59,4))-VALUE(LEFT(AD58,4))</f>
        <v>1</v>
      </c>
      <c r="Y59" s="62">
        <f>RIGHT(D59,LEN(D59)-4)/10000</f>
        <v>4.7100000000000003E-2</v>
      </c>
      <c r="Z59" s="62">
        <f>RIGHT(H59,LEN(H59)-4)/10000</f>
        <v>23.332999999999998</v>
      </c>
      <c r="AA59" s="62">
        <f>ABS(Z59-Y59)</f>
        <v>23.285899999999998</v>
      </c>
      <c r="AB59" s="59" t="e">
        <f>VLOOKUP(A59,Enforcements!$C$7:$K$16,8,0)</f>
        <v>#N/A</v>
      </c>
      <c r="AC59" s="55" t="e">
        <f>VLOOKUP(A59,Enforcements!$C$7:$E$16,3,0)</f>
        <v>#N/A</v>
      </c>
      <c r="AD59" s="56" t="str">
        <f>IF(LEN(A59)=6,"0"&amp;A59,A59)</f>
        <v>0147-05</v>
      </c>
      <c r="AE59" s="85" t="str">
        <f>"aws s3 cp "&amp;s3_bucket&amp;"/RTDC"&amp;B59&amp;"/ "&amp;search_path&amp;"\RTDC"&amp;B59&amp;"\"&amp;TEXT(F59,"YYYY-MM-DD")&amp;" --exclude ""*"" --recursive --include ""*"&amp;TEXT(F59,"YYYYMMDD")&amp;"*"" &amp; """&amp;walkandungz&amp;""" "&amp;search_path&amp;"\RTDC"&amp;B59&amp;"\"&amp;TEXT(F59,"YYYY-MM-DD")
&amp;" &amp; "&amp;"aws s3 cp "&amp;s3_bucket&amp;"/RTDC"&amp;B59&amp;"/ "&amp;search_path&amp;"\RTDC"&amp;B59&amp;"\"&amp;TEXT(F59+1,"YYYY-MM-DD")&amp;" --exclude ""*"" --recursive --include ""*"&amp;TEXT(F59+1,"YYYYMMDD")&amp;"*"" &amp; """&amp;walkandungz&amp;""" "&amp;search_path&amp;"\RTDC"&amp;B59&amp;"\"&amp;TEXT(F59+1,"YYYY-MM-DD")</f>
        <v>aws s3 cp s3://rtdc.mdm.uploadarchive.raw/RTDC4016/ "%USERPROFILE%\AppData\Local\Temp\OnboardLogs"\RTDC4016\2017-02-05 --exclude "*" --recursive --include "*20170205*" &amp; "%USERPROFILE%\Documents\GitHub\mrs-test-scripts\Headless Mode &amp; Sideloading\WalkAndUnGZ.bat" "%USERPROFILE%\AppData\Local\Temp\OnboardLogs"\RTDC4016\2017-02-05 &amp; aws s3 cp s3://rtdc.mdm.uploadarchive.raw/RTDC4016/ "%USERPROFILE%\AppData\Local\Temp\OnboardLogs"\RTDC4016\2017-02-06 --exclude "*" --recursive --include "*20170206*" &amp; "%USERPROFILE%\Documents\GitHub\mrs-test-scripts\Headless Mode &amp; Sideloading\WalkAndUnGZ.bat" "%USERPROFILE%\AppData\Local\Temp\OnboardLogs"\RTDC4016\2017-02-06</v>
      </c>
      <c r="AF59" s="82" t="str">
        <f>astrogrep_path&amp;" /spath="&amp;search_path&amp;" /stypes=""app*"&amp;B59&amp;"*"&amp;TEXT(I59-utc_offset/24,"YYYYMMDD")&amp;"*"" /stext="" "&amp;TEXT(I59-utc_offset/24,"HH")&amp;search_regexp&amp;""" /e /r /s"</f>
        <v>"C:\Program Files (x86)\AstroGrep\AstroGrep.exe" /spath="%USERPROFILE%\AppData\Local\Temp\OnboardLogs" /stypes="app*4016*20170205*" /stext=" 17:.+((SYSTEM_STATE.+slice.+state.+changed )|(ment ac)|(multiple cpu faults)|(system.+state.+changed )|(\[timeout)|(PRM\|1\|D)|(kpr)|(kdp)|(\|lc)|(penalty))" /e /r /s</v>
      </c>
      <c r="AG59" s="1" t="str">
        <f>IFERROR(IF(VALUE(LEFT(AD59,2))&lt;=2,"EC",IF(OR(VALUE(LEFT(AD59,2))=8,VALUE(LEFT(AD59,2))=18),"NW","Other")),"Other")</f>
        <v>EC</v>
      </c>
      <c r="AH59" s="86" t="str">
        <f t="shared" si="3"/>
        <v>"%USERPROFILE%\Documents\GitHub\eaglep3\Utilities\RefineRTDCRunTimes.py" --tripid 147-05 --locoid 4016 --swversion DE.1.0.8.0 --startMP 204:471 --initTime 2017-02-05T09:24:49 --startdatetime 2017-02-05T09:30:15 --delay 1 --endMP 204:233330 --enddatetime 2017-02-05T10:06:27 --enforcementcount 0 &gt;&gt;C:\Users\stu\Documents\GitHub\eaglep3-reporting\EC\2017-02-05-refined-times.txt</v>
      </c>
      <c r="AI59" s="108" t="str">
        <f t="shared" si="4"/>
        <v>echo {"issue":{"subject":"","project_id":79,"tracker_id":40,"status_id":1,"priority_id":2,"assigned_to_id":23,"start_date":"2017-02-05","description":"","custom_fields":[{"id":1,"name":"Subdivision","value":"EC"},{"id":4,"name":"Milepost","value":"23.333"},{"id":17,"name":"Train ID","value":"147-05"},{"id":16,"name":"Locomotive ID","value":"4016"},{"id":130,"name":"Impact","value":""},{"id":150,"name":"Time of Event (Mountain Time)","value":"10:06:27"},{"id":151,"name":"Denver Issue ID","value":""},{"id":178,"name":"Operational Impact","value":"Yes"},{"id":179,"name":"Denver Segment Assigned","value":""}]}} | curl -X POST -H "Content-Type: application/json" -H "X-Redmine-API-Key: d6333d4a04012a730768444271f8ca06482dae87" https://secure.xorail.net/redmine/issues.json --data @-</v>
      </c>
      <c r="AJ59" s="48"/>
      <c r="AK59" s="48"/>
      <c r="AL59" s="48"/>
      <c r="AM59" s="158" t="str">
        <f t="shared" si="5"/>
        <v>start /low /b %USERPROFILE%\Documents\GitHub\eaglep3\Utilities\DownloadLogsFromS3.py --loco 4016 --day 2017-02-05</v>
      </c>
      <c r="AN59" s="167" t="str">
        <f>"grep -SE -B400 ""CHR.+\|PRM\|1\|D.+(SWITCH|SIGNAL).+UNKNOWN"" "&amp;search_path&amp;"\RTDC"&amp;B59&amp;"\*"&amp;B59&amp;"*"&amp;TEXT(AVERAGE(F59,I59)-utc_offset/24,"YYYYMMDD")&amp;"* | grep -SE ""(Enforcement Action)|(\[TIMEOUT)|(CHR.+\|PRM\|1\|D.+(SWITCH|SIGNAL).+UNKNOWN)"" - &gt;&gt; "&amp;TEXT(Variables!$A$2,"YYYY-MM-DD")&amp;"-UncaughtWiMAX.txt"</f>
        <v>grep -SE -B400 "CHR.+\|PRM\|1\|D.+(SWITCH|SIGNAL).+UNKNOWN" "%USERPROFILE%\AppData\Local\Temp\OnboardLogs"\RTDC4016\*4016*20170205* | grep -SE "(Enforcement Action)|(\[TIMEOUT)|(CHR.+\|PRM\|1\|D.+(SWITCH|SIGNAL).+UNKNOWN)" - &gt;&gt; 2017-02-05-UncaughtWiMAX.txt</v>
      </c>
      <c r="AO59"/>
      <c r="AP59"/>
      <c r="AQ59"/>
      <c r="AR59"/>
      <c r="AS59"/>
      <c r="AT59"/>
      <c r="AU59"/>
      <c r="AV59"/>
      <c r="AW59"/>
      <c r="AX59"/>
      <c r="AY59"/>
      <c r="AZ59"/>
      <c r="BA59"/>
      <c r="BB59"/>
      <c r="BC59"/>
      <c r="BD59"/>
      <c r="BE59"/>
      <c r="BF59"/>
      <c r="BG59"/>
      <c r="BH59"/>
      <c r="BI59"/>
      <c r="BJ59"/>
      <c r="BK59"/>
      <c r="BL59"/>
      <c r="BM59"/>
      <c r="BN59"/>
      <c r="BO59"/>
      <c r="BP59"/>
      <c r="BQ59"/>
      <c r="BR59"/>
      <c r="BS59"/>
      <c r="BT59"/>
      <c r="BU59"/>
      <c r="BV59"/>
      <c r="BW59"/>
      <c r="BX59"/>
      <c r="BY59"/>
      <c r="BZ59"/>
      <c r="CA59"/>
      <c r="CB59"/>
      <c r="CC59"/>
      <c r="CD59"/>
      <c r="CE59"/>
      <c r="CF59"/>
      <c r="CG59"/>
      <c r="CH59"/>
      <c r="CI59"/>
      <c r="CJ59"/>
      <c r="CK59"/>
      <c r="CL59"/>
      <c r="CM59"/>
    </row>
    <row r="60" spans="1:91" s="1" customFormat="1" x14ac:dyDescent="0.25">
      <c r="A60" s="33" t="s">
        <v>602</v>
      </c>
      <c r="B60" s="7">
        <v>4015</v>
      </c>
      <c r="C60" s="21" t="s">
        <v>193</v>
      </c>
      <c r="D60" s="21" t="s">
        <v>283</v>
      </c>
      <c r="E60" s="13">
        <v>42771.424328703702</v>
      </c>
      <c r="F60" s="13">
        <v>42771.434942129628</v>
      </c>
      <c r="G60" s="7">
        <v>1</v>
      </c>
      <c r="H60" s="21" t="s">
        <v>184</v>
      </c>
      <c r="I60" s="13">
        <v>42771.463171296295</v>
      </c>
      <c r="J60" s="7">
        <v>0</v>
      </c>
      <c r="K60" s="98" t="str">
        <f>IF(ISEVEN(B60),(B60-1)&amp;"/"&amp;B60,B60&amp;"/"&amp;(B60+1))</f>
        <v>4015/4016</v>
      </c>
      <c r="L60" s="21" t="str">
        <f>VLOOKUP(A60,'Trips&amp;Operators'!$C$1:$G$99999,5,FALSE)</f>
        <v>BADERTSCHER DIANE</v>
      </c>
      <c r="M60" s="6">
        <f>I60-F60</f>
        <v>2.8229166666278616E-2</v>
      </c>
      <c r="N60" s="7">
        <f>24*60*SUM($M60:$M60)</f>
        <v>40.649999999441206</v>
      </c>
      <c r="O60" s="7"/>
      <c r="P60" s="7"/>
      <c r="Q60" s="22"/>
      <c r="R60" s="22"/>
      <c r="S60" s="31">
        <f>SUM(U60:U60)/IF(AG60="EC",12,1)</f>
        <v>1</v>
      </c>
      <c r="T60" s="46" t="str">
        <f>IF(ISEVEN(LEFT(AD60,4)),"Southbound","NorthBound")</f>
        <v>Southbound</v>
      </c>
      <c r="U60" s="190">
        <f>IF(AG60="EC",COUNTIFS(Variables!$M$2:$M$19,IF(T60="NorthBound","&gt;=","&lt;=")&amp;Y60,Variables!$M$2:$M$19,IF(T60="NorthBound","&lt;=","&gt;=")&amp;Z60),COUNTIFS(Variables!$P$2:$P$19,IF(T60="NorthBound","&gt;=","&lt;=")&amp;Y60,Variables!$P$2:$P$19,IF(T60="NorthBound","&lt;=","&gt;=")&amp;Z60))</f>
        <v>12</v>
      </c>
      <c r="V60" s="191" t="str">
        <f>"https://d0f6bd738d7f1b3e5a7ca70fe4ff75f0.us-east-1.aws.found.io/app/kibana#/discover/Steve-Slow-Train-Analysis-(2080s-and-2083s)?_g="&amp;"(refreshInterval:(display:Off,pause:!f,section:0,value:0),time:(from:'"&amp;TEXT(E60-1/24,"yyyy-MM-DDThh:mm:ss")&amp;utc_offset&amp;"00"&amp;"',mode:absolute,to:'"&amp;TEXT(I60+1/24,"yyyy-MM-DDThh:mm:ss")&amp;utc_offset&amp;"00"&amp;"'))&amp;_a=(columns:!('Locomotive+ID','Data.Head+End+Milepost',Data.Speed,'Data.Locomotive+State','Data.Train+ID',"&amp;"'Data.Warning%2FEnforcement+Type','Data.Target+Start+Milepost','Data.Target+Description','Data.Target+Speed',"&amp;"'Data.Enforcement+Train+Speed','Data.Enforcement+Start+Milepost','Data.Target+Type','Data.Enforcement+Direction+of+Travel','Message+ID',"&amp;"'Data.Body+of+Summary+Text','Data.Head+End+Track+name'),filters:!(),index:'emp_*',interval:auto,query:"&amp;"(query_string:(analyze_wildcard:!t,query:'Message%5C+ID:(2083+OR+2080+OR+1041+OR+2003+OR+1051+OR+1043+OR+1053)+AND+%22rtdc.l.rtdc."&amp;B60&amp;"%22')),sort:!(Time.ISO8601,asc))"</f>
        <v>https://d0f6bd738d7f1b3e5a7ca70fe4ff75f0.us-east-1.aws.found.io/app/kibana#/discover/Steve-Slow-Train-Analysis-(2080s-and-2083s)?_g=(refreshInterval:(display:Off,pause:!f,section:0,value:0),time:(from:'2017-02-05T09:11:02-0700',mode:absolute,to:'2017-02-05T12:06:58-0700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4015%22')),sort:!(Time.ISO8601,asc))</v>
      </c>
      <c r="W60" s="192" t="str">
        <f>IF(AA60&lt;IF(AG60="EC",23,5.65),"Y","N")</f>
        <v>N</v>
      </c>
      <c r="X60" s="192">
        <f>VALUE(LEFT(AD60,4))-VALUE(LEFT(AD59,4))</f>
        <v>1</v>
      </c>
      <c r="Y60" s="62">
        <f>RIGHT(D60,LEN(D60)-4)/10000</f>
        <v>23.298200000000001</v>
      </c>
      <c r="Z60" s="62">
        <f>RIGHT(H60,LEN(H60)-4)/10000</f>
        <v>1.49E-2</v>
      </c>
      <c r="AA60" s="62">
        <f>ABS(Z60-Y60)</f>
        <v>23.283300000000001</v>
      </c>
      <c r="AB60" s="59" t="e">
        <f>VLOOKUP(A60,Enforcements!$C$7:$K$16,8,0)</f>
        <v>#N/A</v>
      </c>
      <c r="AC60" s="55" t="e">
        <f>VLOOKUP(A60,Enforcements!$C$7:$E$16,3,0)</f>
        <v>#N/A</v>
      </c>
      <c r="AD60" s="56" t="str">
        <f>IF(LEN(A60)=6,"0"&amp;A60,A60)</f>
        <v>0148-05</v>
      </c>
      <c r="AE60" s="85" t="str">
        <f>"aws s3 cp "&amp;s3_bucket&amp;"/RTDC"&amp;B60&amp;"/ "&amp;search_path&amp;"\RTDC"&amp;B60&amp;"\"&amp;TEXT(F60,"YYYY-MM-DD")&amp;" --exclude ""*"" --recursive --include ""*"&amp;TEXT(F60,"YYYYMMDD")&amp;"*"" &amp; """&amp;walkandungz&amp;""" "&amp;search_path&amp;"\RTDC"&amp;B60&amp;"\"&amp;TEXT(F60,"YYYY-MM-DD")
&amp;" &amp; "&amp;"aws s3 cp "&amp;s3_bucket&amp;"/RTDC"&amp;B60&amp;"/ "&amp;search_path&amp;"\RTDC"&amp;B60&amp;"\"&amp;TEXT(F60+1,"YYYY-MM-DD")&amp;" --exclude ""*"" --recursive --include ""*"&amp;TEXT(F60+1,"YYYYMMDD")&amp;"*"" &amp; """&amp;walkandungz&amp;""" "&amp;search_path&amp;"\RTDC"&amp;B60&amp;"\"&amp;TEXT(F60+1,"YYYY-MM-DD")</f>
        <v>aws s3 cp s3://rtdc.mdm.uploadarchive.raw/RTDC4015/ "%USERPROFILE%\AppData\Local\Temp\OnboardLogs"\RTDC4015\2017-02-05 --exclude "*" --recursive --include "*20170205*" &amp; "%USERPROFILE%\Documents\GitHub\mrs-test-scripts\Headless Mode &amp; Sideloading\WalkAndUnGZ.bat" "%USERPROFILE%\AppData\Local\Temp\OnboardLogs"\RTDC4015\2017-02-05 &amp; aws s3 cp s3://rtdc.mdm.uploadarchive.raw/RTDC4015/ "%USERPROFILE%\AppData\Local\Temp\OnboardLogs"\RTDC4015\2017-02-06 --exclude "*" --recursive --include "*20170206*" &amp; "%USERPROFILE%\Documents\GitHub\mrs-test-scripts\Headless Mode &amp; Sideloading\WalkAndUnGZ.bat" "%USERPROFILE%\AppData\Local\Temp\OnboardLogs"\RTDC4015\2017-02-06</v>
      </c>
      <c r="AF60" s="82" t="str">
        <f>astrogrep_path&amp;" /spath="&amp;search_path&amp;" /stypes=""app*"&amp;B60&amp;"*"&amp;TEXT(I60-utc_offset/24,"YYYYMMDD")&amp;"*"" /stext="" "&amp;TEXT(I60-utc_offset/24,"HH")&amp;search_regexp&amp;""" /e /r /s"</f>
        <v>"C:\Program Files (x86)\AstroGrep\AstroGrep.exe" /spath="%USERPROFILE%\AppData\Local\Temp\OnboardLogs" /stypes="app*4015*20170205*" /stext=" 18:.+((SYSTEM_STATE.+slice.+state.+changed )|(ment ac)|(multiple cpu faults)|(system.+state.+changed )|(\[timeout)|(PRM\|1\|D)|(kpr)|(kdp)|(\|lc)|(penalty))" /e /r /s</v>
      </c>
      <c r="AG60" s="1" t="str">
        <f>IFERROR(IF(VALUE(LEFT(AD60,2))&lt;=2,"EC",IF(OR(VALUE(LEFT(AD60,2))=8,VALUE(LEFT(AD60,2))=18),"NW","Other")),"Other")</f>
        <v>EC</v>
      </c>
      <c r="AH60" s="86" t="str">
        <f t="shared" si="3"/>
        <v>"%USERPROFILE%\Documents\GitHub\eaglep3\Utilities\RefineRTDCRunTimes.py" --tripid 148-05 --locoid 4015 --swversion DE.1.0.8.0 --startMP 204:232982 --initTime 2017-02-05T10:11:02 --startdatetime 2017-02-05T10:26:19 --delay 1 --endMP 204:149 --enddatetime 2017-02-05T11:06:58 --enforcementcount 0 &gt;&gt;C:\Users\stu\Documents\GitHub\eaglep3-reporting\EC\2017-02-05-refined-times.txt</v>
      </c>
      <c r="AI60" s="108" t="str">
        <f t="shared" si="4"/>
        <v>echo {"issue":{"subject":"","project_id":79,"tracker_id":40,"status_id":1,"priority_id":2,"assigned_to_id":23,"start_date":"2017-02-05","description":"","custom_fields":[{"id":1,"name":"Subdivision","value":"EC"},{"id":4,"name":"Milepost","value":"0.0149"},{"id":17,"name":"Train ID","value":"148-05"},{"id":16,"name":"Locomotive ID","value":"4015"},{"id":130,"name":"Impact","value":""},{"id":150,"name":"Time of Event (Mountain Time)","value":"11:06:58"},{"id":151,"name":"Denver Issue ID","value":""},{"id":178,"name":"Operational Impact","value":"Yes"},{"id":179,"name":"Denver Segment Assigned","value":""}]}} | curl -X POST -H "Content-Type: application/json" -H "X-Redmine-API-Key: d6333d4a04012a730768444271f8ca06482dae87" https://secure.xorail.net/redmine/issues.json --data @-</v>
      </c>
      <c r="AJ60" s="48"/>
      <c r="AK60" s="48"/>
      <c r="AL60" s="48"/>
      <c r="AM60" s="158" t="str">
        <f t="shared" si="5"/>
        <v>start /low /b %USERPROFILE%\Documents\GitHub\eaglep3\Utilities\DownloadLogsFromS3.py --loco 4015 --day 2017-02-05</v>
      </c>
      <c r="AN60" s="167" t="str">
        <f>"grep -SE -B400 ""CHR.+\|PRM\|1\|D.+(SWITCH|SIGNAL).+UNKNOWN"" "&amp;search_path&amp;"\RTDC"&amp;B60&amp;"\*"&amp;B60&amp;"*"&amp;TEXT(AVERAGE(F60,I60)-utc_offset/24,"YYYYMMDD")&amp;"* | grep -SE ""(Enforcement Action)|(\[TIMEOUT)|(CHR.+\|PRM\|1\|D.+(SWITCH|SIGNAL).+UNKNOWN)"" - &gt;&gt; "&amp;TEXT(Variables!$A$2,"YYYY-MM-DD")&amp;"-UncaughtWiMAX.txt"</f>
        <v>grep -SE -B400 "CHR.+\|PRM\|1\|D.+(SWITCH|SIGNAL).+UNKNOWN" "%USERPROFILE%\AppData\Local\Temp\OnboardLogs"\RTDC4015\*4015*20170205* | grep -SE "(Enforcement Action)|(\[TIMEOUT)|(CHR.+\|PRM\|1\|D.+(SWITCH|SIGNAL).+UNKNOWN)" - &gt;&gt; 2017-02-05-UncaughtWiMAX.txt</v>
      </c>
      <c r="AO60"/>
      <c r="AP60"/>
      <c r="AQ60"/>
      <c r="AR60"/>
      <c r="AS60"/>
      <c r="AT60"/>
      <c r="AU60"/>
      <c r="AV60"/>
      <c r="AW60"/>
      <c r="AX60"/>
      <c r="AY60"/>
      <c r="AZ60"/>
      <c r="BA60"/>
      <c r="BB60"/>
      <c r="BC60"/>
      <c r="BD60"/>
      <c r="BE60"/>
      <c r="BF60"/>
      <c r="BG60"/>
      <c r="BH60"/>
      <c r="BI60"/>
      <c r="BJ60"/>
      <c r="BK60"/>
      <c r="BL60"/>
      <c r="BM60"/>
      <c r="BN60"/>
      <c r="BO60"/>
      <c r="BP60"/>
      <c r="BQ60"/>
      <c r="BR60"/>
      <c r="BS60"/>
      <c r="BT60"/>
      <c r="BU60"/>
      <c r="BV60"/>
      <c r="BW60"/>
      <c r="BX60"/>
      <c r="BY60"/>
      <c r="BZ60"/>
      <c r="CA60"/>
      <c r="CB60"/>
      <c r="CC60"/>
      <c r="CD60"/>
      <c r="CE60"/>
      <c r="CF60"/>
      <c r="CG60"/>
      <c r="CH60"/>
      <c r="CI60"/>
      <c r="CJ60"/>
      <c r="CK60"/>
      <c r="CL60"/>
      <c r="CM60"/>
    </row>
    <row r="61" spans="1:91" s="1" customFormat="1" x14ac:dyDescent="0.25">
      <c r="A61" s="33" t="s">
        <v>505</v>
      </c>
      <c r="B61" s="7">
        <v>4022</v>
      </c>
      <c r="C61" s="21" t="s">
        <v>193</v>
      </c>
      <c r="D61" s="21" t="s">
        <v>406</v>
      </c>
      <c r="E61" s="13">
        <v>42771.401296296295</v>
      </c>
      <c r="F61" s="13">
        <v>42771.406400462962</v>
      </c>
      <c r="G61" s="7">
        <v>1</v>
      </c>
      <c r="H61" s="21" t="s">
        <v>331</v>
      </c>
      <c r="I61" s="13">
        <v>42771.433020833334</v>
      </c>
      <c r="J61" s="7">
        <v>0</v>
      </c>
      <c r="K61" s="98" t="str">
        <f>IF(ISEVEN(B61),(B61-1)&amp;"/"&amp;B61,B61&amp;"/"&amp;(B61+1))</f>
        <v>4021/4022</v>
      </c>
      <c r="L61" s="21" t="str">
        <f>VLOOKUP(A61,'Trips&amp;Operators'!$C$1:$G$99999,5,FALSE)</f>
        <v>DAVIS WENDY</v>
      </c>
      <c r="M61" s="6">
        <f>I61-F61</f>
        <v>2.662037037225673E-2</v>
      </c>
      <c r="N61" s="7">
        <f>24*60*SUM($M61:$M61)</f>
        <v>38.333333336049691</v>
      </c>
      <c r="O61" s="7"/>
      <c r="P61" s="7"/>
      <c r="Q61" s="22"/>
      <c r="R61" s="22"/>
      <c r="S61" s="31">
        <f>SUM(U61:U61)/IF(AG61="EC",12,1)</f>
        <v>1</v>
      </c>
      <c r="T61" s="46" t="str">
        <f>IF(ISEVEN(LEFT(AD61,4)),"Southbound","NorthBound")</f>
        <v>NorthBound</v>
      </c>
      <c r="U61" s="190">
        <f>IF(AG61="EC",COUNTIFS(Variables!$M$2:$M$19,IF(T61="NorthBound","&gt;=","&lt;=")&amp;Y61,Variables!$M$2:$M$19,IF(T61="NorthBound","&lt;=","&gt;=")&amp;Z61),COUNTIFS(Variables!$P$2:$P$19,IF(T61="NorthBound","&gt;=","&lt;=")&amp;Y61,Variables!$P$2:$P$19,IF(T61="NorthBound","&lt;=","&gt;=")&amp;Z61))</f>
        <v>12</v>
      </c>
      <c r="V61" s="191" t="str">
        <f>"https://d0f6bd738d7f1b3e5a7ca70fe4ff75f0.us-east-1.aws.found.io/app/kibana#/discover/Steve-Slow-Train-Analysis-(2080s-and-2083s)?_g="&amp;"(refreshInterval:(display:Off,pause:!f,section:0,value:0),time:(from:'"&amp;TEXT(E61-1/24,"yyyy-MM-DDThh:mm:ss")&amp;utc_offset&amp;"00"&amp;"',mode:absolute,to:'"&amp;TEXT(I61+1/24,"yyyy-MM-DDThh:mm:ss")&amp;utc_offset&amp;"00"&amp;"'))&amp;_a=(columns:!('Locomotive+ID','Data.Head+End+Milepost',Data.Speed,'Data.Locomotive+State','Data.Train+ID',"&amp;"'Data.Warning%2FEnforcement+Type','Data.Target+Start+Milepost','Data.Target+Description','Data.Target+Speed',"&amp;"'Data.Enforcement+Train+Speed','Data.Enforcement+Start+Milepost','Data.Target+Type','Data.Enforcement+Direction+of+Travel','Message+ID',"&amp;"'Data.Body+of+Summary+Text','Data.Head+End+Track+name'),filters:!(),index:'emp_*',interval:auto,query:"&amp;"(query_string:(analyze_wildcard:!t,query:'Message%5C+ID:(2083+OR+2080+OR+1041+OR+2003+OR+1051+OR+1043+OR+1053)+AND+%22rtdc.l.rtdc."&amp;B61&amp;"%22')),sort:!(Time.ISO8601,asc))"</f>
        <v>https://d0f6bd738d7f1b3e5a7ca70fe4ff75f0.us-east-1.aws.found.io/app/kibana#/discover/Steve-Slow-Train-Analysis-(2080s-and-2083s)?_g=(refreshInterval:(display:Off,pause:!f,section:0,value:0),time:(from:'2017-02-05T08:37:52-0700',mode:absolute,to:'2017-02-05T11:23:33-0700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4022%22')),sort:!(Time.ISO8601,asc))</v>
      </c>
      <c r="W61" s="192" t="str">
        <f>IF(AA61&lt;IF(AG61="EC",23,5.65),"Y","N")</f>
        <v>N</v>
      </c>
      <c r="X61" s="192">
        <f>VALUE(LEFT(AD61,4))-VALUE(LEFT(AD60,4))</f>
        <v>1</v>
      </c>
      <c r="Y61" s="62">
        <f>RIGHT(D61,LEN(D61)-4)/10000</f>
        <v>4.6600000000000003E-2</v>
      </c>
      <c r="Z61" s="62">
        <f>RIGHT(H61,LEN(H61)-4)/10000</f>
        <v>23.3306</v>
      </c>
      <c r="AA61" s="62">
        <f>ABS(Z61-Y61)</f>
        <v>23.283999999999999</v>
      </c>
      <c r="AB61" s="59" t="str">
        <f>VLOOKUP(A61,Enforcements!$C$7:$K$16,8,0)</f>
        <v>Speed (6)</v>
      </c>
      <c r="AC61" s="55" t="str">
        <f>VLOOKUP(A61,Enforcements!$C$7:$E$16,3,0)</f>
        <v>PERMANENT SPEED RESTRICTION</v>
      </c>
      <c r="AD61" s="56" t="str">
        <f>IF(LEN(A61)=6,"0"&amp;A61,A61)</f>
        <v>0149-05</v>
      </c>
      <c r="AE61" s="85" t="str">
        <f>"aws s3 cp "&amp;s3_bucket&amp;"/RTDC"&amp;B61&amp;"/ "&amp;search_path&amp;"\RTDC"&amp;B61&amp;"\"&amp;TEXT(F61,"YYYY-MM-DD")&amp;" --exclude ""*"" --recursive --include ""*"&amp;TEXT(F61,"YYYYMMDD")&amp;"*"" &amp; """&amp;walkandungz&amp;""" "&amp;search_path&amp;"\RTDC"&amp;B61&amp;"\"&amp;TEXT(F61,"YYYY-MM-DD")
&amp;" &amp; "&amp;"aws s3 cp "&amp;s3_bucket&amp;"/RTDC"&amp;B61&amp;"/ "&amp;search_path&amp;"\RTDC"&amp;B61&amp;"\"&amp;TEXT(F61+1,"YYYY-MM-DD")&amp;" --exclude ""*"" --recursive --include ""*"&amp;TEXT(F61+1,"YYYYMMDD")&amp;"*"" &amp; """&amp;walkandungz&amp;""" "&amp;search_path&amp;"\RTDC"&amp;B61&amp;"\"&amp;TEXT(F61+1,"YYYY-MM-DD")</f>
        <v>aws s3 cp s3://rtdc.mdm.uploadarchive.raw/RTDC4022/ "%USERPROFILE%\AppData\Local\Temp\OnboardLogs"\RTDC4022\2017-02-05 --exclude "*" --recursive --include "*20170205*" &amp; "%USERPROFILE%\Documents\GitHub\mrs-test-scripts\Headless Mode &amp; Sideloading\WalkAndUnGZ.bat" "%USERPROFILE%\AppData\Local\Temp\OnboardLogs"\RTDC4022\2017-02-05 &amp; aws s3 cp s3://rtdc.mdm.uploadarchive.raw/RTDC4022/ "%USERPROFILE%\AppData\Local\Temp\OnboardLogs"\RTDC4022\2017-02-06 --exclude "*" --recursive --include "*20170206*" &amp; "%USERPROFILE%\Documents\GitHub\mrs-test-scripts\Headless Mode &amp; Sideloading\WalkAndUnGZ.bat" "%USERPROFILE%\AppData\Local\Temp\OnboardLogs"\RTDC4022\2017-02-06</v>
      </c>
      <c r="AF61" s="82" t="str">
        <f>astrogrep_path&amp;" /spath="&amp;search_path&amp;" /stypes=""app*"&amp;B61&amp;"*"&amp;TEXT(I61-utc_offset/24,"YYYYMMDD")&amp;"*"" /stext="" "&amp;TEXT(I61-utc_offset/24,"HH")&amp;search_regexp&amp;""" /e /r /s"</f>
        <v>"C:\Program Files (x86)\AstroGrep\AstroGrep.exe" /spath="%USERPROFILE%\AppData\Local\Temp\OnboardLogs" /stypes="app*4022*20170205*" /stext=" 17:.+((SYSTEM_STATE.+slice.+state.+changed )|(ment ac)|(multiple cpu faults)|(system.+state.+changed )|(\[timeout)|(PRM\|1\|D)|(kpr)|(kdp)|(\|lc)|(penalty))" /e /r /s</v>
      </c>
      <c r="AG61" s="1" t="str">
        <f>IFERROR(IF(VALUE(LEFT(AD61,2))&lt;=2,"EC",IF(OR(VALUE(LEFT(AD61,2))=8,VALUE(LEFT(AD61,2))=18),"NW","Other")),"Other")</f>
        <v>EC</v>
      </c>
      <c r="AH61" s="86" t="str">
        <f t="shared" si="3"/>
        <v>"%USERPROFILE%\Documents\GitHub\eaglep3\Utilities\RefineRTDCRunTimes.py" --tripid 149-05 --locoid 4022 --swversion DE.1.0.8.0 --startMP 204:466 --initTime 2017-02-05T09:37:52 --startdatetime 2017-02-05T09:45:13 --delay 1 --endMP 204:233306 --enddatetime 2017-02-05T10:23:33 --enforcementcount 0 &gt;&gt;C:\Users\stu\Documents\GitHub\eaglep3-reporting\EC\2017-02-05-refined-times.txt</v>
      </c>
      <c r="AI61" s="108" t="str">
        <f t="shared" si="4"/>
        <v>echo {"issue":{"subject":"","project_id":79,"tracker_id":40,"status_id":1,"priority_id":2,"assigned_to_id":23,"start_date":"2017-02-05","description":"","custom_fields":[{"id":1,"name":"Subdivision","value":"EC"},{"id":4,"name":"Milepost","value":"23.3306"},{"id":17,"name":"Train ID","value":"149-05"},{"id":16,"name":"Locomotive ID","value":"4022"},{"id":130,"name":"Impact","value":""},{"id":150,"name":"Time of Event (Mountain Time)","value":"10:23:33"},{"id":151,"name":"Denver Issue ID","value":""},{"id":178,"name":"Operational Impact","value":"Yes"},{"id":179,"name":"Denver Segment Assigned","value":""}]}} | curl -X POST -H "Content-Type: application/json" -H "X-Redmine-API-Key: d6333d4a04012a730768444271f8ca06482dae87" https://secure.xorail.net/redmine/issues.json --data @-</v>
      </c>
      <c r="AJ61" s="48"/>
      <c r="AK61" s="48"/>
      <c r="AL61" s="48"/>
      <c r="AM61" s="158" t="str">
        <f t="shared" si="5"/>
        <v>start /low /b %USERPROFILE%\Documents\GitHub\eaglep3\Utilities\DownloadLogsFromS3.py --loco 4022 --day 2017-02-05</v>
      </c>
      <c r="AN61" s="167" t="str">
        <f>"grep -SE -B400 ""CHR.+\|PRM\|1\|D.+(SWITCH|SIGNAL).+UNKNOWN"" "&amp;search_path&amp;"\RTDC"&amp;B61&amp;"\*"&amp;B61&amp;"*"&amp;TEXT(AVERAGE(F61,I61)-utc_offset/24,"YYYYMMDD")&amp;"* | grep -SE ""(Enforcement Action)|(\[TIMEOUT)|(CHR.+\|PRM\|1\|D.+(SWITCH|SIGNAL).+UNKNOWN)"" - &gt;&gt; "&amp;TEXT(Variables!$A$2,"YYYY-MM-DD")&amp;"-UncaughtWiMAX.txt"</f>
        <v>grep -SE -B400 "CHR.+\|PRM\|1\|D.+(SWITCH|SIGNAL).+UNKNOWN" "%USERPROFILE%\AppData\Local\Temp\OnboardLogs"\RTDC4022\*4022*20170205* | grep -SE "(Enforcement Action)|(\[TIMEOUT)|(CHR.+\|PRM\|1\|D.+(SWITCH|SIGNAL).+UNKNOWN)" - &gt;&gt; 2017-02-05-UncaughtWiMAX.txt</v>
      </c>
      <c r="AO61"/>
      <c r="AP61"/>
      <c r="AQ61"/>
      <c r="AR61"/>
      <c r="AS61"/>
      <c r="AT61"/>
      <c r="AU61"/>
      <c r="AV61"/>
      <c r="AW61"/>
      <c r="AX61"/>
      <c r="AY61"/>
      <c r="AZ61"/>
      <c r="BA61"/>
      <c r="BB61"/>
      <c r="BC61"/>
      <c r="BD61"/>
      <c r="BE61"/>
      <c r="BF61"/>
      <c r="BG61"/>
      <c r="BH61"/>
      <c r="BI61"/>
      <c r="BJ61"/>
      <c r="BK61"/>
      <c r="BL61"/>
      <c r="BM61"/>
      <c r="BN61"/>
      <c r="BO61"/>
      <c r="BP61"/>
      <c r="BQ61"/>
      <c r="BR61"/>
      <c r="BS61"/>
      <c r="BT61"/>
      <c r="BU61"/>
      <c r="BV61"/>
      <c r="BW61"/>
      <c r="BX61"/>
      <c r="BY61"/>
      <c r="BZ61"/>
      <c r="CA61"/>
      <c r="CB61"/>
      <c r="CC61"/>
      <c r="CD61"/>
      <c r="CE61"/>
      <c r="CF61"/>
      <c r="CG61"/>
      <c r="CH61"/>
      <c r="CI61"/>
      <c r="CJ61"/>
      <c r="CK61"/>
      <c r="CL61"/>
      <c r="CM61"/>
    </row>
    <row r="62" spans="1:91" s="1" customFormat="1" x14ac:dyDescent="0.25">
      <c r="A62" s="33" t="s">
        <v>607</v>
      </c>
      <c r="B62" s="7">
        <v>4021</v>
      </c>
      <c r="C62" s="21" t="s">
        <v>193</v>
      </c>
      <c r="D62" s="21" t="s">
        <v>759</v>
      </c>
      <c r="E62" s="13">
        <v>42771.443368055552</v>
      </c>
      <c r="F62" s="13">
        <v>42771.445300925923</v>
      </c>
      <c r="G62" s="7">
        <v>0</v>
      </c>
      <c r="H62" s="21" t="s">
        <v>212</v>
      </c>
      <c r="I62" s="13">
        <v>42771.472534722219</v>
      </c>
      <c r="J62" s="7">
        <v>0</v>
      </c>
      <c r="K62" s="98" t="str">
        <f>IF(ISEVEN(B62),(B62-1)&amp;"/"&amp;B62,B62&amp;"/"&amp;(B62+1))</f>
        <v>4021/4022</v>
      </c>
      <c r="L62" s="21" t="str">
        <f>VLOOKUP(A62,'Trips&amp;Operators'!$C$1:$G$99999,5,FALSE)</f>
        <v>DAVIS WENDY</v>
      </c>
      <c r="M62" s="6">
        <f>I62-F62</f>
        <v>2.7233796296059154E-2</v>
      </c>
      <c r="N62" s="7">
        <f>24*60*SUM($M62:$M62)</f>
        <v>39.216666666325182</v>
      </c>
      <c r="O62" s="7"/>
      <c r="P62" s="7"/>
      <c r="Q62" s="22"/>
      <c r="R62" s="22"/>
      <c r="S62" s="31">
        <f>SUM(U62:U62)/IF(AG62="EC",12,1)</f>
        <v>1</v>
      </c>
      <c r="T62" s="46" t="str">
        <f>IF(ISEVEN(LEFT(AD62,4)),"Southbound","NorthBound")</f>
        <v>Southbound</v>
      </c>
      <c r="U62" s="190">
        <f>IF(AG62="EC",COUNTIFS(Variables!$M$2:$M$19,IF(T62="NorthBound","&gt;=","&lt;=")&amp;Y62,Variables!$M$2:$M$19,IF(T62="NorthBound","&lt;=","&gt;=")&amp;Z62),COUNTIFS(Variables!$P$2:$P$19,IF(T62="NorthBound","&gt;=","&lt;=")&amp;Y62,Variables!$P$2:$P$19,IF(T62="NorthBound","&lt;=","&gt;=")&amp;Z62))</f>
        <v>12</v>
      </c>
      <c r="V62" s="191" t="str">
        <f>"https://d0f6bd738d7f1b3e5a7ca70fe4ff75f0.us-east-1.aws.found.io/app/kibana#/discover/Steve-Slow-Train-Analysis-(2080s-and-2083s)?_g="&amp;"(refreshInterval:(display:Off,pause:!f,section:0,value:0),time:(from:'"&amp;TEXT(E62-1/24,"yyyy-MM-DDThh:mm:ss")&amp;utc_offset&amp;"00"&amp;"',mode:absolute,to:'"&amp;TEXT(I62+1/24,"yyyy-MM-DDThh:mm:ss")&amp;utc_offset&amp;"00"&amp;"'))&amp;_a=(columns:!('Locomotive+ID','Data.Head+End+Milepost',Data.Speed,'Data.Locomotive+State','Data.Train+ID',"&amp;"'Data.Warning%2FEnforcement+Type','Data.Target+Start+Milepost','Data.Target+Description','Data.Target+Speed',"&amp;"'Data.Enforcement+Train+Speed','Data.Enforcement+Start+Milepost','Data.Target+Type','Data.Enforcement+Direction+of+Travel','Message+ID',"&amp;"'Data.Body+of+Summary+Text','Data.Head+End+Track+name'),filters:!(),index:'emp_*',interval:auto,query:"&amp;"(query_string:(analyze_wildcard:!t,query:'Message%5C+ID:(2083+OR+2080+OR+1041+OR+2003+OR+1051+OR+1043+OR+1053)+AND+%22rtdc.l.rtdc."&amp;B62&amp;"%22')),sort:!(Time.ISO8601,asc))"</f>
        <v>https://d0f6bd738d7f1b3e5a7ca70fe4ff75f0.us-east-1.aws.found.io/app/kibana#/discover/Steve-Slow-Train-Analysis-(2080s-and-2083s)?_g=(refreshInterval:(display:Off,pause:!f,section:0,value:0),time:(from:'2017-02-05T09:38:27-0700',mode:absolute,to:'2017-02-05T12:20:27-0700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4021%22')),sort:!(Time.ISO8601,asc))</v>
      </c>
      <c r="W62" s="192" t="str">
        <f>IF(AA62&lt;IF(AG62="EC",23,5.65),"Y","N")</f>
        <v>N</v>
      </c>
      <c r="X62" s="192">
        <f>VALUE(LEFT(AD62,4))-VALUE(LEFT(AD61,4))</f>
        <v>1</v>
      </c>
      <c r="Y62" s="62">
        <f>RIGHT(D62,LEN(D62)-4)/10000</f>
        <v>23.301100000000002</v>
      </c>
      <c r="Z62" s="62">
        <f>RIGHT(H62,LEN(H62)-4)/10000</f>
        <v>1.52E-2</v>
      </c>
      <c r="AA62" s="62">
        <f>ABS(Z62-Y62)</f>
        <v>23.285900000000002</v>
      </c>
      <c r="AB62" s="59" t="e">
        <f>VLOOKUP(A62,Enforcements!$C$7:$K$16,8,0)</f>
        <v>#N/A</v>
      </c>
      <c r="AC62" s="55" t="e">
        <f>VLOOKUP(A62,Enforcements!$C$7:$E$16,3,0)</f>
        <v>#N/A</v>
      </c>
      <c r="AD62" s="56" t="str">
        <f>IF(LEN(A62)=6,"0"&amp;A62,A62)</f>
        <v>0150-05</v>
      </c>
      <c r="AE62" s="85" t="str">
        <f>"aws s3 cp "&amp;s3_bucket&amp;"/RTDC"&amp;B62&amp;"/ "&amp;search_path&amp;"\RTDC"&amp;B62&amp;"\"&amp;TEXT(F62,"YYYY-MM-DD")&amp;" --exclude ""*"" --recursive --include ""*"&amp;TEXT(F62,"YYYYMMDD")&amp;"*"" &amp; """&amp;walkandungz&amp;""" "&amp;search_path&amp;"\RTDC"&amp;B62&amp;"\"&amp;TEXT(F62,"YYYY-MM-DD")
&amp;" &amp; "&amp;"aws s3 cp "&amp;s3_bucket&amp;"/RTDC"&amp;B62&amp;"/ "&amp;search_path&amp;"\RTDC"&amp;B62&amp;"\"&amp;TEXT(F62+1,"YYYY-MM-DD")&amp;" --exclude ""*"" --recursive --include ""*"&amp;TEXT(F62+1,"YYYYMMDD")&amp;"*"" &amp; """&amp;walkandungz&amp;""" "&amp;search_path&amp;"\RTDC"&amp;B62&amp;"\"&amp;TEXT(F62+1,"YYYY-MM-DD")</f>
        <v>aws s3 cp s3://rtdc.mdm.uploadarchive.raw/RTDC4021/ "%USERPROFILE%\AppData\Local\Temp\OnboardLogs"\RTDC4021\2017-02-05 --exclude "*" --recursive --include "*20170205*" &amp; "%USERPROFILE%\Documents\GitHub\mrs-test-scripts\Headless Mode &amp; Sideloading\WalkAndUnGZ.bat" "%USERPROFILE%\AppData\Local\Temp\OnboardLogs"\RTDC4021\2017-02-05 &amp; aws s3 cp s3://rtdc.mdm.uploadarchive.raw/RTDC4021/ "%USERPROFILE%\AppData\Local\Temp\OnboardLogs"\RTDC4021\2017-02-06 --exclude "*" --recursive --include "*20170206*" &amp; "%USERPROFILE%\Documents\GitHub\mrs-test-scripts\Headless Mode &amp; Sideloading\WalkAndUnGZ.bat" "%USERPROFILE%\AppData\Local\Temp\OnboardLogs"\RTDC4021\2017-02-06</v>
      </c>
      <c r="AF62" s="82" t="str">
        <f>astrogrep_path&amp;" /spath="&amp;search_path&amp;" /stypes=""app*"&amp;B62&amp;"*"&amp;TEXT(I62-utc_offset/24,"YYYYMMDD")&amp;"*"" /stext="" "&amp;TEXT(I62-utc_offset/24,"HH")&amp;search_regexp&amp;""" /e /r /s"</f>
        <v>"C:\Program Files (x86)\AstroGrep\AstroGrep.exe" /spath="%USERPROFILE%\AppData\Local\Temp\OnboardLogs" /stypes="app*4021*20170205*" /stext=" 18:.+((SYSTEM_STATE.+slice.+state.+changed )|(ment ac)|(multiple cpu faults)|(system.+state.+changed )|(\[timeout)|(PRM\|1\|D)|(kpr)|(kdp)|(\|lc)|(penalty))" /e /r /s</v>
      </c>
      <c r="AG62" s="1" t="str">
        <f>IFERROR(IF(VALUE(LEFT(AD62,2))&lt;=2,"EC",IF(OR(VALUE(LEFT(AD62,2))=8,VALUE(LEFT(AD62,2))=18),"NW","Other")),"Other")</f>
        <v>EC</v>
      </c>
      <c r="AH62" s="86" t="str">
        <f t="shared" si="3"/>
        <v>"%USERPROFILE%\Documents\GitHub\eaglep3\Utilities\RefineRTDCRunTimes.py" --tripid 150-05 --locoid 4021 --swversion DE.1.0.8.0 --startMP 204:233011 --initTime 2017-02-05T10:38:27 --startdatetime 2017-02-05T10:41:14 --delay 0 --endMP 204:152 --enddatetime 2017-02-05T11:20:27 --enforcementcount 0 &gt;&gt;C:\Users\stu\Documents\GitHub\eaglep3-reporting\EC\2017-02-05-refined-times.txt</v>
      </c>
      <c r="AI62" s="108" t="str">
        <f t="shared" si="4"/>
        <v>echo {"issue":{"subject":"","project_id":79,"tracker_id":40,"status_id":1,"priority_id":2,"assigned_to_id":23,"start_date":"2017-02-05","description":"","custom_fields":[{"id":1,"name":"Subdivision","value":"EC"},{"id":4,"name":"Milepost","value":"0.0152"},{"id":17,"name":"Train ID","value":"150-05"},{"id":16,"name":"Locomotive ID","value":"4021"},{"id":130,"name":"Impact","value":""},{"id":150,"name":"Time of Event (Mountain Time)","value":"11:20:27"},{"id":151,"name":"Denver Issue ID","value":""},{"id":178,"name":"Operational Impact","value":"Yes"},{"id":179,"name":"Denver Segment Assigned","value":""}]}} | curl -X POST -H "Content-Type: application/json" -H "X-Redmine-API-Key: d6333d4a04012a730768444271f8ca06482dae87" https://secure.xorail.net/redmine/issues.json --data @-</v>
      </c>
      <c r="AJ62" s="48"/>
      <c r="AK62" s="48"/>
      <c r="AL62" s="48"/>
      <c r="AM62" s="158" t="str">
        <f t="shared" si="5"/>
        <v>start /low /b %USERPROFILE%\Documents\GitHub\eaglep3\Utilities\DownloadLogsFromS3.py --loco 4021 --day 2017-02-05</v>
      </c>
      <c r="AN62" s="167" t="str">
        <f>"grep -SE -B400 ""CHR.+\|PRM\|1\|D.+(SWITCH|SIGNAL).+UNKNOWN"" "&amp;search_path&amp;"\RTDC"&amp;B62&amp;"\*"&amp;B62&amp;"*"&amp;TEXT(AVERAGE(F62,I62)-utc_offset/24,"YYYYMMDD")&amp;"* | grep -SE ""(Enforcement Action)|(\[TIMEOUT)|(CHR.+\|PRM\|1\|D.+(SWITCH|SIGNAL).+UNKNOWN)"" - &gt;&gt; "&amp;TEXT(Variables!$A$2,"YYYY-MM-DD")&amp;"-UncaughtWiMAX.txt"</f>
        <v>grep -SE -B400 "CHR.+\|PRM\|1\|D.+(SWITCH|SIGNAL).+UNKNOWN" "%USERPROFILE%\AppData\Local\Temp\OnboardLogs"\RTDC4021\*4021*20170205* | grep -SE "(Enforcement Action)|(\[TIMEOUT)|(CHR.+\|PRM\|1\|D.+(SWITCH|SIGNAL).+UNKNOWN)" - &gt;&gt; 2017-02-05-UncaughtWiMAX.txt</v>
      </c>
      <c r="AO62"/>
      <c r="AP62"/>
      <c r="AQ62"/>
      <c r="AR62"/>
      <c r="AS62"/>
      <c r="AT62"/>
      <c r="AU62"/>
      <c r="AV62"/>
      <c r="AW62"/>
      <c r="AX62"/>
      <c r="AY62"/>
      <c r="AZ62"/>
      <c r="BA62"/>
      <c r="BB62"/>
      <c r="BC62"/>
      <c r="BD62"/>
      <c r="BE62"/>
      <c r="BF62"/>
      <c r="BG62"/>
      <c r="BH62"/>
      <c r="BI62"/>
      <c r="BJ62"/>
      <c r="BK62"/>
      <c r="BL62"/>
      <c r="BM62"/>
      <c r="BN62"/>
      <c r="BO62"/>
      <c r="BP62"/>
      <c r="BQ62"/>
      <c r="BR62"/>
      <c r="BS62"/>
      <c r="BT62"/>
      <c r="BU62"/>
      <c r="BV62"/>
      <c r="BW62"/>
      <c r="BX62"/>
      <c r="BY62"/>
      <c r="BZ62"/>
      <c r="CA62"/>
      <c r="CB62"/>
      <c r="CC62"/>
      <c r="CD62"/>
      <c r="CE62"/>
      <c r="CF62"/>
      <c r="CG62"/>
      <c r="CH62"/>
      <c r="CI62"/>
      <c r="CJ62"/>
      <c r="CK62"/>
      <c r="CL62"/>
      <c r="CM62"/>
    </row>
    <row r="63" spans="1:91" s="1" customFormat="1" x14ac:dyDescent="0.25">
      <c r="A63" s="33" t="s">
        <v>506</v>
      </c>
      <c r="B63" s="7">
        <v>4002</v>
      </c>
      <c r="C63" s="21" t="s">
        <v>193</v>
      </c>
      <c r="D63" s="21" t="s">
        <v>774</v>
      </c>
      <c r="E63" s="13">
        <v>42771.41128472222</v>
      </c>
      <c r="F63" s="13">
        <v>42771.416817129626</v>
      </c>
      <c r="G63" s="7">
        <v>1</v>
      </c>
      <c r="H63" s="21" t="s">
        <v>773</v>
      </c>
      <c r="I63" s="13">
        <v>42771.442557870374</v>
      </c>
      <c r="J63" s="7">
        <v>0</v>
      </c>
      <c r="K63" s="98" t="str">
        <f>IF(ISEVEN(B63),(B63-1)&amp;"/"&amp;B63,B63&amp;"/"&amp;(B63+1))</f>
        <v>4001/4002</v>
      </c>
      <c r="L63" s="21" t="str">
        <f>VLOOKUP(A63,'Trips&amp;Operators'!$C$1:$G$99999,5,FALSE)</f>
        <v>BERLING GARY</v>
      </c>
      <c r="M63" s="6">
        <f>I63-F63</f>
        <v>2.5740740748005919E-2</v>
      </c>
      <c r="N63" s="7">
        <f>24*60*SUM($M63:$M63)</f>
        <v>37.066666677128524</v>
      </c>
      <c r="O63" s="7"/>
      <c r="P63" s="7"/>
      <c r="Q63" s="22"/>
      <c r="R63" s="22"/>
      <c r="S63" s="31">
        <f>SUM(U63:U63)/IF(AG63="EC",12,1)</f>
        <v>1</v>
      </c>
      <c r="T63" s="46" t="str">
        <f>IF(ISEVEN(LEFT(AD63,4)),"Southbound","NorthBound")</f>
        <v>NorthBound</v>
      </c>
      <c r="U63" s="190">
        <f>IF(AG63="EC",COUNTIFS(Variables!$M$2:$M$19,IF(T63="NorthBound","&gt;=","&lt;=")&amp;Y63,Variables!$M$2:$M$19,IF(T63="NorthBound","&lt;=","&gt;=")&amp;Z63),COUNTIFS(Variables!$P$2:$P$19,IF(T63="NorthBound","&gt;=","&lt;=")&amp;Y63,Variables!$P$2:$P$19,IF(T63="NorthBound","&lt;=","&gt;=")&amp;Z63))</f>
        <v>12</v>
      </c>
      <c r="V63" s="191" t="str">
        <f>"https://d0f6bd738d7f1b3e5a7ca70fe4ff75f0.us-east-1.aws.found.io/app/kibana#/discover/Steve-Slow-Train-Analysis-(2080s-and-2083s)?_g="&amp;"(refreshInterval:(display:Off,pause:!f,section:0,value:0),time:(from:'"&amp;TEXT(E63-1/24,"yyyy-MM-DDThh:mm:ss")&amp;utc_offset&amp;"00"&amp;"',mode:absolute,to:'"&amp;TEXT(I63+1/24,"yyyy-MM-DDThh:mm:ss")&amp;utc_offset&amp;"00"&amp;"'))&amp;_a=(columns:!('Locomotive+ID','Data.Head+End+Milepost',Data.Speed,'Data.Locomotive+State','Data.Train+ID',"&amp;"'Data.Warning%2FEnforcement+Type','Data.Target+Start+Milepost','Data.Target+Description','Data.Target+Speed',"&amp;"'Data.Enforcement+Train+Speed','Data.Enforcement+Start+Milepost','Data.Target+Type','Data.Enforcement+Direction+of+Travel','Message+ID',"&amp;"'Data.Body+of+Summary+Text','Data.Head+End+Track+name'),filters:!(),index:'emp_*',interval:auto,query:"&amp;"(query_string:(analyze_wildcard:!t,query:'Message%5C+ID:(2083+OR+2080+OR+1041+OR+2003+OR+1051+OR+1043+OR+1053)+AND+%22rtdc.l.rtdc."&amp;B63&amp;"%22')),sort:!(Time.ISO8601,asc))"</f>
        <v>https://d0f6bd738d7f1b3e5a7ca70fe4ff75f0.us-east-1.aws.found.io/app/kibana#/discover/Steve-Slow-Train-Analysis-(2080s-and-2083s)?_g=(refreshInterval:(display:Off,pause:!f,section:0,value:0),time:(from:'2017-02-05T08:52:15-0700',mode:absolute,to:'2017-02-05T11:37:17-0700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4002%22')),sort:!(Time.ISO8601,asc))</v>
      </c>
      <c r="W63" s="192" t="str">
        <f>IF(AA63&lt;IF(AG63="EC",23,5.65),"Y","N")</f>
        <v>N</v>
      </c>
      <c r="X63" s="192">
        <f>VALUE(LEFT(AD63,4))-VALUE(LEFT(AD62,4))</f>
        <v>1</v>
      </c>
      <c r="Y63" s="62">
        <f>RIGHT(D63,LEN(D63)-4)/10000</f>
        <v>4.2900000000000001E-2</v>
      </c>
      <c r="Z63" s="62">
        <f>RIGHT(H63,LEN(H63)-4)/10000</f>
        <v>23.332999999999998</v>
      </c>
      <c r="AA63" s="62">
        <f>ABS(Z63-Y63)</f>
        <v>23.290099999999999</v>
      </c>
      <c r="AB63" s="59" t="str">
        <f>VLOOKUP(A63,Enforcements!$C$7:$K$16,8,0)</f>
        <v>Signal based authority (5)</v>
      </c>
      <c r="AC63" s="55" t="str">
        <f>VLOOKUP(A63,Enforcements!$C$7:$E$16,3,0)</f>
        <v>SIGNAL</v>
      </c>
      <c r="AD63" s="56" t="str">
        <f>IF(LEN(A63)=6,"0"&amp;A63,A63)</f>
        <v>0151-05</v>
      </c>
      <c r="AE63" s="85" t="str">
        <f>"aws s3 cp "&amp;s3_bucket&amp;"/RTDC"&amp;B63&amp;"/ "&amp;search_path&amp;"\RTDC"&amp;B63&amp;"\"&amp;TEXT(F63,"YYYY-MM-DD")&amp;" --exclude ""*"" --recursive --include ""*"&amp;TEXT(F63,"YYYYMMDD")&amp;"*"" &amp; """&amp;walkandungz&amp;""" "&amp;search_path&amp;"\RTDC"&amp;B63&amp;"\"&amp;TEXT(F63,"YYYY-MM-DD")
&amp;" &amp; "&amp;"aws s3 cp "&amp;s3_bucket&amp;"/RTDC"&amp;B63&amp;"/ "&amp;search_path&amp;"\RTDC"&amp;B63&amp;"\"&amp;TEXT(F63+1,"YYYY-MM-DD")&amp;" --exclude ""*"" --recursive --include ""*"&amp;TEXT(F63+1,"YYYYMMDD")&amp;"*"" &amp; """&amp;walkandungz&amp;""" "&amp;search_path&amp;"\RTDC"&amp;B63&amp;"\"&amp;TEXT(F63+1,"YYYY-MM-DD")</f>
        <v>aws s3 cp s3://rtdc.mdm.uploadarchive.raw/RTDC4002/ "%USERPROFILE%\AppData\Local\Temp\OnboardLogs"\RTDC4002\2017-02-05 --exclude "*" --recursive --include "*20170205*" &amp; "%USERPROFILE%\Documents\GitHub\mrs-test-scripts\Headless Mode &amp; Sideloading\WalkAndUnGZ.bat" "%USERPROFILE%\AppData\Local\Temp\OnboardLogs"\RTDC4002\2017-02-05 &amp; aws s3 cp s3://rtdc.mdm.uploadarchive.raw/RTDC4002/ "%USERPROFILE%\AppData\Local\Temp\OnboardLogs"\RTDC4002\2017-02-06 --exclude "*" --recursive --include "*20170206*" &amp; "%USERPROFILE%\Documents\GitHub\mrs-test-scripts\Headless Mode &amp; Sideloading\WalkAndUnGZ.bat" "%USERPROFILE%\AppData\Local\Temp\OnboardLogs"\RTDC4002\2017-02-06</v>
      </c>
      <c r="AF63" s="82" t="str">
        <f>astrogrep_path&amp;" /spath="&amp;search_path&amp;" /stypes=""app*"&amp;B63&amp;"*"&amp;TEXT(I63-utc_offset/24,"YYYYMMDD")&amp;"*"" /stext="" "&amp;TEXT(I63-utc_offset/24,"HH")&amp;search_regexp&amp;""" /e /r /s"</f>
        <v>"C:\Program Files (x86)\AstroGrep\AstroGrep.exe" /spath="%USERPROFILE%\AppData\Local\Temp\OnboardLogs" /stypes="app*4002*20170205*" /stext=" 17:.+((SYSTEM_STATE.+slice.+state.+changed )|(ment ac)|(multiple cpu faults)|(system.+state.+changed )|(\[timeout)|(PRM\|1\|D)|(kpr)|(kdp)|(\|lc)|(penalty))" /e /r /s</v>
      </c>
      <c r="AG63" s="1" t="str">
        <f>IFERROR(IF(VALUE(LEFT(AD63,2))&lt;=2,"EC",IF(OR(VALUE(LEFT(AD63,2))=8,VALUE(LEFT(AD63,2))=18),"NW","Other")),"Other")</f>
        <v>EC</v>
      </c>
      <c r="AH63" s="86" t="str">
        <f t="shared" si="3"/>
        <v>"%USERPROFILE%\Documents\GitHub\eaglep3\Utilities\RefineRTDCRunTimes.py" --tripid 151-05 --locoid 4002 --swversion DE.1.0.8.0 --startMP 204:429 --initTime 2017-02-05T09:52:15 --startdatetime 2017-02-05T10:00:13 --delay 1 --endMP 204:233330 --enddatetime 2017-02-05T10:37:17 --enforcementcount 0 &gt;&gt;C:\Users\stu\Documents\GitHub\eaglep3-reporting\EC\2017-02-05-refined-times.txt</v>
      </c>
      <c r="AI63" s="108" t="str">
        <f t="shared" si="4"/>
        <v>echo {"issue":{"subject":"","project_id":79,"tracker_id":40,"status_id":1,"priority_id":2,"assigned_to_id":23,"start_date":"2017-02-05","description":"","custom_fields":[{"id":1,"name":"Subdivision","value":"EC"},{"id":4,"name":"Milepost","value":"23.333"},{"id":17,"name":"Train ID","value":"151-05"},{"id":16,"name":"Locomotive ID","value":"4002"},{"id":130,"name":"Impact","value":""},{"id":150,"name":"Time of Event (Mountain Time)","value":"10:37:17"},{"id":151,"name":"Denver Issue ID","value":""},{"id":178,"name":"Operational Impact","value":"Yes"},{"id":179,"name":"Denver Segment Assigned","value":""}]}} | curl -X POST -H "Content-Type: application/json" -H "X-Redmine-API-Key: d6333d4a04012a730768444271f8ca06482dae87" https://secure.xorail.net/redmine/issues.json --data @-</v>
      </c>
      <c r="AJ63" s="48"/>
      <c r="AK63" s="48"/>
      <c r="AL63" s="48"/>
      <c r="AM63" s="158" t="str">
        <f t="shared" si="5"/>
        <v>start /low /b %USERPROFILE%\Documents\GitHub\eaglep3\Utilities\DownloadLogsFromS3.py --loco 4002 --day 2017-02-05</v>
      </c>
      <c r="AN63" s="167" t="str">
        <f>"grep -SE -B400 ""CHR.+\|PRM\|1\|D.+(SWITCH|SIGNAL).+UNKNOWN"" "&amp;search_path&amp;"\RTDC"&amp;B63&amp;"\*"&amp;B63&amp;"*"&amp;TEXT(AVERAGE(F63,I63)-utc_offset/24,"YYYYMMDD")&amp;"* | grep -SE ""(Enforcement Action)|(\[TIMEOUT)|(CHR.+\|PRM\|1\|D.+(SWITCH|SIGNAL).+UNKNOWN)"" - &gt;&gt; "&amp;TEXT(Variables!$A$2,"YYYY-MM-DD")&amp;"-UncaughtWiMAX.txt"</f>
        <v>grep -SE -B400 "CHR.+\|PRM\|1\|D.+(SWITCH|SIGNAL).+UNKNOWN" "%USERPROFILE%\AppData\Local\Temp\OnboardLogs"\RTDC4002\*4002*20170205* | grep -SE "(Enforcement Action)|(\[TIMEOUT)|(CHR.+\|PRM\|1\|D.+(SWITCH|SIGNAL).+UNKNOWN)" - &gt;&gt; 2017-02-05-UncaughtWiMAX.txt</v>
      </c>
      <c r="AO63"/>
      <c r="AP63"/>
      <c r="AQ63"/>
      <c r="AR63"/>
      <c r="AS63"/>
      <c r="AT63"/>
      <c r="AU63"/>
      <c r="AV63"/>
      <c r="AW63"/>
      <c r="AX63"/>
      <c r="AY63"/>
      <c r="AZ63"/>
      <c r="BA63"/>
      <c r="BB63"/>
      <c r="BC63"/>
      <c r="BD63"/>
      <c r="BE63"/>
      <c r="BF63"/>
      <c r="BG63"/>
      <c r="BH63"/>
      <c r="BI63"/>
      <c r="BJ63"/>
      <c r="BK63"/>
      <c r="BL63"/>
      <c r="BM63"/>
      <c r="BN63"/>
      <c r="BO63"/>
      <c r="BP63"/>
      <c r="BQ63"/>
      <c r="BR63"/>
      <c r="BS63"/>
      <c r="BT63"/>
      <c r="BU63"/>
      <c r="BV63"/>
      <c r="BW63"/>
      <c r="BX63"/>
      <c r="BY63"/>
      <c r="BZ63"/>
      <c r="CA63"/>
      <c r="CB63"/>
      <c r="CC63"/>
      <c r="CD63"/>
      <c r="CE63"/>
      <c r="CF63"/>
      <c r="CG63"/>
      <c r="CH63"/>
      <c r="CI63"/>
      <c r="CJ63"/>
      <c r="CK63"/>
      <c r="CL63"/>
      <c r="CM63"/>
    </row>
    <row r="64" spans="1:91" s="1" customFormat="1" x14ac:dyDescent="0.25">
      <c r="A64" s="33" t="s">
        <v>609</v>
      </c>
      <c r="B64" s="7">
        <v>4001</v>
      </c>
      <c r="C64" s="21" t="s">
        <v>193</v>
      </c>
      <c r="D64" s="21" t="s">
        <v>775</v>
      </c>
      <c r="E64" s="13">
        <v>42771.451307870368</v>
      </c>
      <c r="F64" s="13">
        <v>42771.455729166664</v>
      </c>
      <c r="G64" s="7">
        <v>1</v>
      </c>
      <c r="H64" s="21" t="s">
        <v>351</v>
      </c>
      <c r="I64" s="13">
        <v>42771.482523148145</v>
      </c>
      <c r="J64" s="7">
        <v>0</v>
      </c>
      <c r="K64" s="98" t="str">
        <f>IF(ISEVEN(B64),(B64-1)&amp;"/"&amp;B64,B64&amp;"/"&amp;(B64+1))</f>
        <v>4001/4002</v>
      </c>
      <c r="L64" s="21" t="str">
        <f>VLOOKUP(A64,'Trips&amp;Operators'!$C$1:$G$99999,5,FALSE)</f>
        <v>BERLING GARY</v>
      </c>
      <c r="M64" s="6">
        <f>I64-F64</f>
        <v>2.679398148029577E-2</v>
      </c>
      <c r="N64" s="7">
        <f>24*60*SUM($M64:$M64)</f>
        <v>38.583333331625909</v>
      </c>
      <c r="O64" s="7"/>
      <c r="P64" s="7"/>
      <c r="Q64" s="22"/>
      <c r="R64" s="22"/>
      <c r="S64" s="31">
        <f>SUM(U64:U64)/IF(AG64="EC",12,1)</f>
        <v>1</v>
      </c>
      <c r="T64" s="46" t="str">
        <f>IF(ISEVEN(LEFT(AD64,4)),"Southbound","NorthBound")</f>
        <v>Southbound</v>
      </c>
      <c r="U64" s="190">
        <f>IF(AG64="EC",COUNTIFS(Variables!$M$2:$M$19,IF(T64="NorthBound","&gt;=","&lt;=")&amp;Y64,Variables!$M$2:$M$19,IF(T64="NorthBound","&lt;=","&gt;=")&amp;Z64),COUNTIFS(Variables!$P$2:$P$19,IF(T64="NorthBound","&gt;=","&lt;=")&amp;Y64,Variables!$P$2:$P$19,IF(T64="NorthBound","&lt;=","&gt;=")&amp;Z64))</f>
        <v>12</v>
      </c>
      <c r="V64" s="191" t="str">
        <f>"https://d0f6bd738d7f1b3e5a7ca70fe4ff75f0.us-east-1.aws.found.io/app/kibana#/discover/Steve-Slow-Train-Analysis-(2080s-and-2083s)?_g="&amp;"(refreshInterval:(display:Off,pause:!f,section:0,value:0),time:(from:'"&amp;TEXT(E64-1/24,"yyyy-MM-DDThh:mm:ss")&amp;utc_offset&amp;"00"&amp;"',mode:absolute,to:'"&amp;TEXT(I64+1/24,"yyyy-MM-DDThh:mm:ss")&amp;utc_offset&amp;"00"&amp;"'))&amp;_a=(columns:!('Locomotive+ID','Data.Head+End+Milepost',Data.Speed,'Data.Locomotive+State','Data.Train+ID',"&amp;"'Data.Warning%2FEnforcement+Type','Data.Target+Start+Milepost','Data.Target+Description','Data.Target+Speed',"&amp;"'Data.Enforcement+Train+Speed','Data.Enforcement+Start+Milepost','Data.Target+Type','Data.Enforcement+Direction+of+Travel','Message+ID',"&amp;"'Data.Body+of+Summary+Text','Data.Head+End+Track+name'),filters:!(),index:'emp_*',interval:auto,query:"&amp;"(query_string:(analyze_wildcard:!t,query:'Message%5C+ID:(2083+OR+2080+OR+1041+OR+2003+OR+1051+OR+1043+OR+1053)+AND+%22rtdc.l.rtdc."&amp;B64&amp;"%22')),sort:!(Time.ISO8601,asc))"</f>
        <v>https://d0f6bd738d7f1b3e5a7ca70fe4ff75f0.us-east-1.aws.found.io/app/kibana#/discover/Steve-Slow-Train-Analysis-(2080s-and-2083s)?_g=(refreshInterval:(display:Off,pause:!f,section:0,value:0),time:(from:'2017-02-05T09:49:53-0700',mode:absolute,to:'2017-02-05T12:34:50-0700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4001%22')),sort:!(Time.ISO8601,asc))</v>
      </c>
      <c r="W64" s="192" t="str">
        <f>IF(AA64&lt;IF(AG64="EC",23,5.65),"Y","N")</f>
        <v>N</v>
      </c>
      <c r="X64" s="192">
        <f>VALUE(LEFT(AD64,4))-VALUE(LEFT(AD63,4))</f>
        <v>1</v>
      </c>
      <c r="Y64" s="62">
        <f>RIGHT(D64,LEN(D64)-4)/10000</f>
        <v>23.3001</v>
      </c>
      <c r="Z64" s="62">
        <f>RIGHT(H64,LEN(H64)-4)/10000</f>
        <v>1.29E-2</v>
      </c>
      <c r="AA64" s="62">
        <f>ABS(Z64-Y64)</f>
        <v>23.287200000000002</v>
      </c>
      <c r="AB64" s="59" t="e">
        <f>VLOOKUP(A64,Enforcements!$C$7:$K$16,8,0)</f>
        <v>#N/A</v>
      </c>
      <c r="AC64" s="55" t="e">
        <f>VLOOKUP(A64,Enforcements!$C$7:$E$16,3,0)</f>
        <v>#N/A</v>
      </c>
      <c r="AD64" s="56" t="str">
        <f>IF(LEN(A64)=6,"0"&amp;A64,A64)</f>
        <v>0152-05</v>
      </c>
      <c r="AE64" s="85" t="str">
        <f>"aws s3 cp "&amp;s3_bucket&amp;"/RTDC"&amp;B64&amp;"/ "&amp;search_path&amp;"\RTDC"&amp;B64&amp;"\"&amp;TEXT(F64,"YYYY-MM-DD")&amp;" --exclude ""*"" --recursive --include ""*"&amp;TEXT(F64,"YYYYMMDD")&amp;"*"" &amp; """&amp;walkandungz&amp;""" "&amp;search_path&amp;"\RTDC"&amp;B64&amp;"\"&amp;TEXT(F64,"YYYY-MM-DD")
&amp;" &amp; "&amp;"aws s3 cp "&amp;s3_bucket&amp;"/RTDC"&amp;B64&amp;"/ "&amp;search_path&amp;"\RTDC"&amp;B64&amp;"\"&amp;TEXT(F64+1,"YYYY-MM-DD")&amp;" --exclude ""*"" --recursive --include ""*"&amp;TEXT(F64+1,"YYYYMMDD")&amp;"*"" &amp; """&amp;walkandungz&amp;""" "&amp;search_path&amp;"\RTDC"&amp;B64&amp;"\"&amp;TEXT(F64+1,"YYYY-MM-DD")</f>
        <v>aws s3 cp s3://rtdc.mdm.uploadarchive.raw/RTDC4001/ "%USERPROFILE%\AppData\Local\Temp\OnboardLogs"\RTDC4001\2017-02-05 --exclude "*" --recursive --include "*20170205*" &amp; "%USERPROFILE%\Documents\GitHub\mrs-test-scripts\Headless Mode &amp; Sideloading\WalkAndUnGZ.bat" "%USERPROFILE%\AppData\Local\Temp\OnboardLogs"\RTDC4001\2017-02-05 &amp; aws s3 cp s3://rtdc.mdm.uploadarchive.raw/RTDC4001/ "%USERPROFILE%\AppData\Local\Temp\OnboardLogs"\RTDC4001\2017-02-06 --exclude "*" --recursive --include "*20170206*" &amp; "%USERPROFILE%\Documents\GitHub\mrs-test-scripts\Headless Mode &amp; Sideloading\WalkAndUnGZ.bat" "%USERPROFILE%\AppData\Local\Temp\OnboardLogs"\RTDC4001\2017-02-06</v>
      </c>
      <c r="AF64" s="82" t="str">
        <f>astrogrep_path&amp;" /spath="&amp;search_path&amp;" /stypes=""app*"&amp;B64&amp;"*"&amp;TEXT(I64-utc_offset/24,"YYYYMMDD")&amp;"*"" /stext="" "&amp;TEXT(I64-utc_offset/24,"HH")&amp;search_regexp&amp;""" /e /r /s"</f>
        <v>"C:\Program Files (x86)\AstroGrep\AstroGrep.exe" /spath="%USERPROFILE%\AppData\Local\Temp\OnboardLogs" /stypes="app*4001*20170205*" /stext=" 18:.+((SYSTEM_STATE.+slice.+state.+changed )|(ment ac)|(multiple cpu faults)|(system.+state.+changed )|(\[timeout)|(PRM\|1\|D)|(kpr)|(kdp)|(\|lc)|(penalty))" /e /r /s</v>
      </c>
      <c r="AG64" s="1" t="str">
        <f>IFERROR(IF(VALUE(LEFT(AD64,2))&lt;=2,"EC",IF(OR(VALUE(LEFT(AD64,2))=8,VALUE(LEFT(AD64,2))=18),"NW","Other")),"Other")</f>
        <v>EC</v>
      </c>
      <c r="AH64" s="86" t="str">
        <f t="shared" si="3"/>
        <v>"%USERPROFILE%\Documents\GitHub\eaglep3\Utilities\RefineRTDCRunTimes.py" --tripid 152-05 --locoid 4001 --swversion DE.1.0.8.0 --startMP 204:233001 --initTime 2017-02-05T10:49:53 --startdatetime 2017-02-05T10:56:15 --delay 1 --endMP 204:129 --enddatetime 2017-02-05T11:34:50 --enforcementcount 0 &gt;&gt;C:\Users\stu\Documents\GitHub\eaglep3-reporting\EC\2017-02-05-refined-times.txt</v>
      </c>
      <c r="AI64" s="108" t="str">
        <f t="shared" si="4"/>
        <v>echo {"issue":{"subject":"","project_id":79,"tracker_id":40,"status_id":1,"priority_id":2,"assigned_to_id":23,"start_date":"2017-02-05","description":"","custom_fields":[{"id":1,"name":"Subdivision","value":"EC"},{"id":4,"name":"Milepost","value":"0.0129"},{"id":17,"name":"Train ID","value":"152-05"},{"id":16,"name":"Locomotive ID","value":"4001"},{"id":130,"name":"Impact","value":""},{"id":150,"name":"Time of Event (Mountain Time)","value":"11:34:50"},{"id":151,"name":"Denver Issue ID","value":""},{"id":178,"name":"Operational Impact","value":"Yes"},{"id":179,"name":"Denver Segment Assigned","value":""}]}} | curl -X POST -H "Content-Type: application/json" -H "X-Redmine-API-Key: d6333d4a04012a730768444271f8ca06482dae87" https://secure.xorail.net/redmine/issues.json --data @-</v>
      </c>
      <c r="AJ64" s="48"/>
      <c r="AK64" s="48"/>
      <c r="AL64" s="48"/>
      <c r="AM64" s="158" t="str">
        <f t="shared" si="5"/>
        <v>start /low /b %USERPROFILE%\Documents\GitHub\eaglep3\Utilities\DownloadLogsFromS3.py --loco 4001 --day 2017-02-05</v>
      </c>
      <c r="AN64" s="167" t="str">
        <f>"grep -SE -B400 ""CHR.+\|PRM\|1\|D.+(SWITCH|SIGNAL).+UNKNOWN"" "&amp;search_path&amp;"\RTDC"&amp;B64&amp;"\*"&amp;B64&amp;"*"&amp;TEXT(AVERAGE(F64,I64)-utc_offset/24,"YYYYMMDD")&amp;"* | grep -SE ""(Enforcement Action)|(\[TIMEOUT)|(CHR.+\|PRM\|1\|D.+(SWITCH|SIGNAL).+UNKNOWN)"" - &gt;&gt; "&amp;TEXT(Variables!$A$2,"YYYY-MM-DD")&amp;"-UncaughtWiMAX.txt"</f>
        <v>grep -SE -B400 "CHR.+\|PRM\|1\|D.+(SWITCH|SIGNAL).+UNKNOWN" "%USERPROFILE%\AppData\Local\Temp\OnboardLogs"\RTDC4001\*4001*20170205* | grep -SE "(Enforcement Action)|(\[TIMEOUT)|(CHR.+\|PRM\|1\|D.+(SWITCH|SIGNAL).+UNKNOWN)" - &gt;&gt; 2017-02-05-UncaughtWiMAX.txt</v>
      </c>
      <c r="AO64"/>
      <c r="AP64"/>
      <c r="AQ64"/>
      <c r="AR64"/>
      <c r="AS64"/>
      <c r="AT64"/>
      <c r="AU64"/>
      <c r="AV64"/>
      <c r="AW64"/>
      <c r="AX64"/>
      <c r="AY64"/>
      <c r="AZ64"/>
      <c r="BA64"/>
      <c r="BB64"/>
      <c r="BC64"/>
      <c r="BD64"/>
      <c r="BE64"/>
      <c r="BF64"/>
      <c r="BG64"/>
      <c r="BH64"/>
      <c r="BI64"/>
      <c r="BJ64"/>
      <c r="BK64"/>
      <c r="BL64"/>
      <c r="BM64"/>
      <c r="BN64"/>
      <c r="BO64"/>
      <c r="BP64"/>
      <c r="BQ64"/>
      <c r="BR64"/>
      <c r="BS64"/>
      <c r="BT64"/>
      <c r="BU64"/>
      <c r="BV64"/>
      <c r="BW64"/>
      <c r="BX64"/>
      <c r="BY64"/>
      <c r="BZ64"/>
      <c r="CA64"/>
      <c r="CB64"/>
      <c r="CC64"/>
      <c r="CD64"/>
      <c r="CE64"/>
      <c r="CF64"/>
      <c r="CG64"/>
      <c r="CH64"/>
      <c r="CI64"/>
      <c r="CJ64"/>
      <c r="CK64"/>
      <c r="CL64"/>
      <c r="CM64"/>
    </row>
    <row r="65" spans="1:91" s="1" customFormat="1" x14ac:dyDescent="0.25">
      <c r="A65" s="33" t="s">
        <v>601</v>
      </c>
      <c r="B65" s="7">
        <v>4031</v>
      </c>
      <c r="C65" s="21" t="s">
        <v>193</v>
      </c>
      <c r="D65" s="21" t="s">
        <v>240</v>
      </c>
      <c r="E65" s="13">
        <v>42771.422268518516</v>
      </c>
      <c r="F65" s="13">
        <v>42771.427256944444</v>
      </c>
      <c r="G65" s="7">
        <v>1</v>
      </c>
      <c r="H65" s="21" t="s">
        <v>306</v>
      </c>
      <c r="I65" s="13">
        <v>42771.452592592592</v>
      </c>
      <c r="J65" s="7">
        <v>0</v>
      </c>
      <c r="K65" s="98" t="str">
        <f>IF(ISEVEN(B65),(B65-1)&amp;"/"&amp;B65,B65&amp;"/"&amp;(B65+1))</f>
        <v>4031/4032</v>
      </c>
      <c r="L65" s="21" t="str">
        <f>VLOOKUP(A65,'Trips&amp;Operators'!$C$1:$G$99999,5,FALSE)</f>
        <v>GEBRETEKLE DAGNEW</v>
      </c>
      <c r="M65" s="6">
        <f>I65-F65</f>
        <v>2.5335648148029577E-2</v>
      </c>
      <c r="N65" s="7">
        <f>24*60*SUM($M65:$M65)</f>
        <v>36.483333333162591</v>
      </c>
      <c r="O65" s="7"/>
      <c r="P65" s="7"/>
      <c r="Q65" s="22"/>
      <c r="R65" s="22"/>
      <c r="S65" s="31">
        <f>SUM(U65:U65)/IF(AG65="EC",12,1)</f>
        <v>1</v>
      </c>
      <c r="T65" s="46" t="str">
        <f>IF(ISEVEN(LEFT(AD65,4)),"Southbound","NorthBound")</f>
        <v>NorthBound</v>
      </c>
      <c r="U65" s="190">
        <f>IF(AG65="EC",COUNTIFS(Variables!$M$2:$M$19,IF(T65="NorthBound","&gt;=","&lt;=")&amp;Y65,Variables!$M$2:$M$19,IF(T65="NorthBound","&lt;=","&gt;=")&amp;Z65),COUNTIFS(Variables!$P$2:$P$19,IF(T65="NorthBound","&gt;=","&lt;=")&amp;Y65,Variables!$P$2:$P$19,IF(T65="NorthBound","&lt;=","&gt;=")&amp;Z65))</f>
        <v>12</v>
      </c>
      <c r="V65" s="191" t="str">
        <f>"https://d0f6bd738d7f1b3e5a7ca70fe4ff75f0.us-east-1.aws.found.io/app/kibana#/discover/Steve-Slow-Train-Analysis-(2080s-and-2083s)?_g="&amp;"(refreshInterval:(display:Off,pause:!f,section:0,value:0),time:(from:'"&amp;TEXT(E65-1/24,"yyyy-MM-DDThh:mm:ss")&amp;utc_offset&amp;"00"&amp;"',mode:absolute,to:'"&amp;TEXT(I65+1/24,"yyyy-MM-DDThh:mm:ss")&amp;utc_offset&amp;"00"&amp;"'))&amp;_a=(columns:!('Locomotive+ID','Data.Head+End+Milepost',Data.Speed,'Data.Locomotive+State','Data.Train+ID',"&amp;"'Data.Warning%2FEnforcement+Type','Data.Target+Start+Milepost','Data.Target+Description','Data.Target+Speed',"&amp;"'Data.Enforcement+Train+Speed','Data.Enforcement+Start+Milepost','Data.Target+Type','Data.Enforcement+Direction+of+Travel','Message+ID',"&amp;"'Data.Body+of+Summary+Text','Data.Head+End+Track+name'),filters:!(),index:'emp_*',interval:auto,query:"&amp;"(query_string:(analyze_wildcard:!t,query:'Message%5C+ID:(2083+OR+2080+OR+1041+OR+2003+OR+1051+OR+1043+OR+1053)+AND+%22rtdc.l.rtdc."&amp;B65&amp;"%22')),sort:!(Time.ISO8601,asc))"</f>
        <v>https://d0f6bd738d7f1b3e5a7ca70fe4ff75f0.us-east-1.aws.found.io/app/kibana#/discover/Steve-Slow-Train-Analysis-(2080s-and-2083s)?_g=(refreshInterval:(display:Off,pause:!f,section:0,value:0),time:(from:'2017-02-05T09:08:04-0700',mode:absolute,to:'2017-02-05T11:51:44-0700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4031%22')),sort:!(Time.ISO8601,asc))</v>
      </c>
      <c r="W65" s="192" t="str">
        <f>IF(AA65&lt;IF(AG65="EC",23,5.65),"Y","N")</f>
        <v>N</v>
      </c>
      <c r="X65" s="192">
        <f>VALUE(LEFT(AD65,4))-VALUE(LEFT(AD64,4))</f>
        <v>1</v>
      </c>
      <c r="Y65" s="62">
        <f>RIGHT(D65,LEN(D65)-4)/10000</f>
        <v>4.5100000000000001E-2</v>
      </c>
      <c r="Z65" s="62">
        <f>RIGHT(H65,LEN(H65)-4)/10000</f>
        <v>23.3308</v>
      </c>
      <c r="AA65" s="62">
        <f>ABS(Z65-Y65)</f>
        <v>23.285699999999999</v>
      </c>
      <c r="AB65" s="59" t="e">
        <f>VLOOKUP(A65,Enforcements!$C$7:$K$16,8,0)</f>
        <v>#N/A</v>
      </c>
      <c r="AC65" s="55" t="e">
        <f>VLOOKUP(A65,Enforcements!$C$7:$E$16,3,0)</f>
        <v>#N/A</v>
      </c>
      <c r="AD65" s="56" t="str">
        <f>IF(LEN(A65)=6,"0"&amp;A65,A65)</f>
        <v>0153-05</v>
      </c>
      <c r="AE65" s="85" t="str">
        <f>"aws s3 cp "&amp;s3_bucket&amp;"/RTDC"&amp;B65&amp;"/ "&amp;search_path&amp;"\RTDC"&amp;B65&amp;"\"&amp;TEXT(F65,"YYYY-MM-DD")&amp;" --exclude ""*"" --recursive --include ""*"&amp;TEXT(F65,"YYYYMMDD")&amp;"*"" &amp; """&amp;walkandungz&amp;""" "&amp;search_path&amp;"\RTDC"&amp;B65&amp;"\"&amp;TEXT(F65,"YYYY-MM-DD")
&amp;" &amp; "&amp;"aws s3 cp "&amp;s3_bucket&amp;"/RTDC"&amp;B65&amp;"/ "&amp;search_path&amp;"\RTDC"&amp;B65&amp;"\"&amp;TEXT(F65+1,"YYYY-MM-DD")&amp;" --exclude ""*"" --recursive --include ""*"&amp;TEXT(F65+1,"YYYYMMDD")&amp;"*"" &amp; """&amp;walkandungz&amp;""" "&amp;search_path&amp;"\RTDC"&amp;B65&amp;"\"&amp;TEXT(F65+1,"YYYY-MM-DD")</f>
        <v>aws s3 cp s3://rtdc.mdm.uploadarchive.raw/RTDC4031/ "%USERPROFILE%\AppData\Local\Temp\OnboardLogs"\RTDC4031\2017-02-05 --exclude "*" --recursive --include "*20170205*" &amp; "%USERPROFILE%\Documents\GitHub\mrs-test-scripts\Headless Mode &amp; Sideloading\WalkAndUnGZ.bat" "%USERPROFILE%\AppData\Local\Temp\OnboardLogs"\RTDC4031\2017-02-05 &amp; aws s3 cp s3://rtdc.mdm.uploadarchive.raw/RTDC4031/ "%USERPROFILE%\AppData\Local\Temp\OnboardLogs"\RTDC4031\2017-02-06 --exclude "*" --recursive --include "*20170206*" &amp; "%USERPROFILE%\Documents\GitHub\mrs-test-scripts\Headless Mode &amp; Sideloading\WalkAndUnGZ.bat" "%USERPROFILE%\AppData\Local\Temp\OnboardLogs"\RTDC4031\2017-02-06</v>
      </c>
      <c r="AF65" s="82" t="str">
        <f>astrogrep_path&amp;" /spath="&amp;search_path&amp;" /stypes=""app*"&amp;B65&amp;"*"&amp;TEXT(I65-utc_offset/24,"YYYYMMDD")&amp;"*"" /stext="" "&amp;TEXT(I65-utc_offset/24,"HH")&amp;search_regexp&amp;""" /e /r /s"</f>
        <v>"C:\Program Files (x86)\AstroGrep\AstroGrep.exe" /spath="%USERPROFILE%\AppData\Local\Temp\OnboardLogs" /stypes="app*4031*20170205*" /stext=" 17:.+((SYSTEM_STATE.+slice.+state.+changed )|(ment ac)|(multiple cpu faults)|(system.+state.+changed )|(\[timeout)|(PRM\|1\|D)|(kpr)|(kdp)|(\|lc)|(penalty))" /e /r /s</v>
      </c>
      <c r="AG65" s="1" t="str">
        <f>IFERROR(IF(VALUE(LEFT(AD65,2))&lt;=2,"EC",IF(OR(VALUE(LEFT(AD65,2))=8,VALUE(LEFT(AD65,2))=18),"NW","Other")),"Other")</f>
        <v>EC</v>
      </c>
      <c r="AH65" s="86" t="str">
        <f t="shared" si="3"/>
        <v>"%USERPROFILE%\Documents\GitHub\eaglep3\Utilities\RefineRTDCRunTimes.py" --tripid 153-05 --locoid 4031 --swversion DE.1.0.8.0 --startMP 204:451 --initTime 2017-02-05T10:08:04 --startdatetime 2017-02-05T10:15:15 --delay 1 --endMP 204:233308 --enddatetime 2017-02-05T10:51:44 --enforcementcount 0 &gt;&gt;C:\Users\stu\Documents\GitHub\eaglep3-reporting\EC\2017-02-05-refined-times.txt</v>
      </c>
      <c r="AI65" s="108" t="str">
        <f t="shared" si="4"/>
        <v>echo {"issue":{"subject":"","project_id":79,"tracker_id":40,"status_id":1,"priority_id":2,"assigned_to_id":23,"start_date":"2017-02-05","description":"","custom_fields":[{"id":1,"name":"Subdivision","value":"EC"},{"id":4,"name":"Milepost","value":"23.3308"},{"id":17,"name":"Train ID","value":"153-05"},{"id":16,"name":"Locomotive ID","value":"4031"},{"id":130,"name":"Impact","value":""},{"id":150,"name":"Time of Event (Mountain Time)","value":"10:51:44"},{"id":151,"name":"Denver Issue ID","value":""},{"id":178,"name":"Operational Impact","value":"Yes"},{"id":179,"name":"Denver Segment Assigned","value":""}]}} | curl -X POST -H "Content-Type: application/json" -H "X-Redmine-API-Key: d6333d4a04012a730768444271f8ca06482dae87" https://secure.xorail.net/redmine/issues.json --data @-</v>
      </c>
      <c r="AJ65" s="48"/>
      <c r="AK65" s="48"/>
      <c r="AL65" s="48"/>
      <c r="AM65" s="158" t="str">
        <f t="shared" si="5"/>
        <v>start /low /b %USERPROFILE%\Documents\GitHub\eaglep3\Utilities\DownloadLogsFromS3.py --loco 4031 --day 2017-02-05</v>
      </c>
      <c r="AN65" s="167" t="str">
        <f>"grep -SE -B400 ""CHR.+\|PRM\|1\|D.+(SWITCH|SIGNAL).+UNKNOWN"" "&amp;search_path&amp;"\RTDC"&amp;B65&amp;"\*"&amp;B65&amp;"*"&amp;TEXT(AVERAGE(F65,I65)-utc_offset/24,"YYYYMMDD")&amp;"* | grep -SE ""(Enforcement Action)|(\[TIMEOUT)|(CHR.+\|PRM\|1\|D.+(SWITCH|SIGNAL).+UNKNOWN)"" - &gt;&gt; "&amp;TEXT(Variables!$A$2,"YYYY-MM-DD")&amp;"-UncaughtWiMAX.txt"</f>
        <v>grep -SE -B400 "CHR.+\|PRM\|1\|D.+(SWITCH|SIGNAL).+UNKNOWN" "%USERPROFILE%\AppData\Local\Temp\OnboardLogs"\RTDC4031\*4031*20170205* | grep -SE "(Enforcement Action)|(\[TIMEOUT)|(CHR.+\|PRM\|1\|D.+(SWITCH|SIGNAL).+UNKNOWN)" - &gt;&gt; 2017-02-05-UncaughtWiMAX.txt</v>
      </c>
      <c r="AO65"/>
      <c r="AP65"/>
      <c r="AQ65"/>
      <c r="AR65"/>
      <c r="AS65"/>
      <c r="AT65"/>
      <c r="AU65"/>
      <c r="AV65"/>
      <c r="AW65"/>
      <c r="AX65"/>
      <c r="AY65"/>
      <c r="AZ65"/>
      <c r="BA65"/>
      <c r="BB65"/>
      <c r="BC65"/>
      <c r="BD65"/>
      <c r="BE65"/>
      <c r="BF65"/>
      <c r="BG65"/>
      <c r="BH65"/>
      <c r="BI65"/>
      <c r="BJ65"/>
      <c r="BK65"/>
      <c r="BL65"/>
      <c r="BM65"/>
      <c r="BN65"/>
      <c r="BO65"/>
      <c r="BP65"/>
      <c r="BQ65"/>
      <c r="BR65"/>
      <c r="BS65"/>
      <c r="BT65"/>
      <c r="BU65"/>
      <c r="BV65"/>
      <c r="BW65"/>
      <c r="BX65"/>
      <c r="BY65"/>
      <c r="BZ65"/>
      <c r="CA65"/>
      <c r="CB65"/>
      <c r="CC65"/>
      <c r="CD65"/>
      <c r="CE65"/>
      <c r="CF65"/>
      <c r="CG65"/>
      <c r="CH65"/>
      <c r="CI65"/>
      <c r="CJ65"/>
      <c r="CK65"/>
      <c r="CL65"/>
      <c r="CM65"/>
    </row>
    <row r="66" spans="1:91" s="1" customFormat="1" x14ac:dyDescent="0.25">
      <c r="A66" s="33" t="s">
        <v>613</v>
      </c>
      <c r="B66" s="7">
        <v>4032</v>
      </c>
      <c r="C66" s="21" t="s">
        <v>193</v>
      </c>
      <c r="D66" s="21" t="s">
        <v>309</v>
      </c>
      <c r="E66" s="13">
        <v>42771.462395833332</v>
      </c>
      <c r="F66" s="13">
        <v>42771.466261574074</v>
      </c>
      <c r="G66" s="7">
        <v>1</v>
      </c>
      <c r="H66" s="21" t="s">
        <v>776</v>
      </c>
      <c r="I66" s="13">
        <v>42771.49181712963</v>
      </c>
      <c r="J66" s="7">
        <v>0</v>
      </c>
      <c r="K66" s="98" t="str">
        <f>IF(ISEVEN(B66),(B66-1)&amp;"/"&amp;B66,B66&amp;"/"&amp;(B66+1))</f>
        <v>4031/4032</v>
      </c>
      <c r="L66" s="21" t="str">
        <f>VLOOKUP(A66,'Trips&amp;Operators'!$C$1:$G$99999,5,FALSE)</f>
        <v>GEBRETEKLE DAGNEW</v>
      </c>
      <c r="M66" s="6">
        <f>I66-F66</f>
        <v>2.5555555555911269E-2</v>
      </c>
      <c r="N66" s="7">
        <f>24*60*SUM($M66:$M66)</f>
        <v>36.800000000512227</v>
      </c>
      <c r="O66" s="7"/>
      <c r="P66" s="7"/>
      <c r="Q66" s="22"/>
      <c r="R66" s="22"/>
      <c r="S66" s="31">
        <f>SUM(U66:U66)/IF(AG66="EC",12,1)</f>
        <v>1</v>
      </c>
      <c r="T66" s="46" t="str">
        <f>IF(ISEVEN(LEFT(AD66,4)),"Southbound","NorthBound")</f>
        <v>Southbound</v>
      </c>
      <c r="U66" s="190">
        <f>IF(AG66="EC",COUNTIFS(Variables!$M$2:$M$19,IF(T66="NorthBound","&gt;=","&lt;=")&amp;Y66,Variables!$M$2:$M$19,IF(T66="NorthBound","&lt;=","&gt;=")&amp;Z66),COUNTIFS(Variables!$P$2:$P$19,IF(T66="NorthBound","&gt;=","&lt;=")&amp;Y66,Variables!$P$2:$P$19,IF(T66="NorthBound","&lt;=","&gt;=")&amp;Z66))</f>
        <v>12</v>
      </c>
      <c r="V66" s="191" t="str">
        <f>"https://d0f6bd738d7f1b3e5a7ca70fe4ff75f0.us-east-1.aws.found.io/app/kibana#/discover/Steve-Slow-Train-Analysis-(2080s-and-2083s)?_g="&amp;"(refreshInterval:(display:Off,pause:!f,section:0,value:0),time:(from:'"&amp;TEXT(E66-1/24,"yyyy-MM-DDThh:mm:ss")&amp;utc_offset&amp;"00"&amp;"',mode:absolute,to:'"&amp;TEXT(I66+1/24,"yyyy-MM-DDThh:mm:ss")&amp;utc_offset&amp;"00"&amp;"'))&amp;_a=(columns:!('Locomotive+ID','Data.Head+End+Milepost',Data.Speed,'Data.Locomotive+State','Data.Train+ID',"&amp;"'Data.Warning%2FEnforcement+Type','Data.Target+Start+Milepost','Data.Target+Description','Data.Target+Speed',"&amp;"'Data.Enforcement+Train+Speed','Data.Enforcement+Start+Milepost','Data.Target+Type','Data.Enforcement+Direction+of+Travel','Message+ID',"&amp;"'Data.Body+of+Summary+Text','Data.Head+End+Track+name'),filters:!(),index:'emp_*',interval:auto,query:"&amp;"(query_string:(analyze_wildcard:!t,query:'Message%5C+ID:(2083+OR+2080+OR+1041+OR+2003+OR+1051+OR+1043+OR+1053)+AND+%22rtdc.l.rtdc."&amp;B66&amp;"%22')),sort:!(Time.ISO8601,asc))"</f>
        <v>https://d0f6bd738d7f1b3e5a7ca70fe4ff75f0.us-east-1.aws.found.io/app/kibana#/discover/Steve-Slow-Train-Analysis-(2080s-and-2083s)?_g=(refreshInterval:(display:Off,pause:!f,section:0,value:0),time:(from:'2017-02-05T10:05:51-0700',mode:absolute,to:'2017-02-05T12:48:13-0700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4032%22')),sort:!(Time.ISO8601,asc))</v>
      </c>
      <c r="W66" s="192" t="str">
        <f>IF(AA66&lt;IF(AG66="EC",23,5.65),"Y","N")</f>
        <v>N</v>
      </c>
      <c r="X66" s="192">
        <f>VALUE(LEFT(AD66,4))-VALUE(LEFT(AD65,4))</f>
        <v>1</v>
      </c>
      <c r="Y66" s="62">
        <f>RIGHT(D66,LEN(D66)-4)/10000</f>
        <v>23.297899999999998</v>
      </c>
      <c r="Z66" s="62">
        <f>RIGHT(H66,LEN(H66)-4)/10000</f>
        <v>1.6299999999999999E-2</v>
      </c>
      <c r="AA66" s="62">
        <f>ABS(Z66-Y66)</f>
        <v>23.281599999999997</v>
      </c>
      <c r="AB66" s="59" t="e">
        <f>VLOOKUP(A66,Enforcements!$C$7:$K$16,8,0)</f>
        <v>#N/A</v>
      </c>
      <c r="AC66" s="55" t="e">
        <f>VLOOKUP(A66,Enforcements!$C$7:$E$16,3,0)</f>
        <v>#N/A</v>
      </c>
      <c r="AD66" s="56" t="str">
        <f>IF(LEN(A66)=6,"0"&amp;A66,A66)</f>
        <v>0154-05</v>
      </c>
      <c r="AE66" s="85" t="str">
        <f>"aws s3 cp "&amp;s3_bucket&amp;"/RTDC"&amp;B66&amp;"/ "&amp;search_path&amp;"\RTDC"&amp;B66&amp;"\"&amp;TEXT(F66,"YYYY-MM-DD")&amp;" --exclude ""*"" --recursive --include ""*"&amp;TEXT(F66,"YYYYMMDD")&amp;"*"" &amp; """&amp;walkandungz&amp;""" "&amp;search_path&amp;"\RTDC"&amp;B66&amp;"\"&amp;TEXT(F66,"YYYY-MM-DD")
&amp;" &amp; "&amp;"aws s3 cp "&amp;s3_bucket&amp;"/RTDC"&amp;B66&amp;"/ "&amp;search_path&amp;"\RTDC"&amp;B66&amp;"\"&amp;TEXT(F66+1,"YYYY-MM-DD")&amp;" --exclude ""*"" --recursive --include ""*"&amp;TEXT(F66+1,"YYYYMMDD")&amp;"*"" &amp; """&amp;walkandungz&amp;""" "&amp;search_path&amp;"\RTDC"&amp;B66&amp;"\"&amp;TEXT(F66+1,"YYYY-MM-DD")</f>
        <v>aws s3 cp s3://rtdc.mdm.uploadarchive.raw/RTDC4032/ "%USERPROFILE%\AppData\Local\Temp\OnboardLogs"\RTDC4032\2017-02-05 --exclude "*" --recursive --include "*20170205*" &amp; "%USERPROFILE%\Documents\GitHub\mrs-test-scripts\Headless Mode &amp; Sideloading\WalkAndUnGZ.bat" "%USERPROFILE%\AppData\Local\Temp\OnboardLogs"\RTDC4032\2017-02-05 &amp; aws s3 cp s3://rtdc.mdm.uploadarchive.raw/RTDC4032/ "%USERPROFILE%\AppData\Local\Temp\OnboardLogs"\RTDC4032\2017-02-06 --exclude "*" --recursive --include "*20170206*" &amp; "%USERPROFILE%\Documents\GitHub\mrs-test-scripts\Headless Mode &amp; Sideloading\WalkAndUnGZ.bat" "%USERPROFILE%\AppData\Local\Temp\OnboardLogs"\RTDC4032\2017-02-06</v>
      </c>
      <c r="AF66" s="82" t="str">
        <f>astrogrep_path&amp;" /spath="&amp;search_path&amp;" /stypes=""app*"&amp;B66&amp;"*"&amp;TEXT(I66-utc_offset/24,"YYYYMMDD")&amp;"*"" /stext="" "&amp;TEXT(I66-utc_offset/24,"HH")&amp;search_regexp&amp;""" /e /r /s"</f>
        <v>"C:\Program Files (x86)\AstroGrep\AstroGrep.exe" /spath="%USERPROFILE%\AppData\Local\Temp\OnboardLogs" /stypes="app*4032*20170205*" /stext=" 18:.+((SYSTEM_STATE.+slice.+state.+changed )|(ment ac)|(multiple cpu faults)|(system.+state.+changed )|(\[timeout)|(PRM\|1\|D)|(kpr)|(kdp)|(\|lc)|(penalty))" /e /r /s</v>
      </c>
      <c r="AG66" s="1" t="str">
        <f>IFERROR(IF(VALUE(LEFT(AD66,2))&lt;=2,"EC",IF(OR(VALUE(LEFT(AD66,2))=8,VALUE(LEFT(AD66,2))=18),"NW","Other")),"Other")</f>
        <v>EC</v>
      </c>
      <c r="AH66" s="86" t="str">
        <f t="shared" si="3"/>
        <v>"%USERPROFILE%\Documents\GitHub\eaglep3\Utilities\RefineRTDCRunTimes.py" --tripid 154-05 --locoid 4032 --swversion DE.1.0.8.0 --startMP 204:232979 --initTime 2017-02-05T11:05:51 --startdatetime 2017-02-05T11:11:25 --delay 1 --endMP 204:163 --enddatetime 2017-02-05T11:48:13 --enforcementcount 0 &gt;&gt;C:\Users\stu\Documents\GitHub\eaglep3-reporting\EC\2017-02-05-refined-times.txt</v>
      </c>
      <c r="AI66" s="108" t="str">
        <f t="shared" si="4"/>
        <v>echo {"issue":{"subject":"","project_id":79,"tracker_id":40,"status_id":1,"priority_id":2,"assigned_to_id":23,"start_date":"2017-02-05","description":"","custom_fields":[{"id":1,"name":"Subdivision","value":"EC"},{"id":4,"name":"Milepost","value":"0.0163"},{"id":17,"name":"Train ID","value":"154-05"},{"id":16,"name":"Locomotive ID","value":"4032"},{"id":130,"name":"Impact","value":""},{"id":150,"name":"Time of Event (Mountain Time)","value":"11:48:13"},{"id":151,"name":"Denver Issue ID","value":""},{"id":178,"name":"Operational Impact","value":"Yes"},{"id":179,"name":"Denver Segment Assigned","value":""}]}} | curl -X POST -H "Content-Type: application/json" -H "X-Redmine-API-Key: d6333d4a04012a730768444271f8ca06482dae87" https://secure.xorail.net/redmine/issues.json --data @-</v>
      </c>
      <c r="AJ66" s="48"/>
      <c r="AK66" s="48"/>
      <c r="AL66" s="48"/>
      <c r="AM66" s="158" t="str">
        <f t="shared" si="5"/>
        <v>start /low /b %USERPROFILE%\Documents\GitHub\eaglep3\Utilities\DownloadLogsFromS3.py --loco 4032 --day 2017-02-05</v>
      </c>
      <c r="AN66" s="167" t="str">
        <f>"grep -SE -B400 ""CHR.+\|PRM\|1\|D.+(SWITCH|SIGNAL).+UNKNOWN"" "&amp;search_path&amp;"\RTDC"&amp;B66&amp;"\*"&amp;B66&amp;"*"&amp;TEXT(AVERAGE(F66,I66)-utc_offset/24,"YYYYMMDD")&amp;"* | grep -SE ""(Enforcement Action)|(\[TIMEOUT)|(CHR.+\|PRM\|1\|D.+(SWITCH|SIGNAL).+UNKNOWN)"" - &gt;&gt; "&amp;TEXT(Variables!$A$2,"YYYY-MM-DD")&amp;"-UncaughtWiMAX.txt"</f>
        <v>grep -SE -B400 "CHR.+\|PRM\|1\|D.+(SWITCH|SIGNAL).+UNKNOWN" "%USERPROFILE%\AppData\Local\Temp\OnboardLogs"\RTDC4032\*4032*20170205* | grep -SE "(Enforcement Action)|(\[TIMEOUT)|(CHR.+\|PRM\|1\|D.+(SWITCH|SIGNAL).+UNKNOWN)" - &gt;&gt; 2017-02-05-UncaughtWiMAX.txt</v>
      </c>
      <c r="AO66"/>
      <c r="AP66"/>
      <c r="AQ66"/>
      <c r="AR66"/>
      <c r="AS66"/>
      <c r="AT66"/>
      <c r="AU66"/>
      <c r="AV66"/>
      <c r="AW66"/>
      <c r="AX66"/>
      <c r="AY66"/>
      <c r="AZ66"/>
      <c r="BA66"/>
      <c r="BB66"/>
      <c r="BC66"/>
      <c r="BD66"/>
      <c r="BE66"/>
      <c r="BF66"/>
      <c r="BG66"/>
      <c r="BH66"/>
      <c r="BI66"/>
      <c r="BJ66"/>
      <c r="BK66"/>
      <c r="BL66"/>
      <c r="BM66"/>
      <c r="BN66"/>
      <c r="BO66"/>
      <c r="BP66"/>
      <c r="BQ66"/>
      <c r="BR66"/>
      <c r="BS66"/>
      <c r="BT66"/>
      <c r="BU66"/>
      <c r="BV66"/>
      <c r="BW66"/>
      <c r="BX66"/>
      <c r="BY66"/>
      <c r="BZ66"/>
      <c r="CA66"/>
      <c r="CB66"/>
      <c r="CC66"/>
      <c r="CD66"/>
      <c r="CE66"/>
      <c r="CF66"/>
      <c r="CG66"/>
      <c r="CH66"/>
      <c r="CI66"/>
      <c r="CJ66"/>
      <c r="CK66"/>
      <c r="CL66"/>
      <c r="CM66"/>
    </row>
    <row r="67" spans="1:91" s="1" customFormat="1" x14ac:dyDescent="0.25">
      <c r="A67" s="33" t="s">
        <v>603</v>
      </c>
      <c r="B67" s="7">
        <v>4009</v>
      </c>
      <c r="C67" s="21" t="s">
        <v>193</v>
      </c>
      <c r="D67" s="21" t="s">
        <v>240</v>
      </c>
      <c r="E67" s="13">
        <v>42771.433136574073</v>
      </c>
      <c r="F67" s="13">
        <v>42771.437650462962</v>
      </c>
      <c r="G67" s="7">
        <v>1</v>
      </c>
      <c r="H67" s="21" t="s">
        <v>416</v>
      </c>
      <c r="I67" s="13">
        <v>42771.462256944447</v>
      </c>
      <c r="J67" s="7">
        <v>0</v>
      </c>
      <c r="K67" s="98" t="str">
        <f>IF(ISEVEN(B67),(B67-1)&amp;"/"&amp;B67,B67&amp;"/"&amp;(B67+1))</f>
        <v>4009/4010</v>
      </c>
      <c r="L67" s="21" t="str">
        <f>VLOOKUP(A67,'Trips&amp;Operators'!$C$1:$G$99999,5,FALSE)</f>
        <v>ROMERO CHAD</v>
      </c>
      <c r="M67" s="6">
        <f>I67-F67</f>
        <v>2.4606481485534459E-2</v>
      </c>
      <c r="N67" s="7">
        <f>24*60*SUM($M67:$M67)</f>
        <v>35.433333339169621</v>
      </c>
      <c r="O67" s="7"/>
      <c r="P67" s="7"/>
      <c r="Q67" s="22"/>
      <c r="R67" s="22"/>
      <c r="S67" s="31">
        <f>SUM(U67:U67)/IF(AG67="EC",12,1)</f>
        <v>1</v>
      </c>
      <c r="T67" s="46" t="str">
        <f>IF(ISEVEN(LEFT(AD67,4)),"Southbound","NorthBound")</f>
        <v>NorthBound</v>
      </c>
      <c r="U67" s="190">
        <f>IF(AG67="EC",COUNTIFS(Variables!$M$2:$M$19,IF(T67="NorthBound","&gt;=","&lt;=")&amp;Y67,Variables!$M$2:$M$19,IF(T67="NorthBound","&lt;=","&gt;=")&amp;Z67),COUNTIFS(Variables!$P$2:$P$19,IF(T67="NorthBound","&gt;=","&lt;=")&amp;Y67,Variables!$P$2:$P$19,IF(T67="NorthBound","&lt;=","&gt;=")&amp;Z67))</f>
        <v>12</v>
      </c>
      <c r="V67" s="191" t="str">
        <f>"https://d0f6bd738d7f1b3e5a7ca70fe4ff75f0.us-east-1.aws.found.io/app/kibana#/discover/Steve-Slow-Train-Analysis-(2080s-and-2083s)?_g="&amp;"(refreshInterval:(display:Off,pause:!f,section:0,value:0),time:(from:'"&amp;TEXT(E67-1/24,"yyyy-MM-DDThh:mm:ss")&amp;utc_offset&amp;"00"&amp;"',mode:absolute,to:'"&amp;TEXT(I67+1/24,"yyyy-MM-DDThh:mm:ss")&amp;utc_offset&amp;"00"&amp;"'))&amp;_a=(columns:!('Locomotive+ID','Data.Head+End+Milepost',Data.Speed,'Data.Locomotive+State','Data.Train+ID',"&amp;"'Data.Warning%2FEnforcement+Type','Data.Target+Start+Milepost','Data.Target+Description','Data.Target+Speed',"&amp;"'Data.Enforcement+Train+Speed','Data.Enforcement+Start+Milepost','Data.Target+Type','Data.Enforcement+Direction+of+Travel','Message+ID',"&amp;"'Data.Body+of+Summary+Text','Data.Head+End+Track+name'),filters:!(),index:'emp_*',interval:auto,query:"&amp;"(query_string:(analyze_wildcard:!t,query:'Message%5C+ID:(2083+OR+2080+OR+1041+OR+2003+OR+1051+OR+1043+OR+1053)+AND+%22rtdc.l.rtdc."&amp;B67&amp;"%22')),sort:!(Time.ISO8601,asc))"</f>
        <v>https://d0f6bd738d7f1b3e5a7ca70fe4ff75f0.us-east-1.aws.found.io/app/kibana#/discover/Steve-Slow-Train-Analysis-(2080s-and-2083s)?_g=(refreshInterval:(display:Off,pause:!f,section:0,value:0),time:(from:'2017-02-05T09:23:43-0700',mode:absolute,to:'2017-02-05T12:05:39-0700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4009%22')),sort:!(Time.ISO8601,asc))</v>
      </c>
      <c r="W67" s="192" t="str">
        <f>IF(AA67&lt;IF(AG67="EC",23,5.65),"Y","N")</f>
        <v>N</v>
      </c>
      <c r="X67" s="192">
        <f>VALUE(LEFT(AD67,4))-VALUE(LEFT(AD66,4))</f>
        <v>1</v>
      </c>
      <c r="Y67" s="62">
        <f>RIGHT(D67,LEN(D67)-4)/10000</f>
        <v>4.5100000000000001E-2</v>
      </c>
      <c r="Z67" s="62">
        <f>RIGHT(H67,LEN(H67)-4)/10000</f>
        <v>23.331399999999999</v>
      </c>
      <c r="AA67" s="62">
        <f>ABS(Z67-Y67)</f>
        <v>23.286299999999997</v>
      </c>
      <c r="AB67" s="59" t="e">
        <f>VLOOKUP(A67,Enforcements!$C$7:$K$16,8,0)</f>
        <v>#N/A</v>
      </c>
      <c r="AC67" s="55" t="e">
        <f>VLOOKUP(A67,Enforcements!$C$7:$E$16,3,0)</f>
        <v>#N/A</v>
      </c>
      <c r="AD67" s="56" t="str">
        <f>IF(LEN(A67)=6,"0"&amp;A67,A67)</f>
        <v>0155-05</v>
      </c>
      <c r="AE67" s="85" t="str">
        <f>"aws s3 cp "&amp;s3_bucket&amp;"/RTDC"&amp;B67&amp;"/ "&amp;search_path&amp;"\RTDC"&amp;B67&amp;"\"&amp;TEXT(F67,"YYYY-MM-DD")&amp;" --exclude ""*"" --recursive --include ""*"&amp;TEXT(F67,"YYYYMMDD")&amp;"*"" &amp; """&amp;walkandungz&amp;""" "&amp;search_path&amp;"\RTDC"&amp;B67&amp;"\"&amp;TEXT(F67,"YYYY-MM-DD")
&amp;" &amp; "&amp;"aws s3 cp "&amp;s3_bucket&amp;"/RTDC"&amp;B67&amp;"/ "&amp;search_path&amp;"\RTDC"&amp;B67&amp;"\"&amp;TEXT(F67+1,"YYYY-MM-DD")&amp;" --exclude ""*"" --recursive --include ""*"&amp;TEXT(F67+1,"YYYYMMDD")&amp;"*"" &amp; """&amp;walkandungz&amp;""" "&amp;search_path&amp;"\RTDC"&amp;B67&amp;"\"&amp;TEXT(F67+1,"YYYY-MM-DD")</f>
        <v>aws s3 cp s3://rtdc.mdm.uploadarchive.raw/RTDC4009/ "%USERPROFILE%\AppData\Local\Temp\OnboardLogs"\RTDC4009\2017-02-05 --exclude "*" --recursive --include "*20170205*" &amp; "%USERPROFILE%\Documents\GitHub\mrs-test-scripts\Headless Mode &amp; Sideloading\WalkAndUnGZ.bat" "%USERPROFILE%\AppData\Local\Temp\OnboardLogs"\RTDC4009\2017-02-05 &amp; aws s3 cp s3://rtdc.mdm.uploadarchive.raw/RTDC4009/ "%USERPROFILE%\AppData\Local\Temp\OnboardLogs"\RTDC4009\2017-02-06 --exclude "*" --recursive --include "*20170206*" &amp; "%USERPROFILE%\Documents\GitHub\mrs-test-scripts\Headless Mode &amp; Sideloading\WalkAndUnGZ.bat" "%USERPROFILE%\AppData\Local\Temp\OnboardLogs"\RTDC4009\2017-02-06</v>
      </c>
      <c r="AF67" s="82" t="str">
        <f>astrogrep_path&amp;" /spath="&amp;search_path&amp;" /stypes=""app*"&amp;B67&amp;"*"&amp;TEXT(I67-utc_offset/24,"YYYYMMDD")&amp;"*"" /stext="" "&amp;TEXT(I67-utc_offset/24,"HH")&amp;search_regexp&amp;""" /e /r /s"</f>
        <v>"C:\Program Files (x86)\AstroGrep\AstroGrep.exe" /spath="%USERPROFILE%\AppData\Local\Temp\OnboardLogs" /stypes="app*4009*20170205*" /stext=" 18:.+((SYSTEM_STATE.+slice.+state.+changed )|(ment ac)|(multiple cpu faults)|(system.+state.+changed )|(\[timeout)|(PRM\|1\|D)|(kpr)|(kdp)|(\|lc)|(penalty))" /e /r /s</v>
      </c>
      <c r="AG67" s="1" t="str">
        <f>IFERROR(IF(VALUE(LEFT(AD67,2))&lt;=2,"EC",IF(OR(VALUE(LEFT(AD67,2))=8,VALUE(LEFT(AD67,2))=18),"NW","Other")),"Other")</f>
        <v>EC</v>
      </c>
      <c r="AH67" s="86" t="str">
        <f t="shared" si="3"/>
        <v>"%USERPROFILE%\Documents\GitHub\eaglep3\Utilities\RefineRTDCRunTimes.py" --tripid 155-05 --locoid 4009 --swversion DE.1.0.8.0 --startMP 204:451 --initTime 2017-02-05T10:23:43 --startdatetime 2017-02-05T10:30:13 --delay 1 --endMP 204:233314 --enddatetime 2017-02-05T11:05:39 --enforcementcount 0 &gt;&gt;C:\Users\stu\Documents\GitHub\eaglep3-reporting\EC\2017-02-05-refined-times.txt</v>
      </c>
      <c r="AI67" s="108" t="str">
        <f t="shared" si="4"/>
        <v>echo {"issue":{"subject":"","project_id":79,"tracker_id":40,"status_id":1,"priority_id":2,"assigned_to_id":23,"start_date":"2017-02-05","description":"","custom_fields":[{"id":1,"name":"Subdivision","value":"EC"},{"id":4,"name":"Milepost","value":"23.3314"},{"id":17,"name":"Train ID","value":"155-05"},{"id":16,"name":"Locomotive ID","value":"4009"},{"id":130,"name":"Impact","value":""},{"id":150,"name":"Time of Event (Mountain Time)","value":"11:05:39"},{"id":151,"name":"Denver Issue ID","value":""},{"id":178,"name":"Operational Impact","value":"Yes"},{"id":179,"name":"Denver Segment Assigned","value":""}]}} | curl -X POST -H "Content-Type: application/json" -H "X-Redmine-API-Key: d6333d4a04012a730768444271f8ca06482dae87" https://secure.xorail.net/redmine/issues.json --data @-</v>
      </c>
      <c r="AJ67" s="48"/>
      <c r="AK67" s="48"/>
      <c r="AL67" s="48"/>
      <c r="AM67" s="158" t="str">
        <f t="shared" si="5"/>
        <v>start /low /b %USERPROFILE%\Documents\GitHub\eaglep3\Utilities\DownloadLogsFromS3.py --loco 4009 --day 2017-02-05</v>
      </c>
      <c r="AN67" s="167" t="str">
        <f>"grep -SE -B400 ""CHR.+\|PRM\|1\|D.+(SWITCH|SIGNAL).+UNKNOWN"" "&amp;search_path&amp;"\RTDC"&amp;B67&amp;"\*"&amp;B67&amp;"*"&amp;TEXT(AVERAGE(F67,I67)-utc_offset/24,"YYYYMMDD")&amp;"* | grep -SE ""(Enforcement Action)|(\[TIMEOUT)|(CHR.+\|PRM\|1\|D.+(SWITCH|SIGNAL).+UNKNOWN)"" - &gt;&gt; "&amp;TEXT(Variables!$A$2,"YYYY-MM-DD")&amp;"-UncaughtWiMAX.txt"</f>
        <v>grep -SE -B400 "CHR.+\|PRM\|1\|D.+(SWITCH|SIGNAL).+UNKNOWN" "%USERPROFILE%\AppData\Local\Temp\OnboardLogs"\RTDC4009\*4009*20170205* | grep -SE "(Enforcement Action)|(\[TIMEOUT)|(CHR.+\|PRM\|1\|D.+(SWITCH|SIGNAL).+UNKNOWN)" - &gt;&gt; 2017-02-05-UncaughtWiMAX.txt</v>
      </c>
      <c r="AO67"/>
      <c r="AP67"/>
      <c r="AQ67"/>
      <c r="AR67"/>
      <c r="AS67"/>
      <c r="AT67"/>
      <c r="AU67"/>
      <c r="AV67"/>
      <c r="AW67"/>
      <c r="AX67"/>
      <c r="AY67"/>
      <c r="AZ67"/>
      <c r="BA67"/>
      <c r="BB67"/>
      <c r="BC67"/>
      <c r="BD67"/>
      <c r="BE67"/>
      <c r="BF67"/>
      <c r="BG67"/>
      <c r="BH67"/>
      <c r="BI67"/>
      <c r="BJ67"/>
      <c r="BK67"/>
      <c r="BL67"/>
      <c r="BM67"/>
      <c r="BN67"/>
      <c r="BO67"/>
      <c r="BP67"/>
      <c r="BQ67"/>
      <c r="BR67"/>
      <c r="BS67"/>
      <c r="BT67"/>
      <c r="BU67"/>
      <c r="BV67"/>
      <c r="BW67"/>
      <c r="BX67"/>
      <c r="BY67"/>
      <c r="BZ67"/>
      <c r="CA67"/>
      <c r="CB67"/>
      <c r="CC67"/>
      <c r="CD67"/>
      <c r="CE67"/>
      <c r="CF67"/>
      <c r="CG67"/>
      <c r="CH67"/>
      <c r="CI67"/>
      <c r="CJ67"/>
      <c r="CK67"/>
      <c r="CL67"/>
      <c r="CM67"/>
    </row>
    <row r="68" spans="1:91" s="1" customFormat="1" x14ac:dyDescent="0.25">
      <c r="A68" s="33" t="s">
        <v>614</v>
      </c>
      <c r="B68" s="7">
        <v>4010</v>
      </c>
      <c r="C68" s="21" t="s">
        <v>193</v>
      </c>
      <c r="D68" s="21" t="s">
        <v>311</v>
      </c>
      <c r="E68" s="13">
        <v>42771.463958333334</v>
      </c>
      <c r="F68" s="13">
        <v>42771.476550925923</v>
      </c>
      <c r="G68" s="7">
        <v>1</v>
      </c>
      <c r="H68" s="21" t="s">
        <v>325</v>
      </c>
      <c r="I68" s="13">
        <v>42771.502303240741</v>
      </c>
      <c r="J68" s="7">
        <v>0</v>
      </c>
      <c r="K68" s="98" t="str">
        <f>IF(ISEVEN(B68),(B68-1)&amp;"/"&amp;B68,B68&amp;"/"&amp;(B68+1))</f>
        <v>4009/4010</v>
      </c>
      <c r="L68" s="21" t="str">
        <f>VLOOKUP(A68,'Trips&amp;Operators'!$C$1:$G$99999,5,FALSE)</f>
        <v>ROMERO CHAD</v>
      </c>
      <c r="M68" s="6">
        <f>I68-F68</f>
        <v>2.5752314817509614E-2</v>
      </c>
      <c r="N68" s="7">
        <f>24*60*SUM($M68:$M68)</f>
        <v>37.083333337213844</v>
      </c>
      <c r="O68" s="7"/>
      <c r="P68" s="7"/>
      <c r="Q68" s="22"/>
      <c r="R68" s="22"/>
      <c r="S68" s="31">
        <f>SUM(U68:U68)/IF(AG68="EC",12,1)</f>
        <v>1</v>
      </c>
      <c r="T68" s="46" t="str">
        <f>IF(ISEVEN(LEFT(AD68,4)),"Southbound","NorthBound")</f>
        <v>Southbound</v>
      </c>
      <c r="U68" s="190">
        <f>IF(AG68="EC",COUNTIFS(Variables!$M$2:$M$19,IF(T68="NorthBound","&gt;=","&lt;=")&amp;Y68,Variables!$M$2:$M$19,IF(T68="NorthBound","&lt;=","&gt;=")&amp;Z68),COUNTIFS(Variables!$P$2:$P$19,IF(T68="NorthBound","&gt;=","&lt;=")&amp;Y68,Variables!$P$2:$P$19,IF(T68="NorthBound","&lt;=","&gt;=")&amp;Z68))</f>
        <v>12</v>
      </c>
      <c r="V68" s="191" t="str">
        <f>"https://d0f6bd738d7f1b3e5a7ca70fe4ff75f0.us-east-1.aws.found.io/app/kibana#/discover/Steve-Slow-Train-Analysis-(2080s-and-2083s)?_g="&amp;"(refreshInterval:(display:Off,pause:!f,section:0,value:0),time:(from:'"&amp;TEXT(E68-1/24,"yyyy-MM-DDThh:mm:ss")&amp;utc_offset&amp;"00"&amp;"',mode:absolute,to:'"&amp;TEXT(I68+1/24,"yyyy-MM-DDThh:mm:ss")&amp;utc_offset&amp;"00"&amp;"'))&amp;_a=(columns:!('Locomotive+ID','Data.Head+End+Milepost',Data.Speed,'Data.Locomotive+State','Data.Train+ID',"&amp;"'Data.Warning%2FEnforcement+Type','Data.Target+Start+Milepost','Data.Target+Description','Data.Target+Speed',"&amp;"'Data.Enforcement+Train+Speed','Data.Enforcement+Start+Milepost','Data.Target+Type','Data.Enforcement+Direction+of+Travel','Message+ID',"&amp;"'Data.Body+of+Summary+Text','Data.Head+End+Track+name'),filters:!(),index:'emp_*',interval:auto,query:"&amp;"(query_string:(analyze_wildcard:!t,query:'Message%5C+ID:(2083+OR+2080+OR+1041+OR+2003+OR+1051+OR+1043+OR+1053)+AND+%22rtdc.l.rtdc."&amp;B68&amp;"%22')),sort:!(Time.ISO8601,asc))"</f>
        <v>https://d0f6bd738d7f1b3e5a7ca70fe4ff75f0.us-east-1.aws.found.io/app/kibana#/discover/Steve-Slow-Train-Analysis-(2080s-and-2083s)?_g=(refreshInterval:(display:Off,pause:!f,section:0,value:0),time:(from:'2017-02-05T10:08:06-0700',mode:absolute,to:'2017-02-05T13:03:19-0700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4010%22')),sort:!(Time.ISO8601,asc))</v>
      </c>
      <c r="W68" s="192" t="str">
        <f>IF(AA68&lt;IF(AG68="EC",23,5.65),"Y","N")</f>
        <v>N</v>
      </c>
      <c r="X68" s="192">
        <f>VALUE(LEFT(AD68,4))-VALUE(LEFT(AD67,4))</f>
        <v>1</v>
      </c>
      <c r="Y68" s="62">
        <f>RIGHT(D68,LEN(D68)-4)/10000</f>
        <v>23.299199999999999</v>
      </c>
      <c r="Z68" s="62">
        <f>RIGHT(H68,LEN(H68)-4)/10000</f>
        <v>1.38E-2</v>
      </c>
      <c r="AA68" s="62">
        <f>ABS(Z68-Y68)</f>
        <v>23.285399999999999</v>
      </c>
      <c r="AB68" s="59" t="e">
        <f>VLOOKUP(A68,Enforcements!$C$7:$K$16,8,0)</f>
        <v>#N/A</v>
      </c>
      <c r="AC68" s="55" t="e">
        <f>VLOOKUP(A68,Enforcements!$C$7:$E$16,3,0)</f>
        <v>#N/A</v>
      </c>
      <c r="AD68" s="56" t="str">
        <f>IF(LEN(A68)=6,"0"&amp;A68,A68)</f>
        <v>0156-05</v>
      </c>
      <c r="AE68" s="85" t="str">
        <f>"aws s3 cp "&amp;s3_bucket&amp;"/RTDC"&amp;B68&amp;"/ "&amp;search_path&amp;"\RTDC"&amp;B68&amp;"\"&amp;TEXT(F68,"YYYY-MM-DD")&amp;" --exclude ""*"" --recursive --include ""*"&amp;TEXT(F68,"YYYYMMDD")&amp;"*"" &amp; """&amp;walkandungz&amp;""" "&amp;search_path&amp;"\RTDC"&amp;B68&amp;"\"&amp;TEXT(F68,"YYYY-MM-DD")
&amp;" &amp; "&amp;"aws s3 cp "&amp;s3_bucket&amp;"/RTDC"&amp;B68&amp;"/ "&amp;search_path&amp;"\RTDC"&amp;B68&amp;"\"&amp;TEXT(F68+1,"YYYY-MM-DD")&amp;" --exclude ""*"" --recursive --include ""*"&amp;TEXT(F68+1,"YYYYMMDD")&amp;"*"" &amp; """&amp;walkandungz&amp;""" "&amp;search_path&amp;"\RTDC"&amp;B68&amp;"\"&amp;TEXT(F68+1,"YYYY-MM-DD")</f>
        <v>aws s3 cp s3://rtdc.mdm.uploadarchive.raw/RTDC4010/ "%USERPROFILE%\AppData\Local\Temp\OnboardLogs"\RTDC4010\2017-02-05 --exclude "*" --recursive --include "*20170205*" &amp; "%USERPROFILE%\Documents\GitHub\mrs-test-scripts\Headless Mode &amp; Sideloading\WalkAndUnGZ.bat" "%USERPROFILE%\AppData\Local\Temp\OnboardLogs"\RTDC4010\2017-02-05 &amp; aws s3 cp s3://rtdc.mdm.uploadarchive.raw/RTDC4010/ "%USERPROFILE%\AppData\Local\Temp\OnboardLogs"\RTDC4010\2017-02-06 --exclude "*" --recursive --include "*20170206*" &amp; "%USERPROFILE%\Documents\GitHub\mrs-test-scripts\Headless Mode &amp; Sideloading\WalkAndUnGZ.bat" "%USERPROFILE%\AppData\Local\Temp\OnboardLogs"\RTDC4010\2017-02-06</v>
      </c>
      <c r="AF68" s="82" t="str">
        <f>astrogrep_path&amp;" /spath="&amp;search_path&amp;" /stypes=""app*"&amp;B68&amp;"*"&amp;TEXT(I68-utc_offset/24,"YYYYMMDD")&amp;"*"" /stext="" "&amp;TEXT(I68-utc_offset/24,"HH")&amp;search_regexp&amp;""" /e /r /s"</f>
        <v>"C:\Program Files (x86)\AstroGrep\AstroGrep.exe" /spath="%USERPROFILE%\AppData\Local\Temp\OnboardLogs" /stypes="app*4010*20170205*" /stext=" 19:.+((SYSTEM_STATE.+slice.+state.+changed )|(ment ac)|(multiple cpu faults)|(system.+state.+changed )|(\[timeout)|(PRM\|1\|D)|(kpr)|(kdp)|(\|lc)|(penalty))" /e /r /s</v>
      </c>
      <c r="AG68" s="1" t="str">
        <f>IFERROR(IF(VALUE(LEFT(AD68,2))&lt;=2,"EC",IF(OR(VALUE(LEFT(AD68,2))=8,VALUE(LEFT(AD68,2))=18),"NW","Other")),"Other")</f>
        <v>EC</v>
      </c>
      <c r="AH68" s="86" t="str">
        <f t="shared" si="3"/>
        <v>"%USERPROFILE%\Documents\GitHub\eaglep3\Utilities\RefineRTDCRunTimes.py" --tripid 156-05 --locoid 4010 --swversion DE.1.0.8.0 --startMP 204:232992 --initTime 2017-02-05T11:08:06 --startdatetime 2017-02-05T11:26:14 --delay 1 --endMP 204:138 --enddatetime 2017-02-05T12:03:19 --enforcementcount 0 &gt;&gt;C:\Users\stu\Documents\GitHub\eaglep3-reporting\EC\2017-02-05-refined-times.txt</v>
      </c>
      <c r="AI68" s="108" t="str">
        <f t="shared" si="4"/>
        <v>echo {"issue":{"subject":"","project_id":79,"tracker_id":40,"status_id":1,"priority_id":2,"assigned_to_id":23,"start_date":"2017-02-05","description":"","custom_fields":[{"id":1,"name":"Subdivision","value":"EC"},{"id":4,"name":"Milepost","value":"0.0138"},{"id":17,"name":"Train ID","value":"156-05"},{"id":16,"name":"Locomotive ID","value":"4010"},{"id":130,"name":"Impact","value":""},{"id":150,"name":"Time of Event (Mountain Time)","value":"12:03:19"},{"id":151,"name":"Denver Issue ID","value":""},{"id":178,"name":"Operational Impact","value":"Yes"},{"id":179,"name":"Denver Segment Assigned","value":""}]}} | curl -X POST -H "Content-Type: application/json" -H "X-Redmine-API-Key: d6333d4a04012a730768444271f8ca06482dae87" https://secure.xorail.net/redmine/issues.json --data @-</v>
      </c>
      <c r="AJ68" s="48"/>
      <c r="AK68" s="48"/>
      <c r="AL68" s="48"/>
      <c r="AM68" s="158" t="str">
        <f t="shared" si="5"/>
        <v>start /low /b %USERPROFILE%\Documents\GitHub\eaglep3\Utilities\DownloadLogsFromS3.py --loco 4010 --day 2017-02-05</v>
      </c>
      <c r="AN68" s="167" t="str">
        <f>"grep -SE -B400 ""CHR.+\|PRM\|1\|D.+(SWITCH|SIGNAL).+UNKNOWN"" "&amp;search_path&amp;"\RTDC"&amp;B68&amp;"\*"&amp;B68&amp;"*"&amp;TEXT(AVERAGE(F68,I68)-utc_offset/24,"YYYYMMDD")&amp;"* | grep -SE ""(Enforcement Action)|(\[TIMEOUT)|(CHR.+\|PRM\|1\|D.+(SWITCH|SIGNAL).+UNKNOWN)"" - &gt;&gt; "&amp;TEXT(Variables!$A$2,"YYYY-MM-DD")&amp;"-UncaughtWiMAX.txt"</f>
        <v>grep -SE -B400 "CHR.+\|PRM\|1\|D.+(SWITCH|SIGNAL).+UNKNOWN" "%USERPROFILE%\AppData\Local\Temp\OnboardLogs"\RTDC4010\*4010*20170205* | grep -SE "(Enforcement Action)|(\[TIMEOUT)|(CHR.+\|PRM\|1\|D.+(SWITCH|SIGNAL).+UNKNOWN)" - &gt;&gt; 2017-02-05-UncaughtWiMAX.txt</v>
      </c>
      <c r="AO68"/>
      <c r="AP68"/>
      <c r="AQ68"/>
      <c r="AR68"/>
      <c r="AS68"/>
      <c r="AT68"/>
      <c r="AU68"/>
      <c r="AV68"/>
      <c r="AW68"/>
      <c r="AX68"/>
      <c r="AY68"/>
      <c r="AZ68"/>
      <c r="BA68"/>
      <c r="BB68"/>
      <c r="BC68"/>
      <c r="BD68"/>
      <c r="BE68"/>
      <c r="BF68"/>
      <c r="BG68"/>
      <c r="BH68"/>
      <c r="BI68"/>
      <c r="BJ68"/>
      <c r="BK68"/>
      <c r="BL68"/>
      <c r="BM68"/>
      <c r="BN68"/>
      <c r="BO68"/>
      <c r="BP68"/>
      <c r="BQ68"/>
      <c r="BR68"/>
      <c r="BS68"/>
      <c r="BT68"/>
      <c r="BU68"/>
      <c r="BV68"/>
      <c r="BW68"/>
      <c r="BX68"/>
      <c r="BY68"/>
      <c r="BZ68"/>
      <c r="CA68"/>
      <c r="CB68"/>
      <c r="CC68"/>
      <c r="CD68"/>
      <c r="CE68"/>
      <c r="CF68"/>
      <c r="CG68"/>
      <c r="CH68"/>
      <c r="CI68"/>
      <c r="CJ68"/>
      <c r="CK68"/>
      <c r="CL68"/>
      <c r="CM68"/>
    </row>
    <row r="69" spans="1:91" s="1" customFormat="1" x14ac:dyDescent="0.25">
      <c r="A69" s="33" t="s">
        <v>608</v>
      </c>
      <c r="B69" s="7">
        <v>4040</v>
      </c>
      <c r="C69" s="21" t="s">
        <v>193</v>
      </c>
      <c r="D69" s="21" t="s">
        <v>318</v>
      </c>
      <c r="E69" s="13">
        <v>42771.443460648145</v>
      </c>
      <c r="F69" s="13">
        <v>42771.448113425926</v>
      </c>
      <c r="G69" s="7">
        <v>1</v>
      </c>
      <c r="H69" s="21" t="s">
        <v>777</v>
      </c>
      <c r="I69" s="13">
        <v>42771.474363425928</v>
      </c>
      <c r="J69" s="7">
        <v>0</v>
      </c>
      <c r="K69" s="98" t="str">
        <f>IF(ISEVEN(B69),(B69-1)&amp;"/"&amp;B69,B69&amp;"/"&amp;(B69+1))</f>
        <v>4039/4040</v>
      </c>
      <c r="L69" s="21" t="str">
        <f>VLOOKUP(A69,'Trips&amp;Operators'!$C$1:$G$99999,5,FALSE)</f>
        <v>SHOOK JOHN</v>
      </c>
      <c r="M69" s="6">
        <f>I69-F69</f>
        <v>2.6250000002619345E-2</v>
      </c>
      <c r="N69" s="7">
        <f>24*60*SUM($M69:$M69)</f>
        <v>37.800000003771856</v>
      </c>
      <c r="O69" s="7"/>
      <c r="P69" s="7"/>
      <c r="Q69" s="22"/>
      <c r="R69" s="22"/>
      <c r="S69" s="31">
        <f>SUM(U69:U69)/IF(AG69="EC",12,1)</f>
        <v>1</v>
      </c>
      <c r="T69" s="46" t="str">
        <f>IF(ISEVEN(LEFT(AD69,4)),"Southbound","NorthBound")</f>
        <v>NorthBound</v>
      </c>
      <c r="U69" s="190">
        <f>IF(AG69="EC",COUNTIFS(Variables!$M$2:$M$19,IF(T69="NorthBound","&gt;=","&lt;=")&amp;Y69,Variables!$M$2:$M$19,IF(T69="NorthBound","&lt;=","&gt;=")&amp;Z69),COUNTIFS(Variables!$P$2:$P$19,IF(T69="NorthBound","&gt;=","&lt;=")&amp;Y69,Variables!$P$2:$P$19,IF(T69="NorthBound","&lt;=","&gt;=")&amp;Z69))</f>
        <v>12</v>
      </c>
      <c r="V69" s="191" t="str">
        <f>"https://d0f6bd738d7f1b3e5a7ca70fe4ff75f0.us-east-1.aws.found.io/app/kibana#/discover/Steve-Slow-Train-Analysis-(2080s-and-2083s)?_g="&amp;"(refreshInterval:(display:Off,pause:!f,section:0,value:0),time:(from:'"&amp;TEXT(E69-1/24,"yyyy-MM-DDThh:mm:ss")&amp;utc_offset&amp;"00"&amp;"',mode:absolute,to:'"&amp;TEXT(I69+1/24,"yyyy-MM-DDThh:mm:ss")&amp;utc_offset&amp;"00"&amp;"'))&amp;_a=(columns:!('Locomotive+ID','Data.Head+End+Milepost',Data.Speed,'Data.Locomotive+State','Data.Train+ID',"&amp;"'Data.Warning%2FEnforcement+Type','Data.Target+Start+Milepost','Data.Target+Description','Data.Target+Speed',"&amp;"'Data.Enforcement+Train+Speed','Data.Enforcement+Start+Milepost','Data.Target+Type','Data.Enforcement+Direction+of+Travel','Message+ID',"&amp;"'Data.Body+of+Summary+Text','Data.Head+End+Track+name'),filters:!(),index:'emp_*',interval:auto,query:"&amp;"(query_string:(analyze_wildcard:!t,query:'Message%5C+ID:(2083+OR+2080+OR+1041+OR+2003+OR+1051+OR+1043+OR+1053)+AND+%22rtdc.l.rtdc."&amp;B69&amp;"%22')),sort:!(Time.ISO8601,asc))"</f>
        <v>https://d0f6bd738d7f1b3e5a7ca70fe4ff75f0.us-east-1.aws.found.io/app/kibana#/discover/Steve-Slow-Train-Analysis-(2080s-and-2083s)?_g=(refreshInterval:(display:Off,pause:!f,section:0,value:0),time:(from:'2017-02-05T09:38:35-0700',mode:absolute,to:'2017-02-05T12:23:05-0700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4040%22')),sort:!(Time.ISO8601,asc))</v>
      </c>
      <c r="W69" s="192" t="str">
        <f>IF(AA69&lt;IF(AG69="EC",23,5.65),"Y","N")</f>
        <v>N</v>
      </c>
      <c r="X69" s="192">
        <f>VALUE(LEFT(AD69,4))-VALUE(LEFT(AD68,4))</f>
        <v>1</v>
      </c>
      <c r="Y69" s="62">
        <f>RIGHT(D69,LEN(D69)-4)/10000</f>
        <v>4.4699999999999997E-2</v>
      </c>
      <c r="Z69" s="62">
        <f>RIGHT(H69,LEN(H69)-4)/10000</f>
        <v>23.334199999999999</v>
      </c>
      <c r="AA69" s="62">
        <f>ABS(Z69-Y69)</f>
        <v>23.2895</v>
      </c>
      <c r="AB69" s="59" t="e">
        <f>VLOOKUP(A69,Enforcements!$C$7:$K$16,8,0)</f>
        <v>#N/A</v>
      </c>
      <c r="AC69" s="55" t="e">
        <f>VLOOKUP(A69,Enforcements!$C$7:$E$16,3,0)</f>
        <v>#N/A</v>
      </c>
      <c r="AD69" s="56" t="str">
        <f>IF(LEN(A69)=6,"0"&amp;A69,A69)</f>
        <v>0157-05</v>
      </c>
      <c r="AE69" s="85" t="str">
        <f>"aws s3 cp "&amp;s3_bucket&amp;"/RTDC"&amp;B69&amp;"/ "&amp;search_path&amp;"\RTDC"&amp;B69&amp;"\"&amp;TEXT(F69,"YYYY-MM-DD")&amp;" --exclude ""*"" --recursive --include ""*"&amp;TEXT(F69,"YYYYMMDD")&amp;"*"" &amp; """&amp;walkandungz&amp;""" "&amp;search_path&amp;"\RTDC"&amp;B69&amp;"\"&amp;TEXT(F69,"YYYY-MM-DD")
&amp;" &amp; "&amp;"aws s3 cp "&amp;s3_bucket&amp;"/RTDC"&amp;B69&amp;"/ "&amp;search_path&amp;"\RTDC"&amp;B69&amp;"\"&amp;TEXT(F69+1,"YYYY-MM-DD")&amp;" --exclude ""*"" --recursive --include ""*"&amp;TEXT(F69+1,"YYYYMMDD")&amp;"*"" &amp; """&amp;walkandungz&amp;""" "&amp;search_path&amp;"\RTDC"&amp;B69&amp;"\"&amp;TEXT(F69+1,"YYYY-MM-DD")</f>
        <v>aws s3 cp s3://rtdc.mdm.uploadarchive.raw/RTDC4040/ "%USERPROFILE%\AppData\Local\Temp\OnboardLogs"\RTDC4040\2017-02-05 --exclude "*" --recursive --include "*20170205*" &amp; "%USERPROFILE%\Documents\GitHub\mrs-test-scripts\Headless Mode &amp; Sideloading\WalkAndUnGZ.bat" "%USERPROFILE%\AppData\Local\Temp\OnboardLogs"\RTDC4040\2017-02-05 &amp; aws s3 cp s3://rtdc.mdm.uploadarchive.raw/RTDC4040/ "%USERPROFILE%\AppData\Local\Temp\OnboardLogs"\RTDC4040\2017-02-06 --exclude "*" --recursive --include "*20170206*" &amp; "%USERPROFILE%\Documents\GitHub\mrs-test-scripts\Headless Mode &amp; Sideloading\WalkAndUnGZ.bat" "%USERPROFILE%\AppData\Local\Temp\OnboardLogs"\RTDC4040\2017-02-06</v>
      </c>
      <c r="AF69" s="82" t="str">
        <f>astrogrep_path&amp;" /spath="&amp;search_path&amp;" /stypes=""app*"&amp;B69&amp;"*"&amp;TEXT(I69-utc_offset/24,"YYYYMMDD")&amp;"*"" /stext="" "&amp;TEXT(I69-utc_offset/24,"HH")&amp;search_regexp&amp;""" /e /r /s"</f>
        <v>"C:\Program Files (x86)\AstroGrep\AstroGrep.exe" /spath="%USERPROFILE%\AppData\Local\Temp\OnboardLogs" /stypes="app*4040*20170205*" /stext=" 18:.+((SYSTEM_STATE.+slice.+state.+changed )|(ment ac)|(multiple cpu faults)|(system.+state.+changed )|(\[timeout)|(PRM\|1\|D)|(kpr)|(kdp)|(\|lc)|(penalty))" /e /r /s</v>
      </c>
      <c r="AG69" s="1" t="str">
        <f>IFERROR(IF(VALUE(LEFT(AD69,2))&lt;=2,"EC",IF(OR(VALUE(LEFT(AD69,2))=8,VALUE(LEFT(AD69,2))=18),"NW","Other")),"Other")</f>
        <v>EC</v>
      </c>
      <c r="AH69" s="86" t="str">
        <f t="shared" si="3"/>
        <v>"%USERPROFILE%\Documents\GitHub\eaglep3\Utilities\RefineRTDCRunTimes.py" --tripid 157-05 --locoid 4040 --swversion DE.1.0.8.0 --startMP 204:447 --initTime 2017-02-05T10:38:35 --startdatetime 2017-02-05T10:45:17 --delay 1 --endMP 204:233342 --enddatetime 2017-02-05T11:23:05 --enforcementcount 0 &gt;&gt;C:\Users\stu\Documents\GitHub\eaglep3-reporting\EC\2017-02-05-refined-times.txt</v>
      </c>
      <c r="AI69" s="108" t="str">
        <f t="shared" si="4"/>
        <v>echo {"issue":{"subject":"","project_id":79,"tracker_id":40,"status_id":1,"priority_id":2,"assigned_to_id":23,"start_date":"2017-02-05","description":"","custom_fields":[{"id":1,"name":"Subdivision","value":"EC"},{"id":4,"name":"Milepost","value":"23.3342"},{"id":17,"name":"Train ID","value":"157-05"},{"id":16,"name":"Locomotive ID","value":"4040"},{"id":130,"name":"Impact","value":""},{"id":150,"name":"Time of Event (Mountain Time)","value":"11:23:05"},{"id":151,"name":"Denver Issue ID","value":""},{"id":178,"name":"Operational Impact","value":"Yes"},{"id":179,"name":"Denver Segment Assigned","value":""}]}} | curl -X POST -H "Content-Type: application/json" -H "X-Redmine-API-Key: d6333d4a04012a730768444271f8ca06482dae87" https://secure.xorail.net/redmine/issues.json --data @-</v>
      </c>
      <c r="AJ69" s="48"/>
      <c r="AK69" s="48"/>
      <c r="AL69" s="48"/>
      <c r="AM69" s="158" t="str">
        <f t="shared" si="5"/>
        <v>start /low /b %USERPROFILE%\Documents\GitHub\eaglep3\Utilities\DownloadLogsFromS3.py --loco 4040 --day 2017-02-05</v>
      </c>
      <c r="AN69" s="167" t="str">
        <f>"grep -SE -B400 ""CHR.+\|PRM\|1\|D.+(SWITCH|SIGNAL).+UNKNOWN"" "&amp;search_path&amp;"\RTDC"&amp;B69&amp;"\*"&amp;B69&amp;"*"&amp;TEXT(AVERAGE(F69,I69)-utc_offset/24,"YYYYMMDD")&amp;"* | grep -SE ""(Enforcement Action)|(\[TIMEOUT)|(CHR.+\|PRM\|1\|D.+(SWITCH|SIGNAL).+UNKNOWN)"" - &gt;&gt; "&amp;TEXT(Variables!$A$2,"YYYY-MM-DD")&amp;"-UncaughtWiMAX.txt"</f>
        <v>grep -SE -B400 "CHR.+\|PRM\|1\|D.+(SWITCH|SIGNAL).+UNKNOWN" "%USERPROFILE%\AppData\Local\Temp\OnboardLogs"\RTDC4040\*4040*20170205* | grep -SE "(Enforcement Action)|(\[TIMEOUT)|(CHR.+\|PRM\|1\|D.+(SWITCH|SIGNAL).+UNKNOWN)" - &gt;&gt; 2017-02-05-UncaughtWiMAX.txt</v>
      </c>
      <c r="AO69"/>
      <c r="AP69"/>
      <c r="AQ69"/>
      <c r="AR69"/>
      <c r="AS69"/>
      <c r="AT69"/>
      <c r="AU69"/>
      <c r="AV69"/>
      <c r="AW69"/>
      <c r="AX69"/>
      <c r="AY69"/>
      <c r="AZ69"/>
      <c r="BA69"/>
      <c r="BB69"/>
      <c r="BC69"/>
      <c r="BD69"/>
      <c r="BE69"/>
      <c r="BF69"/>
      <c r="BG69"/>
      <c r="BH69"/>
      <c r="BI69"/>
      <c r="BJ69"/>
      <c r="BK69"/>
      <c r="BL69"/>
      <c r="BM69"/>
      <c r="BN69"/>
      <c r="BO69"/>
      <c r="BP69"/>
      <c r="BQ69"/>
      <c r="BR69"/>
      <c r="BS69"/>
      <c r="BT69"/>
      <c r="BU69"/>
      <c r="BV69"/>
      <c r="BW69"/>
      <c r="BX69"/>
      <c r="BY69"/>
      <c r="BZ69"/>
      <c r="CA69"/>
      <c r="CB69"/>
      <c r="CC69"/>
      <c r="CD69"/>
      <c r="CE69"/>
      <c r="CF69"/>
      <c r="CG69"/>
      <c r="CH69"/>
      <c r="CI69"/>
      <c r="CJ69"/>
      <c r="CK69"/>
      <c r="CL69"/>
      <c r="CM69"/>
    </row>
    <row r="70" spans="1:91" s="1" customFormat="1" x14ac:dyDescent="0.25">
      <c r="A70" s="33" t="s">
        <v>619</v>
      </c>
      <c r="B70" s="7">
        <v>4039</v>
      </c>
      <c r="C70" s="21" t="s">
        <v>193</v>
      </c>
      <c r="D70" s="21" t="s">
        <v>762</v>
      </c>
      <c r="E70" s="13">
        <v>42771.475937499999</v>
      </c>
      <c r="F70" s="13">
        <v>42771.487002314818</v>
      </c>
      <c r="G70" s="7">
        <v>1</v>
      </c>
      <c r="H70" s="21" t="s">
        <v>307</v>
      </c>
      <c r="I70" s="13">
        <v>42771.515092592592</v>
      </c>
      <c r="J70" s="7">
        <v>0</v>
      </c>
      <c r="K70" s="98" t="str">
        <f>IF(ISEVEN(B70),(B70-1)&amp;"/"&amp;B70,B70&amp;"/"&amp;(B70+1))</f>
        <v>4039/4040</v>
      </c>
      <c r="L70" s="21" t="str">
        <f>VLOOKUP(A70,'Trips&amp;Operators'!$C$1:$G$99999,5,FALSE)</f>
        <v>SHOOK JOHN</v>
      </c>
      <c r="M70" s="6">
        <f>I70-F70</f>
        <v>2.8090277774026617E-2</v>
      </c>
      <c r="N70" s="7">
        <f>24*60*SUM($M70:$M70)</f>
        <v>40.449999994598329</v>
      </c>
      <c r="O70" s="7"/>
      <c r="P70" s="7"/>
      <c r="Q70" s="22"/>
      <c r="R70" s="22"/>
      <c r="S70" s="31">
        <f>SUM(U70:U70)/IF(AG70="EC",12,1)</f>
        <v>1</v>
      </c>
      <c r="T70" s="46" t="str">
        <f>IF(ISEVEN(LEFT(AD70,4)),"Southbound","NorthBound")</f>
        <v>Southbound</v>
      </c>
      <c r="U70" s="190">
        <f>IF(AG70="EC",COUNTIFS(Variables!$M$2:$M$19,IF(T70="NorthBound","&gt;=","&lt;=")&amp;Y70,Variables!$M$2:$M$19,IF(T70="NorthBound","&lt;=","&gt;=")&amp;Z70),COUNTIFS(Variables!$P$2:$P$19,IF(T70="NorthBound","&gt;=","&lt;=")&amp;Y70,Variables!$P$2:$P$19,IF(T70="NorthBound","&lt;=","&gt;=")&amp;Z70))</f>
        <v>12</v>
      </c>
      <c r="V70" s="191" t="str">
        <f>"https://d0f6bd738d7f1b3e5a7ca70fe4ff75f0.us-east-1.aws.found.io/app/kibana#/discover/Steve-Slow-Train-Analysis-(2080s-and-2083s)?_g="&amp;"(refreshInterval:(display:Off,pause:!f,section:0,value:0),time:(from:'"&amp;TEXT(E70-1/24,"yyyy-MM-DDThh:mm:ss")&amp;utc_offset&amp;"00"&amp;"',mode:absolute,to:'"&amp;TEXT(I70+1/24,"yyyy-MM-DDThh:mm:ss")&amp;utc_offset&amp;"00"&amp;"'))&amp;_a=(columns:!('Locomotive+ID','Data.Head+End+Milepost',Data.Speed,'Data.Locomotive+State','Data.Train+ID',"&amp;"'Data.Warning%2FEnforcement+Type','Data.Target+Start+Milepost','Data.Target+Description','Data.Target+Speed',"&amp;"'Data.Enforcement+Train+Speed','Data.Enforcement+Start+Milepost','Data.Target+Type','Data.Enforcement+Direction+of+Travel','Message+ID',"&amp;"'Data.Body+of+Summary+Text','Data.Head+End+Track+name'),filters:!(),index:'emp_*',interval:auto,query:"&amp;"(query_string:(analyze_wildcard:!t,query:'Message%5C+ID:(2083+OR+2080+OR+1041+OR+2003+OR+1051+OR+1043+OR+1053)+AND+%22rtdc.l.rtdc."&amp;B70&amp;"%22')),sort:!(Time.ISO8601,asc))"</f>
        <v>https://d0f6bd738d7f1b3e5a7ca70fe4ff75f0.us-east-1.aws.found.io/app/kibana#/discover/Steve-Slow-Train-Analysis-(2080s-and-2083s)?_g=(refreshInterval:(display:Off,pause:!f,section:0,value:0),time:(from:'2017-02-05T10:25:21-0700',mode:absolute,to:'2017-02-05T13:21:44-0700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4039%22')),sort:!(Time.ISO8601,asc))</v>
      </c>
      <c r="W70" s="192" t="str">
        <f>IF(AA70&lt;IF(AG70="EC",23,5.65),"Y","N")</f>
        <v>N</v>
      </c>
      <c r="X70" s="192">
        <f>VALUE(LEFT(AD70,4))-VALUE(LEFT(AD69,4))</f>
        <v>1</v>
      </c>
      <c r="Y70" s="62">
        <f>RIGHT(D70,LEN(D70)-4)/10000</f>
        <v>23.301300000000001</v>
      </c>
      <c r="Z70" s="62">
        <f>RIGHT(H70,LEN(H70)-4)/10000</f>
        <v>1.3899999999999999E-2</v>
      </c>
      <c r="AA70" s="62">
        <f>ABS(Z70-Y70)</f>
        <v>23.287400000000002</v>
      </c>
      <c r="AB70" s="59" t="e">
        <f>VLOOKUP(A70,Enforcements!$C$7:$K$16,8,0)</f>
        <v>#N/A</v>
      </c>
      <c r="AC70" s="55" t="e">
        <f>VLOOKUP(A70,Enforcements!$C$7:$E$16,3,0)</f>
        <v>#N/A</v>
      </c>
      <c r="AD70" s="56" t="str">
        <f>IF(LEN(A70)=6,"0"&amp;A70,A70)</f>
        <v>0158-05</v>
      </c>
      <c r="AE70" s="85" t="str">
        <f>"aws s3 cp "&amp;s3_bucket&amp;"/RTDC"&amp;B70&amp;"/ "&amp;search_path&amp;"\RTDC"&amp;B70&amp;"\"&amp;TEXT(F70,"YYYY-MM-DD")&amp;" --exclude ""*"" --recursive --include ""*"&amp;TEXT(F70,"YYYYMMDD")&amp;"*"" &amp; """&amp;walkandungz&amp;""" "&amp;search_path&amp;"\RTDC"&amp;B70&amp;"\"&amp;TEXT(F70,"YYYY-MM-DD")
&amp;" &amp; "&amp;"aws s3 cp "&amp;s3_bucket&amp;"/RTDC"&amp;B70&amp;"/ "&amp;search_path&amp;"\RTDC"&amp;B70&amp;"\"&amp;TEXT(F70+1,"YYYY-MM-DD")&amp;" --exclude ""*"" --recursive --include ""*"&amp;TEXT(F70+1,"YYYYMMDD")&amp;"*"" &amp; """&amp;walkandungz&amp;""" "&amp;search_path&amp;"\RTDC"&amp;B70&amp;"\"&amp;TEXT(F70+1,"YYYY-MM-DD")</f>
        <v>aws s3 cp s3://rtdc.mdm.uploadarchive.raw/RTDC4039/ "%USERPROFILE%\AppData\Local\Temp\OnboardLogs"\RTDC4039\2017-02-05 --exclude "*" --recursive --include "*20170205*" &amp; "%USERPROFILE%\Documents\GitHub\mrs-test-scripts\Headless Mode &amp; Sideloading\WalkAndUnGZ.bat" "%USERPROFILE%\AppData\Local\Temp\OnboardLogs"\RTDC4039\2017-02-05 &amp; aws s3 cp s3://rtdc.mdm.uploadarchive.raw/RTDC4039/ "%USERPROFILE%\AppData\Local\Temp\OnboardLogs"\RTDC4039\2017-02-06 --exclude "*" --recursive --include "*20170206*" &amp; "%USERPROFILE%\Documents\GitHub\mrs-test-scripts\Headless Mode &amp; Sideloading\WalkAndUnGZ.bat" "%USERPROFILE%\AppData\Local\Temp\OnboardLogs"\RTDC4039\2017-02-06</v>
      </c>
      <c r="AF70" s="82" t="str">
        <f>astrogrep_path&amp;" /spath="&amp;search_path&amp;" /stypes=""app*"&amp;B70&amp;"*"&amp;TEXT(I70-utc_offset/24,"YYYYMMDD")&amp;"*"" /stext="" "&amp;TEXT(I70-utc_offset/24,"HH")&amp;search_regexp&amp;""" /e /r /s"</f>
        <v>"C:\Program Files (x86)\AstroGrep\AstroGrep.exe" /spath="%USERPROFILE%\AppData\Local\Temp\OnboardLogs" /stypes="app*4039*20170205*" /stext=" 19:.+((SYSTEM_STATE.+slice.+state.+changed )|(ment ac)|(multiple cpu faults)|(system.+state.+changed )|(\[timeout)|(PRM\|1\|D)|(kpr)|(kdp)|(\|lc)|(penalty))" /e /r /s</v>
      </c>
      <c r="AG70" s="1" t="str">
        <f>IFERROR(IF(VALUE(LEFT(AD70,2))&lt;=2,"EC",IF(OR(VALUE(LEFT(AD70,2))=8,VALUE(LEFT(AD70,2))=18),"NW","Other")),"Other")</f>
        <v>EC</v>
      </c>
      <c r="AH70" s="86" t="str">
        <f t="shared" si="3"/>
        <v>"%USERPROFILE%\Documents\GitHub\eaglep3\Utilities\RefineRTDCRunTimes.py" --tripid 158-05 --locoid 4039 --swversion DE.1.0.8.0 --startMP 204:233013 --initTime 2017-02-05T11:25:21 --startdatetime 2017-02-05T11:41:17 --delay 1 --endMP 204:139 --enddatetime 2017-02-05T12:21:44 --enforcementcount 0 &gt;&gt;C:\Users\stu\Documents\GitHub\eaglep3-reporting\EC\2017-02-05-refined-times.txt</v>
      </c>
      <c r="AI70" s="108" t="str">
        <f t="shared" si="4"/>
        <v>echo {"issue":{"subject":"","project_id":79,"tracker_id":40,"status_id":1,"priority_id":2,"assigned_to_id":23,"start_date":"2017-02-05","description":"","custom_fields":[{"id":1,"name":"Subdivision","value":"EC"},{"id":4,"name":"Milepost","value":"0.0139"},{"id":17,"name":"Train ID","value":"158-05"},{"id":16,"name":"Locomotive ID","value":"4039"},{"id":130,"name":"Impact","value":""},{"id":150,"name":"Time of Event (Mountain Time)","value":"12:21:44"},{"id":151,"name":"Denver Issue ID","value":""},{"id":178,"name":"Operational Impact","value":"Yes"},{"id":179,"name":"Denver Segment Assigned","value":""}]}} | curl -X POST -H "Content-Type: application/json" -H "X-Redmine-API-Key: d6333d4a04012a730768444271f8ca06482dae87" https://secure.xorail.net/redmine/issues.json --data @-</v>
      </c>
      <c r="AJ70" s="48"/>
      <c r="AK70" s="48"/>
      <c r="AL70" s="48"/>
      <c r="AM70" s="158" t="str">
        <f t="shared" si="5"/>
        <v>start /low /b %USERPROFILE%\Documents\GitHub\eaglep3\Utilities\DownloadLogsFromS3.py --loco 4039 --day 2017-02-05</v>
      </c>
      <c r="AN70" s="167" t="str">
        <f>"grep -SE -B400 ""CHR.+\|PRM\|1\|D.+(SWITCH|SIGNAL).+UNKNOWN"" "&amp;search_path&amp;"\RTDC"&amp;B70&amp;"\*"&amp;B70&amp;"*"&amp;TEXT(AVERAGE(F70,I70)-utc_offset/24,"YYYYMMDD")&amp;"* | grep -SE ""(Enforcement Action)|(\[TIMEOUT)|(CHR.+\|PRM\|1\|D.+(SWITCH|SIGNAL).+UNKNOWN)"" - &gt;&gt; "&amp;TEXT(Variables!$A$2,"YYYY-MM-DD")&amp;"-UncaughtWiMAX.txt"</f>
        <v>grep -SE -B400 "CHR.+\|PRM\|1\|D.+(SWITCH|SIGNAL).+UNKNOWN" "%USERPROFILE%\AppData\Local\Temp\OnboardLogs"\RTDC4039\*4039*20170205* | grep -SE "(Enforcement Action)|(\[TIMEOUT)|(CHR.+\|PRM\|1\|D.+(SWITCH|SIGNAL).+UNKNOWN)" - &gt;&gt; 2017-02-05-UncaughtWiMAX.txt</v>
      </c>
      <c r="AO70"/>
      <c r="AP70"/>
      <c r="AQ70"/>
      <c r="AR70"/>
      <c r="AS70"/>
      <c r="AT70"/>
      <c r="AU70"/>
      <c r="AV70"/>
      <c r="AW70"/>
      <c r="AX70"/>
      <c r="AY70"/>
      <c r="AZ70"/>
      <c r="BA70"/>
      <c r="BB70"/>
      <c r="BC70"/>
      <c r="BD70"/>
      <c r="BE70"/>
      <c r="BF70"/>
      <c r="BG70"/>
      <c r="BH70"/>
      <c r="BI70"/>
      <c r="BJ70"/>
      <c r="BK70"/>
      <c r="BL70"/>
      <c r="BM70"/>
      <c r="BN70"/>
      <c r="BO70"/>
      <c r="BP70"/>
      <c r="BQ70"/>
      <c r="BR70"/>
      <c r="BS70"/>
      <c r="BT70"/>
      <c r="BU70"/>
      <c r="BV70"/>
      <c r="BW70"/>
      <c r="BX70"/>
      <c r="BY70"/>
      <c r="BZ70"/>
      <c r="CA70"/>
      <c r="CB70"/>
      <c r="CC70"/>
      <c r="CD70"/>
      <c r="CE70"/>
      <c r="CF70"/>
      <c r="CG70"/>
      <c r="CH70"/>
      <c r="CI70"/>
      <c r="CJ70"/>
      <c r="CK70"/>
      <c r="CL70"/>
      <c r="CM70"/>
    </row>
    <row r="71" spans="1:91" s="1" customFormat="1" x14ac:dyDescent="0.25">
      <c r="A71" s="33" t="s">
        <v>610</v>
      </c>
      <c r="B71" s="7">
        <v>4025</v>
      </c>
      <c r="C71" s="21" t="s">
        <v>193</v>
      </c>
      <c r="D71" s="21" t="s">
        <v>410</v>
      </c>
      <c r="E71" s="13">
        <v>42771.453113425923</v>
      </c>
      <c r="F71" s="13">
        <v>42771.45857638889</v>
      </c>
      <c r="G71" s="7">
        <v>2</v>
      </c>
      <c r="H71" s="21" t="s">
        <v>748</v>
      </c>
      <c r="I71" s="13">
        <v>42771.483958333331</v>
      </c>
      <c r="J71" s="7">
        <v>0</v>
      </c>
      <c r="K71" s="98" t="str">
        <f>IF(ISEVEN(B71),(B71-1)&amp;"/"&amp;B71,B71&amp;"/"&amp;(B71+1))</f>
        <v>4025/4026</v>
      </c>
      <c r="L71" s="21" t="str">
        <f>VLOOKUP(A71,'Trips&amp;Operators'!$C$1:$G$99999,5,FALSE)</f>
        <v>STEWART MICHAEL</v>
      </c>
      <c r="M71" s="6">
        <f>I71-F71</f>
        <v>2.5381944440596271E-2</v>
      </c>
      <c r="N71" s="7">
        <f>24*60*SUM($M71:$M71)</f>
        <v>36.549999994458631</v>
      </c>
      <c r="O71" s="7"/>
      <c r="P71" s="7"/>
      <c r="Q71" s="22"/>
      <c r="R71" s="22"/>
      <c r="S71" s="31">
        <f>SUM(U71:U71)/IF(AG71="EC",12,1)</f>
        <v>1</v>
      </c>
      <c r="T71" s="46" t="str">
        <f>IF(ISEVEN(LEFT(AD71,4)),"Southbound","NorthBound")</f>
        <v>NorthBound</v>
      </c>
      <c r="U71" s="190">
        <f>IF(AG71="EC",COUNTIFS(Variables!$M$2:$M$19,IF(T71="NorthBound","&gt;=","&lt;=")&amp;Y71,Variables!$M$2:$M$19,IF(T71="NorthBound","&lt;=","&gt;=")&amp;Z71),COUNTIFS(Variables!$P$2:$P$19,IF(T71="NorthBound","&gt;=","&lt;=")&amp;Y71,Variables!$P$2:$P$19,IF(T71="NorthBound","&lt;=","&gt;=")&amp;Z71))</f>
        <v>12</v>
      </c>
      <c r="V71" s="191" t="str">
        <f>"https://d0f6bd738d7f1b3e5a7ca70fe4ff75f0.us-east-1.aws.found.io/app/kibana#/discover/Steve-Slow-Train-Analysis-(2080s-and-2083s)?_g="&amp;"(refreshInterval:(display:Off,pause:!f,section:0,value:0),time:(from:'"&amp;TEXT(E71-1/24,"yyyy-MM-DDThh:mm:ss")&amp;utc_offset&amp;"00"&amp;"',mode:absolute,to:'"&amp;TEXT(I71+1/24,"yyyy-MM-DDThh:mm:ss")&amp;utc_offset&amp;"00"&amp;"'))&amp;_a=(columns:!('Locomotive+ID','Data.Head+End+Milepost',Data.Speed,'Data.Locomotive+State','Data.Train+ID',"&amp;"'Data.Warning%2FEnforcement+Type','Data.Target+Start+Milepost','Data.Target+Description','Data.Target+Speed',"&amp;"'Data.Enforcement+Train+Speed','Data.Enforcement+Start+Milepost','Data.Target+Type','Data.Enforcement+Direction+of+Travel','Message+ID',"&amp;"'Data.Body+of+Summary+Text','Data.Head+End+Track+name'),filters:!(),index:'emp_*',interval:auto,query:"&amp;"(query_string:(analyze_wildcard:!t,query:'Message%5C+ID:(2083+OR+2080+OR+1041+OR+2003+OR+1051+OR+1043+OR+1053)+AND+%22rtdc.l.rtdc."&amp;B71&amp;"%22')),sort:!(Time.ISO8601,asc))"</f>
        <v>https://d0f6bd738d7f1b3e5a7ca70fe4ff75f0.us-east-1.aws.found.io/app/kibana#/discover/Steve-Slow-Train-Analysis-(2080s-and-2083s)?_g=(refreshInterval:(display:Off,pause:!f,section:0,value:0),time:(from:'2017-02-05T09:52:29-0700',mode:absolute,to:'2017-02-05T12:36:54-0700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4025%22')),sort:!(Time.ISO8601,asc))</v>
      </c>
      <c r="W71" s="192" t="str">
        <f>IF(AA71&lt;IF(AG71="EC",23,5.65),"Y","N")</f>
        <v>N</v>
      </c>
      <c r="X71" s="192">
        <f>VALUE(LEFT(AD71,4))-VALUE(LEFT(AD70,4))</f>
        <v>1</v>
      </c>
      <c r="Y71" s="62">
        <f>RIGHT(D71,LEN(D71)-4)/10000</f>
        <v>4.3499999999999997E-2</v>
      </c>
      <c r="Z71" s="62">
        <f>RIGHT(H71,LEN(H71)-4)/10000</f>
        <v>23.329699999999999</v>
      </c>
      <c r="AA71" s="62">
        <f>ABS(Z71-Y71)</f>
        <v>23.286199999999997</v>
      </c>
      <c r="AB71" s="59" t="e">
        <f>VLOOKUP(A71,Enforcements!$C$7:$K$16,8,0)</f>
        <v>#N/A</v>
      </c>
      <c r="AC71" s="55" t="e">
        <f>VLOOKUP(A71,Enforcements!$C$7:$E$16,3,0)</f>
        <v>#N/A</v>
      </c>
      <c r="AD71" s="56" t="str">
        <f>IF(LEN(A71)=6,"0"&amp;A71,A71)</f>
        <v>0159-05</v>
      </c>
      <c r="AE71" s="85" t="str">
        <f>"aws s3 cp "&amp;s3_bucket&amp;"/RTDC"&amp;B71&amp;"/ "&amp;search_path&amp;"\RTDC"&amp;B71&amp;"\"&amp;TEXT(F71,"YYYY-MM-DD")&amp;" --exclude ""*"" --recursive --include ""*"&amp;TEXT(F71,"YYYYMMDD")&amp;"*"" &amp; """&amp;walkandungz&amp;""" "&amp;search_path&amp;"\RTDC"&amp;B71&amp;"\"&amp;TEXT(F71,"YYYY-MM-DD")
&amp;" &amp; "&amp;"aws s3 cp "&amp;s3_bucket&amp;"/RTDC"&amp;B71&amp;"/ "&amp;search_path&amp;"\RTDC"&amp;B71&amp;"\"&amp;TEXT(F71+1,"YYYY-MM-DD")&amp;" --exclude ""*"" --recursive --include ""*"&amp;TEXT(F71+1,"YYYYMMDD")&amp;"*"" &amp; """&amp;walkandungz&amp;""" "&amp;search_path&amp;"\RTDC"&amp;B71&amp;"\"&amp;TEXT(F71+1,"YYYY-MM-DD")</f>
        <v>aws s3 cp s3://rtdc.mdm.uploadarchive.raw/RTDC4025/ "%USERPROFILE%\AppData\Local\Temp\OnboardLogs"\RTDC4025\2017-02-05 --exclude "*" --recursive --include "*20170205*" &amp; "%USERPROFILE%\Documents\GitHub\mrs-test-scripts\Headless Mode &amp; Sideloading\WalkAndUnGZ.bat" "%USERPROFILE%\AppData\Local\Temp\OnboardLogs"\RTDC4025\2017-02-05 &amp; aws s3 cp s3://rtdc.mdm.uploadarchive.raw/RTDC4025/ "%USERPROFILE%\AppData\Local\Temp\OnboardLogs"\RTDC4025\2017-02-06 --exclude "*" --recursive --include "*20170206*" &amp; "%USERPROFILE%\Documents\GitHub\mrs-test-scripts\Headless Mode &amp; Sideloading\WalkAndUnGZ.bat" "%USERPROFILE%\AppData\Local\Temp\OnboardLogs"\RTDC4025\2017-02-06</v>
      </c>
      <c r="AF71" s="82" t="str">
        <f>astrogrep_path&amp;" /spath="&amp;search_path&amp;" /stypes=""app*"&amp;B71&amp;"*"&amp;TEXT(I71-utc_offset/24,"YYYYMMDD")&amp;"*"" /stext="" "&amp;TEXT(I71-utc_offset/24,"HH")&amp;search_regexp&amp;""" /e /r /s"</f>
        <v>"C:\Program Files (x86)\AstroGrep\AstroGrep.exe" /spath="%USERPROFILE%\AppData\Local\Temp\OnboardLogs" /stypes="app*4025*20170205*" /stext=" 18:.+((SYSTEM_STATE.+slice.+state.+changed )|(ment ac)|(multiple cpu faults)|(system.+state.+changed )|(\[timeout)|(PRM\|1\|D)|(kpr)|(kdp)|(\|lc)|(penalty))" /e /r /s</v>
      </c>
      <c r="AG71" s="1" t="str">
        <f>IFERROR(IF(VALUE(LEFT(AD71,2))&lt;=2,"EC",IF(OR(VALUE(LEFT(AD71,2))=8,VALUE(LEFT(AD71,2))=18),"NW","Other")),"Other")</f>
        <v>EC</v>
      </c>
      <c r="AH71" s="86" t="str">
        <f t="shared" si="3"/>
        <v>"%USERPROFILE%\Documents\GitHub\eaglep3\Utilities\RefineRTDCRunTimes.py" --tripid 159-05 --locoid 4025 --swversion DE.1.0.8.0 --startMP 204:435 --initTime 2017-02-05T10:52:29 --startdatetime 2017-02-05T11:00:21 --delay 2 --endMP 204:233297 --enddatetime 2017-02-05T11:36:54 --enforcementcount 0 &gt;&gt;C:\Users\stu\Documents\GitHub\eaglep3-reporting\EC\2017-02-05-refined-times.txt</v>
      </c>
      <c r="AI71" s="108" t="str">
        <f t="shared" si="4"/>
        <v>echo {"issue":{"subject":"","project_id":79,"tracker_id":40,"status_id":1,"priority_id":2,"assigned_to_id":23,"start_date":"2017-02-05","description":"","custom_fields":[{"id":1,"name":"Subdivision","value":"EC"},{"id":4,"name":"Milepost","value":"23.3297"},{"id":17,"name":"Train ID","value":"159-05"},{"id":16,"name":"Locomotive ID","value":"4025"},{"id":130,"name":"Impact","value":""},{"id":150,"name":"Time of Event (Mountain Time)","value":"11:36:54"},{"id":151,"name":"Denver Issue ID","value":""},{"id":178,"name":"Operational Impact","value":"Yes"},{"id":179,"name":"Denver Segment Assigned","value":""}]}} | curl -X POST -H "Content-Type: application/json" -H "X-Redmine-API-Key: d6333d4a04012a730768444271f8ca06482dae87" https://secure.xorail.net/redmine/issues.json --data @-</v>
      </c>
      <c r="AJ71" s="48"/>
      <c r="AK71" s="48"/>
      <c r="AL71" s="48"/>
      <c r="AM71" s="158" t="str">
        <f t="shared" si="5"/>
        <v>start /low /b %USERPROFILE%\Documents\GitHub\eaglep3\Utilities\DownloadLogsFromS3.py --loco 4025 --day 2017-02-05</v>
      </c>
      <c r="AN71" s="167" t="str">
        <f>"grep -SE -B400 ""CHR.+\|PRM\|1\|D.+(SWITCH|SIGNAL).+UNKNOWN"" "&amp;search_path&amp;"\RTDC"&amp;B71&amp;"\*"&amp;B71&amp;"*"&amp;TEXT(AVERAGE(F71,I71)-utc_offset/24,"YYYYMMDD")&amp;"* | grep -SE ""(Enforcement Action)|(\[TIMEOUT)|(CHR.+\|PRM\|1\|D.+(SWITCH|SIGNAL).+UNKNOWN)"" - &gt;&gt; "&amp;TEXT(Variables!$A$2,"YYYY-MM-DD")&amp;"-UncaughtWiMAX.txt"</f>
        <v>grep -SE -B400 "CHR.+\|PRM\|1\|D.+(SWITCH|SIGNAL).+UNKNOWN" "%USERPROFILE%\AppData\Local\Temp\OnboardLogs"\RTDC4025\*4025*20170205* | grep -SE "(Enforcement Action)|(\[TIMEOUT)|(CHR.+\|PRM\|1\|D.+(SWITCH|SIGNAL).+UNKNOWN)" - &gt;&gt; 2017-02-05-UncaughtWiMAX.txt</v>
      </c>
      <c r="AO71"/>
      <c r="AP71"/>
      <c r="AQ71"/>
      <c r="AR71"/>
      <c r="AS71"/>
      <c r="AT71"/>
      <c r="AU71"/>
      <c r="AV71"/>
      <c r="AW71"/>
      <c r="AX71"/>
      <c r="AY71"/>
      <c r="AZ71"/>
      <c r="BA71"/>
      <c r="BB71"/>
      <c r="BC71"/>
      <c r="BD71"/>
      <c r="BE71"/>
      <c r="BF71"/>
      <c r="BG71"/>
      <c r="BH71"/>
      <c r="BI71"/>
      <c r="BJ71"/>
      <c r="BK71"/>
      <c r="BL71"/>
      <c r="BM71"/>
      <c r="BN71"/>
      <c r="BO71"/>
      <c r="BP71"/>
      <c r="BQ71"/>
      <c r="BR71"/>
      <c r="BS71"/>
      <c r="BT71"/>
      <c r="BU71"/>
      <c r="BV71"/>
      <c r="BW71"/>
      <c r="BX71"/>
      <c r="BY71"/>
      <c r="BZ71"/>
      <c r="CA71"/>
      <c r="CB71"/>
      <c r="CC71"/>
      <c r="CD71"/>
      <c r="CE71"/>
      <c r="CF71"/>
      <c r="CG71"/>
      <c r="CH71"/>
      <c r="CI71"/>
      <c r="CJ71"/>
      <c r="CK71"/>
      <c r="CL71"/>
      <c r="CM71"/>
    </row>
    <row r="72" spans="1:91" s="1" customFormat="1" x14ac:dyDescent="0.25">
      <c r="A72" s="33" t="s">
        <v>623</v>
      </c>
      <c r="B72" s="7">
        <v>4026</v>
      </c>
      <c r="C72" s="21" t="s">
        <v>193</v>
      </c>
      <c r="D72" s="21" t="s">
        <v>412</v>
      </c>
      <c r="E72" s="13">
        <v>42771.492743055554</v>
      </c>
      <c r="F72" s="13">
        <v>42771.497581018521</v>
      </c>
      <c r="G72" s="7">
        <v>1</v>
      </c>
      <c r="H72" s="21" t="s">
        <v>403</v>
      </c>
      <c r="I72" s="13">
        <v>42771.523993055554</v>
      </c>
      <c r="J72" s="7">
        <v>0</v>
      </c>
      <c r="K72" s="98" t="str">
        <f>IF(ISEVEN(B72),(B72-1)&amp;"/"&amp;B72,B72&amp;"/"&amp;(B72+1))</f>
        <v>4025/4026</v>
      </c>
      <c r="L72" s="21" t="str">
        <f>VLOOKUP(A72,'Trips&amp;Operators'!$C$1:$G$99999,5,FALSE)</f>
        <v>STEWART MICHAEL</v>
      </c>
      <c r="M72" s="6">
        <f>I72-F72</f>
        <v>2.6412037033878732E-2</v>
      </c>
      <c r="N72" s="7">
        <f>24*60*SUM($M72:$M72)</f>
        <v>38.033333328785375</v>
      </c>
      <c r="O72" s="7"/>
      <c r="P72" s="7"/>
      <c r="Q72" s="22"/>
      <c r="R72" s="22"/>
      <c r="S72" s="31">
        <f>SUM(U72:U72)/IF(AG72="EC",12,1)</f>
        <v>1</v>
      </c>
      <c r="T72" s="46" t="str">
        <f>IF(ISEVEN(LEFT(AD72,4)),"Southbound","NorthBound")</f>
        <v>Southbound</v>
      </c>
      <c r="U72" s="190">
        <f>IF(AG72="EC",COUNTIFS(Variables!$M$2:$M$19,IF(T72="NorthBound","&gt;=","&lt;=")&amp;Y72,Variables!$M$2:$M$19,IF(T72="NorthBound","&lt;=","&gt;=")&amp;Z72),COUNTIFS(Variables!$P$2:$P$19,IF(T72="NorthBound","&gt;=","&lt;=")&amp;Y72,Variables!$P$2:$P$19,IF(T72="NorthBound","&lt;=","&gt;=")&amp;Z72))</f>
        <v>12</v>
      </c>
      <c r="V72" s="191" t="str">
        <f>"https://d0f6bd738d7f1b3e5a7ca70fe4ff75f0.us-east-1.aws.found.io/app/kibana#/discover/Steve-Slow-Train-Analysis-(2080s-and-2083s)?_g="&amp;"(refreshInterval:(display:Off,pause:!f,section:0,value:0),time:(from:'"&amp;TEXT(E72-1/24,"yyyy-MM-DDThh:mm:ss")&amp;utc_offset&amp;"00"&amp;"',mode:absolute,to:'"&amp;TEXT(I72+1/24,"yyyy-MM-DDThh:mm:ss")&amp;utc_offset&amp;"00"&amp;"'))&amp;_a=(columns:!('Locomotive+ID','Data.Head+End+Milepost',Data.Speed,'Data.Locomotive+State','Data.Train+ID',"&amp;"'Data.Warning%2FEnforcement+Type','Data.Target+Start+Milepost','Data.Target+Description','Data.Target+Speed',"&amp;"'Data.Enforcement+Train+Speed','Data.Enforcement+Start+Milepost','Data.Target+Type','Data.Enforcement+Direction+of+Travel','Message+ID',"&amp;"'Data.Body+of+Summary+Text','Data.Head+End+Track+name'),filters:!(),index:'emp_*',interval:auto,query:"&amp;"(query_string:(analyze_wildcard:!t,query:'Message%5C+ID:(2083+OR+2080+OR+1041+OR+2003+OR+1051+OR+1043+OR+1053)+AND+%22rtdc.l.rtdc."&amp;B72&amp;"%22')),sort:!(Time.ISO8601,asc))"</f>
        <v>https://d0f6bd738d7f1b3e5a7ca70fe4ff75f0.us-east-1.aws.found.io/app/kibana#/discover/Steve-Slow-Train-Analysis-(2080s-and-2083s)?_g=(refreshInterval:(display:Off,pause:!f,section:0,value:0),time:(from:'2017-02-05T10:49:33-0700',mode:absolute,to:'2017-02-05T13:34:33-0700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4026%22')),sort:!(Time.ISO8601,asc))</v>
      </c>
      <c r="W72" s="192" t="str">
        <f>IF(AA72&lt;IF(AG72="EC",23,5.65),"Y","N")</f>
        <v>N</v>
      </c>
      <c r="X72" s="192">
        <f>VALUE(LEFT(AD72,4))-VALUE(LEFT(AD71,4))</f>
        <v>1</v>
      </c>
      <c r="Y72" s="62">
        <f>RIGHT(D72,LEN(D72)-4)/10000</f>
        <v>23.2971</v>
      </c>
      <c r="Z72" s="62">
        <f>RIGHT(H72,LEN(H72)-4)/10000</f>
        <v>1.6500000000000001E-2</v>
      </c>
      <c r="AA72" s="62">
        <f>ABS(Z72-Y72)</f>
        <v>23.2806</v>
      </c>
      <c r="AB72" s="59" t="e">
        <f>VLOOKUP(A72,Enforcements!$C$7:$K$16,8,0)</f>
        <v>#N/A</v>
      </c>
      <c r="AC72" s="55" t="e">
        <f>VLOOKUP(A72,Enforcements!$C$7:$E$16,3,0)</f>
        <v>#N/A</v>
      </c>
      <c r="AD72" s="56" t="str">
        <f>IF(LEN(A72)=6,"0"&amp;A72,A72)</f>
        <v>0160-05</v>
      </c>
      <c r="AE72" s="85" t="str">
        <f>"aws s3 cp "&amp;s3_bucket&amp;"/RTDC"&amp;B72&amp;"/ "&amp;search_path&amp;"\RTDC"&amp;B72&amp;"\"&amp;TEXT(F72,"YYYY-MM-DD")&amp;" --exclude ""*"" --recursive --include ""*"&amp;TEXT(F72,"YYYYMMDD")&amp;"*"" &amp; """&amp;walkandungz&amp;""" "&amp;search_path&amp;"\RTDC"&amp;B72&amp;"\"&amp;TEXT(F72,"YYYY-MM-DD")
&amp;" &amp; "&amp;"aws s3 cp "&amp;s3_bucket&amp;"/RTDC"&amp;B72&amp;"/ "&amp;search_path&amp;"\RTDC"&amp;B72&amp;"\"&amp;TEXT(F72+1,"YYYY-MM-DD")&amp;" --exclude ""*"" --recursive --include ""*"&amp;TEXT(F72+1,"YYYYMMDD")&amp;"*"" &amp; """&amp;walkandungz&amp;""" "&amp;search_path&amp;"\RTDC"&amp;B72&amp;"\"&amp;TEXT(F72+1,"YYYY-MM-DD")</f>
        <v>aws s3 cp s3://rtdc.mdm.uploadarchive.raw/RTDC4026/ "%USERPROFILE%\AppData\Local\Temp\OnboardLogs"\RTDC4026\2017-02-05 --exclude "*" --recursive --include "*20170205*" &amp; "%USERPROFILE%\Documents\GitHub\mrs-test-scripts\Headless Mode &amp; Sideloading\WalkAndUnGZ.bat" "%USERPROFILE%\AppData\Local\Temp\OnboardLogs"\RTDC4026\2017-02-05 &amp; aws s3 cp s3://rtdc.mdm.uploadarchive.raw/RTDC4026/ "%USERPROFILE%\AppData\Local\Temp\OnboardLogs"\RTDC4026\2017-02-06 --exclude "*" --recursive --include "*20170206*" &amp; "%USERPROFILE%\Documents\GitHub\mrs-test-scripts\Headless Mode &amp; Sideloading\WalkAndUnGZ.bat" "%USERPROFILE%\AppData\Local\Temp\OnboardLogs"\RTDC4026\2017-02-06</v>
      </c>
      <c r="AF72" s="82" t="str">
        <f>astrogrep_path&amp;" /spath="&amp;search_path&amp;" /stypes=""app*"&amp;B72&amp;"*"&amp;TEXT(I72-utc_offset/24,"YYYYMMDD")&amp;"*"" /stext="" "&amp;TEXT(I72-utc_offset/24,"HH")&amp;search_regexp&amp;""" /e /r /s"</f>
        <v>"C:\Program Files (x86)\AstroGrep\AstroGrep.exe" /spath="%USERPROFILE%\AppData\Local\Temp\OnboardLogs" /stypes="app*4026*20170205*" /stext=" 19:.+((SYSTEM_STATE.+slice.+state.+changed )|(ment ac)|(multiple cpu faults)|(system.+state.+changed )|(\[timeout)|(PRM\|1\|D)|(kpr)|(kdp)|(\|lc)|(penalty))" /e /r /s</v>
      </c>
      <c r="AG72" s="1" t="str">
        <f>IFERROR(IF(VALUE(LEFT(AD72,2))&lt;=2,"EC",IF(OR(VALUE(LEFT(AD72,2))=8,VALUE(LEFT(AD72,2))=18),"NW","Other")),"Other")</f>
        <v>EC</v>
      </c>
      <c r="AH72" s="86" t="str">
        <f t="shared" si="3"/>
        <v>"%USERPROFILE%\Documents\GitHub\eaglep3\Utilities\RefineRTDCRunTimes.py" --tripid 160-05 --locoid 4026 --swversion DE.1.0.8.0 --startMP 204:232971 --initTime 2017-02-05T11:49:33 --startdatetime 2017-02-05T11:56:31 --delay 1 --endMP 204:165 --enddatetime 2017-02-05T12:34:33 --enforcementcount 0 &gt;&gt;C:\Users\stu\Documents\GitHub\eaglep3-reporting\EC\2017-02-05-refined-times.txt</v>
      </c>
      <c r="AI72" s="108" t="str">
        <f t="shared" si="4"/>
        <v>echo {"issue":{"subject":"","project_id":79,"tracker_id":40,"status_id":1,"priority_id":2,"assigned_to_id":23,"start_date":"2017-02-05","description":"","custom_fields":[{"id":1,"name":"Subdivision","value":"EC"},{"id":4,"name":"Milepost","value":"0.0165"},{"id":17,"name":"Train ID","value":"160-05"},{"id":16,"name":"Locomotive ID","value":"4026"},{"id":130,"name":"Impact","value":""},{"id":150,"name":"Time of Event (Mountain Time)","value":"12:34:33"},{"id":151,"name":"Denver Issue ID","value":""},{"id":178,"name":"Operational Impact","value":"Yes"},{"id":179,"name":"Denver Segment Assigned","value":""}]}} | curl -X POST -H "Content-Type: application/json" -H "X-Redmine-API-Key: d6333d4a04012a730768444271f8ca06482dae87" https://secure.xorail.net/redmine/issues.json --data @-</v>
      </c>
      <c r="AJ72" s="48"/>
      <c r="AK72" s="48"/>
      <c r="AL72" s="48"/>
      <c r="AM72" s="158" t="str">
        <f t="shared" si="5"/>
        <v>start /low /b %USERPROFILE%\Documents\GitHub\eaglep3\Utilities\DownloadLogsFromS3.py --loco 4026 --day 2017-02-05</v>
      </c>
      <c r="AN72" s="167" t="str">
        <f>"grep -SE -B400 ""CHR.+\|PRM\|1\|D.+(SWITCH|SIGNAL).+UNKNOWN"" "&amp;search_path&amp;"\RTDC"&amp;B72&amp;"\*"&amp;B72&amp;"*"&amp;TEXT(AVERAGE(F72,I72)-utc_offset/24,"YYYYMMDD")&amp;"* | grep -SE ""(Enforcement Action)|(\[TIMEOUT)|(CHR.+\|PRM\|1\|D.+(SWITCH|SIGNAL).+UNKNOWN)"" - &gt;&gt; "&amp;TEXT(Variables!$A$2,"YYYY-MM-DD")&amp;"-UncaughtWiMAX.txt"</f>
        <v>grep -SE -B400 "CHR.+\|PRM\|1\|D.+(SWITCH|SIGNAL).+UNKNOWN" "%USERPROFILE%\AppData\Local\Temp\OnboardLogs"\RTDC4026\*4026*20170205* | grep -SE "(Enforcement Action)|(\[TIMEOUT)|(CHR.+\|PRM\|1\|D.+(SWITCH|SIGNAL).+UNKNOWN)" - &gt;&gt; 2017-02-05-UncaughtWiMAX.txt</v>
      </c>
      <c r="AO72"/>
      <c r="AP72"/>
      <c r="AQ72"/>
      <c r="AR72"/>
      <c r="AS72"/>
      <c r="AT72"/>
      <c r="AU72"/>
      <c r="AV72"/>
      <c r="AW72"/>
      <c r="AX72"/>
      <c r="AY72"/>
      <c r="AZ72"/>
      <c r="BA72"/>
      <c r="BB72"/>
      <c r="BC72"/>
      <c r="BD72"/>
      <c r="BE72"/>
      <c r="BF72"/>
      <c r="BG72"/>
      <c r="BH72"/>
      <c r="BI72"/>
      <c r="BJ72"/>
      <c r="BK72"/>
      <c r="BL72"/>
      <c r="BM72"/>
      <c r="BN72"/>
      <c r="BO72"/>
      <c r="BP72"/>
      <c r="BQ72"/>
      <c r="BR72"/>
      <c r="BS72"/>
      <c r="BT72"/>
      <c r="BU72"/>
      <c r="BV72"/>
      <c r="BW72"/>
      <c r="BX72"/>
      <c r="BY72"/>
      <c r="BZ72"/>
      <c r="CA72"/>
      <c r="CB72"/>
      <c r="CC72"/>
      <c r="CD72"/>
      <c r="CE72"/>
      <c r="CF72"/>
      <c r="CG72"/>
      <c r="CH72"/>
      <c r="CI72"/>
      <c r="CJ72"/>
      <c r="CK72"/>
      <c r="CL72"/>
      <c r="CM72"/>
    </row>
    <row r="73" spans="1:91" s="20" customFormat="1" x14ac:dyDescent="0.25">
      <c r="A73" s="33" t="s">
        <v>615</v>
      </c>
      <c r="B73" s="7">
        <v>4016</v>
      </c>
      <c r="C73" s="21" t="s">
        <v>193</v>
      </c>
      <c r="D73" s="21" t="s">
        <v>241</v>
      </c>
      <c r="E73" s="13">
        <v>42771.465902777774</v>
      </c>
      <c r="F73" s="13">
        <v>42771.469108796293</v>
      </c>
      <c r="G73" s="7">
        <v>2</v>
      </c>
      <c r="H73" s="21" t="s">
        <v>313</v>
      </c>
      <c r="I73" s="13">
        <v>42771.496145833335</v>
      </c>
      <c r="J73" s="7">
        <v>0</v>
      </c>
      <c r="K73" s="98" t="str">
        <f>IF(ISEVEN(B73),(B73-1)&amp;"/"&amp;B73,B73&amp;"/"&amp;(B73+1))</f>
        <v>4015/4016</v>
      </c>
      <c r="L73" s="21" t="str">
        <f>VLOOKUP(A73,'Trips&amp;Operators'!$C$1:$G$99999,5,FALSE)</f>
        <v>DAVIS MICHAEL</v>
      </c>
      <c r="M73" s="6">
        <f>I73-F73</f>
        <v>2.7037037041736767E-2</v>
      </c>
      <c r="N73" s="7">
        <f>24*60*SUM($M73:$M73)</f>
        <v>38.933333340100944</v>
      </c>
      <c r="O73" s="7"/>
      <c r="P73" s="7"/>
      <c r="Q73" s="22"/>
      <c r="R73" s="22"/>
      <c r="S73" s="31">
        <f>SUM(U73:U73)/IF(AG73="EC",12,1)</f>
        <v>1</v>
      </c>
      <c r="T73" s="46" t="str">
        <f>IF(ISEVEN(LEFT(AD73,4)),"Southbound","NorthBound")</f>
        <v>NorthBound</v>
      </c>
      <c r="U73" s="190">
        <f>IF(AG73="EC",COUNTIFS(Variables!$M$2:$M$19,IF(T73="NorthBound","&gt;=","&lt;=")&amp;Y73,Variables!$M$2:$M$19,IF(T73="NorthBound","&lt;=","&gt;=")&amp;Z73),COUNTIFS(Variables!$P$2:$P$19,IF(T73="NorthBound","&gt;=","&lt;=")&amp;Y73,Variables!$P$2:$P$19,IF(T73="NorthBound","&lt;=","&gt;=")&amp;Z73))</f>
        <v>12</v>
      </c>
      <c r="V73" s="191" t="str">
        <f>"https://d0f6bd738d7f1b3e5a7ca70fe4ff75f0.us-east-1.aws.found.io/app/kibana#/discover/Steve-Slow-Train-Analysis-(2080s-and-2083s)?_g="&amp;"(refreshInterval:(display:Off,pause:!f,section:0,value:0),time:(from:'"&amp;TEXT(E73-1/24,"yyyy-MM-DDThh:mm:ss")&amp;utc_offset&amp;"00"&amp;"',mode:absolute,to:'"&amp;TEXT(I73+1/24,"yyyy-MM-DDThh:mm:ss")&amp;utc_offset&amp;"00"&amp;"'))&amp;_a=(columns:!('Locomotive+ID','Data.Head+End+Milepost',Data.Speed,'Data.Locomotive+State','Data.Train+ID',"&amp;"'Data.Warning%2FEnforcement+Type','Data.Target+Start+Milepost','Data.Target+Description','Data.Target+Speed',"&amp;"'Data.Enforcement+Train+Speed','Data.Enforcement+Start+Milepost','Data.Target+Type','Data.Enforcement+Direction+of+Travel','Message+ID',"&amp;"'Data.Body+of+Summary+Text','Data.Head+End+Track+name'),filters:!(),index:'emp_*',interval:auto,query:"&amp;"(query_string:(analyze_wildcard:!t,query:'Message%5C+ID:(2083+OR+2080+OR+1041+OR+2003+OR+1051+OR+1043+OR+1053)+AND+%22rtdc.l.rtdc."&amp;B73&amp;"%22')),sort:!(Time.ISO8601,asc))"</f>
        <v>https://d0f6bd738d7f1b3e5a7ca70fe4ff75f0.us-east-1.aws.found.io/app/kibana#/discover/Steve-Slow-Train-Analysis-(2080s-and-2083s)?_g=(refreshInterval:(display:Off,pause:!f,section:0,value:0),time:(from:'2017-02-05T10:10:54-0700',mode:absolute,to:'2017-02-05T12:54:27-0700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4016%22')),sort:!(Time.ISO8601,asc))</v>
      </c>
      <c r="W73" s="192" t="str">
        <f>IF(AA73&lt;IF(AG73="EC",23,5.65),"Y","N")</f>
        <v>N</v>
      </c>
      <c r="X73" s="192">
        <f>VALUE(LEFT(AD73,4))-VALUE(LEFT(AD72,4))</f>
        <v>1</v>
      </c>
      <c r="Y73" s="62">
        <f>RIGHT(D73,LEN(D73)-4)/10000</f>
        <v>4.5699999999999998E-2</v>
      </c>
      <c r="Z73" s="62">
        <f>RIGHT(H73,LEN(H73)-4)/10000</f>
        <v>23.3278</v>
      </c>
      <c r="AA73" s="62">
        <f>ABS(Z73-Y73)</f>
        <v>23.2821</v>
      </c>
      <c r="AB73" s="59" t="e">
        <f>VLOOKUP(A73,Enforcements!$C$7:$K$16,8,0)</f>
        <v>#N/A</v>
      </c>
      <c r="AC73" s="55" t="e">
        <f>VLOOKUP(A73,Enforcements!$C$7:$E$16,3,0)</f>
        <v>#N/A</v>
      </c>
      <c r="AD73" s="56" t="str">
        <f>IF(LEN(A73)=6,"0"&amp;A73,A73)</f>
        <v>0161-05</v>
      </c>
      <c r="AE73" s="85" t="str">
        <f>"aws s3 cp "&amp;s3_bucket&amp;"/RTDC"&amp;B73&amp;"/ "&amp;search_path&amp;"\RTDC"&amp;B73&amp;"\"&amp;TEXT(F73,"YYYY-MM-DD")&amp;" --exclude ""*"" --recursive --include ""*"&amp;TEXT(F73,"YYYYMMDD")&amp;"*"" &amp; """&amp;walkandungz&amp;""" "&amp;search_path&amp;"\RTDC"&amp;B73&amp;"\"&amp;TEXT(F73,"YYYY-MM-DD")
&amp;" &amp; "&amp;"aws s3 cp "&amp;s3_bucket&amp;"/RTDC"&amp;B73&amp;"/ "&amp;search_path&amp;"\RTDC"&amp;B73&amp;"\"&amp;TEXT(F73+1,"YYYY-MM-DD")&amp;" --exclude ""*"" --recursive --include ""*"&amp;TEXT(F73+1,"YYYYMMDD")&amp;"*"" &amp; """&amp;walkandungz&amp;""" "&amp;search_path&amp;"\RTDC"&amp;B73&amp;"\"&amp;TEXT(F73+1,"YYYY-MM-DD")</f>
        <v>aws s3 cp s3://rtdc.mdm.uploadarchive.raw/RTDC4016/ "%USERPROFILE%\AppData\Local\Temp\OnboardLogs"\RTDC4016\2017-02-05 --exclude "*" --recursive --include "*20170205*" &amp; "%USERPROFILE%\Documents\GitHub\mrs-test-scripts\Headless Mode &amp; Sideloading\WalkAndUnGZ.bat" "%USERPROFILE%\AppData\Local\Temp\OnboardLogs"\RTDC4016\2017-02-05 &amp; aws s3 cp s3://rtdc.mdm.uploadarchive.raw/RTDC4016/ "%USERPROFILE%\AppData\Local\Temp\OnboardLogs"\RTDC4016\2017-02-06 --exclude "*" --recursive --include "*20170206*" &amp; "%USERPROFILE%\Documents\GitHub\mrs-test-scripts\Headless Mode &amp; Sideloading\WalkAndUnGZ.bat" "%USERPROFILE%\AppData\Local\Temp\OnboardLogs"\RTDC4016\2017-02-06</v>
      </c>
      <c r="AF73" s="82" t="str">
        <f>astrogrep_path&amp;" /spath="&amp;search_path&amp;" /stypes=""app*"&amp;B73&amp;"*"&amp;TEXT(I73-utc_offset/24,"YYYYMMDD")&amp;"*"" /stext="" "&amp;TEXT(I73-utc_offset/24,"HH")&amp;search_regexp&amp;""" /e /r /s"</f>
        <v>"C:\Program Files (x86)\AstroGrep\AstroGrep.exe" /spath="%USERPROFILE%\AppData\Local\Temp\OnboardLogs" /stypes="app*4016*20170205*" /stext=" 18:.+((SYSTEM_STATE.+slice.+state.+changed )|(ment ac)|(multiple cpu faults)|(system.+state.+changed )|(\[timeout)|(PRM\|1\|D)|(kpr)|(kdp)|(\|lc)|(penalty))" /e /r /s</v>
      </c>
      <c r="AG73" s="1" t="str">
        <f>IFERROR(IF(VALUE(LEFT(AD73,2))&lt;=2,"EC",IF(OR(VALUE(LEFT(AD73,2))=8,VALUE(LEFT(AD73,2))=18),"NW","Other")),"Other")</f>
        <v>EC</v>
      </c>
      <c r="AH73" s="86" t="str">
        <f t="shared" si="3"/>
        <v>"%USERPROFILE%\Documents\GitHub\eaglep3\Utilities\RefineRTDCRunTimes.py" --tripid 161-05 --locoid 4016 --swversion DE.1.0.8.0 --startMP 204:457 --initTime 2017-02-05T11:10:54 --startdatetime 2017-02-05T11:15:31 --delay 2 --endMP 204:233278 --enddatetime 2017-02-05T11:54:27 --enforcementcount 0 &gt;&gt;C:\Users\stu\Documents\GitHub\eaglep3-reporting\EC\2017-02-05-refined-times.txt</v>
      </c>
      <c r="AI73" s="108" t="str">
        <f t="shared" si="4"/>
        <v>echo {"issue":{"subject":"","project_id":79,"tracker_id":40,"status_id":1,"priority_id":2,"assigned_to_id":23,"start_date":"2017-02-05","description":"","custom_fields":[{"id":1,"name":"Subdivision","value":"EC"},{"id":4,"name":"Milepost","value":"23.3278"},{"id":17,"name":"Train ID","value":"161-05"},{"id":16,"name":"Locomotive ID","value":"4016"},{"id":130,"name":"Impact","value":""},{"id":150,"name":"Time of Event (Mountain Time)","value":"11:54:27"},{"id":151,"name":"Denver Issue ID","value":""},{"id":178,"name":"Operational Impact","value":"Yes"},{"id":179,"name":"Denver Segment Assigned","value":""}]}} | curl -X POST -H "Content-Type: application/json" -H "X-Redmine-API-Key: d6333d4a04012a730768444271f8ca06482dae87" https://secure.xorail.net/redmine/issues.json --data @-</v>
      </c>
      <c r="AJ73" s="48"/>
      <c r="AK73" s="48"/>
      <c r="AL73" s="48"/>
      <c r="AM73" s="158" t="str">
        <f t="shared" si="5"/>
        <v>start /low /b %USERPROFILE%\Documents\GitHub\eaglep3\Utilities\DownloadLogsFromS3.py --loco 4016 --day 2017-02-05</v>
      </c>
      <c r="AN73" s="167" t="str">
        <f>"grep -SE -B400 ""CHR.+\|PRM\|1\|D.+(SWITCH|SIGNAL).+UNKNOWN"" "&amp;search_path&amp;"\RTDC"&amp;B73&amp;"\*"&amp;B73&amp;"*"&amp;TEXT(AVERAGE(F73,I73)-utc_offset/24,"YYYYMMDD")&amp;"* | grep -SE ""(Enforcement Action)|(\[TIMEOUT)|(CHR.+\|PRM\|1\|D.+(SWITCH|SIGNAL).+UNKNOWN)"" - &gt;&gt; "&amp;TEXT(Variables!$A$2,"YYYY-MM-DD")&amp;"-UncaughtWiMAX.txt"</f>
        <v>grep -SE -B400 "CHR.+\|PRM\|1\|D.+(SWITCH|SIGNAL).+UNKNOWN" "%USERPROFILE%\AppData\Local\Temp\OnboardLogs"\RTDC4016\*4016*20170205* | grep -SE "(Enforcement Action)|(\[TIMEOUT)|(CHR.+\|PRM\|1\|D.+(SWITCH|SIGNAL).+UNKNOWN)" - &gt;&gt; 2017-02-05-UncaughtWiMAX.txt</v>
      </c>
      <c r="AO73"/>
      <c r="AP73"/>
      <c r="AQ73"/>
      <c r="AR73"/>
      <c r="AS73"/>
      <c r="AT73"/>
      <c r="AU73"/>
      <c r="AV73"/>
      <c r="AW73"/>
      <c r="AX73"/>
      <c r="AY73"/>
      <c r="AZ73"/>
      <c r="BA73"/>
      <c r="BB73"/>
      <c r="BC73"/>
      <c r="BD73"/>
      <c r="BE73"/>
      <c r="BF73"/>
      <c r="BG73"/>
      <c r="BH73"/>
      <c r="BI73"/>
      <c r="BJ73"/>
      <c r="BK73"/>
      <c r="BL73"/>
      <c r="BM73"/>
      <c r="BN73"/>
      <c r="BO73"/>
      <c r="BP73"/>
      <c r="BQ73"/>
      <c r="BR73"/>
      <c r="BS73"/>
      <c r="BT73"/>
      <c r="BU73"/>
      <c r="BV73"/>
      <c r="BW73"/>
      <c r="BX73"/>
      <c r="BY73"/>
      <c r="BZ73"/>
      <c r="CA73"/>
      <c r="CB73"/>
      <c r="CC73"/>
      <c r="CD73"/>
      <c r="CE73"/>
      <c r="CF73"/>
      <c r="CG73"/>
      <c r="CH73"/>
      <c r="CI73"/>
      <c r="CJ73"/>
      <c r="CK73"/>
      <c r="CL73"/>
      <c r="CM73"/>
    </row>
    <row r="74" spans="1:91" s="20" customFormat="1" x14ac:dyDescent="0.25">
      <c r="A74" s="33" t="s">
        <v>629</v>
      </c>
      <c r="B74" s="7">
        <v>4015</v>
      </c>
      <c r="C74" s="21" t="s">
        <v>193</v>
      </c>
      <c r="D74" s="21" t="s">
        <v>285</v>
      </c>
      <c r="E74" s="13">
        <v>42771.504282407404</v>
      </c>
      <c r="F74" s="13">
        <v>42771.508009259262</v>
      </c>
      <c r="G74" s="7">
        <v>1</v>
      </c>
      <c r="H74" s="21" t="s">
        <v>325</v>
      </c>
      <c r="I74" s="13">
        <v>42771.53570601852</v>
      </c>
      <c r="J74" s="7">
        <v>0</v>
      </c>
      <c r="K74" s="98" t="str">
        <f>IF(ISEVEN(B74),(B74-1)&amp;"/"&amp;B74,B74&amp;"/"&amp;(B74+1))</f>
        <v>4015/4016</v>
      </c>
      <c r="L74" s="21" t="str">
        <f>VLOOKUP(A74,'Trips&amp;Operators'!$C$1:$G$99999,5,FALSE)</f>
        <v>DAVIS MICHAEL</v>
      </c>
      <c r="M74" s="6">
        <f>I74-F74</f>
        <v>2.7696759258105885E-2</v>
      </c>
      <c r="N74" s="7">
        <f>24*60*SUM($M74:$M74)</f>
        <v>39.883333331672475</v>
      </c>
      <c r="O74" s="7"/>
      <c r="P74" s="7"/>
      <c r="Q74" s="22"/>
      <c r="R74" s="22"/>
      <c r="S74" s="31">
        <f>SUM(U74:U74)/IF(AG74="EC",12,1)</f>
        <v>1</v>
      </c>
      <c r="T74" s="46" t="str">
        <f>IF(ISEVEN(LEFT(AD74,4)),"Southbound","NorthBound")</f>
        <v>Southbound</v>
      </c>
      <c r="U74" s="190">
        <f>IF(AG74="EC",COUNTIFS(Variables!$M$2:$M$19,IF(T74="NorthBound","&gt;=","&lt;=")&amp;Y74,Variables!$M$2:$M$19,IF(T74="NorthBound","&lt;=","&gt;=")&amp;Z74),COUNTIFS(Variables!$P$2:$P$19,IF(T74="NorthBound","&gt;=","&lt;=")&amp;Y74,Variables!$P$2:$P$19,IF(T74="NorthBound","&lt;=","&gt;=")&amp;Z74))</f>
        <v>12</v>
      </c>
      <c r="V74" s="191" t="str">
        <f>"https://d0f6bd738d7f1b3e5a7ca70fe4ff75f0.us-east-1.aws.found.io/app/kibana#/discover/Steve-Slow-Train-Analysis-(2080s-and-2083s)?_g="&amp;"(refreshInterval:(display:Off,pause:!f,section:0,value:0),time:(from:'"&amp;TEXT(E74-1/24,"yyyy-MM-DDThh:mm:ss")&amp;utc_offset&amp;"00"&amp;"',mode:absolute,to:'"&amp;TEXT(I74+1/24,"yyyy-MM-DDThh:mm:ss")&amp;utc_offset&amp;"00"&amp;"'))&amp;_a=(columns:!('Locomotive+ID','Data.Head+End+Milepost',Data.Speed,'Data.Locomotive+State','Data.Train+ID',"&amp;"'Data.Warning%2FEnforcement+Type','Data.Target+Start+Milepost','Data.Target+Description','Data.Target+Speed',"&amp;"'Data.Enforcement+Train+Speed','Data.Enforcement+Start+Milepost','Data.Target+Type','Data.Enforcement+Direction+of+Travel','Message+ID',"&amp;"'Data.Body+of+Summary+Text','Data.Head+End+Track+name'),filters:!(),index:'emp_*',interval:auto,query:"&amp;"(query_string:(analyze_wildcard:!t,query:'Message%5C+ID:(2083+OR+2080+OR+1041+OR+2003+OR+1051+OR+1043+OR+1053)+AND+%22rtdc.l.rtdc."&amp;B74&amp;"%22')),sort:!(Time.ISO8601,asc))"</f>
        <v>https://d0f6bd738d7f1b3e5a7ca70fe4ff75f0.us-east-1.aws.found.io/app/kibana#/discover/Steve-Slow-Train-Analysis-(2080s-and-2083s)?_g=(refreshInterval:(display:Off,pause:!f,section:0,value:0),time:(from:'2017-02-05T11:06:10-0700',mode:absolute,to:'2017-02-05T13:51:25-0700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4015%22')),sort:!(Time.ISO8601,asc))</v>
      </c>
      <c r="W74" s="192" t="str">
        <f>IF(AA74&lt;IF(AG74="EC",23,5.65),"Y","N")</f>
        <v>N</v>
      </c>
      <c r="X74" s="192">
        <f>VALUE(LEFT(AD74,4))-VALUE(LEFT(AD73,4))</f>
        <v>1</v>
      </c>
      <c r="Y74" s="62">
        <f>RIGHT(D74,LEN(D74)-4)/10000</f>
        <v>23.299399999999999</v>
      </c>
      <c r="Z74" s="62">
        <f>RIGHT(H74,LEN(H74)-4)/10000</f>
        <v>1.38E-2</v>
      </c>
      <c r="AA74" s="62">
        <f>ABS(Z74-Y74)</f>
        <v>23.285599999999999</v>
      </c>
      <c r="AB74" s="59" t="e">
        <f>VLOOKUP(A74,Enforcements!$C$7:$K$16,8,0)</f>
        <v>#N/A</v>
      </c>
      <c r="AC74" s="55" t="e">
        <f>VLOOKUP(A74,Enforcements!$C$7:$E$16,3,0)</f>
        <v>#N/A</v>
      </c>
      <c r="AD74" s="56" t="str">
        <f>IF(LEN(A74)=6,"0"&amp;A74,A74)</f>
        <v>0162-05</v>
      </c>
      <c r="AE74" s="85" t="str">
        <f>"aws s3 cp "&amp;s3_bucket&amp;"/RTDC"&amp;B74&amp;"/ "&amp;search_path&amp;"\RTDC"&amp;B74&amp;"\"&amp;TEXT(F74,"YYYY-MM-DD")&amp;" --exclude ""*"" --recursive --include ""*"&amp;TEXT(F74,"YYYYMMDD")&amp;"*"" &amp; """&amp;walkandungz&amp;""" "&amp;search_path&amp;"\RTDC"&amp;B74&amp;"\"&amp;TEXT(F74,"YYYY-MM-DD")
&amp;" &amp; "&amp;"aws s3 cp "&amp;s3_bucket&amp;"/RTDC"&amp;B74&amp;"/ "&amp;search_path&amp;"\RTDC"&amp;B74&amp;"\"&amp;TEXT(F74+1,"YYYY-MM-DD")&amp;" --exclude ""*"" --recursive --include ""*"&amp;TEXT(F74+1,"YYYYMMDD")&amp;"*"" &amp; """&amp;walkandungz&amp;""" "&amp;search_path&amp;"\RTDC"&amp;B74&amp;"\"&amp;TEXT(F74+1,"YYYY-MM-DD")</f>
        <v>aws s3 cp s3://rtdc.mdm.uploadarchive.raw/RTDC4015/ "%USERPROFILE%\AppData\Local\Temp\OnboardLogs"\RTDC4015\2017-02-05 --exclude "*" --recursive --include "*20170205*" &amp; "%USERPROFILE%\Documents\GitHub\mrs-test-scripts\Headless Mode &amp; Sideloading\WalkAndUnGZ.bat" "%USERPROFILE%\AppData\Local\Temp\OnboardLogs"\RTDC4015\2017-02-05 &amp; aws s3 cp s3://rtdc.mdm.uploadarchive.raw/RTDC4015/ "%USERPROFILE%\AppData\Local\Temp\OnboardLogs"\RTDC4015\2017-02-06 --exclude "*" --recursive --include "*20170206*" &amp; "%USERPROFILE%\Documents\GitHub\mrs-test-scripts\Headless Mode &amp; Sideloading\WalkAndUnGZ.bat" "%USERPROFILE%\AppData\Local\Temp\OnboardLogs"\RTDC4015\2017-02-06</v>
      </c>
      <c r="AF74" s="82" t="str">
        <f>astrogrep_path&amp;" /spath="&amp;search_path&amp;" /stypes=""app*"&amp;B74&amp;"*"&amp;TEXT(I74-utc_offset/24,"YYYYMMDD")&amp;"*"" /stext="" "&amp;TEXT(I74-utc_offset/24,"HH")&amp;search_regexp&amp;""" /e /r /s"</f>
        <v>"C:\Program Files (x86)\AstroGrep\AstroGrep.exe" /spath="%USERPROFILE%\AppData\Local\Temp\OnboardLogs" /stypes="app*4015*20170205*" /stext=" 19:.+((SYSTEM_STATE.+slice.+state.+changed )|(ment ac)|(multiple cpu faults)|(system.+state.+changed )|(\[timeout)|(PRM\|1\|D)|(kpr)|(kdp)|(\|lc)|(penalty))" /e /r /s</v>
      </c>
      <c r="AG74" s="1" t="str">
        <f>IFERROR(IF(VALUE(LEFT(AD74,2))&lt;=2,"EC",IF(OR(VALUE(LEFT(AD74,2))=8,VALUE(LEFT(AD74,2))=18),"NW","Other")),"Other")</f>
        <v>EC</v>
      </c>
      <c r="AH74" s="86" t="str">
        <f t="shared" si="3"/>
        <v>"%USERPROFILE%\Documents\GitHub\eaglep3\Utilities\RefineRTDCRunTimes.py" --tripid 162-05 --locoid 4015 --swversion DE.1.0.8.0 --startMP 204:232994 --initTime 2017-02-05T12:06:10 --startdatetime 2017-02-05T12:11:32 --delay 1 --endMP 204:138 --enddatetime 2017-02-05T12:51:25 --enforcementcount 0 &gt;&gt;C:\Users\stu\Documents\GitHub\eaglep3-reporting\EC\2017-02-05-refined-times.txt</v>
      </c>
      <c r="AI74" s="108" t="str">
        <f t="shared" si="4"/>
        <v>echo {"issue":{"subject":"","project_id":79,"tracker_id":40,"status_id":1,"priority_id":2,"assigned_to_id":23,"start_date":"2017-02-05","description":"","custom_fields":[{"id":1,"name":"Subdivision","value":"EC"},{"id":4,"name":"Milepost","value":"0.0138"},{"id":17,"name":"Train ID","value":"162-05"},{"id":16,"name":"Locomotive ID","value":"4015"},{"id":130,"name":"Impact","value":""},{"id":150,"name":"Time of Event (Mountain Time)","value":"12:51:25"},{"id":151,"name":"Denver Issue ID","value":""},{"id":178,"name":"Operational Impact","value":"Yes"},{"id":179,"name":"Denver Segment Assigned","value":""}]}} | curl -X POST -H "Content-Type: application/json" -H "X-Redmine-API-Key: d6333d4a04012a730768444271f8ca06482dae87" https://secure.xorail.net/redmine/issues.json --data @-</v>
      </c>
      <c r="AJ74" s="48"/>
      <c r="AK74" s="48"/>
      <c r="AL74" s="48"/>
      <c r="AM74" s="158" t="str">
        <f t="shared" si="5"/>
        <v>start /low /b %USERPROFILE%\Documents\GitHub\eaglep3\Utilities\DownloadLogsFromS3.py --loco 4015 --day 2017-02-05</v>
      </c>
      <c r="AN74" s="167" t="str">
        <f>"grep -SE -B400 ""CHR.+\|PRM\|1\|D.+(SWITCH|SIGNAL).+UNKNOWN"" "&amp;search_path&amp;"\RTDC"&amp;B74&amp;"\*"&amp;B74&amp;"*"&amp;TEXT(AVERAGE(F74,I74)-utc_offset/24,"YYYYMMDD")&amp;"* | grep -SE ""(Enforcement Action)|(\[TIMEOUT)|(CHR.+\|PRM\|1\|D.+(SWITCH|SIGNAL).+UNKNOWN)"" - &gt;&gt; "&amp;TEXT(Variables!$A$2,"YYYY-MM-DD")&amp;"-UncaughtWiMAX.txt"</f>
        <v>grep -SE -B400 "CHR.+\|PRM\|1\|D.+(SWITCH|SIGNAL).+UNKNOWN" "%USERPROFILE%\AppData\Local\Temp\OnboardLogs"\RTDC4015\*4015*20170205* | grep -SE "(Enforcement Action)|(\[TIMEOUT)|(CHR.+\|PRM\|1\|D.+(SWITCH|SIGNAL).+UNKNOWN)" - &gt;&gt; 2017-02-05-UncaughtWiMAX.txt</v>
      </c>
      <c r="AO74"/>
      <c r="AP74"/>
      <c r="AQ74"/>
      <c r="AR74"/>
      <c r="AS74"/>
      <c r="AT74"/>
      <c r="AU74"/>
      <c r="AV74"/>
      <c r="AW74"/>
      <c r="AX74"/>
      <c r="AY74"/>
      <c r="AZ74"/>
      <c r="BA74"/>
      <c r="BB74"/>
      <c r="BC74"/>
      <c r="BD74"/>
      <c r="BE74"/>
      <c r="BF74"/>
      <c r="BG74"/>
      <c r="BH74"/>
      <c r="BI74"/>
      <c r="BJ74"/>
      <c r="BK74"/>
      <c r="BL74"/>
      <c r="BM74"/>
      <c r="BN74"/>
      <c r="BO74"/>
      <c r="BP74"/>
      <c r="BQ74"/>
      <c r="BR74"/>
      <c r="BS74"/>
      <c r="BT74"/>
      <c r="BU74"/>
      <c r="BV74"/>
      <c r="BW74"/>
      <c r="BX74"/>
      <c r="BY74"/>
      <c r="BZ74"/>
      <c r="CA74"/>
      <c r="CB74"/>
      <c r="CC74"/>
      <c r="CD74"/>
      <c r="CE74"/>
      <c r="CF74"/>
      <c r="CG74"/>
      <c r="CH74"/>
      <c r="CI74"/>
      <c r="CJ74"/>
      <c r="CK74"/>
      <c r="CL74"/>
      <c r="CM74"/>
    </row>
    <row r="75" spans="1:91" s="20" customFormat="1" x14ac:dyDescent="0.25">
      <c r="A75" s="33" t="s">
        <v>616</v>
      </c>
      <c r="B75" s="7">
        <v>4022</v>
      </c>
      <c r="C75" s="21" t="s">
        <v>193</v>
      </c>
      <c r="D75" s="21" t="s">
        <v>318</v>
      </c>
      <c r="E75" s="13">
        <v>42771.474456018521</v>
      </c>
      <c r="F75" s="13">
        <v>42771.479502314818</v>
      </c>
      <c r="G75" s="7">
        <v>1</v>
      </c>
      <c r="H75" s="21" t="s">
        <v>321</v>
      </c>
      <c r="I75" s="13">
        <v>42771.503888888888</v>
      </c>
      <c r="J75" s="7">
        <v>0</v>
      </c>
      <c r="K75" s="98" t="str">
        <f>IF(ISEVEN(B75),(B75-1)&amp;"/"&amp;B75,B75&amp;"/"&amp;(B75+1))</f>
        <v>4021/4022</v>
      </c>
      <c r="L75" s="21" t="str">
        <f>VLOOKUP(A75,'Trips&amp;Operators'!$C$1:$G$99999,5,FALSE)</f>
        <v>LEVIN SCOTT</v>
      </c>
      <c r="M75" s="6">
        <f>I75-F75</f>
        <v>2.438657407037681E-2</v>
      </c>
      <c r="N75" s="7">
        <f>24*60*SUM($M75:$M75)</f>
        <v>35.116666661342606</v>
      </c>
      <c r="O75" s="7"/>
      <c r="P75" s="7"/>
      <c r="Q75" s="22"/>
      <c r="R75" s="22"/>
      <c r="S75" s="31">
        <f>SUM(U75:U75)/IF(AG75="EC",12,1)</f>
        <v>1</v>
      </c>
      <c r="T75" s="46" t="str">
        <f>IF(ISEVEN(LEFT(AD75,4)),"Southbound","NorthBound")</f>
        <v>NorthBound</v>
      </c>
      <c r="U75" s="190">
        <f>IF(AG75="EC",COUNTIFS(Variables!$M$2:$M$19,IF(T75="NorthBound","&gt;=","&lt;=")&amp;Y75,Variables!$M$2:$M$19,IF(T75="NorthBound","&lt;=","&gt;=")&amp;Z75),COUNTIFS(Variables!$P$2:$P$19,IF(T75="NorthBound","&gt;=","&lt;=")&amp;Y75,Variables!$P$2:$P$19,IF(T75="NorthBound","&lt;=","&gt;=")&amp;Z75))</f>
        <v>12</v>
      </c>
      <c r="V75" s="191" t="str">
        <f>"https://d0f6bd738d7f1b3e5a7ca70fe4ff75f0.us-east-1.aws.found.io/app/kibana#/discover/Steve-Slow-Train-Analysis-(2080s-and-2083s)?_g="&amp;"(refreshInterval:(display:Off,pause:!f,section:0,value:0),time:(from:'"&amp;TEXT(E75-1/24,"yyyy-MM-DDThh:mm:ss")&amp;utc_offset&amp;"00"&amp;"',mode:absolute,to:'"&amp;TEXT(I75+1/24,"yyyy-MM-DDThh:mm:ss")&amp;utc_offset&amp;"00"&amp;"'))&amp;_a=(columns:!('Locomotive+ID','Data.Head+End+Milepost',Data.Speed,'Data.Locomotive+State','Data.Train+ID',"&amp;"'Data.Warning%2FEnforcement+Type','Data.Target+Start+Milepost','Data.Target+Description','Data.Target+Speed',"&amp;"'Data.Enforcement+Train+Speed','Data.Enforcement+Start+Milepost','Data.Target+Type','Data.Enforcement+Direction+of+Travel','Message+ID',"&amp;"'Data.Body+of+Summary+Text','Data.Head+End+Track+name'),filters:!(),index:'emp_*',interval:auto,query:"&amp;"(query_string:(analyze_wildcard:!t,query:'Message%5C+ID:(2083+OR+2080+OR+1041+OR+2003+OR+1051+OR+1043+OR+1053)+AND+%22rtdc.l.rtdc."&amp;B75&amp;"%22')),sort:!(Time.ISO8601,asc))"</f>
        <v>https://d0f6bd738d7f1b3e5a7ca70fe4ff75f0.us-east-1.aws.found.io/app/kibana#/discover/Steve-Slow-Train-Analysis-(2080s-and-2083s)?_g=(refreshInterval:(display:Off,pause:!f,section:0,value:0),time:(from:'2017-02-05T10:23:13-0700',mode:absolute,to:'2017-02-05T13:05:36-0700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4022%22')),sort:!(Time.ISO8601,asc))</v>
      </c>
      <c r="W75" s="192" t="str">
        <f>IF(AA75&lt;IF(AG75="EC",23,5.65),"Y","N")</f>
        <v>N</v>
      </c>
      <c r="X75" s="192">
        <f>VALUE(LEFT(AD75,4))-VALUE(LEFT(AD74,4))</f>
        <v>1</v>
      </c>
      <c r="Y75" s="62">
        <f>RIGHT(D75,LEN(D75)-4)/10000</f>
        <v>4.4699999999999997E-2</v>
      </c>
      <c r="Z75" s="62">
        <f>RIGHT(H75,LEN(H75)-4)/10000</f>
        <v>23.3291</v>
      </c>
      <c r="AA75" s="62">
        <f>ABS(Z75-Y75)</f>
        <v>23.284400000000002</v>
      </c>
      <c r="AB75" s="59" t="e">
        <f>VLOOKUP(A75,Enforcements!$C$7:$K$16,8,0)</f>
        <v>#N/A</v>
      </c>
      <c r="AC75" s="55" t="e">
        <f>VLOOKUP(A75,Enforcements!$C$7:$E$16,3,0)</f>
        <v>#N/A</v>
      </c>
      <c r="AD75" s="56" t="str">
        <f>IF(LEN(A75)=6,"0"&amp;A75,A75)</f>
        <v>0163-05</v>
      </c>
      <c r="AE75" s="85" t="str">
        <f>"aws s3 cp "&amp;s3_bucket&amp;"/RTDC"&amp;B75&amp;"/ "&amp;search_path&amp;"\RTDC"&amp;B75&amp;"\"&amp;TEXT(F75,"YYYY-MM-DD")&amp;" --exclude ""*"" --recursive --include ""*"&amp;TEXT(F75,"YYYYMMDD")&amp;"*"" &amp; """&amp;walkandungz&amp;""" "&amp;search_path&amp;"\RTDC"&amp;B75&amp;"\"&amp;TEXT(F75,"YYYY-MM-DD")
&amp;" &amp; "&amp;"aws s3 cp "&amp;s3_bucket&amp;"/RTDC"&amp;B75&amp;"/ "&amp;search_path&amp;"\RTDC"&amp;B75&amp;"\"&amp;TEXT(F75+1,"YYYY-MM-DD")&amp;" --exclude ""*"" --recursive --include ""*"&amp;TEXT(F75+1,"YYYYMMDD")&amp;"*"" &amp; """&amp;walkandungz&amp;""" "&amp;search_path&amp;"\RTDC"&amp;B75&amp;"\"&amp;TEXT(F75+1,"YYYY-MM-DD")</f>
        <v>aws s3 cp s3://rtdc.mdm.uploadarchive.raw/RTDC4022/ "%USERPROFILE%\AppData\Local\Temp\OnboardLogs"\RTDC4022\2017-02-05 --exclude "*" --recursive --include "*20170205*" &amp; "%USERPROFILE%\Documents\GitHub\mrs-test-scripts\Headless Mode &amp; Sideloading\WalkAndUnGZ.bat" "%USERPROFILE%\AppData\Local\Temp\OnboardLogs"\RTDC4022\2017-02-05 &amp; aws s3 cp s3://rtdc.mdm.uploadarchive.raw/RTDC4022/ "%USERPROFILE%\AppData\Local\Temp\OnboardLogs"\RTDC4022\2017-02-06 --exclude "*" --recursive --include "*20170206*" &amp; "%USERPROFILE%\Documents\GitHub\mrs-test-scripts\Headless Mode &amp; Sideloading\WalkAndUnGZ.bat" "%USERPROFILE%\AppData\Local\Temp\OnboardLogs"\RTDC4022\2017-02-06</v>
      </c>
      <c r="AF75" s="82" t="str">
        <f>astrogrep_path&amp;" /spath="&amp;search_path&amp;" /stypes=""app*"&amp;B75&amp;"*"&amp;TEXT(I75-utc_offset/24,"YYYYMMDD")&amp;"*"" /stext="" "&amp;TEXT(I75-utc_offset/24,"HH")&amp;search_regexp&amp;""" /e /r /s"</f>
        <v>"C:\Program Files (x86)\AstroGrep\AstroGrep.exe" /spath="%USERPROFILE%\AppData\Local\Temp\OnboardLogs" /stypes="app*4022*20170205*" /stext=" 19:.+((SYSTEM_STATE.+slice.+state.+changed )|(ment ac)|(multiple cpu faults)|(system.+state.+changed )|(\[timeout)|(PRM\|1\|D)|(kpr)|(kdp)|(\|lc)|(penalty))" /e /r /s</v>
      </c>
      <c r="AG75" s="1" t="str">
        <f>IFERROR(IF(VALUE(LEFT(AD75,2))&lt;=2,"EC",IF(OR(VALUE(LEFT(AD75,2))=8,VALUE(LEFT(AD75,2))=18),"NW","Other")),"Other")</f>
        <v>EC</v>
      </c>
      <c r="AH75" s="86" t="str">
        <f t="shared" si="3"/>
        <v>"%USERPROFILE%\Documents\GitHub\eaglep3\Utilities\RefineRTDCRunTimes.py" --tripid 163-05 --locoid 4022 --swversion DE.1.0.8.0 --startMP 204:447 --initTime 2017-02-05T11:23:13 --startdatetime 2017-02-05T11:30:29 --delay 1 --endMP 204:233291 --enddatetime 2017-02-05T12:05:36 --enforcementcount 0 &gt;&gt;C:\Users\stu\Documents\GitHub\eaglep3-reporting\EC\2017-02-05-refined-times.txt</v>
      </c>
      <c r="AI75" s="108" t="str">
        <f t="shared" si="4"/>
        <v>echo {"issue":{"subject":"","project_id":79,"tracker_id":40,"status_id":1,"priority_id":2,"assigned_to_id":23,"start_date":"2017-02-05","description":"","custom_fields":[{"id":1,"name":"Subdivision","value":"EC"},{"id":4,"name":"Milepost","value":"23.3291"},{"id":17,"name":"Train ID","value":"163-05"},{"id":16,"name":"Locomotive ID","value":"4022"},{"id":130,"name":"Impact","value":""},{"id":150,"name":"Time of Event (Mountain Time)","value":"12:05:36"},{"id":151,"name":"Denver Issue ID","value":""},{"id":178,"name":"Operational Impact","value":"Yes"},{"id":179,"name":"Denver Segment Assigned","value":""}]}} | curl -X POST -H "Content-Type: application/json" -H "X-Redmine-API-Key: d6333d4a04012a730768444271f8ca06482dae87" https://secure.xorail.net/redmine/issues.json --data @-</v>
      </c>
      <c r="AJ75" s="48"/>
      <c r="AK75" s="48"/>
      <c r="AL75" s="48"/>
      <c r="AM75" s="158" t="str">
        <f t="shared" si="5"/>
        <v>start /low /b %USERPROFILE%\Documents\GitHub\eaglep3\Utilities\DownloadLogsFromS3.py --loco 4022 --day 2017-02-05</v>
      </c>
      <c r="AN75" s="167" t="str">
        <f>"grep -SE -B400 ""CHR.+\|PRM\|1\|D.+(SWITCH|SIGNAL).+UNKNOWN"" "&amp;search_path&amp;"\RTDC"&amp;B75&amp;"\*"&amp;B75&amp;"*"&amp;TEXT(AVERAGE(F75,I75)-utc_offset/24,"YYYYMMDD")&amp;"* | grep -SE ""(Enforcement Action)|(\[TIMEOUT)|(CHR.+\|PRM\|1\|D.+(SWITCH|SIGNAL).+UNKNOWN)"" - &gt;&gt; "&amp;TEXT(Variables!$A$2,"YYYY-MM-DD")&amp;"-UncaughtWiMAX.txt"</f>
        <v>grep -SE -B400 "CHR.+\|PRM\|1\|D.+(SWITCH|SIGNAL).+UNKNOWN" "%USERPROFILE%\AppData\Local\Temp\OnboardLogs"\RTDC4022\*4022*20170205* | grep -SE "(Enforcement Action)|(\[TIMEOUT)|(CHR.+\|PRM\|1\|D.+(SWITCH|SIGNAL).+UNKNOWN)" - &gt;&gt; 2017-02-05-UncaughtWiMAX.txt</v>
      </c>
      <c r="AO75"/>
      <c r="AP75"/>
      <c r="AQ75"/>
      <c r="AR75"/>
      <c r="AS75"/>
      <c r="AT75"/>
      <c r="AU75"/>
      <c r="AV75"/>
      <c r="AW75"/>
      <c r="AX75"/>
      <c r="AY75"/>
      <c r="AZ75"/>
      <c r="BA75"/>
      <c r="BB75"/>
      <c r="BC75"/>
      <c r="BD75"/>
      <c r="BE75"/>
      <c r="BF75"/>
      <c r="BG75"/>
      <c r="BH75"/>
      <c r="BI75"/>
      <c r="BJ75"/>
      <c r="BK75"/>
      <c r="BL75"/>
      <c r="BM75"/>
      <c r="BN75"/>
      <c r="BO75"/>
      <c r="BP75"/>
      <c r="BQ75"/>
      <c r="BR75"/>
      <c r="BS75"/>
      <c r="BT75"/>
      <c r="BU75"/>
      <c r="BV75"/>
      <c r="BW75"/>
      <c r="BX75"/>
      <c r="BY75"/>
      <c r="BZ75"/>
      <c r="CA75"/>
      <c r="CB75"/>
      <c r="CC75"/>
      <c r="CD75"/>
      <c r="CE75"/>
      <c r="CF75"/>
      <c r="CG75"/>
      <c r="CH75"/>
      <c r="CI75"/>
      <c r="CJ75"/>
      <c r="CK75"/>
      <c r="CL75"/>
      <c r="CM75"/>
    </row>
    <row r="76" spans="1:91" s="20" customFormat="1" x14ac:dyDescent="0.25">
      <c r="A76" s="33" t="s">
        <v>633</v>
      </c>
      <c r="B76" s="7">
        <v>4021</v>
      </c>
      <c r="C76" s="21" t="s">
        <v>193</v>
      </c>
      <c r="D76" s="21" t="s">
        <v>354</v>
      </c>
      <c r="E76" s="13">
        <v>42771.516550925924</v>
      </c>
      <c r="F76" s="13">
        <v>42771.518576388888</v>
      </c>
      <c r="G76" s="7">
        <v>1</v>
      </c>
      <c r="H76" s="21" t="s">
        <v>212</v>
      </c>
      <c r="I76" s="13">
        <v>42771.54451388889</v>
      </c>
      <c r="J76" s="7">
        <v>0</v>
      </c>
      <c r="K76" s="98" t="str">
        <f>IF(ISEVEN(B76),(B76-1)&amp;"/"&amp;B76,B76&amp;"/"&amp;(B76+1))</f>
        <v>4021/4022</v>
      </c>
      <c r="L76" s="21" t="str">
        <f>VLOOKUP(A76,'Trips&amp;Operators'!$C$1:$G$99999,5,FALSE)</f>
        <v>LEVIN SCOTT</v>
      </c>
      <c r="M76" s="6">
        <f>I76-F76</f>
        <v>2.5937500002328306E-2</v>
      </c>
      <c r="N76" s="7">
        <f>24*60*SUM($M76:$M76)</f>
        <v>37.350000003352761</v>
      </c>
      <c r="O76" s="7"/>
      <c r="P76" s="7"/>
      <c r="Q76" s="22"/>
      <c r="R76" s="22"/>
      <c r="S76" s="31">
        <f>SUM(U76:U76)/IF(AG76="EC",12,1)</f>
        <v>1</v>
      </c>
      <c r="T76" s="46" t="str">
        <f>IF(ISEVEN(LEFT(AD76,4)),"Southbound","NorthBound")</f>
        <v>Southbound</v>
      </c>
      <c r="U76" s="190">
        <f>IF(AG76="EC",COUNTIFS(Variables!$M$2:$M$19,IF(T76="NorthBound","&gt;=","&lt;=")&amp;Y76,Variables!$M$2:$M$19,IF(T76="NorthBound","&lt;=","&gt;=")&amp;Z76),COUNTIFS(Variables!$P$2:$P$19,IF(T76="NorthBound","&gt;=","&lt;=")&amp;Y76,Variables!$P$2:$P$19,IF(T76="NorthBound","&lt;=","&gt;=")&amp;Z76))</f>
        <v>12</v>
      </c>
      <c r="V76" s="191" t="str">
        <f>"https://d0f6bd738d7f1b3e5a7ca70fe4ff75f0.us-east-1.aws.found.io/app/kibana#/discover/Steve-Slow-Train-Analysis-(2080s-and-2083s)?_g="&amp;"(refreshInterval:(display:Off,pause:!f,section:0,value:0),time:(from:'"&amp;TEXT(E76-1/24,"yyyy-MM-DDThh:mm:ss")&amp;utc_offset&amp;"00"&amp;"',mode:absolute,to:'"&amp;TEXT(I76+1/24,"yyyy-MM-DDThh:mm:ss")&amp;utc_offset&amp;"00"&amp;"'))&amp;_a=(columns:!('Locomotive+ID','Data.Head+End+Milepost',Data.Speed,'Data.Locomotive+State','Data.Train+ID',"&amp;"'Data.Warning%2FEnforcement+Type','Data.Target+Start+Milepost','Data.Target+Description','Data.Target+Speed',"&amp;"'Data.Enforcement+Train+Speed','Data.Enforcement+Start+Milepost','Data.Target+Type','Data.Enforcement+Direction+of+Travel','Message+ID',"&amp;"'Data.Body+of+Summary+Text','Data.Head+End+Track+name'),filters:!(),index:'emp_*',interval:auto,query:"&amp;"(query_string:(analyze_wildcard:!t,query:'Message%5C+ID:(2083+OR+2080+OR+1041+OR+2003+OR+1051+OR+1043+OR+1053)+AND+%22rtdc.l.rtdc."&amp;B76&amp;"%22')),sort:!(Time.ISO8601,asc))"</f>
        <v>https://d0f6bd738d7f1b3e5a7ca70fe4ff75f0.us-east-1.aws.found.io/app/kibana#/discover/Steve-Slow-Train-Analysis-(2080s-and-2083s)?_g=(refreshInterval:(display:Off,pause:!f,section:0,value:0),time:(from:'2017-02-05T11:23:50-0700',mode:absolute,to:'2017-02-05T14:04:06-0700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4021%22')),sort:!(Time.ISO8601,asc))</v>
      </c>
      <c r="W76" s="192" t="str">
        <f>IF(AA76&lt;IF(AG76="EC",23,5.65),"Y","N")</f>
        <v>N</v>
      </c>
      <c r="X76" s="192">
        <f>VALUE(LEFT(AD76,4))-VALUE(LEFT(AD75,4))</f>
        <v>1</v>
      </c>
      <c r="Y76" s="62">
        <f>RIGHT(D76,LEN(D76)-4)/10000</f>
        <v>23.297799999999999</v>
      </c>
      <c r="Z76" s="62">
        <f>RIGHT(H76,LEN(H76)-4)/10000</f>
        <v>1.52E-2</v>
      </c>
      <c r="AA76" s="62">
        <f>ABS(Z76-Y76)</f>
        <v>23.282599999999999</v>
      </c>
      <c r="AB76" s="59" t="e">
        <f>VLOOKUP(A76,Enforcements!$C$7:$K$16,8,0)</f>
        <v>#N/A</v>
      </c>
      <c r="AC76" s="55" t="e">
        <f>VLOOKUP(A76,Enforcements!$C$7:$E$16,3,0)</f>
        <v>#N/A</v>
      </c>
      <c r="AD76" s="56" t="str">
        <f>IF(LEN(A76)=6,"0"&amp;A76,A76)</f>
        <v>0164-05</v>
      </c>
      <c r="AE76" s="85" t="str">
        <f>"aws s3 cp "&amp;s3_bucket&amp;"/RTDC"&amp;B76&amp;"/ "&amp;search_path&amp;"\RTDC"&amp;B76&amp;"\"&amp;TEXT(F76,"YYYY-MM-DD")&amp;" --exclude ""*"" --recursive --include ""*"&amp;TEXT(F76,"YYYYMMDD")&amp;"*"" &amp; """&amp;walkandungz&amp;""" "&amp;search_path&amp;"\RTDC"&amp;B76&amp;"\"&amp;TEXT(F76,"YYYY-MM-DD")
&amp;" &amp; "&amp;"aws s3 cp "&amp;s3_bucket&amp;"/RTDC"&amp;B76&amp;"/ "&amp;search_path&amp;"\RTDC"&amp;B76&amp;"\"&amp;TEXT(F76+1,"YYYY-MM-DD")&amp;" --exclude ""*"" --recursive --include ""*"&amp;TEXT(F76+1,"YYYYMMDD")&amp;"*"" &amp; """&amp;walkandungz&amp;""" "&amp;search_path&amp;"\RTDC"&amp;B76&amp;"\"&amp;TEXT(F76+1,"YYYY-MM-DD")</f>
        <v>aws s3 cp s3://rtdc.mdm.uploadarchive.raw/RTDC4021/ "%USERPROFILE%\AppData\Local\Temp\OnboardLogs"\RTDC4021\2017-02-05 --exclude "*" --recursive --include "*20170205*" &amp; "%USERPROFILE%\Documents\GitHub\mrs-test-scripts\Headless Mode &amp; Sideloading\WalkAndUnGZ.bat" "%USERPROFILE%\AppData\Local\Temp\OnboardLogs"\RTDC4021\2017-02-05 &amp; aws s3 cp s3://rtdc.mdm.uploadarchive.raw/RTDC4021/ "%USERPROFILE%\AppData\Local\Temp\OnboardLogs"\RTDC4021\2017-02-06 --exclude "*" --recursive --include "*20170206*" &amp; "%USERPROFILE%\Documents\GitHub\mrs-test-scripts\Headless Mode &amp; Sideloading\WalkAndUnGZ.bat" "%USERPROFILE%\AppData\Local\Temp\OnboardLogs"\RTDC4021\2017-02-06</v>
      </c>
      <c r="AF76" s="82" t="str">
        <f>astrogrep_path&amp;" /spath="&amp;search_path&amp;" /stypes=""app*"&amp;B76&amp;"*"&amp;TEXT(I76-utc_offset/24,"YYYYMMDD")&amp;"*"" /stext="" "&amp;TEXT(I76-utc_offset/24,"HH")&amp;search_regexp&amp;""" /e /r /s"</f>
        <v>"C:\Program Files (x86)\AstroGrep\AstroGrep.exe" /spath="%USERPROFILE%\AppData\Local\Temp\OnboardLogs" /stypes="app*4021*20170205*" /stext=" 20:.+((SYSTEM_STATE.+slice.+state.+changed )|(ment ac)|(multiple cpu faults)|(system.+state.+changed )|(\[timeout)|(PRM\|1\|D)|(kpr)|(kdp)|(\|lc)|(penalty))" /e /r /s</v>
      </c>
      <c r="AG76" s="1" t="str">
        <f>IFERROR(IF(VALUE(LEFT(AD76,2))&lt;=2,"EC",IF(OR(VALUE(LEFT(AD76,2))=8,VALUE(LEFT(AD76,2))=18),"NW","Other")),"Other")</f>
        <v>EC</v>
      </c>
      <c r="AH76" s="86" t="str">
        <f t="shared" si="3"/>
        <v>"%USERPROFILE%\Documents\GitHub\eaglep3\Utilities\RefineRTDCRunTimes.py" --tripid 164-05 --locoid 4021 --swversion DE.1.0.8.0 --startMP 204:232978 --initTime 2017-02-05T12:23:50 --startdatetime 2017-02-05T12:26:45 --delay 1 --endMP 204:152 --enddatetime 2017-02-05T13:04:06 --enforcementcount 0 &gt;&gt;C:\Users\stu\Documents\GitHub\eaglep3-reporting\EC\2017-02-05-refined-times.txt</v>
      </c>
      <c r="AI76" s="108" t="str">
        <f t="shared" si="4"/>
        <v>echo {"issue":{"subject":"","project_id":79,"tracker_id":40,"status_id":1,"priority_id":2,"assigned_to_id":23,"start_date":"2017-02-05","description":"","custom_fields":[{"id":1,"name":"Subdivision","value":"EC"},{"id":4,"name":"Milepost","value":"0.0152"},{"id":17,"name":"Train ID","value":"164-05"},{"id":16,"name":"Locomotive ID","value":"4021"},{"id":130,"name":"Impact","value":""},{"id":150,"name":"Time of Event (Mountain Time)","value":"13:04:06"},{"id":151,"name":"Denver Issue ID","value":""},{"id":178,"name":"Operational Impact","value":"Yes"},{"id":179,"name":"Denver Segment Assigned","value":""}]}} | curl -X POST -H "Content-Type: application/json" -H "X-Redmine-API-Key: d6333d4a04012a730768444271f8ca06482dae87" https://secure.xorail.net/redmine/issues.json --data @-</v>
      </c>
      <c r="AJ76" s="48"/>
      <c r="AK76" s="48"/>
      <c r="AL76" s="48"/>
      <c r="AM76" s="158" t="str">
        <f t="shared" si="5"/>
        <v>start /low /b %USERPROFILE%\Documents\GitHub\eaglep3\Utilities\DownloadLogsFromS3.py --loco 4021 --day 2017-02-05</v>
      </c>
      <c r="AN76" s="167" t="str">
        <f>"grep -SE -B400 ""CHR.+\|PRM\|1\|D.+(SWITCH|SIGNAL).+UNKNOWN"" "&amp;search_path&amp;"\RTDC"&amp;B76&amp;"\*"&amp;B76&amp;"*"&amp;TEXT(AVERAGE(F76,I76)-utc_offset/24,"YYYYMMDD")&amp;"* | grep -SE ""(Enforcement Action)|(\[TIMEOUT)|(CHR.+\|PRM\|1\|D.+(SWITCH|SIGNAL).+UNKNOWN)"" - &gt;&gt; "&amp;TEXT(Variables!$A$2,"YYYY-MM-DD")&amp;"-UncaughtWiMAX.txt"</f>
        <v>grep -SE -B400 "CHR.+\|PRM\|1\|D.+(SWITCH|SIGNAL).+UNKNOWN" "%USERPROFILE%\AppData\Local\Temp\OnboardLogs"\RTDC4021\*4021*20170205* | grep -SE "(Enforcement Action)|(\[TIMEOUT)|(CHR.+\|PRM\|1\|D.+(SWITCH|SIGNAL).+UNKNOWN)" - &gt;&gt; 2017-02-05-UncaughtWiMAX.txt</v>
      </c>
      <c r="AO76"/>
      <c r="AP76"/>
      <c r="AQ76"/>
      <c r="AR76"/>
      <c r="AS76"/>
      <c r="AT76"/>
      <c r="AU76"/>
      <c r="AV76"/>
      <c r="AW76"/>
      <c r="AX76"/>
      <c r="AY76"/>
      <c r="AZ76"/>
      <c r="BA76"/>
      <c r="BB76"/>
      <c r="BC76"/>
      <c r="BD76"/>
      <c r="BE76"/>
      <c r="BF76"/>
      <c r="BG76"/>
      <c r="BH76"/>
      <c r="BI76"/>
      <c r="BJ76"/>
      <c r="BK76"/>
      <c r="BL76"/>
      <c r="BM76"/>
      <c r="BN76"/>
      <c r="BO76"/>
      <c r="BP76"/>
      <c r="BQ76"/>
      <c r="BR76"/>
      <c r="BS76"/>
      <c r="BT76"/>
      <c r="BU76"/>
      <c r="BV76"/>
      <c r="BW76"/>
      <c r="BX76"/>
      <c r="BY76"/>
      <c r="BZ76"/>
      <c r="CA76"/>
      <c r="CB76"/>
      <c r="CC76"/>
      <c r="CD76"/>
      <c r="CE76"/>
      <c r="CF76"/>
      <c r="CG76"/>
      <c r="CH76"/>
      <c r="CI76"/>
      <c r="CJ76"/>
      <c r="CK76"/>
      <c r="CL76"/>
      <c r="CM76"/>
    </row>
    <row r="77" spans="1:91" x14ac:dyDescent="0.25">
      <c r="A77" s="33" t="s">
        <v>622</v>
      </c>
      <c r="B77" s="7">
        <v>4002</v>
      </c>
      <c r="C77" s="21" t="s">
        <v>193</v>
      </c>
      <c r="D77" s="21" t="s">
        <v>774</v>
      </c>
      <c r="E77" s="13">
        <v>42771.484965277778</v>
      </c>
      <c r="F77" s="13">
        <v>42771.489756944444</v>
      </c>
      <c r="G77" s="7">
        <v>1</v>
      </c>
      <c r="H77" s="21" t="s">
        <v>306</v>
      </c>
      <c r="I77" s="13">
        <v>42771.515844907408</v>
      </c>
      <c r="J77" s="7">
        <v>0</v>
      </c>
      <c r="K77" s="98" t="str">
        <f>IF(ISEVEN(B77),(B77-1)&amp;"/"&amp;B77,B77&amp;"/"&amp;(B77+1))</f>
        <v>4001/4002</v>
      </c>
      <c r="L77" s="21" t="str">
        <f>VLOOKUP(A77,'Trips&amp;Operators'!$C$1:$G$99999,5,FALSE)</f>
        <v>WHITED DUSTIN</v>
      </c>
      <c r="M77" s="6">
        <f>I77-F77</f>
        <v>2.6087962964083999E-2</v>
      </c>
      <c r="N77" s="7">
        <f>24*60*SUM($M77:$M77)</f>
        <v>37.566666668280959</v>
      </c>
      <c r="O77" s="7"/>
      <c r="P77" s="7"/>
      <c r="Q77" s="22"/>
      <c r="R77" s="22"/>
      <c r="S77" s="31">
        <f>SUM(U77:U77)/IF(AG77="EC",12,1)</f>
        <v>1</v>
      </c>
      <c r="T77" s="46" t="str">
        <f>IF(ISEVEN(LEFT(AD77,4)),"Southbound","NorthBound")</f>
        <v>NorthBound</v>
      </c>
      <c r="U77" s="190">
        <f>IF(AG77="EC",COUNTIFS(Variables!$M$2:$M$19,IF(T77="NorthBound","&gt;=","&lt;=")&amp;Y77,Variables!$M$2:$M$19,IF(T77="NorthBound","&lt;=","&gt;=")&amp;Z77),COUNTIFS(Variables!$P$2:$P$19,IF(T77="NorthBound","&gt;=","&lt;=")&amp;Y77,Variables!$P$2:$P$19,IF(T77="NorthBound","&lt;=","&gt;=")&amp;Z77))</f>
        <v>12</v>
      </c>
      <c r="V77" s="191" t="str">
        <f>"https://d0f6bd738d7f1b3e5a7ca70fe4ff75f0.us-east-1.aws.found.io/app/kibana#/discover/Steve-Slow-Train-Analysis-(2080s-and-2083s)?_g="&amp;"(refreshInterval:(display:Off,pause:!f,section:0,value:0),time:(from:'"&amp;TEXT(E77-1/24,"yyyy-MM-DDThh:mm:ss")&amp;utc_offset&amp;"00"&amp;"',mode:absolute,to:'"&amp;TEXT(I77+1/24,"yyyy-MM-DDThh:mm:ss")&amp;utc_offset&amp;"00"&amp;"'))&amp;_a=(columns:!('Locomotive+ID','Data.Head+End+Milepost',Data.Speed,'Data.Locomotive+State','Data.Train+ID',"&amp;"'Data.Warning%2FEnforcement+Type','Data.Target+Start+Milepost','Data.Target+Description','Data.Target+Speed',"&amp;"'Data.Enforcement+Train+Speed','Data.Enforcement+Start+Milepost','Data.Target+Type','Data.Enforcement+Direction+of+Travel','Message+ID',"&amp;"'Data.Body+of+Summary+Text','Data.Head+End+Track+name'),filters:!(),index:'emp_*',interval:auto,query:"&amp;"(query_string:(analyze_wildcard:!t,query:'Message%5C+ID:(2083+OR+2080+OR+1041+OR+2003+OR+1051+OR+1043+OR+1053)+AND+%22rtdc.l.rtdc."&amp;B77&amp;"%22')),sort:!(Time.ISO8601,asc))"</f>
        <v>https://d0f6bd738d7f1b3e5a7ca70fe4ff75f0.us-east-1.aws.found.io/app/kibana#/discover/Steve-Slow-Train-Analysis-(2080s-and-2083s)?_g=(refreshInterval:(display:Off,pause:!f,section:0,value:0),time:(from:'2017-02-05T10:38:21-0700',mode:absolute,to:'2017-02-05T13:22:49-0700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4002%22')),sort:!(Time.ISO8601,asc))</v>
      </c>
      <c r="W77" s="192" t="str">
        <f>IF(AA77&lt;IF(AG77="EC",23,5.65),"Y","N")</f>
        <v>N</v>
      </c>
      <c r="X77" s="192">
        <f>VALUE(LEFT(AD77,4))-VALUE(LEFT(AD76,4))</f>
        <v>1</v>
      </c>
      <c r="Y77" s="62">
        <f>RIGHT(D77,LEN(D77)-4)/10000</f>
        <v>4.2900000000000001E-2</v>
      </c>
      <c r="Z77" s="62">
        <f>RIGHT(H77,LEN(H77)-4)/10000</f>
        <v>23.3308</v>
      </c>
      <c r="AA77" s="62">
        <f>ABS(Z77-Y77)</f>
        <v>23.2879</v>
      </c>
      <c r="AB77" s="59" t="e">
        <f>VLOOKUP(A77,Enforcements!$C$7:$K$16,8,0)</f>
        <v>#N/A</v>
      </c>
      <c r="AC77" s="55" t="e">
        <f>VLOOKUP(A77,Enforcements!$C$7:$E$16,3,0)</f>
        <v>#N/A</v>
      </c>
      <c r="AD77" s="56" t="str">
        <f>IF(LEN(A77)=6,"0"&amp;A77,A77)</f>
        <v>0165-05</v>
      </c>
      <c r="AE77" s="85" t="str">
        <f>"aws s3 cp "&amp;s3_bucket&amp;"/RTDC"&amp;B77&amp;"/ "&amp;search_path&amp;"\RTDC"&amp;B77&amp;"\"&amp;TEXT(F77,"YYYY-MM-DD")&amp;" --exclude ""*"" --recursive --include ""*"&amp;TEXT(F77,"YYYYMMDD")&amp;"*"" &amp; """&amp;walkandungz&amp;""" "&amp;search_path&amp;"\RTDC"&amp;B77&amp;"\"&amp;TEXT(F77,"YYYY-MM-DD")
&amp;" &amp; "&amp;"aws s3 cp "&amp;s3_bucket&amp;"/RTDC"&amp;B77&amp;"/ "&amp;search_path&amp;"\RTDC"&amp;B77&amp;"\"&amp;TEXT(F77+1,"YYYY-MM-DD")&amp;" --exclude ""*"" --recursive --include ""*"&amp;TEXT(F77+1,"YYYYMMDD")&amp;"*"" &amp; """&amp;walkandungz&amp;""" "&amp;search_path&amp;"\RTDC"&amp;B77&amp;"\"&amp;TEXT(F77+1,"YYYY-MM-DD")</f>
        <v>aws s3 cp s3://rtdc.mdm.uploadarchive.raw/RTDC4002/ "%USERPROFILE%\AppData\Local\Temp\OnboardLogs"\RTDC4002\2017-02-05 --exclude "*" --recursive --include "*20170205*" &amp; "%USERPROFILE%\Documents\GitHub\mrs-test-scripts\Headless Mode &amp; Sideloading\WalkAndUnGZ.bat" "%USERPROFILE%\AppData\Local\Temp\OnboardLogs"\RTDC4002\2017-02-05 &amp; aws s3 cp s3://rtdc.mdm.uploadarchive.raw/RTDC4002/ "%USERPROFILE%\AppData\Local\Temp\OnboardLogs"\RTDC4002\2017-02-06 --exclude "*" --recursive --include "*20170206*" &amp; "%USERPROFILE%\Documents\GitHub\mrs-test-scripts\Headless Mode &amp; Sideloading\WalkAndUnGZ.bat" "%USERPROFILE%\AppData\Local\Temp\OnboardLogs"\RTDC4002\2017-02-06</v>
      </c>
      <c r="AF77" s="82" t="str">
        <f>astrogrep_path&amp;" /spath="&amp;search_path&amp;" /stypes=""app*"&amp;B77&amp;"*"&amp;TEXT(I77-utc_offset/24,"YYYYMMDD")&amp;"*"" /stext="" "&amp;TEXT(I77-utc_offset/24,"HH")&amp;search_regexp&amp;""" /e /r /s"</f>
        <v>"C:\Program Files (x86)\AstroGrep\AstroGrep.exe" /spath="%USERPROFILE%\AppData\Local\Temp\OnboardLogs" /stypes="app*4002*20170205*" /stext=" 19:.+((SYSTEM_STATE.+slice.+state.+changed )|(ment ac)|(multiple cpu faults)|(system.+state.+changed )|(\[timeout)|(PRM\|1\|D)|(kpr)|(kdp)|(\|lc)|(penalty))" /e /r /s</v>
      </c>
      <c r="AG77" s="1" t="str">
        <f>IFERROR(IF(VALUE(LEFT(AD77,2))&lt;=2,"EC",IF(OR(VALUE(LEFT(AD77,2))=8,VALUE(LEFT(AD77,2))=18),"NW","Other")),"Other")</f>
        <v>EC</v>
      </c>
      <c r="AH77" s="86" t="str">
        <f t="shared" ref="AH77:AH139" si="7">refinertdcruntimes&amp;" --tripid "&amp;A77&amp;" --locoid "&amp;B77&amp;" --swversion "&amp;C77&amp;" --startMP "&amp;D77&amp;" --initTime "&amp;TEXT(E77,"yyyy-mm-ddTHH:MM:SS")&amp;" --startdatetime "&amp;TEXT(F77,"yyyy-mm-ddTHH:MM:SS")&amp;" --delay "&amp;G77&amp;" --endMP "&amp;H77&amp;" --enddatetime "&amp;TEXT(I77,"yyyy-mm-ddTHH:MM:SS")&amp;" --enforcementcount "&amp;J77&amp;IF(outputrefinedruntimes," &gt;&gt;"&amp;RefinedRTDCRunTimesOutputFile,"")</f>
        <v>"%USERPROFILE%\Documents\GitHub\eaglep3\Utilities\RefineRTDCRunTimes.py" --tripid 165-05 --locoid 4002 --swversion DE.1.0.8.0 --startMP 204:429 --initTime 2017-02-05T11:38:21 --startdatetime 2017-02-05T11:45:15 --delay 1 --endMP 204:233308 --enddatetime 2017-02-05T12:22:49 --enforcementcount 0 &gt;&gt;C:\Users\stu\Documents\GitHub\eaglep3-reporting\EC\2017-02-05-refined-times.txt</v>
      </c>
      <c r="AI77" s="108" t="str">
        <f t="shared" ref="AI77:AI139" si="8">"echo {""issue"":{""subject"":"""&amp;R77&amp;""",""project_id"":79,""tracker_id"":40,""status_id"":"&amp;redmine_status&amp;",""priority_id"":"&amp;redmine_priority&amp;",""assigned_to_id"":"&amp;redmine_assignee&amp;",""start_date"":"""&amp;TEXT(I77,"YYYY-mm-dd")&amp;""",""description"":"""&amp;AJ77&amp;""",""custom_fields"":[{""id"":1,""name"":""Subdivision"",""value"":"""&amp;AG77&amp;"""},{""id"":4,""name"":""Milepost"",""value"":"""&amp;Z77&amp;"""},{""id"":17,""name"":""Train ID"",""value"":"""&amp;A77&amp;"""},{""id"":16,""name"":""Locomotive ID"",""value"":"""&amp;B77&amp;"""},{""id"":130,""name"":""Impact"",""value"":"""&amp;AK77&amp;"""},{""id"":150,""name"":""Time of Event (Mountain Time)"",""value"":"""&amp;TEXT(I77,"hh:mm:ss")&amp;"""},{""id"":151,""name"":""Denver Issue ID"",""value"":"""&amp;"""},{""id"":178,""name"":""Operational Impact"",""value"":"""&amp;redmine_op_impact&amp;"""},{""id"":179,""name"":""Denver Segment Assigned"",""value"":"""&amp;AL77&amp;"""}]}}"&amp;" | curl -X POST -H ""Content-Type: application/json"" -H ""X-Redmine-API-Key: "&amp;redm_api_key&amp;""" "&amp;redm_url&amp;" --data @-"</f>
        <v>echo {"issue":{"subject":"","project_id":79,"tracker_id":40,"status_id":1,"priority_id":2,"assigned_to_id":23,"start_date":"2017-02-05","description":"","custom_fields":[{"id":1,"name":"Subdivision","value":"EC"},{"id":4,"name":"Milepost","value":"23.3308"},{"id":17,"name":"Train ID","value":"165-05"},{"id":16,"name":"Locomotive ID","value":"4002"},{"id":130,"name":"Impact","value":""},{"id":150,"name":"Time of Event (Mountain Time)","value":"12:22:49"},{"id":151,"name":"Denver Issue ID","value":""},{"id":178,"name":"Operational Impact","value":"Yes"},{"id":179,"name":"Denver Segment Assigned","value":""}]}} | curl -X POST -H "Content-Type: application/json" -H "X-Redmine-API-Key: d6333d4a04012a730768444271f8ca06482dae87" https://secure.xorail.net/redmine/issues.json --data @-</v>
      </c>
      <c r="AJ77" s="48"/>
      <c r="AK77" s="48"/>
      <c r="AL77" s="48"/>
      <c r="AM77" s="158" t="str">
        <f t="shared" ref="AM77:AM139" si="9">"start /low /b "&amp;dls3logs&amp;" --loco "&amp;B77&amp;" --day "&amp;TEXT(F77,"YYYY-MM-DD")</f>
        <v>start /low /b %USERPROFILE%\Documents\GitHub\eaglep3\Utilities\DownloadLogsFromS3.py --loco 4002 --day 2017-02-05</v>
      </c>
      <c r="AN77" s="167" t="str">
        <f>"grep -SE -B400 ""CHR.+\|PRM\|1\|D.+(SWITCH|SIGNAL).+UNKNOWN"" "&amp;search_path&amp;"\RTDC"&amp;B77&amp;"\*"&amp;B77&amp;"*"&amp;TEXT(AVERAGE(F77,I77)-utc_offset/24,"YYYYMMDD")&amp;"* | grep -SE ""(Enforcement Action)|(\[TIMEOUT)|(CHR.+\|PRM\|1\|D.+(SWITCH|SIGNAL).+UNKNOWN)"" - &gt;&gt; "&amp;TEXT(Variables!$A$2,"YYYY-MM-DD")&amp;"-UncaughtWiMAX.txt"</f>
        <v>grep -SE -B400 "CHR.+\|PRM\|1\|D.+(SWITCH|SIGNAL).+UNKNOWN" "%USERPROFILE%\AppData\Local\Temp\OnboardLogs"\RTDC4002\*4002*20170205* | grep -SE "(Enforcement Action)|(\[TIMEOUT)|(CHR.+\|PRM\|1\|D.+(SWITCH|SIGNAL).+UNKNOWN)" - &gt;&gt; 2017-02-05-UncaughtWiMAX.txt</v>
      </c>
    </row>
    <row r="78" spans="1:91" x14ac:dyDescent="0.25">
      <c r="A78" s="33" t="s">
        <v>634</v>
      </c>
      <c r="B78" s="7">
        <v>4001</v>
      </c>
      <c r="C78" s="21" t="s">
        <v>193</v>
      </c>
      <c r="D78" s="21" t="s">
        <v>768</v>
      </c>
      <c r="E78" s="13">
        <v>42771.522789351853</v>
      </c>
      <c r="F78" s="13">
        <v>42771.528726851851</v>
      </c>
      <c r="G78" s="7">
        <v>1</v>
      </c>
      <c r="H78" s="21" t="s">
        <v>206</v>
      </c>
      <c r="I78" s="13">
        <v>42771.555949074071</v>
      </c>
      <c r="J78" s="7">
        <v>0</v>
      </c>
      <c r="K78" s="98" t="str">
        <f>IF(ISEVEN(B78),(B78-1)&amp;"/"&amp;B78,B78&amp;"/"&amp;(B78+1))</f>
        <v>4001/4002</v>
      </c>
      <c r="L78" s="21" t="str">
        <f>VLOOKUP(A78,'Trips&amp;Operators'!$C$1:$G$99999,5,FALSE)</f>
        <v>WHITED DUSTIN</v>
      </c>
      <c r="M78" s="6">
        <f>I78-F78</f>
        <v>2.7222222219279502E-2</v>
      </c>
      <c r="N78" s="7">
        <f>24*60*SUM($M78:$M78)</f>
        <v>39.199999995762482</v>
      </c>
      <c r="O78" s="7"/>
      <c r="P78" s="7"/>
      <c r="Q78" s="22"/>
      <c r="R78" s="22"/>
      <c r="S78" s="31">
        <f>SUM(U78:U78)/IF(AG78="EC",12,1)</f>
        <v>1</v>
      </c>
      <c r="T78" s="46" t="str">
        <f>IF(ISEVEN(LEFT(AD78,4)),"Southbound","NorthBound")</f>
        <v>Southbound</v>
      </c>
      <c r="U78" s="190">
        <f>IF(AG78="EC",COUNTIFS(Variables!$M$2:$M$19,IF(T78="NorthBound","&gt;=","&lt;=")&amp;Y78,Variables!$M$2:$M$19,IF(T78="NorthBound","&lt;=","&gt;=")&amp;Z78),COUNTIFS(Variables!$P$2:$P$19,IF(T78="NorthBound","&gt;=","&lt;=")&amp;Y78,Variables!$P$2:$P$19,IF(T78="NorthBound","&lt;=","&gt;=")&amp;Z78))</f>
        <v>12</v>
      </c>
      <c r="V78" s="191" t="str">
        <f>"https://d0f6bd738d7f1b3e5a7ca70fe4ff75f0.us-east-1.aws.found.io/app/kibana#/discover/Steve-Slow-Train-Analysis-(2080s-and-2083s)?_g="&amp;"(refreshInterval:(display:Off,pause:!f,section:0,value:0),time:(from:'"&amp;TEXT(E78-1/24,"yyyy-MM-DDThh:mm:ss")&amp;utc_offset&amp;"00"&amp;"',mode:absolute,to:'"&amp;TEXT(I78+1/24,"yyyy-MM-DDThh:mm:ss")&amp;utc_offset&amp;"00"&amp;"'))&amp;_a=(columns:!('Locomotive+ID','Data.Head+End+Milepost',Data.Speed,'Data.Locomotive+State','Data.Train+ID',"&amp;"'Data.Warning%2FEnforcement+Type','Data.Target+Start+Milepost','Data.Target+Description','Data.Target+Speed',"&amp;"'Data.Enforcement+Train+Speed','Data.Enforcement+Start+Milepost','Data.Target+Type','Data.Enforcement+Direction+of+Travel','Message+ID',"&amp;"'Data.Body+of+Summary+Text','Data.Head+End+Track+name'),filters:!(),index:'emp_*',interval:auto,query:"&amp;"(query_string:(analyze_wildcard:!t,query:'Message%5C+ID:(2083+OR+2080+OR+1041+OR+2003+OR+1051+OR+1043+OR+1053)+AND+%22rtdc.l.rtdc."&amp;B78&amp;"%22')),sort:!(Time.ISO8601,asc))"</f>
        <v>https://d0f6bd738d7f1b3e5a7ca70fe4ff75f0.us-east-1.aws.found.io/app/kibana#/discover/Steve-Slow-Train-Analysis-(2080s-and-2083s)?_g=(refreshInterval:(display:Off,pause:!f,section:0,value:0),time:(from:'2017-02-05T11:32:49-0700',mode:absolute,to:'2017-02-05T14:20:34-0700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4001%22')),sort:!(Time.ISO8601,asc))</v>
      </c>
      <c r="W78" s="192" t="str">
        <f>IF(AA78&lt;IF(AG78="EC",23,5.65),"Y","N")</f>
        <v>N</v>
      </c>
      <c r="X78" s="192">
        <f>VALUE(LEFT(AD78,4))-VALUE(LEFT(AD77,4))</f>
        <v>1</v>
      </c>
      <c r="Y78" s="62">
        <f>RIGHT(D78,LEN(D78)-4)/10000</f>
        <v>23.3</v>
      </c>
      <c r="Z78" s="62">
        <f>RIGHT(H78,LEN(H78)-4)/10000</f>
        <v>1.47E-2</v>
      </c>
      <c r="AA78" s="62">
        <f>ABS(Z78-Y78)</f>
        <v>23.285299999999999</v>
      </c>
      <c r="AB78" s="59" t="e">
        <f>VLOOKUP(A78,Enforcements!$C$7:$K$16,8,0)</f>
        <v>#N/A</v>
      </c>
      <c r="AC78" s="55" t="e">
        <f>VLOOKUP(A78,Enforcements!$C$7:$E$16,3,0)</f>
        <v>#N/A</v>
      </c>
      <c r="AD78" s="56" t="str">
        <f>IF(LEN(A78)=6,"0"&amp;A78,A78)</f>
        <v>0166-05</v>
      </c>
      <c r="AE78" s="85" t="str">
        <f>"aws s3 cp "&amp;s3_bucket&amp;"/RTDC"&amp;B78&amp;"/ "&amp;search_path&amp;"\RTDC"&amp;B78&amp;"\"&amp;TEXT(F78,"YYYY-MM-DD")&amp;" --exclude ""*"" --recursive --include ""*"&amp;TEXT(F78,"YYYYMMDD")&amp;"*"" &amp; """&amp;walkandungz&amp;""" "&amp;search_path&amp;"\RTDC"&amp;B78&amp;"\"&amp;TEXT(F78,"YYYY-MM-DD")
&amp;" &amp; "&amp;"aws s3 cp "&amp;s3_bucket&amp;"/RTDC"&amp;B78&amp;"/ "&amp;search_path&amp;"\RTDC"&amp;B78&amp;"\"&amp;TEXT(F78+1,"YYYY-MM-DD")&amp;" --exclude ""*"" --recursive --include ""*"&amp;TEXT(F78+1,"YYYYMMDD")&amp;"*"" &amp; """&amp;walkandungz&amp;""" "&amp;search_path&amp;"\RTDC"&amp;B78&amp;"\"&amp;TEXT(F78+1,"YYYY-MM-DD")</f>
        <v>aws s3 cp s3://rtdc.mdm.uploadarchive.raw/RTDC4001/ "%USERPROFILE%\AppData\Local\Temp\OnboardLogs"\RTDC4001\2017-02-05 --exclude "*" --recursive --include "*20170205*" &amp; "%USERPROFILE%\Documents\GitHub\mrs-test-scripts\Headless Mode &amp; Sideloading\WalkAndUnGZ.bat" "%USERPROFILE%\AppData\Local\Temp\OnboardLogs"\RTDC4001\2017-02-05 &amp; aws s3 cp s3://rtdc.mdm.uploadarchive.raw/RTDC4001/ "%USERPROFILE%\AppData\Local\Temp\OnboardLogs"\RTDC4001\2017-02-06 --exclude "*" --recursive --include "*20170206*" &amp; "%USERPROFILE%\Documents\GitHub\mrs-test-scripts\Headless Mode &amp; Sideloading\WalkAndUnGZ.bat" "%USERPROFILE%\AppData\Local\Temp\OnboardLogs"\RTDC4001\2017-02-06</v>
      </c>
      <c r="AF78" s="82" t="str">
        <f>astrogrep_path&amp;" /spath="&amp;search_path&amp;" /stypes=""app*"&amp;B78&amp;"*"&amp;TEXT(I78-utc_offset/24,"YYYYMMDD")&amp;"*"" /stext="" "&amp;TEXT(I78-utc_offset/24,"HH")&amp;search_regexp&amp;""" /e /r /s"</f>
        <v>"C:\Program Files (x86)\AstroGrep\AstroGrep.exe" /spath="%USERPROFILE%\AppData\Local\Temp\OnboardLogs" /stypes="app*4001*20170205*" /stext=" 20:.+((SYSTEM_STATE.+slice.+state.+changed )|(ment ac)|(multiple cpu faults)|(system.+state.+changed )|(\[timeout)|(PRM\|1\|D)|(kpr)|(kdp)|(\|lc)|(penalty))" /e /r /s</v>
      </c>
      <c r="AG78" s="1" t="str">
        <f>IFERROR(IF(VALUE(LEFT(AD78,2))&lt;=2,"EC",IF(OR(VALUE(LEFT(AD78,2))=8,VALUE(LEFT(AD78,2))=18),"NW","Other")),"Other")</f>
        <v>EC</v>
      </c>
      <c r="AH78" s="86" t="str">
        <f t="shared" si="7"/>
        <v>"%USERPROFILE%\Documents\GitHub\eaglep3\Utilities\RefineRTDCRunTimes.py" --tripid 166-05 --locoid 4001 --swversion DE.1.0.8.0 --startMP 204:233000 --initTime 2017-02-05T12:32:49 --startdatetime 2017-02-05T12:41:22 --delay 1 --endMP 204:147 --enddatetime 2017-02-05T13:20:34 --enforcementcount 0 &gt;&gt;C:\Users\stu\Documents\GitHub\eaglep3-reporting\EC\2017-02-05-refined-times.txt</v>
      </c>
      <c r="AI78" s="108" t="str">
        <f t="shared" si="8"/>
        <v>echo {"issue":{"subject":"","project_id":79,"tracker_id":40,"status_id":1,"priority_id":2,"assigned_to_id":23,"start_date":"2017-02-05","description":"","custom_fields":[{"id":1,"name":"Subdivision","value":"EC"},{"id":4,"name":"Milepost","value":"0.0147"},{"id":17,"name":"Train ID","value":"166-05"},{"id":16,"name":"Locomotive ID","value":"4001"},{"id":130,"name":"Impact","value":""},{"id":150,"name":"Time of Event (Mountain Time)","value":"13:20:34"},{"id":151,"name":"Denver Issue ID","value":""},{"id":178,"name":"Operational Impact","value":"Yes"},{"id":179,"name":"Denver Segment Assigned","value":""}]}} | curl -X POST -H "Content-Type: application/json" -H "X-Redmine-API-Key: d6333d4a04012a730768444271f8ca06482dae87" https://secure.xorail.net/redmine/issues.json --data @-</v>
      </c>
      <c r="AJ78" s="48"/>
      <c r="AK78" s="48"/>
      <c r="AL78" s="48"/>
      <c r="AM78" s="158" t="str">
        <f t="shared" si="9"/>
        <v>start /low /b %USERPROFILE%\Documents\GitHub\eaglep3\Utilities\DownloadLogsFromS3.py --loco 4001 --day 2017-02-05</v>
      </c>
      <c r="AN78" s="167" t="str">
        <f>"grep -SE -B400 ""CHR.+\|PRM\|1\|D.+(SWITCH|SIGNAL).+UNKNOWN"" "&amp;search_path&amp;"\RTDC"&amp;B78&amp;"\*"&amp;B78&amp;"*"&amp;TEXT(AVERAGE(F78,I78)-utc_offset/24,"YYYYMMDD")&amp;"* | grep -SE ""(Enforcement Action)|(\[TIMEOUT)|(CHR.+\|PRM\|1\|D.+(SWITCH|SIGNAL).+UNKNOWN)"" - &gt;&gt; "&amp;TEXT(Variables!$A$2,"YYYY-MM-DD")&amp;"-UncaughtWiMAX.txt"</f>
        <v>grep -SE -B400 "CHR.+\|PRM\|1\|D.+(SWITCH|SIGNAL).+UNKNOWN" "%USERPROFILE%\AppData\Local\Temp\OnboardLogs"\RTDC4001\*4001*20170205* | grep -SE "(Enforcement Action)|(\[TIMEOUT)|(CHR.+\|PRM\|1\|D.+(SWITCH|SIGNAL).+UNKNOWN)" - &gt;&gt; 2017-02-05-UncaughtWiMAX.txt</v>
      </c>
    </row>
    <row r="79" spans="1:91" s="20" customFormat="1" x14ac:dyDescent="0.25">
      <c r="A79" s="33" t="s">
        <v>624</v>
      </c>
      <c r="B79" s="7">
        <v>4031</v>
      </c>
      <c r="C79" s="21" t="s">
        <v>193</v>
      </c>
      <c r="D79" s="21" t="s">
        <v>778</v>
      </c>
      <c r="E79" s="13">
        <v>42771.493541666663</v>
      </c>
      <c r="F79" s="13">
        <v>42771.500173611108</v>
      </c>
      <c r="G79" s="7">
        <v>2</v>
      </c>
      <c r="H79" s="21" t="s">
        <v>284</v>
      </c>
      <c r="I79" s="13">
        <v>42771.524918981479</v>
      </c>
      <c r="J79" s="7">
        <v>0</v>
      </c>
      <c r="K79" s="98" t="str">
        <f>IF(ISEVEN(B79),(B79-1)&amp;"/"&amp;B79,B79&amp;"/"&amp;(B79+1))</f>
        <v>4031/4032</v>
      </c>
      <c r="L79" s="21" t="str">
        <f>VLOOKUP(A79,'Trips&amp;Operators'!$C$1:$G$99999,5,FALSE)</f>
        <v>CRAYTON QUNTRELL</v>
      </c>
      <c r="M79" s="6">
        <f>I79-F79</f>
        <v>2.47453703705105E-2</v>
      </c>
      <c r="N79" s="7">
        <f>24*60*SUM($M79:$M79)</f>
        <v>35.63333333353512</v>
      </c>
      <c r="O79" s="7"/>
      <c r="P79" s="7"/>
      <c r="Q79" s="22"/>
      <c r="R79" s="22"/>
      <c r="S79" s="31">
        <f>SUM(U79:U79)/IF(AG79="EC",12,1)</f>
        <v>1</v>
      </c>
      <c r="T79" s="46" t="str">
        <f>IF(ISEVEN(LEFT(AD79,4)),"Southbound","NorthBound")</f>
        <v>NorthBound</v>
      </c>
      <c r="U79" s="190">
        <f>IF(AG79="EC",COUNTIFS(Variables!$M$2:$M$19,IF(T79="NorthBound","&gt;=","&lt;=")&amp;Y79,Variables!$M$2:$M$19,IF(T79="NorthBound","&lt;=","&gt;=")&amp;Z79),COUNTIFS(Variables!$P$2:$P$19,IF(T79="NorthBound","&gt;=","&lt;=")&amp;Y79,Variables!$P$2:$P$19,IF(T79="NorthBound","&lt;=","&gt;=")&amp;Z79))</f>
        <v>12</v>
      </c>
      <c r="V79" s="191" t="str">
        <f>"https://d0f6bd738d7f1b3e5a7ca70fe4ff75f0.us-east-1.aws.found.io/app/kibana#/discover/Steve-Slow-Train-Analysis-(2080s-and-2083s)?_g="&amp;"(refreshInterval:(display:Off,pause:!f,section:0,value:0),time:(from:'"&amp;TEXT(E79-1/24,"yyyy-MM-DDThh:mm:ss")&amp;utc_offset&amp;"00"&amp;"',mode:absolute,to:'"&amp;TEXT(I79+1/24,"yyyy-MM-DDThh:mm:ss")&amp;utc_offset&amp;"00"&amp;"'))&amp;_a=(columns:!('Locomotive+ID','Data.Head+End+Milepost',Data.Speed,'Data.Locomotive+State','Data.Train+ID',"&amp;"'Data.Warning%2FEnforcement+Type','Data.Target+Start+Milepost','Data.Target+Description','Data.Target+Speed',"&amp;"'Data.Enforcement+Train+Speed','Data.Enforcement+Start+Milepost','Data.Target+Type','Data.Enforcement+Direction+of+Travel','Message+ID',"&amp;"'Data.Body+of+Summary+Text','Data.Head+End+Track+name'),filters:!(),index:'emp_*',interval:auto,query:"&amp;"(query_string:(analyze_wildcard:!t,query:'Message%5C+ID:(2083+OR+2080+OR+1041+OR+2003+OR+1051+OR+1043+OR+1053)+AND+%22rtdc.l.rtdc."&amp;B79&amp;"%22')),sort:!(Time.ISO8601,asc))"</f>
        <v>https://d0f6bd738d7f1b3e5a7ca70fe4ff75f0.us-east-1.aws.found.io/app/kibana#/discover/Steve-Slow-Train-Analysis-(2080s-and-2083s)?_g=(refreshInterval:(display:Off,pause:!f,section:0,value:0),time:(from:'2017-02-05T10:50:42-0700',mode:absolute,to:'2017-02-05T13:35:53-0700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4031%22')),sort:!(Time.ISO8601,asc))</v>
      </c>
      <c r="W79" s="192" t="str">
        <f>IF(AA79&lt;IF(AG79="EC",23,5.65),"Y","N")</f>
        <v>N</v>
      </c>
      <c r="X79" s="192">
        <f>VALUE(LEFT(AD79,4))-VALUE(LEFT(AD78,4))</f>
        <v>1</v>
      </c>
      <c r="Y79" s="62">
        <f>RIGHT(D79,LEN(D79)-4)/10000</f>
        <v>4.9299999999999997E-2</v>
      </c>
      <c r="Z79" s="62">
        <f>RIGHT(H79,LEN(H79)-4)/10000</f>
        <v>23.330100000000002</v>
      </c>
      <c r="AA79" s="62">
        <f>ABS(Z79-Y79)</f>
        <v>23.280800000000003</v>
      </c>
      <c r="AB79" s="59" t="e">
        <f>VLOOKUP(A79,Enforcements!$C$7:$K$16,8,0)</f>
        <v>#N/A</v>
      </c>
      <c r="AC79" s="55" t="e">
        <f>VLOOKUP(A79,Enforcements!$C$7:$E$16,3,0)</f>
        <v>#N/A</v>
      </c>
      <c r="AD79" s="56" t="str">
        <f>IF(LEN(A79)=6,"0"&amp;A79,A79)</f>
        <v>0167-05</v>
      </c>
      <c r="AE79" s="85" t="str">
        <f>"aws s3 cp "&amp;s3_bucket&amp;"/RTDC"&amp;B79&amp;"/ "&amp;search_path&amp;"\RTDC"&amp;B79&amp;"\"&amp;TEXT(F79,"YYYY-MM-DD")&amp;" --exclude ""*"" --recursive --include ""*"&amp;TEXT(F79,"YYYYMMDD")&amp;"*"" &amp; """&amp;walkandungz&amp;""" "&amp;search_path&amp;"\RTDC"&amp;B79&amp;"\"&amp;TEXT(F79,"YYYY-MM-DD")
&amp;" &amp; "&amp;"aws s3 cp "&amp;s3_bucket&amp;"/RTDC"&amp;B79&amp;"/ "&amp;search_path&amp;"\RTDC"&amp;B79&amp;"\"&amp;TEXT(F79+1,"YYYY-MM-DD")&amp;" --exclude ""*"" --recursive --include ""*"&amp;TEXT(F79+1,"YYYYMMDD")&amp;"*"" &amp; """&amp;walkandungz&amp;""" "&amp;search_path&amp;"\RTDC"&amp;B79&amp;"\"&amp;TEXT(F79+1,"YYYY-MM-DD")</f>
        <v>aws s3 cp s3://rtdc.mdm.uploadarchive.raw/RTDC4031/ "%USERPROFILE%\AppData\Local\Temp\OnboardLogs"\RTDC4031\2017-02-05 --exclude "*" --recursive --include "*20170205*" &amp; "%USERPROFILE%\Documents\GitHub\mrs-test-scripts\Headless Mode &amp; Sideloading\WalkAndUnGZ.bat" "%USERPROFILE%\AppData\Local\Temp\OnboardLogs"\RTDC4031\2017-02-05 &amp; aws s3 cp s3://rtdc.mdm.uploadarchive.raw/RTDC4031/ "%USERPROFILE%\AppData\Local\Temp\OnboardLogs"\RTDC4031\2017-02-06 --exclude "*" --recursive --include "*20170206*" &amp; "%USERPROFILE%\Documents\GitHub\mrs-test-scripts\Headless Mode &amp; Sideloading\WalkAndUnGZ.bat" "%USERPROFILE%\AppData\Local\Temp\OnboardLogs"\RTDC4031\2017-02-06</v>
      </c>
      <c r="AF79" s="82" t="str">
        <f>astrogrep_path&amp;" /spath="&amp;search_path&amp;" /stypes=""app*"&amp;B79&amp;"*"&amp;TEXT(I79-utc_offset/24,"YYYYMMDD")&amp;"*"" /stext="" "&amp;TEXT(I79-utc_offset/24,"HH")&amp;search_regexp&amp;""" /e /r /s"</f>
        <v>"C:\Program Files (x86)\AstroGrep\AstroGrep.exe" /spath="%USERPROFILE%\AppData\Local\Temp\OnboardLogs" /stypes="app*4031*20170205*" /stext=" 19:.+((SYSTEM_STATE.+slice.+state.+changed )|(ment ac)|(multiple cpu faults)|(system.+state.+changed )|(\[timeout)|(PRM\|1\|D)|(kpr)|(kdp)|(\|lc)|(penalty))" /e /r /s</v>
      </c>
      <c r="AG79" s="1" t="str">
        <f>IFERROR(IF(VALUE(LEFT(AD79,2))&lt;=2,"EC",IF(OR(VALUE(LEFT(AD79,2))=8,VALUE(LEFT(AD79,2))=18),"NW","Other")),"Other")</f>
        <v>EC</v>
      </c>
      <c r="AH79" s="86" t="str">
        <f t="shared" si="7"/>
        <v>"%USERPROFILE%\Documents\GitHub\eaglep3\Utilities\RefineRTDCRunTimes.py" --tripid 167-05 --locoid 4031 --swversion DE.1.0.8.0 --startMP 204:493 --initTime 2017-02-05T11:50:42 --startdatetime 2017-02-05T12:00:15 --delay 2 --endMP 204:233301 --enddatetime 2017-02-05T12:35:53 --enforcementcount 0 &gt;&gt;C:\Users\stu\Documents\GitHub\eaglep3-reporting\EC\2017-02-05-refined-times.txt</v>
      </c>
      <c r="AI79" s="108" t="str">
        <f t="shared" si="8"/>
        <v>echo {"issue":{"subject":"","project_id":79,"tracker_id":40,"status_id":1,"priority_id":2,"assigned_to_id":23,"start_date":"2017-02-05","description":"","custom_fields":[{"id":1,"name":"Subdivision","value":"EC"},{"id":4,"name":"Milepost","value":"23.3301"},{"id":17,"name":"Train ID","value":"167-05"},{"id":16,"name":"Locomotive ID","value":"4031"},{"id":130,"name":"Impact","value":""},{"id":150,"name":"Time of Event (Mountain Time)","value":"12:35:53"},{"id":151,"name":"Denver Issue ID","value":""},{"id":178,"name":"Operational Impact","value":"Yes"},{"id":179,"name":"Denver Segment Assigned","value":""}]}} | curl -X POST -H "Content-Type: application/json" -H "X-Redmine-API-Key: d6333d4a04012a730768444271f8ca06482dae87" https://secure.xorail.net/redmine/issues.json --data @-</v>
      </c>
      <c r="AJ79" s="48"/>
      <c r="AK79" s="48"/>
      <c r="AL79" s="48"/>
      <c r="AM79" s="158" t="str">
        <f t="shared" si="9"/>
        <v>start /low /b %USERPROFILE%\Documents\GitHub\eaglep3\Utilities\DownloadLogsFromS3.py --loco 4031 --day 2017-02-05</v>
      </c>
      <c r="AN79" s="167" t="str">
        <f>"grep -SE -B400 ""CHR.+\|PRM\|1\|D.+(SWITCH|SIGNAL).+UNKNOWN"" "&amp;search_path&amp;"\RTDC"&amp;B79&amp;"\*"&amp;B79&amp;"*"&amp;TEXT(AVERAGE(F79,I79)-utc_offset/24,"YYYYMMDD")&amp;"* | grep -SE ""(Enforcement Action)|(\[TIMEOUT)|(CHR.+\|PRM\|1\|D.+(SWITCH|SIGNAL).+UNKNOWN)"" - &gt;&gt; "&amp;TEXT(Variables!$A$2,"YYYY-MM-DD")&amp;"-UncaughtWiMAX.txt"</f>
        <v>grep -SE -B400 "CHR.+\|PRM\|1\|D.+(SWITCH|SIGNAL).+UNKNOWN" "%USERPROFILE%\AppData\Local\Temp\OnboardLogs"\RTDC4031\*4031*20170205* | grep -SE "(Enforcement Action)|(\[TIMEOUT)|(CHR.+\|PRM\|1\|D.+(SWITCH|SIGNAL).+UNKNOWN)" - &gt;&gt; 2017-02-05-UncaughtWiMAX.txt</v>
      </c>
      <c r="AO79"/>
      <c r="AP79"/>
      <c r="AQ79"/>
      <c r="AR79"/>
      <c r="AS79"/>
      <c r="AT79"/>
      <c r="AU79"/>
      <c r="AV79"/>
      <c r="AW79"/>
      <c r="AX79"/>
      <c r="AY79"/>
      <c r="AZ79"/>
      <c r="BA79"/>
      <c r="BB79"/>
      <c r="BC79"/>
      <c r="BD79"/>
      <c r="BE79"/>
      <c r="BF79"/>
      <c r="BG79"/>
      <c r="BH79"/>
      <c r="BI79"/>
      <c r="BJ79"/>
      <c r="BK79"/>
      <c r="BL79"/>
      <c r="BM79"/>
      <c r="BN79"/>
      <c r="BO79"/>
      <c r="BP79"/>
      <c r="BQ79"/>
      <c r="BR79"/>
      <c r="BS79"/>
      <c r="BT79"/>
      <c r="BU79"/>
      <c r="BV79"/>
      <c r="BW79"/>
      <c r="BX79"/>
      <c r="BY79"/>
      <c r="BZ79"/>
      <c r="CA79"/>
      <c r="CB79"/>
      <c r="CC79"/>
      <c r="CD79"/>
      <c r="CE79"/>
      <c r="CF79"/>
      <c r="CG79"/>
      <c r="CH79"/>
      <c r="CI79"/>
      <c r="CJ79"/>
      <c r="CK79"/>
      <c r="CL79"/>
      <c r="CM79"/>
    </row>
    <row r="80" spans="1:91" s="20" customFormat="1" x14ac:dyDescent="0.25">
      <c r="A80" s="33" t="s">
        <v>639</v>
      </c>
      <c r="B80" s="7">
        <v>4032</v>
      </c>
      <c r="C80" s="21" t="s">
        <v>193</v>
      </c>
      <c r="D80" s="21" t="s">
        <v>326</v>
      </c>
      <c r="E80" s="13">
        <v>42771.531851851854</v>
      </c>
      <c r="F80" s="13">
        <v>42771.539085648146</v>
      </c>
      <c r="G80" s="7">
        <v>1</v>
      </c>
      <c r="H80" s="21" t="s">
        <v>206</v>
      </c>
      <c r="I80" s="13">
        <v>42771.565625000003</v>
      </c>
      <c r="J80" s="7">
        <v>0</v>
      </c>
      <c r="K80" s="98" t="str">
        <f>IF(ISEVEN(B80),(B80-1)&amp;"/"&amp;B80,B80&amp;"/"&amp;(B80+1))</f>
        <v>4031/4032</v>
      </c>
      <c r="L80" s="21" t="str">
        <f>VLOOKUP(A80,'Trips&amp;Operators'!$C$1:$G$99999,5,FALSE)</f>
        <v>CRAYTON QUNTRELL</v>
      </c>
      <c r="M80" s="6">
        <f>I80-F80</f>
        <v>2.6539351856627036E-2</v>
      </c>
      <c r="N80" s="7">
        <f>24*60*SUM($M80:$M80)</f>
        <v>38.216666673542932</v>
      </c>
      <c r="O80" s="7"/>
      <c r="P80" s="7"/>
      <c r="Q80" s="22"/>
      <c r="R80" s="22"/>
      <c r="S80" s="31">
        <f>SUM(U80:U80)/IF(AG80="EC",12,1)</f>
        <v>1</v>
      </c>
      <c r="T80" s="46" t="str">
        <f>IF(ISEVEN(LEFT(AD80,4)),"Southbound","NorthBound")</f>
        <v>Southbound</v>
      </c>
      <c r="U80" s="190">
        <f>IF(AG80="EC",COUNTIFS(Variables!$M$2:$M$19,IF(T80="NorthBound","&gt;=","&lt;=")&amp;Y80,Variables!$M$2:$M$19,IF(T80="NorthBound","&lt;=","&gt;=")&amp;Z80),COUNTIFS(Variables!$P$2:$P$19,IF(T80="NorthBound","&gt;=","&lt;=")&amp;Y80,Variables!$P$2:$P$19,IF(T80="NorthBound","&lt;=","&gt;=")&amp;Z80))</f>
        <v>12</v>
      </c>
      <c r="V80" s="191" t="str">
        <f>"https://d0f6bd738d7f1b3e5a7ca70fe4ff75f0.us-east-1.aws.found.io/app/kibana#/discover/Steve-Slow-Train-Analysis-(2080s-and-2083s)?_g="&amp;"(refreshInterval:(display:Off,pause:!f,section:0,value:0),time:(from:'"&amp;TEXT(E80-1/24,"yyyy-MM-DDThh:mm:ss")&amp;utc_offset&amp;"00"&amp;"',mode:absolute,to:'"&amp;TEXT(I80+1/24,"yyyy-MM-DDThh:mm:ss")&amp;utc_offset&amp;"00"&amp;"'))&amp;_a=(columns:!('Locomotive+ID','Data.Head+End+Milepost',Data.Speed,'Data.Locomotive+State','Data.Train+ID',"&amp;"'Data.Warning%2FEnforcement+Type','Data.Target+Start+Milepost','Data.Target+Description','Data.Target+Speed',"&amp;"'Data.Enforcement+Train+Speed','Data.Enforcement+Start+Milepost','Data.Target+Type','Data.Enforcement+Direction+of+Travel','Message+ID',"&amp;"'Data.Body+of+Summary+Text','Data.Head+End+Track+name'),filters:!(),index:'emp_*',interval:auto,query:"&amp;"(query_string:(analyze_wildcard:!t,query:'Message%5C+ID:(2083+OR+2080+OR+1041+OR+2003+OR+1051+OR+1043+OR+1053)+AND+%22rtdc.l.rtdc."&amp;B80&amp;"%22')),sort:!(Time.ISO8601,asc))"</f>
        <v>https://d0f6bd738d7f1b3e5a7ca70fe4ff75f0.us-east-1.aws.found.io/app/kibana#/discover/Steve-Slow-Train-Analysis-(2080s-and-2083s)?_g=(refreshInterval:(display:Off,pause:!f,section:0,value:0),time:(from:'2017-02-05T11:45:52-0700',mode:absolute,to:'2017-02-05T14:34:30-0700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4032%22')),sort:!(Time.ISO8601,asc))</v>
      </c>
      <c r="W80" s="192" t="str">
        <f>IF(AA80&lt;IF(AG80="EC",23,5.65),"Y","N")</f>
        <v>N</v>
      </c>
      <c r="X80" s="192">
        <f>VALUE(LEFT(AD80,4))-VALUE(LEFT(AD79,4))</f>
        <v>1</v>
      </c>
      <c r="Y80" s="62">
        <f>RIGHT(D80,LEN(D80)-4)/10000</f>
        <v>23.2986</v>
      </c>
      <c r="Z80" s="62">
        <f>RIGHT(H80,LEN(H80)-4)/10000</f>
        <v>1.47E-2</v>
      </c>
      <c r="AA80" s="62">
        <f>ABS(Z80-Y80)</f>
        <v>23.283899999999999</v>
      </c>
      <c r="AB80" s="59" t="e">
        <f>VLOOKUP(A80,Enforcements!$C$7:$K$16,8,0)</f>
        <v>#N/A</v>
      </c>
      <c r="AC80" s="55" t="e">
        <f>VLOOKUP(A80,Enforcements!$C$7:$E$16,3,0)</f>
        <v>#N/A</v>
      </c>
      <c r="AD80" s="56" t="str">
        <f>IF(LEN(A80)=6,"0"&amp;A80,A80)</f>
        <v>0168-05</v>
      </c>
      <c r="AE80" s="85" t="str">
        <f>"aws s3 cp "&amp;s3_bucket&amp;"/RTDC"&amp;B80&amp;"/ "&amp;search_path&amp;"\RTDC"&amp;B80&amp;"\"&amp;TEXT(F80,"YYYY-MM-DD")&amp;" --exclude ""*"" --recursive --include ""*"&amp;TEXT(F80,"YYYYMMDD")&amp;"*"" &amp; """&amp;walkandungz&amp;""" "&amp;search_path&amp;"\RTDC"&amp;B80&amp;"\"&amp;TEXT(F80,"YYYY-MM-DD")
&amp;" &amp; "&amp;"aws s3 cp "&amp;s3_bucket&amp;"/RTDC"&amp;B80&amp;"/ "&amp;search_path&amp;"\RTDC"&amp;B80&amp;"\"&amp;TEXT(F80+1,"YYYY-MM-DD")&amp;" --exclude ""*"" --recursive --include ""*"&amp;TEXT(F80+1,"YYYYMMDD")&amp;"*"" &amp; """&amp;walkandungz&amp;""" "&amp;search_path&amp;"\RTDC"&amp;B80&amp;"\"&amp;TEXT(F80+1,"YYYY-MM-DD")</f>
        <v>aws s3 cp s3://rtdc.mdm.uploadarchive.raw/RTDC4032/ "%USERPROFILE%\AppData\Local\Temp\OnboardLogs"\RTDC4032\2017-02-05 --exclude "*" --recursive --include "*20170205*" &amp; "%USERPROFILE%\Documents\GitHub\mrs-test-scripts\Headless Mode &amp; Sideloading\WalkAndUnGZ.bat" "%USERPROFILE%\AppData\Local\Temp\OnboardLogs"\RTDC4032\2017-02-05 &amp; aws s3 cp s3://rtdc.mdm.uploadarchive.raw/RTDC4032/ "%USERPROFILE%\AppData\Local\Temp\OnboardLogs"\RTDC4032\2017-02-06 --exclude "*" --recursive --include "*20170206*" &amp; "%USERPROFILE%\Documents\GitHub\mrs-test-scripts\Headless Mode &amp; Sideloading\WalkAndUnGZ.bat" "%USERPROFILE%\AppData\Local\Temp\OnboardLogs"\RTDC4032\2017-02-06</v>
      </c>
      <c r="AF80" s="82" t="str">
        <f>astrogrep_path&amp;" /spath="&amp;search_path&amp;" /stypes=""app*"&amp;B80&amp;"*"&amp;TEXT(I80-utc_offset/24,"YYYYMMDD")&amp;"*"" /stext="" "&amp;TEXT(I80-utc_offset/24,"HH")&amp;search_regexp&amp;""" /e /r /s"</f>
        <v>"C:\Program Files (x86)\AstroGrep\AstroGrep.exe" /spath="%USERPROFILE%\AppData\Local\Temp\OnboardLogs" /stypes="app*4032*20170205*" /stext=" 20:.+((SYSTEM_STATE.+slice.+state.+changed )|(ment ac)|(multiple cpu faults)|(system.+state.+changed )|(\[timeout)|(PRM\|1\|D)|(kpr)|(kdp)|(\|lc)|(penalty))" /e /r /s</v>
      </c>
      <c r="AG80" s="1" t="str">
        <f>IFERROR(IF(VALUE(LEFT(AD80,2))&lt;=2,"EC",IF(OR(VALUE(LEFT(AD80,2))=8,VALUE(LEFT(AD80,2))=18),"NW","Other")),"Other")</f>
        <v>EC</v>
      </c>
      <c r="AH80" s="86" t="str">
        <f t="shared" si="7"/>
        <v>"%USERPROFILE%\Documents\GitHub\eaglep3\Utilities\RefineRTDCRunTimes.py" --tripid 168-05 --locoid 4032 --swversion DE.1.0.8.0 --startMP 204:232986 --initTime 2017-02-05T12:45:52 --startdatetime 2017-02-05T12:56:17 --delay 1 --endMP 204:147 --enddatetime 2017-02-05T13:34:30 --enforcementcount 0 &gt;&gt;C:\Users\stu\Documents\GitHub\eaglep3-reporting\EC\2017-02-05-refined-times.txt</v>
      </c>
      <c r="AI80" s="108" t="str">
        <f t="shared" si="8"/>
        <v>echo {"issue":{"subject":"","project_id":79,"tracker_id":40,"status_id":1,"priority_id":2,"assigned_to_id":23,"start_date":"2017-02-05","description":"","custom_fields":[{"id":1,"name":"Subdivision","value":"EC"},{"id":4,"name":"Milepost","value":"0.0147"},{"id":17,"name":"Train ID","value":"168-05"},{"id":16,"name":"Locomotive ID","value":"4032"},{"id":130,"name":"Impact","value":""},{"id":150,"name":"Time of Event (Mountain Time)","value":"13:34:30"},{"id":151,"name":"Denver Issue ID","value":""},{"id":178,"name":"Operational Impact","value":"Yes"},{"id":179,"name":"Denver Segment Assigned","value":""}]}} | curl -X POST -H "Content-Type: application/json" -H "X-Redmine-API-Key: d6333d4a04012a730768444271f8ca06482dae87" https://secure.xorail.net/redmine/issues.json --data @-</v>
      </c>
      <c r="AJ80" s="48"/>
      <c r="AK80" s="48"/>
      <c r="AL80" s="48"/>
      <c r="AM80" s="158" t="str">
        <f t="shared" si="9"/>
        <v>start /low /b %USERPROFILE%\Documents\GitHub\eaglep3\Utilities\DownloadLogsFromS3.py --loco 4032 --day 2017-02-05</v>
      </c>
      <c r="AN80" s="167" t="str">
        <f>"grep -SE -B400 ""CHR.+\|PRM\|1\|D.+(SWITCH|SIGNAL).+UNKNOWN"" "&amp;search_path&amp;"\RTDC"&amp;B80&amp;"\*"&amp;B80&amp;"*"&amp;TEXT(AVERAGE(F80,I80)-utc_offset/24,"YYYYMMDD")&amp;"* | grep -SE ""(Enforcement Action)|(\[TIMEOUT)|(CHR.+\|PRM\|1\|D.+(SWITCH|SIGNAL).+UNKNOWN)"" - &gt;&gt; "&amp;TEXT(Variables!$A$2,"YYYY-MM-DD")&amp;"-UncaughtWiMAX.txt"</f>
        <v>grep -SE -B400 "CHR.+\|PRM\|1\|D.+(SWITCH|SIGNAL).+UNKNOWN" "%USERPROFILE%\AppData\Local\Temp\OnboardLogs"\RTDC4032\*4032*20170205* | grep -SE "(Enforcement Action)|(\[TIMEOUT)|(CHR.+\|PRM\|1\|D.+(SWITCH|SIGNAL).+UNKNOWN)" - &gt;&gt; 2017-02-05-UncaughtWiMAX.txt</v>
      </c>
      <c r="AO80"/>
      <c r="AP80"/>
      <c r="AQ80"/>
      <c r="AR80"/>
      <c r="AS80"/>
      <c r="AT80"/>
      <c r="AU80"/>
      <c r="AV80"/>
      <c r="AW80"/>
      <c r="AX80"/>
      <c r="AY80"/>
      <c r="AZ80"/>
      <c r="BA80"/>
      <c r="BB80"/>
      <c r="BC80"/>
      <c r="BD80"/>
      <c r="BE80"/>
      <c r="BF80"/>
      <c r="BG80"/>
      <c r="BH80"/>
      <c r="BI80"/>
      <c r="BJ80"/>
      <c r="BK80"/>
      <c r="BL80"/>
      <c r="BM80"/>
      <c r="BN80"/>
      <c r="BO80"/>
      <c r="BP80"/>
      <c r="BQ80"/>
      <c r="BR80"/>
      <c r="BS80"/>
      <c r="BT80"/>
      <c r="BU80"/>
      <c r="BV80"/>
      <c r="BW80"/>
      <c r="BX80"/>
      <c r="BY80"/>
      <c r="BZ80"/>
      <c r="CA80"/>
      <c r="CB80"/>
      <c r="CC80"/>
      <c r="CD80"/>
      <c r="CE80"/>
      <c r="CF80"/>
      <c r="CG80"/>
      <c r="CH80"/>
      <c r="CI80"/>
      <c r="CJ80"/>
      <c r="CK80"/>
      <c r="CL80"/>
      <c r="CM80"/>
    </row>
    <row r="81" spans="1:91" s="20" customFormat="1" x14ac:dyDescent="0.25">
      <c r="A81" s="33" t="s">
        <v>628</v>
      </c>
      <c r="B81" s="7">
        <v>4009</v>
      </c>
      <c r="C81" s="21" t="s">
        <v>193</v>
      </c>
      <c r="D81" s="21" t="s">
        <v>240</v>
      </c>
      <c r="E81" s="13">
        <v>42771.504710648151</v>
      </c>
      <c r="F81" s="13">
        <v>42771.510555555556</v>
      </c>
      <c r="G81" s="7">
        <v>1</v>
      </c>
      <c r="H81" s="21" t="s">
        <v>779</v>
      </c>
      <c r="I81" s="13">
        <v>42771.536030092589</v>
      </c>
      <c r="J81" s="7">
        <v>0</v>
      </c>
      <c r="K81" s="98" t="str">
        <f>IF(ISEVEN(B81),(B81-1)&amp;"/"&amp;B81,B81&amp;"/"&amp;(B81+1))</f>
        <v>4009/4010</v>
      </c>
      <c r="L81" s="21" t="str">
        <f>VLOOKUP(A81,'Trips&amp;Operators'!$C$1:$G$99999,5,FALSE)</f>
        <v>ROMERO CHAD</v>
      </c>
      <c r="M81" s="6">
        <f>I81-F81</f>
        <v>2.5474537033005618E-2</v>
      </c>
      <c r="N81" s="7">
        <f>24*60*SUM($M81:$M81)</f>
        <v>36.683333327528089</v>
      </c>
      <c r="O81" s="7"/>
      <c r="P81" s="7"/>
      <c r="Q81" s="22"/>
      <c r="R81" s="22"/>
      <c r="S81" s="31">
        <f>SUM(U81:U81)/IF(AG81="EC",12,1)</f>
        <v>1</v>
      </c>
      <c r="T81" s="46" t="str">
        <f>IF(ISEVEN(LEFT(AD81,4)),"Southbound","NorthBound")</f>
        <v>NorthBound</v>
      </c>
      <c r="U81" s="190">
        <f>IF(AG81="EC",COUNTIFS(Variables!$M$2:$M$19,IF(T81="NorthBound","&gt;=","&lt;=")&amp;Y81,Variables!$M$2:$M$19,IF(T81="NorthBound","&lt;=","&gt;=")&amp;Z81),COUNTIFS(Variables!$P$2:$P$19,IF(T81="NorthBound","&gt;=","&lt;=")&amp;Y81,Variables!$P$2:$P$19,IF(T81="NorthBound","&lt;=","&gt;=")&amp;Z81))</f>
        <v>12</v>
      </c>
      <c r="V81" s="191" t="str">
        <f>"https://d0f6bd738d7f1b3e5a7ca70fe4ff75f0.us-east-1.aws.found.io/app/kibana#/discover/Steve-Slow-Train-Analysis-(2080s-and-2083s)?_g="&amp;"(refreshInterval:(display:Off,pause:!f,section:0,value:0),time:(from:'"&amp;TEXT(E81-1/24,"yyyy-MM-DDThh:mm:ss")&amp;utc_offset&amp;"00"&amp;"',mode:absolute,to:'"&amp;TEXT(I81+1/24,"yyyy-MM-DDThh:mm:ss")&amp;utc_offset&amp;"00"&amp;"'))&amp;_a=(columns:!('Locomotive+ID','Data.Head+End+Milepost',Data.Speed,'Data.Locomotive+State','Data.Train+ID',"&amp;"'Data.Warning%2FEnforcement+Type','Data.Target+Start+Milepost','Data.Target+Description','Data.Target+Speed',"&amp;"'Data.Enforcement+Train+Speed','Data.Enforcement+Start+Milepost','Data.Target+Type','Data.Enforcement+Direction+of+Travel','Message+ID',"&amp;"'Data.Body+of+Summary+Text','Data.Head+End+Track+name'),filters:!(),index:'emp_*',interval:auto,query:"&amp;"(query_string:(analyze_wildcard:!t,query:'Message%5C+ID:(2083+OR+2080+OR+1041+OR+2003+OR+1051+OR+1043+OR+1053)+AND+%22rtdc.l.rtdc."&amp;B81&amp;"%22')),sort:!(Time.ISO8601,asc))"</f>
        <v>https://d0f6bd738d7f1b3e5a7ca70fe4ff75f0.us-east-1.aws.found.io/app/kibana#/discover/Steve-Slow-Train-Analysis-(2080s-and-2083s)?_g=(refreshInterval:(display:Off,pause:!f,section:0,value:0),time:(from:'2017-02-05T11:06:47-0700',mode:absolute,to:'2017-02-05T13:51:53-0700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4009%22')),sort:!(Time.ISO8601,asc))</v>
      </c>
      <c r="W81" s="192" t="str">
        <f>IF(AA81&lt;IF(AG81="EC",23,5.65),"Y","N")</f>
        <v>N</v>
      </c>
      <c r="X81" s="192">
        <f>VALUE(LEFT(AD81,4))-VALUE(LEFT(AD80,4))</f>
        <v>1</v>
      </c>
      <c r="Y81" s="62">
        <f>RIGHT(D81,LEN(D81)-4)/10000</f>
        <v>4.5100000000000001E-2</v>
      </c>
      <c r="Z81" s="62">
        <f>RIGHT(H81,LEN(H81)-4)/10000</f>
        <v>23.333600000000001</v>
      </c>
      <c r="AA81" s="62">
        <f>ABS(Z81-Y81)</f>
        <v>23.288499999999999</v>
      </c>
      <c r="AB81" s="59" t="e">
        <f>VLOOKUP(A81,Enforcements!$C$7:$K$16,8,0)</f>
        <v>#N/A</v>
      </c>
      <c r="AC81" s="55" t="e">
        <f>VLOOKUP(A81,Enforcements!$C$7:$E$16,3,0)</f>
        <v>#N/A</v>
      </c>
      <c r="AD81" s="56" t="str">
        <f>IF(LEN(A81)=6,"0"&amp;A81,A81)</f>
        <v>0169-05</v>
      </c>
      <c r="AE81" s="85" t="str">
        <f>"aws s3 cp "&amp;s3_bucket&amp;"/RTDC"&amp;B81&amp;"/ "&amp;search_path&amp;"\RTDC"&amp;B81&amp;"\"&amp;TEXT(F81,"YYYY-MM-DD")&amp;" --exclude ""*"" --recursive --include ""*"&amp;TEXT(F81,"YYYYMMDD")&amp;"*"" &amp; """&amp;walkandungz&amp;""" "&amp;search_path&amp;"\RTDC"&amp;B81&amp;"\"&amp;TEXT(F81,"YYYY-MM-DD")
&amp;" &amp; "&amp;"aws s3 cp "&amp;s3_bucket&amp;"/RTDC"&amp;B81&amp;"/ "&amp;search_path&amp;"\RTDC"&amp;B81&amp;"\"&amp;TEXT(F81+1,"YYYY-MM-DD")&amp;" --exclude ""*"" --recursive --include ""*"&amp;TEXT(F81+1,"YYYYMMDD")&amp;"*"" &amp; """&amp;walkandungz&amp;""" "&amp;search_path&amp;"\RTDC"&amp;B81&amp;"\"&amp;TEXT(F81+1,"YYYY-MM-DD")</f>
        <v>aws s3 cp s3://rtdc.mdm.uploadarchive.raw/RTDC4009/ "%USERPROFILE%\AppData\Local\Temp\OnboardLogs"\RTDC4009\2017-02-05 --exclude "*" --recursive --include "*20170205*" &amp; "%USERPROFILE%\Documents\GitHub\mrs-test-scripts\Headless Mode &amp; Sideloading\WalkAndUnGZ.bat" "%USERPROFILE%\AppData\Local\Temp\OnboardLogs"\RTDC4009\2017-02-05 &amp; aws s3 cp s3://rtdc.mdm.uploadarchive.raw/RTDC4009/ "%USERPROFILE%\AppData\Local\Temp\OnboardLogs"\RTDC4009\2017-02-06 --exclude "*" --recursive --include "*20170206*" &amp; "%USERPROFILE%\Documents\GitHub\mrs-test-scripts\Headless Mode &amp; Sideloading\WalkAndUnGZ.bat" "%USERPROFILE%\AppData\Local\Temp\OnboardLogs"\RTDC4009\2017-02-06</v>
      </c>
      <c r="AF81" s="82" t="str">
        <f>astrogrep_path&amp;" /spath="&amp;search_path&amp;" /stypes=""app*"&amp;B81&amp;"*"&amp;TEXT(I81-utc_offset/24,"YYYYMMDD")&amp;"*"" /stext="" "&amp;TEXT(I81-utc_offset/24,"HH")&amp;search_regexp&amp;""" /e /r /s"</f>
        <v>"C:\Program Files (x86)\AstroGrep\AstroGrep.exe" /spath="%USERPROFILE%\AppData\Local\Temp\OnboardLogs" /stypes="app*4009*20170205*" /stext=" 19:.+((SYSTEM_STATE.+slice.+state.+changed )|(ment ac)|(multiple cpu faults)|(system.+state.+changed )|(\[timeout)|(PRM\|1\|D)|(kpr)|(kdp)|(\|lc)|(penalty))" /e /r /s</v>
      </c>
      <c r="AG81" s="1" t="str">
        <f>IFERROR(IF(VALUE(LEFT(AD81,2))&lt;=2,"EC",IF(OR(VALUE(LEFT(AD81,2))=8,VALUE(LEFT(AD81,2))=18),"NW","Other")),"Other")</f>
        <v>EC</v>
      </c>
      <c r="AH81" s="86" t="str">
        <f t="shared" si="7"/>
        <v>"%USERPROFILE%\Documents\GitHub\eaglep3\Utilities\RefineRTDCRunTimes.py" --tripid 169-05 --locoid 4009 --swversion DE.1.0.8.0 --startMP 204:451 --initTime 2017-02-05T12:06:47 --startdatetime 2017-02-05T12:15:12 --delay 1 --endMP 204:233336 --enddatetime 2017-02-05T12:51:53 --enforcementcount 0 &gt;&gt;C:\Users\stu\Documents\GitHub\eaglep3-reporting\EC\2017-02-05-refined-times.txt</v>
      </c>
      <c r="AI81" s="108" t="str">
        <f t="shared" si="8"/>
        <v>echo {"issue":{"subject":"","project_id":79,"tracker_id":40,"status_id":1,"priority_id":2,"assigned_to_id":23,"start_date":"2017-02-05","description":"","custom_fields":[{"id":1,"name":"Subdivision","value":"EC"},{"id":4,"name":"Milepost","value":"23.3336"},{"id":17,"name":"Train ID","value":"169-05"},{"id":16,"name":"Locomotive ID","value":"4009"},{"id":130,"name":"Impact","value":""},{"id":150,"name":"Time of Event (Mountain Time)","value":"12:51:53"},{"id":151,"name":"Denver Issue ID","value":""},{"id":178,"name":"Operational Impact","value":"Yes"},{"id":179,"name":"Denver Segment Assigned","value":""}]}} | curl -X POST -H "Content-Type: application/json" -H "X-Redmine-API-Key: d6333d4a04012a730768444271f8ca06482dae87" https://secure.xorail.net/redmine/issues.json --data @-</v>
      </c>
      <c r="AJ81" s="48"/>
      <c r="AK81" s="48"/>
      <c r="AL81" s="48"/>
      <c r="AM81" s="158" t="str">
        <f t="shared" si="9"/>
        <v>start /low /b %USERPROFILE%\Documents\GitHub\eaglep3\Utilities\DownloadLogsFromS3.py --loco 4009 --day 2017-02-05</v>
      </c>
      <c r="AN81" s="167" t="str">
        <f>"grep -SE -B400 ""CHR.+\|PRM\|1\|D.+(SWITCH|SIGNAL).+UNKNOWN"" "&amp;search_path&amp;"\RTDC"&amp;B81&amp;"\*"&amp;B81&amp;"*"&amp;TEXT(AVERAGE(F81,I81)-utc_offset/24,"YYYYMMDD")&amp;"* | grep -SE ""(Enforcement Action)|(\[TIMEOUT)|(CHR.+\|PRM\|1\|D.+(SWITCH|SIGNAL).+UNKNOWN)"" - &gt;&gt; "&amp;TEXT(Variables!$A$2,"YYYY-MM-DD")&amp;"-UncaughtWiMAX.txt"</f>
        <v>grep -SE -B400 "CHR.+\|PRM\|1\|D.+(SWITCH|SIGNAL).+UNKNOWN" "%USERPROFILE%\AppData\Local\Temp\OnboardLogs"\RTDC4009\*4009*20170205* | grep -SE "(Enforcement Action)|(\[TIMEOUT)|(CHR.+\|PRM\|1\|D.+(SWITCH|SIGNAL).+UNKNOWN)" - &gt;&gt; 2017-02-05-UncaughtWiMAX.txt</v>
      </c>
      <c r="AO81"/>
      <c r="AP81"/>
      <c r="AQ81"/>
      <c r="AR81"/>
      <c r="AS81"/>
      <c r="AT81"/>
      <c r="AU81"/>
      <c r="AV81"/>
      <c r="AW81"/>
      <c r="AX81"/>
      <c r="AY81"/>
      <c r="AZ81"/>
      <c r="BA81"/>
      <c r="BB81"/>
      <c r="BC81"/>
      <c r="BD81"/>
      <c r="BE81"/>
      <c r="BF81"/>
      <c r="BG81"/>
      <c r="BH81"/>
      <c r="BI81"/>
      <c r="BJ81"/>
      <c r="BK81"/>
      <c r="BL81"/>
      <c r="BM81"/>
      <c r="BN81"/>
      <c r="BO81"/>
      <c r="BP81"/>
      <c r="BQ81"/>
      <c r="BR81"/>
      <c r="BS81"/>
      <c r="BT81"/>
      <c r="BU81"/>
      <c r="BV81"/>
      <c r="BW81"/>
      <c r="BX81"/>
      <c r="BY81"/>
      <c r="BZ81"/>
      <c r="CA81"/>
      <c r="CB81"/>
      <c r="CC81"/>
      <c r="CD81"/>
      <c r="CE81"/>
      <c r="CF81"/>
      <c r="CG81"/>
      <c r="CH81"/>
      <c r="CI81"/>
      <c r="CJ81"/>
      <c r="CK81"/>
      <c r="CL81"/>
      <c r="CM81"/>
    </row>
    <row r="82" spans="1:91" s="20" customFormat="1" x14ac:dyDescent="0.25">
      <c r="A82" s="33" t="s">
        <v>642</v>
      </c>
      <c r="B82" s="7">
        <v>4010</v>
      </c>
      <c r="C82" s="21" t="s">
        <v>193</v>
      </c>
      <c r="D82" s="21" t="s">
        <v>759</v>
      </c>
      <c r="E82" s="13">
        <v>42771.538634259261</v>
      </c>
      <c r="F82" s="13">
        <v>42771.549837962964</v>
      </c>
      <c r="G82" s="7">
        <v>1</v>
      </c>
      <c r="H82" s="21" t="s">
        <v>780</v>
      </c>
      <c r="I82" s="13">
        <v>42771.575601851851</v>
      </c>
      <c r="J82" s="7">
        <v>0</v>
      </c>
      <c r="K82" s="98" t="str">
        <f>IF(ISEVEN(B82),(B82-1)&amp;"/"&amp;B82,B82&amp;"/"&amp;(B82+1))</f>
        <v>4009/4010</v>
      </c>
      <c r="L82" s="21" t="str">
        <f>VLOOKUP(A82,'Trips&amp;Operators'!$C$1:$G$99999,5,FALSE)</f>
        <v>ROMERO CHAD</v>
      </c>
      <c r="M82" s="6">
        <f>I82-F82</f>
        <v>2.5763888887013309E-2</v>
      </c>
      <c r="N82" s="7">
        <f>24*60*SUM($M82:$M82)</f>
        <v>37.099999997299165</v>
      </c>
      <c r="O82" s="7"/>
      <c r="P82" s="7"/>
      <c r="Q82" s="22"/>
      <c r="R82" s="22"/>
      <c r="S82" s="31">
        <f>SUM(U82:U82)/IF(AG82="EC",12,1)</f>
        <v>1</v>
      </c>
      <c r="T82" s="46" t="str">
        <f>IF(ISEVEN(LEFT(AD82,4)),"Southbound","NorthBound")</f>
        <v>Southbound</v>
      </c>
      <c r="U82" s="190">
        <f>IF(AG82="EC",COUNTIFS(Variables!$M$2:$M$19,IF(T82="NorthBound","&gt;=","&lt;=")&amp;Y82,Variables!$M$2:$M$19,IF(T82="NorthBound","&lt;=","&gt;=")&amp;Z82),COUNTIFS(Variables!$P$2:$P$19,IF(T82="NorthBound","&gt;=","&lt;=")&amp;Y82,Variables!$P$2:$P$19,IF(T82="NorthBound","&lt;=","&gt;=")&amp;Z82))</f>
        <v>12</v>
      </c>
      <c r="V82" s="191" t="str">
        <f>"https://d0f6bd738d7f1b3e5a7ca70fe4ff75f0.us-east-1.aws.found.io/app/kibana#/discover/Steve-Slow-Train-Analysis-(2080s-and-2083s)?_g="&amp;"(refreshInterval:(display:Off,pause:!f,section:0,value:0),time:(from:'"&amp;TEXT(E82-1/24,"yyyy-MM-DDThh:mm:ss")&amp;utc_offset&amp;"00"&amp;"',mode:absolute,to:'"&amp;TEXT(I82+1/24,"yyyy-MM-DDThh:mm:ss")&amp;utc_offset&amp;"00"&amp;"'))&amp;_a=(columns:!('Locomotive+ID','Data.Head+End+Milepost',Data.Speed,'Data.Locomotive+State','Data.Train+ID',"&amp;"'Data.Warning%2FEnforcement+Type','Data.Target+Start+Milepost','Data.Target+Description','Data.Target+Speed',"&amp;"'Data.Enforcement+Train+Speed','Data.Enforcement+Start+Milepost','Data.Target+Type','Data.Enforcement+Direction+of+Travel','Message+ID',"&amp;"'Data.Body+of+Summary+Text','Data.Head+End+Track+name'),filters:!(),index:'emp_*',interval:auto,query:"&amp;"(query_string:(analyze_wildcard:!t,query:'Message%5C+ID:(2083+OR+2080+OR+1041+OR+2003+OR+1051+OR+1043+OR+1053)+AND+%22rtdc.l.rtdc."&amp;B82&amp;"%22')),sort:!(Time.ISO8601,asc))"</f>
        <v>https://d0f6bd738d7f1b3e5a7ca70fe4ff75f0.us-east-1.aws.found.io/app/kibana#/discover/Steve-Slow-Train-Analysis-(2080s-and-2083s)?_g=(refreshInterval:(display:Off,pause:!f,section:0,value:0),time:(from:'2017-02-05T11:55:38-0700',mode:absolute,to:'2017-02-05T14:48:52-0700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4010%22')),sort:!(Time.ISO8601,asc))</v>
      </c>
      <c r="W82" s="192" t="str">
        <f>IF(AA82&lt;IF(AG82="EC",23,5.65),"Y","N")</f>
        <v>N</v>
      </c>
      <c r="X82" s="192">
        <f>VALUE(LEFT(AD82,4))-VALUE(LEFT(AD81,4))</f>
        <v>1</v>
      </c>
      <c r="Y82" s="62">
        <f>RIGHT(D82,LEN(D82)-4)/10000</f>
        <v>23.301100000000002</v>
      </c>
      <c r="Z82" s="62">
        <f>RIGHT(H82,LEN(H82)-4)/10000</f>
        <v>1.32E-2</v>
      </c>
      <c r="AA82" s="62">
        <f>ABS(Z82-Y82)</f>
        <v>23.2879</v>
      </c>
      <c r="AB82" s="59" t="e">
        <f>VLOOKUP(A82,Enforcements!$C$7:$K$16,8,0)</f>
        <v>#N/A</v>
      </c>
      <c r="AC82" s="55" t="e">
        <f>VLOOKUP(A82,Enforcements!$C$7:$E$16,3,0)</f>
        <v>#N/A</v>
      </c>
      <c r="AD82" s="56" t="str">
        <f>IF(LEN(A82)=6,"0"&amp;A82,A82)</f>
        <v>0170-05</v>
      </c>
      <c r="AE82" s="85" t="str">
        <f>"aws s3 cp "&amp;s3_bucket&amp;"/RTDC"&amp;B82&amp;"/ "&amp;search_path&amp;"\RTDC"&amp;B82&amp;"\"&amp;TEXT(F82,"YYYY-MM-DD")&amp;" --exclude ""*"" --recursive --include ""*"&amp;TEXT(F82,"YYYYMMDD")&amp;"*"" &amp; """&amp;walkandungz&amp;""" "&amp;search_path&amp;"\RTDC"&amp;B82&amp;"\"&amp;TEXT(F82,"YYYY-MM-DD")
&amp;" &amp; "&amp;"aws s3 cp "&amp;s3_bucket&amp;"/RTDC"&amp;B82&amp;"/ "&amp;search_path&amp;"\RTDC"&amp;B82&amp;"\"&amp;TEXT(F82+1,"YYYY-MM-DD")&amp;" --exclude ""*"" --recursive --include ""*"&amp;TEXT(F82+1,"YYYYMMDD")&amp;"*"" &amp; """&amp;walkandungz&amp;""" "&amp;search_path&amp;"\RTDC"&amp;B82&amp;"\"&amp;TEXT(F82+1,"YYYY-MM-DD")</f>
        <v>aws s3 cp s3://rtdc.mdm.uploadarchive.raw/RTDC4010/ "%USERPROFILE%\AppData\Local\Temp\OnboardLogs"\RTDC4010\2017-02-05 --exclude "*" --recursive --include "*20170205*" &amp; "%USERPROFILE%\Documents\GitHub\mrs-test-scripts\Headless Mode &amp; Sideloading\WalkAndUnGZ.bat" "%USERPROFILE%\AppData\Local\Temp\OnboardLogs"\RTDC4010\2017-02-05 &amp; aws s3 cp s3://rtdc.mdm.uploadarchive.raw/RTDC4010/ "%USERPROFILE%\AppData\Local\Temp\OnboardLogs"\RTDC4010\2017-02-06 --exclude "*" --recursive --include "*20170206*" &amp; "%USERPROFILE%\Documents\GitHub\mrs-test-scripts\Headless Mode &amp; Sideloading\WalkAndUnGZ.bat" "%USERPROFILE%\AppData\Local\Temp\OnboardLogs"\RTDC4010\2017-02-06</v>
      </c>
      <c r="AF82" s="82" t="str">
        <f>astrogrep_path&amp;" /spath="&amp;search_path&amp;" /stypes=""app*"&amp;B82&amp;"*"&amp;TEXT(I82-utc_offset/24,"YYYYMMDD")&amp;"*"" /stext="" "&amp;TEXT(I82-utc_offset/24,"HH")&amp;search_regexp&amp;""" /e /r /s"</f>
        <v>"C:\Program Files (x86)\AstroGrep\AstroGrep.exe" /spath="%USERPROFILE%\AppData\Local\Temp\OnboardLogs" /stypes="app*4010*20170205*" /stext=" 20:.+((SYSTEM_STATE.+slice.+state.+changed )|(ment ac)|(multiple cpu faults)|(system.+state.+changed )|(\[timeout)|(PRM\|1\|D)|(kpr)|(kdp)|(\|lc)|(penalty))" /e /r /s</v>
      </c>
      <c r="AG82" s="1" t="str">
        <f>IFERROR(IF(VALUE(LEFT(AD82,2))&lt;=2,"EC",IF(OR(VALUE(LEFT(AD82,2))=8,VALUE(LEFT(AD82,2))=18),"NW","Other")),"Other")</f>
        <v>EC</v>
      </c>
      <c r="AH82" s="86" t="str">
        <f t="shared" si="7"/>
        <v>"%USERPROFILE%\Documents\GitHub\eaglep3\Utilities\RefineRTDCRunTimes.py" --tripid 170-05 --locoid 4010 --swversion DE.1.0.8.0 --startMP 204:233011 --initTime 2017-02-05T12:55:38 --startdatetime 2017-02-05T13:11:46 --delay 1 --endMP 204:132 --enddatetime 2017-02-05T13:48:52 --enforcementcount 0 &gt;&gt;C:\Users\stu\Documents\GitHub\eaglep3-reporting\EC\2017-02-05-refined-times.txt</v>
      </c>
      <c r="AI82" s="108" t="str">
        <f t="shared" si="8"/>
        <v>echo {"issue":{"subject":"","project_id":79,"tracker_id":40,"status_id":1,"priority_id":2,"assigned_to_id":23,"start_date":"2017-02-05","description":"","custom_fields":[{"id":1,"name":"Subdivision","value":"EC"},{"id":4,"name":"Milepost","value":"0.0132"},{"id":17,"name":"Train ID","value":"170-05"},{"id":16,"name":"Locomotive ID","value":"4010"},{"id":130,"name":"Impact","value":""},{"id":150,"name":"Time of Event (Mountain Time)","value":"13:48:52"},{"id":151,"name":"Denver Issue ID","value":""},{"id":178,"name":"Operational Impact","value":"Yes"},{"id":179,"name":"Denver Segment Assigned","value":""}]}} | curl -X POST -H "Content-Type: application/json" -H "X-Redmine-API-Key: d6333d4a04012a730768444271f8ca06482dae87" https://secure.xorail.net/redmine/issues.json --data @-</v>
      </c>
      <c r="AJ82" s="48"/>
      <c r="AK82" s="48"/>
      <c r="AL82" s="48"/>
      <c r="AM82" s="158" t="str">
        <f t="shared" si="9"/>
        <v>start /low /b %USERPROFILE%\Documents\GitHub\eaglep3\Utilities\DownloadLogsFromS3.py --loco 4010 --day 2017-02-05</v>
      </c>
      <c r="AN82" s="167" t="str">
        <f>"grep -SE -B400 ""CHR.+\|PRM\|1\|D.+(SWITCH|SIGNAL).+UNKNOWN"" "&amp;search_path&amp;"\RTDC"&amp;B82&amp;"\*"&amp;B82&amp;"*"&amp;TEXT(AVERAGE(F82,I82)-utc_offset/24,"YYYYMMDD")&amp;"* | grep -SE ""(Enforcement Action)|(\[TIMEOUT)|(CHR.+\|PRM\|1\|D.+(SWITCH|SIGNAL).+UNKNOWN)"" - &gt;&gt; "&amp;TEXT(Variables!$A$2,"YYYY-MM-DD")&amp;"-UncaughtWiMAX.txt"</f>
        <v>grep -SE -B400 "CHR.+\|PRM\|1\|D.+(SWITCH|SIGNAL).+UNKNOWN" "%USERPROFILE%\AppData\Local\Temp\OnboardLogs"\RTDC4010\*4010*20170205* | grep -SE "(Enforcement Action)|(\[TIMEOUT)|(CHR.+\|PRM\|1\|D.+(SWITCH|SIGNAL).+UNKNOWN)" - &gt;&gt; 2017-02-05-UncaughtWiMAX.txt</v>
      </c>
      <c r="AO82"/>
      <c r="AP82"/>
      <c r="AQ82"/>
      <c r="AR82"/>
      <c r="AS82"/>
      <c r="AT82"/>
      <c r="AU82"/>
      <c r="AV82"/>
      <c r="AW82"/>
      <c r="AX82"/>
      <c r="AY82"/>
      <c r="AZ82"/>
      <c r="BA82"/>
      <c r="BB82"/>
      <c r="BC82"/>
      <c r="BD82"/>
      <c r="BE82"/>
      <c r="BF82"/>
      <c r="BG82"/>
      <c r="BH82"/>
      <c r="BI82"/>
      <c r="BJ82"/>
      <c r="BK82"/>
      <c r="BL82"/>
      <c r="BM82"/>
      <c r="BN82"/>
      <c r="BO82"/>
      <c r="BP82"/>
      <c r="BQ82"/>
      <c r="BR82"/>
      <c r="BS82"/>
      <c r="BT82"/>
      <c r="BU82"/>
      <c r="BV82"/>
      <c r="BW82"/>
      <c r="BX82"/>
      <c r="BY82"/>
      <c r="BZ82"/>
      <c r="CA82"/>
      <c r="CB82"/>
      <c r="CC82"/>
      <c r="CD82"/>
      <c r="CE82"/>
      <c r="CF82"/>
      <c r="CG82"/>
      <c r="CH82"/>
      <c r="CI82"/>
      <c r="CJ82"/>
      <c r="CK82"/>
      <c r="CL82"/>
      <c r="CM82"/>
    </row>
    <row r="83" spans="1:91" s="20" customFormat="1" x14ac:dyDescent="0.25">
      <c r="A83" s="33" t="s">
        <v>630</v>
      </c>
      <c r="B83" s="7">
        <v>4040</v>
      </c>
      <c r="C83" s="21" t="s">
        <v>193</v>
      </c>
      <c r="D83" s="21" t="s">
        <v>760</v>
      </c>
      <c r="E83" s="13">
        <v>42771.516481481478</v>
      </c>
      <c r="F83" s="13">
        <v>42771.521018518521</v>
      </c>
      <c r="G83" s="7">
        <v>1</v>
      </c>
      <c r="H83" s="21" t="s">
        <v>321</v>
      </c>
      <c r="I83" s="13">
        <v>42771.546249999999</v>
      </c>
      <c r="J83" s="7">
        <v>0</v>
      </c>
      <c r="K83" s="98" t="str">
        <f>IF(ISEVEN(B83),(B83-1)&amp;"/"&amp;B83,B83&amp;"/"&amp;(B83+1))</f>
        <v>4039/4040</v>
      </c>
      <c r="L83" s="21" t="str">
        <f>VLOOKUP(A83,'Trips&amp;Operators'!$C$1:$G$99999,5,FALSE)</f>
        <v>KILLION DAVID</v>
      </c>
      <c r="M83" s="6">
        <f>I83-F83</f>
        <v>2.5231481478840578E-2</v>
      </c>
      <c r="N83" s="7">
        <f>24*60*SUM($M83:$M83)</f>
        <v>36.333333329530433</v>
      </c>
      <c r="O83" s="7"/>
      <c r="P83" s="7"/>
      <c r="Q83" s="22"/>
      <c r="R83" s="22"/>
      <c r="S83" s="31">
        <f>SUM(U83:U83)/IF(AG83="EC",12,1)</f>
        <v>1</v>
      </c>
      <c r="T83" s="46" t="str">
        <f>IF(ISEVEN(LEFT(AD83,4)),"Southbound","NorthBound")</f>
        <v>NorthBound</v>
      </c>
      <c r="U83" s="190">
        <f>IF(AG83="EC",COUNTIFS(Variables!$M$2:$M$19,IF(T83="NorthBound","&gt;=","&lt;=")&amp;Y83,Variables!$M$2:$M$19,IF(T83="NorthBound","&lt;=","&gt;=")&amp;Z83),COUNTIFS(Variables!$P$2:$P$19,IF(T83="NorthBound","&gt;=","&lt;=")&amp;Y83,Variables!$P$2:$P$19,IF(T83="NorthBound","&lt;=","&gt;=")&amp;Z83))</f>
        <v>12</v>
      </c>
      <c r="V83" s="191" t="str">
        <f>"https://d0f6bd738d7f1b3e5a7ca70fe4ff75f0.us-east-1.aws.found.io/app/kibana#/discover/Steve-Slow-Train-Analysis-(2080s-and-2083s)?_g="&amp;"(refreshInterval:(display:Off,pause:!f,section:0,value:0),time:(from:'"&amp;TEXT(E83-1/24,"yyyy-MM-DDThh:mm:ss")&amp;utc_offset&amp;"00"&amp;"',mode:absolute,to:'"&amp;TEXT(I83+1/24,"yyyy-MM-DDThh:mm:ss")&amp;utc_offset&amp;"00"&amp;"'))&amp;_a=(columns:!('Locomotive+ID','Data.Head+End+Milepost',Data.Speed,'Data.Locomotive+State','Data.Train+ID',"&amp;"'Data.Warning%2FEnforcement+Type','Data.Target+Start+Milepost','Data.Target+Description','Data.Target+Speed',"&amp;"'Data.Enforcement+Train+Speed','Data.Enforcement+Start+Milepost','Data.Target+Type','Data.Enforcement+Direction+of+Travel','Message+ID',"&amp;"'Data.Body+of+Summary+Text','Data.Head+End+Track+name'),filters:!(),index:'emp_*',interval:auto,query:"&amp;"(query_string:(analyze_wildcard:!t,query:'Message%5C+ID:(2083+OR+2080+OR+1041+OR+2003+OR+1051+OR+1043+OR+1053)+AND+%22rtdc.l.rtdc."&amp;B83&amp;"%22')),sort:!(Time.ISO8601,asc))"</f>
        <v>https://d0f6bd738d7f1b3e5a7ca70fe4ff75f0.us-east-1.aws.found.io/app/kibana#/discover/Steve-Slow-Train-Analysis-(2080s-and-2083s)?_g=(refreshInterval:(display:Off,pause:!f,section:0,value:0),time:(from:'2017-02-05T11:23:44-0700',mode:absolute,to:'2017-02-05T14:06:36-0700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4040%22')),sort:!(Time.ISO8601,asc))</v>
      </c>
      <c r="W83" s="192" t="str">
        <f>IF(AA83&lt;IF(AG83="EC",23,5.65),"Y","N")</f>
        <v>N</v>
      </c>
      <c r="X83" s="192">
        <f>VALUE(LEFT(AD83,4))-VALUE(LEFT(AD82,4))</f>
        <v>1</v>
      </c>
      <c r="Y83" s="62">
        <f>RIGHT(D83,LEN(D83)-4)/10000</f>
        <v>4.3999999999999997E-2</v>
      </c>
      <c r="Z83" s="62">
        <f>RIGHT(H83,LEN(H83)-4)/10000</f>
        <v>23.3291</v>
      </c>
      <c r="AA83" s="62">
        <f>ABS(Z83-Y83)</f>
        <v>23.2851</v>
      </c>
      <c r="AB83" s="59" t="e">
        <f>VLOOKUP(A83,Enforcements!$C$7:$K$16,8,0)</f>
        <v>#N/A</v>
      </c>
      <c r="AC83" s="55" t="e">
        <f>VLOOKUP(A83,Enforcements!$C$7:$E$16,3,0)</f>
        <v>#N/A</v>
      </c>
      <c r="AD83" s="56" t="str">
        <f>IF(LEN(A83)=6,"0"&amp;A83,A83)</f>
        <v>0171-05</v>
      </c>
      <c r="AE83" s="85" t="str">
        <f>"aws s3 cp "&amp;s3_bucket&amp;"/RTDC"&amp;B83&amp;"/ "&amp;search_path&amp;"\RTDC"&amp;B83&amp;"\"&amp;TEXT(F83,"YYYY-MM-DD")&amp;" --exclude ""*"" --recursive --include ""*"&amp;TEXT(F83,"YYYYMMDD")&amp;"*"" &amp; """&amp;walkandungz&amp;""" "&amp;search_path&amp;"\RTDC"&amp;B83&amp;"\"&amp;TEXT(F83,"YYYY-MM-DD")
&amp;" &amp; "&amp;"aws s3 cp "&amp;s3_bucket&amp;"/RTDC"&amp;B83&amp;"/ "&amp;search_path&amp;"\RTDC"&amp;B83&amp;"\"&amp;TEXT(F83+1,"YYYY-MM-DD")&amp;" --exclude ""*"" --recursive --include ""*"&amp;TEXT(F83+1,"YYYYMMDD")&amp;"*"" &amp; """&amp;walkandungz&amp;""" "&amp;search_path&amp;"\RTDC"&amp;B83&amp;"\"&amp;TEXT(F83+1,"YYYY-MM-DD")</f>
        <v>aws s3 cp s3://rtdc.mdm.uploadarchive.raw/RTDC4040/ "%USERPROFILE%\AppData\Local\Temp\OnboardLogs"\RTDC4040\2017-02-05 --exclude "*" --recursive --include "*20170205*" &amp; "%USERPROFILE%\Documents\GitHub\mrs-test-scripts\Headless Mode &amp; Sideloading\WalkAndUnGZ.bat" "%USERPROFILE%\AppData\Local\Temp\OnboardLogs"\RTDC4040\2017-02-05 &amp; aws s3 cp s3://rtdc.mdm.uploadarchive.raw/RTDC4040/ "%USERPROFILE%\AppData\Local\Temp\OnboardLogs"\RTDC4040\2017-02-06 --exclude "*" --recursive --include "*20170206*" &amp; "%USERPROFILE%\Documents\GitHub\mrs-test-scripts\Headless Mode &amp; Sideloading\WalkAndUnGZ.bat" "%USERPROFILE%\AppData\Local\Temp\OnboardLogs"\RTDC4040\2017-02-06</v>
      </c>
      <c r="AF83" s="82" t="str">
        <f>astrogrep_path&amp;" /spath="&amp;search_path&amp;" /stypes=""app*"&amp;B83&amp;"*"&amp;TEXT(I83-utc_offset/24,"YYYYMMDD")&amp;"*"" /stext="" "&amp;TEXT(I83-utc_offset/24,"HH")&amp;search_regexp&amp;""" /e /r /s"</f>
        <v>"C:\Program Files (x86)\AstroGrep\AstroGrep.exe" /spath="%USERPROFILE%\AppData\Local\Temp\OnboardLogs" /stypes="app*4040*20170205*" /stext=" 20:.+((SYSTEM_STATE.+slice.+state.+changed )|(ment ac)|(multiple cpu faults)|(system.+state.+changed )|(\[timeout)|(PRM\|1\|D)|(kpr)|(kdp)|(\|lc)|(penalty))" /e /r /s</v>
      </c>
      <c r="AG83" s="1" t="str">
        <f>IFERROR(IF(VALUE(LEFT(AD83,2))&lt;=2,"EC",IF(OR(VALUE(LEFT(AD83,2))=8,VALUE(LEFT(AD83,2))=18),"NW","Other")),"Other")</f>
        <v>EC</v>
      </c>
      <c r="AH83" s="86" t="str">
        <f t="shared" si="7"/>
        <v>"%USERPROFILE%\Documents\GitHub\eaglep3\Utilities\RefineRTDCRunTimes.py" --tripid 171-05 --locoid 4040 --swversion DE.1.0.8.0 --startMP 204:440 --initTime 2017-02-05T12:23:44 --startdatetime 2017-02-05T12:30:16 --delay 1 --endMP 204:233291 --enddatetime 2017-02-05T13:06:36 --enforcementcount 0 &gt;&gt;C:\Users\stu\Documents\GitHub\eaglep3-reporting\EC\2017-02-05-refined-times.txt</v>
      </c>
      <c r="AI83" s="108" t="str">
        <f t="shared" si="8"/>
        <v>echo {"issue":{"subject":"","project_id":79,"tracker_id":40,"status_id":1,"priority_id":2,"assigned_to_id":23,"start_date":"2017-02-05","description":"","custom_fields":[{"id":1,"name":"Subdivision","value":"EC"},{"id":4,"name":"Milepost","value":"23.3291"},{"id":17,"name":"Train ID","value":"171-05"},{"id":16,"name":"Locomotive ID","value":"4040"},{"id":130,"name":"Impact","value":""},{"id":150,"name":"Time of Event (Mountain Time)","value":"13:06:36"},{"id":151,"name":"Denver Issue ID","value":""},{"id":178,"name":"Operational Impact","value":"Yes"},{"id":179,"name":"Denver Segment Assigned","value":""}]}} | curl -X POST -H "Content-Type: application/json" -H "X-Redmine-API-Key: d6333d4a04012a730768444271f8ca06482dae87" https://secure.xorail.net/redmine/issues.json --data @-</v>
      </c>
      <c r="AJ83" s="48"/>
      <c r="AK83" s="48"/>
      <c r="AL83" s="48"/>
      <c r="AM83" s="158" t="str">
        <f t="shared" si="9"/>
        <v>start /low /b %USERPROFILE%\Documents\GitHub\eaglep3\Utilities\DownloadLogsFromS3.py --loco 4040 --day 2017-02-05</v>
      </c>
      <c r="AN83" s="167" t="str">
        <f>"grep -SE -B400 ""CHR.+\|PRM\|1\|D.+(SWITCH|SIGNAL).+UNKNOWN"" "&amp;search_path&amp;"\RTDC"&amp;B83&amp;"\*"&amp;B83&amp;"*"&amp;TEXT(AVERAGE(F83,I83)-utc_offset/24,"YYYYMMDD")&amp;"* | grep -SE ""(Enforcement Action)|(\[TIMEOUT)|(CHR.+\|PRM\|1\|D.+(SWITCH|SIGNAL).+UNKNOWN)"" - &gt;&gt; "&amp;TEXT(Variables!$A$2,"YYYY-MM-DD")&amp;"-UncaughtWiMAX.txt"</f>
        <v>grep -SE -B400 "CHR.+\|PRM\|1\|D.+(SWITCH|SIGNAL).+UNKNOWN" "%USERPROFILE%\AppData\Local\Temp\OnboardLogs"\RTDC4040\*4040*20170205* | grep -SE "(Enforcement Action)|(\[TIMEOUT)|(CHR.+\|PRM\|1\|D.+(SWITCH|SIGNAL).+UNKNOWN)" - &gt;&gt; 2017-02-05-UncaughtWiMAX.txt</v>
      </c>
      <c r="AO83"/>
      <c r="AP83"/>
      <c r="AQ83"/>
      <c r="AR83"/>
      <c r="AS83"/>
      <c r="AT83"/>
      <c r="AU83"/>
      <c r="AV83"/>
      <c r="AW83"/>
      <c r="AX83"/>
      <c r="AY83"/>
      <c r="AZ83"/>
      <c r="BA83"/>
      <c r="BB83"/>
      <c r="BC83"/>
      <c r="BD83"/>
      <c r="BE83"/>
      <c r="BF83"/>
      <c r="BG83"/>
      <c r="BH83"/>
      <c r="BI83"/>
      <c r="BJ83"/>
      <c r="BK83"/>
      <c r="BL83"/>
      <c r="BM83"/>
      <c r="BN83"/>
      <c r="BO83"/>
      <c r="BP83"/>
      <c r="BQ83"/>
      <c r="BR83"/>
      <c r="BS83"/>
      <c r="BT83"/>
      <c r="BU83"/>
      <c r="BV83"/>
      <c r="BW83"/>
      <c r="BX83"/>
      <c r="BY83"/>
      <c r="BZ83"/>
      <c r="CA83"/>
      <c r="CB83"/>
      <c r="CC83"/>
      <c r="CD83"/>
      <c r="CE83"/>
      <c r="CF83"/>
      <c r="CG83"/>
      <c r="CH83"/>
      <c r="CI83"/>
      <c r="CJ83"/>
      <c r="CK83"/>
      <c r="CL83"/>
      <c r="CM83"/>
    </row>
    <row r="84" spans="1:91" x14ac:dyDescent="0.25">
      <c r="A84" s="33" t="s">
        <v>644</v>
      </c>
      <c r="B84" s="7">
        <v>4039</v>
      </c>
      <c r="C84" s="21" t="s">
        <v>193</v>
      </c>
      <c r="D84" s="21" t="s">
        <v>324</v>
      </c>
      <c r="E84" s="13">
        <v>42771.552511574075</v>
      </c>
      <c r="F84" s="13">
        <v>42771.560057870367</v>
      </c>
      <c r="G84" s="7">
        <v>1</v>
      </c>
      <c r="H84" s="21" t="s">
        <v>781</v>
      </c>
      <c r="I84" s="13">
        <v>42771.583773148152</v>
      </c>
      <c r="J84" s="7">
        <v>0</v>
      </c>
      <c r="K84" s="98" t="str">
        <f>IF(ISEVEN(B84),(B84-1)&amp;"/"&amp;B84,B84&amp;"/"&amp;(B84+1))</f>
        <v>4039/4040</v>
      </c>
      <c r="L84" s="21" t="str">
        <f>VLOOKUP(A84,'Trips&amp;Operators'!$C$1:$G$99999,5,FALSE)</f>
        <v>KILLION DAVID</v>
      </c>
      <c r="M84" s="6">
        <f>I84-F84</f>
        <v>2.3715277784503996E-2</v>
      </c>
      <c r="N84" s="7"/>
      <c r="O84" s="7"/>
      <c r="P84" s="7">
        <f>24*60*SUM($M84:$M84)</f>
        <v>34.150000009685755</v>
      </c>
      <c r="Q84" s="22"/>
      <c r="R84" s="22" t="s">
        <v>903</v>
      </c>
      <c r="S84" s="31">
        <f>SUM(U84:U84)/IF(AG84="EC",12,1)</f>
        <v>1</v>
      </c>
      <c r="T84" s="46" t="str">
        <f>IF(ISEVEN(LEFT(AD84,4)),"Southbound","NorthBound")</f>
        <v>Southbound</v>
      </c>
      <c r="U84" s="190">
        <f>IF(AG84="EC",COUNTIFS(Variables!$M$2:$M$19,IF(T84="NorthBound","&gt;=","&lt;=")&amp;Y84,Variables!$M$2:$M$19,IF(T84="NorthBound","&lt;=","&gt;=")&amp;Z84),COUNTIFS(Variables!$P$2:$P$19,IF(T84="NorthBound","&gt;=","&lt;=")&amp;Y84,Variables!$P$2:$P$19,IF(T84="NorthBound","&lt;=","&gt;=")&amp;Z84))</f>
        <v>12</v>
      </c>
      <c r="V84" s="191" t="str">
        <f>"https://d0f6bd738d7f1b3e5a7ca70fe4ff75f0.us-east-1.aws.found.io/app/kibana#/discover/Steve-Slow-Train-Analysis-(2080s-and-2083s)?_g="&amp;"(refreshInterval:(display:Off,pause:!f,section:0,value:0),time:(from:'"&amp;TEXT(E84-1/24,"yyyy-MM-DDThh:mm:ss")&amp;utc_offset&amp;"00"&amp;"',mode:absolute,to:'"&amp;TEXT(I84+1/24,"yyyy-MM-DDThh:mm:ss")&amp;utc_offset&amp;"00"&amp;"'))&amp;_a=(columns:!('Locomotive+ID','Data.Head+End+Milepost',Data.Speed,'Data.Locomotive+State','Data.Train+ID',"&amp;"'Data.Warning%2FEnforcement+Type','Data.Target+Start+Milepost','Data.Target+Description','Data.Target+Speed',"&amp;"'Data.Enforcement+Train+Speed','Data.Enforcement+Start+Milepost','Data.Target+Type','Data.Enforcement+Direction+of+Travel','Message+ID',"&amp;"'Data.Body+of+Summary+Text','Data.Head+End+Track+name'),filters:!(),index:'emp_*',interval:auto,query:"&amp;"(query_string:(analyze_wildcard:!t,query:'Message%5C+ID:(2083+OR+2080+OR+1041+OR+2003+OR+1051+OR+1043+OR+1053)+AND+%22rtdc.l.rtdc."&amp;B84&amp;"%22')),sort:!(Time.ISO8601,asc))"</f>
        <v>https://d0f6bd738d7f1b3e5a7ca70fe4ff75f0.us-east-1.aws.found.io/app/kibana#/discover/Steve-Slow-Train-Analysis-(2080s-and-2083s)?_g=(refreshInterval:(display:Off,pause:!f,section:0,value:0),time:(from:'2017-02-05T12:15:37-0700',mode:absolute,to:'2017-02-05T15:00:38-0700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4039%22')),sort:!(Time.ISO8601,asc))</v>
      </c>
      <c r="W84" s="192" t="str">
        <f>IF(AA84&lt;IF(AG84="EC",23,5.65),"Y","N")</f>
        <v>Y</v>
      </c>
      <c r="X84" s="192">
        <f>VALUE(LEFT(AD84,4))-VALUE(LEFT(AD83,4))</f>
        <v>1</v>
      </c>
      <c r="Y84" s="62">
        <f>RIGHT(D84,LEN(D84)-4)/10000</f>
        <v>23.297699999999999</v>
      </c>
      <c r="Z84" s="62">
        <f>RIGHT(H84,LEN(H84)-4)/10000</f>
        <v>1.877</v>
      </c>
      <c r="AA84" s="62">
        <f>ABS(Z84-Y84)</f>
        <v>21.4207</v>
      </c>
      <c r="AB84" s="59" t="e">
        <f>VLOOKUP(A84,Enforcements!$C$7:$K$16,8,0)</f>
        <v>#N/A</v>
      </c>
      <c r="AC84" s="55" t="e">
        <f>VLOOKUP(A84,Enforcements!$C$7:$E$16,3,0)</f>
        <v>#N/A</v>
      </c>
      <c r="AD84" s="56" t="str">
        <f>IF(LEN(A84)=6,"0"&amp;A84,A84)</f>
        <v>0172-05</v>
      </c>
      <c r="AE84" s="85" t="str">
        <f>"aws s3 cp "&amp;s3_bucket&amp;"/RTDC"&amp;B84&amp;"/ "&amp;search_path&amp;"\RTDC"&amp;B84&amp;"\"&amp;TEXT(F84,"YYYY-MM-DD")&amp;" --exclude ""*"" --recursive --include ""*"&amp;TEXT(F84,"YYYYMMDD")&amp;"*"" &amp; """&amp;walkandungz&amp;""" "&amp;search_path&amp;"\RTDC"&amp;B84&amp;"\"&amp;TEXT(F84,"YYYY-MM-DD")
&amp;" &amp; "&amp;"aws s3 cp "&amp;s3_bucket&amp;"/RTDC"&amp;B84&amp;"/ "&amp;search_path&amp;"\RTDC"&amp;B84&amp;"\"&amp;TEXT(F84+1,"YYYY-MM-DD")&amp;" --exclude ""*"" --recursive --include ""*"&amp;TEXT(F84+1,"YYYYMMDD")&amp;"*"" &amp; """&amp;walkandungz&amp;""" "&amp;search_path&amp;"\RTDC"&amp;B84&amp;"\"&amp;TEXT(F84+1,"YYYY-MM-DD")</f>
        <v>aws s3 cp s3://rtdc.mdm.uploadarchive.raw/RTDC4039/ "%USERPROFILE%\AppData\Local\Temp\OnboardLogs"\RTDC4039\2017-02-05 --exclude "*" --recursive --include "*20170205*" &amp; "%USERPROFILE%\Documents\GitHub\mrs-test-scripts\Headless Mode &amp; Sideloading\WalkAndUnGZ.bat" "%USERPROFILE%\AppData\Local\Temp\OnboardLogs"\RTDC4039\2017-02-05 &amp; aws s3 cp s3://rtdc.mdm.uploadarchive.raw/RTDC4039/ "%USERPROFILE%\AppData\Local\Temp\OnboardLogs"\RTDC4039\2017-02-06 --exclude "*" --recursive --include "*20170206*" &amp; "%USERPROFILE%\Documents\GitHub\mrs-test-scripts\Headless Mode &amp; Sideloading\WalkAndUnGZ.bat" "%USERPROFILE%\AppData\Local\Temp\OnboardLogs"\RTDC4039\2017-02-06</v>
      </c>
      <c r="AF84" s="82" t="str">
        <f>astrogrep_path&amp;" /spath="&amp;search_path&amp;" /stypes=""app*"&amp;B84&amp;"*"&amp;TEXT(I84-utc_offset/24,"YYYYMMDD")&amp;"*"" /stext="" "&amp;TEXT(I84-utc_offset/24,"HH")&amp;search_regexp&amp;""" /e /r /s"</f>
        <v>"C:\Program Files (x86)\AstroGrep\AstroGrep.exe" /spath="%USERPROFILE%\AppData\Local\Temp\OnboardLogs" /stypes="app*4039*20170205*" /stext=" 21:.+((SYSTEM_STATE.+slice.+state.+changed )|(ment ac)|(multiple cpu faults)|(system.+state.+changed )|(\[timeout)|(PRM\|1\|D)|(kpr)|(kdp)|(\|lc)|(penalty))" /e /r /s</v>
      </c>
      <c r="AG84" s="1" t="str">
        <f>IFERROR(IF(VALUE(LEFT(AD84,2))&lt;=2,"EC",IF(OR(VALUE(LEFT(AD84,2))=8,VALUE(LEFT(AD84,2))=18),"NW","Other")),"Other")</f>
        <v>EC</v>
      </c>
      <c r="AH84" s="86" t="str">
        <f t="shared" si="7"/>
        <v>"%USERPROFILE%\Documents\GitHub\eaglep3\Utilities\RefineRTDCRunTimes.py" --tripid 172-05 --locoid 4039 --swversion DE.1.0.8.0 --startMP 204:232977 --initTime 2017-02-05T13:15:37 --startdatetime 2017-02-05T13:26:29 --delay 1 --endMP 204:18770 --enddatetime 2017-02-05T14:00:38 --enforcementcount 0 &gt;&gt;C:\Users\stu\Documents\GitHub\eaglep3-reporting\EC\2017-02-05-refined-times.txt</v>
      </c>
      <c r="AI84" s="108" t="str">
        <f t="shared" si="8"/>
        <v>echo {"issue":{"subject":"Onboard in-route failure","project_id":79,"tracker_id":40,"status_id":1,"priority_id":2,"assigned_to_id":23,"start_date":"2017-02-05","description":"","custom_fields":[{"id":1,"name":"Subdivision","value":"EC"},{"id":4,"name":"Milepost","value":"1.877"},{"id":17,"name":"Train ID","value":"172-05"},{"id":16,"name":"Locomotive ID","value":"4039"},{"id":130,"name":"Impact","value":""},{"id":150,"name":"Time of Event (Mountain Time)","value":"14:00:38"},{"id":151,"name":"Denver Issue ID","value":""},{"id":178,"name":"Operational Impact","value":"Yes"},{"id":179,"name":"Denver Segment Assigned","value":""}]}} | curl -X POST -H "Content-Type: application/json" -H "X-Redmine-API-Key: d6333d4a04012a730768444271f8ca06482dae87" https://secure.xorail.net/redmine/issues.json --data @-</v>
      </c>
      <c r="AJ84" s="48"/>
      <c r="AK84" s="48"/>
      <c r="AL84" s="48"/>
      <c r="AM84" s="158" t="str">
        <f t="shared" si="9"/>
        <v>start /low /b %USERPROFILE%\Documents\GitHub\eaglep3\Utilities\DownloadLogsFromS3.py --loco 4039 --day 2017-02-05</v>
      </c>
      <c r="AN84" s="167" t="str">
        <f>"grep -SE -B400 ""CHR.+\|PRM\|1\|D.+(SWITCH|SIGNAL).+UNKNOWN"" "&amp;search_path&amp;"\RTDC"&amp;B84&amp;"\*"&amp;B84&amp;"*"&amp;TEXT(AVERAGE(F84,I84)-utc_offset/24,"YYYYMMDD")&amp;"* | grep -SE ""(Enforcement Action)|(\[TIMEOUT)|(CHR.+\|PRM\|1\|D.+(SWITCH|SIGNAL).+UNKNOWN)"" - &gt;&gt; "&amp;TEXT(Variables!$A$2,"YYYY-MM-DD")&amp;"-UncaughtWiMAX.txt"</f>
        <v>grep -SE -B400 "CHR.+\|PRM\|1\|D.+(SWITCH|SIGNAL).+UNKNOWN" "%USERPROFILE%\AppData\Local\Temp\OnboardLogs"\RTDC4039\*4039*20170205* | grep -SE "(Enforcement Action)|(\[TIMEOUT)|(CHR.+\|PRM\|1\|D.+(SWITCH|SIGNAL).+UNKNOWN)" - &gt;&gt; 2017-02-05-UncaughtWiMAX.txt</v>
      </c>
    </row>
    <row r="85" spans="1:91" s="20" customFormat="1" x14ac:dyDescent="0.25">
      <c r="A85" s="33" t="s">
        <v>636</v>
      </c>
      <c r="B85" s="7">
        <v>4025</v>
      </c>
      <c r="C85" s="21" t="s">
        <v>193</v>
      </c>
      <c r="D85" s="21" t="s">
        <v>411</v>
      </c>
      <c r="E85" s="13">
        <v>42771.526678240742</v>
      </c>
      <c r="F85" s="13">
        <v>42771.531423611108</v>
      </c>
      <c r="G85" s="7">
        <v>2</v>
      </c>
      <c r="H85" s="21" t="s">
        <v>409</v>
      </c>
      <c r="I85" s="13">
        <v>42771.556203703702</v>
      </c>
      <c r="J85" s="7">
        <v>0</v>
      </c>
      <c r="K85" s="98" t="str">
        <f>IF(ISEVEN(B85),(B85-1)&amp;"/"&amp;B85,B85&amp;"/"&amp;(B85+1))</f>
        <v>4025/4026</v>
      </c>
      <c r="L85" s="21" t="str">
        <f>VLOOKUP(A85,'Trips&amp;Operators'!$C$1:$G$99999,5,FALSE)</f>
        <v>LALONDE GREGORY</v>
      </c>
      <c r="M85" s="6">
        <f>I85-F85</f>
        <v>2.4780092593573499E-2</v>
      </c>
      <c r="N85" s="7">
        <f>24*60*SUM($M85:$M85)</f>
        <v>35.683333334745839</v>
      </c>
      <c r="O85" s="7"/>
      <c r="P85" s="7"/>
      <c r="Q85" s="22"/>
      <c r="R85" s="22"/>
      <c r="S85" s="31">
        <f>SUM(U85:U85)/IF(AG85="EC",12,1)</f>
        <v>1</v>
      </c>
      <c r="T85" s="46" t="str">
        <f>IF(ISEVEN(LEFT(AD85,4)),"Southbound","NorthBound")</f>
        <v>NorthBound</v>
      </c>
      <c r="U85" s="190">
        <f>IF(AG85="EC",COUNTIFS(Variables!$M$2:$M$19,IF(T85="NorthBound","&gt;=","&lt;=")&amp;Y85,Variables!$M$2:$M$19,IF(T85="NorthBound","&lt;=","&gt;=")&amp;Z85),COUNTIFS(Variables!$P$2:$P$19,IF(T85="NorthBound","&gt;=","&lt;=")&amp;Y85,Variables!$P$2:$P$19,IF(T85="NorthBound","&lt;=","&gt;=")&amp;Z85))</f>
        <v>12</v>
      </c>
      <c r="V85" s="191" t="str">
        <f>"https://d0f6bd738d7f1b3e5a7ca70fe4ff75f0.us-east-1.aws.found.io/app/kibana#/discover/Steve-Slow-Train-Analysis-(2080s-and-2083s)?_g="&amp;"(refreshInterval:(display:Off,pause:!f,section:0,value:0),time:(from:'"&amp;TEXT(E85-1/24,"yyyy-MM-DDThh:mm:ss")&amp;utc_offset&amp;"00"&amp;"',mode:absolute,to:'"&amp;TEXT(I85+1/24,"yyyy-MM-DDThh:mm:ss")&amp;utc_offset&amp;"00"&amp;"'))&amp;_a=(columns:!('Locomotive+ID','Data.Head+End+Milepost',Data.Speed,'Data.Locomotive+State','Data.Train+ID',"&amp;"'Data.Warning%2FEnforcement+Type','Data.Target+Start+Milepost','Data.Target+Description','Data.Target+Speed',"&amp;"'Data.Enforcement+Train+Speed','Data.Enforcement+Start+Milepost','Data.Target+Type','Data.Enforcement+Direction+of+Travel','Message+ID',"&amp;"'Data.Body+of+Summary+Text','Data.Head+End+Track+name'),filters:!(),index:'emp_*',interval:auto,query:"&amp;"(query_string:(analyze_wildcard:!t,query:'Message%5C+ID:(2083+OR+2080+OR+1041+OR+2003+OR+1051+OR+1043+OR+1053)+AND+%22rtdc.l.rtdc."&amp;B85&amp;"%22')),sort:!(Time.ISO8601,asc))"</f>
        <v>https://d0f6bd738d7f1b3e5a7ca70fe4ff75f0.us-east-1.aws.found.io/app/kibana#/discover/Steve-Slow-Train-Analysis-(2080s-and-2083s)?_g=(refreshInterval:(display:Off,pause:!f,section:0,value:0),time:(from:'2017-02-05T11:38:25-0700',mode:absolute,to:'2017-02-05T14:20:56-0700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4025%22')),sort:!(Time.ISO8601,asc))</v>
      </c>
      <c r="W85" s="192" t="str">
        <f>IF(AA85&lt;IF(AG85="EC",23,5.65),"Y","N")</f>
        <v>N</v>
      </c>
      <c r="X85" s="192">
        <f>VALUE(LEFT(AD85,4))-VALUE(LEFT(AD84,4))</f>
        <v>1</v>
      </c>
      <c r="Y85" s="62">
        <f>RIGHT(D85,LEN(D85)-4)/10000</f>
        <v>4.7800000000000002E-2</v>
      </c>
      <c r="Z85" s="62">
        <f>RIGHT(H85,LEN(H85)-4)/10000</f>
        <v>23.33</v>
      </c>
      <c r="AA85" s="62">
        <f>ABS(Z85-Y85)</f>
        <v>23.2822</v>
      </c>
      <c r="AB85" s="59" t="e">
        <f>VLOOKUP(A85,Enforcements!$C$7:$K$16,8,0)</f>
        <v>#N/A</v>
      </c>
      <c r="AC85" s="55" t="e">
        <f>VLOOKUP(A85,Enforcements!$C$7:$E$16,3,0)</f>
        <v>#N/A</v>
      </c>
      <c r="AD85" s="56" t="str">
        <f>IF(LEN(A85)=6,"0"&amp;A85,A85)</f>
        <v>0173-05</v>
      </c>
      <c r="AE85" s="85" t="str">
        <f>"aws s3 cp "&amp;s3_bucket&amp;"/RTDC"&amp;B85&amp;"/ "&amp;search_path&amp;"\RTDC"&amp;B85&amp;"\"&amp;TEXT(F85,"YYYY-MM-DD")&amp;" --exclude ""*"" --recursive --include ""*"&amp;TEXT(F85,"YYYYMMDD")&amp;"*"" &amp; """&amp;walkandungz&amp;""" "&amp;search_path&amp;"\RTDC"&amp;B85&amp;"\"&amp;TEXT(F85,"YYYY-MM-DD")
&amp;" &amp; "&amp;"aws s3 cp "&amp;s3_bucket&amp;"/RTDC"&amp;B85&amp;"/ "&amp;search_path&amp;"\RTDC"&amp;B85&amp;"\"&amp;TEXT(F85+1,"YYYY-MM-DD")&amp;" --exclude ""*"" --recursive --include ""*"&amp;TEXT(F85+1,"YYYYMMDD")&amp;"*"" &amp; """&amp;walkandungz&amp;""" "&amp;search_path&amp;"\RTDC"&amp;B85&amp;"\"&amp;TEXT(F85+1,"YYYY-MM-DD")</f>
        <v>aws s3 cp s3://rtdc.mdm.uploadarchive.raw/RTDC4025/ "%USERPROFILE%\AppData\Local\Temp\OnboardLogs"\RTDC4025\2017-02-05 --exclude "*" --recursive --include "*20170205*" &amp; "%USERPROFILE%\Documents\GitHub\mrs-test-scripts\Headless Mode &amp; Sideloading\WalkAndUnGZ.bat" "%USERPROFILE%\AppData\Local\Temp\OnboardLogs"\RTDC4025\2017-02-05 &amp; aws s3 cp s3://rtdc.mdm.uploadarchive.raw/RTDC4025/ "%USERPROFILE%\AppData\Local\Temp\OnboardLogs"\RTDC4025\2017-02-06 --exclude "*" --recursive --include "*20170206*" &amp; "%USERPROFILE%\Documents\GitHub\mrs-test-scripts\Headless Mode &amp; Sideloading\WalkAndUnGZ.bat" "%USERPROFILE%\AppData\Local\Temp\OnboardLogs"\RTDC4025\2017-02-06</v>
      </c>
      <c r="AF85" s="82" t="str">
        <f>astrogrep_path&amp;" /spath="&amp;search_path&amp;" /stypes=""app*"&amp;B85&amp;"*"&amp;TEXT(I85-utc_offset/24,"YYYYMMDD")&amp;"*"" /stext="" "&amp;TEXT(I85-utc_offset/24,"HH")&amp;search_regexp&amp;""" /e /r /s"</f>
        <v>"C:\Program Files (x86)\AstroGrep\AstroGrep.exe" /spath="%USERPROFILE%\AppData\Local\Temp\OnboardLogs" /stypes="app*4025*20170205*" /stext=" 20:.+((SYSTEM_STATE.+slice.+state.+changed )|(ment ac)|(multiple cpu faults)|(system.+state.+changed )|(\[timeout)|(PRM\|1\|D)|(kpr)|(kdp)|(\|lc)|(penalty))" /e /r /s</v>
      </c>
      <c r="AG85" s="1" t="str">
        <f>IFERROR(IF(VALUE(LEFT(AD85,2))&lt;=2,"EC",IF(OR(VALUE(LEFT(AD85,2))=8,VALUE(LEFT(AD85,2))=18),"NW","Other")),"Other")</f>
        <v>EC</v>
      </c>
      <c r="AH85" s="86" t="str">
        <f t="shared" si="7"/>
        <v>"%USERPROFILE%\Documents\GitHub\eaglep3\Utilities\RefineRTDCRunTimes.py" --tripid 173-05 --locoid 4025 --swversion DE.1.0.8.0 --startMP 204:478 --initTime 2017-02-05T12:38:25 --startdatetime 2017-02-05T12:45:15 --delay 2 --endMP 204:233300 --enddatetime 2017-02-05T13:20:56 --enforcementcount 0 &gt;&gt;C:\Users\stu\Documents\GitHub\eaglep3-reporting\EC\2017-02-05-refined-times.txt</v>
      </c>
      <c r="AI85" s="108" t="str">
        <f t="shared" si="8"/>
        <v>echo {"issue":{"subject":"","project_id":79,"tracker_id":40,"status_id":1,"priority_id":2,"assigned_to_id":23,"start_date":"2017-02-05","description":"","custom_fields":[{"id":1,"name":"Subdivision","value":"EC"},{"id":4,"name":"Milepost","value":"23.33"},{"id":17,"name":"Train ID","value":"173-05"},{"id":16,"name":"Locomotive ID","value":"4025"},{"id":130,"name":"Impact","value":""},{"id":150,"name":"Time of Event (Mountain Time)","value":"13:20:56"},{"id":151,"name":"Denver Issue ID","value":""},{"id":178,"name":"Operational Impact","value":"Yes"},{"id":179,"name":"Denver Segment Assigned","value":""}]}} | curl -X POST -H "Content-Type: application/json" -H "X-Redmine-API-Key: d6333d4a04012a730768444271f8ca06482dae87" https://secure.xorail.net/redmine/issues.json --data @-</v>
      </c>
      <c r="AJ85" s="48"/>
      <c r="AK85" s="48"/>
      <c r="AL85" s="48"/>
      <c r="AM85" s="158" t="str">
        <f t="shared" si="9"/>
        <v>start /low /b %USERPROFILE%\Documents\GitHub\eaglep3\Utilities\DownloadLogsFromS3.py --loco 4025 --day 2017-02-05</v>
      </c>
      <c r="AN85" s="167" t="str">
        <f>"grep -SE -B400 ""CHR.+\|PRM\|1\|D.+(SWITCH|SIGNAL).+UNKNOWN"" "&amp;search_path&amp;"\RTDC"&amp;B85&amp;"\*"&amp;B85&amp;"*"&amp;TEXT(AVERAGE(F85,I85)-utc_offset/24,"YYYYMMDD")&amp;"* | grep -SE ""(Enforcement Action)|(\[TIMEOUT)|(CHR.+\|PRM\|1\|D.+(SWITCH|SIGNAL).+UNKNOWN)"" - &gt;&gt; "&amp;TEXT(Variables!$A$2,"YYYY-MM-DD")&amp;"-UncaughtWiMAX.txt"</f>
        <v>grep -SE -B400 "CHR.+\|PRM\|1\|D.+(SWITCH|SIGNAL).+UNKNOWN" "%USERPROFILE%\AppData\Local\Temp\OnboardLogs"\RTDC4025\*4025*20170205* | grep -SE "(Enforcement Action)|(\[TIMEOUT)|(CHR.+\|PRM\|1\|D.+(SWITCH|SIGNAL).+UNKNOWN)" - &gt;&gt; 2017-02-05-UncaughtWiMAX.txt</v>
      </c>
      <c r="AO85"/>
      <c r="AP85"/>
      <c r="AQ85"/>
      <c r="AR85"/>
      <c r="AS85"/>
      <c r="AT85"/>
      <c r="AU85"/>
      <c r="AV85"/>
      <c r="AW85"/>
      <c r="AX85"/>
      <c r="AY85"/>
      <c r="AZ85"/>
      <c r="BA85"/>
      <c r="BB85"/>
      <c r="BC85"/>
      <c r="BD85"/>
      <c r="BE85"/>
      <c r="BF85"/>
      <c r="BG85"/>
      <c r="BH85"/>
      <c r="BI85"/>
      <c r="BJ85"/>
      <c r="BK85"/>
      <c r="BL85"/>
      <c r="BM85"/>
      <c r="BN85"/>
      <c r="BO85"/>
      <c r="BP85"/>
      <c r="BQ85"/>
      <c r="BR85"/>
      <c r="BS85"/>
      <c r="BT85"/>
      <c r="BU85"/>
      <c r="BV85"/>
      <c r="BW85"/>
      <c r="BX85"/>
      <c r="BY85"/>
      <c r="BZ85"/>
      <c r="CA85"/>
      <c r="CB85"/>
      <c r="CC85"/>
      <c r="CD85"/>
      <c r="CE85"/>
      <c r="CF85"/>
      <c r="CG85"/>
      <c r="CH85"/>
      <c r="CI85"/>
      <c r="CJ85"/>
      <c r="CK85"/>
      <c r="CL85"/>
      <c r="CM85"/>
    </row>
    <row r="86" spans="1:91" s="20" customFormat="1" x14ac:dyDescent="0.25">
      <c r="A86" s="33" t="s">
        <v>646</v>
      </c>
      <c r="B86" s="7">
        <v>4026</v>
      </c>
      <c r="C86" s="21" t="s">
        <v>193</v>
      </c>
      <c r="D86" s="21" t="s">
        <v>356</v>
      </c>
      <c r="E86" s="13">
        <v>42771.559363425928</v>
      </c>
      <c r="F86" s="13">
        <v>42771.570462962962</v>
      </c>
      <c r="G86" s="7">
        <v>1</v>
      </c>
      <c r="H86" s="21" t="s">
        <v>200</v>
      </c>
      <c r="I86" s="13">
        <v>42771.599687499998</v>
      </c>
      <c r="J86" s="7">
        <v>0</v>
      </c>
      <c r="K86" s="98" t="str">
        <f>IF(ISEVEN(B86),(B86-1)&amp;"/"&amp;B86,B86&amp;"/"&amp;(B86+1))</f>
        <v>4025/4026</v>
      </c>
      <c r="L86" s="21" t="str">
        <f>VLOOKUP(A86,'Trips&amp;Operators'!$C$1:$G$99999,5,FALSE)</f>
        <v>LALONDE GREGORY</v>
      </c>
      <c r="M86" s="6">
        <f>I86-F86</f>
        <v>2.9224537036498077E-2</v>
      </c>
      <c r="N86" s="7">
        <f>24*60*SUM($M86:$M86)</f>
        <v>42.083333332557231</v>
      </c>
      <c r="O86" s="7"/>
      <c r="P86" s="7"/>
      <c r="Q86" s="22"/>
      <c r="R86" s="22"/>
      <c r="S86" s="31">
        <f>SUM(U86:U86)/IF(AG86="EC",12,1)</f>
        <v>1</v>
      </c>
      <c r="T86" s="46" t="str">
        <f>IF(ISEVEN(LEFT(AD86,4)),"Southbound","NorthBound")</f>
        <v>Southbound</v>
      </c>
      <c r="U86" s="190">
        <f>IF(AG86="EC",COUNTIFS(Variables!$M$2:$M$19,IF(T86="NorthBound","&gt;=","&lt;=")&amp;Y86,Variables!$M$2:$M$19,IF(T86="NorthBound","&lt;=","&gt;=")&amp;Z86),COUNTIFS(Variables!$P$2:$P$19,IF(T86="NorthBound","&gt;=","&lt;=")&amp;Y86,Variables!$P$2:$P$19,IF(T86="NorthBound","&lt;=","&gt;=")&amp;Z86))</f>
        <v>12</v>
      </c>
      <c r="V86" s="191" t="str">
        <f>"https://d0f6bd738d7f1b3e5a7ca70fe4ff75f0.us-east-1.aws.found.io/app/kibana#/discover/Steve-Slow-Train-Analysis-(2080s-and-2083s)?_g="&amp;"(refreshInterval:(display:Off,pause:!f,section:0,value:0),time:(from:'"&amp;TEXT(E86-1/24,"yyyy-MM-DDThh:mm:ss")&amp;utc_offset&amp;"00"&amp;"',mode:absolute,to:'"&amp;TEXT(I86+1/24,"yyyy-MM-DDThh:mm:ss")&amp;utc_offset&amp;"00"&amp;"'))&amp;_a=(columns:!('Locomotive+ID','Data.Head+End+Milepost',Data.Speed,'Data.Locomotive+State','Data.Train+ID',"&amp;"'Data.Warning%2FEnforcement+Type','Data.Target+Start+Milepost','Data.Target+Description','Data.Target+Speed',"&amp;"'Data.Enforcement+Train+Speed','Data.Enforcement+Start+Milepost','Data.Target+Type','Data.Enforcement+Direction+of+Travel','Message+ID',"&amp;"'Data.Body+of+Summary+Text','Data.Head+End+Track+name'),filters:!(),index:'emp_*',interval:auto,query:"&amp;"(query_string:(analyze_wildcard:!t,query:'Message%5C+ID:(2083+OR+2080+OR+1041+OR+2003+OR+1051+OR+1043+OR+1053)+AND+%22rtdc.l.rtdc."&amp;B86&amp;"%22')),sort:!(Time.ISO8601,asc))"</f>
        <v>https://d0f6bd738d7f1b3e5a7ca70fe4ff75f0.us-east-1.aws.found.io/app/kibana#/discover/Steve-Slow-Train-Analysis-(2080s-and-2083s)?_g=(refreshInterval:(display:Off,pause:!f,section:0,value:0),time:(from:'2017-02-05T12:25:29-0700',mode:absolute,to:'2017-02-05T15:23:33-0700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4026%22')),sort:!(Time.ISO8601,asc))</v>
      </c>
      <c r="W86" s="192" t="str">
        <f>IF(AA86&lt;IF(AG86="EC",23,5.65),"Y","N")</f>
        <v>N</v>
      </c>
      <c r="X86" s="192">
        <f>VALUE(LEFT(AD86,4))-VALUE(LEFT(AD85,4))</f>
        <v>1</v>
      </c>
      <c r="Y86" s="62">
        <f>RIGHT(D86,LEN(D86)-4)/10000</f>
        <v>23.299099999999999</v>
      </c>
      <c r="Z86" s="62">
        <f>RIGHT(H86,LEN(H86)-4)/10000</f>
        <v>1.4500000000000001E-2</v>
      </c>
      <c r="AA86" s="62">
        <f>ABS(Z86-Y86)</f>
        <v>23.284599999999998</v>
      </c>
      <c r="AB86" s="59" t="e">
        <f>VLOOKUP(A86,Enforcements!$C$7:$K$16,8,0)</f>
        <v>#N/A</v>
      </c>
      <c r="AC86" s="55" t="e">
        <f>VLOOKUP(A86,Enforcements!$C$7:$E$16,3,0)</f>
        <v>#N/A</v>
      </c>
      <c r="AD86" s="56" t="str">
        <f>IF(LEN(A86)=6,"0"&amp;A86,A86)</f>
        <v>0174-05</v>
      </c>
      <c r="AE86" s="85" t="str">
        <f>"aws s3 cp "&amp;s3_bucket&amp;"/RTDC"&amp;B86&amp;"/ "&amp;search_path&amp;"\RTDC"&amp;B86&amp;"\"&amp;TEXT(F86,"YYYY-MM-DD")&amp;" --exclude ""*"" --recursive --include ""*"&amp;TEXT(F86,"YYYYMMDD")&amp;"*"" &amp; """&amp;walkandungz&amp;""" "&amp;search_path&amp;"\RTDC"&amp;B86&amp;"\"&amp;TEXT(F86,"YYYY-MM-DD")
&amp;" &amp; "&amp;"aws s3 cp "&amp;s3_bucket&amp;"/RTDC"&amp;B86&amp;"/ "&amp;search_path&amp;"\RTDC"&amp;B86&amp;"\"&amp;TEXT(F86+1,"YYYY-MM-DD")&amp;" --exclude ""*"" --recursive --include ""*"&amp;TEXT(F86+1,"YYYYMMDD")&amp;"*"" &amp; """&amp;walkandungz&amp;""" "&amp;search_path&amp;"\RTDC"&amp;B86&amp;"\"&amp;TEXT(F86+1,"YYYY-MM-DD")</f>
        <v>aws s3 cp s3://rtdc.mdm.uploadarchive.raw/RTDC4026/ "%USERPROFILE%\AppData\Local\Temp\OnboardLogs"\RTDC4026\2017-02-05 --exclude "*" --recursive --include "*20170205*" &amp; "%USERPROFILE%\Documents\GitHub\mrs-test-scripts\Headless Mode &amp; Sideloading\WalkAndUnGZ.bat" "%USERPROFILE%\AppData\Local\Temp\OnboardLogs"\RTDC4026\2017-02-05 &amp; aws s3 cp s3://rtdc.mdm.uploadarchive.raw/RTDC4026/ "%USERPROFILE%\AppData\Local\Temp\OnboardLogs"\RTDC4026\2017-02-06 --exclude "*" --recursive --include "*20170206*" &amp; "%USERPROFILE%\Documents\GitHub\mrs-test-scripts\Headless Mode &amp; Sideloading\WalkAndUnGZ.bat" "%USERPROFILE%\AppData\Local\Temp\OnboardLogs"\RTDC4026\2017-02-06</v>
      </c>
      <c r="AF86" s="82" t="str">
        <f>astrogrep_path&amp;" /spath="&amp;search_path&amp;" /stypes=""app*"&amp;B86&amp;"*"&amp;TEXT(I86-utc_offset/24,"YYYYMMDD")&amp;"*"" /stext="" "&amp;TEXT(I86-utc_offset/24,"HH")&amp;search_regexp&amp;""" /e /r /s"</f>
        <v>"C:\Program Files (x86)\AstroGrep\AstroGrep.exe" /spath="%USERPROFILE%\AppData\Local\Temp\OnboardLogs" /stypes="app*4026*20170205*" /stext=" 21:.+((SYSTEM_STATE.+slice.+state.+changed )|(ment ac)|(multiple cpu faults)|(system.+state.+changed )|(\[timeout)|(PRM\|1\|D)|(kpr)|(kdp)|(\|lc)|(penalty))" /e /r /s</v>
      </c>
      <c r="AG86" s="1" t="str">
        <f>IFERROR(IF(VALUE(LEFT(AD86,2))&lt;=2,"EC",IF(OR(VALUE(LEFT(AD86,2))=8,VALUE(LEFT(AD86,2))=18),"NW","Other")),"Other")</f>
        <v>EC</v>
      </c>
      <c r="AH86" s="86" t="str">
        <f t="shared" si="7"/>
        <v>"%USERPROFILE%\Documents\GitHub\eaglep3\Utilities\RefineRTDCRunTimes.py" --tripid 174-05 --locoid 4026 --swversion DE.1.0.8.0 --startMP 204:232991 --initTime 2017-02-05T13:25:29 --startdatetime 2017-02-05T13:41:28 --delay 1 --endMP 204:145 --enddatetime 2017-02-05T14:23:33 --enforcementcount 0 &gt;&gt;C:\Users\stu\Documents\GitHub\eaglep3-reporting\EC\2017-02-05-refined-times.txt</v>
      </c>
      <c r="AI86" s="108" t="str">
        <f t="shared" si="8"/>
        <v>echo {"issue":{"subject":"","project_id":79,"tracker_id":40,"status_id":1,"priority_id":2,"assigned_to_id":23,"start_date":"2017-02-05","description":"","custom_fields":[{"id":1,"name":"Subdivision","value":"EC"},{"id":4,"name":"Milepost","value":"0.0145"},{"id":17,"name":"Train ID","value":"174-05"},{"id":16,"name":"Locomotive ID","value":"4026"},{"id":130,"name":"Impact","value":""},{"id":150,"name":"Time of Event (Mountain Time)","value":"14:23:33"},{"id":151,"name":"Denver Issue ID","value":""},{"id":178,"name":"Operational Impact","value":"Yes"},{"id":179,"name":"Denver Segment Assigned","value":""}]}} | curl -X POST -H "Content-Type: application/json" -H "X-Redmine-API-Key: d6333d4a04012a730768444271f8ca06482dae87" https://secure.xorail.net/redmine/issues.json --data @-</v>
      </c>
      <c r="AJ86" s="48"/>
      <c r="AK86" s="48"/>
      <c r="AL86" s="48"/>
      <c r="AM86" s="158" t="str">
        <f t="shared" si="9"/>
        <v>start /low /b %USERPROFILE%\Documents\GitHub\eaglep3\Utilities\DownloadLogsFromS3.py --loco 4026 --day 2017-02-05</v>
      </c>
      <c r="AN86" s="167" t="str">
        <f>"grep -SE -B400 ""CHR.+\|PRM\|1\|D.+(SWITCH|SIGNAL).+UNKNOWN"" "&amp;search_path&amp;"\RTDC"&amp;B86&amp;"\*"&amp;B86&amp;"*"&amp;TEXT(AVERAGE(F86,I86)-utc_offset/24,"YYYYMMDD")&amp;"* | grep -SE ""(Enforcement Action)|(\[TIMEOUT)|(CHR.+\|PRM\|1\|D.+(SWITCH|SIGNAL).+UNKNOWN)"" - &gt;&gt; "&amp;TEXT(Variables!$A$2,"YYYY-MM-DD")&amp;"-UncaughtWiMAX.txt"</f>
        <v>grep -SE -B400 "CHR.+\|PRM\|1\|D.+(SWITCH|SIGNAL).+UNKNOWN" "%USERPROFILE%\AppData\Local\Temp\OnboardLogs"\RTDC4026\*4026*20170205* | grep -SE "(Enforcement Action)|(\[TIMEOUT)|(CHR.+\|PRM\|1\|D.+(SWITCH|SIGNAL).+UNKNOWN)" - &gt;&gt; 2017-02-05-UncaughtWiMAX.txt</v>
      </c>
      <c r="AO86"/>
      <c r="AP86"/>
      <c r="AQ86"/>
      <c r="AR86"/>
      <c r="AS86"/>
      <c r="AT86"/>
      <c r="AU86"/>
      <c r="AV86"/>
      <c r="AW86"/>
      <c r="AX86"/>
      <c r="AY86"/>
      <c r="AZ86"/>
      <c r="BA86"/>
      <c r="BB86"/>
      <c r="BC86"/>
      <c r="BD86"/>
      <c r="BE86"/>
      <c r="BF86"/>
      <c r="BG86"/>
      <c r="BH86"/>
      <c r="BI86"/>
      <c r="BJ86"/>
      <c r="BK86"/>
      <c r="BL86"/>
      <c r="BM86"/>
      <c r="BN86"/>
      <c r="BO86"/>
      <c r="BP86"/>
      <c r="BQ86"/>
      <c r="BR86"/>
      <c r="BS86"/>
      <c r="BT86"/>
      <c r="BU86"/>
      <c r="BV86"/>
      <c r="BW86"/>
      <c r="BX86"/>
      <c r="BY86"/>
      <c r="BZ86"/>
      <c r="CA86"/>
      <c r="CB86"/>
      <c r="CC86"/>
      <c r="CD86"/>
      <c r="CE86"/>
      <c r="CF86"/>
      <c r="CG86"/>
      <c r="CH86"/>
      <c r="CI86"/>
      <c r="CJ86"/>
      <c r="CK86"/>
      <c r="CL86"/>
      <c r="CM86"/>
    </row>
    <row r="87" spans="1:91" s="20" customFormat="1" x14ac:dyDescent="0.25">
      <c r="A87" s="33" t="s">
        <v>640</v>
      </c>
      <c r="B87" s="7">
        <v>4016</v>
      </c>
      <c r="C87" s="21" t="s">
        <v>193</v>
      </c>
      <c r="D87" s="21" t="s">
        <v>209</v>
      </c>
      <c r="E87" s="13">
        <v>42771.538194444445</v>
      </c>
      <c r="F87" s="13">
        <v>42771.542013888888</v>
      </c>
      <c r="G87" s="7">
        <v>1</v>
      </c>
      <c r="H87" s="21" t="s">
        <v>401</v>
      </c>
      <c r="I87" s="13">
        <v>42771.56863425926</v>
      </c>
      <c r="J87" s="7">
        <v>0</v>
      </c>
      <c r="K87" s="98" t="str">
        <f>IF(ISEVEN(B87),(B87-1)&amp;"/"&amp;B87,B87&amp;"/"&amp;(B87+1))</f>
        <v>4015/4016</v>
      </c>
      <c r="L87" s="21" t="str">
        <f>VLOOKUP(A87,'Trips&amp;Operators'!$C$1:$G$99999,5,FALSE)</f>
        <v>DAVIS MICHAEL</v>
      </c>
      <c r="M87" s="6">
        <f>I87-F87</f>
        <v>2.662037037225673E-2</v>
      </c>
      <c r="N87" s="7">
        <f>24*60*SUM($M87:$M87)</f>
        <v>38.333333336049691</v>
      </c>
      <c r="O87" s="7"/>
      <c r="P87" s="7"/>
      <c r="Q87" s="22"/>
      <c r="R87" s="22"/>
      <c r="S87" s="31">
        <f>SUM(U87:U87)/IF(AG87="EC",12,1)</f>
        <v>1</v>
      </c>
      <c r="T87" s="46" t="str">
        <f>IF(ISEVEN(LEFT(AD87,4)),"Southbound","NorthBound")</f>
        <v>NorthBound</v>
      </c>
      <c r="U87" s="190">
        <f>IF(AG87="EC",COUNTIFS(Variables!$M$2:$M$19,IF(T87="NorthBound","&gt;=","&lt;=")&amp;Y87,Variables!$M$2:$M$19,IF(T87="NorthBound","&lt;=","&gt;=")&amp;Z87),COUNTIFS(Variables!$P$2:$P$19,IF(T87="NorthBound","&gt;=","&lt;=")&amp;Y87,Variables!$P$2:$P$19,IF(T87="NorthBound","&lt;=","&gt;=")&amp;Z87))</f>
        <v>12</v>
      </c>
      <c r="V87" s="191" t="str">
        <f>"https://d0f6bd738d7f1b3e5a7ca70fe4ff75f0.us-east-1.aws.found.io/app/kibana#/discover/Steve-Slow-Train-Analysis-(2080s-and-2083s)?_g="&amp;"(refreshInterval:(display:Off,pause:!f,section:0,value:0),time:(from:'"&amp;TEXT(E87-1/24,"yyyy-MM-DDThh:mm:ss")&amp;utc_offset&amp;"00"&amp;"',mode:absolute,to:'"&amp;TEXT(I87+1/24,"yyyy-MM-DDThh:mm:ss")&amp;utc_offset&amp;"00"&amp;"'))&amp;_a=(columns:!('Locomotive+ID','Data.Head+End+Milepost',Data.Speed,'Data.Locomotive+State','Data.Train+ID',"&amp;"'Data.Warning%2FEnforcement+Type','Data.Target+Start+Milepost','Data.Target+Description','Data.Target+Speed',"&amp;"'Data.Enforcement+Train+Speed','Data.Enforcement+Start+Milepost','Data.Target+Type','Data.Enforcement+Direction+of+Travel','Message+ID',"&amp;"'Data.Body+of+Summary+Text','Data.Head+End+Track+name'),filters:!(),index:'emp_*',interval:auto,query:"&amp;"(query_string:(analyze_wildcard:!t,query:'Message%5C+ID:(2083+OR+2080+OR+1041+OR+2003+OR+1051+OR+1043+OR+1053)+AND+%22rtdc.l.rtdc."&amp;B87&amp;"%22')),sort:!(Time.ISO8601,asc))"</f>
        <v>https://d0f6bd738d7f1b3e5a7ca70fe4ff75f0.us-east-1.aws.found.io/app/kibana#/discover/Steve-Slow-Train-Analysis-(2080s-and-2083s)?_g=(refreshInterval:(display:Off,pause:!f,section:0,value:0),time:(from:'2017-02-05T11:55:00-0700',mode:absolute,to:'2017-02-05T14:38:50-0700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4016%22')),sort:!(Time.ISO8601,asc))</v>
      </c>
      <c r="W87" s="192" t="str">
        <f>IF(AA87&lt;IF(AG87="EC",23,5.65),"Y","N")</f>
        <v>N</v>
      </c>
      <c r="X87" s="192">
        <f>VALUE(LEFT(AD87,4))-VALUE(LEFT(AD86,4))</f>
        <v>1</v>
      </c>
      <c r="Y87" s="62">
        <f>RIGHT(D87,LEN(D87)-4)/10000</f>
        <v>4.6199999999999998E-2</v>
      </c>
      <c r="Z87" s="62">
        <f>RIGHT(H87,LEN(H87)-4)/10000</f>
        <v>23.331199999999999</v>
      </c>
      <c r="AA87" s="62">
        <f>ABS(Z87-Y87)</f>
        <v>23.285</v>
      </c>
      <c r="AB87" s="59" t="e">
        <f>VLOOKUP(A87,Enforcements!$C$7:$K$16,8,0)</f>
        <v>#N/A</v>
      </c>
      <c r="AC87" s="55" t="e">
        <f>VLOOKUP(A87,Enforcements!$C$7:$E$16,3,0)</f>
        <v>#N/A</v>
      </c>
      <c r="AD87" s="56" t="str">
        <f>IF(LEN(A87)=6,"0"&amp;A87,A87)</f>
        <v>0175-05</v>
      </c>
      <c r="AE87" s="85" t="str">
        <f>"aws s3 cp "&amp;s3_bucket&amp;"/RTDC"&amp;B87&amp;"/ "&amp;search_path&amp;"\RTDC"&amp;B87&amp;"\"&amp;TEXT(F87,"YYYY-MM-DD")&amp;" --exclude ""*"" --recursive --include ""*"&amp;TEXT(F87,"YYYYMMDD")&amp;"*"" &amp; """&amp;walkandungz&amp;""" "&amp;search_path&amp;"\RTDC"&amp;B87&amp;"\"&amp;TEXT(F87,"YYYY-MM-DD")
&amp;" &amp; "&amp;"aws s3 cp "&amp;s3_bucket&amp;"/RTDC"&amp;B87&amp;"/ "&amp;search_path&amp;"\RTDC"&amp;B87&amp;"\"&amp;TEXT(F87+1,"YYYY-MM-DD")&amp;" --exclude ""*"" --recursive --include ""*"&amp;TEXT(F87+1,"YYYYMMDD")&amp;"*"" &amp; """&amp;walkandungz&amp;""" "&amp;search_path&amp;"\RTDC"&amp;B87&amp;"\"&amp;TEXT(F87+1,"YYYY-MM-DD")</f>
        <v>aws s3 cp s3://rtdc.mdm.uploadarchive.raw/RTDC4016/ "%USERPROFILE%\AppData\Local\Temp\OnboardLogs"\RTDC4016\2017-02-05 --exclude "*" --recursive --include "*20170205*" &amp; "%USERPROFILE%\Documents\GitHub\mrs-test-scripts\Headless Mode &amp; Sideloading\WalkAndUnGZ.bat" "%USERPROFILE%\AppData\Local\Temp\OnboardLogs"\RTDC4016\2017-02-05 &amp; aws s3 cp s3://rtdc.mdm.uploadarchive.raw/RTDC4016/ "%USERPROFILE%\AppData\Local\Temp\OnboardLogs"\RTDC4016\2017-02-06 --exclude "*" --recursive --include "*20170206*" &amp; "%USERPROFILE%\Documents\GitHub\mrs-test-scripts\Headless Mode &amp; Sideloading\WalkAndUnGZ.bat" "%USERPROFILE%\AppData\Local\Temp\OnboardLogs"\RTDC4016\2017-02-06</v>
      </c>
      <c r="AF87" s="82" t="str">
        <f>astrogrep_path&amp;" /spath="&amp;search_path&amp;" /stypes=""app*"&amp;B87&amp;"*"&amp;TEXT(I87-utc_offset/24,"YYYYMMDD")&amp;"*"" /stext="" "&amp;TEXT(I87-utc_offset/24,"HH")&amp;search_regexp&amp;""" /e /r /s"</f>
        <v>"C:\Program Files (x86)\AstroGrep\AstroGrep.exe" /spath="%USERPROFILE%\AppData\Local\Temp\OnboardLogs" /stypes="app*4016*20170205*" /stext=" 20:.+((SYSTEM_STATE.+slice.+state.+changed )|(ment ac)|(multiple cpu faults)|(system.+state.+changed )|(\[timeout)|(PRM\|1\|D)|(kpr)|(kdp)|(\|lc)|(penalty))" /e /r /s</v>
      </c>
      <c r="AG87" s="1" t="str">
        <f>IFERROR(IF(VALUE(LEFT(AD87,2))&lt;=2,"EC",IF(OR(VALUE(LEFT(AD87,2))=8,VALUE(LEFT(AD87,2))=18),"NW","Other")),"Other")</f>
        <v>EC</v>
      </c>
      <c r="AH87" s="86" t="str">
        <f t="shared" si="7"/>
        <v>"%USERPROFILE%\Documents\GitHub\eaglep3\Utilities\RefineRTDCRunTimes.py" --tripid 175-05 --locoid 4016 --swversion DE.1.0.8.0 --startMP 204:462 --initTime 2017-02-05T12:55:00 --startdatetime 2017-02-05T13:00:30 --delay 1 --endMP 204:233312 --enddatetime 2017-02-05T13:38:50 --enforcementcount 0 &gt;&gt;C:\Users\stu\Documents\GitHub\eaglep3-reporting\EC\2017-02-05-refined-times.txt</v>
      </c>
      <c r="AI87" s="108" t="str">
        <f t="shared" si="8"/>
        <v>echo {"issue":{"subject":"","project_id":79,"tracker_id":40,"status_id":1,"priority_id":2,"assigned_to_id":23,"start_date":"2017-02-05","description":"","custom_fields":[{"id":1,"name":"Subdivision","value":"EC"},{"id":4,"name":"Milepost","value":"23.3312"},{"id":17,"name":"Train ID","value":"175-05"},{"id":16,"name":"Locomotive ID","value":"4016"},{"id":130,"name":"Impact","value":""},{"id":150,"name":"Time of Event (Mountain Time)","value":"13:38:50"},{"id":151,"name":"Denver Issue ID","value":""},{"id":178,"name":"Operational Impact","value":"Yes"},{"id":179,"name":"Denver Segment Assigned","value":""}]}} | curl -X POST -H "Content-Type: application/json" -H "X-Redmine-API-Key: d6333d4a04012a730768444271f8ca06482dae87" https://secure.xorail.net/redmine/issues.json --data @-</v>
      </c>
      <c r="AJ87" s="48"/>
      <c r="AK87" s="48"/>
      <c r="AL87" s="48"/>
      <c r="AM87" s="158" t="str">
        <f t="shared" si="9"/>
        <v>start /low /b %USERPROFILE%\Documents\GitHub\eaglep3\Utilities\DownloadLogsFromS3.py --loco 4016 --day 2017-02-05</v>
      </c>
      <c r="AN87" s="167" t="str">
        <f>"grep -SE -B400 ""CHR.+\|PRM\|1\|D.+(SWITCH|SIGNAL).+UNKNOWN"" "&amp;search_path&amp;"\RTDC"&amp;B87&amp;"\*"&amp;B87&amp;"*"&amp;TEXT(AVERAGE(F87,I87)-utc_offset/24,"YYYYMMDD")&amp;"* | grep -SE ""(Enforcement Action)|(\[TIMEOUT)|(CHR.+\|PRM\|1\|D.+(SWITCH|SIGNAL).+UNKNOWN)"" - &gt;&gt; "&amp;TEXT(Variables!$A$2,"YYYY-MM-DD")&amp;"-UncaughtWiMAX.txt"</f>
        <v>grep -SE -B400 "CHR.+\|PRM\|1\|D.+(SWITCH|SIGNAL).+UNKNOWN" "%USERPROFILE%\AppData\Local\Temp\OnboardLogs"\RTDC4016\*4016*20170205* | grep -SE "(Enforcement Action)|(\[TIMEOUT)|(CHR.+\|PRM\|1\|D.+(SWITCH|SIGNAL).+UNKNOWN)" - &gt;&gt; 2017-02-05-UncaughtWiMAX.txt</v>
      </c>
      <c r="AO87"/>
      <c r="AP87"/>
      <c r="AQ87"/>
      <c r="AR87"/>
      <c r="AS87"/>
      <c r="AT87"/>
      <c r="AU87"/>
      <c r="AV87"/>
      <c r="AW87"/>
      <c r="AX87"/>
      <c r="AY87"/>
      <c r="AZ87"/>
      <c r="BA87"/>
      <c r="BB87"/>
      <c r="BC87"/>
      <c r="BD87"/>
      <c r="BE87"/>
      <c r="BF87"/>
      <c r="BG87"/>
      <c r="BH87"/>
      <c r="BI87"/>
      <c r="BJ87"/>
      <c r="BK87"/>
      <c r="BL87"/>
      <c r="BM87"/>
      <c r="BN87"/>
      <c r="BO87"/>
      <c r="BP87"/>
      <c r="BQ87"/>
      <c r="BR87"/>
      <c r="BS87"/>
      <c r="BT87"/>
      <c r="BU87"/>
      <c r="BV87"/>
      <c r="BW87"/>
      <c r="BX87"/>
      <c r="BY87"/>
      <c r="BZ87"/>
      <c r="CA87"/>
      <c r="CB87"/>
      <c r="CC87"/>
      <c r="CD87"/>
      <c r="CE87"/>
      <c r="CF87"/>
      <c r="CG87"/>
      <c r="CH87"/>
      <c r="CI87"/>
      <c r="CJ87"/>
      <c r="CK87"/>
      <c r="CL87"/>
      <c r="CM87"/>
    </row>
    <row r="88" spans="1:91" s="20" customFormat="1" x14ac:dyDescent="0.25">
      <c r="A88" s="33" t="s">
        <v>649</v>
      </c>
      <c r="B88" s="7">
        <v>4015</v>
      </c>
      <c r="C88" s="21" t="s">
        <v>193</v>
      </c>
      <c r="D88" s="21" t="s">
        <v>366</v>
      </c>
      <c r="E88" s="13">
        <v>42771.577581018515</v>
      </c>
      <c r="F88" s="13">
        <v>42771.580995370372</v>
      </c>
      <c r="G88" s="7">
        <v>1</v>
      </c>
      <c r="H88" s="21" t="s">
        <v>184</v>
      </c>
      <c r="I88" s="13">
        <v>42771.609502314815</v>
      </c>
      <c r="J88" s="7">
        <v>0</v>
      </c>
      <c r="K88" s="98" t="str">
        <f>IF(ISEVEN(B88),(B88-1)&amp;"/"&amp;B88,B88&amp;"/"&amp;(B88+1))</f>
        <v>4015/4016</v>
      </c>
      <c r="L88" s="21" t="str">
        <f>VLOOKUP(A88,'Trips&amp;Operators'!$C$1:$G$99999,5,FALSE)</f>
        <v>DAVIS MICHAEL</v>
      </c>
      <c r="M88" s="6">
        <f>I88-F88</f>
        <v>2.8506944443506654E-2</v>
      </c>
      <c r="N88" s="7">
        <f>24*60*SUM($M88:$M88)</f>
        <v>41.049999998649582</v>
      </c>
      <c r="O88" s="7"/>
      <c r="P88" s="7"/>
      <c r="Q88" s="22"/>
      <c r="R88" s="22"/>
      <c r="S88" s="31">
        <f>SUM(U88:U88)/IF(AG88="EC",12,1)</f>
        <v>1</v>
      </c>
      <c r="T88" s="46" t="str">
        <f>IF(ISEVEN(LEFT(AD88,4)),"Southbound","NorthBound")</f>
        <v>Southbound</v>
      </c>
      <c r="U88" s="190">
        <f>IF(AG88="EC",COUNTIFS(Variables!$M$2:$M$19,IF(T88="NorthBound","&gt;=","&lt;=")&amp;Y88,Variables!$M$2:$M$19,IF(T88="NorthBound","&lt;=","&gt;=")&amp;Z88),COUNTIFS(Variables!$P$2:$P$19,IF(T88="NorthBound","&gt;=","&lt;=")&amp;Y88,Variables!$P$2:$P$19,IF(T88="NorthBound","&lt;=","&gt;=")&amp;Z88))</f>
        <v>12</v>
      </c>
      <c r="V88" s="191" t="str">
        <f>"https://d0f6bd738d7f1b3e5a7ca70fe4ff75f0.us-east-1.aws.found.io/app/kibana#/discover/Steve-Slow-Train-Analysis-(2080s-and-2083s)?_g="&amp;"(refreshInterval:(display:Off,pause:!f,section:0,value:0),time:(from:'"&amp;TEXT(E88-1/24,"yyyy-MM-DDThh:mm:ss")&amp;utc_offset&amp;"00"&amp;"',mode:absolute,to:'"&amp;TEXT(I88+1/24,"yyyy-MM-DDThh:mm:ss")&amp;utc_offset&amp;"00"&amp;"'))&amp;_a=(columns:!('Locomotive+ID','Data.Head+End+Milepost',Data.Speed,'Data.Locomotive+State','Data.Train+ID',"&amp;"'Data.Warning%2FEnforcement+Type','Data.Target+Start+Milepost','Data.Target+Description','Data.Target+Speed',"&amp;"'Data.Enforcement+Train+Speed','Data.Enforcement+Start+Milepost','Data.Target+Type','Data.Enforcement+Direction+of+Travel','Message+ID',"&amp;"'Data.Body+of+Summary+Text','Data.Head+End+Track+name'),filters:!(),index:'emp_*',interval:auto,query:"&amp;"(query_string:(analyze_wildcard:!t,query:'Message%5C+ID:(2083+OR+2080+OR+1041+OR+2003+OR+1051+OR+1043+OR+1053)+AND+%22rtdc.l.rtdc."&amp;B88&amp;"%22')),sort:!(Time.ISO8601,asc))"</f>
        <v>https://d0f6bd738d7f1b3e5a7ca70fe4ff75f0.us-east-1.aws.found.io/app/kibana#/discover/Steve-Slow-Train-Analysis-(2080s-and-2083s)?_g=(refreshInterval:(display:Off,pause:!f,section:0,value:0),time:(from:'2017-02-05T12:51:43-0700',mode:absolute,to:'2017-02-05T15:37:41-0700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4015%22')),sort:!(Time.ISO8601,asc))</v>
      </c>
      <c r="W88" s="192" t="str">
        <f>IF(AA88&lt;IF(AG88="EC",23,5.65),"Y","N")</f>
        <v>N</v>
      </c>
      <c r="X88" s="192">
        <f>VALUE(LEFT(AD88,4))-VALUE(LEFT(AD87,4))</f>
        <v>1</v>
      </c>
      <c r="Y88" s="62">
        <f>RIGHT(D88,LEN(D88)-4)/10000</f>
        <v>23.299600000000002</v>
      </c>
      <c r="Z88" s="62">
        <f>RIGHT(H88,LEN(H88)-4)/10000</f>
        <v>1.49E-2</v>
      </c>
      <c r="AA88" s="62">
        <f>ABS(Z88-Y88)</f>
        <v>23.284700000000001</v>
      </c>
      <c r="AB88" s="59" t="e">
        <f>VLOOKUP(A88,Enforcements!$C$7:$K$16,8,0)</f>
        <v>#N/A</v>
      </c>
      <c r="AC88" s="55" t="e">
        <f>VLOOKUP(A88,Enforcements!$C$7:$E$16,3,0)</f>
        <v>#N/A</v>
      </c>
      <c r="AD88" s="56" t="str">
        <f>IF(LEN(A88)=6,"0"&amp;A88,A88)</f>
        <v>0176-05</v>
      </c>
      <c r="AE88" s="85" t="str">
        <f>"aws s3 cp "&amp;s3_bucket&amp;"/RTDC"&amp;B88&amp;"/ "&amp;search_path&amp;"\RTDC"&amp;B88&amp;"\"&amp;TEXT(F88,"YYYY-MM-DD")&amp;" --exclude ""*"" --recursive --include ""*"&amp;TEXT(F88,"YYYYMMDD")&amp;"*"" &amp; """&amp;walkandungz&amp;""" "&amp;search_path&amp;"\RTDC"&amp;B88&amp;"\"&amp;TEXT(F88,"YYYY-MM-DD")
&amp;" &amp; "&amp;"aws s3 cp "&amp;s3_bucket&amp;"/RTDC"&amp;B88&amp;"/ "&amp;search_path&amp;"\RTDC"&amp;B88&amp;"\"&amp;TEXT(F88+1,"YYYY-MM-DD")&amp;" --exclude ""*"" --recursive --include ""*"&amp;TEXT(F88+1,"YYYYMMDD")&amp;"*"" &amp; """&amp;walkandungz&amp;""" "&amp;search_path&amp;"\RTDC"&amp;B88&amp;"\"&amp;TEXT(F88+1,"YYYY-MM-DD")</f>
        <v>aws s3 cp s3://rtdc.mdm.uploadarchive.raw/RTDC4015/ "%USERPROFILE%\AppData\Local\Temp\OnboardLogs"\RTDC4015\2017-02-05 --exclude "*" --recursive --include "*20170205*" &amp; "%USERPROFILE%\Documents\GitHub\mrs-test-scripts\Headless Mode &amp; Sideloading\WalkAndUnGZ.bat" "%USERPROFILE%\AppData\Local\Temp\OnboardLogs"\RTDC4015\2017-02-05 &amp; aws s3 cp s3://rtdc.mdm.uploadarchive.raw/RTDC4015/ "%USERPROFILE%\AppData\Local\Temp\OnboardLogs"\RTDC4015\2017-02-06 --exclude "*" --recursive --include "*20170206*" &amp; "%USERPROFILE%\Documents\GitHub\mrs-test-scripts\Headless Mode &amp; Sideloading\WalkAndUnGZ.bat" "%USERPROFILE%\AppData\Local\Temp\OnboardLogs"\RTDC4015\2017-02-06</v>
      </c>
      <c r="AF88" s="82" t="str">
        <f>astrogrep_path&amp;" /spath="&amp;search_path&amp;" /stypes=""app*"&amp;B88&amp;"*"&amp;TEXT(I88-utc_offset/24,"YYYYMMDD")&amp;"*"" /stext="" "&amp;TEXT(I88-utc_offset/24,"HH")&amp;search_regexp&amp;""" /e /r /s"</f>
        <v>"C:\Program Files (x86)\AstroGrep\AstroGrep.exe" /spath="%USERPROFILE%\AppData\Local\Temp\OnboardLogs" /stypes="app*4015*20170205*" /stext=" 21:.+((SYSTEM_STATE.+slice.+state.+changed )|(ment ac)|(multiple cpu faults)|(system.+state.+changed )|(\[timeout)|(PRM\|1\|D)|(kpr)|(kdp)|(\|lc)|(penalty))" /e /r /s</v>
      </c>
      <c r="AG88" s="1" t="str">
        <f>IFERROR(IF(VALUE(LEFT(AD88,2))&lt;=2,"EC",IF(OR(VALUE(LEFT(AD88,2))=8,VALUE(LEFT(AD88,2))=18),"NW","Other")),"Other")</f>
        <v>EC</v>
      </c>
      <c r="AH88" s="86" t="str">
        <f t="shared" si="7"/>
        <v>"%USERPROFILE%\Documents\GitHub\eaglep3\Utilities\RefineRTDCRunTimes.py" --tripid 176-05 --locoid 4015 --swversion DE.1.0.8.0 --startMP 204:232996 --initTime 2017-02-05T13:51:43 --startdatetime 2017-02-05T13:56:38 --delay 1 --endMP 204:149 --enddatetime 2017-02-05T14:37:41 --enforcementcount 0 &gt;&gt;C:\Users\stu\Documents\GitHub\eaglep3-reporting\EC\2017-02-05-refined-times.txt</v>
      </c>
      <c r="AI88" s="108" t="str">
        <f t="shared" si="8"/>
        <v>echo {"issue":{"subject":"","project_id":79,"tracker_id":40,"status_id":1,"priority_id":2,"assigned_to_id":23,"start_date":"2017-02-05","description":"","custom_fields":[{"id":1,"name":"Subdivision","value":"EC"},{"id":4,"name":"Milepost","value":"0.0149"},{"id":17,"name":"Train ID","value":"176-05"},{"id":16,"name":"Locomotive ID","value":"4015"},{"id":130,"name":"Impact","value":""},{"id":150,"name":"Time of Event (Mountain Time)","value":"14:37:41"},{"id":151,"name":"Denver Issue ID","value":""},{"id":178,"name":"Operational Impact","value":"Yes"},{"id":179,"name":"Denver Segment Assigned","value":""}]}} | curl -X POST -H "Content-Type: application/json" -H "X-Redmine-API-Key: d6333d4a04012a730768444271f8ca06482dae87" https://secure.xorail.net/redmine/issues.json --data @-</v>
      </c>
      <c r="AJ88" s="48"/>
      <c r="AK88" s="48"/>
      <c r="AL88" s="48"/>
      <c r="AM88" s="158" t="str">
        <f t="shared" si="9"/>
        <v>start /low /b %USERPROFILE%\Documents\GitHub\eaglep3\Utilities\DownloadLogsFromS3.py --loco 4015 --day 2017-02-05</v>
      </c>
      <c r="AN88" s="167" t="str">
        <f>"grep -SE -B400 ""CHR.+\|PRM\|1\|D.+(SWITCH|SIGNAL).+UNKNOWN"" "&amp;search_path&amp;"\RTDC"&amp;B88&amp;"\*"&amp;B88&amp;"*"&amp;TEXT(AVERAGE(F88,I88)-utc_offset/24,"YYYYMMDD")&amp;"* | grep -SE ""(Enforcement Action)|(\[TIMEOUT)|(CHR.+\|PRM\|1\|D.+(SWITCH|SIGNAL).+UNKNOWN)"" - &gt;&gt; "&amp;TEXT(Variables!$A$2,"YYYY-MM-DD")&amp;"-UncaughtWiMAX.txt"</f>
        <v>grep -SE -B400 "CHR.+\|PRM\|1\|D.+(SWITCH|SIGNAL).+UNKNOWN" "%USERPROFILE%\AppData\Local\Temp\OnboardLogs"\RTDC4015\*4015*20170205* | grep -SE "(Enforcement Action)|(\[TIMEOUT)|(CHR.+\|PRM\|1\|D.+(SWITCH|SIGNAL).+UNKNOWN)" - &gt;&gt; 2017-02-05-UncaughtWiMAX.txt</v>
      </c>
      <c r="AO88"/>
      <c r="AP88"/>
      <c r="AQ88"/>
      <c r="AR88"/>
      <c r="AS88"/>
      <c r="AT88"/>
      <c r="AU88"/>
      <c r="AV88"/>
      <c r="AW88"/>
      <c r="AX88"/>
      <c r="AY88"/>
      <c r="AZ88"/>
      <c r="BA88"/>
      <c r="BB88"/>
      <c r="BC88"/>
      <c r="BD88"/>
      <c r="BE88"/>
      <c r="BF88"/>
      <c r="BG88"/>
      <c r="BH88"/>
      <c r="BI88"/>
      <c r="BJ88"/>
      <c r="BK88"/>
      <c r="BL88"/>
      <c r="BM88"/>
      <c r="BN88"/>
      <c r="BO88"/>
      <c r="BP88"/>
      <c r="BQ88"/>
      <c r="BR88"/>
      <c r="BS88"/>
      <c r="BT88"/>
      <c r="BU88"/>
      <c r="BV88"/>
      <c r="BW88"/>
      <c r="BX88"/>
      <c r="BY88"/>
      <c r="BZ88"/>
      <c r="CA88"/>
      <c r="CB88"/>
      <c r="CC88"/>
      <c r="CD88"/>
      <c r="CE88"/>
      <c r="CF88"/>
      <c r="CG88"/>
      <c r="CH88"/>
      <c r="CI88"/>
      <c r="CJ88"/>
      <c r="CK88"/>
      <c r="CL88"/>
      <c r="CM88"/>
    </row>
    <row r="89" spans="1:91" s="20" customFormat="1" x14ac:dyDescent="0.25">
      <c r="A89" s="33" t="s">
        <v>643</v>
      </c>
      <c r="B89" s="7">
        <v>4022</v>
      </c>
      <c r="C89" s="21" t="s">
        <v>193</v>
      </c>
      <c r="D89" s="21" t="s">
        <v>318</v>
      </c>
      <c r="E89" s="13">
        <v>42771.547511574077</v>
      </c>
      <c r="F89" s="13">
        <v>42771.552256944444</v>
      </c>
      <c r="G89" s="7">
        <v>1</v>
      </c>
      <c r="H89" s="21" t="s">
        <v>782</v>
      </c>
      <c r="I89" s="13">
        <v>42771.577789351853</v>
      </c>
      <c r="J89" s="7">
        <v>0</v>
      </c>
      <c r="K89" s="98" t="str">
        <f>IF(ISEVEN(B89),(B89-1)&amp;"/"&amp;B89,B89&amp;"/"&amp;(B89+1))</f>
        <v>4021/4022</v>
      </c>
      <c r="L89" s="21" t="str">
        <f>VLOOKUP(A89,'Trips&amp;Operators'!$C$1:$G$99999,5,FALSE)</f>
        <v>LEVIN SCOTT</v>
      </c>
      <c r="M89" s="6">
        <f>I89-F89</f>
        <v>2.5532407409627922E-2</v>
      </c>
      <c r="N89" s="7">
        <f>24*60*SUM($M89:$M89)</f>
        <v>36.766666669864208</v>
      </c>
      <c r="O89" s="7"/>
      <c r="P89" s="7"/>
      <c r="Q89" s="22"/>
      <c r="R89" s="22"/>
      <c r="S89" s="31">
        <f>SUM(U89:U89)/IF(AG89="EC",12,1)</f>
        <v>1</v>
      </c>
      <c r="T89" s="46" t="str">
        <f>IF(ISEVEN(LEFT(AD89,4)),"Southbound","NorthBound")</f>
        <v>NorthBound</v>
      </c>
      <c r="U89" s="190">
        <f>IF(AG89="EC",COUNTIFS(Variables!$M$2:$M$19,IF(T89="NorthBound","&gt;=","&lt;=")&amp;Y89,Variables!$M$2:$M$19,IF(T89="NorthBound","&lt;=","&gt;=")&amp;Z89),COUNTIFS(Variables!$P$2:$P$19,IF(T89="NorthBound","&gt;=","&lt;=")&amp;Y89,Variables!$P$2:$P$19,IF(T89="NorthBound","&lt;=","&gt;=")&amp;Z89))</f>
        <v>12</v>
      </c>
      <c r="V89" s="191" t="str">
        <f>"https://d0f6bd738d7f1b3e5a7ca70fe4ff75f0.us-east-1.aws.found.io/app/kibana#/discover/Steve-Slow-Train-Analysis-(2080s-and-2083s)?_g="&amp;"(refreshInterval:(display:Off,pause:!f,section:0,value:0),time:(from:'"&amp;TEXT(E89-1/24,"yyyy-MM-DDThh:mm:ss")&amp;utc_offset&amp;"00"&amp;"',mode:absolute,to:'"&amp;TEXT(I89+1/24,"yyyy-MM-DDThh:mm:ss")&amp;utc_offset&amp;"00"&amp;"'))&amp;_a=(columns:!('Locomotive+ID','Data.Head+End+Milepost',Data.Speed,'Data.Locomotive+State','Data.Train+ID',"&amp;"'Data.Warning%2FEnforcement+Type','Data.Target+Start+Milepost','Data.Target+Description','Data.Target+Speed',"&amp;"'Data.Enforcement+Train+Speed','Data.Enforcement+Start+Milepost','Data.Target+Type','Data.Enforcement+Direction+of+Travel','Message+ID',"&amp;"'Data.Body+of+Summary+Text','Data.Head+End+Track+name'),filters:!(),index:'emp_*',interval:auto,query:"&amp;"(query_string:(analyze_wildcard:!t,query:'Message%5C+ID:(2083+OR+2080+OR+1041+OR+2003+OR+1051+OR+1043+OR+1053)+AND+%22rtdc.l.rtdc."&amp;B89&amp;"%22')),sort:!(Time.ISO8601,asc))"</f>
        <v>https://d0f6bd738d7f1b3e5a7ca70fe4ff75f0.us-east-1.aws.found.io/app/kibana#/discover/Steve-Slow-Train-Analysis-(2080s-and-2083s)?_g=(refreshInterval:(display:Off,pause:!f,section:0,value:0),time:(from:'2017-02-05T12:08:25-0700',mode:absolute,to:'2017-02-05T14:52:01-0700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4022%22')),sort:!(Time.ISO8601,asc))</v>
      </c>
      <c r="W89" s="192" t="str">
        <f>IF(AA89&lt;IF(AG89="EC",23,5.65),"Y","N")</f>
        <v>N</v>
      </c>
      <c r="X89" s="192">
        <f>VALUE(LEFT(AD89,4))-VALUE(LEFT(AD88,4))</f>
        <v>1</v>
      </c>
      <c r="Y89" s="62">
        <f>RIGHT(D89,LEN(D89)-4)/10000</f>
        <v>4.4699999999999997E-2</v>
      </c>
      <c r="Z89" s="62">
        <f>RIGHT(H89,LEN(H89)-4)/10000</f>
        <v>23.3383</v>
      </c>
      <c r="AA89" s="62">
        <f>ABS(Z89-Y89)</f>
        <v>23.293600000000001</v>
      </c>
      <c r="AB89" s="59" t="e">
        <f>VLOOKUP(A89,Enforcements!$C$7:$K$16,8,0)</f>
        <v>#N/A</v>
      </c>
      <c r="AC89" s="55" t="e">
        <f>VLOOKUP(A89,Enforcements!$C$7:$E$16,3,0)</f>
        <v>#N/A</v>
      </c>
      <c r="AD89" s="56" t="str">
        <f>IF(LEN(A89)=6,"0"&amp;A89,A89)</f>
        <v>0177-05</v>
      </c>
      <c r="AE89" s="85" t="str">
        <f>"aws s3 cp "&amp;s3_bucket&amp;"/RTDC"&amp;B89&amp;"/ "&amp;search_path&amp;"\RTDC"&amp;B89&amp;"\"&amp;TEXT(F89,"YYYY-MM-DD")&amp;" --exclude ""*"" --recursive --include ""*"&amp;TEXT(F89,"YYYYMMDD")&amp;"*"" &amp; """&amp;walkandungz&amp;""" "&amp;search_path&amp;"\RTDC"&amp;B89&amp;"\"&amp;TEXT(F89,"YYYY-MM-DD")
&amp;" &amp; "&amp;"aws s3 cp "&amp;s3_bucket&amp;"/RTDC"&amp;B89&amp;"/ "&amp;search_path&amp;"\RTDC"&amp;B89&amp;"\"&amp;TEXT(F89+1,"YYYY-MM-DD")&amp;" --exclude ""*"" --recursive --include ""*"&amp;TEXT(F89+1,"YYYYMMDD")&amp;"*"" &amp; """&amp;walkandungz&amp;""" "&amp;search_path&amp;"\RTDC"&amp;B89&amp;"\"&amp;TEXT(F89+1,"YYYY-MM-DD")</f>
        <v>aws s3 cp s3://rtdc.mdm.uploadarchive.raw/RTDC4022/ "%USERPROFILE%\AppData\Local\Temp\OnboardLogs"\RTDC4022\2017-02-05 --exclude "*" --recursive --include "*20170205*" &amp; "%USERPROFILE%\Documents\GitHub\mrs-test-scripts\Headless Mode &amp; Sideloading\WalkAndUnGZ.bat" "%USERPROFILE%\AppData\Local\Temp\OnboardLogs"\RTDC4022\2017-02-05 &amp; aws s3 cp s3://rtdc.mdm.uploadarchive.raw/RTDC4022/ "%USERPROFILE%\AppData\Local\Temp\OnboardLogs"\RTDC4022\2017-02-06 --exclude "*" --recursive --include "*20170206*" &amp; "%USERPROFILE%\Documents\GitHub\mrs-test-scripts\Headless Mode &amp; Sideloading\WalkAndUnGZ.bat" "%USERPROFILE%\AppData\Local\Temp\OnboardLogs"\RTDC4022\2017-02-06</v>
      </c>
      <c r="AF89" s="82" t="str">
        <f>astrogrep_path&amp;" /spath="&amp;search_path&amp;" /stypes=""app*"&amp;B89&amp;"*"&amp;TEXT(I89-utc_offset/24,"YYYYMMDD")&amp;"*"" /stext="" "&amp;TEXT(I89-utc_offset/24,"HH")&amp;search_regexp&amp;""" /e /r /s"</f>
        <v>"C:\Program Files (x86)\AstroGrep\AstroGrep.exe" /spath="%USERPROFILE%\AppData\Local\Temp\OnboardLogs" /stypes="app*4022*20170205*" /stext=" 20:.+((SYSTEM_STATE.+slice.+state.+changed )|(ment ac)|(multiple cpu faults)|(system.+state.+changed )|(\[timeout)|(PRM\|1\|D)|(kpr)|(kdp)|(\|lc)|(penalty))" /e /r /s</v>
      </c>
      <c r="AG89" s="1" t="str">
        <f>IFERROR(IF(VALUE(LEFT(AD89,2))&lt;=2,"EC",IF(OR(VALUE(LEFT(AD89,2))=8,VALUE(LEFT(AD89,2))=18),"NW","Other")),"Other")</f>
        <v>EC</v>
      </c>
      <c r="AH89" s="86" t="str">
        <f t="shared" si="7"/>
        <v>"%USERPROFILE%\Documents\GitHub\eaglep3\Utilities\RefineRTDCRunTimes.py" --tripid 177-05 --locoid 4022 --swversion DE.1.0.8.0 --startMP 204:447 --initTime 2017-02-05T13:08:25 --startdatetime 2017-02-05T13:15:15 --delay 1 --endMP 204:233383 --enddatetime 2017-02-05T13:52:01 --enforcementcount 0 &gt;&gt;C:\Users\stu\Documents\GitHub\eaglep3-reporting\EC\2017-02-05-refined-times.txt</v>
      </c>
      <c r="AI89" s="108" t="str">
        <f t="shared" si="8"/>
        <v>echo {"issue":{"subject":"","project_id":79,"tracker_id":40,"status_id":1,"priority_id":2,"assigned_to_id":23,"start_date":"2017-02-05","description":"","custom_fields":[{"id":1,"name":"Subdivision","value":"EC"},{"id":4,"name":"Milepost","value":"23.3383"},{"id":17,"name":"Train ID","value":"177-05"},{"id":16,"name":"Locomotive ID","value":"4022"},{"id":130,"name":"Impact","value":""},{"id":150,"name":"Time of Event (Mountain Time)","value":"13:52:01"},{"id":151,"name":"Denver Issue ID","value":""},{"id":178,"name":"Operational Impact","value":"Yes"},{"id":179,"name":"Denver Segment Assigned","value":""}]}} | curl -X POST -H "Content-Type: application/json" -H "X-Redmine-API-Key: d6333d4a04012a730768444271f8ca06482dae87" https://secure.xorail.net/redmine/issues.json --data @-</v>
      </c>
      <c r="AJ89" s="48"/>
      <c r="AK89" s="48"/>
      <c r="AL89" s="48"/>
      <c r="AM89" s="158" t="str">
        <f t="shared" si="9"/>
        <v>start /low /b %USERPROFILE%\Documents\GitHub\eaglep3\Utilities\DownloadLogsFromS3.py --loco 4022 --day 2017-02-05</v>
      </c>
      <c r="AN89" s="167" t="str">
        <f>"grep -SE -B400 ""CHR.+\|PRM\|1\|D.+(SWITCH|SIGNAL).+UNKNOWN"" "&amp;search_path&amp;"\RTDC"&amp;B89&amp;"\*"&amp;B89&amp;"*"&amp;TEXT(AVERAGE(F89,I89)-utc_offset/24,"YYYYMMDD")&amp;"* | grep -SE ""(Enforcement Action)|(\[TIMEOUT)|(CHR.+\|PRM\|1\|D.+(SWITCH|SIGNAL).+UNKNOWN)"" - &gt;&gt; "&amp;TEXT(Variables!$A$2,"YYYY-MM-DD")&amp;"-UncaughtWiMAX.txt"</f>
        <v>grep -SE -B400 "CHR.+\|PRM\|1\|D.+(SWITCH|SIGNAL).+UNKNOWN" "%USERPROFILE%\AppData\Local\Temp\OnboardLogs"\RTDC4022\*4022*20170205* | grep -SE "(Enforcement Action)|(\[TIMEOUT)|(CHR.+\|PRM\|1\|D.+(SWITCH|SIGNAL).+UNKNOWN)" - &gt;&gt; 2017-02-05-UncaughtWiMAX.txt</v>
      </c>
      <c r="AO89"/>
      <c r="AP89"/>
      <c r="AQ89"/>
      <c r="AR89"/>
      <c r="AS89"/>
      <c r="AT89"/>
      <c r="AU89"/>
      <c r="AV89"/>
      <c r="AW89"/>
      <c r="AX89"/>
      <c r="AY89"/>
      <c r="AZ89"/>
      <c r="BA89"/>
      <c r="BB89"/>
      <c r="BC89"/>
      <c r="BD89"/>
      <c r="BE89"/>
      <c r="BF89"/>
      <c r="BG89"/>
      <c r="BH89"/>
      <c r="BI89"/>
      <c r="BJ89"/>
      <c r="BK89"/>
      <c r="BL89"/>
      <c r="BM89"/>
      <c r="BN89"/>
      <c r="BO89"/>
      <c r="BP89"/>
      <c r="BQ89"/>
      <c r="BR89"/>
      <c r="BS89"/>
      <c r="BT89"/>
      <c r="BU89"/>
      <c r="BV89"/>
      <c r="BW89"/>
      <c r="BX89"/>
      <c r="BY89"/>
      <c r="BZ89"/>
      <c r="CA89"/>
      <c r="CB89"/>
      <c r="CC89"/>
      <c r="CD89"/>
      <c r="CE89"/>
      <c r="CF89"/>
      <c r="CG89"/>
      <c r="CH89"/>
      <c r="CI89"/>
      <c r="CJ89"/>
      <c r="CK89"/>
      <c r="CL89"/>
      <c r="CM89"/>
    </row>
    <row r="90" spans="1:91" s="20" customFormat="1" x14ac:dyDescent="0.25">
      <c r="A90" s="33" t="s">
        <v>653</v>
      </c>
      <c r="B90" s="7">
        <v>4021</v>
      </c>
      <c r="C90" s="21" t="s">
        <v>193</v>
      </c>
      <c r="D90" s="21" t="s">
        <v>783</v>
      </c>
      <c r="E90" s="13">
        <v>42771.588368055556</v>
      </c>
      <c r="F90" s="13">
        <v>42771.591145833336</v>
      </c>
      <c r="G90" s="7">
        <v>1</v>
      </c>
      <c r="H90" s="21" t="s">
        <v>325</v>
      </c>
      <c r="I90" s="13">
        <v>42771.617164351854</v>
      </c>
      <c r="J90" s="7">
        <v>0</v>
      </c>
      <c r="K90" s="98" t="str">
        <f>IF(ISEVEN(B90),(B90-1)&amp;"/"&amp;B90,B90&amp;"/"&amp;(B90+1))</f>
        <v>4021/4022</v>
      </c>
      <c r="L90" s="21" t="str">
        <f>VLOOKUP(A90,'Trips&amp;Operators'!$C$1:$G$99999,5,FALSE)</f>
        <v>LEVIN SCOTT</v>
      </c>
      <c r="M90" s="6">
        <f>I90-F90</f>
        <v>2.6018518517958E-2</v>
      </c>
      <c r="N90" s="7">
        <f>24*60*SUM($M90:$M90)</f>
        <v>37.46666666585952</v>
      </c>
      <c r="O90" s="7"/>
      <c r="P90" s="7"/>
      <c r="Q90" s="22"/>
      <c r="R90" s="22"/>
      <c r="S90" s="31">
        <f>SUM(U90:U90)/IF(AG90="EC",12,1)</f>
        <v>1</v>
      </c>
      <c r="T90" s="46" t="str">
        <f>IF(ISEVEN(LEFT(AD90,4)),"Southbound","NorthBound")</f>
        <v>Southbound</v>
      </c>
      <c r="U90" s="190">
        <f>IF(AG90="EC",COUNTIFS(Variables!$M$2:$M$19,IF(T90="NorthBound","&gt;=","&lt;=")&amp;Y90,Variables!$M$2:$M$19,IF(T90="NorthBound","&lt;=","&gt;=")&amp;Z90),COUNTIFS(Variables!$P$2:$P$19,IF(T90="NorthBound","&gt;=","&lt;=")&amp;Y90,Variables!$P$2:$P$19,IF(T90="NorthBound","&lt;=","&gt;=")&amp;Z90))</f>
        <v>12</v>
      </c>
      <c r="V90" s="191" t="str">
        <f>"https://d0f6bd738d7f1b3e5a7ca70fe4ff75f0.us-east-1.aws.found.io/app/kibana#/discover/Steve-Slow-Train-Analysis-(2080s-and-2083s)?_g="&amp;"(refreshInterval:(display:Off,pause:!f,section:0,value:0),time:(from:'"&amp;TEXT(E90-1/24,"yyyy-MM-DDThh:mm:ss")&amp;utc_offset&amp;"00"&amp;"',mode:absolute,to:'"&amp;TEXT(I90+1/24,"yyyy-MM-DDThh:mm:ss")&amp;utc_offset&amp;"00"&amp;"'))&amp;_a=(columns:!('Locomotive+ID','Data.Head+End+Milepost',Data.Speed,'Data.Locomotive+State','Data.Train+ID',"&amp;"'Data.Warning%2FEnforcement+Type','Data.Target+Start+Milepost','Data.Target+Description','Data.Target+Speed',"&amp;"'Data.Enforcement+Train+Speed','Data.Enforcement+Start+Milepost','Data.Target+Type','Data.Enforcement+Direction+of+Travel','Message+ID',"&amp;"'Data.Body+of+Summary+Text','Data.Head+End+Track+name'),filters:!(),index:'emp_*',interval:auto,query:"&amp;"(query_string:(analyze_wildcard:!t,query:'Message%5C+ID:(2083+OR+2080+OR+1041+OR+2003+OR+1051+OR+1043+OR+1053)+AND+%22rtdc.l.rtdc."&amp;B90&amp;"%22')),sort:!(Time.ISO8601,asc))"</f>
        <v>https://d0f6bd738d7f1b3e5a7ca70fe4ff75f0.us-east-1.aws.found.io/app/kibana#/discover/Steve-Slow-Train-Analysis-(2080s-and-2083s)?_g=(refreshInterval:(display:Off,pause:!f,section:0,value:0),time:(from:'2017-02-05T13:07:15-0700',mode:absolute,to:'2017-02-05T15:48:43-0700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4021%22')),sort:!(Time.ISO8601,asc))</v>
      </c>
      <c r="W90" s="192" t="str">
        <f>IF(AA90&lt;IF(AG90="EC",23,5.65),"Y","N")</f>
        <v>N</v>
      </c>
      <c r="X90" s="192">
        <f>VALUE(LEFT(AD90,4))-VALUE(LEFT(AD89,4))</f>
        <v>1</v>
      </c>
      <c r="Y90" s="62">
        <f>RIGHT(D90,LEN(D90)-4)/10000</f>
        <v>23.306799999999999</v>
      </c>
      <c r="Z90" s="62">
        <f>RIGHT(H90,LEN(H90)-4)/10000</f>
        <v>1.38E-2</v>
      </c>
      <c r="AA90" s="62">
        <f>ABS(Z90-Y90)</f>
        <v>23.292999999999999</v>
      </c>
      <c r="AB90" s="59" t="e">
        <f>VLOOKUP(A90,Enforcements!$C$7:$K$16,8,0)</f>
        <v>#N/A</v>
      </c>
      <c r="AC90" s="55" t="e">
        <f>VLOOKUP(A90,Enforcements!$C$7:$E$16,3,0)</f>
        <v>#N/A</v>
      </c>
      <c r="AD90" s="56" t="str">
        <f>IF(LEN(A90)=6,"0"&amp;A90,A90)</f>
        <v>0178-05</v>
      </c>
      <c r="AE90" s="85" t="str">
        <f>"aws s3 cp "&amp;s3_bucket&amp;"/RTDC"&amp;B90&amp;"/ "&amp;search_path&amp;"\RTDC"&amp;B90&amp;"\"&amp;TEXT(F90,"YYYY-MM-DD")&amp;" --exclude ""*"" --recursive --include ""*"&amp;TEXT(F90,"YYYYMMDD")&amp;"*"" &amp; """&amp;walkandungz&amp;""" "&amp;search_path&amp;"\RTDC"&amp;B90&amp;"\"&amp;TEXT(F90,"YYYY-MM-DD")
&amp;" &amp; "&amp;"aws s3 cp "&amp;s3_bucket&amp;"/RTDC"&amp;B90&amp;"/ "&amp;search_path&amp;"\RTDC"&amp;B90&amp;"\"&amp;TEXT(F90+1,"YYYY-MM-DD")&amp;" --exclude ""*"" --recursive --include ""*"&amp;TEXT(F90+1,"YYYYMMDD")&amp;"*"" &amp; """&amp;walkandungz&amp;""" "&amp;search_path&amp;"\RTDC"&amp;B90&amp;"\"&amp;TEXT(F90+1,"YYYY-MM-DD")</f>
        <v>aws s3 cp s3://rtdc.mdm.uploadarchive.raw/RTDC4021/ "%USERPROFILE%\AppData\Local\Temp\OnboardLogs"\RTDC4021\2017-02-05 --exclude "*" --recursive --include "*20170205*" &amp; "%USERPROFILE%\Documents\GitHub\mrs-test-scripts\Headless Mode &amp; Sideloading\WalkAndUnGZ.bat" "%USERPROFILE%\AppData\Local\Temp\OnboardLogs"\RTDC4021\2017-02-05 &amp; aws s3 cp s3://rtdc.mdm.uploadarchive.raw/RTDC4021/ "%USERPROFILE%\AppData\Local\Temp\OnboardLogs"\RTDC4021\2017-02-06 --exclude "*" --recursive --include "*20170206*" &amp; "%USERPROFILE%\Documents\GitHub\mrs-test-scripts\Headless Mode &amp; Sideloading\WalkAndUnGZ.bat" "%USERPROFILE%\AppData\Local\Temp\OnboardLogs"\RTDC4021\2017-02-06</v>
      </c>
      <c r="AF90" s="82" t="str">
        <f>astrogrep_path&amp;" /spath="&amp;search_path&amp;" /stypes=""app*"&amp;B90&amp;"*"&amp;TEXT(I90-utc_offset/24,"YYYYMMDD")&amp;"*"" /stext="" "&amp;TEXT(I90-utc_offset/24,"HH")&amp;search_regexp&amp;""" /e /r /s"</f>
        <v>"C:\Program Files (x86)\AstroGrep\AstroGrep.exe" /spath="%USERPROFILE%\AppData\Local\Temp\OnboardLogs" /stypes="app*4021*20170205*" /stext=" 21:.+((SYSTEM_STATE.+slice.+state.+changed )|(ment ac)|(multiple cpu faults)|(system.+state.+changed )|(\[timeout)|(PRM\|1\|D)|(kpr)|(kdp)|(\|lc)|(penalty))" /e /r /s</v>
      </c>
      <c r="AG90" s="1" t="str">
        <f>IFERROR(IF(VALUE(LEFT(AD90,2))&lt;=2,"EC",IF(OR(VALUE(LEFT(AD90,2))=8,VALUE(LEFT(AD90,2))=18),"NW","Other")),"Other")</f>
        <v>EC</v>
      </c>
      <c r="AH90" s="86" t="str">
        <f t="shared" si="7"/>
        <v>"%USERPROFILE%\Documents\GitHub\eaglep3\Utilities\RefineRTDCRunTimes.py" --tripid 178-05 --locoid 4021 --swversion DE.1.0.8.0 --startMP 204:233068 --initTime 2017-02-05T14:07:15 --startdatetime 2017-02-05T14:11:15 --delay 1 --endMP 204:138 --enddatetime 2017-02-05T14:48:43 --enforcementcount 0 &gt;&gt;C:\Users\stu\Documents\GitHub\eaglep3-reporting\EC\2017-02-05-refined-times.txt</v>
      </c>
      <c r="AI90" s="108" t="str">
        <f t="shared" si="8"/>
        <v>echo {"issue":{"subject":"","project_id":79,"tracker_id":40,"status_id":1,"priority_id":2,"assigned_to_id":23,"start_date":"2017-02-05","description":"","custom_fields":[{"id":1,"name":"Subdivision","value":"EC"},{"id":4,"name":"Milepost","value":"0.0138"},{"id":17,"name":"Train ID","value":"178-05"},{"id":16,"name":"Locomotive ID","value":"4021"},{"id":130,"name":"Impact","value":""},{"id":150,"name":"Time of Event (Mountain Time)","value":"14:48:43"},{"id":151,"name":"Denver Issue ID","value":""},{"id":178,"name":"Operational Impact","value":"Yes"},{"id":179,"name":"Denver Segment Assigned","value":""}]}} | curl -X POST -H "Content-Type: application/json" -H "X-Redmine-API-Key: d6333d4a04012a730768444271f8ca06482dae87" https://secure.xorail.net/redmine/issues.json --data @-</v>
      </c>
      <c r="AJ90" s="48"/>
      <c r="AK90" s="48"/>
      <c r="AL90" s="48"/>
      <c r="AM90" s="158" t="str">
        <f t="shared" si="9"/>
        <v>start /low /b %USERPROFILE%\Documents\GitHub\eaglep3\Utilities\DownloadLogsFromS3.py --loco 4021 --day 2017-02-05</v>
      </c>
      <c r="AN90" s="167" t="str">
        <f>"grep -SE -B400 ""CHR.+\|PRM\|1\|D.+(SWITCH|SIGNAL).+UNKNOWN"" "&amp;search_path&amp;"\RTDC"&amp;B90&amp;"\*"&amp;B90&amp;"*"&amp;TEXT(AVERAGE(F90,I90)-utc_offset/24,"YYYYMMDD")&amp;"* | grep -SE ""(Enforcement Action)|(\[TIMEOUT)|(CHR.+\|PRM\|1\|D.+(SWITCH|SIGNAL).+UNKNOWN)"" - &gt;&gt; "&amp;TEXT(Variables!$A$2,"YYYY-MM-DD")&amp;"-UncaughtWiMAX.txt"</f>
        <v>grep -SE -B400 "CHR.+\|PRM\|1\|D.+(SWITCH|SIGNAL).+UNKNOWN" "%USERPROFILE%\AppData\Local\Temp\OnboardLogs"\RTDC4021\*4021*20170205* | grep -SE "(Enforcement Action)|(\[TIMEOUT)|(CHR.+\|PRM\|1\|D.+(SWITCH|SIGNAL).+UNKNOWN)" - &gt;&gt; 2017-02-05-UncaughtWiMAX.txt</v>
      </c>
      <c r="AO90"/>
      <c r="AP90"/>
      <c r="AQ90"/>
      <c r="AR90"/>
      <c r="AS90"/>
      <c r="AT90"/>
      <c r="AU90"/>
      <c r="AV90"/>
      <c r="AW90"/>
      <c r="AX90"/>
      <c r="AY90"/>
      <c r="AZ90"/>
      <c r="BA90"/>
      <c r="BB90"/>
      <c r="BC90"/>
      <c r="BD90"/>
      <c r="BE90"/>
      <c r="BF90"/>
      <c r="BG90"/>
      <c r="BH90"/>
      <c r="BI90"/>
      <c r="BJ90"/>
      <c r="BK90"/>
      <c r="BL90"/>
      <c r="BM90"/>
      <c r="BN90"/>
      <c r="BO90"/>
      <c r="BP90"/>
      <c r="BQ90"/>
      <c r="BR90"/>
      <c r="BS90"/>
      <c r="BT90"/>
      <c r="BU90"/>
      <c r="BV90"/>
      <c r="BW90"/>
      <c r="BX90"/>
      <c r="BY90"/>
      <c r="BZ90"/>
      <c r="CA90"/>
      <c r="CB90"/>
      <c r="CC90"/>
      <c r="CD90"/>
      <c r="CE90"/>
      <c r="CF90"/>
      <c r="CG90"/>
      <c r="CH90"/>
      <c r="CI90"/>
      <c r="CJ90"/>
      <c r="CK90"/>
      <c r="CL90"/>
      <c r="CM90"/>
    </row>
    <row r="91" spans="1:91" s="20" customFormat="1" x14ac:dyDescent="0.25">
      <c r="A91" s="33" t="s">
        <v>645</v>
      </c>
      <c r="B91" s="7">
        <v>4002</v>
      </c>
      <c r="C91" s="21" t="s">
        <v>193</v>
      </c>
      <c r="D91" s="21" t="s">
        <v>240</v>
      </c>
      <c r="E91" s="13">
        <v>42771.558159722219</v>
      </c>
      <c r="F91" s="13">
        <v>42771.562789351854</v>
      </c>
      <c r="G91" s="7">
        <v>1</v>
      </c>
      <c r="H91" s="21" t="s">
        <v>784</v>
      </c>
      <c r="I91" s="13">
        <v>42771.587731481479</v>
      </c>
      <c r="J91" s="7">
        <v>0</v>
      </c>
      <c r="K91" s="98" t="str">
        <f>IF(ISEVEN(B91),(B91-1)&amp;"/"&amp;B91,B91&amp;"/"&amp;(B91+1))</f>
        <v>4001/4002</v>
      </c>
      <c r="L91" s="21" t="str">
        <f>VLOOKUP(A91,'Trips&amp;Operators'!$C$1:$G$99999,5,FALSE)</f>
        <v>WHITED DUSTIN</v>
      </c>
      <c r="M91" s="6">
        <f>I91-F91</f>
        <v>2.4942129624832887E-2</v>
      </c>
      <c r="N91" s="7">
        <f>24*60*SUM($M91:$M91)</f>
        <v>35.916666659759358</v>
      </c>
      <c r="O91" s="7"/>
      <c r="P91" s="7"/>
      <c r="Q91" s="22"/>
      <c r="R91" s="22"/>
      <c r="S91" s="31">
        <f>SUM(U91:U91)/IF(AG91="EC",12,1)</f>
        <v>1</v>
      </c>
      <c r="T91" s="46" t="str">
        <f>IF(ISEVEN(LEFT(AD91,4)),"Southbound","NorthBound")</f>
        <v>NorthBound</v>
      </c>
      <c r="U91" s="190">
        <f>IF(AG91="EC",COUNTIFS(Variables!$M$2:$M$19,IF(T91="NorthBound","&gt;=","&lt;=")&amp;Y91,Variables!$M$2:$M$19,IF(T91="NorthBound","&lt;=","&gt;=")&amp;Z91),COUNTIFS(Variables!$P$2:$P$19,IF(T91="NorthBound","&gt;=","&lt;=")&amp;Y91,Variables!$P$2:$P$19,IF(T91="NorthBound","&lt;=","&gt;=")&amp;Z91))</f>
        <v>12</v>
      </c>
      <c r="V91" s="191" t="str">
        <f>"https://d0f6bd738d7f1b3e5a7ca70fe4ff75f0.us-east-1.aws.found.io/app/kibana#/discover/Steve-Slow-Train-Analysis-(2080s-and-2083s)?_g="&amp;"(refreshInterval:(display:Off,pause:!f,section:0,value:0),time:(from:'"&amp;TEXT(E91-1/24,"yyyy-MM-DDThh:mm:ss")&amp;utc_offset&amp;"00"&amp;"',mode:absolute,to:'"&amp;TEXT(I91+1/24,"yyyy-MM-DDThh:mm:ss")&amp;utc_offset&amp;"00"&amp;"'))&amp;_a=(columns:!('Locomotive+ID','Data.Head+End+Milepost',Data.Speed,'Data.Locomotive+State','Data.Train+ID',"&amp;"'Data.Warning%2FEnforcement+Type','Data.Target+Start+Milepost','Data.Target+Description','Data.Target+Speed',"&amp;"'Data.Enforcement+Train+Speed','Data.Enforcement+Start+Milepost','Data.Target+Type','Data.Enforcement+Direction+of+Travel','Message+ID',"&amp;"'Data.Body+of+Summary+Text','Data.Head+End+Track+name'),filters:!(),index:'emp_*',interval:auto,query:"&amp;"(query_string:(analyze_wildcard:!t,query:'Message%5C+ID:(2083+OR+2080+OR+1041+OR+2003+OR+1051+OR+1043+OR+1053)+AND+%22rtdc.l.rtdc."&amp;B91&amp;"%22')),sort:!(Time.ISO8601,asc))"</f>
        <v>https://d0f6bd738d7f1b3e5a7ca70fe4ff75f0.us-east-1.aws.found.io/app/kibana#/discover/Steve-Slow-Train-Analysis-(2080s-and-2083s)?_g=(refreshInterval:(display:Off,pause:!f,section:0,value:0),time:(from:'2017-02-05T12:23:45-0700',mode:absolute,to:'2017-02-05T15:06:20-0700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4002%22')),sort:!(Time.ISO8601,asc))</v>
      </c>
      <c r="W91" s="192" t="str">
        <f>IF(AA91&lt;IF(AG91="EC",23,5.65),"Y","N")</f>
        <v>N</v>
      </c>
      <c r="X91" s="192">
        <f>VALUE(LEFT(AD91,4))-VALUE(LEFT(AD90,4))</f>
        <v>1</v>
      </c>
      <c r="Y91" s="62">
        <f>RIGHT(D91,LEN(D91)-4)/10000</f>
        <v>4.5100000000000001E-2</v>
      </c>
      <c r="Z91" s="62">
        <f>RIGHT(H91,LEN(H91)-4)/10000</f>
        <v>23.334700000000002</v>
      </c>
      <c r="AA91" s="62">
        <f>ABS(Z91-Y91)</f>
        <v>23.2896</v>
      </c>
      <c r="AB91" s="59" t="e">
        <f>VLOOKUP(A91,Enforcements!$C$7:$K$16,8,0)</f>
        <v>#N/A</v>
      </c>
      <c r="AC91" s="55" t="e">
        <f>VLOOKUP(A91,Enforcements!$C$7:$E$16,3,0)</f>
        <v>#N/A</v>
      </c>
      <c r="AD91" s="56" t="str">
        <f>IF(LEN(A91)=6,"0"&amp;A91,A91)</f>
        <v>0179-05</v>
      </c>
      <c r="AE91" s="85" t="str">
        <f>"aws s3 cp "&amp;s3_bucket&amp;"/RTDC"&amp;B91&amp;"/ "&amp;search_path&amp;"\RTDC"&amp;B91&amp;"\"&amp;TEXT(F91,"YYYY-MM-DD")&amp;" --exclude ""*"" --recursive --include ""*"&amp;TEXT(F91,"YYYYMMDD")&amp;"*"" &amp; """&amp;walkandungz&amp;""" "&amp;search_path&amp;"\RTDC"&amp;B91&amp;"\"&amp;TEXT(F91,"YYYY-MM-DD")
&amp;" &amp; "&amp;"aws s3 cp "&amp;s3_bucket&amp;"/RTDC"&amp;B91&amp;"/ "&amp;search_path&amp;"\RTDC"&amp;B91&amp;"\"&amp;TEXT(F91+1,"YYYY-MM-DD")&amp;" --exclude ""*"" --recursive --include ""*"&amp;TEXT(F91+1,"YYYYMMDD")&amp;"*"" &amp; """&amp;walkandungz&amp;""" "&amp;search_path&amp;"\RTDC"&amp;B91&amp;"\"&amp;TEXT(F91+1,"YYYY-MM-DD")</f>
        <v>aws s3 cp s3://rtdc.mdm.uploadarchive.raw/RTDC4002/ "%USERPROFILE%\AppData\Local\Temp\OnboardLogs"\RTDC4002\2017-02-05 --exclude "*" --recursive --include "*20170205*" &amp; "%USERPROFILE%\Documents\GitHub\mrs-test-scripts\Headless Mode &amp; Sideloading\WalkAndUnGZ.bat" "%USERPROFILE%\AppData\Local\Temp\OnboardLogs"\RTDC4002\2017-02-05 &amp; aws s3 cp s3://rtdc.mdm.uploadarchive.raw/RTDC4002/ "%USERPROFILE%\AppData\Local\Temp\OnboardLogs"\RTDC4002\2017-02-06 --exclude "*" --recursive --include "*20170206*" &amp; "%USERPROFILE%\Documents\GitHub\mrs-test-scripts\Headless Mode &amp; Sideloading\WalkAndUnGZ.bat" "%USERPROFILE%\AppData\Local\Temp\OnboardLogs"\RTDC4002\2017-02-06</v>
      </c>
      <c r="AF91" s="82" t="str">
        <f>astrogrep_path&amp;" /spath="&amp;search_path&amp;" /stypes=""app*"&amp;B91&amp;"*"&amp;TEXT(I91-utc_offset/24,"YYYYMMDD")&amp;"*"" /stext="" "&amp;TEXT(I91-utc_offset/24,"HH")&amp;search_regexp&amp;""" /e /r /s"</f>
        <v>"C:\Program Files (x86)\AstroGrep\AstroGrep.exe" /spath="%USERPROFILE%\AppData\Local\Temp\OnboardLogs" /stypes="app*4002*20170205*" /stext=" 21:.+((SYSTEM_STATE.+slice.+state.+changed )|(ment ac)|(multiple cpu faults)|(system.+state.+changed )|(\[timeout)|(PRM\|1\|D)|(kpr)|(kdp)|(\|lc)|(penalty))" /e /r /s</v>
      </c>
      <c r="AG91" s="1" t="str">
        <f>IFERROR(IF(VALUE(LEFT(AD91,2))&lt;=2,"EC",IF(OR(VALUE(LEFT(AD91,2))=8,VALUE(LEFT(AD91,2))=18),"NW","Other")),"Other")</f>
        <v>EC</v>
      </c>
      <c r="AH91" s="86" t="str">
        <f t="shared" si="7"/>
        <v>"%USERPROFILE%\Documents\GitHub\eaglep3\Utilities\RefineRTDCRunTimes.py" --tripid 179-05 --locoid 4002 --swversion DE.1.0.8.0 --startMP 204:451 --initTime 2017-02-05T13:23:45 --startdatetime 2017-02-05T13:30:25 --delay 1 --endMP 204:233347 --enddatetime 2017-02-05T14:06:20 --enforcementcount 0 &gt;&gt;C:\Users\stu\Documents\GitHub\eaglep3-reporting\EC\2017-02-05-refined-times.txt</v>
      </c>
      <c r="AI91" s="108" t="str">
        <f t="shared" si="8"/>
        <v>echo {"issue":{"subject":"","project_id":79,"tracker_id":40,"status_id":1,"priority_id":2,"assigned_to_id":23,"start_date":"2017-02-05","description":"","custom_fields":[{"id":1,"name":"Subdivision","value":"EC"},{"id":4,"name":"Milepost","value":"23.3347"},{"id":17,"name":"Train ID","value":"179-05"},{"id":16,"name":"Locomotive ID","value":"4002"},{"id":130,"name":"Impact","value":""},{"id":150,"name":"Time of Event (Mountain Time)","value":"14:06:20"},{"id":151,"name":"Denver Issue ID","value":""},{"id":178,"name":"Operational Impact","value":"Yes"},{"id":179,"name":"Denver Segment Assigned","value":""}]}} | curl -X POST -H "Content-Type: application/json" -H "X-Redmine-API-Key: d6333d4a04012a730768444271f8ca06482dae87" https://secure.xorail.net/redmine/issues.json --data @-</v>
      </c>
      <c r="AJ91" s="48"/>
      <c r="AK91" s="48"/>
      <c r="AL91" s="48"/>
      <c r="AM91" s="158" t="str">
        <f t="shared" si="9"/>
        <v>start /low /b %USERPROFILE%\Documents\GitHub\eaglep3\Utilities\DownloadLogsFromS3.py --loco 4002 --day 2017-02-05</v>
      </c>
      <c r="AN91" s="167" t="str">
        <f>"grep -SE -B400 ""CHR.+\|PRM\|1\|D.+(SWITCH|SIGNAL).+UNKNOWN"" "&amp;search_path&amp;"\RTDC"&amp;B91&amp;"\*"&amp;B91&amp;"*"&amp;TEXT(AVERAGE(F91,I91)-utc_offset/24,"YYYYMMDD")&amp;"* | grep -SE ""(Enforcement Action)|(\[TIMEOUT)|(CHR.+\|PRM\|1\|D.+(SWITCH|SIGNAL).+UNKNOWN)"" - &gt;&gt; "&amp;TEXT(Variables!$A$2,"YYYY-MM-DD")&amp;"-UncaughtWiMAX.txt"</f>
        <v>grep -SE -B400 "CHR.+\|PRM\|1\|D.+(SWITCH|SIGNAL).+UNKNOWN" "%USERPROFILE%\AppData\Local\Temp\OnboardLogs"\RTDC4002\*4002*20170205* | grep -SE "(Enforcement Action)|(\[TIMEOUT)|(CHR.+\|PRM\|1\|D.+(SWITCH|SIGNAL).+UNKNOWN)" - &gt;&gt; 2017-02-05-UncaughtWiMAX.txt</v>
      </c>
      <c r="AO91"/>
      <c r="AP91"/>
      <c r="AQ91"/>
      <c r="AR91"/>
      <c r="AS91"/>
      <c r="AT91"/>
      <c r="AU91"/>
      <c r="AV91"/>
      <c r="AW91"/>
      <c r="AX91"/>
      <c r="AY91"/>
      <c r="AZ91"/>
      <c r="BA91"/>
      <c r="BB91"/>
      <c r="BC91"/>
      <c r="BD91"/>
      <c r="BE91"/>
      <c r="BF91"/>
      <c r="BG91"/>
      <c r="BH91"/>
      <c r="BI91"/>
      <c r="BJ91"/>
      <c r="BK91"/>
      <c r="BL91"/>
      <c r="BM91"/>
      <c r="BN91"/>
      <c r="BO91"/>
      <c r="BP91"/>
      <c r="BQ91"/>
      <c r="BR91"/>
      <c r="BS91"/>
      <c r="BT91"/>
      <c r="BU91"/>
      <c r="BV91"/>
      <c r="BW91"/>
      <c r="BX91"/>
      <c r="BY91"/>
      <c r="BZ91"/>
      <c r="CA91"/>
      <c r="CB91"/>
      <c r="CC91"/>
      <c r="CD91"/>
      <c r="CE91"/>
      <c r="CF91"/>
      <c r="CG91"/>
      <c r="CH91"/>
      <c r="CI91"/>
      <c r="CJ91"/>
      <c r="CK91"/>
      <c r="CL91"/>
      <c r="CM91"/>
    </row>
    <row r="92" spans="1:91" s="20" customFormat="1" x14ac:dyDescent="0.25">
      <c r="A92" s="33" t="s">
        <v>655</v>
      </c>
      <c r="B92" s="7">
        <v>4001</v>
      </c>
      <c r="C92" s="21" t="s">
        <v>193</v>
      </c>
      <c r="D92" s="21" t="s">
        <v>366</v>
      </c>
      <c r="E92" s="13">
        <v>42771.594421296293</v>
      </c>
      <c r="F92" s="13">
        <v>42771.601724537039</v>
      </c>
      <c r="G92" s="7">
        <v>1</v>
      </c>
      <c r="H92" s="21" t="s">
        <v>405</v>
      </c>
      <c r="I92" s="13">
        <v>42771.629525462966</v>
      </c>
      <c r="J92" s="7">
        <v>0</v>
      </c>
      <c r="K92" s="98" t="str">
        <f>IF(ISEVEN(B92),(B92-1)&amp;"/"&amp;B92,B92&amp;"/"&amp;(B92+1))</f>
        <v>4001/4002</v>
      </c>
      <c r="L92" s="21" t="str">
        <f>VLOOKUP(A92,'Trips&amp;Operators'!$C$1:$G$99999,5,FALSE)</f>
        <v>WHITED DUSTIN</v>
      </c>
      <c r="M92" s="6">
        <f>I92-F92</f>
        <v>2.7800925927294884E-2</v>
      </c>
      <c r="N92" s="7">
        <f>24*60*SUM($M92:$M92)</f>
        <v>40.033333335304633</v>
      </c>
      <c r="O92" s="7"/>
      <c r="P92" s="7"/>
      <c r="Q92" s="22"/>
      <c r="R92" s="22"/>
      <c r="S92" s="31">
        <f>SUM(U92:U92)/IF(AG92="EC",12,1)</f>
        <v>1</v>
      </c>
      <c r="T92" s="46" t="str">
        <f>IF(ISEVEN(LEFT(AD92,4)),"Southbound","NorthBound")</f>
        <v>Southbound</v>
      </c>
      <c r="U92" s="190">
        <f>IF(AG92="EC",COUNTIFS(Variables!$M$2:$M$19,IF(T92="NorthBound","&gt;=","&lt;=")&amp;Y92,Variables!$M$2:$M$19,IF(T92="NorthBound","&lt;=","&gt;=")&amp;Z92),COUNTIFS(Variables!$P$2:$P$19,IF(T92="NorthBound","&gt;=","&lt;=")&amp;Y92,Variables!$P$2:$P$19,IF(T92="NorthBound","&lt;=","&gt;=")&amp;Z92))</f>
        <v>12</v>
      </c>
      <c r="V92" s="191" t="str">
        <f>"https://d0f6bd738d7f1b3e5a7ca70fe4ff75f0.us-east-1.aws.found.io/app/kibana#/discover/Steve-Slow-Train-Analysis-(2080s-and-2083s)?_g="&amp;"(refreshInterval:(display:Off,pause:!f,section:0,value:0),time:(from:'"&amp;TEXT(E92-1/24,"yyyy-MM-DDThh:mm:ss")&amp;utc_offset&amp;"00"&amp;"',mode:absolute,to:'"&amp;TEXT(I92+1/24,"yyyy-MM-DDThh:mm:ss")&amp;utc_offset&amp;"00"&amp;"'))&amp;_a=(columns:!('Locomotive+ID','Data.Head+End+Milepost',Data.Speed,'Data.Locomotive+State','Data.Train+ID',"&amp;"'Data.Warning%2FEnforcement+Type','Data.Target+Start+Milepost','Data.Target+Description','Data.Target+Speed',"&amp;"'Data.Enforcement+Train+Speed','Data.Enforcement+Start+Milepost','Data.Target+Type','Data.Enforcement+Direction+of+Travel','Message+ID',"&amp;"'Data.Body+of+Summary+Text','Data.Head+End+Track+name'),filters:!(),index:'emp_*',interval:auto,query:"&amp;"(query_string:(analyze_wildcard:!t,query:'Message%5C+ID:(2083+OR+2080+OR+1041+OR+2003+OR+1051+OR+1043+OR+1053)+AND+%22rtdc.l.rtdc."&amp;B92&amp;"%22')),sort:!(Time.ISO8601,asc))"</f>
        <v>https://d0f6bd738d7f1b3e5a7ca70fe4ff75f0.us-east-1.aws.found.io/app/kibana#/discover/Steve-Slow-Train-Analysis-(2080s-and-2083s)?_g=(refreshInterval:(display:Off,pause:!f,section:0,value:0),time:(from:'2017-02-05T13:15:58-0700',mode:absolute,to:'2017-02-05T16:06:31-0700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4001%22')),sort:!(Time.ISO8601,asc))</v>
      </c>
      <c r="W92" s="192" t="str">
        <f>IF(AA92&lt;IF(AG92="EC",23,5.65),"Y","N")</f>
        <v>N</v>
      </c>
      <c r="X92" s="192">
        <f>VALUE(LEFT(AD92,4))-VALUE(LEFT(AD91,4))</f>
        <v>1</v>
      </c>
      <c r="Y92" s="62">
        <f>RIGHT(D92,LEN(D92)-4)/10000</f>
        <v>23.299600000000002</v>
      </c>
      <c r="Z92" s="62">
        <f>RIGHT(H92,LEN(H92)-4)/10000</f>
        <v>1.6899999999999998E-2</v>
      </c>
      <c r="AA92" s="62">
        <f>ABS(Z92-Y92)</f>
        <v>23.282700000000002</v>
      </c>
      <c r="AB92" s="59" t="e">
        <f>VLOOKUP(A92,Enforcements!$C$7:$K$16,8,0)</f>
        <v>#N/A</v>
      </c>
      <c r="AC92" s="55" t="e">
        <f>VLOOKUP(A92,Enforcements!$C$7:$E$16,3,0)</f>
        <v>#N/A</v>
      </c>
      <c r="AD92" s="56" t="str">
        <f>IF(LEN(A92)=6,"0"&amp;A92,A92)</f>
        <v>0180-05</v>
      </c>
      <c r="AE92" s="85" t="str">
        <f>"aws s3 cp "&amp;s3_bucket&amp;"/RTDC"&amp;B92&amp;"/ "&amp;search_path&amp;"\RTDC"&amp;B92&amp;"\"&amp;TEXT(F92,"YYYY-MM-DD")&amp;" --exclude ""*"" --recursive --include ""*"&amp;TEXT(F92,"YYYYMMDD")&amp;"*"" &amp; """&amp;walkandungz&amp;""" "&amp;search_path&amp;"\RTDC"&amp;B92&amp;"\"&amp;TEXT(F92,"YYYY-MM-DD")
&amp;" &amp; "&amp;"aws s3 cp "&amp;s3_bucket&amp;"/RTDC"&amp;B92&amp;"/ "&amp;search_path&amp;"\RTDC"&amp;B92&amp;"\"&amp;TEXT(F92+1,"YYYY-MM-DD")&amp;" --exclude ""*"" --recursive --include ""*"&amp;TEXT(F92+1,"YYYYMMDD")&amp;"*"" &amp; """&amp;walkandungz&amp;""" "&amp;search_path&amp;"\RTDC"&amp;B92&amp;"\"&amp;TEXT(F92+1,"YYYY-MM-DD")</f>
        <v>aws s3 cp s3://rtdc.mdm.uploadarchive.raw/RTDC4001/ "%USERPROFILE%\AppData\Local\Temp\OnboardLogs"\RTDC4001\2017-02-05 --exclude "*" --recursive --include "*20170205*" &amp; "%USERPROFILE%\Documents\GitHub\mrs-test-scripts\Headless Mode &amp; Sideloading\WalkAndUnGZ.bat" "%USERPROFILE%\AppData\Local\Temp\OnboardLogs"\RTDC4001\2017-02-05 &amp; aws s3 cp s3://rtdc.mdm.uploadarchive.raw/RTDC4001/ "%USERPROFILE%\AppData\Local\Temp\OnboardLogs"\RTDC4001\2017-02-06 --exclude "*" --recursive --include "*20170206*" &amp; "%USERPROFILE%\Documents\GitHub\mrs-test-scripts\Headless Mode &amp; Sideloading\WalkAndUnGZ.bat" "%USERPROFILE%\AppData\Local\Temp\OnboardLogs"\RTDC4001\2017-02-06</v>
      </c>
      <c r="AF92" s="82" t="str">
        <f>astrogrep_path&amp;" /spath="&amp;search_path&amp;" /stypes=""app*"&amp;B92&amp;"*"&amp;TEXT(I92-utc_offset/24,"YYYYMMDD")&amp;"*"" /stext="" "&amp;TEXT(I92-utc_offset/24,"HH")&amp;search_regexp&amp;""" /e /r /s"</f>
        <v>"C:\Program Files (x86)\AstroGrep\AstroGrep.exe" /spath="%USERPROFILE%\AppData\Local\Temp\OnboardLogs" /stypes="app*4001*20170205*" /stext=" 22:.+((SYSTEM_STATE.+slice.+state.+changed )|(ment ac)|(multiple cpu faults)|(system.+state.+changed )|(\[timeout)|(PRM\|1\|D)|(kpr)|(kdp)|(\|lc)|(penalty))" /e /r /s</v>
      </c>
      <c r="AG92" s="1" t="str">
        <f>IFERROR(IF(VALUE(LEFT(AD92,2))&lt;=2,"EC",IF(OR(VALUE(LEFT(AD92,2))=8,VALUE(LEFT(AD92,2))=18),"NW","Other")),"Other")</f>
        <v>EC</v>
      </c>
      <c r="AH92" s="86" t="str">
        <f t="shared" si="7"/>
        <v>"%USERPROFILE%\Documents\GitHub\eaglep3\Utilities\RefineRTDCRunTimes.py" --tripid 180-05 --locoid 4001 --swversion DE.1.0.8.0 --startMP 204:232996 --initTime 2017-02-05T14:15:58 --startdatetime 2017-02-05T14:26:29 --delay 1 --endMP 204:169 --enddatetime 2017-02-05T15:06:31 --enforcementcount 0 &gt;&gt;C:\Users\stu\Documents\GitHub\eaglep3-reporting\EC\2017-02-05-refined-times.txt</v>
      </c>
      <c r="AI92" s="108" t="str">
        <f t="shared" si="8"/>
        <v>echo {"issue":{"subject":"","project_id":79,"tracker_id":40,"status_id":1,"priority_id":2,"assigned_to_id":23,"start_date":"2017-02-05","description":"","custom_fields":[{"id":1,"name":"Subdivision","value":"EC"},{"id":4,"name":"Milepost","value":"0.0169"},{"id":17,"name":"Train ID","value":"180-05"},{"id":16,"name":"Locomotive ID","value":"4001"},{"id":130,"name":"Impact","value":""},{"id":150,"name":"Time of Event (Mountain Time)","value":"15:06:31"},{"id":151,"name":"Denver Issue ID","value":""},{"id":178,"name":"Operational Impact","value":"Yes"},{"id":179,"name":"Denver Segment Assigned","value":""}]}} | curl -X POST -H "Content-Type: application/json" -H "X-Redmine-API-Key: d6333d4a04012a730768444271f8ca06482dae87" https://secure.xorail.net/redmine/issues.json --data @-</v>
      </c>
      <c r="AJ92" s="48"/>
      <c r="AK92" s="48"/>
      <c r="AL92" s="48"/>
      <c r="AM92" s="158" t="str">
        <f t="shared" si="9"/>
        <v>start /low /b %USERPROFILE%\Documents\GitHub\eaglep3\Utilities\DownloadLogsFromS3.py --loco 4001 --day 2017-02-05</v>
      </c>
      <c r="AN92" s="167" t="str">
        <f>"grep -SE -B400 ""CHR.+\|PRM\|1\|D.+(SWITCH|SIGNAL).+UNKNOWN"" "&amp;search_path&amp;"\RTDC"&amp;B92&amp;"\*"&amp;B92&amp;"*"&amp;TEXT(AVERAGE(F92,I92)-utc_offset/24,"YYYYMMDD")&amp;"* | grep -SE ""(Enforcement Action)|(\[TIMEOUT)|(CHR.+\|PRM\|1\|D.+(SWITCH|SIGNAL).+UNKNOWN)"" - &gt;&gt; "&amp;TEXT(Variables!$A$2,"YYYY-MM-DD")&amp;"-UncaughtWiMAX.txt"</f>
        <v>grep -SE -B400 "CHR.+\|PRM\|1\|D.+(SWITCH|SIGNAL).+UNKNOWN" "%USERPROFILE%\AppData\Local\Temp\OnboardLogs"\RTDC4001\*4001*20170205* | grep -SE "(Enforcement Action)|(\[TIMEOUT)|(CHR.+\|PRM\|1\|D.+(SWITCH|SIGNAL).+UNKNOWN)" - &gt;&gt; 2017-02-05-UncaughtWiMAX.txt</v>
      </c>
      <c r="AO92"/>
      <c r="AP92"/>
      <c r="AQ92"/>
      <c r="AR92"/>
      <c r="AS92"/>
      <c r="AT92"/>
      <c r="AU92"/>
      <c r="AV92"/>
      <c r="AW92"/>
      <c r="AX92"/>
      <c r="AY92"/>
      <c r="AZ92"/>
      <c r="BA92"/>
      <c r="BB92"/>
      <c r="BC92"/>
      <c r="BD92"/>
      <c r="BE92"/>
      <c r="BF92"/>
      <c r="BG92"/>
      <c r="BH92"/>
      <c r="BI92"/>
      <c r="BJ92"/>
      <c r="BK92"/>
      <c r="BL92"/>
      <c r="BM92"/>
      <c r="BN92"/>
      <c r="BO92"/>
      <c r="BP92"/>
      <c r="BQ92"/>
      <c r="BR92"/>
      <c r="BS92"/>
      <c r="BT92"/>
      <c r="BU92"/>
      <c r="BV92"/>
      <c r="BW92"/>
      <c r="BX92"/>
      <c r="BY92"/>
      <c r="BZ92"/>
      <c r="CA92"/>
      <c r="CB92"/>
      <c r="CC92"/>
      <c r="CD92"/>
      <c r="CE92"/>
      <c r="CF92"/>
      <c r="CG92"/>
      <c r="CH92"/>
      <c r="CI92"/>
      <c r="CJ92"/>
      <c r="CK92"/>
      <c r="CL92"/>
      <c r="CM92"/>
    </row>
    <row r="93" spans="1:91" s="20" customFormat="1" x14ac:dyDescent="0.25">
      <c r="A93" s="33" t="s">
        <v>648</v>
      </c>
      <c r="B93" s="7">
        <v>4031</v>
      </c>
      <c r="C93" s="21" t="s">
        <v>193</v>
      </c>
      <c r="D93" s="21" t="s">
        <v>799</v>
      </c>
      <c r="E93" s="13">
        <v>42771.56726851852</v>
      </c>
      <c r="F93" s="13">
        <v>42771.573240740741</v>
      </c>
      <c r="G93" s="7">
        <v>0</v>
      </c>
      <c r="H93" s="21" t="s">
        <v>320</v>
      </c>
      <c r="I93" s="13">
        <v>42771.598773148151</v>
      </c>
      <c r="J93" s="7">
        <v>0</v>
      </c>
      <c r="K93" s="98" t="str">
        <f>IF(ISEVEN(B93),(B93-1)&amp;"/"&amp;B93,B93&amp;"/"&amp;(B93+1))</f>
        <v>4031/4032</v>
      </c>
      <c r="L93" s="21" t="str">
        <f>VLOOKUP(A93,'Trips&amp;Operators'!$C$1:$G$99999,5,FALSE)</f>
        <v>CRAYTON QUNTRELL</v>
      </c>
      <c r="M93" s="6">
        <f>I93-F93</f>
        <v>2.5532407409627922E-2</v>
      </c>
      <c r="N93" s="7">
        <f>24*60*SUM($M93:$M93)</f>
        <v>36.766666669864208</v>
      </c>
      <c r="O93" s="7"/>
      <c r="P93" s="7"/>
      <c r="Q93" s="22"/>
      <c r="R93" s="22"/>
      <c r="S93" s="31">
        <f>SUM(U93:U93)/IF(AG93="EC",12,1)</f>
        <v>1</v>
      </c>
      <c r="T93" s="46" t="str">
        <f>IF(ISEVEN(LEFT(AD93,4)),"Southbound","NorthBound")</f>
        <v>NorthBound</v>
      </c>
      <c r="U93" s="190">
        <f>IF(AG93="EC",COUNTIFS(Variables!$M$2:$M$19,IF(T93="NorthBound","&gt;=","&lt;=")&amp;Y93,Variables!$M$2:$M$19,IF(T93="NorthBound","&lt;=","&gt;=")&amp;Z93),COUNTIFS(Variables!$P$2:$P$19,IF(T93="NorthBound","&gt;=","&lt;=")&amp;Y93,Variables!$P$2:$P$19,IF(T93="NorthBound","&lt;=","&gt;=")&amp;Z93))</f>
        <v>12</v>
      </c>
      <c r="V93" s="191" t="str">
        <f>"https://d0f6bd738d7f1b3e5a7ca70fe4ff75f0.us-east-1.aws.found.io/app/kibana#/discover/Steve-Slow-Train-Analysis-(2080s-and-2083s)?_g="&amp;"(refreshInterval:(display:Off,pause:!f,section:0,value:0),time:(from:'"&amp;TEXT(E93-1/24,"yyyy-MM-DDThh:mm:ss")&amp;utc_offset&amp;"00"&amp;"',mode:absolute,to:'"&amp;TEXT(I93+1/24,"yyyy-MM-DDThh:mm:ss")&amp;utc_offset&amp;"00"&amp;"'))&amp;_a=(columns:!('Locomotive+ID','Data.Head+End+Milepost',Data.Speed,'Data.Locomotive+State','Data.Train+ID',"&amp;"'Data.Warning%2FEnforcement+Type','Data.Target+Start+Milepost','Data.Target+Description','Data.Target+Speed',"&amp;"'Data.Enforcement+Train+Speed','Data.Enforcement+Start+Milepost','Data.Target+Type','Data.Enforcement+Direction+of+Travel','Message+ID',"&amp;"'Data.Body+of+Summary+Text','Data.Head+End+Track+name'),filters:!(),index:'emp_*',interval:auto,query:"&amp;"(query_string:(analyze_wildcard:!t,query:'Message%5C+ID:(2083+OR+2080+OR+1041+OR+2003+OR+1051+OR+1043+OR+1053)+AND+%22rtdc.l.rtdc."&amp;B93&amp;"%22')),sort:!(Time.ISO8601,asc))"</f>
        <v>https://d0f6bd738d7f1b3e5a7ca70fe4ff75f0.us-east-1.aws.found.io/app/kibana#/discover/Steve-Slow-Train-Analysis-(2080s-and-2083s)?_g=(refreshInterval:(display:Off,pause:!f,section:0,value:0),time:(from:'2017-02-05T12:36:52-0700',mode:absolute,to:'2017-02-05T15:22:14-0700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4031%22')),sort:!(Time.ISO8601,asc))</v>
      </c>
      <c r="W93" s="192" t="str">
        <f>IF(AA93&lt;IF(AG93="EC",23,5.65),"Y","N")</f>
        <v>N</v>
      </c>
      <c r="X93" s="192">
        <f>VALUE(LEFT(AD93,4))-VALUE(LEFT(AD92,4))</f>
        <v>1</v>
      </c>
      <c r="Y93" s="62">
        <f>RIGHT(D93,LEN(D93)-4)/10000</f>
        <v>4.2700000000000002E-2</v>
      </c>
      <c r="Z93" s="62">
        <f>RIGHT(H93,LEN(H93)-4)/10000</f>
        <v>23.331700000000001</v>
      </c>
      <c r="AA93" s="62">
        <f>ABS(Z93-Y93)</f>
        <v>23.289000000000001</v>
      </c>
      <c r="AB93" s="59" t="e">
        <f>VLOOKUP(A93,Enforcements!$C$7:$K$16,8,0)</f>
        <v>#N/A</v>
      </c>
      <c r="AC93" s="55" t="e">
        <f>VLOOKUP(A93,Enforcements!$C$7:$E$16,3,0)</f>
        <v>#N/A</v>
      </c>
      <c r="AD93" s="56" t="str">
        <f>IF(LEN(A93)=6,"0"&amp;A93,A93)</f>
        <v>0181-05</v>
      </c>
      <c r="AE93" s="85" t="str">
        <f>"aws s3 cp "&amp;s3_bucket&amp;"/RTDC"&amp;B93&amp;"/ "&amp;search_path&amp;"\RTDC"&amp;B93&amp;"\"&amp;TEXT(F93,"YYYY-MM-DD")&amp;" --exclude ""*"" --recursive --include ""*"&amp;TEXT(F93,"YYYYMMDD")&amp;"*"" &amp; """&amp;walkandungz&amp;""" "&amp;search_path&amp;"\RTDC"&amp;B93&amp;"\"&amp;TEXT(F93,"YYYY-MM-DD")
&amp;" &amp; "&amp;"aws s3 cp "&amp;s3_bucket&amp;"/RTDC"&amp;B93&amp;"/ "&amp;search_path&amp;"\RTDC"&amp;B93&amp;"\"&amp;TEXT(F93+1,"YYYY-MM-DD")&amp;" --exclude ""*"" --recursive --include ""*"&amp;TEXT(F93+1,"YYYYMMDD")&amp;"*"" &amp; """&amp;walkandungz&amp;""" "&amp;search_path&amp;"\RTDC"&amp;B93&amp;"\"&amp;TEXT(F93+1,"YYYY-MM-DD")</f>
        <v>aws s3 cp s3://rtdc.mdm.uploadarchive.raw/RTDC4031/ "%USERPROFILE%\AppData\Local\Temp\OnboardLogs"\RTDC4031\2017-02-05 --exclude "*" --recursive --include "*20170205*" &amp; "%USERPROFILE%\Documents\GitHub\mrs-test-scripts\Headless Mode &amp; Sideloading\WalkAndUnGZ.bat" "%USERPROFILE%\AppData\Local\Temp\OnboardLogs"\RTDC4031\2017-02-05 &amp; aws s3 cp s3://rtdc.mdm.uploadarchive.raw/RTDC4031/ "%USERPROFILE%\AppData\Local\Temp\OnboardLogs"\RTDC4031\2017-02-06 --exclude "*" --recursive --include "*20170206*" &amp; "%USERPROFILE%\Documents\GitHub\mrs-test-scripts\Headless Mode &amp; Sideloading\WalkAndUnGZ.bat" "%USERPROFILE%\AppData\Local\Temp\OnboardLogs"\RTDC4031\2017-02-06</v>
      </c>
      <c r="AF93" s="82" t="str">
        <f>astrogrep_path&amp;" /spath="&amp;search_path&amp;" /stypes=""app*"&amp;B93&amp;"*"&amp;TEXT(I93-utc_offset/24,"YYYYMMDD")&amp;"*"" /stext="" "&amp;TEXT(I93-utc_offset/24,"HH")&amp;search_regexp&amp;""" /e /r /s"</f>
        <v>"C:\Program Files (x86)\AstroGrep\AstroGrep.exe" /spath="%USERPROFILE%\AppData\Local\Temp\OnboardLogs" /stypes="app*4031*20170205*" /stext=" 21:.+((SYSTEM_STATE.+slice.+state.+changed )|(ment ac)|(multiple cpu faults)|(system.+state.+changed )|(\[timeout)|(PRM\|1\|D)|(kpr)|(kdp)|(\|lc)|(penalty))" /e /r /s</v>
      </c>
      <c r="AG93" s="1" t="str">
        <f>IFERROR(IF(VALUE(LEFT(AD93,2))&lt;=2,"EC",IF(OR(VALUE(LEFT(AD93,2))=8,VALUE(LEFT(AD93,2))=18),"NW","Other")),"Other")</f>
        <v>EC</v>
      </c>
      <c r="AH93" s="86" t="str">
        <f t="shared" si="7"/>
        <v>"%USERPROFILE%\Documents\GitHub\eaglep3\Utilities\RefineRTDCRunTimes.py" --tripid 181-05 --locoid 4031 --swversion DE.1.0.8.0 --startMP 204:427 --initTime 2017-02-05T13:36:52 --startdatetime 2017-02-05T13:45:28 --delay 0 --endMP 204:233317 --enddatetime 2017-02-05T14:22:14 --enforcementcount 0 &gt;&gt;C:\Users\stu\Documents\GitHub\eaglep3-reporting\EC\2017-02-05-refined-times.txt</v>
      </c>
      <c r="AI93" s="108" t="str">
        <f t="shared" si="8"/>
        <v>echo {"issue":{"subject":"","project_id":79,"tracker_id":40,"status_id":1,"priority_id":2,"assigned_to_id":23,"start_date":"2017-02-05","description":"","custom_fields":[{"id":1,"name":"Subdivision","value":"EC"},{"id":4,"name":"Milepost","value":"23.3317"},{"id":17,"name":"Train ID","value":"181-05"},{"id":16,"name":"Locomotive ID","value":"4031"},{"id":130,"name":"Impact","value":""},{"id":150,"name":"Time of Event (Mountain Time)","value":"14:22:14"},{"id":151,"name":"Denver Issue ID","value":""},{"id":178,"name":"Operational Impact","value":"Yes"},{"id":179,"name":"Denver Segment Assigned","value":""}]}} | curl -X POST -H "Content-Type: application/json" -H "X-Redmine-API-Key: d6333d4a04012a730768444271f8ca06482dae87" https://secure.xorail.net/redmine/issues.json --data @-</v>
      </c>
      <c r="AJ93" s="48"/>
      <c r="AK93" s="48"/>
      <c r="AL93" s="48"/>
      <c r="AM93" s="158" t="str">
        <f t="shared" si="9"/>
        <v>start /low /b %USERPROFILE%\Documents\GitHub\eaglep3\Utilities\DownloadLogsFromS3.py --loco 4031 --day 2017-02-05</v>
      </c>
      <c r="AN93" s="167" t="str">
        <f>"grep -SE -B400 ""CHR.+\|PRM\|1\|D.+(SWITCH|SIGNAL).+UNKNOWN"" "&amp;search_path&amp;"\RTDC"&amp;B93&amp;"\*"&amp;B93&amp;"*"&amp;TEXT(AVERAGE(F93,I93)-utc_offset/24,"YYYYMMDD")&amp;"* | grep -SE ""(Enforcement Action)|(\[TIMEOUT)|(CHR.+\|PRM\|1\|D.+(SWITCH|SIGNAL).+UNKNOWN)"" - &gt;&gt; "&amp;TEXT(Variables!$A$2,"YYYY-MM-DD")&amp;"-UncaughtWiMAX.txt"</f>
        <v>grep -SE -B400 "CHR.+\|PRM\|1\|D.+(SWITCH|SIGNAL).+UNKNOWN" "%USERPROFILE%\AppData\Local\Temp\OnboardLogs"\RTDC4031\*4031*20170205* | grep -SE "(Enforcement Action)|(\[TIMEOUT)|(CHR.+\|PRM\|1\|D.+(SWITCH|SIGNAL).+UNKNOWN)" - &gt;&gt; 2017-02-05-UncaughtWiMAX.txt</v>
      </c>
      <c r="AO93"/>
      <c r="AP93"/>
      <c r="AQ93"/>
      <c r="AR93"/>
      <c r="AS93"/>
      <c r="AT93"/>
      <c r="AU93"/>
      <c r="AV93"/>
      <c r="AW93"/>
      <c r="AX93"/>
      <c r="AY93"/>
      <c r="AZ93"/>
      <c r="BA93"/>
      <c r="BB93"/>
      <c r="BC93"/>
      <c r="BD93"/>
      <c r="BE93"/>
      <c r="BF93"/>
      <c r="BG93"/>
      <c r="BH93"/>
      <c r="BI93"/>
      <c r="BJ93"/>
      <c r="BK93"/>
      <c r="BL93"/>
      <c r="BM93"/>
      <c r="BN93"/>
      <c r="BO93"/>
      <c r="BP93"/>
      <c r="BQ93"/>
      <c r="BR93"/>
      <c r="BS93"/>
      <c r="BT93"/>
      <c r="BU93"/>
      <c r="BV93"/>
      <c r="BW93"/>
      <c r="BX93"/>
      <c r="BY93"/>
      <c r="BZ93"/>
      <c r="CA93"/>
      <c r="CB93"/>
      <c r="CC93"/>
      <c r="CD93"/>
      <c r="CE93"/>
      <c r="CF93"/>
      <c r="CG93"/>
      <c r="CH93"/>
      <c r="CI93"/>
      <c r="CJ93"/>
      <c r="CK93"/>
      <c r="CL93"/>
      <c r="CM93"/>
    </row>
    <row r="94" spans="1:91" x14ac:dyDescent="0.25">
      <c r="A94" s="33" t="s">
        <v>657</v>
      </c>
      <c r="B94" s="7">
        <v>4032</v>
      </c>
      <c r="C94" s="21" t="s">
        <v>193</v>
      </c>
      <c r="D94" s="21" t="s">
        <v>395</v>
      </c>
      <c r="E94" s="13">
        <v>42771.605821759258</v>
      </c>
      <c r="F94" s="13">
        <v>42771.612175925926</v>
      </c>
      <c r="G94" s="7">
        <v>1</v>
      </c>
      <c r="H94" s="21" t="s">
        <v>810</v>
      </c>
      <c r="I94" s="13">
        <v>42771.643379629626</v>
      </c>
      <c r="J94" s="7">
        <v>0</v>
      </c>
      <c r="K94" s="98" t="str">
        <f>IF(ISEVEN(B94),(B94-1)&amp;"/"&amp;B94,B94&amp;"/"&amp;(B94+1))</f>
        <v>4031/4032</v>
      </c>
      <c r="L94" s="21" t="str">
        <f>VLOOKUP(A94,'Trips&amp;Operators'!$C$1:$G$99999,5,FALSE)</f>
        <v>CRAYTON QUNTRELL</v>
      </c>
      <c r="M94" s="6">
        <f>I94-F94</f>
        <v>3.1203703700157348E-2</v>
      </c>
      <c r="N94" s="7">
        <f>24*60*SUM($M94:$M94)</f>
        <v>44.933333328226581</v>
      </c>
      <c r="O94" s="7"/>
      <c r="P94" s="7"/>
      <c r="Q94" s="22"/>
      <c r="R94" s="22"/>
      <c r="S94" s="31">
        <f>SUM(U94:U94)/IF(AG94="EC",12,1)</f>
        <v>1</v>
      </c>
      <c r="T94" s="46" t="str">
        <f>IF(ISEVEN(LEFT(AD94,4)),"Southbound","NorthBound")</f>
        <v>Southbound</v>
      </c>
      <c r="U94" s="190">
        <f>IF(AG94="EC",COUNTIFS(Variables!$M$2:$M$19,IF(T94="NorthBound","&gt;=","&lt;=")&amp;Y94,Variables!$M$2:$M$19,IF(T94="NorthBound","&lt;=","&gt;=")&amp;Z94),COUNTIFS(Variables!$P$2:$P$19,IF(T94="NorthBound","&gt;=","&lt;=")&amp;Y94,Variables!$P$2:$P$19,IF(T94="NorthBound","&lt;=","&gt;=")&amp;Z94))</f>
        <v>12</v>
      </c>
      <c r="V94" s="191" t="str">
        <f>"https://d0f6bd738d7f1b3e5a7ca70fe4ff75f0.us-east-1.aws.found.io/app/kibana#/discover/Steve-Slow-Train-Analysis-(2080s-and-2083s)?_g="&amp;"(refreshInterval:(display:Off,pause:!f,section:0,value:0),time:(from:'"&amp;TEXT(E94-1/24,"yyyy-MM-DDThh:mm:ss")&amp;utc_offset&amp;"00"&amp;"',mode:absolute,to:'"&amp;TEXT(I94+1/24,"yyyy-MM-DDThh:mm:ss")&amp;utc_offset&amp;"00"&amp;"'))&amp;_a=(columns:!('Locomotive+ID','Data.Head+End+Milepost',Data.Speed,'Data.Locomotive+State','Data.Train+ID',"&amp;"'Data.Warning%2FEnforcement+Type','Data.Target+Start+Milepost','Data.Target+Description','Data.Target+Speed',"&amp;"'Data.Enforcement+Train+Speed','Data.Enforcement+Start+Milepost','Data.Target+Type','Data.Enforcement+Direction+of+Travel','Message+ID',"&amp;"'Data.Body+of+Summary+Text','Data.Head+End+Track+name'),filters:!(),index:'emp_*',interval:auto,query:"&amp;"(query_string:(analyze_wildcard:!t,query:'Message%5C+ID:(2083+OR+2080+OR+1041+OR+2003+OR+1051+OR+1043+OR+1053)+AND+%22rtdc.l.rtdc."&amp;B94&amp;"%22')),sort:!(Time.ISO8601,asc))"</f>
        <v>https://d0f6bd738d7f1b3e5a7ca70fe4ff75f0.us-east-1.aws.found.io/app/kibana#/discover/Steve-Slow-Train-Analysis-(2080s-and-2083s)?_g=(refreshInterval:(display:Off,pause:!f,section:0,value:0),time:(from:'2017-02-05T13:32:23-0700',mode:absolute,to:'2017-02-05T16:26:28-0700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4032%22')),sort:!(Time.ISO8601,asc))</v>
      </c>
      <c r="W94" s="192" t="str">
        <f>IF(AA94&lt;IF(AG94="EC",23,5.65),"Y","N")</f>
        <v>N</v>
      </c>
      <c r="X94" s="192">
        <f>VALUE(LEFT(AD94,4))-VALUE(LEFT(AD93,4))</f>
        <v>1</v>
      </c>
      <c r="Y94" s="62">
        <f>RIGHT(D94,LEN(D94)-4)/10000</f>
        <v>23.300599999999999</v>
      </c>
      <c r="Z94" s="62">
        <f>RIGHT(H94,LEN(H94)-4)/10000</f>
        <v>1.83E-2</v>
      </c>
      <c r="AA94" s="62">
        <f>ABS(Z94-Y94)</f>
        <v>23.282299999999999</v>
      </c>
      <c r="AB94" s="59" t="e">
        <f>VLOOKUP(A94,Enforcements!$C$7:$K$16,8,0)</f>
        <v>#N/A</v>
      </c>
      <c r="AC94" s="55" t="e">
        <f>VLOOKUP(A94,Enforcements!$C$7:$E$16,3,0)</f>
        <v>#N/A</v>
      </c>
      <c r="AD94" s="56" t="str">
        <f>IF(LEN(A94)=6,"0"&amp;A94,A94)</f>
        <v>0182-05</v>
      </c>
      <c r="AE94" s="85" t="str">
        <f>"aws s3 cp "&amp;s3_bucket&amp;"/RTDC"&amp;B94&amp;"/ "&amp;search_path&amp;"\RTDC"&amp;B94&amp;"\"&amp;TEXT(F94,"YYYY-MM-DD")&amp;" --exclude ""*"" --recursive --include ""*"&amp;TEXT(F94,"YYYYMMDD")&amp;"*"" &amp; """&amp;walkandungz&amp;""" "&amp;search_path&amp;"\RTDC"&amp;B94&amp;"\"&amp;TEXT(F94,"YYYY-MM-DD")
&amp;" &amp; "&amp;"aws s3 cp "&amp;s3_bucket&amp;"/RTDC"&amp;B94&amp;"/ "&amp;search_path&amp;"\RTDC"&amp;B94&amp;"\"&amp;TEXT(F94+1,"YYYY-MM-DD")&amp;" --exclude ""*"" --recursive --include ""*"&amp;TEXT(F94+1,"YYYYMMDD")&amp;"*"" &amp; """&amp;walkandungz&amp;""" "&amp;search_path&amp;"\RTDC"&amp;B94&amp;"\"&amp;TEXT(F94+1,"YYYY-MM-DD")</f>
        <v>aws s3 cp s3://rtdc.mdm.uploadarchive.raw/RTDC4032/ "%USERPROFILE%\AppData\Local\Temp\OnboardLogs"\RTDC4032\2017-02-05 --exclude "*" --recursive --include "*20170205*" &amp; "%USERPROFILE%\Documents\GitHub\mrs-test-scripts\Headless Mode &amp; Sideloading\WalkAndUnGZ.bat" "%USERPROFILE%\AppData\Local\Temp\OnboardLogs"\RTDC4032\2017-02-05 &amp; aws s3 cp s3://rtdc.mdm.uploadarchive.raw/RTDC4032/ "%USERPROFILE%\AppData\Local\Temp\OnboardLogs"\RTDC4032\2017-02-06 --exclude "*" --recursive --include "*20170206*" &amp; "%USERPROFILE%\Documents\GitHub\mrs-test-scripts\Headless Mode &amp; Sideloading\WalkAndUnGZ.bat" "%USERPROFILE%\AppData\Local\Temp\OnboardLogs"\RTDC4032\2017-02-06</v>
      </c>
      <c r="AF94" s="82" t="str">
        <f>astrogrep_path&amp;" /spath="&amp;search_path&amp;" /stypes=""app*"&amp;B94&amp;"*"&amp;TEXT(I94-utc_offset/24,"YYYYMMDD")&amp;"*"" /stext="" "&amp;TEXT(I94-utc_offset/24,"HH")&amp;search_regexp&amp;""" /e /r /s"</f>
        <v>"C:\Program Files (x86)\AstroGrep\AstroGrep.exe" /spath="%USERPROFILE%\AppData\Local\Temp\OnboardLogs" /stypes="app*4032*20170205*" /stext=" 22:.+((SYSTEM_STATE.+slice.+state.+changed )|(ment ac)|(multiple cpu faults)|(system.+state.+changed )|(\[timeout)|(PRM\|1\|D)|(kpr)|(kdp)|(\|lc)|(penalty))" /e /r /s</v>
      </c>
      <c r="AG94" s="1" t="str">
        <f>IFERROR(IF(VALUE(LEFT(AD94,2))&lt;=2,"EC",IF(OR(VALUE(LEFT(AD94,2))=8,VALUE(LEFT(AD94,2))=18),"NW","Other")),"Other")</f>
        <v>EC</v>
      </c>
      <c r="AH94" s="86" t="str">
        <f t="shared" si="7"/>
        <v>"%USERPROFILE%\Documents\GitHub\eaglep3\Utilities\RefineRTDCRunTimes.py" --tripid 182-05 --locoid 4032 --swversion DE.1.0.8.0 --startMP 204:233006 --initTime 2017-02-05T14:32:23 --startdatetime 2017-02-05T14:41:32 --delay 1 --endMP 204:183 --enddatetime 2017-02-05T15:26:28 --enforcementcount 0 &gt;&gt;C:\Users\stu\Documents\GitHub\eaglep3-reporting\EC\2017-02-05-refined-times.txt</v>
      </c>
      <c r="AI94" s="108" t="str">
        <f t="shared" si="8"/>
        <v>echo {"issue":{"subject":"","project_id":79,"tracker_id":40,"status_id":1,"priority_id":2,"assigned_to_id":23,"start_date":"2017-02-05","description":"","custom_fields":[{"id":1,"name":"Subdivision","value":"EC"},{"id":4,"name":"Milepost","value":"0.0183"},{"id":17,"name":"Train ID","value":"182-05"},{"id":16,"name":"Locomotive ID","value":"4032"},{"id":130,"name":"Impact","value":""},{"id":150,"name":"Time of Event (Mountain Time)","value":"15:26:28"},{"id":151,"name":"Denver Issue ID","value":""},{"id":178,"name":"Operational Impact","value":"Yes"},{"id":179,"name":"Denver Segment Assigned","value":""}]}} | curl -X POST -H "Content-Type: application/json" -H "X-Redmine-API-Key: d6333d4a04012a730768444271f8ca06482dae87" https://secure.xorail.net/redmine/issues.json --data @-</v>
      </c>
      <c r="AJ94" s="48"/>
      <c r="AK94" s="48"/>
      <c r="AL94" s="48"/>
      <c r="AM94" s="158" t="str">
        <f t="shared" si="9"/>
        <v>start /low /b %USERPROFILE%\Documents\GitHub\eaglep3\Utilities\DownloadLogsFromS3.py --loco 4032 --day 2017-02-05</v>
      </c>
      <c r="AN94" s="167" t="str">
        <f>"grep -SE -B400 ""CHR.+\|PRM\|1\|D.+(SWITCH|SIGNAL).+UNKNOWN"" "&amp;search_path&amp;"\RTDC"&amp;B94&amp;"\*"&amp;B94&amp;"*"&amp;TEXT(AVERAGE(F94,I94)-utc_offset/24,"YYYYMMDD")&amp;"* | grep -SE ""(Enforcement Action)|(\[TIMEOUT)|(CHR.+\|PRM\|1\|D.+(SWITCH|SIGNAL).+UNKNOWN)"" - &gt;&gt; "&amp;TEXT(Variables!$A$2,"YYYY-MM-DD")&amp;"-UncaughtWiMAX.txt"</f>
        <v>grep -SE -B400 "CHR.+\|PRM\|1\|D.+(SWITCH|SIGNAL).+UNKNOWN" "%USERPROFILE%\AppData\Local\Temp\OnboardLogs"\RTDC4032\*4032*20170205* | grep -SE "(Enforcement Action)|(\[TIMEOUT)|(CHR.+\|PRM\|1\|D.+(SWITCH|SIGNAL).+UNKNOWN)" - &gt;&gt; 2017-02-05-UncaughtWiMAX.txt</v>
      </c>
    </row>
    <row r="95" spans="1:91" s="20" customFormat="1" x14ac:dyDescent="0.25">
      <c r="A95" s="33" t="s">
        <v>650</v>
      </c>
      <c r="B95" s="7">
        <v>4009</v>
      </c>
      <c r="C95" s="21" t="s">
        <v>193</v>
      </c>
      <c r="D95" s="21" t="s">
        <v>760</v>
      </c>
      <c r="E95" s="13">
        <v>42771.577314814815</v>
      </c>
      <c r="F95" s="13">
        <v>42771.583495370367</v>
      </c>
      <c r="G95" s="7">
        <v>2</v>
      </c>
      <c r="H95" s="21" t="s">
        <v>820</v>
      </c>
      <c r="I95" s="13">
        <v>42771.609293981484</v>
      </c>
      <c r="J95" s="7">
        <v>0</v>
      </c>
      <c r="K95" s="98" t="str">
        <f>IF(ISEVEN(B95),(B95-1)&amp;"/"&amp;B95,B95&amp;"/"&amp;(B95+1))</f>
        <v>4009/4010</v>
      </c>
      <c r="L95" s="21" t="str">
        <f>VLOOKUP(A95,'Trips&amp;Operators'!$C$1:$G$99999,5,FALSE)</f>
        <v>ROMERO CHAD</v>
      </c>
      <c r="M95" s="6">
        <f>I95-F95</f>
        <v>2.5798611117352266E-2</v>
      </c>
      <c r="N95" s="7">
        <f>24*60*SUM($M95:$M95)</f>
        <v>37.150000008987263</v>
      </c>
      <c r="O95" s="7"/>
      <c r="P95" s="7"/>
      <c r="Q95" s="22"/>
      <c r="R95" s="22"/>
      <c r="S95" s="31">
        <f>SUM(U95:U95)/IF(AG95="EC",12,1)</f>
        <v>1</v>
      </c>
      <c r="T95" s="46" t="str">
        <f>IF(ISEVEN(LEFT(AD95,4)),"Southbound","NorthBound")</f>
        <v>NorthBound</v>
      </c>
      <c r="U95" s="190">
        <f>IF(AG95="EC",COUNTIFS(Variables!$M$2:$M$19,IF(T95="NorthBound","&gt;=","&lt;=")&amp;Y95,Variables!$M$2:$M$19,IF(T95="NorthBound","&lt;=","&gt;=")&amp;Z95),COUNTIFS(Variables!$P$2:$P$19,IF(T95="NorthBound","&gt;=","&lt;=")&amp;Y95,Variables!$P$2:$P$19,IF(T95="NorthBound","&lt;=","&gt;=")&amp;Z95))</f>
        <v>12</v>
      </c>
      <c r="V95" s="191" t="str">
        <f>"https://d0f6bd738d7f1b3e5a7ca70fe4ff75f0.us-east-1.aws.found.io/app/kibana#/discover/Steve-Slow-Train-Analysis-(2080s-and-2083s)?_g="&amp;"(refreshInterval:(display:Off,pause:!f,section:0,value:0),time:(from:'"&amp;TEXT(E95-1/24,"yyyy-MM-DDThh:mm:ss")&amp;utc_offset&amp;"00"&amp;"',mode:absolute,to:'"&amp;TEXT(I95+1/24,"yyyy-MM-DDThh:mm:ss")&amp;utc_offset&amp;"00"&amp;"'))&amp;_a=(columns:!('Locomotive+ID','Data.Head+End+Milepost',Data.Speed,'Data.Locomotive+State','Data.Train+ID',"&amp;"'Data.Warning%2FEnforcement+Type','Data.Target+Start+Milepost','Data.Target+Description','Data.Target+Speed',"&amp;"'Data.Enforcement+Train+Speed','Data.Enforcement+Start+Milepost','Data.Target+Type','Data.Enforcement+Direction+of+Travel','Message+ID',"&amp;"'Data.Body+of+Summary+Text','Data.Head+End+Track+name'),filters:!(),index:'emp_*',interval:auto,query:"&amp;"(query_string:(analyze_wildcard:!t,query:'Message%5C+ID:(2083+OR+2080+OR+1041+OR+2003+OR+1051+OR+1043+OR+1053)+AND+%22rtdc.l.rtdc."&amp;B95&amp;"%22')),sort:!(Time.ISO8601,asc))"</f>
        <v>https://d0f6bd738d7f1b3e5a7ca70fe4ff75f0.us-east-1.aws.found.io/app/kibana#/discover/Steve-Slow-Train-Analysis-(2080s-and-2083s)?_g=(refreshInterval:(display:Off,pause:!f,section:0,value:0),time:(from:'2017-02-05T12:51:20-0700',mode:absolute,to:'2017-02-05T15:37:23-0700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4009%22')),sort:!(Time.ISO8601,asc))</v>
      </c>
      <c r="W95" s="192" t="str">
        <f>IF(AA95&lt;IF(AG95="EC",23,5.65),"Y","N")</f>
        <v>N</v>
      </c>
      <c r="X95" s="192">
        <f>VALUE(LEFT(AD95,4))-VALUE(LEFT(AD94,4))</f>
        <v>1</v>
      </c>
      <c r="Y95" s="62">
        <f>RIGHT(D95,LEN(D95)-4)/10000</f>
        <v>4.3999999999999997E-2</v>
      </c>
      <c r="Z95" s="62">
        <f>RIGHT(H95,LEN(H95)-4)/10000</f>
        <v>23.339300000000001</v>
      </c>
      <c r="AA95" s="62">
        <f>ABS(Z95-Y95)</f>
        <v>23.295300000000001</v>
      </c>
      <c r="AB95" s="59" t="e">
        <f>VLOOKUP(A95,Enforcements!$C$7:$K$16,8,0)</f>
        <v>#N/A</v>
      </c>
      <c r="AC95" s="55" t="e">
        <f>VLOOKUP(A95,Enforcements!$C$7:$E$16,3,0)</f>
        <v>#N/A</v>
      </c>
      <c r="AD95" s="56" t="str">
        <f>IF(LEN(A95)=6,"0"&amp;A95,A95)</f>
        <v>0183-05</v>
      </c>
      <c r="AE95" s="85" t="str">
        <f>"aws s3 cp "&amp;s3_bucket&amp;"/RTDC"&amp;B95&amp;"/ "&amp;search_path&amp;"\RTDC"&amp;B95&amp;"\"&amp;TEXT(F95,"YYYY-MM-DD")&amp;" --exclude ""*"" --recursive --include ""*"&amp;TEXT(F95,"YYYYMMDD")&amp;"*"" &amp; """&amp;walkandungz&amp;""" "&amp;search_path&amp;"\RTDC"&amp;B95&amp;"\"&amp;TEXT(F95,"YYYY-MM-DD")
&amp;" &amp; "&amp;"aws s3 cp "&amp;s3_bucket&amp;"/RTDC"&amp;B95&amp;"/ "&amp;search_path&amp;"\RTDC"&amp;B95&amp;"\"&amp;TEXT(F95+1,"YYYY-MM-DD")&amp;" --exclude ""*"" --recursive --include ""*"&amp;TEXT(F95+1,"YYYYMMDD")&amp;"*"" &amp; """&amp;walkandungz&amp;""" "&amp;search_path&amp;"\RTDC"&amp;B95&amp;"\"&amp;TEXT(F95+1,"YYYY-MM-DD")</f>
        <v>aws s3 cp s3://rtdc.mdm.uploadarchive.raw/RTDC4009/ "%USERPROFILE%\AppData\Local\Temp\OnboardLogs"\RTDC4009\2017-02-05 --exclude "*" --recursive --include "*20170205*" &amp; "%USERPROFILE%\Documents\GitHub\mrs-test-scripts\Headless Mode &amp; Sideloading\WalkAndUnGZ.bat" "%USERPROFILE%\AppData\Local\Temp\OnboardLogs"\RTDC4009\2017-02-05 &amp; aws s3 cp s3://rtdc.mdm.uploadarchive.raw/RTDC4009/ "%USERPROFILE%\AppData\Local\Temp\OnboardLogs"\RTDC4009\2017-02-06 --exclude "*" --recursive --include "*20170206*" &amp; "%USERPROFILE%\Documents\GitHub\mrs-test-scripts\Headless Mode &amp; Sideloading\WalkAndUnGZ.bat" "%USERPROFILE%\AppData\Local\Temp\OnboardLogs"\RTDC4009\2017-02-06</v>
      </c>
      <c r="AF95" s="82" t="str">
        <f>astrogrep_path&amp;" /spath="&amp;search_path&amp;" /stypes=""app*"&amp;B95&amp;"*"&amp;TEXT(I95-utc_offset/24,"YYYYMMDD")&amp;"*"" /stext="" "&amp;TEXT(I95-utc_offset/24,"HH")&amp;search_regexp&amp;""" /e /r /s"</f>
        <v>"C:\Program Files (x86)\AstroGrep\AstroGrep.exe" /spath="%USERPROFILE%\AppData\Local\Temp\OnboardLogs" /stypes="app*4009*20170205*" /stext=" 21:.+((SYSTEM_STATE.+slice.+state.+changed )|(ment ac)|(multiple cpu faults)|(system.+state.+changed )|(\[timeout)|(PRM\|1\|D)|(kpr)|(kdp)|(\|lc)|(penalty))" /e /r /s</v>
      </c>
      <c r="AG95" s="1" t="str">
        <f>IFERROR(IF(VALUE(LEFT(AD95,2))&lt;=2,"EC",IF(OR(VALUE(LEFT(AD95,2))=8,VALUE(LEFT(AD95,2))=18),"NW","Other")),"Other")</f>
        <v>EC</v>
      </c>
      <c r="AH95" s="86" t="str">
        <f t="shared" si="7"/>
        <v>"%USERPROFILE%\Documents\GitHub\eaglep3\Utilities\RefineRTDCRunTimes.py" --tripid 183-05 --locoid 4009 --swversion DE.1.0.8.0 --startMP 204:440 --initTime 2017-02-05T13:51:20 --startdatetime 2017-02-05T14:00:14 --delay 2 --endMP 204:233393 --enddatetime 2017-02-05T14:37:23 --enforcementcount 0 &gt;&gt;C:\Users\stu\Documents\GitHub\eaglep3-reporting\EC\2017-02-05-refined-times.txt</v>
      </c>
      <c r="AI95" s="108" t="str">
        <f t="shared" si="8"/>
        <v>echo {"issue":{"subject":"","project_id":79,"tracker_id":40,"status_id":1,"priority_id":2,"assigned_to_id":23,"start_date":"2017-02-05","description":"","custom_fields":[{"id":1,"name":"Subdivision","value":"EC"},{"id":4,"name":"Milepost","value":"23.3393"},{"id":17,"name":"Train ID","value":"183-05"},{"id":16,"name":"Locomotive ID","value":"4009"},{"id":130,"name":"Impact","value":""},{"id":150,"name":"Time of Event (Mountain Time)","value":"14:37:23"},{"id":151,"name":"Denver Issue ID","value":""},{"id":178,"name":"Operational Impact","value":"Yes"},{"id":179,"name":"Denver Segment Assigned","value":""}]}} | curl -X POST -H "Content-Type: application/json" -H "X-Redmine-API-Key: d6333d4a04012a730768444271f8ca06482dae87" https://secure.xorail.net/redmine/issues.json --data @-</v>
      </c>
      <c r="AJ95" s="48"/>
      <c r="AK95" s="48"/>
      <c r="AL95" s="48"/>
      <c r="AM95" s="158" t="str">
        <f t="shared" si="9"/>
        <v>start /low /b %USERPROFILE%\Documents\GitHub\eaglep3\Utilities\DownloadLogsFromS3.py --loco 4009 --day 2017-02-05</v>
      </c>
      <c r="AN95" s="167" t="str">
        <f>"grep -SE -B400 ""CHR.+\|PRM\|1\|D.+(SWITCH|SIGNAL).+UNKNOWN"" "&amp;search_path&amp;"\RTDC"&amp;B95&amp;"\*"&amp;B95&amp;"*"&amp;TEXT(AVERAGE(F95,I95)-utc_offset/24,"YYYYMMDD")&amp;"* | grep -SE ""(Enforcement Action)|(\[TIMEOUT)|(CHR.+\|PRM\|1\|D.+(SWITCH|SIGNAL).+UNKNOWN)"" - &gt;&gt; "&amp;TEXT(Variables!$A$2,"YYYY-MM-DD")&amp;"-UncaughtWiMAX.txt"</f>
        <v>grep -SE -B400 "CHR.+\|PRM\|1\|D.+(SWITCH|SIGNAL).+UNKNOWN" "%USERPROFILE%\AppData\Local\Temp\OnboardLogs"\RTDC4009\*4009*20170205* | grep -SE "(Enforcement Action)|(\[TIMEOUT)|(CHR.+\|PRM\|1\|D.+(SWITCH|SIGNAL).+UNKNOWN)" - &gt;&gt; 2017-02-05-UncaughtWiMAX.txt</v>
      </c>
      <c r="AO95"/>
      <c r="AP95"/>
      <c r="AQ95"/>
      <c r="AR95"/>
      <c r="AS95"/>
      <c r="AT95"/>
      <c r="AU95"/>
      <c r="AV95"/>
      <c r="AW95"/>
      <c r="AX95"/>
      <c r="AY95"/>
      <c r="AZ95"/>
      <c r="BA95"/>
      <c r="BB95"/>
      <c r="BC95"/>
      <c r="BD95"/>
      <c r="BE95"/>
      <c r="BF95"/>
      <c r="BG95"/>
      <c r="BH95"/>
      <c r="BI95"/>
      <c r="BJ95"/>
      <c r="BK95"/>
      <c r="BL95"/>
      <c r="BM95"/>
      <c r="BN95"/>
      <c r="BO95"/>
      <c r="BP95"/>
      <c r="BQ95"/>
      <c r="BR95"/>
      <c r="BS95"/>
      <c r="BT95"/>
      <c r="BU95"/>
      <c r="BV95"/>
      <c r="BW95"/>
      <c r="BX95"/>
      <c r="BY95"/>
      <c r="BZ95"/>
      <c r="CA95"/>
      <c r="CB95"/>
      <c r="CC95"/>
      <c r="CD95"/>
      <c r="CE95"/>
      <c r="CF95"/>
      <c r="CG95"/>
      <c r="CH95"/>
      <c r="CI95"/>
      <c r="CJ95"/>
      <c r="CK95"/>
      <c r="CL95"/>
      <c r="CM95"/>
    </row>
    <row r="96" spans="1:91" s="20" customFormat="1" x14ac:dyDescent="0.25">
      <c r="A96" s="33" t="s">
        <v>658</v>
      </c>
      <c r="B96" s="7">
        <v>4010</v>
      </c>
      <c r="C96" s="21" t="s">
        <v>193</v>
      </c>
      <c r="D96" s="21" t="s">
        <v>414</v>
      </c>
      <c r="E96" s="13">
        <v>42771.611087962963</v>
      </c>
      <c r="F96" s="13">
        <v>42771.622384259259</v>
      </c>
      <c r="G96" s="7">
        <v>1</v>
      </c>
      <c r="H96" s="21" t="s">
        <v>772</v>
      </c>
      <c r="I96" s="13">
        <v>42771.650057870371</v>
      </c>
      <c r="J96" s="7">
        <v>0</v>
      </c>
      <c r="K96" s="98" t="str">
        <f>IF(ISEVEN(B96),(B96-1)&amp;"/"&amp;B96,B96&amp;"/"&amp;(B96+1))</f>
        <v>4009/4010</v>
      </c>
      <c r="L96" s="21" t="str">
        <f>VLOOKUP(A96,'Trips&amp;Operators'!$C$1:$G$99999,5,FALSE)</f>
        <v>ROMERO CHAD</v>
      </c>
      <c r="M96" s="6">
        <f>I96-F96</f>
        <v>2.7673611111822538E-2</v>
      </c>
      <c r="N96" s="7">
        <f>24*60*SUM($M96:$M96)</f>
        <v>39.850000001024455</v>
      </c>
      <c r="O96" s="7"/>
      <c r="P96" s="7"/>
      <c r="Q96" s="22"/>
      <c r="R96" s="22"/>
      <c r="S96" s="31">
        <f>SUM(U96:U96)/IF(AG96="EC",12,1)</f>
        <v>1</v>
      </c>
      <c r="T96" s="46" t="str">
        <f>IF(ISEVEN(LEFT(AD96,4)),"Southbound","NorthBound")</f>
        <v>Southbound</v>
      </c>
      <c r="U96" s="190">
        <f>IF(AG96="EC",COUNTIFS(Variables!$M$2:$M$19,IF(T96="NorthBound","&gt;=","&lt;=")&amp;Y96,Variables!$M$2:$M$19,IF(T96="NorthBound","&lt;=","&gt;=")&amp;Z96),COUNTIFS(Variables!$P$2:$P$19,IF(T96="NorthBound","&gt;=","&lt;=")&amp;Y96,Variables!$P$2:$P$19,IF(T96="NorthBound","&lt;=","&gt;=")&amp;Z96))</f>
        <v>12</v>
      </c>
      <c r="V96" s="191" t="str">
        <f>"https://d0f6bd738d7f1b3e5a7ca70fe4ff75f0.us-east-1.aws.found.io/app/kibana#/discover/Steve-Slow-Train-Analysis-(2080s-and-2083s)?_g="&amp;"(refreshInterval:(display:Off,pause:!f,section:0,value:0),time:(from:'"&amp;TEXT(E96-1/24,"yyyy-MM-DDThh:mm:ss")&amp;utc_offset&amp;"00"&amp;"',mode:absolute,to:'"&amp;TEXT(I96+1/24,"yyyy-MM-DDThh:mm:ss")&amp;utc_offset&amp;"00"&amp;"'))&amp;_a=(columns:!('Locomotive+ID','Data.Head+End+Milepost',Data.Speed,'Data.Locomotive+State','Data.Train+ID',"&amp;"'Data.Warning%2FEnforcement+Type','Data.Target+Start+Milepost','Data.Target+Description','Data.Target+Speed',"&amp;"'Data.Enforcement+Train+Speed','Data.Enforcement+Start+Milepost','Data.Target+Type','Data.Enforcement+Direction+of+Travel','Message+ID',"&amp;"'Data.Body+of+Summary+Text','Data.Head+End+Track+name'),filters:!(),index:'emp_*',interval:auto,query:"&amp;"(query_string:(analyze_wildcard:!t,query:'Message%5C+ID:(2083+OR+2080+OR+1041+OR+2003+OR+1051+OR+1043+OR+1053)+AND+%22rtdc.l.rtdc."&amp;B96&amp;"%22')),sort:!(Time.ISO8601,asc))"</f>
        <v>https://d0f6bd738d7f1b3e5a7ca70fe4ff75f0.us-east-1.aws.found.io/app/kibana#/discover/Steve-Slow-Train-Analysis-(2080s-and-2083s)?_g=(refreshInterval:(display:Off,pause:!f,section:0,value:0),time:(from:'2017-02-05T13:39:58-0700',mode:absolute,to:'2017-02-05T16:36:05-0700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4010%22')),sort:!(Time.ISO8601,asc))</v>
      </c>
      <c r="W96" s="192" t="str">
        <f>IF(AA96&lt;IF(AG96="EC",23,5.65),"Y","N")</f>
        <v>N</v>
      </c>
      <c r="X96" s="192">
        <f>VALUE(LEFT(AD96,4))-VALUE(LEFT(AD95,4))</f>
        <v>1</v>
      </c>
      <c r="Y96" s="62">
        <f>RIGHT(D96,LEN(D96)-4)/10000</f>
        <v>23.3094</v>
      </c>
      <c r="Z96" s="62">
        <f>RIGHT(H96,LEN(H96)-4)/10000</f>
        <v>1.34E-2</v>
      </c>
      <c r="AA96" s="62">
        <f>ABS(Z96-Y96)</f>
        <v>23.295999999999999</v>
      </c>
      <c r="AB96" s="59" t="e">
        <f>VLOOKUP(A96,Enforcements!$C$7:$K$16,8,0)</f>
        <v>#N/A</v>
      </c>
      <c r="AC96" s="55" t="e">
        <f>VLOOKUP(A96,Enforcements!$C$7:$E$16,3,0)</f>
        <v>#N/A</v>
      </c>
      <c r="AD96" s="56" t="str">
        <f>IF(LEN(A96)=6,"0"&amp;A96,A96)</f>
        <v>0184-05</v>
      </c>
      <c r="AE96" s="85" t="str">
        <f>"aws s3 cp "&amp;s3_bucket&amp;"/RTDC"&amp;B96&amp;"/ "&amp;search_path&amp;"\RTDC"&amp;B96&amp;"\"&amp;TEXT(F96,"YYYY-MM-DD")&amp;" --exclude ""*"" --recursive --include ""*"&amp;TEXT(F96,"YYYYMMDD")&amp;"*"" &amp; """&amp;walkandungz&amp;""" "&amp;search_path&amp;"\RTDC"&amp;B96&amp;"\"&amp;TEXT(F96,"YYYY-MM-DD")
&amp;" &amp; "&amp;"aws s3 cp "&amp;s3_bucket&amp;"/RTDC"&amp;B96&amp;"/ "&amp;search_path&amp;"\RTDC"&amp;B96&amp;"\"&amp;TEXT(F96+1,"YYYY-MM-DD")&amp;" --exclude ""*"" --recursive --include ""*"&amp;TEXT(F96+1,"YYYYMMDD")&amp;"*"" &amp; """&amp;walkandungz&amp;""" "&amp;search_path&amp;"\RTDC"&amp;B96&amp;"\"&amp;TEXT(F96+1,"YYYY-MM-DD")</f>
        <v>aws s3 cp s3://rtdc.mdm.uploadarchive.raw/RTDC4010/ "%USERPROFILE%\AppData\Local\Temp\OnboardLogs"\RTDC4010\2017-02-05 --exclude "*" --recursive --include "*20170205*" &amp; "%USERPROFILE%\Documents\GitHub\mrs-test-scripts\Headless Mode &amp; Sideloading\WalkAndUnGZ.bat" "%USERPROFILE%\AppData\Local\Temp\OnboardLogs"\RTDC4010\2017-02-05 &amp; aws s3 cp s3://rtdc.mdm.uploadarchive.raw/RTDC4010/ "%USERPROFILE%\AppData\Local\Temp\OnboardLogs"\RTDC4010\2017-02-06 --exclude "*" --recursive --include "*20170206*" &amp; "%USERPROFILE%\Documents\GitHub\mrs-test-scripts\Headless Mode &amp; Sideloading\WalkAndUnGZ.bat" "%USERPROFILE%\AppData\Local\Temp\OnboardLogs"\RTDC4010\2017-02-06</v>
      </c>
      <c r="AF96" s="82" t="str">
        <f>astrogrep_path&amp;" /spath="&amp;search_path&amp;" /stypes=""app*"&amp;B96&amp;"*"&amp;TEXT(I96-utc_offset/24,"YYYYMMDD")&amp;"*"" /stext="" "&amp;TEXT(I96-utc_offset/24,"HH")&amp;search_regexp&amp;""" /e /r /s"</f>
        <v>"C:\Program Files (x86)\AstroGrep\AstroGrep.exe" /spath="%USERPROFILE%\AppData\Local\Temp\OnboardLogs" /stypes="app*4010*20170205*" /stext=" 22:.+((SYSTEM_STATE.+slice.+state.+changed )|(ment ac)|(multiple cpu faults)|(system.+state.+changed )|(\[timeout)|(PRM\|1\|D)|(kpr)|(kdp)|(\|lc)|(penalty))" /e /r /s</v>
      </c>
      <c r="AG96" s="1" t="str">
        <f>IFERROR(IF(VALUE(LEFT(AD96,2))&lt;=2,"EC",IF(OR(VALUE(LEFT(AD96,2))=8,VALUE(LEFT(AD96,2))=18),"NW","Other")),"Other")</f>
        <v>EC</v>
      </c>
      <c r="AH96" s="86" t="str">
        <f t="shared" si="7"/>
        <v>"%USERPROFILE%\Documents\GitHub\eaglep3\Utilities\RefineRTDCRunTimes.py" --tripid 184-05 --locoid 4010 --swversion DE.1.0.8.0 --startMP 204:233094 --initTime 2017-02-05T14:39:58 --startdatetime 2017-02-05T14:56:14 --delay 1 --endMP 204:134 --enddatetime 2017-02-05T15:36:05 --enforcementcount 0 &gt;&gt;C:\Users\stu\Documents\GitHub\eaglep3-reporting\EC\2017-02-05-refined-times.txt</v>
      </c>
      <c r="AI96" s="108" t="str">
        <f t="shared" si="8"/>
        <v>echo {"issue":{"subject":"","project_id":79,"tracker_id":40,"status_id":1,"priority_id":2,"assigned_to_id":23,"start_date":"2017-02-05","description":"","custom_fields":[{"id":1,"name":"Subdivision","value":"EC"},{"id":4,"name":"Milepost","value":"0.0134"},{"id":17,"name":"Train ID","value":"184-05"},{"id":16,"name":"Locomotive ID","value":"4010"},{"id":130,"name":"Impact","value":""},{"id":150,"name":"Time of Event (Mountain Time)","value":"15:36:05"},{"id":151,"name":"Denver Issue ID","value":""},{"id":178,"name":"Operational Impact","value":"Yes"},{"id":179,"name":"Denver Segment Assigned","value":""}]}} | curl -X POST -H "Content-Type: application/json" -H "X-Redmine-API-Key: d6333d4a04012a730768444271f8ca06482dae87" https://secure.xorail.net/redmine/issues.json --data @-</v>
      </c>
      <c r="AJ96" s="48"/>
      <c r="AK96" s="48"/>
      <c r="AL96" s="48"/>
      <c r="AM96" s="158" t="str">
        <f t="shared" si="9"/>
        <v>start /low /b %USERPROFILE%\Documents\GitHub\eaglep3\Utilities\DownloadLogsFromS3.py --loco 4010 --day 2017-02-05</v>
      </c>
      <c r="AN96" s="167" t="str">
        <f>"grep -SE -B400 ""CHR.+\|PRM\|1\|D.+(SWITCH|SIGNAL).+UNKNOWN"" "&amp;search_path&amp;"\RTDC"&amp;B96&amp;"\*"&amp;B96&amp;"*"&amp;TEXT(AVERAGE(F96,I96)-utc_offset/24,"YYYYMMDD")&amp;"* | grep -SE ""(Enforcement Action)|(\[TIMEOUT)|(CHR.+\|PRM\|1\|D.+(SWITCH|SIGNAL).+UNKNOWN)"" - &gt;&gt; "&amp;TEXT(Variables!$A$2,"YYYY-MM-DD")&amp;"-UncaughtWiMAX.txt"</f>
        <v>grep -SE -B400 "CHR.+\|PRM\|1\|D.+(SWITCH|SIGNAL).+UNKNOWN" "%USERPROFILE%\AppData\Local\Temp\OnboardLogs"\RTDC4010\*4010*20170205* | grep -SE "(Enforcement Action)|(\[TIMEOUT)|(CHR.+\|PRM\|1\|D.+(SWITCH|SIGNAL).+UNKNOWN)" - &gt;&gt; 2017-02-05-UncaughtWiMAX.txt</v>
      </c>
      <c r="AO96"/>
      <c r="AP96"/>
      <c r="AQ96"/>
      <c r="AR96"/>
      <c r="AS96"/>
      <c r="AT96"/>
      <c r="AU96"/>
      <c r="AV96"/>
      <c r="AW96"/>
      <c r="AX96"/>
      <c r="AY96"/>
      <c r="AZ96"/>
      <c r="BA96"/>
      <c r="BB96"/>
      <c r="BC96"/>
      <c r="BD96"/>
      <c r="BE96"/>
      <c r="BF96"/>
      <c r="BG96"/>
      <c r="BH96"/>
      <c r="BI96"/>
      <c r="BJ96"/>
      <c r="BK96"/>
      <c r="BL96"/>
      <c r="BM96"/>
      <c r="BN96"/>
      <c r="BO96"/>
      <c r="BP96"/>
      <c r="BQ96"/>
      <c r="BR96"/>
      <c r="BS96"/>
      <c r="BT96"/>
      <c r="BU96"/>
      <c r="BV96"/>
      <c r="BW96"/>
      <c r="BX96"/>
      <c r="BY96"/>
      <c r="BZ96"/>
      <c r="CA96"/>
      <c r="CB96"/>
      <c r="CC96"/>
      <c r="CD96"/>
      <c r="CE96"/>
      <c r="CF96"/>
      <c r="CG96"/>
      <c r="CH96"/>
      <c r="CI96"/>
      <c r="CJ96"/>
      <c r="CK96"/>
      <c r="CL96"/>
      <c r="CM96"/>
    </row>
    <row r="97" spans="1:91" s="20" customFormat="1" x14ac:dyDescent="0.25">
      <c r="A97" s="33" t="s">
        <v>508</v>
      </c>
      <c r="B97" s="7">
        <v>4038</v>
      </c>
      <c r="C97" s="21" t="s">
        <v>193</v>
      </c>
      <c r="D97" s="21" t="s">
        <v>824</v>
      </c>
      <c r="E97" s="13">
        <v>42771.585393518515</v>
      </c>
      <c r="F97" s="13">
        <v>42771.599722222221</v>
      </c>
      <c r="G97" s="7">
        <v>3</v>
      </c>
      <c r="H97" s="21" t="s">
        <v>825</v>
      </c>
      <c r="I97" s="13">
        <v>42771.621087962965</v>
      </c>
      <c r="J97" s="7">
        <v>0</v>
      </c>
      <c r="K97" s="98" t="str">
        <f>IF(ISEVEN(B97),(B97-1)&amp;"/"&amp;B97,B97&amp;"/"&amp;(B97+1))</f>
        <v>4037/4038</v>
      </c>
      <c r="L97" s="21" t="str">
        <f>VLOOKUP(A97,'Trips&amp;Operators'!$C$1:$G$99999,5,FALSE)</f>
        <v>LOPES KIMBERLY</v>
      </c>
      <c r="M97" s="6">
        <f>I97-F97</f>
        <v>2.1365740743931383E-2</v>
      </c>
      <c r="N97" s="7"/>
      <c r="O97" s="7"/>
      <c r="P97" s="7"/>
      <c r="Q97" s="22"/>
      <c r="R97" s="22"/>
      <c r="S97" s="31">
        <f>SUM(U97:U97)/IF(AG97="EC",12,1)</f>
        <v>0</v>
      </c>
      <c r="T97" s="46" t="str">
        <f>IF(ISEVEN(LEFT(AD97,4)),"Southbound","NorthBound")</f>
        <v>NorthBound</v>
      </c>
      <c r="U97" s="190">
        <f>IF(AG97="EC",COUNTIFS(Variables!$M$2:$M$19,IF(T97="NorthBound","&gt;=","&lt;=")&amp;Y97,Variables!$M$2:$M$19,IF(T97="NorthBound","&lt;=","&gt;=")&amp;Z97),COUNTIFS(Variables!$P$2:$P$19,IF(T97="NorthBound","&gt;=","&lt;=")&amp;Y97,Variables!$P$2:$P$19,IF(T97="NorthBound","&lt;=","&gt;=")&amp;Z97))</f>
        <v>0</v>
      </c>
      <c r="V97" s="191" t="str">
        <f>"https://d0f6bd738d7f1b3e5a7ca70fe4ff75f0.us-east-1.aws.found.io/app/kibana#/discover/Steve-Slow-Train-Analysis-(2080s-and-2083s)?_g="&amp;"(refreshInterval:(display:Off,pause:!f,section:0,value:0),time:(from:'"&amp;TEXT(E97-1/24,"yyyy-MM-DDThh:mm:ss")&amp;utc_offset&amp;"00"&amp;"',mode:absolute,to:'"&amp;TEXT(I97+1/24,"yyyy-MM-DDThh:mm:ss")&amp;utc_offset&amp;"00"&amp;"'))&amp;_a=(columns:!('Locomotive+ID','Data.Head+End+Milepost',Data.Speed,'Data.Locomotive+State','Data.Train+ID',"&amp;"'Data.Warning%2FEnforcement+Type','Data.Target+Start+Milepost','Data.Target+Description','Data.Target+Speed',"&amp;"'Data.Enforcement+Train+Speed','Data.Enforcement+Start+Milepost','Data.Target+Type','Data.Enforcement+Direction+of+Travel','Message+ID',"&amp;"'Data.Body+of+Summary+Text','Data.Head+End+Track+name'),filters:!(),index:'emp_*',interval:auto,query:"&amp;"(query_string:(analyze_wildcard:!t,query:'Message%5C+ID:(2083+OR+2080+OR+1041+OR+2003+OR+1051+OR+1043+OR+1053)+AND+%22rtdc.l.rtdc."&amp;B97&amp;"%22')),sort:!(Time.ISO8601,asc))"</f>
        <v>https://d0f6bd738d7f1b3e5a7ca70fe4ff75f0.us-east-1.aws.found.io/app/kibana#/discover/Steve-Slow-Train-Analysis-(2080s-and-2083s)?_g=(refreshInterval:(display:Off,pause:!f,section:0,value:0),time:(from:'2017-02-05T13:02:58-0700',mode:absolute,to:'2017-02-05T15:54:22-0700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4038%22')),sort:!(Time.ISO8601,asc))</v>
      </c>
      <c r="W97" s="192" t="str">
        <f>IF(AA97&lt;IF(AG97="EC",23,5.65),"Y","N")</f>
        <v>Y</v>
      </c>
      <c r="X97" s="192">
        <f>VALUE(LEFT(AD97,4))-VALUE(LEFT(AD96,4))</f>
        <v>1</v>
      </c>
      <c r="Y97" s="62">
        <f>RIGHT(D97,LEN(D97)-4)/10000</f>
        <v>0.14879999999999999</v>
      </c>
      <c r="Z97" s="62">
        <f>RIGHT(H97,LEN(H97)-4)/10000</f>
        <v>0.16839999999999999</v>
      </c>
      <c r="AA97" s="62">
        <f>ABS(Z97-Y97)</f>
        <v>1.9600000000000006E-2</v>
      </c>
      <c r="AB97" s="59" t="str">
        <f>VLOOKUP(A97,Enforcements!$C$7:$K$16,8,0)</f>
        <v>Signal based authority (5)</v>
      </c>
      <c r="AC97" s="55" t="str">
        <f>VLOOKUP(A97,Enforcements!$C$7:$E$16,3,0)</f>
        <v>SIGNAL</v>
      </c>
      <c r="AD97" s="56" t="str">
        <f>IF(LEN(A97)=6,"0"&amp;A97,A97)</f>
        <v>0185-05</v>
      </c>
      <c r="AE97" s="85" t="str">
        <f>"aws s3 cp "&amp;s3_bucket&amp;"/RTDC"&amp;B97&amp;"/ "&amp;search_path&amp;"\RTDC"&amp;B97&amp;"\"&amp;TEXT(F97,"YYYY-MM-DD")&amp;" --exclude ""*"" --recursive --include ""*"&amp;TEXT(F97,"YYYYMMDD")&amp;"*"" &amp; """&amp;walkandungz&amp;""" "&amp;search_path&amp;"\RTDC"&amp;B97&amp;"\"&amp;TEXT(F97,"YYYY-MM-DD")
&amp;" &amp; "&amp;"aws s3 cp "&amp;s3_bucket&amp;"/RTDC"&amp;B97&amp;"/ "&amp;search_path&amp;"\RTDC"&amp;B97&amp;"\"&amp;TEXT(F97+1,"YYYY-MM-DD")&amp;" --exclude ""*"" --recursive --include ""*"&amp;TEXT(F97+1,"YYYYMMDD")&amp;"*"" &amp; """&amp;walkandungz&amp;""" "&amp;search_path&amp;"\RTDC"&amp;B97&amp;"\"&amp;TEXT(F97+1,"YYYY-MM-DD")</f>
        <v>aws s3 cp s3://rtdc.mdm.uploadarchive.raw/RTDC4038/ "%USERPROFILE%\AppData\Local\Temp\OnboardLogs"\RTDC4038\2017-02-05 --exclude "*" --recursive --include "*20170205*" &amp; "%USERPROFILE%\Documents\GitHub\mrs-test-scripts\Headless Mode &amp; Sideloading\WalkAndUnGZ.bat" "%USERPROFILE%\AppData\Local\Temp\OnboardLogs"\RTDC4038\2017-02-05 &amp; aws s3 cp s3://rtdc.mdm.uploadarchive.raw/RTDC4038/ "%USERPROFILE%\AppData\Local\Temp\OnboardLogs"\RTDC4038\2017-02-06 --exclude "*" --recursive --include "*20170206*" &amp; "%USERPROFILE%\Documents\GitHub\mrs-test-scripts\Headless Mode &amp; Sideloading\WalkAndUnGZ.bat" "%USERPROFILE%\AppData\Local\Temp\OnboardLogs"\RTDC4038\2017-02-06</v>
      </c>
      <c r="AF97" s="82" t="str">
        <f>astrogrep_path&amp;" /spath="&amp;search_path&amp;" /stypes=""app*"&amp;B97&amp;"*"&amp;TEXT(I97-utc_offset/24,"YYYYMMDD")&amp;"*"" /stext="" "&amp;TEXT(I97-utc_offset/24,"HH")&amp;search_regexp&amp;""" /e /r /s"</f>
        <v>"C:\Program Files (x86)\AstroGrep\AstroGrep.exe" /spath="%USERPROFILE%\AppData\Local\Temp\OnboardLogs" /stypes="app*4038*20170205*" /stext=" 21:.+((SYSTEM_STATE.+slice.+state.+changed )|(ment ac)|(multiple cpu faults)|(system.+state.+changed )|(\[timeout)|(PRM\|1\|D)|(kpr)|(kdp)|(\|lc)|(penalty))" /e /r /s</v>
      </c>
      <c r="AG97" s="1" t="str">
        <f>IFERROR(IF(VALUE(LEFT(AD97,2))&lt;=2,"EC",IF(OR(VALUE(LEFT(AD97,2))=8,VALUE(LEFT(AD97,2))=18),"NW","Other")),"Other")</f>
        <v>EC</v>
      </c>
      <c r="AH97" s="86" t="str">
        <f t="shared" si="7"/>
        <v>"%USERPROFILE%\Documents\GitHub\eaglep3\Utilities\RefineRTDCRunTimes.py" --tripid 185-05 --locoid 4038 --swversion DE.1.0.8.0 --startMP 204:1488 --initTime 2017-02-05T14:02:58 --startdatetime 2017-02-05T14:23:36 --delay 3 --endMP 204:1684 --enddatetime 2017-02-05T14:54:22 --enforcementcount 0 &gt;&gt;C:\Users\stu\Documents\GitHub\eaglep3-reporting\EC\2017-02-05-refined-times.txt</v>
      </c>
      <c r="AI97" s="108" t="str">
        <f t="shared" si="8"/>
        <v>echo {"issue":{"subject":"","project_id":79,"tracker_id":40,"status_id":1,"priority_id":2,"assigned_to_id":23,"start_date":"2017-02-05","description":"","custom_fields":[{"id":1,"name":"Subdivision","value":"EC"},{"id":4,"name":"Milepost","value":"0.1684"},{"id":17,"name":"Train ID","value":"185-05"},{"id":16,"name":"Locomotive ID","value":"4038"},{"id":130,"name":"Impact","value":""},{"id":150,"name":"Time of Event (Mountain Time)","value":"14:54:22"},{"id":151,"name":"Denver Issue ID","value":""},{"id":178,"name":"Operational Impact","value":"Yes"},{"id":179,"name":"Denver Segment Assigned","value":""}]}} | curl -X POST -H "Content-Type: application/json" -H "X-Redmine-API-Key: d6333d4a04012a730768444271f8ca06482dae87" https://secure.xorail.net/redmine/issues.json --data @-</v>
      </c>
      <c r="AJ97" s="48"/>
      <c r="AK97" s="48"/>
      <c r="AL97" s="48"/>
      <c r="AM97" s="158" t="str">
        <f t="shared" si="9"/>
        <v>start /low /b %USERPROFILE%\Documents\GitHub\eaglep3\Utilities\DownloadLogsFromS3.py --loco 4038 --day 2017-02-05</v>
      </c>
      <c r="AN97" s="167" t="str">
        <f>"grep -SE -B400 ""CHR.+\|PRM\|1\|D.+(SWITCH|SIGNAL).+UNKNOWN"" "&amp;search_path&amp;"\RTDC"&amp;B97&amp;"\*"&amp;B97&amp;"*"&amp;TEXT(AVERAGE(F97,I97)-utc_offset/24,"YYYYMMDD")&amp;"* | grep -SE ""(Enforcement Action)|(\[TIMEOUT)|(CHR.+\|PRM\|1\|D.+(SWITCH|SIGNAL).+UNKNOWN)"" - &gt;&gt; "&amp;TEXT(Variables!$A$2,"YYYY-MM-DD")&amp;"-UncaughtWiMAX.txt"</f>
        <v>grep -SE -B400 "CHR.+\|PRM\|1\|D.+(SWITCH|SIGNAL).+UNKNOWN" "%USERPROFILE%\AppData\Local\Temp\OnboardLogs"\RTDC4038\*4038*20170205* | grep -SE "(Enforcement Action)|(\[TIMEOUT)|(CHR.+\|PRM\|1\|D.+(SWITCH|SIGNAL).+UNKNOWN)" - &gt;&gt; 2017-02-05-UncaughtWiMAX.txt</v>
      </c>
      <c r="AO97"/>
      <c r="AP97"/>
      <c r="AQ97"/>
      <c r="AR97"/>
      <c r="AS97"/>
      <c r="AT97"/>
      <c r="AU97"/>
      <c r="AV97"/>
      <c r="AW97"/>
      <c r="AX97"/>
      <c r="AY97"/>
      <c r="AZ97"/>
      <c r="BA97"/>
      <c r="BB97"/>
      <c r="BC97"/>
      <c r="BD97"/>
      <c r="BE97"/>
      <c r="BF97"/>
      <c r="BG97"/>
      <c r="BH97"/>
      <c r="BI97"/>
      <c r="BJ97"/>
      <c r="BK97"/>
      <c r="BL97"/>
      <c r="BM97"/>
      <c r="BN97"/>
      <c r="BO97"/>
      <c r="BP97"/>
      <c r="BQ97"/>
      <c r="BR97"/>
      <c r="BS97"/>
      <c r="BT97"/>
      <c r="BU97"/>
      <c r="BV97"/>
      <c r="BW97"/>
      <c r="BX97"/>
      <c r="BY97"/>
      <c r="BZ97"/>
      <c r="CA97"/>
      <c r="CB97"/>
      <c r="CC97"/>
      <c r="CD97"/>
      <c r="CE97"/>
      <c r="CF97"/>
      <c r="CG97"/>
      <c r="CH97"/>
      <c r="CI97"/>
      <c r="CJ97"/>
      <c r="CK97"/>
      <c r="CL97"/>
      <c r="CM97"/>
    </row>
    <row r="98" spans="1:91" s="20" customFormat="1" x14ac:dyDescent="0.25">
      <c r="A98" s="33" t="s">
        <v>508</v>
      </c>
      <c r="B98" s="7">
        <v>4038</v>
      </c>
      <c r="C98" s="21" t="s">
        <v>193</v>
      </c>
      <c r="D98" s="21" t="s">
        <v>826</v>
      </c>
      <c r="E98" s="13">
        <v>42771.598761574074</v>
      </c>
      <c r="F98" s="13">
        <v>42771.599722222221</v>
      </c>
      <c r="G98" s="7">
        <v>1</v>
      </c>
      <c r="H98" s="21" t="s">
        <v>827</v>
      </c>
      <c r="I98" s="13">
        <v>42771.621087962965</v>
      </c>
      <c r="J98" s="7">
        <v>0</v>
      </c>
      <c r="K98" s="98" t="str">
        <f>IF(ISEVEN(B98),(B98-1)&amp;"/"&amp;B98,B98&amp;"/"&amp;(B98+1))</f>
        <v>4037/4038</v>
      </c>
      <c r="L98" s="21" t="str">
        <f>VLOOKUP(A98,'Trips&amp;Operators'!$C$1:$G$99999,5,FALSE)</f>
        <v>LOPES KIMBERLY</v>
      </c>
      <c r="M98" s="6">
        <f>I98-F98</f>
        <v>2.1365740743931383E-2</v>
      </c>
      <c r="N98" s="7"/>
      <c r="O98" s="7"/>
      <c r="P98" s="7">
        <f>24*60*SUM($M98:$M98)</f>
        <v>30.766666671261191</v>
      </c>
      <c r="Q98" s="22"/>
      <c r="R98" s="22" t="s">
        <v>904</v>
      </c>
      <c r="S98" s="31">
        <f>SUM(U98:U98)/IF(AG98="EC",12,1)</f>
        <v>1</v>
      </c>
      <c r="T98" s="46" t="str">
        <f>IF(ISEVEN(LEFT(AD98,4)),"Southbound","NorthBound")</f>
        <v>NorthBound</v>
      </c>
      <c r="U98" s="190">
        <f>IF(AG98="EC",COUNTIFS(Variables!$M$2:$M$19,IF(T98="NorthBound","&gt;=","&lt;=")&amp;Y98,Variables!$M$2:$M$19,IF(T98="NorthBound","&lt;=","&gt;=")&amp;Z98),COUNTIFS(Variables!$P$2:$P$19,IF(T98="NorthBound","&gt;=","&lt;=")&amp;Y98,Variables!$P$2:$P$19,IF(T98="NorthBound","&lt;=","&gt;=")&amp;Z98))</f>
        <v>12</v>
      </c>
      <c r="V98" s="191" t="str">
        <f>"https://d0f6bd738d7f1b3e5a7ca70fe4ff75f0.us-east-1.aws.found.io/app/kibana#/discover/Steve-Slow-Train-Analysis-(2080s-and-2083s)?_g="&amp;"(refreshInterval:(display:Off,pause:!f,section:0,value:0),time:(from:'"&amp;TEXT(E98-1/24,"yyyy-MM-DDThh:mm:ss")&amp;utc_offset&amp;"00"&amp;"',mode:absolute,to:'"&amp;TEXT(I98+1/24,"yyyy-MM-DDThh:mm:ss")&amp;utc_offset&amp;"00"&amp;"'))&amp;_a=(columns:!('Locomotive+ID','Data.Head+End+Milepost',Data.Speed,'Data.Locomotive+State','Data.Train+ID',"&amp;"'Data.Warning%2FEnforcement+Type','Data.Target+Start+Milepost','Data.Target+Description','Data.Target+Speed',"&amp;"'Data.Enforcement+Train+Speed','Data.Enforcement+Start+Milepost','Data.Target+Type','Data.Enforcement+Direction+of+Travel','Message+ID',"&amp;"'Data.Body+of+Summary+Text','Data.Head+End+Track+name'),filters:!(),index:'emp_*',interval:auto,query:"&amp;"(query_string:(analyze_wildcard:!t,query:'Message%5C+ID:(2083+OR+2080+OR+1041+OR+2003+OR+1051+OR+1043+OR+1053)+AND+%22rtdc.l.rtdc."&amp;B98&amp;"%22')),sort:!(Time.ISO8601,asc))"</f>
        <v>https://d0f6bd738d7f1b3e5a7ca70fe4ff75f0.us-east-1.aws.found.io/app/kibana#/discover/Steve-Slow-Train-Analysis-(2080s-and-2083s)?_g=(refreshInterval:(display:Off,pause:!f,section:0,value:0),time:(from:'2017-02-05T13:22:13-0700',mode:absolute,to:'2017-02-05T15:54:22-0700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4038%22')),sort:!(Time.ISO8601,asc))</v>
      </c>
      <c r="W98" s="192" t="str">
        <f>IF(AA98&lt;IF(AG98="EC",23,5.65),"Y","N")</f>
        <v>Y</v>
      </c>
      <c r="X98" s="192">
        <f>VALUE(LEFT(AD98,4))-VALUE(LEFT(AD97,4))</f>
        <v>0</v>
      </c>
      <c r="Y98" s="62">
        <f>RIGHT(D98,LEN(D98)-4)/10000</f>
        <v>1.913</v>
      </c>
      <c r="Z98" s="62">
        <f>RIGHT(H98,LEN(H98)-4)/10000</f>
        <v>23.331900000000001</v>
      </c>
      <c r="AA98" s="62">
        <f>ABS(Z98-Y98)</f>
        <v>21.418900000000001</v>
      </c>
      <c r="AB98" s="59" t="str">
        <f>VLOOKUP(A98,Enforcements!$C$7:$K$16,8,0)</f>
        <v>Signal based authority (5)</v>
      </c>
      <c r="AC98" s="55" t="str">
        <f>VLOOKUP(A98,Enforcements!$C$7:$E$16,3,0)</f>
        <v>SIGNAL</v>
      </c>
      <c r="AD98" s="56" t="str">
        <f>IF(LEN(A98)=6,"0"&amp;A98,A98)</f>
        <v>0185-05</v>
      </c>
      <c r="AE98" s="85" t="str">
        <f>"aws s3 cp "&amp;s3_bucket&amp;"/RTDC"&amp;B98&amp;"/ "&amp;search_path&amp;"\RTDC"&amp;B98&amp;"\"&amp;TEXT(F98,"YYYY-MM-DD")&amp;" --exclude ""*"" --recursive --include ""*"&amp;TEXT(F98,"YYYYMMDD")&amp;"*"" &amp; """&amp;walkandungz&amp;""" "&amp;search_path&amp;"\RTDC"&amp;B98&amp;"\"&amp;TEXT(F98,"YYYY-MM-DD")
&amp;" &amp; "&amp;"aws s3 cp "&amp;s3_bucket&amp;"/RTDC"&amp;B98&amp;"/ "&amp;search_path&amp;"\RTDC"&amp;B98&amp;"\"&amp;TEXT(F98+1,"YYYY-MM-DD")&amp;" --exclude ""*"" --recursive --include ""*"&amp;TEXT(F98+1,"YYYYMMDD")&amp;"*"" &amp; """&amp;walkandungz&amp;""" "&amp;search_path&amp;"\RTDC"&amp;B98&amp;"\"&amp;TEXT(F98+1,"YYYY-MM-DD")</f>
        <v>aws s3 cp s3://rtdc.mdm.uploadarchive.raw/RTDC4038/ "%USERPROFILE%\AppData\Local\Temp\OnboardLogs"\RTDC4038\2017-02-05 --exclude "*" --recursive --include "*20170205*" &amp; "%USERPROFILE%\Documents\GitHub\mrs-test-scripts\Headless Mode &amp; Sideloading\WalkAndUnGZ.bat" "%USERPROFILE%\AppData\Local\Temp\OnboardLogs"\RTDC4038\2017-02-05 &amp; aws s3 cp s3://rtdc.mdm.uploadarchive.raw/RTDC4038/ "%USERPROFILE%\AppData\Local\Temp\OnboardLogs"\RTDC4038\2017-02-06 --exclude "*" --recursive --include "*20170206*" &amp; "%USERPROFILE%\Documents\GitHub\mrs-test-scripts\Headless Mode &amp; Sideloading\WalkAndUnGZ.bat" "%USERPROFILE%\AppData\Local\Temp\OnboardLogs"\RTDC4038\2017-02-06</v>
      </c>
      <c r="AF98" s="82" t="str">
        <f>astrogrep_path&amp;" /spath="&amp;search_path&amp;" /stypes=""app*"&amp;B98&amp;"*"&amp;TEXT(I98-utc_offset/24,"YYYYMMDD")&amp;"*"" /stext="" "&amp;TEXT(I98-utc_offset/24,"HH")&amp;search_regexp&amp;""" /e /r /s"</f>
        <v>"C:\Program Files (x86)\AstroGrep\AstroGrep.exe" /spath="%USERPROFILE%\AppData\Local\Temp\OnboardLogs" /stypes="app*4038*20170205*" /stext=" 21:.+((SYSTEM_STATE.+slice.+state.+changed )|(ment ac)|(multiple cpu faults)|(system.+state.+changed )|(\[timeout)|(PRM\|1\|D)|(kpr)|(kdp)|(\|lc)|(penalty))" /e /r /s</v>
      </c>
      <c r="AG98" s="1" t="str">
        <f>IFERROR(IF(VALUE(LEFT(AD98,2))&lt;=2,"EC",IF(OR(VALUE(LEFT(AD98,2))=8,VALUE(LEFT(AD98,2))=18),"NW","Other")),"Other")</f>
        <v>EC</v>
      </c>
      <c r="AH98" s="86" t="str">
        <f t="shared" si="7"/>
        <v>"%USERPROFILE%\Documents\GitHub\eaglep3\Utilities\RefineRTDCRunTimes.py" --tripid 185-05 --locoid 4038 --swversion DE.1.0.8.0 --startMP 204:19130 --initTime 2017-02-05T14:22:13 --startdatetime 2017-02-05T14:23:36 --delay 1 --endMP 204:233319 --enddatetime 2017-02-05T14:54:22 --enforcementcount 0 &gt;&gt;C:\Users\stu\Documents\GitHub\eaglep3-reporting\EC\2017-02-05-refined-times.txt</v>
      </c>
      <c r="AI98" s="108" t="str">
        <f t="shared" si="8"/>
        <v>echo {"issue":{"subject":"Main 3 departure","project_id":79,"tracker_id":40,"status_id":1,"priority_id":2,"assigned_to_id":23,"start_date":"2017-02-05","description":"","custom_fields":[{"id":1,"name":"Subdivision","value":"EC"},{"id":4,"name":"Milepost","value":"23.3319"},{"id":17,"name":"Train ID","value":"185-05"},{"id":16,"name":"Locomotive ID","value":"4038"},{"id":130,"name":"Impact","value":""},{"id":150,"name":"Time of Event (Mountain Time)","value":"14:54:22"},{"id":151,"name":"Denver Issue ID","value":""},{"id":178,"name":"Operational Impact","value":"Yes"},{"id":179,"name":"Denver Segment Assigned","value":""}]}} | curl -X POST -H "Content-Type: application/json" -H "X-Redmine-API-Key: d6333d4a04012a730768444271f8ca06482dae87" https://secure.xorail.net/redmine/issues.json --data @-</v>
      </c>
      <c r="AJ98" s="48"/>
      <c r="AK98" s="48"/>
      <c r="AL98" s="48"/>
      <c r="AM98" s="158" t="str">
        <f t="shared" si="9"/>
        <v>start /low /b %USERPROFILE%\Documents\GitHub\eaglep3\Utilities\DownloadLogsFromS3.py --loco 4038 --day 2017-02-05</v>
      </c>
      <c r="AN98" s="167" t="str">
        <f>"grep -SE -B400 ""CHR.+\|PRM\|1\|D.+(SWITCH|SIGNAL).+UNKNOWN"" "&amp;search_path&amp;"\RTDC"&amp;B98&amp;"\*"&amp;B98&amp;"*"&amp;TEXT(AVERAGE(F98,I98)-utc_offset/24,"YYYYMMDD")&amp;"* | grep -SE ""(Enforcement Action)|(\[TIMEOUT)|(CHR.+\|PRM\|1\|D.+(SWITCH|SIGNAL).+UNKNOWN)"" - &gt;&gt; "&amp;TEXT(Variables!$A$2,"YYYY-MM-DD")&amp;"-UncaughtWiMAX.txt"</f>
        <v>grep -SE -B400 "CHR.+\|PRM\|1\|D.+(SWITCH|SIGNAL).+UNKNOWN" "%USERPROFILE%\AppData\Local\Temp\OnboardLogs"\RTDC4038\*4038*20170205* | grep -SE "(Enforcement Action)|(\[TIMEOUT)|(CHR.+\|PRM\|1\|D.+(SWITCH|SIGNAL).+UNKNOWN)" - &gt;&gt; 2017-02-05-UncaughtWiMAX.txt</v>
      </c>
      <c r="AO98"/>
      <c r="AP98"/>
      <c r="AQ98"/>
      <c r="AR98"/>
      <c r="AS98"/>
      <c r="AT98"/>
      <c r="AU98"/>
      <c r="AV98"/>
      <c r="AW98"/>
      <c r="AX98"/>
      <c r="AY98"/>
      <c r="AZ98"/>
      <c r="BA98"/>
      <c r="BB98"/>
      <c r="BC98"/>
      <c r="BD98"/>
      <c r="BE98"/>
      <c r="BF98"/>
      <c r="BG98"/>
      <c r="BH98"/>
      <c r="BI98"/>
      <c r="BJ98"/>
      <c r="BK98"/>
      <c r="BL98"/>
      <c r="BM98"/>
      <c r="BN98"/>
      <c r="BO98"/>
      <c r="BP98"/>
      <c r="BQ98"/>
      <c r="BR98"/>
      <c r="BS98"/>
      <c r="BT98"/>
      <c r="BU98"/>
      <c r="BV98"/>
      <c r="BW98"/>
      <c r="BX98"/>
      <c r="BY98"/>
      <c r="BZ98"/>
      <c r="CA98"/>
      <c r="CB98"/>
      <c r="CC98"/>
      <c r="CD98"/>
      <c r="CE98"/>
      <c r="CF98"/>
      <c r="CG98"/>
      <c r="CH98"/>
      <c r="CI98"/>
      <c r="CJ98"/>
      <c r="CK98"/>
      <c r="CL98"/>
      <c r="CM98"/>
    </row>
    <row r="99" spans="1:91" s="20" customFormat="1" x14ac:dyDescent="0.25">
      <c r="A99" s="33" t="s">
        <v>659</v>
      </c>
      <c r="B99" s="7">
        <v>4037</v>
      </c>
      <c r="C99" s="21" t="s">
        <v>193</v>
      </c>
      <c r="D99" s="21" t="s">
        <v>768</v>
      </c>
      <c r="E99" s="13">
        <v>42771.623310185183</v>
      </c>
      <c r="F99" s="13">
        <v>42771.633125</v>
      </c>
      <c r="G99" s="7">
        <v>1</v>
      </c>
      <c r="H99" s="21" t="s">
        <v>200</v>
      </c>
      <c r="I99" s="13">
        <v>42771.660949074074</v>
      </c>
      <c r="J99" s="7">
        <v>0</v>
      </c>
      <c r="K99" s="98" t="str">
        <f>IF(ISEVEN(B99),(B99-1)&amp;"/"&amp;B99,B99&amp;"/"&amp;(B99+1))</f>
        <v>4037/4038</v>
      </c>
      <c r="L99" s="21" t="str">
        <f>VLOOKUP(A99,'Trips&amp;Operators'!$C$1:$G$99999,5,FALSE)</f>
        <v>LOPES KIMBERLY</v>
      </c>
      <c r="M99" s="6">
        <f>I99-F99</f>
        <v>2.7824074073578231E-2</v>
      </c>
      <c r="N99" s="7">
        <f>24*60*SUM($M99:$M99)</f>
        <v>40.066666665952653</v>
      </c>
      <c r="O99" s="7"/>
      <c r="P99" s="7"/>
      <c r="Q99" s="22"/>
      <c r="R99" s="22"/>
      <c r="S99" s="31">
        <f>SUM(U99:U99)/IF(AG99="EC",12,1)</f>
        <v>1</v>
      </c>
      <c r="T99" s="46" t="str">
        <f>IF(ISEVEN(LEFT(AD99,4)),"Southbound","NorthBound")</f>
        <v>Southbound</v>
      </c>
      <c r="U99" s="190">
        <f>IF(AG99="EC",COUNTIFS(Variables!$M$2:$M$19,IF(T99="NorthBound","&gt;=","&lt;=")&amp;Y99,Variables!$M$2:$M$19,IF(T99="NorthBound","&lt;=","&gt;=")&amp;Z99),COUNTIFS(Variables!$P$2:$P$19,IF(T99="NorthBound","&gt;=","&lt;=")&amp;Y99,Variables!$P$2:$P$19,IF(T99="NorthBound","&lt;=","&gt;=")&amp;Z99))</f>
        <v>12</v>
      </c>
      <c r="V99" s="191" t="str">
        <f>"https://d0f6bd738d7f1b3e5a7ca70fe4ff75f0.us-east-1.aws.found.io/app/kibana#/discover/Steve-Slow-Train-Analysis-(2080s-and-2083s)?_g="&amp;"(refreshInterval:(display:Off,pause:!f,section:0,value:0),time:(from:'"&amp;TEXT(E99-1/24,"yyyy-MM-DDThh:mm:ss")&amp;utc_offset&amp;"00"&amp;"',mode:absolute,to:'"&amp;TEXT(I99+1/24,"yyyy-MM-DDThh:mm:ss")&amp;utc_offset&amp;"00"&amp;"'))&amp;_a=(columns:!('Locomotive+ID','Data.Head+End+Milepost',Data.Speed,'Data.Locomotive+State','Data.Train+ID',"&amp;"'Data.Warning%2FEnforcement+Type','Data.Target+Start+Milepost','Data.Target+Description','Data.Target+Speed',"&amp;"'Data.Enforcement+Train+Speed','Data.Enforcement+Start+Milepost','Data.Target+Type','Data.Enforcement+Direction+of+Travel','Message+ID',"&amp;"'Data.Body+of+Summary+Text','Data.Head+End+Track+name'),filters:!(),index:'emp_*',interval:auto,query:"&amp;"(query_string:(analyze_wildcard:!t,query:'Message%5C+ID:(2083+OR+2080+OR+1041+OR+2003+OR+1051+OR+1043+OR+1053)+AND+%22rtdc.l.rtdc."&amp;B99&amp;"%22')),sort:!(Time.ISO8601,asc))"</f>
        <v>https://d0f6bd738d7f1b3e5a7ca70fe4ff75f0.us-east-1.aws.found.io/app/kibana#/discover/Steve-Slow-Train-Analysis-(2080s-and-2083s)?_g=(refreshInterval:(display:Off,pause:!f,section:0,value:0),time:(from:'2017-02-05T13:57:34-0700',mode:absolute,to:'2017-02-05T16:51:46-0700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4037%22')),sort:!(Time.ISO8601,asc))</v>
      </c>
      <c r="W99" s="192" t="str">
        <f>IF(AA99&lt;IF(AG99="EC",23,5.65),"Y","N")</f>
        <v>N</v>
      </c>
      <c r="X99" s="192">
        <f>VALUE(LEFT(AD99,4))-VALUE(LEFT(AD98,4))</f>
        <v>1</v>
      </c>
      <c r="Y99" s="62">
        <f>RIGHT(D99,LEN(D99)-4)/10000</f>
        <v>23.3</v>
      </c>
      <c r="Z99" s="62">
        <f>RIGHT(H99,LEN(H99)-4)/10000</f>
        <v>1.4500000000000001E-2</v>
      </c>
      <c r="AA99" s="62">
        <f>ABS(Z99-Y99)</f>
        <v>23.285499999999999</v>
      </c>
      <c r="AB99" s="59" t="e">
        <f>VLOOKUP(A99,Enforcements!$C$7:$K$16,8,0)</f>
        <v>#N/A</v>
      </c>
      <c r="AC99" s="55" t="e">
        <f>VLOOKUP(A99,Enforcements!$C$7:$E$16,3,0)</f>
        <v>#N/A</v>
      </c>
      <c r="AD99" s="56" t="str">
        <f>IF(LEN(A99)=6,"0"&amp;A99,A99)</f>
        <v>0186-05</v>
      </c>
      <c r="AE99" s="85" t="str">
        <f>"aws s3 cp "&amp;s3_bucket&amp;"/RTDC"&amp;B99&amp;"/ "&amp;search_path&amp;"\RTDC"&amp;B99&amp;"\"&amp;TEXT(F99,"YYYY-MM-DD")&amp;" --exclude ""*"" --recursive --include ""*"&amp;TEXT(F99,"YYYYMMDD")&amp;"*"" &amp; """&amp;walkandungz&amp;""" "&amp;search_path&amp;"\RTDC"&amp;B99&amp;"\"&amp;TEXT(F99,"YYYY-MM-DD")
&amp;" &amp; "&amp;"aws s3 cp "&amp;s3_bucket&amp;"/RTDC"&amp;B99&amp;"/ "&amp;search_path&amp;"\RTDC"&amp;B99&amp;"\"&amp;TEXT(F99+1,"YYYY-MM-DD")&amp;" --exclude ""*"" --recursive --include ""*"&amp;TEXT(F99+1,"YYYYMMDD")&amp;"*"" &amp; """&amp;walkandungz&amp;""" "&amp;search_path&amp;"\RTDC"&amp;B99&amp;"\"&amp;TEXT(F99+1,"YYYY-MM-DD")</f>
        <v>aws s3 cp s3://rtdc.mdm.uploadarchive.raw/RTDC4037/ "%USERPROFILE%\AppData\Local\Temp\OnboardLogs"\RTDC4037\2017-02-05 --exclude "*" --recursive --include "*20170205*" &amp; "%USERPROFILE%\Documents\GitHub\mrs-test-scripts\Headless Mode &amp; Sideloading\WalkAndUnGZ.bat" "%USERPROFILE%\AppData\Local\Temp\OnboardLogs"\RTDC4037\2017-02-05 &amp; aws s3 cp s3://rtdc.mdm.uploadarchive.raw/RTDC4037/ "%USERPROFILE%\AppData\Local\Temp\OnboardLogs"\RTDC4037\2017-02-06 --exclude "*" --recursive --include "*20170206*" &amp; "%USERPROFILE%\Documents\GitHub\mrs-test-scripts\Headless Mode &amp; Sideloading\WalkAndUnGZ.bat" "%USERPROFILE%\AppData\Local\Temp\OnboardLogs"\RTDC4037\2017-02-06</v>
      </c>
      <c r="AF99" s="82" t="str">
        <f>astrogrep_path&amp;" /spath="&amp;search_path&amp;" /stypes=""app*"&amp;B99&amp;"*"&amp;TEXT(I99-utc_offset/24,"YYYYMMDD")&amp;"*"" /stext="" "&amp;TEXT(I99-utc_offset/24,"HH")&amp;search_regexp&amp;""" /e /r /s"</f>
        <v>"C:\Program Files (x86)\AstroGrep\AstroGrep.exe" /spath="%USERPROFILE%\AppData\Local\Temp\OnboardLogs" /stypes="app*4037*20170205*" /stext=" 22:.+((SYSTEM_STATE.+slice.+state.+changed )|(ment ac)|(multiple cpu faults)|(system.+state.+changed )|(\[timeout)|(PRM\|1\|D)|(kpr)|(kdp)|(\|lc)|(penalty))" /e /r /s</v>
      </c>
      <c r="AG99" s="1" t="str">
        <f>IFERROR(IF(VALUE(LEFT(AD99,2))&lt;=2,"EC",IF(OR(VALUE(LEFT(AD99,2))=8,VALUE(LEFT(AD99,2))=18),"NW","Other")),"Other")</f>
        <v>EC</v>
      </c>
      <c r="AH99" s="86" t="str">
        <f t="shared" si="7"/>
        <v>"%USERPROFILE%\Documents\GitHub\eaglep3\Utilities\RefineRTDCRunTimes.py" --tripid 186-05 --locoid 4037 --swversion DE.1.0.8.0 --startMP 204:233000 --initTime 2017-02-05T14:57:34 --startdatetime 2017-02-05T15:11:42 --delay 1 --endMP 204:145 --enddatetime 2017-02-05T15:51:46 --enforcementcount 0 &gt;&gt;C:\Users\stu\Documents\GitHub\eaglep3-reporting\EC\2017-02-05-refined-times.txt</v>
      </c>
      <c r="AI99" s="108" t="str">
        <f t="shared" si="8"/>
        <v>echo {"issue":{"subject":"","project_id":79,"tracker_id":40,"status_id":1,"priority_id":2,"assigned_to_id":23,"start_date":"2017-02-05","description":"","custom_fields":[{"id":1,"name":"Subdivision","value":"EC"},{"id":4,"name":"Milepost","value":"0.0145"},{"id":17,"name":"Train ID","value":"186-05"},{"id":16,"name":"Locomotive ID","value":"4037"},{"id":130,"name":"Impact","value":""},{"id":150,"name":"Time of Event (Mountain Time)","value":"15:51:46"},{"id":151,"name":"Denver Issue ID","value":""},{"id":178,"name":"Operational Impact","value":"Yes"},{"id":179,"name":"Denver Segment Assigned","value":""}]}} | curl -X POST -H "Content-Type: application/json" -H "X-Redmine-API-Key: d6333d4a04012a730768444271f8ca06482dae87" https://secure.xorail.net/redmine/issues.json --data @-</v>
      </c>
      <c r="AJ99" s="48"/>
      <c r="AK99" s="48"/>
      <c r="AL99" s="48"/>
      <c r="AM99" s="158" t="str">
        <f t="shared" si="9"/>
        <v>start /low /b %USERPROFILE%\Documents\GitHub\eaglep3\Utilities\DownloadLogsFromS3.py --loco 4037 --day 2017-02-05</v>
      </c>
      <c r="AN99" s="167" t="str">
        <f>"grep -SE -B400 ""CHR.+\|PRM\|1\|D.+(SWITCH|SIGNAL).+UNKNOWN"" "&amp;search_path&amp;"\RTDC"&amp;B99&amp;"\*"&amp;B99&amp;"*"&amp;TEXT(AVERAGE(F99,I99)-utc_offset/24,"YYYYMMDD")&amp;"* | grep -SE ""(Enforcement Action)|(\[TIMEOUT)|(CHR.+\|PRM\|1\|D.+(SWITCH|SIGNAL).+UNKNOWN)"" - &gt;&gt; "&amp;TEXT(Variables!$A$2,"YYYY-MM-DD")&amp;"-UncaughtWiMAX.txt"</f>
        <v>grep -SE -B400 "CHR.+\|PRM\|1\|D.+(SWITCH|SIGNAL).+UNKNOWN" "%USERPROFILE%\AppData\Local\Temp\OnboardLogs"\RTDC4037\*4037*20170205* | grep -SE "(Enforcement Action)|(\[TIMEOUT)|(CHR.+\|PRM\|1\|D.+(SWITCH|SIGNAL).+UNKNOWN)" - &gt;&gt; 2017-02-05-UncaughtWiMAX.txt</v>
      </c>
      <c r="AO99"/>
      <c r="AP99"/>
      <c r="AQ99"/>
      <c r="AR99"/>
      <c r="AS99"/>
      <c r="AT99"/>
      <c r="AU99"/>
      <c r="AV99"/>
      <c r="AW99"/>
      <c r="AX99"/>
      <c r="AY99"/>
      <c r="AZ99"/>
      <c r="BA99"/>
      <c r="BB99"/>
      <c r="BC99"/>
      <c r="BD99"/>
      <c r="BE99"/>
      <c r="BF99"/>
      <c r="BG99"/>
      <c r="BH99"/>
      <c r="BI99"/>
      <c r="BJ99"/>
      <c r="BK99"/>
      <c r="BL99"/>
      <c r="BM99"/>
      <c r="BN99"/>
      <c r="BO99"/>
      <c r="BP99"/>
      <c r="BQ99"/>
      <c r="BR99"/>
      <c r="BS99"/>
      <c r="BT99"/>
      <c r="BU99"/>
      <c r="BV99"/>
      <c r="BW99"/>
      <c r="BX99"/>
      <c r="BY99"/>
      <c r="BZ99"/>
      <c r="CA99"/>
      <c r="CB99"/>
      <c r="CC99"/>
      <c r="CD99"/>
      <c r="CE99"/>
      <c r="CF99"/>
      <c r="CG99"/>
      <c r="CH99"/>
      <c r="CI99"/>
      <c r="CJ99"/>
      <c r="CK99"/>
      <c r="CL99"/>
      <c r="CM99"/>
    </row>
    <row r="100" spans="1:91" s="20" customFormat="1" x14ac:dyDescent="0.25">
      <c r="A100" s="33" t="s">
        <v>656</v>
      </c>
      <c r="B100" s="7">
        <v>4025</v>
      </c>
      <c r="C100" s="21" t="s">
        <v>193</v>
      </c>
      <c r="D100" s="21" t="s">
        <v>241</v>
      </c>
      <c r="E100" s="13">
        <v>42771.6012962963</v>
      </c>
      <c r="F100" s="13">
        <v>42771.604409722226</v>
      </c>
      <c r="G100" s="7">
        <v>2</v>
      </c>
      <c r="H100" s="21" t="s">
        <v>288</v>
      </c>
      <c r="I100" s="13">
        <v>42771.630740740744</v>
      </c>
      <c r="J100" s="7">
        <v>0</v>
      </c>
      <c r="K100" s="98" t="str">
        <f>IF(ISEVEN(B100),(B100-1)&amp;"/"&amp;B100,B100&amp;"/"&amp;(B100+1))</f>
        <v>4025/4026</v>
      </c>
      <c r="L100" s="21" t="str">
        <f>VLOOKUP(A100,'Trips&amp;Operators'!$C$1:$G$99999,5,FALSE)</f>
        <v>STEWART MICHAEL</v>
      </c>
      <c r="M100" s="6">
        <f>I100-F100</f>
        <v>2.6331018518249039E-2</v>
      </c>
      <c r="N100" s="7">
        <f>24*60*SUM($M100:$M100)</f>
        <v>37.916666666278616</v>
      </c>
      <c r="O100" s="7"/>
      <c r="P100" s="7"/>
      <c r="Q100" s="22"/>
      <c r="R100" s="22"/>
      <c r="S100" s="31">
        <f>SUM(U100:U100)/IF(AG100="EC",12,1)</f>
        <v>1</v>
      </c>
      <c r="T100" s="46" t="str">
        <f>IF(ISEVEN(LEFT(AD100,4)),"Southbound","NorthBound")</f>
        <v>NorthBound</v>
      </c>
      <c r="U100" s="190">
        <f>IF(AG100="EC",COUNTIFS(Variables!$M$2:$M$19,IF(T100="NorthBound","&gt;=","&lt;=")&amp;Y100,Variables!$M$2:$M$19,IF(T100="NorthBound","&lt;=","&gt;=")&amp;Z100),COUNTIFS(Variables!$P$2:$P$19,IF(T100="NorthBound","&gt;=","&lt;=")&amp;Y100,Variables!$P$2:$P$19,IF(T100="NorthBound","&lt;=","&gt;=")&amp;Z100))</f>
        <v>12</v>
      </c>
      <c r="V100" s="191" t="str">
        <f>"https://d0f6bd738d7f1b3e5a7ca70fe4ff75f0.us-east-1.aws.found.io/app/kibana#/discover/Steve-Slow-Train-Analysis-(2080s-and-2083s)?_g="&amp;"(refreshInterval:(display:Off,pause:!f,section:0,value:0),time:(from:'"&amp;TEXT(E100-1/24,"yyyy-MM-DDThh:mm:ss")&amp;utc_offset&amp;"00"&amp;"',mode:absolute,to:'"&amp;TEXT(I100+1/24,"yyyy-MM-DDThh:mm:ss")&amp;utc_offset&amp;"00"&amp;"'))&amp;_a=(columns:!('Locomotive+ID','Data.Head+End+Milepost',Data.Speed,'Data.Locomotive+State','Data.Train+ID',"&amp;"'Data.Warning%2FEnforcement+Type','Data.Target+Start+Milepost','Data.Target+Description','Data.Target+Speed',"&amp;"'Data.Enforcement+Train+Speed','Data.Enforcement+Start+Milepost','Data.Target+Type','Data.Enforcement+Direction+of+Travel','Message+ID',"&amp;"'Data.Body+of+Summary+Text','Data.Head+End+Track+name'),filters:!(),index:'emp_*',interval:auto,query:"&amp;"(query_string:(analyze_wildcard:!t,query:'Message%5C+ID:(2083+OR+2080+OR+1041+OR+2003+OR+1051+OR+1043+OR+1053)+AND+%22rtdc.l.rtdc."&amp;B100&amp;"%22')),sort:!(Time.ISO8601,asc))"</f>
        <v>https://d0f6bd738d7f1b3e5a7ca70fe4ff75f0.us-east-1.aws.found.io/app/kibana#/discover/Steve-Slow-Train-Analysis-(2080s-and-2083s)?_g=(refreshInterval:(display:Off,pause:!f,section:0,value:0),time:(from:'2017-02-05T13:25:52-0700',mode:absolute,to:'2017-02-05T16:08:16-0700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4025%22')),sort:!(Time.ISO8601,asc))</v>
      </c>
      <c r="W100" s="192" t="str">
        <f>IF(AA100&lt;IF(AG100="EC",23,5.65),"Y","N")</f>
        <v>N</v>
      </c>
      <c r="X100" s="192">
        <f>VALUE(LEFT(AD100,4))-VALUE(LEFT(AD99,4))</f>
        <v>1</v>
      </c>
      <c r="Y100" s="62">
        <f>RIGHT(D100,LEN(D100)-4)/10000</f>
        <v>4.5699999999999998E-2</v>
      </c>
      <c r="Z100" s="62">
        <f>RIGHT(H100,LEN(H100)-4)/10000</f>
        <v>23.3307</v>
      </c>
      <c r="AA100" s="62">
        <f>ABS(Z100-Y100)</f>
        <v>23.285</v>
      </c>
      <c r="AB100" s="59" t="e">
        <f>VLOOKUP(A100,Enforcements!$C$7:$K$16,8,0)</f>
        <v>#N/A</v>
      </c>
      <c r="AC100" s="55" t="e">
        <f>VLOOKUP(A100,Enforcements!$C$7:$E$16,3,0)</f>
        <v>#N/A</v>
      </c>
      <c r="AD100" s="56" t="str">
        <f>IF(LEN(A100)=6,"0"&amp;A100,A100)</f>
        <v>0187-05</v>
      </c>
      <c r="AE100" s="85" t="str">
        <f>"aws s3 cp "&amp;s3_bucket&amp;"/RTDC"&amp;B100&amp;"/ "&amp;search_path&amp;"\RTDC"&amp;B100&amp;"\"&amp;TEXT(F100,"YYYY-MM-DD")&amp;" --exclude ""*"" --recursive --include ""*"&amp;TEXT(F100,"YYYYMMDD")&amp;"*"" &amp; """&amp;walkandungz&amp;""" "&amp;search_path&amp;"\RTDC"&amp;B100&amp;"\"&amp;TEXT(F100,"YYYY-MM-DD")
&amp;" &amp; "&amp;"aws s3 cp "&amp;s3_bucket&amp;"/RTDC"&amp;B100&amp;"/ "&amp;search_path&amp;"\RTDC"&amp;B100&amp;"\"&amp;TEXT(F100+1,"YYYY-MM-DD")&amp;" --exclude ""*"" --recursive --include ""*"&amp;TEXT(F100+1,"YYYYMMDD")&amp;"*"" &amp; """&amp;walkandungz&amp;""" "&amp;search_path&amp;"\RTDC"&amp;B100&amp;"\"&amp;TEXT(F100+1,"YYYY-MM-DD")</f>
        <v>aws s3 cp s3://rtdc.mdm.uploadarchive.raw/RTDC4025/ "%USERPROFILE%\AppData\Local\Temp\OnboardLogs"\RTDC4025\2017-02-05 --exclude "*" --recursive --include "*20170205*" &amp; "%USERPROFILE%\Documents\GitHub\mrs-test-scripts\Headless Mode &amp; Sideloading\WalkAndUnGZ.bat" "%USERPROFILE%\AppData\Local\Temp\OnboardLogs"\RTDC4025\2017-02-05 &amp; aws s3 cp s3://rtdc.mdm.uploadarchive.raw/RTDC4025/ "%USERPROFILE%\AppData\Local\Temp\OnboardLogs"\RTDC4025\2017-02-06 --exclude "*" --recursive --include "*20170206*" &amp; "%USERPROFILE%\Documents\GitHub\mrs-test-scripts\Headless Mode &amp; Sideloading\WalkAndUnGZ.bat" "%USERPROFILE%\AppData\Local\Temp\OnboardLogs"\RTDC4025\2017-02-06</v>
      </c>
      <c r="AF100" s="82" t="str">
        <f>astrogrep_path&amp;" /spath="&amp;search_path&amp;" /stypes=""app*"&amp;B100&amp;"*"&amp;TEXT(I100-utc_offset/24,"YYYYMMDD")&amp;"*"" /stext="" "&amp;TEXT(I100-utc_offset/24,"HH")&amp;search_regexp&amp;""" /e /r /s"</f>
        <v>"C:\Program Files (x86)\AstroGrep\AstroGrep.exe" /spath="%USERPROFILE%\AppData\Local\Temp\OnboardLogs" /stypes="app*4025*20170205*" /stext=" 22:.+((SYSTEM_STATE.+slice.+state.+changed )|(ment ac)|(multiple cpu faults)|(system.+state.+changed )|(\[timeout)|(PRM\|1\|D)|(kpr)|(kdp)|(\|lc)|(penalty))" /e /r /s</v>
      </c>
      <c r="AG100" s="1" t="str">
        <f>IFERROR(IF(VALUE(LEFT(AD100,2))&lt;=2,"EC",IF(OR(VALUE(LEFT(AD100,2))=8,VALUE(LEFT(AD100,2))=18),"NW","Other")),"Other")</f>
        <v>EC</v>
      </c>
      <c r="AH100" s="86" t="str">
        <f t="shared" si="7"/>
        <v>"%USERPROFILE%\Documents\GitHub\eaglep3\Utilities\RefineRTDCRunTimes.py" --tripid 187-05 --locoid 4025 --swversion DE.1.0.8.0 --startMP 204:457 --initTime 2017-02-05T14:25:52 --startdatetime 2017-02-05T14:30:21 --delay 2 --endMP 204:233307 --enddatetime 2017-02-05T15:08:16 --enforcementcount 0 &gt;&gt;C:\Users\stu\Documents\GitHub\eaglep3-reporting\EC\2017-02-05-refined-times.txt</v>
      </c>
      <c r="AI100" s="108" t="str">
        <f t="shared" si="8"/>
        <v>echo {"issue":{"subject":"","project_id":79,"tracker_id":40,"status_id":1,"priority_id":2,"assigned_to_id":23,"start_date":"2017-02-05","description":"","custom_fields":[{"id":1,"name":"Subdivision","value":"EC"},{"id":4,"name":"Milepost","value":"23.3307"},{"id":17,"name":"Train ID","value":"187-05"},{"id":16,"name":"Locomotive ID","value":"4025"},{"id":130,"name":"Impact","value":""},{"id":150,"name":"Time of Event (Mountain Time)","value":"15:08:16"},{"id":151,"name":"Denver Issue ID","value":""},{"id":178,"name":"Operational Impact","value":"Yes"},{"id":179,"name":"Denver Segment Assigned","value":""}]}} | curl -X POST -H "Content-Type: application/json" -H "X-Redmine-API-Key: d6333d4a04012a730768444271f8ca06482dae87" https://secure.xorail.net/redmine/issues.json --data @-</v>
      </c>
      <c r="AJ100" s="48"/>
      <c r="AK100" s="48"/>
      <c r="AL100" s="48"/>
      <c r="AM100" s="158" t="str">
        <f t="shared" si="9"/>
        <v>start /low /b %USERPROFILE%\Documents\GitHub\eaglep3\Utilities\DownloadLogsFromS3.py --loco 4025 --day 2017-02-05</v>
      </c>
      <c r="AN100" s="167" t="str">
        <f>"grep -SE -B400 ""CHR.+\|PRM\|1\|D.+(SWITCH|SIGNAL).+UNKNOWN"" "&amp;search_path&amp;"\RTDC"&amp;B100&amp;"\*"&amp;B100&amp;"*"&amp;TEXT(AVERAGE(F100,I100)-utc_offset/24,"YYYYMMDD")&amp;"* | grep -SE ""(Enforcement Action)|(\[TIMEOUT)|(CHR.+\|PRM\|1\|D.+(SWITCH|SIGNAL).+UNKNOWN)"" - &gt;&gt; "&amp;TEXT(Variables!$A$2,"YYYY-MM-DD")&amp;"-UncaughtWiMAX.txt"</f>
        <v>grep -SE -B400 "CHR.+\|PRM\|1\|D.+(SWITCH|SIGNAL).+UNKNOWN" "%USERPROFILE%\AppData\Local\Temp\OnboardLogs"\RTDC4025\*4025*20170205* | grep -SE "(Enforcement Action)|(\[TIMEOUT)|(CHR.+\|PRM\|1\|D.+(SWITCH|SIGNAL).+UNKNOWN)" - &gt;&gt; 2017-02-05-UncaughtWiMAX.txt</v>
      </c>
      <c r="AO100"/>
      <c r="AP100"/>
      <c r="AQ100"/>
      <c r="AR100"/>
      <c r="AS100"/>
      <c r="AT100"/>
      <c r="AU100"/>
      <c r="AV100"/>
      <c r="AW100"/>
      <c r="AX100"/>
      <c r="AY100"/>
      <c r="AZ100"/>
      <c r="BA100"/>
      <c r="BB100"/>
      <c r="BC100"/>
      <c r="BD100"/>
      <c r="BE100"/>
      <c r="BF100"/>
      <c r="BG100"/>
      <c r="BH100"/>
      <c r="BI100"/>
      <c r="BJ100"/>
      <c r="BK100"/>
      <c r="BL100"/>
      <c r="BM100"/>
      <c r="BN100"/>
      <c r="BO100"/>
      <c r="BP100"/>
      <c r="BQ100"/>
      <c r="BR100"/>
      <c r="BS100"/>
      <c r="BT100"/>
      <c r="BU100"/>
      <c r="BV100"/>
      <c r="BW100"/>
      <c r="BX100"/>
      <c r="BY100"/>
      <c r="BZ100"/>
      <c r="CA100"/>
      <c r="CB100"/>
      <c r="CC100"/>
      <c r="CD100"/>
      <c r="CE100"/>
      <c r="CF100"/>
      <c r="CG100"/>
      <c r="CH100"/>
      <c r="CI100"/>
      <c r="CJ100"/>
      <c r="CK100"/>
      <c r="CL100"/>
      <c r="CM100"/>
    </row>
    <row r="101" spans="1:91" s="20" customFormat="1" x14ac:dyDescent="0.25">
      <c r="A101" s="33" t="s">
        <v>662</v>
      </c>
      <c r="B101" s="7">
        <v>4026</v>
      </c>
      <c r="C101" s="21" t="s">
        <v>193</v>
      </c>
      <c r="D101" s="21" t="s">
        <v>828</v>
      </c>
      <c r="E101" s="13">
        <v>42771.640694444446</v>
      </c>
      <c r="F101" s="13">
        <v>42771.643240740741</v>
      </c>
      <c r="G101" s="7">
        <v>2</v>
      </c>
      <c r="H101" s="21" t="s">
        <v>403</v>
      </c>
      <c r="I101" s="13">
        <v>42771.673043981478</v>
      </c>
      <c r="J101" s="7">
        <v>0</v>
      </c>
      <c r="K101" s="98" t="str">
        <f>IF(ISEVEN(B101),(B101-1)&amp;"/"&amp;B101,B101&amp;"/"&amp;(B101+1))</f>
        <v>4025/4026</v>
      </c>
      <c r="L101" s="21" t="str">
        <f>VLOOKUP(A101,'Trips&amp;Operators'!$C$1:$G$99999,5,FALSE)</f>
        <v>STEWART MICHAEL</v>
      </c>
      <c r="M101" s="6">
        <f>I101-F101</f>
        <v>2.9803240737237502E-2</v>
      </c>
      <c r="N101" s="7">
        <f>24*60*SUM($M101:$M101)</f>
        <v>42.916666661622003</v>
      </c>
      <c r="O101" s="7"/>
      <c r="P101" s="7"/>
      <c r="Q101" s="22"/>
      <c r="R101" s="22"/>
      <c r="S101" s="31">
        <f>SUM(U101:U101)/IF(AG101="EC",12,1)</f>
        <v>1</v>
      </c>
      <c r="T101" s="46" t="str">
        <f>IF(ISEVEN(LEFT(AD101,4)),"Southbound","NorthBound")</f>
        <v>Southbound</v>
      </c>
      <c r="U101" s="190">
        <f>IF(AG101="EC",COUNTIFS(Variables!$M$2:$M$19,IF(T101="NorthBound","&gt;=","&lt;=")&amp;Y101,Variables!$M$2:$M$19,IF(T101="NorthBound","&lt;=","&gt;=")&amp;Z101),COUNTIFS(Variables!$P$2:$P$19,IF(T101="NorthBound","&gt;=","&lt;=")&amp;Y101,Variables!$P$2:$P$19,IF(T101="NorthBound","&lt;=","&gt;=")&amp;Z101))</f>
        <v>12</v>
      </c>
      <c r="V101" s="191" t="str">
        <f>"https://d0f6bd738d7f1b3e5a7ca70fe4ff75f0.us-east-1.aws.found.io/app/kibana#/discover/Steve-Slow-Train-Analysis-(2080s-and-2083s)?_g="&amp;"(refreshInterval:(display:Off,pause:!f,section:0,value:0),time:(from:'"&amp;TEXT(E101-1/24,"yyyy-MM-DDThh:mm:ss")&amp;utc_offset&amp;"00"&amp;"',mode:absolute,to:'"&amp;TEXT(I101+1/24,"yyyy-MM-DDThh:mm:ss")&amp;utc_offset&amp;"00"&amp;"'))&amp;_a=(columns:!('Locomotive+ID','Data.Head+End+Milepost',Data.Speed,'Data.Locomotive+State','Data.Train+ID',"&amp;"'Data.Warning%2FEnforcement+Type','Data.Target+Start+Milepost','Data.Target+Description','Data.Target+Speed',"&amp;"'Data.Enforcement+Train+Speed','Data.Enforcement+Start+Milepost','Data.Target+Type','Data.Enforcement+Direction+of+Travel','Message+ID',"&amp;"'Data.Body+of+Summary+Text','Data.Head+End+Track+name'),filters:!(),index:'emp_*',interval:auto,query:"&amp;"(query_string:(analyze_wildcard:!t,query:'Message%5C+ID:(2083+OR+2080+OR+1041+OR+2003+OR+1051+OR+1043+OR+1053)+AND+%22rtdc.l.rtdc."&amp;B101&amp;"%22')),sort:!(Time.ISO8601,asc))"</f>
        <v>https://d0f6bd738d7f1b3e5a7ca70fe4ff75f0.us-east-1.aws.found.io/app/kibana#/discover/Steve-Slow-Train-Analysis-(2080s-and-2083s)?_g=(refreshInterval:(display:Off,pause:!f,section:0,value:0),time:(from:'2017-02-05T14:22:36-0700',mode:absolute,to:'2017-02-05T17:09:11-0700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4026%22')),sort:!(Time.ISO8601,asc))</v>
      </c>
      <c r="W101" s="192" t="str">
        <f>IF(AA101&lt;IF(AG101="EC",23,5.65),"Y","N")</f>
        <v>N</v>
      </c>
      <c r="X101" s="192">
        <f>VALUE(LEFT(AD101,4))-VALUE(LEFT(AD100,4))</f>
        <v>1</v>
      </c>
      <c r="Y101" s="62">
        <f>RIGHT(D101,LEN(D101)-4)/10000</f>
        <v>23.298400000000001</v>
      </c>
      <c r="Z101" s="62">
        <f>RIGHT(H101,LEN(H101)-4)/10000</f>
        <v>1.6500000000000001E-2</v>
      </c>
      <c r="AA101" s="62">
        <f>ABS(Z101-Y101)</f>
        <v>23.2819</v>
      </c>
      <c r="AB101" s="59" t="e">
        <f>VLOOKUP(A101,Enforcements!$C$7:$K$16,8,0)</f>
        <v>#N/A</v>
      </c>
      <c r="AC101" s="55" t="e">
        <f>VLOOKUP(A101,Enforcements!$C$7:$E$16,3,0)</f>
        <v>#N/A</v>
      </c>
      <c r="AD101" s="56" t="str">
        <f>IF(LEN(A101)=6,"0"&amp;A101,A101)</f>
        <v>0188-05</v>
      </c>
      <c r="AE101" s="85" t="str">
        <f>"aws s3 cp "&amp;s3_bucket&amp;"/RTDC"&amp;B101&amp;"/ "&amp;search_path&amp;"\RTDC"&amp;B101&amp;"\"&amp;TEXT(F101,"YYYY-MM-DD")&amp;" --exclude ""*"" --recursive --include ""*"&amp;TEXT(F101,"YYYYMMDD")&amp;"*"" &amp; """&amp;walkandungz&amp;""" "&amp;search_path&amp;"\RTDC"&amp;B101&amp;"\"&amp;TEXT(F101,"YYYY-MM-DD")
&amp;" &amp; "&amp;"aws s3 cp "&amp;s3_bucket&amp;"/RTDC"&amp;B101&amp;"/ "&amp;search_path&amp;"\RTDC"&amp;B101&amp;"\"&amp;TEXT(F101+1,"YYYY-MM-DD")&amp;" --exclude ""*"" --recursive --include ""*"&amp;TEXT(F101+1,"YYYYMMDD")&amp;"*"" &amp; """&amp;walkandungz&amp;""" "&amp;search_path&amp;"\RTDC"&amp;B101&amp;"\"&amp;TEXT(F101+1,"YYYY-MM-DD")</f>
        <v>aws s3 cp s3://rtdc.mdm.uploadarchive.raw/RTDC4026/ "%USERPROFILE%\AppData\Local\Temp\OnboardLogs"\RTDC4026\2017-02-05 --exclude "*" --recursive --include "*20170205*" &amp; "%USERPROFILE%\Documents\GitHub\mrs-test-scripts\Headless Mode &amp; Sideloading\WalkAndUnGZ.bat" "%USERPROFILE%\AppData\Local\Temp\OnboardLogs"\RTDC4026\2017-02-05 &amp; aws s3 cp s3://rtdc.mdm.uploadarchive.raw/RTDC4026/ "%USERPROFILE%\AppData\Local\Temp\OnboardLogs"\RTDC4026\2017-02-06 --exclude "*" --recursive --include "*20170206*" &amp; "%USERPROFILE%\Documents\GitHub\mrs-test-scripts\Headless Mode &amp; Sideloading\WalkAndUnGZ.bat" "%USERPROFILE%\AppData\Local\Temp\OnboardLogs"\RTDC4026\2017-02-06</v>
      </c>
      <c r="AF101" s="82" t="str">
        <f>astrogrep_path&amp;" /spath="&amp;search_path&amp;" /stypes=""app*"&amp;B101&amp;"*"&amp;TEXT(I101-utc_offset/24,"YYYYMMDD")&amp;"*"" /stext="" "&amp;TEXT(I101-utc_offset/24,"HH")&amp;search_regexp&amp;""" /e /r /s"</f>
        <v>"C:\Program Files (x86)\AstroGrep\AstroGrep.exe" /spath="%USERPROFILE%\AppData\Local\Temp\OnboardLogs" /stypes="app*4026*20170205*" /stext=" 23:.+((SYSTEM_STATE.+slice.+state.+changed )|(ment ac)|(multiple cpu faults)|(system.+state.+changed )|(\[timeout)|(PRM\|1\|D)|(kpr)|(kdp)|(\|lc)|(penalty))" /e /r /s</v>
      </c>
      <c r="AG101" s="1" t="str">
        <f>IFERROR(IF(VALUE(LEFT(AD101,2))&lt;=2,"EC",IF(OR(VALUE(LEFT(AD101,2))=8,VALUE(LEFT(AD101,2))=18),"NW","Other")),"Other")</f>
        <v>EC</v>
      </c>
      <c r="AH101" s="86" t="str">
        <f t="shared" si="7"/>
        <v>"%USERPROFILE%\Documents\GitHub\eaglep3\Utilities\RefineRTDCRunTimes.py" --tripid 188-05 --locoid 4026 --swversion DE.1.0.8.0 --startMP 204:232984 --initTime 2017-02-05T15:22:36 --startdatetime 2017-02-05T15:26:16 --delay 2 --endMP 204:165 --enddatetime 2017-02-05T16:09:11 --enforcementcount 0 &gt;&gt;C:\Users\stu\Documents\GitHub\eaglep3-reporting\EC\2017-02-05-refined-times.txt</v>
      </c>
      <c r="AI101" s="108" t="str">
        <f t="shared" si="8"/>
        <v>echo {"issue":{"subject":"","project_id":79,"tracker_id":40,"status_id":1,"priority_id":2,"assigned_to_id":23,"start_date":"2017-02-05","description":"","custom_fields":[{"id":1,"name":"Subdivision","value":"EC"},{"id":4,"name":"Milepost","value":"0.0165"},{"id":17,"name":"Train ID","value":"188-05"},{"id":16,"name":"Locomotive ID","value":"4026"},{"id":130,"name":"Impact","value":""},{"id":150,"name":"Time of Event (Mountain Time)","value":"16:09:11"},{"id":151,"name":"Denver Issue ID","value":""},{"id":178,"name":"Operational Impact","value":"Yes"},{"id":179,"name":"Denver Segment Assigned","value":""}]}} | curl -X POST -H "Content-Type: application/json" -H "X-Redmine-API-Key: d6333d4a04012a730768444271f8ca06482dae87" https://secure.xorail.net/redmine/issues.json --data @-</v>
      </c>
      <c r="AJ101" s="48"/>
      <c r="AK101" s="48"/>
      <c r="AL101" s="48"/>
      <c r="AM101" s="158" t="str">
        <f t="shared" si="9"/>
        <v>start /low /b %USERPROFILE%\Documents\GitHub\eaglep3\Utilities\DownloadLogsFromS3.py --loco 4026 --day 2017-02-05</v>
      </c>
      <c r="AN101" s="167" t="str">
        <f>"grep -SE -B400 ""CHR.+\|PRM\|1\|D.+(SWITCH|SIGNAL).+UNKNOWN"" "&amp;search_path&amp;"\RTDC"&amp;B101&amp;"\*"&amp;B101&amp;"*"&amp;TEXT(AVERAGE(F101,I101)-utc_offset/24,"YYYYMMDD")&amp;"* | grep -SE ""(Enforcement Action)|(\[TIMEOUT)|(CHR.+\|PRM\|1\|D.+(SWITCH|SIGNAL).+UNKNOWN)"" - &gt;&gt; "&amp;TEXT(Variables!$A$2,"YYYY-MM-DD")&amp;"-UncaughtWiMAX.txt"</f>
        <v>grep -SE -B400 "CHR.+\|PRM\|1\|D.+(SWITCH|SIGNAL).+UNKNOWN" "%USERPROFILE%\AppData\Local\Temp\OnboardLogs"\RTDC4026\*4026*20170205* | grep -SE "(Enforcement Action)|(\[TIMEOUT)|(CHR.+\|PRM\|1\|D.+(SWITCH|SIGNAL).+UNKNOWN)" - &gt;&gt; 2017-02-05-UncaughtWiMAX.txt</v>
      </c>
      <c r="AO101"/>
      <c r="AP101"/>
      <c r="AQ101"/>
      <c r="AR101"/>
      <c r="AS101"/>
      <c r="AT101"/>
      <c r="AU101"/>
      <c r="AV101"/>
      <c r="AW101"/>
      <c r="AX101"/>
      <c r="AY101"/>
      <c r="AZ101"/>
      <c r="BA101"/>
      <c r="BB101"/>
      <c r="BC101"/>
      <c r="BD101"/>
      <c r="BE101"/>
      <c r="BF101"/>
      <c r="BG101"/>
      <c r="BH101"/>
      <c r="BI101"/>
      <c r="BJ101"/>
      <c r="BK101"/>
      <c r="BL101"/>
      <c r="BM101"/>
      <c r="BN101"/>
      <c r="BO101"/>
      <c r="BP101"/>
      <c r="BQ101"/>
      <c r="BR101"/>
      <c r="BS101"/>
      <c r="BT101"/>
      <c r="BU101"/>
      <c r="BV101"/>
      <c r="BW101"/>
      <c r="BX101"/>
      <c r="BY101"/>
      <c r="BZ101"/>
      <c r="CA101"/>
      <c r="CB101"/>
      <c r="CC101"/>
      <c r="CD101"/>
      <c r="CE101"/>
      <c r="CF101"/>
      <c r="CG101"/>
      <c r="CH101"/>
      <c r="CI101"/>
      <c r="CJ101"/>
      <c r="CK101"/>
      <c r="CL101"/>
      <c r="CM101"/>
    </row>
    <row r="102" spans="1:91" s="20" customFormat="1" x14ac:dyDescent="0.25">
      <c r="A102" s="33" t="s">
        <v>510</v>
      </c>
      <c r="B102" s="7">
        <v>4016</v>
      </c>
      <c r="C102" s="21" t="s">
        <v>193</v>
      </c>
      <c r="D102" s="21" t="s">
        <v>404</v>
      </c>
      <c r="E102" s="13">
        <v>42771.611284722225</v>
      </c>
      <c r="F102" s="13">
        <v>42771.615162037036</v>
      </c>
      <c r="G102" s="7">
        <v>1</v>
      </c>
      <c r="H102" s="21" t="s">
        <v>829</v>
      </c>
      <c r="I102" s="13">
        <v>42771.649733796294</v>
      </c>
      <c r="J102" s="7">
        <v>0</v>
      </c>
      <c r="K102" s="98" t="str">
        <f>IF(ISEVEN(B102),(B102-1)&amp;"/"&amp;B102,B102&amp;"/"&amp;(B102+1))</f>
        <v>4015/4016</v>
      </c>
      <c r="L102" s="21" t="str">
        <f>VLOOKUP(A102,'Trips&amp;Operators'!$C$1:$G$99999,5,FALSE)</f>
        <v>DAVIS MICHAEL</v>
      </c>
      <c r="M102" s="6">
        <f>I102-F102</f>
        <v>3.457175925723277E-2</v>
      </c>
      <c r="N102" s="7">
        <f>24*60*SUM($M102:$M102)</f>
        <v>49.783333330415189</v>
      </c>
      <c r="O102" s="7"/>
      <c r="P102" s="7"/>
      <c r="Q102" s="22"/>
      <c r="R102" s="22"/>
      <c r="S102" s="31">
        <f>SUM(U102:U102)/IF(AG102="EC",12,1)</f>
        <v>1</v>
      </c>
      <c r="T102" s="46" t="str">
        <f>IF(ISEVEN(LEFT(AD102,4)),"Southbound","NorthBound")</f>
        <v>NorthBound</v>
      </c>
      <c r="U102" s="190">
        <f>IF(AG102="EC",COUNTIFS(Variables!$M$2:$M$19,IF(T102="NorthBound","&gt;=","&lt;=")&amp;Y102,Variables!$M$2:$M$19,IF(T102="NorthBound","&lt;=","&gt;=")&amp;Z102),COUNTIFS(Variables!$P$2:$P$19,IF(T102="NorthBound","&gt;=","&lt;=")&amp;Y102,Variables!$P$2:$P$19,IF(T102="NorthBound","&lt;=","&gt;=")&amp;Z102))</f>
        <v>12</v>
      </c>
      <c r="V102" s="191" t="str">
        <f>"https://d0f6bd738d7f1b3e5a7ca70fe4ff75f0.us-east-1.aws.found.io/app/kibana#/discover/Steve-Slow-Train-Analysis-(2080s-and-2083s)?_g="&amp;"(refreshInterval:(display:Off,pause:!f,section:0,value:0),time:(from:'"&amp;TEXT(E102-1/24,"yyyy-MM-DDThh:mm:ss")&amp;utc_offset&amp;"00"&amp;"',mode:absolute,to:'"&amp;TEXT(I102+1/24,"yyyy-MM-DDThh:mm:ss")&amp;utc_offset&amp;"00"&amp;"'))&amp;_a=(columns:!('Locomotive+ID','Data.Head+End+Milepost',Data.Speed,'Data.Locomotive+State','Data.Train+ID',"&amp;"'Data.Warning%2FEnforcement+Type','Data.Target+Start+Milepost','Data.Target+Description','Data.Target+Speed',"&amp;"'Data.Enforcement+Train+Speed','Data.Enforcement+Start+Milepost','Data.Target+Type','Data.Enforcement+Direction+of+Travel','Message+ID',"&amp;"'Data.Body+of+Summary+Text','Data.Head+End+Track+name'),filters:!(),index:'emp_*',interval:auto,query:"&amp;"(query_string:(analyze_wildcard:!t,query:'Message%5C+ID:(2083+OR+2080+OR+1041+OR+2003+OR+1051+OR+1043+OR+1053)+AND+%22rtdc.l.rtdc."&amp;B102&amp;"%22')),sort:!(Time.ISO8601,asc))"</f>
        <v>https://d0f6bd738d7f1b3e5a7ca70fe4ff75f0.us-east-1.aws.found.io/app/kibana#/discover/Steve-Slow-Train-Analysis-(2080s-and-2083s)?_g=(refreshInterval:(display:Off,pause:!f,section:0,value:0),time:(from:'2017-02-05T13:40:15-0700',mode:absolute,to:'2017-02-05T16:35:37-0700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4016%22')),sort:!(Time.ISO8601,asc))</v>
      </c>
      <c r="W102" s="192" t="str">
        <f>IF(AA102&lt;IF(AG102="EC",23,5.65),"Y","N")</f>
        <v>N</v>
      </c>
      <c r="X102" s="192">
        <f>VALUE(LEFT(AD102,4))-VALUE(LEFT(AD101,4))</f>
        <v>1</v>
      </c>
      <c r="Y102" s="62">
        <f>RIGHT(D102,LEN(D102)-4)/10000</f>
        <v>4.3099999999999999E-2</v>
      </c>
      <c r="Z102" s="62">
        <f>RIGHT(H102,LEN(H102)-4)/10000</f>
        <v>23.338699999999999</v>
      </c>
      <c r="AA102" s="62">
        <f>ABS(Z102-Y102)</f>
        <v>23.2956</v>
      </c>
      <c r="AB102" s="59" t="e">
        <f>VLOOKUP(A102,Enforcements!$C$7:$K$16,8,0)</f>
        <v>#N/A</v>
      </c>
      <c r="AC102" s="55" t="e">
        <f>VLOOKUP(A102,Enforcements!$C$7:$E$16,3,0)</f>
        <v>#N/A</v>
      </c>
      <c r="AD102" s="56" t="str">
        <f>IF(LEN(A102)=6,"0"&amp;A102,A102)</f>
        <v>0189-05</v>
      </c>
      <c r="AE102" s="85" t="str">
        <f>"aws s3 cp "&amp;s3_bucket&amp;"/RTDC"&amp;B102&amp;"/ "&amp;search_path&amp;"\RTDC"&amp;B102&amp;"\"&amp;TEXT(F102,"YYYY-MM-DD")&amp;" --exclude ""*"" --recursive --include ""*"&amp;TEXT(F102,"YYYYMMDD")&amp;"*"" &amp; """&amp;walkandungz&amp;""" "&amp;search_path&amp;"\RTDC"&amp;B102&amp;"\"&amp;TEXT(F102,"YYYY-MM-DD")
&amp;" &amp; "&amp;"aws s3 cp "&amp;s3_bucket&amp;"/RTDC"&amp;B102&amp;"/ "&amp;search_path&amp;"\RTDC"&amp;B102&amp;"\"&amp;TEXT(F102+1,"YYYY-MM-DD")&amp;" --exclude ""*"" --recursive --include ""*"&amp;TEXT(F102+1,"YYYYMMDD")&amp;"*"" &amp; """&amp;walkandungz&amp;""" "&amp;search_path&amp;"\RTDC"&amp;B102&amp;"\"&amp;TEXT(F102+1,"YYYY-MM-DD")</f>
        <v>aws s3 cp s3://rtdc.mdm.uploadarchive.raw/RTDC4016/ "%USERPROFILE%\AppData\Local\Temp\OnboardLogs"\RTDC4016\2017-02-05 --exclude "*" --recursive --include "*20170205*" &amp; "%USERPROFILE%\Documents\GitHub\mrs-test-scripts\Headless Mode &amp; Sideloading\WalkAndUnGZ.bat" "%USERPROFILE%\AppData\Local\Temp\OnboardLogs"\RTDC4016\2017-02-05 &amp; aws s3 cp s3://rtdc.mdm.uploadarchive.raw/RTDC4016/ "%USERPROFILE%\AppData\Local\Temp\OnboardLogs"\RTDC4016\2017-02-06 --exclude "*" --recursive --include "*20170206*" &amp; "%USERPROFILE%\Documents\GitHub\mrs-test-scripts\Headless Mode &amp; Sideloading\WalkAndUnGZ.bat" "%USERPROFILE%\AppData\Local\Temp\OnboardLogs"\RTDC4016\2017-02-06</v>
      </c>
      <c r="AF102" s="82" t="str">
        <f>astrogrep_path&amp;" /spath="&amp;search_path&amp;" /stypes=""app*"&amp;B102&amp;"*"&amp;TEXT(I102-utc_offset/24,"YYYYMMDD")&amp;"*"" /stext="" "&amp;TEXT(I102-utc_offset/24,"HH")&amp;search_regexp&amp;""" /e /r /s"</f>
        <v>"C:\Program Files (x86)\AstroGrep\AstroGrep.exe" /spath="%USERPROFILE%\AppData\Local\Temp\OnboardLogs" /stypes="app*4016*20170205*" /stext=" 22:.+((SYSTEM_STATE.+slice.+state.+changed )|(ment ac)|(multiple cpu faults)|(system.+state.+changed )|(\[timeout)|(PRM\|1\|D)|(kpr)|(kdp)|(\|lc)|(penalty))" /e /r /s</v>
      </c>
      <c r="AG102" s="1" t="str">
        <f>IFERROR(IF(VALUE(LEFT(AD102,2))&lt;=2,"EC",IF(OR(VALUE(LEFT(AD102,2))=8,VALUE(LEFT(AD102,2))=18),"NW","Other")),"Other")</f>
        <v>EC</v>
      </c>
      <c r="AH102" s="86" t="str">
        <f t="shared" si="7"/>
        <v>"%USERPROFILE%\Documents\GitHub\eaglep3\Utilities\RefineRTDCRunTimes.py" --tripid 189-05 --locoid 4016 --swversion DE.1.0.8.0 --startMP 204:431 --initTime 2017-02-05T14:40:15 --startdatetime 2017-02-05T14:45:50 --delay 1 --endMP 204:233387 --enddatetime 2017-02-05T15:35:37 --enforcementcount 0 &gt;&gt;C:\Users\stu\Documents\GitHub\eaglep3-reporting\EC\2017-02-05-refined-times.txt</v>
      </c>
      <c r="AI102" s="108" t="str">
        <f t="shared" si="8"/>
        <v>echo {"issue":{"subject":"","project_id":79,"tracker_id":40,"status_id":1,"priority_id":2,"assigned_to_id":23,"start_date":"2017-02-05","description":"","custom_fields":[{"id":1,"name":"Subdivision","value":"EC"},{"id":4,"name":"Milepost","value":"23.3387"},{"id":17,"name":"Train ID","value":"189-05"},{"id":16,"name":"Locomotive ID","value":"4016"},{"id":130,"name":"Impact","value":""},{"id":150,"name":"Time of Event (Mountain Time)","value":"15:35:37"},{"id":151,"name":"Denver Issue ID","value":""},{"id":178,"name":"Operational Impact","value":"Yes"},{"id":179,"name":"Denver Segment Assigned","value":""}]}} | curl -X POST -H "Content-Type: application/json" -H "X-Redmine-API-Key: d6333d4a04012a730768444271f8ca06482dae87" https://secure.xorail.net/redmine/issues.json --data @-</v>
      </c>
      <c r="AJ102" s="48"/>
      <c r="AK102" s="48"/>
      <c r="AL102" s="48"/>
      <c r="AM102" s="158" t="str">
        <f t="shared" si="9"/>
        <v>start /low /b %USERPROFILE%\Documents\GitHub\eaglep3\Utilities\DownloadLogsFromS3.py --loco 4016 --day 2017-02-05</v>
      </c>
      <c r="AN102" s="167" t="str">
        <f>"grep -SE -B400 ""CHR.+\|PRM\|1\|D.+(SWITCH|SIGNAL).+UNKNOWN"" "&amp;search_path&amp;"\RTDC"&amp;B102&amp;"\*"&amp;B102&amp;"*"&amp;TEXT(AVERAGE(F102,I102)-utc_offset/24,"YYYYMMDD")&amp;"* | grep -SE ""(Enforcement Action)|(\[TIMEOUT)|(CHR.+\|PRM\|1\|D.+(SWITCH|SIGNAL).+UNKNOWN)"" - &gt;&gt; "&amp;TEXT(Variables!$A$2,"YYYY-MM-DD")&amp;"-UncaughtWiMAX.txt"</f>
        <v>grep -SE -B400 "CHR.+\|PRM\|1\|D.+(SWITCH|SIGNAL).+UNKNOWN" "%USERPROFILE%\AppData\Local\Temp\OnboardLogs"\RTDC4016\*4016*20170205* | grep -SE "(Enforcement Action)|(\[TIMEOUT)|(CHR.+\|PRM\|1\|D.+(SWITCH|SIGNAL).+UNKNOWN)" - &gt;&gt; 2017-02-05-UncaughtWiMAX.txt</v>
      </c>
      <c r="AO102"/>
      <c r="AP102"/>
      <c r="AQ102"/>
      <c r="AR102"/>
      <c r="AS102"/>
      <c r="AT102"/>
      <c r="AU102"/>
      <c r="AV102"/>
      <c r="AW102"/>
      <c r="AX102"/>
      <c r="AY102"/>
      <c r="AZ102"/>
      <c r="BA102"/>
      <c r="BB102"/>
      <c r="BC102"/>
      <c r="BD102"/>
      <c r="BE102"/>
      <c r="BF102"/>
      <c r="BG102"/>
      <c r="BH102"/>
      <c r="BI102"/>
      <c r="BJ102"/>
      <c r="BK102"/>
      <c r="BL102"/>
      <c r="BM102"/>
      <c r="BN102"/>
      <c r="BO102"/>
      <c r="BP102"/>
      <c r="BQ102"/>
      <c r="BR102"/>
      <c r="BS102"/>
      <c r="BT102"/>
      <c r="BU102"/>
      <c r="BV102"/>
      <c r="BW102"/>
      <c r="BX102"/>
      <c r="BY102"/>
      <c r="BZ102"/>
      <c r="CA102"/>
      <c r="CB102"/>
      <c r="CC102"/>
      <c r="CD102"/>
      <c r="CE102"/>
      <c r="CF102"/>
      <c r="CG102"/>
      <c r="CH102"/>
      <c r="CI102"/>
      <c r="CJ102"/>
      <c r="CK102"/>
      <c r="CL102"/>
      <c r="CM102"/>
    </row>
    <row r="103" spans="1:91" s="20" customFormat="1" x14ac:dyDescent="0.25">
      <c r="A103" s="33" t="s">
        <v>665</v>
      </c>
      <c r="B103" s="7">
        <v>4015</v>
      </c>
      <c r="C103" s="21" t="s">
        <v>193</v>
      </c>
      <c r="D103" s="21" t="s">
        <v>830</v>
      </c>
      <c r="E103" s="13">
        <v>42771.651620370372</v>
      </c>
      <c r="F103" s="13">
        <v>42771.654039351852</v>
      </c>
      <c r="G103" s="7">
        <v>1</v>
      </c>
      <c r="H103" s="21" t="s">
        <v>184</v>
      </c>
      <c r="I103" s="13">
        <v>42771.683287037034</v>
      </c>
      <c r="J103" s="7">
        <v>0</v>
      </c>
      <c r="K103" s="98" t="str">
        <f>IF(ISEVEN(B103),(B103-1)&amp;"/"&amp;B103,B103&amp;"/"&amp;(B103+1))</f>
        <v>4015/4016</v>
      </c>
      <c r="L103" s="21" t="str">
        <f>VLOOKUP(A103,'Trips&amp;Operators'!$C$1:$G$99999,5,FALSE)</f>
        <v>DAVIS MICHAEL</v>
      </c>
      <c r="M103" s="6">
        <f>I103-F103</f>
        <v>2.9247685182781424E-2</v>
      </c>
      <c r="N103" s="7">
        <f>24*60*SUM($M103:$M103)</f>
        <v>42.116666663205251</v>
      </c>
      <c r="O103" s="7"/>
      <c r="P103" s="7"/>
      <c r="Q103" s="22"/>
      <c r="R103" s="22"/>
      <c r="S103" s="31">
        <f>SUM(U103:U103)/IF(AG103="EC",12,1)</f>
        <v>1</v>
      </c>
      <c r="T103" s="46" t="str">
        <f>IF(ISEVEN(LEFT(AD103,4)),"Southbound","NorthBound")</f>
        <v>Southbound</v>
      </c>
      <c r="U103" s="190">
        <f>IF(AG103="EC",COUNTIFS(Variables!$M$2:$M$19,IF(T103="NorthBound","&gt;=","&lt;=")&amp;Y103,Variables!$M$2:$M$19,IF(T103="NorthBound","&lt;=","&gt;=")&amp;Z103),COUNTIFS(Variables!$P$2:$P$19,IF(T103="NorthBound","&gt;=","&lt;=")&amp;Y103,Variables!$P$2:$P$19,IF(T103="NorthBound","&lt;=","&gt;=")&amp;Z103))</f>
        <v>12</v>
      </c>
      <c r="V103" s="191" t="str">
        <f>"https://d0f6bd738d7f1b3e5a7ca70fe4ff75f0.us-east-1.aws.found.io/app/kibana#/discover/Steve-Slow-Train-Analysis-(2080s-and-2083s)?_g="&amp;"(refreshInterval:(display:Off,pause:!f,section:0,value:0),time:(from:'"&amp;TEXT(E103-1/24,"yyyy-MM-DDThh:mm:ss")&amp;utc_offset&amp;"00"&amp;"',mode:absolute,to:'"&amp;TEXT(I103+1/24,"yyyy-MM-DDThh:mm:ss")&amp;utc_offset&amp;"00"&amp;"'))&amp;_a=(columns:!('Locomotive+ID','Data.Head+End+Milepost',Data.Speed,'Data.Locomotive+State','Data.Train+ID',"&amp;"'Data.Warning%2FEnforcement+Type','Data.Target+Start+Milepost','Data.Target+Description','Data.Target+Speed',"&amp;"'Data.Enforcement+Train+Speed','Data.Enforcement+Start+Milepost','Data.Target+Type','Data.Enforcement+Direction+of+Travel','Message+ID',"&amp;"'Data.Body+of+Summary+Text','Data.Head+End+Track+name'),filters:!(),index:'emp_*',interval:auto,query:"&amp;"(query_string:(analyze_wildcard:!t,query:'Message%5C+ID:(2083+OR+2080+OR+1041+OR+2003+OR+1051+OR+1043+OR+1053)+AND+%22rtdc.l.rtdc."&amp;B103&amp;"%22')),sort:!(Time.ISO8601,asc))"</f>
        <v>https://d0f6bd738d7f1b3e5a7ca70fe4ff75f0.us-east-1.aws.found.io/app/kibana#/discover/Steve-Slow-Train-Analysis-(2080s-and-2083s)?_g=(refreshInterval:(display:Off,pause:!f,section:0,value:0),time:(from:'2017-02-05T14:38:20-0700',mode:absolute,to:'2017-02-05T17:23:56-0700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4015%22')),sort:!(Time.ISO8601,asc))</v>
      </c>
      <c r="W103" s="192" t="str">
        <f>IF(AA103&lt;IF(AG103="EC",23,5.65),"Y","N")</f>
        <v>N</v>
      </c>
      <c r="X103" s="192">
        <f>VALUE(LEFT(AD103,4))-VALUE(LEFT(AD102,4))</f>
        <v>1</v>
      </c>
      <c r="Y103" s="62">
        <f>RIGHT(D103,LEN(D103)-4)/10000</f>
        <v>23.307600000000001</v>
      </c>
      <c r="Z103" s="62">
        <f>RIGHT(H103,LEN(H103)-4)/10000</f>
        <v>1.49E-2</v>
      </c>
      <c r="AA103" s="62">
        <f>ABS(Z103-Y103)</f>
        <v>23.2927</v>
      </c>
      <c r="AB103" s="59" t="e">
        <f>VLOOKUP(A103,Enforcements!$C$7:$K$16,8,0)</f>
        <v>#N/A</v>
      </c>
      <c r="AC103" s="55" t="e">
        <f>VLOOKUP(A103,Enforcements!$C$7:$E$16,3,0)</f>
        <v>#N/A</v>
      </c>
      <c r="AD103" s="56" t="str">
        <f>IF(LEN(A103)=6,"0"&amp;A103,A103)</f>
        <v>0190-05</v>
      </c>
      <c r="AE103" s="85" t="str">
        <f>"aws s3 cp "&amp;s3_bucket&amp;"/RTDC"&amp;B103&amp;"/ "&amp;search_path&amp;"\RTDC"&amp;B103&amp;"\"&amp;TEXT(F103,"YYYY-MM-DD")&amp;" --exclude ""*"" --recursive --include ""*"&amp;TEXT(F103,"YYYYMMDD")&amp;"*"" &amp; """&amp;walkandungz&amp;""" "&amp;search_path&amp;"\RTDC"&amp;B103&amp;"\"&amp;TEXT(F103,"YYYY-MM-DD")
&amp;" &amp; "&amp;"aws s3 cp "&amp;s3_bucket&amp;"/RTDC"&amp;B103&amp;"/ "&amp;search_path&amp;"\RTDC"&amp;B103&amp;"\"&amp;TEXT(F103+1,"YYYY-MM-DD")&amp;" --exclude ""*"" --recursive --include ""*"&amp;TEXT(F103+1,"YYYYMMDD")&amp;"*"" &amp; """&amp;walkandungz&amp;""" "&amp;search_path&amp;"\RTDC"&amp;B103&amp;"\"&amp;TEXT(F103+1,"YYYY-MM-DD")</f>
        <v>aws s3 cp s3://rtdc.mdm.uploadarchive.raw/RTDC4015/ "%USERPROFILE%\AppData\Local\Temp\OnboardLogs"\RTDC4015\2017-02-05 --exclude "*" --recursive --include "*20170205*" &amp; "%USERPROFILE%\Documents\GitHub\mrs-test-scripts\Headless Mode &amp; Sideloading\WalkAndUnGZ.bat" "%USERPROFILE%\AppData\Local\Temp\OnboardLogs"\RTDC4015\2017-02-05 &amp; aws s3 cp s3://rtdc.mdm.uploadarchive.raw/RTDC4015/ "%USERPROFILE%\AppData\Local\Temp\OnboardLogs"\RTDC4015\2017-02-06 --exclude "*" --recursive --include "*20170206*" &amp; "%USERPROFILE%\Documents\GitHub\mrs-test-scripts\Headless Mode &amp; Sideloading\WalkAndUnGZ.bat" "%USERPROFILE%\AppData\Local\Temp\OnboardLogs"\RTDC4015\2017-02-06</v>
      </c>
      <c r="AF103" s="82" t="str">
        <f>astrogrep_path&amp;" /spath="&amp;search_path&amp;" /stypes=""app*"&amp;B103&amp;"*"&amp;TEXT(I103-utc_offset/24,"YYYYMMDD")&amp;"*"" /stext="" "&amp;TEXT(I103-utc_offset/24,"HH")&amp;search_regexp&amp;""" /e /r /s"</f>
        <v>"C:\Program Files (x86)\AstroGrep\AstroGrep.exe" /spath="%USERPROFILE%\AppData\Local\Temp\OnboardLogs" /stypes="app*4015*20170205*" /stext=" 23:.+((SYSTEM_STATE.+slice.+state.+changed )|(ment ac)|(multiple cpu faults)|(system.+state.+changed )|(\[timeout)|(PRM\|1\|D)|(kpr)|(kdp)|(\|lc)|(penalty))" /e /r /s</v>
      </c>
      <c r="AG103" s="1" t="str">
        <f>IFERROR(IF(VALUE(LEFT(AD103,2))&lt;=2,"EC",IF(OR(VALUE(LEFT(AD103,2))=8,VALUE(LEFT(AD103,2))=18),"NW","Other")),"Other")</f>
        <v>EC</v>
      </c>
      <c r="AH103" s="86" t="str">
        <f t="shared" si="7"/>
        <v>"%USERPROFILE%\Documents\GitHub\eaglep3\Utilities\RefineRTDCRunTimes.py" --tripid 190-05 --locoid 4015 --swversion DE.1.0.8.0 --startMP 204:233076 --initTime 2017-02-05T15:38:20 --startdatetime 2017-02-05T15:41:49 --delay 1 --endMP 204:149 --enddatetime 2017-02-05T16:23:56 --enforcementcount 0 &gt;&gt;C:\Users\stu\Documents\GitHub\eaglep3-reporting\EC\2017-02-05-refined-times.txt</v>
      </c>
      <c r="AI103" s="108" t="str">
        <f t="shared" si="8"/>
        <v>echo {"issue":{"subject":"","project_id":79,"tracker_id":40,"status_id":1,"priority_id":2,"assigned_to_id":23,"start_date":"2017-02-05","description":"","custom_fields":[{"id":1,"name":"Subdivision","value":"EC"},{"id":4,"name":"Milepost","value":"0.0149"},{"id":17,"name":"Train ID","value":"190-05"},{"id":16,"name":"Locomotive ID","value":"4015"},{"id":130,"name":"Impact","value":""},{"id":150,"name":"Time of Event (Mountain Time)","value":"16:23:56"},{"id":151,"name":"Denver Issue ID","value":""},{"id":178,"name":"Operational Impact","value":"Yes"},{"id":179,"name":"Denver Segment Assigned","value":""}]}} | curl -X POST -H "Content-Type: application/json" -H "X-Redmine-API-Key: d6333d4a04012a730768444271f8ca06482dae87" https://secure.xorail.net/redmine/issues.json --data @-</v>
      </c>
      <c r="AJ103" s="48"/>
      <c r="AK103" s="48"/>
      <c r="AL103" s="48"/>
      <c r="AM103" s="158" t="str">
        <f t="shared" si="9"/>
        <v>start /low /b %USERPROFILE%\Documents\GitHub\eaglep3\Utilities\DownloadLogsFromS3.py --loco 4015 --day 2017-02-05</v>
      </c>
      <c r="AN103" s="167" t="str">
        <f>"grep -SE -B400 ""CHR.+\|PRM\|1\|D.+(SWITCH|SIGNAL).+UNKNOWN"" "&amp;search_path&amp;"\RTDC"&amp;B103&amp;"\*"&amp;B103&amp;"*"&amp;TEXT(AVERAGE(F103,I103)-utc_offset/24,"YYYYMMDD")&amp;"* | grep -SE ""(Enforcement Action)|(\[TIMEOUT)|(CHR.+\|PRM\|1\|D.+(SWITCH|SIGNAL).+UNKNOWN)"" - &gt;&gt; "&amp;TEXT(Variables!$A$2,"YYYY-MM-DD")&amp;"-UncaughtWiMAX.txt"</f>
        <v>grep -SE -B400 "CHR.+\|PRM\|1\|D.+(SWITCH|SIGNAL).+UNKNOWN" "%USERPROFILE%\AppData\Local\Temp\OnboardLogs"\RTDC4015\*4015*20170205* | grep -SE "(Enforcement Action)|(\[TIMEOUT)|(CHR.+\|PRM\|1\|D.+(SWITCH|SIGNAL).+UNKNOWN)" - &gt;&gt; 2017-02-05-UncaughtWiMAX.txt</v>
      </c>
      <c r="AO103"/>
      <c r="AP103"/>
      <c r="AQ103"/>
      <c r="AR103"/>
      <c r="AS103"/>
      <c r="AT103"/>
      <c r="AU103"/>
      <c r="AV103"/>
      <c r="AW103"/>
      <c r="AX103"/>
      <c r="AY103"/>
      <c r="AZ103"/>
      <c r="BA103"/>
      <c r="BB103"/>
      <c r="BC103"/>
      <c r="BD103"/>
      <c r="BE103"/>
      <c r="BF103"/>
      <c r="BG103"/>
      <c r="BH103"/>
      <c r="BI103"/>
      <c r="BJ103"/>
      <c r="BK103"/>
      <c r="BL103"/>
      <c r="BM103"/>
      <c r="BN103"/>
      <c r="BO103"/>
      <c r="BP103"/>
      <c r="BQ103"/>
      <c r="BR103"/>
      <c r="BS103"/>
      <c r="BT103"/>
      <c r="BU103"/>
      <c r="BV103"/>
      <c r="BW103"/>
      <c r="BX103"/>
      <c r="BY103"/>
      <c r="BZ103"/>
      <c r="CA103"/>
      <c r="CB103"/>
      <c r="CC103"/>
      <c r="CD103"/>
      <c r="CE103"/>
      <c r="CF103"/>
      <c r="CG103"/>
      <c r="CH103"/>
      <c r="CI103"/>
      <c r="CJ103"/>
      <c r="CK103"/>
      <c r="CL103"/>
      <c r="CM103"/>
    </row>
    <row r="104" spans="1:91" s="20" customFormat="1" x14ac:dyDescent="0.25">
      <c r="A104" s="33" t="s">
        <v>511</v>
      </c>
      <c r="B104" s="7">
        <v>4022</v>
      </c>
      <c r="C104" s="21" t="s">
        <v>193</v>
      </c>
      <c r="D104" s="21" t="s">
        <v>358</v>
      </c>
      <c r="E104" s="13">
        <v>42771.621631944443</v>
      </c>
      <c r="F104" s="13">
        <v>42771.625358796293</v>
      </c>
      <c r="G104" s="7">
        <v>1</v>
      </c>
      <c r="H104" s="21" t="s">
        <v>320</v>
      </c>
      <c r="I104" s="13">
        <v>42771.652777777781</v>
      </c>
      <c r="J104" s="7">
        <v>0</v>
      </c>
      <c r="K104" s="98" t="str">
        <f>IF(ISEVEN(B104),(B104-1)&amp;"/"&amp;B104,B104&amp;"/"&amp;(B104+1))</f>
        <v>4021/4022</v>
      </c>
      <c r="L104" s="21" t="str">
        <f>VLOOKUP(A104,'Trips&amp;Operators'!$C$1:$G$99999,5,FALSE)</f>
        <v>LEVIN SCOTT</v>
      </c>
      <c r="M104" s="6">
        <f>I104-F104</f>
        <v>2.7418981488153804E-2</v>
      </c>
      <c r="N104" s="7">
        <f>24*60*SUM($M104:$M104)</f>
        <v>39.483333342941478</v>
      </c>
      <c r="O104" s="7"/>
      <c r="P104" s="7"/>
      <c r="Q104" s="22"/>
      <c r="R104" s="22"/>
      <c r="S104" s="31">
        <f>SUM(U104:U104)/IF(AG104="EC",12,1)</f>
        <v>1</v>
      </c>
      <c r="T104" s="46" t="str">
        <f>IF(ISEVEN(LEFT(AD104,4)),"Southbound","NorthBound")</f>
        <v>NorthBound</v>
      </c>
      <c r="U104" s="190">
        <f>IF(AG104="EC",COUNTIFS(Variables!$M$2:$M$19,IF(T104="NorthBound","&gt;=","&lt;=")&amp;Y104,Variables!$M$2:$M$19,IF(T104="NorthBound","&lt;=","&gt;=")&amp;Z104),COUNTIFS(Variables!$P$2:$P$19,IF(T104="NorthBound","&gt;=","&lt;=")&amp;Y104,Variables!$P$2:$P$19,IF(T104="NorthBound","&lt;=","&gt;=")&amp;Z104))</f>
        <v>12</v>
      </c>
      <c r="V104" s="191" t="str">
        <f>"https://d0f6bd738d7f1b3e5a7ca70fe4ff75f0.us-east-1.aws.found.io/app/kibana#/discover/Steve-Slow-Train-Analysis-(2080s-and-2083s)?_g="&amp;"(refreshInterval:(display:Off,pause:!f,section:0,value:0),time:(from:'"&amp;TEXT(E104-1/24,"yyyy-MM-DDThh:mm:ss")&amp;utc_offset&amp;"00"&amp;"',mode:absolute,to:'"&amp;TEXT(I104+1/24,"yyyy-MM-DDThh:mm:ss")&amp;utc_offset&amp;"00"&amp;"'))&amp;_a=(columns:!('Locomotive+ID','Data.Head+End+Milepost',Data.Speed,'Data.Locomotive+State','Data.Train+ID',"&amp;"'Data.Warning%2FEnforcement+Type','Data.Target+Start+Milepost','Data.Target+Description','Data.Target+Speed',"&amp;"'Data.Enforcement+Train+Speed','Data.Enforcement+Start+Milepost','Data.Target+Type','Data.Enforcement+Direction+of+Travel','Message+ID',"&amp;"'Data.Body+of+Summary+Text','Data.Head+End+Track+name'),filters:!(),index:'emp_*',interval:auto,query:"&amp;"(query_string:(analyze_wildcard:!t,query:'Message%5C+ID:(2083+OR+2080+OR+1041+OR+2003+OR+1051+OR+1043+OR+1053)+AND+%22rtdc.l.rtdc."&amp;B104&amp;"%22')),sort:!(Time.ISO8601,asc))"</f>
        <v>https://d0f6bd738d7f1b3e5a7ca70fe4ff75f0.us-east-1.aws.found.io/app/kibana#/discover/Steve-Slow-Train-Analysis-(2080s-and-2083s)?_g=(refreshInterval:(display:Off,pause:!f,section:0,value:0),time:(from:'2017-02-05T13:55:09-0700',mode:absolute,to:'2017-02-05T16:40:00-0700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4022%22')),sort:!(Time.ISO8601,asc))</v>
      </c>
      <c r="W104" s="192" t="str">
        <f>IF(AA104&lt;IF(AG104="EC",23,5.65),"Y","N")</f>
        <v>N</v>
      </c>
      <c r="X104" s="192">
        <f>VALUE(LEFT(AD104,4))-VALUE(LEFT(AD103,4))</f>
        <v>1</v>
      </c>
      <c r="Y104" s="62">
        <f>RIGHT(D104,LEN(D104)-4)/10000</f>
        <v>4.3799999999999999E-2</v>
      </c>
      <c r="Z104" s="62">
        <f>RIGHT(H104,LEN(H104)-4)/10000</f>
        <v>23.331700000000001</v>
      </c>
      <c r="AA104" s="62">
        <f>ABS(Z104-Y104)</f>
        <v>23.2879</v>
      </c>
      <c r="AB104" s="59" t="e">
        <f>VLOOKUP(A104,Enforcements!$C$7:$K$16,8,0)</f>
        <v>#N/A</v>
      </c>
      <c r="AC104" s="55" t="e">
        <f>VLOOKUP(A104,Enforcements!$C$7:$E$16,3,0)</f>
        <v>#N/A</v>
      </c>
      <c r="AD104" s="56" t="str">
        <f>IF(LEN(A104)=6,"0"&amp;A104,A104)</f>
        <v>0191-05</v>
      </c>
      <c r="AE104" s="85" t="str">
        <f>"aws s3 cp "&amp;s3_bucket&amp;"/RTDC"&amp;B104&amp;"/ "&amp;search_path&amp;"\RTDC"&amp;B104&amp;"\"&amp;TEXT(F104,"YYYY-MM-DD")&amp;" --exclude ""*"" --recursive --include ""*"&amp;TEXT(F104,"YYYYMMDD")&amp;"*"" &amp; """&amp;walkandungz&amp;""" "&amp;search_path&amp;"\RTDC"&amp;B104&amp;"\"&amp;TEXT(F104,"YYYY-MM-DD")
&amp;" &amp; "&amp;"aws s3 cp "&amp;s3_bucket&amp;"/RTDC"&amp;B104&amp;"/ "&amp;search_path&amp;"\RTDC"&amp;B104&amp;"\"&amp;TEXT(F104+1,"YYYY-MM-DD")&amp;" --exclude ""*"" --recursive --include ""*"&amp;TEXT(F104+1,"YYYYMMDD")&amp;"*"" &amp; """&amp;walkandungz&amp;""" "&amp;search_path&amp;"\RTDC"&amp;B104&amp;"\"&amp;TEXT(F104+1,"YYYY-MM-DD")</f>
        <v>aws s3 cp s3://rtdc.mdm.uploadarchive.raw/RTDC4022/ "%USERPROFILE%\AppData\Local\Temp\OnboardLogs"\RTDC4022\2017-02-05 --exclude "*" --recursive --include "*20170205*" &amp; "%USERPROFILE%\Documents\GitHub\mrs-test-scripts\Headless Mode &amp; Sideloading\WalkAndUnGZ.bat" "%USERPROFILE%\AppData\Local\Temp\OnboardLogs"\RTDC4022\2017-02-05 &amp; aws s3 cp s3://rtdc.mdm.uploadarchive.raw/RTDC4022/ "%USERPROFILE%\AppData\Local\Temp\OnboardLogs"\RTDC4022\2017-02-06 --exclude "*" --recursive --include "*20170206*" &amp; "%USERPROFILE%\Documents\GitHub\mrs-test-scripts\Headless Mode &amp; Sideloading\WalkAndUnGZ.bat" "%USERPROFILE%\AppData\Local\Temp\OnboardLogs"\RTDC4022\2017-02-06</v>
      </c>
      <c r="AF104" s="82" t="str">
        <f>astrogrep_path&amp;" /spath="&amp;search_path&amp;" /stypes=""app*"&amp;B104&amp;"*"&amp;TEXT(I104-utc_offset/24,"YYYYMMDD")&amp;"*"" /stext="" "&amp;TEXT(I104-utc_offset/24,"HH")&amp;search_regexp&amp;""" /e /r /s"</f>
        <v>"C:\Program Files (x86)\AstroGrep\AstroGrep.exe" /spath="%USERPROFILE%\AppData\Local\Temp\OnboardLogs" /stypes="app*4022*20170205*" /stext=" 22:.+((SYSTEM_STATE.+slice.+state.+changed )|(ment ac)|(multiple cpu faults)|(system.+state.+changed )|(\[timeout)|(PRM\|1\|D)|(kpr)|(kdp)|(\|lc)|(penalty))" /e /r /s</v>
      </c>
      <c r="AG104" s="1" t="str">
        <f>IFERROR(IF(VALUE(LEFT(AD104,2))&lt;=2,"EC",IF(OR(VALUE(LEFT(AD104,2))=8,VALUE(LEFT(AD104,2))=18),"NW","Other")),"Other")</f>
        <v>EC</v>
      </c>
      <c r="AH104" s="86" t="str">
        <f t="shared" si="7"/>
        <v>"%USERPROFILE%\Documents\GitHub\eaglep3\Utilities\RefineRTDCRunTimes.py" --tripid 191-05 --locoid 4022 --swversion DE.1.0.8.0 --startMP 204:438 --initTime 2017-02-05T14:55:09 --startdatetime 2017-02-05T15:00:31 --delay 1 --endMP 204:233317 --enddatetime 2017-02-05T15:40:00 --enforcementcount 0 &gt;&gt;C:\Users\stu\Documents\GitHub\eaglep3-reporting\EC\2017-02-05-refined-times.txt</v>
      </c>
      <c r="AI104" s="108" t="str">
        <f t="shared" si="8"/>
        <v>echo {"issue":{"subject":"","project_id":79,"tracker_id":40,"status_id":1,"priority_id":2,"assigned_to_id":23,"start_date":"2017-02-05","description":"","custom_fields":[{"id":1,"name":"Subdivision","value":"EC"},{"id":4,"name":"Milepost","value":"23.3317"},{"id":17,"name":"Train ID","value":"191-05"},{"id":16,"name":"Locomotive ID","value":"4022"},{"id":130,"name":"Impact","value":""},{"id":150,"name":"Time of Event (Mountain Time)","value":"15:40:00"},{"id":151,"name":"Denver Issue ID","value":""},{"id":178,"name":"Operational Impact","value":"Yes"},{"id":179,"name":"Denver Segment Assigned","value":""}]}} | curl -X POST -H "Content-Type: application/json" -H "X-Redmine-API-Key: d6333d4a04012a730768444271f8ca06482dae87" https://secure.xorail.net/redmine/issues.json --data @-</v>
      </c>
      <c r="AJ104" s="48"/>
      <c r="AK104" s="48"/>
      <c r="AL104" s="48"/>
      <c r="AM104" s="158" t="str">
        <f t="shared" si="9"/>
        <v>start /low /b %USERPROFILE%\Documents\GitHub\eaglep3\Utilities\DownloadLogsFromS3.py --loco 4022 --day 2017-02-05</v>
      </c>
      <c r="AN104" s="167" t="str">
        <f>"grep -SE -B400 ""CHR.+\|PRM\|1\|D.+(SWITCH|SIGNAL).+UNKNOWN"" "&amp;search_path&amp;"\RTDC"&amp;B104&amp;"\*"&amp;B104&amp;"*"&amp;TEXT(AVERAGE(F104,I104)-utc_offset/24,"YYYYMMDD")&amp;"* | grep -SE ""(Enforcement Action)|(\[TIMEOUT)|(CHR.+\|PRM\|1\|D.+(SWITCH|SIGNAL).+UNKNOWN)"" - &gt;&gt; "&amp;TEXT(Variables!$A$2,"YYYY-MM-DD")&amp;"-UncaughtWiMAX.txt"</f>
        <v>grep -SE -B400 "CHR.+\|PRM\|1\|D.+(SWITCH|SIGNAL).+UNKNOWN" "%USERPROFILE%\AppData\Local\Temp\OnboardLogs"\RTDC4022\*4022*20170205* | grep -SE "(Enforcement Action)|(\[TIMEOUT)|(CHR.+\|PRM\|1\|D.+(SWITCH|SIGNAL).+UNKNOWN)" - &gt;&gt; 2017-02-05-UncaughtWiMAX.txt</v>
      </c>
      <c r="AO104"/>
      <c r="AP104"/>
      <c r="AQ104"/>
      <c r="AR104"/>
      <c r="AS104"/>
      <c r="AT104"/>
      <c r="AU104"/>
      <c r="AV104"/>
      <c r="AW104"/>
      <c r="AX104"/>
      <c r="AY104"/>
      <c r="AZ104"/>
      <c r="BA104"/>
      <c r="BB104"/>
      <c r="BC104"/>
      <c r="BD104"/>
      <c r="BE104"/>
      <c r="BF104"/>
      <c r="BG104"/>
      <c r="BH104"/>
      <c r="BI104"/>
      <c r="BJ104"/>
      <c r="BK104"/>
      <c r="BL104"/>
      <c r="BM104"/>
      <c r="BN104"/>
      <c r="BO104"/>
      <c r="BP104"/>
      <c r="BQ104"/>
      <c r="BR104"/>
      <c r="BS104"/>
      <c r="BT104"/>
      <c r="BU104"/>
      <c r="BV104"/>
      <c r="BW104"/>
      <c r="BX104"/>
      <c r="BY104"/>
      <c r="BZ104"/>
      <c r="CA104"/>
      <c r="CB104"/>
      <c r="CC104"/>
      <c r="CD104"/>
      <c r="CE104"/>
      <c r="CF104"/>
      <c r="CG104"/>
      <c r="CH104"/>
      <c r="CI104"/>
      <c r="CJ104"/>
      <c r="CK104"/>
      <c r="CL104"/>
      <c r="CM104"/>
    </row>
    <row r="105" spans="1:91" s="20" customFormat="1" x14ac:dyDescent="0.25">
      <c r="A105" s="33" t="s">
        <v>667</v>
      </c>
      <c r="B105" s="7">
        <v>4021</v>
      </c>
      <c r="C105" s="21" t="s">
        <v>193</v>
      </c>
      <c r="D105" s="21" t="s">
        <v>308</v>
      </c>
      <c r="E105" s="13">
        <v>42771.66033564815</v>
      </c>
      <c r="F105" s="13">
        <v>42771.664050925923</v>
      </c>
      <c r="G105" s="7">
        <v>1</v>
      </c>
      <c r="H105" s="21" t="s">
        <v>417</v>
      </c>
      <c r="I105" s="13">
        <v>42771.690243055556</v>
      </c>
      <c r="J105" s="7">
        <v>0</v>
      </c>
      <c r="K105" s="98" t="str">
        <f>IF(ISEVEN(B105),(B105-1)&amp;"/"&amp;B105,B105&amp;"/"&amp;(B105+1))</f>
        <v>4021/4022</v>
      </c>
      <c r="L105" s="21" t="str">
        <f>VLOOKUP(A105,'Trips&amp;Operators'!$C$1:$G$99999,5,FALSE)</f>
        <v>LEVIN SCOTT</v>
      </c>
      <c r="M105" s="6">
        <f>I105-F105</f>
        <v>2.6192129633272998E-2</v>
      </c>
      <c r="N105" s="7">
        <f>24*60*SUM($M105:$M105)</f>
        <v>37.716666671913117</v>
      </c>
      <c r="O105" s="7"/>
      <c r="P105" s="7"/>
      <c r="Q105" s="22"/>
      <c r="R105" s="22"/>
      <c r="S105" s="31">
        <f>SUM(U105:U105)/IF(AG105="EC",12,1)</f>
        <v>1</v>
      </c>
      <c r="T105" s="46" t="str">
        <f>IF(ISEVEN(LEFT(AD105,4)),"Southbound","NorthBound")</f>
        <v>Southbound</v>
      </c>
      <c r="U105" s="190">
        <f>IF(AG105="EC",COUNTIFS(Variables!$M$2:$M$19,IF(T105="NorthBound","&gt;=","&lt;=")&amp;Y105,Variables!$M$2:$M$19,IF(T105="NorthBound","&lt;=","&gt;=")&amp;Z105),COUNTIFS(Variables!$P$2:$P$19,IF(T105="NorthBound","&gt;=","&lt;=")&amp;Y105,Variables!$P$2:$P$19,IF(T105="NorthBound","&lt;=","&gt;=")&amp;Z105))</f>
        <v>12</v>
      </c>
      <c r="V105" s="191" t="str">
        <f>"https://d0f6bd738d7f1b3e5a7ca70fe4ff75f0.us-east-1.aws.found.io/app/kibana#/discover/Steve-Slow-Train-Analysis-(2080s-and-2083s)?_g="&amp;"(refreshInterval:(display:Off,pause:!f,section:0,value:0),time:(from:'"&amp;TEXT(E105-1/24,"yyyy-MM-DDThh:mm:ss")&amp;utc_offset&amp;"00"&amp;"',mode:absolute,to:'"&amp;TEXT(I105+1/24,"yyyy-MM-DDThh:mm:ss")&amp;utc_offset&amp;"00"&amp;"'))&amp;_a=(columns:!('Locomotive+ID','Data.Head+End+Milepost',Data.Speed,'Data.Locomotive+State','Data.Train+ID',"&amp;"'Data.Warning%2FEnforcement+Type','Data.Target+Start+Milepost','Data.Target+Description','Data.Target+Speed',"&amp;"'Data.Enforcement+Train+Speed','Data.Enforcement+Start+Milepost','Data.Target+Type','Data.Enforcement+Direction+of+Travel','Message+ID',"&amp;"'Data.Body+of+Summary+Text','Data.Head+End+Track+name'),filters:!(),index:'emp_*',interval:auto,query:"&amp;"(query_string:(analyze_wildcard:!t,query:'Message%5C+ID:(2083+OR+2080+OR+1041+OR+2003+OR+1051+OR+1043+OR+1053)+AND+%22rtdc.l.rtdc."&amp;B105&amp;"%22')),sort:!(Time.ISO8601,asc))"</f>
        <v>https://d0f6bd738d7f1b3e5a7ca70fe4ff75f0.us-east-1.aws.found.io/app/kibana#/discover/Steve-Slow-Train-Analysis-(2080s-and-2083s)?_g=(refreshInterval:(display:Off,pause:!f,section:0,value:0),time:(from:'2017-02-05T14:50:53-0700',mode:absolute,to:'2017-02-05T17:33:57-0700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4021%22')),sort:!(Time.ISO8601,asc))</v>
      </c>
      <c r="W105" s="192" t="str">
        <f>IF(AA105&lt;IF(AG105="EC",23,5.65),"Y","N")</f>
        <v>N</v>
      </c>
      <c r="X105" s="192">
        <f>VALUE(LEFT(AD105,4))-VALUE(LEFT(AD104,4))</f>
        <v>1</v>
      </c>
      <c r="Y105" s="62">
        <f>RIGHT(D105,LEN(D105)-4)/10000</f>
        <v>23.299800000000001</v>
      </c>
      <c r="Z105" s="62">
        <f>RIGHT(H105,LEN(H105)-4)/10000</f>
        <v>1.1900000000000001E-2</v>
      </c>
      <c r="AA105" s="62">
        <f>ABS(Z105-Y105)</f>
        <v>23.2879</v>
      </c>
      <c r="AB105" s="59" t="e">
        <f>VLOOKUP(A105,Enforcements!$C$7:$K$16,8,0)</f>
        <v>#N/A</v>
      </c>
      <c r="AC105" s="55" t="e">
        <f>VLOOKUP(A105,Enforcements!$C$7:$E$16,3,0)</f>
        <v>#N/A</v>
      </c>
      <c r="AD105" s="56" t="str">
        <f>IF(LEN(A105)=6,"0"&amp;A105,A105)</f>
        <v>0192-05</v>
      </c>
      <c r="AE105" s="85" t="str">
        <f>"aws s3 cp "&amp;s3_bucket&amp;"/RTDC"&amp;B105&amp;"/ "&amp;search_path&amp;"\RTDC"&amp;B105&amp;"\"&amp;TEXT(F105,"YYYY-MM-DD")&amp;" --exclude ""*"" --recursive --include ""*"&amp;TEXT(F105,"YYYYMMDD")&amp;"*"" &amp; """&amp;walkandungz&amp;""" "&amp;search_path&amp;"\RTDC"&amp;B105&amp;"\"&amp;TEXT(F105,"YYYY-MM-DD")
&amp;" &amp; "&amp;"aws s3 cp "&amp;s3_bucket&amp;"/RTDC"&amp;B105&amp;"/ "&amp;search_path&amp;"\RTDC"&amp;B105&amp;"\"&amp;TEXT(F105+1,"YYYY-MM-DD")&amp;" --exclude ""*"" --recursive --include ""*"&amp;TEXT(F105+1,"YYYYMMDD")&amp;"*"" &amp; """&amp;walkandungz&amp;""" "&amp;search_path&amp;"\RTDC"&amp;B105&amp;"\"&amp;TEXT(F105+1,"YYYY-MM-DD")</f>
        <v>aws s3 cp s3://rtdc.mdm.uploadarchive.raw/RTDC4021/ "%USERPROFILE%\AppData\Local\Temp\OnboardLogs"\RTDC4021\2017-02-05 --exclude "*" --recursive --include "*20170205*" &amp; "%USERPROFILE%\Documents\GitHub\mrs-test-scripts\Headless Mode &amp; Sideloading\WalkAndUnGZ.bat" "%USERPROFILE%\AppData\Local\Temp\OnboardLogs"\RTDC4021\2017-02-05 &amp; aws s3 cp s3://rtdc.mdm.uploadarchive.raw/RTDC4021/ "%USERPROFILE%\AppData\Local\Temp\OnboardLogs"\RTDC4021\2017-02-06 --exclude "*" --recursive --include "*20170206*" &amp; "%USERPROFILE%\Documents\GitHub\mrs-test-scripts\Headless Mode &amp; Sideloading\WalkAndUnGZ.bat" "%USERPROFILE%\AppData\Local\Temp\OnboardLogs"\RTDC4021\2017-02-06</v>
      </c>
      <c r="AF105" s="82" t="str">
        <f>astrogrep_path&amp;" /spath="&amp;search_path&amp;" /stypes=""app*"&amp;B105&amp;"*"&amp;TEXT(I105-utc_offset/24,"YYYYMMDD")&amp;"*"" /stext="" "&amp;TEXT(I105-utc_offset/24,"HH")&amp;search_regexp&amp;""" /e /r /s"</f>
        <v>"C:\Program Files (x86)\AstroGrep\AstroGrep.exe" /spath="%USERPROFILE%\AppData\Local\Temp\OnboardLogs" /stypes="app*4021*20170205*" /stext=" 23:.+((SYSTEM_STATE.+slice.+state.+changed )|(ment ac)|(multiple cpu faults)|(system.+state.+changed )|(\[timeout)|(PRM\|1\|D)|(kpr)|(kdp)|(\|lc)|(penalty))" /e /r /s</v>
      </c>
      <c r="AG105" s="1" t="str">
        <f>IFERROR(IF(VALUE(LEFT(AD105,2))&lt;=2,"EC",IF(OR(VALUE(LEFT(AD105,2))=8,VALUE(LEFT(AD105,2))=18),"NW","Other")),"Other")</f>
        <v>EC</v>
      </c>
      <c r="AH105" s="86" t="str">
        <f t="shared" si="7"/>
        <v>"%USERPROFILE%\Documents\GitHub\eaglep3\Utilities\RefineRTDCRunTimes.py" --tripid 192-05 --locoid 4021 --swversion DE.1.0.8.0 --startMP 204:232998 --initTime 2017-02-05T15:50:53 --startdatetime 2017-02-05T15:56:14 --delay 1 --endMP 204:119 --enddatetime 2017-02-05T16:33:57 --enforcementcount 0 &gt;&gt;C:\Users\stu\Documents\GitHub\eaglep3-reporting\EC\2017-02-05-refined-times.txt</v>
      </c>
      <c r="AI105" s="108" t="str">
        <f t="shared" si="8"/>
        <v>echo {"issue":{"subject":"","project_id":79,"tracker_id":40,"status_id":1,"priority_id":2,"assigned_to_id":23,"start_date":"2017-02-05","description":"","custom_fields":[{"id":1,"name":"Subdivision","value":"EC"},{"id":4,"name":"Milepost","value":"0.0119"},{"id":17,"name":"Train ID","value":"192-05"},{"id":16,"name":"Locomotive ID","value":"4021"},{"id":130,"name":"Impact","value":""},{"id":150,"name":"Time of Event (Mountain Time)","value":"16:33:57"},{"id":151,"name":"Denver Issue ID","value":""},{"id":178,"name":"Operational Impact","value":"Yes"},{"id":179,"name":"Denver Segment Assigned","value":""}]}} | curl -X POST -H "Content-Type: application/json" -H "X-Redmine-API-Key: d6333d4a04012a730768444271f8ca06482dae87" https://secure.xorail.net/redmine/issues.json --data @-</v>
      </c>
      <c r="AJ105" s="48"/>
      <c r="AK105" s="48"/>
      <c r="AL105" s="48"/>
      <c r="AM105" s="158" t="str">
        <f t="shared" si="9"/>
        <v>start /low /b %USERPROFILE%\Documents\GitHub\eaglep3\Utilities\DownloadLogsFromS3.py --loco 4021 --day 2017-02-05</v>
      </c>
      <c r="AN105" s="167" t="str">
        <f>"grep -SE -B400 ""CHR.+\|PRM\|1\|D.+(SWITCH|SIGNAL).+UNKNOWN"" "&amp;search_path&amp;"\RTDC"&amp;B105&amp;"\*"&amp;B105&amp;"*"&amp;TEXT(AVERAGE(F105,I105)-utc_offset/24,"YYYYMMDD")&amp;"* | grep -SE ""(Enforcement Action)|(\[TIMEOUT)|(CHR.+\|PRM\|1\|D.+(SWITCH|SIGNAL).+UNKNOWN)"" - &gt;&gt; "&amp;TEXT(Variables!$A$2,"YYYY-MM-DD")&amp;"-UncaughtWiMAX.txt"</f>
        <v>grep -SE -B400 "CHR.+\|PRM\|1\|D.+(SWITCH|SIGNAL).+UNKNOWN" "%USERPROFILE%\AppData\Local\Temp\OnboardLogs"\RTDC4021\*4021*20170205* | grep -SE "(Enforcement Action)|(\[TIMEOUT)|(CHR.+\|PRM\|1\|D.+(SWITCH|SIGNAL).+UNKNOWN)" - &gt;&gt; 2017-02-05-UncaughtWiMAX.txt</v>
      </c>
      <c r="AO105"/>
      <c r="AP105"/>
      <c r="AQ105"/>
      <c r="AR105"/>
      <c r="AS105"/>
      <c r="AT105"/>
      <c r="AU105"/>
      <c r="AV105"/>
      <c r="AW105"/>
      <c r="AX105"/>
      <c r="AY105"/>
      <c r="AZ105"/>
      <c r="BA105"/>
      <c r="BB105"/>
      <c r="BC105"/>
      <c r="BD105"/>
      <c r="BE105"/>
      <c r="BF105"/>
      <c r="BG105"/>
      <c r="BH105"/>
      <c r="BI105"/>
      <c r="BJ105"/>
      <c r="BK105"/>
      <c r="BL105"/>
      <c r="BM105"/>
      <c r="BN105"/>
      <c r="BO105"/>
      <c r="BP105"/>
      <c r="BQ105"/>
      <c r="BR105"/>
      <c r="BS105"/>
      <c r="BT105"/>
      <c r="BU105"/>
      <c r="BV105"/>
      <c r="BW105"/>
      <c r="BX105"/>
      <c r="BY105"/>
      <c r="BZ105"/>
      <c r="CA105"/>
      <c r="CB105"/>
      <c r="CC105"/>
      <c r="CD105"/>
      <c r="CE105"/>
      <c r="CF105"/>
      <c r="CG105"/>
      <c r="CH105"/>
      <c r="CI105"/>
      <c r="CJ105"/>
      <c r="CK105"/>
      <c r="CL105"/>
      <c r="CM105"/>
    </row>
    <row r="106" spans="1:91" s="20" customFormat="1" x14ac:dyDescent="0.25">
      <c r="A106" s="33" t="s">
        <v>660</v>
      </c>
      <c r="B106" s="7">
        <v>4002</v>
      </c>
      <c r="C106" s="21" t="s">
        <v>193</v>
      </c>
      <c r="D106" s="21" t="s">
        <v>834</v>
      </c>
      <c r="E106" s="13">
        <v>42771.632939814815</v>
      </c>
      <c r="F106" s="13">
        <v>42771.635706018518</v>
      </c>
      <c r="G106" s="7">
        <v>1</v>
      </c>
      <c r="H106" s="21" t="s">
        <v>329</v>
      </c>
      <c r="I106" s="13">
        <v>42771.662152777775</v>
      </c>
      <c r="J106" s="7">
        <v>0</v>
      </c>
      <c r="K106" s="98" t="str">
        <f>IF(ISEVEN(B106),(B106-1)&amp;"/"&amp;B106,B106&amp;"/"&amp;(B106+1))</f>
        <v>4001/4002</v>
      </c>
      <c r="L106" s="21" t="str">
        <f>VLOOKUP(A106,'Trips&amp;Operators'!$C$1:$G$99999,5,FALSE)</f>
        <v>WHITED DUSTIN</v>
      </c>
      <c r="M106" s="6">
        <f>I106-F106</f>
        <v>2.6446759256941732E-2</v>
      </c>
      <c r="N106" s="7">
        <f>24*60*SUM($M106:$M106)</f>
        <v>38.083333329996094</v>
      </c>
      <c r="O106" s="7"/>
      <c r="P106" s="7"/>
      <c r="Q106" s="22"/>
      <c r="R106" s="22"/>
      <c r="S106" s="31">
        <f>SUM(U106:U106)/IF(AG106="EC",12,1)</f>
        <v>1</v>
      </c>
      <c r="T106" s="46" t="str">
        <f>IF(ISEVEN(LEFT(AD106,4)),"Southbound","NorthBound")</f>
        <v>NorthBound</v>
      </c>
      <c r="U106" s="190">
        <f>IF(AG106="EC",COUNTIFS(Variables!$M$2:$M$19,IF(T106="NorthBound","&gt;=","&lt;=")&amp;Y106,Variables!$M$2:$M$19,IF(T106="NorthBound","&lt;=","&gt;=")&amp;Z106),COUNTIFS(Variables!$P$2:$P$19,IF(T106="NorthBound","&gt;=","&lt;=")&amp;Y106,Variables!$P$2:$P$19,IF(T106="NorthBound","&lt;=","&gt;=")&amp;Z106))</f>
        <v>12</v>
      </c>
      <c r="V106" s="191" t="str">
        <f>"https://d0f6bd738d7f1b3e5a7ca70fe4ff75f0.us-east-1.aws.found.io/app/kibana#/discover/Steve-Slow-Train-Analysis-(2080s-and-2083s)?_g="&amp;"(refreshInterval:(display:Off,pause:!f,section:0,value:0),time:(from:'"&amp;TEXT(E106-1/24,"yyyy-MM-DDThh:mm:ss")&amp;utc_offset&amp;"00"&amp;"',mode:absolute,to:'"&amp;TEXT(I106+1/24,"yyyy-MM-DDThh:mm:ss")&amp;utc_offset&amp;"00"&amp;"'))&amp;_a=(columns:!('Locomotive+ID','Data.Head+End+Milepost',Data.Speed,'Data.Locomotive+State','Data.Train+ID',"&amp;"'Data.Warning%2FEnforcement+Type','Data.Target+Start+Milepost','Data.Target+Description','Data.Target+Speed',"&amp;"'Data.Enforcement+Train+Speed','Data.Enforcement+Start+Milepost','Data.Target+Type','Data.Enforcement+Direction+of+Travel','Message+ID',"&amp;"'Data.Body+of+Summary+Text','Data.Head+End+Track+name'),filters:!(),index:'emp_*',interval:auto,query:"&amp;"(query_string:(analyze_wildcard:!t,query:'Message%5C+ID:(2083+OR+2080+OR+1041+OR+2003+OR+1051+OR+1043+OR+1053)+AND+%22rtdc.l.rtdc."&amp;B106&amp;"%22')),sort:!(Time.ISO8601,asc))"</f>
        <v>https://d0f6bd738d7f1b3e5a7ca70fe4ff75f0.us-east-1.aws.found.io/app/kibana#/discover/Steve-Slow-Train-Analysis-(2080s-and-2083s)?_g=(refreshInterval:(display:Off,pause:!f,section:0,value:0),time:(from:'2017-02-05T14:11:26-0700',mode:absolute,to:'2017-02-05T16:53:30-0700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4002%22')),sort:!(Time.ISO8601,asc))</v>
      </c>
      <c r="W106" s="192" t="str">
        <f>IF(AA106&lt;IF(AG106="EC",23,5.65),"Y","N")</f>
        <v>N</v>
      </c>
      <c r="X106" s="192">
        <f>VALUE(LEFT(AD106,4))-VALUE(LEFT(AD105,4))</f>
        <v>1</v>
      </c>
      <c r="Y106" s="62">
        <f>RIGHT(D106,LEN(D106)-4)/10000</f>
        <v>5.0599999999999999E-2</v>
      </c>
      <c r="Z106" s="62">
        <f>RIGHT(H106,LEN(H106)-4)/10000</f>
        <v>23.3309</v>
      </c>
      <c r="AA106" s="62">
        <f>ABS(Z106-Y106)</f>
        <v>23.2803</v>
      </c>
      <c r="AB106" s="59" t="e">
        <f>VLOOKUP(A106,Enforcements!$C$7:$K$16,8,0)</f>
        <v>#N/A</v>
      </c>
      <c r="AC106" s="55" t="e">
        <f>VLOOKUP(A106,Enforcements!$C$7:$E$16,3,0)</f>
        <v>#N/A</v>
      </c>
      <c r="AD106" s="56" t="str">
        <f>IF(LEN(A106)=6,"0"&amp;A106,A106)</f>
        <v>0193-05</v>
      </c>
      <c r="AE106" s="85" t="str">
        <f>"aws s3 cp "&amp;s3_bucket&amp;"/RTDC"&amp;B106&amp;"/ "&amp;search_path&amp;"\RTDC"&amp;B106&amp;"\"&amp;TEXT(F106,"YYYY-MM-DD")&amp;" --exclude ""*"" --recursive --include ""*"&amp;TEXT(F106,"YYYYMMDD")&amp;"*"" &amp; """&amp;walkandungz&amp;""" "&amp;search_path&amp;"\RTDC"&amp;B106&amp;"\"&amp;TEXT(F106,"YYYY-MM-DD")
&amp;" &amp; "&amp;"aws s3 cp "&amp;s3_bucket&amp;"/RTDC"&amp;B106&amp;"/ "&amp;search_path&amp;"\RTDC"&amp;B106&amp;"\"&amp;TEXT(F106+1,"YYYY-MM-DD")&amp;" --exclude ""*"" --recursive --include ""*"&amp;TEXT(F106+1,"YYYYMMDD")&amp;"*"" &amp; """&amp;walkandungz&amp;""" "&amp;search_path&amp;"\RTDC"&amp;B106&amp;"\"&amp;TEXT(F106+1,"YYYY-MM-DD")</f>
        <v>aws s3 cp s3://rtdc.mdm.uploadarchive.raw/RTDC4002/ "%USERPROFILE%\AppData\Local\Temp\OnboardLogs"\RTDC4002\2017-02-05 --exclude "*" --recursive --include "*20170205*" &amp; "%USERPROFILE%\Documents\GitHub\mrs-test-scripts\Headless Mode &amp; Sideloading\WalkAndUnGZ.bat" "%USERPROFILE%\AppData\Local\Temp\OnboardLogs"\RTDC4002\2017-02-05 &amp; aws s3 cp s3://rtdc.mdm.uploadarchive.raw/RTDC4002/ "%USERPROFILE%\AppData\Local\Temp\OnboardLogs"\RTDC4002\2017-02-06 --exclude "*" --recursive --include "*20170206*" &amp; "%USERPROFILE%\Documents\GitHub\mrs-test-scripts\Headless Mode &amp; Sideloading\WalkAndUnGZ.bat" "%USERPROFILE%\AppData\Local\Temp\OnboardLogs"\RTDC4002\2017-02-06</v>
      </c>
      <c r="AF106" s="82" t="str">
        <f>astrogrep_path&amp;" /spath="&amp;search_path&amp;" /stypes=""app*"&amp;B106&amp;"*"&amp;TEXT(I106-utc_offset/24,"YYYYMMDD")&amp;"*"" /stext="" "&amp;TEXT(I106-utc_offset/24,"HH")&amp;search_regexp&amp;""" /e /r /s"</f>
        <v>"C:\Program Files (x86)\AstroGrep\AstroGrep.exe" /spath="%USERPROFILE%\AppData\Local\Temp\OnboardLogs" /stypes="app*4002*20170205*" /stext=" 22:.+((SYSTEM_STATE.+slice.+state.+changed )|(ment ac)|(multiple cpu faults)|(system.+state.+changed )|(\[timeout)|(PRM\|1\|D)|(kpr)|(kdp)|(\|lc)|(penalty))" /e /r /s</v>
      </c>
      <c r="AG106" s="1" t="str">
        <f>IFERROR(IF(VALUE(LEFT(AD106,2))&lt;=2,"EC",IF(OR(VALUE(LEFT(AD106,2))=8,VALUE(LEFT(AD106,2))=18),"NW","Other")),"Other")</f>
        <v>EC</v>
      </c>
      <c r="AH106" s="86" t="str">
        <f t="shared" si="7"/>
        <v>"%USERPROFILE%\Documents\GitHub\eaglep3\Utilities\RefineRTDCRunTimes.py" --tripid 193-05 --locoid 4002 --swversion DE.1.0.8.0 --startMP 204:506 --initTime 2017-02-05T15:11:26 --startdatetime 2017-02-05T15:15:25 --delay 1 --endMP 204:233309 --enddatetime 2017-02-05T15:53:30 --enforcementcount 0 &gt;&gt;C:\Users\stu\Documents\GitHub\eaglep3-reporting\EC\2017-02-05-refined-times.txt</v>
      </c>
      <c r="AI106" s="108" t="str">
        <f t="shared" si="8"/>
        <v>echo {"issue":{"subject":"","project_id":79,"tracker_id":40,"status_id":1,"priority_id":2,"assigned_to_id":23,"start_date":"2017-02-05","description":"","custom_fields":[{"id":1,"name":"Subdivision","value":"EC"},{"id":4,"name":"Milepost","value":"23.3309"},{"id":17,"name":"Train ID","value":"193-05"},{"id":16,"name":"Locomotive ID","value":"4002"},{"id":130,"name":"Impact","value":""},{"id":150,"name":"Time of Event (Mountain Time)","value":"15:53:30"},{"id":151,"name":"Denver Issue ID","value":""},{"id":178,"name":"Operational Impact","value":"Yes"},{"id":179,"name":"Denver Segment Assigned","value":""}]}} | curl -X POST -H "Content-Type: application/json" -H "X-Redmine-API-Key: d6333d4a04012a730768444271f8ca06482dae87" https://secure.xorail.net/redmine/issues.json --data @-</v>
      </c>
      <c r="AJ106" s="48"/>
      <c r="AK106" s="48"/>
      <c r="AL106" s="48"/>
      <c r="AM106" s="158" t="str">
        <f t="shared" si="9"/>
        <v>start /low /b %USERPROFILE%\Documents\GitHub\eaglep3\Utilities\DownloadLogsFromS3.py --loco 4002 --day 2017-02-05</v>
      </c>
      <c r="AN106" s="167" t="str">
        <f>"grep -SE -B400 ""CHR.+\|PRM\|1\|D.+(SWITCH|SIGNAL).+UNKNOWN"" "&amp;search_path&amp;"\RTDC"&amp;B106&amp;"\*"&amp;B106&amp;"*"&amp;TEXT(AVERAGE(F106,I106)-utc_offset/24,"YYYYMMDD")&amp;"* | grep -SE ""(Enforcement Action)|(\[TIMEOUT)|(CHR.+\|PRM\|1\|D.+(SWITCH|SIGNAL).+UNKNOWN)"" - &gt;&gt; "&amp;TEXT(Variables!$A$2,"YYYY-MM-DD")&amp;"-UncaughtWiMAX.txt"</f>
        <v>grep -SE -B400 "CHR.+\|PRM\|1\|D.+(SWITCH|SIGNAL).+UNKNOWN" "%USERPROFILE%\AppData\Local\Temp\OnboardLogs"\RTDC4002\*4002*20170205* | grep -SE "(Enforcement Action)|(\[TIMEOUT)|(CHR.+\|PRM\|1\|D.+(SWITCH|SIGNAL).+UNKNOWN)" - &gt;&gt; 2017-02-05-UncaughtWiMAX.txt</v>
      </c>
      <c r="AO106"/>
      <c r="AP106"/>
      <c r="AQ106"/>
      <c r="AR106"/>
      <c r="AS106"/>
      <c r="AT106"/>
      <c r="AU106"/>
      <c r="AV106"/>
      <c r="AW106"/>
      <c r="AX106"/>
      <c r="AY106"/>
      <c r="AZ106"/>
      <c r="BA106"/>
      <c r="BB106"/>
      <c r="BC106"/>
      <c r="BD106"/>
      <c r="BE106"/>
      <c r="BF106"/>
      <c r="BG106"/>
      <c r="BH106"/>
      <c r="BI106"/>
      <c r="BJ106"/>
      <c r="BK106"/>
      <c r="BL106"/>
      <c r="BM106"/>
      <c r="BN106"/>
      <c r="BO106"/>
      <c r="BP106"/>
      <c r="BQ106"/>
      <c r="BR106"/>
      <c r="BS106"/>
      <c r="BT106"/>
      <c r="BU106"/>
      <c r="BV106"/>
      <c r="BW106"/>
      <c r="BX106"/>
      <c r="BY106"/>
      <c r="BZ106"/>
      <c r="CA106"/>
      <c r="CB106"/>
      <c r="CC106"/>
      <c r="CD106"/>
      <c r="CE106"/>
      <c r="CF106"/>
      <c r="CG106"/>
      <c r="CH106"/>
      <c r="CI106"/>
      <c r="CJ106"/>
      <c r="CK106"/>
      <c r="CL106"/>
      <c r="CM106"/>
    </row>
    <row r="107" spans="1:91" s="20" customFormat="1" x14ac:dyDescent="0.25">
      <c r="A107" s="33" t="s">
        <v>669</v>
      </c>
      <c r="B107" s="7">
        <v>4001</v>
      </c>
      <c r="C107" s="21" t="s">
        <v>193</v>
      </c>
      <c r="D107" s="21" t="s">
        <v>283</v>
      </c>
      <c r="E107" s="13">
        <v>42771.66605324074</v>
      </c>
      <c r="F107" s="13">
        <v>42771.674756944441</v>
      </c>
      <c r="G107" s="7">
        <v>1</v>
      </c>
      <c r="H107" s="21" t="s">
        <v>835</v>
      </c>
      <c r="I107" s="13">
        <v>42771.702106481483</v>
      </c>
      <c r="J107" s="7">
        <v>0</v>
      </c>
      <c r="K107" s="98" t="str">
        <f>IF(ISEVEN(B107),(B107-1)&amp;"/"&amp;B107,B107&amp;"/"&amp;(B107+1))</f>
        <v>4001/4002</v>
      </c>
      <c r="L107" s="21" t="str">
        <f>VLOOKUP(A107,'Trips&amp;Operators'!$C$1:$G$99999,5,FALSE)</f>
        <v>LALONDE GREGORY</v>
      </c>
      <c r="M107" s="6">
        <f>I107-F107</f>
        <v>2.7349537042027805E-2</v>
      </c>
      <c r="N107" s="7">
        <f>24*60*SUM($M107:$M107)</f>
        <v>39.383333340520039</v>
      </c>
      <c r="O107" s="7"/>
      <c r="P107" s="7"/>
      <c r="Q107" s="22"/>
      <c r="R107" s="22"/>
      <c r="S107" s="31">
        <f>SUM(U107:U107)/IF(AG107="EC",12,1)</f>
        <v>1</v>
      </c>
      <c r="T107" s="46" t="str">
        <f>IF(ISEVEN(LEFT(AD107,4)),"Southbound","NorthBound")</f>
        <v>Southbound</v>
      </c>
      <c r="U107" s="190">
        <f>IF(AG107="EC",COUNTIFS(Variables!$M$2:$M$19,IF(T107="NorthBound","&gt;=","&lt;=")&amp;Y107,Variables!$M$2:$M$19,IF(T107="NorthBound","&lt;=","&gt;=")&amp;Z107),COUNTIFS(Variables!$P$2:$P$19,IF(T107="NorthBound","&gt;=","&lt;=")&amp;Y107,Variables!$P$2:$P$19,IF(T107="NorthBound","&lt;=","&gt;=")&amp;Z107))</f>
        <v>12</v>
      </c>
      <c r="V107" s="191" t="str">
        <f>"https://d0f6bd738d7f1b3e5a7ca70fe4ff75f0.us-east-1.aws.found.io/app/kibana#/discover/Steve-Slow-Train-Analysis-(2080s-and-2083s)?_g="&amp;"(refreshInterval:(display:Off,pause:!f,section:0,value:0),time:(from:'"&amp;TEXT(E107-1/24,"yyyy-MM-DDThh:mm:ss")&amp;utc_offset&amp;"00"&amp;"',mode:absolute,to:'"&amp;TEXT(I107+1/24,"yyyy-MM-DDThh:mm:ss")&amp;utc_offset&amp;"00"&amp;"'))&amp;_a=(columns:!('Locomotive+ID','Data.Head+End+Milepost',Data.Speed,'Data.Locomotive+State','Data.Train+ID',"&amp;"'Data.Warning%2FEnforcement+Type','Data.Target+Start+Milepost','Data.Target+Description','Data.Target+Speed',"&amp;"'Data.Enforcement+Train+Speed','Data.Enforcement+Start+Milepost','Data.Target+Type','Data.Enforcement+Direction+of+Travel','Message+ID',"&amp;"'Data.Body+of+Summary+Text','Data.Head+End+Track+name'),filters:!(),index:'emp_*',interval:auto,query:"&amp;"(query_string:(analyze_wildcard:!t,query:'Message%5C+ID:(2083+OR+2080+OR+1041+OR+2003+OR+1051+OR+1043+OR+1053)+AND+%22rtdc.l.rtdc."&amp;B107&amp;"%22')),sort:!(Time.ISO8601,asc))"</f>
        <v>https://d0f6bd738d7f1b3e5a7ca70fe4ff75f0.us-east-1.aws.found.io/app/kibana#/discover/Steve-Slow-Train-Analysis-(2080s-and-2083s)?_g=(refreshInterval:(display:Off,pause:!f,section:0,value:0),time:(from:'2017-02-05T14:59:07-0700',mode:absolute,to:'2017-02-05T17:51:02-0700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4001%22')),sort:!(Time.ISO8601,asc))</v>
      </c>
      <c r="W107" s="192" t="str">
        <f>IF(AA107&lt;IF(AG107="EC",23,5.65),"Y","N")</f>
        <v>N</v>
      </c>
      <c r="X107" s="192">
        <f>VALUE(LEFT(AD107,4))-VALUE(LEFT(AD106,4))</f>
        <v>1</v>
      </c>
      <c r="Y107" s="62">
        <f>RIGHT(D107,LEN(D107)-4)/10000</f>
        <v>23.298200000000001</v>
      </c>
      <c r="Z107" s="62">
        <f>RIGHT(H107,LEN(H107)-4)/10000</f>
        <v>9.6199999999999994E-2</v>
      </c>
      <c r="AA107" s="62">
        <f>ABS(Z107-Y107)</f>
        <v>23.202000000000002</v>
      </c>
      <c r="AB107" s="59" t="e">
        <f>VLOOKUP(A107,Enforcements!$C$7:$K$16,8,0)</f>
        <v>#N/A</v>
      </c>
      <c r="AC107" s="55" t="e">
        <f>VLOOKUP(A107,Enforcements!$C$7:$E$16,3,0)</f>
        <v>#N/A</v>
      </c>
      <c r="AD107" s="56" t="str">
        <f>IF(LEN(A107)=6,"0"&amp;A107,A107)</f>
        <v>0194-05</v>
      </c>
      <c r="AE107" s="85" t="str">
        <f>"aws s3 cp "&amp;s3_bucket&amp;"/RTDC"&amp;B107&amp;"/ "&amp;search_path&amp;"\RTDC"&amp;B107&amp;"\"&amp;TEXT(F107,"YYYY-MM-DD")&amp;" --exclude ""*"" --recursive --include ""*"&amp;TEXT(F107,"YYYYMMDD")&amp;"*"" &amp; """&amp;walkandungz&amp;""" "&amp;search_path&amp;"\RTDC"&amp;B107&amp;"\"&amp;TEXT(F107,"YYYY-MM-DD")
&amp;" &amp; "&amp;"aws s3 cp "&amp;s3_bucket&amp;"/RTDC"&amp;B107&amp;"/ "&amp;search_path&amp;"\RTDC"&amp;B107&amp;"\"&amp;TEXT(F107+1,"YYYY-MM-DD")&amp;" --exclude ""*"" --recursive --include ""*"&amp;TEXT(F107+1,"YYYYMMDD")&amp;"*"" &amp; """&amp;walkandungz&amp;""" "&amp;search_path&amp;"\RTDC"&amp;B107&amp;"\"&amp;TEXT(F107+1,"YYYY-MM-DD")</f>
        <v>aws s3 cp s3://rtdc.mdm.uploadarchive.raw/RTDC4001/ "%USERPROFILE%\AppData\Local\Temp\OnboardLogs"\RTDC4001\2017-02-05 --exclude "*" --recursive --include "*20170205*" &amp; "%USERPROFILE%\Documents\GitHub\mrs-test-scripts\Headless Mode &amp; Sideloading\WalkAndUnGZ.bat" "%USERPROFILE%\AppData\Local\Temp\OnboardLogs"\RTDC4001\2017-02-05 &amp; aws s3 cp s3://rtdc.mdm.uploadarchive.raw/RTDC4001/ "%USERPROFILE%\AppData\Local\Temp\OnboardLogs"\RTDC4001\2017-02-06 --exclude "*" --recursive --include "*20170206*" &amp; "%USERPROFILE%\Documents\GitHub\mrs-test-scripts\Headless Mode &amp; Sideloading\WalkAndUnGZ.bat" "%USERPROFILE%\AppData\Local\Temp\OnboardLogs"\RTDC4001\2017-02-06</v>
      </c>
      <c r="AF107" s="82" t="str">
        <f>astrogrep_path&amp;" /spath="&amp;search_path&amp;" /stypes=""app*"&amp;B107&amp;"*"&amp;TEXT(I107-utc_offset/24,"YYYYMMDD")&amp;"*"" /stext="" "&amp;TEXT(I107-utc_offset/24,"HH")&amp;search_regexp&amp;""" /e /r /s"</f>
        <v>"C:\Program Files (x86)\AstroGrep\AstroGrep.exe" /spath="%USERPROFILE%\AppData\Local\Temp\OnboardLogs" /stypes="app*4001*20170205*" /stext=" 23:.+((SYSTEM_STATE.+slice.+state.+changed )|(ment ac)|(multiple cpu faults)|(system.+state.+changed )|(\[timeout)|(PRM\|1\|D)|(kpr)|(kdp)|(\|lc)|(penalty))" /e /r /s</v>
      </c>
      <c r="AG107" s="1" t="str">
        <f>IFERROR(IF(VALUE(LEFT(AD107,2))&lt;=2,"EC",IF(OR(VALUE(LEFT(AD107,2))=8,VALUE(LEFT(AD107,2))=18),"NW","Other")),"Other")</f>
        <v>EC</v>
      </c>
      <c r="AH107" s="86" t="str">
        <f t="shared" si="7"/>
        <v>"%USERPROFILE%\Documents\GitHub\eaglep3\Utilities\RefineRTDCRunTimes.py" --tripid 194-05 --locoid 4001 --swversion DE.1.0.8.0 --startMP 204:232982 --initTime 2017-02-05T15:59:07 --startdatetime 2017-02-05T16:11:39 --delay 1 --endMP 204:962 --enddatetime 2017-02-05T16:51:02 --enforcementcount 0 &gt;&gt;C:\Users\stu\Documents\GitHub\eaglep3-reporting\EC\2017-02-05-refined-times.txt</v>
      </c>
      <c r="AI107" s="108" t="str">
        <f t="shared" si="8"/>
        <v>echo {"issue":{"subject":"","project_id":79,"tracker_id":40,"status_id":1,"priority_id":2,"assigned_to_id":23,"start_date":"2017-02-05","description":"","custom_fields":[{"id":1,"name":"Subdivision","value":"EC"},{"id":4,"name":"Milepost","value":"0.0962"},{"id":17,"name":"Train ID","value":"194-05"},{"id":16,"name":"Locomotive ID","value":"4001"},{"id":130,"name":"Impact","value":""},{"id":150,"name":"Time of Event (Mountain Time)","value":"16:51:02"},{"id":151,"name":"Denver Issue ID","value":""},{"id":178,"name":"Operational Impact","value":"Yes"},{"id":179,"name":"Denver Segment Assigned","value":""}]}} | curl -X POST -H "Content-Type: application/json" -H "X-Redmine-API-Key: d6333d4a04012a730768444271f8ca06482dae87" https://secure.xorail.net/redmine/issues.json --data @-</v>
      </c>
      <c r="AJ107" s="48"/>
      <c r="AK107" s="48"/>
      <c r="AL107" s="48"/>
      <c r="AM107" s="158" t="str">
        <f t="shared" si="9"/>
        <v>start /low /b %USERPROFILE%\Documents\GitHub\eaglep3\Utilities\DownloadLogsFromS3.py --loco 4001 --day 2017-02-05</v>
      </c>
      <c r="AN107" s="167" t="str">
        <f>"grep -SE -B400 ""CHR.+\|PRM\|1\|D.+(SWITCH|SIGNAL).+UNKNOWN"" "&amp;search_path&amp;"\RTDC"&amp;B107&amp;"\*"&amp;B107&amp;"*"&amp;TEXT(AVERAGE(F107,I107)-utc_offset/24,"YYYYMMDD")&amp;"* | grep -SE ""(Enforcement Action)|(\[TIMEOUT)|(CHR.+\|PRM\|1\|D.+(SWITCH|SIGNAL).+UNKNOWN)"" - &gt;&gt; "&amp;TEXT(Variables!$A$2,"YYYY-MM-DD")&amp;"-UncaughtWiMAX.txt"</f>
        <v>grep -SE -B400 "CHR.+\|PRM\|1\|D.+(SWITCH|SIGNAL).+UNKNOWN" "%USERPROFILE%\AppData\Local\Temp\OnboardLogs"\RTDC4001\*4001*20170205* | grep -SE "(Enforcement Action)|(\[TIMEOUT)|(CHR.+\|PRM\|1\|D.+(SWITCH|SIGNAL).+UNKNOWN)" - &gt;&gt; 2017-02-05-UncaughtWiMAX.txt</v>
      </c>
      <c r="AO107"/>
      <c r="AP107"/>
      <c r="AQ107"/>
      <c r="AR107"/>
      <c r="AS107"/>
      <c r="AT107"/>
      <c r="AU107"/>
      <c r="AV107"/>
      <c r="AW107"/>
      <c r="AX107"/>
      <c r="AY107"/>
      <c r="AZ107"/>
      <c r="BA107"/>
      <c r="BB107"/>
      <c r="BC107"/>
      <c r="BD107"/>
      <c r="BE107"/>
      <c r="BF107"/>
      <c r="BG107"/>
      <c r="BH107"/>
      <c r="BI107"/>
      <c r="BJ107"/>
      <c r="BK107"/>
      <c r="BL107"/>
      <c r="BM107"/>
      <c r="BN107"/>
      <c r="BO107"/>
      <c r="BP107"/>
      <c r="BQ107"/>
      <c r="BR107"/>
      <c r="BS107"/>
      <c r="BT107"/>
      <c r="BU107"/>
      <c r="BV107"/>
      <c r="BW107"/>
      <c r="BX107"/>
      <c r="BY107"/>
      <c r="BZ107"/>
      <c r="CA107"/>
      <c r="CB107"/>
      <c r="CC107"/>
      <c r="CD107"/>
      <c r="CE107"/>
      <c r="CF107"/>
      <c r="CG107"/>
      <c r="CH107"/>
      <c r="CI107"/>
      <c r="CJ107"/>
      <c r="CK107"/>
      <c r="CL107"/>
      <c r="CM107"/>
    </row>
    <row r="108" spans="1:91" s="20" customFormat="1" x14ac:dyDescent="0.25">
      <c r="A108" s="33" t="s">
        <v>663</v>
      </c>
      <c r="B108" s="7">
        <v>4031</v>
      </c>
      <c r="C108" s="21" t="s">
        <v>193</v>
      </c>
      <c r="D108" s="21" t="s">
        <v>836</v>
      </c>
      <c r="E108" s="13">
        <v>42771.64435185185</v>
      </c>
      <c r="F108" s="13">
        <v>42771.646018518521</v>
      </c>
      <c r="G108" s="7">
        <v>1</v>
      </c>
      <c r="H108" s="21" t="s">
        <v>837</v>
      </c>
      <c r="I108" s="13">
        <v>42771.671469907407</v>
      </c>
      <c r="J108" s="7">
        <v>0</v>
      </c>
      <c r="K108" s="98" t="str">
        <f>IF(ISEVEN(B108),(B108-1)&amp;"/"&amp;B108,B108&amp;"/"&amp;(B108+1))</f>
        <v>4031/4032</v>
      </c>
      <c r="L108" s="21" t="str">
        <f>VLOOKUP(A108,'Trips&amp;Operators'!$C$1:$G$99999,5,FALSE)</f>
        <v>CRAYTON QUNTRELL</v>
      </c>
      <c r="M108" s="6">
        <f>I108-F108</f>
        <v>2.545138888672227E-2</v>
      </c>
      <c r="N108" s="7">
        <f>24*60*SUM($M108:$M108)</f>
        <v>36.649999996880069</v>
      </c>
      <c r="O108" s="7"/>
      <c r="P108" s="7"/>
      <c r="Q108" s="22"/>
      <c r="R108" s="22"/>
      <c r="S108" s="31">
        <f>SUM(U108:U108)/IF(AG108="EC",12,1)</f>
        <v>1</v>
      </c>
      <c r="T108" s="46" t="str">
        <f>IF(ISEVEN(LEFT(AD108,4)),"Southbound","NorthBound")</f>
        <v>NorthBound</v>
      </c>
      <c r="U108" s="190">
        <f>IF(AG108="EC",COUNTIFS(Variables!$M$2:$M$19,IF(T108="NorthBound","&gt;=","&lt;=")&amp;Y108,Variables!$M$2:$M$19,IF(T108="NorthBound","&lt;=","&gt;=")&amp;Z108),COUNTIFS(Variables!$P$2:$P$19,IF(T108="NorthBound","&gt;=","&lt;=")&amp;Y108,Variables!$P$2:$P$19,IF(T108="NorthBound","&lt;=","&gt;=")&amp;Z108))</f>
        <v>12</v>
      </c>
      <c r="V108" s="191" t="str">
        <f>"https://d0f6bd738d7f1b3e5a7ca70fe4ff75f0.us-east-1.aws.found.io/app/kibana#/discover/Steve-Slow-Train-Analysis-(2080s-and-2083s)?_g="&amp;"(refreshInterval:(display:Off,pause:!f,section:0,value:0),time:(from:'"&amp;TEXT(E108-1/24,"yyyy-MM-DDThh:mm:ss")&amp;utc_offset&amp;"00"&amp;"',mode:absolute,to:'"&amp;TEXT(I108+1/24,"yyyy-MM-DDThh:mm:ss")&amp;utc_offset&amp;"00"&amp;"'))&amp;_a=(columns:!('Locomotive+ID','Data.Head+End+Milepost',Data.Speed,'Data.Locomotive+State','Data.Train+ID',"&amp;"'Data.Warning%2FEnforcement+Type','Data.Target+Start+Milepost','Data.Target+Description','Data.Target+Speed',"&amp;"'Data.Enforcement+Train+Speed','Data.Enforcement+Start+Milepost','Data.Target+Type','Data.Enforcement+Direction+of+Travel','Message+ID',"&amp;"'Data.Body+of+Summary+Text','Data.Head+End+Track+name'),filters:!(),index:'emp_*',interval:auto,query:"&amp;"(query_string:(analyze_wildcard:!t,query:'Message%5C+ID:(2083+OR+2080+OR+1041+OR+2003+OR+1051+OR+1043+OR+1053)+AND+%22rtdc.l.rtdc."&amp;B108&amp;"%22')),sort:!(Time.ISO8601,asc))"</f>
        <v>https://d0f6bd738d7f1b3e5a7ca70fe4ff75f0.us-east-1.aws.found.io/app/kibana#/discover/Steve-Slow-Train-Analysis-(2080s-and-2083s)?_g=(refreshInterval:(display:Off,pause:!f,section:0,value:0),time:(from:'2017-02-05T14:27:52-0700',mode:absolute,to:'2017-02-05T17:06:55-0700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4031%22')),sort:!(Time.ISO8601,asc))</v>
      </c>
      <c r="W108" s="192" t="str">
        <f>IF(AA108&lt;IF(AG108="EC",23,5.65),"Y","N")</f>
        <v>N</v>
      </c>
      <c r="X108" s="192">
        <f>VALUE(LEFT(AD108,4))-VALUE(LEFT(AD107,4))</f>
        <v>1</v>
      </c>
      <c r="Y108" s="62">
        <f>RIGHT(D108,LEN(D108)-4)/10000</f>
        <v>4.9099999999999998E-2</v>
      </c>
      <c r="Z108" s="62">
        <f>RIGHT(H108,LEN(H108)-4)/10000</f>
        <v>23.329499999999999</v>
      </c>
      <c r="AA108" s="62">
        <f>ABS(Z108-Y108)</f>
        <v>23.2804</v>
      </c>
      <c r="AB108" s="59" t="e">
        <f>VLOOKUP(A108,Enforcements!$C$7:$K$16,8,0)</f>
        <v>#N/A</v>
      </c>
      <c r="AC108" s="55" t="e">
        <f>VLOOKUP(A108,Enforcements!$C$7:$E$16,3,0)</f>
        <v>#N/A</v>
      </c>
      <c r="AD108" s="56" t="str">
        <f>IF(LEN(A108)=6,"0"&amp;A108,A108)</f>
        <v>0195-05</v>
      </c>
      <c r="AE108" s="85" t="str">
        <f>"aws s3 cp "&amp;s3_bucket&amp;"/RTDC"&amp;B108&amp;"/ "&amp;search_path&amp;"\RTDC"&amp;B108&amp;"\"&amp;TEXT(F108,"YYYY-MM-DD")&amp;" --exclude ""*"" --recursive --include ""*"&amp;TEXT(F108,"YYYYMMDD")&amp;"*"" &amp; """&amp;walkandungz&amp;""" "&amp;search_path&amp;"\RTDC"&amp;B108&amp;"\"&amp;TEXT(F108,"YYYY-MM-DD")
&amp;" &amp; "&amp;"aws s3 cp "&amp;s3_bucket&amp;"/RTDC"&amp;B108&amp;"/ "&amp;search_path&amp;"\RTDC"&amp;B108&amp;"\"&amp;TEXT(F108+1,"YYYY-MM-DD")&amp;" --exclude ""*"" --recursive --include ""*"&amp;TEXT(F108+1,"YYYYMMDD")&amp;"*"" &amp; """&amp;walkandungz&amp;""" "&amp;search_path&amp;"\RTDC"&amp;B108&amp;"\"&amp;TEXT(F108+1,"YYYY-MM-DD")</f>
        <v>aws s3 cp s3://rtdc.mdm.uploadarchive.raw/RTDC4031/ "%USERPROFILE%\AppData\Local\Temp\OnboardLogs"\RTDC4031\2017-02-05 --exclude "*" --recursive --include "*20170205*" &amp; "%USERPROFILE%\Documents\GitHub\mrs-test-scripts\Headless Mode &amp; Sideloading\WalkAndUnGZ.bat" "%USERPROFILE%\AppData\Local\Temp\OnboardLogs"\RTDC4031\2017-02-05 &amp; aws s3 cp s3://rtdc.mdm.uploadarchive.raw/RTDC4031/ "%USERPROFILE%\AppData\Local\Temp\OnboardLogs"\RTDC4031\2017-02-06 --exclude "*" --recursive --include "*20170206*" &amp; "%USERPROFILE%\Documents\GitHub\mrs-test-scripts\Headless Mode &amp; Sideloading\WalkAndUnGZ.bat" "%USERPROFILE%\AppData\Local\Temp\OnboardLogs"\RTDC4031\2017-02-06</v>
      </c>
      <c r="AF108" s="82" t="str">
        <f>astrogrep_path&amp;" /spath="&amp;search_path&amp;" /stypes=""app*"&amp;B108&amp;"*"&amp;TEXT(I108-utc_offset/24,"YYYYMMDD")&amp;"*"" /stext="" "&amp;TEXT(I108-utc_offset/24,"HH")&amp;search_regexp&amp;""" /e /r /s"</f>
        <v>"C:\Program Files (x86)\AstroGrep\AstroGrep.exe" /spath="%USERPROFILE%\AppData\Local\Temp\OnboardLogs" /stypes="app*4031*20170205*" /stext=" 23:.+((SYSTEM_STATE.+slice.+state.+changed )|(ment ac)|(multiple cpu faults)|(system.+state.+changed )|(\[timeout)|(PRM\|1\|D)|(kpr)|(kdp)|(\|lc)|(penalty))" /e /r /s</v>
      </c>
      <c r="AG108" s="1" t="str">
        <f>IFERROR(IF(VALUE(LEFT(AD108,2))&lt;=2,"EC",IF(OR(VALUE(LEFT(AD108,2))=8,VALUE(LEFT(AD108,2))=18),"NW","Other")),"Other")</f>
        <v>EC</v>
      </c>
      <c r="AH108" s="86" t="str">
        <f t="shared" si="7"/>
        <v>"%USERPROFILE%\Documents\GitHub\eaglep3\Utilities\RefineRTDCRunTimes.py" --tripid 195-05 --locoid 4031 --swversion DE.1.0.8.0 --startMP 204:491 --initTime 2017-02-05T15:27:52 --startdatetime 2017-02-05T15:30:16 --delay 1 --endMP 204:233295 --enddatetime 2017-02-05T16:06:55 --enforcementcount 0 &gt;&gt;C:\Users\stu\Documents\GitHub\eaglep3-reporting\EC\2017-02-05-refined-times.txt</v>
      </c>
      <c r="AI108" s="108" t="str">
        <f t="shared" si="8"/>
        <v>echo {"issue":{"subject":"","project_id":79,"tracker_id":40,"status_id":1,"priority_id":2,"assigned_to_id":23,"start_date":"2017-02-05","description":"","custom_fields":[{"id":1,"name":"Subdivision","value":"EC"},{"id":4,"name":"Milepost","value":"23.3295"},{"id":17,"name":"Train ID","value":"195-05"},{"id":16,"name":"Locomotive ID","value":"4031"},{"id":130,"name":"Impact","value":""},{"id":150,"name":"Time of Event (Mountain Time)","value":"16:06:55"},{"id":151,"name":"Denver Issue ID","value":""},{"id":178,"name":"Operational Impact","value":"Yes"},{"id":179,"name":"Denver Segment Assigned","value":""}]}} | curl -X POST -H "Content-Type: application/json" -H "X-Redmine-API-Key: d6333d4a04012a730768444271f8ca06482dae87" https://secure.xorail.net/redmine/issues.json --data @-</v>
      </c>
      <c r="AJ108" s="48"/>
      <c r="AK108" s="48"/>
      <c r="AL108" s="48"/>
      <c r="AM108" s="158" t="str">
        <f t="shared" si="9"/>
        <v>start /low /b %USERPROFILE%\Documents\GitHub\eaglep3\Utilities\DownloadLogsFromS3.py --loco 4031 --day 2017-02-05</v>
      </c>
      <c r="AN108" s="167" t="str">
        <f>"grep -SE -B400 ""CHR.+\|PRM\|1\|D.+(SWITCH|SIGNAL).+UNKNOWN"" "&amp;search_path&amp;"\RTDC"&amp;B108&amp;"\*"&amp;B108&amp;"*"&amp;TEXT(AVERAGE(F108,I108)-utc_offset/24,"YYYYMMDD")&amp;"* | grep -SE ""(Enforcement Action)|(\[TIMEOUT)|(CHR.+\|PRM\|1\|D.+(SWITCH|SIGNAL).+UNKNOWN)"" - &gt;&gt; "&amp;TEXT(Variables!$A$2,"YYYY-MM-DD")&amp;"-UncaughtWiMAX.txt"</f>
        <v>grep -SE -B400 "CHR.+\|PRM\|1\|D.+(SWITCH|SIGNAL).+UNKNOWN" "%USERPROFILE%\AppData\Local\Temp\OnboardLogs"\RTDC4031\*4031*20170205* | grep -SE "(Enforcement Action)|(\[TIMEOUT)|(CHR.+\|PRM\|1\|D.+(SWITCH|SIGNAL).+UNKNOWN)" - &gt;&gt; 2017-02-05-UncaughtWiMAX.txt</v>
      </c>
      <c r="AO108"/>
      <c r="AP108"/>
      <c r="AQ108"/>
      <c r="AR108"/>
      <c r="AS108"/>
      <c r="AT108"/>
      <c r="AU108"/>
      <c r="AV108"/>
      <c r="AW108"/>
      <c r="AX108"/>
      <c r="AY108"/>
      <c r="AZ108"/>
      <c r="BA108"/>
      <c r="BB108"/>
      <c r="BC108"/>
      <c r="BD108"/>
      <c r="BE108"/>
      <c r="BF108"/>
      <c r="BG108"/>
      <c r="BH108"/>
      <c r="BI108"/>
      <c r="BJ108"/>
      <c r="BK108"/>
      <c r="BL108"/>
      <c r="BM108"/>
      <c r="BN108"/>
      <c r="BO108"/>
      <c r="BP108"/>
      <c r="BQ108"/>
      <c r="BR108"/>
      <c r="BS108"/>
      <c r="BT108"/>
      <c r="BU108"/>
      <c r="BV108"/>
      <c r="BW108"/>
      <c r="BX108"/>
      <c r="BY108"/>
      <c r="BZ108"/>
      <c r="CA108"/>
      <c r="CB108"/>
      <c r="CC108"/>
      <c r="CD108"/>
      <c r="CE108"/>
      <c r="CF108"/>
      <c r="CG108"/>
      <c r="CH108"/>
      <c r="CI108"/>
      <c r="CJ108"/>
      <c r="CK108"/>
      <c r="CL108"/>
      <c r="CM108"/>
    </row>
    <row r="109" spans="1:91" s="20" customFormat="1" x14ac:dyDescent="0.25">
      <c r="A109" s="33" t="s">
        <v>670</v>
      </c>
      <c r="B109" s="7">
        <v>4032</v>
      </c>
      <c r="C109" s="21" t="s">
        <v>193</v>
      </c>
      <c r="D109" s="21" t="s">
        <v>308</v>
      </c>
      <c r="E109" s="13">
        <v>42771.67628472222</v>
      </c>
      <c r="F109" s="13">
        <v>42771.684907407405</v>
      </c>
      <c r="G109" s="7">
        <v>1</v>
      </c>
      <c r="H109" s="21" t="s">
        <v>212</v>
      </c>
      <c r="I109" s="13">
        <v>42771.711736111109</v>
      </c>
      <c r="J109" s="7">
        <v>0</v>
      </c>
      <c r="K109" s="98" t="str">
        <f>IF(ISEVEN(B109),(B109-1)&amp;"/"&amp;B109,B109&amp;"/"&amp;(B109+1))</f>
        <v>4031/4032</v>
      </c>
      <c r="L109" s="21" t="str">
        <f>VLOOKUP(A109,'Trips&amp;Operators'!$C$1:$G$99999,5,FALSE)</f>
        <v>CRAYTON QUNTRELL</v>
      </c>
      <c r="M109" s="6">
        <f>I109-F109</f>
        <v>2.6828703703358769E-2</v>
      </c>
      <c r="N109" s="7">
        <f>24*60*SUM($M109:$M109)</f>
        <v>38.633333332836628</v>
      </c>
      <c r="O109" s="7"/>
      <c r="P109" s="7"/>
      <c r="Q109" s="22"/>
      <c r="R109" s="22"/>
      <c r="S109" s="31">
        <f>SUM(U109:U109)/IF(AG109="EC",12,1)</f>
        <v>1</v>
      </c>
      <c r="T109" s="46" t="str">
        <f>IF(ISEVEN(LEFT(AD109,4)),"Southbound","NorthBound")</f>
        <v>Southbound</v>
      </c>
      <c r="U109" s="190">
        <f>IF(AG109="EC",COUNTIFS(Variables!$M$2:$M$19,IF(T109="NorthBound","&gt;=","&lt;=")&amp;Y109,Variables!$M$2:$M$19,IF(T109="NorthBound","&lt;=","&gt;=")&amp;Z109),COUNTIFS(Variables!$P$2:$P$19,IF(T109="NorthBound","&gt;=","&lt;=")&amp;Y109,Variables!$P$2:$P$19,IF(T109="NorthBound","&lt;=","&gt;=")&amp;Z109))</f>
        <v>12</v>
      </c>
      <c r="V109" s="191" t="str">
        <f>"https://d0f6bd738d7f1b3e5a7ca70fe4ff75f0.us-east-1.aws.found.io/app/kibana#/discover/Steve-Slow-Train-Analysis-(2080s-and-2083s)?_g="&amp;"(refreshInterval:(display:Off,pause:!f,section:0,value:0),time:(from:'"&amp;TEXT(E109-1/24,"yyyy-MM-DDThh:mm:ss")&amp;utc_offset&amp;"00"&amp;"',mode:absolute,to:'"&amp;TEXT(I109+1/24,"yyyy-MM-DDThh:mm:ss")&amp;utc_offset&amp;"00"&amp;"'))&amp;_a=(columns:!('Locomotive+ID','Data.Head+End+Milepost',Data.Speed,'Data.Locomotive+State','Data.Train+ID',"&amp;"'Data.Warning%2FEnforcement+Type','Data.Target+Start+Milepost','Data.Target+Description','Data.Target+Speed',"&amp;"'Data.Enforcement+Train+Speed','Data.Enforcement+Start+Milepost','Data.Target+Type','Data.Enforcement+Direction+of+Travel','Message+ID',"&amp;"'Data.Body+of+Summary+Text','Data.Head+End+Track+name'),filters:!(),index:'emp_*',interval:auto,query:"&amp;"(query_string:(analyze_wildcard:!t,query:'Message%5C+ID:(2083+OR+2080+OR+1041+OR+2003+OR+1051+OR+1043+OR+1053)+AND+%22rtdc.l.rtdc."&amp;B109&amp;"%22')),sort:!(Time.ISO8601,asc))"</f>
        <v>https://d0f6bd738d7f1b3e5a7ca70fe4ff75f0.us-east-1.aws.found.io/app/kibana#/discover/Steve-Slow-Train-Analysis-(2080s-and-2083s)?_g=(refreshInterval:(display:Off,pause:!f,section:0,value:0),time:(from:'2017-02-05T15:13:51-0700',mode:absolute,to:'2017-02-05T18:04:54-0700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4032%22')),sort:!(Time.ISO8601,asc))</v>
      </c>
      <c r="W109" s="192" t="str">
        <f>IF(AA109&lt;IF(AG109="EC",23,5.65),"Y","N")</f>
        <v>N</v>
      </c>
      <c r="X109" s="192">
        <f>VALUE(LEFT(AD109,4))-VALUE(LEFT(AD108,4))</f>
        <v>1</v>
      </c>
      <c r="Y109" s="62">
        <f>RIGHT(D109,LEN(D109)-4)/10000</f>
        <v>23.299800000000001</v>
      </c>
      <c r="Z109" s="62">
        <f>RIGHT(H109,LEN(H109)-4)/10000</f>
        <v>1.52E-2</v>
      </c>
      <c r="AA109" s="62">
        <f>ABS(Z109-Y109)</f>
        <v>23.284600000000001</v>
      </c>
      <c r="AB109" s="59" t="e">
        <f>VLOOKUP(A109,Enforcements!$C$7:$K$16,8,0)</f>
        <v>#N/A</v>
      </c>
      <c r="AC109" s="55" t="e">
        <f>VLOOKUP(A109,Enforcements!$C$7:$E$16,3,0)</f>
        <v>#N/A</v>
      </c>
      <c r="AD109" s="56" t="str">
        <f>IF(LEN(A109)=6,"0"&amp;A109,A109)</f>
        <v>0196-05</v>
      </c>
      <c r="AE109" s="85" t="str">
        <f>"aws s3 cp "&amp;s3_bucket&amp;"/RTDC"&amp;B109&amp;"/ "&amp;search_path&amp;"\RTDC"&amp;B109&amp;"\"&amp;TEXT(F109,"YYYY-MM-DD")&amp;" --exclude ""*"" --recursive --include ""*"&amp;TEXT(F109,"YYYYMMDD")&amp;"*"" &amp; """&amp;walkandungz&amp;""" "&amp;search_path&amp;"\RTDC"&amp;B109&amp;"\"&amp;TEXT(F109,"YYYY-MM-DD")
&amp;" &amp; "&amp;"aws s3 cp "&amp;s3_bucket&amp;"/RTDC"&amp;B109&amp;"/ "&amp;search_path&amp;"\RTDC"&amp;B109&amp;"\"&amp;TEXT(F109+1,"YYYY-MM-DD")&amp;" --exclude ""*"" --recursive --include ""*"&amp;TEXT(F109+1,"YYYYMMDD")&amp;"*"" &amp; """&amp;walkandungz&amp;""" "&amp;search_path&amp;"\RTDC"&amp;B109&amp;"\"&amp;TEXT(F109+1,"YYYY-MM-DD")</f>
        <v>aws s3 cp s3://rtdc.mdm.uploadarchive.raw/RTDC4032/ "%USERPROFILE%\AppData\Local\Temp\OnboardLogs"\RTDC4032\2017-02-05 --exclude "*" --recursive --include "*20170205*" &amp; "%USERPROFILE%\Documents\GitHub\mrs-test-scripts\Headless Mode &amp; Sideloading\WalkAndUnGZ.bat" "%USERPROFILE%\AppData\Local\Temp\OnboardLogs"\RTDC4032\2017-02-05 &amp; aws s3 cp s3://rtdc.mdm.uploadarchive.raw/RTDC4032/ "%USERPROFILE%\AppData\Local\Temp\OnboardLogs"\RTDC4032\2017-02-06 --exclude "*" --recursive --include "*20170206*" &amp; "%USERPROFILE%\Documents\GitHub\mrs-test-scripts\Headless Mode &amp; Sideloading\WalkAndUnGZ.bat" "%USERPROFILE%\AppData\Local\Temp\OnboardLogs"\RTDC4032\2017-02-06</v>
      </c>
      <c r="AF109" s="82" t="str">
        <f>astrogrep_path&amp;" /spath="&amp;search_path&amp;" /stypes=""app*"&amp;B109&amp;"*"&amp;TEXT(I109-utc_offset/24,"YYYYMMDD")&amp;"*"" /stext="" "&amp;TEXT(I109-utc_offset/24,"HH")&amp;search_regexp&amp;""" /e /r /s"</f>
        <v>"C:\Program Files (x86)\AstroGrep\AstroGrep.exe" /spath="%USERPROFILE%\AppData\Local\Temp\OnboardLogs" /stypes="app*4032*20170206*" /stext=" 00:.+((SYSTEM_STATE.+slice.+state.+changed )|(ment ac)|(multiple cpu faults)|(system.+state.+changed )|(\[timeout)|(PRM\|1\|D)|(kpr)|(kdp)|(\|lc)|(penalty))" /e /r /s</v>
      </c>
      <c r="AG109" s="1" t="str">
        <f>IFERROR(IF(VALUE(LEFT(AD109,2))&lt;=2,"EC",IF(OR(VALUE(LEFT(AD109,2))=8,VALUE(LEFT(AD109,2))=18),"NW","Other")),"Other")</f>
        <v>EC</v>
      </c>
      <c r="AH109" s="86" t="str">
        <f t="shared" si="7"/>
        <v>"%USERPROFILE%\Documents\GitHub\eaglep3\Utilities\RefineRTDCRunTimes.py" --tripid 196-05 --locoid 4032 --swversion DE.1.0.8.0 --startMP 204:232998 --initTime 2017-02-05T16:13:51 --startdatetime 2017-02-05T16:26:16 --delay 1 --endMP 204:152 --enddatetime 2017-02-05T17:04:54 --enforcementcount 0 &gt;&gt;C:\Users\stu\Documents\GitHub\eaglep3-reporting\EC\2017-02-05-refined-times.txt</v>
      </c>
      <c r="AI109" s="108" t="str">
        <f t="shared" si="8"/>
        <v>echo {"issue":{"subject":"","project_id":79,"tracker_id":40,"status_id":1,"priority_id":2,"assigned_to_id":23,"start_date":"2017-02-05","description":"","custom_fields":[{"id":1,"name":"Subdivision","value":"EC"},{"id":4,"name":"Milepost","value":"0.0152"},{"id":17,"name":"Train ID","value":"196-05"},{"id":16,"name":"Locomotive ID","value":"4032"},{"id":130,"name":"Impact","value":""},{"id":150,"name":"Time of Event (Mountain Time)","value":"17:04:54"},{"id":151,"name":"Denver Issue ID","value":""},{"id":178,"name":"Operational Impact","value":"Yes"},{"id":179,"name":"Denver Segment Assigned","value":""}]}} | curl -X POST -H "Content-Type: application/json" -H "X-Redmine-API-Key: d6333d4a04012a730768444271f8ca06482dae87" https://secure.xorail.net/redmine/issues.json --data @-</v>
      </c>
      <c r="AJ109" s="48"/>
      <c r="AK109" s="48"/>
      <c r="AL109" s="48"/>
      <c r="AM109" s="158" t="str">
        <f t="shared" si="9"/>
        <v>start /low /b %USERPROFILE%\Documents\GitHub\eaglep3\Utilities\DownloadLogsFromS3.py --loco 4032 --day 2017-02-05</v>
      </c>
      <c r="AN109" s="167" t="str">
        <f>"grep -SE -B400 ""CHR.+\|PRM\|1\|D.+(SWITCH|SIGNAL).+UNKNOWN"" "&amp;search_path&amp;"\RTDC"&amp;B109&amp;"\*"&amp;B109&amp;"*"&amp;TEXT(AVERAGE(F109,I109)-utc_offset/24,"YYYYMMDD")&amp;"* | grep -SE ""(Enforcement Action)|(\[TIMEOUT)|(CHR.+\|PRM\|1\|D.+(SWITCH|SIGNAL).+UNKNOWN)"" - &gt;&gt; "&amp;TEXT(Variables!$A$2,"YYYY-MM-DD")&amp;"-UncaughtWiMAX.txt"</f>
        <v>grep -SE -B400 "CHR.+\|PRM\|1\|D.+(SWITCH|SIGNAL).+UNKNOWN" "%USERPROFILE%\AppData\Local\Temp\OnboardLogs"\RTDC4032\*4032*20170205* | grep -SE "(Enforcement Action)|(\[TIMEOUT)|(CHR.+\|PRM\|1\|D.+(SWITCH|SIGNAL).+UNKNOWN)" - &gt;&gt; 2017-02-05-UncaughtWiMAX.txt</v>
      </c>
      <c r="AO109"/>
      <c r="AP109"/>
      <c r="AQ109"/>
      <c r="AR109"/>
      <c r="AS109"/>
      <c r="AT109"/>
      <c r="AU109"/>
      <c r="AV109"/>
      <c r="AW109"/>
      <c r="AX109"/>
      <c r="AY109"/>
      <c r="AZ109"/>
      <c r="BA109"/>
      <c r="BB109"/>
      <c r="BC109"/>
      <c r="BD109"/>
      <c r="BE109"/>
      <c r="BF109"/>
      <c r="BG109"/>
      <c r="BH109"/>
      <c r="BI109"/>
      <c r="BJ109"/>
      <c r="BK109"/>
      <c r="BL109"/>
      <c r="BM109"/>
      <c r="BN109"/>
      <c r="BO109"/>
      <c r="BP109"/>
      <c r="BQ109"/>
      <c r="BR109"/>
      <c r="BS109"/>
      <c r="BT109"/>
      <c r="BU109"/>
      <c r="BV109"/>
      <c r="BW109"/>
      <c r="BX109"/>
      <c r="BY109"/>
      <c r="BZ109"/>
      <c r="CA109"/>
      <c r="CB109"/>
      <c r="CC109"/>
      <c r="CD109"/>
      <c r="CE109"/>
      <c r="CF109"/>
      <c r="CG109"/>
      <c r="CH109"/>
      <c r="CI109"/>
      <c r="CJ109"/>
      <c r="CK109"/>
      <c r="CL109"/>
      <c r="CM109"/>
    </row>
    <row r="110" spans="1:91" x14ac:dyDescent="0.25">
      <c r="A110" s="33" t="s">
        <v>666</v>
      </c>
      <c r="B110" s="7">
        <v>4009</v>
      </c>
      <c r="C110" s="21" t="s">
        <v>193</v>
      </c>
      <c r="D110" s="21" t="s">
        <v>360</v>
      </c>
      <c r="E110" s="13">
        <v>42771.651875000003</v>
      </c>
      <c r="F110" s="13">
        <v>42771.656493055554</v>
      </c>
      <c r="G110" s="7">
        <v>1</v>
      </c>
      <c r="H110" s="21" t="s">
        <v>418</v>
      </c>
      <c r="I110" s="13">
        <v>42771.681793981479</v>
      </c>
      <c r="J110" s="7">
        <v>0</v>
      </c>
      <c r="K110" s="98" t="str">
        <f>IF(ISEVEN(B110),(B110-1)&amp;"/"&amp;B110,B110&amp;"/"&amp;(B110+1))</f>
        <v>4009/4010</v>
      </c>
      <c r="L110" s="21" t="str">
        <f>VLOOKUP(A110,'Trips&amp;Operators'!$C$1:$G$99999,5,FALSE)</f>
        <v>ROMERO CHAD</v>
      </c>
      <c r="M110" s="6">
        <f>I110-F110</f>
        <v>2.5300925924966577E-2</v>
      </c>
      <c r="N110" s="7">
        <f>24*60*SUM($M110:$M110)</f>
        <v>36.433333331951872</v>
      </c>
      <c r="O110" s="7"/>
      <c r="P110" s="7"/>
      <c r="Q110" s="22"/>
      <c r="R110" s="22"/>
      <c r="S110" s="31">
        <f>SUM(U110:U110)/IF(AG110="EC",12,1)</f>
        <v>1</v>
      </c>
      <c r="T110" s="46" t="str">
        <f>IF(ISEVEN(LEFT(AD110,4)),"Southbound","NorthBound")</f>
        <v>NorthBound</v>
      </c>
      <c r="U110" s="190">
        <f>IF(AG110="EC",COUNTIFS(Variables!$M$2:$M$19,IF(T110="NorthBound","&gt;=","&lt;=")&amp;Y110,Variables!$M$2:$M$19,IF(T110="NorthBound","&lt;=","&gt;=")&amp;Z110),COUNTIFS(Variables!$P$2:$P$19,IF(T110="NorthBound","&gt;=","&lt;=")&amp;Y110,Variables!$P$2:$P$19,IF(T110="NorthBound","&lt;=","&gt;=")&amp;Z110))</f>
        <v>12</v>
      </c>
      <c r="V110" s="191" t="str">
        <f>"https://d0f6bd738d7f1b3e5a7ca70fe4ff75f0.us-east-1.aws.found.io/app/kibana#/discover/Steve-Slow-Train-Analysis-(2080s-and-2083s)?_g="&amp;"(refreshInterval:(display:Off,pause:!f,section:0,value:0),time:(from:'"&amp;TEXT(E110-1/24,"yyyy-MM-DDThh:mm:ss")&amp;utc_offset&amp;"00"&amp;"',mode:absolute,to:'"&amp;TEXT(I110+1/24,"yyyy-MM-DDThh:mm:ss")&amp;utc_offset&amp;"00"&amp;"'))&amp;_a=(columns:!('Locomotive+ID','Data.Head+End+Milepost',Data.Speed,'Data.Locomotive+State','Data.Train+ID',"&amp;"'Data.Warning%2FEnforcement+Type','Data.Target+Start+Milepost','Data.Target+Description','Data.Target+Speed',"&amp;"'Data.Enforcement+Train+Speed','Data.Enforcement+Start+Milepost','Data.Target+Type','Data.Enforcement+Direction+of+Travel','Message+ID',"&amp;"'Data.Body+of+Summary+Text','Data.Head+End+Track+name'),filters:!(),index:'emp_*',interval:auto,query:"&amp;"(query_string:(analyze_wildcard:!t,query:'Message%5C+ID:(2083+OR+2080+OR+1041+OR+2003+OR+1051+OR+1043+OR+1053)+AND+%22rtdc.l.rtdc."&amp;B110&amp;"%22')),sort:!(Time.ISO8601,asc))"</f>
        <v>https://d0f6bd738d7f1b3e5a7ca70fe4ff75f0.us-east-1.aws.found.io/app/kibana#/discover/Steve-Slow-Train-Analysis-(2080s-and-2083s)?_g=(refreshInterval:(display:Off,pause:!f,section:0,value:0),time:(from:'2017-02-05T14:38:42-0700',mode:absolute,to:'2017-02-05T17:21:47-0700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4009%22')),sort:!(Time.ISO8601,asc))</v>
      </c>
      <c r="W110" s="192" t="str">
        <f>IF(AA110&lt;IF(AG110="EC",23,5.65),"Y","N")</f>
        <v>N</v>
      </c>
      <c r="X110" s="192">
        <f>VALUE(LEFT(AD110,4))-VALUE(LEFT(AD109,4))</f>
        <v>1</v>
      </c>
      <c r="Y110" s="62">
        <f>RIGHT(D110,LEN(D110)-4)/10000</f>
        <v>4.4200000000000003E-2</v>
      </c>
      <c r="Z110" s="62">
        <f>RIGHT(H110,LEN(H110)-4)/10000</f>
        <v>23.3339</v>
      </c>
      <c r="AA110" s="62">
        <f>ABS(Z110-Y110)</f>
        <v>23.2897</v>
      </c>
      <c r="AB110" s="59" t="e">
        <f>VLOOKUP(A110,Enforcements!$C$7:$K$16,8,0)</f>
        <v>#N/A</v>
      </c>
      <c r="AC110" s="55" t="e">
        <f>VLOOKUP(A110,Enforcements!$C$7:$E$16,3,0)</f>
        <v>#N/A</v>
      </c>
      <c r="AD110" s="56" t="str">
        <f>IF(LEN(A110)=6,"0"&amp;A110,A110)</f>
        <v>0197-05</v>
      </c>
      <c r="AE110" s="85" t="str">
        <f>"aws s3 cp "&amp;s3_bucket&amp;"/RTDC"&amp;B110&amp;"/ "&amp;search_path&amp;"\RTDC"&amp;B110&amp;"\"&amp;TEXT(F110,"YYYY-MM-DD")&amp;" --exclude ""*"" --recursive --include ""*"&amp;TEXT(F110,"YYYYMMDD")&amp;"*"" &amp; """&amp;walkandungz&amp;""" "&amp;search_path&amp;"\RTDC"&amp;B110&amp;"\"&amp;TEXT(F110,"YYYY-MM-DD")
&amp;" &amp; "&amp;"aws s3 cp "&amp;s3_bucket&amp;"/RTDC"&amp;B110&amp;"/ "&amp;search_path&amp;"\RTDC"&amp;B110&amp;"\"&amp;TEXT(F110+1,"YYYY-MM-DD")&amp;" --exclude ""*"" --recursive --include ""*"&amp;TEXT(F110+1,"YYYYMMDD")&amp;"*"" &amp; """&amp;walkandungz&amp;""" "&amp;search_path&amp;"\RTDC"&amp;B110&amp;"\"&amp;TEXT(F110+1,"YYYY-MM-DD")</f>
        <v>aws s3 cp s3://rtdc.mdm.uploadarchive.raw/RTDC4009/ "%USERPROFILE%\AppData\Local\Temp\OnboardLogs"\RTDC4009\2017-02-05 --exclude "*" --recursive --include "*20170205*" &amp; "%USERPROFILE%\Documents\GitHub\mrs-test-scripts\Headless Mode &amp; Sideloading\WalkAndUnGZ.bat" "%USERPROFILE%\AppData\Local\Temp\OnboardLogs"\RTDC4009\2017-02-05 &amp; aws s3 cp s3://rtdc.mdm.uploadarchive.raw/RTDC4009/ "%USERPROFILE%\AppData\Local\Temp\OnboardLogs"\RTDC4009\2017-02-06 --exclude "*" --recursive --include "*20170206*" &amp; "%USERPROFILE%\Documents\GitHub\mrs-test-scripts\Headless Mode &amp; Sideloading\WalkAndUnGZ.bat" "%USERPROFILE%\AppData\Local\Temp\OnboardLogs"\RTDC4009\2017-02-06</v>
      </c>
      <c r="AF110" s="82" t="str">
        <f>astrogrep_path&amp;" /spath="&amp;search_path&amp;" /stypes=""app*"&amp;B110&amp;"*"&amp;TEXT(I110-utc_offset/24,"YYYYMMDD")&amp;"*"" /stext="" "&amp;TEXT(I110-utc_offset/24,"HH")&amp;search_regexp&amp;""" /e /r /s"</f>
        <v>"C:\Program Files (x86)\AstroGrep\AstroGrep.exe" /spath="%USERPROFILE%\AppData\Local\Temp\OnboardLogs" /stypes="app*4009*20170205*" /stext=" 23:.+((SYSTEM_STATE.+slice.+state.+changed )|(ment ac)|(multiple cpu faults)|(system.+state.+changed )|(\[timeout)|(PRM\|1\|D)|(kpr)|(kdp)|(\|lc)|(penalty))" /e /r /s</v>
      </c>
      <c r="AG110" s="1" t="str">
        <f>IFERROR(IF(VALUE(LEFT(AD110,2))&lt;=2,"EC",IF(OR(VALUE(LEFT(AD110,2))=8,VALUE(LEFT(AD110,2))=18),"NW","Other")),"Other")</f>
        <v>EC</v>
      </c>
      <c r="AH110" s="86" t="str">
        <f t="shared" si="7"/>
        <v>"%USERPROFILE%\Documents\GitHub\eaglep3\Utilities\RefineRTDCRunTimes.py" --tripid 197-05 --locoid 4009 --swversion DE.1.0.8.0 --startMP 204:442 --initTime 2017-02-05T15:38:42 --startdatetime 2017-02-05T15:45:21 --delay 1 --endMP 204:233339 --enddatetime 2017-02-05T16:21:47 --enforcementcount 0 &gt;&gt;C:\Users\stu\Documents\GitHub\eaglep3-reporting\EC\2017-02-05-refined-times.txt</v>
      </c>
      <c r="AI110" s="108" t="str">
        <f t="shared" si="8"/>
        <v>echo {"issue":{"subject":"","project_id":79,"tracker_id":40,"status_id":1,"priority_id":2,"assigned_to_id":23,"start_date":"2017-02-05","description":"","custom_fields":[{"id":1,"name":"Subdivision","value":"EC"},{"id":4,"name":"Milepost","value":"23.3339"},{"id":17,"name":"Train ID","value":"197-05"},{"id":16,"name":"Locomotive ID","value":"4009"},{"id":130,"name":"Impact","value":""},{"id":150,"name":"Time of Event (Mountain Time)","value":"16:21:47"},{"id":151,"name":"Denver Issue ID","value":""},{"id":178,"name":"Operational Impact","value":"Yes"},{"id":179,"name":"Denver Segment Assigned","value":""}]}} | curl -X POST -H "Content-Type: application/json" -H "X-Redmine-API-Key: d6333d4a04012a730768444271f8ca06482dae87" https://secure.xorail.net/redmine/issues.json --data @-</v>
      </c>
      <c r="AJ110" s="48"/>
      <c r="AK110" s="48"/>
      <c r="AL110" s="48"/>
      <c r="AM110" s="158" t="str">
        <f t="shared" si="9"/>
        <v>start /low /b %USERPROFILE%\Documents\GitHub\eaglep3\Utilities\DownloadLogsFromS3.py --loco 4009 --day 2017-02-05</v>
      </c>
      <c r="AN110" s="167" t="str">
        <f>"grep -SE -B400 ""CHR.+\|PRM\|1\|D.+(SWITCH|SIGNAL).+UNKNOWN"" "&amp;search_path&amp;"\RTDC"&amp;B110&amp;"\*"&amp;B110&amp;"*"&amp;TEXT(AVERAGE(F110,I110)-utc_offset/24,"YYYYMMDD")&amp;"* | grep -SE ""(Enforcement Action)|(\[TIMEOUT)|(CHR.+\|PRM\|1\|D.+(SWITCH|SIGNAL).+UNKNOWN)"" - &gt;&gt; "&amp;TEXT(Variables!$A$2,"YYYY-MM-DD")&amp;"-UncaughtWiMAX.txt"</f>
        <v>grep -SE -B400 "CHR.+\|PRM\|1\|D.+(SWITCH|SIGNAL).+UNKNOWN" "%USERPROFILE%\AppData\Local\Temp\OnboardLogs"\RTDC4009\*4009*20170205* | grep -SE "(Enforcement Action)|(\[TIMEOUT)|(CHR.+\|PRM\|1\|D.+(SWITCH|SIGNAL).+UNKNOWN)" - &gt;&gt; 2017-02-05-UncaughtWiMAX.txt</v>
      </c>
    </row>
    <row r="111" spans="1:91" s="20" customFormat="1" x14ac:dyDescent="0.25">
      <c r="A111" s="33" t="s">
        <v>671</v>
      </c>
      <c r="B111" s="7">
        <v>4010</v>
      </c>
      <c r="C111" s="21" t="s">
        <v>193</v>
      </c>
      <c r="D111" s="21" t="s">
        <v>838</v>
      </c>
      <c r="E111" s="13">
        <v>42771.683368055557</v>
      </c>
      <c r="F111" s="13">
        <v>42771.695462962962</v>
      </c>
      <c r="G111" s="7">
        <v>1</v>
      </c>
      <c r="H111" s="21" t="s">
        <v>208</v>
      </c>
      <c r="I111" s="13">
        <v>42771.720625000002</v>
      </c>
      <c r="J111" s="7">
        <v>0</v>
      </c>
      <c r="K111" s="98" t="str">
        <f>IF(ISEVEN(B111),(B111-1)&amp;"/"&amp;B111,B111&amp;"/"&amp;(B111+1))</f>
        <v>4009/4010</v>
      </c>
      <c r="L111" s="21" t="str">
        <f>VLOOKUP(A111,'Trips&amp;Operators'!$C$1:$G$99999,5,FALSE)</f>
        <v>ROMERO CHAD</v>
      </c>
      <c r="M111" s="6">
        <f>I111-F111</f>
        <v>2.5162037039990537E-2</v>
      </c>
      <c r="N111" s="7">
        <f>24*60*SUM($M111:$M111)</f>
        <v>36.233333337586373</v>
      </c>
      <c r="O111" s="7"/>
      <c r="P111" s="7"/>
      <c r="Q111" s="22"/>
      <c r="R111" s="22"/>
      <c r="S111" s="31">
        <f>SUM(U111:U111)/IF(AG111="EC",12,1)</f>
        <v>1</v>
      </c>
      <c r="T111" s="46" t="str">
        <f>IF(ISEVEN(LEFT(AD111,4)),"Southbound","NorthBound")</f>
        <v>Southbound</v>
      </c>
      <c r="U111" s="190">
        <f>IF(AG111="EC",COUNTIFS(Variables!$M$2:$M$19,IF(T111="NorthBound","&gt;=","&lt;=")&amp;Y111,Variables!$M$2:$M$19,IF(T111="NorthBound","&lt;=","&gt;=")&amp;Z111),COUNTIFS(Variables!$P$2:$P$19,IF(T111="NorthBound","&gt;=","&lt;=")&amp;Y111,Variables!$P$2:$P$19,IF(T111="NorthBound","&lt;=","&gt;=")&amp;Z111))</f>
        <v>12</v>
      </c>
      <c r="V111" s="191" t="str">
        <f>"https://d0f6bd738d7f1b3e5a7ca70fe4ff75f0.us-east-1.aws.found.io/app/kibana#/discover/Steve-Slow-Train-Analysis-(2080s-and-2083s)?_g="&amp;"(refreshInterval:(display:Off,pause:!f,section:0,value:0),time:(from:'"&amp;TEXT(E111-1/24,"yyyy-MM-DDThh:mm:ss")&amp;utc_offset&amp;"00"&amp;"',mode:absolute,to:'"&amp;TEXT(I111+1/24,"yyyy-MM-DDThh:mm:ss")&amp;utc_offset&amp;"00"&amp;"'))&amp;_a=(columns:!('Locomotive+ID','Data.Head+End+Milepost',Data.Speed,'Data.Locomotive+State','Data.Train+ID',"&amp;"'Data.Warning%2FEnforcement+Type','Data.Target+Start+Milepost','Data.Target+Description','Data.Target+Speed',"&amp;"'Data.Enforcement+Train+Speed','Data.Enforcement+Start+Milepost','Data.Target+Type','Data.Enforcement+Direction+of+Travel','Message+ID',"&amp;"'Data.Body+of+Summary+Text','Data.Head+End+Track+name'),filters:!(),index:'emp_*',interval:auto,query:"&amp;"(query_string:(analyze_wildcard:!t,query:'Message%5C+ID:(2083+OR+2080+OR+1041+OR+2003+OR+1051+OR+1043+OR+1053)+AND+%22rtdc.l.rtdc."&amp;B111&amp;"%22')),sort:!(Time.ISO8601,asc))"</f>
        <v>https://d0f6bd738d7f1b3e5a7ca70fe4ff75f0.us-east-1.aws.found.io/app/kibana#/discover/Steve-Slow-Train-Analysis-(2080s-and-2083s)?_g=(refreshInterval:(display:Off,pause:!f,section:0,value:0),time:(from:'2017-02-05T15:24:03-0700',mode:absolute,to:'2017-02-05T18:17:42-0700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4010%22')),sort:!(Time.ISO8601,asc))</v>
      </c>
      <c r="W111" s="192" t="str">
        <f>IF(AA111&lt;IF(AG111="EC",23,5.65),"Y","N")</f>
        <v>N</v>
      </c>
      <c r="X111" s="192">
        <f>VALUE(LEFT(AD111,4))-VALUE(LEFT(AD110,4))</f>
        <v>1</v>
      </c>
      <c r="Y111" s="62">
        <f>RIGHT(D111,LEN(D111)-4)/10000</f>
        <v>23.302499999999998</v>
      </c>
      <c r="Z111" s="62">
        <f>RIGHT(H111,LEN(H111)-4)/10000</f>
        <v>1.6E-2</v>
      </c>
      <c r="AA111" s="62">
        <f>ABS(Z111-Y111)</f>
        <v>23.2865</v>
      </c>
      <c r="AB111" s="59" t="e">
        <f>VLOOKUP(A111,Enforcements!$C$7:$K$16,8,0)</f>
        <v>#N/A</v>
      </c>
      <c r="AC111" s="55" t="e">
        <f>VLOOKUP(A111,Enforcements!$C$7:$E$16,3,0)</f>
        <v>#N/A</v>
      </c>
      <c r="AD111" s="56" t="str">
        <f>IF(LEN(A111)=6,"0"&amp;A111,A111)</f>
        <v>0198-05</v>
      </c>
      <c r="AE111" s="85" t="str">
        <f>"aws s3 cp "&amp;s3_bucket&amp;"/RTDC"&amp;B111&amp;"/ "&amp;search_path&amp;"\RTDC"&amp;B111&amp;"\"&amp;TEXT(F111,"YYYY-MM-DD")&amp;" --exclude ""*"" --recursive --include ""*"&amp;TEXT(F111,"YYYYMMDD")&amp;"*"" &amp; """&amp;walkandungz&amp;""" "&amp;search_path&amp;"\RTDC"&amp;B111&amp;"\"&amp;TEXT(F111,"YYYY-MM-DD")
&amp;" &amp; "&amp;"aws s3 cp "&amp;s3_bucket&amp;"/RTDC"&amp;B111&amp;"/ "&amp;search_path&amp;"\RTDC"&amp;B111&amp;"\"&amp;TEXT(F111+1,"YYYY-MM-DD")&amp;" --exclude ""*"" --recursive --include ""*"&amp;TEXT(F111+1,"YYYYMMDD")&amp;"*"" &amp; """&amp;walkandungz&amp;""" "&amp;search_path&amp;"\RTDC"&amp;B111&amp;"\"&amp;TEXT(F111+1,"YYYY-MM-DD")</f>
        <v>aws s3 cp s3://rtdc.mdm.uploadarchive.raw/RTDC4010/ "%USERPROFILE%\AppData\Local\Temp\OnboardLogs"\RTDC4010\2017-02-05 --exclude "*" --recursive --include "*20170205*" &amp; "%USERPROFILE%\Documents\GitHub\mrs-test-scripts\Headless Mode &amp; Sideloading\WalkAndUnGZ.bat" "%USERPROFILE%\AppData\Local\Temp\OnboardLogs"\RTDC4010\2017-02-05 &amp; aws s3 cp s3://rtdc.mdm.uploadarchive.raw/RTDC4010/ "%USERPROFILE%\AppData\Local\Temp\OnboardLogs"\RTDC4010\2017-02-06 --exclude "*" --recursive --include "*20170206*" &amp; "%USERPROFILE%\Documents\GitHub\mrs-test-scripts\Headless Mode &amp; Sideloading\WalkAndUnGZ.bat" "%USERPROFILE%\AppData\Local\Temp\OnboardLogs"\RTDC4010\2017-02-06</v>
      </c>
      <c r="AF111" s="82" t="str">
        <f>astrogrep_path&amp;" /spath="&amp;search_path&amp;" /stypes=""app*"&amp;B111&amp;"*"&amp;TEXT(I111-utc_offset/24,"YYYYMMDD")&amp;"*"" /stext="" "&amp;TEXT(I111-utc_offset/24,"HH")&amp;search_regexp&amp;""" /e /r /s"</f>
        <v>"C:\Program Files (x86)\AstroGrep\AstroGrep.exe" /spath="%USERPROFILE%\AppData\Local\Temp\OnboardLogs" /stypes="app*4010*20170206*" /stext=" 00:.+((SYSTEM_STATE.+slice.+state.+changed )|(ment ac)|(multiple cpu faults)|(system.+state.+changed )|(\[timeout)|(PRM\|1\|D)|(kpr)|(kdp)|(\|lc)|(penalty))" /e /r /s</v>
      </c>
      <c r="AG111" s="1" t="str">
        <f>IFERROR(IF(VALUE(LEFT(AD111,2))&lt;=2,"EC",IF(OR(VALUE(LEFT(AD111,2))=8,VALUE(LEFT(AD111,2))=18),"NW","Other")),"Other")</f>
        <v>EC</v>
      </c>
      <c r="AH111" s="86" t="str">
        <f t="shared" si="7"/>
        <v>"%USERPROFILE%\Documents\GitHub\eaglep3\Utilities\RefineRTDCRunTimes.py" --tripid 198-05 --locoid 4010 --swversion DE.1.0.8.0 --startMP 204:233025 --initTime 2017-02-05T16:24:03 --startdatetime 2017-02-05T16:41:28 --delay 1 --endMP 204:160 --enddatetime 2017-02-05T17:17:42 --enforcementcount 0 &gt;&gt;C:\Users\stu\Documents\GitHub\eaglep3-reporting\EC\2017-02-05-refined-times.txt</v>
      </c>
      <c r="AI111" s="108" t="str">
        <f t="shared" si="8"/>
        <v>echo {"issue":{"subject":"","project_id":79,"tracker_id":40,"status_id":1,"priority_id":2,"assigned_to_id":23,"start_date":"2017-02-05","description":"","custom_fields":[{"id":1,"name":"Subdivision","value":"EC"},{"id":4,"name":"Milepost","value":"0.016"},{"id":17,"name":"Train ID","value":"198-05"},{"id":16,"name":"Locomotive ID","value":"4010"},{"id":130,"name":"Impact","value":""},{"id":150,"name":"Time of Event (Mountain Time)","value":"17:17:42"},{"id":151,"name":"Denver Issue ID","value":""},{"id":178,"name":"Operational Impact","value":"Yes"},{"id":179,"name":"Denver Segment Assigned","value":""}]}} | curl -X POST -H "Content-Type: application/json" -H "X-Redmine-API-Key: d6333d4a04012a730768444271f8ca06482dae87" https://secure.xorail.net/redmine/issues.json --data @-</v>
      </c>
      <c r="AJ111" s="48"/>
      <c r="AK111" s="48"/>
      <c r="AL111" s="48"/>
      <c r="AM111" s="158" t="str">
        <f t="shared" si="9"/>
        <v>start /low /b %USERPROFILE%\Documents\GitHub\eaglep3\Utilities\DownloadLogsFromS3.py --loco 4010 --day 2017-02-05</v>
      </c>
      <c r="AN111" s="167" t="str">
        <f>"grep -SE -B400 ""CHR.+\|PRM\|1\|D.+(SWITCH|SIGNAL).+UNKNOWN"" "&amp;search_path&amp;"\RTDC"&amp;B111&amp;"\*"&amp;B111&amp;"*"&amp;TEXT(AVERAGE(F111,I111)-utc_offset/24,"YYYYMMDD")&amp;"* | grep -SE ""(Enforcement Action)|(\[TIMEOUT)|(CHR.+\|PRM\|1\|D.+(SWITCH|SIGNAL).+UNKNOWN)"" - &gt;&gt; "&amp;TEXT(Variables!$A$2,"YYYY-MM-DD")&amp;"-UncaughtWiMAX.txt"</f>
        <v>grep -SE -B400 "CHR.+\|PRM\|1\|D.+(SWITCH|SIGNAL).+UNKNOWN" "%USERPROFILE%\AppData\Local\Temp\OnboardLogs"\RTDC4010\*4010*20170205* | grep -SE "(Enforcement Action)|(\[TIMEOUT)|(CHR.+\|PRM\|1\|D.+(SWITCH|SIGNAL).+UNKNOWN)" - &gt;&gt; 2017-02-05-UncaughtWiMAX.txt</v>
      </c>
      <c r="AO111"/>
      <c r="AP111"/>
      <c r="AQ111"/>
      <c r="AR111"/>
      <c r="AS111"/>
      <c r="AT111"/>
      <c r="AU111"/>
      <c r="AV111"/>
      <c r="AW111"/>
      <c r="AX111"/>
      <c r="AY111"/>
      <c r="AZ111"/>
      <c r="BA111"/>
      <c r="BB111"/>
      <c r="BC111"/>
      <c r="BD111"/>
      <c r="BE111"/>
      <c r="BF111"/>
      <c r="BG111"/>
      <c r="BH111"/>
      <c r="BI111"/>
      <c r="BJ111"/>
      <c r="BK111"/>
      <c r="BL111"/>
      <c r="BM111"/>
      <c r="BN111"/>
      <c r="BO111"/>
      <c r="BP111"/>
      <c r="BQ111"/>
      <c r="BR111"/>
      <c r="BS111"/>
      <c r="BT111"/>
      <c r="BU111"/>
      <c r="BV111"/>
      <c r="BW111"/>
      <c r="BX111"/>
      <c r="BY111"/>
      <c r="BZ111"/>
      <c r="CA111"/>
      <c r="CB111"/>
      <c r="CC111"/>
      <c r="CD111"/>
      <c r="CE111"/>
      <c r="CF111"/>
      <c r="CG111"/>
      <c r="CH111"/>
      <c r="CI111"/>
      <c r="CJ111"/>
      <c r="CK111"/>
      <c r="CL111"/>
      <c r="CM111"/>
    </row>
    <row r="112" spans="1:91" x14ac:dyDescent="0.25">
      <c r="A112" s="33" t="s">
        <v>668</v>
      </c>
      <c r="B112" s="7">
        <v>4038</v>
      </c>
      <c r="C112" s="21" t="s">
        <v>193</v>
      </c>
      <c r="D112" s="21" t="s">
        <v>399</v>
      </c>
      <c r="E112" s="13">
        <v>42771.662152777775</v>
      </c>
      <c r="F112" s="13">
        <v>42771.666875000003</v>
      </c>
      <c r="G112" s="7">
        <v>1</v>
      </c>
      <c r="H112" s="21" t="s">
        <v>355</v>
      </c>
      <c r="I112" s="13">
        <v>42771.692442129628</v>
      </c>
      <c r="J112" s="7">
        <v>0</v>
      </c>
      <c r="K112" s="98" t="str">
        <f>IF(ISEVEN(B112),(B112-1)&amp;"/"&amp;B112,B112&amp;"/"&amp;(B112+1))</f>
        <v>4037/4038</v>
      </c>
      <c r="L112" s="21" t="str">
        <f>VLOOKUP(A112,'Trips&amp;Operators'!$C$1:$G$99999,5,FALSE)</f>
        <v>KILLION DAVID</v>
      </c>
      <c r="M112" s="6">
        <f>I112-F112</f>
        <v>2.5567129625414964E-2</v>
      </c>
      <c r="N112" s="7">
        <f>24*60*SUM($M112:$M112)</f>
        <v>36.816666660597548</v>
      </c>
      <c r="O112" s="7"/>
      <c r="P112" s="7"/>
      <c r="Q112" s="22"/>
      <c r="R112" s="22"/>
      <c r="S112" s="31">
        <f>SUM(U112:U112)/IF(AG112="EC",12,1)</f>
        <v>1</v>
      </c>
      <c r="T112" s="46" t="str">
        <f>IF(ISEVEN(LEFT(AD112,4)),"Southbound","NorthBound")</f>
        <v>NorthBound</v>
      </c>
      <c r="U112" s="190">
        <f>IF(AG112="EC",COUNTIFS(Variables!$M$2:$M$19,IF(T112="NorthBound","&gt;=","&lt;=")&amp;Y112,Variables!$M$2:$M$19,IF(T112="NorthBound","&lt;=","&gt;=")&amp;Z112),COUNTIFS(Variables!$P$2:$P$19,IF(T112="NorthBound","&gt;=","&lt;=")&amp;Y112,Variables!$P$2:$P$19,IF(T112="NorthBound","&lt;=","&gt;=")&amp;Z112))</f>
        <v>12</v>
      </c>
      <c r="V112" s="191" t="str">
        <f>"https://d0f6bd738d7f1b3e5a7ca70fe4ff75f0.us-east-1.aws.found.io/app/kibana#/discover/Steve-Slow-Train-Analysis-(2080s-and-2083s)?_g="&amp;"(refreshInterval:(display:Off,pause:!f,section:0,value:0),time:(from:'"&amp;TEXT(E112-1/24,"yyyy-MM-DDThh:mm:ss")&amp;utc_offset&amp;"00"&amp;"',mode:absolute,to:'"&amp;TEXT(I112+1/24,"yyyy-MM-DDThh:mm:ss")&amp;utc_offset&amp;"00"&amp;"'))&amp;_a=(columns:!('Locomotive+ID','Data.Head+End+Milepost',Data.Speed,'Data.Locomotive+State','Data.Train+ID',"&amp;"'Data.Warning%2FEnforcement+Type','Data.Target+Start+Milepost','Data.Target+Description','Data.Target+Speed',"&amp;"'Data.Enforcement+Train+Speed','Data.Enforcement+Start+Milepost','Data.Target+Type','Data.Enforcement+Direction+of+Travel','Message+ID',"&amp;"'Data.Body+of+Summary+Text','Data.Head+End+Track+name'),filters:!(),index:'emp_*',interval:auto,query:"&amp;"(query_string:(analyze_wildcard:!t,query:'Message%5C+ID:(2083+OR+2080+OR+1041+OR+2003+OR+1051+OR+1043+OR+1053)+AND+%22rtdc.l.rtdc."&amp;B112&amp;"%22')),sort:!(Time.ISO8601,asc))"</f>
        <v>https://d0f6bd738d7f1b3e5a7ca70fe4ff75f0.us-east-1.aws.found.io/app/kibana#/discover/Steve-Slow-Train-Analysis-(2080s-and-2083s)?_g=(refreshInterval:(display:Off,pause:!f,section:0,value:0),time:(from:'2017-02-05T14:53:30-0700',mode:absolute,to:'2017-02-05T17:37:07-0700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4038%22')),sort:!(Time.ISO8601,asc))</v>
      </c>
      <c r="W112" s="192" t="str">
        <f>IF(AA112&lt;IF(AG112="EC",23,5.65),"Y","N")</f>
        <v>N</v>
      </c>
      <c r="X112" s="192">
        <f>VALUE(LEFT(AD112,4))-VALUE(LEFT(AD111,4))</f>
        <v>1</v>
      </c>
      <c r="Y112" s="62">
        <f>RIGHT(D112,LEN(D112)-4)/10000</f>
        <v>4.6399999999999997E-2</v>
      </c>
      <c r="Z112" s="62">
        <f>RIGHT(H112,LEN(H112)-4)/10000</f>
        <v>23.330200000000001</v>
      </c>
      <c r="AA112" s="62">
        <f>ABS(Z112-Y112)</f>
        <v>23.283800000000003</v>
      </c>
      <c r="AB112" s="59" t="e">
        <f>VLOOKUP(A112,Enforcements!$C$7:$K$16,8,0)</f>
        <v>#N/A</v>
      </c>
      <c r="AC112" s="55" t="e">
        <f>VLOOKUP(A112,Enforcements!$C$7:$E$16,3,0)</f>
        <v>#N/A</v>
      </c>
      <c r="AD112" s="56" t="str">
        <f>IF(LEN(A112)=6,"0"&amp;A112,A112)</f>
        <v>0199-05</v>
      </c>
      <c r="AE112" s="85" t="str">
        <f>"aws s3 cp "&amp;s3_bucket&amp;"/RTDC"&amp;B112&amp;"/ "&amp;search_path&amp;"\RTDC"&amp;B112&amp;"\"&amp;TEXT(F112,"YYYY-MM-DD")&amp;" --exclude ""*"" --recursive --include ""*"&amp;TEXT(F112,"YYYYMMDD")&amp;"*"" &amp; """&amp;walkandungz&amp;""" "&amp;search_path&amp;"\RTDC"&amp;B112&amp;"\"&amp;TEXT(F112,"YYYY-MM-DD")
&amp;" &amp; "&amp;"aws s3 cp "&amp;s3_bucket&amp;"/RTDC"&amp;B112&amp;"/ "&amp;search_path&amp;"\RTDC"&amp;B112&amp;"\"&amp;TEXT(F112+1,"YYYY-MM-DD")&amp;" --exclude ""*"" --recursive --include ""*"&amp;TEXT(F112+1,"YYYYMMDD")&amp;"*"" &amp; """&amp;walkandungz&amp;""" "&amp;search_path&amp;"\RTDC"&amp;B112&amp;"\"&amp;TEXT(F112+1,"YYYY-MM-DD")</f>
        <v>aws s3 cp s3://rtdc.mdm.uploadarchive.raw/RTDC4038/ "%USERPROFILE%\AppData\Local\Temp\OnboardLogs"\RTDC4038\2017-02-05 --exclude "*" --recursive --include "*20170205*" &amp; "%USERPROFILE%\Documents\GitHub\mrs-test-scripts\Headless Mode &amp; Sideloading\WalkAndUnGZ.bat" "%USERPROFILE%\AppData\Local\Temp\OnboardLogs"\RTDC4038\2017-02-05 &amp; aws s3 cp s3://rtdc.mdm.uploadarchive.raw/RTDC4038/ "%USERPROFILE%\AppData\Local\Temp\OnboardLogs"\RTDC4038\2017-02-06 --exclude "*" --recursive --include "*20170206*" &amp; "%USERPROFILE%\Documents\GitHub\mrs-test-scripts\Headless Mode &amp; Sideloading\WalkAndUnGZ.bat" "%USERPROFILE%\AppData\Local\Temp\OnboardLogs"\RTDC4038\2017-02-06</v>
      </c>
      <c r="AF112" s="82" t="str">
        <f>astrogrep_path&amp;" /spath="&amp;search_path&amp;" /stypes=""app*"&amp;B112&amp;"*"&amp;TEXT(I112-utc_offset/24,"YYYYMMDD")&amp;"*"" /stext="" "&amp;TEXT(I112-utc_offset/24,"HH")&amp;search_regexp&amp;""" /e /r /s"</f>
        <v>"C:\Program Files (x86)\AstroGrep\AstroGrep.exe" /spath="%USERPROFILE%\AppData\Local\Temp\OnboardLogs" /stypes="app*4038*20170205*" /stext=" 23:.+((SYSTEM_STATE.+slice.+state.+changed )|(ment ac)|(multiple cpu faults)|(system.+state.+changed )|(\[timeout)|(PRM\|1\|D)|(kpr)|(kdp)|(\|lc)|(penalty))" /e /r /s</v>
      </c>
      <c r="AG112" s="1" t="str">
        <f>IFERROR(IF(VALUE(LEFT(AD112,2))&lt;=2,"EC",IF(OR(VALUE(LEFT(AD112,2))=8,VALUE(LEFT(AD112,2))=18),"NW","Other")),"Other")</f>
        <v>EC</v>
      </c>
      <c r="AH112" s="86" t="str">
        <f t="shared" si="7"/>
        <v>"%USERPROFILE%\Documents\GitHub\eaglep3\Utilities\RefineRTDCRunTimes.py" --tripid 199-05 --locoid 4038 --swversion DE.1.0.8.0 --startMP 204:464 --initTime 2017-02-05T15:53:30 --startdatetime 2017-02-05T16:00:18 --delay 1 --endMP 204:233302 --enddatetime 2017-02-05T16:37:07 --enforcementcount 0 &gt;&gt;C:\Users\stu\Documents\GitHub\eaglep3-reporting\EC\2017-02-05-refined-times.txt</v>
      </c>
      <c r="AI112" s="108" t="str">
        <f t="shared" si="8"/>
        <v>echo {"issue":{"subject":"","project_id":79,"tracker_id":40,"status_id":1,"priority_id":2,"assigned_to_id":23,"start_date":"2017-02-05","description":"","custom_fields":[{"id":1,"name":"Subdivision","value":"EC"},{"id":4,"name":"Milepost","value":"23.3302"},{"id":17,"name":"Train ID","value":"199-05"},{"id":16,"name":"Locomotive ID","value":"4038"},{"id":130,"name":"Impact","value":""},{"id":150,"name":"Time of Event (Mountain Time)","value":"16:37:07"},{"id":151,"name":"Denver Issue ID","value":""},{"id":178,"name":"Operational Impact","value":"Yes"},{"id":179,"name":"Denver Segment Assigned","value":""}]}} | curl -X POST -H "Content-Type: application/json" -H "X-Redmine-API-Key: d6333d4a04012a730768444271f8ca06482dae87" https://secure.xorail.net/redmine/issues.json --data @-</v>
      </c>
      <c r="AJ112" s="48"/>
      <c r="AK112" s="48"/>
      <c r="AL112" s="48"/>
      <c r="AM112" s="158" t="str">
        <f t="shared" si="9"/>
        <v>start /low /b %USERPROFILE%\Documents\GitHub\eaglep3\Utilities\DownloadLogsFromS3.py --loco 4038 --day 2017-02-05</v>
      </c>
      <c r="AN112" s="167" t="str">
        <f>"grep -SE -B400 ""CHR.+\|PRM\|1\|D.+(SWITCH|SIGNAL).+UNKNOWN"" "&amp;search_path&amp;"\RTDC"&amp;B112&amp;"\*"&amp;B112&amp;"*"&amp;TEXT(AVERAGE(F112,I112)-utc_offset/24,"YYYYMMDD")&amp;"* | grep -SE ""(Enforcement Action)|(\[TIMEOUT)|(CHR.+\|PRM\|1\|D.+(SWITCH|SIGNAL).+UNKNOWN)"" - &gt;&gt; "&amp;TEXT(Variables!$A$2,"YYYY-MM-DD")&amp;"-UncaughtWiMAX.txt"</f>
        <v>grep -SE -B400 "CHR.+\|PRM\|1\|D.+(SWITCH|SIGNAL).+UNKNOWN" "%USERPROFILE%\AppData\Local\Temp\OnboardLogs"\RTDC4038\*4038*20170205* | grep -SE "(Enforcement Action)|(\[TIMEOUT)|(CHR.+\|PRM\|1\|D.+(SWITCH|SIGNAL).+UNKNOWN)" - &gt;&gt; 2017-02-05-UncaughtWiMAX.txt</v>
      </c>
    </row>
    <row r="113" spans="1:91" s="20" customFormat="1" x14ac:dyDescent="0.25">
      <c r="A113" s="33" t="s">
        <v>674</v>
      </c>
      <c r="B113" s="7">
        <v>4037</v>
      </c>
      <c r="C113" s="21" t="s">
        <v>193</v>
      </c>
      <c r="D113" s="21" t="s">
        <v>315</v>
      </c>
      <c r="E113" s="13">
        <v>42771.698530092595</v>
      </c>
      <c r="F113" s="13">
        <v>42771.706030092595</v>
      </c>
      <c r="G113" s="7">
        <v>1</v>
      </c>
      <c r="H113" s="21" t="s">
        <v>184</v>
      </c>
      <c r="I113" s="13">
        <v>42771.735266203701</v>
      </c>
      <c r="J113" s="7">
        <v>0</v>
      </c>
      <c r="K113" s="98" t="str">
        <f>IF(ISEVEN(B113),(B113-1)&amp;"/"&amp;B113,B113&amp;"/"&amp;(B113+1))</f>
        <v>4037/4038</v>
      </c>
      <c r="L113" s="21" t="str">
        <f>VLOOKUP(A113,'Trips&amp;Operators'!$C$1:$G$99999,5,FALSE)</f>
        <v>KILLION DAVID</v>
      </c>
      <c r="M113" s="6">
        <f>I113-F113</f>
        <v>2.9236111106001772E-2</v>
      </c>
      <c r="N113" s="7">
        <f>24*60*SUM($M113:$M113)</f>
        <v>42.099999992642552</v>
      </c>
      <c r="O113" s="7"/>
      <c r="P113" s="7"/>
      <c r="Q113" s="22"/>
      <c r="R113" s="22"/>
      <c r="S113" s="31">
        <f>SUM(U113:U113)/IF(AG113="EC",12,1)</f>
        <v>1</v>
      </c>
      <c r="T113" s="46" t="str">
        <f>IF(ISEVEN(LEFT(AD113,4)),"Southbound","NorthBound")</f>
        <v>Southbound</v>
      </c>
      <c r="U113" s="190">
        <f>IF(AG113="EC",COUNTIFS(Variables!$M$2:$M$19,IF(T113="NorthBound","&gt;=","&lt;=")&amp;Y113,Variables!$M$2:$M$19,IF(T113="NorthBound","&lt;=","&gt;=")&amp;Z113),COUNTIFS(Variables!$P$2:$P$19,IF(T113="NorthBound","&gt;=","&lt;=")&amp;Y113,Variables!$P$2:$P$19,IF(T113="NorthBound","&lt;=","&gt;=")&amp;Z113))</f>
        <v>12</v>
      </c>
      <c r="V113" s="191" t="str">
        <f>"https://d0f6bd738d7f1b3e5a7ca70fe4ff75f0.us-east-1.aws.found.io/app/kibana#/discover/Steve-Slow-Train-Analysis-(2080s-and-2083s)?_g="&amp;"(refreshInterval:(display:Off,pause:!f,section:0,value:0),time:(from:'"&amp;TEXT(E113-1/24,"yyyy-MM-DDThh:mm:ss")&amp;utc_offset&amp;"00"&amp;"',mode:absolute,to:'"&amp;TEXT(I113+1/24,"yyyy-MM-DDThh:mm:ss")&amp;utc_offset&amp;"00"&amp;"'))&amp;_a=(columns:!('Locomotive+ID','Data.Head+End+Milepost',Data.Speed,'Data.Locomotive+State','Data.Train+ID',"&amp;"'Data.Warning%2FEnforcement+Type','Data.Target+Start+Milepost','Data.Target+Description','Data.Target+Speed',"&amp;"'Data.Enforcement+Train+Speed','Data.Enforcement+Start+Milepost','Data.Target+Type','Data.Enforcement+Direction+of+Travel','Message+ID',"&amp;"'Data.Body+of+Summary+Text','Data.Head+End+Track+name'),filters:!(),index:'emp_*',interval:auto,query:"&amp;"(query_string:(analyze_wildcard:!t,query:'Message%5C+ID:(2083+OR+2080+OR+1041+OR+2003+OR+1051+OR+1043+OR+1053)+AND+%22rtdc.l.rtdc."&amp;B113&amp;"%22')),sort:!(Time.ISO8601,asc))"</f>
        <v>https://d0f6bd738d7f1b3e5a7ca70fe4ff75f0.us-east-1.aws.found.io/app/kibana#/discover/Steve-Slow-Train-Analysis-(2080s-and-2083s)?_g=(refreshInterval:(display:Off,pause:!f,section:0,value:0),time:(from:'2017-02-05T15:45:53-0700',mode:absolute,to:'2017-02-05T18:38:47-0700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4037%22')),sort:!(Time.ISO8601,asc))</v>
      </c>
      <c r="W113" s="192" t="str">
        <f>IF(AA113&lt;IF(AG113="EC",23,5.65),"Y","N")</f>
        <v>N</v>
      </c>
      <c r="X113" s="192">
        <f>VALUE(LEFT(AD113,4))-VALUE(LEFT(AD112,4))</f>
        <v>1</v>
      </c>
      <c r="Y113" s="62">
        <f>RIGHT(D113,LEN(D113)-4)/10000</f>
        <v>23.297599999999999</v>
      </c>
      <c r="Z113" s="62">
        <f>RIGHT(H113,LEN(H113)-4)/10000</f>
        <v>1.49E-2</v>
      </c>
      <c r="AA113" s="62">
        <f>ABS(Z113-Y113)</f>
        <v>23.282699999999998</v>
      </c>
      <c r="AB113" s="59" t="e">
        <f>VLOOKUP(A113,Enforcements!$C$7:$K$16,8,0)</f>
        <v>#N/A</v>
      </c>
      <c r="AC113" s="55" t="e">
        <f>VLOOKUP(A113,Enforcements!$C$7:$E$16,3,0)</f>
        <v>#N/A</v>
      </c>
      <c r="AD113" s="56" t="str">
        <f>IF(LEN(A113)=6,"0"&amp;A113,A113)</f>
        <v>0200-05</v>
      </c>
      <c r="AE113" s="85" t="str">
        <f>"aws s3 cp "&amp;s3_bucket&amp;"/RTDC"&amp;B113&amp;"/ "&amp;search_path&amp;"\RTDC"&amp;B113&amp;"\"&amp;TEXT(F113,"YYYY-MM-DD")&amp;" --exclude ""*"" --recursive --include ""*"&amp;TEXT(F113,"YYYYMMDD")&amp;"*"" &amp; """&amp;walkandungz&amp;""" "&amp;search_path&amp;"\RTDC"&amp;B113&amp;"\"&amp;TEXT(F113,"YYYY-MM-DD")
&amp;" &amp; "&amp;"aws s3 cp "&amp;s3_bucket&amp;"/RTDC"&amp;B113&amp;"/ "&amp;search_path&amp;"\RTDC"&amp;B113&amp;"\"&amp;TEXT(F113+1,"YYYY-MM-DD")&amp;" --exclude ""*"" --recursive --include ""*"&amp;TEXT(F113+1,"YYYYMMDD")&amp;"*"" &amp; """&amp;walkandungz&amp;""" "&amp;search_path&amp;"\RTDC"&amp;B113&amp;"\"&amp;TEXT(F113+1,"YYYY-MM-DD")</f>
        <v>aws s3 cp s3://rtdc.mdm.uploadarchive.raw/RTDC4037/ "%USERPROFILE%\AppData\Local\Temp\OnboardLogs"\RTDC4037\2017-02-05 --exclude "*" --recursive --include "*20170205*" &amp; "%USERPROFILE%\Documents\GitHub\mrs-test-scripts\Headless Mode &amp; Sideloading\WalkAndUnGZ.bat" "%USERPROFILE%\AppData\Local\Temp\OnboardLogs"\RTDC4037\2017-02-05 &amp; aws s3 cp s3://rtdc.mdm.uploadarchive.raw/RTDC4037/ "%USERPROFILE%\AppData\Local\Temp\OnboardLogs"\RTDC4037\2017-02-06 --exclude "*" --recursive --include "*20170206*" &amp; "%USERPROFILE%\Documents\GitHub\mrs-test-scripts\Headless Mode &amp; Sideloading\WalkAndUnGZ.bat" "%USERPROFILE%\AppData\Local\Temp\OnboardLogs"\RTDC4037\2017-02-06</v>
      </c>
      <c r="AF113" s="82" t="str">
        <f>astrogrep_path&amp;" /spath="&amp;search_path&amp;" /stypes=""app*"&amp;B113&amp;"*"&amp;TEXT(I113-utc_offset/24,"YYYYMMDD")&amp;"*"" /stext="" "&amp;TEXT(I113-utc_offset/24,"HH")&amp;search_regexp&amp;""" /e /r /s"</f>
        <v>"C:\Program Files (x86)\AstroGrep\AstroGrep.exe" /spath="%USERPROFILE%\AppData\Local\Temp\OnboardLogs" /stypes="app*4037*20170206*" /stext=" 00:.+((SYSTEM_STATE.+slice.+state.+changed )|(ment ac)|(multiple cpu faults)|(system.+state.+changed )|(\[timeout)|(PRM\|1\|D)|(kpr)|(kdp)|(\|lc)|(penalty))" /e /r /s</v>
      </c>
      <c r="AG113" s="1" t="str">
        <f>IFERROR(IF(VALUE(LEFT(AD113,2))&lt;=2,"EC",IF(OR(VALUE(LEFT(AD113,2))=8,VALUE(LEFT(AD113,2))=18),"NW","Other")),"Other")</f>
        <v>EC</v>
      </c>
      <c r="AH113" s="86" t="str">
        <f t="shared" si="7"/>
        <v>"%USERPROFILE%\Documents\GitHub\eaglep3\Utilities\RefineRTDCRunTimes.py" --tripid 200-05 --locoid 4037 --swversion DE.1.0.8.0 --startMP 204:232976 --initTime 2017-02-05T16:45:53 --startdatetime 2017-02-05T16:56:41 --delay 1 --endMP 204:149 --enddatetime 2017-02-05T17:38:47 --enforcementcount 0 &gt;&gt;C:\Users\stu\Documents\GitHub\eaglep3-reporting\EC\2017-02-05-refined-times.txt</v>
      </c>
      <c r="AI113" s="108" t="str">
        <f t="shared" si="8"/>
        <v>echo {"issue":{"subject":"","project_id":79,"tracker_id":40,"status_id":1,"priority_id":2,"assigned_to_id":23,"start_date":"2017-02-05","description":"","custom_fields":[{"id":1,"name":"Subdivision","value":"EC"},{"id":4,"name":"Milepost","value":"0.0149"},{"id":17,"name":"Train ID","value":"200-05"},{"id":16,"name":"Locomotive ID","value":"4037"},{"id":130,"name":"Impact","value":""},{"id":150,"name":"Time of Event (Mountain Time)","value":"17:38:47"},{"id":151,"name":"Denver Issue ID","value":""},{"id":178,"name":"Operational Impact","value":"Yes"},{"id":179,"name":"Denver Segment Assigned","value":""}]}} | curl -X POST -H "Content-Type: application/json" -H "X-Redmine-API-Key: d6333d4a04012a730768444271f8ca06482dae87" https://secure.xorail.net/redmine/issues.json --data @-</v>
      </c>
      <c r="AJ113" s="48"/>
      <c r="AK113" s="48"/>
      <c r="AL113" s="48"/>
      <c r="AM113" s="158" t="str">
        <f t="shared" si="9"/>
        <v>start /low /b %USERPROFILE%\Documents\GitHub\eaglep3\Utilities\DownloadLogsFromS3.py --loco 4037 --day 2017-02-05</v>
      </c>
      <c r="AN113" s="167" t="str">
        <f>"grep -SE -B400 ""CHR.+\|PRM\|1\|D.+(SWITCH|SIGNAL).+UNKNOWN"" "&amp;search_path&amp;"\RTDC"&amp;B113&amp;"\*"&amp;B113&amp;"*"&amp;TEXT(AVERAGE(F113,I113)-utc_offset/24,"YYYYMMDD")&amp;"* | grep -SE ""(Enforcement Action)|(\[TIMEOUT)|(CHR.+\|PRM\|1\|D.+(SWITCH|SIGNAL).+UNKNOWN)"" - &gt;&gt; "&amp;TEXT(Variables!$A$2,"YYYY-MM-DD")&amp;"-UncaughtWiMAX.txt"</f>
        <v>grep -SE -B400 "CHR.+\|PRM\|1\|D.+(SWITCH|SIGNAL).+UNKNOWN" "%USERPROFILE%\AppData\Local\Temp\OnboardLogs"\RTDC4037\*4037*20170206* | grep -SE "(Enforcement Action)|(\[TIMEOUT)|(CHR.+\|PRM\|1\|D.+(SWITCH|SIGNAL).+UNKNOWN)" - &gt;&gt; 2017-02-05-UncaughtWiMAX.txt</v>
      </c>
      <c r="AO113"/>
      <c r="AP113"/>
      <c r="AQ113"/>
      <c r="AR113"/>
      <c r="AS113"/>
      <c r="AT113"/>
      <c r="AU113"/>
      <c r="AV113"/>
      <c r="AW113"/>
      <c r="AX113"/>
      <c r="AY113"/>
      <c r="AZ113"/>
      <c r="BA113"/>
      <c r="BB113"/>
      <c r="BC113"/>
      <c r="BD113"/>
      <c r="BE113"/>
      <c r="BF113"/>
      <c r="BG113"/>
      <c r="BH113"/>
      <c r="BI113"/>
      <c r="BJ113"/>
      <c r="BK113"/>
      <c r="BL113"/>
      <c r="BM113"/>
      <c r="BN113"/>
      <c r="BO113"/>
      <c r="BP113"/>
      <c r="BQ113"/>
      <c r="BR113"/>
      <c r="BS113"/>
      <c r="BT113"/>
      <c r="BU113"/>
      <c r="BV113"/>
      <c r="BW113"/>
      <c r="BX113"/>
      <c r="BY113"/>
      <c r="BZ113"/>
      <c r="CA113"/>
      <c r="CB113"/>
      <c r="CC113"/>
      <c r="CD113"/>
      <c r="CE113"/>
      <c r="CF113"/>
      <c r="CG113"/>
      <c r="CH113"/>
      <c r="CI113"/>
      <c r="CJ113"/>
      <c r="CK113"/>
      <c r="CL113"/>
      <c r="CM113"/>
    </row>
    <row r="114" spans="1:91" s="20" customFormat="1" x14ac:dyDescent="0.25">
      <c r="A114" s="33" t="s">
        <v>513</v>
      </c>
      <c r="B114" s="7">
        <v>4025</v>
      </c>
      <c r="C114" s="21" t="s">
        <v>193</v>
      </c>
      <c r="D114" s="21" t="s">
        <v>415</v>
      </c>
      <c r="E114" s="13">
        <v>42771.67459490741</v>
      </c>
      <c r="F114" s="13">
        <v>42771.67728009259</v>
      </c>
      <c r="G114" s="7">
        <v>1</v>
      </c>
      <c r="H114" s="21" t="s">
        <v>396</v>
      </c>
      <c r="I114" s="13">
        <v>42771.702326388891</v>
      </c>
      <c r="J114" s="7">
        <v>0</v>
      </c>
      <c r="K114" s="98" t="str">
        <f>IF(ISEVEN(B114),(B114-1)&amp;"/"&amp;B114,B114&amp;"/"&amp;(B114+1))</f>
        <v>4025/4026</v>
      </c>
      <c r="L114" s="21" t="str">
        <f>VLOOKUP(A114,'Trips&amp;Operators'!$C$1:$G$99999,5,FALSE)</f>
        <v>STEWART MICHAEL</v>
      </c>
      <c r="M114" s="6">
        <f>I114-F114</f>
        <v>2.5046296301297843E-2</v>
      </c>
      <c r="N114" s="7">
        <f>24*60*SUM($M114:$M114)</f>
        <v>36.066666673868895</v>
      </c>
      <c r="O114" s="7"/>
      <c r="P114" s="7"/>
      <c r="Q114" s="22"/>
      <c r="R114" s="22"/>
      <c r="S114" s="31">
        <f>SUM(U114:U114)/IF(AG114="EC",12,1)</f>
        <v>1</v>
      </c>
      <c r="T114" s="46" t="str">
        <f>IF(ISEVEN(LEFT(AD114,4)),"Southbound","NorthBound")</f>
        <v>NorthBound</v>
      </c>
      <c r="U114" s="190">
        <f>IF(AG114="EC",COUNTIFS(Variables!$M$2:$M$19,IF(T114="NorthBound","&gt;=","&lt;=")&amp;Y114,Variables!$M$2:$M$19,IF(T114="NorthBound","&lt;=","&gt;=")&amp;Z114),COUNTIFS(Variables!$P$2:$P$19,IF(T114="NorthBound","&gt;=","&lt;=")&amp;Y114,Variables!$P$2:$P$19,IF(T114="NorthBound","&lt;=","&gt;=")&amp;Z114))</f>
        <v>12</v>
      </c>
      <c r="V114" s="191" t="str">
        <f>"https://d0f6bd738d7f1b3e5a7ca70fe4ff75f0.us-east-1.aws.found.io/app/kibana#/discover/Steve-Slow-Train-Analysis-(2080s-and-2083s)?_g="&amp;"(refreshInterval:(display:Off,pause:!f,section:0,value:0),time:(from:'"&amp;TEXT(E114-1/24,"yyyy-MM-DDThh:mm:ss")&amp;utc_offset&amp;"00"&amp;"',mode:absolute,to:'"&amp;TEXT(I114+1/24,"yyyy-MM-DDThh:mm:ss")&amp;utc_offset&amp;"00"&amp;"'))&amp;_a=(columns:!('Locomotive+ID','Data.Head+End+Milepost',Data.Speed,'Data.Locomotive+State','Data.Train+ID',"&amp;"'Data.Warning%2FEnforcement+Type','Data.Target+Start+Milepost','Data.Target+Description','Data.Target+Speed',"&amp;"'Data.Enforcement+Train+Speed','Data.Enforcement+Start+Milepost','Data.Target+Type','Data.Enforcement+Direction+of+Travel','Message+ID',"&amp;"'Data.Body+of+Summary+Text','Data.Head+End+Track+name'),filters:!(),index:'emp_*',interval:auto,query:"&amp;"(query_string:(analyze_wildcard:!t,query:'Message%5C+ID:(2083+OR+2080+OR+1041+OR+2003+OR+1051+OR+1043+OR+1053)+AND+%22rtdc.l.rtdc."&amp;B114&amp;"%22')),sort:!(Time.ISO8601,asc))"</f>
        <v>https://d0f6bd738d7f1b3e5a7ca70fe4ff75f0.us-east-1.aws.found.io/app/kibana#/discover/Steve-Slow-Train-Analysis-(2080s-and-2083s)?_g=(refreshInterval:(display:Off,pause:!f,section:0,value:0),time:(from:'2017-02-05T15:11:25-0700',mode:absolute,to:'2017-02-05T17:51:21-0700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4025%22')),sort:!(Time.ISO8601,asc))</v>
      </c>
      <c r="W114" s="192" t="str">
        <f>IF(AA114&lt;IF(AG114="EC",23,5.65),"Y","N")</f>
        <v>N</v>
      </c>
      <c r="X114" s="192">
        <f>VALUE(LEFT(AD114,4))-VALUE(LEFT(AD113,4))</f>
        <v>1</v>
      </c>
      <c r="Y114" s="62">
        <f>RIGHT(D114,LEN(D114)-4)/10000</f>
        <v>4.8800000000000003E-2</v>
      </c>
      <c r="Z114" s="62">
        <f>RIGHT(H114,LEN(H114)-4)/10000</f>
        <v>23.328199999999999</v>
      </c>
      <c r="AA114" s="62">
        <f>ABS(Z114-Y114)</f>
        <v>23.279399999999999</v>
      </c>
      <c r="AB114" s="59" t="e">
        <f>VLOOKUP(A114,Enforcements!$C$7:$K$16,8,0)</f>
        <v>#N/A</v>
      </c>
      <c r="AC114" s="55" t="e">
        <f>VLOOKUP(A114,Enforcements!$C$7:$E$16,3,0)</f>
        <v>#N/A</v>
      </c>
      <c r="AD114" s="56" t="str">
        <f>IF(LEN(A114)=6,"0"&amp;A114,A114)</f>
        <v>0201-05</v>
      </c>
      <c r="AE114" s="85" t="str">
        <f>"aws s3 cp "&amp;s3_bucket&amp;"/RTDC"&amp;B114&amp;"/ "&amp;search_path&amp;"\RTDC"&amp;B114&amp;"\"&amp;TEXT(F114,"YYYY-MM-DD")&amp;" --exclude ""*"" --recursive --include ""*"&amp;TEXT(F114,"YYYYMMDD")&amp;"*"" &amp; """&amp;walkandungz&amp;""" "&amp;search_path&amp;"\RTDC"&amp;B114&amp;"\"&amp;TEXT(F114,"YYYY-MM-DD")
&amp;" &amp; "&amp;"aws s3 cp "&amp;s3_bucket&amp;"/RTDC"&amp;B114&amp;"/ "&amp;search_path&amp;"\RTDC"&amp;B114&amp;"\"&amp;TEXT(F114+1,"YYYY-MM-DD")&amp;" --exclude ""*"" --recursive --include ""*"&amp;TEXT(F114+1,"YYYYMMDD")&amp;"*"" &amp; """&amp;walkandungz&amp;""" "&amp;search_path&amp;"\RTDC"&amp;B114&amp;"\"&amp;TEXT(F114+1,"YYYY-MM-DD")</f>
        <v>aws s3 cp s3://rtdc.mdm.uploadarchive.raw/RTDC4025/ "%USERPROFILE%\AppData\Local\Temp\OnboardLogs"\RTDC4025\2017-02-05 --exclude "*" --recursive --include "*20170205*" &amp; "%USERPROFILE%\Documents\GitHub\mrs-test-scripts\Headless Mode &amp; Sideloading\WalkAndUnGZ.bat" "%USERPROFILE%\AppData\Local\Temp\OnboardLogs"\RTDC4025\2017-02-05 &amp; aws s3 cp s3://rtdc.mdm.uploadarchive.raw/RTDC4025/ "%USERPROFILE%\AppData\Local\Temp\OnboardLogs"\RTDC4025\2017-02-06 --exclude "*" --recursive --include "*20170206*" &amp; "%USERPROFILE%\Documents\GitHub\mrs-test-scripts\Headless Mode &amp; Sideloading\WalkAndUnGZ.bat" "%USERPROFILE%\AppData\Local\Temp\OnboardLogs"\RTDC4025\2017-02-06</v>
      </c>
      <c r="AF114" s="82" t="str">
        <f>astrogrep_path&amp;" /spath="&amp;search_path&amp;" /stypes=""app*"&amp;B114&amp;"*"&amp;TEXT(I114-utc_offset/24,"YYYYMMDD")&amp;"*"" /stext="" "&amp;TEXT(I114-utc_offset/24,"HH")&amp;search_regexp&amp;""" /e /r /s"</f>
        <v>"C:\Program Files (x86)\AstroGrep\AstroGrep.exe" /spath="%USERPROFILE%\AppData\Local\Temp\OnboardLogs" /stypes="app*4025*20170205*" /stext=" 23:.+((SYSTEM_STATE.+slice.+state.+changed )|(ment ac)|(multiple cpu faults)|(system.+state.+changed )|(\[timeout)|(PRM\|1\|D)|(kpr)|(kdp)|(\|lc)|(penalty))" /e /r /s</v>
      </c>
      <c r="AG114" s="1" t="str">
        <f>IFERROR(IF(VALUE(LEFT(AD114,2))&lt;=2,"EC",IF(OR(VALUE(LEFT(AD114,2))=8,VALUE(LEFT(AD114,2))=18),"NW","Other")),"Other")</f>
        <v>EC</v>
      </c>
      <c r="AH114" s="86" t="str">
        <f t="shared" si="7"/>
        <v>"%USERPROFILE%\Documents\GitHub\eaglep3\Utilities\RefineRTDCRunTimes.py" --tripid 201-05 --locoid 4025 --swversion DE.1.0.8.0 --startMP 204:488 --initTime 2017-02-05T16:11:25 --startdatetime 2017-02-05T16:15:17 --delay 1 --endMP 204:233282 --enddatetime 2017-02-05T16:51:21 --enforcementcount 0 &gt;&gt;C:\Users\stu\Documents\GitHub\eaglep3-reporting\EC\2017-02-05-refined-times.txt</v>
      </c>
      <c r="AI114" s="108" t="str">
        <f t="shared" si="8"/>
        <v>echo {"issue":{"subject":"","project_id":79,"tracker_id":40,"status_id":1,"priority_id":2,"assigned_to_id":23,"start_date":"2017-02-05","description":"","custom_fields":[{"id":1,"name":"Subdivision","value":"EC"},{"id":4,"name":"Milepost","value":"23.3282"},{"id":17,"name":"Train ID","value":"201-05"},{"id":16,"name":"Locomotive ID","value":"4025"},{"id":130,"name":"Impact","value":""},{"id":150,"name":"Time of Event (Mountain Time)","value":"16:51:21"},{"id":151,"name":"Denver Issue ID","value":""},{"id":178,"name":"Operational Impact","value":"Yes"},{"id":179,"name":"Denver Segment Assigned","value":""}]}} | curl -X POST -H "Content-Type: application/json" -H "X-Redmine-API-Key: d6333d4a04012a730768444271f8ca06482dae87" https://secure.xorail.net/redmine/issues.json --data @-</v>
      </c>
      <c r="AJ114" s="48"/>
      <c r="AK114" s="48"/>
      <c r="AL114" s="48"/>
      <c r="AM114" s="158" t="str">
        <f t="shared" si="9"/>
        <v>start /low /b %USERPROFILE%\Documents\GitHub\eaglep3\Utilities\DownloadLogsFromS3.py --loco 4025 --day 2017-02-05</v>
      </c>
      <c r="AN114" s="167" t="str">
        <f>"grep -SE -B400 ""CHR.+\|PRM\|1\|D.+(SWITCH|SIGNAL).+UNKNOWN"" "&amp;search_path&amp;"\RTDC"&amp;B114&amp;"\*"&amp;B114&amp;"*"&amp;TEXT(AVERAGE(F114,I114)-utc_offset/24,"YYYYMMDD")&amp;"* | grep -SE ""(Enforcement Action)|(\[TIMEOUT)|(CHR.+\|PRM\|1\|D.+(SWITCH|SIGNAL).+UNKNOWN)"" - &gt;&gt; "&amp;TEXT(Variables!$A$2,"YYYY-MM-DD")&amp;"-UncaughtWiMAX.txt"</f>
        <v>grep -SE -B400 "CHR.+\|PRM\|1\|D.+(SWITCH|SIGNAL).+UNKNOWN" "%USERPROFILE%\AppData\Local\Temp\OnboardLogs"\RTDC4025\*4025*20170205* | grep -SE "(Enforcement Action)|(\[TIMEOUT)|(CHR.+\|PRM\|1\|D.+(SWITCH|SIGNAL).+UNKNOWN)" - &gt;&gt; 2017-02-05-UncaughtWiMAX.txt</v>
      </c>
      <c r="AO114"/>
      <c r="AP114"/>
      <c r="AQ114"/>
      <c r="AR114"/>
      <c r="AS114"/>
      <c r="AT114"/>
      <c r="AU114"/>
      <c r="AV114"/>
      <c r="AW114"/>
      <c r="AX114"/>
      <c r="AY114"/>
      <c r="AZ114"/>
      <c r="BA114"/>
      <c r="BB114"/>
      <c r="BC114"/>
      <c r="BD114"/>
      <c r="BE114"/>
      <c r="BF114"/>
      <c r="BG114"/>
      <c r="BH114"/>
      <c r="BI114"/>
      <c r="BJ114"/>
      <c r="BK114"/>
      <c r="BL114"/>
      <c r="BM114"/>
      <c r="BN114"/>
      <c r="BO114"/>
      <c r="BP114"/>
      <c r="BQ114"/>
      <c r="BR114"/>
      <c r="BS114"/>
      <c r="BT114"/>
      <c r="BU114"/>
      <c r="BV114"/>
      <c r="BW114"/>
      <c r="BX114"/>
      <c r="BY114"/>
      <c r="BZ114"/>
      <c r="CA114"/>
      <c r="CB114"/>
      <c r="CC114"/>
      <c r="CD114"/>
      <c r="CE114"/>
      <c r="CF114"/>
      <c r="CG114"/>
      <c r="CH114"/>
      <c r="CI114"/>
      <c r="CJ114"/>
      <c r="CK114"/>
      <c r="CL114"/>
      <c r="CM114"/>
    </row>
    <row r="115" spans="1:91" s="20" customFormat="1" x14ac:dyDescent="0.25">
      <c r="A115" s="33" t="s">
        <v>679</v>
      </c>
      <c r="B115" s="7">
        <v>4026</v>
      </c>
      <c r="C115" s="21" t="s">
        <v>193</v>
      </c>
      <c r="D115" s="21" t="s">
        <v>353</v>
      </c>
      <c r="E115" s="13">
        <v>42771.71193287037</v>
      </c>
      <c r="F115" s="13">
        <v>42771.716527777775</v>
      </c>
      <c r="G115" s="7">
        <v>1</v>
      </c>
      <c r="H115" s="21" t="s">
        <v>413</v>
      </c>
      <c r="I115" s="13">
        <v>42771.742546296293</v>
      </c>
      <c r="J115" s="7">
        <v>0</v>
      </c>
      <c r="K115" s="98" t="str">
        <f>IF(ISEVEN(B115),(B115-1)&amp;"/"&amp;B115,B115&amp;"/"&amp;(B115+1))</f>
        <v>4025/4026</v>
      </c>
      <c r="L115" s="21" t="str">
        <f>VLOOKUP(A115,'Trips&amp;Operators'!$C$1:$G$99999,5,FALSE)</f>
        <v>STEWART MICHAEL</v>
      </c>
      <c r="M115" s="6">
        <f>I115-F115</f>
        <v>2.6018518517958E-2</v>
      </c>
      <c r="N115" s="7">
        <f>24*60*SUM($M115:$M115)</f>
        <v>37.46666666585952</v>
      </c>
      <c r="O115" s="7"/>
      <c r="P115" s="7"/>
      <c r="Q115" s="22"/>
      <c r="R115" s="22"/>
      <c r="S115" s="31">
        <f>SUM(U115:U115)/IF(AG115="EC",12,1)</f>
        <v>1</v>
      </c>
      <c r="T115" s="46" t="str">
        <f>IF(ISEVEN(LEFT(AD115,4)),"Southbound","NorthBound")</f>
        <v>Southbound</v>
      </c>
      <c r="U115" s="190">
        <f>IF(AG115="EC",COUNTIFS(Variables!$M$2:$M$19,IF(T115="NorthBound","&gt;=","&lt;=")&amp;Y115,Variables!$M$2:$M$19,IF(T115="NorthBound","&lt;=","&gt;=")&amp;Z115),COUNTIFS(Variables!$P$2:$P$19,IF(T115="NorthBound","&gt;=","&lt;=")&amp;Y115,Variables!$P$2:$P$19,IF(T115="NorthBound","&lt;=","&gt;=")&amp;Z115))</f>
        <v>12</v>
      </c>
      <c r="V115" s="191" t="str">
        <f>"https://d0f6bd738d7f1b3e5a7ca70fe4ff75f0.us-east-1.aws.found.io/app/kibana#/discover/Steve-Slow-Train-Analysis-(2080s-and-2083s)?_g="&amp;"(refreshInterval:(display:Off,pause:!f,section:0,value:0),time:(from:'"&amp;TEXT(E115-1/24,"yyyy-MM-DDThh:mm:ss")&amp;utc_offset&amp;"00"&amp;"',mode:absolute,to:'"&amp;TEXT(I115+1/24,"yyyy-MM-DDThh:mm:ss")&amp;utc_offset&amp;"00"&amp;"'))&amp;_a=(columns:!('Locomotive+ID','Data.Head+End+Milepost',Data.Speed,'Data.Locomotive+State','Data.Train+ID',"&amp;"'Data.Warning%2FEnforcement+Type','Data.Target+Start+Milepost','Data.Target+Description','Data.Target+Speed',"&amp;"'Data.Enforcement+Train+Speed','Data.Enforcement+Start+Milepost','Data.Target+Type','Data.Enforcement+Direction+of+Travel','Message+ID',"&amp;"'Data.Body+of+Summary+Text','Data.Head+End+Track+name'),filters:!(),index:'emp_*',interval:auto,query:"&amp;"(query_string:(analyze_wildcard:!t,query:'Message%5C+ID:(2083+OR+2080+OR+1041+OR+2003+OR+1051+OR+1043+OR+1053)+AND+%22rtdc.l.rtdc."&amp;B115&amp;"%22')),sort:!(Time.ISO8601,asc))"</f>
        <v>https://d0f6bd738d7f1b3e5a7ca70fe4ff75f0.us-east-1.aws.found.io/app/kibana#/discover/Steve-Slow-Train-Analysis-(2080s-and-2083s)?_g=(refreshInterval:(display:Off,pause:!f,section:0,value:0),time:(from:'2017-02-05T16:05:11-0700',mode:absolute,to:'2017-02-05T18:49:16-0700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4026%22')),sort:!(Time.ISO8601,asc))</v>
      </c>
      <c r="W115" s="192" t="str">
        <f>IF(AA115&lt;IF(AG115="EC",23,5.65),"Y","N")</f>
        <v>N</v>
      </c>
      <c r="X115" s="192">
        <f>VALUE(LEFT(AD115,4))-VALUE(LEFT(AD114,4))</f>
        <v>1</v>
      </c>
      <c r="Y115" s="62">
        <f>RIGHT(D115,LEN(D115)-4)/10000</f>
        <v>23.296299999999999</v>
      </c>
      <c r="Z115" s="62">
        <f>RIGHT(H115,LEN(H115)-4)/10000</f>
        <v>1.72E-2</v>
      </c>
      <c r="AA115" s="62">
        <f>ABS(Z115-Y115)</f>
        <v>23.2791</v>
      </c>
      <c r="AB115" s="59" t="e">
        <f>VLOOKUP(A115,Enforcements!$C$7:$K$16,8,0)</f>
        <v>#N/A</v>
      </c>
      <c r="AC115" s="55" t="e">
        <f>VLOOKUP(A115,Enforcements!$C$7:$E$16,3,0)</f>
        <v>#N/A</v>
      </c>
      <c r="AD115" s="56" t="str">
        <f>IF(LEN(A115)=6,"0"&amp;A115,A115)</f>
        <v>0202-05</v>
      </c>
      <c r="AE115" s="85" t="str">
        <f>"aws s3 cp "&amp;s3_bucket&amp;"/RTDC"&amp;B115&amp;"/ "&amp;search_path&amp;"\RTDC"&amp;B115&amp;"\"&amp;TEXT(F115,"YYYY-MM-DD")&amp;" --exclude ""*"" --recursive --include ""*"&amp;TEXT(F115,"YYYYMMDD")&amp;"*"" &amp; """&amp;walkandungz&amp;""" "&amp;search_path&amp;"\RTDC"&amp;B115&amp;"\"&amp;TEXT(F115,"YYYY-MM-DD")
&amp;" &amp; "&amp;"aws s3 cp "&amp;s3_bucket&amp;"/RTDC"&amp;B115&amp;"/ "&amp;search_path&amp;"\RTDC"&amp;B115&amp;"\"&amp;TEXT(F115+1,"YYYY-MM-DD")&amp;" --exclude ""*"" --recursive --include ""*"&amp;TEXT(F115+1,"YYYYMMDD")&amp;"*"" &amp; """&amp;walkandungz&amp;""" "&amp;search_path&amp;"\RTDC"&amp;B115&amp;"\"&amp;TEXT(F115+1,"YYYY-MM-DD")</f>
        <v>aws s3 cp s3://rtdc.mdm.uploadarchive.raw/RTDC4026/ "%USERPROFILE%\AppData\Local\Temp\OnboardLogs"\RTDC4026\2017-02-05 --exclude "*" --recursive --include "*20170205*" &amp; "%USERPROFILE%\Documents\GitHub\mrs-test-scripts\Headless Mode &amp; Sideloading\WalkAndUnGZ.bat" "%USERPROFILE%\AppData\Local\Temp\OnboardLogs"\RTDC4026\2017-02-05 &amp; aws s3 cp s3://rtdc.mdm.uploadarchive.raw/RTDC4026/ "%USERPROFILE%\AppData\Local\Temp\OnboardLogs"\RTDC4026\2017-02-06 --exclude "*" --recursive --include "*20170206*" &amp; "%USERPROFILE%\Documents\GitHub\mrs-test-scripts\Headless Mode &amp; Sideloading\WalkAndUnGZ.bat" "%USERPROFILE%\AppData\Local\Temp\OnboardLogs"\RTDC4026\2017-02-06</v>
      </c>
      <c r="AF115" s="82" t="str">
        <f>astrogrep_path&amp;" /spath="&amp;search_path&amp;" /stypes=""app*"&amp;B115&amp;"*"&amp;TEXT(I115-utc_offset/24,"YYYYMMDD")&amp;"*"" /stext="" "&amp;TEXT(I115-utc_offset/24,"HH")&amp;search_regexp&amp;""" /e /r /s"</f>
        <v>"C:\Program Files (x86)\AstroGrep\AstroGrep.exe" /spath="%USERPROFILE%\AppData\Local\Temp\OnboardLogs" /stypes="app*4026*20170206*" /stext=" 00:.+((SYSTEM_STATE.+slice.+state.+changed )|(ment ac)|(multiple cpu faults)|(system.+state.+changed )|(\[timeout)|(PRM\|1\|D)|(kpr)|(kdp)|(\|lc)|(penalty))" /e /r /s</v>
      </c>
      <c r="AG115" s="1" t="str">
        <f>IFERROR(IF(VALUE(LEFT(AD115,2))&lt;=2,"EC",IF(OR(VALUE(LEFT(AD115,2))=8,VALUE(LEFT(AD115,2))=18),"NW","Other")),"Other")</f>
        <v>EC</v>
      </c>
      <c r="AH115" s="86" t="str">
        <f t="shared" si="7"/>
        <v>"%USERPROFILE%\Documents\GitHub\eaglep3\Utilities\RefineRTDCRunTimes.py" --tripid 202-05 --locoid 4026 --swversion DE.1.0.8.0 --startMP 204:232963 --initTime 2017-02-05T17:05:11 --startdatetime 2017-02-05T17:11:48 --delay 1 --endMP 204:172 --enddatetime 2017-02-05T17:49:16 --enforcementcount 0 &gt;&gt;C:\Users\stu\Documents\GitHub\eaglep3-reporting\EC\2017-02-05-refined-times.txt</v>
      </c>
      <c r="AI115" s="108" t="str">
        <f t="shared" si="8"/>
        <v>echo {"issue":{"subject":"","project_id":79,"tracker_id":40,"status_id":1,"priority_id":2,"assigned_to_id":23,"start_date":"2017-02-05","description":"","custom_fields":[{"id":1,"name":"Subdivision","value":"EC"},{"id":4,"name":"Milepost","value":"0.0172"},{"id":17,"name":"Train ID","value":"202-05"},{"id":16,"name":"Locomotive ID","value":"4026"},{"id":130,"name":"Impact","value":""},{"id":150,"name":"Time of Event (Mountain Time)","value":"17:49:16"},{"id":151,"name":"Denver Issue ID","value":""},{"id":178,"name":"Operational Impact","value":"Yes"},{"id":179,"name":"Denver Segment Assigned","value":""}]}} | curl -X POST -H "Content-Type: application/json" -H "X-Redmine-API-Key: d6333d4a04012a730768444271f8ca06482dae87" https://secure.xorail.net/redmine/issues.json --data @-</v>
      </c>
      <c r="AJ115" s="48"/>
      <c r="AK115" s="48"/>
      <c r="AL115" s="48"/>
      <c r="AM115" s="158" t="str">
        <f t="shared" si="9"/>
        <v>start /low /b %USERPROFILE%\Documents\GitHub\eaglep3\Utilities\DownloadLogsFromS3.py --loco 4026 --day 2017-02-05</v>
      </c>
      <c r="AN115" s="167" t="str">
        <f>"grep -SE -B400 ""CHR.+\|PRM\|1\|D.+(SWITCH|SIGNAL).+UNKNOWN"" "&amp;search_path&amp;"\RTDC"&amp;B115&amp;"\*"&amp;B115&amp;"*"&amp;TEXT(AVERAGE(F115,I115)-utc_offset/24,"YYYYMMDD")&amp;"* | grep -SE ""(Enforcement Action)|(\[TIMEOUT)|(CHR.+\|PRM\|1\|D.+(SWITCH|SIGNAL).+UNKNOWN)"" - &gt;&gt; "&amp;TEXT(Variables!$A$2,"YYYY-MM-DD")&amp;"-UncaughtWiMAX.txt"</f>
        <v>grep -SE -B400 "CHR.+\|PRM\|1\|D.+(SWITCH|SIGNAL).+UNKNOWN" "%USERPROFILE%\AppData\Local\Temp\OnboardLogs"\RTDC4026\*4026*20170206* | grep -SE "(Enforcement Action)|(\[TIMEOUT)|(CHR.+\|PRM\|1\|D.+(SWITCH|SIGNAL).+UNKNOWN)" - &gt;&gt; 2017-02-05-UncaughtWiMAX.txt</v>
      </c>
      <c r="AO115"/>
      <c r="AP115"/>
      <c r="AQ115"/>
      <c r="AR115"/>
      <c r="AS115"/>
      <c r="AT115"/>
      <c r="AU115"/>
      <c r="AV115"/>
      <c r="AW115"/>
      <c r="AX115"/>
      <c r="AY115"/>
      <c r="AZ115"/>
      <c r="BA115"/>
      <c r="BB115"/>
      <c r="BC115"/>
      <c r="BD115"/>
      <c r="BE115"/>
      <c r="BF115"/>
      <c r="BG115"/>
      <c r="BH115"/>
      <c r="BI115"/>
      <c r="BJ115"/>
      <c r="BK115"/>
      <c r="BL115"/>
      <c r="BM115"/>
      <c r="BN115"/>
      <c r="BO115"/>
      <c r="BP115"/>
      <c r="BQ115"/>
      <c r="BR115"/>
      <c r="BS115"/>
      <c r="BT115"/>
      <c r="BU115"/>
      <c r="BV115"/>
      <c r="BW115"/>
      <c r="BX115"/>
      <c r="BY115"/>
      <c r="BZ115"/>
      <c r="CA115"/>
      <c r="CB115"/>
      <c r="CC115"/>
      <c r="CD115"/>
      <c r="CE115"/>
      <c r="CF115"/>
      <c r="CG115"/>
      <c r="CH115"/>
      <c r="CI115"/>
      <c r="CJ115"/>
      <c r="CK115"/>
      <c r="CL115"/>
      <c r="CM115"/>
    </row>
    <row r="116" spans="1:91" s="20" customFormat="1" x14ac:dyDescent="0.25">
      <c r="A116" s="33" t="s">
        <v>514</v>
      </c>
      <c r="B116" s="7">
        <v>4016</v>
      </c>
      <c r="C116" s="21" t="s">
        <v>193</v>
      </c>
      <c r="D116" s="21" t="s">
        <v>291</v>
      </c>
      <c r="E116" s="13">
        <v>42771.686180555553</v>
      </c>
      <c r="F116" s="13">
        <v>42771.687777777777</v>
      </c>
      <c r="G116" s="7">
        <v>1</v>
      </c>
      <c r="H116" s="21" t="s">
        <v>362</v>
      </c>
      <c r="I116" s="13">
        <v>42771.714282407411</v>
      </c>
      <c r="J116" s="7">
        <v>0</v>
      </c>
      <c r="K116" s="98" t="str">
        <f>IF(ISEVEN(B116),(B116-1)&amp;"/"&amp;B116,B116&amp;"/"&amp;(B116+1))</f>
        <v>4015/4016</v>
      </c>
      <c r="L116" s="21" t="str">
        <f>VLOOKUP(A116,'Trips&amp;Operators'!$C$1:$G$99999,5,FALSE)</f>
        <v>DAVIS MICHAEL</v>
      </c>
      <c r="M116" s="6">
        <f>I116-F116</f>
        <v>2.6504629633564036E-2</v>
      </c>
      <c r="N116" s="7">
        <f>24*60*SUM($M116:$M116)</f>
        <v>38.166666672332212</v>
      </c>
      <c r="O116" s="7"/>
      <c r="P116" s="7"/>
      <c r="Q116" s="22"/>
      <c r="R116" s="22"/>
      <c r="S116" s="31">
        <f>SUM(U116:U116)/IF(AG116="EC",12,1)</f>
        <v>1</v>
      </c>
      <c r="T116" s="46" t="str">
        <f>IF(ISEVEN(LEFT(AD116,4)),"Southbound","NorthBound")</f>
        <v>NorthBound</v>
      </c>
      <c r="U116" s="190">
        <f>IF(AG116="EC",COUNTIFS(Variables!$M$2:$M$19,IF(T116="NorthBound","&gt;=","&lt;=")&amp;Y116,Variables!$M$2:$M$19,IF(T116="NorthBound","&lt;=","&gt;=")&amp;Z116),COUNTIFS(Variables!$P$2:$P$19,IF(T116="NorthBound","&gt;=","&lt;=")&amp;Y116,Variables!$P$2:$P$19,IF(T116="NorthBound","&lt;=","&gt;=")&amp;Z116))</f>
        <v>12</v>
      </c>
      <c r="V116" s="191" t="str">
        <f>"https://d0f6bd738d7f1b3e5a7ca70fe4ff75f0.us-east-1.aws.found.io/app/kibana#/discover/Steve-Slow-Train-Analysis-(2080s-and-2083s)?_g="&amp;"(refreshInterval:(display:Off,pause:!f,section:0,value:0),time:(from:'"&amp;TEXT(E116-1/24,"yyyy-MM-DDThh:mm:ss")&amp;utc_offset&amp;"00"&amp;"',mode:absolute,to:'"&amp;TEXT(I116+1/24,"yyyy-MM-DDThh:mm:ss")&amp;utc_offset&amp;"00"&amp;"'))&amp;_a=(columns:!('Locomotive+ID','Data.Head+End+Milepost',Data.Speed,'Data.Locomotive+State','Data.Train+ID',"&amp;"'Data.Warning%2FEnforcement+Type','Data.Target+Start+Milepost','Data.Target+Description','Data.Target+Speed',"&amp;"'Data.Enforcement+Train+Speed','Data.Enforcement+Start+Milepost','Data.Target+Type','Data.Enforcement+Direction+of+Travel','Message+ID',"&amp;"'Data.Body+of+Summary+Text','Data.Head+End+Track+name'),filters:!(),index:'emp_*',interval:auto,query:"&amp;"(query_string:(analyze_wildcard:!t,query:'Message%5C+ID:(2083+OR+2080+OR+1041+OR+2003+OR+1051+OR+1043+OR+1053)+AND+%22rtdc.l.rtdc."&amp;B116&amp;"%22')),sort:!(Time.ISO8601,asc))"</f>
        <v>https://d0f6bd738d7f1b3e5a7ca70fe4ff75f0.us-east-1.aws.found.io/app/kibana#/discover/Steve-Slow-Train-Analysis-(2080s-and-2083s)?_g=(refreshInterval:(display:Off,pause:!f,section:0,value:0),time:(from:'2017-02-05T15:28:06-0700',mode:absolute,to:'2017-02-05T18:08:34-0700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4016%22')),sort:!(Time.ISO8601,asc))</v>
      </c>
      <c r="W116" s="192" t="str">
        <f>IF(AA116&lt;IF(AG116="EC",23,5.65),"Y","N")</f>
        <v>N</v>
      </c>
      <c r="X116" s="192">
        <f>VALUE(LEFT(AD116,4))-VALUE(LEFT(AD115,4))</f>
        <v>1</v>
      </c>
      <c r="Y116" s="62">
        <f>RIGHT(D116,LEN(D116)-4)/10000</f>
        <v>4.5499999999999999E-2</v>
      </c>
      <c r="Z116" s="62">
        <f>RIGHT(H116,LEN(H116)-4)/10000</f>
        <v>23.327000000000002</v>
      </c>
      <c r="AA116" s="62">
        <f>ABS(Z116-Y116)</f>
        <v>23.281500000000001</v>
      </c>
      <c r="AB116" s="59" t="e">
        <f>VLOOKUP(A116,Enforcements!$C$7:$K$16,8,0)</f>
        <v>#N/A</v>
      </c>
      <c r="AC116" s="55" t="e">
        <f>VLOOKUP(A116,Enforcements!$C$7:$E$16,3,0)</f>
        <v>#N/A</v>
      </c>
      <c r="AD116" s="56" t="str">
        <f>IF(LEN(A116)=6,"0"&amp;A116,A116)</f>
        <v>0203-05</v>
      </c>
      <c r="AE116" s="85" t="str">
        <f>"aws s3 cp "&amp;s3_bucket&amp;"/RTDC"&amp;B116&amp;"/ "&amp;search_path&amp;"\RTDC"&amp;B116&amp;"\"&amp;TEXT(F116,"YYYY-MM-DD")&amp;" --exclude ""*"" --recursive --include ""*"&amp;TEXT(F116,"YYYYMMDD")&amp;"*"" &amp; """&amp;walkandungz&amp;""" "&amp;search_path&amp;"\RTDC"&amp;B116&amp;"\"&amp;TEXT(F116,"YYYY-MM-DD")
&amp;" &amp; "&amp;"aws s3 cp "&amp;s3_bucket&amp;"/RTDC"&amp;B116&amp;"/ "&amp;search_path&amp;"\RTDC"&amp;B116&amp;"\"&amp;TEXT(F116+1,"YYYY-MM-DD")&amp;" --exclude ""*"" --recursive --include ""*"&amp;TEXT(F116+1,"YYYYMMDD")&amp;"*"" &amp; """&amp;walkandungz&amp;""" "&amp;search_path&amp;"\RTDC"&amp;B116&amp;"\"&amp;TEXT(F116+1,"YYYY-MM-DD")</f>
        <v>aws s3 cp s3://rtdc.mdm.uploadarchive.raw/RTDC4016/ "%USERPROFILE%\AppData\Local\Temp\OnboardLogs"\RTDC4016\2017-02-05 --exclude "*" --recursive --include "*20170205*" &amp; "%USERPROFILE%\Documents\GitHub\mrs-test-scripts\Headless Mode &amp; Sideloading\WalkAndUnGZ.bat" "%USERPROFILE%\AppData\Local\Temp\OnboardLogs"\RTDC4016\2017-02-05 &amp; aws s3 cp s3://rtdc.mdm.uploadarchive.raw/RTDC4016/ "%USERPROFILE%\AppData\Local\Temp\OnboardLogs"\RTDC4016\2017-02-06 --exclude "*" --recursive --include "*20170206*" &amp; "%USERPROFILE%\Documents\GitHub\mrs-test-scripts\Headless Mode &amp; Sideloading\WalkAndUnGZ.bat" "%USERPROFILE%\AppData\Local\Temp\OnboardLogs"\RTDC4016\2017-02-06</v>
      </c>
      <c r="AF116" s="82" t="str">
        <f>astrogrep_path&amp;" /spath="&amp;search_path&amp;" /stypes=""app*"&amp;B116&amp;"*"&amp;TEXT(I116-utc_offset/24,"YYYYMMDD")&amp;"*"" /stext="" "&amp;TEXT(I116-utc_offset/24,"HH")&amp;search_regexp&amp;""" /e /r /s"</f>
        <v>"C:\Program Files (x86)\AstroGrep\AstroGrep.exe" /spath="%USERPROFILE%\AppData\Local\Temp\OnboardLogs" /stypes="app*4016*20170206*" /stext=" 00:.+((SYSTEM_STATE.+slice.+state.+changed )|(ment ac)|(multiple cpu faults)|(system.+state.+changed )|(\[timeout)|(PRM\|1\|D)|(kpr)|(kdp)|(\|lc)|(penalty))" /e /r /s</v>
      </c>
      <c r="AG116" s="1" t="str">
        <f>IFERROR(IF(VALUE(LEFT(AD116,2))&lt;=2,"EC",IF(OR(VALUE(LEFT(AD116,2))=8,VALUE(LEFT(AD116,2))=18),"NW","Other")),"Other")</f>
        <v>EC</v>
      </c>
      <c r="AH116" s="86" t="str">
        <f t="shared" si="7"/>
        <v>"%USERPROFILE%\Documents\GitHub\eaglep3\Utilities\RefineRTDCRunTimes.py" --tripid 203-05 --locoid 4016 --swversion DE.1.0.8.0 --startMP 204:455 --initTime 2017-02-05T16:28:06 --startdatetime 2017-02-05T16:30:24 --delay 1 --endMP 204:233270 --enddatetime 2017-02-05T17:08:34 --enforcementcount 0 &gt;&gt;C:\Users\stu\Documents\GitHub\eaglep3-reporting\EC\2017-02-05-refined-times.txt</v>
      </c>
      <c r="AI116" s="108" t="str">
        <f t="shared" si="8"/>
        <v>echo {"issue":{"subject":"","project_id":79,"tracker_id":40,"status_id":1,"priority_id":2,"assigned_to_id":23,"start_date":"2017-02-05","description":"","custom_fields":[{"id":1,"name":"Subdivision","value":"EC"},{"id":4,"name":"Milepost","value":"23.327"},{"id":17,"name":"Train ID","value":"203-05"},{"id":16,"name":"Locomotive ID","value":"4016"},{"id":130,"name":"Impact","value":""},{"id":150,"name":"Time of Event (Mountain Time)","value":"17:08:34"},{"id":151,"name":"Denver Issue ID","value":""},{"id":178,"name":"Operational Impact","value":"Yes"},{"id":179,"name":"Denver Segment Assigned","value":""}]}} | curl -X POST -H "Content-Type: application/json" -H "X-Redmine-API-Key: d6333d4a04012a730768444271f8ca06482dae87" https://secure.xorail.net/redmine/issues.json --data @-</v>
      </c>
      <c r="AJ116" s="48"/>
      <c r="AK116" s="48"/>
      <c r="AL116" s="48"/>
      <c r="AM116" s="158" t="str">
        <f t="shared" si="9"/>
        <v>start /low /b %USERPROFILE%\Documents\GitHub\eaglep3\Utilities\DownloadLogsFromS3.py --loco 4016 --day 2017-02-05</v>
      </c>
      <c r="AN116" s="167" t="str">
        <f>"grep -SE -B400 ""CHR.+\|PRM\|1\|D.+(SWITCH|SIGNAL).+UNKNOWN"" "&amp;search_path&amp;"\RTDC"&amp;B116&amp;"\*"&amp;B116&amp;"*"&amp;TEXT(AVERAGE(F116,I116)-utc_offset/24,"YYYYMMDD")&amp;"* | grep -SE ""(Enforcement Action)|(\[TIMEOUT)|(CHR.+\|PRM\|1\|D.+(SWITCH|SIGNAL).+UNKNOWN)"" - &gt;&gt; "&amp;TEXT(Variables!$A$2,"YYYY-MM-DD")&amp;"-UncaughtWiMAX.txt"</f>
        <v>grep -SE -B400 "CHR.+\|PRM\|1\|D.+(SWITCH|SIGNAL).+UNKNOWN" "%USERPROFILE%\AppData\Local\Temp\OnboardLogs"\RTDC4016\*4016*20170205* | grep -SE "(Enforcement Action)|(\[TIMEOUT)|(CHR.+\|PRM\|1\|D.+(SWITCH|SIGNAL).+UNKNOWN)" - &gt;&gt; 2017-02-05-UncaughtWiMAX.txt</v>
      </c>
      <c r="AO116"/>
      <c r="AP116"/>
      <c r="AQ116"/>
      <c r="AR116"/>
      <c r="AS116"/>
      <c r="AT116"/>
      <c r="AU116"/>
      <c r="AV116"/>
      <c r="AW116"/>
      <c r="AX116"/>
      <c r="AY116"/>
      <c r="AZ116"/>
      <c r="BA116"/>
      <c r="BB116"/>
      <c r="BC116"/>
      <c r="BD116"/>
      <c r="BE116"/>
      <c r="BF116"/>
      <c r="BG116"/>
      <c r="BH116"/>
      <c r="BI116"/>
      <c r="BJ116"/>
      <c r="BK116"/>
      <c r="BL116"/>
      <c r="BM116"/>
      <c r="BN116"/>
      <c r="BO116"/>
      <c r="BP116"/>
      <c r="BQ116"/>
      <c r="BR116"/>
      <c r="BS116"/>
      <c r="BT116"/>
      <c r="BU116"/>
      <c r="BV116"/>
      <c r="BW116"/>
      <c r="BX116"/>
      <c r="BY116"/>
      <c r="BZ116"/>
      <c r="CA116"/>
      <c r="CB116"/>
      <c r="CC116"/>
      <c r="CD116"/>
      <c r="CE116"/>
      <c r="CF116"/>
      <c r="CG116"/>
      <c r="CH116"/>
      <c r="CI116"/>
      <c r="CJ116"/>
      <c r="CK116"/>
      <c r="CL116"/>
      <c r="CM116"/>
    </row>
    <row r="117" spans="1:91" s="20" customFormat="1" x14ac:dyDescent="0.25">
      <c r="A117" s="33" t="s">
        <v>516</v>
      </c>
      <c r="B117" s="7">
        <v>4015</v>
      </c>
      <c r="C117" s="21" t="s">
        <v>193</v>
      </c>
      <c r="D117" s="21" t="s">
        <v>361</v>
      </c>
      <c r="E117" s="13">
        <v>42771.724097222221</v>
      </c>
      <c r="F117" s="13">
        <v>42771.726689814815</v>
      </c>
      <c r="G117" s="7">
        <v>1</v>
      </c>
      <c r="H117" s="21" t="s">
        <v>200</v>
      </c>
      <c r="I117" s="13">
        <v>42771.755381944444</v>
      </c>
      <c r="J117" s="7">
        <v>0</v>
      </c>
      <c r="K117" s="98" t="str">
        <f>IF(ISEVEN(B117),(B117-1)&amp;"/"&amp;B117,B117&amp;"/"&amp;(B117+1))</f>
        <v>4015/4016</v>
      </c>
      <c r="L117" s="21" t="str">
        <f>VLOOKUP(A117,'Trips&amp;Operators'!$C$1:$G$99999,5,FALSE)</f>
        <v>DAVIS MICHAEL</v>
      </c>
      <c r="M117" s="6">
        <f>I117-F117</f>
        <v>2.8692129628325347E-2</v>
      </c>
      <c r="N117" s="7">
        <f>24*60*SUM($M117:$M117)</f>
        <v>41.316666664788499</v>
      </c>
      <c r="O117" s="7"/>
      <c r="P117" s="7"/>
      <c r="Q117" s="22"/>
      <c r="R117" s="22"/>
      <c r="S117" s="31">
        <f>SUM(U117:U117)/IF(AG117="EC",12,1)</f>
        <v>1</v>
      </c>
      <c r="T117" s="46" t="str">
        <f>IF(ISEVEN(LEFT(AD117,4)),"Southbound","NorthBound")</f>
        <v>Southbound</v>
      </c>
      <c r="U117" s="190">
        <f>IF(AG117="EC",COUNTIFS(Variables!$M$2:$M$19,IF(T117="NorthBound","&gt;=","&lt;=")&amp;Y117,Variables!$M$2:$M$19,IF(T117="NorthBound","&lt;=","&gt;=")&amp;Z117),COUNTIFS(Variables!$P$2:$P$19,IF(T117="NorthBound","&gt;=","&lt;=")&amp;Y117,Variables!$P$2:$P$19,IF(T117="NorthBound","&lt;=","&gt;=")&amp;Z117))</f>
        <v>12</v>
      </c>
      <c r="V117" s="191" t="str">
        <f>"https://d0f6bd738d7f1b3e5a7ca70fe4ff75f0.us-east-1.aws.found.io/app/kibana#/discover/Steve-Slow-Train-Analysis-(2080s-and-2083s)?_g="&amp;"(refreshInterval:(display:Off,pause:!f,section:0,value:0),time:(from:'"&amp;TEXT(E117-1/24,"yyyy-MM-DDThh:mm:ss")&amp;utc_offset&amp;"00"&amp;"',mode:absolute,to:'"&amp;TEXT(I117+1/24,"yyyy-MM-DDThh:mm:ss")&amp;utc_offset&amp;"00"&amp;"'))&amp;_a=(columns:!('Locomotive+ID','Data.Head+End+Milepost',Data.Speed,'Data.Locomotive+State','Data.Train+ID',"&amp;"'Data.Warning%2FEnforcement+Type','Data.Target+Start+Milepost','Data.Target+Description','Data.Target+Speed',"&amp;"'Data.Enforcement+Train+Speed','Data.Enforcement+Start+Milepost','Data.Target+Type','Data.Enforcement+Direction+of+Travel','Message+ID',"&amp;"'Data.Body+of+Summary+Text','Data.Head+End+Track+name'),filters:!(),index:'emp_*',interval:auto,query:"&amp;"(query_string:(analyze_wildcard:!t,query:'Message%5C+ID:(2083+OR+2080+OR+1041+OR+2003+OR+1051+OR+1043+OR+1053)+AND+%22rtdc.l.rtdc."&amp;B117&amp;"%22')),sort:!(Time.ISO8601,asc))"</f>
        <v>https://d0f6bd738d7f1b3e5a7ca70fe4ff75f0.us-east-1.aws.found.io/app/kibana#/discover/Steve-Slow-Train-Analysis-(2080s-and-2083s)?_g=(refreshInterval:(display:Off,pause:!f,section:0,value:0),time:(from:'2017-02-05T16:22:42-0700',mode:absolute,to:'2017-02-05T19:07:45-0700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4015%22')),sort:!(Time.ISO8601,asc))</v>
      </c>
      <c r="W117" s="192" t="str">
        <f>IF(AA117&lt;IF(AG117="EC",23,5.65),"Y","N")</f>
        <v>N</v>
      </c>
      <c r="X117" s="192">
        <f>VALUE(LEFT(AD117,4))-VALUE(LEFT(AD116,4))</f>
        <v>1</v>
      </c>
      <c r="Y117" s="62">
        <f>RIGHT(D117,LEN(D117)-4)/10000</f>
        <v>23.2959</v>
      </c>
      <c r="Z117" s="62">
        <f>RIGHT(H117,LEN(H117)-4)/10000</f>
        <v>1.4500000000000001E-2</v>
      </c>
      <c r="AA117" s="62">
        <f>ABS(Z117-Y117)</f>
        <v>23.281399999999998</v>
      </c>
      <c r="AB117" s="59" t="str">
        <f>VLOOKUP(A117,Enforcements!$C$7:$K$16,8,0)</f>
        <v>Form based authority (4)</v>
      </c>
      <c r="AC117" s="55" t="str">
        <f>VLOOKUP(A117,Enforcements!$C$7:$E$16,3,0)</f>
        <v>TRACK WARRANT AUTHORITY</v>
      </c>
      <c r="AD117" s="56" t="str">
        <f>IF(LEN(A117)=6,"0"&amp;A117,A117)</f>
        <v>0204-05</v>
      </c>
      <c r="AE117" s="85" t="str">
        <f>"aws s3 cp "&amp;s3_bucket&amp;"/RTDC"&amp;B117&amp;"/ "&amp;search_path&amp;"\RTDC"&amp;B117&amp;"\"&amp;TEXT(F117,"YYYY-MM-DD")&amp;" --exclude ""*"" --recursive --include ""*"&amp;TEXT(F117,"YYYYMMDD")&amp;"*"" &amp; """&amp;walkandungz&amp;""" "&amp;search_path&amp;"\RTDC"&amp;B117&amp;"\"&amp;TEXT(F117,"YYYY-MM-DD")
&amp;" &amp; "&amp;"aws s3 cp "&amp;s3_bucket&amp;"/RTDC"&amp;B117&amp;"/ "&amp;search_path&amp;"\RTDC"&amp;B117&amp;"\"&amp;TEXT(F117+1,"YYYY-MM-DD")&amp;" --exclude ""*"" --recursive --include ""*"&amp;TEXT(F117+1,"YYYYMMDD")&amp;"*"" &amp; """&amp;walkandungz&amp;""" "&amp;search_path&amp;"\RTDC"&amp;B117&amp;"\"&amp;TEXT(F117+1,"YYYY-MM-DD")</f>
        <v>aws s3 cp s3://rtdc.mdm.uploadarchive.raw/RTDC4015/ "%USERPROFILE%\AppData\Local\Temp\OnboardLogs"\RTDC4015\2017-02-05 --exclude "*" --recursive --include "*20170205*" &amp; "%USERPROFILE%\Documents\GitHub\mrs-test-scripts\Headless Mode &amp; Sideloading\WalkAndUnGZ.bat" "%USERPROFILE%\AppData\Local\Temp\OnboardLogs"\RTDC4015\2017-02-05 &amp; aws s3 cp s3://rtdc.mdm.uploadarchive.raw/RTDC4015/ "%USERPROFILE%\AppData\Local\Temp\OnboardLogs"\RTDC4015\2017-02-06 --exclude "*" --recursive --include "*20170206*" &amp; "%USERPROFILE%\Documents\GitHub\mrs-test-scripts\Headless Mode &amp; Sideloading\WalkAndUnGZ.bat" "%USERPROFILE%\AppData\Local\Temp\OnboardLogs"\RTDC4015\2017-02-06</v>
      </c>
      <c r="AF117" s="82" t="str">
        <f>astrogrep_path&amp;" /spath="&amp;search_path&amp;" /stypes=""app*"&amp;B117&amp;"*"&amp;TEXT(I117-utc_offset/24,"YYYYMMDD")&amp;"*"" /stext="" "&amp;TEXT(I117-utc_offset/24,"HH")&amp;search_regexp&amp;""" /e /r /s"</f>
        <v>"C:\Program Files (x86)\AstroGrep\AstroGrep.exe" /spath="%USERPROFILE%\AppData\Local\Temp\OnboardLogs" /stypes="app*4015*20170206*" /stext=" 01:.+((SYSTEM_STATE.+slice.+state.+changed )|(ment ac)|(multiple cpu faults)|(system.+state.+changed )|(\[timeout)|(PRM\|1\|D)|(kpr)|(kdp)|(\|lc)|(penalty))" /e /r /s</v>
      </c>
      <c r="AG117" s="1" t="str">
        <f>IFERROR(IF(VALUE(LEFT(AD117,2))&lt;=2,"EC",IF(OR(VALUE(LEFT(AD117,2))=8,VALUE(LEFT(AD117,2))=18),"NW","Other")),"Other")</f>
        <v>EC</v>
      </c>
      <c r="AH117" s="86" t="str">
        <f t="shared" si="7"/>
        <v>"%USERPROFILE%\Documents\GitHub\eaglep3\Utilities\RefineRTDCRunTimes.py" --tripid 204-05 --locoid 4015 --swversion DE.1.0.8.0 --startMP 204:232959 --initTime 2017-02-05T17:22:42 --startdatetime 2017-02-05T17:26:26 --delay 1 --endMP 204:145 --enddatetime 2017-02-05T18:07:45 --enforcementcount 0 &gt;&gt;C:\Users\stu\Documents\GitHub\eaglep3-reporting\EC\2017-02-05-refined-times.txt</v>
      </c>
      <c r="AI117" s="108" t="str">
        <f t="shared" si="8"/>
        <v>echo {"issue":{"subject":"","project_id":79,"tracker_id":40,"status_id":1,"priority_id":2,"assigned_to_id":23,"start_date":"2017-02-05","description":"","custom_fields":[{"id":1,"name":"Subdivision","value":"EC"},{"id":4,"name":"Milepost","value":"0.0145"},{"id":17,"name":"Train ID","value":"204-05"},{"id":16,"name":"Locomotive ID","value":"4015"},{"id":130,"name":"Impact","value":""},{"id":150,"name":"Time of Event (Mountain Time)","value":"18:07:45"},{"id":151,"name":"Denver Issue ID","value":""},{"id":178,"name":"Operational Impact","value":"Yes"},{"id":179,"name":"Denver Segment Assigned","value":""}]}} | curl -X POST -H "Content-Type: application/json" -H "X-Redmine-API-Key: d6333d4a04012a730768444271f8ca06482dae87" https://secure.xorail.net/redmine/issues.json --data @-</v>
      </c>
      <c r="AJ117" s="48"/>
      <c r="AK117" s="48"/>
      <c r="AL117" s="48"/>
      <c r="AM117" s="158" t="str">
        <f t="shared" si="9"/>
        <v>start /low /b %USERPROFILE%\Documents\GitHub\eaglep3\Utilities\DownloadLogsFromS3.py --loco 4015 --day 2017-02-05</v>
      </c>
      <c r="AN117" s="167" t="str">
        <f>"grep -SE -B400 ""CHR.+\|PRM\|1\|D.+(SWITCH|SIGNAL).+UNKNOWN"" "&amp;search_path&amp;"\RTDC"&amp;B117&amp;"\*"&amp;B117&amp;"*"&amp;TEXT(AVERAGE(F117,I117)-utc_offset/24,"YYYYMMDD")&amp;"* | grep -SE ""(Enforcement Action)|(\[TIMEOUT)|(CHR.+\|PRM\|1\|D.+(SWITCH|SIGNAL).+UNKNOWN)"" - &gt;&gt; "&amp;TEXT(Variables!$A$2,"YYYY-MM-DD")&amp;"-UncaughtWiMAX.txt"</f>
        <v>grep -SE -B400 "CHR.+\|PRM\|1\|D.+(SWITCH|SIGNAL).+UNKNOWN" "%USERPROFILE%\AppData\Local\Temp\OnboardLogs"\RTDC4015\*4015*20170206* | grep -SE "(Enforcement Action)|(\[TIMEOUT)|(CHR.+\|PRM\|1\|D.+(SWITCH|SIGNAL).+UNKNOWN)" - &gt;&gt; 2017-02-05-UncaughtWiMAX.txt</v>
      </c>
      <c r="AO117"/>
      <c r="AP117"/>
      <c r="AQ117"/>
      <c r="AR117"/>
      <c r="AS117"/>
      <c r="AT117"/>
      <c r="AU117"/>
      <c r="AV117"/>
      <c r="AW117"/>
      <c r="AX117"/>
      <c r="AY117"/>
      <c r="AZ117"/>
      <c r="BA117"/>
      <c r="BB117"/>
      <c r="BC117"/>
      <c r="BD117"/>
      <c r="BE117"/>
      <c r="BF117"/>
      <c r="BG117"/>
      <c r="BH117"/>
      <c r="BI117"/>
      <c r="BJ117"/>
      <c r="BK117"/>
      <c r="BL117"/>
      <c r="BM117"/>
      <c r="BN117"/>
      <c r="BO117"/>
      <c r="BP117"/>
      <c r="BQ117"/>
      <c r="BR117"/>
      <c r="BS117"/>
      <c r="BT117"/>
      <c r="BU117"/>
      <c r="BV117"/>
      <c r="BW117"/>
      <c r="BX117"/>
      <c r="BY117"/>
      <c r="BZ117"/>
      <c r="CA117"/>
      <c r="CB117"/>
      <c r="CC117"/>
      <c r="CD117"/>
      <c r="CE117"/>
      <c r="CF117"/>
      <c r="CG117"/>
      <c r="CH117"/>
      <c r="CI117"/>
      <c r="CJ117"/>
      <c r="CK117"/>
      <c r="CL117"/>
      <c r="CM117"/>
    </row>
    <row r="118" spans="1:91" s="20" customFormat="1" x14ac:dyDescent="0.25">
      <c r="A118" s="33" t="s">
        <v>673</v>
      </c>
      <c r="B118" s="7">
        <v>4022</v>
      </c>
      <c r="C118" s="21" t="s">
        <v>193</v>
      </c>
      <c r="D118" s="21" t="s">
        <v>839</v>
      </c>
      <c r="E118" s="13">
        <v>42771.696851851855</v>
      </c>
      <c r="F118" s="13">
        <v>42771.698101851849</v>
      </c>
      <c r="G118" s="7">
        <v>1</v>
      </c>
      <c r="H118" s="21" t="s">
        <v>840</v>
      </c>
      <c r="I118" s="13">
        <v>42771.723321759258</v>
      </c>
      <c r="J118" s="7">
        <v>0</v>
      </c>
      <c r="K118" s="98" t="str">
        <f>IF(ISEVEN(B118),(B118-1)&amp;"/"&amp;B118,B118&amp;"/"&amp;(B118+1))</f>
        <v>4021/4022</v>
      </c>
      <c r="L118" s="21" t="str">
        <f>VLOOKUP(A118,'Trips&amp;Operators'!$C$1:$G$99999,5,FALSE)</f>
        <v>LEVIN SCOTT</v>
      </c>
      <c r="M118" s="6">
        <f>I118-F118</f>
        <v>2.5219907409336884E-2</v>
      </c>
      <c r="N118" s="7">
        <f>24*60*SUM($M118:$M118)</f>
        <v>36.316666669445112</v>
      </c>
      <c r="O118" s="7"/>
      <c r="P118" s="7"/>
      <c r="Q118" s="22"/>
      <c r="R118" s="22"/>
      <c r="S118" s="31">
        <f>SUM(U118:U118)/IF(AG118="EC",12,1)</f>
        <v>1</v>
      </c>
      <c r="T118" s="46" t="str">
        <f>IF(ISEVEN(LEFT(AD118,4)),"Southbound","NorthBound")</f>
        <v>NorthBound</v>
      </c>
      <c r="U118" s="190">
        <f>IF(AG118="EC",COUNTIFS(Variables!$M$2:$M$19,IF(T118="NorthBound","&gt;=","&lt;=")&amp;Y118,Variables!$M$2:$M$19,IF(T118="NorthBound","&lt;=","&gt;=")&amp;Z118),COUNTIFS(Variables!$P$2:$P$19,IF(T118="NorthBound","&gt;=","&lt;=")&amp;Y118,Variables!$P$2:$P$19,IF(T118="NorthBound","&lt;=","&gt;=")&amp;Z118))</f>
        <v>12</v>
      </c>
      <c r="V118" s="191" t="str">
        <f>"https://d0f6bd738d7f1b3e5a7ca70fe4ff75f0.us-east-1.aws.found.io/app/kibana#/discover/Steve-Slow-Train-Analysis-(2080s-and-2083s)?_g="&amp;"(refreshInterval:(display:Off,pause:!f,section:0,value:0),time:(from:'"&amp;TEXT(E118-1/24,"yyyy-MM-DDThh:mm:ss")&amp;utc_offset&amp;"00"&amp;"',mode:absolute,to:'"&amp;TEXT(I118+1/24,"yyyy-MM-DDThh:mm:ss")&amp;utc_offset&amp;"00"&amp;"'))&amp;_a=(columns:!('Locomotive+ID','Data.Head+End+Milepost',Data.Speed,'Data.Locomotive+State','Data.Train+ID',"&amp;"'Data.Warning%2FEnforcement+Type','Data.Target+Start+Milepost','Data.Target+Description','Data.Target+Speed',"&amp;"'Data.Enforcement+Train+Speed','Data.Enforcement+Start+Milepost','Data.Target+Type','Data.Enforcement+Direction+of+Travel','Message+ID',"&amp;"'Data.Body+of+Summary+Text','Data.Head+End+Track+name'),filters:!(),index:'emp_*',interval:auto,query:"&amp;"(query_string:(analyze_wildcard:!t,query:'Message%5C+ID:(2083+OR+2080+OR+1041+OR+2003+OR+1051+OR+1043+OR+1053)+AND+%22rtdc.l.rtdc."&amp;B118&amp;"%22')),sort:!(Time.ISO8601,asc))"</f>
        <v>https://d0f6bd738d7f1b3e5a7ca70fe4ff75f0.us-east-1.aws.found.io/app/kibana#/discover/Steve-Slow-Train-Analysis-(2080s-and-2083s)?_g=(refreshInterval:(display:Off,pause:!f,section:0,value:0),time:(from:'2017-02-05T15:43:28-0700',mode:absolute,to:'2017-02-05T18:21:35-0700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4022%22')),sort:!(Time.ISO8601,asc))</v>
      </c>
      <c r="W118" s="192" t="str">
        <f>IF(AA118&lt;IF(AG118="EC",23,5.65),"Y","N")</f>
        <v>N</v>
      </c>
      <c r="X118" s="192">
        <f>VALUE(LEFT(AD118,4))-VALUE(LEFT(AD117,4))</f>
        <v>1</v>
      </c>
      <c r="Y118" s="62">
        <f>RIGHT(D118,LEN(D118)-4)/10000</f>
        <v>4.07E-2</v>
      </c>
      <c r="Z118" s="62">
        <f>RIGHT(H118,LEN(H118)-4)/10000</f>
        <v>23.3337</v>
      </c>
      <c r="AA118" s="62">
        <f>ABS(Z118-Y118)</f>
        <v>23.292999999999999</v>
      </c>
      <c r="AB118" s="59" t="e">
        <f>VLOOKUP(A118,Enforcements!$C$7:$K$16,8,0)</f>
        <v>#N/A</v>
      </c>
      <c r="AC118" s="55" t="e">
        <f>VLOOKUP(A118,Enforcements!$C$7:$E$16,3,0)</f>
        <v>#N/A</v>
      </c>
      <c r="AD118" s="56" t="str">
        <f>IF(LEN(A118)=6,"0"&amp;A118,A118)</f>
        <v>0205-05</v>
      </c>
      <c r="AE118" s="85" t="str">
        <f>"aws s3 cp "&amp;s3_bucket&amp;"/RTDC"&amp;B118&amp;"/ "&amp;search_path&amp;"\RTDC"&amp;B118&amp;"\"&amp;TEXT(F118,"YYYY-MM-DD")&amp;" --exclude ""*"" --recursive --include ""*"&amp;TEXT(F118,"YYYYMMDD")&amp;"*"" &amp; """&amp;walkandungz&amp;""" "&amp;search_path&amp;"\RTDC"&amp;B118&amp;"\"&amp;TEXT(F118,"YYYY-MM-DD")
&amp;" &amp; "&amp;"aws s3 cp "&amp;s3_bucket&amp;"/RTDC"&amp;B118&amp;"/ "&amp;search_path&amp;"\RTDC"&amp;B118&amp;"\"&amp;TEXT(F118+1,"YYYY-MM-DD")&amp;" --exclude ""*"" --recursive --include ""*"&amp;TEXT(F118+1,"YYYYMMDD")&amp;"*"" &amp; """&amp;walkandungz&amp;""" "&amp;search_path&amp;"\RTDC"&amp;B118&amp;"\"&amp;TEXT(F118+1,"YYYY-MM-DD")</f>
        <v>aws s3 cp s3://rtdc.mdm.uploadarchive.raw/RTDC4022/ "%USERPROFILE%\AppData\Local\Temp\OnboardLogs"\RTDC4022\2017-02-05 --exclude "*" --recursive --include "*20170205*" &amp; "%USERPROFILE%\Documents\GitHub\mrs-test-scripts\Headless Mode &amp; Sideloading\WalkAndUnGZ.bat" "%USERPROFILE%\AppData\Local\Temp\OnboardLogs"\RTDC4022\2017-02-05 &amp; aws s3 cp s3://rtdc.mdm.uploadarchive.raw/RTDC4022/ "%USERPROFILE%\AppData\Local\Temp\OnboardLogs"\RTDC4022\2017-02-06 --exclude "*" --recursive --include "*20170206*" &amp; "%USERPROFILE%\Documents\GitHub\mrs-test-scripts\Headless Mode &amp; Sideloading\WalkAndUnGZ.bat" "%USERPROFILE%\AppData\Local\Temp\OnboardLogs"\RTDC4022\2017-02-06</v>
      </c>
      <c r="AF118" s="82" t="str">
        <f>astrogrep_path&amp;" /spath="&amp;search_path&amp;" /stypes=""app*"&amp;B118&amp;"*"&amp;TEXT(I118-utc_offset/24,"YYYYMMDD")&amp;"*"" /stext="" "&amp;TEXT(I118-utc_offset/24,"HH")&amp;search_regexp&amp;""" /e /r /s"</f>
        <v>"C:\Program Files (x86)\AstroGrep\AstroGrep.exe" /spath="%USERPROFILE%\AppData\Local\Temp\OnboardLogs" /stypes="app*4022*20170206*" /stext=" 00:.+((SYSTEM_STATE.+slice.+state.+changed )|(ment ac)|(multiple cpu faults)|(system.+state.+changed )|(\[timeout)|(PRM\|1\|D)|(kpr)|(kdp)|(\|lc)|(penalty))" /e /r /s</v>
      </c>
      <c r="AG118" s="1" t="str">
        <f>IFERROR(IF(VALUE(LEFT(AD118,2))&lt;=2,"EC",IF(OR(VALUE(LEFT(AD118,2))=8,VALUE(LEFT(AD118,2))=18),"NW","Other")),"Other")</f>
        <v>EC</v>
      </c>
      <c r="AH118" s="86" t="str">
        <f t="shared" si="7"/>
        <v>"%USERPROFILE%\Documents\GitHub\eaglep3\Utilities\RefineRTDCRunTimes.py" --tripid 205-05 --locoid 4022 --swversion DE.1.0.8.0 --startMP 204:407 --initTime 2017-02-05T16:43:28 --startdatetime 2017-02-05T16:45:16 --delay 1 --endMP 204:233337 --enddatetime 2017-02-05T17:21:35 --enforcementcount 0 &gt;&gt;C:\Users\stu\Documents\GitHub\eaglep3-reporting\EC\2017-02-05-refined-times.txt</v>
      </c>
      <c r="AI118" s="108" t="str">
        <f t="shared" si="8"/>
        <v>echo {"issue":{"subject":"","project_id":79,"tracker_id":40,"status_id":1,"priority_id":2,"assigned_to_id":23,"start_date":"2017-02-05","description":"","custom_fields":[{"id":1,"name":"Subdivision","value":"EC"},{"id":4,"name":"Milepost","value":"23.3337"},{"id":17,"name":"Train ID","value":"205-05"},{"id":16,"name":"Locomotive ID","value":"4022"},{"id":130,"name":"Impact","value":""},{"id":150,"name":"Time of Event (Mountain Time)","value":"17:21:35"},{"id":151,"name":"Denver Issue ID","value":""},{"id":178,"name":"Operational Impact","value":"Yes"},{"id":179,"name":"Denver Segment Assigned","value":""}]}} | curl -X POST -H "Content-Type: application/json" -H "X-Redmine-API-Key: d6333d4a04012a730768444271f8ca06482dae87" https://secure.xorail.net/redmine/issues.json --data @-</v>
      </c>
      <c r="AJ118" s="48"/>
      <c r="AK118" s="48"/>
      <c r="AL118" s="48"/>
      <c r="AM118" s="158" t="str">
        <f t="shared" si="9"/>
        <v>start /low /b %USERPROFILE%\Documents\GitHub\eaglep3\Utilities\DownloadLogsFromS3.py --loco 4022 --day 2017-02-05</v>
      </c>
      <c r="AN118" s="167" t="str">
        <f>"grep -SE -B400 ""CHR.+\|PRM\|1\|D.+(SWITCH|SIGNAL).+UNKNOWN"" "&amp;search_path&amp;"\RTDC"&amp;B118&amp;"\*"&amp;B118&amp;"*"&amp;TEXT(AVERAGE(F118,I118)-utc_offset/24,"YYYYMMDD")&amp;"* | grep -SE ""(Enforcement Action)|(\[TIMEOUT)|(CHR.+\|PRM\|1\|D.+(SWITCH|SIGNAL).+UNKNOWN)"" - &gt;&gt; "&amp;TEXT(Variables!$A$2,"YYYY-MM-DD")&amp;"-UncaughtWiMAX.txt"</f>
        <v>grep -SE -B400 "CHR.+\|PRM\|1\|D.+(SWITCH|SIGNAL).+UNKNOWN" "%USERPROFILE%\AppData\Local\Temp\OnboardLogs"\RTDC4022\*4022*20170206* | grep -SE "(Enforcement Action)|(\[TIMEOUT)|(CHR.+\|PRM\|1\|D.+(SWITCH|SIGNAL).+UNKNOWN)" - &gt;&gt; 2017-02-05-UncaughtWiMAX.txt</v>
      </c>
      <c r="AO118"/>
      <c r="AP118"/>
      <c r="AQ118"/>
      <c r="AR118"/>
      <c r="AS118"/>
      <c r="AT118"/>
      <c r="AU118"/>
      <c r="AV118"/>
      <c r="AW118"/>
      <c r="AX118"/>
      <c r="AY118"/>
      <c r="AZ118"/>
      <c r="BA118"/>
      <c r="BB118"/>
      <c r="BC118"/>
      <c r="BD118"/>
      <c r="BE118"/>
      <c r="BF118"/>
      <c r="BG118"/>
      <c r="BH118"/>
      <c r="BI118"/>
      <c r="BJ118"/>
      <c r="BK118"/>
      <c r="BL118"/>
      <c r="BM118"/>
      <c r="BN118"/>
      <c r="BO118"/>
      <c r="BP118"/>
      <c r="BQ118"/>
      <c r="BR118"/>
      <c r="BS118"/>
      <c r="BT118"/>
      <c r="BU118"/>
      <c r="BV118"/>
      <c r="BW118"/>
      <c r="BX118"/>
      <c r="BY118"/>
      <c r="BZ118"/>
      <c r="CA118"/>
      <c r="CB118"/>
      <c r="CC118"/>
      <c r="CD118"/>
      <c r="CE118"/>
      <c r="CF118"/>
      <c r="CG118"/>
      <c r="CH118"/>
      <c r="CI118"/>
      <c r="CJ118"/>
      <c r="CK118"/>
      <c r="CL118"/>
      <c r="CM118"/>
    </row>
    <row r="119" spans="1:91" s="20" customFormat="1" x14ac:dyDescent="0.25">
      <c r="A119" s="33" t="s">
        <v>686</v>
      </c>
      <c r="B119" s="7">
        <v>4021</v>
      </c>
      <c r="C119" s="21" t="s">
        <v>193</v>
      </c>
      <c r="D119" s="21" t="s">
        <v>841</v>
      </c>
      <c r="E119" s="13">
        <v>42771.729594907411</v>
      </c>
      <c r="F119" s="13">
        <v>42771.736979166664</v>
      </c>
      <c r="G119" s="7">
        <v>1</v>
      </c>
      <c r="H119" s="21" t="s">
        <v>237</v>
      </c>
      <c r="I119" s="13">
        <v>42771.763229166667</v>
      </c>
      <c r="J119" s="7">
        <v>0</v>
      </c>
      <c r="K119" s="98" t="str">
        <f>IF(ISEVEN(B119),(B119-1)&amp;"/"&amp;B119,B119&amp;"/"&amp;(B119+1))</f>
        <v>4021/4022</v>
      </c>
      <c r="L119" s="21" t="str">
        <f>VLOOKUP(A119,'Trips&amp;Operators'!$C$1:$G$99999,5,FALSE)</f>
        <v>LEVIN SCOTT</v>
      </c>
      <c r="M119" s="6">
        <f>I119-F119</f>
        <v>2.6250000002619345E-2</v>
      </c>
      <c r="N119" s="7">
        <f>24*60*SUM($M119:$M119)</f>
        <v>37.800000003771856</v>
      </c>
      <c r="O119" s="7"/>
      <c r="P119" s="7"/>
      <c r="Q119" s="22"/>
      <c r="R119" s="22"/>
      <c r="S119" s="31">
        <f>SUM(U119:U119)/IF(AG119="EC",12,1)</f>
        <v>1</v>
      </c>
      <c r="T119" s="46" t="str">
        <f>IF(ISEVEN(LEFT(AD119,4)),"Southbound","NorthBound")</f>
        <v>Southbound</v>
      </c>
      <c r="U119" s="190">
        <f>IF(AG119="EC",COUNTIFS(Variables!$M$2:$M$19,IF(T119="NorthBound","&gt;=","&lt;=")&amp;Y119,Variables!$M$2:$M$19,IF(T119="NorthBound","&lt;=","&gt;=")&amp;Z119),COUNTIFS(Variables!$P$2:$P$19,IF(T119="NorthBound","&gt;=","&lt;=")&amp;Y119,Variables!$P$2:$P$19,IF(T119="NorthBound","&lt;=","&gt;=")&amp;Z119))</f>
        <v>12</v>
      </c>
      <c r="V119" s="191" t="str">
        <f>"https://d0f6bd738d7f1b3e5a7ca70fe4ff75f0.us-east-1.aws.found.io/app/kibana#/discover/Steve-Slow-Train-Analysis-(2080s-and-2083s)?_g="&amp;"(refreshInterval:(display:Off,pause:!f,section:0,value:0),time:(from:'"&amp;TEXT(E119-1/24,"yyyy-MM-DDThh:mm:ss")&amp;utc_offset&amp;"00"&amp;"',mode:absolute,to:'"&amp;TEXT(I119+1/24,"yyyy-MM-DDThh:mm:ss")&amp;utc_offset&amp;"00"&amp;"'))&amp;_a=(columns:!('Locomotive+ID','Data.Head+End+Milepost',Data.Speed,'Data.Locomotive+State','Data.Train+ID',"&amp;"'Data.Warning%2FEnforcement+Type','Data.Target+Start+Milepost','Data.Target+Description','Data.Target+Speed',"&amp;"'Data.Enforcement+Train+Speed','Data.Enforcement+Start+Milepost','Data.Target+Type','Data.Enforcement+Direction+of+Travel','Message+ID',"&amp;"'Data.Body+of+Summary+Text','Data.Head+End+Track+name'),filters:!(),index:'emp_*',interval:auto,query:"&amp;"(query_string:(analyze_wildcard:!t,query:'Message%5C+ID:(2083+OR+2080+OR+1041+OR+2003+OR+1051+OR+1043+OR+1053)+AND+%22rtdc.l.rtdc."&amp;B119&amp;"%22')),sort:!(Time.ISO8601,asc))"</f>
        <v>https://d0f6bd738d7f1b3e5a7ca70fe4ff75f0.us-east-1.aws.found.io/app/kibana#/discover/Steve-Slow-Train-Analysis-(2080s-and-2083s)?_g=(refreshInterval:(display:Off,pause:!f,section:0,value:0),time:(from:'2017-02-05T16:30:37-0700',mode:absolute,to:'2017-02-05T19:19:03-0700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4021%22')),sort:!(Time.ISO8601,asc))</v>
      </c>
      <c r="W119" s="192" t="str">
        <f>IF(AA119&lt;IF(AG119="EC",23,5.65),"Y","N")</f>
        <v>N</v>
      </c>
      <c r="X119" s="192">
        <f>VALUE(LEFT(AD119,4))-VALUE(LEFT(AD118,4))</f>
        <v>1</v>
      </c>
      <c r="Y119" s="62">
        <f>RIGHT(D119,LEN(D119)-4)/10000</f>
        <v>23.302099999999999</v>
      </c>
      <c r="Z119" s="62">
        <f>RIGHT(H119,LEN(H119)-4)/10000</f>
        <v>1.43E-2</v>
      </c>
      <c r="AA119" s="62">
        <f>ABS(Z119-Y119)</f>
        <v>23.287800000000001</v>
      </c>
      <c r="AB119" s="59" t="e">
        <f>VLOOKUP(A119,Enforcements!$C$7:$K$16,8,0)</f>
        <v>#N/A</v>
      </c>
      <c r="AC119" s="55" t="e">
        <f>VLOOKUP(A119,Enforcements!$C$7:$E$16,3,0)</f>
        <v>#N/A</v>
      </c>
      <c r="AD119" s="56" t="str">
        <f>IF(LEN(A119)=6,"0"&amp;A119,A119)</f>
        <v>0206-05</v>
      </c>
      <c r="AE119" s="85" t="str">
        <f>"aws s3 cp "&amp;s3_bucket&amp;"/RTDC"&amp;B119&amp;"/ "&amp;search_path&amp;"\RTDC"&amp;B119&amp;"\"&amp;TEXT(F119,"YYYY-MM-DD")&amp;" --exclude ""*"" --recursive --include ""*"&amp;TEXT(F119,"YYYYMMDD")&amp;"*"" &amp; """&amp;walkandungz&amp;""" "&amp;search_path&amp;"\RTDC"&amp;B119&amp;"\"&amp;TEXT(F119,"YYYY-MM-DD")
&amp;" &amp; "&amp;"aws s3 cp "&amp;s3_bucket&amp;"/RTDC"&amp;B119&amp;"/ "&amp;search_path&amp;"\RTDC"&amp;B119&amp;"\"&amp;TEXT(F119+1,"YYYY-MM-DD")&amp;" --exclude ""*"" --recursive --include ""*"&amp;TEXT(F119+1,"YYYYMMDD")&amp;"*"" &amp; """&amp;walkandungz&amp;""" "&amp;search_path&amp;"\RTDC"&amp;B119&amp;"\"&amp;TEXT(F119+1,"YYYY-MM-DD")</f>
        <v>aws s3 cp s3://rtdc.mdm.uploadarchive.raw/RTDC4021/ "%USERPROFILE%\AppData\Local\Temp\OnboardLogs"\RTDC4021\2017-02-05 --exclude "*" --recursive --include "*20170205*" &amp; "%USERPROFILE%\Documents\GitHub\mrs-test-scripts\Headless Mode &amp; Sideloading\WalkAndUnGZ.bat" "%USERPROFILE%\AppData\Local\Temp\OnboardLogs"\RTDC4021\2017-02-05 &amp; aws s3 cp s3://rtdc.mdm.uploadarchive.raw/RTDC4021/ "%USERPROFILE%\AppData\Local\Temp\OnboardLogs"\RTDC4021\2017-02-06 --exclude "*" --recursive --include "*20170206*" &amp; "%USERPROFILE%\Documents\GitHub\mrs-test-scripts\Headless Mode &amp; Sideloading\WalkAndUnGZ.bat" "%USERPROFILE%\AppData\Local\Temp\OnboardLogs"\RTDC4021\2017-02-06</v>
      </c>
      <c r="AF119" s="82" t="str">
        <f>astrogrep_path&amp;" /spath="&amp;search_path&amp;" /stypes=""app*"&amp;B119&amp;"*"&amp;TEXT(I119-utc_offset/24,"YYYYMMDD")&amp;"*"" /stext="" "&amp;TEXT(I119-utc_offset/24,"HH")&amp;search_regexp&amp;""" /e /r /s"</f>
        <v>"C:\Program Files (x86)\AstroGrep\AstroGrep.exe" /spath="%USERPROFILE%\AppData\Local\Temp\OnboardLogs" /stypes="app*4021*20170206*" /stext=" 01:.+((SYSTEM_STATE.+slice.+state.+changed )|(ment ac)|(multiple cpu faults)|(system.+state.+changed )|(\[timeout)|(PRM\|1\|D)|(kpr)|(kdp)|(\|lc)|(penalty))" /e /r /s</v>
      </c>
      <c r="AG119" s="1" t="str">
        <f>IFERROR(IF(VALUE(LEFT(AD119,2))&lt;=2,"EC",IF(OR(VALUE(LEFT(AD119,2))=8,VALUE(LEFT(AD119,2))=18),"NW","Other")),"Other")</f>
        <v>EC</v>
      </c>
      <c r="AH119" s="86" t="str">
        <f t="shared" si="7"/>
        <v>"%USERPROFILE%\Documents\GitHub\eaglep3\Utilities\RefineRTDCRunTimes.py" --tripid 206-05 --locoid 4021 --swversion DE.1.0.8.0 --startMP 204:233021 --initTime 2017-02-05T17:30:37 --startdatetime 2017-02-05T17:41:15 --delay 1 --endMP 204:143 --enddatetime 2017-02-05T18:19:03 --enforcementcount 0 &gt;&gt;C:\Users\stu\Documents\GitHub\eaglep3-reporting\EC\2017-02-05-refined-times.txt</v>
      </c>
      <c r="AI119" s="108" t="str">
        <f t="shared" si="8"/>
        <v>echo {"issue":{"subject":"","project_id":79,"tracker_id":40,"status_id":1,"priority_id":2,"assigned_to_id":23,"start_date":"2017-02-05","description":"","custom_fields":[{"id":1,"name":"Subdivision","value":"EC"},{"id":4,"name":"Milepost","value":"0.0143"},{"id":17,"name":"Train ID","value":"206-05"},{"id":16,"name":"Locomotive ID","value":"4021"},{"id":130,"name":"Impact","value":""},{"id":150,"name":"Time of Event (Mountain Time)","value":"18:19:03"},{"id":151,"name":"Denver Issue ID","value":""},{"id":178,"name":"Operational Impact","value":"Yes"},{"id":179,"name":"Denver Segment Assigned","value":""}]}} | curl -X POST -H "Content-Type: application/json" -H "X-Redmine-API-Key: d6333d4a04012a730768444271f8ca06482dae87" https://secure.xorail.net/redmine/issues.json --data @-</v>
      </c>
      <c r="AJ119" s="48"/>
      <c r="AK119" s="48"/>
      <c r="AL119" s="48"/>
      <c r="AM119" s="158" t="str">
        <f t="shared" si="9"/>
        <v>start /low /b %USERPROFILE%\Documents\GitHub\eaglep3\Utilities\DownloadLogsFromS3.py --loco 4021 --day 2017-02-05</v>
      </c>
      <c r="AN119" s="167" t="str">
        <f>"grep -SE -B400 ""CHR.+\|PRM\|1\|D.+(SWITCH|SIGNAL).+UNKNOWN"" "&amp;search_path&amp;"\RTDC"&amp;B119&amp;"\*"&amp;B119&amp;"*"&amp;TEXT(AVERAGE(F119,I119)-utc_offset/24,"YYYYMMDD")&amp;"* | grep -SE ""(Enforcement Action)|(\[TIMEOUT)|(CHR.+\|PRM\|1\|D.+(SWITCH|SIGNAL).+UNKNOWN)"" - &gt;&gt; "&amp;TEXT(Variables!$A$2,"YYYY-MM-DD")&amp;"-UncaughtWiMAX.txt"</f>
        <v>grep -SE -B400 "CHR.+\|PRM\|1\|D.+(SWITCH|SIGNAL).+UNKNOWN" "%USERPROFILE%\AppData\Local\Temp\OnboardLogs"\RTDC4021\*4021*20170206* | grep -SE "(Enforcement Action)|(\[TIMEOUT)|(CHR.+\|PRM\|1\|D.+(SWITCH|SIGNAL).+UNKNOWN)" - &gt;&gt; 2017-02-05-UncaughtWiMAX.txt</v>
      </c>
      <c r="AO119"/>
      <c r="AP119"/>
      <c r="AQ119"/>
      <c r="AR119"/>
      <c r="AS119"/>
      <c r="AT119"/>
      <c r="AU119"/>
      <c r="AV119"/>
      <c r="AW119"/>
      <c r="AX119"/>
      <c r="AY119"/>
      <c r="AZ119"/>
      <c r="BA119"/>
      <c r="BB119"/>
      <c r="BC119"/>
      <c r="BD119"/>
      <c r="BE119"/>
      <c r="BF119"/>
      <c r="BG119"/>
      <c r="BH119"/>
      <c r="BI119"/>
      <c r="BJ119"/>
      <c r="BK119"/>
      <c r="BL119"/>
      <c r="BM119"/>
      <c r="BN119"/>
      <c r="BO119"/>
      <c r="BP119"/>
      <c r="BQ119"/>
      <c r="BR119"/>
      <c r="BS119"/>
      <c r="BT119"/>
      <c r="BU119"/>
      <c r="BV119"/>
      <c r="BW119"/>
      <c r="BX119"/>
      <c r="BY119"/>
      <c r="BZ119"/>
      <c r="CA119"/>
      <c r="CB119"/>
      <c r="CC119"/>
      <c r="CD119"/>
      <c r="CE119"/>
      <c r="CF119"/>
      <c r="CG119"/>
      <c r="CH119"/>
      <c r="CI119"/>
      <c r="CJ119"/>
      <c r="CK119"/>
      <c r="CL119"/>
      <c r="CM119"/>
    </row>
    <row r="120" spans="1:91" s="20" customFormat="1" x14ac:dyDescent="0.25">
      <c r="A120" s="33" t="s">
        <v>678</v>
      </c>
      <c r="B120" s="7">
        <v>4040</v>
      </c>
      <c r="C120" s="21" t="s">
        <v>193</v>
      </c>
      <c r="D120" s="21" t="s">
        <v>240</v>
      </c>
      <c r="E120" s="13">
        <v>42771.705729166664</v>
      </c>
      <c r="F120" s="13">
        <v>42771.708657407406</v>
      </c>
      <c r="G120" s="7">
        <v>1</v>
      </c>
      <c r="H120" s="21" t="s">
        <v>402</v>
      </c>
      <c r="I120" s="13">
        <v>42771.733715277776</v>
      </c>
      <c r="J120" s="7">
        <v>0</v>
      </c>
      <c r="K120" s="98" t="str">
        <f>IF(ISEVEN(B120),(B120-1)&amp;"/"&amp;B120,B120&amp;"/"&amp;(B120+1))</f>
        <v>4039/4040</v>
      </c>
      <c r="L120" s="21" t="str">
        <f>VLOOKUP(A120,'Trips&amp;Operators'!$C$1:$G$99999,5,FALSE)</f>
        <v>WHITED DUSTIN</v>
      </c>
      <c r="M120" s="6">
        <f>I120-F120</f>
        <v>2.5057870370801538E-2</v>
      </c>
      <c r="N120" s="7">
        <f>24*60*SUM($M120:$M120)</f>
        <v>36.083333333954215</v>
      </c>
      <c r="O120" s="7"/>
      <c r="P120" s="7"/>
      <c r="Q120" s="22"/>
      <c r="R120" s="22"/>
      <c r="S120" s="31">
        <f>SUM(U120:U120)/IF(AG120="EC",12,1)</f>
        <v>1</v>
      </c>
      <c r="T120" s="46" t="str">
        <f>IF(ISEVEN(LEFT(AD120,4)),"Southbound","NorthBound")</f>
        <v>NorthBound</v>
      </c>
      <c r="U120" s="190">
        <f>IF(AG120="EC",COUNTIFS(Variables!$M$2:$M$19,IF(T120="NorthBound","&gt;=","&lt;=")&amp;Y120,Variables!$M$2:$M$19,IF(T120="NorthBound","&lt;=","&gt;=")&amp;Z120),COUNTIFS(Variables!$P$2:$P$19,IF(T120="NorthBound","&gt;=","&lt;=")&amp;Y120,Variables!$P$2:$P$19,IF(T120="NorthBound","&lt;=","&gt;=")&amp;Z120))</f>
        <v>12</v>
      </c>
      <c r="V120" s="191" t="str">
        <f>"https://d0f6bd738d7f1b3e5a7ca70fe4ff75f0.us-east-1.aws.found.io/app/kibana#/discover/Steve-Slow-Train-Analysis-(2080s-and-2083s)?_g="&amp;"(refreshInterval:(display:Off,pause:!f,section:0,value:0),time:(from:'"&amp;TEXT(E120-1/24,"yyyy-MM-DDThh:mm:ss")&amp;utc_offset&amp;"00"&amp;"',mode:absolute,to:'"&amp;TEXT(I120+1/24,"yyyy-MM-DDThh:mm:ss")&amp;utc_offset&amp;"00"&amp;"'))&amp;_a=(columns:!('Locomotive+ID','Data.Head+End+Milepost',Data.Speed,'Data.Locomotive+State','Data.Train+ID',"&amp;"'Data.Warning%2FEnforcement+Type','Data.Target+Start+Milepost','Data.Target+Description','Data.Target+Speed',"&amp;"'Data.Enforcement+Train+Speed','Data.Enforcement+Start+Milepost','Data.Target+Type','Data.Enforcement+Direction+of+Travel','Message+ID',"&amp;"'Data.Body+of+Summary+Text','Data.Head+End+Track+name'),filters:!(),index:'emp_*',interval:auto,query:"&amp;"(query_string:(analyze_wildcard:!t,query:'Message%5C+ID:(2083+OR+2080+OR+1041+OR+2003+OR+1051+OR+1043+OR+1053)+AND+%22rtdc.l.rtdc."&amp;B120&amp;"%22')),sort:!(Time.ISO8601,asc))"</f>
        <v>https://d0f6bd738d7f1b3e5a7ca70fe4ff75f0.us-east-1.aws.found.io/app/kibana#/discover/Steve-Slow-Train-Analysis-(2080s-and-2083s)?_g=(refreshInterval:(display:Off,pause:!f,section:0,value:0),time:(from:'2017-02-05T15:56:15-0700',mode:absolute,to:'2017-02-05T18:36:33-0700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4040%22')),sort:!(Time.ISO8601,asc))</v>
      </c>
      <c r="W120" s="192" t="str">
        <f>IF(AA120&lt;IF(AG120="EC",23,5.65),"Y","N")</f>
        <v>N</v>
      </c>
      <c r="X120" s="192">
        <f>VALUE(LEFT(AD120,4))-VALUE(LEFT(AD119,4))</f>
        <v>1</v>
      </c>
      <c r="Y120" s="62">
        <f>RIGHT(D120,LEN(D120)-4)/10000</f>
        <v>4.5100000000000001E-2</v>
      </c>
      <c r="Z120" s="62">
        <f>RIGHT(H120,LEN(H120)-4)/10000</f>
        <v>23.331499999999998</v>
      </c>
      <c r="AA120" s="62">
        <f>ABS(Z120-Y120)</f>
        <v>23.286399999999997</v>
      </c>
      <c r="AB120" s="59" t="e">
        <f>VLOOKUP(A120,Enforcements!$C$7:$K$16,8,0)</f>
        <v>#N/A</v>
      </c>
      <c r="AC120" s="55" t="e">
        <f>VLOOKUP(A120,Enforcements!$C$7:$E$16,3,0)</f>
        <v>#N/A</v>
      </c>
      <c r="AD120" s="56" t="str">
        <f>IF(LEN(A120)=6,"0"&amp;A120,A120)</f>
        <v>0207-05</v>
      </c>
      <c r="AE120" s="85" t="str">
        <f>"aws s3 cp "&amp;s3_bucket&amp;"/RTDC"&amp;B120&amp;"/ "&amp;search_path&amp;"\RTDC"&amp;B120&amp;"\"&amp;TEXT(F120,"YYYY-MM-DD")&amp;" --exclude ""*"" --recursive --include ""*"&amp;TEXT(F120,"YYYYMMDD")&amp;"*"" &amp; """&amp;walkandungz&amp;""" "&amp;search_path&amp;"\RTDC"&amp;B120&amp;"\"&amp;TEXT(F120,"YYYY-MM-DD")
&amp;" &amp; "&amp;"aws s3 cp "&amp;s3_bucket&amp;"/RTDC"&amp;B120&amp;"/ "&amp;search_path&amp;"\RTDC"&amp;B120&amp;"\"&amp;TEXT(F120+1,"YYYY-MM-DD")&amp;" --exclude ""*"" --recursive --include ""*"&amp;TEXT(F120+1,"YYYYMMDD")&amp;"*"" &amp; """&amp;walkandungz&amp;""" "&amp;search_path&amp;"\RTDC"&amp;B120&amp;"\"&amp;TEXT(F120+1,"YYYY-MM-DD")</f>
        <v>aws s3 cp s3://rtdc.mdm.uploadarchive.raw/RTDC4040/ "%USERPROFILE%\AppData\Local\Temp\OnboardLogs"\RTDC4040\2017-02-05 --exclude "*" --recursive --include "*20170205*" &amp; "%USERPROFILE%\Documents\GitHub\mrs-test-scripts\Headless Mode &amp; Sideloading\WalkAndUnGZ.bat" "%USERPROFILE%\AppData\Local\Temp\OnboardLogs"\RTDC4040\2017-02-05 &amp; aws s3 cp s3://rtdc.mdm.uploadarchive.raw/RTDC4040/ "%USERPROFILE%\AppData\Local\Temp\OnboardLogs"\RTDC4040\2017-02-06 --exclude "*" --recursive --include "*20170206*" &amp; "%USERPROFILE%\Documents\GitHub\mrs-test-scripts\Headless Mode &amp; Sideloading\WalkAndUnGZ.bat" "%USERPROFILE%\AppData\Local\Temp\OnboardLogs"\RTDC4040\2017-02-06</v>
      </c>
      <c r="AF120" s="82" t="str">
        <f>astrogrep_path&amp;" /spath="&amp;search_path&amp;" /stypes=""app*"&amp;B120&amp;"*"&amp;TEXT(I120-utc_offset/24,"YYYYMMDD")&amp;"*"" /stext="" "&amp;TEXT(I120-utc_offset/24,"HH")&amp;search_regexp&amp;""" /e /r /s"</f>
        <v>"C:\Program Files (x86)\AstroGrep\AstroGrep.exe" /spath="%USERPROFILE%\AppData\Local\Temp\OnboardLogs" /stypes="app*4040*20170206*" /stext=" 00:.+((SYSTEM_STATE.+slice.+state.+changed )|(ment ac)|(multiple cpu faults)|(system.+state.+changed )|(\[timeout)|(PRM\|1\|D)|(kpr)|(kdp)|(\|lc)|(penalty))" /e /r /s</v>
      </c>
      <c r="AG120" s="1" t="str">
        <f>IFERROR(IF(VALUE(LEFT(AD120,2))&lt;=2,"EC",IF(OR(VALUE(LEFT(AD120,2))=8,VALUE(LEFT(AD120,2))=18),"NW","Other")),"Other")</f>
        <v>EC</v>
      </c>
      <c r="AH120" s="86" t="str">
        <f t="shared" si="7"/>
        <v>"%USERPROFILE%\Documents\GitHub\eaglep3\Utilities\RefineRTDCRunTimes.py" --tripid 207-05 --locoid 4040 --swversion DE.1.0.8.0 --startMP 204:451 --initTime 2017-02-05T16:56:15 --startdatetime 2017-02-05T17:00:28 --delay 1 --endMP 204:233315 --enddatetime 2017-02-05T17:36:33 --enforcementcount 0 &gt;&gt;C:\Users\stu\Documents\GitHub\eaglep3-reporting\EC\2017-02-05-refined-times.txt</v>
      </c>
      <c r="AI120" s="108" t="str">
        <f t="shared" si="8"/>
        <v>echo {"issue":{"subject":"","project_id":79,"tracker_id":40,"status_id":1,"priority_id":2,"assigned_to_id":23,"start_date":"2017-02-05","description":"","custom_fields":[{"id":1,"name":"Subdivision","value":"EC"},{"id":4,"name":"Milepost","value":"23.3315"},{"id":17,"name":"Train ID","value":"207-05"},{"id":16,"name":"Locomotive ID","value":"4040"},{"id":130,"name":"Impact","value":""},{"id":150,"name":"Time of Event (Mountain Time)","value":"17:36:33"},{"id":151,"name":"Denver Issue ID","value":""},{"id":178,"name":"Operational Impact","value":"Yes"},{"id":179,"name":"Denver Segment Assigned","value":""}]}} | curl -X POST -H "Content-Type: application/json" -H "X-Redmine-API-Key: d6333d4a04012a730768444271f8ca06482dae87" https://secure.xorail.net/redmine/issues.json --data @-</v>
      </c>
      <c r="AJ120" s="48"/>
      <c r="AK120" s="48"/>
      <c r="AL120" s="48"/>
      <c r="AM120" s="158" t="str">
        <f t="shared" si="9"/>
        <v>start /low /b %USERPROFILE%\Documents\GitHub\eaglep3\Utilities\DownloadLogsFromS3.py --loco 4040 --day 2017-02-05</v>
      </c>
      <c r="AN120" s="167" t="str">
        <f>"grep -SE -B400 ""CHR.+\|PRM\|1\|D.+(SWITCH|SIGNAL).+UNKNOWN"" "&amp;search_path&amp;"\RTDC"&amp;B120&amp;"\*"&amp;B120&amp;"*"&amp;TEXT(AVERAGE(F120,I120)-utc_offset/24,"YYYYMMDD")&amp;"* | grep -SE ""(Enforcement Action)|(\[TIMEOUT)|(CHR.+\|PRM\|1\|D.+(SWITCH|SIGNAL).+UNKNOWN)"" - &gt;&gt; "&amp;TEXT(Variables!$A$2,"YYYY-MM-DD")&amp;"-UncaughtWiMAX.txt"</f>
        <v>grep -SE -B400 "CHR.+\|PRM\|1\|D.+(SWITCH|SIGNAL).+UNKNOWN" "%USERPROFILE%\AppData\Local\Temp\OnboardLogs"\RTDC4040\*4040*20170206* | grep -SE "(Enforcement Action)|(\[TIMEOUT)|(CHR.+\|PRM\|1\|D.+(SWITCH|SIGNAL).+UNKNOWN)" - &gt;&gt; 2017-02-05-UncaughtWiMAX.txt</v>
      </c>
      <c r="AO120"/>
      <c r="AP120"/>
      <c r="AQ120"/>
      <c r="AR120"/>
      <c r="AS120"/>
      <c r="AT120"/>
      <c r="AU120"/>
      <c r="AV120"/>
      <c r="AW120"/>
      <c r="AX120"/>
      <c r="AY120"/>
      <c r="AZ120"/>
      <c r="BA120"/>
      <c r="BB120"/>
      <c r="BC120"/>
      <c r="BD120"/>
      <c r="BE120"/>
      <c r="BF120"/>
      <c r="BG120"/>
      <c r="BH120"/>
      <c r="BI120"/>
      <c r="BJ120"/>
      <c r="BK120"/>
      <c r="BL120"/>
      <c r="BM120"/>
      <c r="BN120"/>
      <c r="BO120"/>
      <c r="BP120"/>
      <c r="BQ120"/>
      <c r="BR120"/>
      <c r="BS120"/>
      <c r="BT120"/>
      <c r="BU120"/>
      <c r="BV120"/>
      <c r="BW120"/>
      <c r="BX120"/>
      <c r="BY120"/>
      <c r="BZ120"/>
      <c r="CA120"/>
      <c r="CB120"/>
      <c r="CC120"/>
      <c r="CD120"/>
      <c r="CE120"/>
      <c r="CF120"/>
      <c r="CG120"/>
      <c r="CH120"/>
      <c r="CI120"/>
      <c r="CJ120"/>
      <c r="CK120"/>
      <c r="CL120"/>
      <c r="CM120"/>
    </row>
    <row r="121" spans="1:91" s="20" customFormat="1" x14ac:dyDescent="0.25">
      <c r="A121" s="33" t="s">
        <v>689</v>
      </c>
      <c r="B121" s="7">
        <v>4039</v>
      </c>
      <c r="C121" s="21" t="s">
        <v>193</v>
      </c>
      <c r="D121" s="21" t="s">
        <v>319</v>
      </c>
      <c r="E121" s="13">
        <v>42771.741770833331</v>
      </c>
      <c r="F121" s="13">
        <v>42771.747499999998</v>
      </c>
      <c r="G121" s="7">
        <v>1</v>
      </c>
      <c r="H121" s="21" t="s">
        <v>413</v>
      </c>
      <c r="I121" s="13">
        <v>42771.775891203702</v>
      </c>
      <c r="J121" s="7">
        <v>0</v>
      </c>
      <c r="K121" s="98" t="str">
        <f>IF(ISEVEN(B121),(B121-1)&amp;"/"&amp;B121,B121&amp;"/"&amp;(B121+1))</f>
        <v>4039/4040</v>
      </c>
      <c r="L121" s="21" t="str">
        <f>VLOOKUP(A121,'Trips&amp;Operators'!$C$1:$G$99999,5,FALSE)</f>
        <v>WHITED DUSTIN</v>
      </c>
      <c r="M121" s="6">
        <f>I121-F121</f>
        <v>2.8391203704813961E-2</v>
      </c>
      <c r="N121" s="7">
        <f>24*60*SUM($M121:$M121)</f>
        <v>40.883333334932104</v>
      </c>
      <c r="O121" s="7"/>
      <c r="P121" s="7"/>
      <c r="Q121" s="22"/>
      <c r="R121" s="22"/>
      <c r="S121" s="31">
        <f>SUM(U121:U121)/IF(AG121="EC",12,1)</f>
        <v>1</v>
      </c>
      <c r="T121" s="46" t="str">
        <f>IF(ISEVEN(LEFT(AD121,4)),"Southbound","NorthBound")</f>
        <v>Southbound</v>
      </c>
      <c r="U121" s="190">
        <f>IF(AG121="EC",COUNTIFS(Variables!$M$2:$M$19,IF(T121="NorthBound","&gt;=","&lt;=")&amp;Y121,Variables!$M$2:$M$19,IF(T121="NorthBound","&lt;=","&gt;=")&amp;Z121),COUNTIFS(Variables!$P$2:$P$19,IF(T121="NorthBound","&gt;=","&lt;=")&amp;Y121,Variables!$P$2:$P$19,IF(T121="NorthBound","&lt;=","&gt;=")&amp;Z121))</f>
        <v>12</v>
      </c>
      <c r="V121" s="191" t="str">
        <f>"https://d0f6bd738d7f1b3e5a7ca70fe4ff75f0.us-east-1.aws.found.io/app/kibana#/discover/Steve-Slow-Train-Analysis-(2080s-and-2083s)?_g="&amp;"(refreshInterval:(display:Off,pause:!f,section:0,value:0),time:(from:'"&amp;TEXT(E121-1/24,"yyyy-MM-DDThh:mm:ss")&amp;utc_offset&amp;"00"&amp;"',mode:absolute,to:'"&amp;TEXT(I121+1/24,"yyyy-MM-DDThh:mm:ss")&amp;utc_offset&amp;"00"&amp;"'))&amp;_a=(columns:!('Locomotive+ID','Data.Head+End+Milepost',Data.Speed,'Data.Locomotive+State','Data.Train+ID',"&amp;"'Data.Warning%2FEnforcement+Type','Data.Target+Start+Milepost','Data.Target+Description','Data.Target+Speed',"&amp;"'Data.Enforcement+Train+Speed','Data.Enforcement+Start+Milepost','Data.Target+Type','Data.Enforcement+Direction+of+Travel','Message+ID',"&amp;"'Data.Body+of+Summary+Text','Data.Head+End+Track+name'),filters:!(),index:'emp_*',interval:auto,query:"&amp;"(query_string:(analyze_wildcard:!t,query:'Message%5C+ID:(2083+OR+2080+OR+1041+OR+2003+OR+1051+OR+1043+OR+1053)+AND+%22rtdc.l.rtdc."&amp;B121&amp;"%22')),sort:!(Time.ISO8601,asc))"</f>
        <v>https://d0f6bd738d7f1b3e5a7ca70fe4ff75f0.us-east-1.aws.found.io/app/kibana#/discover/Steve-Slow-Train-Analysis-(2080s-and-2083s)?_g=(refreshInterval:(display:Off,pause:!f,section:0,value:0),time:(from:'2017-02-05T16:48:09-0700',mode:absolute,to:'2017-02-05T19:37:17-0700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4039%22')),sort:!(Time.ISO8601,asc))</v>
      </c>
      <c r="W121" s="192" t="str">
        <f>IF(AA121&lt;IF(AG121="EC",23,5.65),"Y","N")</f>
        <v>N</v>
      </c>
      <c r="X121" s="192">
        <f>VALUE(LEFT(AD121,4))-VALUE(LEFT(AD120,4))</f>
        <v>1</v>
      </c>
      <c r="Y121" s="62">
        <f>RIGHT(D121,LEN(D121)-4)/10000</f>
        <v>23.299299999999999</v>
      </c>
      <c r="Z121" s="62">
        <f>RIGHT(H121,LEN(H121)-4)/10000</f>
        <v>1.72E-2</v>
      </c>
      <c r="AA121" s="62">
        <f>ABS(Z121-Y121)</f>
        <v>23.2821</v>
      </c>
      <c r="AB121" s="59" t="e">
        <f>VLOOKUP(A121,Enforcements!$C$7:$K$16,8,0)</f>
        <v>#N/A</v>
      </c>
      <c r="AC121" s="55" t="e">
        <f>VLOOKUP(A121,Enforcements!$C$7:$E$16,3,0)</f>
        <v>#N/A</v>
      </c>
      <c r="AD121" s="56" t="str">
        <f>IF(LEN(A121)=6,"0"&amp;A121,A121)</f>
        <v>0208-05</v>
      </c>
      <c r="AE121" s="85" t="str">
        <f>"aws s3 cp "&amp;s3_bucket&amp;"/RTDC"&amp;B121&amp;"/ "&amp;search_path&amp;"\RTDC"&amp;B121&amp;"\"&amp;TEXT(F121,"YYYY-MM-DD")&amp;" --exclude ""*"" --recursive --include ""*"&amp;TEXT(F121,"YYYYMMDD")&amp;"*"" &amp; """&amp;walkandungz&amp;""" "&amp;search_path&amp;"\RTDC"&amp;B121&amp;"\"&amp;TEXT(F121,"YYYY-MM-DD")
&amp;" &amp; "&amp;"aws s3 cp "&amp;s3_bucket&amp;"/RTDC"&amp;B121&amp;"/ "&amp;search_path&amp;"\RTDC"&amp;B121&amp;"\"&amp;TEXT(F121+1,"YYYY-MM-DD")&amp;" --exclude ""*"" --recursive --include ""*"&amp;TEXT(F121+1,"YYYYMMDD")&amp;"*"" &amp; """&amp;walkandungz&amp;""" "&amp;search_path&amp;"\RTDC"&amp;B121&amp;"\"&amp;TEXT(F121+1,"YYYY-MM-DD")</f>
        <v>aws s3 cp s3://rtdc.mdm.uploadarchive.raw/RTDC4039/ "%USERPROFILE%\AppData\Local\Temp\OnboardLogs"\RTDC4039\2017-02-05 --exclude "*" --recursive --include "*20170205*" &amp; "%USERPROFILE%\Documents\GitHub\mrs-test-scripts\Headless Mode &amp; Sideloading\WalkAndUnGZ.bat" "%USERPROFILE%\AppData\Local\Temp\OnboardLogs"\RTDC4039\2017-02-05 &amp; aws s3 cp s3://rtdc.mdm.uploadarchive.raw/RTDC4039/ "%USERPROFILE%\AppData\Local\Temp\OnboardLogs"\RTDC4039\2017-02-06 --exclude "*" --recursive --include "*20170206*" &amp; "%USERPROFILE%\Documents\GitHub\mrs-test-scripts\Headless Mode &amp; Sideloading\WalkAndUnGZ.bat" "%USERPROFILE%\AppData\Local\Temp\OnboardLogs"\RTDC4039\2017-02-06</v>
      </c>
      <c r="AF121" s="82" t="str">
        <f>astrogrep_path&amp;" /spath="&amp;search_path&amp;" /stypes=""app*"&amp;B121&amp;"*"&amp;TEXT(I121-utc_offset/24,"YYYYMMDD")&amp;"*"" /stext="" "&amp;TEXT(I121-utc_offset/24,"HH")&amp;search_regexp&amp;""" /e /r /s"</f>
        <v>"C:\Program Files (x86)\AstroGrep\AstroGrep.exe" /spath="%USERPROFILE%\AppData\Local\Temp\OnboardLogs" /stypes="app*4039*20170206*" /stext=" 01:.+((SYSTEM_STATE.+slice.+state.+changed )|(ment ac)|(multiple cpu faults)|(system.+state.+changed )|(\[timeout)|(PRM\|1\|D)|(kpr)|(kdp)|(\|lc)|(penalty))" /e /r /s</v>
      </c>
      <c r="AG121" s="1" t="str">
        <f>IFERROR(IF(VALUE(LEFT(AD121,2))&lt;=2,"EC",IF(OR(VALUE(LEFT(AD121,2))=8,VALUE(LEFT(AD121,2))=18),"NW","Other")),"Other")</f>
        <v>EC</v>
      </c>
      <c r="AH121" s="86" t="str">
        <f t="shared" si="7"/>
        <v>"%USERPROFILE%\Documents\GitHub\eaglep3\Utilities\RefineRTDCRunTimes.py" --tripid 208-05 --locoid 4039 --swversion DE.1.0.8.0 --startMP 204:232993 --initTime 2017-02-05T17:48:09 --startdatetime 2017-02-05T17:56:24 --delay 1 --endMP 204:172 --enddatetime 2017-02-05T18:37:17 --enforcementcount 0 &gt;&gt;C:\Users\stu\Documents\GitHub\eaglep3-reporting\EC\2017-02-05-refined-times.txt</v>
      </c>
      <c r="AI121" s="108" t="str">
        <f t="shared" si="8"/>
        <v>echo {"issue":{"subject":"","project_id":79,"tracker_id":40,"status_id":1,"priority_id":2,"assigned_to_id":23,"start_date":"2017-02-05","description":"","custom_fields":[{"id":1,"name":"Subdivision","value":"EC"},{"id":4,"name":"Milepost","value":"0.0172"},{"id":17,"name":"Train ID","value":"208-05"},{"id":16,"name":"Locomotive ID","value":"4039"},{"id":130,"name":"Impact","value":""},{"id":150,"name":"Time of Event (Mountain Time)","value":"18:37:17"},{"id":151,"name":"Denver Issue ID","value":""},{"id":178,"name":"Operational Impact","value":"Yes"},{"id":179,"name":"Denver Segment Assigned","value":""}]}} | curl -X POST -H "Content-Type: application/json" -H "X-Redmine-API-Key: d6333d4a04012a730768444271f8ca06482dae87" https://secure.xorail.net/redmine/issues.json --data @-</v>
      </c>
      <c r="AJ121" s="48"/>
      <c r="AK121" s="48"/>
      <c r="AL121" s="48"/>
      <c r="AM121" s="158" t="str">
        <f t="shared" si="9"/>
        <v>start /low /b %USERPROFILE%\Documents\GitHub\eaglep3\Utilities\DownloadLogsFromS3.py --loco 4039 --day 2017-02-05</v>
      </c>
      <c r="AN121" s="167" t="str">
        <f>"grep -SE -B400 ""CHR.+\|PRM\|1\|D.+(SWITCH|SIGNAL).+UNKNOWN"" "&amp;search_path&amp;"\RTDC"&amp;B121&amp;"\*"&amp;B121&amp;"*"&amp;TEXT(AVERAGE(F121,I121)-utc_offset/24,"YYYYMMDD")&amp;"* | grep -SE ""(Enforcement Action)|(\[TIMEOUT)|(CHR.+\|PRM\|1\|D.+(SWITCH|SIGNAL).+UNKNOWN)"" - &gt;&gt; "&amp;TEXT(Variables!$A$2,"YYYY-MM-DD")&amp;"-UncaughtWiMAX.txt"</f>
        <v>grep -SE -B400 "CHR.+\|PRM\|1\|D.+(SWITCH|SIGNAL).+UNKNOWN" "%USERPROFILE%\AppData\Local\Temp\OnboardLogs"\RTDC4039\*4039*20170206* | grep -SE "(Enforcement Action)|(\[TIMEOUT)|(CHR.+\|PRM\|1\|D.+(SWITCH|SIGNAL).+UNKNOWN)" - &gt;&gt; 2017-02-05-UncaughtWiMAX.txt</v>
      </c>
      <c r="AO121"/>
      <c r="AP121"/>
      <c r="AQ121"/>
      <c r="AR121"/>
      <c r="AS121"/>
      <c r="AT121"/>
      <c r="AU121"/>
      <c r="AV121"/>
      <c r="AW121"/>
      <c r="AX121"/>
      <c r="AY121"/>
      <c r="AZ121"/>
      <c r="BA121"/>
      <c r="BB121"/>
      <c r="BC121"/>
      <c r="BD121"/>
      <c r="BE121"/>
      <c r="BF121"/>
      <c r="BG121"/>
      <c r="BH121"/>
      <c r="BI121"/>
      <c r="BJ121"/>
      <c r="BK121"/>
      <c r="BL121"/>
      <c r="BM121"/>
      <c r="BN121"/>
      <c r="BO121"/>
      <c r="BP121"/>
      <c r="BQ121"/>
      <c r="BR121"/>
      <c r="BS121"/>
      <c r="BT121"/>
      <c r="BU121"/>
      <c r="BV121"/>
      <c r="BW121"/>
      <c r="BX121"/>
      <c r="BY121"/>
      <c r="BZ121"/>
      <c r="CA121"/>
      <c r="CB121"/>
      <c r="CC121"/>
      <c r="CD121"/>
      <c r="CE121"/>
      <c r="CF121"/>
      <c r="CG121"/>
      <c r="CH121"/>
      <c r="CI121"/>
      <c r="CJ121"/>
      <c r="CK121"/>
      <c r="CL121"/>
      <c r="CM121"/>
    </row>
    <row r="122" spans="1:91" s="20" customFormat="1" x14ac:dyDescent="0.25">
      <c r="A122" s="33" t="s">
        <v>680</v>
      </c>
      <c r="B122" s="7">
        <v>4031</v>
      </c>
      <c r="C122" s="21" t="s">
        <v>193</v>
      </c>
      <c r="D122" s="21" t="s">
        <v>291</v>
      </c>
      <c r="E122" s="13">
        <v>42771.714895833335</v>
      </c>
      <c r="F122" s="13">
        <v>42771.719039351854</v>
      </c>
      <c r="G122" s="7">
        <v>2</v>
      </c>
      <c r="H122" s="21" t="s">
        <v>756</v>
      </c>
      <c r="I122" s="13">
        <v>42771.744467592594</v>
      </c>
      <c r="J122" s="7">
        <v>0</v>
      </c>
      <c r="K122" s="98" t="str">
        <f>IF(ISEVEN(B122),(B122-1)&amp;"/"&amp;B122,B122&amp;"/"&amp;(B122+1))</f>
        <v>4031/4032</v>
      </c>
      <c r="L122" s="21" t="str">
        <f>VLOOKUP(A122,'Trips&amp;Operators'!$C$1:$G$99999,5,FALSE)</f>
        <v>MAGEE KENYA</v>
      </c>
      <c r="M122" s="6">
        <f>I122-F122</f>
        <v>2.5428240740438923E-2</v>
      </c>
      <c r="N122" s="7">
        <f>24*60*SUM($M122:$M122)</f>
        <v>36.616666666232049</v>
      </c>
      <c r="O122" s="7"/>
      <c r="P122" s="7"/>
      <c r="Q122" s="22"/>
      <c r="R122" s="22"/>
      <c r="S122" s="31">
        <f>SUM(U122:U122)/IF(AG122="EC",12,1)</f>
        <v>1</v>
      </c>
      <c r="T122" s="46" t="str">
        <f>IF(ISEVEN(LEFT(AD122,4)),"Southbound","NorthBound")</f>
        <v>NorthBound</v>
      </c>
      <c r="U122" s="190">
        <f>IF(AG122="EC",COUNTIFS(Variables!$M$2:$M$19,IF(T122="NorthBound","&gt;=","&lt;=")&amp;Y122,Variables!$M$2:$M$19,IF(T122="NorthBound","&lt;=","&gt;=")&amp;Z122),COUNTIFS(Variables!$P$2:$P$19,IF(T122="NorthBound","&gt;=","&lt;=")&amp;Y122,Variables!$P$2:$P$19,IF(T122="NorthBound","&lt;=","&gt;=")&amp;Z122))</f>
        <v>12</v>
      </c>
      <c r="V122" s="191" t="str">
        <f>"https://d0f6bd738d7f1b3e5a7ca70fe4ff75f0.us-east-1.aws.found.io/app/kibana#/discover/Steve-Slow-Train-Analysis-(2080s-and-2083s)?_g="&amp;"(refreshInterval:(display:Off,pause:!f,section:0,value:0),time:(from:'"&amp;TEXT(E122-1/24,"yyyy-MM-DDThh:mm:ss")&amp;utc_offset&amp;"00"&amp;"',mode:absolute,to:'"&amp;TEXT(I122+1/24,"yyyy-MM-DDThh:mm:ss")&amp;utc_offset&amp;"00"&amp;"'))&amp;_a=(columns:!('Locomotive+ID','Data.Head+End+Milepost',Data.Speed,'Data.Locomotive+State','Data.Train+ID',"&amp;"'Data.Warning%2FEnforcement+Type','Data.Target+Start+Milepost','Data.Target+Description','Data.Target+Speed',"&amp;"'Data.Enforcement+Train+Speed','Data.Enforcement+Start+Milepost','Data.Target+Type','Data.Enforcement+Direction+of+Travel','Message+ID',"&amp;"'Data.Body+of+Summary+Text','Data.Head+End+Track+name'),filters:!(),index:'emp_*',interval:auto,query:"&amp;"(query_string:(analyze_wildcard:!t,query:'Message%5C+ID:(2083+OR+2080+OR+1041+OR+2003+OR+1051+OR+1043+OR+1053)+AND+%22rtdc.l.rtdc."&amp;B122&amp;"%22')),sort:!(Time.ISO8601,asc))"</f>
        <v>https://d0f6bd738d7f1b3e5a7ca70fe4ff75f0.us-east-1.aws.found.io/app/kibana#/discover/Steve-Slow-Train-Analysis-(2080s-and-2083s)?_g=(refreshInterval:(display:Off,pause:!f,section:0,value:0),time:(from:'2017-02-05T16:09:27-0700',mode:absolute,to:'2017-02-05T18:52:02-0700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4031%22')),sort:!(Time.ISO8601,asc))</v>
      </c>
      <c r="W122" s="192" t="str">
        <f>IF(AA122&lt;IF(AG122="EC",23,5.65),"Y","N")</f>
        <v>N</v>
      </c>
      <c r="X122" s="192">
        <f>VALUE(LEFT(AD122,4))-VALUE(LEFT(AD121,4))</f>
        <v>1</v>
      </c>
      <c r="Y122" s="62">
        <f>RIGHT(D122,LEN(D122)-4)/10000</f>
        <v>4.5499999999999999E-2</v>
      </c>
      <c r="Z122" s="62">
        <f>RIGHT(H122,LEN(H122)-4)/10000</f>
        <v>23.332599999999999</v>
      </c>
      <c r="AA122" s="62">
        <f>ABS(Z122-Y122)</f>
        <v>23.287099999999999</v>
      </c>
      <c r="AB122" s="59" t="e">
        <f>VLOOKUP(A122,Enforcements!$C$7:$K$16,8,0)</f>
        <v>#N/A</v>
      </c>
      <c r="AC122" s="55" t="e">
        <f>VLOOKUP(A122,Enforcements!$C$7:$E$16,3,0)</f>
        <v>#N/A</v>
      </c>
      <c r="AD122" s="56" t="str">
        <f>IF(LEN(A122)=6,"0"&amp;A122,A122)</f>
        <v>0209-05</v>
      </c>
      <c r="AE122" s="85" t="str">
        <f>"aws s3 cp "&amp;s3_bucket&amp;"/RTDC"&amp;B122&amp;"/ "&amp;search_path&amp;"\RTDC"&amp;B122&amp;"\"&amp;TEXT(F122,"YYYY-MM-DD")&amp;" --exclude ""*"" --recursive --include ""*"&amp;TEXT(F122,"YYYYMMDD")&amp;"*"" &amp; """&amp;walkandungz&amp;""" "&amp;search_path&amp;"\RTDC"&amp;B122&amp;"\"&amp;TEXT(F122,"YYYY-MM-DD")
&amp;" &amp; "&amp;"aws s3 cp "&amp;s3_bucket&amp;"/RTDC"&amp;B122&amp;"/ "&amp;search_path&amp;"\RTDC"&amp;B122&amp;"\"&amp;TEXT(F122+1,"YYYY-MM-DD")&amp;" --exclude ""*"" --recursive --include ""*"&amp;TEXT(F122+1,"YYYYMMDD")&amp;"*"" &amp; """&amp;walkandungz&amp;""" "&amp;search_path&amp;"\RTDC"&amp;B122&amp;"\"&amp;TEXT(F122+1,"YYYY-MM-DD")</f>
        <v>aws s3 cp s3://rtdc.mdm.uploadarchive.raw/RTDC4031/ "%USERPROFILE%\AppData\Local\Temp\OnboardLogs"\RTDC4031\2017-02-05 --exclude "*" --recursive --include "*20170205*" &amp; "%USERPROFILE%\Documents\GitHub\mrs-test-scripts\Headless Mode &amp; Sideloading\WalkAndUnGZ.bat" "%USERPROFILE%\AppData\Local\Temp\OnboardLogs"\RTDC4031\2017-02-05 &amp; aws s3 cp s3://rtdc.mdm.uploadarchive.raw/RTDC4031/ "%USERPROFILE%\AppData\Local\Temp\OnboardLogs"\RTDC4031\2017-02-06 --exclude "*" --recursive --include "*20170206*" &amp; "%USERPROFILE%\Documents\GitHub\mrs-test-scripts\Headless Mode &amp; Sideloading\WalkAndUnGZ.bat" "%USERPROFILE%\AppData\Local\Temp\OnboardLogs"\RTDC4031\2017-02-06</v>
      </c>
      <c r="AF122" s="82" t="str">
        <f>astrogrep_path&amp;" /spath="&amp;search_path&amp;" /stypes=""app*"&amp;B122&amp;"*"&amp;TEXT(I122-utc_offset/24,"YYYYMMDD")&amp;"*"" /stext="" "&amp;TEXT(I122-utc_offset/24,"HH")&amp;search_regexp&amp;""" /e /r /s"</f>
        <v>"C:\Program Files (x86)\AstroGrep\AstroGrep.exe" /spath="%USERPROFILE%\AppData\Local\Temp\OnboardLogs" /stypes="app*4031*20170206*" /stext=" 00:.+((SYSTEM_STATE.+slice.+state.+changed )|(ment ac)|(multiple cpu faults)|(system.+state.+changed )|(\[timeout)|(PRM\|1\|D)|(kpr)|(kdp)|(\|lc)|(penalty))" /e /r /s</v>
      </c>
      <c r="AG122" s="1" t="str">
        <f>IFERROR(IF(VALUE(LEFT(AD122,2))&lt;=2,"EC",IF(OR(VALUE(LEFT(AD122,2))=8,VALUE(LEFT(AD122,2))=18),"NW","Other")),"Other")</f>
        <v>EC</v>
      </c>
      <c r="AH122" s="86" t="str">
        <f t="shared" si="7"/>
        <v>"%USERPROFILE%\Documents\GitHub\eaglep3\Utilities\RefineRTDCRunTimes.py" --tripid 209-05 --locoid 4031 --swversion DE.1.0.8.0 --startMP 204:455 --initTime 2017-02-05T17:09:27 --startdatetime 2017-02-05T17:15:25 --delay 2 --endMP 204:233326 --enddatetime 2017-02-05T17:52:02 --enforcementcount 0 &gt;&gt;C:\Users\stu\Documents\GitHub\eaglep3-reporting\EC\2017-02-05-refined-times.txt</v>
      </c>
      <c r="AI122" s="108" t="str">
        <f t="shared" si="8"/>
        <v>echo {"issue":{"subject":"","project_id":79,"tracker_id":40,"status_id":1,"priority_id":2,"assigned_to_id":23,"start_date":"2017-02-05","description":"","custom_fields":[{"id":1,"name":"Subdivision","value":"EC"},{"id":4,"name":"Milepost","value":"23.3326"},{"id":17,"name":"Train ID","value":"209-05"},{"id":16,"name":"Locomotive ID","value":"4031"},{"id":130,"name":"Impact","value":""},{"id":150,"name":"Time of Event (Mountain Time)","value":"17:52:02"},{"id":151,"name":"Denver Issue ID","value":""},{"id":178,"name":"Operational Impact","value":"Yes"},{"id":179,"name":"Denver Segment Assigned","value":""}]}} | curl -X POST -H "Content-Type: application/json" -H "X-Redmine-API-Key: d6333d4a04012a730768444271f8ca06482dae87" https://secure.xorail.net/redmine/issues.json --data @-</v>
      </c>
      <c r="AJ122" s="48"/>
      <c r="AK122" s="48"/>
      <c r="AL122" s="48"/>
      <c r="AM122" s="158" t="str">
        <f t="shared" si="9"/>
        <v>start /low /b %USERPROFILE%\Documents\GitHub\eaglep3\Utilities\DownloadLogsFromS3.py --loco 4031 --day 2017-02-05</v>
      </c>
      <c r="AN122" s="167" t="str">
        <f>"grep -SE -B400 ""CHR.+\|PRM\|1\|D.+(SWITCH|SIGNAL).+UNKNOWN"" "&amp;search_path&amp;"\RTDC"&amp;B122&amp;"\*"&amp;B122&amp;"*"&amp;TEXT(AVERAGE(F122,I122)-utc_offset/24,"YYYYMMDD")&amp;"* | grep -SE ""(Enforcement Action)|(\[TIMEOUT)|(CHR.+\|PRM\|1\|D.+(SWITCH|SIGNAL).+UNKNOWN)"" - &gt;&gt; "&amp;TEXT(Variables!$A$2,"YYYY-MM-DD")&amp;"-UncaughtWiMAX.txt"</f>
        <v>grep -SE -B400 "CHR.+\|PRM\|1\|D.+(SWITCH|SIGNAL).+UNKNOWN" "%USERPROFILE%\AppData\Local\Temp\OnboardLogs"\RTDC4031\*4031*20170206* | grep -SE "(Enforcement Action)|(\[TIMEOUT)|(CHR.+\|PRM\|1\|D.+(SWITCH|SIGNAL).+UNKNOWN)" - &gt;&gt; 2017-02-05-UncaughtWiMAX.txt</v>
      </c>
      <c r="AO122"/>
      <c r="AP122"/>
      <c r="AQ122"/>
      <c r="AR122"/>
      <c r="AS122"/>
      <c r="AT122"/>
      <c r="AU122"/>
      <c r="AV122"/>
      <c r="AW122"/>
      <c r="AX122"/>
      <c r="AY122"/>
      <c r="AZ122"/>
      <c r="BA122"/>
      <c r="BB122"/>
      <c r="BC122"/>
      <c r="BD122"/>
      <c r="BE122"/>
      <c r="BF122"/>
      <c r="BG122"/>
      <c r="BH122"/>
      <c r="BI122"/>
      <c r="BJ122"/>
      <c r="BK122"/>
      <c r="BL122"/>
      <c r="BM122"/>
      <c r="BN122"/>
      <c r="BO122"/>
      <c r="BP122"/>
      <c r="BQ122"/>
      <c r="BR122"/>
      <c r="BS122"/>
      <c r="BT122"/>
      <c r="BU122"/>
      <c r="BV122"/>
      <c r="BW122"/>
      <c r="BX122"/>
      <c r="BY122"/>
      <c r="BZ122"/>
      <c r="CA122"/>
      <c r="CB122"/>
      <c r="CC122"/>
      <c r="CD122"/>
      <c r="CE122"/>
      <c r="CF122"/>
      <c r="CG122"/>
      <c r="CH122"/>
      <c r="CI122"/>
      <c r="CJ122"/>
      <c r="CK122"/>
      <c r="CL122"/>
      <c r="CM122"/>
    </row>
    <row r="123" spans="1:91" s="20" customFormat="1" x14ac:dyDescent="0.25">
      <c r="A123" s="33" t="s">
        <v>692</v>
      </c>
      <c r="B123" s="7">
        <v>4032</v>
      </c>
      <c r="C123" s="21" t="s">
        <v>193</v>
      </c>
      <c r="D123" s="21" t="s">
        <v>842</v>
      </c>
      <c r="E123" s="13">
        <v>42771.753958333335</v>
      </c>
      <c r="F123" s="13">
        <v>42771.758067129631</v>
      </c>
      <c r="G123" s="7">
        <v>2</v>
      </c>
      <c r="H123" s="21" t="s">
        <v>333</v>
      </c>
      <c r="I123" s="13">
        <v>42771.78601851852</v>
      </c>
      <c r="J123" s="7">
        <v>0</v>
      </c>
      <c r="K123" s="98" t="str">
        <f>IF(ISEVEN(B123),(B123-1)&amp;"/"&amp;B123,B123&amp;"/"&amp;(B123+1))</f>
        <v>4031/4032</v>
      </c>
      <c r="L123" s="21" t="str">
        <f>VLOOKUP(A123,'Trips&amp;Operators'!$C$1:$G$99999,5,FALSE)</f>
        <v>MAGEE KENYA</v>
      </c>
      <c r="M123" s="6">
        <f>I123-F123</f>
        <v>2.7951388889050577E-2</v>
      </c>
      <c r="N123" s="7">
        <f>24*60*SUM($M123:$M123)</f>
        <v>40.250000000232831</v>
      </c>
      <c r="O123" s="7"/>
      <c r="P123" s="7"/>
      <c r="Q123" s="22"/>
      <c r="R123" s="22"/>
      <c r="S123" s="31">
        <f>SUM(U123:U123)/IF(AG123="EC",12,1)</f>
        <v>1</v>
      </c>
      <c r="T123" s="46" t="str">
        <f>IF(ISEVEN(LEFT(AD123,4)),"Southbound","NorthBound")</f>
        <v>Southbound</v>
      </c>
      <c r="U123" s="190">
        <f>IF(AG123="EC",COUNTIFS(Variables!$M$2:$M$19,IF(T123="NorthBound","&gt;=","&lt;=")&amp;Y123,Variables!$M$2:$M$19,IF(T123="NorthBound","&lt;=","&gt;=")&amp;Z123),COUNTIFS(Variables!$P$2:$P$19,IF(T123="NorthBound","&gt;=","&lt;=")&amp;Y123,Variables!$P$2:$P$19,IF(T123="NorthBound","&lt;=","&gt;=")&amp;Z123))</f>
        <v>12</v>
      </c>
      <c r="V123" s="191" t="str">
        <f>"https://d0f6bd738d7f1b3e5a7ca70fe4ff75f0.us-east-1.aws.found.io/app/kibana#/discover/Steve-Slow-Train-Analysis-(2080s-and-2083s)?_g="&amp;"(refreshInterval:(display:Off,pause:!f,section:0,value:0),time:(from:'"&amp;TEXT(E123-1/24,"yyyy-MM-DDThh:mm:ss")&amp;utc_offset&amp;"00"&amp;"',mode:absolute,to:'"&amp;TEXT(I123+1/24,"yyyy-MM-DDThh:mm:ss")&amp;utc_offset&amp;"00"&amp;"'))&amp;_a=(columns:!('Locomotive+ID','Data.Head+End+Milepost',Data.Speed,'Data.Locomotive+State','Data.Train+ID',"&amp;"'Data.Warning%2FEnforcement+Type','Data.Target+Start+Milepost','Data.Target+Description','Data.Target+Speed',"&amp;"'Data.Enforcement+Train+Speed','Data.Enforcement+Start+Milepost','Data.Target+Type','Data.Enforcement+Direction+of+Travel','Message+ID',"&amp;"'Data.Body+of+Summary+Text','Data.Head+End+Track+name'),filters:!(),index:'emp_*',interval:auto,query:"&amp;"(query_string:(analyze_wildcard:!t,query:'Message%5C+ID:(2083+OR+2080+OR+1041+OR+2003+OR+1051+OR+1043+OR+1053)+AND+%22rtdc.l.rtdc."&amp;B123&amp;"%22')),sort:!(Time.ISO8601,asc))"</f>
        <v>https://d0f6bd738d7f1b3e5a7ca70fe4ff75f0.us-east-1.aws.found.io/app/kibana#/discover/Steve-Slow-Train-Analysis-(2080s-and-2083s)?_g=(refreshInterval:(display:Off,pause:!f,section:0,value:0),time:(from:'2017-02-05T17:05:42-0700',mode:absolute,to:'2017-02-05T19:51:52-0700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4032%22')),sort:!(Time.ISO8601,asc))</v>
      </c>
      <c r="W123" s="192" t="str">
        <f>IF(AA123&lt;IF(AG123="EC",23,5.65),"Y","N")</f>
        <v>N</v>
      </c>
      <c r="X123" s="192">
        <f>VALUE(LEFT(AD123,4))-VALUE(LEFT(AD122,4))</f>
        <v>1</v>
      </c>
      <c r="Y123" s="62">
        <f>RIGHT(D123,LEN(D123)-4)/10000</f>
        <v>23.3003</v>
      </c>
      <c r="Z123" s="62">
        <f>RIGHT(H123,LEN(H123)-4)/10000</f>
        <v>1.7399999999999999E-2</v>
      </c>
      <c r="AA123" s="62">
        <f>ABS(Z123-Y123)</f>
        <v>23.282900000000001</v>
      </c>
      <c r="AB123" s="59" t="e">
        <f>VLOOKUP(A123,Enforcements!$C$7:$K$16,8,0)</f>
        <v>#N/A</v>
      </c>
      <c r="AC123" s="55" t="e">
        <f>VLOOKUP(A123,Enforcements!$C$7:$E$16,3,0)</f>
        <v>#N/A</v>
      </c>
      <c r="AD123" s="56" t="str">
        <f>IF(LEN(A123)=6,"0"&amp;A123,A123)</f>
        <v>0210-05</v>
      </c>
      <c r="AE123" s="85" t="str">
        <f>"aws s3 cp "&amp;s3_bucket&amp;"/RTDC"&amp;B123&amp;"/ "&amp;search_path&amp;"\RTDC"&amp;B123&amp;"\"&amp;TEXT(F123,"YYYY-MM-DD")&amp;" --exclude ""*"" --recursive --include ""*"&amp;TEXT(F123,"YYYYMMDD")&amp;"*"" &amp; """&amp;walkandungz&amp;""" "&amp;search_path&amp;"\RTDC"&amp;B123&amp;"\"&amp;TEXT(F123,"YYYY-MM-DD")
&amp;" &amp; "&amp;"aws s3 cp "&amp;s3_bucket&amp;"/RTDC"&amp;B123&amp;"/ "&amp;search_path&amp;"\RTDC"&amp;B123&amp;"\"&amp;TEXT(F123+1,"YYYY-MM-DD")&amp;" --exclude ""*"" --recursive --include ""*"&amp;TEXT(F123+1,"YYYYMMDD")&amp;"*"" &amp; """&amp;walkandungz&amp;""" "&amp;search_path&amp;"\RTDC"&amp;B123&amp;"\"&amp;TEXT(F123+1,"YYYY-MM-DD")</f>
        <v>aws s3 cp s3://rtdc.mdm.uploadarchive.raw/RTDC4032/ "%USERPROFILE%\AppData\Local\Temp\OnboardLogs"\RTDC4032\2017-02-05 --exclude "*" --recursive --include "*20170205*" &amp; "%USERPROFILE%\Documents\GitHub\mrs-test-scripts\Headless Mode &amp; Sideloading\WalkAndUnGZ.bat" "%USERPROFILE%\AppData\Local\Temp\OnboardLogs"\RTDC4032\2017-02-05 &amp; aws s3 cp s3://rtdc.mdm.uploadarchive.raw/RTDC4032/ "%USERPROFILE%\AppData\Local\Temp\OnboardLogs"\RTDC4032\2017-02-06 --exclude "*" --recursive --include "*20170206*" &amp; "%USERPROFILE%\Documents\GitHub\mrs-test-scripts\Headless Mode &amp; Sideloading\WalkAndUnGZ.bat" "%USERPROFILE%\AppData\Local\Temp\OnboardLogs"\RTDC4032\2017-02-06</v>
      </c>
      <c r="AF123" s="82" t="str">
        <f>astrogrep_path&amp;" /spath="&amp;search_path&amp;" /stypes=""app*"&amp;B123&amp;"*"&amp;TEXT(I123-utc_offset/24,"YYYYMMDD")&amp;"*"" /stext="" "&amp;TEXT(I123-utc_offset/24,"HH")&amp;search_regexp&amp;""" /e /r /s"</f>
        <v>"C:\Program Files (x86)\AstroGrep\AstroGrep.exe" /spath="%USERPROFILE%\AppData\Local\Temp\OnboardLogs" /stypes="app*4032*20170206*" /stext=" 01:.+((SYSTEM_STATE.+slice.+state.+changed )|(ment ac)|(multiple cpu faults)|(system.+state.+changed )|(\[timeout)|(PRM\|1\|D)|(kpr)|(kdp)|(\|lc)|(penalty))" /e /r /s</v>
      </c>
      <c r="AG123" s="1" t="str">
        <f>IFERROR(IF(VALUE(LEFT(AD123,2))&lt;=2,"EC",IF(OR(VALUE(LEFT(AD123,2))=8,VALUE(LEFT(AD123,2))=18),"NW","Other")),"Other")</f>
        <v>EC</v>
      </c>
      <c r="AH123" s="86" t="str">
        <f t="shared" si="7"/>
        <v>"%USERPROFILE%\Documents\GitHub\eaglep3\Utilities\RefineRTDCRunTimes.py" --tripid 210-05 --locoid 4032 --swversion DE.1.0.8.0 --startMP 204:233003 --initTime 2017-02-05T18:05:42 --startdatetime 2017-02-05T18:11:37 --delay 2 --endMP 204:174 --enddatetime 2017-02-05T18:51:52 --enforcementcount 0 &gt;&gt;C:\Users\stu\Documents\GitHub\eaglep3-reporting\EC\2017-02-05-refined-times.txt</v>
      </c>
      <c r="AI123" s="108" t="str">
        <f t="shared" si="8"/>
        <v>echo {"issue":{"subject":"","project_id":79,"tracker_id":40,"status_id":1,"priority_id":2,"assigned_to_id":23,"start_date":"2017-02-05","description":"","custom_fields":[{"id":1,"name":"Subdivision","value":"EC"},{"id":4,"name":"Milepost","value":"0.0174"},{"id":17,"name":"Train ID","value":"210-05"},{"id":16,"name":"Locomotive ID","value":"4032"},{"id":130,"name":"Impact","value":""},{"id":150,"name":"Time of Event (Mountain Time)","value":"18:51:52"},{"id":151,"name":"Denver Issue ID","value":""},{"id":178,"name":"Operational Impact","value":"Yes"},{"id":179,"name":"Denver Segment Assigned","value":""}]}} | curl -X POST -H "Content-Type: application/json" -H "X-Redmine-API-Key: d6333d4a04012a730768444271f8ca06482dae87" https://secure.xorail.net/redmine/issues.json --data @-</v>
      </c>
      <c r="AJ123" s="48"/>
      <c r="AK123" s="48"/>
      <c r="AL123" s="48"/>
      <c r="AM123" s="158" t="str">
        <f t="shared" si="9"/>
        <v>start /low /b %USERPROFILE%\Documents\GitHub\eaglep3\Utilities\DownloadLogsFromS3.py --loco 4032 --day 2017-02-05</v>
      </c>
      <c r="AN123" s="167" t="str">
        <f>"grep -SE -B400 ""CHR.+\|PRM\|1\|D.+(SWITCH|SIGNAL).+UNKNOWN"" "&amp;search_path&amp;"\RTDC"&amp;B123&amp;"\*"&amp;B123&amp;"*"&amp;TEXT(AVERAGE(F123,I123)-utc_offset/24,"YYYYMMDD")&amp;"* | grep -SE ""(Enforcement Action)|(\[TIMEOUT)|(CHR.+\|PRM\|1\|D.+(SWITCH|SIGNAL).+UNKNOWN)"" - &gt;&gt; "&amp;TEXT(Variables!$A$2,"YYYY-MM-DD")&amp;"-UncaughtWiMAX.txt"</f>
        <v>grep -SE -B400 "CHR.+\|PRM\|1\|D.+(SWITCH|SIGNAL).+UNKNOWN" "%USERPROFILE%\AppData\Local\Temp\OnboardLogs"\RTDC4032\*4032*20170206* | grep -SE "(Enforcement Action)|(\[TIMEOUT)|(CHR.+\|PRM\|1\|D.+(SWITCH|SIGNAL).+UNKNOWN)" - &gt;&gt; 2017-02-05-UncaughtWiMAX.txt</v>
      </c>
      <c r="AO123"/>
      <c r="AP123"/>
      <c r="AQ123"/>
      <c r="AR123"/>
      <c r="AS123"/>
      <c r="AT123"/>
      <c r="AU123"/>
      <c r="AV123"/>
      <c r="AW123"/>
      <c r="AX123"/>
      <c r="AY123"/>
      <c r="AZ123"/>
      <c r="BA123"/>
      <c r="BB123"/>
      <c r="BC123"/>
      <c r="BD123"/>
      <c r="BE123"/>
      <c r="BF123"/>
      <c r="BG123"/>
      <c r="BH123"/>
      <c r="BI123"/>
      <c r="BJ123"/>
      <c r="BK123"/>
      <c r="BL123"/>
      <c r="BM123"/>
      <c r="BN123"/>
      <c r="BO123"/>
      <c r="BP123"/>
      <c r="BQ123"/>
      <c r="BR123"/>
      <c r="BS123"/>
      <c r="BT123"/>
      <c r="BU123"/>
      <c r="BV123"/>
      <c r="BW123"/>
      <c r="BX123"/>
      <c r="BY123"/>
      <c r="BZ123"/>
      <c r="CA123"/>
      <c r="CB123"/>
      <c r="CC123"/>
      <c r="CD123"/>
      <c r="CE123"/>
      <c r="CF123"/>
      <c r="CG123"/>
      <c r="CH123"/>
      <c r="CI123"/>
      <c r="CJ123"/>
      <c r="CK123"/>
      <c r="CL123"/>
      <c r="CM123"/>
    </row>
    <row r="124" spans="1:91" s="20" customFormat="1" x14ac:dyDescent="0.25">
      <c r="A124" s="33" t="s">
        <v>684</v>
      </c>
      <c r="B124" s="7">
        <v>4009</v>
      </c>
      <c r="C124" s="21" t="s">
        <v>193</v>
      </c>
      <c r="D124" s="21" t="s">
        <v>760</v>
      </c>
      <c r="E124" s="13">
        <v>42771.721886574072</v>
      </c>
      <c r="F124" s="13">
        <v>42771.730266203704</v>
      </c>
      <c r="G124" s="7">
        <v>1</v>
      </c>
      <c r="H124" s="21" t="s">
        <v>310</v>
      </c>
      <c r="I124" s="13">
        <v>42771.755115740743</v>
      </c>
      <c r="J124" s="7">
        <v>0</v>
      </c>
      <c r="K124" s="98" t="str">
        <f>IF(ISEVEN(B124),(B124-1)&amp;"/"&amp;B124,B124&amp;"/"&amp;(B124+1))</f>
        <v>4009/4010</v>
      </c>
      <c r="L124" s="21" t="str">
        <f>VLOOKUP(A124,'Trips&amp;Operators'!$C$1:$G$99999,5,FALSE)</f>
        <v>CRAYTON QUNTRELL</v>
      </c>
      <c r="M124" s="6">
        <f>I124-F124</f>
        <v>2.4849537039699499E-2</v>
      </c>
      <c r="N124" s="7">
        <f>24*60*SUM($M124:$M124)</f>
        <v>35.783333337167278</v>
      </c>
      <c r="O124" s="7"/>
      <c r="P124" s="7"/>
      <c r="Q124" s="22"/>
      <c r="R124" s="22" t="s">
        <v>905</v>
      </c>
      <c r="S124" s="31">
        <f>SUM(U124:U124)/IF(AG124="EC",12,1)</f>
        <v>1</v>
      </c>
      <c r="T124" s="46" t="str">
        <f>IF(ISEVEN(LEFT(AD124,4)),"Southbound","NorthBound")</f>
        <v>NorthBound</v>
      </c>
      <c r="U124" s="190">
        <f>IF(AG124="EC",COUNTIFS(Variables!$M$2:$M$19,IF(T124="NorthBound","&gt;=","&lt;=")&amp;Y124,Variables!$M$2:$M$19,IF(T124="NorthBound","&lt;=","&gt;=")&amp;Z124),COUNTIFS(Variables!$P$2:$P$19,IF(T124="NorthBound","&gt;=","&lt;=")&amp;Y124,Variables!$P$2:$P$19,IF(T124="NorthBound","&lt;=","&gt;=")&amp;Z124))</f>
        <v>12</v>
      </c>
      <c r="V124" s="191" t="str">
        <f>"https://d0f6bd738d7f1b3e5a7ca70fe4ff75f0.us-east-1.aws.found.io/app/kibana#/discover/Steve-Slow-Train-Analysis-(2080s-and-2083s)?_g="&amp;"(refreshInterval:(display:Off,pause:!f,section:0,value:0),time:(from:'"&amp;TEXT(E124-1/24,"yyyy-MM-DDThh:mm:ss")&amp;utc_offset&amp;"00"&amp;"',mode:absolute,to:'"&amp;TEXT(I124+1/24,"yyyy-MM-DDThh:mm:ss")&amp;utc_offset&amp;"00"&amp;"'))&amp;_a=(columns:!('Locomotive+ID','Data.Head+End+Milepost',Data.Speed,'Data.Locomotive+State','Data.Train+ID',"&amp;"'Data.Warning%2FEnforcement+Type','Data.Target+Start+Milepost','Data.Target+Description','Data.Target+Speed',"&amp;"'Data.Enforcement+Train+Speed','Data.Enforcement+Start+Milepost','Data.Target+Type','Data.Enforcement+Direction+of+Travel','Message+ID',"&amp;"'Data.Body+of+Summary+Text','Data.Head+End+Track+name'),filters:!(),index:'emp_*',interval:auto,query:"&amp;"(query_string:(analyze_wildcard:!t,query:'Message%5C+ID:(2083+OR+2080+OR+1041+OR+2003+OR+1051+OR+1043+OR+1053)+AND+%22rtdc.l.rtdc."&amp;B124&amp;"%22')),sort:!(Time.ISO8601,asc))"</f>
        <v>https://d0f6bd738d7f1b3e5a7ca70fe4ff75f0.us-east-1.aws.found.io/app/kibana#/discover/Steve-Slow-Train-Analysis-(2080s-and-2083s)?_g=(refreshInterval:(display:Off,pause:!f,section:0,value:0),time:(from:'2017-02-05T16:19:31-0700',mode:absolute,to:'2017-02-05T19:07:22-0700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4009%22')),sort:!(Time.ISO8601,asc))</v>
      </c>
      <c r="W124" s="192" t="str">
        <f>IF(AA124&lt;IF(AG124="EC",23,5.65),"Y","N")</f>
        <v>N</v>
      </c>
      <c r="X124" s="192">
        <f>VALUE(LEFT(AD124,4))-VALUE(LEFT(AD123,4))</f>
        <v>1</v>
      </c>
      <c r="Y124" s="62">
        <f>RIGHT(D124,LEN(D124)-4)/10000</f>
        <v>4.3999999999999997E-2</v>
      </c>
      <c r="Z124" s="62">
        <f>RIGHT(H124,LEN(H124)-4)/10000</f>
        <v>23.3323</v>
      </c>
      <c r="AA124" s="62">
        <f>ABS(Z124-Y124)</f>
        <v>23.2883</v>
      </c>
      <c r="AB124" s="59" t="e">
        <f>VLOOKUP(A124,Enforcements!$C$7:$K$16,8,0)</f>
        <v>#N/A</v>
      </c>
      <c r="AC124" s="55" t="e">
        <f>VLOOKUP(A124,Enforcements!$C$7:$E$16,3,0)</f>
        <v>#N/A</v>
      </c>
      <c r="AD124" s="56" t="str">
        <f>IF(LEN(A124)=6,"0"&amp;A124,A124)</f>
        <v>0211-05</v>
      </c>
      <c r="AE124" s="85" t="str">
        <f>"aws s3 cp "&amp;s3_bucket&amp;"/RTDC"&amp;B124&amp;"/ "&amp;search_path&amp;"\RTDC"&amp;B124&amp;"\"&amp;TEXT(F124,"YYYY-MM-DD")&amp;" --exclude ""*"" --recursive --include ""*"&amp;TEXT(F124,"YYYYMMDD")&amp;"*"" &amp; """&amp;walkandungz&amp;""" "&amp;search_path&amp;"\RTDC"&amp;B124&amp;"\"&amp;TEXT(F124,"YYYY-MM-DD")
&amp;" &amp; "&amp;"aws s3 cp "&amp;s3_bucket&amp;"/RTDC"&amp;B124&amp;"/ "&amp;search_path&amp;"\RTDC"&amp;B124&amp;"\"&amp;TEXT(F124+1,"YYYY-MM-DD")&amp;" --exclude ""*"" --recursive --include ""*"&amp;TEXT(F124+1,"YYYYMMDD")&amp;"*"" &amp; """&amp;walkandungz&amp;""" "&amp;search_path&amp;"\RTDC"&amp;B124&amp;"\"&amp;TEXT(F124+1,"YYYY-MM-DD")</f>
        <v>aws s3 cp s3://rtdc.mdm.uploadarchive.raw/RTDC4009/ "%USERPROFILE%\AppData\Local\Temp\OnboardLogs"\RTDC4009\2017-02-05 --exclude "*" --recursive --include "*20170205*" &amp; "%USERPROFILE%\Documents\GitHub\mrs-test-scripts\Headless Mode &amp; Sideloading\WalkAndUnGZ.bat" "%USERPROFILE%\AppData\Local\Temp\OnboardLogs"\RTDC4009\2017-02-05 &amp; aws s3 cp s3://rtdc.mdm.uploadarchive.raw/RTDC4009/ "%USERPROFILE%\AppData\Local\Temp\OnboardLogs"\RTDC4009\2017-02-06 --exclude "*" --recursive --include "*20170206*" &amp; "%USERPROFILE%\Documents\GitHub\mrs-test-scripts\Headless Mode &amp; Sideloading\WalkAndUnGZ.bat" "%USERPROFILE%\AppData\Local\Temp\OnboardLogs"\RTDC4009\2017-02-06</v>
      </c>
      <c r="AF124" s="82" t="str">
        <f>astrogrep_path&amp;" /spath="&amp;search_path&amp;" /stypes=""app*"&amp;B124&amp;"*"&amp;TEXT(I124-utc_offset/24,"YYYYMMDD")&amp;"*"" /stext="" "&amp;TEXT(I124-utc_offset/24,"HH")&amp;search_regexp&amp;""" /e /r /s"</f>
        <v>"C:\Program Files (x86)\AstroGrep\AstroGrep.exe" /spath="%USERPROFILE%\AppData\Local\Temp\OnboardLogs" /stypes="app*4009*20170206*" /stext=" 01:.+((SYSTEM_STATE.+slice.+state.+changed )|(ment ac)|(multiple cpu faults)|(system.+state.+changed )|(\[timeout)|(PRM\|1\|D)|(kpr)|(kdp)|(\|lc)|(penalty))" /e /r /s</v>
      </c>
      <c r="AG124" s="1" t="str">
        <f>IFERROR(IF(VALUE(LEFT(AD124,2))&lt;=2,"EC",IF(OR(VALUE(LEFT(AD124,2))=8,VALUE(LEFT(AD124,2))=18),"NW","Other")),"Other")</f>
        <v>EC</v>
      </c>
      <c r="AH124" s="86" t="str">
        <f t="shared" si="7"/>
        <v>"%USERPROFILE%\Documents\GitHub\eaglep3\Utilities\RefineRTDCRunTimes.py" --tripid 211-05 --locoid 4009 --swversion DE.1.0.8.0 --startMP 204:440 --initTime 2017-02-05T17:19:31 --startdatetime 2017-02-05T17:31:35 --delay 1 --endMP 204:233323 --enddatetime 2017-02-05T18:07:22 --enforcementcount 0 &gt;&gt;C:\Users\stu\Documents\GitHub\eaglep3-reporting\EC\2017-02-05-refined-times.txt</v>
      </c>
      <c r="AI124" s="108" t="str">
        <f t="shared" si="8"/>
        <v>echo {"issue":{"subject":"Onboard in-route failure delayed departure","project_id":79,"tracker_id":40,"status_id":1,"priority_id":2,"assigned_to_id":23,"start_date":"2017-02-05","description":"","custom_fields":[{"id":1,"name":"Subdivision","value":"EC"},{"id":4,"name":"Milepost","value":"23.3323"},{"id":17,"name":"Train ID","value":"211-05"},{"id":16,"name":"Locomotive ID","value":"4009"},{"id":130,"name":"Impact","value":""},{"id":150,"name":"Time of Event (Mountain Time)","value":"18:07:22"},{"id":151,"name":"Denver Issue ID","value":""},{"id":178,"name":"Operational Impact","value":"Yes"},{"id":179,"name":"Denver Segment Assigned","value":""}]}} | curl -X POST -H "Content-Type: application/json" -H "X-Redmine-API-Key: d6333d4a04012a730768444271f8ca06482dae87" https://secure.xorail.net/redmine/issues.json --data @-</v>
      </c>
      <c r="AJ124" s="48"/>
      <c r="AK124" s="48"/>
      <c r="AL124" s="48"/>
      <c r="AM124" s="158" t="str">
        <f t="shared" si="9"/>
        <v>start /low /b %USERPROFILE%\Documents\GitHub\eaglep3\Utilities\DownloadLogsFromS3.py --loco 4009 --day 2017-02-05</v>
      </c>
      <c r="AN124" s="167" t="str">
        <f>"grep -SE -B400 ""CHR.+\|PRM\|1\|D.+(SWITCH|SIGNAL).+UNKNOWN"" "&amp;search_path&amp;"\RTDC"&amp;B124&amp;"\*"&amp;B124&amp;"*"&amp;TEXT(AVERAGE(F124,I124)-utc_offset/24,"YYYYMMDD")&amp;"* | grep -SE ""(Enforcement Action)|(\[TIMEOUT)|(CHR.+\|PRM\|1\|D.+(SWITCH|SIGNAL).+UNKNOWN)"" - &gt;&gt; "&amp;TEXT(Variables!$A$2,"YYYY-MM-DD")&amp;"-UncaughtWiMAX.txt"</f>
        <v>grep -SE -B400 "CHR.+\|PRM\|1\|D.+(SWITCH|SIGNAL).+UNKNOWN" "%USERPROFILE%\AppData\Local\Temp\OnboardLogs"\RTDC4009\*4009*20170206* | grep -SE "(Enforcement Action)|(\[TIMEOUT)|(CHR.+\|PRM\|1\|D.+(SWITCH|SIGNAL).+UNKNOWN)" - &gt;&gt; 2017-02-05-UncaughtWiMAX.txt</v>
      </c>
      <c r="AO124"/>
      <c r="AP124"/>
      <c r="AQ124"/>
      <c r="AR124"/>
      <c r="AS124"/>
      <c r="AT124"/>
      <c r="AU124"/>
      <c r="AV124"/>
      <c r="AW124"/>
      <c r="AX124"/>
      <c r="AY124"/>
      <c r="AZ124"/>
      <c r="BA124"/>
      <c r="BB124"/>
      <c r="BC124"/>
      <c r="BD124"/>
      <c r="BE124"/>
      <c r="BF124"/>
      <c r="BG124"/>
      <c r="BH124"/>
      <c r="BI124"/>
      <c r="BJ124"/>
      <c r="BK124"/>
      <c r="BL124"/>
      <c r="BM124"/>
      <c r="BN124"/>
      <c r="BO124"/>
      <c r="BP124"/>
      <c r="BQ124"/>
      <c r="BR124"/>
      <c r="BS124"/>
      <c r="BT124"/>
      <c r="BU124"/>
      <c r="BV124"/>
      <c r="BW124"/>
      <c r="BX124"/>
      <c r="BY124"/>
      <c r="BZ124"/>
      <c r="CA124"/>
      <c r="CB124"/>
      <c r="CC124"/>
      <c r="CD124"/>
      <c r="CE124"/>
      <c r="CF124"/>
      <c r="CG124"/>
      <c r="CH124"/>
      <c r="CI124"/>
      <c r="CJ124"/>
      <c r="CK124"/>
      <c r="CL124"/>
      <c r="CM124"/>
    </row>
    <row r="125" spans="1:91" s="20" customFormat="1" x14ac:dyDescent="0.25">
      <c r="A125" s="33" t="s">
        <v>694</v>
      </c>
      <c r="B125" s="7">
        <v>4010</v>
      </c>
      <c r="C125" s="21" t="s">
        <v>193</v>
      </c>
      <c r="D125" s="21" t="s">
        <v>762</v>
      </c>
      <c r="E125" s="13">
        <v>42771.764108796298</v>
      </c>
      <c r="F125" s="13">
        <v>42771.76829861111</v>
      </c>
      <c r="G125" s="7">
        <v>1</v>
      </c>
      <c r="H125" s="21" t="s">
        <v>328</v>
      </c>
      <c r="I125" s="13">
        <v>42771.796990740739</v>
      </c>
      <c r="J125" s="7">
        <v>0</v>
      </c>
      <c r="K125" s="98" t="str">
        <f>IF(ISEVEN(B125),(B125-1)&amp;"/"&amp;B125,B125&amp;"/"&amp;(B125+1))</f>
        <v>4009/4010</v>
      </c>
      <c r="L125" s="21" t="str">
        <f>VLOOKUP(A125,'Trips&amp;Operators'!$C$1:$G$99999,5,FALSE)</f>
        <v>CRAYTON QUNTRELL</v>
      </c>
      <c r="M125" s="6">
        <f>I125-F125</f>
        <v>2.8692129628325347E-2</v>
      </c>
      <c r="N125" s="7">
        <f>24*60*SUM($M125:$M125)</f>
        <v>41.316666664788499</v>
      </c>
      <c r="O125" s="7"/>
      <c r="P125" s="7"/>
      <c r="Q125" s="22"/>
      <c r="R125" s="22"/>
      <c r="S125" s="31">
        <f>SUM(U125:U125)/IF(AG125="EC",12,1)</f>
        <v>1</v>
      </c>
      <c r="T125" s="46" t="str">
        <f>IF(ISEVEN(LEFT(AD125,4)),"Southbound","NorthBound")</f>
        <v>Southbound</v>
      </c>
      <c r="U125" s="190">
        <f>IF(AG125="EC",COUNTIFS(Variables!$M$2:$M$19,IF(T125="NorthBound","&gt;=","&lt;=")&amp;Y125,Variables!$M$2:$M$19,IF(T125="NorthBound","&lt;=","&gt;=")&amp;Z125),COUNTIFS(Variables!$P$2:$P$19,IF(T125="NorthBound","&gt;=","&lt;=")&amp;Y125,Variables!$P$2:$P$19,IF(T125="NorthBound","&lt;=","&gt;=")&amp;Z125))</f>
        <v>12</v>
      </c>
      <c r="V125" s="191" t="str">
        <f>"https://d0f6bd738d7f1b3e5a7ca70fe4ff75f0.us-east-1.aws.found.io/app/kibana#/discover/Steve-Slow-Train-Analysis-(2080s-and-2083s)?_g="&amp;"(refreshInterval:(display:Off,pause:!f,section:0,value:0),time:(from:'"&amp;TEXT(E125-1/24,"yyyy-MM-DDThh:mm:ss")&amp;utc_offset&amp;"00"&amp;"',mode:absolute,to:'"&amp;TEXT(I125+1/24,"yyyy-MM-DDThh:mm:ss")&amp;utc_offset&amp;"00"&amp;"'))&amp;_a=(columns:!('Locomotive+ID','Data.Head+End+Milepost',Data.Speed,'Data.Locomotive+State','Data.Train+ID',"&amp;"'Data.Warning%2FEnforcement+Type','Data.Target+Start+Milepost','Data.Target+Description','Data.Target+Speed',"&amp;"'Data.Enforcement+Train+Speed','Data.Enforcement+Start+Milepost','Data.Target+Type','Data.Enforcement+Direction+of+Travel','Message+ID',"&amp;"'Data.Body+of+Summary+Text','Data.Head+End+Track+name'),filters:!(),index:'emp_*',interval:auto,query:"&amp;"(query_string:(analyze_wildcard:!t,query:'Message%5C+ID:(2083+OR+2080+OR+1041+OR+2003+OR+1051+OR+1043+OR+1053)+AND+%22rtdc.l.rtdc."&amp;B125&amp;"%22')),sort:!(Time.ISO8601,asc))"</f>
        <v>https://d0f6bd738d7f1b3e5a7ca70fe4ff75f0.us-east-1.aws.found.io/app/kibana#/discover/Steve-Slow-Train-Analysis-(2080s-and-2083s)?_g=(refreshInterval:(display:Off,pause:!f,section:0,value:0),time:(from:'2017-02-05T17:20:19-0700',mode:absolute,to:'2017-02-05T20:07:40-0700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4010%22')),sort:!(Time.ISO8601,asc))</v>
      </c>
      <c r="W125" s="192" t="str">
        <f>IF(AA125&lt;IF(AG125="EC",23,5.65),"Y","N")</f>
        <v>N</v>
      </c>
      <c r="X125" s="192">
        <f>VALUE(LEFT(AD125,4))-VALUE(LEFT(AD124,4))</f>
        <v>1</v>
      </c>
      <c r="Y125" s="62">
        <f>RIGHT(D125,LEN(D125)-4)/10000</f>
        <v>23.301300000000001</v>
      </c>
      <c r="Z125" s="62">
        <f>RIGHT(H125,LEN(H125)-4)/10000</f>
        <v>1.67E-2</v>
      </c>
      <c r="AA125" s="62">
        <f>ABS(Z125-Y125)</f>
        <v>23.284600000000001</v>
      </c>
      <c r="AB125" s="59" t="e">
        <f>VLOOKUP(A125,Enforcements!$C$7:$K$16,8,0)</f>
        <v>#N/A</v>
      </c>
      <c r="AC125" s="55" t="e">
        <f>VLOOKUP(A125,Enforcements!$C$7:$E$16,3,0)</f>
        <v>#N/A</v>
      </c>
      <c r="AD125" s="56" t="str">
        <f>IF(LEN(A125)=6,"0"&amp;A125,A125)</f>
        <v>0212-05</v>
      </c>
      <c r="AE125" s="85" t="str">
        <f>"aws s3 cp "&amp;s3_bucket&amp;"/RTDC"&amp;B125&amp;"/ "&amp;search_path&amp;"\RTDC"&amp;B125&amp;"\"&amp;TEXT(F125,"YYYY-MM-DD")&amp;" --exclude ""*"" --recursive --include ""*"&amp;TEXT(F125,"YYYYMMDD")&amp;"*"" &amp; """&amp;walkandungz&amp;""" "&amp;search_path&amp;"\RTDC"&amp;B125&amp;"\"&amp;TEXT(F125,"YYYY-MM-DD")
&amp;" &amp; "&amp;"aws s3 cp "&amp;s3_bucket&amp;"/RTDC"&amp;B125&amp;"/ "&amp;search_path&amp;"\RTDC"&amp;B125&amp;"\"&amp;TEXT(F125+1,"YYYY-MM-DD")&amp;" --exclude ""*"" --recursive --include ""*"&amp;TEXT(F125+1,"YYYYMMDD")&amp;"*"" &amp; """&amp;walkandungz&amp;""" "&amp;search_path&amp;"\RTDC"&amp;B125&amp;"\"&amp;TEXT(F125+1,"YYYY-MM-DD")</f>
        <v>aws s3 cp s3://rtdc.mdm.uploadarchive.raw/RTDC4010/ "%USERPROFILE%\AppData\Local\Temp\OnboardLogs"\RTDC4010\2017-02-05 --exclude "*" --recursive --include "*20170205*" &amp; "%USERPROFILE%\Documents\GitHub\mrs-test-scripts\Headless Mode &amp; Sideloading\WalkAndUnGZ.bat" "%USERPROFILE%\AppData\Local\Temp\OnboardLogs"\RTDC4010\2017-02-05 &amp; aws s3 cp s3://rtdc.mdm.uploadarchive.raw/RTDC4010/ "%USERPROFILE%\AppData\Local\Temp\OnboardLogs"\RTDC4010\2017-02-06 --exclude "*" --recursive --include "*20170206*" &amp; "%USERPROFILE%\Documents\GitHub\mrs-test-scripts\Headless Mode &amp; Sideloading\WalkAndUnGZ.bat" "%USERPROFILE%\AppData\Local\Temp\OnboardLogs"\RTDC4010\2017-02-06</v>
      </c>
      <c r="AF125" s="82" t="str">
        <f>astrogrep_path&amp;" /spath="&amp;search_path&amp;" /stypes=""app*"&amp;B125&amp;"*"&amp;TEXT(I125-utc_offset/24,"YYYYMMDD")&amp;"*"" /stext="" "&amp;TEXT(I125-utc_offset/24,"HH")&amp;search_regexp&amp;""" /e /r /s"</f>
        <v>"C:\Program Files (x86)\AstroGrep\AstroGrep.exe" /spath="%USERPROFILE%\AppData\Local\Temp\OnboardLogs" /stypes="app*4010*20170206*" /stext=" 02:.+((SYSTEM_STATE.+slice.+state.+changed )|(ment ac)|(multiple cpu faults)|(system.+state.+changed )|(\[timeout)|(PRM\|1\|D)|(kpr)|(kdp)|(\|lc)|(penalty))" /e /r /s</v>
      </c>
      <c r="AG125" s="1" t="str">
        <f>IFERROR(IF(VALUE(LEFT(AD125,2))&lt;=2,"EC",IF(OR(VALUE(LEFT(AD125,2))=8,VALUE(LEFT(AD125,2))=18),"NW","Other")),"Other")</f>
        <v>EC</v>
      </c>
      <c r="AH125" s="86" t="str">
        <f t="shared" si="7"/>
        <v>"%USERPROFILE%\Documents\GitHub\eaglep3\Utilities\RefineRTDCRunTimes.py" --tripid 212-05 --locoid 4010 --swversion DE.1.0.8.0 --startMP 204:233013 --initTime 2017-02-05T18:20:19 --startdatetime 2017-02-05T18:26:21 --delay 1 --endMP 204:167 --enddatetime 2017-02-05T19:07:40 --enforcementcount 0 &gt;&gt;C:\Users\stu\Documents\GitHub\eaglep3-reporting\EC\2017-02-05-refined-times.txt</v>
      </c>
      <c r="AI125" s="108" t="str">
        <f t="shared" si="8"/>
        <v>echo {"issue":{"subject":"","project_id":79,"tracker_id":40,"status_id":1,"priority_id":2,"assigned_to_id":23,"start_date":"2017-02-05","description":"","custom_fields":[{"id":1,"name":"Subdivision","value":"EC"},{"id":4,"name":"Milepost","value":"0.0167"},{"id":17,"name":"Train ID","value":"212-05"},{"id":16,"name":"Locomotive ID","value":"4010"},{"id":130,"name":"Impact","value":""},{"id":150,"name":"Time of Event (Mountain Time)","value":"19:07:40"},{"id":151,"name":"Denver Issue ID","value":""},{"id":178,"name":"Operational Impact","value":"Yes"},{"id":179,"name":"Denver Segment Assigned","value":""}]}} | curl -X POST -H "Content-Type: application/json" -H "X-Redmine-API-Key: d6333d4a04012a730768444271f8ca06482dae87" https://secure.xorail.net/redmine/issues.json --data @-</v>
      </c>
      <c r="AJ125" s="48"/>
      <c r="AK125" s="48"/>
      <c r="AL125" s="48"/>
      <c r="AM125" s="158" t="str">
        <f t="shared" si="9"/>
        <v>start /low /b %USERPROFILE%\Documents\GitHub\eaglep3\Utilities\DownloadLogsFromS3.py --loco 4010 --day 2017-02-05</v>
      </c>
      <c r="AN125" s="167" t="str">
        <f>"grep -SE -B400 ""CHR.+\|PRM\|1\|D.+(SWITCH|SIGNAL).+UNKNOWN"" "&amp;search_path&amp;"\RTDC"&amp;B125&amp;"\*"&amp;B125&amp;"*"&amp;TEXT(AVERAGE(F125,I125)-utc_offset/24,"YYYYMMDD")&amp;"* | grep -SE ""(Enforcement Action)|(\[TIMEOUT)|(CHR.+\|PRM\|1\|D.+(SWITCH|SIGNAL).+UNKNOWN)"" - &gt;&gt; "&amp;TEXT(Variables!$A$2,"YYYY-MM-DD")&amp;"-UncaughtWiMAX.txt"</f>
        <v>grep -SE -B400 "CHR.+\|PRM\|1\|D.+(SWITCH|SIGNAL).+UNKNOWN" "%USERPROFILE%\AppData\Local\Temp\OnboardLogs"\RTDC4010\*4010*20170206* | grep -SE "(Enforcement Action)|(\[TIMEOUT)|(CHR.+\|PRM\|1\|D.+(SWITCH|SIGNAL).+UNKNOWN)" - &gt;&gt; 2017-02-05-UncaughtWiMAX.txt</v>
      </c>
      <c r="AO125"/>
      <c r="AP125"/>
      <c r="AQ125"/>
      <c r="AR125"/>
      <c r="AS125"/>
      <c r="AT125"/>
      <c r="AU125"/>
      <c r="AV125"/>
      <c r="AW125"/>
      <c r="AX125"/>
      <c r="AY125"/>
      <c r="AZ125"/>
      <c r="BA125"/>
      <c r="BB125"/>
      <c r="BC125"/>
      <c r="BD125"/>
      <c r="BE125"/>
      <c r="BF125"/>
      <c r="BG125"/>
      <c r="BH125"/>
      <c r="BI125"/>
      <c r="BJ125"/>
      <c r="BK125"/>
      <c r="BL125"/>
      <c r="BM125"/>
      <c r="BN125"/>
      <c r="BO125"/>
      <c r="BP125"/>
      <c r="BQ125"/>
      <c r="BR125"/>
      <c r="BS125"/>
      <c r="BT125"/>
      <c r="BU125"/>
      <c r="BV125"/>
      <c r="BW125"/>
      <c r="BX125"/>
      <c r="BY125"/>
      <c r="BZ125"/>
      <c r="CA125"/>
      <c r="CB125"/>
      <c r="CC125"/>
      <c r="CD125"/>
      <c r="CE125"/>
      <c r="CF125"/>
      <c r="CG125"/>
      <c r="CH125"/>
      <c r="CI125"/>
      <c r="CJ125"/>
      <c r="CK125"/>
      <c r="CL125"/>
      <c r="CM125"/>
    </row>
    <row r="126" spans="1:91" s="20" customFormat="1" x14ac:dyDescent="0.25">
      <c r="A126" s="33" t="s">
        <v>515</v>
      </c>
      <c r="B126" s="7">
        <v>4038</v>
      </c>
      <c r="C126" s="21" t="s">
        <v>193</v>
      </c>
      <c r="D126" s="21" t="s">
        <v>406</v>
      </c>
      <c r="E126" s="13">
        <v>42771.737557870372</v>
      </c>
      <c r="F126" s="13">
        <v>42771.739745370367</v>
      </c>
      <c r="G126" s="7">
        <v>1</v>
      </c>
      <c r="H126" s="21" t="s">
        <v>843</v>
      </c>
      <c r="I126" s="13">
        <v>42771.76630787037</v>
      </c>
      <c r="J126" s="7">
        <v>0</v>
      </c>
      <c r="K126" s="98" t="str">
        <f>IF(ISEVEN(B126),(B126-1)&amp;"/"&amp;B126,B126&amp;"/"&amp;(B126+1))</f>
        <v>4037/4038</v>
      </c>
      <c r="L126" s="21" t="str">
        <f>VLOOKUP(A126,'Trips&amp;Operators'!$C$1:$G$99999,5,FALSE)</f>
        <v>NEWELL JAMES</v>
      </c>
      <c r="M126" s="6">
        <f>I126-F126</f>
        <v>2.6562500002910383E-2</v>
      </c>
      <c r="N126" s="7">
        <f>24*60*SUM($M126:$M126)</f>
        <v>38.250000004190952</v>
      </c>
      <c r="O126" s="7"/>
      <c r="P126" s="7"/>
      <c r="Q126" s="22"/>
      <c r="R126" s="22"/>
      <c r="S126" s="31">
        <f>SUM(U126:U126)/IF(AG126="EC",12,1)</f>
        <v>1</v>
      </c>
      <c r="T126" s="46" t="str">
        <f>IF(ISEVEN(LEFT(AD126,4)),"Southbound","NorthBound")</f>
        <v>NorthBound</v>
      </c>
      <c r="U126" s="190">
        <f>IF(AG126="EC",COUNTIFS(Variables!$M$2:$M$19,IF(T126="NorthBound","&gt;=","&lt;=")&amp;Y126,Variables!$M$2:$M$19,IF(T126="NorthBound","&lt;=","&gt;=")&amp;Z126),COUNTIFS(Variables!$P$2:$P$19,IF(T126="NorthBound","&gt;=","&lt;=")&amp;Y126,Variables!$P$2:$P$19,IF(T126="NorthBound","&lt;=","&gt;=")&amp;Z126))</f>
        <v>12</v>
      </c>
      <c r="V126" s="191" t="str">
        <f>"https://d0f6bd738d7f1b3e5a7ca70fe4ff75f0.us-east-1.aws.found.io/app/kibana#/discover/Steve-Slow-Train-Analysis-(2080s-and-2083s)?_g="&amp;"(refreshInterval:(display:Off,pause:!f,section:0,value:0),time:(from:'"&amp;TEXT(E126-1/24,"yyyy-MM-DDThh:mm:ss")&amp;utc_offset&amp;"00"&amp;"',mode:absolute,to:'"&amp;TEXT(I126+1/24,"yyyy-MM-DDThh:mm:ss")&amp;utc_offset&amp;"00"&amp;"'))&amp;_a=(columns:!('Locomotive+ID','Data.Head+End+Milepost',Data.Speed,'Data.Locomotive+State','Data.Train+ID',"&amp;"'Data.Warning%2FEnforcement+Type','Data.Target+Start+Milepost','Data.Target+Description','Data.Target+Speed',"&amp;"'Data.Enforcement+Train+Speed','Data.Enforcement+Start+Milepost','Data.Target+Type','Data.Enforcement+Direction+of+Travel','Message+ID',"&amp;"'Data.Body+of+Summary+Text','Data.Head+End+Track+name'),filters:!(),index:'emp_*',interval:auto,query:"&amp;"(query_string:(analyze_wildcard:!t,query:'Message%5C+ID:(2083+OR+2080+OR+1041+OR+2003+OR+1051+OR+1043+OR+1053)+AND+%22rtdc.l.rtdc."&amp;B126&amp;"%22')),sort:!(Time.ISO8601,asc))"</f>
        <v>https://d0f6bd738d7f1b3e5a7ca70fe4ff75f0.us-east-1.aws.found.io/app/kibana#/discover/Steve-Slow-Train-Analysis-(2080s-and-2083s)?_g=(refreshInterval:(display:Off,pause:!f,section:0,value:0),time:(from:'2017-02-05T16:42:05-0700',mode:absolute,to:'2017-02-05T19:23:29-0700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4038%22')),sort:!(Time.ISO8601,asc))</v>
      </c>
      <c r="W126" s="192" t="str">
        <f>IF(AA126&lt;IF(AG126="EC",23,5.65),"Y","N")</f>
        <v>N</v>
      </c>
      <c r="X126" s="192">
        <f>VALUE(LEFT(AD126,4))-VALUE(LEFT(AD125,4))</f>
        <v>1</v>
      </c>
      <c r="Y126" s="62">
        <f>RIGHT(D126,LEN(D126)-4)/10000</f>
        <v>4.6600000000000003E-2</v>
      </c>
      <c r="Z126" s="62">
        <f>RIGHT(H126,LEN(H126)-4)/10000</f>
        <v>23.334099999999999</v>
      </c>
      <c r="AA126" s="62">
        <f>ABS(Z126-Y126)</f>
        <v>23.287499999999998</v>
      </c>
      <c r="AB126" s="59" t="str">
        <f>VLOOKUP(A126,Enforcements!$C$7:$K$16,8,0)</f>
        <v>Signal based authority (5)</v>
      </c>
      <c r="AC126" s="55" t="str">
        <f>VLOOKUP(A126,Enforcements!$C$7:$E$16,3,0)</f>
        <v>SIGNAL</v>
      </c>
      <c r="AD126" s="56" t="str">
        <f>IF(LEN(A126)=6,"0"&amp;A126,A126)</f>
        <v>0213-05</v>
      </c>
      <c r="AE126" s="85" t="str">
        <f>"aws s3 cp "&amp;s3_bucket&amp;"/RTDC"&amp;B126&amp;"/ "&amp;search_path&amp;"\RTDC"&amp;B126&amp;"\"&amp;TEXT(F126,"YYYY-MM-DD")&amp;" --exclude ""*"" --recursive --include ""*"&amp;TEXT(F126,"YYYYMMDD")&amp;"*"" &amp; """&amp;walkandungz&amp;""" "&amp;search_path&amp;"\RTDC"&amp;B126&amp;"\"&amp;TEXT(F126,"YYYY-MM-DD")
&amp;" &amp; "&amp;"aws s3 cp "&amp;s3_bucket&amp;"/RTDC"&amp;B126&amp;"/ "&amp;search_path&amp;"\RTDC"&amp;B126&amp;"\"&amp;TEXT(F126+1,"YYYY-MM-DD")&amp;" --exclude ""*"" --recursive --include ""*"&amp;TEXT(F126+1,"YYYYMMDD")&amp;"*"" &amp; """&amp;walkandungz&amp;""" "&amp;search_path&amp;"\RTDC"&amp;B126&amp;"\"&amp;TEXT(F126+1,"YYYY-MM-DD")</f>
        <v>aws s3 cp s3://rtdc.mdm.uploadarchive.raw/RTDC4038/ "%USERPROFILE%\AppData\Local\Temp\OnboardLogs"\RTDC4038\2017-02-05 --exclude "*" --recursive --include "*20170205*" &amp; "%USERPROFILE%\Documents\GitHub\mrs-test-scripts\Headless Mode &amp; Sideloading\WalkAndUnGZ.bat" "%USERPROFILE%\AppData\Local\Temp\OnboardLogs"\RTDC4038\2017-02-05 &amp; aws s3 cp s3://rtdc.mdm.uploadarchive.raw/RTDC4038/ "%USERPROFILE%\AppData\Local\Temp\OnboardLogs"\RTDC4038\2017-02-06 --exclude "*" --recursive --include "*20170206*" &amp; "%USERPROFILE%\Documents\GitHub\mrs-test-scripts\Headless Mode &amp; Sideloading\WalkAndUnGZ.bat" "%USERPROFILE%\AppData\Local\Temp\OnboardLogs"\RTDC4038\2017-02-06</v>
      </c>
      <c r="AF126" s="82" t="str">
        <f>astrogrep_path&amp;" /spath="&amp;search_path&amp;" /stypes=""app*"&amp;B126&amp;"*"&amp;TEXT(I126-utc_offset/24,"YYYYMMDD")&amp;"*"" /stext="" "&amp;TEXT(I126-utc_offset/24,"HH")&amp;search_regexp&amp;""" /e /r /s"</f>
        <v>"C:\Program Files (x86)\AstroGrep\AstroGrep.exe" /spath="%USERPROFILE%\AppData\Local\Temp\OnboardLogs" /stypes="app*4038*20170206*" /stext=" 01:.+((SYSTEM_STATE.+slice.+state.+changed )|(ment ac)|(multiple cpu faults)|(system.+state.+changed )|(\[timeout)|(PRM\|1\|D)|(kpr)|(kdp)|(\|lc)|(penalty))" /e /r /s</v>
      </c>
      <c r="AG126" s="1" t="str">
        <f>IFERROR(IF(VALUE(LEFT(AD126,2))&lt;=2,"EC",IF(OR(VALUE(LEFT(AD126,2))=8,VALUE(LEFT(AD126,2))=18),"NW","Other")),"Other")</f>
        <v>EC</v>
      </c>
      <c r="AH126" s="86" t="str">
        <f t="shared" si="7"/>
        <v>"%USERPROFILE%\Documents\GitHub\eaglep3\Utilities\RefineRTDCRunTimes.py" --tripid 213-05 --locoid 4038 --swversion DE.1.0.8.0 --startMP 204:466 --initTime 2017-02-05T17:42:05 --startdatetime 2017-02-05T17:45:14 --delay 1 --endMP 204:233341 --enddatetime 2017-02-05T18:23:29 --enforcementcount 0 &gt;&gt;C:\Users\stu\Documents\GitHub\eaglep3-reporting\EC\2017-02-05-refined-times.txt</v>
      </c>
      <c r="AI126" s="108" t="str">
        <f t="shared" si="8"/>
        <v>echo {"issue":{"subject":"","project_id":79,"tracker_id":40,"status_id":1,"priority_id":2,"assigned_to_id":23,"start_date":"2017-02-05","description":"","custom_fields":[{"id":1,"name":"Subdivision","value":"EC"},{"id":4,"name":"Milepost","value":"23.3341"},{"id":17,"name":"Train ID","value":"213-05"},{"id":16,"name":"Locomotive ID","value":"4038"},{"id":130,"name":"Impact","value":""},{"id":150,"name":"Time of Event (Mountain Time)","value":"18:23:29"},{"id":151,"name":"Denver Issue ID","value":""},{"id":178,"name":"Operational Impact","value":"Yes"},{"id":179,"name":"Denver Segment Assigned","value":""}]}} | curl -X POST -H "Content-Type: application/json" -H "X-Redmine-API-Key: d6333d4a04012a730768444271f8ca06482dae87" https://secure.xorail.net/redmine/issues.json --data @-</v>
      </c>
      <c r="AJ126" s="48"/>
      <c r="AK126" s="48"/>
      <c r="AL126" s="48"/>
      <c r="AM126" s="158" t="str">
        <f t="shared" si="9"/>
        <v>start /low /b %USERPROFILE%\Documents\GitHub\eaglep3\Utilities\DownloadLogsFromS3.py --loco 4038 --day 2017-02-05</v>
      </c>
      <c r="AN126" s="167" t="str">
        <f>"grep -SE -B400 ""CHR.+\|PRM\|1\|D.+(SWITCH|SIGNAL).+UNKNOWN"" "&amp;search_path&amp;"\RTDC"&amp;B126&amp;"\*"&amp;B126&amp;"*"&amp;TEXT(AVERAGE(F126,I126)-utc_offset/24,"YYYYMMDD")&amp;"* | grep -SE ""(Enforcement Action)|(\[TIMEOUT)|(CHR.+\|PRM\|1\|D.+(SWITCH|SIGNAL).+UNKNOWN)"" - &gt;&gt; "&amp;TEXT(Variables!$A$2,"YYYY-MM-DD")&amp;"-UncaughtWiMAX.txt"</f>
        <v>grep -SE -B400 "CHR.+\|PRM\|1\|D.+(SWITCH|SIGNAL).+UNKNOWN" "%USERPROFILE%\AppData\Local\Temp\OnboardLogs"\RTDC4038\*4038*20170206* | grep -SE "(Enforcement Action)|(\[TIMEOUT)|(CHR.+\|PRM\|1\|D.+(SWITCH|SIGNAL).+UNKNOWN)" - &gt;&gt; 2017-02-05-UncaughtWiMAX.txt</v>
      </c>
      <c r="AO126"/>
      <c r="AP126"/>
      <c r="AQ126"/>
      <c r="AR126"/>
      <c r="AS126"/>
      <c r="AT126"/>
      <c r="AU126"/>
      <c r="AV126"/>
      <c r="AW126"/>
      <c r="AX126"/>
      <c r="AY126"/>
      <c r="AZ126"/>
      <c r="BA126"/>
      <c r="BB126"/>
      <c r="BC126"/>
      <c r="BD126"/>
      <c r="BE126"/>
      <c r="BF126"/>
      <c r="BG126"/>
      <c r="BH126"/>
      <c r="BI126"/>
      <c r="BJ126"/>
      <c r="BK126"/>
      <c r="BL126"/>
      <c r="BM126"/>
      <c r="BN126"/>
      <c r="BO126"/>
      <c r="BP126"/>
      <c r="BQ126"/>
      <c r="BR126"/>
      <c r="BS126"/>
      <c r="BT126"/>
      <c r="BU126"/>
      <c r="BV126"/>
      <c r="BW126"/>
      <c r="BX126"/>
      <c r="BY126"/>
      <c r="BZ126"/>
      <c r="CA126"/>
      <c r="CB126"/>
      <c r="CC126"/>
      <c r="CD126"/>
      <c r="CE126"/>
      <c r="CF126"/>
      <c r="CG126"/>
      <c r="CH126"/>
      <c r="CI126"/>
      <c r="CJ126"/>
      <c r="CK126"/>
      <c r="CL126"/>
      <c r="CM126"/>
    </row>
    <row r="127" spans="1:91" s="20" customFormat="1" x14ac:dyDescent="0.25">
      <c r="A127" s="33" t="s">
        <v>697</v>
      </c>
      <c r="B127" s="7">
        <v>4037</v>
      </c>
      <c r="C127" s="21" t="s">
        <v>193</v>
      </c>
      <c r="D127" s="21" t="s">
        <v>828</v>
      </c>
      <c r="E127" s="13">
        <v>42771.774259259262</v>
      </c>
      <c r="F127" s="13">
        <v>42771.778692129628</v>
      </c>
      <c r="G127" s="7">
        <v>1</v>
      </c>
      <c r="H127" s="21" t="s">
        <v>225</v>
      </c>
      <c r="I127" s="13">
        <v>42771.804675925923</v>
      </c>
      <c r="J127" s="7">
        <v>0</v>
      </c>
      <c r="K127" s="98" t="str">
        <f>IF(ISEVEN(B127),(B127-1)&amp;"/"&amp;B127,B127&amp;"/"&amp;(B127+1))</f>
        <v>4037/4038</v>
      </c>
      <c r="L127" s="21" t="str">
        <f>VLOOKUP(A127,'Trips&amp;Operators'!$C$1:$G$99999,5,FALSE)</f>
        <v>NEWELL JAMES</v>
      </c>
      <c r="M127" s="6">
        <f>I127-F127</f>
        <v>2.5983796294895001E-2</v>
      </c>
      <c r="N127" s="7">
        <f>24*60*SUM($M127:$M127)</f>
        <v>37.416666664648801</v>
      </c>
      <c r="O127" s="7"/>
      <c r="P127" s="7"/>
      <c r="Q127" s="22"/>
      <c r="R127" s="22"/>
      <c r="S127" s="31">
        <f>SUM(U127:U127)/IF(AG127="EC",12,1)</f>
        <v>1</v>
      </c>
      <c r="T127" s="46" t="str">
        <f>IF(ISEVEN(LEFT(AD127,4)),"Southbound","NorthBound")</f>
        <v>Southbound</v>
      </c>
      <c r="U127" s="190">
        <f>IF(AG127="EC",COUNTIFS(Variables!$M$2:$M$19,IF(T127="NorthBound","&gt;=","&lt;=")&amp;Y127,Variables!$M$2:$M$19,IF(T127="NorthBound","&lt;=","&gt;=")&amp;Z127),COUNTIFS(Variables!$P$2:$P$19,IF(T127="NorthBound","&gt;=","&lt;=")&amp;Y127,Variables!$P$2:$P$19,IF(T127="NorthBound","&lt;=","&gt;=")&amp;Z127))</f>
        <v>12</v>
      </c>
      <c r="V127" s="191" t="str">
        <f>"https://d0f6bd738d7f1b3e5a7ca70fe4ff75f0.us-east-1.aws.found.io/app/kibana#/discover/Steve-Slow-Train-Analysis-(2080s-and-2083s)?_g="&amp;"(refreshInterval:(display:Off,pause:!f,section:0,value:0),time:(from:'"&amp;TEXT(E127-1/24,"yyyy-MM-DDThh:mm:ss")&amp;utc_offset&amp;"00"&amp;"',mode:absolute,to:'"&amp;TEXT(I127+1/24,"yyyy-MM-DDThh:mm:ss")&amp;utc_offset&amp;"00"&amp;"'))&amp;_a=(columns:!('Locomotive+ID','Data.Head+End+Milepost',Data.Speed,'Data.Locomotive+State','Data.Train+ID',"&amp;"'Data.Warning%2FEnforcement+Type','Data.Target+Start+Milepost','Data.Target+Description','Data.Target+Speed',"&amp;"'Data.Enforcement+Train+Speed','Data.Enforcement+Start+Milepost','Data.Target+Type','Data.Enforcement+Direction+of+Travel','Message+ID',"&amp;"'Data.Body+of+Summary+Text','Data.Head+End+Track+name'),filters:!(),index:'emp_*',interval:auto,query:"&amp;"(query_string:(analyze_wildcard:!t,query:'Message%5C+ID:(2083+OR+2080+OR+1041+OR+2003+OR+1051+OR+1043+OR+1053)+AND+%22rtdc.l.rtdc."&amp;B127&amp;"%22')),sort:!(Time.ISO8601,asc))"</f>
        <v>https://d0f6bd738d7f1b3e5a7ca70fe4ff75f0.us-east-1.aws.found.io/app/kibana#/discover/Steve-Slow-Train-Analysis-(2080s-and-2083s)?_g=(refreshInterval:(display:Off,pause:!f,section:0,value:0),time:(from:'2017-02-05T17:34:56-0700',mode:absolute,to:'2017-02-05T20:18:44-0700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4037%22')),sort:!(Time.ISO8601,asc))</v>
      </c>
      <c r="W127" s="192" t="str">
        <f>IF(AA127&lt;IF(AG127="EC",23,5.65),"Y","N")</f>
        <v>N</v>
      </c>
      <c r="X127" s="192">
        <f>VALUE(LEFT(AD127,4))-VALUE(LEFT(AD126,4))</f>
        <v>1</v>
      </c>
      <c r="Y127" s="62">
        <f>RIGHT(D127,LEN(D127)-4)/10000</f>
        <v>23.298400000000001</v>
      </c>
      <c r="Z127" s="62">
        <f>RIGHT(H127,LEN(H127)-4)/10000</f>
        <v>1.54E-2</v>
      </c>
      <c r="AA127" s="62">
        <f>ABS(Z127-Y127)</f>
        <v>23.283000000000001</v>
      </c>
      <c r="AB127" s="59" t="e">
        <f>VLOOKUP(A127,Enforcements!$C$7:$K$16,8,0)</f>
        <v>#N/A</v>
      </c>
      <c r="AC127" s="55" t="e">
        <f>VLOOKUP(A127,Enforcements!$C$7:$E$16,3,0)</f>
        <v>#N/A</v>
      </c>
      <c r="AD127" s="56" t="str">
        <f>IF(LEN(A127)=6,"0"&amp;A127,A127)</f>
        <v>0214-05</v>
      </c>
      <c r="AE127" s="85" t="str">
        <f>"aws s3 cp "&amp;s3_bucket&amp;"/RTDC"&amp;B127&amp;"/ "&amp;search_path&amp;"\RTDC"&amp;B127&amp;"\"&amp;TEXT(F127,"YYYY-MM-DD")&amp;" --exclude ""*"" --recursive --include ""*"&amp;TEXT(F127,"YYYYMMDD")&amp;"*"" &amp; """&amp;walkandungz&amp;""" "&amp;search_path&amp;"\RTDC"&amp;B127&amp;"\"&amp;TEXT(F127,"YYYY-MM-DD")
&amp;" &amp; "&amp;"aws s3 cp "&amp;s3_bucket&amp;"/RTDC"&amp;B127&amp;"/ "&amp;search_path&amp;"\RTDC"&amp;B127&amp;"\"&amp;TEXT(F127+1,"YYYY-MM-DD")&amp;" --exclude ""*"" --recursive --include ""*"&amp;TEXT(F127+1,"YYYYMMDD")&amp;"*"" &amp; """&amp;walkandungz&amp;""" "&amp;search_path&amp;"\RTDC"&amp;B127&amp;"\"&amp;TEXT(F127+1,"YYYY-MM-DD")</f>
        <v>aws s3 cp s3://rtdc.mdm.uploadarchive.raw/RTDC4037/ "%USERPROFILE%\AppData\Local\Temp\OnboardLogs"\RTDC4037\2017-02-05 --exclude "*" --recursive --include "*20170205*" &amp; "%USERPROFILE%\Documents\GitHub\mrs-test-scripts\Headless Mode &amp; Sideloading\WalkAndUnGZ.bat" "%USERPROFILE%\AppData\Local\Temp\OnboardLogs"\RTDC4037\2017-02-05 &amp; aws s3 cp s3://rtdc.mdm.uploadarchive.raw/RTDC4037/ "%USERPROFILE%\AppData\Local\Temp\OnboardLogs"\RTDC4037\2017-02-06 --exclude "*" --recursive --include "*20170206*" &amp; "%USERPROFILE%\Documents\GitHub\mrs-test-scripts\Headless Mode &amp; Sideloading\WalkAndUnGZ.bat" "%USERPROFILE%\AppData\Local\Temp\OnboardLogs"\RTDC4037\2017-02-06</v>
      </c>
      <c r="AF127" s="82" t="str">
        <f>astrogrep_path&amp;" /spath="&amp;search_path&amp;" /stypes=""app*"&amp;B127&amp;"*"&amp;TEXT(I127-utc_offset/24,"YYYYMMDD")&amp;"*"" /stext="" "&amp;TEXT(I127-utc_offset/24,"HH")&amp;search_regexp&amp;""" /e /r /s"</f>
        <v>"C:\Program Files (x86)\AstroGrep\AstroGrep.exe" /spath="%USERPROFILE%\AppData\Local\Temp\OnboardLogs" /stypes="app*4037*20170206*" /stext=" 02:.+((SYSTEM_STATE.+slice.+state.+changed )|(ment ac)|(multiple cpu faults)|(system.+state.+changed )|(\[timeout)|(PRM\|1\|D)|(kpr)|(kdp)|(\|lc)|(penalty))" /e /r /s</v>
      </c>
      <c r="AG127" s="1" t="str">
        <f>IFERROR(IF(VALUE(LEFT(AD127,2))&lt;=2,"EC",IF(OR(VALUE(LEFT(AD127,2))=8,VALUE(LEFT(AD127,2))=18),"NW","Other")),"Other")</f>
        <v>EC</v>
      </c>
      <c r="AH127" s="86" t="str">
        <f t="shared" si="7"/>
        <v>"%USERPROFILE%\Documents\GitHub\eaglep3\Utilities\RefineRTDCRunTimes.py" --tripid 214-05 --locoid 4037 --swversion DE.1.0.8.0 --startMP 204:232984 --initTime 2017-02-05T18:34:56 --startdatetime 2017-02-05T18:41:19 --delay 1 --endMP 204:154 --enddatetime 2017-02-05T19:18:44 --enforcementcount 0 &gt;&gt;C:\Users\stu\Documents\GitHub\eaglep3-reporting\EC\2017-02-05-refined-times.txt</v>
      </c>
      <c r="AI127" s="108" t="str">
        <f t="shared" si="8"/>
        <v>echo {"issue":{"subject":"","project_id":79,"tracker_id":40,"status_id":1,"priority_id":2,"assigned_to_id":23,"start_date":"2017-02-05","description":"","custom_fields":[{"id":1,"name":"Subdivision","value":"EC"},{"id":4,"name":"Milepost","value":"0.0154"},{"id":17,"name":"Train ID","value":"214-05"},{"id":16,"name":"Locomotive ID","value":"4037"},{"id":130,"name":"Impact","value":""},{"id":150,"name":"Time of Event (Mountain Time)","value":"19:18:44"},{"id":151,"name":"Denver Issue ID","value":""},{"id":178,"name":"Operational Impact","value":"Yes"},{"id":179,"name":"Denver Segment Assigned","value":""}]}} | curl -X POST -H "Content-Type: application/json" -H "X-Redmine-API-Key: d6333d4a04012a730768444271f8ca06482dae87" https://secure.xorail.net/redmine/issues.json --data @-</v>
      </c>
      <c r="AJ127" s="48"/>
      <c r="AK127" s="48"/>
      <c r="AL127" s="48"/>
      <c r="AM127" s="158" t="str">
        <f t="shared" si="9"/>
        <v>start /low /b %USERPROFILE%\Documents\GitHub\eaglep3\Utilities\DownloadLogsFromS3.py --loco 4037 --day 2017-02-05</v>
      </c>
      <c r="AN127" s="167" t="str">
        <f>"grep -SE -B400 ""CHR.+\|PRM\|1\|D.+(SWITCH|SIGNAL).+UNKNOWN"" "&amp;search_path&amp;"\RTDC"&amp;B127&amp;"\*"&amp;B127&amp;"*"&amp;TEXT(AVERAGE(F127,I127)-utc_offset/24,"YYYYMMDD")&amp;"* | grep -SE ""(Enforcement Action)|(\[TIMEOUT)|(CHR.+\|PRM\|1\|D.+(SWITCH|SIGNAL).+UNKNOWN)"" - &gt;&gt; "&amp;TEXT(Variables!$A$2,"YYYY-MM-DD")&amp;"-UncaughtWiMAX.txt"</f>
        <v>grep -SE -B400 "CHR.+\|PRM\|1\|D.+(SWITCH|SIGNAL).+UNKNOWN" "%USERPROFILE%\AppData\Local\Temp\OnboardLogs"\RTDC4037\*4037*20170206* | grep -SE "(Enforcement Action)|(\[TIMEOUT)|(CHR.+\|PRM\|1\|D.+(SWITCH|SIGNAL).+UNKNOWN)" - &gt;&gt; 2017-02-05-UncaughtWiMAX.txt</v>
      </c>
      <c r="AO127"/>
      <c r="AP127"/>
      <c r="AQ127"/>
      <c r="AR127"/>
      <c r="AS127"/>
      <c r="AT127"/>
      <c r="AU127"/>
      <c r="AV127"/>
      <c r="AW127"/>
      <c r="AX127"/>
      <c r="AY127"/>
      <c r="AZ127"/>
      <c r="BA127"/>
      <c r="BB127"/>
      <c r="BC127"/>
      <c r="BD127"/>
      <c r="BE127"/>
      <c r="BF127"/>
      <c r="BG127"/>
      <c r="BH127"/>
      <c r="BI127"/>
      <c r="BJ127"/>
      <c r="BK127"/>
      <c r="BL127"/>
      <c r="BM127"/>
      <c r="BN127"/>
      <c r="BO127"/>
      <c r="BP127"/>
      <c r="BQ127"/>
      <c r="BR127"/>
      <c r="BS127"/>
      <c r="BT127"/>
      <c r="BU127"/>
      <c r="BV127"/>
      <c r="BW127"/>
      <c r="BX127"/>
      <c r="BY127"/>
      <c r="BZ127"/>
      <c r="CA127"/>
      <c r="CB127"/>
      <c r="CC127"/>
      <c r="CD127"/>
      <c r="CE127"/>
      <c r="CF127"/>
      <c r="CG127"/>
      <c r="CH127"/>
      <c r="CI127"/>
      <c r="CJ127"/>
      <c r="CK127"/>
      <c r="CL127"/>
      <c r="CM127"/>
    </row>
    <row r="128" spans="1:91" s="20" customFormat="1" x14ac:dyDescent="0.25">
      <c r="A128" s="33" t="s">
        <v>690</v>
      </c>
      <c r="B128" s="7">
        <v>4025</v>
      </c>
      <c r="C128" s="21" t="s">
        <v>193</v>
      </c>
      <c r="D128" s="21" t="s">
        <v>241</v>
      </c>
      <c r="E128" s="13">
        <v>42771.743564814817</v>
      </c>
      <c r="F128" s="13">
        <v>42771.750474537039</v>
      </c>
      <c r="G128" s="7">
        <v>1</v>
      </c>
      <c r="H128" s="21" t="s">
        <v>408</v>
      </c>
      <c r="I128" s="13">
        <v>42771.777129629627</v>
      </c>
      <c r="J128" s="7">
        <v>0</v>
      </c>
      <c r="K128" s="98" t="str">
        <f>IF(ISEVEN(B128),(B128-1)&amp;"/"&amp;B128,B128&amp;"/"&amp;(B128+1))</f>
        <v>4025/4026</v>
      </c>
      <c r="L128" s="21" t="str">
        <f>VLOOKUP(A128,'Trips&amp;Operators'!$C$1:$G$99999,5,FALSE)</f>
        <v>KILLION DAVID</v>
      </c>
      <c r="M128" s="6">
        <f>I128-F128</f>
        <v>2.6655092588043772E-2</v>
      </c>
      <c r="N128" s="7">
        <f>24*60*SUM($M128:$M128)</f>
        <v>38.383333326783031</v>
      </c>
      <c r="O128" s="7"/>
      <c r="P128" s="7"/>
      <c r="Q128" s="22"/>
      <c r="R128" s="22"/>
      <c r="S128" s="31">
        <f>SUM(U128:U128)/IF(AG128="EC",12,1)</f>
        <v>1</v>
      </c>
      <c r="T128" s="46" t="str">
        <f>IF(ISEVEN(LEFT(AD128,4)),"Southbound","NorthBound")</f>
        <v>NorthBound</v>
      </c>
      <c r="U128" s="190">
        <f>IF(AG128="EC",COUNTIFS(Variables!$M$2:$M$19,IF(T128="NorthBound","&gt;=","&lt;=")&amp;Y128,Variables!$M$2:$M$19,IF(T128="NorthBound","&lt;=","&gt;=")&amp;Z128),COUNTIFS(Variables!$P$2:$P$19,IF(T128="NorthBound","&gt;=","&lt;=")&amp;Y128,Variables!$P$2:$P$19,IF(T128="NorthBound","&lt;=","&gt;=")&amp;Z128))</f>
        <v>12</v>
      </c>
      <c r="V128" s="191" t="str">
        <f>"https://d0f6bd738d7f1b3e5a7ca70fe4ff75f0.us-east-1.aws.found.io/app/kibana#/discover/Steve-Slow-Train-Analysis-(2080s-and-2083s)?_g="&amp;"(refreshInterval:(display:Off,pause:!f,section:0,value:0),time:(from:'"&amp;TEXT(E128-1/24,"yyyy-MM-DDThh:mm:ss")&amp;utc_offset&amp;"00"&amp;"',mode:absolute,to:'"&amp;TEXT(I128+1/24,"yyyy-MM-DDThh:mm:ss")&amp;utc_offset&amp;"00"&amp;"'))&amp;_a=(columns:!('Locomotive+ID','Data.Head+End+Milepost',Data.Speed,'Data.Locomotive+State','Data.Train+ID',"&amp;"'Data.Warning%2FEnforcement+Type','Data.Target+Start+Milepost','Data.Target+Description','Data.Target+Speed',"&amp;"'Data.Enforcement+Train+Speed','Data.Enforcement+Start+Milepost','Data.Target+Type','Data.Enforcement+Direction+of+Travel','Message+ID',"&amp;"'Data.Body+of+Summary+Text','Data.Head+End+Track+name'),filters:!(),index:'emp_*',interval:auto,query:"&amp;"(query_string:(analyze_wildcard:!t,query:'Message%5C+ID:(2083+OR+2080+OR+1041+OR+2003+OR+1051+OR+1043+OR+1053)+AND+%22rtdc.l.rtdc."&amp;B128&amp;"%22')),sort:!(Time.ISO8601,asc))"</f>
        <v>https://d0f6bd738d7f1b3e5a7ca70fe4ff75f0.us-east-1.aws.found.io/app/kibana#/discover/Steve-Slow-Train-Analysis-(2080s-and-2083s)?_g=(refreshInterval:(display:Off,pause:!f,section:0,value:0),time:(from:'2017-02-05T16:50:44-0700',mode:absolute,to:'2017-02-05T19:39:04-0700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4025%22')),sort:!(Time.ISO8601,asc))</v>
      </c>
      <c r="W128" s="192" t="str">
        <f>IF(AA128&lt;IF(AG128="EC",23,5.65),"Y","N")</f>
        <v>N</v>
      </c>
      <c r="X128" s="192">
        <f>VALUE(LEFT(AD128,4))-VALUE(LEFT(AD127,4))</f>
        <v>1</v>
      </c>
      <c r="Y128" s="62">
        <f>RIGHT(D128,LEN(D128)-4)/10000</f>
        <v>4.5699999999999998E-2</v>
      </c>
      <c r="Z128" s="62">
        <f>RIGHT(H128,LEN(H128)-4)/10000</f>
        <v>23.328499999999998</v>
      </c>
      <c r="AA128" s="62">
        <f>ABS(Z128-Y128)</f>
        <v>23.282799999999998</v>
      </c>
      <c r="AB128" s="59" t="e">
        <f>VLOOKUP(A128,Enforcements!$C$7:$K$16,8,0)</f>
        <v>#N/A</v>
      </c>
      <c r="AC128" s="55" t="e">
        <f>VLOOKUP(A128,Enforcements!$C$7:$E$16,3,0)</f>
        <v>#N/A</v>
      </c>
      <c r="AD128" s="56" t="str">
        <f>IF(LEN(A128)=6,"0"&amp;A128,A128)</f>
        <v>0215-05</v>
      </c>
      <c r="AE128" s="85" t="str">
        <f>"aws s3 cp "&amp;s3_bucket&amp;"/RTDC"&amp;B128&amp;"/ "&amp;search_path&amp;"\RTDC"&amp;B128&amp;"\"&amp;TEXT(F128,"YYYY-MM-DD")&amp;" --exclude ""*"" --recursive --include ""*"&amp;TEXT(F128,"YYYYMMDD")&amp;"*"" &amp; """&amp;walkandungz&amp;""" "&amp;search_path&amp;"\RTDC"&amp;B128&amp;"\"&amp;TEXT(F128,"YYYY-MM-DD")
&amp;" &amp; "&amp;"aws s3 cp "&amp;s3_bucket&amp;"/RTDC"&amp;B128&amp;"/ "&amp;search_path&amp;"\RTDC"&amp;B128&amp;"\"&amp;TEXT(F128+1,"YYYY-MM-DD")&amp;" --exclude ""*"" --recursive --include ""*"&amp;TEXT(F128+1,"YYYYMMDD")&amp;"*"" &amp; """&amp;walkandungz&amp;""" "&amp;search_path&amp;"\RTDC"&amp;B128&amp;"\"&amp;TEXT(F128+1,"YYYY-MM-DD")</f>
        <v>aws s3 cp s3://rtdc.mdm.uploadarchive.raw/RTDC4025/ "%USERPROFILE%\AppData\Local\Temp\OnboardLogs"\RTDC4025\2017-02-05 --exclude "*" --recursive --include "*20170205*" &amp; "%USERPROFILE%\Documents\GitHub\mrs-test-scripts\Headless Mode &amp; Sideloading\WalkAndUnGZ.bat" "%USERPROFILE%\AppData\Local\Temp\OnboardLogs"\RTDC4025\2017-02-05 &amp; aws s3 cp s3://rtdc.mdm.uploadarchive.raw/RTDC4025/ "%USERPROFILE%\AppData\Local\Temp\OnboardLogs"\RTDC4025\2017-02-06 --exclude "*" --recursive --include "*20170206*" &amp; "%USERPROFILE%\Documents\GitHub\mrs-test-scripts\Headless Mode &amp; Sideloading\WalkAndUnGZ.bat" "%USERPROFILE%\AppData\Local\Temp\OnboardLogs"\RTDC4025\2017-02-06</v>
      </c>
      <c r="AF128" s="82" t="str">
        <f>astrogrep_path&amp;" /spath="&amp;search_path&amp;" /stypes=""app*"&amp;B128&amp;"*"&amp;TEXT(I128-utc_offset/24,"YYYYMMDD")&amp;"*"" /stext="" "&amp;TEXT(I128-utc_offset/24,"HH")&amp;search_regexp&amp;""" /e /r /s"</f>
        <v>"C:\Program Files (x86)\AstroGrep\AstroGrep.exe" /spath="%USERPROFILE%\AppData\Local\Temp\OnboardLogs" /stypes="app*4025*20170206*" /stext=" 01:.+((SYSTEM_STATE.+slice.+state.+changed )|(ment ac)|(multiple cpu faults)|(system.+state.+changed )|(\[timeout)|(PRM\|1\|D)|(kpr)|(kdp)|(\|lc)|(penalty))" /e /r /s</v>
      </c>
      <c r="AG128" s="1" t="str">
        <f>IFERROR(IF(VALUE(LEFT(AD128,2))&lt;=2,"EC",IF(OR(VALUE(LEFT(AD128,2))=8,VALUE(LEFT(AD128,2))=18),"NW","Other")),"Other")</f>
        <v>EC</v>
      </c>
      <c r="AH128" s="86" t="str">
        <f t="shared" si="7"/>
        <v>"%USERPROFILE%\Documents\GitHub\eaglep3\Utilities\RefineRTDCRunTimes.py" --tripid 215-05 --locoid 4025 --swversion DE.1.0.8.0 --startMP 204:457 --initTime 2017-02-05T17:50:44 --startdatetime 2017-02-05T18:00:41 --delay 1 --endMP 204:233285 --enddatetime 2017-02-05T18:39:04 --enforcementcount 0 &gt;&gt;C:\Users\stu\Documents\GitHub\eaglep3-reporting\EC\2017-02-05-refined-times.txt</v>
      </c>
      <c r="AI128" s="108" t="str">
        <f t="shared" si="8"/>
        <v>echo {"issue":{"subject":"","project_id":79,"tracker_id":40,"status_id":1,"priority_id":2,"assigned_to_id":23,"start_date":"2017-02-05","description":"","custom_fields":[{"id":1,"name":"Subdivision","value":"EC"},{"id":4,"name":"Milepost","value":"23.3285"},{"id":17,"name":"Train ID","value":"215-05"},{"id":16,"name":"Locomotive ID","value":"4025"},{"id":130,"name":"Impact","value":""},{"id":150,"name":"Time of Event (Mountain Time)","value":"18:39:04"},{"id":151,"name":"Denver Issue ID","value":""},{"id":178,"name":"Operational Impact","value":"Yes"},{"id":179,"name":"Denver Segment Assigned","value":""}]}} | curl -X POST -H "Content-Type: application/json" -H "X-Redmine-API-Key: d6333d4a04012a730768444271f8ca06482dae87" https://secure.xorail.net/redmine/issues.json --data @-</v>
      </c>
      <c r="AJ128" s="48"/>
      <c r="AK128" s="48"/>
      <c r="AL128" s="48"/>
      <c r="AM128" s="158" t="str">
        <f t="shared" si="9"/>
        <v>start /low /b %USERPROFILE%\Documents\GitHub\eaglep3\Utilities\DownloadLogsFromS3.py --loco 4025 --day 2017-02-05</v>
      </c>
      <c r="AN128" s="167" t="str">
        <f>"grep -SE -B400 ""CHR.+\|PRM\|1\|D.+(SWITCH|SIGNAL).+UNKNOWN"" "&amp;search_path&amp;"\RTDC"&amp;B128&amp;"\*"&amp;B128&amp;"*"&amp;TEXT(AVERAGE(F128,I128)-utc_offset/24,"YYYYMMDD")&amp;"* | grep -SE ""(Enforcement Action)|(\[TIMEOUT)|(CHR.+\|PRM\|1\|D.+(SWITCH|SIGNAL).+UNKNOWN)"" - &gt;&gt; "&amp;TEXT(Variables!$A$2,"YYYY-MM-DD")&amp;"-UncaughtWiMAX.txt"</f>
        <v>grep -SE -B400 "CHR.+\|PRM\|1\|D.+(SWITCH|SIGNAL).+UNKNOWN" "%USERPROFILE%\AppData\Local\Temp\OnboardLogs"\RTDC4025\*4025*20170206* | grep -SE "(Enforcement Action)|(\[TIMEOUT)|(CHR.+\|PRM\|1\|D.+(SWITCH|SIGNAL).+UNKNOWN)" - &gt;&gt; 2017-02-05-UncaughtWiMAX.txt</v>
      </c>
      <c r="AO128"/>
      <c r="AP128"/>
      <c r="AQ128"/>
      <c r="AR128"/>
      <c r="AS128"/>
      <c r="AT128"/>
      <c r="AU128"/>
      <c r="AV128"/>
      <c r="AW128"/>
      <c r="AX128"/>
      <c r="AY128"/>
      <c r="AZ128"/>
      <c r="BA128"/>
      <c r="BB128"/>
      <c r="BC128"/>
      <c r="BD128"/>
      <c r="BE128"/>
      <c r="BF128"/>
      <c r="BG128"/>
      <c r="BH128"/>
      <c r="BI128"/>
      <c r="BJ128"/>
      <c r="BK128"/>
      <c r="BL128"/>
      <c r="BM128"/>
      <c r="BN128"/>
      <c r="BO128"/>
      <c r="BP128"/>
      <c r="BQ128"/>
      <c r="BR128"/>
      <c r="BS128"/>
      <c r="BT128"/>
      <c r="BU128"/>
      <c r="BV128"/>
      <c r="BW128"/>
      <c r="BX128"/>
      <c r="BY128"/>
      <c r="BZ128"/>
      <c r="CA128"/>
      <c r="CB128"/>
      <c r="CC128"/>
      <c r="CD128"/>
      <c r="CE128"/>
      <c r="CF128"/>
      <c r="CG128"/>
      <c r="CH128"/>
      <c r="CI128"/>
      <c r="CJ128"/>
      <c r="CK128"/>
      <c r="CL128"/>
      <c r="CM128"/>
    </row>
    <row r="129" spans="1:91" s="20" customFormat="1" x14ac:dyDescent="0.25">
      <c r="A129" s="33" t="s">
        <v>700</v>
      </c>
      <c r="B129" s="7">
        <v>4026</v>
      </c>
      <c r="C129" s="21" t="s">
        <v>193</v>
      </c>
      <c r="D129" s="21" t="s">
        <v>844</v>
      </c>
      <c r="E129" s="13">
        <v>42771.783576388887</v>
      </c>
      <c r="F129" s="13">
        <v>42771.789074074077</v>
      </c>
      <c r="G129" s="7">
        <v>1</v>
      </c>
      <c r="H129" s="21" t="s">
        <v>196</v>
      </c>
      <c r="I129" s="13">
        <v>42771.816284722219</v>
      </c>
      <c r="J129" s="7">
        <v>0</v>
      </c>
      <c r="K129" s="98" t="str">
        <f>IF(ISEVEN(B129),(B129-1)&amp;"/"&amp;B129,B129&amp;"/"&amp;(B129+1))</f>
        <v>4025/4026</v>
      </c>
      <c r="L129" s="21" t="str">
        <f>VLOOKUP(A129,'Trips&amp;Operators'!$C$1:$G$99999,5,FALSE)</f>
        <v>KILLION DAVID</v>
      </c>
      <c r="M129" s="6">
        <f>I129-F129</f>
        <v>2.7210648142499849E-2</v>
      </c>
      <c r="N129" s="7">
        <f>24*60*SUM($M129:$M129)</f>
        <v>39.183333325199783</v>
      </c>
      <c r="O129" s="7"/>
      <c r="P129" s="7"/>
      <c r="Q129" s="22"/>
      <c r="R129" s="22"/>
      <c r="S129" s="31">
        <f>SUM(U129:U129)/IF(AG129="EC",12,1)</f>
        <v>1</v>
      </c>
      <c r="T129" s="46" t="str">
        <f>IF(ISEVEN(LEFT(AD129,4)),"Southbound","NorthBound")</f>
        <v>Southbound</v>
      </c>
      <c r="U129" s="190">
        <f>IF(AG129="EC",COUNTIFS(Variables!$M$2:$M$19,IF(T129="NorthBound","&gt;=","&lt;=")&amp;Y129,Variables!$M$2:$M$19,IF(T129="NorthBound","&lt;=","&gt;=")&amp;Z129),COUNTIFS(Variables!$P$2:$P$19,IF(T129="NorthBound","&gt;=","&lt;=")&amp;Y129,Variables!$P$2:$P$19,IF(T129="NorthBound","&lt;=","&gt;=")&amp;Z129))</f>
        <v>12</v>
      </c>
      <c r="V129" s="191" t="str">
        <f>"https://d0f6bd738d7f1b3e5a7ca70fe4ff75f0.us-east-1.aws.found.io/app/kibana#/discover/Steve-Slow-Train-Analysis-(2080s-and-2083s)?_g="&amp;"(refreshInterval:(display:Off,pause:!f,section:0,value:0),time:(from:'"&amp;TEXT(E129-1/24,"yyyy-MM-DDThh:mm:ss")&amp;utc_offset&amp;"00"&amp;"',mode:absolute,to:'"&amp;TEXT(I129+1/24,"yyyy-MM-DDThh:mm:ss")&amp;utc_offset&amp;"00"&amp;"'))&amp;_a=(columns:!('Locomotive+ID','Data.Head+End+Milepost',Data.Speed,'Data.Locomotive+State','Data.Train+ID',"&amp;"'Data.Warning%2FEnforcement+Type','Data.Target+Start+Milepost','Data.Target+Description','Data.Target+Speed',"&amp;"'Data.Enforcement+Train+Speed','Data.Enforcement+Start+Milepost','Data.Target+Type','Data.Enforcement+Direction+of+Travel','Message+ID',"&amp;"'Data.Body+of+Summary+Text','Data.Head+End+Track+name'),filters:!(),index:'emp_*',interval:auto,query:"&amp;"(query_string:(analyze_wildcard:!t,query:'Message%5C+ID:(2083+OR+2080+OR+1041+OR+2003+OR+1051+OR+1043+OR+1053)+AND+%22rtdc.l.rtdc."&amp;B129&amp;"%22')),sort:!(Time.ISO8601,asc))"</f>
        <v>https://d0f6bd738d7f1b3e5a7ca70fe4ff75f0.us-east-1.aws.found.io/app/kibana#/discover/Steve-Slow-Train-Analysis-(2080s-and-2083s)?_g=(refreshInterval:(display:Off,pause:!f,section:0,value:0),time:(from:'2017-02-05T17:48:21-0700',mode:absolute,to:'2017-02-05T20:35:27-0700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4026%22')),sort:!(Time.ISO8601,asc))</v>
      </c>
      <c r="W129" s="192" t="str">
        <f>IF(AA129&lt;IF(AG129="EC",23,5.65),"Y","N")</f>
        <v>N</v>
      </c>
      <c r="X129" s="192">
        <f>VALUE(LEFT(AD129,4))-VALUE(LEFT(AD128,4))</f>
        <v>1</v>
      </c>
      <c r="Y129" s="62">
        <f>RIGHT(D129,LEN(D129)-4)/10000</f>
        <v>23.296199999999999</v>
      </c>
      <c r="Z129" s="62">
        <f>RIGHT(H129,LEN(H129)-4)/10000</f>
        <v>1.4999999999999999E-2</v>
      </c>
      <c r="AA129" s="62">
        <f>ABS(Z129-Y129)</f>
        <v>23.281199999999998</v>
      </c>
      <c r="AB129" s="59" t="e">
        <f>VLOOKUP(A129,Enforcements!$C$7:$K$16,8,0)</f>
        <v>#N/A</v>
      </c>
      <c r="AC129" s="55" t="e">
        <f>VLOOKUP(A129,Enforcements!$C$7:$E$16,3,0)</f>
        <v>#N/A</v>
      </c>
      <c r="AD129" s="56" t="str">
        <f>IF(LEN(A129)=6,"0"&amp;A129,A129)</f>
        <v>0216-05</v>
      </c>
      <c r="AE129" s="85" t="str">
        <f>"aws s3 cp "&amp;s3_bucket&amp;"/RTDC"&amp;B129&amp;"/ "&amp;search_path&amp;"\RTDC"&amp;B129&amp;"\"&amp;TEXT(F129,"YYYY-MM-DD")&amp;" --exclude ""*"" --recursive --include ""*"&amp;TEXT(F129,"YYYYMMDD")&amp;"*"" &amp; """&amp;walkandungz&amp;""" "&amp;search_path&amp;"\RTDC"&amp;B129&amp;"\"&amp;TEXT(F129,"YYYY-MM-DD")
&amp;" &amp; "&amp;"aws s3 cp "&amp;s3_bucket&amp;"/RTDC"&amp;B129&amp;"/ "&amp;search_path&amp;"\RTDC"&amp;B129&amp;"\"&amp;TEXT(F129+1,"YYYY-MM-DD")&amp;" --exclude ""*"" --recursive --include ""*"&amp;TEXT(F129+1,"YYYYMMDD")&amp;"*"" &amp; """&amp;walkandungz&amp;""" "&amp;search_path&amp;"\RTDC"&amp;B129&amp;"\"&amp;TEXT(F129+1,"YYYY-MM-DD")</f>
        <v>aws s3 cp s3://rtdc.mdm.uploadarchive.raw/RTDC4026/ "%USERPROFILE%\AppData\Local\Temp\OnboardLogs"\RTDC4026\2017-02-05 --exclude "*" --recursive --include "*20170205*" &amp; "%USERPROFILE%\Documents\GitHub\mrs-test-scripts\Headless Mode &amp; Sideloading\WalkAndUnGZ.bat" "%USERPROFILE%\AppData\Local\Temp\OnboardLogs"\RTDC4026\2017-02-05 &amp; aws s3 cp s3://rtdc.mdm.uploadarchive.raw/RTDC4026/ "%USERPROFILE%\AppData\Local\Temp\OnboardLogs"\RTDC4026\2017-02-06 --exclude "*" --recursive --include "*20170206*" &amp; "%USERPROFILE%\Documents\GitHub\mrs-test-scripts\Headless Mode &amp; Sideloading\WalkAndUnGZ.bat" "%USERPROFILE%\AppData\Local\Temp\OnboardLogs"\RTDC4026\2017-02-06</v>
      </c>
      <c r="AF129" s="82" t="str">
        <f>astrogrep_path&amp;" /spath="&amp;search_path&amp;" /stypes=""app*"&amp;B129&amp;"*"&amp;TEXT(I129-utc_offset/24,"YYYYMMDD")&amp;"*"" /stext="" "&amp;TEXT(I129-utc_offset/24,"HH")&amp;search_regexp&amp;""" /e /r /s"</f>
        <v>"C:\Program Files (x86)\AstroGrep\AstroGrep.exe" /spath="%USERPROFILE%\AppData\Local\Temp\OnboardLogs" /stypes="app*4026*20170206*" /stext=" 02:.+((SYSTEM_STATE.+slice.+state.+changed )|(ment ac)|(multiple cpu faults)|(system.+state.+changed )|(\[timeout)|(PRM\|1\|D)|(kpr)|(kdp)|(\|lc)|(penalty))" /e /r /s</v>
      </c>
      <c r="AG129" s="1" t="str">
        <f>IFERROR(IF(VALUE(LEFT(AD129,2))&lt;=2,"EC",IF(OR(VALUE(LEFT(AD129,2))=8,VALUE(LEFT(AD129,2))=18),"NW","Other")),"Other")</f>
        <v>EC</v>
      </c>
      <c r="AH129" s="86" t="str">
        <f t="shared" si="7"/>
        <v>"%USERPROFILE%\Documents\GitHub\eaglep3\Utilities\RefineRTDCRunTimes.py" --tripid 216-05 --locoid 4026 --swversion DE.1.0.8.0 --startMP 204:232962 --initTime 2017-02-05T18:48:21 --startdatetime 2017-02-05T18:56:16 --delay 1 --endMP 204:150 --enddatetime 2017-02-05T19:35:27 --enforcementcount 0 &gt;&gt;C:\Users\stu\Documents\GitHub\eaglep3-reporting\EC\2017-02-05-refined-times.txt</v>
      </c>
      <c r="AI129" s="108" t="str">
        <f t="shared" si="8"/>
        <v>echo {"issue":{"subject":"","project_id":79,"tracker_id":40,"status_id":1,"priority_id":2,"assigned_to_id":23,"start_date":"2017-02-05","description":"","custom_fields":[{"id":1,"name":"Subdivision","value":"EC"},{"id":4,"name":"Milepost","value":"0.015"},{"id":17,"name":"Train ID","value":"216-05"},{"id":16,"name":"Locomotive ID","value":"4026"},{"id":130,"name":"Impact","value":""},{"id":150,"name":"Time of Event (Mountain Time)","value":"19:35:27"},{"id":151,"name":"Denver Issue ID","value":""},{"id":178,"name":"Operational Impact","value":"Yes"},{"id":179,"name":"Denver Segment Assigned","value":""}]}} | curl -X POST -H "Content-Type: application/json" -H "X-Redmine-API-Key: d6333d4a04012a730768444271f8ca06482dae87" https://secure.xorail.net/redmine/issues.json --data @-</v>
      </c>
      <c r="AJ129" s="48"/>
      <c r="AK129" s="48"/>
      <c r="AL129" s="48"/>
      <c r="AM129" s="158" t="str">
        <f t="shared" si="9"/>
        <v>start /low /b %USERPROFILE%\Documents\GitHub\eaglep3\Utilities\DownloadLogsFromS3.py --loco 4026 --day 2017-02-05</v>
      </c>
      <c r="AN129" s="167" t="str">
        <f>"grep -SE -B400 ""CHR.+\|PRM\|1\|D.+(SWITCH|SIGNAL).+UNKNOWN"" "&amp;search_path&amp;"\RTDC"&amp;B129&amp;"\*"&amp;B129&amp;"*"&amp;TEXT(AVERAGE(F129,I129)-utc_offset/24,"YYYYMMDD")&amp;"* | grep -SE ""(Enforcement Action)|(\[TIMEOUT)|(CHR.+\|PRM\|1\|D.+(SWITCH|SIGNAL).+UNKNOWN)"" - &gt;&gt; "&amp;TEXT(Variables!$A$2,"YYYY-MM-DD")&amp;"-UncaughtWiMAX.txt"</f>
        <v>grep -SE -B400 "CHR.+\|PRM\|1\|D.+(SWITCH|SIGNAL).+UNKNOWN" "%USERPROFILE%\AppData\Local\Temp\OnboardLogs"\RTDC4026\*4026*20170206* | grep -SE "(Enforcement Action)|(\[TIMEOUT)|(CHR.+\|PRM\|1\|D.+(SWITCH|SIGNAL).+UNKNOWN)" - &gt;&gt; 2017-02-05-UncaughtWiMAX.txt</v>
      </c>
      <c r="AO129"/>
      <c r="AP129"/>
      <c r="AQ129"/>
      <c r="AR129"/>
      <c r="AS129"/>
      <c r="AT129"/>
      <c r="AU129"/>
      <c r="AV129"/>
      <c r="AW129"/>
      <c r="AX129"/>
      <c r="AY129"/>
      <c r="AZ129"/>
      <c r="BA129"/>
      <c r="BB129"/>
      <c r="BC129"/>
      <c r="BD129"/>
      <c r="BE129"/>
      <c r="BF129"/>
      <c r="BG129"/>
      <c r="BH129"/>
      <c r="BI129"/>
      <c r="BJ129"/>
      <c r="BK129"/>
      <c r="BL129"/>
      <c r="BM129"/>
      <c r="BN129"/>
      <c r="BO129"/>
      <c r="BP129"/>
      <c r="BQ129"/>
      <c r="BR129"/>
      <c r="BS129"/>
      <c r="BT129"/>
      <c r="BU129"/>
      <c r="BV129"/>
      <c r="BW129"/>
      <c r="BX129"/>
      <c r="BY129"/>
      <c r="BZ129"/>
      <c r="CA129"/>
      <c r="CB129"/>
      <c r="CC129"/>
      <c r="CD129"/>
      <c r="CE129"/>
      <c r="CF129"/>
      <c r="CG129"/>
      <c r="CH129"/>
      <c r="CI129"/>
      <c r="CJ129"/>
      <c r="CK129"/>
      <c r="CL129"/>
      <c r="CM129"/>
    </row>
    <row r="130" spans="1:91" s="20" customFormat="1" x14ac:dyDescent="0.25">
      <c r="A130" s="33" t="s">
        <v>693</v>
      </c>
      <c r="B130" s="7">
        <v>4016</v>
      </c>
      <c r="C130" s="21" t="s">
        <v>193</v>
      </c>
      <c r="D130" s="21" t="s">
        <v>291</v>
      </c>
      <c r="E130" s="13">
        <v>42771.758136574077</v>
      </c>
      <c r="F130" s="13">
        <v>42771.760648148149</v>
      </c>
      <c r="G130" s="7">
        <v>1</v>
      </c>
      <c r="H130" s="21" t="s">
        <v>305</v>
      </c>
      <c r="I130" s="13">
        <v>42771.786203703705</v>
      </c>
      <c r="J130" s="7">
        <v>0</v>
      </c>
      <c r="K130" s="98" t="str">
        <f>IF(ISEVEN(B130),(B130-1)&amp;"/"&amp;B130,B130&amp;"/"&amp;(B130+1))</f>
        <v>4015/4016</v>
      </c>
      <c r="L130" s="21" t="str">
        <f>VLOOKUP(A130,'Trips&amp;Operators'!$C$1:$G$99999,5,FALSE)</f>
        <v>SMITH MICHAEL</v>
      </c>
      <c r="M130" s="6">
        <f>I130-F130</f>
        <v>2.5555555555911269E-2</v>
      </c>
      <c r="N130" s="7">
        <f>24*60*SUM($M130:$M130)</f>
        <v>36.800000000512227</v>
      </c>
      <c r="O130" s="7"/>
      <c r="P130" s="7"/>
      <c r="Q130" s="22"/>
      <c r="R130" s="22"/>
      <c r="S130" s="31">
        <f>SUM(U130:U130)/IF(AG130="EC",12,1)</f>
        <v>1</v>
      </c>
      <c r="T130" s="46" t="str">
        <f>IF(ISEVEN(LEFT(AD130,4)),"Southbound","NorthBound")</f>
        <v>NorthBound</v>
      </c>
      <c r="U130" s="190">
        <f>IF(AG130="EC",COUNTIFS(Variables!$M$2:$M$19,IF(T130="NorthBound","&gt;=","&lt;=")&amp;Y130,Variables!$M$2:$M$19,IF(T130="NorthBound","&lt;=","&gt;=")&amp;Z130),COUNTIFS(Variables!$P$2:$P$19,IF(T130="NorthBound","&gt;=","&lt;=")&amp;Y130,Variables!$P$2:$P$19,IF(T130="NorthBound","&lt;=","&gt;=")&amp;Z130))</f>
        <v>12</v>
      </c>
      <c r="V130" s="191" t="str">
        <f>"https://d0f6bd738d7f1b3e5a7ca70fe4ff75f0.us-east-1.aws.found.io/app/kibana#/discover/Steve-Slow-Train-Analysis-(2080s-and-2083s)?_g="&amp;"(refreshInterval:(display:Off,pause:!f,section:0,value:0),time:(from:'"&amp;TEXT(E130-1/24,"yyyy-MM-DDThh:mm:ss")&amp;utc_offset&amp;"00"&amp;"',mode:absolute,to:'"&amp;TEXT(I130+1/24,"yyyy-MM-DDThh:mm:ss")&amp;utc_offset&amp;"00"&amp;"'))&amp;_a=(columns:!('Locomotive+ID','Data.Head+End+Milepost',Data.Speed,'Data.Locomotive+State','Data.Train+ID',"&amp;"'Data.Warning%2FEnforcement+Type','Data.Target+Start+Milepost','Data.Target+Description','Data.Target+Speed',"&amp;"'Data.Enforcement+Train+Speed','Data.Enforcement+Start+Milepost','Data.Target+Type','Data.Enforcement+Direction+of+Travel','Message+ID',"&amp;"'Data.Body+of+Summary+Text','Data.Head+End+Track+name'),filters:!(),index:'emp_*',interval:auto,query:"&amp;"(query_string:(analyze_wildcard:!t,query:'Message%5C+ID:(2083+OR+2080+OR+1041+OR+2003+OR+1051+OR+1043+OR+1053)+AND+%22rtdc.l.rtdc."&amp;B130&amp;"%22')),sort:!(Time.ISO8601,asc))"</f>
        <v>https://d0f6bd738d7f1b3e5a7ca70fe4ff75f0.us-east-1.aws.found.io/app/kibana#/discover/Steve-Slow-Train-Analysis-(2080s-and-2083s)?_g=(refreshInterval:(display:Off,pause:!f,section:0,value:0),time:(from:'2017-02-05T17:11:43-0700',mode:absolute,to:'2017-02-05T19:52:08-0700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4016%22')),sort:!(Time.ISO8601,asc))</v>
      </c>
      <c r="W130" s="192" t="str">
        <f>IF(AA130&lt;IF(AG130="EC",23,5.65),"Y","N")</f>
        <v>N</v>
      </c>
      <c r="X130" s="192">
        <f>VALUE(LEFT(AD130,4))-VALUE(LEFT(AD129,4))</f>
        <v>1</v>
      </c>
      <c r="Y130" s="62">
        <f>RIGHT(D130,LEN(D130)-4)/10000</f>
        <v>4.5499999999999999E-2</v>
      </c>
      <c r="Z130" s="62">
        <f>RIGHT(H130,LEN(H130)-4)/10000</f>
        <v>23.331099999999999</v>
      </c>
      <c r="AA130" s="62">
        <f>ABS(Z130-Y130)</f>
        <v>23.285599999999999</v>
      </c>
      <c r="AB130" s="59" t="e">
        <f>VLOOKUP(A130,Enforcements!$C$7:$K$16,8,0)</f>
        <v>#N/A</v>
      </c>
      <c r="AC130" s="55" t="e">
        <f>VLOOKUP(A130,Enforcements!$C$7:$E$16,3,0)</f>
        <v>#N/A</v>
      </c>
      <c r="AD130" s="56" t="str">
        <f>IF(LEN(A130)=6,"0"&amp;A130,A130)</f>
        <v>0217-05</v>
      </c>
      <c r="AE130" s="85" t="str">
        <f>"aws s3 cp "&amp;s3_bucket&amp;"/RTDC"&amp;B130&amp;"/ "&amp;search_path&amp;"\RTDC"&amp;B130&amp;"\"&amp;TEXT(F130,"YYYY-MM-DD")&amp;" --exclude ""*"" --recursive --include ""*"&amp;TEXT(F130,"YYYYMMDD")&amp;"*"" &amp; """&amp;walkandungz&amp;""" "&amp;search_path&amp;"\RTDC"&amp;B130&amp;"\"&amp;TEXT(F130,"YYYY-MM-DD")
&amp;" &amp; "&amp;"aws s3 cp "&amp;s3_bucket&amp;"/RTDC"&amp;B130&amp;"/ "&amp;search_path&amp;"\RTDC"&amp;B130&amp;"\"&amp;TEXT(F130+1,"YYYY-MM-DD")&amp;" --exclude ""*"" --recursive --include ""*"&amp;TEXT(F130+1,"YYYYMMDD")&amp;"*"" &amp; """&amp;walkandungz&amp;""" "&amp;search_path&amp;"\RTDC"&amp;B130&amp;"\"&amp;TEXT(F130+1,"YYYY-MM-DD")</f>
        <v>aws s3 cp s3://rtdc.mdm.uploadarchive.raw/RTDC4016/ "%USERPROFILE%\AppData\Local\Temp\OnboardLogs"\RTDC4016\2017-02-05 --exclude "*" --recursive --include "*20170205*" &amp; "%USERPROFILE%\Documents\GitHub\mrs-test-scripts\Headless Mode &amp; Sideloading\WalkAndUnGZ.bat" "%USERPROFILE%\AppData\Local\Temp\OnboardLogs"\RTDC4016\2017-02-05 &amp; aws s3 cp s3://rtdc.mdm.uploadarchive.raw/RTDC4016/ "%USERPROFILE%\AppData\Local\Temp\OnboardLogs"\RTDC4016\2017-02-06 --exclude "*" --recursive --include "*20170206*" &amp; "%USERPROFILE%\Documents\GitHub\mrs-test-scripts\Headless Mode &amp; Sideloading\WalkAndUnGZ.bat" "%USERPROFILE%\AppData\Local\Temp\OnboardLogs"\RTDC4016\2017-02-06</v>
      </c>
      <c r="AF130" s="82" t="str">
        <f>astrogrep_path&amp;" /spath="&amp;search_path&amp;" /stypes=""app*"&amp;B130&amp;"*"&amp;TEXT(I130-utc_offset/24,"YYYYMMDD")&amp;"*"" /stext="" "&amp;TEXT(I130-utc_offset/24,"HH")&amp;search_regexp&amp;""" /e /r /s"</f>
        <v>"C:\Program Files (x86)\AstroGrep\AstroGrep.exe" /spath="%USERPROFILE%\AppData\Local\Temp\OnboardLogs" /stypes="app*4016*20170206*" /stext=" 01:.+((SYSTEM_STATE.+slice.+state.+changed )|(ment ac)|(multiple cpu faults)|(system.+state.+changed )|(\[timeout)|(PRM\|1\|D)|(kpr)|(kdp)|(\|lc)|(penalty))" /e /r /s</v>
      </c>
      <c r="AG130" s="1" t="str">
        <f>IFERROR(IF(VALUE(LEFT(AD130,2))&lt;=2,"EC",IF(OR(VALUE(LEFT(AD130,2))=8,VALUE(LEFT(AD130,2))=18),"NW","Other")),"Other")</f>
        <v>EC</v>
      </c>
      <c r="AH130" s="86" t="str">
        <f t="shared" si="7"/>
        <v>"%USERPROFILE%\Documents\GitHub\eaglep3\Utilities\RefineRTDCRunTimes.py" --tripid 217-05 --locoid 4016 --swversion DE.1.0.8.0 --startMP 204:455 --initTime 2017-02-05T18:11:43 --startdatetime 2017-02-05T18:15:20 --delay 1 --endMP 204:233311 --enddatetime 2017-02-05T18:52:08 --enforcementcount 0 &gt;&gt;C:\Users\stu\Documents\GitHub\eaglep3-reporting\EC\2017-02-05-refined-times.txt</v>
      </c>
      <c r="AI130" s="108" t="str">
        <f t="shared" si="8"/>
        <v>echo {"issue":{"subject":"","project_id":79,"tracker_id":40,"status_id":1,"priority_id":2,"assigned_to_id":23,"start_date":"2017-02-05","description":"","custom_fields":[{"id":1,"name":"Subdivision","value":"EC"},{"id":4,"name":"Milepost","value":"23.3311"},{"id":17,"name":"Train ID","value":"217-05"},{"id":16,"name":"Locomotive ID","value":"4016"},{"id":130,"name":"Impact","value":""},{"id":150,"name":"Time of Event (Mountain Time)","value":"18:52:08"},{"id":151,"name":"Denver Issue ID","value":""},{"id":178,"name":"Operational Impact","value":"Yes"},{"id":179,"name":"Denver Segment Assigned","value":""}]}} | curl -X POST -H "Content-Type: application/json" -H "X-Redmine-API-Key: d6333d4a04012a730768444271f8ca06482dae87" https://secure.xorail.net/redmine/issues.json --data @-</v>
      </c>
      <c r="AJ130" s="48"/>
      <c r="AK130" s="48"/>
      <c r="AL130" s="48"/>
      <c r="AM130" s="158" t="str">
        <f t="shared" si="9"/>
        <v>start /low /b %USERPROFILE%\Documents\GitHub\eaglep3\Utilities\DownloadLogsFromS3.py --loco 4016 --day 2017-02-05</v>
      </c>
      <c r="AN130" s="167" t="str">
        <f>"grep -SE -B400 ""CHR.+\|PRM\|1\|D.+(SWITCH|SIGNAL).+UNKNOWN"" "&amp;search_path&amp;"\RTDC"&amp;B130&amp;"\*"&amp;B130&amp;"*"&amp;TEXT(AVERAGE(F130,I130)-utc_offset/24,"YYYYMMDD")&amp;"* | grep -SE ""(Enforcement Action)|(\[TIMEOUT)|(CHR.+\|PRM\|1\|D.+(SWITCH|SIGNAL).+UNKNOWN)"" - &gt;&gt; "&amp;TEXT(Variables!$A$2,"YYYY-MM-DD")&amp;"-UncaughtWiMAX.txt"</f>
        <v>grep -SE -B400 "CHR.+\|PRM\|1\|D.+(SWITCH|SIGNAL).+UNKNOWN" "%USERPROFILE%\AppData\Local\Temp\OnboardLogs"\RTDC4016\*4016*20170206* | grep -SE "(Enforcement Action)|(\[TIMEOUT)|(CHR.+\|PRM\|1\|D.+(SWITCH|SIGNAL).+UNKNOWN)" - &gt;&gt; 2017-02-05-UncaughtWiMAX.txt</v>
      </c>
      <c r="AO130"/>
      <c r="AP130"/>
      <c r="AQ130"/>
      <c r="AR130"/>
      <c r="AS130"/>
      <c r="AT130"/>
      <c r="AU130"/>
      <c r="AV130"/>
      <c r="AW130"/>
      <c r="AX130"/>
      <c r="AY130"/>
      <c r="AZ130"/>
      <c r="BA130"/>
      <c r="BB130"/>
      <c r="BC130"/>
      <c r="BD130"/>
      <c r="BE130"/>
      <c r="BF130"/>
      <c r="BG130"/>
      <c r="BH130"/>
      <c r="BI130"/>
      <c r="BJ130"/>
      <c r="BK130"/>
      <c r="BL130"/>
      <c r="BM130"/>
      <c r="BN130"/>
      <c r="BO130"/>
      <c r="BP130"/>
      <c r="BQ130"/>
      <c r="BR130"/>
      <c r="BS130"/>
      <c r="BT130"/>
      <c r="BU130"/>
      <c r="BV130"/>
      <c r="BW130"/>
      <c r="BX130"/>
      <c r="BY130"/>
      <c r="BZ130"/>
      <c r="CA130"/>
      <c r="CB130"/>
      <c r="CC130"/>
      <c r="CD130"/>
      <c r="CE130"/>
      <c r="CF130"/>
      <c r="CG130"/>
      <c r="CH130"/>
      <c r="CI130"/>
      <c r="CJ130"/>
      <c r="CK130"/>
      <c r="CL130"/>
      <c r="CM130"/>
    </row>
    <row r="131" spans="1:91" s="20" customFormat="1" x14ac:dyDescent="0.25">
      <c r="A131" s="33" t="s">
        <v>701</v>
      </c>
      <c r="B131" s="7">
        <v>4015</v>
      </c>
      <c r="C131" s="21" t="s">
        <v>193</v>
      </c>
      <c r="D131" s="21" t="s">
        <v>366</v>
      </c>
      <c r="E131" s="13">
        <v>42771.793113425927</v>
      </c>
      <c r="F131" s="13">
        <v>42771.799537037034</v>
      </c>
      <c r="G131" s="7">
        <v>1</v>
      </c>
      <c r="H131" s="21" t="s">
        <v>289</v>
      </c>
      <c r="I131" s="13">
        <v>42771.826388888891</v>
      </c>
      <c r="J131" s="7">
        <v>0</v>
      </c>
      <c r="K131" s="98" t="str">
        <f>IF(ISEVEN(B131),(B131-1)&amp;"/"&amp;B131,B131&amp;"/"&amp;(B131+1))</f>
        <v>4015/4016</v>
      </c>
      <c r="L131" s="21" t="str">
        <f>VLOOKUP(A131,'Trips&amp;Operators'!$C$1:$G$99999,5,FALSE)</f>
        <v>SMITH MICHAEL</v>
      </c>
      <c r="M131" s="6">
        <f>I131-F131</f>
        <v>2.6851851856918074E-2</v>
      </c>
      <c r="N131" s="7">
        <f>24*60*SUM($M131:$M131)</f>
        <v>38.666666673962027</v>
      </c>
      <c r="O131" s="7"/>
      <c r="P131" s="7"/>
      <c r="Q131" s="22"/>
      <c r="R131" s="22"/>
      <c r="S131" s="31">
        <f>SUM(U131:U131)/IF(AG131="EC",12,1)</f>
        <v>1</v>
      </c>
      <c r="T131" s="46" t="str">
        <f>IF(ISEVEN(LEFT(AD131,4)),"Southbound","NorthBound")</f>
        <v>Southbound</v>
      </c>
      <c r="U131" s="190">
        <f>IF(AG131="EC",COUNTIFS(Variables!$M$2:$M$19,IF(T131="NorthBound","&gt;=","&lt;=")&amp;Y131,Variables!$M$2:$M$19,IF(T131="NorthBound","&lt;=","&gt;=")&amp;Z131),COUNTIFS(Variables!$P$2:$P$19,IF(T131="NorthBound","&gt;=","&lt;=")&amp;Y131,Variables!$P$2:$P$19,IF(T131="NorthBound","&lt;=","&gt;=")&amp;Z131))</f>
        <v>12</v>
      </c>
      <c r="V131" s="191" t="str">
        <f>"https://d0f6bd738d7f1b3e5a7ca70fe4ff75f0.us-east-1.aws.found.io/app/kibana#/discover/Steve-Slow-Train-Analysis-(2080s-and-2083s)?_g="&amp;"(refreshInterval:(display:Off,pause:!f,section:0,value:0),time:(from:'"&amp;TEXT(E131-1/24,"yyyy-MM-DDThh:mm:ss")&amp;utc_offset&amp;"00"&amp;"',mode:absolute,to:'"&amp;TEXT(I131+1/24,"yyyy-MM-DDThh:mm:ss")&amp;utc_offset&amp;"00"&amp;"'))&amp;_a=(columns:!('Locomotive+ID','Data.Head+End+Milepost',Data.Speed,'Data.Locomotive+State','Data.Train+ID',"&amp;"'Data.Warning%2FEnforcement+Type','Data.Target+Start+Milepost','Data.Target+Description','Data.Target+Speed',"&amp;"'Data.Enforcement+Train+Speed','Data.Enforcement+Start+Milepost','Data.Target+Type','Data.Enforcement+Direction+of+Travel','Message+ID',"&amp;"'Data.Body+of+Summary+Text','Data.Head+End+Track+name'),filters:!(),index:'emp_*',interval:auto,query:"&amp;"(query_string:(analyze_wildcard:!t,query:'Message%5C+ID:(2083+OR+2080+OR+1041+OR+2003+OR+1051+OR+1043+OR+1053)+AND+%22rtdc.l.rtdc."&amp;B131&amp;"%22')),sort:!(Time.ISO8601,asc))"</f>
        <v>https://d0f6bd738d7f1b3e5a7ca70fe4ff75f0.us-east-1.aws.found.io/app/kibana#/discover/Steve-Slow-Train-Analysis-(2080s-and-2083s)?_g=(refreshInterval:(display:Off,pause:!f,section:0,value:0),time:(from:'2017-02-05T18:02:05-0700',mode:absolute,to:'2017-02-05T20:50:00-0700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4015%22')),sort:!(Time.ISO8601,asc))</v>
      </c>
      <c r="W131" s="192" t="str">
        <f>IF(AA131&lt;IF(AG131="EC",23,5.65),"Y","N")</f>
        <v>N</v>
      </c>
      <c r="X131" s="192">
        <f>VALUE(LEFT(AD131,4))-VALUE(LEFT(AD130,4))</f>
        <v>1</v>
      </c>
      <c r="Y131" s="62">
        <f>RIGHT(D131,LEN(D131)-4)/10000</f>
        <v>23.299600000000002</v>
      </c>
      <c r="Z131" s="62">
        <f>RIGHT(H131,LEN(H131)-4)/10000</f>
        <v>1.5599999999999999E-2</v>
      </c>
      <c r="AA131" s="62">
        <f>ABS(Z131-Y131)</f>
        <v>23.284000000000002</v>
      </c>
      <c r="AB131" s="59" t="e">
        <f>VLOOKUP(A131,Enforcements!$C$7:$K$16,8,0)</f>
        <v>#N/A</v>
      </c>
      <c r="AC131" s="55" t="e">
        <f>VLOOKUP(A131,Enforcements!$C$7:$E$16,3,0)</f>
        <v>#N/A</v>
      </c>
      <c r="AD131" s="56" t="str">
        <f>IF(LEN(A131)=6,"0"&amp;A131,A131)</f>
        <v>0218-05</v>
      </c>
      <c r="AE131" s="85" t="str">
        <f>"aws s3 cp "&amp;s3_bucket&amp;"/RTDC"&amp;B131&amp;"/ "&amp;search_path&amp;"\RTDC"&amp;B131&amp;"\"&amp;TEXT(F131,"YYYY-MM-DD")&amp;" --exclude ""*"" --recursive --include ""*"&amp;TEXT(F131,"YYYYMMDD")&amp;"*"" &amp; """&amp;walkandungz&amp;""" "&amp;search_path&amp;"\RTDC"&amp;B131&amp;"\"&amp;TEXT(F131,"YYYY-MM-DD")
&amp;" &amp; "&amp;"aws s3 cp "&amp;s3_bucket&amp;"/RTDC"&amp;B131&amp;"/ "&amp;search_path&amp;"\RTDC"&amp;B131&amp;"\"&amp;TEXT(F131+1,"YYYY-MM-DD")&amp;" --exclude ""*"" --recursive --include ""*"&amp;TEXT(F131+1,"YYYYMMDD")&amp;"*"" &amp; """&amp;walkandungz&amp;""" "&amp;search_path&amp;"\RTDC"&amp;B131&amp;"\"&amp;TEXT(F131+1,"YYYY-MM-DD")</f>
        <v>aws s3 cp s3://rtdc.mdm.uploadarchive.raw/RTDC4015/ "%USERPROFILE%\AppData\Local\Temp\OnboardLogs"\RTDC4015\2017-02-05 --exclude "*" --recursive --include "*20170205*" &amp; "%USERPROFILE%\Documents\GitHub\mrs-test-scripts\Headless Mode &amp; Sideloading\WalkAndUnGZ.bat" "%USERPROFILE%\AppData\Local\Temp\OnboardLogs"\RTDC4015\2017-02-05 &amp; aws s3 cp s3://rtdc.mdm.uploadarchive.raw/RTDC4015/ "%USERPROFILE%\AppData\Local\Temp\OnboardLogs"\RTDC4015\2017-02-06 --exclude "*" --recursive --include "*20170206*" &amp; "%USERPROFILE%\Documents\GitHub\mrs-test-scripts\Headless Mode &amp; Sideloading\WalkAndUnGZ.bat" "%USERPROFILE%\AppData\Local\Temp\OnboardLogs"\RTDC4015\2017-02-06</v>
      </c>
      <c r="AF131" s="82" t="str">
        <f>astrogrep_path&amp;" /spath="&amp;search_path&amp;" /stypes=""app*"&amp;B131&amp;"*"&amp;TEXT(I131-utc_offset/24,"YYYYMMDD")&amp;"*"" /stext="" "&amp;TEXT(I131-utc_offset/24,"HH")&amp;search_regexp&amp;""" /e /r /s"</f>
        <v>"C:\Program Files (x86)\AstroGrep\AstroGrep.exe" /spath="%USERPROFILE%\AppData\Local\Temp\OnboardLogs" /stypes="app*4015*20170206*" /stext=" 02:.+((SYSTEM_STATE.+slice.+state.+changed )|(ment ac)|(multiple cpu faults)|(system.+state.+changed )|(\[timeout)|(PRM\|1\|D)|(kpr)|(kdp)|(\|lc)|(penalty))" /e /r /s</v>
      </c>
      <c r="AG131" s="1" t="str">
        <f>IFERROR(IF(VALUE(LEFT(AD131,2))&lt;=2,"EC",IF(OR(VALUE(LEFT(AD131,2))=8,VALUE(LEFT(AD131,2))=18),"NW","Other")),"Other")</f>
        <v>EC</v>
      </c>
      <c r="AH131" s="86" t="str">
        <f t="shared" si="7"/>
        <v>"%USERPROFILE%\Documents\GitHub\eaglep3\Utilities\RefineRTDCRunTimes.py" --tripid 218-05 --locoid 4015 --swversion DE.1.0.8.0 --startMP 204:232996 --initTime 2017-02-05T19:02:05 --startdatetime 2017-02-05T19:11:20 --delay 1 --endMP 204:156 --enddatetime 2017-02-05T19:50:00 --enforcementcount 0 &gt;&gt;C:\Users\stu\Documents\GitHub\eaglep3-reporting\EC\2017-02-05-refined-times.txt</v>
      </c>
      <c r="AI131" s="108" t="str">
        <f t="shared" si="8"/>
        <v>echo {"issue":{"subject":"","project_id":79,"tracker_id":40,"status_id":1,"priority_id":2,"assigned_to_id":23,"start_date":"2017-02-05","description":"","custom_fields":[{"id":1,"name":"Subdivision","value":"EC"},{"id":4,"name":"Milepost","value":"0.0156"},{"id":17,"name":"Train ID","value":"218-05"},{"id":16,"name":"Locomotive ID","value":"4015"},{"id":130,"name":"Impact","value":""},{"id":150,"name":"Time of Event (Mountain Time)","value":"19:50:00"},{"id":151,"name":"Denver Issue ID","value":""},{"id":178,"name":"Operational Impact","value":"Yes"},{"id":179,"name":"Denver Segment Assigned","value":""}]}} | curl -X POST -H "Content-Type: application/json" -H "X-Redmine-API-Key: d6333d4a04012a730768444271f8ca06482dae87" https://secure.xorail.net/redmine/issues.json --data @-</v>
      </c>
      <c r="AJ131" s="48"/>
      <c r="AK131" s="48"/>
      <c r="AL131" s="48"/>
      <c r="AM131" s="158" t="str">
        <f t="shared" si="9"/>
        <v>start /low /b %USERPROFILE%\Documents\GitHub\eaglep3\Utilities\DownloadLogsFromS3.py --loco 4015 --day 2017-02-05</v>
      </c>
      <c r="AN131" s="167" t="str">
        <f>"grep -SE -B400 ""CHR.+\|PRM\|1\|D.+(SWITCH|SIGNAL).+UNKNOWN"" "&amp;search_path&amp;"\RTDC"&amp;B131&amp;"\*"&amp;B131&amp;"*"&amp;TEXT(AVERAGE(F131,I131)-utc_offset/24,"YYYYMMDD")&amp;"* | grep -SE ""(Enforcement Action)|(\[TIMEOUT)|(CHR.+\|PRM\|1\|D.+(SWITCH|SIGNAL).+UNKNOWN)"" - &gt;&gt; "&amp;TEXT(Variables!$A$2,"YYYY-MM-DD")&amp;"-UncaughtWiMAX.txt"</f>
        <v>grep -SE -B400 "CHR.+\|PRM\|1\|D.+(SWITCH|SIGNAL).+UNKNOWN" "%USERPROFILE%\AppData\Local\Temp\OnboardLogs"\RTDC4015\*4015*20170206* | grep -SE "(Enforcement Action)|(\[TIMEOUT)|(CHR.+\|PRM\|1\|D.+(SWITCH|SIGNAL).+UNKNOWN)" - &gt;&gt; 2017-02-05-UncaughtWiMAX.txt</v>
      </c>
      <c r="AO131"/>
      <c r="AP131"/>
      <c r="AQ131"/>
      <c r="AR131"/>
      <c r="AS131"/>
      <c r="AT131"/>
      <c r="AU131"/>
      <c r="AV131"/>
      <c r="AW131"/>
      <c r="AX131"/>
      <c r="AY131"/>
      <c r="AZ131"/>
      <c r="BA131"/>
      <c r="BB131"/>
      <c r="BC131"/>
      <c r="BD131"/>
      <c r="BE131"/>
      <c r="BF131"/>
      <c r="BG131"/>
      <c r="BH131"/>
      <c r="BI131"/>
      <c r="BJ131"/>
      <c r="BK131"/>
      <c r="BL131"/>
      <c r="BM131"/>
      <c r="BN131"/>
      <c r="BO131"/>
      <c r="BP131"/>
      <c r="BQ131"/>
      <c r="BR131"/>
      <c r="BS131"/>
      <c r="BT131"/>
      <c r="BU131"/>
      <c r="BV131"/>
      <c r="BW131"/>
      <c r="BX131"/>
      <c r="BY131"/>
      <c r="BZ131"/>
      <c r="CA131"/>
      <c r="CB131"/>
      <c r="CC131"/>
      <c r="CD131"/>
      <c r="CE131"/>
      <c r="CF131"/>
      <c r="CG131"/>
      <c r="CH131"/>
      <c r="CI131"/>
      <c r="CJ131"/>
      <c r="CK131"/>
      <c r="CL131"/>
      <c r="CM131"/>
    </row>
    <row r="132" spans="1:91" s="20" customFormat="1" x14ac:dyDescent="0.25">
      <c r="A132" s="33" t="s">
        <v>696</v>
      </c>
      <c r="B132" s="7">
        <v>4022</v>
      </c>
      <c r="C132" s="21" t="s">
        <v>193</v>
      </c>
      <c r="D132" s="21" t="s">
        <v>290</v>
      </c>
      <c r="E132" s="13">
        <v>42771.767060185186</v>
      </c>
      <c r="F132" s="13">
        <v>42771.771168981482</v>
      </c>
      <c r="G132" s="7">
        <v>2</v>
      </c>
      <c r="H132" s="21" t="s">
        <v>398</v>
      </c>
      <c r="I132" s="13">
        <v>42771.797060185185</v>
      </c>
      <c r="J132" s="7">
        <v>0</v>
      </c>
      <c r="K132" s="98" t="str">
        <f>IF(ISEVEN(B132),(B132-1)&amp;"/"&amp;B132,B132&amp;"/"&amp;(B132+1))</f>
        <v>4021/4022</v>
      </c>
      <c r="L132" s="21" t="str">
        <f>VLOOKUP(A132,'Trips&amp;Operators'!$C$1:$G$99999,5,FALSE)</f>
        <v>YANG JAN</v>
      </c>
      <c r="M132" s="6">
        <f>I132-F132</f>
        <v>2.5891203702485655E-2</v>
      </c>
      <c r="N132" s="7">
        <f>24*60*SUM($M132:$M132)</f>
        <v>37.283333331579342</v>
      </c>
      <c r="O132" s="7"/>
      <c r="P132" s="7"/>
      <c r="Q132" s="22"/>
      <c r="R132" s="22"/>
      <c r="S132" s="31">
        <f>SUM(U132:U132)/IF(AG132="EC",12,1)</f>
        <v>1</v>
      </c>
      <c r="T132" s="46" t="str">
        <f>IF(ISEVEN(LEFT(AD132,4)),"Southbound","NorthBound")</f>
        <v>NorthBound</v>
      </c>
      <c r="U132" s="190">
        <f>IF(AG132="EC",COUNTIFS(Variables!$M$2:$M$19,IF(T132="NorthBound","&gt;=","&lt;=")&amp;Y132,Variables!$M$2:$M$19,IF(T132="NorthBound","&lt;=","&gt;=")&amp;Z132),COUNTIFS(Variables!$P$2:$P$19,IF(T132="NorthBound","&gt;=","&lt;=")&amp;Y132,Variables!$P$2:$P$19,IF(T132="NorthBound","&lt;=","&gt;=")&amp;Z132))</f>
        <v>12</v>
      </c>
      <c r="V132" s="191" t="str">
        <f>"https://d0f6bd738d7f1b3e5a7ca70fe4ff75f0.us-east-1.aws.found.io/app/kibana#/discover/Steve-Slow-Train-Analysis-(2080s-and-2083s)?_g="&amp;"(refreshInterval:(display:Off,pause:!f,section:0,value:0),time:(from:'"&amp;TEXT(E132-1/24,"yyyy-MM-DDThh:mm:ss")&amp;utc_offset&amp;"00"&amp;"',mode:absolute,to:'"&amp;TEXT(I132+1/24,"yyyy-MM-DDThh:mm:ss")&amp;utc_offset&amp;"00"&amp;"'))&amp;_a=(columns:!('Locomotive+ID','Data.Head+End+Milepost',Data.Speed,'Data.Locomotive+State','Data.Train+ID',"&amp;"'Data.Warning%2FEnforcement+Type','Data.Target+Start+Milepost','Data.Target+Description','Data.Target+Speed',"&amp;"'Data.Enforcement+Train+Speed','Data.Enforcement+Start+Milepost','Data.Target+Type','Data.Enforcement+Direction+of+Travel','Message+ID',"&amp;"'Data.Body+of+Summary+Text','Data.Head+End+Track+name'),filters:!(),index:'emp_*',interval:auto,query:"&amp;"(query_string:(analyze_wildcard:!t,query:'Message%5C+ID:(2083+OR+2080+OR+1041+OR+2003+OR+1051+OR+1043+OR+1053)+AND+%22rtdc.l.rtdc."&amp;B132&amp;"%22')),sort:!(Time.ISO8601,asc))"</f>
        <v>https://d0f6bd738d7f1b3e5a7ca70fe4ff75f0.us-east-1.aws.found.io/app/kibana#/discover/Steve-Slow-Train-Analysis-(2080s-and-2083s)?_g=(refreshInterval:(display:Off,pause:!f,section:0,value:0),time:(from:'2017-02-05T17:24:34-0700',mode:absolute,to:'2017-02-05T20:07:46-0700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4022%22')),sort:!(Time.ISO8601,asc))</v>
      </c>
      <c r="W132" s="192" t="str">
        <f>IF(AA132&lt;IF(AG132="EC",23,5.65),"Y","N")</f>
        <v>N</v>
      </c>
      <c r="X132" s="192">
        <f>VALUE(LEFT(AD132,4))-VALUE(LEFT(AD131,4))</f>
        <v>1</v>
      </c>
      <c r="Y132" s="62">
        <f>RIGHT(D132,LEN(D132)-4)/10000</f>
        <v>4.4600000000000001E-2</v>
      </c>
      <c r="Z132" s="62">
        <f>RIGHT(H132,LEN(H132)-4)/10000</f>
        <v>23.331</v>
      </c>
      <c r="AA132" s="62">
        <f>ABS(Z132-Y132)</f>
        <v>23.2864</v>
      </c>
      <c r="AB132" s="59" t="e">
        <f>VLOOKUP(A132,Enforcements!$C$7:$K$16,8,0)</f>
        <v>#N/A</v>
      </c>
      <c r="AC132" s="55" t="e">
        <f>VLOOKUP(A132,Enforcements!$C$7:$E$16,3,0)</f>
        <v>#N/A</v>
      </c>
      <c r="AD132" s="56" t="str">
        <f>IF(LEN(A132)=6,"0"&amp;A132,A132)</f>
        <v>0219-05</v>
      </c>
      <c r="AE132" s="85" t="str">
        <f>"aws s3 cp "&amp;s3_bucket&amp;"/RTDC"&amp;B132&amp;"/ "&amp;search_path&amp;"\RTDC"&amp;B132&amp;"\"&amp;TEXT(F132,"YYYY-MM-DD")&amp;" --exclude ""*"" --recursive --include ""*"&amp;TEXT(F132,"YYYYMMDD")&amp;"*"" &amp; """&amp;walkandungz&amp;""" "&amp;search_path&amp;"\RTDC"&amp;B132&amp;"\"&amp;TEXT(F132,"YYYY-MM-DD")
&amp;" &amp; "&amp;"aws s3 cp "&amp;s3_bucket&amp;"/RTDC"&amp;B132&amp;"/ "&amp;search_path&amp;"\RTDC"&amp;B132&amp;"\"&amp;TEXT(F132+1,"YYYY-MM-DD")&amp;" --exclude ""*"" --recursive --include ""*"&amp;TEXT(F132+1,"YYYYMMDD")&amp;"*"" &amp; """&amp;walkandungz&amp;""" "&amp;search_path&amp;"\RTDC"&amp;B132&amp;"\"&amp;TEXT(F132+1,"YYYY-MM-DD")</f>
        <v>aws s3 cp s3://rtdc.mdm.uploadarchive.raw/RTDC4022/ "%USERPROFILE%\AppData\Local\Temp\OnboardLogs"\RTDC4022\2017-02-05 --exclude "*" --recursive --include "*20170205*" &amp; "%USERPROFILE%\Documents\GitHub\mrs-test-scripts\Headless Mode &amp; Sideloading\WalkAndUnGZ.bat" "%USERPROFILE%\AppData\Local\Temp\OnboardLogs"\RTDC4022\2017-02-05 &amp; aws s3 cp s3://rtdc.mdm.uploadarchive.raw/RTDC4022/ "%USERPROFILE%\AppData\Local\Temp\OnboardLogs"\RTDC4022\2017-02-06 --exclude "*" --recursive --include "*20170206*" &amp; "%USERPROFILE%\Documents\GitHub\mrs-test-scripts\Headless Mode &amp; Sideloading\WalkAndUnGZ.bat" "%USERPROFILE%\AppData\Local\Temp\OnboardLogs"\RTDC4022\2017-02-06</v>
      </c>
      <c r="AF132" s="82" t="str">
        <f>astrogrep_path&amp;" /spath="&amp;search_path&amp;" /stypes=""app*"&amp;B132&amp;"*"&amp;TEXT(I132-utc_offset/24,"YYYYMMDD")&amp;"*"" /stext="" "&amp;TEXT(I132-utc_offset/24,"HH")&amp;search_regexp&amp;""" /e /r /s"</f>
        <v>"C:\Program Files (x86)\AstroGrep\AstroGrep.exe" /spath="%USERPROFILE%\AppData\Local\Temp\OnboardLogs" /stypes="app*4022*20170206*" /stext=" 02:.+((SYSTEM_STATE.+slice.+state.+changed )|(ment ac)|(multiple cpu faults)|(system.+state.+changed )|(\[timeout)|(PRM\|1\|D)|(kpr)|(kdp)|(\|lc)|(penalty))" /e /r /s</v>
      </c>
      <c r="AG132" s="1" t="str">
        <f>IFERROR(IF(VALUE(LEFT(AD132,2))&lt;=2,"EC",IF(OR(VALUE(LEFT(AD132,2))=8,VALUE(LEFT(AD132,2))=18),"NW","Other")),"Other")</f>
        <v>EC</v>
      </c>
      <c r="AH132" s="86" t="str">
        <f t="shared" si="7"/>
        <v>"%USERPROFILE%\Documents\GitHub\eaglep3\Utilities\RefineRTDCRunTimes.py" --tripid 219-05 --locoid 4022 --swversion DE.1.0.8.0 --startMP 204:446 --initTime 2017-02-05T18:24:34 --startdatetime 2017-02-05T18:30:29 --delay 2 --endMP 204:233310 --enddatetime 2017-02-05T19:07:46 --enforcementcount 0 &gt;&gt;C:\Users\stu\Documents\GitHub\eaglep3-reporting\EC\2017-02-05-refined-times.txt</v>
      </c>
      <c r="AI132" s="108" t="str">
        <f t="shared" si="8"/>
        <v>echo {"issue":{"subject":"","project_id":79,"tracker_id":40,"status_id":1,"priority_id":2,"assigned_to_id":23,"start_date":"2017-02-05","description":"","custom_fields":[{"id":1,"name":"Subdivision","value":"EC"},{"id":4,"name":"Milepost","value":"23.331"},{"id":17,"name":"Train ID","value":"219-05"},{"id":16,"name":"Locomotive ID","value":"4022"},{"id":130,"name":"Impact","value":""},{"id":150,"name":"Time of Event (Mountain Time)","value":"19:07:46"},{"id":151,"name":"Denver Issue ID","value":""},{"id":178,"name":"Operational Impact","value":"Yes"},{"id":179,"name":"Denver Segment Assigned","value":""}]}} | curl -X POST -H "Content-Type: application/json" -H "X-Redmine-API-Key: d6333d4a04012a730768444271f8ca06482dae87" https://secure.xorail.net/redmine/issues.json --data @-</v>
      </c>
      <c r="AJ132" s="48"/>
      <c r="AK132" s="48"/>
      <c r="AL132" s="48"/>
      <c r="AM132" s="158" t="str">
        <f t="shared" si="9"/>
        <v>start /low /b %USERPROFILE%\Documents\GitHub\eaglep3\Utilities\DownloadLogsFromS3.py --loco 4022 --day 2017-02-05</v>
      </c>
      <c r="AN132" s="167" t="str">
        <f>"grep -SE -B400 ""CHR.+\|PRM\|1\|D.+(SWITCH|SIGNAL).+UNKNOWN"" "&amp;search_path&amp;"\RTDC"&amp;B132&amp;"\*"&amp;B132&amp;"*"&amp;TEXT(AVERAGE(F132,I132)-utc_offset/24,"YYYYMMDD")&amp;"* | grep -SE ""(Enforcement Action)|(\[TIMEOUT)|(CHR.+\|PRM\|1\|D.+(SWITCH|SIGNAL).+UNKNOWN)"" - &gt;&gt; "&amp;TEXT(Variables!$A$2,"YYYY-MM-DD")&amp;"-UncaughtWiMAX.txt"</f>
        <v>grep -SE -B400 "CHR.+\|PRM\|1\|D.+(SWITCH|SIGNAL).+UNKNOWN" "%USERPROFILE%\AppData\Local\Temp\OnboardLogs"\RTDC4022\*4022*20170206* | grep -SE "(Enforcement Action)|(\[TIMEOUT)|(CHR.+\|PRM\|1\|D.+(SWITCH|SIGNAL).+UNKNOWN)" - &gt;&gt; 2017-02-05-UncaughtWiMAX.txt</v>
      </c>
      <c r="AO132"/>
      <c r="AP132"/>
      <c r="AQ132"/>
      <c r="AR132"/>
      <c r="AS132"/>
      <c r="AT132"/>
      <c r="AU132"/>
      <c r="AV132"/>
      <c r="AW132"/>
      <c r="AX132"/>
      <c r="AY132"/>
      <c r="AZ132"/>
      <c r="BA132"/>
      <c r="BB132"/>
      <c r="BC132"/>
      <c r="BD132"/>
      <c r="BE132"/>
      <c r="BF132"/>
      <c r="BG132"/>
      <c r="BH132"/>
      <c r="BI132"/>
      <c r="BJ132"/>
      <c r="BK132"/>
      <c r="BL132"/>
      <c r="BM132"/>
      <c r="BN132"/>
      <c r="BO132"/>
      <c r="BP132"/>
      <c r="BQ132"/>
      <c r="BR132"/>
      <c r="BS132"/>
      <c r="BT132"/>
      <c r="BU132"/>
      <c r="BV132"/>
      <c r="BW132"/>
      <c r="BX132"/>
      <c r="BY132"/>
      <c r="BZ132"/>
      <c r="CA132"/>
      <c r="CB132"/>
      <c r="CC132"/>
      <c r="CD132"/>
      <c r="CE132"/>
      <c r="CF132"/>
      <c r="CG132"/>
      <c r="CH132"/>
      <c r="CI132"/>
      <c r="CJ132"/>
      <c r="CK132"/>
      <c r="CL132"/>
      <c r="CM132"/>
    </row>
    <row r="133" spans="1:91" s="20" customFormat="1" x14ac:dyDescent="0.25">
      <c r="A133" s="33" t="s">
        <v>703</v>
      </c>
      <c r="B133" s="7">
        <v>4021</v>
      </c>
      <c r="C133" s="21" t="s">
        <v>193</v>
      </c>
      <c r="D133" s="21" t="s">
        <v>366</v>
      </c>
      <c r="E133" s="13">
        <v>42771.801435185182</v>
      </c>
      <c r="F133" s="13">
        <v>42771.813981481479</v>
      </c>
      <c r="G133" s="7">
        <v>1</v>
      </c>
      <c r="H133" s="21" t="s">
        <v>225</v>
      </c>
      <c r="I133" s="13">
        <v>42771.840833333335</v>
      </c>
      <c r="J133" s="7">
        <v>0</v>
      </c>
      <c r="K133" s="98" t="str">
        <f>IF(ISEVEN(B133),(B133-1)&amp;"/"&amp;B133,B133&amp;"/"&amp;(B133+1))</f>
        <v>4021/4022</v>
      </c>
      <c r="L133" s="21" t="str">
        <f>VLOOKUP(A133,'Trips&amp;Operators'!$C$1:$G$99999,5,FALSE)</f>
        <v>YANG JAN</v>
      </c>
      <c r="M133" s="6">
        <f>I133-F133</f>
        <v>2.6851851856918074E-2</v>
      </c>
      <c r="N133" s="7">
        <f>24*60*SUM($M133:$M133)</f>
        <v>38.666666673962027</v>
      </c>
      <c r="O133" s="7"/>
      <c r="P133" s="7"/>
      <c r="Q133" s="22"/>
      <c r="R133" s="22"/>
      <c r="S133" s="31">
        <f>SUM(U133:U133)/IF(AG133="EC",12,1)</f>
        <v>1</v>
      </c>
      <c r="T133" s="46" t="str">
        <f>IF(ISEVEN(LEFT(AD133,4)),"Southbound","NorthBound")</f>
        <v>Southbound</v>
      </c>
      <c r="U133" s="190">
        <f>IF(AG133="EC",COUNTIFS(Variables!$M$2:$M$19,IF(T133="NorthBound","&gt;=","&lt;=")&amp;Y133,Variables!$M$2:$M$19,IF(T133="NorthBound","&lt;=","&gt;=")&amp;Z133),COUNTIFS(Variables!$P$2:$P$19,IF(T133="NorthBound","&gt;=","&lt;=")&amp;Y133,Variables!$P$2:$P$19,IF(T133="NorthBound","&lt;=","&gt;=")&amp;Z133))</f>
        <v>12</v>
      </c>
      <c r="V133" s="191" t="str">
        <f>"https://d0f6bd738d7f1b3e5a7ca70fe4ff75f0.us-east-1.aws.found.io/app/kibana#/discover/Steve-Slow-Train-Analysis-(2080s-and-2083s)?_g="&amp;"(refreshInterval:(display:Off,pause:!f,section:0,value:0),time:(from:'"&amp;TEXT(E133-1/24,"yyyy-MM-DDThh:mm:ss")&amp;utc_offset&amp;"00"&amp;"',mode:absolute,to:'"&amp;TEXT(I133+1/24,"yyyy-MM-DDThh:mm:ss")&amp;utc_offset&amp;"00"&amp;"'))&amp;_a=(columns:!('Locomotive+ID','Data.Head+End+Milepost',Data.Speed,'Data.Locomotive+State','Data.Train+ID',"&amp;"'Data.Warning%2FEnforcement+Type','Data.Target+Start+Milepost','Data.Target+Description','Data.Target+Speed',"&amp;"'Data.Enforcement+Train+Speed','Data.Enforcement+Start+Milepost','Data.Target+Type','Data.Enforcement+Direction+of+Travel','Message+ID',"&amp;"'Data.Body+of+Summary+Text','Data.Head+End+Track+name'),filters:!(),index:'emp_*',interval:auto,query:"&amp;"(query_string:(analyze_wildcard:!t,query:'Message%5C+ID:(2083+OR+2080+OR+1041+OR+2003+OR+1051+OR+1043+OR+1053)+AND+%22rtdc.l.rtdc."&amp;B133&amp;"%22')),sort:!(Time.ISO8601,asc))"</f>
        <v>https://d0f6bd738d7f1b3e5a7ca70fe4ff75f0.us-east-1.aws.found.io/app/kibana#/discover/Steve-Slow-Train-Analysis-(2080s-and-2083s)?_g=(refreshInterval:(display:Off,pause:!f,section:0,value:0),time:(from:'2017-02-05T18:14:04-0700',mode:absolute,to:'2017-02-05T21:10:48-0700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4021%22')),sort:!(Time.ISO8601,asc))</v>
      </c>
      <c r="W133" s="192" t="str">
        <f>IF(AA133&lt;IF(AG133="EC",23,5.65),"Y","N")</f>
        <v>N</v>
      </c>
      <c r="X133" s="192">
        <f>VALUE(LEFT(AD133,4))-VALUE(LEFT(AD132,4))</f>
        <v>1</v>
      </c>
      <c r="Y133" s="62">
        <f>RIGHT(D133,LEN(D133)-4)/10000</f>
        <v>23.299600000000002</v>
      </c>
      <c r="Z133" s="62">
        <f>RIGHT(H133,LEN(H133)-4)/10000</f>
        <v>1.54E-2</v>
      </c>
      <c r="AA133" s="62">
        <f>ABS(Z133-Y133)</f>
        <v>23.284200000000002</v>
      </c>
      <c r="AB133" s="59" t="e">
        <f>VLOOKUP(A133,Enforcements!$C$7:$K$16,8,0)</f>
        <v>#N/A</v>
      </c>
      <c r="AC133" s="55" t="e">
        <f>VLOOKUP(A133,Enforcements!$C$7:$E$16,3,0)</f>
        <v>#N/A</v>
      </c>
      <c r="AD133" s="56" t="str">
        <f>IF(LEN(A133)=6,"0"&amp;A133,A133)</f>
        <v>0220-05</v>
      </c>
      <c r="AE133" s="85" t="str">
        <f>"aws s3 cp "&amp;s3_bucket&amp;"/RTDC"&amp;B133&amp;"/ "&amp;search_path&amp;"\RTDC"&amp;B133&amp;"\"&amp;TEXT(F133,"YYYY-MM-DD")&amp;" --exclude ""*"" --recursive --include ""*"&amp;TEXT(F133,"YYYYMMDD")&amp;"*"" &amp; """&amp;walkandungz&amp;""" "&amp;search_path&amp;"\RTDC"&amp;B133&amp;"\"&amp;TEXT(F133,"YYYY-MM-DD")
&amp;" &amp; "&amp;"aws s3 cp "&amp;s3_bucket&amp;"/RTDC"&amp;B133&amp;"/ "&amp;search_path&amp;"\RTDC"&amp;B133&amp;"\"&amp;TEXT(F133+1,"YYYY-MM-DD")&amp;" --exclude ""*"" --recursive --include ""*"&amp;TEXT(F133+1,"YYYYMMDD")&amp;"*"" &amp; """&amp;walkandungz&amp;""" "&amp;search_path&amp;"\RTDC"&amp;B133&amp;"\"&amp;TEXT(F133+1,"YYYY-MM-DD")</f>
        <v>aws s3 cp s3://rtdc.mdm.uploadarchive.raw/RTDC4021/ "%USERPROFILE%\AppData\Local\Temp\OnboardLogs"\RTDC4021\2017-02-05 --exclude "*" --recursive --include "*20170205*" &amp; "%USERPROFILE%\Documents\GitHub\mrs-test-scripts\Headless Mode &amp; Sideloading\WalkAndUnGZ.bat" "%USERPROFILE%\AppData\Local\Temp\OnboardLogs"\RTDC4021\2017-02-05 &amp; aws s3 cp s3://rtdc.mdm.uploadarchive.raw/RTDC4021/ "%USERPROFILE%\AppData\Local\Temp\OnboardLogs"\RTDC4021\2017-02-06 --exclude "*" --recursive --include "*20170206*" &amp; "%USERPROFILE%\Documents\GitHub\mrs-test-scripts\Headless Mode &amp; Sideloading\WalkAndUnGZ.bat" "%USERPROFILE%\AppData\Local\Temp\OnboardLogs"\RTDC4021\2017-02-06</v>
      </c>
      <c r="AF133" s="82" t="str">
        <f>astrogrep_path&amp;" /spath="&amp;search_path&amp;" /stypes=""app*"&amp;B133&amp;"*"&amp;TEXT(I133-utc_offset/24,"YYYYMMDD")&amp;"*"" /stext="" "&amp;TEXT(I133-utc_offset/24,"HH")&amp;search_regexp&amp;""" /e /r /s"</f>
        <v>"C:\Program Files (x86)\AstroGrep\AstroGrep.exe" /spath="%USERPROFILE%\AppData\Local\Temp\OnboardLogs" /stypes="app*4021*20170206*" /stext=" 03:.+((SYSTEM_STATE.+slice.+state.+changed )|(ment ac)|(multiple cpu faults)|(system.+state.+changed )|(\[timeout)|(PRM\|1\|D)|(kpr)|(kdp)|(\|lc)|(penalty))" /e /r /s</v>
      </c>
      <c r="AG133" s="1" t="str">
        <f>IFERROR(IF(VALUE(LEFT(AD133,2))&lt;=2,"EC",IF(OR(VALUE(LEFT(AD133,2))=8,VALUE(LEFT(AD133,2))=18),"NW","Other")),"Other")</f>
        <v>EC</v>
      </c>
      <c r="AH133" s="86" t="str">
        <f t="shared" si="7"/>
        <v>"%USERPROFILE%\Documents\GitHub\eaglep3\Utilities\RefineRTDCRunTimes.py" --tripid 220-05 --locoid 4021 --swversion DE.1.0.8.0 --startMP 204:232996 --initTime 2017-02-05T19:14:04 --startdatetime 2017-02-05T19:32:08 --delay 1 --endMP 204:154 --enddatetime 2017-02-05T20:10:48 --enforcementcount 0 &gt;&gt;C:\Users\stu\Documents\GitHub\eaglep3-reporting\EC\2017-02-05-refined-times.txt</v>
      </c>
      <c r="AI133" s="108" t="str">
        <f t="shared" si="8"/>
        <v>echo {"issue":{"subject":"","project_id":79,"tracker_id":40,"status_id":1,"priority_id":2,"assigned_to_id":23,"start_date":"2017-02-05","description":"","custom_fields":[{"id":1,"name":"Subdivision","value":"EC"},{"id":4,"name":"Milepost","value":"0.0154"},{"id":17,"name":"Train ID","value":"220-05"},{"id":16,"name":"Locomotive ID","value":"4021"},{"id":130,"name":"Impact","value":""},{"id":150,"name":"Time of Event (Mountain Time)","value":"20:10:48"},{"id":151,"name":"Denver Issue ID","value":""},{"id":178,"name":"Operational Impact","value":"Yes"},{"id":179,"name":"Denver Segment Assigned","value":""}]}} | curl -X POST -H "Content-Type: application/json" -H "X-Redmine-API-Key: d6333d4a04012a730768444271f8ca06482dae87" https://secure.xorail.net/redmine/issues.json --data @-</v>
      </c>
      <c r="AJ133" s="48"/>
      <c r="AK133" s="48"/>
      <c r="AL133" s="48"/>
      <c r="AM133" s="158" t="str">
        <f t="shared" si="9"/>
        <v>start /low /b %USERPROFILE%\Documents\GitHub\eaglep3\Utilities\DownloadLogsFromS3.py --loco 4021 --day 2017-02-05</v>
      </c>
      <c r="AN133" s="167" t="str">
        <f>"grep -SE -B400 ""CHR.+\|PRM\|1\|D.+(SWITCH|SIGNAL).+UNKNOWN"" "&amp;search_path&amp;"\RTDC"&amp;B133&amp;"\*"&amp;B133&amp;"*"&amp;TEXT(AVERAGE(F133,I133)-utc_offset/24,"YYYYMMDD")&amp;"* | grep -SE ""(Enforcement Action)|(\[TIMEOUT)|(CHR.+\|PRM\|1\|D.+(SWITCH|SIGNAL).+UNKNOWN)"" - &gt;&gt; "&amp;TEXT(Variables!$A$2,"YYYY-MM-DD")&amp;"-UncaughtWiMAX.txt"</f>
        <v>grep -SE -B400 "CHR.+\|PRM\|1\|D.+(SWITCH|SIGNAL).+UNKNOWN" "%USERPROFILE%\AppData\Local\Temp\OnboardLogs"\RTDC4021\*4021*20170206* | grep -SE "(Enforcement Action)|(\[TIMEOUT)|(CHR.+\|PRM\|1\|D.+(SWITCH|SIGNAL).+UNKNOWN)" - &gt;&gt; 2017-02-05-UncaughtWiMAX.txt</v>
      </c>
      <c r="AO133"/>
      <c r="AP133"/>
      <c r="AQ133"/>
      <c r="AR133"/>
      <c r="AS133"/>
      <c r="AT133"/>
      <c r="AU133"/>
      <c r="AV133"/>
      <c r="AW133"/>
      <c r="AX133"/>
      <c r="AY133"/>
      <c r="AZ133"/>
      <c r="BA133"/>
      <c r="BB133"/>
      <c r="BC133"/>
      <c r="BD133"/>
      <c r="BE133"/>
      <c r="BF133"/>
      <c r="BG133"/>
      <c r="BH133"/>
      <c r="BI133"/>
      <c r="BJ133"/>
      <c r="BK133"/>
      <c r="BL133"/>
      <c r="BM133"/>
      <c r="BN133"/>
      <c r="BO133"/>
      <c r="BP133"/>
      <c r="BQ133"/>
      <c r="BR133"/>
      <c r="BS133"/>
      <c r="BT133"/>
      <c r="BU133"/>
      <c r="BV133"/>
      <c r="BW133"/>
      <c r="BX133"/>
      <c r="BY133"/>
      <c r="BZ133"/>
      <c r="CA133"/>
      <c r="CB133"/>
      <c r="CC133"/>
      <c r="CD133"/>
      <c r="CE133"/>
      <c r="CF133"/>
      <c r="CG133"/>
      <c r="CH133"/>
      <c r="CI133"/>
      <c r="CJ133"/>
      <c r="CK133"/>
      <c r="CL133"/>
      <c r="CM133"/>
    </row>
    <row r="134" spans="1:91" s="20" customFormat="1" x14ac:dyDescent="0.25">
      <c r="A134" s="33" t="s">
        <v>519</v>
      </c>
      <c r="B134" s="7">
        <v>4031</v>
      </c>
      <c r="C134" s="21" t="s">
        <v>193</v>
      </c>
      <c r="D134" s="21" t="s">
        <v>244</v>
      </c>
      <c r="E134" s="13">
        <v>42771.787708333337</v>
      </c>
      <c r="F134" s="13">
        <v>42771.792129629626</v>
      </c>
      <c r="G134" s="7">
        <v>5</v>
      </c>
      <c r="H134" s="21" t="s">
        <v>306</v>
      </c>
      <c r="I134" s="13">
        <v>42771.818182870367</v>
      </c>
      <c r="J134" s="7">
        <v>0</v>
      </c>
      <c r="K134" s="98" t="str">
        <f>IF(ISEVEN(B134),(B134-1)&amp;"/"&amp;B134,B134&amp;"/"&amp;(B134+1))</f>
        <v>4031/4032</v>
      </c>
      <c r="L134" s="21" t="str">
        <f>VLOOKUP(A134,'Trips&amp;Operators'!$C$1:$G$99999,5,FALSE)</f>
        <v>MAGEE KENYA</v>
      </c>
      <c r="M134" s="6">
        <f>I134-F134</f>
        <v>2.6053240741021E-2</v>
      </c>
      <c r="N134" s="7">
        <f>24*60*SUM($M134:$M134)</f>
        <v>37.51666666707024</v>
      </c>
      <c r="O134" s="7"/>
      <c r="P134" s="7"/>
      <c r="Q134" s="22"/>
      <c r="R134" s="22"/>
      <c r="S134" s="31">
        <f>SUM(U134:U134)/IF(AG134="EC",12,1)</f>
        <v>1</v>
      </c>
      <c r="T134" s="46" t="str">
        <f>IF(ISEVEN(LEFT(AD134,4)),"Southbound","NorthBound")</f>
        <v>NorthBound</v>
      </c>
      <c r="U134" s="190">
        <f>IF(AG134="EC",COUNTIFS(Variables!$M$2:$M$19,IF(T134="NorthBound","&gt;=","&lt;=")&amp;Y134,Variables!$M$2:$M$19,IF(T134="NorthBound","&lt;=","&gt;=")&amp;Z134),COUNTIFS(Variables!$P$2:$P$19,IF(T134="NorthBound","&gt;=","&lt;=")&amp;Y134,Variables!$P$2:$P$19,IF(T134="NorthBound","&lt;=","&gt;=")&amp;Z134))</f>
        <v>12</v>
      </c>
      <c r="V134" s="191" t="str">
        <f>"https://d0f6bd738d7f1b3e5a7ca70fe4ff75f0.us-east-1.aws.found.io/app/kibana#/discover/Steve-Slow-Train-Analysis-(2080s-and-2083s)?_g="&amp;"(refreshInterval:(display:Off,pause:!f,section:0,value:0),time:(from:'"&amp;TEXT(E134-1/24,"yyyy-MM-DDThh:mm:ss")&amp;utc_offset&amp;"00"&amp;"',mode:absolute,to:'"&amp;TEXT(I134+1/24,"yyyy-MM-DDThh:mm:ss")&amp;utc_offset&amp;"00"&amp;"'))&amp;_a=(columns:!('Locomotive+ID','Data.Head+End+Milepost',Data.Speed,'Data.Locomotive+State','Data.Train+ID',"&amp;"'Data.Warning%2FEnforcement+Type','Data.Target+Start+Milepost','Data.Target+Description','Data.Target+Speed',"&amp;"'Data.Enforcement+Train+Speed','Data.Enforcement+Start+Milepost','Data.Target+Type','Data.Enforcement+Direction+of+Travel','Message+ID',"&amp;"'Data.Body+of+Summary+Text','Data.Head+End+Track+name'),filters:!(),index:'emp_*',interval:auto,query:"&amp;"(query_string:(analyze_wildcard:!t,query:'Message%5C+ID:(2083+OR+2080+OR+1041+OR+2003+OR+1051+OR+1043+OR+1053)+AND+%22rtdc.l.rtdc."&amp;B134&amp;"%22')),sort:!(Time.ISO8601,asc))"</f>
        <v>https://d0f6bd738d7f1b3e5a7ca70fe4ff75f0.us-east-1.aws.found.io/app/kibana#/discover/Steve-Slow-Train-Analysis-(2080s-and-2083s)?_g=(refreshInterval:(display:Off,pause:!f,section:0,value:0),time:(from:'2017-02-05T17:54:18-0700',mode:absolute,to:'2017-02-05T20:38:11-0700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4031%22')),sort:!(Time.ISO8601,asc))</v>
      </c>
      <c r="W134" s="192" t="str">
        <f>IF(AA134&lt;IF(AG134="EC",23,5.65),"Y","N")</f>
        <v>N</v>
      </c>
      <c r="X134" s="192">
        <f>VALUE(LEFT(AD134,4))-VALUE(LEFT(AD133,4))</f>
        <v>1</v>
      </c>
      <c r="Y134" s="62">
        <f>RIGHT(D134,LEN(D134)-4)/10000</f>
        <v>4.5999999999999999E-2</v>
      </c>
      <c r="Z134" s="62">
        <f>RIGHT(H134,LEN(H134)-4)/10000</f>
        <v>23.3308</v>
      </c>
      <c r="AA134" s="62">
        <f>ABS(Z134-Y134)</f>
        <v>23.284800000000001</v>
      </c>
      <c r="AB134" s="59" t="str">
        <f>VLOOKUP(A134,Enforcements!$C$7:$K$16,8,0)</f>
        <v>Speed (6)</v>
      </c>
      <c r="AC134" s="55" t="str">
        <f>VLOOKUP(A134,Enforcements!$C$7:$E$16,3,0)</f>
        <v>PERMANENT SPEED RESTRICTION</v>
      </c>
      <c r="AD134" s="56" t="str">
        <f>IF(LEN(A134)=6,"0"&amp;A134,A134)</f>
        <v>0221-05</v>
      </c>
      <c r="AE134" s="85" t="str">
        <f>"aws s3 cp "&amp;s3_bucket&amp;"/RTDC"&amp;B134&amp;"/ "&amp;search_path&amp;"\RTDC"&amp;B134&amp;"\"&amp;TEXT(F134,"YYYY-MM-DD")&amp;" --exclude ""*"" --recursive --include ""*"&amp;TEXT(F134,"YYYYMMDD")&amp;"*"" &amp; """&amp;walkandungz&amp;""" "&amp;search_path&amp;"\RTDC"&amp;B134&amp;"\"&amp;TEXT(F134,"YYYY-MM-DD")
&amp;" &amp; "&amp;"aws s3 cp "&amp;s3_bucket&amp;"/RTDC"&amp;B134&amp;"/ "&amp;search_path&amp;"\RTDC"&amp;B134&amp;"\"&amp;TEXT(F134+1,"YYYY-MM-DD")&amp;" --exclude ""*"" --recursive --include ""*"&amp;TEXT(F134+1,"YYYYMMDD")&amp;"*"" &amp; """&amp;walkandungz&amp;""" "&amp;search_path&amp;"\RTDC"&amp;B134&amp;"\"&amp;TEXT(F134+1,"YYYY-MM-DD")</f>
        <v>aws s3 cp s3://rtdc.mdm.uploadarchive.raw/RTDC4031/ "%USERPROFILE%\AppData\Local\Temp\OnboardLogs"\RTDC4031\2017-02-05 --exclude "*" --recursive --include "*20170205*" &amp; "%USERPROFILE%\Documents\GitHub\mrs-test-scripts\Headless Mode &amp; Sideloading\WalkAndUnGZ.bat" "%USERPROFILE%\AppData\Local\Temp\OnboardLogs"\RTDC4031\2017-02-05 &amp; aws s3 cp s3://rtdc.mdm.uploadarchive.raw/RTDC4031/ "%USERPROFILE%\AppData\Local\Temp\OnboardLogs"\RTDC4031\2017-02-06 --exclude "*" --recursive --include "*20170206*" &amp; "%USERPROFILE%\Documents\GitHub\mrs-test-scripts\Headless Mode &amp; Sideloading\WalkAndUnGZ.bat" "%USERPROFILE%\AppData\Local\Temp\OnboardLogs"\RTDC4031\2017-02-06</v>
      </c>
      <c r="AF134" s="82" t="str">
        <f>astrogrep_path&amp;" /spath="&amp;search_path&amp;" /stypes=""app*"&amp;B134&amp;"*"&amp;TEXT(I134-utc_offset/24,"YYYYMMDD")&amp;"*"" /stext="" "&amp;TEXT(I134-utc_offset/24,"HH")&amp;search_regexp&amp;""" /e /r /s"</f>
        <v>"C:\Program Files (x86)\AstroGrep\AstroGrep.exe" /spath="%USERPROFILE%\AppData\Local\Temp\OnboardLogs" /stypes="app*4031*20170206*" /stext=" 02:.+((SYSTEM_STATE.+slice.+state.+changed )|(ment ac)|(multiple cpu faults)|(system.+state.+changed )|(\[timeout)|(PRM\|1\|D)|(kpr)|(kdp)|(\|lc)|(penalty))" /e /r /s</v>
      </c>
      <c r="AG134" s="1" t="str">
        <f>IFERROR(IF(VALUE(LEFT(AD134,2))&lt;=2,"EC",IF(OR(VALUE(LEFT(AD134,2))=8,VALUE(LEFT(AD134,2))=18),"NW","Other")),"Other")</f>
        <v>EC</v>
      </c>
      <c r="AH134" s="86" t="str">
        <f t="shared" si="7"/>
        <v>"%USERPROFILE%\Documents\GitHub\eaglep3\Utilities\RefineRTDCRunTimes.py" --tripid 221-05 --locoid 4031 --swversion DE.1.0.8.0 --startMP 204:460 --initTime 2017-02-05T18:54:18 --startdatetime 2017-02-05T19:00:40 --delay 5 --endMP 204:233308 --enddatetime 2017-02-05T19:38:11 --enforcementcount 0 &gt;&gt;C:\Users\stu\Documents\GitHub\eaglep3-reporting\EC\2017-02-05-refined-times.txt</v>
      </c>
      <c r="AI134" s="108" t="str">
        <f t="shared" si="8"/>
        <v>echo {"issue":{"subject":"","project_id":79,"tracker_id":40,"status_id":1,"priority_id":2,"assigned_to_id":23,"start_date":"2017-02-05","description":"","custom_fields":[{"id":1,"name":"Subdivision","value":"EC"},{"id":4,"name":"Milepost","value":"23.3308"},{"id":17,"name":"Train ID","value":"221-05"},{"id":16,"name":"Locomotive ID","value":"4031"},{"id":130,"name":"Impact","value":""},{"id":150,"name":"Time of Event (Mountain Time)","value":"19:38:11"},{"id":151,"name":"Denver Issue ID","value":""},{"id":178,"name":"Operational Impact","value":"Yes"},{"id":179,"name":"Denver Segment Assigned","value":""}]}} | curl -X POST -H "Content-Type: application/json" -H "X-Redmine-API-Key: d6333d4a04012a730768444271f8ca06482dae87" https://secure.xorail.net/redmine/issues.json --data @-</v>
      </c>
      <c r="AJ134" s="48"/>
      <c r="AK134" s="48"/>
      <c r="AL134" s="48"/>
      <c r="AM134" s="158" t="str">
        <f t="shared" si="9"/>
        <v>start /low /b %USERPROFILE%\Documents\GitHub\eaglep3\Utilities\DownloadLogsFromS3.py --loco 4031 --day 2017-02-05</v>
      </c>
      <c r="AN134" s="167" t="str">
        <f>"grep -SE -B400 ""CHR.+\|PRM\|1\|D.+(SWITCH|SIGNAL).+UNKNOWN"" "&amp;search_path&amp;"\RTDC"&amp;B134&amp;"\*"&amp;B134&amp;"*"&amp;TEXT(AVERAGE(F134,I134)-utc_offset/24,"YYYYMMDD")&amp;"* | grep -SE ""(Enforcement Action)|(\[TIMEOUT)|(CHR.+\|PRM\|1\|D.+(SWITCH|SIGNAL).+UNKNOWN)"" - &gt;&gt; "&amp;TEXT(Variables!$A$2,"YYYY-MM-DD")&amp;"-UncaughtWiMAX.txt"</f>
        <v>grep -SE -B400 "CHR.+\|PRM\|1\|D.+(SWITCH|SIGNAL).+UNKNOWN" "%USERPROFILE%\AppData\Local\Temp\OnboardLogs"\RTDC4031\*4031*20170206* | grep -SE "(Enforcement Action)|(\[TIMEOUT)|(CHR.+\|PRM\|1\|D.+(SWITCH|SIGNAL).+UNKNOWN)" - &gt;&gt; 2017-02-05-UncaughtWiMAX.txt</v>
      </c>
      <c r="AO134"/>
      <c r="AP134"/>
      <c r="AQ134"/>
      <c r="AR134"/>
      <c r="AS134"/>
      <c r="AT134"/>
      <c r="AU134"/>
      <c r="AV134"/>
      <c r="AW134"/>
      <c r="AX134"/>
      <c r="AY134"/>
      <c r="AZ134"/>
      <c r="BA134"/>
      <c r="BB134"/>
      <c r="BC134"/>
      <c r="BD134"/>
      <c r="BE134"/>
      <c r="BF134"/>
      <c r="BG134"/>
      <c r="BH134"/>
      <c r="BI134"/>
      <c r="BJ134"/>
      <c r="BK134"/>
      <c r="BL134"/>
      <c r="BM134"/>
      <c r="BN134"/>
      <c r="BO134"/>
      <c r="BP134"/>
      <c r="BQ134"/>
      <c r="BR134"/>
      <c r="BS134"/>
      <c r="BT134"/>
      <c r="BU134"/>
      <c r="BV134"/>
      <c r="BW134"/>
      <c r="BX134"/>
      <c r="BY134"/>
      <c r="BZ134"/>
      <c r="CA134"/>
      <c r="CB134"/>
      <c r="CC134"/>
      <c r="CD134"/>
      <c r="CE134"/>
      <c r="CF134"/>
      <c r="CG134"/>
      <c r="CH134"/>
      <c r="CI134"/>
      <c r="CJ134"/>
      <c r="CK134"/>
      <c r="CL134"/>
      <c r="CM134"/>
    </row>
    <row r="135" spans="1:91" s="20" customFormat="1" x14ac:dyDescent="0.25">
      <c r="A135" s="33" t="s">
        <v>710</v>
      </c>
      <c r="B135" s="7">
        <v>4032</v>
      </c>
      <c r="C135" s="21" t="s">
        <v>193</v>
      </c>
      <c r="D135" s="21" t="s">
        <v>327</v>
      </c>
      <c r="E135" s="13">
        <v>42771.827476851853</v>
      </c>
      <c r="F135" s="13">
        <v>42771.831006944441</v>
      </c>
      <c r="G135" s="7">
        <v>2</v>
      </c>
      <c r="H135" s="21" t="s">
        <v>208</v>
      </c>
      <c r="I135" s="13">
        <v>42771.858425925922</v>
      </c>
      <c r="J135" s="7">
        <v>0</v>
      </c>
      <c r="K135" s="98" t="str">
        <f>IF(ISEVEN(B135),(B135-1)&amp;"/"&amp;B135,B135&amp;"/"&amp;(B135+1))</f>
        <v>4031/4032</v>
      </c>
      <c r="L135" s="21" t="str">
        <f>VLOOKUP(A135,'Trips&amp;Operators'!$C$1:$G$99999,5,FALSE)</f>
        <v>MAGEE KENYA</v>
      </c>
      <c r="M135" s="6">
        <f>I135-F135</f>
        <v>2.7418981480877846E-2</v>
      </c>
      <c r="N135" s="7">
        <f>24*60*SUM($M135:$M135)</f>
        <v>39.483333332464099</v>
      </c>
      <c r="O135" s="7"/>
      <c r="P135" s="7"/>
      <c r="Q135" s="22"/>
      <c r="R135" s="22"/>
      <c r="S135" s="31">
        <f>SUM(U135:U135)/IF(AG135="EC",12,1)</f>
        <v>1</v>
      </c>
      <c r="T135" s="46" t="str">
        <f>IF(ISEVEN(LEFT(AD135,4)),"Southbound","NorthBound")</f>
        <v>Southbound</v>
      </c>
      <c r="U135" s="190">
        <f>IF(AG135="EC",COUNTIFS(Variables!$M$2:$M$19,IF(T135="NorthBound","&gt;=","&lt;=")&amp;Y135,Variables!$M$2:$M$19,IF(T135="NorthBound","&lt;=","&gt;=")&amp;Z135),COUNTIFS(Variables!$P$2:$P$19,IF(T135="NorthBound","&gt;=","&lt;=")&amp;Y135,Variables!$P$2:$P$19,IF(T135="NorthBound","&lt;=","&gt;=")&amp;Z135))</f>
        <v>12</v>
      </c>
      <c r="V135" s="191" t="str">
        <f>"https://d0f6bd738d7f1b3e5a7ca70fe4ff75f0.us-east-1.aws.found.io/app/kibana#/discover/Steve-Slow-Train-Analysis-(2080s-and-2083s)?_g="&amp;"(refreshInterval:(display:Off,pause:!f,section:0,value:0),time:(from:'"&amp;TEXT(E135-1/24,"yyyy-MM-DDThh:mm:ss")&amp;utc_offset&amp;"00"&amp;"',mode:absolute,to:'"&amp;TEXT(I135+1/24,"yyyy-MM-DDThh:mm:ss")&amp;utc_offset&amp;"00"&amp;"'))&amp;_a=(columns:!('Locomotive+ID','Data.Head+End+Milepost',Data.Speed,'Data.Locomotive+State','Data.Train+ID',"&amp;"'Data.Warning%2FEnforcement+Type','Data.Target+Start+Milepost','Data.Target+Description','Data.Target+Speed',"&amp;"'Data.Enforcement+Train+Speed','Data.Enforcement+Start+Milepost','Data.Target+Type','Data.Enforcement+Direction+of+Travel','Message+ID',"&amp;"'Data.Body+of+Summary+Text','Data.Head+End+Track+name'),filters:!(),index:'emp_*',interval:auto,query:"&amp;"(query_string:(analyze_wildcard:!t,query:'Message%5C+ID:(2083+OR+2080+OR+1041+OR+2003+OR+1051+OR+1043+OR+1053)+AND+%22rtdc.l.rtdc."&amp;B135&amp;"%22')),sort:!(Time.ISO8601,asc))"</f>
        <v>https://d0f6bd738d7f1b3e5a7ca70fe4ff75f0.us-east-1.aws.found.io/app/kibana#/discover/Steve-Slow-Train-Analysis-(2080s-and-2083s)?_g=(refreshInterval:(display:Off,pause:!f,section:0,value:0),time:(from:'2017-02-05T18:51:34-0700',mode:absolute,to:'2017-02-05T21:36:08-0700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4032%22')),sort:!(Time.ISO8601,asc))</v>
      </c>
      <c r="W135" s="192" t="str">
        <f>IF(AA135&lt;IF(AG135="EC",23,5.65),"Y","N")</f>
        <v>N</v>
      </c>
      <c r="X135" s="192">
        <f>VALUE(LEFT(AD135,4))-VALUE(LEFT(AD134,4))</f>
        <v>1</v>
      </c>
      <c r="Y135" s="62">
        <f>RIGHT(D135,LEN(D135)-4)/10000</f>
        <v>23.298100000000002</v>
      </c>
      <c r="Z135" s="62">
        <f>RIGHT(H135,LEN(H135)-4)/10000</f>
        <v>1.6E-2</v>
      </c>
      <c r="AA135" s="62">
        <f>ABS(Z135-Y135)</f>
        <v>23.282100000000003</v>
      </c>
      <c r="AB135" s="59" t="e">
        <f>VLOOKUP(A135,Enforcements!$C$7:$K$16,8,0)</f>
        <v>#N/A</v>
      </c>
      <c r="AC135" s="55" t="e">
        <f>VLOOKUP(A135,Enforcements!$C$7:$E$16,3,0)</f>
        <v>#N/A</v>
      </c>
      <c r="AD135" s="56" t="str">
        <f>IF(LEN(A135)=6,"0"&amp;A135,A135)</f>
        <v>0222-05</v>
      </c>
      <c r="AE135" s="85" t="str">
        <f>"aws s3 cp "&amp;s3_bucket&amp;"/RTDC"&amp;B135&amp;"/ "&amp;search_path&amp;"\RTDC"&amp;B135&amp;"\"&amp;TEXT(F135,"YYYY-MM-DD")&amp;" --exclude ""*"" --recursive --include ""*"&amp;TEXT(F135,"YYYYMMDD")&amp;"*"" &amp; """&amp;walkandungz&amp;""" "&amp;search_path&amp;"\RTDC"&amp;B135&amp;"\"&amp;TEXT(F135,"YYYY-MM-DD")
&amp;" &amp; "&amp;"aws s3 cp "&amp;s3_bucket&amp;"/RTDC"&amp;B135&amp;"/ "&amp;search_path&amp;"\RTDC"&amp;B135&amp;"\"&amp;TEXT(F135+1,"YYYY-MM-DD")&amp;" --exclude ""*"" --recursive --include ""*"&amp;TEXT(F135+1,"YYYYMMDD")&amp;"*"" &amp; """&amp;walkandungz&amp;""" "&amp;search_path&amp;"\RTDC"&amp;B135&amp;"\"&amp;TEXT(F135+1,"YYYY-MM-DD")</f>
        <v>aws s3 cp s3://rtdc.mdm.uploadarchive.raw/RTDC4032/ "%USERPROFILE%\AppData\Local\Temp\OnboardLogs"\RTDC4032\2017-02-05 --exclude "*" --recursive --include "*20170205*" &amp; "%USERPROFILE%\Documents\GitHub\mrs-test-scripts\Headless Mode &amp; Sideloading\WalkAndUnGZ.bat" "%USERPROFILE%\AppData\Local\Temp\OnboardLogs"\RTDC4032\2017-02-05 &amp; aws s3 cp s3://rtdc.mdm.uploadarchive.raw/RTDC4032/ "%USERPROFILE%\AppData\Local\Temp\OnboardLogs"\RTDC4032\2017-02-06 --exclude "*" --recursive --include "*20170206*" &amp; "%USERPROFILE%\Documents\GitHub\mrs-test-scripts\Headless Mode &amp; Sideloading\WalkAndUnGZ.bat" "%USERPROFILE%\AppData\Local\Temp\OnboardLogs"\RTDC4032\2017-02-06</v>
      </c>
      <c r="AF135" s="82" t="str">
        <f>astrogrep_path&amp;" /spath="&amp;search_path&amp;" /stypes=""app*"&amp;B135&amp;"*"&amp;TEXT(I135-utc_offset/24,"YYYYMMDD")&amp;"*"" /stext="" "&amp;TEXT(I135-utc_offset/24,"HH")&amp;search_regexp&amp;""" /e /r /s"</f>
        <v>"C:\Program Files (x86)\AstroGrep\AstroGrep.exe" /spath="%USERPROFILE%\AppData\Local\Temp\OnboardLogs" /stypes="app*4032*20170206*" /stext=" 03:.+((SYSTEM_STATE.+slice.+state.+changed )|(ment ac)|(multiple cpu faults)|(system.+state.+changed )|(\[timeout)|(PRM\|1\|D)|(kpr)|(kdp)|(\|lc)|(penalty))" /e /r /s</v>
      </c>
      <c r="AG135" s="1" t="str">
        <f>IFERROR(IF(VALUE(LEFT(AD135,2))&lt;=2,"EC",IF(OR(VALUE(LEFT(AD135,2))=8,VALUE(LEFT(AD135,2))=18),"NW","Other")),"Other")</f>
        <v>EC</v>
      </c>
      <c r="AH135" s="86" t="str">
        <f t="shared" si="7"/>
        <v>"%USERPROFILE%\Documents\GitHub\eaglep3\Utilities\RefineRTDCRunTimes.py" --tripid 222-05 --locoid 4032 --swversion DE.1.0.8.0 --startMP 204:232981 --initTime 2017-02-05T19:51:34 --startdatetime 2017-02-05T19:56:39 --delay 2 --endMP 204:160 --enddatetime 2017-02-05T20:36:08 --enforcementcount 0 &gt;&gt;C:\Users\stu\Documents\GitHub\eaglep3-reporting\EC\2017-02-05-refined-times.txt</v>
      </c>
      <c r="AI135" s="108" t="str">
        <f t="shared" si="8"/>
        <v>echo {"issue":{"subject":"","project_id":79,"tracker_id":40,"status_id":1,"priority_id":2,"assigned_to_id":23,"start_date":"2017-02-05","description":"","custom_fields":[{"id":1,"name":"Subdivision","value":"EC"},{"id":4,"name":"Milepost","value":"0.016"},{"id":17,"name":"Train ID","value":"222-05"},{"id":16,"name":"Locomotive ID","value":"4032"},{"id":130,"name":"Impact","value":""},{"id":150,"name":"Time of Event (Mountain Time)","value":"20:36:08"},{"id":151,"name":"Denver Issue ID","value":""},{"id":178,"name":"Operational Impact","value":"Yes"},{"id":179,"name":"Denver Segment Assigned","value":""}]}} | curl -X POST -H "Content-Type: application/json" -H "X-Redmine-API-Key: d6333d4a04012a730768444271f8ca06482dae87" https://secure.xorail.net/redmine/issues.json --data @-</v>
      </c>
      <c r="AJ135" s="48"/>
      <c r="AK135" s="48"/>
      <c r="AL135" s="48"/>
      <c r="AM135" s="158" t="str">
        <f t="shared" si="9"/>
        <v>start /low /b %USERPROFILE%\Documents\GitHub\eaglep3\Utilities\DownloadLogsFromS3.py --loco 4032 --day 2017-02-05</v>
      </c>
      <c r="AN135" s="167" t="str">
        <f>"grep -SE -B400 ""CHR.+\|PRM\|1\|D.+(SWITCH|SIGNAL).+UNKNOWN"" "&amp;search_path&amp;"\RTDC"&amp;B135&amp;"\*"&amp;B135&amp;"*"&amp;TEXT(AVERAGE(F135,I135)-utc_offset/24,"YYYYMMDD")&amp;"* | grep -SE ""(Enforcement Action)|(\[TIMEOUT)|(CHR.+\|PRM\|1\|D.+(SWITCH|SIGNAL).+UNKNOWN)"" - &gt;&gt; "&amp;TEXT(Variables!$A$2,"YYYY-MM-DD")&amp;"-UncaughtWiMAX.txt"</f>
        <v>grep -SE -B400 "CHR.+\|PRM\|1\|D.+(SWITCH|SIGNAL).+UNKNOWN" "%USERPROFILE%\AppData\Local\Temp\OnboardLogs"\RTDC4032\*4032*20170206* | grep -SE "(Enforcement Action)|(\[TIMEOUT)|(CHR.+\|PRM\|1\|D.+(SWITCH|SIGNAL).+UNKNOWN)" - &gt;&gt; 2017-02-05-UncaughtWiMAX.txt</v>
      </c>
      <c r="AO135"/>
      <c r="AP135"/>
      <c r="AQ135"/>
      <c r="AR135"/>
      <c r="AS135"/>
      <c r="AT135"/>
      <c r="AU135"/>
      <c r="AV135"/>
      <c r="AW135"/>
      <c r="AX135"/>
      <c r="AY135"/>
      <c r="AZ135"/>
      <c r="BA135"/>
      <c r="BB135"/>
      <c r="BC135"/>
      <c r="BD135"/>
      <c r="BE135"/>
      <c r="BF135"/>
      <c r="BG135"/>
      <c r="BH135"/>
      <c r="BI135"/>
      <c r="BJ135"/>
      <c r="BK135"/>
      <c r="BL135"/>
      <c r="BM135"/>
      <c r="BN135"/>
      <c r="BO135"/>
      <c r="BP135"/>
      <c r="BQ135"/>
      <c r="BR135"/>
      <c r="BS135"/>
      <c r="BT135"/>
      <c r="BU135"/>
      <c r="BV135"/>
      <c r="BW135"/>
      <c r="BX135"/>
      <c r="BY135"/>
      <c r="BZ135"/>
      <c r="CA135"/>
      <c r="CB135"/>
      <c r="CC135"/>
      <c r="CD135"/>
      <c r="CE135"/>
      <c r="CF135"/>
      <c r="CG135"/>
      <c r="CH135"/>
      <c r="CI135"/>
      <c r="CJ135"/>
      <c r="CK135"/>
      <c r="CL135"/>
      <c r="CM135"/>
    </row>
    <row r="136" spans="1:91" s="20" customFormat="1" x14ac:dyDescent="0.25">
      <c r="A136" s="33" t="s">
        <v>706</v>
      </c>
      <c r="B136" s="7">
        <v>4038</v>
      </c>
      <c r="C136" s="21" t="s">
        <v>193</v>
      </c>
      <c r="D136" s="21" t="s">
        <v>286</v>
      </c>
      <c r="E136" s="13">
        <v>42771.805914351855</v>
      </c>
      <c r="F136" s="13">
        <v>42771.812939814816</v>
      </c>
      <c r="G136" s="7">
        <v>2</v>
      </c>
      <c r="H136" s="21" t="s">
        <v>398</v>
      </c>
      <c r="I136" s="13">
        <v>42771.838356481479</v>
      </c>
      <c r="J136" s="7">
        <v>0</v>
      </c>
      <c r="K136" s="98" t="str">
        <f>IF(ISEVEN(B136),(B136-1)&amp;"/"&amp;B136,B136&amp;"/"&amp;(B136+1))</f>
        <v>4037/4038</v>
      </c>
      <c r="L136" s="21" t="str">
        <f>VLOOKUP(A136,'Trips&amp;Operators'!$C$1:$G$99999,5,FALSE)</f>
        <v>NEWELL JAMES</v>
      </c>
      <c r="M136" s="6">
        <f>I136-F136</f>
        <v>2.5416666663659271E-2</v>
      </c>
      <c r="N136" s="7">
        <f>24*60*SUM($M136:$M136)</f>
        <v>36.59999999566935</v>
      </c>
      <c r="O136" s="7"/>
      <c r="P136" s="7"/>
      <c r="Q136" s="22"/>
      <c r="R136" s="22"/>
      <c r="S136" s="31">
        <f>SUM(U136:U136)/IF(AG136="EC",12,1)</f>
        <v>1</v>
      </c>
      <c r="T136" s="46" t="str">
        <f>IF(ISEVEN(LEFT(AD136,4)),"Southbound","NorthBound")</f>
        <v>NorthBound</v>
      </c>
      <c r="U136" s="190">
        <f>IF(AG136="EC",COUNTIFS(Variables!$M$2:$M$19,IF(T136="NorthBound","&gt;=","&lt;=")&amp;Y136,Variables!$M$2:$M$19,IF(T136="NorthBound","&lt;=","&gt;=")&amp;Z136),COUNTIFS(Variables!$P$2:$P$19,IF(T136="NorthBound","&gt;=","&lt;=")&amp;Y136,Variables!$P$2:$P$19,IF(T136="NorthBound","&lt;=","&gt;=")&amp;Z136))</f>
        <v>12</v>
      </c>
      <c r="V136" s="191" t="str">
        <f>"https://d0f6bd738d7f1b3e5a7ca70fe4ff75f0.us-east-1.aws.found.io/app/kibana#/discover/Steve-Slow-Train-Analysis-(2080s-and-2083s)?_g="&amp;"(refreshInterval:(display:Off,pause:!f,section:0,value:0),time:(from:'"&amp;TEXT(E136-1/24,"yyyy-MM-DDThh:mm:ss")&amp;utc_offset&amp;"00"&amp;"',mode:absolute,to:'"&amp;TEXT(I136+1/24,"yyyy-MM-DDThh:mm:ss")&amp;utc_offset&amp;"00"&amp;"'))&amp;_a=(columns:!('Locomotive+ID','Data.Head+End+Milepost',Data.Speed,'Data.Locomotive+State','Data.Train+ID',"&amp;"'Data.Warning%2FEnforcement+Type','Data.Target+Start+Milepost','Data.Target+Description','Data.Target+Speed',"&amp;"'Data.Enforcement+Train+Speed','Data.Enforcement+Start+Milepost','Data.Target+Type','Data.Enforcement+Direction+of+Travel','Message+ID',"&amp;"'Data.Body+of+Summary+Text','Data.Head+End+Track+name'),filters:!(),index:'emp_*',interval:auto,query:"&amp;"(query_string:(analyze_wildcard:!t,query:'Message%5C+ID:(2083+OR+2080+OR+1041+OR+2003+OR+1051+OR+1043+OR+1053)+AND+%22rtdc.l.rtdc."&amp;B136&amp;"%22')),sort:!(Time.ISO8601,asc))"</f>
        <v>https://d0f6bd738d7f1b3e5a7ca70fe4ff75f0.us-east-1.aws.found.io/app/kibana#/discover/Steve-Slow-Train-Analysis-(2080s-and-2083s)?_g=(refreshInterval:(display:Off,pause:!f,section:0,value:0),time:(from:'2017-02-05T18:20:31-0700',mode:absolute,to:'2017-02-05T21:07:14-0700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4038%22')),sort:!(Time.ISO8601,asc))</v>
      </c>
      <c r="W136" s="192" t="str">
        <f>IF(AA136&lt;IF(AG136="EC",23,5.65),"Y","N")</f>
        <v>N</v>
      </c>
      <c r="X136" s="192">
        <f>VALUE(LEFT(AD136,4))-VALUE(LEFT(AD135,4))</f>
        <v>1</v>
      </c>
      <c r="Y136" s="62">
        <f>RIGHT(D136,LEN(D136)-4)/10000</f>
        <v>4.6699999999999998E-2</v>
      </c>
      <c r="Z136" s="62">
        <f>RIGHT(H136,LEN(H136)-4)/10000</f>
        <v>23.331</v>
      </c>
      <c r="AA136" s="62">
        <f>ABS(Z136-Y136)</f>
        <v>23.284299999999998</v>
      </c>
      <c r="AB136" s="59" t="e">
        <f>VLOOKUP(A136,Enforcements!$C$7:$K$16,8,0)</f>
        <v>#N/A</v>
      </c>
      <c r="AC136" s="55" t="e">
        <f>VLOOKUP(A136,Enforcements!$C$7:$E$16,3,0)</f>
        <v>#N/A</v>
      </c>
      <c r="AD136" s="56" t="str">
        <f>IF(LEN(A136)=6,"0"&amp;A136,A136)</f>
        <v>0223-05</v>
      </c>
      <c r="AE136" s="85" t="str">
        <f>"aws s3 cp "&amp;s3_bucket&amp;"/RTDC"&amp;B136&amp;"/ "&amp;search_path&amp;"\RTDC"&amp;B136&amp;"\"&amp;TEXT(F136,"YYYY-MM-DD")&amp;" --exclude ""*"" --recursive --include ""*"&amp;TEXT(F136,"YYYYMMDD")&amp;"*"" &amp; """&amp;walkandungz&amp;""" "&amp;search_path&amp;"\RTDC"&amp;B136&amp;"\"&amp;TEXT(F136,"YYYY-MM-DD")
&amp;" &amp; "&amp;"aws s3 cp "&amp;s3_bucket&amp;"/RTDC"&amp;B136&amp;"/ "&amp;search_path&amp;"\RTDC"&amp;B136&amp;"\"&amp;TEXT(F136+1,"YYYY-MM-DD")&amp;" --exclude ""*"" --recursive --include ""*"&amp;TEXT(F136+1,"YYYYMMDD")&amp;"*"" &amp; """&amp;walkandungz&amp;""" "&amp;search_path&amp;"\RTDC"&amp;B136&amp;"\"&amp;TEXT(F136+1,"YYYY-MM-DD")</f>
        <v>aws s3 cp s3://rtdc.mdm.uploadarchive.raw/RTDC4038/ "%USERPROFILE%\AppData\Local\Temp\OnboardLogs"\RTDC4038\2017-02-05 --exclude "*" --recursive --include "*20170205*" &amp; "%USERPROFILE%\Documents\GitHub\mrs-test-scripts\Headless Mode &amp; Sideloading\WalkAndUnGZ.bat" "%USERPROFILE%\AppData\Local\Temp\OnboardLogs"\RTDC4038\2017-02-05 &amp; aws s3 cp s3://rtdc.mdm.uploadarchive.raw/RTDC4038/ "%USERPROFILE%\AppData\Local\Temp\OnboardLogs"\RTDC4038\2017-02-06 --exclude "*" --recursive --include "*20170206*" &amp; "%USERPROFILE%\Documents\GitHub\mrs-test-scripts\Headless Mode &amp; Sideloading\WalkAndUnGZ.bat" "%USERPROFILE%\AppData\Local\Temp\OnboardLogs"\RTDC4038\2017-02-06</v>
      </c>
      <c r="AF136" s="82" t="str">
        <f>astrogrep_path&amp;" /spath="&amp;search_path&amp;" /stypes=""app*"&amp;B136&amp;"*"&amp;TEXT(I136-utc_offset/24,"YYYYMMDD")&amp;"*"" /stext="" "&amp;TEXT(I136-utc_offset/24,"HH")&amp;search_regexp&amp;""" /e /r /s"</f>
        <v>"C:\Program Files (x86)\AstroGrep\AstroGrep.exe" /spath="%USERPROFILE%\AppData\Local\Temp\OnboardLogs" /stypes="app*4038*20170206*" /stext=" 03:.+((SYSTEM_STATE.+slice.+state.+changed )|(ment ac)|(multiple cpu faults)|(system.+state.+changed )|(\[timeout)|(PRM\|1\|D)|(kpr)|(kdp)|(\|lc)|(penalty))" /e /r /s</v>
      </c>
      <c r="AG136" s="1" t="str">
        <f>IFERROR(IF(VALUE(LEFT(AD136,2))&lt;=2,"EC",IF(OR(VALUE(LEFT(AD136,2))=8,VALUE(LEFT(AD136,2))=18),"NW","Other")),"Other")</f>
        <v>EC</v>
      </c>
      <c r="AH136" s="86" t="str">
        <f t="shared" si="7"/>
        <v>"%USERPROFILE%\Documents\GitHub\eaglep3\Utilities\RefineRTDCRunTimes.py" --tripid 223-05 --locoid 4038 --swversion DE.1.0.8.0 --startMP 204:467 --initTime 2017-02-05T19:20:31 --startdatetime 2017-02-05T19:30:38 --delay 2 --endMP 204:233310 --enddatetime 2017-02-05T20:07:14 --enforcementcount 0 &gt;&gt;C:\Users\stu\Documents\GitHub\eaglep3-reporting\EC\2017-02-05-refined-times.txt</v>
      </c>
      <c r="AI136" s="108" t="str">
        <f t="shared" si="8"/>
        <v>echo {"issue":{"subject":"","project_id":79,"tracker_id":40,"status_id":1,"priority_id":2,"assigned_to_id":23,"start_date":"2017-02-05","description":"","custom_fields":[{"id":1,"name":"Subdivision","value":"EC"},{"id":4,"name":"Milepost","value":"23.331"},{"id":17,"name":"Train ID","value":"223-05"},{"id":16,"name":"Locomotive ID","value":"4038"},{"id":130,"name":"Impact","value":""},{"id":150,"name":"Time of Event (Mountain Time)","value":"20:07:14"},{"id":151,"name":"Denver Issue ID","value":""},{"id":178,"name":"Operational Impact","value":"Yes"},{"id":179,"name":"Denver Segment Assigned","value":""}]}} | curl -X POST -H "Content-Type: application/json" -H "X-Redmine-API-Key: d6333d4a04012a730768444271f8ca06482dae87" https://secure.xorail.net/redmine/issues.json --data @-</v>
      </c>
      <c r="AJ136" s="48"/>
      <c r="AK136" s="48"/>
      <c r="AL136" s="48"/>
      <c r="AM136" s="158" t="str">
        <f t="shared" si="9"/>
        <v>start /low /b %USERPROFILE%\Documents\GitHub\eaglep3\Utilities\DownloadLogsFromS3.py --loco 4038 --day 2017-02-05</v>
      </c>
      <c r="AN136" s="167" t="str">
        <f>"grep -SE -B400 ""CHR.+\|PRM\|1\|D.+(SWITCH|SIGNAL).+UNKNOWN"" "&amp;search_path&amp;"\RTDC"&amp;B136&amp;"\*"&amp;B136&amp;"*"&amp;TEXT(AVERAGE(F136,I136)-utc_offset/24,"YYYYMMDD")&amp;"* | grep -SE ""(Enforcement Action)|(\[TIMEOUT)|(CHR.+\|PRM\|1\|D.+(SWITCH|SIGNAL).+UNKNOWN)"" - &gt;&gt; "&amp;TEXT(Variables!$A$2,"YYYY-MM-DD")&amp;"-UncaughtWiMAX.txt"</f>
        <v>grep -SE -B400 "CHR.+\|PRM\|1\|D.+(SWITCH|SIGNAL).+UNKNOWN" "%USERPROFILE%\AppData\Local\Temp\OnboardLogs"\RTDC4038\*4038*20170206* | grep -SE "(Enforcement Action)|(\[TIMEOUT)|(CHR.+\|PRM\|1\|D.+(SWITCH|SIGNAL).+UNKNOWN)" - &gt;&gt; 2017-02-05-UncaughtWiMAX.txt</v>
      </c>
      <c r="AO136"/>
      <c r="AP136"/>
      <c r="AQ136"/>
      <c r="AR136"/>
      <c r="AS136"/>
      <c r="AT136"/>
      <c r="AU136"/>
      <c r="AV136"/>
      <c r="AW136"/>
      <c r="AX136"/>
      <c r="AY136"/>
      <c r="AZ136"/>
      <c r="BA136"/>
      <c r="BB136"/>
      <c r="BC136"/>
      <c r="BD136"/>
      <c r="BE136"/>
      <c r="BF136"/>
      <c r="BG136"/>
      <c r="BH136"/>
      <c r="BI136"/>
      <c r="BJ136"/>
      <c r="BK136"/>
      <c r="BL136"/>
      <c r="BM136"/>
      <c r="BN136"/>
      <c r="BO136"/>
      <c r="BP136"/>
      <c r="BQ136"/>
      <c r="BR136"/>
      <c r="BS136"/>
      <c r="BT136"/>
      <c r="BU136"/>
      <c r="BV136"/>
      <c r="BW136"/>
      <c r="BX136"/>
      <c r="BY136"/>
      <c r="BZ136"/>
      <c r="CA136"/>
      <c r="CB136"/>
      <c r="CC136"/>
      <c r="CD136"/>
      <c r="CE136"/>
      <c r="CF136"/>
      <c r="CG136"/>
      <c r="CH136"/>
      <c r="CI136"/>
      <c r="CJ136"/>
      <c r="CK136"/>
      <c r="CL136"/>
      <c r="CM136"/>
    </row>
    <row r="137" spans="1:91" s="20" customFormat="1" x14ac:dyDescent="0.25">
      <c r="A137" s="33" t="s">
        <v>713</v>
      </c>
      <c r="B137" s="7">
        <v>4037</v>
      </c>
      <c r="C137" s="21" t="s">
        <v>193</v>
      </c>
      <c r="D137" s="21" t="s">
        <v>356</v>
      </c>
      <c r="E137" s="13">
        <v>42771.848599537036</v>
      </c>
      <c r="F137" s="13">
        <v>42771.851550925923</v>
      </c>
      <c r="G137" s="7">
        <v>1</v>
      </c>
      <c r="H137" s="21" t="s">
        <v>184</v>
      </c>
      <c r="I137" s="13">
        <v>42771.87872685185</v>
      </c>
      <c r="J137" s="7">
        <v>0</v>
      </c>
      <c r="K137" s="98" t="str">
        <f>IF(ISEVEN(B137),(B137-1)&amp;"/"&amp;B137,B137&amp;"/"&amp;(B137+1))</f>
        <v>4037/4038</v>
      </c>
      <c r="L137" s="21" t="str">
        <f>VLOOKUP(A137,'Trips&amp;Operators'!$C$1:$G$99999,5,FALSE)</f>
        <v>NEWELL JAMES</v>
      </c>
      <c r="M137" s="6">
        <f>I137-F137</f>
        <v>2.7175925926712807E-2</v>
      </c>
      <c r="N137" s="7">
        <f>24*60*SUM($M137:$M137)</f>
        <v>39.133333334466442</v>
      </c>
      <c r="O137" s="7"/>
      <c r="P137" s="7"/>
      <c r="Q137" s="22"/>
      <c r="R137" s="22"/>
      <c r="S137" s="31">
        <f>SUM(U137:U137)/IF(AG137="EC",12,1)</f>
        <v>1</v>
      </c>
      <c r="T137" s="46" t="str">
        <f>IF(ISEVEN(LEFT(AD137,4)),"Southbound","NorthBound")</f>
        <v>Southbound</v>
      </c>
      <c r="U137" s="190">
        <f>IF(AG137="EC",COUNTIFS(Variables!$M$2:$M$19,IF(T137="NorthBound","&gt;=","&lt;=")&amp;Y137,Variables!$M$2:$M$19,IF(T137="NorthBound","&lt;=","&gt;=")&amp;Z137),COUNTIFS(Variables!$P$2:$P$19,IF(T137="NorthBound","&gt;=","&lt;=")&amp;Y137,Variables!$P$2:$P$19,IF(T137="NorthBound","&lt;=","&gt;=")&amp;Z137))</f>
        <v>12</v>
      </c>
      <c r="V137" s="191" t="str">
        <f>"https://d0f6bd738d7f1b3e5a7ca70fe4ff75f0.us-east-1.aws.found.io/app/kibana#/discover/Steve-Slow-Train-Analysis-(2080s-and-2083s)?_g="&amp;"(refreshInterval:(display:Off,pause:!f,section:0,value:0),time:(from:'"&amp;TEXT(E137-1/24,"yyyy-MM-DDThh:mm:ss")&amp;utc_offset&amp;"00"&amp;"',mode:absolute,to:'"&amp;TEXT(I137+1/24,"yyyy-MM-DDThh:mm:ss")&amp;utc_offset&amp;"00"&amp;"'))&amp;_a=(columns:!('Locomotive+ID','Data.Head+End+Milepost',Data.Speed,'Data.Locomotive+State','Data.Train+ID',"&amp;"'Data.Warning%2FEnforcement+Type','Data.Target+Start+Milepost','Data.Target+Description','Data.Target+Speed',"&amp;"'Data.Enforcement+Train+Speed','Data.Enforcement+Start+Milepost','Data.Target+Type','Data.Enforcement+Direction+of+Travel','Message+ID',"&amp;"'Data.Body+of+Summary+Text','Data.Head+End+Track+name'),filters:!(),index:'emp_*',interval:auto,query:"&amp;"(query_string:(analyze_wildcard:!t,query:'Message%5C+ID:(2083+OR+2080+OR+1041+OR+2003+OR+1051+OR+1043+OR+1053)+AND+%22rtdc.l.rtdc."&amp;B137&amp;"%22')),sort:!(Time.ISO8601,asc))"</f>
        <v>https://d0f6bd738d7f1b3e5a7ca70fe4ff75f0.us-east-1.aws.found.io/app/kibana#/discover/Steve-Slow-Train-Analysis-(2080s-and-2083s)?_g=(refreshInterval:(display:Off,pause:!f,section:0,value:0),time:(from:'2017-02-05T19:21:59-0700',mode:absolute,to:'2017-02-05T22:05:22-0700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4037%22')),sort:!(Time.ISO8601,asc))</v>
      </c>
      <c r="W137" s="192" t="str">
        <f>IF(AA137&lt;IF(AG137="EC",23,5.65),"Y","N")</f>
        <v>N</v>
      </c>
      <c r="X137" s="192">
        <f>VALUE(LEFT(AD137,4))-VALUE(LEFT(AD136,4))</f>
        <v>1</v>
      </c>
      <c r="Y137" s="62">
        <f>RIGHT(D137,LEN(D137)-4)/10000</f>
        <v>23.299099999999999</v>
      </c>
      <c r="Z137" s="62">
        <f>RIGHT(H137,LEN(H137)-4)/10000</f>
        <v>1.49E-2</v>
      </c>
      <c r="AA137" s="62">
        <f>ABS(Z137-Y137)</f>
        <v>23.284199999999998</v>
      </c>
      <c r="AB137" s="59" t="e">
        <f>VLOOKUP(A137,Enforcements!$C$7:$K$16,8,0)</f>
        <v>#N/A</v>
      </c>
      <c r="AC137" s="55" t="e">
        <f>VLOOKUP(A137,Enforcements!$C$7:$E$16,3,0)</f>
        <v>#N/A</v>
      </c>
      <c r="AD137" s="56" t="str">
        <f>IF(LEN(A137)=6,"0"&amp;A137,A137)</f>
        <v>0224-05</v>
      </c>
      <c r="AE137" s="85" t="str">
        <f>"aws s3 cp "&amp;s3_bucket&amp;"/RTDC"&amp;B137&amp;"/ "&amp;search_path&amp;"\RTDC"&amp;B137&amp;"\"&amp;TEXT(F137,"YYYY-MM-DD")&amp;" --exclude ""*"" --recursive --include ""*"&amp;TEXT(F137,"YYYYMMDD")&amp;"*"" &amp; """&amp;walkandungz&amp;""" "&amp;search_path&amp;"\RTDC"&amp;B137&amp;"\"&amp;TEXT(F137,"YYYY-MM-DD")
&amp;" &amp; "&amp;"aws s3 cp "&amp;s3_bucket&amp;"/RTDC"&amp;B137&amp;"/ "&amp;search_path&amp;"\RTDC"&amp;B137&amp;"\"&amp;TEXT(F137+1,"YYYY-MM-DD")&amp;" --exclude ""*"" --recursive --include ""*"&amp;TEXT(F137+1,"YYYYMMDD")&amp;"*"" &amp; """&amp;walkandungz&amp;""" "&amp;search_path&amp;"\RTDC"&amp;B137&amp;"\"&amp;TEXT(F137+1,"YYYY-MM-DD")</f>
        <v>aws s3 cp s3://rtdc.mdm.uploadarchive.raw/RTDC4037/ "%USERPROFILE%\AppData\Local\Temp\OnboardLogs"\RTDC4037\2017-02-05 --exclude "*" --recursive --include "*20170205*" &amp; "%USERPROFILE%\Documents\GitHub\mrs-test-scripts\Headless Mode &amp; Sideloading\WalkAndUnGZ.bat" "%USERPROFILE%\AppData\Local\Temp\OnboardLogs"\RTDC4037\2017-02-05 &amp; aws s3 cp s3://rtdc.mdm.uploadarchive.raw/RTDC4037/ "%USERPROFILE%\AppData\Local\Temp\OnboardLogs"\RTDC4037\2017-02-06 --exclude "*" --recursive --include "*20170206*" &amp; "%USERPROFILE%\Documents\GitHub\mrs-test-scripts\Headless Mode &amp; Sideloading\WalkAndUnGZ.bat" "%USERPROFILE%\AppData\Local\Temp\OnboardLogs"\RTDC4037\2017-02-06</v>
      </c>
      <c r="AF137" s="82" t="str">
        <f>astrogrep_path&amp;" /spath="&amp;search_path&amp;" /stypes=""app*"&amp;B137&amp;"*"&amp;TEXT(I137-utc_offset/24,"YYYYMMDD")&amp;"*"" /stext="" "&amp;TEXT(I137-utc_offset/24,"HH")&amp;search_regexp&amp;""" /e /r /s"</f>
        <v>"C:\Program Files (x86)\AstroGrep\AstroGrep.exe" /spath="%USERPROFILE%\AppData\Local\Temp\OnboardLogs" /stypes="app*4037*20170206*" /stext=" 04:.+((SYSTEM_STATE.+slice.+state.+changed )|(ment ac)|(multiple cpu faults)|(system.+state.+changed )|(\[timeout)|(PRM\|1\|D)|(kpr)|(kdp)|(\|lc)|(penalty))" /e /r /s</v>
      </c>
      <c r="AG137" s="1" t="str">
        <f>IFERROR(IF(VALUE(LEFT(AD137,2))&lt;=2,"EC",IF(OR(VALUE(LEFT(AD137,2))=8,VALUE(LEFT(AD137,2))=18),"NW","Other")),"Other")</f>
        <v>EC</v>
      </c>
      <c r="AH137" s="86" t="str">
        <f t="shared" si="7"/>
        <v>"%USERPROFILE%\Documents\GitHub\eaglep3\Utilities\RefineRTDCRunTimes.py" --tripid 224-05 --locoid 4037 --swversion DE.1.0.8.0 --startMP 204:232991 --initTime 2017-02-05T20:21:59 --startdatetime 2017-02-05T20:26:14 --delay 1 --endMP 204:149 --enddatetime 2017-02-05T21:05:22 --enforcementcount 0 &gt;&gt;C:\Users\stu\Documents\GitHub\eaglep3-reporting\EC\2017-02-05-refined-times.txt</v>
      </c>
      <c r="AI137" s="108" t="str">
        <f t="shared" si="8"/>
        <v>echo {"issue":{"subject":"","project_id":79,"tracker_id":40,"status_id":1,"priority_id":2,"assigned_to_id":23,"start_date":"2017-02-05","description":"","custom_fields":[{"id":1,"name":"Subdivision","value":"EC"},{"id":4,"name":"Milepost","value":"0.0149"},{"id":17,"name":"Train ID","value":"224-05"},{"id":16,"name":"Locomotive ID","value":"4037"},{"id":130,"name":"Impact","value":""},{"id":150,"name":"Time of Event (Mountain Time)","value":"21:05:22"},{"id":151,"name":"Denver Issue ID","value":""},{"id":178,"name":"Operational Impact","value":"Yes"},{"id":179,"name":"Denver Segment Assigned","value":""}]}} | curl -X POST -H "Content-Type: application/json" -H "X-Redmine-API-Key: d6333d4a04012a730768444271f8ca06482dae87" https://secure.xorail.net/redmine/issues.json --data @-</v>
      </c>
      <c r="AJ137" s="48"/>
      <c r="AK137" s="48"/>
      <c r="AL137" s="48"/>
      <c r="AM137" s="158" t="str">
        <f t="shared" si="9"/>
        <v>start /low /b %USERPROFILE%\Documents\GitHub\eaglep3\Utilities\DownloadLogsFromS3.py --loco 4037 --day 2017-02-05</v>
      </c>
      <c r="AN137" s="167" t="str">
        <f>"grep -SE -B400 ""CHR.+\|PRM\|1\|D.+(SWITCH|SIGNAL).+UNKNOWN"" "&amp;search_path&amp;"\RTDC"&amp;B137&amp;"\*"&amp;B137&amp;"*"&amp;TEXT(AVERAGE(F137,I137)-utc_offset/24,"YYYYMMDD")&amp;"* | grep -SE ""(Enforcement Action)|(\[TIMEOUT)|(CHR.+\|PRM\|1\|D.+(SWITCH|SIGNAL).+UNKNOWN)"" - &gt;&gt; "&amp;TEXT(Variables!$A$2,"YYYY-MM-DD")&amp;"-UncaughtWiMAX.txt"</f>
        <v>grep -SE -B400 "CHR.+\|PRM\|1\|D.+(SWITCH|SIGNAL).+UNKNOWN" "%USERPROFILE%\AppData\Local\Temp\OnboardLogs"\RTDC4037\*4037*20170206* | grep -SE "(Enforcement Action)|(\[TIMEOUT)|(CHR.+\|PRM\|1\|D.+(SWITCH|SIGNAL).+UNKNOWN)" - &gt;&gt; 2017-02-05-UncaughtWiMAX.txt</v>
      </c>
      <c r="AO137"/>
      <c r="AP137"/>
      <c r="AQ137"/>
      <c r="AR137"/>
      <c r="AS137"/>
      <c r="AT137"/>
      <c r="AU137"/>
      <c r="AV137"/>
      <c r="AW137"/>
      <c r="AX137"/>
      <c r="AY137"/>
      <c r="AZ137"/>
      <c r="BA137"/>
      <c r="BB137"/>
      <c r="BC137"/>
      <c r="BD137"/>
      <c r="BE137"/>
      <c r="BF137"/>
      <c r="BG137"/>
      <c r="BH137"/>
      <c r="BI137"/>
      <c r="BJ137"/>
      <c r="BK137"/>
      <c r="BL137"/>
      <c r="BM137"/>
      <c r="BN137"/>
      <c r="BO137"/>
      <c r="BP137"/>
      <c r="BQ137"/>
      <c r="BR137"/>
      <c r="BS137"/>
      <c r="BT137"/>
      <c r="BU137"/>
      <c r="BV137"/>
      <c r="BW137"/>
      <c r="BX137"/>
      <c r="BY137"/>
      <c r="BZ137"/>
      <c r="CA137"/>
      <c r="CB137"/>
      <c r="CC137"/>
      <c r="CD137"/>
      <c r="CE137"/>
      <c r="CF137"/>
      <c r="CG137"/>
      <c r="CH137"/>
      <c r="CI137"/>
      <c r="CJ137"/>
      <c r="CK137"/>
      <c r="CL137"/>
      <c r="CM137"/>
    </row>
    <row r="138" spans="1:91" s="20" customFormat="1" x14ac:dyDescent="0.25">
      <c r="A138" s="33" t="s">
        <v>711</v>
      </c>
      <c r="B138" s="7">
        <v>4016</v>
      </c>
      <c r="C138" s="21" t="s">
        <v>193</v>
      </c>
      <c r="D138" s="21" t="s">
        <v>290</v>
      </c>
      <c r="E138" s="13">
        <v>42771.830497685187</v>
      </c>
      <c r="F138" s="13">
        <v>42771.833599537036</v>
      </c>
      <c r="G138" s="7">
        <v>1</v>
      </c>
      <c r="H138" s="21" t="s">
        <v>355</v>
      </c>
      <c r="I138" s="13">
        <v>42771.858622685184</v>
      </c>
      <c r="J138" s="7">
        <v>0</v>
      </c>
      <c r="K138" s="98" t="str">
        <f>IF(ISEVEN(B138),(B138-1)&amp;"/"&amp;B138,B138&amp;"/"&amp;(B138+1))</f>
        <v>4015/4016</v>
      </c>
      <c r="L138" s="21" t="str">
        <f>VLOOKUP(A138,'Trips&amp;Operators'!$C$1:$G$99999,5,FALSE)</f>
        <v>SMITH MICHAEL</v>
      </c>
      <c r="M138" s="6">
        <f>I138-F138</f>
        <v>2.5023148147738539E-2</v>
      </c>
      <c r="N138" s="7">
        <f>24*60*SUM($M138:$M138)</f>
        <v>36.033333332743496</v>
      </c>
      <c r="O138" s="7"/>
      <c r="P138" s="7"/>
      <c r="Q138" s="22"/>
      <c r="R138" s="22"/>
      <c r="S138" s="31">
        <f>SUM(U138:U138)/IF(AG138="EC",12,1)</f>
        <v>1</v>
      </c>
      <c r="T138" s="46" t="str">
        <f>IF(ISEVEN(LEFT(AD138,4)),"Southbound","NorthBound")</f>
        <v>NorthBound</v>
      </c>
      <c r="U138" s="190">
        <f>IF(AG138="EC",COUNTIFS(Variables!$M$2:$M$19,IF(T138="NorthBound","&gt;=","&lt;=")&amp;Y138,Variables!$M$2:$M$19,IF(T138="NorthBound","&lt;=","&gt;=")&amp;Z138),COUNTIFS(Variables!$P$2:$P$19,IF(T138="NorthBound","&gt;=","&lt;=")&amp;Y138,Variables!$P$2:$P$19,IF(T138="NorthBound","&lt;=","&gt;=")&amp;Z138))</f>
        <v>12</v>
      </c>
      <c r="V138" s="191" t="str">
        <f>"https://d0f6bd738d7f1b3e5a7ca70fe4ff75f0.us-east-1.aws.found.io/app/kibana#/discover/Steve-Slow-Train-Analysis-(2080s-and-2083s)?_g="&amp;"(refreshInterval:(display:Off,pause:!f,section:0,value:0),time:(from:'"&amp;TEXT(E138-1/24,"yyyy-MM-DDThh:mm:ss")&amp;utc_offset&amp;"00"&amp;"',mode:absolute,to:'"&amp;TEXT(I138+1/24,"yyyy-MM-DDThh:mm:ss")&amp;utc_offset&amp;"00"&amp;"'))&amp;_a=(columns:!('Locomotive+ID','Data.Head+End+Milepost',Data.Speed,'Data.Locomotive+State','Data.Train+ID',"&amp;"'Data.Warning%2FEnforcement+Type','Data.Target+Start+Milepost','Data.Target+Description','Data.Target+Speed',"&amp;"'Data.Enforcement+Train+Speed','Data.Enforcement+Start+Milepost','Data.Target+Type','Data.Enforcement+Direction+of+Travel','Message+ID',"&amp;"'Data.Body+of+Summary+Text','Data.Head+End+Track+name'),filters:!(),index:'emp_*',interval:auto,query:"&amp;"(query_string:(analyze_wildcard:!t,query:'Message%5C+ID:(2083+OR+2080+OR+1041+OR+2003+OR+1051+OR+1043+OR+1053)+AND+%22rtdc.l.rtdc."&amp;B138&amp;"%22')),sort:!(Time.ISO8601,asc))"</f>
        <v>https://d0f6bd738d7f1b3e5a7ca70fe4ff75f0.us-east-1.aws.found.io/app/kibana#/discover/Steve-Slow-Train-Analysis-(2080s-and-2083s)?_g=(refreshInterval:(display:Off,pause:!f,section:0,value:0),time:(from:'2017-02-05T18:55:55-0700',mode:absolute,to:'2017-02-05T21:36:25-0700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4016%22')),sort:!(Time.ISO8601,asc))</v>
      </c>
      <c r="W138" s="192" t="str">
        <f>IF(AA138&lt;IF(AG138="EC",23,5.65),"Y","N")</f>
        <v>N</v>
      </c>
      <c r="X138" s="192">
        <f>VALUE(LEFT(AD138,4))-VALUE(LEFT(AD137,4))</f>
        <v>1</v>
      </c>
      <c r="Y138" s="62">
        <f>RIGHT(D138,LEN(D138)-4)/10000</f>
        <v>4.4600000000000001E-2</v>
      </c>
      <c r="Z138" s="62">
        <f>RIGHT(H138,LEN(H138)-4)/10000</f>
        <v>23.330200000000001</v>
      </c>
      <c r="AA138" s="62">
        <f>ABS(Z138-Y138)</f>
        <v>23.285600000000002</v>
      </c>
      <c r="AB138" s="59" t="e">
        <f>VLOOKUP(A138,Enforcements!$C$7:$K$16,8,0)</f>
        <v>#N/A</v>
      </c>
      <c r="AC138" s="55" t="e">
        <f>VLOOKUP(A138,Enforcements!$C$7:$E$16,3,0)</f>
        <v>#N/A</v>
      </c>
      <c r="AD138" s="56" t="str">
        <f>IF(LEN(A138)=6,"0"&amp;A138,A138)</f>
        <v>0225-05</v>
      </c>
      <c r="AE138" s="85" t="str">
        <f>"aws s3 cp "&amp;s3_bucket&amp;"/RTDC"&amp;B138&amp;"/ "&amp;search_path&amp;"\RTDC"&amp;B138&amp;"\"&amp;TEXT(F138,"YYYY-MM-DD")&amp;" --exclude ""*"" --recursive --include ""*"&amp;TEXT(F138,"YYYYMMDD")&amp;"*"" &amp; """&amp;walkandungz&amp;""" "&amp;search_path&amp;"\RTDC"&amp;B138&amp;"\"&amp;TEXT(F138,"YYYY-MM-DD")
&amp;" &amp; "&amp;"aws s3 cp "&amp;s3_bucket&amp;"/RTDC"&amp;B138&amp;"/ "&amp;search_path&amp;"\RTDC"&amp;B138&amp;"\"&amp;TEXT(F138+1,"YYYY-MM-DD")&amp;" --exclude ""*"" --recursive --include ""*"&amp;TEXT(F138+1,"YYYYMMDD")&amp;"*"" &amp; """&amp;walkandungz&amp;""" "&amp;search_path&amp;"\RTDC"&amp;B138&amp;"\"&amp;TEXT(F138+1,"YYYY-MM-DD")</f>
        <v>aws s3 cp s3://rtdc.mdm.uploadarchive.raw/RTDC4016/ "%USERPROFILE%\AppData\Local\Temp\OnboardLogs"\RTDC4016\2017-02-05 --exclude "*" --recursive --include "*20170205*" &amp; "%USERPROFILE%\Documents\GitHub\mrs-test-scripts\Headless Mode &amp; Sideloading\WalkAndUnGZ.bat" "%USERPROFILE%\AppData\Local\Temp\OnboardLogs"\RTDC4016\2017-02-05 &amp; aws s3 cp s3://rtdc.mdm.uploadarchive.raw/RTDC4016/ "%USERPROFILE%\AppData\Local\Temp\OnboardLogs"\RTDC4016\2017-02-06 --exclude "*" --recursive --include "*20170206*" &amp; "%USERPROFILE%\Documents\GitHub\mrs-test-scripts\Headless Mode &amp; Sideloading\WalkAndUnGZ.bat" "%USERPROFILE%\AppData\Local\Temp\OnboardLogs"\RTDC4016\2017-02-06</v>
      </c>
      <c r="AF138" s="82" t="str">
        <f>astrogrep_path&amp;" /spath="&amp;search_path&amp;" /stypes=""app*"&amp;B138&amp;"*"&amp;TEXT(I138-utc_offset/24,"YYYYMMDD")&amp;"*"" /stext="" "&amp;TEXT(I138-utc_offset/24,"HH")&amp;search_regexp&amp;""" /e /r /s"</f>
        <v>"C:\Program Files (x86)\AstroGrep\AstroGrep.exe" /spath="%USERPROFILE%\AppData\Local\Temp\OnboardLogs" /stypes="app*4016*20170206*" /stext=" 03:.+((SYSTEM_STATE.+slice.+state.+changed )|(ment ac)|(multiple cpu faults)|(system.+state.+changed )|(\[timeout)|(PRM\|1\|D)|(kpr)|(kdp)|(\|lc)|(penalty))" /e /r /s</v>
      </c>
      <c r="AG138" s="1" t="str">
        <f>IFERROR(IF(VALUE(LEFT(AD138,2))&lt;=2,"EC",IF(OR(VALUE(LEFT(AD138,2))=8,VALUE(LEFT(AD138,2))=18),"NW","Other")),"Other")</f>
        <v>EC</v>
      </c>
      <c r="AH138" s="86" t="str">
        <f t="shared" si="7"/>
        <v>"%USERPROFILE%\Documents\GitHub\eaglep3\Utilities\RefineRTDCRunTimes.py" --tripid 225-05 --locoid 4016 --swversion DE.1.0.8.0 --startMP 204:446 --initTime 2017-02-05T19:55:55 --startdatetime 2017-02-05T20:00:23 --delay 1 --endMP 204:233302 --enddatetime 2017-02-05T20:36:25 --enforcementcount 0 &gt;&gt;C:\Users\stu\Documents\GitHub\eaglep3-reporting\EC\2017-02-05-refined-times.txt</v>
      </c>
      <c r="AI138" s="108" t="str">
        <f t="shared" si="8"/>
        <v>echo {"issue":{"subject":"","project_id":79,"tracker_id":40,"status_id":1,"priority_id":2,"assigned_to_id":23,"start_date":"2017-02-05","description":"","custom_fields":[{"id":1,"name":"Subdivision","value":"EC"},{"id":4,"name":"Milepost","value":"23.3302"},{"id":17,"name":"Train ID","value":"225-05"},{"id":16,"name":"Locomotive ID","value":"4016"},{"id":130,"name":"Impact","value":""},{"id":150,"name":"Time of Event (Mountain Time)","value":"20:36:25"},{"id":151,"name":"Denver Issue ID","value":""},{"id":178,"name":"Operational Impact","value":"Yes"},{"id":179,"name":"Denver Segment Assigned","value":""}]}} | curl -X POST -H "Content-Type: application/json" -H "X-Redmine-API-Key: d6333d4a04012a730768444271f8ca06482dae87" https://secure.xorail.net/redmine/issues.json --data @-</v>
      </c>
      <c r="AJ138" s="48"/>
      <c r="AK138" s="48"/>
      <c r="AL138" s="48"/>
      <c r="AM138" s="158" t="str">
        <f t="shared" si="9"/>
        <v>start /low /b %USERPROFILE%\Documents\GitHub\eaglep3\Utilities\DownloadLogsFromS3.py --loco 4016 --day 2017-02-05</v>
      </c>
      <c r="AN138" s="167" t="str">
        <f>"grep -SE -B400 ""CHR.+\|PRM\|1\|D.+(SWITCH|SIGNAL).+UNKNOWN"" "&amp;search_path&amp;"\RTDC"&amp;B138&amp;"\*"&amp;B138&amp;"*"&amp;TEXT(AVERAGE(F138,I138)-utc_offset/24,"YYYYMMDD")&amp;"* | grep -SE ""(Enforcement Action)|(\[TIMEOUT)|(CHR.+\|PRM\|1\|D.+(SWITCH|SIGNAL).+UNKNOWN)"" - &gt;&gt; "&amp;TEXT(Variables!$A$2,"YYYY-MM-DD")&amp;"-UncaughtWiMAX.txt"</f>
        <v>grep -SE -B400 "CHR.+\|PRM\|1\|D.+(SWITCH|SIGNAL).+UNKNOWN" "%USERPROFILE%\AppData\Local\Temp\OnboardLogs"\RTDC4016\*4016*20170206* | grep -SE "(Enforcement Action)|(\[TIMEOUT)|(CHR.+\|PRM\|1\|D.+(SWITCH|SIGNAL).+UNKNOWN)" - &gt;&gt; 2017-02-05-UncaughtWiMAX.txt</v>
      </c>
      <c r="AO138"/>
      <c r="AP138"/>
      <c r="AQ138"/>
      <c r="AR138"/>
      <c r="AS138"/>
      <c r="AT138"/>
      <c r="AU138"/>
      <c r="AV138"/>
      <c r="AW138"/>
      <c r="AX138"/>
      <c r="AY138"/>
      <c r="AZ138"/>
      <c r="BA138"/>
      <c r="BB138"/>
      <c r="BC138"/>
      <c r="BD138"/>
      <c r="BE138"/>
      <c r="BF138"/>
      <c r="BG138"/>
      <c r="BH138"/>
      <c r="BI138"/>
      <c r="BJ138"/>
      <c r="BK138"/>
      <c r="BL138"/>
      <c r="BM138"/>
      <c r="BN138"/>
      <c r="BO138"/>
      <c r="BP138"/>
      <c r="BQ138"/>
      <c r="BR138"/>
      <c r="BS138"/>
      <c r="BT138"/>
      <c r="BU138"/>
      <c r="BV138"/>
      <c r="BW138"/>
      <c r="BX138"/>
      <c r="BY138"/>
      <c r="BZ138"/>
      <c r="CA138"/>
      <c r="CB138"/>
      <c r="CC138"/>
      <c r="CD138"/>
      <c r="CE138"/>
      <c r="CF138"/>
      <c r="CG138"/>
      <c r="CH138"/>
      <c r="CI138"/>
      <c r="CJ138"/>
      <c r="CK138"/>
      <c r="CL138"/>
      <c r="CM138"/>
    </row>
    <row r="139" spans="1:91" s="20" customFormat="1" x14ac:dyDescent="0.25">
      <c r="A139" s="33" t="s">
        <v>716</v>
      </c>
      <c r="B139" s="7">
        <v>4015</v>
      </c>
      <c r="C139" s="21" t="s">
        <v>193</v>
      </c>
      <c r="D139" s="21" t="s">
        <v>845</v>
      </c>
      <c r="E139" s="13">
        <v>42771.864664351851</v>
      </c>
      <c r="F139" s="13">
        <v>42771.872499999998</v>
      </c>
      <c r="G139" s="7">
        <v>2</v>
      </c>
      <c r="H139" s="21" t="s">
        <v>213</v>
      </c>
      <c r="I139" s="13">
        <v>42771.899756944447</v>
      </c>
      <c r="J139" s="7">
        <v>0</v>
      </c>
      <c r="K139" s="98" t="str">
        <f>IF(ISEVEN(B139),(B139-1)&amp;"/"&amp;B139,B139&amp;"/"&amp;(B139+1))</f>
        <v>4015/4016</v>
      </c>
      <c r="L139" s="21" t="str">
        <f>VLOOKUP(A139,'Trips&amp;Operators'!$C$1:$G$99999,5,FALSE)</f>
        <v>SMITH MICHAEL</v>
      </c>
      <c r="M139" s="6">
        <f>I139-F139</f>
        <v>2.7256944449618459E-2</v>
      </c>
      <c r="N139" s="7">
        <f>24*60*SUM($M139:$M139)</f>
        <v>39.250000007450581</v>
      </c>
      <c r="O139" s="7"/>
      <c r="P139" s="7"/>
      <c r="Q139" s="22"/>
      <c r="R139" s="22"/>
      <c r="S139" s="31">
        <f>SUM(U139:U139)/IF(AG139="EC",12,1)</f>
        <v>1</v>
      </c>
      <c r="T139" s="46" t="str">
        <f>IF(ISEVEN(LEFT(AD139,4)),"Southbound","NorthBound")</f>
        <v>Southbound</v>
      </c>
      <c r="U139" s="190">
        <f>IF(AG139="EC",COUNTIFS(Variables!$M$2:$M$19,IF(T139="NorthBound","&gt;=","&lt;=")&amp;Y139,Variables!$M$2:$M$19,IF(T139="NorthBound","&lt;=","&gt;=")&amp;Z139),COUNTIFS(Variables!$P$2:$P$19,IF(T139="NorthBound","&gt;=","&lt;=")&amp;Y139,Variables!$P$2:$P$19,IF(T139="NorthBound","&lt;=","&gt;=")&amp;Z139))</f>
        <v>12</v>
      </c>
      <c r="V139" s="191" t="str">
        <f>"https://d0f6bd738d7f1b3e5a7ca70fe4ff75f0.us-east-1.aws.found.io/app/kibana#/discover/Steve-Slow-Train-Analysis-(2080s-and-2083s)?_g="&amp;"(refreshInterval:(display:Off,pause:!f,section:0,value:0),time:(from:'"&amp;TEXT(E139-1/24,"yyyy-MM-DDThh:mm:ss")&amp;utc_offset&amp;"00"&amp;"',mode:absolute,to:'"&amp;TEXT(I139+1/24,"yyyy-MM-DDThh:mm:ss")&amp;utc_offset&amp;"00"&amp;"'))&amp;_a=(columns:!('Locomotive+ID','Data.Head+End+Milepost',Data.Speed,'Data.Locomotive+State','Data.Train+ID',"&amp;"'Data.Warning%2FEnforcement+Type','Data.Target+Start+Milepost','Data.Target+Description','Data.Target+Speed',"&amp;"'Data.Enforcement+Train+Speed','Data.Enforcement+Start+Milepost','Data.Target+Type','Data.Enforcement+Direction+of+Travel','Message+ID',"&amp;"'Data.Body+of+Summary+Text','Data.Head+End+Track+name'),filters:!(),index:'emp_*',interval:auto,query:"&amp;"(query_string:(analyze_wildcard:!t,query:'Message%5C+ID:(2083+OR+2080+OR+1041+OR+2003+OR+1051+OR+1043+OR+1053)+AND+%22rtdc.l.rtdc."&amp;B139&amp;"%22')),sort:!(Time.ISO8601,asc))"</f>
        <v>https://d0f6bd738d7f1b3e5a7ca70fe4ff75f0.us-east-1.aws.found.io/app/kibana#/discover/Steve-Slow-Train-Analysis-(2080s-and-2083s)?_g=(refreshInterval:(display:Off,pause:!f,section:0,value:0),time:(from:'2017-02-05T19:45:07-0700',mode:absolute,to:'2017-02-05T22:35:39-0700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4015%22')),sort:!(Time.ISO8601,asc))</v>
      </c>
      <c r="W139" s="192" t="str">
        <f>IF(AA139&lt;IF(AG139="EC",23,5.65),"Y","N")</f>
        <v>N</v>
      </c>
      <c r="X139" s="192">
        <f>VALUE(LEFT(AD139,4))-VALUE(LEFT(AD138,4))</f>
        <v>1</v>
      </c>
      <c r="Y139" s="62">
        <f>RIGHT(D139,LEN(D139)-4)/10000</f>
        <v>23.2989</v>
      </c>
      <c r="Z139" s="62">
        <f>RIGHT(H139,LEN(H139)-4)/10000</f>
        <v>1.5800000000000002E-2</v>
      </c>
      <c r="AA139" s="62">
        <f>ABS(Z139-Y139)</f>
        <v>23.283100000000001</v>
      </c>
      <c r="AB139" s="59" t="e">
        <f>VLOOKUP(A139,Enforcements!$C$7:$K$16,8,0)</f>
        <v>#N/A</v>
      </c>
      <c r="AC139" s="55" t="e">
        <f>VLOOKUP(A139,Enforcements!$C$7:$E$16,3,0)</f>
        <v>#N/A</v>
      </c>
      <c r="AD139" s="56" t="str">
        <f>IF(LEN(A139)=6,"0"&amp;A139,A139)</f>
        <v>0226-05</v>
      </c>
      <c r="AE139" s="85" t="str">
        <f>"aws s3 cp "&amp;s3_bucket&amp;"/RTDC"&amp;B139&amp;"/ "&amp;search_path&amp;"\RTDC"&amp;B139&amp;"\"&amp;TEXT(F139,"YYYY-MM-DD")&amp;" --exclude ""*"" --recursive --include ""*"&amp;TEXT(F139,"YYYYMMDD")&amp;"*"" &amp; """&amp;walkandungz&amp;""" "&amp;search_path&amp;"\RTDC"&amp;B139&amp;"\"&amp;TEXT(F139,"YYYY-MM-DD")
&amp;" &amp; "&amp;"aws s3 cp "&amp;s3_bucket&amp;"/RTDC"&amp;B139&amp;"/ "&amp;search_path&amp;"\RTDC"&amp;B139&amp;"\"&amp;TEXT(F139+1,"YYYY-MM-DD")&amp;" --exclude ""*"" --recursive --include ""*"&amp;TEXT(F139+1,"YYYYMMDD")&amp;"*"" &amp; """&amp;walkandungz&amp;""" "&amp;search_path&amp;"\RTDC"&amp;B139&amp;"\"&amp;TEXT(F139+1,"YYYY-MM-DD")</f>
        <v>aws s3 cp s3://rtdc.mdm.uploadarchive.raw/RTDC4015/ "%USERPROFILE%\AppData\Local\Temp\OnboardLogs"\RTDC4015\2017-02-05 --exclude "*" --recursive --include "*20170205*" &amp; "%USERPROFILE%\Documents\GitHub\mrs-test-scripts\Headless Mode &amp; Sideloading\WalkAndUnGZ.bat" "%USERPROFILE%\AppData\Local\Temp\OnboardLogs"\RTDC4015\2017-02-05 &amp; aws s3 cp s3://rtdc.mdm.uploadarchive.raw/RTDC4015/ "%USERPROFILE%\AppData\Local\Temp\OnboardLogs"\RTDC4015\2017-02-06 --exclude "*" --recursive --include "*20170206*" &amp; "%USERPROFILE%\Documents\GitHub\mrs-test-scripts\Headless Mode &amp; Sideloading\WalkAndUnGZ.bat" "%USERPROFILE%\AppData\Local\Temp\OnboardLogs"\RTDC4015\2017-02-06</v>
      </c>
      <c r="AF139" s="82" t="str">
        <f>astrogrep_path&amp;" /spath="&amp;search_path&amp;" /stypes=""app*"&amp;B139&amp;"*"&amp;TEXT(I139-utc_offset/24,"YYYYMMDD")&amp;"*"" /stext="" "&amp;TEXT(I139-utc_offset/24,"HH")&amp;search_regexp&amp;""" /e /r /s"</f>
        <v>"C:\Program Files (x86)\AstroGrep\AstroGrep.exe" /spath="%USERPROFILE%\AppData\Local\Temp\OnboardLogs" /stypes="app*4015*20170206*" /stext=" 04:.+((SYSTEM_STATE.+slice.+state.+changed )|(ment ac)|(multiple cpu faults)|(system.+state.+changed )|(\[timeout)|(PRM\|1\|D)|(kpr)|(kdp)|(\|lc)|(penalty))" /e /r /s</v>
      </c>
      <c r="AG139" s="1" t="str">
        <f>IFERROR(IF(VALUE(LEFT(AD139,2))&lt;=2,"EC",IF(OR(VALUE(LEFT(AD139,2))=8,VALUE(LEFT(AD139,2))=18),"NW","Other")),"Other")</f>
        <v>EC</v>
      </c>
      <c r="AH139" s="86" t="str">
        <f t="shared" si="7"/>
        <v>"%USERPROFILE%\Documents\GitHub\eaglep3\Utilities\RefineRTDCRunTimes.py" --tripid 226-05 --locoid 4015 --swversion DE.1.0.8.0 --startMP 204:232989 --initTime 2017-02-05T20:45:07 --startdatetime 2017-02-05T20:56:24 --delay 2 --endMP 204:158 --enddatetime 2017-02-05T21:35:39 --enforcementcount 0 &gt;&gt;C:\Users\stu\Documents\GitHub\eaglep3-reporting\EC\2017-02-05-refined-times.txt</v>
      </c>
      <c r="AI139" s="108" t="str">
        <f t="shared" si="8"/>
        <v>echo {"issue":{"subject":"","project_id":79,"tracker_id":40,"status_id":1,"priority_id":2,"assigned_to_id":23,"start_date":"2017-02-05","description":"","custom_fields":[{"id":1,"name":"Subdivision","value":"EC"},{"id":4,"name":"Milepost","value":"0.0158"},{"id":17,"name":"Train ID","value":"226-05"},{"id":16,"name":"Locomotive ID","value":"4015"},{"id":130,"name":"Impact","value":""},{"id":150,"name":"Time of Event (Mountain Time)","value":"21:35:39"},{"id":151,"name":"Denver Issue ID","value":""},{"id":178,"name":"Operational Impact","value":"Yes"},{"id":179,"name":"Denver Segment Assigned","value":""}]}} | curl -X POST -H "Content-Type: application/json" -H "X-Redmine-API-Key: d6333d4a04012a730768444271f8ca06482dae87" https://secure.xorail.net/redmine/issues.json --data @-</v>
      </c>
      <c r="AJ139" s="48"/>
      <c r="AK139" s="48"/>
      <c r="AL139" s="48"/>
      <c r="AM139" s="158" t="str">
        <f t="shared" si="9"/>
        <v>start /low /b %USERPROFILE%\Documents\GitHub\eaglep3\Utilities\DownloadLogsFromS3.py --loco 4015 --day 2017-02-05</v>
      </c>
      <c r="AN139" s="167" t="str">
        <f>"grep -SE -B400 ""CHR.+\|PRM\|1\|D.+(SWITCH|SIGNAL).+UNKNOWN"" "&amp;search_path&amp;"\RTDC"&amp;B139&amp;"\*"&amp;B139&amp;"*"&amp;TEXT(AVERAGE(F139,I139)-utc_offset/24,"YYYYMMDD")&amp;"* | grep -SE ""(Enforcement Action)|(\[TIMEOUT)|(CHR.+\|PRM\|1\|D.+(SWITCH|SIGNAL).+UNKNOWN)"" - &gt;&gt; "&amp;TEXT(Variables!$A$2,"YYYY-MM-DD")&amp;"-UncaughtWiMAX.txt"</f>
        <v>grep -SE -B400 "CHR.+\|PRM\|1\|D.+(SWITCH|SIGNAL).+UNKNOWN" "%USERPROFILE%\AppData\Local\Temp\OnboardLogs"\RTDC4015\*4015*20170206* | grep -SE "(Enforcement Action)|(\[TIMEOUT)|(CHR.+\|PRM\|1\|D.+(SWITCH|SIGNAL).+UNKNOWN)" - &gt;&gt; 2017-02-05-UncaughtWiMAX.txt</v>
      </c>
      <c r="AO139"/>
      <c r="AP139"/>
      <c r="AQ139"/>
      <c r="AR139"/>
      <c r="AS139"/>
      <c r="AT139"/>
      <c r="AU139"/>
      <c r="AV139"/>
      <c r="AW139"/>
      <c r="AX139"/>
      <c r="AY139"/>
      <c r="AZ139"/>
      <c r="BA139"/>
      <c r="BB139"/>
      <c r="BC139"/>
      <c r="BD139"/>
      <c r="BE139"/>
      <c r="BF139"/>
      <c r="BG139"/>
      <c r="BH139"/>
      <c r="BI139"/>
      <c r="BJ139"/>
      <c r="BK139"/>
      <c r="BL139"/>
      <c r="BM139"/>
      <c r="BN139"/>
      <c r="BO139"/>
      <c r="BP139"/>
      <c r="BQ139"/>
      <c r="BR139"/>
      <c r="BS139"/>
      <c r="BT139"/>
      <c r="BU139"/>
      <c r="BV139"/>
      <c r="BW139"/>
      <c r="BX139"/>
      <c r="BY139"/>
      <c r="BZ139"/>
      <c r="CA139"/>
      <c r="CB139"/>
      <c r="CC139"/>
      <c r="CD139"/>
      <c r="CE139"/>
      <c r="CF139"/>
      <c r="CG139"/>
      <c r="CH139"/>
      <c r="CI139"/>
      <c r="CJ139"/>
      <c r="CK139"/>
      <c r="CL139"/>
      <c r="CM139"/>
    </row>
    <row r="140" spans="1:91" s="20" customFormat="1" x14ac:dyDescent="0.25">
      <c r="A140" s="33" t="s">
        <v>714</v>
      </c>
      <c r="B140" s="7">
        <v>4022</v>
      </c>
      <c r="C140" s="21" t="s">
        <v>193</v>
      </c>
      <c r="D140" s="21" t="s">
        <v>275</v>
      </c>
      <c r="E140" s="13">
        <v>42771.848958333336</v>
      </c>
      <c r="F140" s="13">
        <v>42771.854583333334</v>
      </c>
      <c r="G140" s="7">
        <v>1</v>
      </c>
      <c r="H140" s="21" t="s">
        <v>846</v>
      </c>
      <c r="I140" s="13">
        <v>42771.88008101852</v>
      </c>
      <c r="J140" s="7">
        <v>0</v>
      </c>
      <c r="K140" s="98" t="str">
        <f>IF(ISEVEN(B140),(B140-1)&amp;"/"&amp;B140,B140&amp;"/"&amp;(B140+1))</f>
        <v>4021/4022</v>
      </c>
      <c r="L140" s="21" t="str">
        <f>VLOOKUP(A140,'Trips&amp;Operators'!$C$1:$G$99999,5,FALSE)</f>
        <v>YANG JAN</v>
      </c>
      <c r="M140" s="6">
        <f>I140-F140</f>
        <v>2.5497685186564922E-2</v>
      </c>
      <c r="N140" s="7">
        <f>24*60*SUM($M140:$M140)</f>
        <v>36.716666668653488</v>
      </c>
      <c r="O140" s="7"/>
      <c r="P140" s="7"/>
      <c r="Q140" s="22"/>
      <c r="R140" s="22"/>
      <c r="S140" s="31">
        <f>SUM(U140:U140)/IF(AG140="EC",12,1)</f>
        <v>1</v>
      </c>
      <c r="T140" s="46" t="str">
        <f>IF(ISEVEN(LEFT(AD140,4)),"Southbound","NorthBound")</f>
        <v>NorthBound</v>
      </c>
      <c r="U140" s="190">
        <f>IF(AG140="EC",COUNTIFS(Variables!$M$2:$M$19,IF(T140="NorthBound","&gt;=","&lt;=")&amp;Y140,Variables!$M$2:$M$19,IF(T140="NorthBound","&lt;=","&gt;=")&amp;Z140),COUNTIFS(Variables!$P$2:$P$19,IF(T140="NorthBound","&gt;=","&lt;=")&amp;Y140,Variables!$P$2:$P$19,IF(T140="NorthBound","&lt;=","&gt;=")&amp;Z140))</f>
        <v>12</v>
      </c>
      <c r="V140" s="191" t="str">
        <f>"https://d0f6bd738d7f1b3e5a7ca70fe4ff75f0.us-east-1.aws.found.io/app/kibana#/discover/Steve-Slow-Train-Analysis-(2080s-and-2083s)?_g="&amp;"(refreshInterval:(display:Off,pause:!f,section:0,value:0),time:(from:'"&amp;TEXT(E140-1/24,"yyyy-MM-DDThh:mm:ss")&amp;utc_offset&amp;"00"&amp;"',mode:absolute,to:'"&amp;TEXT(I140+1/24,"yyyy-MM-DDThh:mm:ss")&amp;utc_offset&amp;"00"&amp;"'))&amp;_a=(columns:!('Locomotive+ID','Data.Head+End+Milepost',Data.Speed,'Data.Locomotive+State','Data.Train+ID',"&amp;"'Data.Warning%2FEnforcement+Type','Data.Target+Start+Milepost','Data.Target+Description','Data.Target+Speed',"&amp;"'Data.Enforcement+Train+Speed','Data.Enforcement+Start+Milepost','Data.Target+Type','Data.Enforcement+Direction+of+Travel','Message+ID',"&amp;"'Data.Body+of+Summary+Text','Data.Head+End+Track+name'),filters:!(),index:'emp_*',interval:auto,query:"&amp;"(query_string:(analyze_wildcard:!t,query:'Message%5C+ID:(2083+OR+2080+OR+1041+OR+2003+OR+1051+OR+1043+OR+1053)+AND+%22rtdc.l.rtdc."&amp;B140&amp;"%22')),sort:!(Time.ISO8601,asc))"</f>
        <v>https://d0f6bd738d7f1b3e5a7ca70fe4ff75f0.us-east-1.aws.found.io/app/kibana#/discover/Steve-Slow-Train-Analysis-(2080s-and-2083s)?_g=(refreshInterval:(display:Off,pause:!f,section:0,value:0),time:(from:'2017-02-05T19:22:30-0700',mode:absolute,to:'2017-02-05T22:07:19-0700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4022%22')),sort:!(Time.ISO8601,asc))</v>
      </c>
      <c r="W140" s="192" t="str">
        <f>IF(AA140&lt;IF(AG140="EC",23,5.65),"Y","N")</f>
        <v>N</v>
      </c>
      <c r="X140" s="192">
        <f>VALUE(LEFT(AD140,4))-VALUE(LEFT(AD139,4))</f>
        <v>1</v>
      </c>
      <c r="Y140" s="62">
        <f>RIGHT(D140,LEN(D140)-4)/10000</f>
        <v>4.53E-2</v>
      </c>
      <c r="Z140" s="62">
        <f>RIGHT(H140,LEN(H140)-4)/10000</f>
        <v>23.3276</v>
      </c>
      <c r="AA140" s="62">
        <f>ABS(Z140-Y140)</f>
        <v>23.282299999999999</v>
      </c>
      <c r="AB140" s="59" t="e">
        <f>VLOOKUP(A140,Enforcements!$C$7:$K$16,8,0)</f>
        <v>#N/A</v>
      </c>
      <c r="AC140" s="55" t="e">
        <f>VLOOKUP(A140,Enforcements!$C$7:$E$16,3,0)</f>
        <v>#N/A</v>
      </c>
      <c r="AD140" s="56" t="str">
        <f>IF(LEN(A140)=6,"0"&amp;A140,A140)</f>
        <v>0227-05</v>
      </c>
      <c r="AE140" s="85" t="str">
        <f>"aws s3 cp "&amp;s3_bucket&amp;"/RTDC"&amp;B140&amp;"/ "&amp;search_path&amp;"\RTDC"&amp;B140&amp;"\"&amp;TEXT(F140,"YYYY-MM-DD")&amp;" --exclude ""*"" --recursive --include ""*"&amp;TEXT(F140,"YYYYMMDD")&amp;"*"" &amp; """&amp;walkandungz&amp;""" "&amp;search_path&amp;"\RTDC"&amp;B140&amp;"\"&amp;TEXT(F140,"YYYY-MM-DD")
&amp;" &amp; "&amp;"aws s3 cp "&amp;s3_bucket&amp;"/RTDC"&amp;B140&amp;"/ "&amp;search_path&amp;"\RTDC"&amp;B140&amp;"\"&amp;TEXT(F140+1,"YYYY-MM-DD")&amp;" --exclude ""*"" --recursive --include ""*"&amp;TEXT(F140+1,"YYYYMMDD")&amp;"*"" &amp; """&amp;walkandungz&amp;""" "&amp;search_path&amp;"\RTDC"&amp;B140&amp;"\"&amp;TEXT(F140+1,"YYYY-MM-DD")</f>
        <v>aws s3 cp s3://rtdc.mdm.uploadarchive.raw/RTDC4022/ "%USERPROFILE%\AppData\Local\Temp\OnboardLogs"\RTDC4022\2017-02-05 --exclude "*" --recursive --include "*20170205*" &amp; "%USERPROFILE%\Documents\GitHub\mrs-test-scripts\Headless Mode &amp; Sideloading\WalkAndUnGZ.bat" "%USERPROFILE%\AppData\Local\Temp\OnboardLogs"\RTDC4022\2017-02-05 &amp; aws s3 cp s3://rtdc.mdm.uploadarchive.raw/RTDC4022/ "%USERPROFILE%\AppData\Local\Temp\OnboardLogs"\RTDC4022\2017-02-06 --exclude "*" --recursive --include "*20170206*" &amp; "%USERPROFILE%\Documents\GitHub\mrs-test-scripts\Headless Mode &amp; Sideloading\WalkAndUnGZ.bat" "%USERPROFILE%\AppData\Local\Temp\OnboardLogs"\RTDC4022\2017-02-06</v>
      </c>
      <c r="AF140" s="82" t="str">
        <f>astrogrep_path&amp;" /spath="&amp;search_path&amp;" /stypes=""app*"&amp;B140&amp;"*"&amp;TEXT(I140-utc_offset/24,"YYYYMMDD")&amp;"*"" /stext="" "&amp;TEXT(I140-utc_offset/24,"HH")&amp;search_regexp&amp;""" /e /r /s"</f>
        <v>"C:\Program Files (x86)\AstroGrep\AstroGrep.exe" /spath="%USERPROFILE%\AppData\Local\Temp\OnboardLogs" /stypes="app*4022*20170206*" /stext=" 04:.+((SYSTEM_STATE.+slice.+state.+changed )|(ment ac)|(multiple cpu faults)|(system.+state.+changed )|(\[timeout)|(PRM\|1\|D)|(kpr)|(kdp)|(\|lc)|(penalty))" /e /r /s</v>
      </c>
      <c r="AG140" s="1" t="str">
        <f>IFERROR(IF(VALUE(LEFT(AD140,2))&lt;=2,"EC",IF(OR(VALUE(LEFT(AD140,2))=8,VALUE(LEFT(AD140,2))=18),"NW","Other")),"Other")</f>
        <v>EC</v>
      </c>
      <c r="AH140" s="86" t="str">
        <f t="shared" ref="AH140:AH199" si="10">refinertdcruntimes&amp;" --tripid "&amp;A140&amp;" --locoid "&amp;B140&amp;" --swversion "&amp;C140&amp;" --startMP "&amp;D140&amp;" --initTime "&amp;TEXT(E140,"yyyy-mm-ddTHH:MM:SS")&amp;" --startdatetime "&amp;TEXT(F140,"yyyy-mm-ddTHH:MM:SS")&amp;" --delay "&amp;G140&amp;" --endMP "&amp;H140&amp;" --enddatetime "&amp;TEXT(I140,"yyyy-mm-ddTHH:MM:SS")&amp;" --enforcementcount "&amp;J140&amp;IF(outputrefinedruntimes," &gt;&gt;"&amp;RefinedRTDCRunTimesOutputFile,"")</f>
        <v>"%USERPROFILE%\Documents\GitHub\eaglep3\Utilities\RefineRTDCRunTimes.py" --tripid 227-05 --locoid 4022 --swversion DE.1.0.8.0 --startMP 204:453 --initTime 2017-02-05T20:22:30 --startdatetime 2017-02-05T20:30:36 --delay 1 --endMP 204:233276 --enddatetime 2017-02-05T21:07:19 --enforcementcount 0 &gt;&gt;C:\Users\stu\Documents\GitHub\eaglep3-reporting\EC\2017-02-05-refined-times.txt</v>
      </c>
      <c r="AI140" s="108" t="str">
        <f t="shared" ref="AI140:AI199" si="11">"echo {""issue"":{""subject"":"""&amp;R140&amp;""",""project_id"":79,""tracker_id"":40,""status_id"":"&amp;redmine_status&amp;",""priority_id"":"&amp;redmine_priority&amp;",""assigned_to_id"":"&amp;redmine_assignee&amp;",""start_date"":"""&amp;TEXT(I140,"YYYY-mm-dd")&amp;""",""description"":"""&amp;AJ140&amp;""",""custom_fields"":[{""id"":1,""name"":""Subdivision"",""value"":"""&amp;AG140&amp;"""},{""id"":4,""name"":""Milepost"",""value"":"""&amp;Z140&amp;"""},{""id"":17,""name"":""Train ID"",""value"":"""&amp;A140&amp;"""},{""id"":16,""name"":""Locomotive ID"",""value"":"""&amp;B140&amp;"""},{""id"":130,""name"":""Impact"",""value"":"""&amp;AK140&amp;"""},{""id"":150,""name"":""Time of Event (Mountain Time)"",""value"":"""&amp;TEXT(I140,"hh:mm:ss")&amp;"""},{""id"":151,""name"":""Denver Issue ID"",""value"":"""&amp;"""},{""id"":178,""name"":""Operational Impact"",""value"":"""&amp;redmine_op_impact&amp;"""},{""id"":179,""name"":""Denver Segment Assigned"",""value"":"""&amp;AL140&amp;"""}]}}"&amp;" | curl -X POST -H ""Content-Type: application/json"" -H ""X-Redmine-API-Key: "&amp;redm_api_key&amp;""" "&amp;redm_url&amp;" --data @-"</f>
        <v>echo {"issue":{"subject":"","project_id":79,"tracker_id":40,"status_id":1,"priority_id":2,"assigned_to_id":23,"start_date":"2017-02-05","description":"","custom_fields":[{"id":1,"name":"Subdivision","value":"EC"},{"id":4,"name":"Milepost","value":"23.3276"},{"id":17,"name":"Train ID","value":"227-05"},{"id":16,"name":"Locomotive ID","value":"4022"},{"id":130,"name":"Impact","value":""},{"id":150,"name":"Time of Event (Mountain Time)","value":"21:07:19"},{"id":151,"name":"Denver Issue ID","value":""},{"id":178,"name":"Operational Impact","value":"Yes"},{"id":179,"name":"Denver Segment Assigned","value":""}]}} | curl -X POST -H "Content-Type: application/json" -H "X-Redmine-API-Key: d6333d4a04012a730768444271f8ca06482dae87" https://secure.xorail.net/redmine/issues.json --data @-</v>
      </c>
      <c r="AJ140" s="48"/>
      <c r="AK140" s="48"/>
      <c r="AL140" s="48"/>
      <c r="AM140" s="158" t="str">
        <f t="shared" ref="AM140:AM199" si="12">"start /low /b "&amp;dls3logs&amp;" --loco "&amp;B140&amp;" --day "&amp;TEXT(F140,"YYYY-MM-DD")</f>
        <v>start /low /b %USERPROFILE%\Documents\GitHub\eaglep3\Utilities\DownloadLogsFromS3.py --loco 4022 --day 2017-02-05</v>
      </c>
      <c r="AN140" s="167" t="str">
        <f>"grep -SE -B400 ""CHR.+\|PRM\|1\|D.+(SWITCH|SIGNAL).+UNKNOWN"" "&amp;search_path&amp;"\RTDC"&amp;B140&amp;"\*"&amp;B140&amp;"*"&amp;TEXT(AVERAGE(F140,I140)-utc_offset/24,"YYYYMMDD")&amp;"* | grep -SE ""(Enforcement Action)|(\[TIMEOUT)|(CHR.+\|PRM\|1\|D.+(SWITCH|SIGNAL).+UNKNOWN)"" - &gt;&gt; "&amp;TEXT(Variables!$A$2,"YYYY-MM-DD")&amp;"-UncaughtWiMAX.txt"</f>
        <v>grep -SE -B400 "CHR.+\|PRM\|1\|D.+(SWITCH|SIGNAL).+UNKNOWN" "%USERPROFILE%\AppData\Local\Temp\OnboardLogs"\RTDC4022\*4022*20170206* | grep -SE "(Enforcement Action)|(\[TIMEOUT)|(CHR.+\|PRM\|1\|D.+(SWITCH|SIGNAL).+UNKNOWN)" - &gt;&gt; 2017-02-05-UncaughtWiMAX.txt</v>
      </c>
      <c r="AO140"/>
      <c r="AP140"/>
      <c r="AQ140"/>
      <c r="AR140"/>
      <c r="AS140"/>
      <c r="AT140"/>
      <c r="AU140"/>
      <c r="AV140"/>
      <c r="AW140"/>
      <c r="AX140"/>
      <c r="AY140"/>
      <c r="AZ140"/>
      <c r="BA140"/>
      <c r="BB140"/>
      <c r="BC140"/>
      <c r="BD140"/>
      <c r="BE140"/>
      <c r="BF140"/>
      <c r="BG140"/>
      <c r="BH140"/>
      <c r="BI140"/>
      <c r="BJ140"/>
      <c r="BK140"/>
      <c r="BL140"/>
      <c r="BM140"/>
      <c r="BN140"/>
      <c r="BO140"/>
      <c r="BP140"/>
      <c r="BQ140"/>
      <c r="BR140"/>
      <c r="BS140"/>
      <c r="BT140"/>
      <c r="BU140"/>
      <c r="BV140"/>
      <c r="BW140"/>
      <c r="BX140"/>
      <c r="BY140"/>
      <c r="BZ140"/>
      <c r="CA140"/>
      <c r="CB140"/>
      <c r="CC140"/>
      <c r="CD140"/>
      <c r="CE140"/>
      <c r="CF140"/>
      <c r="CG140"/>
      <c r="CH140"/>
      <c r="CI140"/>
      <c r="CJ140"/>
      <c r="CK140"/>
      <c r="CL140"/>
      <c r="CM140"/>
    </row>
    <row r="141" spans="1:91" s="20" customFormat="1" x14ac:dyDescent="0.25">
      <c r="A141" s="33" t="s">
        <v>720</v>
      </c>
      <c r="B141" s="7">
        <v>4021</v>
      </c>
      <c r="C141" s="21" t="s">
        <v>193</v>
      </c>
      <c r="D141" s="21" t="s">
        <v>332</v>
      </c>
      <c r="E141" s="13">
        <v>42771.891145833331</v>
      </c>
      <c r="F141" s="13">
        <v>42771.893530092595</v>
      </c>
      <c r="G141" s="7">
        <v>1</v>
      </c>
      <c r="H141" s="21" t="s">
        <v>289</v>
      </c>
      <c r="I141" s="13">
        <v>42771.924363425926</v>
      </c>
      <c r="J141" s="7">
        <v>0</v>
      </c>
      <c r="K141" s="98" t="str">
        <f>IF(ISEVEN(B141),(B141-1)&amp;"/"&amp;B141,B141&amp;"/"&amp;(B141+1))</f>
        <v>4021/4022</v>
      </c>
      <c r="L141" s="21" t="str">
        <f>VLOOKUP(A141,'Trips&amp;Operators'!$C$1:$G$99999,5,FALSE)</f>
        <v>YANG JAN</v>
      </c>
      <c r="M141" s="6">
        <f>I141-F141</f>
        <v>3.0833333330519963E-2</v>
      </c>
      <c r="N141" s="7">
        <f>24*60*SUM($M141:$M141)</f>
        <v>44.399999995948747</v>
      </c>
      <c r="O141" s="7"/>
      <c r="P141" s="7"/>
      <c r="Q141" s="22"/>
      <c r="R141" s="22"/>
      <c r="S141" s="31">
        <f>SUM(U141:U141)/IF(AG141="EC",12,1)</f>
        <v>1</v>
      </c>
      <c r="T141" s="46" t="str">
        <f>IF(ISEVEN(LEFT(AD141,4)),"Southbound","NorthBound")</f>
        <v>Southbound</v>
      </c>
      <c r="U141" s="190">
        <f>IF(AG141="EC",COUNTIFS(Variables!$M$2:$M$19,IF(T141="NorthBound","&gt;=","&lt;=")&amp;Y141,Variables!$M$2:$M$19,IF(T141="NorthBound","&lt;=","&gt;=")&amp;Z141),COUNTIFS(Variables!$P$2:$P$19,IF(T141="NorthBound","&gt;=","&lt;=")&amp;Y141,Variables!$P$2:$P$19,IF(T141="NorthBound","&lt;=","&gt;=")&amp;Z141))</f>
        <v>12</v>
      </c>
      <c r="V141" s="191" t="str">
        <f>"https://d0f6bd738d7f1b3e5a7ca70fe4ff75f0.us-east-1.aws.found.io/app/kibana#/discover/Steve-Slow-Train-Analysis-(2080s-and-2083s)?_g="&amp;"(refreshInterval:(display:Off,pause:!f,section:0,value:0),time:(from:'"&amp;TEXT(E141-1/24,"yyyy-MM-DDThh:mm:ss")&amp;utc_offset&amp;"00"&amp;"',mode:absolute,to:'"&amp;TEXT(I141+1/24,"yyyy-MM-DDThh:mm:ss")&amp;utc_offset&amp;"00"&amp;"'))&amp;_a=(columns:!('Locomotive+ID','Data.Head+End+Milepost',Data.Speed,'Data.Locomotive+State','Data.Train+ID',"&amp;"'Data.Warning%2FEnforcement+Type','Data.Target+Start+Milepost','Data.Target+Description','Data.Target+Speed',"&amp;"'Data.Enforcement+Train+Speed','Data.Enforcement+Start+Milepost','Data.Target+Type','Data.Enforcement+Direction+of+Travel','Message+ID',"&amp;"'Data.Body+of+Summary+Text','Data.Head+End+Track+name'),filters:!(),index:'emp_*',interval:auto,query:"&amp;"(query_string:(analyze_wildcard:!t,query:'Message%5C+ID:(2083+OR+2080+OR+1041+OR+2003+OR+1051+OR+1043+OR+1053)+AND+%22rtdc.l.rtdc."&amp;B141&amp;"%22')),sort:!(Time.ISO8601,asc))"</f>
        <v>https://d0f6bd738d7f1b3e5a7ca70fe4ff75f0.us-east-1.aws.found.io/app/kibana#/discover/Steve-Slow-Train-Analysis-(2080s-and-2083s)?_g=(refreshInterval:(display:Off,pause:!f,section:0,value:0),time:(from:'2017-02-05T20:23:15-0700',mode:absolute,to:'2017-02-05T23:11:05-0700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4021%22')),sort:!(Time.ISO8601,asc))</v>
      </c>
      <c r="W141" s="192" t="str">
        <f>IF(AA141&lt;IF(AG141="EC",23,5.65),"Y","N")</f>
        <v>N</v>
      </c>
      <c r="X141" s="192">
        <f>VALUE(LEFT(AD141,4))-VALUE(LEFT(AD140,4))</f>
        <v>1</v>
      </c>
      <c r="Y141" s="62">
        <f>RIGHT(D141,LEN(D141)-4)/10000</f>
        <v>23.298500000000001</v>
      </c>
      <c r="Z141" s="62">
        <f>RIGHT(H141,LEN(H141)-4)/10000</f>
        <v>1.5599999999999999E-2</v>
      </c>
      <c r="AA141" s="62">
        <f>ABS(Z141-Y141)</f>
        <v>23.282900000000001</v>
      </c>
      <c r="AB141" s="59" t="e">
        <f>VLOOKUP(A141,Enforcements!$C$7:$K$16,8,0)</f>
        <v>#N/A</v>
      </c>
      <c r="AC141" s="55" t="e">
        <f>VLOOKUP(A141,Enforcements!$C$7:$E$16,3,0)</f>
        <v>#N/A</v>
      </c>
      <c r="AD141" s="56" t="str">
        <f>IF(LEN(A141)=6,"0"&amp;A141,A141)</f>
        <v>0228-05</v>
      </c>
      <c r="AE141" s="85" t="str">
        <f>"aws s3 cp "&amp;s3_bucket&amp;"/RTDC"&amp;B141&amp;"/ "&amp;search_path&amp;"\RTDC"&amp;B141&amp;"\"&amp;TEXT(F141,"YYYY-MM-DD")&amp;" --exclude ""*"" --recursive --include ""*"&amp;TEXT(F141,"YYYYMMDD")&amp;"*"" &amp; """&amp;walkandungz&amp;""" "&amp;search_path&amp;"\RTDC"&amp;B141&amp;"\"&amp;TEXT(F141,"YYYY-MM-DD")
&amp;" &amp; "&amp;"aws s3 cp "&amp;s3_bucket&amp;"/RTDC"&amp;B141&amp;"/ "&amp;search_path&amp;"\RTDC"&amp;B141&amp;"\"&amp;TEXT(F141+1,"YYYY-MM-DD")&amp;" --exclude ""*"" --recursive --include ""*"&amp;TEXT(F141+1,"YYYYMMDD")&amp;"*"" &amp; """&amp;walkandungz&amp;""" "&amp;search_path&amp;"\RTDC"&amp;B141&amp;"\"&amp;TEXT(F141+1,"YYYY-MM-DD")</f>
        <v>aws s3 cp s3://rtdc.mdm.uploadarchive.raw/RTDC4021/ "%USERPROFILE%\AppData\Local\Temp\OnboardLogs"\RTDC4021\2017-02-05 --exclude "*" --recursive --include "*20170205*" &amp; "%USERPROFILE%\Documents\GitHub\mrs-test-scripts\Headless Mode &amp; Sideloading\WalkAndUnGZ.bat" "%USERPROFILE%\AppData\Local\Temp\OnboardLogs"\RTDC4021\2017-02-05 &amp; aws s3 cp s3://rtdc.mdm.uploadarchive.raw/RTDC4021/ "%USERPROFILE%\AppData\Local\Temp\OnboardLogs"\RTDC4021\2017-02-06 --exclude "*" --recursive --include "*20170206*" &amp; "%USERPROFILE%\Documents\GitHub\mrs-test-scripts\Headless Mode &amp; Sideloading\WalkAndUnGZ.bat" "%USERPROFILE%\AppData\Local\Temp\OnboardLogs"\RTDC4021\2017-02-06</v>
      </c>
      <c r="AF141" s="82" t="str">
        <f>astrogrep_path&amp;" /spath="&amp;search_path&amp;" /stypes=""app*"&amp;B141&amp;"*"&amp;TEXT(I141-utc_offset/24,"YYYYMMDD")&amp;"*"" /stext="" "&amp;TEXT(I141-utc_offset/24,"HH")&amp;search_regexp&amp;""" /e /r /s"</f>
        <v>"C:\Program Files (x86)\AstroGrep\AstroGrep.exe" /spath="%USERPROFILE%\AppData\Local\Temp\OnboardLogs" /stypes="app*4021*20170206*" /stext=" 05:.+((SYSTEM_STATE.+slice.+state.+changed )|(ment ac)|(multiple cpu faults)|(system.+state.+changed )|(\[timeout)|(PRM\|1\|D)|(kpr)|(kdp)|(\|lc)|(penalty))" /e /r /s</v>
      </c>
      <c r="AG141" s="1" t="str">
        <f>IFERROR(IF(VALUE(LEFT(AD141,2))&lt;=2,"EC",IF(OR(VALUE(LEFT(AD141,2))=8,VALUE(LEFT(AD141,2))=18),"NW","Other")),"Other")</f>
        <v>EC</v>
      </c>
      <c r="AH141" s="86" t="str">
        <f t="shared" si="10"/>
        <v>"%USERPROFILE%\Documents\GitHub\eaglep3\Utilities\RefineRTDCRunTimes.py" --tripid 228-05 --locoid 4021 --swversion DE.1.0.8.0 --startMP 204:232985 --initTime 2017-02-05T21:23:15 --startdatetime 2017-02-05T21:26:41 --delay 1 --endMP 204:156 --enddatetime 2017-02-05T22:11:05 --enforcementcount 0 &gt;&gt;C:\Users\stu\Documents\GitHub\eaglep3-reporting\EC\2017-02-05-refined-times.txt</v>
      </c>
      <c r="AI141" s="108" t="str">
        <f t="shared" si="11"/>
        <v>echo {"issue":{"subject":"","project_id":79,"tracker_id":40,"status_id":1,"priority_id":2,"assigned_to_id":23,"start_date":"2017-02-05","description":"","custom_fields":[{"id":1,"name":"Subdivision","value":"EC"},{"id":4,"name":"Milepost","value":"0.0156"},{"id":17,"name":"Train ID","value":"228-05"},{"id":16,"name":"Locomotive ID","value":"4021"},{"id":130,"name":"Impact","value":""},{"id":150,"name":"Time of Event (Mountain Time)","value":"22:11:05"},{"id":151,"name":"Denver Issue ID","value":""},{"id":178,"name":"Operational Impact","value":"Yes"},{"id":179,"name":"Denver Segment Assigned","value":""}]}} | curl -X POST -H "Content-Type: application/json" -H "X-Redmine-API-Key: d6333d4a04012a730768444271f8ca06482dae87" https://secure.xorail.net/redmine/issues.json --data @-</v>
      </c>
      <c r="AJ141" s="48"/>
      <c r="AK141" s="48"/>
      <c r="AL141" s="48"/>
      <c r="AM141" s="158" t="str">
        <f t="shared" si="12"/>
        <v>start /low /b %USERPROFILE%\Documents\GitHub\eaglep3\Utilities\DownloadLogsFromS3.py --loco 4021 --day 2017-02-05</v>
      </c>
      <c r="AN141" s="167" t="str">
        <f>"grep -SE -B400 ""CHR.+\|PRM\|1\|D.+(SWITCH|SIGNAL).+UNKNOWN"" "&amp;search_path&amp;"\RTDC"&amp;B141&amp;"\*"&amp;B141&amp;"*"&amp;TEXT(AVERAGE(F141,I141)-utc_offset/24,"YYYYMMDD")&amp;"* | grep -SE ""(Enforcement Action)|(\[TIMEOUT)|(CHR.+\|PRM\|1\|D.+(SWITCH|SIGNAL).+UNKNOWN)"" - &gt;&gt; "&amp;TEXT(Variables!$A$2,"YYYY-MM-DD")&amp;"-UncaughtWiMAX.txt"</f>
        <v>grep -SE -B400 "CHR.+\|PRM\|1\|D.+(SWITCH|SIGNAL).+UNKNOWN" "%USERPROFILE%\AppData\Local\Temp\OnboardLogs"\RTDC4021\*4021*20170206* | grep -SE "(Enforcement Action)|(\[TIMEOUT)|(CHR.+\|PRM\|1\|D.+(SWITCH|SIGNAL).+UNKNOWN)" - &gt;&gt; 2017-02-05-UncaughtWiMAX.txt</v>
      </c>
      <c r="AO141"/>
      <c r="AP141"/>
      <c r="AQ141"/>
      <c r="AR141"/>
      <c r="AS141"/>
      <c r="AT141"/>
      <c r="AU141"/>
      <c r="AV141"/>
      <c r="AW141"/>
      <c r="AX141"/>
      <c r="AY141"/>
      <c r="AZ141"/>
      <c r="BA141"/>
      <c r="BB141"/>
      <c r="BC141"/>
      <c r="BD141"/>
      <c r="BE141"/>
      <c r="BF141"/>
      <c r="BG141"/>
      <c r="BH141"/>
      <c r="BI141"/>
      <c r="BJ141"/>
      <c r="BK141"/>
      <c r="BL141"/>
      <c r="BM141"/>
      <c r="BN141"/>
      <c r="BO141"/>
      <c r="BP141"/>
      <c r="BQ141"/>
      <c r="BR141"/>
      <c r="BS141"/>
      <c r="BT141"/>
      <c r="BU141"/>
      <c r="BV141"/>
      <c r="BW141"/>
      <c r="BX141"/>
      <c r="BY141"/>
      <c r="BZ141"/>
      <c r="CA141"/>
      <c r="CB141"/>
      <c r="CC141"/>
      <c r="CD141"/>
      <c r="CE141"/>
      <c r="CF141"/>
      <c r="CG141"/>
      <c r="CH141"/>
      <c r="CI141"/>
      <c r="CJ141"/>
      <c r="CK141"/>
      <c r="CL141"/>
      <c r="CM141"/>
    </row>
    <row r="142" spans="1:91" s="20" customFormat="1" x14ac:dyDescent="0.25">
      <c r="A142" s="33" t="s">
        <v>717</v>
      </c>
      <c r="B142" s="7">
        <v>4031</v>
      </c>
      <c r="C142" s="21" t="s">
        <v>193</v>
      </c>
      <c r="D142" s="21" t="s">
        <v>286</v>
      </c>
      <c r="E142" s="13">
        <v>42771.865289351852</v>
      </c>
      <c r="F142" s="13">
        <v>42771.875196759262</v>
      </c>
      <c r="G142" s="7">
        <v>2</v>
      </c>
      <c r="H142" s="21" t="s">
        <v>359</v>
      </c>
      <c r="I142" s="13">
        <v>42771.900821759256</v>
      </c>
      <c r="J142" s="7">
        <v>0</v>
      </c>
      <c r="K142" s="98" t="str">
        <f>IF(ISEVEN(B142),(B142-1)&amp;"/"&amp;B142,B142&amp;"/"&amp;(B142+1))</f>
        <v>4031/4032</v>
      </c>
      <c r="L142" s="21" t="str">
        <f>VLOOKUP(A142,'Trips&amp;Operators'!$C$1:$G$99999,5,FALSE)</f>
        <v>MAGEE KENYA</v>
      </c>
      <c r="M142" s="6">
        <f>I142-F142</f>
        <v>2.5624999994761311E-2</v>
      </c>
      <c r="N142" s="7">
        <f>24*60*SUM($M142:$M142)</f>
        <v>36.899999992456287</v>
      </c>
      <c r="O142" s="7"/>
      <c r="P142" s="7"/>
      <c r="Q142" s="22"/>
      <c r="R142" s="22"/>
      <c r="S142" s="31">
        <f>SUM(U142:U142)/IF(AG142="EC",12,1)</f>
        <v>1</v>
      </c>
      <c r="T142" s="46" t="str">
        <f>IF(ISEVEN(LEFT(AD142,4)),"Southbound","NorthBound")</f>
        <v>NorthBound</v>
      </c>
      <c r="U142" s="190">
        <f>IF(AG142="EC",COUNTIFS(Variables!$M$2:$M$19,IF(T142="NorthBound","&gt;=","&lt;=")&amp;Y142,Variables!$M$2:$M$19,IF(T142="NorthBound","&lt;=","&gt;=")&amp;Z142),COUNTIFS(Variables!$P$2:$P$19,IF(T142="NorthBound","&gt;=","&lt;=")&amp;Y142,Variables!$P$2:$P$19,IF(T142="NorthBound","&lt;=","&gt;=")&amp;Z142))</f>
        <v>12</v>
      </c>
      <c r="V142" s="191" t="str">
        <f>"https://d0f6bd738d7f1b3e5a7ca70fe4ff75f0.us-east-1.aws.found.io/app/kibana#/discover/Steve-Slow-Train-Analysis-(2080s-and-2083s)?_g="&amp;"(refreshInterval:(display:Off,pause:!f,section:0,value:0),time:(from:'"&amp;TEXT(E142-1/24,"yyyy-MM-DDThh:mm:ss")&amp;utc_offset&amp;"00"&amp;"',mode:absolute,to:'"&amp;TEXT(I142+1/24,"yyyy-MM-DDThh:mm:ss")&amp;utc_offset&amp;"00"&amp;"'))&amp;_a=(columns:!('Locomotive+ID','Data.Head+End+Milepost',Data.Speed,'Data.Locomotive+State','Data.Train+ID',"&amp;"'Data.Warning%2FEnforcement+Type','Data.Target+Start+Milepost','Data.Target+Description','Data.Target+Speed',"&amp;"'Data.Enforcement+Train+Speed','Data.Enforcement+Start+Milepost','Data.Target+Type','Data.Enforcement+Direction+of+Travel','Message+ID',"&amp;"'Data.Body+of+Summary+Text','Data.Head+End+Track+name'),filters:!(),index:'emp_*',interval:auto,query:"&amp;"(query_string:(analyze_wildcard:!t,query:'Message%5C+ID:(2083+OR+2080+OR+1041+OR+2003+OR+1051+OR+1043+OR+1053)+AND+%22rtdc.l.rtdc."&amp;B142&amp;"%22')),sort:!(Time.ISO8601,asc))"</f>
        <v>https://d0f6bd738d7f1b3e5a7ca70fe4ff75f0.us-east-1.aws.found.io/app/kibana#/discover/Steve-Slow-Train-Analysis-(2080s-and-2083s)?_g=(refreshInterval:(display:Off,pause:!f,section:0,value:0),time:(from:'2017-02-05T19:46:01-0700',mode:absolute,to:'2017-02-05T22:37:11-0700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4031%22')),sort:!(Time.ISO8601,asc))</v>
      </c>
      <c r="W142" s="192" t="str">
        <f>IF(AA142&lt;IF(AG142="EC",23,5.65),"Y","N")</f>
        <v>N</v>
      </c>
      <c r="X142" s="192">
        <f>VALUE(LEFT(AD142,4))-VALUE(LEFT(AD141,4))</f>
        <v>1</v>
      </c>
      <c r="Y142" s="62">
        <f>RIGHT(D142,LEN(D142)-4)/10000</f>
        <v>4.6699999999999998E-2</v>
      </c>
      <c r="Z142" s="62">
        <f>RIGHT(H142,LEN(H142)-4)/10000</f>
        <v>23.3293</v>
      </c>
      <c r="AA142" s="62">
        <f>ABS(Z142-Y142)</f>
        <v>23.282599999999999</v>
      </c>
      <c r="AB142" s="59" t="e">
        <f>VLOOKUP(A142,Enforcements!$C$7:$K$16,8,0)</f>
        <v>#N/A</v>
      </c>
      <c r="AC142" s="55" t="e">
        <f>VLOOKUP(A142,Enforcements!$C$7:$E$16,3,0)</f>
        <v>#N/A</v>
      </c>
      <c r="AD142" s="56" t="str">
        <f>IF(LEN(A142)=6,"0"&amp;A142,A142)</f>
        <v>0229-05</v>
      </c>
      <c r="AE142" s="85" t="str">
        <f>"aws s3 cp "&amp;s3_bucket&amp;"/RTDC"&amp;B142&amp;"/ "&amp;search_path&amp;"\RTDC"&amp;B142&amp;"\"&amp;TEXT(F142,"YYYY-MM-DD")&amp;" --exclude ""*"" --recursive --include ""*"&amp;TEXT(F142,"YYYYMMDD")&amp;"*"" &amp; """&amp;walkandungz&amp;""" "&amp;search_path&amp;"\RTDC"&amp;B142&amp;"\"&amp;TEXT(F142,"YYYY-MM-DD")
&amp;" &amp; "&amp;"aws s3 cp "&amp;s3_bucket&amp;"/RTDC"&amp;B142&amp;"/ "&amp;search_path&amp;"\RTDC"&amp;B142&amp;"\"&amp;TEXT(F142+1,"YYYY-MM-DD")&amp;" --exclude ""*"" --recursive --include ""*"&amp;TEXT(F142+1,"YYYYMMDD")&amp;"*"" &amp; """&amp;walkandungz&amp;""" "&amp;search_path&amp;"\RTDC"&amp;B142&amp;"\"&amp;TEXT(F142+1,"YYYY-MM-DD")</f>
        <v>aws s3 cp s3://rtdc.mdm.uploadarchive.raw/RTDC4031/ "%USERPROFILE%\AppData\Local\Temp\OnboardLogs"\RTDC4031\2017-02-05 --exclude "*" --recursive --include "*20170205*" &amp; "%USERPROFILE%\Documents\GitHub\mrs-test-scripts\Headless Mode &amp; Sideloading\WalkAndUnGZ.bat" "%USERPROFILE%\AppData\Local\Temp\OnboardLogs"\RTDC4031\2017-02-05 &amp; aws s3 cp s3://rtdc.mdm.uploadarchive.raw/RTDC4031/ "%USERPROFILE%\AppData\Local\Temp\OnboardLogs"\RTDC4031\2017-02-06 --exclude "*" --recursive --include "*20170206*" &amp; "%USERPROFILE%\Documents\GitHub\mrs-test-scripts\Headless Mode &amp; Sideloading\WalkAndUnGZ.bat" "%USERPROFILE%\AppData\Local\Temp\OnboardLogs"\RTDC4031\2017-02-06</v>
      </c>
      <c r="AF142" s="82" t="str">
        <f>astrogrep_path&amp;" /spath="&amp;search_path&amp;" /stypes=""app*"&amp;B142&amp;"*"&amp;TEXT(I142-utc_offset/24,"YYYYMMDD")&amp;"*"" /stext="" "&amp;TEXT(I142-utc_offset/24,"HH")&amp;search_regexp&amp;""" /e /r /s"</f>
        <v>"C:\Program Files (x86)\AstroGrep\AstroGrep.exe" /spath="%USERPROFILE%\AppData\Local\Temp\OnboardLogs" /stypes="app*4031*20170206*" /stext=" 04:.+((SYSTEM_STATE.+slice.+state.+changed )|(ment ac)|(multiple cpu faults)|(system.+state.+changed )|(\[timeout)|(PRM\|1\|D)|(kpr)|(kdp)|(\|lc)|(penalty))" /e /r /s</v>
      </c>
      <c r="AG142" s="1" t="str">
        <f>IFERROR(IF(VALUE(LEFT(AD142,2))&lt;=2,"EC",IF(OR(VALUE(LEFT(AD142,2))=8,VALUE(LEFT(AD142,2))=18),"NW","Other")),"Other")</f>
        <v>EC</v>
      </c>
      <c r="AH142" s="86" t="str">
        <f t="shared" si="10"/>
        <v>"%USERPROFILE%\Documents\GitHub\eaglep3\Utilities\RefineRTDCRunTimes.py" --tripid 229-05 --locoid 4031 --swversion DE.1.0.8.0 --startMP 204:467 --initTime 2017-02-05T20:46:01 --startdatetime 2017-02-05T21:00:17 --delay 2 --endMP 204:233293 --enddatetime 2017-02-05T21:37:11 --enforcementcount 0 &gt;&gt;C:\Users\stu\Documents\GitHub\eaglep3-reporting\EC\2017-02-05-refined-times.txt</v>
      </c>
      <c r="AI142" s="108" t="str">
        <f t="shared" si="11"/>
        <v>echo {"issue":{"subject":"","project_id":79,"tracker_id":40,"status_id":1,"priority_id":2,"assigned_to_id":23,"start_date":"2017-02-05","description":"","custom_fields":[{"id":1,"name":"Subdivision","value":"EC"},{"id":4,"name":"Milepost","value":"23.3293"},{"id":17,"name":"Train ID","value":"229-05"},{"id":16,"name":"Locomotive ID","value":"4031"},{"id":130,"name":"Impact","value":""},{"id":150,"name":"Time of Event (Mountain Time)","value":"21:37:11"},{"id":151,"name":"Denver Issue ID","value":""},{"id":178,"name":"Operational Impact","value":"Yes"},{"id":179,"name":"Denver Segment Assigned","value":""}]}} | curl -X POST -H "Content-Type: application/json" -H "X-Redmine-API-Key: d6333d4a04012a730768444271f8ca06482dae87" https://secure.xorail.net/redmine/issues.json --data @-</v>
      </c>
      <c r="AJ142" s="48"/>
      <c r="AK142" s="48"/>
      <c r="AL142" s="48"/>
      <c r="AM142" s="158" t="str">
        <f t="shared" si="12"/>
        <v>start /low /b %USERPROFILE%\Documents\GitHub\eaglep3\Utilities\DownloadLogsFromS3.py --loco 4031 --day 2017-02-05</v>
      </c>
      <c r="AN142" s="167" t="str">
        <f>"grep -SE -B400 ""CHR.+\|PRM\|1\|D.+(SWITCH|SIGNAL).+UNKNOWN"" "&amp;search_path&amp;"\RTDC"&amp;B142&amp;"\*"&amp;B142&amp;"*"&amp;TEXT(AVERAGE(F142,I142)-utc_offset/24,"YYYYMMDD")&amp;"* | grep -SE ""(Enforcement Action)|(\[TIMEOUT)|(CHR.+\|PRM\|1\|D.+(SWITCH|SIGNAL).+UNKNOWN)"" - &gt;&gt; "&amp;TEXT(Variables!$A$2,"YYYY-MM-DD")&amp;"-UncaughtWiMAX.txt"</f>
        <v>grep -SE -B400 "CHR.+\|PRM\|1\|D.+(SWITCH|SIGNAL).+UNKNOWN" "%USERPROFILE%\AppData\Local\Temp\OnboardLogs"\RTDC4031\*4031*20170206* | grep -SE "(Enforcement Action)|(\[TIMEOUT)|(CHR.+\|PRM\|1\|D.+(SWITCH|SIGNAL).+UNKNOWN)" - &gt;&gt; 2017-02-05-UncaughtWiMAX.txt</v>
      </c>
      <c r="AO142"/>
      <c r="AP142"/>
      <c r="AQ142"/>
      <c r="AR142"/>
      <c r="AS142"/>
      <c r="AT142"/>
      <c r="AU142"/>
      <c r="AV142"/>
      <c r="AW142"/>
      <c r="AX142"/>
      <c r="AY142"/>
      <c r="AZ142"/>
      <c r="BA142"/>
      <c r="BB142"/>
      <c r="BC142"/>
      <c r="BD142"/>
      <c r="BE142"/>
      <c r="BF142"/>
      <c r="BG142"/>
      <c r="BH142"/>
      <c r="BI142"/>
      <c r="BJ142"/>
      <c r="BK142"/>
      <c r="BL142"/>
      <c r="BM142"/>
      <c r="BN142"/>
      <c r="BO142"/>
      <c r="BP142"/>
      <c r="BQ142"/>
      <c r="BR142"/>
      <c r="BS142"/>
      <c r="BT142"/>
      <c r="BU142"/>
      <c r="BV142"/>
      <c r="BW142"/>
      <c r="BX142"/>
      <c r="BY142"/>
      <c r="BZ142"/>
      <c r="CA142"/>
      <c r="CB142"/>
      <c r="CC142"/>
      <c r="CD142"/>
      <c r="CE142"/>
      <c r="CF142"/>
      <c r="CG142"/>
      <c r="CH142"/>
      <c r="CI142"/>
      <c r="CJ142"/>
      <c r="CK142"/>
      <c r="CL142"/>
      <c r="CM142"/>
    </row>
    <row r="143" spans="1:91" s="20" customFormat="1" x14ac:dyDescent="0.25">
      <c r="A143" s="33" t="s">
        <v>722</v>
      </c>
      <c r="B143" s="7">
        <v>4032</v>
      </c>
      <c r="C143" s="21" t="s">
        <v>193</v>
      </c>
      <c r="D143" s="21" t="s">
        <v>319</v>
      </c>
      <c r="E143" s="13">
        <v>42771.904687499999</v>
      </c>
      <c r="F143" s="13">
        <v>42771.914097222223</v>
      </c>
      <c r="G143" s="7">
        <v>2</v>
      </c>
      <c r="H143" s="21" t="s">
        <v>758</v>
      </c>
      <c r="I143" s="13">
        <v>42771.941493055558</v>
      </c>
      <c r="J143" s="7">
        <v>0</v>
      </c>
      <c r="K143" s="98" t="str">
        <f>IF(ISEVEN(B143),(B143-1)&amp;"/"&amp;B143,B143&amp;"/"&amp;(B143+1))</f>
        <v>4031/4032</v>
      </c>
      <c r="L143" s="21" t="str">
        <f>VLOOKUP(A143,'Trips&amp;Operators'!$C$1:$G$99999,5,FALSE)</f>
        <v>MAGEE KENYA</v>
      </c>
      <c r="M143" s="6">
        <f>I143-F143</f>
        <v>2.7395833334594499E-2</v>
      </c>
      <c r="N143" s="7">
        <f>24*60*SUM($M143:$M143)</f>
        <v>39.450000001816079</v>
      </c>
      <c r="O143" s="7"/>
      <c r="P143" s="7"/>
      <c r="Q143" s="22"/>
      <c r="R143" s="22"/>
      <c r="S143" s="31">
        <f>SUM(U143:U143)/IF(AG143="EC",12,1)</f>
        <v>1</v>
      </c>
      <c r="T143" s="46" t="str">
        <f>IF(ISEVEN(LEFT(AD143,4)),"Southbound","NorthBound")</f>
        <v>Southbound</v>
      </c>
      <c r="U143" s="190">
        <f>IF(AG143="EC",COUNTIFS(Variables!$M$2:$M$19,IF(T143="NorthBound","&gt;=","&lt;=")&amp;Y143,Variables!$M$2:$M$19,IF(T143="NorthBound","&lt;=","&gt;=")&amp;Z143),COUNTIFS(Variables!$P$2:$P$19,IF(T143="NorthBound","&gt;=","&lt;=")&amp;Y143,Variables!$P$2:$P$19,IF(T143="NorthBound","&lt;=","&gt;=")&amp;Z143))</f>
        <v>12</v>
      </c>
      <c r="V143" s="191" t="str">
        <f>"https://d0f6bd738d7f1b3e5a7ca70fe4ff75f0.us-east-1.aws.found.io/app/kibana#/discover/Steve-Slow-Train-Analysis-(2080s-and-2083s)?_g="&amp;"(refreshInterval:(display:Off,pause:!f,section:0,value:0),time:(from:'"&amp;TEXT(E143-1/24,"yyyy-MM-DDThh:mm:ss")&amp;utc_offset&amp;"00"&amp;"',mode:absolute,to:'"&amp;TEXT(I143+1/24,"yyyy-MM-DDThh:mm:ss")&amp;utc_offset&amp;"00"&amp;"'))&amp;_a=(columns:!('Locomotive+ID','Data.Head+End+Milepost',Data.Speed,'Data.Locomotive+State','Data.Train+ID',"&amp;"'Data.Warning%2FEnforcement+Type','Data.Target+Start+Milepost','Data.Target+Description','Data.Target+Speed',"&amp;"'Data.Enforcement+Train+Speed','Data.Enforcement+Start+Milepost','Data.Target+Type','Data.Enforcement+Direction+of+Travel','Message+ID',"&amp;"'Data.Body+of+Summary+Text','Data.Head+End+Track+name'),filters:!(),index:'emp_*',interval:auto,query:"&amp;"(query_string:(analyze_wildcard:!t,query:'Message%5C+ID:(2083+OR+2080+OR+1041+OR+2003+OR+1051+OR+1043+OR+1053)+AND+%22rtdc.l.rtdc."&amp;B143&amp;"%22')),sort:!(Time.ISO8601,asc))"</f>
        <v>https://d0f6bd738d7f1b3e5a7ca70fe4ff75f0.us-east-1.aws.found.io/app/kibana#/discover/Steve-Slow-Train-Analysis-(2080s-and-2083s)?_g=(refreshInterval:(display:Off,pause:!f,section:0,value:0),time:(from:'2017-02-05T20:42:45-0700',mode:absolute,to:'2017-02-05T23:35:45-0700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4032%22')),sort:!(Time.ISO8601,asc))</v>
      </c>
      <c r="W143" s="192" t="str">
        <f>IF(AA143&lt;IF(AG143="EC",23,5.65),"Y","N")</f>
        <v>N</v>
      </c>
      <c r="X143" s="192">
        <f>VALUE(LEFT(AD143,4))-VALUE(LEFT(AD142,4))</f>
        <v>1</v>
      </c>
      <c r="Y143" s="62">
        <f>RIGHT(D143,LEN(D143)-4)/10000</f>
        <v>23.299299999999999</v>
      </c>
      <c r="Z143" s="62">
        <f>RIGHT(H143,LEN(H143)-4)/10000</f>
        <v>1.61E-2</v>
      </c>
      <c r="AA143" s="62">
        <f>ABS(Z143-Y143)</f>
        <v>23.283199999999997</v>
      </c>
      <c r="AB143" s="59" t="e">
        <f>VLOOKUP(A143,Enforcements!$C$7:$K$16,8,0)</f>
        <v>#N/A</v>
      </c>
      <c r="AC143" s="55" t="e">
        <f>VLOOKUP(A143,Enforcements!$C$7:$E$16,3,0)</f>
        <v>#N/A</v>
      </c>
      <c r="AD143" s="56" t="str">
        <f>IF(LEN(A143)=6,"0"&amp;A143,A143)</f>
        <v>0230-05</v>
      </c>
      <c r="AE143" s="85" t="str">
        <f>"aws s3 cp "&amp;s3_bucket&amp;"/RTDC"&amp;B143&amp;"/ "&amp;search_path&amp;"\RTDC"&amp;B143&amp;"\"&amp;TEXT(F143,"YYYY-MM-DD")&amp;" --exclude ""*"" --recursive --include ""*"&amp;TEXT(F143,"YYYYMMDD")&amp;"*"" &amp; """&amp;walkandungz&amp;""" "&amp;search_path&amp;"\RTDC"&amp;B143&amp;"\"&amp;TEXT(F143,"YYYY-MM-DD")
&amp;" &amp; "&amp;"aws s3 cp "&amp;s3_bucket&amp;"/RTDC"&amp;B143&amp;"/ "&amp;search_path&amp;"\RTDC"&amp;B143&amp;"\"&amp;TEXT(F143+1,"YYYY-MM-DD")&amp;" --exclude ""*"" --recursive --include ""*"&amp;TEXT(F143+1,"YYYYMMDD")&amp;"*"" &amp; """&amp;walkandungz&amp;""" "&amp;search_path&amp;"\RTDC"&amp;B143&amp;"\"&amp;TEXT(F143+1,"YYYY-MM-DD")</f>
        <v>aws s3 cp s3://rtdc.mdm.uploadarchive.raw/RTDC4032/ "%USERPROFILE%\AppData\Local\Temp\OnboardLogs"\RTDC4032\2017-02-05 --exclude "*" --recursive --include "*20170205*" &amp; "%USERPROFILE%\Documents\GitHub\mrs-test-scripts\Headless Mode &amp; Sideloading\WalkAndUnGZ.bat" "%USERPROFILE%\AppData\Local\Temp\OnboardLogs"\RTDC4032\2017-02-05 &amp; aws s3 cp s3://rtdc.mdm.uploadarchive.raw/RTDC4032/ "%USERPROFILE%\AppData\Local\Temp\OnboardLogs"\RTDC4032\2017-02-06 --exclude "*" --recursive --include "*20170206*" &amp; "%USERPROFILE%\Documents\GitHub\mrs-test-scripts\Headless Mode &amp; Sideloading\WalkAndUnGZ.bat" "%USERPROFILE%\AppData\Local\Temp\OnboardLogs"\RTDC4032\2017-02-06</v>
      </c>
      <c r="AF143" s="82" t="str">
        <f>astrogrep_path&amp;" /spath="&amp;search_path&amp;" /stypes=""app*"&amp;B143&amp;"*"&amp;TEXT(I143-utc_offset/24,"YYYYMMDD")&amp;"*"" /stext="" "&amp;TEXT(I143-utc_offset/24,"HH")&amp;search_regexp&amp;""" /e /r /s"</f>
        <v>"C:\Program Files (x86)\AstroGrep\AstroGrep.exe" /spath="%USERPROFILE%\AppData\Local\Temp\OnboardLogs" /stypes="app*4032*20170206*" /stext=" 05:.+((SYSTEM_STATE.+slice.+state.+changed )|(ment ac)|(multiple cpu faults)|(system.+state.+changed )|(\[timeout)|(PRM\|1\|D)|(kpr)|(kdp)|(\|lc)|(penalty))" /e /r /s</v>
      </c>
      <c r="AG143" s="1" t="str">
        <f>IFERROR(IF(VALUE(LEFT(AD143,2))&lt;=2,"EC",IF(OR(VALUE(LEFT(AD143,2))=8,VALUE(LEFT(AD143,2))=18),"NW","Other")),"Other")</f>
        <v>EC</v>
      </c>
      <c r="AH143" s="86" t="str">
        <f t="shared" si="10"/>
        <v>"%USERPROFILE%\Documents\GitHub\eaglep3\Utilities\RefineRTDCRunTimes.py" --tripid 230-05 --locoid 4032 --swversion DE.1.0.8.0 --startMP 204:232993 --initTime 2017-02-05T21:42:45 --startdatetime 2017-02-05T21:56:18 --delay 2 --endMP 204:161 --enddatetime 2017-02-05T22:35:45 --enforcementcount 0 &gt;&gt;C:\Users\stu\Documents\GitHub\eaglep3-reporting\EC\2017-02-05-refined-times.txt</v>
      </c>
      <c r="AI143" s="108" t="str">
        <f t="shared" si="11"/>
        <v>echo {"issue":{"subject":"","project_id":79,"tracker_id":40,"status_id":1,"priority_id":2,"assigned_to_id":23,"start_date":"2017-02-05","description":"","custom_fields":[{"id":1,"name":"Subdivision","value":"EC"},{"id":4,"name":"Milepost","value":"0.0161"},{"id":17,"name":"Train ID","value":"230-05"},{"id":16,"name":"Locomotive ID","value":"4032"},{"id":130,"name":"Impact","value":""},{"id":150,"name":"Time of Event (Mountain Time)","value":"22:35:45"},{"id":151,"name":"Denver Issue ID","value":""},{"id":178,"name":"Operational Impact","value":"Yes"},{"id":179,"name":"Denver Segment Assigned","value":""}]}} | curl -X POST -H "Content-Type: application/json" -H "X-Redmine-API-Key: d6333d4a04012a730768444271f8ca06482dae87" https://secure.xorail.net/redmine/issues.json --data @-</v>
      </c>
      <c r="AJ143" s="48"/>
      <c r="AK143" s="48"/>
      <c r="AL143" s="48"/>
      <c r="AM143" s="158" t="str">
        <f t="shared" si="12"/>
        <v>start /low /b %USERPROFILE%\Documents\GitHub\eaglep3\Utilities\DownloadLogsFromS3.py --loco 4032 --day 2017-02-05</v>
      </c>
      <c r="AN143" s="167" t="str">
        <f>"grep -SE -B400 ""CHR.+\|PRM\|1\|D.+(SWITCH|SIGNAL).+UNKNOWN"" "&amp;search_path&amp;"\RTDC"&amp;B143&amp;"\*"&amp;B143&amp;"*"&amp;TEXT(AVERAGE(F143,I143)-utc_offset/24,"YYYYMMDD")&amp;"* | grep -SE ""(Enforcement Action)|(\[TIMEOUT)|(CHR.+\|PRM\|1\|D.+(SWITCH|SIGNAL).+UNKNOWN)"" - &gt;&gt; "&amp;TEXT(Variables!$A$2,"YYYY-MM-DD")&amp;"-UncaughtWiMAX.txt"</f>
        <v>grep -SE -B400 "CHR.+\|PRM\|1\|D.+(SWITCH|SIGNAL).+UNKNOWN" "%USERPROFILE%\AppData\Local\Temp\OnboardLogs"\RTDC4032\*4032*20170206* | grep -SE "(Enforcement Action)|(\[TIMEOUT)|(CHR.+\|PRM\|1\|D.+(SWITCH|SIGNAL).+UNKNOWN)" - &gt;&gt; 2017-02-05-UncaughtWiMAX.txt</v>
      </c>
      <c r="AO143"/>
      <c r="AP143"/>
      <c r="AQ143"/>
      <c r="AR143"/>
      <c r="AS143"/>
      <c r="AT143"/>
      <c r="AU143"/>
      <c r="AV143"/>
      <c r="AW143"/>
      <c r="AX143"/>
      <c r="AY143"/>
      <c r="AZ143"/>
      <c r="BA143"/>
      <c r="BB143"/>
      <c r="BC143"/>
      <c r="BD143"/>
      <c r="BE143"/>
      <c r="BF143"/>
      <c r="BG143"/>
      <c r="BH143"/>
      <c r="BI143"/>
      <c r="BJ143"/>
      <c r="BK143"/>
      <c r="BL143"/>
      <c r="BM143"/>
      <c r="BN143"/>
      <c r="BO143"/>
      <c r="BP143"/>
      <c r="BQ143"/>
      <c r="BR143"/>
      <c r="BS143"/>
      <c r="BT143"/>
      <c r="BU143"/>
      <c r="BV143"/>
      <c r="BW143"/>
      <c r="BX143"/>
      <c r="BY143"/>
      <c r="BZ143"/>
      <c r="CA143"/>
      <c r="CB143"/>
      <c r="CC143"/>
      <c r="CD143"/>
      <c r="CE143"/>
      <c r="CF143"/>
      <c r="CG143"/>
      <c r="CH143"/>
      <c r="CI143"/>
      <c r="CJ143"/>
      <c r="CK143"/>
      <c r="CL143"/>
      <c r="CM143"/>
    </row>
    <row r="144" spans="1:91" s="20" customFormat="1" x14ac:dyDescent="0.25">
      <c r="A144" s="33" t="s">
        <v>718</v>
      </c>
      <c r="B144" s="7">
        <v>4038</v>
      </c>
      <c r="C144" s="21" t="s">
        <v>193</v>
      </c>
      <c r="D144" s="21" t="s">
        <v>399</v>
      </c>
      <c r="E144" s="13">
        <v>42771.880254629628</v>
      </c>
      <c r="F144" s="13">
        <v>42771.896273148152</v>
      </c>
      <c r="G144" s="7">
        <v>1</v>
      </c>
      <c r="H144" s="21" t="s">
        <v>416</v>
      </c>
      <c r="I144" s="13">
        <v>42771.920590277776</v>
      </c>
      <c r="J144" s="7">
        <v>0</v>
      </c>
      <c r="K144" s="98" t="str">
        <f>IF(ISEVEN(B144),(B144-1)&amp;"/"&amp;B144,B144&amp;"/"&amp;(B144+1))</f>
        <v>4037/4038</v>
      </c>
      <c r="L144" s="21" t="str">
        <f>VLOOKUP(A144,'Trips&amp;Operators'!$C$1:$G$99999,5,FALSE)</f>
        <v>NEWELL JAMES</v>
      </c>
      <c r="M144" s="6">
        <f>I144-F144</f>
        <v>2.4317129624250811E-2</v>
      </c>
      <c r="N144" s="7">
        <f>24*60*SUM($M144:$M144)</f>
        <v>35.016666658921167</v>
      </c>
      <c r="O144" s="7"/>
      <c r="P144" s="7"/>
      <c r="Q144" s="22"/>
      <c r="R144" s="22"/>
      <c r="S144" s="31">
        <f>SUM(U144:U144)/IF(AG144="EC",12,1)</f>
        <v>1</v>
      </c>
      <c r="T144" s="46" t="str">
        <f>IF(ISEVEN(LEFT(AD144,4)),"Southbound","NorthBound")</f>
        <v>NorthBound</v>
      </c>
      <c r="U144" s="190">
        <f>IF(AG144="EC",COUNTIFS(Variables!$M$2:$M$19,IF(T144="NorthBound","&gt;=","&lt;=")&amp;Y144,Variables!$M$2:$M$19,IF(T144="NorthBound","&lt;=","&gt;=")&amp;Z144),COUNTIFS(Variables!$P$2:$P$19,IF(T144="NorthBound","&gt;=","&lt;=")&amp;Y144,Variables!$P$2:$P$19,IF(T144="NorthBound","&lt;=","&gt;=")&amp;Z144))</f>
        <v>12</v>
      </c>
      <c r="V144" s="191" t="str">
        <f>"https://d0f6bd738d7f1b3e5a7ca70fe4ff75f0.us-east-1.aws.found.io/app/kibana#/discover/Steve-Slow-Train-Analysis-(2080s-and-2083s)?_g="&amp;"(refreshInterval:(display:Off,pause:!f,section:0,value:0),time:(from:'"&amp;TEXT(E144-1/24,"yyyy-MM-DDThh:mm:ss")&amp;utc_offset&amp;"00"&amp;"',mode:absolute,to:'"&amp;TEXT(I144+1/24,"yyyy-MM-DDThh:mm:ss")&amp;utc_offset&amp;"00"&amp;"'))&amp;_a=(columns:!('Locomotive+ID','Data.Head+End+Milepost',Data.Speed,'Data.Locomotive+State','Data.Train+ID',"&amp;"'Data.Warning%2FEnforcement+Type','Data.Target+Start+Milepost','Data.Target+Description','Data.Target+Speed',"&amp;"'Data.Enforcement+Train+Speed','Data.Enforcement+Start+Milepost','Data.Target+Type','Data.Enforcement+Direction+of+Travel','Message+ID',"&amp;"'Data.Body+of+Summary+Text','Data.Head+End+Track+name'),filters:!(),index:'emp_*',interval:auto,query:"&amp;"(query_string:(analyze_wildcard:!t,query:'Message%5C+ID:(2083+OR+2080+OR+1041+OR+2003+OR+1051+OR+1043+OR+1053)+AND+%22rtdc.l.rtdc."&amp;B144&amp;"%22')),sort:!(Time.ISO8601,asc))"</f>
        <v>https://d0f6bd738d7f1b3e5a7ca70fe4ff75f0.us-east-1.aws.found.io/app/kibana#/discover/Steve-Slow-Train-Analysis-(2080s-and-2083s)?_g=(refreshInterval:(display:Off,pause:!f,section:0,value:0),time:(from:'2017-02-05T20:07:34-0700',mode:absolute,to:'2017-02-05T23:05:39-0700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4038%22')),sort:!(Time.ISO8601,asc))</v>
      </c>
      <c r="W144" s="192" t="str">
        <f>IF(AA144&lt;IF(AG144="EC",23,5.65),"Y","N")</f>
        <v>N</v>
      </c>
      <c r="X144" s="192">
        <f>VALUE(LEFT(AD144,4))-VALUE(LEFT(AD143,4))</f>
        <v>1</v>
      </c>
      <c r="Y144" s="62">
        <f>RIGHT(D144,LEN(D144)-4)/10000</f>
        <v>4.6399999999999997E-2</v>
      </c>
      <c r="Z144" s="62">
        <f>RIGHT(H144,LEN(H144)-4)/10000</f>
        <v>23.331399999999999</v>
      </c>
      <c r="AA144" s="62">
        <f>ABS(Z144-Y144)</f>
        <v>23.285</v>
      </c>
      <c r="AB144" s="59" t="e">
        <f>VLOOKUP(A144,Enforcements!$C$7:$K$16,8,0)</f>
        <v>#N/A</v>
      </c>
      <c r="AC144" s="55" t="e">
        <f>VLOOKUP(A144,Enforcements!$C$7:$E$16,3,0)</f>
        <v>#N/A</v>
      </c>
      <c r="AD144" s="56" t="str">
        <f>IF(LEN(A144)=6,"0"&amp;A144,A144)</f>
        <v>0231-05</v>
      </c>
      <c r="AE144" s="85" t="str">
        <f>"aws s3 cp "&amp;s3_bucket&amp;"/RTDC"&amp;B144&amp;"/ "&amp;search_path&amp;"\RTDC"&amp;B144&amp;"\"&amp;TEXT(F144,"YYYY-MM-DD")&amp;" --exclude ""*"" --recursive --include ""*"&amp;TEXT(F144,"YYYYMMDD")&amp;"*"" &amp; """&amp;walkandungz&amp;""" "&amp;search_path&amp;"\RTDC"&amp;B144&amp;"\"&amp;TEXT(F144,"YYYY-MM-DD")
&amp;" &amp; "&amp;"aws s3 cp "&amp;s3_bucket&amp;"/RTDC"&amp;B144&amp;"/ "&amp;search_path&amp;"\RTDC"&amp;B144&amp;"\"&amp;TEXT(F144+1,"YYYY-MM-DD")&amp;" --exclude ""*"" --recursive --include ""*"&amp;TEXT(F144+1,"YYYYMMDD")&amp;"*"" &amp; """&amp;walkandungz&amp;""" "&amp;search_path&amp;"\RTDC"&amp;B144&amp;"\"&amp;TEXT(F144+1,"YYYY-MM-DD")</f>
        <v>aws s3 cp s3://rtdc.mdm.uploadarchive.raw/RTDC4038/ "%USERPROFILE%\AppData\Local\Temp\OnboardLogs"\RTDC4038\2017-02-05 --exclude "*" --recursive --include "*20170205*" &amp; "%USERPROFILE%\Documents\GitHub\mrs-test-scripts\Headless Mode &amp; Sideloading\WalkAndUnGZ.bat" "%USERPROFILE%\AppData\Local\Temp\OnboardLogs"\RTDC4038\2017-02-05 &amp; aws s3 cp s3://rtdc.mdm.uploadarchive.raw/RTDC4038/ "%USERPROFILE%\AppData\Local\Temp\OnboardLogs"\RTDC4038\2017-02-06 --exclude "*" --recursive --include "*20170206*" &amp; "%USERPROFILE%\Documents\GitHub\mrs-test-scripts\Headless Mode &amp; Sideloading\WalkAndUnGZ.bat" "%USERPROFILE%\AppData\Local\Temp\OnboardLogs"\RTDC4038\2017-02-06</v>
      </c>
      <c r="AF144" s="82" t="str">
        <f>astrogrep_path&amp;" /spath="&amp;search_path&amp;" /stypes=""app*"&amp;B144&amp;"*"&amp;TEXT(I144-utc_offset/24,"YYYYMMDD")&amp;"*"" /stext="" "&amp;TEXT(I144-utc_offset/24,"HH")&amp;search_regexp&amp;""" /e /r /s"</f>
        <v>"C:\Program Files (x86)\AstroGrep\AstroGrep.exe" /spath="%USERPROFILE%\AppData\Local\Temp\OnboardLogs" /stypes="app*4038*20170206*" /stext=" 05:.+((SYSTEM_STATE.+slice.+state.+changed )|(ment ac)|(multiple cpu faults)|(system.+state.+changed )|(\[timeout)|(PRM\|1\|D)|(kpr)|(kdp)|(\|lc)|(penalty))" /e /r /s</v>
      </c>
      <c r="AG144" s="1" t="str">
        <f>IFERROR(IF(VALUE(LEFT(AD144,2))&lt;=2,"EC",IF(OR(VALUE(LEFT(AD144,2))=8,VALUE(LEFT(AD144,2))=18),"NW","Other")),"Other")</f>
        <v>EC</v>
      </c>
      <c r="AH144" s="86" t="str">
        <f t="shared" si="10"/>
        <v>"%USERPROFILE%\Documents\GitHub\eaglep3\Utilities\RefineRTDCRunTimes.py" --tripid 231-05 --locoid 4038 --swversion DE.1.0.8.0 --startMP 204:464 --initTime 2017-02-05T21:07:34 --startdatetime 2017-02-05T21:30:38 --delay 1 --endMP 204:233314 --enddatetime 2017-02-05T22:05:39 --enforcementcount 0 &gt;&gt;C:\Users\stu\Documents\GitHub\eaglep3-reporting\EC\2017-02-05-refined-times.txt</v>
      </c>
      <c r="AI144" s="108" t="str">
        <f t="shared" si="11"/>
        <v>echo {"issue":{"subject":"","project_id":79,"tracker_id":40,"status_id":1,"priority_id":2,"assigned_to_id":23,"start_date":"2017-02-05","description":"","custom_fields":[{"id":1,"name":"Subdivision","value":"EC"},{"id":4,"name":"Milepost","value":"23.3314"},{"id":17,"name":"Train ID","value":"231-05"},{"id":16,"name":"Locomotive ID","value":"4038"},{"id":130,"name":"Impact","value":""},{"id":150,"name":"Time of Event (Mountain Time)","value":"22:05:39"},{"id":151,"name":"Denver Issue ID","value":""},{"id":178,"name":"Operational Impact","value":"Yes"},{"id":179,"name":"Denver Segment Assigned","value":""}]}} | curl -X POST -H "Content-Type: application/json" -H "X-Redmine-API-Key: d6333d4a04012a730768444271f8ca06482dae87" https://secure.xorail.net/redmine/issues.json --data @-</v>
      </c>
      <c r="AJ144" s="48"/>
      <c r="AK144" s="48"/>
      <c r="AL144" s="48"/>
      <c r="AM144" s="158" t="str">
        <f t="shared" si="12"/>
        <v>start /low /b %USERPROFILE%\Documents\GitHub\eaglep3\Utilities\DownloadLogsFromS3.py --loco 4038 --day 2017-02-05</v>
      </c>
      <c r="AN144" s="167" t="str">
        <f>"grep -SE -B400 ""CHR.+\|PRM\|1\|D.+(SWITCH|SIGNAL).+UNKNOWN"" "&amp;search_path&amp;"\RTDC"&amp;B144&amp;"\*"&amp;B144&amp;"*"&amp;TEXT(AVERAGE(F144,I144)-utc_offset/24,"YYYYMMDD")&amp;"* | grep -SE ""(Enforcement Action)|(\[TIMEOUT)|(CHR.+\|PRM\|1\|D.+(SWITCH|SIGNAL).+UNKNOWN)"" - &gt;&gt; "&amp;TEXT(Variables!$A$2,"YYYY-MM-DD")&amp;"-UncaughtWiMAX.txt"</f>
        <v>grep -SE -B400 "CHR.+\|PRM\|1\|D.+(SWITCH|SIGNAL).+UNKNOWN" "%USERPROFILE%\AppData\Local\Temp\OnboardLogs"\RTDC4038\*4038*20170206* | grep -SE "(Enforcement Action)|(\[TIMEOUT)|(CHR.+\|PRM\|1\|D.+(SWITCH|SIGNAL).+UNKNOWN)" - &gt;&gt; 2017-02-05-UncaughtWiMAX.txt</v>
      </c>
      <c r="AO144"/>
      <c r="AP144"/>
      <c r="AQ144"/>
      <c r="AR144"/>
      <c r="AS144"/>
      <c r="AT144"/>
      <c r="AU144"/>
      <c r="AV144"/>
      <c r="AW144"/>
      <c r="AX144"/>
      <c r="AY144"/>
      <c r="AZ144"/>
      <c r="BA144"/>
      <c r="BB144"/>
      <c r="BC144"/>
      <c r="BD144"/>
      <c r="BE144"/>
      <c r="BF144"/>
      <c r="BG144"/>
      <c r="BH144"/>
      <c r="BI144"/>
      <c r="BJ144"/>
      <c r="BK144"/>
      <c r="BL144"/>
      <c r="BM144"/>
      <c r="BN144"/>
      <c r="BO144"/>
      <c r="BP144"/>
      <c r="BQ144"/>
      <c r="BR144"/>
      <c r="BS144"/>
      <c r="BT144"/>
      <c r="BU144"/>
      <c r="BV144"/>
      <c r="BW144"/>
      <c r="BX144"/>
      <c r="BY144"/>
      <c r="BZ144"/>
      <c r="CA144"/>
      <c r="CB144"/>
      <c r="CC144"/>
      <c r="CD144"/>
      <c r="CE144"/>
      <c r="CF144"/>
      <c r="CG144"/>
      <c r="CH144"/>
      <c r="CI144"/>
      <c r="CJ144"/>
      <c r="CK144"/>
      <c r="CL144"/>
      <c r="CM144"/>
    </row>
    <row r="145" spans="1:91" s="20" customFormat="1" x14ac:dyDescent="0.25">
      <c r="A145" s="33" t="s">
        <v>724</v>
      </c>
      <c r="B145" s="7">
        <v>4037</v>
      </c>
      <c r="C145" s="21" t="s">
        <v>193</v>
      </c>
      <c r="D145" s="21" t="s">
        <v>845</v>
      </c>
      <c r="E145" s="13">
        <v>42771.922303240739</v>
      </c>
      <c r="F145" s="13">
        <v>42771.934907407405</v>
      </c>
      <c r="G145" s="7">
        <v>1</v>
      </c>
      <c r="H145" s="21" t="s">
        <v>213</v>
      </c>
      <c r="I145" s="13">
        <v>42771.96465277778</v>
      </c>
      <c r="J145" s="7">
        <v>0</v>
      </c>
      <c r="K145" s="98" t="str">
        <f>IF(ISEVEN(B145),(B145-1)&amp;"/"&amp;B145,B145&amp;"/"&amp;(B145+1))</f>
        <v>4037/4038</v>
      </c>
      <c r="L145" s="21" t="str">
        <f>VLOOKUP(A145,'Trips&amp;Operators'!$C$1:$G$99999,5,FALSE)</f>
        <v>NEWELL JAMES</v>
      </c>
      <c r="M145" s="6">
        <f>I145-F145</f>
        <v>2.9745370375167113E-2</v>
      </c>
      <c r="N145" s="7">
        <f>24*60*SUM($M145:$M145)</f>
        <v>42.833333340240642</v>
      </c>
      <c r="O145" s="7"/>
      <c r="P145" s="7"/>
      <c r="Q145" s="22"/>
      <c r="R145" s="22"/>
      <c r="S145" s="31">
        <f>SUM(U145:U145)/IF(AG145="EC",12,1)</f>
        <v>1</v>
      </c>
      <c r="T145" s="46" t="str">
        <f>IF(ISEVEN(LEFT(AD145,4)),"Southbound","NorthBound")</f>
        <v>Southbound</v>
      </c>
      <c r="U145" s="190">
        <f>IF(AG145="EC",COUNTIFS(Variables!$M$2:$M$19,IF(T145="NorthBound","&gt;=","&lt;=")&amp;Y145,Variables!$M$2:$M$19,IF(T145="NorthBound","&lt;=","&gt;=")&amp;Z145),COUNTIFS(Variables!$P$2:$P$19,IF(T145="NorthBound","&gt;=","&lt;=")&amp;Y145,Variables!$P$2:$P$19,IF(T145="NorthBound","&lt;=","&gt;=")&amp;Z145))</f>
        <v>12</v>
      </c>
      <c r="V145" s="191" t="str">
        <f>"https://d0f6bd738d7f1b3e5a7ca70fe4ff75f0.us-east-1.aws.found.io/app/kibana#/discover/Steve-Slow-Train-Analysis-(2080s-and-2083s)?_g="&amp;"(refreshInterval:(display:Off,pause:!f,section:0,value:0),time:(from:'"&amp;TEXT(E145-1/24,"yyyy-MM-DDThh:mm:ss")&amp;utc_offset&amp;"00"&amp;"',mode:absolute,to:'"&amp;TEXT(I145+1/24,"yyyy-MM-DDThh:mm:ss")&amp;utc_offset&amp;"00"&amp;"'))&amp;_a=(columns:!('Locomotive+ID','Data.Head+End+Milepost',Data.Speed,'Data.Locomotive+State','Data.Train+ID',"&amp;"'Data.Warning%2FEnforcement+Type','Data.Target+Start+Milepost','Data.Target+Description','Data.Target+Speed',"&amp;"'Data.Enforcement+Train+Speed','Data.Enforcement+Start+Milepost','Data.Target+Type','Data.Enforcement+Direction+of+Travel','Message+ID',"&amp;"'Data.Body+of+Summary+Text','Data.Head+End+Track+name'),filters:!(),index:'emp_*',interval:auto,query:"&amp;"(query_string:(analyze_wildcard:!t,query:'Message%5C+ID:(2083+OR+2080+OR+1041+OR+2003+OR+1051+OR+1043+OR+1053)+AND+%22rtdc.l.rtdc."&amp;B145&amp;"%22')),sort:!(Time.ISO8601,asc))"</f>
        <v>https://d0f6bd738d7f1b3e5a7ca70fe4ff75f0.us-east-1.aws.found.io/app/kibana#/discover/Steve-Slow-Train-Analysis-(2080s-and-2083s)?_g=(refreshInterval:(display:Off,pause:!f,section:0,value:0),time:(from:'2017-02-05T21:08:07-0700',mode:absolute,to:'2017-02-06T00:09:06-0700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4037%22')),sort:!(Time.ISO8601,asc))</v>
      </c>
      <c r="W145" s="192" t="str">
        <f>IF(AA145&lt;IF(AG145="EC",23,5.65),"Y","N")</f>
        <v>N</v>
      </c>
      <c r="X145" s="192">
        <f>VALUE(LEFT(AD145,4))-VALUE(LEFT(AD144,4))</f>
        <v>1</v>
      </c>
      <c r="Y145" s="62">
        <f>RIGHT(D145,LEN(D145)-4)/10000</f>
        <v>23.2989</v>
      </c>
      <c r="Z145" s="62">
        <f>RIGHT(H145,LEN(H145)-4)/10000</f>
        <v>1.5800000000000002E-2</v>
      </c>
      <c r="AA145" s="62">
        <f>ABS(Z145-Y145)</f>
        <v>23.283100000000001</v>
      </c>
      <c r="AB145" s="59" t="e">
        <f>VLOOKUP(A145,Enforcements!$C$7:$K$16,8,0)</f>
        <v>#N/A</v>
      </c>
      <c r="AC145" s="55" t="e">
        <f>VLOOKUP(A145,Enforcements!$C$7:$E$16,3,0)</f>
        <v>#N/A</v>
      </c>
      <c r="AD145" s="56" t="str">
        <f>IF(LEN(A145)=6,"0"&amp;A145,A145)</f>
        <v>0232-05</v>
      </c>
      <c r="AE145" s="85" t="str">
        <f>"aws s3 cp "&amp;s3_bucket&amp;"/RTDC"&amp;B145&amp;"/ "&amp;search_path&amp;"\RTDC"&amp;B145&amp;"\"&amp;TEXT(F145,"YYYY-MM-DD")&amp;" --exclude ""*"" --recursive --include ""*"&amp;TEXT(F145,"YYYYMMDD")&amp;"*"" &amp; """&amp;walkandungz&amp;""" "&amp;search_path&amp;"\RTDC"&amp;B145&amp;"\"&amp;TEXT(F145,"YYYY-MM-DD")
&amp;" &amp; "&amp;"aws s3 cp "&amp;s3_bucket&amp;"/RTDC"&amp;B145&amp;"/ "&amp;search_path&amp;"\RTDC"&amp;B145&amp;"\"&amp;TEXT(F145+1,"YYYY-MM-DD")&amp;" --exclude ""*"" --recursive --include ""*"&amp;TEXT(F145+1,"YYYYMMDD")&amp;"*"" &amp; """&amp;walkandungz&amp;""" "&amp;search_path&amp;"\RTDC"&amp;B145&amp;"\"&amp;TEXT(F145+1,"YYYY-MM-DD")</f>
        <v>aws s3 cp s3://rtdc.mdm.uploadarchive.raw/RTDC4037/ "%USERPROFILE%\AppData\Local\Temp\OnboardLogs"\RTDC4037\2017-02-05 --exclude "*" --recursive --include "*20170205*" &amp; "%USERPROFILE%\Documents\GitHub\mrs-test-scripts\Headless Mode &amp; Sideloading\WalkAndUnGZ.bat" "%USERPROFILE%\AppData\Local\Temp\OnboardLogs"\RTDC4037\2017-02-05 &amp; aws s3 cp s3://rtdc.mdm.uploadarchive.raw/RTDC4037/ "%USERPROFILE%\AppData\Local\Temp\OnboardLogs"\RTDC4037\2017-02-06 --exclude "*" --recursive --include "*20170206*" &amp; "%USERPROFILE%\Documents\GitHub\mrs-test-scripts\Headless Mode &amp; Sideloading\WalkAndUnGZ.bat" "%USERPROFILE%\AppData\Local\Temp\OnboardLogs"\RTDC4037\2017-02-06</v>
      </c>
      <c r="AF145" s="82" t="str">
        <f>astrogrep_path&amp;" /spath="&amp;search_path&amp;" /stypes=""app*"&amp;B145&amp;"*"&amp;TEXT(I145-utc_offset/24,"YYYYMMDD")&amp;"*"" /stext="" "&amp;TEXT(I145-utc_offset/24,"HH")&amp;search_regexp&amp;""" /e /r /s"</f>
        <v>"C:\Program Files (x86)\AstroGrep\AstroGrep.exe" /spath="%USERPROFILE%\AppData\Local\Temp\OnboardLogs" /stypes="app*4037*20170206*" /stext=" 06:.+((SYSTEM_STATE.+slice.+state.+changed )|(ment ac)|(multiple cpu faults)|(system.+state.+changed )|(\[timeout)|(PRM\|1\|D)|(kpr)|(kdp)|(\|lc)|(penalty))" /e /r /s</v>
      </c>
      <c r="AG145" s="1" t="str">
        <f>IFERROR(IF(VALUE(LEFT(AD145,2))&lt;=2,"EC",IF(OR(VALUE(LEFT(AD145,2))=8,VALUE(LEFT(AD145,2))=18),"NW","Other")),"Other")</f>
        <v>EC</v>
      </c>
      <c r="AH145" s="86" t="str">
        <f t="shared" si="10"/>
        <v>"%USERPROFILE%\Documents\GitHub\eaglep3\Utilities\RefineRTDCRunTimes.py" --tripid 232-05 --locoid 4037 --swversion DE.1.0.8.0 --startMP 204:232989 --initTime 2017-02-05T22:08:07 --startdatetime 2017-02-05T22:26:16 --delay 1 --endMP 204:158 --enddatetime 2017-02-05T23:09:06 --enforcementcount 0 &gt;&gt;C:\Users\stu\Documents\GitHub\eaglep3-reporting\EC\2017-02-05-refined-times.txt</v>
      </c>
      <c r="AI145" s="108" t="str">
        <f t="shared" si="11"/>
        <v>echo {"issue":{"subject":"","project_id":79,"tracker_id":40,"status_id":1,"priority_id":2,"assigned_to_id":23,"start_date":"2017-02-05","description":"","custom_fields":[{"id":1,"name":"Subdivision","value":"EC"},{"id":4,"name":"Milepost","value":"0.0158"},{"id":17,"name":"Train ID","value":"232-05"},{"id":16,"name":"Locomotive ID","value":"4037"},{"id":130,"name":"Impact","value":""},{"id":150,"name":"Time of Event (Mountain Time)","value":"23:09:06"},{"id":151,"name":"Denver Issue ID","value":""},{"id":178,"name":"Operational Impact","value":"Yes"},{"id":179,"name":"Denver Segment Assigned","value":""}]}} | curl -X POST -H "Content-Type: application/json" -H "X-Redmine-API-Key: d6333d4a04012a730768444271f8ca06482dae87" https://secure.xorail.net/redmine/issues.json --data @-</v>
      </c>
      <c r="AJ145" s="48"/>
      <c r="AK145" s="48"/>
      <c r="AL145" s="48"/>
      <c r="AM145" s="158" t="str">
        <f t="shared" si="12"/>
        <v>start /low /b %USERPROFILE%\Documents\GitHub\eaglep3\Utilities\DownloadLogsFromS3.py --loco 4037 --day 2017-02-05</v>
      </c>
      <c r="AN145" s="167" t="str">
        <f>"grep -SE -B400 ""CHR.+\|PRM\|1\|D.+(SWITCH|SIGNAL).+UNKNOWN"" "&amp;search_path&amp;"\RTDC"&amp;B145&amp;"\*"&amp;B145&amp;"*"&amp;TEXT(AVERAGE(F145,I145)-utc_offset/24,"YYYYMMDD")&amp;"* | grep -SE ""(Enforcement Action)|(\[TIMEOUT)|(CHR.+\|PRM\|1\|D.+(SWITCH|SIGNAL).+UNKNOWN)"" - &gt;&gt; "&amp;TEXT(Variables!$A$2,"YYYY-MM-DD")&amp;"-UncaughtWiMAX.txt"</f>
        <v>grep -SE -B400 "CHR.+\|PRM\|1\|D.+(SWITCH|SIGNAL).+UNKNOWN" "%USERPROFILE%\AppData\Local\Temp\OnboardLogs"\RTDC4037\*4037*20170206* | grep -SE "(Enforcement Action)|(\[TIMEOUT)|(CHR.+\|PRM\|1\|D.+(SWITCH|SIGNAL).+UNKNOWN)" - &gt;&gt; 2017-02-05-UncaughtWiMAX.txt</v>
      </c>
      <c r="AO145"/>
      <c r="AP145"/>
      <c r="AQ145"/>
      <c r="AR145"/>
      <c r="AS145"/>
      <c r="AT145"/>
      <c r="AU145"/>
      <c r="AV145"/>
      <c r="AW145"/>
      <c r="AX145"/>
      <c r="AY145"/>
      <c r="AZ145"/>
      <c r="BA145"/>
      <c r="BB145"/>
      <c r="BC145"/>
      <c r="BD145"/>
      <c r="BE145"/>
      <c r="BF145"/>
      <c r="BG145"/>
      <c r="BH145"/>
      <c r="BI145"/>
      <c r="BJ145"/>
      <c r="BK145"/>
      <c r="BL145"/>
      <c r="BM145"/>
      <c r="BN145"/>
      <c r="BO145"/>
      <c r="BP145"/>
      <c r="BQ145"/>
      <c r="BR145"/>
      <c r="BS145"/>
      <c r="BT145"/>
      <c r="BU145"/>
      <c r="BV145"/>
      <c r="BW145"/>
      <c r="BX145"/>
      <c r="BY145"/>
      <c r="BZ145"/>
      <c r="CA145"/>
      <c r="CB145"/>
      <c r="CC145"/>
      <c r="CD145"/>
      <c r="CE145"/>
      <c r="CF145"/>
      <c r="CG145"/>
      <c r="CH145"/>
      <c r="CI145"/>
      <c r="CJ145"/>
      <c r="CK145"/>
      <c r="CL145"/>
      <c r="CM145"/>
    </row>
    <row r="146" spans="1:91" s="20" customFormat="1" x14ac:dyDescent="0.25">
      <c r="A146" s="33" t="s">
        <v>723</v>
      </c>
      <c r="B146" s="7">
        <v>4016</v>
      </c>
      <c r="C146" s="21" t="s">
        <v>193</v>
      </c>
      <c r="D146" s="21" t="s">
        <v>847</v>
      </c>
      <c r="E146" s="13">
        <v>42771.918495370373</v>
      </c>
      <c r="F146" s="13">
        <v>42771.916944444441</v>
      </c>
      <c r="G146" s="7">
        <v>0</v>
      </c>
      <c r="H146" s="21" t="s">
        <v>321</v>
      </c>
      <c r="I146" s="13">
        <v>42771.944004629629</v>
      </c>
      <c r="J146" s="7">
        <v>0</v>
      </c>
      <c r="K146" s="98" t="str">
        <f>IF(ISEVEN(B146),(B146-1)&amp;"/"&amp;B146,B146&amp;"/"&amp;(B146+1))</f>
        <v>4015/4016</v>
      </c>
      <c r="L146" s="21" t="str">
        <f>VLOOKUP(A146,'Trips&amp;Operators'!$C$1:$G$99999,5,FALSE)</f>
        <v>SMITH MICHAEL</v>
      </c>
      <c r="M146" s="6">
        <f>I146-F146</f>
        <v>2.7060185188020114E-2</v>
      </c>
      <c r="N146" s="7">
        <f>24*60*SUM($M146:$M146)</f>
        <v>38.966666670748964</v>
      </c>
      <c r="O146" s="7"/>
      <c r="P146" s="7"/>
      <c r="Q146" s="22"/>
      <c r="R146" s="22" t="s">
        <v>906</v>
      </c>
      <c r="S146" s="31">
        <f>SUM(U146:U146)/IF(AG146="EC",12,1)</f>
        <v>1</v>
      </c>
      <c r="T146" s="46" t="str">
        <f>IF(ISEVEN(LEFT(AD146,4)),"Southbound","NorthBound")</f>
        <v>NorthBound</v>
      </c>
      <c r="U146" s="190">
        <f>IF(AG146="EC",COUNTIFS(Variables!$M$2:$M$19,IF(T146="NorthBound","&gt;=","&lt;=")&amp;Y146,Variables!$M$2:$M$19,IF(T146="NorthBound","&lt;=","&gt;=")&amp;Z146),COUNTIFS(Variables!$P$2:$P$19,IF(T146="NorthBound","&gt;=","&lt;=")&amp;Y146,Variables!$P$2:$P$19,IF(T146="NorthBound","&lt;=","&gt;=")&amp;Z146))</f>
        <v>12</v>
      </c>
      <c r="V146" s="191" t="str">
        <f>"https://d0f6bd738d7f1b3e5a7ca70fe4ff75f0.us-east-1.aws.found.io/app/kibana#/discover/Steve-Slow-Train-Analysis-(2080s-and-2083s)?_g="&amp;"(refreshInterval:(display:Off,pause:!f,section:0,value:0),time:(from:'"&amp;TEXT(E146-1/24,"yyyy-MM-DDThh:mm:ss")&amp;utc_offset&amp;"00"&amp;"',mode:absolute,to:'"&amp;TEXT(I146+1/24,"yyyy-MM-DDThh:mm:ss")&amp;utc_offset&amp;"00"&amp;"'))&amp;_a=(columns:!('Locomotive+ID','Data.Head+End+Milepost',Data.Speed,'Data.Locomotive+State','Data.Train+ID',"&amp;"'Data.Warning%2FEnforcement+Type','Data.Target+Start+Milepost','Data.Target+Description','Data.Target+Speed',"&amp;"'Data.Enforcement+Train+Speed','Data.Enforcement+Start+Milepost','Data.Target+Type','Data.Enforcement+Direction+of+Travel','Message+ID',"&amp;"'Data.Body+of+Summary+Text','Data.Head+End+Track+name'),filters:!(),index:'emp_*',interval:auto,query:"&amp;"(query_string:(analyze_wildcard:!t,query:'Message%5C+ID:(2083+OR+2080+OR+1041+OR+2003+OR+1051+OR+1043+OR+1053)+AND+%22rtdc.l.rtdc."&amp;B146&amp;"%22')),sort:!(Time.ISO8601,asc))"</f>
        <v>https://d0f6bd738d7f1b3e5a7ca70fe4ff75f0.us-east-1.aws.found.io/app/kibana#/discover/Steve-Slow-Train-Analysis-(2080s-and-2083s)?_g=(refreshInterval:(display:Off,pause:!f,section:0,value:0),time:(from:'2017-02-05T21:02:38-0700',mode:absolute,to:'2017-02-05T23:39:22-0700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4016%22')),sort:!(Time.ISO8601,asc))</v>
      </c>
      <c r="W146" s="192" t="str">
        <f>IF(AA146&lt;IF(AG146="EC",23,5.65),"Y","N")</f>
        <v>N</v>
      </c>
      <c r="X146" s="192">
        <f t="shared" ref="X146:X147" si="13">VALUE(LEFT(AD146,4))-VALUE(LEFT(AD145,4))</f>
        <v>1</v>
      </c>
      <c r="Y146" s="62">
        <f>RIGHT(D146,LEN(D146)-4)/10000</f>
        <v>9.2499999999999999E-2</v>
      </c>
      <c r="Z146" s="62">
        <f>RIGHT(H146,LEN(H146)-4)/10000</f>
        <v>23.3291</v>
      </c>
      <c r="AA146" s="62">
        <f>ABS(Z146-Y146)</f>
        <v>23.236599999999999</v>
      </c>
      <c r="AB146" s="59" t="e">
        <f>VLOOKUP(A146,Enforcements!$C$7:$K$16,8,0)</f>
        <v>#N/A</v>
      </c>
      <c r="AC146" s="55" t="e">
        <f>VLOOKUP(A146,Enforcements!$C$7:$E$16,3,0)</f>
        <v>#N/A</v>
      </c>
      <c r="AD146" s="56" t="str">
        <f>IF(LEN(A146)=6,"0"&amp;A146,A146)</f>
        <v>0233-05</v>
      </c>
      <c r="AE146" s="85" t="str">
        <f>"aws s3 cp "&amp;s3_bucket&amp;"/RTDC"&amp;B146&amp;"/ "&amp;search_path&amp;"\RTDC"&amp;B146&amp;"\"&amp;TEXT(F146,"YYYY-MM-DD")&amp;" --exclude ""*"" --recursive --include ""*"&amp;TEXT(F146,"YYYYMMDD")&amp;"*"" &amp; """&amp;walkandungz&amp;""" "&amp;search_path&amp;"\RTDC"&amp;B146&amp;"\"&amp;TEXT(F146,"YYYY-MM-DD")
&amp;" &amp; "&amp;"aws s3 cp "&amp;s3_bucket&amp;"/RTDC"&amp;B146&amp;"/ "&amp;search_path&amp;"\RTDC"&amp;B146&amp;"\"&amp;TEXT(F146+1,"YYYY-MM-DD")&amp;" --exclude ""*"" --recursive --include ""*"&amp;TEXT(F146+1,"YYYYMMDD")&amp;"*"" &amp; """&amp;walkandungz&amp;""" "&amp;search_path&amp;"\RTDC"&amp;B146&amp;"\"&amp;TEXT(F146+1,"YYYY-MM-DD")</f>
        <v>aws s3 cp s3://rtdc.mdm.uploadarchive.raw/RTDC4016/ "%USERPROFILE%\AppData\Local\Temp\OnboardLogs"\RTDC4016\2017-02-05 --exclude "*" --recursive --include "*20170205*" &amp; "%USERPROFILE%\Documents\GitHub\mrs-test-scripts\Headless Mode &amp; Sideloading\WalkAndUnGZ.bat" "%USERPROFILE%\AppData\Local\Temp\OnboardLogs"\RTDC4016\2017-02-05 &amp; aws s3 cp s3://rtdc.mdm.uploadarchive.raw/RTDC4016/ "%USERPROFILE%\AppData\Local\Temp\OnboardLogs"\RTDC4016\2017-02-06 --exclude "*" --recursive --include "*20170206*" &amp; "%USERPROFILE%\Documents\GitHub\mrs-test-scripts\Headless Mode &amp; Sideloading\WalkAndUnGZ.bat" "%USERPROFILE%\AppData\Local\Temp\OnboardLogs"\RTDC4016\2017-02-06</v>
      </c>
      <c r="AF146" s="82" t="str">
        <f>astrogrep_path&amp;" /spath="&amp;search_path&amp;" /stypes=""app*"&amp;B146&amp;"*"&amp;TEXT(I146-utc_offset/24,"YYYYMMDD")&amp;"*"" /stext="" "&amp;TEXT(I146-utc_offset/24,"HH")&amp;search_regexp&amp;""" /e /r /s"</f>
        <v>"C:\Program Files (x86)\AstroGrep\AstroGrep.exe" /spath="%USERPROFILE%\AppData\Local\Temp\OnboardLogs" /stypes="app*4016*20170206*" /stext=" 05:.+((SYSTEM_STATE.+slice.+state.+changed )|(ment ac)|(multiple cpu faults)|(system.+state.+changed )|(\[timeout)|(PRM\|1\|D)|(kpr)|(kdp)|(\|lc)|(penalty))" /e /r /s</v>
      </c>
      <c r="AG146" s="1" t="str">
        <f>IFERROR(IF(VALUE(LEFT(AD146,2))&lt;=2,"EC",IF(OR(VALUE(LEFT(AD146,2))=8,VALUE(LEFT(AD146,2))=18),"NW","Other")),"Other")</f>
        <v>EC</v>
      </c>
      <c r="AH146" s="86" t="str">
        <f t="shared" si="10"/>
        <v>"%USERPROFILE%\Documents\GitHub\eaglep3\Utilities\RefineRTDCRunTimes.py" --tripid 233-05 --locoid 4016 --swversion DE.1.0.8.0 --startMP 204:925 --initTime 2017-02-05T22:02:38 --startdatetime 2017-02-05T22:00:24 --delay 0 --endMP 204:233291 --enddatetime 2017-02-05T22:39:22 --enforcementcount 0 &gt;&gt;C:\Users\stu\Documents\GitHub\eaglep3-reporting\EC\2017-02-05-refined-times.txt</v>
      </c>
      <c r="AI146" s="108" t="str">
        <f t="shared" si="11"/>
        <v>echo {"issue":{"subject":"Delayed due to selecting wrong track","project_id":79,"tracker_id":40,"status_id":1,"priority_id":2,"assigned_to_id":23,"start_date":"2017-02-05","description":"","custom_fields":[{"id":1,"name":"Subdivision","value":"EC"},{"id":4,"name":"Milepost","value":"23.3291"},{"id":17,"name":"Train ID","value":"233-05"},{"id":16,"name":"Locomotive ID","value":"4016"},{"id":130,"name":"Impact","value":""},{"id":150,"name":"Time of Event (Mountain Time)","value":"22:39:22"},{"id":151,"name":"Denver Issue ID","value":""},{"id":178,"name":"Operational Impact","value":"Yes"},{"id":179,"name":"Denver Segment Assigned","value":""}]}} | curl -X POST -H "Content-Type: application/json" -H "X-Redmine-API-Key: d6333d4a04012a730768444271f8ca06482dae87" https://secure.xorail.net/redmine/issues.json --data @-</v>
      </c>
      <c r="AJ146" s="48"/>
      <c r="AK146" s="48"/>
      <c r="AL146" s="48"/>
      <c r="AM146" s="158" t="str">
        <f t="shared" si="12"/>
        <v>start /low /b %USERPROFILE%\Documents\GitHub\eaglep3\Utilities\DownloadLogsFromS3.py --loco 4016 --day 2017-02-05</v>
      </c>
      <c r="AN146" s="167" t="str">
        <f>"grep -SE -B400 ""CHR.+\|PRM\|1\|D.+(SWITCH|SIGNAL).+UNKNOWN"" "&amp;search_path&amp;"\RTDC"&amp;B146&amp;"\*"&amp;B146&amp;"*"&amp;TEXT(AVERAGE(F146,I146)-utc_offset/24,"YYYYMMDD")&amp;"* | grep -SE ""(Enforcement Action)|(\[TIMEOUT)|(CHR.+\|PRM\|1\|D.+(SWITCH|SIGNAL).+UNKNOWN)"" - &gt;&gt; "&amp;TEXT(Variables!$A$2,"YYYY-MM-DD")&amp;"-UncaughtWiMAX.txt"</f>
        <v>grep -SE -B400 "CHR.+\|PRM\|1\|D.+(SWITCH|SIGNAL).+UNKNOWN" "%USERPROFILE%\AppData\Local\Temp\OnboardLogs"\RTDC4016\*4016*20170206* | grep -SE "(Enforcement Action)|(\[TIMEOUT)|(CHR.+\|PRM\|1\|D.+(SWITCH|SIGNAL).+UNKNOWN)" - &gt;&gt; 2017-02-05-UncaughtWiMAX.txt</v>
      </c>
      <c r="AO146"/>
      <c r="AP146"/>
      <c r="AQ146"/>
      <c r="AR146"/>
      <c r="AS146"/>
      <c r="AT146"/>
      <c r="AU146"/>
      <c r="AV146"/>
      <c r="AW146"/>
      <c r="AX146"/>
      <c r="AY146"/>
      <c r="AZ146"/>
      <c r="BA146"/>
      <c r="BB146"/>
      <c r="BC146"/>
      <c r="BD146"/>
      <c r="BE146"/>
      <c r="BF146"/>
      <c r="BG146"/>
      <c r="BH146"/>
      <c r="BI146"/>
      <c r="BJ146"/>
      <c r="BK146"/>
      <c r="BL146"/>
      <c r="BM146"/>
      <c r="BN146"/>
      <c r="BO146"/>
      <c r="BP146"/>
      <c r="BQ146"/>
      <c r="BR146"/>
      <c r="BS146"/>
      <c r="BT146"/>
      <c r="BU146"/>
      <c r="BV146"/>
      <c r="BW146"/>
      <c r="BX146"/>
      <c r="BY146"/>
      <c r="BZ146"/>
      <c r="CA146"/>
      <c r="CB146"/>
      <c r="CC146"/>
      <c r="CD146"/>
      <c r="CE146"/>
      <c r="CF146"/>
      <c r="CG146"/>
      <c r="CH146"/>
      <c r="CI146"/>
      <c r="CJ146"/>
      <c r="CK146"/>
      <c r="CL146"/>
      <c r="CM146"/>
    </row>
    <row r="147" spans="1:91" s="20" customFormat="1" x14ac:dyDescent="0.25">
      <c r="A147" s="33" t="s">
        <v>520</v>
      </c>
      <c r="B147" s="7">
        <v>4015</v>
      </c>
      <c r="C147" s="21" t="s">
        <v>193</v>
      </c>
      <c r="D147" s="21" t="s">
        <v>848</v>
      </c>
      <c r="E147" s="13">
        <v>42771.946701388886</v>
      </c>
      <c r="F147" s="13">
        <v>42771.955787037034</v>
      </c>
      <c r="G147" s="7">
        <v>1</v>
      </c>
      <c r="H147" s="21" t="s">
        <v>212</v>
      </c>
      <c r="I147" s="13">
        <v>42771.984479166669</v>
      </c>
      <c r="J147" s="7">
        <v>0</v>
      </c>
      <c r="K147" s="98" t="str">
        <f>IF(ISEVEN(B147),(B147-1)&amp;"/"&amp;B147,B147&amp;"/"&amp;(B147+1))</f>
        <v>4015/4016</v>
      </c>
      <c r="L147" s="21" t="str">
        <f>VLOOKUP(A147,'Trips&amp;Operators'!$C$1:$G$99999,5,FALSE)</f>
        <v>SMITH MICHAEL</v>
      </c>
      <c r="M147" s="6">
        <f>I147-F147</f>
        <v>2.8692129635601304E-2</v>
      </c>
      <c r="N147" s="7">
        <f>24*60*SUM($M147:$M147)</f>
        <v>41.316666675265878</v>
      </c>
      <c r="O147" s="7"/>
      <c r="P147" s="7"/>
      <c r="Q147" s="22"/>
      <c r="R147" s="22"/>
      <c r="S147" s="31">
        <f>SUM(U147:U147)/IF(AG147="EC",12,1)</f>
        <v>1</v>
      </c>
      <c r="T147" s="46" t="str">
        <f>IF(ISEVEN(LEFT(AD147,4)),"Southbound","NorthBound")</f>
        <v>Southbound</v>
      </c>
      <c r="U147" s="190">
        <f>IF(AG147="EC",COUNTIFS(Variables!$M$2:$M$19,IF(T147="NorthBound","&gt;=","&lt;=")&amp;Y147,Variables!$M$2:$M$19,IF(T147="NorthBound","&lt;=","&gt;=")&amp;Z147),COUNTIFS(Variables!$P$2:$P$19,IF(T147="NorthBound","&gt;=","&lt;=")&amp;Y147,Variables!$P$2:$P$19,IF(T147="NorthBound","&lt;=","&gt;=")&amp;Z147))</f>
        <v>12</v>
      </c>
      <c r="V147" s="191" t="str">
        <f>"https://d0f6bd738d7f1b3e5a7ca70fe4ff75f0.us-east-1.aws.found.io/app/kibana#/discover/Steve-Slow-Train-Analysis-(2080s-and-2083s)?_g="&amp;"(refreshInterval:(display:Off,pause:!f,section:0,value:0),time:(from:'"&amp;TEXT(E147-1/24,"yyyy-MM-DDThh:mm:ss")&amp;utc_offset&amp;"00"&amp;"',mode:absolute,to:'"&amp;TEXT(I147+1/24,"yyyy-MM-DDThh:mm:ss")&amp;utc_offset&amp;"00"&amp;"'))&amp;_a=(columns:!('Locomotive+ID','Data.Head+End+Milepost',Data.Speed,'Data.Locomotive+State','Data.Train+ID',"&amp;"'Data.Warning%2FEnforcement+Type','Data.Target+Start+Milepost','Data.Target+Description','Data.Target+Speed',"&amp;"'Data.Enforcement+Train+Speed','Data.Enforcement+Start+Milepost','Data.Target+Type','Data.Enforcement+Direction+of+Travel','Message+ID',"&amp;"'Data.Body+of+Summary+Text','Data.Head+End+Track+name'),filters:!(),index:'emp_*',interval:auto,query:"&amp;"(query_string:(analyze_wildcard:!t,query:'Message%5C+ID:(2083+OR+2080+OR+1041+OR+2003+OR+1051+OR+1043+OR+1053)+AND+%22rtdc.l.rtdc."&amp;B147&amp;"%22')),sort:!(Time.ISO8601,asc))"</f>
        <v>https://d0f6bd738d7f1b3e5a7ca70fe4ff75f0.us-east-1.aws.found.io/app/kibana#/discover/Steve-Slow-Train-Analysis-(2080s-and-2083s)?_g=(refreshInterval:(display:Off,pause:!f,section:0,value:0),time:(from:'2017-02-05T21:43:15-0700',mode:absolute,to:'2017-02-06T00:37:39-0700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4015%22')),sort:!(Time.ISO8601,asc))</v>
      </c>
      <c r="W147" s="192" t="str">
        <f>IF(AA147&lt;IF(AG147="EC",23,5.65),"Y","N")</f>
        <v>N</v>
      </c>
      <c r="X147" s="192">
        <f t="shared" si="13"/>
        <v>1</v>
      </c>
      <c r="Y147" s="62">
        <f>RIGHT(D147,LEN(D147)-4)/10000</f>
        <v>23.296900000000001</v>
      </c>
      <c r="Z147" s="62">
        <f>RIGHT(H147,LEN(H147)-4)/10000</f>
        <v>1.52E-2</v>
      </c>
      <c r="AA147" s="62">
        <f>ABS(Z147-Y147)</f>
        <v>23.281700000000001</v>
      </c>
      <c r="AB147" s="59" t="e">
        <f>VLOOKUP(A147,Enforcements!$C$7:$K$16,8,0)</f>
        <v>#N/A</v>
      </c>
      <c r="AC147" s="55" t="e">
        <f>VLOOKUP(A147,Enforcements!$C$7:$E$16,3,0)</f>
        <v>#N/A</v>
      </c>
      <c r="AD147" s="56" t="str">
        <f>IF(LEN(A147)=6,"0"&amp;A147,A147)</f>
        <v>0234-05</v>
      </c>
      <c r="AE147" s="85" t="str">
        <f>"aws s3 cp "&amp;s3_bucket&amp;"/RTDC"&amp;B147&amp;"/ "&amp;search_path&amp;"\RTDC"&amp;B147&amp;"\"&amp;TEXT(F147,"YYYY-MM-DD")&amp;" --exclude ""*"" --recursive --include ""*"&amp;TEXT(F147,"YYYYMMDD")&amp;"*"" &amp; """&amp;walkandungz&amp;""" "&amp;search_path&amp;"\RTDC"&amp;B147&amp;"\"&amp;TEXT(F147,"YYYY-MM-DD")
&amp;" &amp; "&amp;"aws s3 cp "&amp;s3_bucket&amp;"/RTDC"&amp;B147&amp;"/ "&amp;search_path&amp;"\RTDC"&amp;B147&amp;"\"&amp;TEXT(F147+1,"YYYY-MM-DD")&amp;" --exclude ""*"" --recursive --include ""*"&amp;TEXT(F147+1,"YYYYMMDD")&amp;"*"" &amp; """&amp;walkandungz&amp;""" "&amp;search_path&amp;"\RTDC"&amp;B147&amp;"\"&amp;TEXT(F147+1,"YYYY-MM-DD")</f>
        <v>aws s3 cp s3://rtdc.mdm.uploadarchive.raw/RTDC4015/ "%USERPROFILE%\AppData\Local\Temp\OnboardLogs"\RTDC4015\2017-02-05 --exclude "*" --recursive --include "*20170205*" &amp; "%USERPROFILE%\Documents\GitHub\mrs-test-scripts\Headless Mode &amp; Sideloading\WalkAndUnGZ.bat" "%USERPROFILE%\AppData\Local\Temp\OnboardLogs"\RTDC4015\2017-02-05 &amp; aws s3 cp s3://rtdc.mdm.uploadarchive.raw/RTDC4015/ "%USERPROFILE%\AppData\Local\Temp\OnboardLogs"\RTDC4015\2017-02-06 --exclude "*" --recursive --include "*20170206*" &amp; "%USERPROFILE%\Documents\GitHub\mrs-test-scripts\Headless Mode &amp; Sideloading\WalkAndUnGZ.bat" "%USERPROFILE%\AppData\Local\Temp\OnboardLogs"\RTDC4015\2017-02-06</v>
      </c>
      <c r="AF147" s="82" t="str">
        <f>astrogrep_path&amp;" /spath="&amp;search_path&amp;" /stypes=""app*"&amp;B147&amp;"*"&amp;TEXT(I147-utc_offset/24,"YYYYMMDD")&amp;"*"" /stext="" "&amp;TEXT(I147-utc_offset/24,"HH")&amp;search_regexp&amp;""" /e /r /s"</f>
        <v>"C:\Program Files (x86)\AstroGrep\AstroGrep.exe" /spath="%USERPROFILE%\AppData\Local\Temp\OnboardLogs" /stypes="app*4015*20170206*" /stext=" 06:.+((SYSTEM_STATE.+slice.+state.+changed )|(ment ac)|(multiple cpu faults)|(system.+state.+changed )|(\[timeout)|(PRM\|1\|D)|(kpr)|(kdp)|(\|lc)|(penalty))" /e /r /s</v>
      </c>
      <c r="AG147" s="1" t="str">
        <f>IFERROR(IF(VALUE(LEFT(AD147,2))&lt;=2,"EC",IF(OR(VALUE(LEFT(AD147,2))=8,VALUE(LEFT(AD147,2))=18),"NW","Other")),"Other")</f>
        <v>EC</v>
      </c>
      <c r="AH147" s="86" t="str">
        <f t="shared" si="10"/>
        <v>"%USERPROFILE%\Documents\GitHub\eaglep3\Utilities\RefineRTDCRunTimes.py" --tripid 234-05 --locoid 4015 --swversion DE.1.0.8.0 --startMP 204:232969 --initTime 2017-02-05T22:43:15 --startdatetime 2017-02-05T22:56:20 --delay 1 --endMP 204:152 --enddatetime 2017-02-05T23:37:39 --enforcementcount 0 &gt;&gt;C:\Users\stu\Documents\GitHub\eaglep3-reporting\EC\2017-02-05-refined-times.txt</v>
      </c>
      <c r="AI147" s="108" t="str">
        <f t="shared" si="11"/>
        <v>echo {"issue":{"subject":"","project_id":79,"tracker_id":40,"status_id":1,"priority_id":2,"assigned_to_id":23,"start_date":"2017-02-05","description":"","custom_fields":[{"id":1,"name":"Subdivision","value":"EC"},{"id":4,"name":"Milepost","value":"0.0152"},{"id":17,"name":"Train ID","value":"234-05"},{"id":16,"name":"Locomotive ID","value":"4015"},{"id":130,"name":"Impact","value":""},{"id":150,"name":"Time of Event (Mountain Time)","value":"23:37:39"},{"id":151,"name":"Denver Issue ID","value":""},{"id":178,"name":"Operational Impact","value":"Yes"},{"id":179,"name":"Denver Segment Assigned","value":""}]}} | curl -X POST -H "Content-Type: application/json" -H "X-Redmine-API-Key: d6333d4a04012a730768444271f8ca06482dae87" https://secure.xorail.net/redmine/issues.json --data @-</v>
      </c>
      <c r="AJ147" s="48"/>
      <c r="AK147" s="48"/>
      <c r="AL147" s="48"/>
      <c r="AM147" s="158" t="str">
        <f t="shared" si="12"/>
        <v>start /low /b %USERPROFILE%\Documents\GitHub\eaglep3\Utilities\DownloadLogsFromS3.py --loco 4015 --day 2017-02-05</v>
      </c>
      <c r="AN147" s="167" t="str">
        <f>"grep -SE -B400 ""CHR.+\|PRM\|1\|D.+(SWITCH|SIGNAL).+UNKNOWN"" "&amp;search_path&amp;"\RTDC"&amp;B147&amp;"\*"&amp;B147&amp;"*"&amp;TEXT(AVERAGE(F147,I147)-utc_offset/24,"YYYYMMDD")&amp;"* | grep -SE ""(Enforcement Action)|(\[TIMEOUT)|(CHR.+\|PRM\|1\|D.+(SWITCH|SIGNAL).+UNKNOWN)"" - &gt;&gt; "&amp;TEXT(Variables!$A$2,"YYYY-MM-DD")&amp;"-UncaughtWiMAX.txt"</f>
        <v>grep -SE -B400 "CHR.+\|PRM\|1\|D.+(SWITCH|SIGNAL).+UNKNOWN" "%USERPROFILE%\AppData\Local\Temp\OnboardLogs"\RTDC4015\*4015*20170206* | grep -SE "(Enforcement Action)|(\[TIMEOUT)|(CHR.+\|PRM\|1\|D.+(SWITCH|SIGNAL).+UNKNOWN)" - &gt;&gt; 2017-02-05-UncaughtWiMAX.txt</v>
      </c>
      <c r="AO147"/>
      <c r="AP147"/>
      <c r="AQ147"/>
      <c r="AR147"/>
      <c r="AS147"/>
      <c r="AT147"/>
      <c r="AU147"/>
      <c r="AV147"/>
      <c r="AW147"/>
      <c r="AX147"/>
      <c r="AY147"/>
      <c r="AZ147"/>
      <c r="BA147"/>
      <c r="BB147"/>
      <c r="BC147"/>
      <c r="BD147"/>
      <c r="BE147"/>
      <c r="BF147"/>
      <c r="BG147"/>
      <c r="BH147"/>
      <c r="BI147"/>
      <c r="BJ147"/>
      <c r="BK147"/>
      <c r="BL147"/>
      <c r="BM147"/>
      <c r="BN147"/>
      <c r="BO147"/>
      <c r="BP147"/>
      <c r="BQ147"/>
      <c r="BR147"/>
      <c r="BS147"/>
      <c r="BT147"/>
      <c r="BU147"/>
      <c r="BV147"/>
      <c r="BW147"/>
      <c r="BX147"/>
      <c r="BY147"/>
      <c r="BZ147"/>
      <c r="CA147"/>
      <c r="CB147"/>
      <c r="CC147"/>
      <c r="CD147"/>
      <c r="CE147"/>
      <c r="CF147"/>
      <c r="CG147"/>
      <c r="CH147"/>
      <c r="CI147"/>
      <c r="CJ147"/>
      <c r="CK147"/>
      <c r="CL147"/>
      <c r="CM147"/>
    </row>
    <row r="148" spans="1:91" s="20" customFormat="1" x14ac:dyDescent="0.25">
      <c r="A148" s="33" t="s">
        <v>726</v>
      </c>
      <c r="B148" s="7">
        <v>4022</v>
      </c>
      <c r="C148" s="21" t="s">
        <v>193</v>
      </c>
      <c r="D148" s="21" t="s">
        <v>211</v>
      </c>
      <c r="E148" s="13">
        <v>42771.930474537039</v>
      </c>
      <c r="F148" s="13">
        <v>42771.937731481485</v>
      </c>
      <c r="G148" s="7">
        <v>1</v>
      </c>
      <c r="H148" s="21" t="s">
        <v>849</v>
      </c>
      <c r="I148" s="13">
        <v>42771.969178240739</v>
      </c>
      <c r="J148" s="7">
        <v>0</v>
      </c>
      <c r="K148" s="98" t="str">
        <f>IF(ISEVEN(B148),(B148-1)&amp;"/"&amp;B148,B148&amp;"/"&amp;(B148+1))</f>
        <v>4021/4022</v>
      </c>
      <c r="L148" s="21" t="str">
        <f>VLOOKUP(A148,'Trips&amp;Operators'!$C$1:$G$99999,5,FALSE)</f>
        <v>YANG JAN</v>
      </c>
      <c r="M148" s="6">
        <f>I148-F148</f>
        <v>3.1446759254322387E-2</v>
      </c>
      <c r="N148" s="7">
        <f>24*60*SUM($M148:$M148)</f>
        <v>45.283333326224238</v>
      </c>
      <c r="O148" s="7"/>
      <c r="P148" s="7"/>
      <c r="Q148" s="22"/>
      <c r="R148" s="22"/>
      <c r="S148" s="31">
        <f>SUM(U148:U148)/IF(AG148="EC",12,1)</f>
        <v>1</v>
      </c>
      <c r="T148" s="46" t="str">
        <f>IF(ISEVEN(LEFT(AD148,4)),"Southbound","NorthBound")</f>
        <v>NorthBound</v>
      </c>
      <c r="U148" s="190">
        <f>IF(AG148="EC",COUNTIFS(Variables!$M$2:$M$19,IF(T148="NorthBound","&gt;=","&lt;=")&amp;Y148,Variables!$M$2:$M$19,IF(T148="NorthBound","&lt;=","&gt;=")&amp;Z148),COUNTIFS(Variables!$P$2:$P$19,IF(T148="NorthBound","&gt;=","&lt;=")&amp;Y148,Variables!$P$2:$P$19,IF(T148="NorthBound","&lt;=","&gt;=")&amp;Z148))</f>
        <v>12</v>
      </c>
      <c r="V148" s="191" t="str">
        <f>"https://d0f6bd738d7f1b3e5a7ca70fe4ff75f0.us-east-1.aws.found.io/app/kibana#/discover/Steve-Slow-Train-Analysis-(2080s-and-2083s)?_g="&amp;"(refreshInterval:(display:Off,pause:!f,section:0,value:0),time:(from:'"&amp;TEXT(E148-1/24,"yyyy-MM-DDThh:mm:ss")&amp;utc_offset&amp;"00"&amp;"',mode:absolute,to:'"&amp;TEXT(I148+1/24,"yyyy-MM-DDThh:mm:ss")&amp;utc_offset&amp;"00"&amp;"'))&amp;_a=(columns:!('Locomotive+ID','Data.Head+End+Milepost',Data.Speed,'Data.Locomotive+State','Data.Train+ID',"&amp;"'Data.Warning%2FEnforcement+Type','Data.Target+Start+Milepost','Data.Target+Description','Data.Target+Speed',"&amp;"'Data.Enforcement+Train+Speed','Data.Enforcement+Start+Milepost','Data.Target+Type','Data.Enforcement+Direction+of+Travel','Message+ID',"&amp;"'Data.Body+of+Summary+Text','Data.Head+End+Track+name'),filters:!(),index:'emp_*',interval:auto,query:"&amp;"(query_string:(analyze_wildcard:!t,query:'Message%5C+ID:(2083+OR+2080+OR+1041+OR+2003+OR+1051+OR+1043+OR+1053)+AND+%22rtdc.l.rtdc."&amp;B148&amp;"%22')),sort:!(Time.ISO8601,asc))"</f>
        <v>https://d0f6bd738d7f1b3e5a7ca70fe4ff75f0.us-east-1.aws.found.io/app/kibana#/discover/Steve-Slow-Train-Analysis-(2080s-and-2083s)?_g=(refreshInterval:(display:Off,pause:!f,section:0,value:0),time:(from:'2017-02-05T21:19:53-0700',mode:absolute,to:'2017-02-06T00:15:37-0700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4022%22')),sort:!(Time.ISO8601,asc))</v>
      </c>
      <c r="W148" s="192" t="str">
        <f>IF(AA148&lt;IF(AG148="EC",23,5.65),"Y","N")</f>
        <v>N</v>
      </c>
      <c r="X148" s="192">
        <f>VALUE(LEFT(AD148,4))-VALUE(LEFT(AD147,4))</f>
        <v>1</v>
      </c>
      <c r="Y148" s="62">
        <f>RIGHT(D148,LEN(D148)-4)/10000</f>
        <v>4.4900000000000002E-2</v>
      </c>
      <c r="Z148" s="62">
        <f>RIGHT(H148,LEN(H148)-4)/10000</f>
        <v>23.330500000000001</v>
      </c>
      <c r="AA148" s="62">
        <f>ABS(Z148-Y148)</f>
        <v>23.285600000000002</v>
      </c>
      <c r="AB148" s="59" t="e">
        <f>VLOOKUP(A148,Enforcements!$C$7:$K$16,8,0)</f>
        <v>#N/A</v>
      </c>
      <c r="AC148" s="55" t="e">
        <f>VLOOKUP(A148,Enforcements!$C$7:$E$16,3,0)</f>
        <v>#N/A</v>
      </c>
      <c r="AD148" s="56" t="str">
        <f>IF(LEN(A148)=6,"0"&amp;A148,A148)</f>
        <v>0235-05</v>
      </c>
      <c r="AE148" s="85" t="str">
        <f>"aws s3 cp "&amp;s3_bucket&amp;"/RTDC"&amp;B148&amp;"/ "&amp;search_path&amp;"\RTDC"&amp;B148&amp;"\"&amp;TEXT(F148,"YYYY-MM-DD")&amp;" --exclude ""*"" --recursive --include ""*"&amp;TEXT(F148,"YYYYMMDD")&amp;"*"" &amp; """&amp;walkandungz&amp;""" "&amp;search_path&amp;"\RTDC"&amp;B148&amp;"\"&amp;TEXT(F148,"YYYY-MM-DD")
&amp;" &amp; "&amp;"aws s3 cp "&amp;s3_bucket&amp;"/RTDC"&amp;B148&amp;"/ "&amp;search_path&amp;"\RTDC"&amp;B148&amp;"\"&amp;TEXT(F148+1,"YYYY-MM-DD")&amp;" --exclude ""*"" --recursive --include ""*"&amp;TEXT(F148+1,"YYYYMMDD")&amp;"*"" &amp; """&amp;walkandungz&amp;""" "&amp;search_path&amp;"\RTDC"&amp;B148&amp;"\"&amp;TEXT(F148+1,"YYYY-MM-DD")</f>
        <v>aws s3 cp s3://rtdc.mdm.uploadarchive.raw/RTDC4022/ "%USERPROFILE%\AppData\Local\Temp\OnboardLogs"\RTDC4022\2017-02-05 --exclude "*" --recursive --include "*20170205*" &amp; "%USERPROFILE%\Documents\GitHub\mrs-test-scripts\Headless Mode &amp; Sideloading\WalkAndUnGZ.bat" "%USERPROFILE%\AppData\Local\Temp\OnboardLogs"\RTDC4022\2017-02-05 &amp; aws s3 cp s3://rtdc.mdm.uploadarchive.raw/RTDC4022/ "%USERPROFILE%\AppData\Local\Temp\OnboardLogs"\RTDC4022\2017-02-06 --exclude "*" --recursive --include "*20170206*" &amp; "%USERPROFILE%\Documents\GitHub\mrs-test-scripts\Headless Mode &amp; Sideloading\WalkAndUnGZ.bat" "%USERPROFILE%\AppData\Local\Temp\OnboardLogs"\RTDC4022\2017-02-06</v>
      </c>
      <c r="AF148" s="82" t="str">
        <f>astrogrep_path&amp;" /spath="&amp;search_path&amp;" /stypes=""app*"&amp;B148&amp;"*"&amp;TEXT(I148-utc_offset/24,"YYYYMMDD")&amp;"*"" /stext="" "&amp;TEXT(I148-utc_offset/24,"HH")&amp;search_regexp&amp;""" /e /r /s"</f>
        <v>"C:\Program Files (x86)\AstroGrep\AstroGrep.exe" /spath="%USERPROFILE%\AppData\Local\Temp\OnboardLogs" /stypes="app*4022*20170206*" /stext=" 06:.+((SYSTEM_STATE.+slice.+state.+changed )|(ment ac)|(multiple cpu faults)|(system.+state.+changed )|(\[timeout)|(PRM\|1\|D)|(kpr)|(kdp)|(\|lc)|(penalty))" /e /r /s</v>
      </c>
      <c r="AG148" s="1" t="str">
        <f>IFERROR(IF(VALUE(LEFT(AD148,2))&lt;=2,"EC",IF(OR(VALUE(LEFT(AD148,2))=8,VALUE(LEFT(AD148,2))=18),"NW","Other")),"Other")</f>
        <v>EC</v>
      </c>
      <c r="AH148" s="86" t="str">
        <f t="shared" si="10"/>
        <v>"%USERPROFILE%\Documents\GitHub\eaglep3\Utilities\RefineRTDCRunTimes.py" --tripid 235-05 --locoid 4022 --swversion DE.1.0.8.0 --startMP 204:449 --initTime 2017-02-05T22:19:53 --startdatetime 2017-02-05T22:30:20 --delay 1 --endMP 204:233305 --enddatetime 2017-02-05T23:15:37 --enforcementcount 0 &gt;&gt;C:\Users\stu\Documents\GitHub\eaglep3-reporting\EC\2017-02-05-refined-times.txt</v>
      </c>
      <c r="AI148" s="108" t="str">
        <f t="shared" si="11"/>
        <v>echo {"issue":{"subject":"","project_id":79,"tracker_id":40,"status_id":1,"priority_id":2,"assigned_to_id":23,"start_date":"2017-02-05","description":"","custom_fields":[{"id":1,"name":"Subdivision","value":"EC"},{"id":4,"name":"Milepost","value":"23.3305"},{"id":17,"name":"Train ID","value":"235-05"},{"id":16,"name":"Locomotive ID","value":"4022"},{"id":130,"name":"Impact","value":""},{"id":150,"name":"Time of Event (Mountain Time)","value":"23:15:37"},{"id":151,"name":"Denver Issue ID","value":""},{"id":178,"name":"Operational Impact","value":"Yes"},{"id":179,"name":"Denver Segment Assigned","value":""}]}} | curl -X POST -H "Content-Type: application/json" -H "X-Redmine-API-Key: d6333d4a04012a730768444271f8ca06482dae87" https://secure.xorail.net/redmine/issues.json --data @-</v>
      </c>
      <c r="AJ148" s="48"/>
      <c r="AK148" s="48"/>
      <c r="AL148" s="48"/>
      <c r="AM148" s="158" t="str">
        <f t="shared" si="12"/>
        <v>start /low /b %USERPROFILE%\Documents\GitHub\eaglep3\Utilities\DownloadLogsFromS3.py --loco 4022 --day 2017-02-05</v>
      </c>
      <c r="AN148" s="167" t="str">
        <f>"grep -SE -B400 ""CHR.+\|PRM\|1\|D.+(SWITCH|SIGNAL).+UNKNOWN"" "&amp;search_path&amp;"\RTDC"&amp;B148&amp;"\*"&amp;B148&amp;"*"&amp;TEXT(AVERAGE(F148,I148)-utc_offset/24,"YYYYMMDD")&amp;"* | grep -SE ""(Enforcement Action)|(\[TIMEOUT)|(CHR.+\|PRM\|1\|D.+(SWITCH|SIGNAL).+UNKNOWN)"" - &gt;&gt; "&amp;TEXT(Variables!$A$2,"YYYY-MM-DD")&amp;"-UncaughtWiMAX.txt"</f>
        <v>grep -SE -B400 "CHR.+\|PRM\|1\|D.+(SWITCH|SIGNAL).+UNKNOWN" "%USERPROFILE%\AppData\Local\Temp\OnboardLogs"\RTDC4022\*4022*20170206* | grep -SE "(Enforcement Action)|(\[TIMEOUT)|(CHR.+\|PRM\|1\|D.+(SWITCH|SIGNAL).+UNKNOWN)" - &gt;&gt; 2017-02-05-UncaughtWiMAX.txt</v>
      </c>
      <c r="AO148"/>
      <c r="AP148"/>
      <c r="AQ148"/>
      <c r="AR148"/>
      <c r="AS148"/>
      <c r="AT148"/>
      <c r="AU148"/>
      <c r="AV148"/>
      <c r="AW148"/>
      <c r="AX148"/>
      <c r="AY148"/>
      <c r="AZ148"/>
      <c r="BA148"/>
      <c r="BB148"/>
      <c r="BC148"/>
      <c r="BD148"/>
      <c r="BE148"/>
      <c r="BF148"/>
      <c r="BG148"/>
      <c r="BH148"/>
      <c r="BI148"/>
      <c r="BJ148"/>
      <c r="BK148"/>
      <c r="BL148"/>
      <c r="BM148"/>
      <c r="BN148"/>
      <c r="BO148"/>
      <c r="BP148"/>
      <c r="BQ148"/>
      <c r="BR148"/>
      <c r="BS148"/>
      <c r="BT148"/>
      <c r="BU148"/>
      <c r="BV148"/>
      <c r="BW148"/>
      <c r="BX148"/>
      <c r="BY148"/>
      <c r="BZ148"/>
      <c r="CA148"/>
      <c r="CB148"/>
      <c r="CC148"/>
      <c r="CD148"/>
      <c r="CE148"/>
      <c r="CF148"/>
      <c r="CG148"/>
      <c r="CH148"/>
      <c r="CI148"/>
      <c r="CJ148"/>
      <c r="CK148"/>
      <c r="CL148"/>
      <c r="CM148"/>
    </row>
    <row r="149" spans="1:91" s="20" customFormat="1" x14ac:dyDescent="0.25">
      <c r="A149" s="33" t="s">
        <v>729</v>
      </c>
      <c r="B149" s="7">
        <v>4021</v>
      </c>
      <c r="C149" s="21" t="s">
        <v>193</v>
      </c>
      <c r="D149" s="21" t="s">
        <v>326</v>
      </c>
      <c r="E149" s="13">
        <v>42771.974108796298</v>
      </c>
      <c r="F149" s="13">
        <v>42771.976643518516</v>
      </c>
      <c r="G149" s="7">
        <v>1</v>
      </c>
      <c r="H149" s="21" t="s">
        <v>850</v>
      </c>
      <c r="I149" s="13">
        <v>42771.988645833335</v>
      </c>
      <c r="J149" s="7">
        <v>0</v>
      </c>
      <c r="K149" s="98" t="str">
        <f>IF(ISEVEN(B149),(B149-1)&amp;"/"&amp;B149,B149&amp;"/"&amp;(B149+1))</f>
        <v>4021/4022</v>
      </c>
      <c r="L149" s="21" t="str">
        <f>VLOOKUP(A149,'Trips&amp;Operators'!$C$1:$G$99999,5,FALSE)</f>
        <v>YANG JAN</v>
      </c>
      <c r="M149" s="6">
        <f>I149-F149</f>
        <v>1.2002314819255844E-2</v>
      </c>
      <c r="N149" s="7"/>
      <c r="O149" s="7"/>
      <c r="P149" s="7">
        <f>24*60*SUM($M149:$M149)</f>
        <v>17.283333339728415</v>
      </c>
      <c r="Q149" s="22"/>
      <c r="R149" s="22" t="s">
        <v>903</v>
      </c>
      <c r="S149" s="31">
        <f>SUM(U149:U149)/IF(AG149="EC",12,1)</f>
        <v>0</v>
      </c>
      <c r="T149" s="46" t="str">
        <f>IF(ISEVEN(LEFT(AD149,4)),"Southbound","NorthBound")</f>
        <v>Southbound</v>
      </c>
      <c r="U149" s="190">
        <f>IF(AG149="EC",COUNTIFS(Variables!$M$2:$M$19,IF(T149="NorthBound","&gt;=","&lt;=")&amp;Y149,Variables!$M$2:$M$19,IF(T149="NorthBound","&lt;=","&gt;=")&amp;Z149),COUNTIFS(Variables!$P$2:$P$19,IF(T149="NorthBound","&gt;=","&lt;=")&amp;Y149,Variables!$P$2:$P$19,IF(T149="NorthBound","&lt;=","&gt;=")&amp;Z149))</f>
        <v>0</v>
      </c>
      <c r="V149" s="191" t="str">
        <f>"https://d0f6bd738d7f1b3e5a7ca70fe4ff75f0.us-east-1.aws.found.io/app/kibana#/discover/Steve-Slow-Train-Analysis-(2080s-and-2083s)?_g="&amp;"(refreshInterval:(display:Off,pause:!f,section:0,value:0),time:(from:'"&amp;TEXT(E149-1/24,"yyyy-MM-DDThh:mm:ss")&amp;utc_offset&amp;"00"&amp;"',mode:absolute,to:'"&amp;TEXT(I149+1/24,"yyyy-MM-DDThh:mm:ss")&amp;utc_offset&amp;"00"&amp;"'))&amp;_a=(columns:!('Locomotive+ID','Data.Head+End+Milepost',Data.Speed,'Data.Locomotive+State','Data.Train+ID',"&amp;"'Data.Warning%2FEnforcement+Type','Data.Target+Start+Milepost','Data.Target+Description','Data.Target+Speed',"&amp;"'Data.Enforcement+Train+Speed','Data.Enforcement+Start+Milepost','Data.Target+Type','Data.Enforcement+Direction+of+Travel','Message+ID',"&amp;"'Data.Body+of+Summary+Text','Data.Head+End+Track+name'),filters:!(),index:'emp_*',interval:auto,query:"&amp;"(query_string:(analyze_wildcard:!t,query:'Message%5C+ID:(2083+OR+2080+OR+1041+OR+2003+OR+1051+OR+1043+OR+1053)+AND+%22rtdc.l.rtdc."&amp;B149&amp;"%22')),sort:!(Time.ISO8601,asc))"</f>
        <v>https://d0f6bd738d7f1b3e5a7ca70fe4ff75f0.us-east-1.aws.found.io/app/kibana#/discover/Steve-Slow-Train-Analysis-(2080s-and-2083s)?_g=(refreshInterval:(display:Off,pause:!f,section:0,value:0),time:(from:'2017-02-05T22:22:43-0700',mode:absolute,to:'2017-02-06T00:43:39-0700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4021%22')),sort:!(Time.ISO8601,asc))</v>
      </c>
      <c r="W149" s="192" t="str">
        <f>IF(AA149&lt;IF(AG149="EC",23,5.65),"Y","N")</f>
        <v>Y</v>
      </c>
      <c r="X149" s="192">
        <f>VALUE(LEFT(AD149,4))-VALUE(LEFT(AD148,4))</f>
        <v>1</v>
      </c>
      <c r="Y149" s="62">
        <f>RIGHT(D149,LEN(D149)-4)/10000</f>
        <v>23.2986</v>
      </c>
      <c r="Z149" s="62">
        <f>RIGHT(H149,LEN(H149)-4)/10000</f>
        <v>12.511100000000001</v>
      </c>
      <c r="AA149" s="62">
        <f>ABS(Z149-Y149)</f>
        <v>10.7875</v>
      </c>
      <c r="AB149" s="59" t="e">
        <f>VLOOKUP(A149,Enforcements!$C$7:$K$16,8,0)</f>
        <v>#N/A</v>
      </c>
      <c r="AC149" s="55" t="e">
        <f>VLOOKUP(A149,Enforcements!$C$7:$E$16,3,0)</f>
        <v>#N/A</v>
      </c>
      <c r="AD149" s="56" t="str">
        <f>IF(LEN(A149)=6,"0"&amp;A149,A149)</f>
        <v>0236-05</v>
      </c>
      <c r="AE149" s="85" t="str">
        <f>"aws s3 cp "&amp;s3_bucket&amp;"/RTDC"&amp;B149&amp;"/ "&amp;search_path&amp;"\RTDC"&amp;B149&amp;"\"&amp;TEXT(F149,"YYYY-MM-DD")&amp;" --exclude ""*"" --recursive --include ""*"&amp;TEXT(F149,"YYYYMMDD")&amp;"*"" &amp; """&amp;walkandungz&amp;""" "&amp;search_path&amp;"\RTDC"&amp;B149&amp;"\"&amp;TEXT(F149,"YYYY-MM-DD")
&amp;" &amp; "&amp;"aws s3 cp "&amp;s3_bucket&amp;"/RTDC"&amp;B149&amp;"/ "&amp;search_path&amp;"\RTDC"&amp;B149&amp;"\"&amp;TEXT(F149+1,"YYYY-MM-DD")&amp;" --exclude ""*"" --recursive --include ""*"&amp;TEXT(F149+1,"YYYYMMDD")&amp;"*"" &amp; """&amp;walkandungz&amp;""" "&amp;search_path&amp;"\RTDC"&amp;B149&amp;"\"&amp;TEXT(F149+1,"YYYY-MM-DD")</f>
        <v>aws s3 cp s3://rtdc.mdm.uploadarchive.raw/RTDC4021/ "%USERPROFILE%\AppData\Local\Temp\OnboardLogs"\RTDC4021\2017-02-05 --exclude "*" --recursive --include "*20170205*" &amp; "%USERPROFILE%\Documents\GitHub\mrs-test-scripts\Headless Mode &amp; Sideloading\WalkAndUnGZ.bat" "%USERPROFILE%\AppData\Local\Temp\OnboardLogs"\RTDC4021\2017-02-05 &amp; aws s3 cp s3://rtdc.mdm.uploadarchive.raw/RTDC4021/ "%USERPROFILE%\AppData\Local\Temp\OnboardLogs"\RTDC4021\2017-02-06 --exclude "*" --recursive --include "*20170206*" &amp; "%USERPROFILE%\Documents\GitHub\mrs-test-scripts\Headless Mode &amp; Sideloading\WalkAndUnGZ.bat" "%USERPROFILE%\AppData\Local\Temp\OnboardLogs"\RTDC4021\2017-02-06</v>
      </c>
      <c r="AF149" s="82" t="str">
        <f>astrogrep_path&amp;" /spath="&amp;search_path&amp;" /stypes=""app*"&amp;B149&amp;"*"&amp;TEXT(I149-utc_offset/24,"YYYYMMDD")&amp;"*"" /stext="" "&amp;TEXT(I149-utc_offset/24,"HH")&amp;search_regexp&amp;""" /e /r /s"</f>
        <v>"C:\Program Files (x86)\AstroGrep\AstroGrep.exe" /spath="%USERPROFILE%\AppData\Local\Temp\OnboardLogs" /stypes="app*4021*20170206*" /stext=" 06:.+((SYSTEM_STATE.+slice.+state.+changed )|(ment ac)|(multiple cpu faults)|(system.+state.+changed )|(\[timeout)|(PRM\|1\|D)|(kpr)|(kdp)|(\|lc)|(penalty))" /e /r /s</v>
      </c>
      <c r="AG149" s="1" t="str">
        <f>IFERROR(IF(VALUE(LEFT(AD149,2))&lt;=2,"EC",IF(OR(VALUE(LEFT(AD149,2))=8,VALUE(LEFT(AD149,2))=18),"NW","Other")),"Other")</f>
        <v>EC</v>
      </c>
      <c r="AH149" s="86" t="str">
        <f t="shared" si="10"/>
        <v>"%USERPROFILE%\Documents\GitHub\eaglep3\Utilities\RefineRTDCRunTimes.py" --tripid 236-05 --locoid 4021 --swversion DE.1.0.8.0 --startMP 204:232986 --initTime 2017-02-05T23:22:43 --startdatetime 2017-02-05T23:26:22 --delay 1 --endMP 204:125111 --enddatetime 2017-02-05T23:43:39 --enforcementcount 0 &gt;&gt;C:\Users\stu\Documents\GitHub\eaglep3-reporting\EC\2017-02-05-refined-times.txt</v>
      </c>
      <c r="AI149" s="108" t="str">
        <f t="shared" si="11"/>
        <v>echo {"issue":{"subject":"Onboard in-route failure","project_id":79,"tracker_id":40,"status_id":1,"priority_id":2,"assigned_to_id":23,"start_date":"2017-02-05","description":"","custom_fields":[{"id":1,"name":"Subdivision","value":"EC"},{"id":4,"name":"Milepost","value":"12.5111"},{"id":17,"name":"Train ID","value":"236-05"},{"id":16,"name":"Locomotive ID","value":"4021"},{"id":130,"name":"Impact","value":""},{"id":150,"name":"Time of Event (Mountain Time)","value":"23:43:39"},{"id":151,"name":"Denver Issue ID","value":""},{"id":178,"name":"Operational Impact","value":"Yes"},{"id":179,"name":"Denver Segment Assigned","value":""}]}} | curl -X POST -H "Content-Type: application/json" -H "X-Redmine-API-Key: d6333d4a04012a730768444271f8ca06482dae87" https://secure.xorail.net/redmine/issues.json --data @-</v>
      </c>
      <c r="AJ149" s="48"/>
      <c r="AK149" s="48"/>
      <c r="AL149" s="48"/>
      <c r="AM149" s="158" t="str">
        <f t="shared" si="12"/>
        <v>start /low /b %USERPROFILE%\Documents\GitHub\eaglep3\Utilities\DownloadLogsFromS3.py --loco 4021 --day 2017-02-05</v>
      </c>
      <c r="AN149" s="167" t="str">
        <f>"grep -SE -B400 ""CHR.+\|PRM\|1\|D.+(SWITCH|SIGNAL).+UNKNOWN"" "&amp;search_path&amp;"\RTDC"&amp;B149&amp;"\*"&amp;B149&amp;"*"&amp;TEXT(AVERAGE(F149,I149)-utc_offset/24,"YYYYMMDD")&amp;"* | grep -SE ""(Enforcement Action)|(\[TIMEOUT)|(CHR.+\|PRM\|1\|D.+(SWITCH|SIGNAL).+UNKNOWN)"" - &gt;&gt; "&amp;TEXT(Variables!$A$2,"YYYY-MM-DD")&amp;"-UncaughtWiMAX.txt"</f>
        <v>grep -SE -B400 "CHR.+\|PRM\|1\|D.+(SWITCH|SIGNAL).+UNKNOWN" "%USERPROFILE%\AppData\Local\Temp\OnboardLogs"\RTDC4021\*4021*20170206* | grep -SE "(Enforcement Action)|(\[TIMEOUT)|(CHR.+\|PRM\|1\|D.+(SWITCH|SIGNAL).+UNKNOWN)" - &gt;&gt; 2017-02-05-UncaughtWiMAX.txt</v>
      </c>
      <c r="AO149"/>
      <c r="AP149"/>
      <c r="AQ149"/>
      <c r="AR149"/>
      <c r="AS149"/>
      <c r="AT149"/>
      <c r="AU149"/>
      <c r="AV149"/>
      <c r="AW149"/>
      <c r="AX149"/>
      <c r="AY149"/>
      <c r="AZ149"/>
      <c r="BA149"/>
      <c r="BB149"/>
      <c r="BC149"/>
      <c r="BD149"/>
      <c r="BE149"/>
      <c r="BF149"/>
      <c r="BG149"/>
      <c r="BH149"/>
      <c r="BI149"/>
      <c r="BJ149"/>
      <c r="BK149"/>
      <c r="BL149"/>
      <c r="BM149"/>
      <c r="BN149"/>
      <c r="BO149"/>
      <c r="BP149"/>
      <c r="BQ149"/>
      <c r="BR149"/>
      <c r="BS149"/>
      <c r="BT149"/>
      <c r="BU149"/>
      <c r="BV149"/>
      <c r="BW149"/>
      <c r="BX149"/>
      <c r="BY149"/>
      <c r="BZ149"/>
      <c r="CA149"/>
      <c r="CB149"/>
      <c r="CC149"/>
      <c r="CD149"/>
      <c r="CE149"/>
      <c r="CF149"/>
      <c r="CG149"/>
      <c r="CH149"/>
      <c r="CI149"/>
      <c r="CJ149"/>
      <c r="CK149"/>
      <c r="CL149"/>
      <c r="CM149"/>
    </row>
    <row r="150" spans="1:91" x14ac:dyDescent="0.25">
      <c r="A150" s="33" t="s">
        <v>728</v>
      </c>
      <c r="B150" s="7">
        <v>4031</v>
      </c>
      <c r="C150" s="21" t="s">
        <v>193</v>
      </c>
      <c r="D150" s="21" t="s">
        <v>399</v>
      </c>
      <c r="E150" s="13">
        <v>42771.943414351852</v>
      </c>
      <c r="F150" s="13">
        <v>42771.958564814813</v>
      </c>
      <c r="G150" s="7">
        <v>1</v>
      </c>
      <c r="H150" s="21" t="s">
        <v>851</v>
      </c>
      <c r="I150" s="13">
        <v>42771.985347222224</v>
      </c>
      <c r="J150" s="7">
        <v>0</v>
      </c>
      <c r="K150" s="98" t="str">
        <f>IF(ISEVEN(B150),(B150-1)&amp;"/"&amp;B150,B150&amp;"/"&amp;(B150+1))</f>
        <v>4031/4032</v>
      </c>
      <c r="L150" s="21" t="str">
        <f>VLOOKUP(A150,'Trips&amp;Operators'!$C$1:$G$99999,5,FALSE)</f>
        <v>MAGEE KENYA</v>
      </c>
      <c r="M150" s="6">
        <f>I150-F150</f>
        <v>2.6782407410792075E-2</v>
      </c>
      <c r="N150" s="7">
        <f>24*60*SUM($M150:$M150)</f>
        <v>38.566666671540588</v>
      </c>
      <c r="O150" s="7"/>
      <c r="P150" s="7"/>
      <c r="Q150" s="22"/>
      <c r="R150" s="22"/>
      <c r="S150" s="31">
        <f>SUM(U150:U150)/IF(AG150="EC",12,1)</f>
        <v>1</v>
      </c>
      <c r="T150" s="46" t="str">
        <f>IF(ISEVEN(LEFT(AD150,4)),"Southbound","NorthBound")</f>
        <v>NorthBound</v>
      </c>
      <c r="U150" s="190">
        <f>IF(AG150="EC",COUNTIFS(Variables!$M$2:$M$19,IF(T150="NorthBound","&gt;=","&lt;=")&amp;Y150,Variables!$M$2:$M$19,IF(T150="NorthBound","&lt;=","&gt;=")&amp;Z150),COUNTIFS(Variables!$P$2:$P$19,IF(T150="NorthBound","&gt;=","&lt;=")&amp;Y150,Variables!$P$2:$P$19,IF(T150="NorthBound","&lt;=","&gt;=")&amp;Z150))</f>
        <v>12</v>
      </c>
      <c r="V150" s="191" t="str">
        <f>"https://d0f6bd738d7f1b3e5a7ca70fe4ff75f0.us-east-1.aws.found.io/app/kibana#/discover/Steve-Slow-Train-Analysis-(2080s-and-2083s)?_g="&amp;"(refreshInterval:(display:Off,pause:!f,section:0,value:0),time:(from:'"&amp;TEXT(E150-1/24,"yyyy-MM-DDThh:mm:ss")&amp;utc_offset&amp;"00"&amp;"',mode:absolute,to:'"&amp;TEXT(I150+1/24,"yyyy-MM-DDThh:mm:ss")&amp;utc_offset&amp;"00"&amp;"'))&amp;_a=(columns:!('Locomotive+ID','Data.Head+End+Milepost',Data.Speed,'Data.Locomotive+State','Data.Train+ID',"&amp;"'Data.Warning%2FEnforcement+Type','Data.Target+Start+Milepost','Data.Target+Description','Data.Target+Speed',"&amp;"'Data.Enforcement+Train+Speed','Data.Enforcement+Start+Milepost','Data.Target+Type','Data.Enforcement+Direction+of+Travel','Message+ID',"&amp;"'Data.Body+of+Summary+Text','Data.Head+End+Track+name'),filters:!(),index:'emp_*',interval:auto,query:"&amp;"(query_string:(analyze_wildcard:!t,query:'Message%5C+ID:(2083+OR+2080+OR+1041+OR+2003+OR+1051+OR+1043+OR+1053)+AND+%22rtdc.l.rtdc."&amp;B150&amp;"%22')),sort:!(Time.ISO8601,asc))"</f>
        <v>https://d0f6bd738d7f1b3e5a7ca70fe4ff75f0.us-east-1.aws.found.io/app/kibana#/discover/Steve-Slow-Train-Analysis-(2080s-and-2083s)?_g=(refreshInterval:(display:Off,pause:!f,section:0,value:0),time:(from:'2017-02-05T21:38:31-0700',mode:absolute,to:'2017-02-06T00:38:54-0700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4031%22')),sort:!(Time.ISO8601,asc))</v>
      </c>
      <c r="W150" s="192" t="str">
        <f>IF(AA150&lt;IF(AG150="EC",23,5.65),"Y","N")</f>
        <v>N</v>
      </c>
      <c r="X150" s="192">
        <f>VALUE(LEFT(AD150,4))-VALUE(LEFT(AD149,4))</f>
        <v>1</v>
      </c>
      <c r="Y150" s="62">
        <f>RIGHT(D150,LEN(D150)-4)/10000</f>
        <v>4.6399999999999997E-2</v>
      </c>
      <c r="Z150" s="62">
        <f>RIGHT(H150,LEN(H150)-4)/10000</f>
        <v>23.3338</v>
      </c>
      <c r="AA150" s="62">
        <f>ABS(Z150-Y150)</f>
        <v>23.287400000000002</v>
      </c>
      <c r="AB150" s="59" t="e">
        <f>VLOOKUP(A150,Enforcements!$C$7:$K$16,8,0)</f>
        <v>#N/A</v>
      </c>
      <c r="AC150" s="55" t="e">
        <f>VLOOKUP(A150,Enforcements!$C$7:$E$16,3,0)</f>
        <v>#N/A</v>
      </c>
      <c r="AD150" s="56" t="str">
        <f>IF(LEN(A150)=6,"0"&amp;A150,A150)</f>
        <v>0237-05</v>
      </c>
      <c r="AE150" s="85" t="str">
        <f>"aws s3 cp "&amp;s3_bucket&amp;"/RTDC"&amp;B150&amp;"/ "&amp;search_path&amp;"\RTDC"&amp;B150&amp;"\"&amp;TEXT(F150,"YYYY-MM-DD")&amp;" --exclude ""*"" --recursive --include ""*"&amp;TEXT(F150,"YYYYMMDD")&amp;"*"" &amp; """&amp;walkandungz&amp;""" "&amp;search_path&amp;"\RTDC"&amp;B150&amp;"\"&amp;TEXT(F150,"YYYY-MM-DD")
&amp;" &amp; "&amp;"aws s3 cp "&amp;s3_bucket&amp;"/RTDC"&amp;B150&amp;"/ "&amp;search_path&amp;"\RTDC"&amp;B150&amp;"\"&amp;TEXT(F150+1,"YYYY-MM-DD")&amp;" --exclude ""*"" --recursive --include ""*"&amp;TEXT(F150+1,"YYYYMMDD")&amp;"*"" &amp; """&amp;walkandungz&amp;""" "&amp;search_path&amp;"\RTDC"&amp;B150&amp;"\"&amp;TEXT(F150+1,"YYYY-MM-DD")</f>
        <v>aws s3 cp s3://rtdc.mdm.uploadarchive.raw/RTDC4031/ "%USERPROFILE%\AppData\Local\Temp\OnboardLogs"\RTDC4031\2017-02-05 --exclude "*" --recursive --include "*20170205*" &amp; "%USERPROFILE%\Documents\GitHub\mrs-test-scripts\Headless Mode &amp; Sideloading\WalkAndUnGZ.bat" "%USERPROFILE%\AppData\Local\Temp\OnboardLogs"\RTDC4031\2017-02-05 &amp; aws s3 cp s3://rtdc.mdm.uploadarchive.raw/RTDC4031/ "%USERPROFILE%\AppData\Local\Temp\OnboardLogs"\RTDC4031\2017-02-06 --exclude "*" --recursive --include "*20170206*" &amp; "%USERPROFILE%\Documents\GitHub\mrs-test-scripts\Headless Mode &amp; Sideloading\WalkAndUnGZ.bat" "%USERPROFILE%\AppData\Local\Temp\OnboardLogs"\RTDC4031\2017-02-06</v>
      </c>
      <c r="AF150" s="82" t="str">
        <f>astrogrep_path&amp;" /spath="&amp;search_path&amp;" /stypes=""app*"&amp;B150&amp;"*"&amp;TEXT(I150-utc_offset/24,"YYYYMMDD")&amp;"*"" /stext="" "&amp;TEXT(I150-utc_offset/24,"HH")&amp;search_regexp&amp;""" /e /r /s"</f>
        <v>"C:\Program Files (x86)\AstroGrep\AstroGrep.exe" /spath="%USERPROFILE%\AppData\Local\Temp\OnboardLogs" /stypes="app*4031*20170206*" /stext=" 06:.+((SYSTEM_STATE.+slice.+state.+changed )|(ment ac)|(multiple cpu faults)|(system.+state.+changed )|(\[timeout)|(PRM\|1\|D)|(kpr)|(kdp)|(\|lc)|(penalty))" /e /r /s</v>
      </c>
      <c r="AG150" s="1" t="str">
        <f>IFERROR(IF(VALUE(LEFT(AD150,2))&lt;=2,"EC",IF(OR(VALUE(LEFT(AD150,2))=8,VALUE(LEFT(AD150,2))=18),"NW","Other")),"Other")</f>
        <v>EC</v>
      </c>
      <c r="AH150" s="86" t="str">
        <f t="shared" si="10"/>
        <v>"%USERPROFILE%\Documents\GitHub\eaglep3\Utilities\RefineRTDCRunTimes.py" --tripid 237-05 --locoid 4031 --swversion DE.1.0.8.0 --startMP 204:464 --initTime 2017-02-05T22:38:31 --startdatetime 2017-02-05T23:00:20 --delay 1 --endMP 204:233338 --enddatetime 2017-02-05T23:38:54 --enforcementcount 0 &gt;&gt;C:\Users\stu\Documents\GitHub\eaglep3-reporting\EC\2017-02-05-refined-times.txt</v>
      </c>
      <c r="AI150" s="108" t="str">
        <f t="shared" si="11"/>
        <v>echo {"issue":{"subject":"","project_id":79,"tracker_id":40,"status_id":1,"priority_id":2,"assigned_to_id":23,"start_date":"2017-02-05","description":"","custom_fields":[{"id":1,"name":"Subdivision","value":"EC"},{"id":4,"name":"Milepost","value":"23.3338"},{"id":17,"name":"Train ID","value":"237-05"},{"id":16,"name":"Locomotive ID","value":"4031"},{"id":130,"name":"Impact","value":""},{"id":150,"name":"Time of Event (Mountain Time)","value":"23:38:54"},{"id":151,"name":"Denver Issue ID","value":""},{"id":178,"name":"Operational Impact","value":"Yes"},{"id":179,"name":"Denver Segment Assigned","value":""}]}} | curl -X POST -H "Content-Type: application/json" -H "X-Redmine-API-Key: d6333d4a04012a730768444271f8ca06482dae87" https://secure.xorail.net/redmine/issues.json --data @-</v>
      </c>
      <c r="AJ150" s="48"/>
      <c r="AK150" s="48"/>
      <c r="AL150" s="48"/>
      <c r="AM150" s="158" t="str">
        <f t="shared" si="12"/>
        <v>start /low /b %USERPROFILE%\Documents\GitHub\eaglep3\Utilities\DownloadLogsFromS3.py --loco 4031 --day 2017-02-05</v>
      </c>
      <c r="AN150" s="167" t="str">
        <f>"grep -SE -B400 ""CHR.+\|PRM\|1\|D.+(SWITCH|SIGNAL).+UNKNOWN"" "&amp;search_path&amp;"\RTDC"&amp;B150&amp;"\*"&amp;B150&amp;"*"&amp;TEXT(AVERAGE(F150,I150)-utc_offset/24,"YYYYMMDD")&amp;"* | grep -SE ""(Enforcement Action)|(\[TIMEOUT)|(CHR.+\|PRM\|1\|D.+(SWITCH|SIGNAL).+UNKNOWN)"" - &gt;&gt; "&amp;TEXT(Variables!$A$2,"YYYY-MM-DD")&amp;"-UncaughtWiMAX.txt"</f>
        <v>grep -SE -B400 "CHR.+\|PRM\|1\|D.+(SWITCH|SIGNAL).+UNKNOWN" "%USERPROFILE%\AppData\Local\Temp\OnboardLogs"\RTDC4031\*4031*20170206* | grep -SE "(Enforcement Action)|(\[TIMEOUT)|(CHR.+\|PRM\|1\|D.+(SWITCH|SIGNAL).+UNKNOWN)" - &gt;&gt; 2017-02-05-UncaughtWiMAX.txt</v>
      </c>
    </row>
    <row r="151" spans="1:91" s="20" customFormat="1" x14ac:dyDescent="0.25">
      <c r="A151" s="33" t="s">
        <v>732</v>
      </c>
      <c r="B151" s="7">
        <v>4032</v>
      </c>
      <c r="C151" s="21" t="s">
        <v>193</v>
      </c>
      <c r="D151" s="21" t="s">
        <v>852</v>
      </c>
      <c r="E151" s="13">
        <v>42771.987361111111</v>
      </c>
      <c r="F151" s="13">
        <v>42771.998124999998</v>
      </c>
      <c r="G151" s="7">
        <v>1</v>
      </c>
      <c r="H151" s="21" t="s">
        <v>853</v>
      </c>
      <c r="I151" s="13">
        <v>42772.011099537034</v>
      </c>
      <c r="J151" s="7">
        <v>0</v>
      </c>
      <c r="K151" s="98" t="str">
        <f>IF(ISEVEN(B151),(B151-1)&amp;"/"&amp;B151,B151&amp;"/"&amp;(B151+1))</f>
        <v>4031/4032</v>
      </c>
      <c r="L151" s="21" t="str">
        <f>VLOOKUP(A151,'Trips&amp;Operators'!$C$1:$G$99999,5,FALSE)</f>
        <v>MAGEE KENYA</v>
      </c>
      <c r="M151" s="6">
        <f>I151-F151</f>
        <v>1.2974537035916001E-2</v>
      </c>
      <c r="N151" s="7"/>
      <c r="O151" s="7"/>
      <c r="P151" s="7">
        <f>24*60*SUM($M151:$M151)</f>
        <v>18.683333331719041</v>
      </c>
      <c r="Q151" s="22"/>
      <c r="R151" s="22" t="s">
        <v>907</v>
      </c>
      <c r="S151" s="31">
        <f>SUM(U151:U151)/IF(AG151="EC",12,1)</f>
        <v>0</v>
      </c>
      <c r="T151" s="46" t="str">
        <f>IF(ISEVEN(LEFT(AD151,4)),"Southbound","NorthBound")</f>
        <v>Southbound</v>
      </c>
      <c r="U151" s="190">
        <f>IF(AG151="EC",COUNTIFS(Variables!$M$2:$M$19,IF(T151="NorthBound","&gt;=","&lt;=")&amp;Y151,Variables!$M$2:$M$19,IF(T151="NorthBound","&lt;=","&gt;=")&amp;Z151),COUNTIFS(Variables!$P$2:$P$19,IF(T151="NorthBound","&gt;=","&lt;=")&amp;Y151,Variables!$P$2:$P$19,IF(T151="NorthBound","&lt;=","&gt;=")&amp;Z151))</f>
        <v>0</v>
      </c>
      <c r="V151" s="191" t="str">
        <f>"https://d0f6bd738d7f1b3e5a7ca70fe4ff75f0.us-east-1.aws.found.io/app/kibana#/discover/Steve-Slow-Train-Analysis-(2080s-and-2083s)?_g="&amp;"(refreshInterval:(display:Off,pause:!f,section:0,value:0),time:(from:'"&amp;TEXT(E151-1/24,"yyyy-MM-DDThh:mm:ss")&amp;utc_offset&amp;"00"&amp;"',mode:absolute,to:'"&amp;TEXT(I151+1/24,"yyyy-MM-DDThh:mm:ss")&amp;utc_offset&amp;"00"&amp;"'))&amp;_a=(columns:!('Locomotive+ID','Data.Head+End+Milepost',Data.Speed,'Data.Locomotive+State','Data.Train+ID',"&amp;"'Data.Warning%2FEnforcement+Type','Data.Target+Start+Milepost','Data.Target+Description','Data.Target+Speed',"&amp;"'Data.Enforcement+Train+Speed','Data.Enforcement+Start+Milepost','Data.Target+Type','Data.Enforcement+Direction+of+Travel','Message+ID',"&amp;"'Data.Body+of+Summary+Text','Data.Head+End+Track+name'),filters:!(),index:'emp_*',interval:auto,query:"&amp;"(query_string:(analyze_wildcard:!t,query:'Message%5C+ID:(2083+OR+2080+OR+1041+OR+2003+OR+1051+OR+1043+OR+1053)+AND+%22rtdc.l.rtdc."&amp;B151&amp;"%22')),sort:!(Time.ISO8601,asc))"</f>
        <v>https://d0f6bd738d7f1b3e5a7ca70fe4ff75f0.us-east-1.aws.found.io/app/kibana#/discover/Steve-Slow-Train-Analysis-(2080s-and-2083s)?_g=(refreshInterval:(display:Off,pause:!f,section:0,value:0),time:(from:'2017-02-05T22:41:48-0700',mode:absolute,to:'2017-02-06T01:15:59-0700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4032%22')),sort:!(Time.ISO8601,asc))</v>
      </c>
      <c r="W151" s="192" t="str">
        <f>IF(AA151&lt;IF(AG151="EC",23,5.65),"Y","N")</f>
        <v>Y</v>
      </c>
      <c r="X151" s="192">
        <f>VALUE(LEFT(AD151,4))-VALUE(LEFT(AD150,4))</f>
        <v>1</v>
      </c>
      <c r="Y151" s="62">
        <f>RIGHT(D151,LEN(D151)-4)/10000</f>
        <v>23.302800000000001</v>
      </c>
      <c r="Z151" s="62">
        <v>11.07</v>
      </c>
      <c r="AA151" s="62">
        <f>ABS(Z151-Y151)</f>
        <v>12.232800000000001</v>
      </c>
      <c r="AB151" s="59" t="e">
        <f>VLOOKUP(A151,Enforcements!$C$7:$K$16,8,0)</f>
        <v>#N/A</v>
      </c>
      <c r="AC151" s="55" t="e">
        <f>VLOOKUP(A151,Enforcements!$C$7:$E$16,3,0)</f>
        <v>#N/A</v>
      </c>
      <c r="AD151" s="56" t="str">
        <f>IF(LEN(A151)=6,"0"&amp;A151,A151)</f>
        <v>0238-05</v>
      </c>
      <c r="AE151" s="85" t="str">
        <f>"aws s3 cp "&amp;s3_bucket&amp;"/RTDC"&amp;B151&amp;"/ "&amp;search_path&amp;"\RTDC"&amp;B151&amp;"\"&amp;TEXT(F151,"YYYY-MM-DD")&amp;" --exclude ""*"" --recursive --include ""*"&amp;TEXT(F151,"YYYYMMDD")&amp;"*"" &amp; """&amp;walkandungz&amp;""" "&amp;search_path&amp;"\RTDC"&amp;B151&amp;"\"&amp;TEXT(F151,"YYYY-MM-DD")
&amp;" &amp; "&amp;"aws s3 cp "&amp;s3_bucket&amp;"/RTDC"&amp;B151&amp;"/ "&amp;search_path&amp;"\RTDC"&amp;B151&amp;"\"&amp;TEXT(F151+1,"YYYY-MM-DD")&amp;" --exclude ""*"" --recursive --include ""*"&amp;TEXT(F151+1,"YYYYMMDD")&amp;"*"" &amp; """&amp;walkandungz&amp;""" "&amp;search_path&amp;"\RTDC"&amp;B151&amp;"\"&amp;TEXT(F151+1,"YYYY-MM-DD")</f>
        <v>aws s3 cp s3://rtdc.mdm.uploadarchive.raw/RTDC4032/ "%USERPROFILE%\AppData\Local\Temp\OnboardLogs"\RTDC4032\2017-02-05 --exclude "*" --recursive --include "*20170205*" &amp; "%USERPROFILE%\Documents\GitHub\mrs-test-scripts\Headless Mode &amp; Sideloading\WalkAndUnGZ.bat" "%USERPROFILE%\AppData\Local\Temp\OnboardLogs"\RTDC4032\2017-02-05 &amp; aws s3 cp s3://rtdc.mdm.uploadarchive.raw/RTDC4032/ "%USERPROFILE%\AppData\Local\Temp\OnboardLogs"\RTDC4032\2017-02-06 --exclude "*" --recursive --include "*20170206*" &amp; "%USERPROFILE%\Documents\GitHub\mrs-test-scripts\Headless Mode &amp; Sideloading\WalkAndUnGZ.bat" "%USERPROFILE%\AppData\Local\Temp\OnboardLogs"\RTDC4032\2017-02-06</v>
      </c>
      <c r="AF151" s="82" t="str">
        <f>astrogrep_path&amp;" /spath="&amp;search_path&amp;" /stypes=""app*"&amp;B151&amp;"*"&amp;TEXT(I151-utc_offset/24,"YYYYMMDD")&amp;"*"" /stext="" "&amp;TEXT(I151-utc_offset/24,"HH")&amp;search_regexp&amp;""" /e /r /s"</f>
        <v>"C:\Program Files (x86)\AstroGrep\AstroGrep.exe" /spath="%USERPROFILE%\AppData\Local\Temp\OnboardLogs" /stypes="app*4032*20170206*" /stext=" 07:.+((SYSTEM_STATE.+slice.+state.+changed )|(ment ac)|(multiple cpu faults)|(system.+state.+changed )|(\[timeout)|(PRM\|1\|D)|(kpr)|(kdp)|(\|lc)|(penalty))" /e /r /s</v>
      </c>
      <c r="AG151" s="1" t="str">
        <f>IFERROR(IF(VALUE(LEFT(AD151,2))&lt;=2,"EC",IF(OR(VALUE(LEFT(AD151,2))=8,VALUE(LEFT(AD151,2))=18),"NW","Other")),"Other")</f>
        <v>EC</v>
      </c>
      <c r="AH151" s="86" t="str">
        <f t="shared" si="10"/>
        <v>"%USERPROFILE%\Documents\GitHub\eaglep3\Utilities\RefineRTDCRunTimes.py" --tripid 238-05 --locoid 4032 --swversion DE.1.0.8.0 --startMP 204:233028 --initTime 2017-02-05T23:41:48 --startdatetime 2017-02-05T23:57:18 --delay 1 --endMP 204:233017 --enddatetime 2017-02-06T00:15:59 --enforcementcount 0 &gt;&gt;C:\Users\stu\Documents\GitHub\eaglep3-reporting\EC\2017-02-05-refined-times.txt</v>
      </c>
      <c r="AI151" s="108" t="str">
        <f t="shared" si="11"/>
        <v>echo {"issue":{"subject":"Improper execution of bulletin (stopped &gt;800 ft short of Chambers Form C)","project_id":79,"tracker_id":40,"status_id":1,"priority_id":2,"assigned_to_id":23,"start_date":"2017-02-06","description":"","custom_fields":[{"id":1,"name":"Subdivision","value":"EC"},{"id":4,"name":"Milepost","value":"11.07"},{"id":17,"name":"Train ID","value":"238-05"},{"id":16,"name":"Locomotive ID","value":"4032"},{"id":130,"name":"Impact","value":""},{"id":150,"name":"Time of Event (Mountain Time)","value":"00:15:59"},{"id":151,"name":"Denver Issue ID","value":""},{"id":178,"name":"Operational Impact","value":"Yes"},{"id":179,"name":"Denver Segment Assigned","value":""}]}} | curl -X POST -H "Content-Type: application/json" -H "X-Redmine-API-Key: d6333d4a04012a730768444271f8ca06482dae87" https://secure.xorail.net/redmine/issues.json --data @-</v>
      </c>
      <c r="AJ151" s="48"/>
      <c r="AK151" s="48"/>
      <c r="AL151" s="48"/>
      <c r="AM151" s="158" t="str">
        <f t="shared" si="12"/>
        <v>start /low /b %USERPROFILE%\Documents\GitHub\eaglep3\Utilities\DownloadLogsFromS3.py --loco 4032 --day 2017-02-05</v>
      </c>
      <c r="AN151" s="167" t="str">
        <f>"grep -SE -B400 ""CHR.+\|PRM\|1\|D.+(SWITCH|SIGNAL).+UNKNOWN"" "&amp;search_path&amp;"\RTDC"&amp;B151&amp;"\*"&amp;B151&amp;"*"&amp;TEXT(AVERAGE(F151,I151)-utc_offset/24,"YYYYMMDD")&amp;"* | grep -SE ""(Enforcement Action)|(\[TIMEOUT)|(CHR.+\|PRM\|1\|D.+(SWITCH|SIGNAL).+UNKNOWN)"" - &gt;&gt; "&amp;TEXT(Variables!$A$2,"YYYY-MM-DD")&amp;"-UncaughtWiMAX.txt"</f>
        <v>grep -SE -B400 "CHR.+\|PRM\|1\|D.+(SWITCH|SIGNAL).+UNKNOWN" "%USERPROFILE%\AppData\Local\Temp\OnboardLogs"\RTDC4032\*4032*20170206* | grep -SE "(Enforcement Action)|(\[TIMEOUT)|(CHR.+\|PRM\|1\|D.+(SWITCH|SIGNAL).+UNKNOWN)" - &gt;&gt; 2017-02-05-UncaughtWiMAX.txt</v>
      </c>
      <c r="AO151"/>
      <c r="AP151"/>
      <c r="AQ151"/>
      <c r="AR151"/>
      <c r="AS151"/>
      <c r="AT151"/>
      <c r="AU151"/>
      <c r="AV151"/>
      <c r="AW151"/>
      <c r="AX151"/>
      <c r="AY151"/>
      <c r="AZ151"/>
      <c r="BA151"/>
      <c r="BB151"/>
      <c r="BC151"/>
      <c r="BD151"/>
      <c r="BE151"/>
      <c r="BF151"/>
      <c r="BG151"/>
      <c r="BH151"/>
      <c r="BI151"/>
      <c r="BJ151"/>
      <c r="BK151"/>
      <c r="BL151"/>
      <c r="BM151"/>
      <c r="BN151"/>
      <c r="BO151"/>
      <c r="BP151"/>
      <c r="BQ151"/>
      <c r="BR151"/>
      <c r="BS151"/>
      <c r="BT151"/>
      <c r="BU151"/>
      <c r="BV151"/>
      <c r="BW151"/>
      <c r="BX151"/>
      <c r="BY151"/>
      <c r="BZ151"/>
      <c r="CA151"/>
      <c r="CB151"/>
      <c r="CC151"/>
      <c r="CD151"/>
      <c r="CE151"/>
      <c r="CF151"/>
      <c r="CG151"/>
      <c r="CH151"/>
      <c r="CI151"/>
      <c r="CJ151"/>
      <c r="CK151"/>
      <c r="CL151"/>
      <c r="CM151"/>
    </row>
    <row r="152" spans="1:91" s="20" customFormat="1" x14ac:dyDescent="0.25">
      <c r="A152" s="33" t="s">
        <v>730</v>
      </c>
      <c r="B152" s="7">
        <v>4038</v>
      </c>
      <c r="C152" s="21" t="s">
        <v>193</v>
      </c>
      <c r="D152" s="21" t="s">
        <v>241</v>
      </c>
      <c r="E152" s="13">
        <v>42771.976331018515</v>
      </c>
      <c r="F152" s="13">
        <v>42771.979409722226</v>
      </c>
      <c r="G152" s="7">
        <v>1</v>
      </c>
      <c r="H152" s="21" t="s">
        <v>854</v>
      </c>
      <c r="I152" s="13">
        <v>42772.008055555554</v>
      </c>
      <c r="J152" s="7">
        <v>0</v>
      </c>
      <c r="K152" s="98" t="str">
        <f>IF(ISEVEN(B152),(B152-1)&amp;"/"&amp;B152,B152&amp;"/"&amp;(B152+1))</f>
        <v>4037/4038</v>
      </c>
      <c r="L152" s="21" t="str">
        <f>VLOOKUP(A152,'Trips&amp;Operators'!$C$1:$G$99999,5,FALSE)</f>
        <v>NEWELL JAMES</v>
      </c>
      <c r="M152" s="6">
        <f>I152-F152</f>
        <v>2.8645833328482695E-2</v>
      </c>
      <c r="N152" s="7"/>
      <c r="O152" s="7"/>
      <c r="P152" s="7">
        <f>24*60*SUM($M152:$M152)</f>
        <v>41.249999993015081</v>
      </c>
      <c r="Q152" s="22"/>
      <c r="R152" s="22" t="s">
        <v>908</v>
      </c>
      <c r="S152" s="31">
        <f>SUM(U152:U152)/IF(AG152="EC",12,1)</f>
        <v>1</v>
      </c>
      <c r="T152" s="46" t="str">
        <f>IF(ISEVEN(LEFT(AD152,4)),"Southbound","NorthBound")</f>
        <v>NorthBound</v>
      </c>
      <c r="U152" s="190">
        <f>IF(AG152="EC",COUNTIFS(Variables!$M$2:$M$19,IF(T152="NorthBound","&gt;=","&lt;=")&amp;Y152,Variables!$M$2:$M$19,IF(T152="NorthBound","&lt;=","&gt;=")&amp;Z152),COUNTIFS(Variables!$P$2:$P$19,IF(T152="NorthBound","&gt;=","&lt;=")&amp;Y152,Variables!$P$2:$P$19,IF(T152="NorthBound","&lt;=","&gt;=")&amp;Z152))</f>
        <v>12</v>
      </c>
      <c r="V152" s="191" t="str">
        <f>"https://d0f6bd738d7f1b3e5a7ca70fe4ff75f0.us-east-1.aws.found.io/app/kibana#/discover/Steve-Slow-Train-Analysis-(2080s-and-2083s)?_g="&amp;"(refreshInterval:(display:Off,pause:!f,section:0,value:0),time:(from:'"&amp;TEXT(E152-1/24,"yyyy-MM-DDThh:mm:ss")&amp;utc_offset&amp;"00"&amp;"',mode:absolute,to:'"&amp;TEXT(I152+1/24,"yyyy-MM-DDThh:mm:ss")&amp;utc_offset&amp;"00"&amp;"'))&amp;_a=(columns:!('Locomotive+ID','Data.Head+End+Milepost',Data.Speed,'Data.Locomotive+State','Data.Train+ID',"&amp;"'Data.Warning%2FEnforcement+Type','Data.Target+Start+Milepost','Data.Target+Description','Data.Target+Speed',"&amp;"'Data.Enforcement+Train+Speed','Data.Enforcement+Start+Milepost','Data.Target+Type','Data.Enforcement+Direction+of+Travel','Message+ID',"&amp;"'Data.Body+of+Summary+Text','Data.Head+End+Track+name'),filters:!(),index:'emp_*',interval:auto,query:"&amp;"(query_string:(analyze_wildcard:!t,query:'Message%5C+ID:(2083+OR+2080+OR+1041+OR+2003+OR+1051+OR+1043+OR+1053)+AND+%22rtdc.l.rtdc."&amp;B152&amp;"%22')),sort:!(Time.ISO8601,asc))"</f>
        <v>https://d0f6bd738d7f1b3e5a7ca70fe4ff75f0.us-east-1.aws.found.io/app/kibana#/discover/Steve-Slow-Train-Analysis-(2080s-and-2083s)?_g=(refreshInterval:(display:Off,pause:!f,section:0,value:0),time:(from:'2017-02-05T22:25:55-0700',mode:absolute,to:'2017-02-06T01:11:36-0700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4038%22')),sort:!(Time.ISO8601,asc))</v>
      </c>
      <c r="W152" s="192" t="str">
        <f>IF(AA152&lt;IF(AG152="EC",23,5.65),"Y","N")</f>
        <v>Y</v>
      </c>
      <c r="X152" s="192">
        <f t="shared" ref="X152:X161" si="14">VALUE(LEFT(AD152,4))-VALUE(LEFT(AD151,4))</f>
        <v>1</v>
      </c>
      <c r="Y152" s="62">
        <f t="shared" ref="Y152:Y155" si="15">RIGHT(D152,LEN(D152)-4)/10000</f>
        <v>4.5699999999999998E-2</v>
      </c>
      <c r="Z152" s="62">
        <f>RIGHT(H152,LEN(H152)-4)/10000</f>
        <v>12.826599999999999</v>
      </c>
      <c r="AA152" s="62">
        <f>ABS(Z152-Y152)</f>
        <v>12.780899999999999</v>
      </c>
      <c r="AB152" s="59" t="e">
        <f>VLOOKUP(A152,Enforcements!$C$7:$K$16,8,0)</f>
        <v>#N/A</v>
      </c>
      <c r="AC152" s="55" t="e">
        <f>VLOOKUP(A152,Enforcements!$C$7:$E$16,3,0)</f>
        <v>#N/A</v>
      </c>
      <c r="AD152" s="56" t="str">
        <f>IF(LEN(A152)=6,"0"&amp;A152,A152)</f>
        <v>0239-05</v>
      </c>
      <c r="AE152" s="85" t="str">
        <f>"aws s3 cp "&amp;s3_bucket&amp;"/RTDC"&amp;B152&amp;"/ "&amp;search_path&amp;"\RTDC"&amp;B152&amp;"\"&amp;TEXT(F152,"YYYY-MM-DD")&amp;" --exclude ""*"" --recursive --include ""*"&amp;TEXT(F152,"YYYYMMDD")&amp;"*"" &amp; """&amp;walkandungz&amp;""" "&amp;search_path&amp;"\RTDC"&amp;B152&amp;"\"&amp;TEXT(F152,"YYYY-MM-DD")
&amp;" &amp; "&amp;"aws s3 cp "&amp;s3_bucket&amp;"/RTDC"&amp;B152&amp;"/ "&amp;search_path&amp;"\RTDC"&amp;B152&amp;"\"&amp;TEXT(F152+1,"YYYY-MM-DD")&amp;" --exclude ""*"" --recursive --include ""*"&amp;TEXT(F152+1,"YYYYMMDD")&amp;"*"" &amp; """&amp;walkandungz&amp;""" "&amp;search_path&amp;"\RTDC"&amp;B152&amp;"\"&amp;TEXT(F152+1,"YYYY-MM-DD")</f>
        <v>aws s3 cp s3://rtdc.mdm.uploadarchive.raw/RTDC4038/ "%USERPROFILE%\AppData\Local\Temp\OnboardLogs"\RTDC4038\2017-02-05 --exclude "*" --recursive --include "*20170205*" &amp; "%USERPROFILE%\Documents\GitHub\mrs-test-scripts\Headless Mode &amp; Sideloading\WalkAndUnGZ.bat" "%USERPROFILE%\AppData\Local\Temp\OnboardLogs"\RTDC4038\2017-02-05 &amp; aws s3 cp s3://rtdc.mdm.uploadarchive.raw/RTDC4038/ "%USERPROFILE%\AppData\Local\Temp\OnboardLogs"\RTDC4038\2017-02-06 --exclude "*" --recursive --include "*20170206*" &amp; "%USERPROFILE%\Documents\GitHub\mrs-test-scripts\Headless Mode &amp; Sideloading\WalkAndUnGZ.bat" "%USERPROFILE%\AppData\Local\Temp\OnboardLogs"\RTDC4038\2017-02-06</v>
      </c>
      <c r="AF152" s="82" t="str">
        <f>astrogrep_path&amp;" /spath="&amp;search_path&amp;" /stypes=""app*"&amp;B152&amp;"*"&amp;TEXT(I152-utc_offset/24,"YYYYMMDD")&amp;"*"" /stext="" "&amp;TEXT(I152-utc_offset/24,"HH")&amp;search_regexp&amp;""" /e /r /s"</f>
        <v>"C:\Program Files (x86)\AstroGrep\AstroGrep.exe" /spath="%USERPROFILE%\AppData\Local\Temp\OnboardLogs" /stypes="app*4038*20170206*" /stext=" 07:.+((SYSTEM_STATE.+slice.+state.+changed )|(ment ac)|(multiple cpu faults)|(system.+state.+changed )|(\[timeout)|(PRM\|1\|D)|(kpr)|(kdp)|(\|lc)|(penalty))" /e /r /s</v>
      </c>
      <c r="AG152" s="1" t="str">
        <f>IFERROR(IF(VALUE(LEFT(AD152,2))&lt;=2,"EC",IF(OR(VALUE(LEFT(AD152,2))=8,VALUE(LEFT(AD152,2))=18),"NW","Other")),"Other")</f>
        <v>EC</v>
      </c>
      <c r="AH152" s="86" t="str">
        <f t="shared" si="10"/>
        <v>"%USERPROFILE%\Documents\GitHub\eaglep3\Utilities\RefineRTDCRunTimes.py" --tripid 239-05 --locoid 4038 --swversion DE.1.0.8.0 --startMP 204:457 --initTime 2017-02-05T23:25:55 --startdatetime 2017-02-05T23:30:21 --delay 1 --endMP 204:128266 --enddatetime 2017-02-06T00:11:36 --enforcementcount 0 &gt;&gt;C:\Users\stu\Documents\GitHub\eaglep3-reporting\EC\2017-02-05-refined-times.txt</v>
      </c>
      <c r="AI152" s="108" t="str">
        <f t="shared" si="11"/>
        <v>echo {"issue":{"subject":"Form C violation by operator","project_id":79,"tracker_id":40,"status_id":1,"priority_id":2,"assigned_to_id":23,"start_date":"2017-02-06","description":"","custom_fields":[{"id":1,"name":"Subdivision","value":"EC"},{"id":4,"name":"Milepost","value":"12.8266"},{"id":17,"name":"Train ID","value":"239-05"},{"id":16,"name":"Locomotive ID","value":"4038"},{"id":130,"name":"Impact","value":""},{"id":150,"name":"Time of Event (Mountain Time)","value":"00:11:36"},{"id":151,"name":"Denver Issue ID","value":""},{"id":178,"name":"Operational Impact","value":"Yes"},{"id":179,"name":"Denver Segment Assigned","value":""}]}} | curl -X POST -H "Content-Type: application/json" -H "X-Redmine-API-Key: d6333d4a04012a730768444271f8ca06482dae87" https://secure.xorail.net/redmine/issues.json --data @-</v>
      </c>
      <c r="AJ152" s="48"/>
      <c r="AK152" s="48"/>
      <c r="AL152" s="48"/>
      <c r="AM152" s="158" t="str">
        <f t="shared" si="12"/>
        <v>start /low /b %USERPROFILE%\Documents\GitHub\eaglep3\Utilities\DownloadLogsFromS3.py --loco 4038 --day 2017-02-05</v>
      </c>
      <c r="AN152" s="167" t="str">
        <f>"grep -SE -B400 ""CHR.+\|PRM\|1\|D.+(SWITCH|SIGNAL).+UNKNOWN"" "&amp;search_path&amp;"\RTDC"&amp;B152&amp;"\*"&amp;B152&amp;"*"&amp;TEXT(AVERAGE(F152,I152)-utc_offset/24,"YYYYMMDD")&amp;"* | grep -SE ""(Enforcement Action)|(\[TIMEOUT)|(CHR.+\|PRM\|1\|D.+(SWITCH|SIGNAL).+UNKNOWN)"" - &gt;&gt; "&amp;TEXT(Variables!$A$2,"YYYY-MM-DD")&amp;"-UncaughtWiMAX.txt"</f>
        <v>grep -SE -B400 "CHR.+\|PRM\|1\|D.+(SWITCH|SIGNAL).+UNKNOWN" "%USERPROFILE%\AppData\Local\Temp\OnboardLogs"\RTDC4038\*4038*20170206* | grep -SE "(Enforcement Action)|(\[TIMEOUT)|(CHR.+\|PRM\|1\|D.+(SWITCH|SIGNAL).+UNKNOWN)" - &gt;&gt; 2017-02-05-UncaughtWiMAX.txt</v>
      </c>
      <c r="AO152"/>
      <c r="AP152"/>
      <c r="AQ152"/>
      <c r="AR152"/>
      <c r="AS152"/>
      <c r="AT152"/>
      <c r="AU152"/>
      <c r="AV152"/>
      <c r="AW152"/>
      <c r="AX152"/>
      <c r="AY152"/>
      <c r="AZ152"/>
      <c r="BA152"/>
      <c r="BB152"/>
      <c r="BC152"/>
      <c r="BD152"/>
      <c r="BE152"/>
      <c r="BF152"/>
      <c r="BG152"/>
      <c r="BH152"/>
      <c r="BI152"/>
      <c r="BJ152"/>
      <c r="BK152"/>
      <c r="BL152"/>
      <c r="BM152"/>
      <c r="BN152"/>
      <c r="BO152"/>
      <c r="BP152"/>
      <c r="BQ152"/>
      <c r="BR152"/>
      <c r="BS152"/>
      <c r="BT152"/>
      <c r="BU152"/>
      <c r="BV152"/>
      <c r="BW152"/>
      <c r="BX152"/>
      <c r="BY152"/>
      <c r="BZ152"/>
      <c r="CA152"/>
      <c r="CB152"/>
      <c r="CC152"/>
      <c r="CD152"/>
      <c r="CE152"/>
      <c r="CF152"/>
      <c r="CG152"/>
      <c r="CH152"/>
      <c r="CI152"/>
      <c r="CJ152"/>
      <c r="CK152"/>
      <c r="CL152"/>
      <c r="CM152"/>
    </row>
    <row r="153" spans="1:91" s="20" customFormat="1" x14ac:dyDescent="0.25">
      <c r="A153" s="33" t="s">
        <v>731</v>
      </c>
      <c r="B153" s="7">
        <v>4016</v>
      </c>
      <c r="C153" s="21" t="s">
        <v>193</v>
      </c>
      <c r="D153" s="21" t="s">
        <v>240</v>
      </c>
      <c r="E153" s="13">
        <v>42771.986678240741</v>
      </c>
      <c r="F153" s="13">
        <v>42772.000196759262</v>
      </c>
      <c r="G153" s="7">
        <v>1</v>
      </c>
      <c r="H153" s="21" t="s">
        <v>359</v>
      </c>
      <c r="I153" s="13">
        <v>42772.033854166664</v>
      </c>
      <c r="J153" s="7">
        <v>0</v>
      </c>
      <c r="K153" s="98" t="str">
        <f>IF(ISEVEN(B153),(B153-1)&amp;"/"&amp;B153,B153&amp;"/"&amp;(B153+1))</f>
        <v>4015/4016</v>
      </c>
      <c r="L153" s="21" t="str">
        <f>VLOOKUP(A153,'Trips&amp;Operators'!$C$1:$G$99999,5,FALSE)</f>
        <v>SMITH MICHAEL</v>
      </c>
      <c r="M153" s="6">
        <f>I153-F153</f>
        <v>3.3657407402643003E-2</v>
      </c>
      <c r="N153" s="7">
        <f>24*60*SUM($M153:$M153)</f>
        <v>48.466666659805924</v>
      </c>
      <c r="O153" s="7"/>
      <c r="P153" s="7"/>
      <c r="Q153" s="22"/>
      <c r="R153" s="22"/>
      <c r="S153" s="31">
        <f>SUM(U153:U153)/IF(AG153="EC",12,1)</f>
        <v>1</v>
      </c>
      <c r="T153" s="46" t="str">
        <f>IF(ISEVEN(LEFT(AD153,4)),"Southbound","NorthBound")</f>
        <v>NorthBound</v>
      </c>
      <c r="U153" s="190">
        <f>IF(AG153="EC",COUNTIFS(Variables!$M$2:$M$19,IF(T153="NorthBound","&gt;=","&lt;=")&amp;Y153,Variables!$M$2:$M$19,IF(T153="NorthBound","&lt;=","&gt;=")&amp;Z153),COUNTIFS(Variables!$P$2:$P$19,IF(T153="NorthBound","&gt;=","&lt;=")&amp;Y153,Variables!$P$2:$P$19,IF(T153="NorthBound","&lt;=","&gt;=")&amp;Z153))</f>
        <v>12</v>
      </c>
      <c r="V153" s="191" t="str">
        <f>"https://d0f6bd738d7f1b3e5a7ca70fe4ff75f0.us-east-1.aws.found.io/app/kibana#/discover/Steve-Slow-Train-Analysis-(2080s-and-2083s)?_g="&amp;"(refreshInterval:(display:Off,pause:!f,section:0,value:0),time:(from:'"&amp;TEXT(E153-1/24,"yyyy-MM-DDThh:mm:ss")&amp;utc_offset&amp;"00"&amp;"',mode:absolute,to:'"&amp;TEXT(I153+1/24,"yyyy-MM-DDThh:mm:ss")&amp;utc_offset&amp;"00"&amp;"'))&amp;_a=(columns:!('Locomotive+ID','Data.Head+End+Milepost',Data.Speed,'Data.Locomotive+State','Data.Train+ID',"&amp;"'Data.Warning%2FEnforcement+Type','Data.Target+Start+Milepost','Data.Target+Description','Data.Target+Speed',"&amp;"'Data.Enforcement+Train+Speed','Data.Enforcement+Start+Milepost','Data.Target+Type','Data.Enforcement+Direction+of+Travel','Message+ID',"&amp;"'Data.Body+of+Summary+Text','Data.Head+End+Track+name'),filters:!(),index:'emp_*',interval:auto,query:"&amp;"(query_string:(analyze_wildcard:!t,query:'Message%5C+ID:(2083+OR+2080+OR+1041+OR+2003+OR+1051+OR+1043+OR+1053)+AND+%22rtdc.l.rtdc."&amp;B153&amp;"%22')),sort:!(Time.ISO8601,asc))"</f>
        <v>https://d0f6bd738d7f1b3e5a7ca70fe4ff75f0.us-east-1.aws.found.io/app/kibana#/discover/Steve-Slow-Train-Analysis-(2080s-and-2083s)?_g=(refreshInterval:(display:Off,pause:!f,section:0,value:0),time:(from:'2017-02-05T22:40:49-0700',mode:absolute,to:'2017-02-06T01:48:45-0700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4016%22')),sort:!(Time.ISO8601,asc))</v>
      </c>
      <c r="W153" s="192" t="str">
        <f>IF(AA153&lt;IF(AG153="EC",23,5.65),"Y","N")</f>
        <v>N</v>
      </c>
      <c r="X153" s="192">
        <f>VALUE(LEFT(AD153,4))-VALUE(LEFT(AD152,4))</f>
        <v>2</v>
      </c>
      <c r="Y153" s="62">
        <f t="shared" si="15"/>
        <v>4.5100000000000001E-2</v>
      </c>
      <c r="Z153" s="62">
        <f>RIGHT(H153,LEN(H153)-4)/10000</f>
        <v>23.3293</v>
      </c>
      <c r="AA153" s="62">
        <f>ABS(Z153-Y153)</f>
        <v>23.284199999999998</v>
      </c>
      <c r="AB153" s="59" t="e">
        <f>VLOOKUP(A153,Enforcements!$C$7:$K$16,8,0)</f>
        <v>#N/A</v>
      </c>
      <c r="AC153" s="55" t="e">
        <f>VLOOKUP(A153,Enforcements!$C$7:$E$16,3,0)</f>
        <v>#N/A</v>
      </c>
      <c r="AD153" s="56" t="str">
        <f>IF(LEN(A153)=6,"0"&amp;A153,A153)</f>
        <v>0241-05</v>
      </c>
      <c r="AE153" s="85" t="str">
        <f>"aws s3 cp "&amp;s3_bucket&amp;"/RTDC"&amp;B153&amp;"/ "&amp;search_path&amp;"\RTDC"&amp;B153&amp;"\"&amp;TEXT(F153,"YYYY-MM-DD")&amp;" --exclude ""*"" --recursive --include ""*"&amp;TEXT(F153,"YYYYMMDD")&amp;"*"" &amp; """&amp;walkandungz&amp;""" "&amp;search_path&amp;"\RTDC"&amp;B153&amp;"\"&amp;TEXT(F153,"YYYY-MM-DD")
&amp;" &amp; "&amp;"aws s3 cp "&amp;s3_bucket&amp;"/RTDC"&amp;B153&amp;"/ "&amp;search_path&amp;"\RTDC"&amp;B153&amp;"\"&amp;TEXT(F153+1,"YYYY-MM-DD")&amp;" --exclude ""*"" --recursive --include ""*"&amp;TEXT(F153+1,"YYYYMMDD")&amp;"*"" &amp; """&amp;walkandungz&amp;""" "&amp;search_path&amp;"\RTDC"&amp;B153&amp;"\"&amp;TEXT(F153+1,"YYYY-MM-DD")</f>
        <v>aws s3 cp s3://rtdc.mdm.uploadarchive.raw/RTDC4016/ "%USERPROFILE%\AppData\Local\Temp\OnboardLogs"\RTDC4016\2017-02-06 --exclude "*" --recursive --include "*20170206*" &amp; "%USERPROFILE%\Documents\GitHub\mrs-test-scripts\Headless Mode &amp; Sideloading\WalkAndUnGZ.bat" "%USERPROFILE%\AppData\Local\Temp\OnboardLogs"\RTDC4016\2017-02-06 &amp; aws s3 cp s3://rtdc.mdm.uploadarchive.raw/RTDC4016/ "%USERPROFILE%\AppData\Local\Temp\OnboardLogs"\RTDC4016\2017-02-07 --exclude "*" --recursive --include "*20170207*" &amp; "%USERPROFILE%\Documents\GitHub\mrs-test-scripts\Headless Mode &amp; Sideloading\WalkAndUnGZ.bat" "%USERPROFILE%\AppData\Local\Temp\OnboardLogs"\RTDC4016\2017-02-07</v>
      </c>
      <c r="AF153" s="82" t="str">
        <f>astrogrep_path&amp;" /spath="&amp;search_path&amp;" /stypes=""app*"&amp;B153&amp;"*"&amp;TEXT(I153-utc_offset/24,"YYYYMMDD")&amp;"*"" /stext="" "&amp;TEXT(I153-utc_offset/24,"HH")&amp;search_regexp&amp;""" /e /r /s"</f>
        <v>"C:\Program Files (x86)\AstroGrep\AstroGrep.exe" /spath="%USERPROFILE%\AppData\Local\Temp\OnboardLogs" /stypes="app*4016*20170206*" /stext=" 07:.+((SYSTEM_STATE.+slice.+state.+changed )|(ment ac)|(multiple cpu faults)|(system.+state.+changed )|(\[timeout)|(PRM\|1\|D)|(kpr)|(kdp)|(\|lc)|(penalty))" /e /r /s</v>
      </c>
      <c r="AG153" s="1" t="str">
        <f>IFERROR(IF(VALUE(LEFT(AD153,2))&lt;=2,"EC",IF(OR(VALUE(LEFT(AD153,2))=8,VALUE(LEFT(AD153,2))=18),"NW","Other")),"Other")</f>
        <v>EC</v>
      </c>
      <c r="AH153" s="86" t="str">
        <f t="shared" si="10"/>
        <v>"%USERPROFILE%\Documents\GitHub\eaglep3\Utilities\RefineRTDCRunTimes.py" --tripid 241-05 --locoid 4016 --swversion DE.1.0.8.0 --startMP 204:451 --initTime 2017-02-05T23:40:49 --startdatetime 2017-02-06T00:00:17 --delay 1 --endMP 204:233293 --enddatetime 2017-02-06T00:48:45 --enforcementcount 0 &gt;&gt;C:\Users\stu\Documents\GitHub\eaglep3-reporting\EC\2017-02-05-refined-times.txt</v>
      </c>
      <c r="AI153" s="108" t="str">
        <f t="shared" si="11"/>
        <v>echo {"issue":{"subject":"","project_id":79,"tracker_id":40,"status_id":1,"priority_id":2,"assigned_to_id":23,"start_date":"2017-02-06","description":"","custom_fields":[{"id":1,"name":"Subdivision","value":"EC"},{"id":4,"name":"Milepost","value":"23.3293"},{"id":17,"name":"Train ID","value":"241-05"},{"id":16,"name":"Locomotive ID","value":"4016"},{"id":130,"name":"Impact","value":""},{"id":150,"name":"Time of Event (Mountain Time)","value":"00:48:45"},{"id":151,"name":"Denver Issue ID","value":""},{"id":178,"name":"Operational Impact","value":"Yes"},{"id":179,"name":"Denver Segment Assigned","value":""}]}} | curl -X POST -H "Content-Type: application/json" -H "X-Redmine-API-Key: d6333d4a04012a730768444271f8ca06482dae87" https://secure.xorail.net/redmine/issues.json --data @-</v>
      </c>
      <c r="AJ153" s="48"/>
      <c r="AK153" s="48"/>
      <c r="AL153" s="48"/>
      <c r="AM153" s="158" t="str">
        <f t="shared" si="12"/>
        <v>start /low /b %USERPROFILE%\Documents\GitHub\eaglep3\Utilities\DownloadLogsFromS3.py --loco 4016 --day 2017-02-06</v>
      </c>
      <c r="AN153" s="167" t="str">
        <f>"grep -SE -B400 ""CHR.+\|PRM\|1\|D.+(SWITCH|SIGNAL).+UNKNOWN"" "&amp;search_path&amp;"\RTDC"&amp;B153&amp;"\*"&amp;B153&amp;"*"&amp;TEXT(AVERAGE(F153,I153)-utc_offset/24,"YYYYMMDD")&amp;"* | grep -SE ""(Enforcement Action)|(\[TIMEOUT)|(CHR.+\|PRM\|1\|D.+(SWITCH|SIGNAL).+UNKNOWN)"" - &gt;&gt; "&amp;TEXT(Variables!$A$2,"YYYY-MM-DD")&amp;"-UncaughtWiMAX.txt"</f>
        <v>grep -SE -B400 "CHR.+\|PRM\|1\|D.+(SWITCH|SIGNAL).+UNKNOWN" "%USERPROFILE%\AppData\Local\Temp\OnboardLogs"\RTDC4016\*4016*20170206* | grep -SE "(Enforcement Action)|(\[TIMEOUT)|(CHR.+\|PRM\|1\|D.+(SWITCH|SIGNAL).+UNKNOWN)" - &gt;&gt; 2017-02-05-UncaughtWiMAX.txt</v>
      </c>
      <c r="AO153"/>
      <c r="AP153"/>
      <c r="AQ153"/>
      <c r="AR153"/>
      <c r="AS153"/>
      <c r="AT153"/>
      <c r="AU153"/>
      <c r="AV153"/>
      <c r="AW153"/>
      <c r="AX153"/>
      <c r="AY153"/>
      <c r="AZ153"/>
      <c r="BA153"/>
      <c r="BB153"/>
      <c r="BC153"/>
      <c r="BD153"/>
      <c r="BE153"/>
      <c r="BF153"/>
      <c r="BG153"/>
      <c r="BH153"/>
      <c r="BI153"/>
      <c r="BJ153"/>
      <c r="BK153"/>
      <c r="BL153"/>
      <c r="BM153"/>
      <c r="BN153"/>
      <c r="BO153"/>
      <c r="BP153"/>
      <c r="BQ153"/>
      <c r="BR153"/>
      <c r="BS153"/>
      <c r="BT153"/>
      <c r="BU153"/>
      <c r="BV153"/>
      <c r="BW153"/>
      <c r="BX153"/>
      <c r="BY153"/>
      <c r="BZ153"/>
      <c r="CA153"/>
      <c r="CB153"/>
      <c r="CC153"/>
      <c r="CD153"/>
      <c r="CE153"/>
      <c r="CF153"/>
      <c r="CG153"/>
      <c r="CH153"/>
      <c r="CI153"/>
      <c r="CJ153"/>
      <c r="CK153"/>
      <c r="CL153"/>
      <c r="CM153"/>
    </row>
    <row r="154" spans="1:91" s="20" customFormat="1" x14ac:dyDescent="0.25">
      <c r="A154" s="33" t="s">
        <v>734</v>
      </c>
      <c r="B154" s="7">
        <v>4015</v>
      </c>
      <c r="C154" s="21" t="s">
        <v>193</v>
      </c>
      <c r="D154" s="21" t="s">
        <v>400</v>
      </c>
      <c r="E154" s="13">
        <v>42772.035763888889</v>
      </c>
      <c r="F154" s="13">
        <v>42772.039189814815</v>
      </c>
      <c r="G154" s="7">
        <v>1</v>
      </c>
      <c r="H154" s="21" t="s">
        <v>200</v>
      </c>
      <c r="I154" s="13">
        <v>42772.072094907409</v>
      </c>
      <c r="J154" s="7">
        <v>0</v>
      </c>
      <c r="K154" s="98" t="str">
        <f>IF(ISEVEN(B154),(B154-1)&amp;"/"&amp;B154,B154&amp;"/"&amp;(B154+1))</f>
        <v>4015/4016</v>
      </c>
      <c r="L154" s="21" t="str">
        <f>VLOOKUP(A154,'Trips&amp;Operators'!$C$1:$G$99999,5,FALSE)</f>
        <v>SMITH MICHAEL</v>
      </c>
      <c r="M154" s="6">
        <f>I154-F154</f>
        <v>3.2905092593864538E-2</v>
      </c>
      <c r="N154" s="7">
        <f>24*60*SUM($M154:$M154)</f>
        <v>47.383333335164934</v>
      </c>
      <c r="O154" s="7"/>
      <c r="P154" s="7"/>
      <c r="Q154" s="22"/>
      <c r="R154" s="22"/>
      <c r="S154" s="31">
        <f>SUM(U154:U154)/IF(AG154="EC",12,1)</f>
        <v>1</v>
      </c>
      <c r="T154" s="46" t="str">
        <f>IF(ISEVEN(LEFT(AD154,4)),"Southbound","NorthBound")</f>
        <v>Southbound</v>
      </c>
      <c r="U154" s="190">
        <f>IF(AG154="EC",COUNTIFS(Variables!$M$2:$M$19,IF(T154="NorthBound","&gt;=","&lt;=")&amp;Y154,Variables!$M$2:$M$19,IF(T154="NorthBound","&lt;=","&gt;=")&amp;Z154),COUNTIFS(Variables!$P$2:$P$19,IF(T154="NorthBound","&gt;=","&lt;=")&amp;Y154,Variables!$P$2:$P$19,IF(T154="NorthBound","&lt;=","&gt;=")&amp;Z154))</f>
        <v>12</v>
      </c>
      <c r="V154" s="191" t="str">
        <f>"https://d0f6bd738d7f1b3e5a7ca70fe4ff75f0.us-east-1.aws.found.io/app/kibana#/discover/Steve-Slow-Train-Analysis-(2080s-and-2083s)?_g="&amp;"(refreshInterval:(display:Off,pause:!f,section:0,value:0),time:(from:'"&amp;TEXT(E154-1/24,"yyyy-MM-DDThh:mm:ss")&amp;utc_offset&amp;"00"&amp;"',mode:absolute,to:'"&amp;TEXT(I154+1/24,"yyyy-MM-DDThh:mm:ss")&amp;utc_offset&amp;"00"&amp;"'))&amp;_a=(columns:!('Locomotive+ID','Data.Head+End+Milepost',Data.Speed,'Data.Locomotive+State','Data.Train+ID',"&amp;"'Data.Warning%2FEnforcement+Type','Data.Target+Start+Milepost','Data.Target+Description','Data.Target+Speed',"&amp;"'Data.Enforcement+Train+Speed','Data.Enforcement+Start+Milepost','Data.Target+Type','Data.Enforcement+Direction+of+Travel','Message+ID',"&amp;"'Data.Body+of+Summary+Text','Data.Head+End+Track+name'),filters:!(),index:'emp_*',interval:auto,query:"&amp;"(query_string:(analyze_wildcard:!t,query:'Message%5C+ID:(2083+OR+2080+OR+1041+OR+2003+OR+1051+OR+1043+OR+1053)+AND+%22rtdc.l.rtdc."&amp;B154&amp;"%22')),sort:!(Time.ISO8601,asc))"</f>
        <v>https://d0f6bd738d7f1b3e5a7ca70fe4ff75f0.us-east-1.aws.found.io/app/kibana#/discover/Steve-Slow-Train-Analysis-(2080s-and-2083s)?_g=(refreshInterval:(display:Off,pause:!f,section:0,value:0),time:(from:'2017-02-05T23:51:30-0700',mode:absolute,to:'2017-02-06T02:43:49-0700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4015%22')),sort:!(Time.ISO8601,asc))</v>
      </c>
      <c r="W154" s="192" t="str">
        <f>IF(AA154&lt;IF(AG154="EC",23,5.65),"Y","N")</f>
        <v>N</v>
      </c>
      <c r="X154" s="192">
        <f t="shared" si="14"/>
        <v>1</v>
      </c>
      <c r="Y154" s="62">
        <f t="shared" si="15"/>
        <v>23.296500000000002</v>
      </c>
      <c r="Z154" s="62">
        <f>RIGHT(H154,LEN(H154)-4)/10000</f>
        <v>1.4500000000000001E-2</v>
      </c>
      <c r="AA154" s="62">
        <f>ABS(Z154-Y154)</f>
        <v>23.282</v>
      </c>
      <c r="AB154" s="59" t="e">
        <f>VLOOKUP(A154,Enforcements!$C$7:$K$16,8,0)</f>
        <v>#N/A</v>
      </c>
      <c r="AC154" s="55" t="e">
        <f>VLOOKUP(A154,Enforcements!$C$7:$E$16,3,0)</f>
        <v>#N/A</v>
      </c>
      <c r="AD154" s="56" t="str">
        <f>IF(LEN(A154)=6,"0"&amp;A154,A154)</f>
        <v>0242-05</v>
      </c>
      <c r="AE154" s="85" t="str">
        <f>"aws s3 cp "&amp;s3_bucket&amp;"/RTDC"&amp;B154&amp;"/ "&amp;search_path&amp;"\RTDC"&amp;B154&amp;"\"&amp;TEXT(F154,"YYYY-MM-DD")&amp;" --exclude ""*"" --recursive --include ""*"&amp;TEXT(F154,"YYYYMMDD")&amp;"*"" &amp; """&amp;walkandungz&amp;""" "&amp;search_path&amp;"\RTDC"&amp;B154&amp;"\"&amp;TEXT(F154,"YYYY-MM-DD")
&amp;" &amp; "&amp;"aws s3 cp "&amp;s3_bucket&amp;"/RTDC"&amp;B154&amp;"/ "&amp;search_path&amp;"\RTDC"&amp;B154&amp;"\"&amp;TEXT(F154+1,"YYYY-MM-DD")&amp;" --exclude ""*"" --recursive --include ""*"&amp;TEXT(F154+1,"YYYYMMDD")&amp;"*"" &amp; """&amp;walkandungz&amp;""" "&amp;search_path&amp;"\RTDC"&amp;B154&amp;"\"&amp;TEXT(F154+1,"YYYY-MM-DD")</f>
        <v>aws s3 cp s3://rtdc.mdm.uploadarchive.raw/RTDC4015/ "%USERPROFILE%\AppData\Local\Temp\OnboardLogs"\RTDC4015\2017-02-06 --exclude "*" --recursive --include "*20170206*" &amp; "%USERPROFILE%\Documents\GitHub\mrs-test-scripts\Headless Mode &amp; Sideloading\WalkAndUnGZ.bat" "%USERPROFILE%\AppData\Local\Temp\OnboardLogs"\RTDC4015\2017-02-06 &amp; aws s3 cp s3://rtdc.mdm.uploadarchive.raw/RTDC4015/ "%USERPROFILE%\AppData\Local\Temp\OnboardLogs"\RTDC4015\2017-02-07 --exclude "*" --recursive --include "*20170207*" &amp; "%USERPROFILE%\Documents\GitHub\mrs-test-scripts\Headless Mode &amp; Sideloading\WalkAndUnGZ.bat" "%USERPROFILE%\AppData\Local\Temp\OnboardLogs"\RTDC4015\2017-02-07</v>
      </c>
      <c r="AF154" s="82" t="str">
        <f>astrogrep_path&amp;" /spath="&amp;search_path&amp;" /stypes=""app*"&amp;B154&amp;"*"&amp;TEXT(I154-utc_offset/24,"YYYYMMDD")&amp;"*"" /stext="" "&amp;TEXT(I154-utc_offset/24,"HH")&amp;search_regexp&amp;""" /e /r /s"</f>
        <v>"C:\Program Files (x86)\AstroGrep\AstroGrep.exe" /spath="%USERPROFILE%\AppData\Local\Temp\OnboardLogs" /stypes="app*4015*20170206*" /stext=" 08:.+((SYSTEM_STATE.+slice.+state.+changed )|(ment ac)|(multiple cpu faults)|(system.+state.+changed )|(\[timeout)|(PRM\|1\|D)|(kpr)|(kdp)|(\|lc)|(penalty))" /e /r /s</v>
      </c>
      <c r="AG154" s="1" t="str">
        <f>IFERROR(IF(VALUE(LEFT(AD154,2))&lt;=2,"EC",IF(OR(VALUE(LEFT(AD154,2))=8,VALUE(LEFT(AD154,2))=18),"NW","Other")),"Other")</f>
        <v>EC</v>
      </c>
      <c r="AH154" s="86" t="str">
        <f t="shared" si="10"/>
        <v>"%USERPROFILE%\Documents\GitHub\eaglep3\Utilities\RefineRTDCRunTimes.py" --tripid 242-05 --locoid 4015 --swversion DE.1.0.8.0 --startMP 204:232965 --initTime 2017-02-06T00:51:30 --startdatetime 2017-02-06T00:56:26 --delay 1 --endMP 204:145 --enddatetime 2017-02-06T01:43:49 --enforcementcount 0 &gt;&gt;C:\Users\stu\Documents\GitHub\eaglep3-reporting\EC\2017-02-05-refined-times.txt</v>
      </c>
      <c r="AI154" s="108" t="str">
        <f t="shared" si="11"/>
        <v>echo {"issue":{"subject":"","project_id":79,"tracker_id":40,"status_id":1,"priority_id":2,"assigned_to_id":23,"start_date":"2017-02-06","description":"","custom_fields":[{"id":1,"name":"Subdivision","value":"EC"},{"id":4,"name":"Milepost","value":"0.0145"},{"id":17,"name":"Train ID","value":"242-05"},{"id":16,"name":"Locomotive ID","value":"4015"},{"id":130,"name":"Impact","value":""},{"id":150,"name":"Time of Event (Mountain Time)","value":"01:43:49"},{"id":151,"name":"Denver Issue ID","value":""},{"id":178,"name":"Operational Impact","value":"Yes"},{"id":179,"name":"Denver Segment Assigned","value":""}]}} | curl -X POST -H "Content-Type: application/json" -H "X-Redmine-API-Key: d6333d4a04012a730768444271f8ca06482dae87" https://secure.xorail.net/redmine/issues.json --data @-</v>
      </c>
      <c r="AJ154" s="48"/>
      <c r="AK154" s="48"/>
      <c r="AL154" s="48"/>
      <c r="AM154" s="158" t="str">
        <f t="shared" si="12"/>
        <v>start /low /b %USERPROFILE%\Documents\GitHub\eaglep3\Utilities\DownloadLogsFromS3.py --loco 4015 --day 2017-02-06</v>
      </c>
      <c r="AN154" s="167" t="str">
        <f>"grep -SE -B400 ""CHR.+\|PRM\|1\|D.+(SWITCH|SIGNAL).+UNKNOWN"" "&amp;search_path&amp;"\RTDC"&amp;B154&amp;"\*"&amp;B154&amp;"*"&amp;TEXT(AVERAGE(F154,I154)-utc_offset/24,"YYYYMMDD")&amp;"* | grep -SE ""(Enforcement Action)|(\[TIMEOUT)|(CHR.+\|PRM\|1\|D.+(SWITCH|SIGNAL).+UNKNOWN)"" - &gt;&gt; "&amp;TEXT(Variables!$A$2,"YYYY-MM-DD")&amp;"-UncaughtWiMAX.txt"</f>
        <v>grep -SE -B400 "CHR.+\|PRM\|1\|D.+(SWITCH|SIGNAL).+UNKNOWN" "%USERPROFILE%\AppData\Local\Temp\OnboardLogs"\RTDC4015\*4015*20170206* | grep -SE "(Enforcement Action)|(\[TIMEOUT)|(CHR.+\|PRM\|1\|D.+(SWITCH|SIGNAL).+UNKNOWN)" - &gt;&gt; 2017-02-05-UncaughtWiMAX.txt</v>
      </c>
      <c r="AO154"/>
      <c r="AP154"/>
      <c r="AQ154"/>
      <c r="AR154"/>
      <c r="AS154"/>
      <c r="AT154"/>
      <c r="AU154"/>
      <c r="AV154"/>
      <c r="AW154"/>
      <c r="AX154"/>
      <c r="AY154"/>
      <c r="AZ154"/>
      <c r="BA154"/>
      <c r="BB154"/>
      <c r="BC154"/>
      <c r="BD154"/>
      <c r="BE154"/>
      <c r="BF154"/>
      <c r="BG154"/>
      <c r="BH154"/>
      <c r="BI154"/>
      <c r="BJ154"/>
      <c r="BK154"/>
      <c r="BL154"/>
      <c r="BM154"/>
      <c r="BN154"/>
      <c r="BO154"/>
      <c r="BP154"/>
      <c r="BQ154"/>
      <c r="BR154"/>
      <c r="BS154"/>
      <c r="BT154"/>
      <c r="BU154"/>
      <c r="BV154"/>
      <c r="BW154"/>
      <c r="BX154"/>
      <c r="BY154"/>
      <c r="BZ154"/>
      <c r="CA154"/>
      <c r="CB154"/>
      <c r="CC154"/>
      <c r="CD154"/>
      <c r="CE154"/>
      <c r="CF154"/>
      <c r="CG154"/>
      <c r="CH154"/>
      <c r="CI154"/>
      <c r="CJ154"/>
      <c r="CK154"/>
      <c r="CL154"/>
      <c r="CM154"/>
    </row>
    <row r="155" spans="1:91" s="20" customFormat="1" x14ac:dyDescent="0.25">
      <c r="A155" s="33" t="s">
        <v>733</v>
      </c>
      <c r="B155" s="7">
        <v>4046</v>
      </c>
      <c r="C155" s="21" t="s">
        <v>193</v>
      </c>
      <c r="D155" s="21" t="s">
        <v>855</v>
      </c>
      <c r="E155" s="13">
        <v>42772.020671296297</v>
      </c>
      <c r="F155" s="13">
        <v>42772.022731481484</v>
      </c>
      <c r="G155" s="7">
        <v>1</v>
      </c>
      <c r="H155" s="21" t="s">
        <v>365</v>
      </c>
      <c r="I155" s="13">
        <v>42772.050983796296</v>
      </c>
      <c r="J155" s="7">
        <v>0</v>
      </c>
      <c r="K155" s="98" t="str">
        <f>IF(ISEVEN(B155),(B155-1)&amp;"/"&amp;B155,B155&amp;"/"&amp;(B155+1))</f>
        <v>4045/4046</v>
      </c>
      <c r="L155" s="21" t="str">
        <f>VLOOKUP(A155,'Trips&amp;Operators'!$C$1:$G$99999,5,FALSE)</f>
        <v>YANG JAN</v>
      </c>
      <c r="M155" s="6">
        <f>I155-F155</f>
        <v>2.8252314812561963E-2</v>
      </c>
      <c r="N155" s="7">
        <f>24*60*SUM($M155:$M155)</f>
        <v>40.683333330089226</v>
      </c>
      <c r="O155" s="7"/>
      <c r="P155" s="7"/>
      <c r="Q155" s="22"/>
      <c r="R155" s="22"/>
      <c r="S155" s="31">
        <f>SUM(U155:U155)/IF(AG155="EC",12,1)</f>
        <v>1</v>
      </c>
      <c r="T155" s="46" t="str">
        <f>IF(ISEVEN(LEFT(AD155,4)),"Southbound","NorthBound")</f>
        <v>NorthBound</v>
      </c>
      <c r="U155" s="190">
        <f>IF(AG155="EC",COUNTIFS(Variables!$M$2:$M$19,IF(T155="NorthBound","&gt;=","&lt;=")&amp;Y155,Variables!$M$2:$M$19,IF(T155="NorthBound","&lt;=","&gt;=")&amp;Z155),COUNTIFS(Variables!$P$2:$P$19,IF(T155="NorthBound","&gt;=","&lt;=")&amp;Y155,Variables!$P$2:$P$19,IF(T155="NorthBound","&lt;=","&gt;=")&amp;Z155))</f>
        <v>12</v>
      </c>
      <c r="V155" s="191" t="str">
        <f>"https://d0f6bd738d7f1b3e5a7ca70fe4ff75f0.us-east-1.aws.found.io/app/kibana#/discover/Steve-Slow-Train-Analysis-(2080s-and-2083s)?_g="&amp;"(refreshInterval:(display:Off,pause:!f,section:0,value:0),time:(from:'"&amp;TEXT(E155-1/24,"yyyy-MM-DDThh:mm:ss")&amp;utc_offset&amp;"00"&amp;"',mode:absolute,to:'"&amp;TEXT(I155+1/24,"yyyy-MM-DDThh:mm:ss")&amp;utc_offset&amp;"00"&amp;"'))&amp;_a=(columns:!('Locomotive+ID','Data.Head+End+Milepost',Data.Speed,'Data.Locomotive+State','Data.Train+ID',"&amp;"'Data.Warning%2FEnforcement+Type','Data.Target+Start+Milepost','Data.Target+Description','Data.Target+Speed',"&amp;"'Data.Enforcement+Train+Speed','Data.Enforcement+Start+Milepost','Data.Target+Type','Data.Enforcement+Direction+of+Travel','Message+ID',"&amp;"'Data.Body+of+Summary+Text','Data.Head+End+Track+name'),filters:!(),index:'emp_*',interval:auto,query:"&amp;"(query_string:(analyze_wildcard:!t,query:'Message%5C+ID:(2083+OR+2080+OR+1041+OR+2003+OR+1051+OR+1043+OR+1053)+AND+%22rtdc.l.rtdc."&amp;B155&amp;"%22')),sort:!(Time.ISO8601,asc))"</f>
        <v>https://d0f6bd738d7f1b3e5a7ca70fe4ff75f0.us-east-1.aws.found.io/app/kibana#/discover/Steve-Slow-Train-Analysis-(2080s-and-2083s)?_g=(refreshInterval:(display:Off,pause:!f,section:0,value:0),time:(from:'2017-02-05T23:29:46-0700',mode:absolute,to:'2017-02-06T02:13:25-0700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4046%22')),sort:!(Time.ISO8601,asc))</v>
      </c>
      <c r="W155" s="192" t="str">
        <f>IF(AA155&lt;IF(AG155="EC",23,5.65),"Y","N")</f>
        <v>N</v>
      </c>
      <c r="X155" s="192">
        <f t="shared" si="14"/>
        <v>1</v>
      </c>
      <c r="Y155" s="62">
        <f t="shared" si="15"/>
        <v>3.1300000000000001E-2</v>
      </c>
      <c r="Z155" s="62">
        <f>RIGHT(H155,LEN(H155)-4)/10000</f>
        <v>23.328900000000001</v>
      </c>
      <c r="AA155" s="62">
        <f>ABS(Z155-Y155)</f>
        <v>23.297599999999999</v>
      </c>
      <c r="AB155" s="59" t="e">
        <f>VLOOKUP(A155,Enforcements!$C$7:$K$16,8,0)</f>
        <v>#N/A</v>
      </c>
      <c r="AC155" s="55" t="e">
        <f>VLOOKUP(A155,Enforcements!$C$7:$E$16,3,0)</f>
        <v>#N/A</v>
      </c>
      <c r="AD155" s="56" t="str">
        <f>IF(LEN(A155)=6,"0"&amp;A155,A155)</f>
        <v>0243-05</v>
      </c>
      <c r="AE155" s="85" t="str">
        <f>"aws s3 cp "&amp;s3_bucket&amp;"/RTDC"&amp;B155&amp;"/ "&amp;search_path&amp;"\RTDC"&amp;B155&amp;"\"&amp;TEXT(F155,"YYYY-MM-DD")&amp;" --exclude ""*"" --recursive --include ""*"&amp;TEXT(F155,"YYYYMMDD")&amp;"*"" &amp; """&amp;walkandungz&amp;""" "&amp;search_path&amp;"\RTDC"&amp;B155&amp;"\"&amp;TEXT(F155,"YYYY-MM-DD")
&amp;" &amp; "&amp;"aws s3 cp "&amp;s3_bucket&amp;"/RTDC"&amp;B155&amp;"/ "&amp;search_path&amp;"\RTDC"&amp;B155&amp;"\"&amp;TEXT(F155+1,"YYYY-MM-DD")&amp;" --exclude ""*"" --recursive --include ""*"&amp;TEXT(F155+1,"YYYYMMDD")&amp;"*"" &amp; """&amp;walkandungz&amp;""" "&amp;search_path&amp;"\RTDC"&amp;B155&amp;"\"&amp;TEXT(F155+1,"YYYY-MM-DD")</f>
        <v>aws s3 cp s3://rtdc.mdm.uploadarchive.raw/RTDC4046/ "%USERPROFILE%\AppData\Local\Temp\OnboardLogs"\RTDC4046\2017-02-06 --exclude "*" --recursive --include "*20170206*" &amp; "%USERPROFILE%\Documents\GitHub\mrs-test-scripts\Headless Mode &amp; Sideloading\WalkAndUnGZ.bat" "%USERPROFILE%\AppData\Local\Temp\OnboardLogs"\RTDC4046\2017-02-06 &amp; aws s3 cp s3://rtdc.mdm.uploadarchive.raw/RTDC4046/ "%USERPROFILE%\AppData\Local\Temp\OnboardLogs"\RTDC4046\2017-02-07 --exclude "*" --recursive --include "*20170207*" &amp; "%USERPROFILE%\Documents\GitHub\mrs-test-scripts\Headless Mode &amp; Sideloading\WalkAndUnGZ.bat" "%USERPROFILE%\AppData\Local\Temp\OnboardLogs"\RTDC4046\2017-02-07</v>
      </c>
      <c r="AF155" s="82" t="str">
        <f>astrogrep_path&amp;" /spath="&amp;search_path&amp;" /stypes=""app*"&amp;B155&amp;"*"&amp;TEXT(I155-utc_offset/24,"YYYYMMDD")&amp;"*"" /stext="" "&amp;TEXT(I155-utc_offset/24,"HH")&amp;search_regexp&amp;""" /e /r /s"</f>
        <v>"C:\Program Files (x86)\AstroGrep\AstroGrep.exe" /spath="%USERPROFILE%\AppData\Local\Temp\OnboardLogs" /stypes="app*4046*20170206*" /stext=" 08:.+((SYSTEM_STATE.+slice.+state.+changed )|(ment ac)|(multiple cpu faults)|(system.+state.+changed )|(\[timeout)|(PRM\|1\|D)|(kpr)|(kdp)|(\|lc)|(penalty))" /e /r /s</v>
      </c>
      <c r="AG155" s="1" t="str">
        <f>IFERROR(IF(VALUE(LEFT(AD155,2))&lt;=2,"EC",IF(OR(VALUE(LEFT(AD155,2))=8,VALUE(LEFT(AD155,2))=18),"NW","Other")),"Other")</f>
        <v>EC</v>
      </c>
      <c r="AH155" s="86" t="str">
        <f t="shared" si="10"/>
        <v>"%USERPROFILE%\Documents\GitHub\eaglep3\Utilities\RefineRTDCRunTimes.py" --tripid 243-05 --locoid 4046 --swversion DE.1.0.8.0 --startMP 204:313 --initTime 2017-02-06T00:29:46 --startdatetime 2017-02-06T00:32:44 --delay 1 --endMP 204:233289 --enddatetime 2017-02-06T01:13:25 --enforcementcount 0 &gt;&gt;C:\Users\stu\Documents\GitHub\eaglep3-reporting\EC\2017-02-05-refined-times.txt</v>
      </c>
      <c r="AI155" s="108" t="str">
        <f t="shared" si="11"/>
        <v>echo {"issue":{"subject":"","project_id":79,"tracker_id":40,"status_id":1,"priority_id":2,"assigned_to_id":23,"start_date":"2017-02-06","description":"","custom_fields":[{"id":1,"name":"Subdivision","value":"EC"},{"id":4,"name":"Milepost","value":"23.3289"},{"id":17,"name":"Train ID","value":"243-05"},{"id":16,"name":"Locomotive ID","value":"4046"},{"id":130,"name":"Impact","value":""},{"id":150,"name":"Time of Event (Mountain Time)","value":"01:13:25"},{"id":151,"name":"Denver Issue ID","value":""},{"id":178,"name":"Operational Impact","value":"Yes"},{"id":179,"name":"Denver Segment Assigned","value":""}]}} | curl -X POST -H "Content-Type: application/json" -H "X-Redmine-API-Key: d6333d4a04012a730768444271f8ca06482dae87" https://secure.xorail.net/redmine/issues.json --data @-</v>
      </c>
      <c r="AJ155" s="48"/>
      <c r="AK155" s="48"/>
      <c r="AL155" s="48"/>
      <c r="AM155" s="158" t="str">
        <f t="shared" si="12"/>
        <v>start /low /b %USERPROFILE%\Documents\GitHub\eaglep3\Utilities\DownloadLogsFromS3.py --loco 4046 --day 2017-02-06</v>
      </c>
      <c r="AN155" s="167" t="str">
        <f>"grep -SE -B400 ""CHR.+\|PRM\|1\|D.+(SWITCH|SIGNAL).+UNKNOWN"" "&amp;search_path&amp;"\RTDC"&amp;B155&amp;"\*"&amp;B155&amp;"*"&amp;TEXT(AVERAGE(F155,I155)-utc_offset/24,"YYYYMMDD")&amp;"* | grep -SE ""(Enforcement Action)|(\[TIMEOUT)|(CHR.+\|PRM\|1\|D.+(SWITCH|SIGNAL).+UNKNOWN)"" - &gt;&gt; "&amp;TEXT(Variables!$A$2,"YYYY-MM-DD")&amp;"-UncaughtWiMAX.txt"</f>
        <v>grep -SE -B400 "CHR.+\|PRM\|1\|D.+(SWITCH|SIGNAL).+UNKNOWN" "%USERPROFILE%\AppData\Local\Temp\OnboardLogs"\RTDC4046\*4046*20170206* | grep -SE "(Enforcement Action)|(\[TIMEOUT)|(CHR.+\|PRM\|1\|D.+(SWITCH|SIGNAL).+UNKNOWN)" - &gt;&gt; 2017-02-05-UncaughtWiMAX.txt</v>
      </c>
      <c r="AO155"/>
      <c r="AP155"/>
      <c r="AQ155"/>
      <c r="AR155"/>
      <c r="AS155"/>
      <c r="AT155"/>
      <c r="AU155"/>
      <c r="AV155"/>
      <c r="AW155"/>
      <c r="AX155"/>
      <c r="AY155"/>
      <c r="AZ155"/>
      <c r="BA155"/>
      <c r="BB155"/>
      <c r="BC155"/>
      <c r="BD155"/>
      <c r="BE155"/>
      <c r="BF155"/>
      <c r="BG155"/>
      <c r="BH155"/>
      <c r="BI155"/>
      <c r="BJ155"/>
      <c r="BK155"/>
      <c r="BL155"/>
      <c r="BM155"/>
      <c r="BN155"/>
      <c r="BO155"/>
      <c r="BP155"/>
      <c r="BQ155"/>
      <c r="BR155"/>
      <c r="BS155"/>
      <c r="BT155"/>
      <c r="BU155"/>
      <c r="BV155"/>
      <c r="BW155"/>
      <c r="BX155"/>
      <c r="BY155"/>
      <c r="BZ155"/>
      <c r="CA155"/>
      <c r="CB155"/>
      <c r="CC155"/>
      <c r="CD155"/>
      <c r="CE155"/>
      <c r="CF155"/>
      <c r="CG155"/>
      <c r="CH155"/>
      <c r="CI155"/>
      <c r="CJ155"/>
      <c r="CK155"/>
      <c r="CL155"/>
      <c r="CM155"/>
    </row>
    <row r="156" spans="1:91" x14ac:dyDescent="0.25">
      <c r="A156" s="33" t="s">
        <v>737</v>
      </c>
      <c r="B156" s="7">
        <v>4045</v>
      </c>
      <c r="C156" s="21" t="s">
        <v>193</v>
      </c>
      <c r="D156" s="21" t="s">
        <v>768</v>
      </c>
      <c r="E156" s="13">
        <v>42772.056967592594</v>
      </c>
      <c r="F156" s="13">
        <v>42772.058206018519</v>
      </c>
      <c r="G156" s="7">
        <v>1</v>
      </c>
      <c r="H156" s="21" t="s">
        <v>856</v>
      </c>
      <c r="I156" s="13">
        <v>42772.071064814816</v>
      </c>
      <c r="J156" s="7">
        <v>0</v>
      </c>
      <c r="K156" s="98" t="str">
        <f>IF(ISEVEN(B156),(B156-1)&amp;"/"&amp;B156,B156&amp;"/"&amp;(B156+1))</f>
        <v>4045/4046</v>
      </c>
      <c r="L156" s="21" t="str">
        <f>VLOOKUP(A156,'Trips&amp;Operators'!$C$1:$G$99999,5,FALSE)</f>
        <v>YANG JAN</v>
      </c>
      <c r="M156" s="6">
        <f>I156-F156</f>
        <v>1.2858796297223307E-2</v>
      </c>
      <c r="N156" s="7"/>
      <c r="O156" s="7"/>
      <c r="P156" s="7">
        <f>24*60*SUM($M156:$M156)</f>
        <v>18.516666668001562</v>
      </c>
      <c r="Q156" s="22"/>
      <c r="R156" s="22" t="s">
        <v>910</v>
      </c>
      <c r="S156" s="31">
        <f>SUM(U156:U156)/IF(AG156="EC",12,1)</f>
        <v>0</v>
      </c>
      <c r="T156" s="46" t="str">
        <f>IF(ISEVEN(LEFT(AD156,4)),"Southbound","NorthBound")</f>
        <v>Southbound</v>
      </c>
      <c r="U156" s="190">
        <f>IF(AG156="EC",COUNTIFS(Variables!$M$2:$M$19,IF(T156="NorthBound","&gt;=","&lt;=")&amp;Y156,Variables!$M$2:$M$19,IF(T156="NorthBound","&lt;=","&gt;=")&amp;Z156),COUNTIFS(Variables!$P$2:$P$19,IF(T156="NorthBound","&gt;=","&lt;=")&amp;Y156,Variables!$P$2:$P$19,IF(T156="NorthBound","&lt;=","&gt;=")&amp;Z156))</f>
        <v>0</v>
      </c>
      <c r="V156" s="191" t="str">
        <f>"https://d0f6bd738d7f1b3e5a7ca70fe4ff75f0.us-east-1.aws.found.io/app/kibana#/discover/Steve-Slow-Train-Analysis-(2080s-and-2083s)?_g="&amp;"(refreshInterval:(display:Off,pause:!f,section:0,value:0),time:(from:'"&amp;TEXT(E156-1/24,"yyyy-MM-DDThh:mm:ss")&amp;utc_offset&amp;"00"&amp;"',mode:absolute,to:'"&amp;TEXT(I156+1/24,"yyyy-MM-DDThh:mm:ss")&amp;utc_offset&amp;"00"&amp;"'))&amp;_a=(columns:!('Locomotive+ID','Data.Head+End+Milepost',Data.Speed,'Data.Locomotive+State','Data.Train+ID',"&amp;"'Data.Warning%2FEnforcement+Type','Data.Target+Start+Milepost','Data.Target+Description','Data.Target+Speed',"&amp;"'Data.Enforcement+Train+Speed','Data.Enforcement+Start+Milepost','Data.Target+Type','Data.Enforcement+Direction+of+Travel','Message+ID',"&amp;"'Data.Body+of+Summary+Text','Data.Head+End+Track+name'),filters:!(),index:'emp_*',interval:auto,query:"&amp;"(query_string:(analyze_wildcard:!t,query:'Message%5C+ID:(2083+OR+2080+OR+1041+OR+2003+OR+1051+OR+1043+OR+1053)+AND+%22rtdc.l.rtdc."&amp;B156&amp;"%22')),sort:!(Time.ISO8601,asc))"</f>
        <v>https://d0f6bd738d7f1b3e5a7ca70fe4ff75f0.us-east-1.aws.found.io/app/kibana#/discover/Steve-Slow-Train-Analysis-(2080s-and-2083s)?_g=(refreshInterval:(display:Off,pause:!f,section:0,value:0),time:(from:'2017-02-06T00:22:02-0700',mode:absolute,to:'2017-02-06T02:42:20-0700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4045%22')),sort:!(Time.ISO8601,asc))</v>
      </c>
      <c r="W156" s="192" t="str">
        <f>IF(AA156&lt;IF(AG156="EC",23,5.65),"Y","N")</f>
        <v>Y</v>
      </c>
      <c r="X156" s="192">
        <f t="shared" si="14"/>
        <v>1</v>
      </c>
      <c r="Y156" s="62">
        <f>RIGHT(D156,LEN(D156)-4)/10000</f>
        <v>23.3</v>
      </c>
      <c r="Z156" s="62">
        <f>RIGHT(H156,LEN(H156)-4)/10000</f>
        <v>12.7858</v>
      </c>
      <c r="AA156" s="62">
        <f>ABS(Z156-Y156)</f>
        <v>10.514200000000001</v>
      </c>
      <c r="AB156" s="59" t="e">
        <f>VLOOKUP(A156,Enforcements!$C$7:$K$16,8,0)</f>
        <v>#N/A</v>
      </c>
      <c r="AC156" s="55" t="e">
        <f>VLOOKUP(A156,Enforcements!$C$7:$E$16,3,0)</f>
        <v>#N/A</v>
      </c>
      <c r="AD156" s="56" t="str">
        <f>IF(LEN(A156)=6,"0"&amp;A156,A156)</f>
        <v>0244-05</v>
      </c>
      <c r="AE156" s="85" t="str">
        <f>"aws s3 cp "&amp;s3_bucket&amp;"/RTDC"&amp;B156&amp;"/ "&amp;search_path&amp;"\RTDC"&amp;B156&amp;"\"&amp;TEXT(F156,"YYYY-MM-DD")&amp;" --exclude ""*"" --recursive --include ""*"&amp;TEXT(F156,"YYYYMMDD")&amp;"*"" &amp; """&amp;walkandungz&amp;""" "&amp;search_path&amp;"\RTDC"&amp;B156&amp;"\"&amp;TEXT(F156,"YYYY-MM-DD")
&amp;" &amp; "&amp;"aws s3 cp "&amp;s3_bucket&amp;"/RTDC"&amp;B156&amp;"/ "&amp;search_path&amp;"\RTDC"&amp;B156&amp;"\"&amp;TEXT(F156+1,"YYYY-MM-DD")&amp;" --exclude ""*"" --recursive --include ""*"&amp;TEXT(F156+1,"YYYYMMDD")&amp;"*"" &amp; """&amp;walkandungz&amp;""" "&amp;search_path&amp;"\RTDC"&amp;B156&amp;"\"&amp;TEXT(F156+1,"YYYY-MM-DD")</f>
        <v>aws s3 cp s3://rtdc.mdm.uploadarchive.raw/RTDC4045/ "%USERPROFILE%\AppData\Local\Temp\OnboardLogs"\RTDC4045\2017-02-06 --exclude "*" --recursive --include "*20170206*" &amp; "%USERPROFILE%\Documents\GitHub\mrs-test-scripts\Headless Mode &amp; Sideloading\WalkAndUnGZ.bat" "%USERPROFILE%\AppData\Local\Temp\OnboardLogs"\RTDC4045\2017-02-06 &amp; aws s3 cp s3://rtdc.mdm.uploadarchive.raw/RTDC4045/ "%USERPROFILE%\AppData\Local\Temp\OnboardLogs"\RTDC4045\2017-02-07 --exclude "*" --recursive --include "*20170207*" &amp; "%USERPROFILE%\Documents\GitHub\mrs-test-scripts\Headless Mode &amp; Sideloading\WalkAndUnGZ.bat" "%USERPROFILE%\AppData\Local\Temp\OnboardLogs"\RTDC4045\2017-02-07</v>
      </c>
      <c r="AF156" s="82" t="str">
        <f>astrogrep_path&amp;" /spath="&amp;search_path&amp;" /stypes=""app*"&amp;B156&amp;"*"&amp;TEXT(I156-utc_offset/24,"YYYYMMDD")&amp;"*"" /stext="" "&amp;TEXT(I156-utc_offset/24,"HH")&amp;search_regexp&amp;""" /e /r /s"</f>
        <v>"C:\Program Files (x86)\AstroGrep\AstroGrep.exe" /spath="%USERPROFILE%\AppData\Local\Temp\OnboardLogs" /stypes="app*4045*20170206*" /stext=" 08:.+((SYSTEM_STATE.+slice.+state.+changed )|(ment ac)|(multiple cpu faults)|(system.+state.+changed )|(\[timeout)|(PRM\|1\|D)|(kpr)|(kdp)|(\|lc)|(penalty))" /e /r /s</v>
      </c>
      <c r="AG156" s="1" t="str">
        <f>IFERROR(IF(VALUE(LEFT(AD156,2))&lt;=2,"EC",IF(OR(VALUE(LEFT(AD156,2))=8,VALUE(LEFT(AD156,2))=18),"NW","Other")),"Other")</f>
        <v>EC</v>
      </c>
      <c r="AH156" s="86" t="str">
        <f t="shared" si="10"/>
        <v>"%USERPROFILE%\Documents\GitHub\eaglep3\Utilities\RefineRTDCRunTimes.py" --tripid 244-05 --locoid 4045 --swversion DE.1.0.8.0 --startMP 204:233000 --initTime 2017-02-06T01:22:02 --startdatetime 2017-02-06T01:23:49 --delay 1 --endMP 204:127858 --enddatetime 2017-02-06T01:42:20 --enforcementcount 0 &gt;&gt;C:\Users\stu\Documents\GitHub\eaglep3-reporting\EC\2017-02-05-refined-times.txt</v>
      </c>
      <c r="AI156" s="108" t="str">
        <f t="shared" si="11"/>
        <v>echo {"issue":{"subject":"40th 4S stuck at STOP","project_id":79,"tracker_id":40,"status_id":1,"priority_id":2,"assigned_to_id":23,"start_date":"2017-02-06","description":"Starting at 01:42:37.376, 40th 4S dropped to STOP and stayed that way for at least the next hour. Looks like this was undesired. Was there anything odd coming from adjacent locations that caused the drop to STOP?","custom_fields":[{"id":1,"name":"Subdivision","value":"EC"},{"id":4,"name":"Milepost","value":"12.7858"},{"id":17,"name":"Train ID","value":"244-05"},{"id":16,"name":"Locomotive ID","value":"4045"},{"id":130,"name":"Impact","value":"Unexpected Cut-Out or Disengaged"},{"id":150,"name":"Time of Event (Mountain Time)","value":"01:42:20"},{"id":151,"name":"Denver Issue ID","value":""},{"id":178,"name":"Operational Impact","value":"Yes"},{"id":179,"name":"Denver Segment Assigned","value":"Signal"}]}} | curl -X POST -H "Content-Type: application/json" -H "X-Redmine-API-Key: d6333d4a04012a730768444271f8ca06482dae87" https://secure.xorail.net/redmine/issues.json --data @-</v>
      </c>
      <c r="AJ156" s="48" t="s">
        <v>911</v>
      </c>
      <c r="AK156" s="48" t="s">
        <v>130</v>
      </c>
      <c r="AL156" s="48" t="s">
        <v>129</v>
      </c>
      <c r="AM156" s="158" t="str">
        <f t="shared" si="12"/>
        <v>start /low /b %USERPROFILE%\Documents\GitHub\eaglep3\Utilities\DownloadLogsFromS3.py --loco 4045 --day 2017-02-06</v>
      </c>
      <c r="AN156" s="167" t="str">
        <f>"grep -SE -B400 ""CHR.+\|PRM\|1\|D.+(SWITCH|SIGNAL).+UNKNOWN"" "&amp;search_path&amp;"\RTDC"&amp;B156&amp;"\*"&amp;B156&amp;"*"&amp;TEXT(AVERAGE(F156,I156)-utc_offset/24,"YYYYMMDD")&amp;"* | grep -SE ""(Enforcement Action)|(\[TIMEOUT)|(CHR.+\|PRM\|1\|D.+(SWITCH|SIGNAL).+UNKNOWN)"" - &gt;&gt; "&amp;TEXT(Variables!$A$2,"YYYY-MM-DD")&amp;"-UncaughtWiMAX.txt"</f>
        <v>grep -SE -B400 "CHR.+\|PRM\|1\|D.+(SWITCH|SIGNAL).+UNKNOWN" "%USERPROFILE%\AppData\Local\Temp\OnboardLogs"\RTDC4045\*4045*20170206* | grep -SE "(Enforcement Action)|(\[TIMEOUT)|(CHR.+\|PRM\|1\|D.+(SWITCH|SIGNAL).+UNKNOWN)" - &gt;&gt; 2017-02-05-UncaughtWiMAX.txt</v>
      </c>
    </row>
    <row r="157" spans="1:91" s="20" customFormat="1" x14ac:dyDescent="0.25">
      <c r="A157" s="33" t="s">
        <v>561</v>
      </c>
      <c r="B157" s="7">
        <v>4004</v>
      </c>
      <c r="C157" s="21" t="s">
        <v>193</v>
      </c>
      <c r="D157" s="21" t="s">
        <v>785</v>
      </c>
      <c r="E157" s="13">
        <v>42771.23364583333</v>
      </c>
      <c r="F157" s="13">
        <v>42771.235509259262</v>
      </c>
      <c r="G157" s="7">
        <v>1</v>
      </c>
      <c r="H157" s="21" t="s">
        <v>423</v>
      </c>
      <c r="I157" s="13">
        <v>42771.24596064815</v>
      </c>
      <c r="J157" s="7">
        <v>0</v>
      </c>
      <c r="K157" s="98" t="str">
        <f>IF(ISEVEN(B157),(B157-1)&amp;"/"&amp;B157,B157&amp;"/"&amp;(B157+1))</f>
        <v>4003/4004</v>
      </c>
      <c r="L157" s="21" t="str">
        <f>VLOOKUP(A157,'Trips&amp;Operators'!$C$1:$G$99999,5,FALSE)</f>
        <v>YORK EDGAR</v>
      </c>
      <c r="M157" s="6">
        <f>I157-F157</f>
        <v>1.0451388887304347E-2</v>
      </c>
      <c r="N157" s="7">
        <f>24*60*SUM($M157:$M157)</f>
        <v>15.04999999771826</v>
      </c>
      <c r="O157" s="7"/>
      <c r="P157" s="7"/>
      <c r="Q157" s="22"/>
      <c r="R157" s="22"/>
      <c r="S157" s="31">
        <f>SUM(U157:U157)/IF(AG157="EC",12,1)</f>
        <v>1</v>
      </c>
      <c r="T157" s="46" t="str">
        <f>IF(ISEVEN(LEFT(AD157,4)),"Southbound","NorthBound")</f>
        <v>Southbound</v>
      </c>
      <c r="U157" s="190">
        <f>IF(AG157="EC",COUNTIFS(Variables!$M$2:$M$19,IF(T157="NorthBound","&gt;=","&lt;=")&amp;Y157,Variables!$M$2:$M$19,IF(T157="NorthBound","&lt;=","&gt;=")&amp;Z157),COUNTIFS(Variables!$P$2:$P$19,IF(T157="NorthBound","&gt;=","&lt;=")&amp;Y157,Variables!$P$2:$P$19,IF(T157="NorthBound","&lt;=","&gt;=")&amp;Z157))</f>
        <v>1</v>
      </c>
      <c r="V157" s="191" t="str">
        <f>"https://d0f6bd738d7f1b3e5a7ca70fe4ff75f0.us-east-1.aws.found.io/app/kibana#/discover/Steve-Slow-Train-Analysis-(2080s-and-2083s)?_g="&amp;"(refreshInterval:(display:Off,pause:!f,section:0,value:0),time:(from:'"&amp;TEXT(E157-1/24,"yyyy-MM-DDThh:mm:ss")&amp;utc_offset&amp;"00"&amp;"',mode:absolute,to:'"&amp;TEXT(I157+1/24,"yyyy-MM-DDThh:mm:ss")&amp;utc_offset&amp;"00"&amp;"'))&amp;_a=(columns:!('Locomotive+ID','Data.Head+End+Milepost',Data.Speed,'Data.Locomotive+State','Data.Train+ID',"&amp;"'Data.Warning%2FEnforcement+Type','Data.Target+Start+Milepost','Data.Target+Description','Data.Target+Speed',"&amp;"'Data.Enforcement+Train+Speed','Data.Enforcement+Start+Milepost','Data.Target+Type','Data.Enforcement+Direction+of+Travel','Message+ID',"&amp;"'Data.Body+of+Summary+Text','Data.Head+End+Track+name'),filters:!(),index:'emp_*',interval:auto,query:"&amp;"(query_string:(analyze_wildcard:!t,query:'Message%5C+ID:(2083+OR+2080+OR+1041+OR+2003+OR+1051+OR+1043+OR+1053)+AND+%22rtdc.l.rtdc."&amp;B157&amp;"%22')),sort:!(Time.ISO8601,asc))"</f>
        <v>https://d0f6bd738d7f1b3e5a7ca70fe4ff75f0.us-east-1.aws.found.io/app/kibana#/discover/Steve-Slow-Train-Analysis-(2080s-and-2083s)?_g=(refreshInterval:(display:Off,pause:!f,section:0,value:0),time:(from:'2017-02-05T04:36:27-0700',mode:absolute,to:'2017-02-05T06:54:11-0700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4004%22')),sort:!(Time.ISO8601,asc))</v>
      </c>
      <c r="W157" s="192" t="str">
        <f>IF(AA157&lt;IF(AG157="EC",23,5.65),"Y","N")</f>
        <v>N</v>
      </c>
      <c r="X157" s="192">
        <f t="shared" si="14"/>
        <v>1556</v>
      </c>
      <c r="Y157" s="62">
        <f>RIGHT(D157,LEN(D157)-4)/10000</f>
        <v>5.8625999999999996</v>
      </c>
      <c r="Z157" s="62">
        <f>RIGHT(H157,LEN(H157)-4)/10000</f>
        <v>7.2700000000000001E-2</v>
      </c>
      <c r="AA157" s="62">
        <f>ABS(Z157-Y157)</f>
        <v>5.7898999999999994</v>
      </c>
      <c r="AB157" s="59" t="e">
        <f>VLOOKUP(A157,Enforcements!$C$7:$K$16,8,0)</f>
        <v>#N/A</v>
      </c>
      <c r="AC157" s="55" t="e">
        <f>VLOOKUP(A157,Enforcements!$C$7:$E$16,3,0)</f>
        <v>#N/A</v>
      </c>
      <c r="AD157" s="56" t="str">
        <f>IF(LEN(A157)=6,"0"&amp;A157,A157)</f>
        <v>1800-05</v>
      </c>
      <c r="AE157" s="85" t="str">
        <f>"aws s3 cp "&amp;s3_bucket&amp;"/RTDC"&amp;B157&amp;"/ "&amp;search_path&amp;"\RTDC"&amp;B157&amp;"\"&amp;TEXT(F157,"YYYY-MM-DD")&amp;" --exclude ""*"" --recursive --include ""*"&amp;TEXT(F157,"YYYYMMDD")&amp;"*"" &amp; """&amp;walkandungz&amp;""" "&amp;search_path&amp;"\RTDC"&amp;B157&amp;"\"&amp;TEXT(F157,"YYYY-MM-DD")
&amp;" &amp; "&amp;"aws s3 cp "&amp;s3_bucket&amp;"/RTDC"&amp;B157&amp;"/ "&amp;search_path&amp;"\RTDC"&amp;B157&amp;"\"&amp;TEXT(F157+1,"YYYY-MM-DD")&amp;" --exclude ""*"" --recursive --include ""*"&amp;TEXT(F157+1,"YYYYMMDD")&amp;"*"" &amp; """&amp;walkandungz&amp;""" "&amp;search_path&amp;"\RTDC"&amp;B157&amp;"\"&amp;TEXT(F157+1,"YYYY-MM-DD")</f>
        <v>aws s3 cp s3://rtdc.mdm.uploadarchive.raw/RTDC4004/ "%USERPROFILE%\AppData\Local\Temp\OnboardLogs"\RTDC4004\2017-02-05 --exclude "*" --recursive --include "*20170205*" &amp; "%USERPROFILE%\Documents\GitHub\mrs-test-scripts\Headless Mode &amp; Sideloading\WalkAndUnGZ.bat" "%USERPROFILE%\AppData\Local\Temp\OnboardLogs"\RTDC4004\2017-02-05 &amp; aws s3 cp s3://rtdc.mdm.uploadarchive.raw/RTDC4004/ "%USERPROFILE%\AppData\Local\Temp\OnboardLogs"\RTDC4004\2017-02-06 --exclude "*" --recursive --include "*20170206*" &amp; "%USERPROFILE%\Documents\GitHub\mrs-test-scripts\Headless Mode &amp; Sideloading\WalkAndUnGZ.bat" "%USERPROFILE%\AppData\Local\Temp\OnboardLogs"\RTDC4004\2017-02-06</v>
      </c>
      <c r="AF157" s="82" t="str">
        <f>astrogrep_path&amp;" /spath="&amp;search_path&amp;" /stypes=""app*"&amp;B157&amp;"*"&amp;TEXT(I157-utc_offset/24,"YYYYMMDD")&amp;"*"" /stext="" "&amp;TEXT(I157-utc_offset/24,"HH")&amp;search_regexp&amp;""" /e /r /s"</f>
        <v>"C:\Program Files (x86)\AstroGrep\AstroGrep.exe" /spath="%USERPROFILE%\AppData\Local\Temp\OnboardLogs" /stypes="app*4004*20170205*" /stext=" 12:.+((SYSTEM_STATE.+slice.+state.+changed )|(ment ac)|(multiple cpu faults)|(system.+state.+changed )|(\[timeout)|(PRM\|1\|D)|(kpr)|(kdp)|(\|lc)|(penalty))" /e /r /s</v>
      </c>
      <c r="AG157" s="1" t="str">
        <f>IFERROR(IF(VALUE(LEFT(AD157,2))&lt;=2,"EC",IF(OR(VALUE(LEFT(AD157,2))=8,VALUE(LEFT(AD157,2))=18),"NW","Other")),"Other")</f>
        <v>NW</v>
      </c>
      <c r="AH157" s="86" t="str">
        <f t="shared" si="10"/>
        <v>"%USERPROFILE%\Documents\GitHub\eaglep3\Utilities\RefineRTDCRunTimes.py" --tripid 1800-05 --locoid 4004 --swversion DE.1.0.8.0 --startMP 300:58626 --initTime 2017-02-05T05:36:27 --startdatetime 2017-02-05T05:39:08 --delay 1 --endMP 204:727 --enddatetime 2017-02-05T05:54:11 --enforcementcount 0 &gt;&gt;C:\Users\stu\Documents\GitHub\eaglep3-reporting\EC\2017-02-05-refined-times.txt</v>
      </c>
      <c r="AI157" s="108" t="str">
        <f t="shared" si="11"/>
        <v>echo {"issue":{"subject":"","project_id":79,"tracker_id":40,"status_id":1,"priority_id":2,"assigned_to_id":23,"start_date":"2017-02-05","description":"","custom_fields":[{"id":1,"name":"Subdivision","value":"NW"},{"id":4,"name":"Milepost","value":"0.0727"},{"id":17,"name":"Train ID","value":"1800-05"},{"id":16,"name":"Locomotive ID","value":"4004"},{"id":130,"name":"Impact","value":""},{"id":150,"name":"Time of Event (Mountain Time)","value":"05:54:11"},{"id":151,"name":"Denver Issue ID","value":""},{"id":178,"name":"Operational Impact","value":"Yes"},{"id":179,"name":"Denver Segment Assigned","value":""}]}} | curl -X POST -H "Content-Type: application/json" -H "X-Redmine-API-Key: d6333d4a04012a730768444271f8ca06482dae87" https://secure.xorail.net/redmine/issues.json --data @-</v>
      </c>
      <c r="AJ157" s="48"/>
      <c r="AK157" s="48"/>
      <c r="AL157" s="48"/>
      <c r="AM157" s="158" t="str">
        <f t="shared" si="12"/>
        <v>start /low /b %USERPROFILE%\Documents\GitHub\eaglep3\Utilities\DownloadLogsFromS3.py --loco 4004 --day 2017-02-05</v>
      </c>
      <c r="AN157" s="167" t="str">
        <f>"grep -SE -B400 ""CHR.+\|PRM\|1\|D.+(SWITCH|SIGNAL).+UNKNOWN"" "&amp;search_path&amp;"\RTDC"&amp;B157&amp;"\*"&amp;B157&amp;"*"&amp;TEXT(AVERAGE(F157,I157)-utc_offset/24,"YYYYMMDD")&amp;"* | grep -SE ""(Enforcement Action)|(\[TIMEOUT)|(CHR.+\|PRM\|1\|D.+(SWITCH|SIGNAL).+UNKNOWN)"" - &gt;&gt; "&amp;TEXT(Variables!$A$2,"YYYY-MM-DD")&amp;"-UncaughtWiMAX.txt"</f>
        <v>grep -SE -B400 "CHR.+\|PRM\|1\|D.+(SWITCH|SIGNAL).+UNKNOWN" "%USERPROFILE%\AppData\Local\Temp\OnboardLogs"\RTDC4004\*4004*20170205* | grep -SE "(Enforcement Action)|(\[TIMEOUT)|(CHR.+\|PRM\|1\|D.+(SWITCH|SIGNAL).+UNKNOWN)" - &gt;&gt; 2017-02-05-UncaughtWiMAX.txt</v>
      </c>
      <c r="AO157"/>
      <c r="AP157"/>
      <c r="AQ157"/>
      <c r="AR157"/>
      <c r="AS157"/>
      <c r="AT157"/>
      <c r="AU157"/>
      <c r="AV157"/>
      <c r="AW157"/>
      <c r="AX157"/>
      <c r="AY157"/>
      <c r="AZ157"/>
      <c r="BA157"/>
      <c r="BB157"/>
      <c r="BC157"/>
      <c r="BD157"/>
      <c r="BE157"/>
      <c r="BF157"/>
      <c r="BG157"/>
      <c r="BH157"/>
      <c r="BI157"/>
      <c r="BJ157"/>
      <c r="BK157"/>
      <c r="BL157"/>
      <c r="BM157"/>
      <c r="BN157"/>
      <c r="BO157"/>
      <c r="BP157"/>
      <c r="BQ157"/>
      <c r="BR157"/>
      <c r="BS157"/>
      <c r="BT157"/>
      <c r="BU157"/>
      <c r="BV157"/>
      <c r="BW157"/>
      <c r="BX157"/>
      <c r="BY157"/>
      <c r="BZ157"/>
      <c r="CA157"/>
      <c r="CB157"/>
      <c r="CC157"/>
      <c r="CD157"/>
      <c r="CE157"/>
      <c r="CF157"/>
      <c r="CG157"/>
      <c r="CH157"/>
      <c r="CI157"/>
      <c r="CJ157"/>
      <c r="CK157"/>
      <c r="CL157"/>
      <c r="CM157"/>
    </row>
    <row r="158" spans="1:91" s="20" customFormat="1" x14ac:dyDescent="0.25">
      <c r="A158" s="33" t="s">
        <v>564</v>
      </c>
      <c r="B158" s="7">
        <v>4003</v>
      </c>
      <c r="C158" s="21" t="s">
        <v>193</v>
      </c>
      <c r="D158" s="21" t="s">
        <v>420</v>
      </c>
      <c r="E158" s="13">
        <v>42771.246990740743</v>
      </c>
      <c r="F158" s="13">
        <v>42771.264988425923</v>
      </c>
      <c r="G158" s="7">
        <v>1</v>
      </c>
      <c r="H158" s="21" t="s">
        <v>786</v>
      </c>
      <c r="I158" s="13">
        <v>42771.273379629631</v>
      </c>
      <c r="J158" s="7">
        <v>0</v>
      </c>
      <c r="K158" s="98" t="str">
        <f>IF(ISEVEN(B158),(B158-1)&amp;"/"&amp;B158,B158&amp;"/"&amp;(B158+1))</f>
        <v>4003/4004</v>
      </c>
      <c r="L158" s="21" t="str">
        <f>VLOOKUP(A158,'Trips&amp;Operators'!$C$1:$G$99999,5,FALSE)</f>
        <v>YORK EDGAR</v>
      </c>
      <c r="M158" s="6">
        <f>I158-F158</f>
        <v>8.3912037080153823E-3</v>
      </c>
      <c r="N158" s="7">
        <f>24*60*SUM($M158:$M158)</f>
        <v>12.08333333954215</v>
      </c>
      <c r="O158" s="7"/>
      <c r="P158" s="7"/>
      <c r="Q158" s="22"/>
      <c r="R158" s="22"/>
      <c r="S158" s="31">
        <f>SUM(U158:U158)/IF(AG158="EC",12,1)</f>
        <v>1</v>
      </c>
      <c r="T158" s="46" t="str">
        <f>IF(ISEVEN(LEFT(AD158,4)),"Southbound","NorthBound")</f>
        <v>NorthBound</v>
      </c>
      <c r="U158" s="190">
        <f>IF(AG158="EC",COUNTIFS(Variables!$M$2:$M$19,IF(T158="NorthBound","&gt;=","&lt;=")&amp;Y158,Variables!$M$2:$M$19,IF(T158="NorthBound","&lt;=","&gt;=")&amp;Z158),COUNTIFS(Variables!$P$2:$P$19,IF(T158="NorthBound","&gt;=","&lt;=")&amp;Y158,Variables!$P$2:$P$19,IF(T158="NorthBound","&lt;=","&gt;=")&amp;Z158))</f>
        <v>1</v>
      </c>
      <c r="V158" s="191" t="str">
        <f>"https://d0f6bd738d7f1b3e5a7ca70fe4ff75f0.us-east-1.aws.found.io/app/kibana#/discover/Steve-Slow-Train-Analysis-(2080s-and-2083s)?_g="&amp;"(refreshInterval:(display:Off,pause:!f,section:0,value:0),time:(from:'"&amp;TEXT(E158-1/24,"yyyy-MM-DDThh:mm:ss")&amp;utc_offset&amp;"00"&amp;"',mode:absolute,to:'"&amp;TEXT(I158+1/24,"yyyy-MM-DDThh:mm:ss")&amp;utc_offset&amp;"00"&amp;"'))&amp;_a=(columns:!('Locomotive+ID','Data.Head+End+Milepost',Data.Speed,'Data.Locomotive+State','Data.Train+ID',"&amp;"'Data.Warning%2FEnforcement+Type','Data.Target+Start+Milepost','Data.Target+Description','Data.Target+Speed',"&amp;"'Data.Enforcement+Train+Speed','Data.Enforcement+Start+Milepost','Data.Target+Type','Data.Enforcement+Direction+of+Travel','Message+ID',"&amp;"'Data.Body+of+Summary+Text','Data.Head+End+Track+name'),filters:!(),index:'emp_*',interval:auto,query:"&amp;"(query_string:(analyze_wildcard:!t,query:'Message%5C+ID:(2083+OR+2080+OR+1041+OR+2003+OR+1051+OR+1043+OR+1053)+AND+%22rtdc.l.rtdc."&amp;B158&amp;"%22')),sort:!(Time.ISO8601,asc))"</f>
        <v>https://d0f6bd738d7f1b3e5a7ca70fe4ff75f0.us-east-1.aws.found.io/app/kibana#/discover/Steve-Slow-Train-Analysis-(2080s-and-2083s)?_g=(refreshInterval:(display:Off,pause:!f,section:0,value:0),time:(from:'2017-02-05T04:55:40-0700',mode:absolute,to:'2017-02-05T07:33:40-0700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4003%22')),sort:!(Time.ISO8601,asc))</v>
      </c>
      <c r="W158" s="192" t="str">
        <f>IF(AA158&lt;IF(AG158="EC",23,5.65),"Y","N")</f>
        <v>N</v>
      </c>
      <c r="X158" s="192">
        <f t="shared" si="14"/>
        <v>1</v>
      </c>
      <c r="Y158" s="62">
        <f>RIGHT(D158,LEN(D158)-4)/10000</f>
        <v>0.1014</v>
      </c>
      <c r="Z158" s="62">
        <f>RIGHT(H158,LEN(H158)-4)/10000</f>
        <v>5.8928000000000003</v>
      </c>
      <c r="AA158" s="62">
        <f>ABS(Z158-Y158)</f>
        <v>5.7914000000000003</v>
      </c>
      <c r="AB158" s="59" t="e">
        <f>VLOOKUP(A158,Enforcements!$C$7:$K$16,8,0)</f>
        <v>#N/A</v>
      </c>
      <c r="AC158" s="55" t="e">
        <f>VLOOKUP(A158,Enforcements!$C$7:$E$16,3,0)</f>
        <v>#N/A</v>
      </c>
      <c r="AD158" s="56" t="str">
        <f>IF(LEN(A158)=6,"0"&amp;A158,A158)</f>
        <v>1801-05</v>
      </c>
      <c r="AE158" s="85" t="str">
        <f>"aws s3 cp "&amp;s3_bucket&amp;"/RTDC"&amp;B158&amp;"/ "&amp;search_path&amp;"\RTDC"&amp;B158&amp;"\"&amp;TEXT(F158,"YYYY-MM-DD")&amp;" --exclude ""*"" --recursive --include ""*"&amp;TEXT(F158,"YYYYMMDD")&amp;"*"" &amp; """&amp;walkandungz&amp;""" "&amp;search_path&amp;"\RTDC"&amp;B158&amp;"\"&amp;TEXT(F158,"YYYY-MM-DD")
&amp;" &amp; "&amp;"aws s3 cp "&amp;s3_bucket&amp;"/RTDC"&amp;B158&amp;"/ "&amp;search_path&amp;"\RTDC"&amp;B158&amp;"\"&amp;TEXT(F158+1,"YYYY-MM-DD")&amp;" --exclude ""*"" --recursive --include ""*"&amp;TEXT(F158+1,"YYYYMMDD")&amp;"*"" &amp; """&amp;walkandungz&amp;""" "&amp;search_path&amp;"\RTDC"&amp;B158&amp;"\"&amp;TEXT(F158+1,"YYYY-MM-DD")</f>
        <v>aws s3 cp s3://rtdc.mdm.uploadarchive.raw/RTDC4003/ "%USERPROFILE%\AppData\Local\Temp\OnboardLogs"\RTDC4003\2017-02-05 --exclude "*" --recursive --include "*20170205*" &amp; "%USERPROFILE%\Documents\GitHub\mrs-test-scripts\Headless Mode &amp; Sideloading\WalkAndUnGZ.bat" "%USERPROFILE%\AppData\Local\Temp\OnboardLogs"\RTDC4003\2017-02-05 &amp; aws s3 cp s3://rtdc.mdm.uploadarchive.raw/RTDC4003/ "%USERPROFILE%\AppData\Local\Temp\OnboardLogs"\RTDC4003\2017-02-06 --exclude "*" --recursive --include "*20170206*" &amp; "%USERPROFILE%\Documents\GitHub\mrs-test-scripts\Headless Mode &amp; Sideloading\WalkAndUnGZ.bat" "%USERPROFILE%\AppData\Local\Temp\OnboardLogs"\RTDC4003\2017-02-06</v>
      </c>
      <c r="AF158" s="82" t="str">
        <f>astrogrep_path&amp;" /spath="&amp;search_path&amp;" /stypes=""app*"&amp;B158&amp;"*"&amp;TEXT(I158-utc_offset/24,"YYYYMMDD")&amp;"*"" /stext="" "&amp;TEXT(I158-utc_offset/24,"HH")&amp;search_regexp&amp;""" /e /r /s"</f>
        <v>"C:\Program Files (x86)\AstroGrep\AstroGrep.exe" /spath="%USERPROFILE%\AppData\Local\Temp\OnboardLogs" /stypes="app*4003*20170205*" /stext=" 13:.+((SYSTEM_STATE.+slice.+state.+changed )|(ment ac)|(multiple cpu faults)|(system.+state.+changed )|(\[timeout)|(PRM\|1\|D)|(kpr)|(kdp)|(\|lc)|(penalty))" /e /r /s</v>
      </c>
      <c r="AG158" s="1" t="str">
        <f>IFERROR(IF(VALUE(LEFT(AD158,2))&lt;=2,"EC",IF(OR(VALUE(LEFT(AD158,2))=8,VALUE(LEFT(AD158,2))=18),"NW","Other")),"Other")</f>
        <v>NW</v>
      </c>
      <c r="AH158" s="86" t="str">
        <f t="shared" si="10"/>
        <v>"%USERPROFILE%\Documents\GitHub\eaglep3\Utilities\RefineRTDCRunTimes.py" --tripid 1801-05 --locoid 4003 --swversion DE.1.0.8.0 --startMP 204:1014 --initTime 2017-02-05T05:55:40 --startdatetime 2017-02-05T06:21:35 --delay 1 --endMP 300:58928 --enddatetime 2017-02-05T06:33:40 --enforcementcount 0 &gt;&gt;C:\Users\stu\Documents\GitHub\eaglep3-reporting\EC\2017-02-05-refined-times.txt</v>
      </c>
      <c r="AI158" s="108" t="str">
        <f t="shared" si="11"/>
        <v>echo {"issue":{"subject":"","project_id":79,"tracker_id":40,"status_id":1,"priority_id":2,"assigned_to_id":23,"start_date":"2017-02-05","description":"","custom_fields":[{"id":1,"name":"Subdivision","value":"NW"},{"id":4,"name":"Milepost","value":"5.8928"},{"id":17,"name":"Train ID","value":"1801-05"},{"id":16,"name":"Locomotive ID","value":"4003"},{"id":130,"name":"Impact","value":""},{"id":150,"name":"Time of Event (Mountain Time)","value":"06:33:40"},{"id":151,"name":"Denver Issue ID","value":""},{"id":178,"name":"Operational Impact","value":"Yes"},{"id":179,"name":"Denver Segment Assigned","value":""}]}} | curl -X POST -H "Content-Type: application/json" -H "X-Redmine-API-Key: d6333d4a04012a730768444271f8ca06482dae87" https://secure.xorail.net/redmine/issues.json --data @-</v>
      </c>
      <c r="AJ158" s="48"/>
      <c r="AK158" s="48"/>
      <c r="AL158" s="48"/>
      <c r="AM158" s="158" t="str">
        <f t="shared" si="12"/>
        <v>start /low /b %USERPROFILE%\Documents\GitHub\eaglep3\Utilities\DownloadLogsFromS3.py --loco 4003 --day 2017-02-05</v>
      </c>
      <c r="AN158" s="167" t="str">
        <f>"grep -SE -B400 ""CHR.+\|PRM\|1\|D.+(SWITCH|SIGNAL).+UNKNOWN"" "&amp;search_path&amp;"\RTDC"&amp;B158&amp;"\*"&amp;B158&amp;"*"&amp;TEXT(AVERAGE(F158,I158)-utc_offset/24,"YYYYMMDD")&amp;"* | grep -SE ""(Enforcement Action)|(\[TIMEOUT)|(CHR.+\|PRM\|1\|D.+(SWITCH|SIGNAL).+UNKNOWN)"" - &gt;&gt; "&amp;TEXT(Variables!$A$2,"YYYY-MM-DD")&amp;"-UncaughtWiMAX.txt"</f>
        <v>grep -SE -B400 "CHR.+\|PRM\|1\|D.+(SWITCH|SIGNAL).+UNKNOWN" "%USERPROFILE%\AppData\Local\Temp\OnboardLogs"\RTDC4003\*4003*20170205* | grep -SE "(Enforcement Action)|(\[TIMEOUT)|(CHR.+\|PRM\|1\|D.+(SWITCH|SIGNAL).+UNKNOWN)" - &gt;&gt; 2017-02-05-UncaughtWiMAX.txt</v>
      </c>
      <c r="AO158"/>
      <c r="AP158"/>
      <c r="AQ158"/>
      <c r="AR158"/>
      <c r="AS158"/>
      <c r="AT158"/>
      <c r="AU158"/>
      <c r="AV158"/>
      <c r="AW158"/>
      <c r="AX158"/>
      <c r="AY158"/>
      <c r="AZ158"/>
      <c r="BA158"/>
      <c r="BB158"/>
      <c r="BC158"/>
      <c r="BD158"/>
      <c r="BE158"/>
      <c r="BF158"/>
      <c r="BG158"/>
      <c r="BH158"/>
      <c r="BI158"/>
      <c r="BJ158"/>
      <c r="BK158"/>
      <c r="BL158"/>
      <c r="BM158"/>
      <c r="BN158"/>
      <c r="BO158"/>
      <c r="BP158"/>
      <c r="BQ158"/>
      <c r="BR158"/>
      <c r="BS158"/>
      <c r="BT158"/>
      <c r="BU158"/>
      <c r="BV158"/>
      <c r="BW158"/>
      <c r="BX158"/>
      <c r="BY158"/>
      <c r="BZ158"/>
      <c r="CA158"/>
      <c r="CB158"/>
      <c r="CC158"/>
      <c r="CD158"/>
      <c r="CE158"/>
      <c r="CF158"/>
      <c r="CG158"/>
      <c r="CH158"/>
      <c r="CI158"/>
      <c r="CJ158"/>
      <c r="CK158"/>
      <c r="CL158"/>
      <c r="CM158"/>
    </row>
    <row r="159" spans="1:91" s="20" customFormat="1" x14ac:dyDescent="0.25">
      <c r="A159" s="33" t="s">
        <v>570</v>
      </c>
      <c r="B159" s="7">
        <v>4004</v>
      </c>
      <c r="C159" s="21" t="s">
        <v>193</v>
      </c>
      <c r="D159" s="21" t="s">
        <v>787</v>
      </c>
      <c r="E159" s="13">
        <v>42771.275138888886</v>
      </c>
      <c r="F159" s="13">
        <v>42771.276782407411</v>
      </c>
      <c r="G159" s="7">
        <v>1</v>
      </c>
      <c r="H159" s="21" t="s">
        <v>788</v>
      </c>
      <c r="I159" s="13">
        <v>42771.287754629629</v>
      </c>
      <c r="J159" s="7">
        <v>0</v>
      </c>
      <c r="K159" s="98" t="str">
        <f>IF(ISEVEN(B159),(B159-1)&amp;"/"&amp;B159,B159&amp;"/"&amp;(B159+1))</f>
        <v>4003/4004</v>
      </c>
      <c r="L159" s="21" t="str">
        <f>VLOOKUP(A159,'Trips&amp;Operators'!$C$1:$G$99999,5,FALSE)</f>
        <v>YORK EDGAR</v>
      </c>
      <c r="M159" s="6">
        <f>I159-F159</f>
        <v>1.0972222218697425E-2</v>
      </c>
      <c r="N159" s="7">
        <f>24*60*SUM($M159:$M159)</f>
        <v>15.799999994924292</v>
      </c>
      <c r="O159" s="7"/>
      <c r="P159" s="7"/>
      <c r="Q159" s="22"/>
      <c r="R159" s="22"/>
      <c r="S159" s="31">
        <f>SUM(U159:U159)/IF(AG159="EC",12,1)</f>
        <v>1</v>
      </c>
      <c r="T159" s="46" t="str">
        <f>IF(ISEVEN(LEFT(AD159,4)),"Southbound","NorthBound")</f>
        <v>Southbound</v>
      </c>
      <c r="U159" s="190">
        <f>IF(AG159="EC",COUNTIFS(Variables!$M$2:$M$19,IF(T159="NorthBound","&gt;=","&lt;=")&amp;Y159,Variables!$M$2:$M$19,IF(T159="NorthBound","&lt;=","&gt;=")&amp;Z159),COUNTIFS(Variables!$P$2:$P$19,IF(T159="NorthBound","&gt;=","&lt;=")&amp;Y159,Variables!$P$2:$P$19,IF(T159="NorthBound","&lt;=","&gt;=")&amp;Z159))</f>
        <v>1</v>
      </c>
      <c r="V159" s="191" t="str">
        <f>"https://d0f6bd738d7f1b3e5a7ca70fe4ff75f0.us-east-1.aws.found.io/app/kibana#/discover/Steve-Slow-Train-Analysis-(2080s-and-2083s)?_g="&amp;"(refreshInterval:(display:Off,pause:!f,section:0,value:0),time:(from:'"&amp;TEXT(E159-1/24,"yyyy-MM-DDThh:mm:ss")&amp;utc_offset&amp;"00"&amp;"',mode:absolute,to:'"&amp;TEXT(I159+1/24,"yyyy-MM-DDThh:mm:ss")&amp;utc_offset&amp;"00"&amp;"'))&amp;_a=(columns:!('Locomotive+ID','Data.Head+End+Milepost',Data.Speed,'Data.Locomotive+State','Data.Train+ID',"&amp;"'Data.Warning%2FEnforcement+Type','Data.Target+Start+Milepost','Data.Target+Description','Data.Target+Speed',"&amp;"'Data.Enforcement+Train+Speed','Data.Enforcement+Start+Milepost','Data.Target+Type','Data.Enforcement+Direction+of+Travel','Message+ID',"&amp;"'Data.Body+of+Summary+Text','Data.Head+End+Track+name'),filters:!(),index:'emp_*',interval:auto,query:"&amp;"(query_string:(analyze_wildcard:!t,query:'Message%5C+ID:(2083+OR+2080+OR+1041+OR+2003+OR+1051+OR+1043+OR+1053)+AND+%22rtdc.l.rtdc."&amp;B159&amp;"%22')),sort:!(Time.ISO8601,asc))"</f>
        <v>https://d0f6bd738d7f1b3e5a7ca70fe4ff75f0.us-east-1.aws.found.io/app/kibana#/discover/Steve-Slow-Train-Analysis-(2080s-and-2083s)?_g=(refreshInterval:(display:Off,pause:!f,section:0,value:0),time:(from:'2017-02-05T05:36:12-0700',mode:absolute,to:'2017-02-05T07:54:22-0700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4004%22')),sort:!(Time.ISO8601,asc))</v>
      </c>
      <c r="W159" s="192" t="str">
        <f>IF(AA159&lt;IF(AG159="EC",23,5.65),"Y","N")</f>
        <v>N</v>
      </c>
      <c r="X159" s="192">
        <f t="shared" si="14"/>
        <v>1</v>
      </c>
      <c r="Y159" s="62">
        <f>RIGHT(D159,LEN(D159)-4)/10000</f>
        <v>5.8620999999999999</v>
      </c>
      <c r="Z159" s="62">
        <f>RIGHT(H159,LEN(H159)-4)/10000</f>
        <v>7.3400000000000007E-2</v>
      </c>
      <c r="AA159" s="62">
        <f>ABS(Z159-Y159)</f>
        <v>5.7886999999999995</v>
      </c>
      <c r="AB159" s="59" t="e">
        <f>VLOOKUP(A159,Enforcements!$C$7:$K$16,8,0)</f>
        <v>#N/A</v>
      </c>
      <c r="AC159" s="55" t="e">
        <f>VLOOKUP(A159,Enforcements!$C$7:$E$16,3,0)</f>
        <v>#N/A</v>
      </c>
      <c r="AD159" s="56" t="str">
        <f>IF(LEN(A159)=6,"0"&amp;A159,A159)</f>
        <v>1802-05</v>
      </c>
      <c r="AE159" s="85" t="str">
        <f>"aws s3 cp "&amp;s3_bucket&amp;"/RTDC"&amp;B159&amp;"/ "&amp;search_path&amp;"\RTDC"&amp;B159&amp;"\"&amp;TEXT(F159,"YYYY-MM-DD")&amp;" --exclude ""*"" --recursive --include ""*"&amp;TEXT(F159,"YYYYMMDD")&amp;"*"" &amp; """&amp;walkandungz&amp;""" "&amp;search_path&amp;"\RTDC"&amp;B159&amp;"\"&amp;TEXT(F159,"YYYY-MM-DD")
&amp;" &amp; "&amp;"aws s3 cp "&amp;s3_bucket&amp;"/RTDC"&amp;B159&amp;"/ "&amp;search_path&amp;"\RTDC"&amp;B159&amp;"\"&amp;TEXT(F159+1,"YYYY-MM-DD")&amp;" --exclude ""*"" --recursive --include ""*"&amp;TEXT(F159+1,"YYYYMMDD")&amp;"*"" &amp; """&amp;walkandungz&amp;""" "&amp;search_path&amp;"\RTDC"&amp;B159&amp;"\"&amp;TEXT(F159+1,"YYYY-MM-DD")</f>
        <v>aws s3 cp s3://rtdc.mdm.uploadarchive.raw/RTDC4004/ "%USERPROFILE%\AppData\Local\Temp\OnboardLogs"\RTDC4004\2017-02-05 --exclude "*" --recursive --include "*20170205*" &amp; "%USERPROFILE%\Documents\GitHub\mrs-test-scripts\Headless Mode &amp; Sideloading\WalkAndUnGZ.bat" "%USERPROFILE%\AppData\Local\Temp\OnboardLogs"\RTDC4004\2017-02-05 &amp; aws s3 cp s3://rtdc.mdm.uploadarchive.raw/RTDC4004/ "%USERPROFILE%\AppData\Local\Temp\OnboardLogs"\RTDC4004\2017-02-06 --exclude "*" --recursive --include "*20170206*" &amp; "%USERPROFILE%\Documents\GitHub\mrs-test-scripts\Headless Mode &amp; Sideloading\WalkAndUnGZ.bat" "%USERPROFILE%\AppData\Local\Temp\OnboardLogs"\RTDC4004\2017-02-06</v>
      </c>
      <c r="AF159" s="82" t="str">
        <f>astrogrep_path&amp;" /spath="&amp;search_path&amp;" /stypes=""app*"&amp;B159&amp;"*"&amp;TEXT(I159-utc_offset/24,"YYYYMMDD")&amp;"*"" /stext="" "&amp;TEXT(I159-utc_offset/24,"HH")&amp;search_regexp&amp;""" /e /r /s"</f>
        <v>"C:\Program Files (x86)\AstroGrep\AstroGrep.exe" /spath="%USERPROFILE%\AppData\Local\Temp\OnboardLogs" /stypes="app*4004*20170205*" /stext=" 13:.+((SYSTEM_STATE.+slice.+state.+changed )|(ment ac)|(multiple cpu faults)|(system.+state.+changed )|(\[timeout)|(PRM\|1\|D)|(kpr)|(kdp)|(\|lc)|(penalty))" /e /r /s</v>
      </c>
      <c r="AG159" s="1" t="str">
        <f>IFERROR(IF(VALUE(LEFT(AD159,2))&lt;=2,"EC",IF(OR(VALUE(LEFT(AD159,2))=8,VALUE(LEFT(AD159,2))=18),"NW","Other")),"Other")</f>
        <v>NW</v>
      </c>
      <c r="AH159" s="86" t="str">
        <f t="shared" si="10"/>
        <v>"%USERPROFILE%\Documents\GitHub\eaglep3\Utilities\RefineRTDCRunTimes.py" --tripid 1802-05 --locoid 4004 --swversion DE.1.0.8.0 --startMP 300:58621 --initTime 2017-02-05T06:36:12 --startdatetime 2017-02-05T06:38:34 --delay 1 --endMP 204:734 --enddatetime 2017-02-05T06:54:22 --enforcementcount 0 &gt;&gt;C:\Users\stu\Documents\GitHub\eaglep3-reporting\EC\2017-02-05-refined-times.txt</v>
      </c>
      <c r="AI159" s="108" t="str">
        <f t="shared" si="11"/>
        <v>echo {"issue":{"subject":"","project_id":79,"tracker_id":40,"status_id":1,"priority_id":2,"assigned_to_id":23,"start_date":"2017-02-05","description":"","custom_fields":[{"id":1,"name":"Subdivision","value":"NW"},{"id":4,"name":"Milepost","value":"0.0734"},{"id":17,"name":"Train ID","value":"1802-05"},{"id":16,"name":"Locomotive ID","value":"4004"},{"id":130,"name":"Impact","value":""},{"id":150,"name":"Time of Event (Mountain Time)","value":"06:54:22"},{"id":151,"name":"Denver Issue ID","value":""},{"id":178,"name":"Operational Impact","value":"Yes"},{"id":179,"name":"Denver Segment Assigned","value":""}]}} | curl -X POST -H "Content-Type: application/json" -H "X-Redmine-API-Key: d6333d4a04012a730768444271f8ca06482dae87" https://secure.xorail.net/redmine/issues.json --data @-</v>
      </c>
      <c r="AJ159" s="48"/>
      <c r="AK159" s="48"/>
      <c r="AL159" s="48"/>
      <c r="AM159" s="158" t="str">
        <f t="shared" si="12"/>
        <v>start /low /b %USERPROFILE%\Documents\GitHub\eaglep3\Utilities\DownloadLogsFromS3.py --loco 4004 --day 2017-02-05</v>
      </c>
      <c r="AN159" s="167" t="str">
        <f>"grep -SE -B400 ""CHR.+\|PRM\|1\|D.+(SWITCH|SIGNAL).+UNKNOWN"" "&amp;search_path&amp;"\RTDC"&amp;B159&amp;"\*"&amp;B159&amp;"*"&amp;TEXT(AVERAGE(F159,I159)-utc_offset/24,"YYYYMMDD")&amp;"* | grep -SE ""(Enforcement Action)|(\[TIMEOUT)|(CHR.+\|PRM\|1\|D.+(SWITCH|SIGNAL).+UNKNOWN)"" - &gt;&gt; "&amp;TEXT(Variables!$A$2,"YYYY-MM-DD")&amp;"-UncaughtWiMAX.txt"</f>
        <v>grep -SE -B400 "CHR.+\|PRM\|1\|D.+(SWITCH|SIGNAL).+UNKNOWN" "%USERPROFILE%\AppData\Local\Temp\OnboardLogs"\RTDC4004\*4004*20170205* | grep -SE "(Enforcement Action)|(\[TIMEOUT)|(CHR.+\|PRM\|1\|D.+(SWITCH|SIGNAL).+UNKNOWN)" - &gt;&gt; 2017-02-05-UncaughtWiMAX.txt</v>
      </c>
      <c r="AO159"/>
      <c r="AP159"/>
      <c r="AQ159"/>
      <c r="AR159"/>
      <c r="AS159"/>
      <c r="AT159"/>
      <c r="AU159"/>
      <c r="AV159"/>
      <c r="AW159"/>
      <c r="AX159"/>
      <c r="AY159"/>
      <c r="AZ159"/>
      <c r="BA159"/>
      <c r="BB159"/>
      <c r="BC159"/>
      <c r="BD159"/>
      <c r="BE159"/>
      <c r="BF159"/>
      <c r="BG159"/>
      <c r="BH159"/>
      <c r="BI159"/>
      <c r="BJ159"/>
      <c r="BK159"/>
      <c r="BL159"/>
      <c r="BM159"/>
      <c r="BN159"/>
      <c r="BO159"/>
      <c r="BP159"/>
      <c r="BQ159"/>
      <c r="BR159"/>
      <c r="BS159"/>
      <c r="BT159"/>
      <c r="BU159"/>
      <c r="BV159"/>
      <c r="BW159"/>
      <c r="BX159"/>
      <c r="BY159"/>
      <c r="BZ159"/>
      <c r="CA159"/>
      <c r="CB159"/>
      <c r="CC159"/>
      <c r="CD159"/>
      <c r="CE159"/>
      <c r="CF159"/>
      <c r="CG159"/>
      <c r="CH159"/>
      <c r="CI159"/>
      <c r="CJ159"/>
      <c r="CK159"/>
      <c r="CL159"/>
      <c r="CM159"/>
    </row>
    <row r="160" spans="1:91" s="20" customFormat="1" x14ac:dyDescent="0.25">
      <c r="A160" s="33" t="s">
        <v>573</v>
      </c>
      <c r="B160" s="7">
        <v>4003</v>
      </c>
      <c r="C160" s="21" t="s">
        <v>193</v>
      </c>
      <c r="D160" s="21" t="s">
        <v>789</v>
      </c>
      <c r="E160" s="13">
        <v>42771.289074074077</v>
      </c>
      <c r="F160" s="13">
        <v>42771.306655092594</v>
      </c>
      <c r="G160" s="7">
        <v>0</v>
      </c>
      <c r="H160" s="21" t="s">
        <v>790</v>
      </c>
      <c r="I160" s="13">
        <v>42771.315266203703</v>
      </c>
      <c r="J160" s="7">
        <v>0</v>
      </c>
      <c r="K160" s="98" t="str">
        <f>IF(ISEVEN(B160),(B160-1)&amp;"/"&amp;B160,B160&amp;"/"&amp;(B160+1))</f>
        <v>4003/4004</v>
      </c>
      <c r="L160" s="21" t="str">
        <f>VLOOKUP(A160,'Trips&amp;Operators'!$C$1:$G$99999,5,FALSE)</f>
        <v>YORK EDGAR</v>
      </c>
      <c r="M160" s="6">
        <f>I160-F160</f>
        <v>8.6111111086211167E-3</v>
      </c>
      <c r="N160" s="7">
        <f>24*60*SUM($M160:$M160)</f>
        <v>12.399999996414408</v>
      </c>
      <c r="O160" s="7"/>
      <c r="P160" s="7"/>
      <c r="Q160" s="22"/>
      <c r="R160" s="22"/>
      <c r="S160" s="31">
        <f>SUM(U160:U160)/IF(AG160="EC",12,1)</f>
        <v>1</v>
      </c>
      <c r="T160" s="46" t="str">
        <f>IF(ISEVEN(LEFT(AD160,4)),"Southbound","NorthBound")</f>
        <v>NorthBound</v>
      </c>
      <c r="U160" s="190">
        <f>IF(AG160="EC",COUNTIFS(Variables!$M$2:$M$19,IF(T160="NorthBound","&gt;=","&lt;=")&amp;Y160,Variables!$M$2:$M$19,IF(T160="NorthBound","&lt;=","&gt;=")&amp;Z160),COUNTIFS(Variables!$P$2:$P$19,IF(T160="NorthBound","&gt;=","&lt;=")&amp;Y160,Variables!$P$2:$P$19,IF(T160="NorthBound","&lt;=","&gt;=")&amp;Z160))</f>
        <v>1</v>
      </c>
      <c r="V160" s="191" t="str">
        <f>"https://d0f6bd738d7f1b3e5a7ca70fe4ff75f0.us-east-1.aws.found.io/app/kibana#/discover/Steve-Slow-Train-Analysis-(2080s-and-2083s)?_g="&amp;"(refreshInterval:(display:Off,pause:!f,section:0,value:0),time:(from:'"&amp;TEXT(E160-1/24,"yyyy-MM-DDThh:mm:ss")&amp;utc_offset&amp;"00"&amp;"',mode:absolute,to:'"&amp;TEXT(I160+1/24,"yyyy-MM-DDThh:mm:ss")&amp;utc_offset&amp;"00"&amp;"'))&amp;_a=(columns:!('Locomotive+ID','Data.Head+End+Milepost',Data.Speed,'Data.Locomotive+State','Data.Train+ID',"&amp;"'Data.Warning%2FEnforcement+Type','Data.Target+Start+Milepost','Data.Target+Description','Data.Target+Speed',"&amp;"'Data.Enforcement+Train+Speed','Data.Enforcement+Start+Milepost','Data.Target+Type','Data.Enforcement+Direction+of+Travel','Message+ID',"&amp;"'Data.Body+of+Summary+Text','Data.Head+End+Track+name'),filters:!(),index:'emp_*',interval:auto,query:"&amp;"(query_string:(analyze_wildcard:!t,query:'Message%5C+ID:(2083+OR+2080+OR+1041+OR+2003+OR+1051+OR+1043+OR+1053)+AND+%22rtdc.l.rtdc."&amp;B160&amp;"%22')),sort:!(Time.ISO8601,asc))"</f>
        <v>https://d0f6bd738d7f1b3e5a7ca70fe4ff75f0.us-east-1.aws.found.io/app/kibana#/discover/Steve-Slow-Train-Analysis-(2080s-and-2083s)?_g=(refreshInterval:(display:Off,pause:!f,section:0,value:0),time:(from:'2017-02-05T05:56:16-0700',mode:absolute,to:'2017-02-05T08:33:59-0700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4003%22')),sort:!(Time.ISO8601,asc))</v>
      </c>
      <c r="W160" s="192" t="str">
        <f>IF(AA160&lt;IF(AG160="EC",23,5.65),"Y","N")</f>
        <v>N</v>
      </c>
      <c r="X160" s="192">
        <f t="shared" si="14"/>
        <v>1</v>
      </c>
      <c r="Y160" s="62">
        <f>RIGHT(D160,LEN(D160)-4)/10000</f>
        <v>0.1009</v>
      </c>
      <c r="Z160" s="62">
        <f>RIGHT(H160,LEN(H160)-4)/10000</f>
        <v>5.8917999999999999</v>
      </c>
      <c r="AA160" s="62">
        <f>ABS(Z160-Y160)</f>
        <v>5.7908999999999997</v>
      </c>
      <c r="AB160" s="59" t="e">
        <f>VLOOKUP(A160,Enforcements!$C$7:$K$16,8,0)</f>
        <v>#N/A</v>
      </c>
      <c r="AC160" s="55" t="e">
        <f>VLOOKUP(A160,Enforcements!$C$7:$E$16,3,0)</f>
        <v>#N/A</v>
      </c>
      <c r="AD160" s="56" t="str">
        <f>IF(LEN(A160)=6,"0"&amp;A160,A160)</f>
        <v>1803-05</v>
      </c>
      <c r="AE160" s="85" t="str">
        <f>"aws s3 cp "&amp;s3_bucket&amp;"/RTDC"&amp;B160&amp;"/ "&amp;search_path&amp;"\RTDC"&amp;B160&amp;"\"&amp;TEXT(F160,"YYYY-MM-DD")&amp;" --exclude ""*"" --recursive --include ""*"&amp;TEXT(F160,"YYYYMMDD")&amp;"*"" &amp; """&amp;walkandungz&amp;""" "&amp;search_path&amp;"\RTDC"&amp;B160&amp;"\"&amp;TEXT(F160,"YYYY-MM-DD")
&amp;" &amp; "&amp;"aws s3 cp "&amp;s3_bucket&amp;"/RTDC"&amp;B160&amp;"/ "&amp;search_path&amp;"\RTDC"&amp;B160&amp;"\"&amp;TEXT(F160+1,"YYYY-MM-DD")&amp;" --exclude ""*"" --recursive --include ""*"&amp;TEXT(F160+1,"YYYYMMDD")&amp;"*"" &amp; """&amp;walkandungz&amp;""" "&amp;search_path&amp;"\RTDC"&amp;B160&amp;"\"&amp;TEXT(F160+1,"YYYY-MM-DD")</f>
        <v>aws s3 cp s3://rtdc.mdm.uploadarchive.raw/RTDC4003/ "%USERPROFILE%\AppData\Local\Temp\OnboardLogs"\RTDC4003\2017-02-05 --exclude "*" --recursive --include "*20170205*" &amp; "%USERPROFILE%\Documents\GitHub\mrs-test-scripts\Headless Mode &amp; Sideloading\WalkAndUnGZ.bat" "%USERPROFILE%\AppData\Local\Temp\OnboardLogs"\RTDC4003\2017-02-05 &amp; aws s3 cp s3://rtdc.mdm.uploadarchive.raw/RTDC4003/ "%USERPROFILE%\AppData\Local\Temp\OnboardLogs"\RTDC4003\2017-02-06 --exclude "*" --recursive --include "*20170206*" &amp; "%USERPROFILE%\Documents\GitHub\mrs-test-scripts\Headless Mode &amp; Sideloading\WalkAndUnGZ.bat" "%USERPROFILE%\AppData\Local\Temp\OnboardLogs"\RTDC4003\2017-02-06</v>
      </c>
      <c r="AF160" s="82" t="str">
        <f>astrogrep_path&amp;" /spath="&amp;search_path&amp;" /stypes=""app*"&amp;B160&amp;"*"&amp;TEXT(I160-utc_offset/24,"YYYYMMDD")&amp;"*"" /stext="" "&amp;TEXT(I160-utc_offset/24,"HH")&amp;search_regexp&amp;""" /e /r /s"</f>
        <v>"C:\Program Files (x86)\AstroGrep\AstroGrep.exe" /spath="%USERPROFILE%\AppData\Local\Temp\OnboardLogs" /stypes="app*4003*20170205*" /stext=" 14:.+((SYSTEM_STATE.+slice.+state.+changed )|(ment ac)|(multiple cpu faults)|(system.+state.+changed )|(\[timeout)|(PRM\|1\|D)|(kpr)|(kdp)|(\|lc)|(penalty))" /e /r /s</v>
      </c>
      <c r="AG160" s="1" t="str">
        <f>IFERROR(IF(VALUE(LEFT(AD160,2))&lt;=2,"EC",IF(OR(VALUE(LEFT(AD160,2))=8,VALUE(LEFT(AD160,2))=18),"NW","Other")),"Other")</f>
        <v>NW</v>
      </c>
      <c r="AH160" s="86" t="str">
        <f t="shared" si="10"/>
        <v>"%USERPROFILE%\Documents\GitHub\eaglep3\Utilities\RefineRTDCRunTimes.py" --tripid 1803-05 --locoid 4003 --swversion DE.1.0.8.0 --startMP 204:1009 --initTime 2017-02-05T06:56:16 --startdatetime 2017-02-05T07:21:35 --delay 0 --endMP 300:58918 --enddatetime 2017-02-05T07:33:59 --enforcementcount 0 &gt;&gt;C:\Users\stu\Documents\GitHub\eaglep3-reporting\EC\2017-02-05-refined-times.txt</v>
      </c>
      <c r="AI160" s="108" t="str">
        <f t="shared" si="11"/>
        <v>echo {"issue":{"subject":"","project_id":79,"tracker_id":40,"status_id":1,"priority_id":2,"assigned_to_id":23,"start_date":"2017-02-05","description":"","custom_fields":[{"id":1,"name":"Subdivision","value":"NW"},{"id":4,"name":"Milepost","value":"5.8918"},{"id":17,"name":"Train ID","value":"1803-05"},{"id":16,"name":"Locomotive ID","value":"4003"},{"id":130,"name":"Impact","value":""},{"id":150,"name":"Time of Event (Mountain Time)","value":"07:33:59"},{"id":151,"name":"Denver Issue ID","value":""},{"id":178,"name":"Operational Impact","value":"Yes"},{"id":179,"name":"Denver Segment Assigned","value":""}]}} | curl -X POST -H "Content-Type: application/json" -H "X-Redmine-API-Key: d6333d4a04012a730768444271f8ca06482dae87" https://secure.xorail.net/redmine/issues.json --data @-</v>
      </c>
      <c r="AJ160" s="48"/>
      <c r="AK160" s="48"/>
      <c r="AL160" s="48"/>
      <c r="AM160" s="158" t="str">
        <f t="shared" si="12"/>
        <v>start /low /b %USERPROFILE%\Documents\GitHub\eaglep3\Utilities\DownloadLogsFromS3.py --loco 4003 --day 2017-02-05</v>
      </c>
      <c r="AN160" s="167" t="str">
        <f>"grep -SE -B400 ""CHR.+\|PRM\|1\|D.+(SWITCH|SIGNAL).+UNKNOWN"" "&amp;search_path&amp;"\RTDC"&amp;B160&amp;"\*"&amp;B160&amp;"*"&amp;TEXT(AVERAGE(F160,I160)-utc_offset/24,"YYYYMMDD")&amp;"* | grep -SE ""(Enforcement Action)|(\[TIMEOUT)|(CHR.+\|PRM\|1\|D.+(SWITCH|SIGNAL).+UNKNOWN)"" - &gt;&gt; "&amp;TEXT(Variables!$A$2,"YYYY-MM-DD")&amp;"-UncaughtWiMAX.txt"</f>
        <v>grep -SE -B400 "CHR.+\|PRM\|1\|D.+(SWITCH|SIGNAL).+UNKNOWN" "%USERPROFILE%\AppData\Local\Temp\OnboardLogs"\RTDC4003\*4003*20170205* | grep -SE "(Enforcement Action)|(\[TIMEOUT)|(CHR.+\|PRM\|1\|D.+(SWITCH|SIGNAL).+UNKNOWN)" - &gt;&gt; 2017-02-05-UncaughtWiMAX.txt</v>
      </c>
      <c r="AO160"/>
      <c r="AP160"/>
      <c r="AQ160"/>
      <c r="AR160"/>
      <c r="AS160"/>
      <c r="AT160"/>
      <c r="AU160"/>
      <c r="AV160"/>
      <c r="AW160"/>
      <c r="AX160"/>
      <c r="AY160"/>
      <c r="AZ160"/>
      <c r="BA160"/>
      <c r="BB160"/>
      <c r="BC160"/>
      <c r="BD160"/>
      <c r="BE160"/>
      <c r="BF160"/>
      <c r="BG160"/>
      <c r="BH160"/>
      <c r="BI160"/>
      <c r="BJ160"/>
      <c r="BK160"/>
      <c r="BL160"/>
      <c r="BM160"/>
      <c r="BN160"/>
      <c r="BO160"/>
      <c r="BP160"/>
      <c r="BQ160"/>
      <c r="BR160"/>
      <c r="BS160"/>
      <c r="BT160"/>
      <c r="BU160"/>
      <c r="BV160"/>
      <c r="BW160"/>
      <c r="BX160"/>
      <c r="BY160"/>
      <c r="BZ160"/>
      <c r="CA160"/>
      <c r="CB160"/>
      <c r="CC160"/>
      <c r="CD160"/>
      <c r="CE160"/>
      <c r="CF160"/>
      <c r="CG160"/>
      <c r="CH160"/>
      <c r="CI160"/>
      <c r="CJ160"/>
      <c r="CK160"/>
      <c r="CL160"/>
      <c r="CM160"/>
    </row>
    <row r="161" spans="1:91" s="20" customFormat="1" x14ac:dyDescent="0.25">
      <c r="A161" s="33" t="s">
        <v>579</v>
      </c>
      <c r="B161" s="7">
        <v>4004</v>
      </c>
      <c r="C161" s="21" t="s">
        <v>193</v>
      </c>
      <c r="D161" s="21" t="s">
        <v>791</v>
      </c>
      <c r="E161" s="13">
        <v>42771.317442129628</v>
      </c>
      <c r="F161" s="13">
        <v>42771.319479166668</v>
      </c>
      <c r="G161" s="7">
        <v>1</v>
      </c>
      <c r="H161" s="21" t="s">
        <v>788</v>
      </c>
      <c r="I161" s="13">
        <v>42771.329629629632</v>
      </c>
      <c r="J161" s="7">
        <v>0</v>
      </c>
      <c r="K161" s="98" t="str">
        <f>IF(ISEVEN(B161),(B161-1)&amp;"/"&amp;B161,B161&amp;"/"&amp;(B161+1))</f>
        <v>4003/4004</v>
      </c>
      <c r="L161" s="21" t="str">
        <f>VLOOKUP(A161,'Trips&amp;Operators'!$C$1:$G$99999,5,FALSE)</f>
        <v>YORK EDGAR</v>
      </c>
      <c r="M161" s="6">
        <f>I161-F161</f>
        <v>1.0150462963792961E-2</v>
      </c>
      <c r="N161" s="7">
        <f>24*60*SUM($M161:$M161)</f>
        <v>14.616666667861864</v>
      </c>
      <c r="O161" s="7"/>
      <c r="P161" s="7"/>
      <c r="Q161" s="22"/>
      <c r="R161" s="22"/>
      <c r="S161" s="31">
        <f>SUM(U161:U161)/IF(AG161="EC",12,1)</f>
        <v>1</v>
      </c>
      <c r="T161" s="46" t="str">
        <f>IF(ISEVEN(LEFT(AD161,4)),"Southbound","NorthBound")</f>
        <v>Southbound</v>
      </c>
      <c r="U161" s="190">
        <f>IF(AG161="EC",COUNTIFS(Variables!$M$2:$M$19,IF(T161="NorthBound","&gt;=","&lt;=")&amp;Y161,Variables!$M$2:$M$19,IF(T161="NorthBound","&lt;=","&gt;=")&amp;Z161),COUNTIFS(Variables!$P$2:$P$19,IF(T161="NorthBound","&gt;=","&lt;=")&amp;Y161,Variables!$P$2:$P$19,IF(T161="NorthBound","&lt;=","&gt;=")&amp;Z161))</f>
        <v>1</v>
      </c>
      <c r="V161" s="191" t="str">
        <f>"https://d0f6bd738d7f1b3e5a7ca70fe4ff75f0.us-east-1.aws.found.io/app/kibana#/discover/Steve-Slow-Train-Analysis-(2080s-and-2083s)?_g="&amp;"(refreshInterval:(display:Off,pause:!f,section:0,value:0),time:(from:'"&amp;TEXT(E161-1/24,"yyyy-MM-DDThh:mm:ss")&amp;utc_offset&amp;"00"&amp;"',mode:absolute,to:'"&amp;TEXT(I161+1/24,"yyyy-MM-DDThh:mm:ss")&amp;utc_offset&amp;"00"&amp;"'))&amp;_a=(columns:!('Locomotive+ID','Data.Head+End+Milepost',Data.Speed,'Data.Locomotive+State','Data.Train+ID',"&amp;"'Data.Warning%2FEnforcement+Type','Data.Target+Start+Milepost','Data.Target+Description','Data.Target+Speed',"&amp;"'Data.Enforcement+Train+Speed','Data.Enforcement+Start+Milepost','Data.Target+Type','Data.Enforcement+Direction+of+Travel','Message+ID',"&amp;"'Data.Body+of+Summary+Text','Data.Head+End+Track+name'),filters:!(),index:'emp_*',interval:auto,query:"&amp;"(query_string:(analyze_wildcard:!t,query:'Message%5C+ID:(2083+OR+2080+OR+1041+OR+2003+OR+1051+OR+1043+OR+1053)+AND+%22rtdc.l.rtdc."&amp;B161&amp;"%22')),sort:!(Time.ISO8601,asc))"</f>
        <v>https://d0f6bd738d7f1b3e5a7ca70fe4ff75f0.us-east-1.aws.found.io/app/kibana#/discover/Steve-Slow-Train-Analysis-(2080s-and-2083s)?_g=(refreshInterval:(display:Off,pause:!f,section:0,value:0),time:(from:'2017-02-05T06:37:07-0700',mode:absolute,to:'2017-02-05T08:54:40-0700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4004%22')),sort:!(Time.ISO8601,asc))</v>
      </c>
      <c r="W161" s="192" t="str">
        <f>IF(AA161&lt;IF(AG161="EC",23,5.65),"Y","N")</f>
        <v>N</v>
      </c>
      <c r="X161" s="192">
        <f t="shared" si="14"/>
        <v>1</v>
      </c>
      <c r="Y161" s="62">
        <f>RIGHT(D161,LEN(D161)-4)/10000</f>
        <v>5.8613</v>
      </c>
      <c r="Z161" s="62">
        <f>RIGHT(H161,LEN(H161)-4)/10000</f>
        <v>7.3400000000000007E-2</v>
      </c>
      <c r="AA161" s="62">
        <f>ABS(Z161-Y161)</f>
        <v>5.7878999999999996</v>
      </c>
      <c r="AB161" s="59" t="e">
        <f>VLOOKUP(A161,Enforcements!$C$7:$K$16,8,0)</f>
        <v>#N/A</v>
      </c>
      <c r="AC161" s="55" t="e">
        <f>VLOOKUP(A161,Enforcements!$C$7:$E$16,3,0)</f>
        <v>#N/A</v>
      </c>
      <c r="AD161" s="56" t="str">
        <f>IF(LEN(A161)=6,"0"&amp;A161,A161)</f>
        <v>1804-05</v>
      </c>
      <c r="AE161" s="85" t="str">
        <f>"aws s3 cp "&amp;s3_bucket&amp;"/RTDC"&amp;B161&amp;"/ "&amp;search_path&amp;"\RTDC"&amp;B161&amp;"\"&amp;TEXT(F161,"YYYY-MM-DD")&amp;" --exclude ""*"" --recursive --include ""*"&amp;TEXT(F161,"YYYYMMDD")&amp;"*"" &amp; """&amp;walkandungz&amp;""" "&amp;search_path&amp;"\RTDC"&amp;B161&amp;"\"&amp;TEXT(F161,"YYYY-MM-DD")
&amp;" &amp; "&amp;"aws s3 cp "&amp;s3_bucket&amp;"/RTDC"&amp;B161&amp;"/ "&amp;search_path&amp;"\RTDC"&amp;B161&amp;"\"&amp;TEXT(F161+1,"YYYY-MM-DD")&amp;" --exclude ""*"" --recursive --include ""*"&amp;TEXT(F161+1,"YYYYMMDD")&amp;"*"" &amp; """&amp;walkandungz&amp;""" "&amp;search_path&amp;"\RTDC"&amp;B161&amp;"\"&amp;TEXT(F161+1,"YYYY-MM-DD")</f>
        <v>aws s3 cp s3://rtdc.mdm.uploadarchive.raw/RTDC4004/ "%USERPROFILE%\AppData\Local\Temp\OnboardLogs"\RTDC4004\2017-02-05 --exclude "*" --recursive --include "*20170205*" &amp; "%USERPROFILE%\Documents\GitHub\mrs-test-scripts\Headless Mode &amp; Sideloading\WalkAndUnGZ.bat" "%USERPROFILE%\AppData\Local\Temp\OnboardLogs"\RTDC4004\2017-02-05 &amp; aws s3 cp s3://rtdc.mdm.uploadarchive.raw/RTDC4004/ "%USERPROFILE%\AppData\Local\Temp\OnboardLogs"\RTDC4004\2017-02-06 --exclude "*" --recursive --include "*20170206*" &amp; "%USERPROFILE%\Documents\GitHub\mrs-test-scripts\Headless Mode &amp; Sideloading\WalkAndUnGZ.bat" "%USERPROFILE%\AppData\Local\Temp\OnboardLogs"\RTDC4004\2017-02-06</v>
      </c>
      <c r="AF161" s="82" t="str">
        <f>astrogrep_path&amp;" /spath="&amp;search_path&amp;" /stypes=""app*"&amp;B161&amp;"*"&amp;TEXT(I161-utc_offset/24,"YYYYMMDD")&amp;"*"" /stext="" "&amp;TEXT(I161-utc_offset/24,"HH")&amp;search_regexp&amp;""" /e /r /s"</f>
        <v>"C:\Program Files (x86)\AstroGrep\AstroGrep.exe" /spath="%USERPROFILE%\AppData\Local\Temp\OnboardLogs" /stypes="app*4004*20170205*" /stext=" 14:.+((SYSTEM_STATE.+slice.+state.+changed )|(ment ac)|(multiple cpu faults)|(system.+state.+changed )|(\[timeout)|(PRM\|1\|D)|(kpr)|(kdp)|(\|lc)|(penalty))" /e /r /s</v>
      </c>
      <c r="AG161" s="1" t="str">
        <f>IFERROR(IF(VALUE(LEFT(AD161,2))&lt;=2,"EC",IF(OR(VALUE(LEFT(AD161,2))=8,VALUE(LEFT(AD161,2))=18),"NW","Other")),"Other")</f>
        <v>NW</v>
      </c>
      <c r="AH161" s="86" t="str">
        <f t="shared" si="10"/>
        <v>"%USERPROFILE%\Documents\GitHub\eaglep3\Utilities\RefineRTDCRunTimes.py" --tripid 1804-05 --locoid 4004 --swversion DE.1.0.8.0 --startMP 300:58613 --initTime 2017-02-05T07:37:07 --startdatetime 2017-02-05T07:40:03 --delay 1 --endMP 204:734 --enddatetime 2017-02-05T07:54:40 --enforcementcount 0 &gt;&gt;C:\Users\stu\Documents\GitHub\eaglep3-reporting\EC\2017-02-05-refined-times.txt</v>
      </c>
      <c r="AI161" s="108" t="str">
        <f t="shared" si="11"/>
        <v>echo {"issue":{"subject":"","project_id":79,"tracker_id":40,"status_id":1,"priority_id":2,"assigned_to_id":23,"start_date":"2017-02-05","description":"","custom_fields":[{"id":1,"name":"Subdivision","value":"NW"},{"id":4,"name":"Milepost","value":"0.0734"},{"id":17,"name":"Train ID","value":"1804-05"},{"id":16,"name":"Locomotive ID","value":"4004"},{"id":130,"name":"Impact","value":""},{"id":150,"name":"Time of Event (Mountain Time)","value":"07:54:40"},{"id":151,"name":"Denver Issue ID","value":""},{"id":178,"name":"Operational Impact","value":"Yes"},{"id":179,"name":"Denver Segment Assigned","value":""}]}} | curl -X POST -H "Content-Type: application/json" -H "X-Redmine-API-Key: d6333d4a04012a730768444271f8ca06482dae87" https://secure.xorail.net/redmine/issues.json --data @-</v>
      </c>
      <c r="AJ161" s="48"/>
      <c r="AK161" s="48"/>
      <c r="AL161" s="48"/>
      <c r="AM161" s="158" t="str">
        <f t="shared" si="12"/>
        <v>start /low /b %USERPROFILE%\Documents\GitHub\eaglep3\Utilities\DownloadLogsFromS3.py --loco 4004 --day 2017-02-05</v>
      </c>
      <c r="AN161" s="167" t="str">
        <f>"grep -SE -B400 ""CHR.+\|PRM\|1\|D.+(SWITCH|SIGNAL).+UNKNOWN"" "&amp;search_path&amp;"\RTDC"&amp;B161&amp;"\*"&amp;B161&amp;"*"&amp;TEXT(AVERAGE(F161,I161)-utc_offset/24,"YYYYMMDD")&amp;"* | grep -SE ""(Enforcement Action)|(\[TIMEOUT)|(CHR.+\|PRM\|1\|D.+(SWITCH|SIGNAL).+UNKNOWN)"" - &gt;&gt; "&amp;TEXT(Variables!$A$2,"YYYY-MM-DD")&amp;"-UncaughtWiMAX.txt"</f>
        <v>grep -SE -B400 "CHR.+\|PRM\|1\|D.+(SWITCH|SIGNAL).+UNKNOWN" "%USERPROFILE%\AppData\Local\Temp\OnboardLogs"\RTDC4004\*4004*20170205* | grep -SE "(Enforcement Action)|(\[TIMEOUT)|(CHR.+\|PRM\|1\|D.+(SWITCH|SIGNAL).+UNKNOWN)" - &gt;&gt; 2017-02-05-UncaughtWiMAX.txt</v>
      </c>
      <c r="AO161"/>
      <c r="AP161"/>
      <c r="AQ161"/>
      <c r="AR161"/>
      <c r="AS161"/>
      <c r="AT161"/>
      <c r="AU161"/>
      <c r="AV161"/>
      <c r="AW161"/>
      <c r="AX161"/>
      <c r="AY161"/>
      <c r="AZ161"/>
      <c r="BA161"/>
      <c r="BB161"/>
      <c r="BC161"/>
      <c r="BD161"/>
      <c r="BE161"/>
      <c r="BF161"/>
      <c r="BG161"/>
      <c r="BH161"/>
      <c r="BI161"/>
      <c r="BJ161"/>
      <c r="BK161"/>
      <c r="BL161"/>
      <c r="BM161"/>
      <c r="BN161"/>
      <c r="BO161"/>
      <c r="BP161"/>
      <c r="BQ161"/>
      <c r="BR161"/>
      <c r="BS161"/>
      <c r="BT161"/>
      <c r="BU161"/>
      <c r="BV161"/>
      <c r="BW161"/>
      <c r="BX161"/>
      <c r="BY161"/>
      <c r="BZ161"/>
      <c r="CA161"/>
      <c r="CB161"/>
      <c r="CC161"/>
      <c r="CD161"/>
      <c r="CE161"/>
      <c r="CF161"/>
      <c r="CG161"/>
      <c r="CH161"/>
      <c r="CI161"/>
      <c r="CJ161"/>
      <c r="CK161"/>
      <c r="CL161"/>
      <c r="CM161"/>
    </row>
    <row r="162" spans="1:91" s="20" customFormat="1" x14ac:dyDescent="0.25">
      <c r="A162" s="33" t="s">
        <v>583</v>
      </c>
      <c r="B162" s="7">
        <v>4003</v>
      </c>
      <c r="C162" s="21" t="s">
        <v>193</v>
      </c>
      <c r="D162" s="21" t="s">
        <v>792</v>
      </c>
      <c r="E162" s="13">
        <v>42771.331400462965</v>
      </c>
      <c r="F162" s="13">
        <v>42771.34815972222</v>
      </c>
      <c r="G162" s="7">
        <v>1</v>
      </c>
      <c r="H162" s="21" t="s">
        <v>786</v>
      </c>
      <c r="I162" s="13">
        <v>42771.356770833336</v>
      </c>
      <c r="J162" s="7">
        <v>0</v>
      </c>
      <c r="K162" s="98" t="str">
        <f>IF(ISEVEN(B162),(B162-1)&amp;"/"&amp;B162,B162&amp;"/"&amp;(B162+1))</f>
        <v>4003/4004</v>
      </c>
      <c r="L162" s="21" t="str">
        <f>VLOOKUP(A162,'Trips&amp;Operators'!$C$1:$G$99999,5,FALSE)</f>
        <v>YORK EDGAR</v>
      </c>
      <c r="M162" s="6">
        <f>I162-F162</f>
        <v>8.6111111158970743E-3</v>
      </c>
      <c r="N162" s="7">
        <f>24*60*SUM($M162:$M162)</f>
        <v>12.400000006891787</v>
      </c>
      <c r="O162" s="7"/>
      <c r="P162" s="7"/>
      <c r="Q162" s="22"/>
      <c r="R162" s="22"/>
      <c r="S162" s="31">
        <f>SUM(U162:U162)/IF(AG162="EC",12,1)</f>
        <v>1</v>
      </c>
      <c r="T162" s="46" t="str">
        <f>IF(ISEVEN(LEFT(AD162,4)),"Southbound","NorthBound")</f>
        <v>NorthBound</v>
      </c>
      <c r="U162" s="190">
        <f>IF(AG162="EC",COUNTIFS(Variables!$M$2:$M$19,IF(T162="NorthBound","&gt;=","&lt;=")&amp;Y162,Variables!$M$2:$M$19,IF(T162="NorthBound","&lt;=","&gt;=")&amp;Z162),COUNTIFS(Variables!$P$2:$P$19,IF(T162="NorthBound","&gt;=","&lt;=")&amp;Y162,Variables!$P$2:$P$19,IF(T162="NorthBound","&lt;=","&gt;=")&amp;Z162))</f>
        <v>1</v>
      </c>
      <c r="V162" s="191" t="str">
        <f>"https://d0f6bd738d7f1b3e5a7ca70fe4ff75f0.us-east-1.aws.found.io/app/kibana#/discover/Steve-Slow-Train-Analysis-(2080s-and-2083s)?_g="&amp;"(refreshInterval:(display:Off,pause:!f,section:0,value:0),time:(from:'"&amp;TEXT(E162-1/24,"yyyy-MM-DDThh:mm:ss")&amp;utc_offset&amp;"00"&amp;"',mode:absolute,to:'"&amp;TEXT(I162+1/24,"yyyy-MM-DDThh:mm:ss")&amp;utc_offset&amp;"00"&amp;"'))&amp;_a=(columns:!('Locomotive+ID','Data.Head+End+Milepost',Data.Speed,'Data.Locomotive+State','Data.Train+ID',"&amp;"'Data.Warning%2FEnforcement+Type','Data.Target+Start+Milepost','Data.Target+Description','Data.Target+Speed',"&amp;"'Data.Enforcement+Train+Speed','Data.Enforcement+Start+Milepost','Data.Target+Type','Data.Enforcement+Direction+of+Travel','Message+ID',"&amp;"'Data.Body+of+Summary+Text','Data.Head+End+Track+name'),filters:!(),index:'emp_*',interval:auto,query:"&amp;"(query_string:(analyze_wildcard:!t,query:'Message%5C+ID:(2083+OR+2080+OR+1041+OR+2003+OR+1051+OR+1043+OR+1053)+AND+%22rtdc.l.rtdc."&amp;B162&amp;"%22')),sort:!(Time.ISO8601,asc))"</f>
        <v>https://d0f6bd738d7f1b3e5a7ca70fe4ff75f0.us-east-1.aws.found.io/app/kibana#/discover/Steve-Slow-Train-Analysis-(2080s-and-2083s)?_g=(refreshInterval:(display:Off,pause:!f,section:0,value:0),time:(from:'2017-02-05T06:57:13-0700',mode:absolute,to:'2017-02-05T09:33:45-0700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4003%22')),sort:!(Time.ISO8601,asc))</v>
      </c>
      <c r="W162" s="192" t="str">
        <f>IF(AA162&lt;IF(AG162="EC",23,5.65),"Y","N")</f>
        <v>N</v>
      </c>
      <c r="X162" s="192">
        <f>VALUE(LEFT(AD162,4))-VALUE(LEFT(AD161,4))</f>
        <v>1</v>
      </c>
      <c r="Y162" s="62">
        <f>RIGHT(D162,LEN(D162)-4)/10000</f>
        <v>0.10249999999999999</v>
      </c>
      <c r="Z162" s="62">
        <f>RIGHT(H162,LEN(H162)-4)/10000</f>
        <v>5.8928000000000003</v>
      </c>
      <c r="AA162" s="62">
        <f>ABS(Z162-Y162)</f>
        <v>5.7903000000000002</v>
      </c>
      <c r="AB162" s="59" t="e">
        <f>VLOOKUP(A162,Enforcements!$C$7:$K$16,8,0)</f>
        <v>#N/A</v>
      </c>
      <c r="AC162" s="55" t="e">
        <f>VLOOKUP(A162,Enforcements!$C$7:$E$16,3,0)</f>
        <v>#N/A</v>
      </c>
      <c r="AD162" s="56" t="str">
        <f>IF(LEN(A162)=6,"0"&amp;A162,A162)</f>
        <v>1805-05</v>
      </c>
      <c r="AE162" s="85" t="str">
        <f>"aws s3 cp "&amp;s3_bucket&amp;"/RTDC"&amp;B162&amp;"/ "&amp;search_path&amp;"\RTDC"&amp;B162&amp;"\"&amp;TEXT(F162,"YYYY-MM-DD")&amp;" --exclude ""*"" --recursive --include ""*"&amp;TEXT(F162,"YYYYMMDD")&amp;"*"" &amp; """&amp;walkandungz&amp;""" "&amp;search_path&amp;"\RTDC"&amp;B162&amp;"\"&amp;TEXT(F162,"YYYY-MM-DD")
&amp;" &amp; "&amp;"aws s3 cp "&amp;s3_bucket&amp;"/RTDC"&amp;B162&amp;"/ "&amp;search_path&amp;"\RTDC"&amp;B162&amp;"\"&amp;TEXT(F162+1,"YYYY-MM-DD")&amp;" --exclude ""*"" --recursive --include ""*"&amp;TEXT(F162+1,"YYYYMMDD")&amp;"*"" &amp; """&amp;walkandungz&amp;""" "&amp;search_path&amp;"\RTDC"&amp;B162&amp;"\"&amp;TEXT(F162+1,"YYYY-MM-DD")</f>
        <v>aws s3 cp s3://rtdc.mdm.uploadarchive.raw/RTDC4003/ "%USERPROFILE%\AppData\Local\Temp\OnboardLogs"\RTDC4003\2017-02-05 --exclude "*" --recursive --include "*20170205*" &amp; "%USERPROFILE%\Documents\GitHub\mrs-test-scripts\Headless Mode &amp; Sideloading\WalkAndUnGZ.bat" "%USERPROFILE%\AppData\Local\Temp\OnboardLogs"\RTDC4003\2017-02-05 &amp; aws s3 cp s3://rtdc.mdm.uploadarchive.raw/RTDC4003/ "%USERPROFILE%\AppData\Local\Temp\OnboardLogs"\RTDC4003\2017-02-06 --exclude "*" --recursive --include "*20170206*" &amp; "%USERPROFILE%\Documents\GitHub\mrs-test-scripts\Headless Mode &amp; Sideloading\WalkAndUnGZ.bat" "%USERPROFILE%\AppData\Local\Temp\OnboardLogs"\RTDC4003\2017-02-06</v>
      </c>
      <c r="AF162" s="82" t="str">
        <f>astrogrep_path&amp;" /spath="&amp;search_path&amp;" /stypes=""app*"&amp;B162&amp;"*"&amp;TEXT(I162-utc_offset/24,"YYYYMMDD")&amp;"*"" /stext="" "&amp;TEXT(I162-utc_offset/24,"HH")&amp;search_regexp&amp;""" /e /r /s"</f>
        <v>"C:\Program Files (x86)\AstroGrep\AstroGrep.exe" /spath="%USERPROFILE%\AppData\Local\Temp\OnboardLogs" /stypes="app*4003*20170205*" /stext=" 15:.+((SYSTEM_STATE.+slice.+state.+changed )|(ment ac)|(multiple cpu faults)|(system.+state.+changed )|(\[timeout)|(PRM\|1\|D)|(kpr)|(kdp)|(\|lc)|(penalty))" /e /r /s</v>
      </c>
      <c r="AG162" s="1" t="str">
        <f>IFERROR(IF(VALUE(LEFT(AD162,2))&lt;=2,"EC",IF(OR(VALUE(LEFT(AD162,2))=8,VALUE(LEFT(AD162,2))=18),"NW","Other")),"Other")</f>
        <v>NW</v>
      </c>
      <c r="AH162" s="86" t="str">
        <f t="shared" si="10"/>
        <v>"%USERPROFILE%\Documents\GitHub\eaglep3\Utilities\RefineRTDCRunTimes.py" --tripid 1805-05 --locoid 4003 --swversion DE.1.0.8.0 --startMP 204:1025 --initTime 2017-02-05T07:57:13 --startdatetime 2017-02-05T08:21:21 --delay 1 --endMP 300:58928 --enddatetime 2017-02-05T08:33:45 --enforcementcount 0 &gt;&gt;C:\Users\stu\Documents\GitHub\eaglep3-reporting\EC\2017-02-05-refined-times.txt</v>
      </c>
      <c r="AI162" s="108" t="str">
        <f t="shared" si="11"/>
        <v>echo {"issue":{"subject":"","project_id":79,"tracker_id":40,"status_id":1,"priority_id":2,"assigned_to_id":23,"start_date":"2017-02-05","description":"","custom_fields":[{"id":1,"name":"Subdivision","value":"NW"},{"id":4,"name":"Milepost","value":"5.8928"},{"id":17,"name":"Train ID","value":"1805-05"},{"id":16,"name":"Locomotive ID","value":"4003"},{"id":130,"name":"Impact","value":""},{"id":150,"name":"Time of Event (Mountain Time)","value":"08:33:45"},{"id":151,"name":"Denver Issue ID","value":""},{"id":178,"name":"Operational Impact","value":"Yes"},{"id":179,"name":"Denver Segment Assigned","value":""}]}} | curl -X POST -H "Content-Type: application/json" -H "X-Redmine-API-Key: d6333d4a04012a730768444271f8ca06482dae87" https://secure.xorail.net/redmine/issues.json --data @-</v>
      </c>
      <c r="AJ162" s="48"/>
      <c r="AK162" s="48"/>
      <c r="AL162" s="48"/>
      <c r="AM162" s="158" t="str">
        <f t="shared" si="12"/>
        <v>start /low /b %USERPROFILE%\Documents\GitHub\eaglep3\Utilities\DownloadLogsFromS3.py --loco 4003 --day 2017-02-05</v>
      </c>
      <c r="AN162" s="167" t="str">
        <f>"grep -SE -B400 ""CHR.+\|PRM\|1\|D.+(SWITCH|SIGNAL).+UNKNOWN"" "&amp;search_path&amp;"\RTDC"&amp;B162&amp;"\*"&amp;B162&amp;"*"&amp;TEXT(AVERAGE(F162,I162)-utc_offset/24,"YYYYMMDD")&amp;"* | grep -SE ""(Enforcement Action)|(\[TIMEOUT)|(CHR.+\|PRM\|1\|D.+(SWITCH|SIGNAL).+UNKNOWN)"" - &gt;&gt; "&amp;TEXT(Variables!$A$2,"YYYY-MM-DD")&amp;"-UncaughtWiMAX.txt"</f>
        <v>grep -SE -B400 "CHR.+\|PRM\|1\|D.+(SWITCH|SIGNAL).+UNKNOWN" "%USERPROFILE%\AppData\Local\Temp\OnboardLogs"\RTDC4003\*4003*20170205* | grep -SE "(Enforcement Action)|(\[TIMEOUT)|(CHR.+\|PRM\|1\|D.+(SWITCH|SIGNAL).+UNKNOWN)" - &gt;&gt; 2017-02-05-UncaughtWiMAX.txt</v>
      </c>
      <c r="AO162"/>
      <c r="AP162"/>
      <c r="AQ162"/>
      <c r="AR162"/>
      <c r="AS162"/>
      <c r="AT162"/>
      <c r="AU162"/>
      <c r="AV162"/>
      <c r="AW162"/>
      <c r="AX162"/>
      <c r="AY162"/>
      <c r="AZ162"/>
      <c r="BA162"/>
      <c r="BB162"/>
      <c r="BC162"/>
      <c r="BD162"/>
      <c r="BE162"/>
      <c r="BF162"/>
      <c r="BG162"/>
      <c r="BH162"/>
      <c r="BI162"/>
      <c r="BJ162"/>
      <c r="BK162"/>
      <c r="BL162"/>
      <c r="BM162"/>
      <c r="BN162"/>
      <c r="BO162"/>
      <c r="BP162"/>
      <c r="BQ162"/>
      <c r="BR162"/>
      <c r="BS162"/>
      <c r="BT162"/>
      <c r="BU162"/>
      <c r="BV162"/>
      <c r="BW162"/>
      <c r="BX162"/>
      <c r="BY162"/>
      <c r="BZ162"/>
      <c r="CA162"/>
      <c r="CB162"/>
      <c r="CC162"/>
      <c r="CD162"/>
      <c r="CE162"/>
      <c r="CF162"/>
      <c r="CG162"/>
      <c r="CH162"/>
      <c r="CI162"/>
      <c r="CJ162"/>
      <c r="CK162"/>
      <c r="CL162"/>
      <c r="CM162"/>
    </row>
    <row r="163" spans="1:91" s="20" customFormat="1" x14ac:dyDescent="0.25">
      <c r="A163" s="33" t="s">
        <v>587</v>
      </c>
      <c r="B163" s="7">
        <v>4004</v>
      </c>
      <c r="C163" s="21" t="s">
        <v>193</v>
      </c>
      <c r="D163" s="21" t="s">
        <v>793</v>
      </c>
      <c r="E163" s="13">
        <v>42771.359039351853</v>
      </c>
      <c r="F163" s="13">
        <v>42771.360682870371</v>
      </c>
      <c r="G163" s="7">
        <v>1</v>
      </c>
      <c r="H163" s="21" t="s">
        <v>794</v>
      </c>
      <c r="I163" s="13">
        <v>42771.370798611111</v>
      </c>
      <c r="J163" s="7">
        <v>0</v>
      </c>
      <c r="K163" s="98" t="str">
        <f>IF(ISEVEN(B163),(B163-1)&amp;"/"&amp;B163,B163&amp;"/"&amp;(B163+1))</f>
        <v>4003/4004</v>
      </c>
      <c r="L163" s="21" t="str">
        <f>VLOOKUP(A163,'Trips&amp;Operators'!$C$1:$G$99999,5,FALSE)</f>
        <v>YORK EDGAR</v>
      </c>
      <c r="M163" s="6">
        <f>I163-F163</f>
        <v>1.0115740740729962E-2</v>
      </c>
      <c r="N163" s="7">
        <f>24*60*SUM($M163:$M163)</f>
        <v>14.566666666651145</v>
      </c>
      <c r="O163" s="7"/>
      <c r="P163" s="7"/>
      <c r="Q163" s="22"/>
      <c r="R163" s="22"/>
      <c r="S163" s="31">
        <f>SUM(U163:U163)/IF(AG163="EC",12,1)</f>
        <v>1</v>
      </c>
      <c r="T163" s="46" t="str">
        <f>IF(ISEVEN(LEFT(AD163,4)),"Southbound","NorthBound")</f>
        <v>Southbound</v>
      </c>
      <c r="U163" s="190">
        <f>IF(AG163="EC",COUNTIFS(Variables!$M$2:$M$19,IF(T163="NorthBound","&gt;=","&lt;=")&amp;Y163,Variables!$M$2:$M$19,IF(T163="NorthBound","&lt;=","&gt;=")&amp;Z163),COUNTIFS(Variables!$P$2:$P$19,IF(T163="NorthBound","&gt;=","&lt;=")&amp;Y163,Variables!$P$2:$P$19,IF(T163="NorthBound","&lt;=","&gt;=")&amp;Z163))</f>
        <v>1</v>
      </c>
      <c r="V163" s="191" t="str">
        <f>"https://d0f6bd738d7f1b3e5a7ca70fe4ff75f0.us-east-1.aws.found.io/app/kibana#/discover/Steve-Slow-Train-Analysis-(2080s-and-2083s)?_g="&amp;"(refreshInterval:(display:Off,pause:!f,section:0,value:0),time:(from:'"&amp;TEXT(E163-1/24,"yyyy-MM-DDThh:mm:ss")&amp;utc_offset&amp;"00"&amp;"',mode:absolute,to:'"&amp;TEXT(I163+1/24,"yyyy-MM-DDThh:mm:ss")&amp;utc_offset&amp;"00"&amp;"'))&amp;_a=(columns:!('Locomotive+ID','Data.Head+End+Milepost',Data.Speed,'Data.Locomotive+State','Data.Train+ID',"&amp;"'Data.Warning%2FEnforcement+Type','Data.Target+Start+Milepost','Data.Target+Description','Data.Target+Speed',"&amp;"'Data.Enforcement+Train+Speed','Data.Enforcement+Start+Milepost','Data.Target+Type','Data.Enforcement+Direction+of+Travel','Message+ID',"&amp;"'Data.Body+of+Summary+Text','Data.Head+End+Track+name'),filters:!(),index:'emp_*',interval:auto,query:"&amp;"(query_string:(analyze_wildcard:!t,query:'Message%5C+ID:(2083+OR+2080+OR+1041+OR+2003+OR+1051+OR+1043+OR+1053)+AND+%22rtdc.l.rtdc."&amp;B163&amp;"%22')),sort:!(Time.ISO8601,asc))"</f>
        <v>https://d0f6bd738d7f1b3e5a7ca70fe4ff75f0.us-east-1.aws.found.io/app/kibana#/discover/Steve-Slow-Train-Analysis-(2080s-and-2083s)?_g=(refreshInterval:(display:Off,pause:!f,section:0,value:0),time:(from:'2017-02-05T07:37:01-0700',mode:absolute,to:'2017-02-05T09:53:57-0700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4004%22')),sort:!(Time.ISO8601,asc))</v>
      </c>
      <c r="W163" s="192" t="str">
        <f>IF(AA163&lt;IF(AG163="EC",23,5.65),"Y","N")</f>
        <v>N</v>
      </c>
      <c r="X163" s="192">
        <f>VALUE(LEFT(AD163,4))-VALUE(LEFT(AD162,4))</f>
        <v>1</v>
      </c>
      <c r="Y163" s="62">
        <f>RIGHT(D163,LEN(D163)-4)/10000</f>
        <v>5.8615000000000004</v>
      </c>
      <c r="Z163" s="62">
        <f>RIGHT(H163,LEN(H163)-4)/10000</f>
        <v>7.3999999999999996E-2</v>
      </c>
      <c r="AA163" s="62">
        <f>ABS(Z163-Y163)</f>
        <v>5.7875000000000005</v>
      </c>
      <c r="AB163" s="59" t="e">
        <f>VLOOKUP(A163,Enforcements!$C$7:$K$16,8,0)</f>
        <v>#N/A</v>
      </c>
      <c r="AC163" s="55" t="e">
        <f>VLOOKUP(A163,Enforcements!$C$7:$E$16,3,0)</f>
        <v>#N/A</v>
      </c>
      <c r="AD163" s="56" t="str">
        <f>IF(LEN(A163)=6,"0"&amp;A163,A163)</f>
        <v>1806-05</v>
      </c>
      <c r="AE163" s="85" t="str">
        <f>"aws s3 cp "&amp;s3_bucket&amp;"/RTDC"&amp;B163&amp;"/ "&amp;search_path&amp;"\RTDC"&amp;B163&amp;"\"&amp;TEXT(F163,"YYYY-MM-DD")&amp;" --exclude ""*"" --recursive --include ""*"&amp;TEXT(F163,"YYYYMMDD")&amp;"*"" &amp; """&amp;walkandungz&amp;""" "&amp;search_path&amp;"\RTDC"&amp;B163&amp;"\"&amp;TEXT(F163,"YYYY-MM-DD")
&amp;" &amp; "&amp;"aws s3 cp "&amp;s3_bucket&amp;"/RTDC"&amp;B163&amp;"/ "&amp;search_path&amp;"\RTDC"&amp;B163&amp;"\"&amp;TEXT(F163+1,"YYYY-MM-DD")&amp;" --exclude ""*"" --recursive --include ""*"&amp;TEXT(F163+1,"YYYYMMDD")&amp;"*"" &amp; """&amp;walkandungz&amp;""" "&amp;search_path&amp;"\RTDC"&amp;B163&amp;"\"&amp;TEXT(F163+1,"YYYY-MM-DD")</f>
        <v>aws s3 cp s3://rtdc.mdm.uploadarchive.raw/RTDC4004/ "%USERPROFILE%\AppData\Local\Temp\OnboardLogs"\RTDC4004\2017-02-05 --exclude "*" --recursive --include "*20170205*" &amp; "%USERPROFILE%\Documents\GitHub\mrs-test-scripts\Headless Mode &amp; Sideloading\WalkAndUnGZ.bat" "%USERPROFILE%\AppData\Local\Temp\OnboardLogs"\RTDC4004\2017-02-05 &amp; aws s3 cp s3://rtdc.mdm.uploadarchive.raw/RTDC4004/ "%USERPROFILE%\AppData\Local\Temp\OnboardLogs"\RTDC4004\2017-02-06 --exclude "*" --recursive --include "*20170206*" &amp; "%USERPROFILE%\Documents\GitHub\mrs-test-scripts\Headless Mode &amp; Sideloading\WalkAndUnGZ.bat" "%USERPROFILE%\AppData\Local\Temp\OnboardLogs"\RTDC4004\2017-02-06</v>
      </c>
      <c r="AF163" s="82" t="str">
        <f>astrogrep_path&amp;" /spath="&amp;search_path&amp;" /stypes=""app*"&amp;B163&amp;"*"&amp;TEXT(I163-utc_offset/24,"YYYYMMDD")&amp;"*"" /stext="" "&amp;TEXT(I163-utc_offset/24,"HH")&amp;search_regexp&amp;""" /e /r /s"</f>
        <v>"C:\Program Files (x86)\AstroGrep\AstroGrep.exe" /spath="%USERPROFILE%\AppData\Local\Temp\OnboardLogs" /stypes="app*4004*20170205*" /stext=" 15:.+((SYSTEM_STATE.+slice.+state.+changed )|(ment ac)|(multiple cpu faults)|(system.+state.+changed )|(\[timeout)|(PRM\|1\|D)|(kpr)|(kdp)|(\|lc)|(penalty))" /e /r /s</v>
      </c>
      <c r="AG163" s="1" t="str">
        <f>IFERROR(IF(VALUE(LEFT(AD163,2))&lt;=2,"EC",IF(OR(VALUE(LEFT(AD163,2))=8,VALUE(LEFT(AD163,2))=18),"NW","Other")),"Other")</f>
        <v>NW</v>
      </c>
      <c r="AH163" s="86" t="str">
        <f t="shared" si="10"/>
        <v>"%USERPROFILE%\Documents\GitHub\eaglep3\Utilities\RefineRTDCRunTimes.py" --tripid 1806-05 --locoid 4004 --swversion DE.1.0.8.0 --startMP 300:58615 --initTime 2017-02-05T08:37:01 --startdatetime 2017-02-05T08:39:23 --delay 1 --endMP 204:740 --enddatetime 2017-02-05T08:53:57 --enforcementcount 0 &gt;&gt;C:\Users\stu\Documents\GitHub\eaglep3-reporting\EC\2017-02-05-refined-times.txt</v>
      </c>
      <c r="AI163" s="108" t="str">
        <f t="shared" si="11"/>
        <v>echo {"issue":{"subject":"","project_id":79,"tracker_id":40,"status_id":1,"priority_id":2,"assigned_to_id":23,"start_date":"2017-02-05","description":"","custom_fields":[{"id":1,"name":"Subdivision","value":"NW"},{"id":4,"name":"Milepost","value":"0.074"},{"id":17,"name":"Train ID","value":"1806-05"},{"id":16,"name":"Locomotive ID","value":"4004"},{"id":130,"name":"Impact","value":""},{"id":150,"name":"Time of Event (Mountain Time)","value":"08:53:57"},{"id":151,"name":"Denver Issue ID","value":""},{"id":178,"name":"Operational Impact","value":"Yes"},{"id":179,"name":"Denver Segment Assigned","value":""}]}} | curl -X POST -H "Content-Type: application/json" -H "X-Redmine-API-Key: d6333d4a04012a730768444271f8ca06482dae87" https://secure.xorail.net/redmine/issues.json --data @-</v>
      </c>
      <c r="AJ163" s="48"/>
      <c r="AK163" s="48"/>
      <c r="AL163" s="48"/>
      <c r="AM163" s="158" t="str">
        <f t="shared" si="12"/>
        <v>start /low /b %USERPROFILE%\Documents\GitHub\eaglep3\Utilities\DownloadLogsFromS3.py --loco 4004 --day 2017-02-05</v>
      </c>
      <c r="AN163" s="167" t="str">
        <f>"grep -SE -B400 ""CHR.+\|PRM\|1\|D.+(SWITCH|SIGNAL).+UNKNOWN"" "&amp;search_path&amp;"\RTDC"&amp;B163&amp;"\*"&amp;B163&amp;"*"&amp;TEXT(AVERAGE(F163,I163)-utc_offset/24,"YYYYMMDD")&amp;"* | grep -SE ""(Enforcement Action)|(\[TIMEOUT)|(CHR.+\|PRM\|1\|D.+(SWITCH|SIGNAL).+UNKNOWN)"" - &gt;&gt; "&amp;TEXT(Variables!$A$2,"YYYY-MM-DD")&amp;"-UncaughtWiMAX.txt"</f>
        <v>grep -SE -B400 "CHR.+\|PRM\|1\|D.+(SWITCH|SIGNAL).+UNKNOWN" "%USERPROFILE%\AppData\Local\Temp\OnboardLogs"\RTDC4004\*4004*20170205* | grep -SE "(Enforcement Action)|(\[TIMEOUT)|(CHR.+\|PRM\|1\|D.+(SWITCH|SIGNAL).+UNKNOWN)" - &gt;&gt; 2017-02-05-UncaughtWiMAX.txt</v>
      </c>
      <c r="AO163"/>
      <c r="AP163"/>
      <c r="AQ163"/>
      <c r="AR163"/>
      <c r="AS163"/>
      <c r="AT163"/>
      <c r="AU163"/>
      <c r="AV163"/>
      <c r="AW163"/>
      <c r="AX163"/>
      <c r="AY163"/>
      <c r="AZ163"/>
      <c r="BA163"/>
      <c r="BB163"/>
      <c r="BC163"/>
      <c r="BD163"/>
      <c r="BE163"/>
      <c r="BF163"/>
      <c r="BG163"/>
      <c r="BH163"/>
      <c r="BI163"/>
      <c r="BJ163"/>
      <c r="BK163"/>
      <c r="BL163"/>
      <c r="BM163"/>
      <c r="BN163"/>
      <c r="BO163"/>
      <c r="BP163"/>
      <c r="BQ163"/>
      <c r="BR163"/>
      <c r="BS163"/>
      <c r="BT163"/>
      <c r="BU163"/>
      <c r="BV163"/>
      <c r="BW163"/>
      <c r="BX163"/>
      <c r="BY163"/>
      <c r="BZ163"/>
      <c r="CA163"/>
      <c r="CB163"/>
      <c r="CC163"/>
      <c r="CD163"/>
      <c r="CE163"/>
      <c r="CF163"/>
      <c r="CG163"/>
      <c r="CH163"/>
      <c r="CI163"/>
      <c r="CJ163"/>
      <c r="CK163"/>
      <c r="CL163"/>
      <c r="CM163"/>
    </row>
    <row r="164" spans="1:91" x14ac:dyDescent="0.25">
      <c r="A164" s="33" t="s">
        <v>591</v>
      </c>
      <c r="B164" s="7">
        <v>4003</v>
      </c>
      <c r="C164" s="21" t="s">
        <v>193</v>
      </c>
      <c r="D164" s="21" t="s">
        <v>795</v>
      </c>
      <c r="E164" s="13">
        <v>42771.372083333335</v>
      </c>
      <c r="F164" s="13">
        <v>42771.38994212963</v>
      </c>
      <c r="G164" s="7">
        <v>0</v>
      </c>
      <c r="H164" s="21" t="s">
        <v>796</v>
      </c>
      <c r="I164" s="13">
        <v>42771.398159722223</v>
      </c>
      <c r="J164" s="7">
        <v>0</v>
      </c>
      <c r="K164" s="98" t="str">
        <f>IF(ISEVEN(B164),(B164-1)&amp;"/"&amp;B164,B164&amp;"/"&amp;(B164+1))</f>
        <v>4003/4004</v>
      </c>
      <c r="L164" s="21" t="str">
        <f>VLOOKUP(A164,'Trips&amp;Operators'!$C$1:$G$99999,5,FALSE)</f>
        <v>YORK EDGAR</v>
      </c>
      <c r="M164" s="6">
        <f>I164-F164</f>
        <v>8.2175925927003846E-3</v>
      </c>
      <c r="N164" s="7">
        <f>24*60*SUM($M164:$M164)</f>
        <v>11.833333333488554</v>
      </c>
      <c r="O164" s="7"/>
      <c r="P164" s="7"/>
      <c r="Q164" s="22"/>
      <c r="R164" s="22"/>
      <c r="S164" s="31">
        <f>SUM(U164:U164)/IF(AG164="EC",12,1)</f>
        <v>1</v>
      </c>
      <c r="T164" s="46" t="str">
        <f>IF(ISEVEN(LEFT(AD164,4)),"Southbound","NorthBound")</f>
        <v>NorthBound</v>
      </c>
      <c r="U164" s="190">
        <f>IF(AG164="EC",COUNTIFS(Variables!$M$2:$M$19,IF(T164="NorthBound","&gt;=","&lt;=")&amp;Y164,Variables!$M$2:$M$19,IF(T164="NorthBound","&lt;=","&gt;=")&amp;Z164),COUNTIFS(Variables!$P$2:$P$19,IF(T164="NorthBound","&gt;=","&lt;=")&amp;Y164,Variables!$P$2:$P$19,IF(T164="NorthBound","&lt;=","&gt;=")&amp;Z164))</f>
        <v>1</v>
      </c>
      <c r="V164" s="191" t="str">
        <f>"https://d0f6bd738d7f1b3e5a7ca70fe4ff75f0.us-east-1.aws.found.io/app/kibana#/discover/Steve-Slow-Train-Analysis-(2080s-and-2083s)?_g="&amp;"(refreshInterval:(display:Off,pause:!f,section:0,value:0),time:(from:'"&amp;TEXT(E164-1/24,"yyyy-MM-DDThh:mm:ss")&amp;utc_offset&amp;"00"&amp;"',mode:absolute,to:'"&amp;TEXT(I164+1/24,"yyyy-MM-DDThh:mm:ss")&amp;utc_offset&amp;"00"&amp;"'))&amp;_a=(columns:!('Locomotive+ID','Data.Head+End+Milepost',Data.Speed,'Data.Locomotive+State','Data.Train+ID',"&amp;"'Data.Warning%2FEnforcement+Type','Data.Target+Start+Milepost','Data.Target+Description','Data.Target+Speed',"&amp;"'Data.Enforcement+Train+Speed','Data.Enforcement+Start+Milepost','Data.Target+Type','Data.Enforcement+Direction+of+Travel','Message+ID',"&amp;"'Data.Body+of+Summary+Text','Data.Head+End+Track+name'),filters:!(),index:'emp_*',interval:auto,query:"&amp;"(query_string:(analyze_wildcard:!t,query:'Message%5C+ID:(2083+OR+2080+OR+1041+OR+2003+OR+1051+OR+1043+OR+1053)+AND+%22rtdc.l.rtdc."&amp;B164&amp;"%22')),sort:!(Time.ISO8601,asc))"</f>
        <v>https://d0f6bd738d7f1b3e5a7ca70fe4ff75f0.us-east-1.aws.found.io/app/kibana#/discover/Steve-Slow-Train-Analysis-(2080s-and-2083s)?_g=(refreshInterval:(display:Off,pause:!f,section:0,value:0),time:(from:'2017-02-05T07:55:48-0700',mode:absolute,to:'2017-02-05T10:33:21-0700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4003%22')),sort:!(Time.ISO8601,asc))</v>
      </c>
      <c r="W164" s="192" t="str">
        <f>IF(AA164&lt;IF(AG164="EC",23,5.65),"Y","N")</f>
        <v>N</v>
      </c>
      <c r="X164" s="192">
        <f>VALUE(LEFT(AD164,4))-VALUE(LEFT(AD163,4))</f>
        <v>1</v>
      </c>
      <c r="Y164" s="62">
        <f>RIGHT(D164,LEN(D164)-4)/10000</f>
        <v>0.1016</v>
      </c>
      <c r="Z164" s="62">
        <f>RIGHT(H164,LEN(H164)-4)/10000</f>
        <v>5.8929</v>
      </c>
      <c r="AA164" s="62">
        <f>ABS(Z164-Y164)</f>
        <v>5.7912999999999997</v>
      </c>
      <c r="AB164" s="59" t="e">
        <f>VLOOKUP(A164,Enforcements!$C$7:$K$16,8,0)</f>
        <v>#N/A</v>
      </c>
      <c r="AC164" s="55" t="e">
        <f>VLOOKUP(A164,Enforcements!$C$7:$E$16,3,0)</f>
        <v>#N/A</v>
      </c>
      <c r="AD164" s="56" t="str">
        <f>IF(LEN(A164)=6,"0"&amp;A164,A164)</f>
        <v>1807-05</v>
      </c>
      <c r="AE164" s="85" t="str">
        <f>"aws s3 cp "&amp;s3_bucket&amp;"/RTDC"&amp;B164&amp;"/ "&amp;search_path&amp;"\RTDC"&amp;B164&amp;"\"&amp;TEXT(F164,"YYYY-MM-DD")&amp;" --exclude ""*"" --recursive --include ""*"&amp;TEXT(F164,"YYYYMMDD")&amp;"*"" &amp; """&amp;walkandungz&amp;""" "&amp;search_path&amp;"\RTDC"&amp;B164&amp;"\"&amp;TEXT(F164,"YYYY-MM-DD")
&amp;" &amp; "&amp;"aws s3 cp "&amp;s3_bucket&amp;"/RTDC"&amp;B164&amp;"/ "&amp;search_path&amp;"\RTDC"&amp;B164&amp;"\"&amp;TEXT(F164+1,"YYYY-MM-DD")&amp;" --exclude ""*"" --recursive --include ""*"&amp;TEXT(F164+1,"YYYYMMDD")&amp;"*"" &amp; """&amp;walkandungz&amp;""" "&amp;search_path&amp;"\RTDC"&amp;B164&amp;"\"&amp;TEXT(F164+1,"YYYY-MM-DD")</f>
        <v>aws s3 cp s3://rtdc.mdm.uploadarchive.raw/RTDC4003/ "%USERPROFILE%\AppData\Local\Temp\OnboardLogs"\RTDC4003\2017-02-05 --exclude "*" --recursive --include "*20170205*" &amp; "%USERPROFILE%\Documents\GitHub\mrs-test-scripts\Headless Mode &amp; Sideloading\WalkAndUnGZ.bat" "%USERPROFILE%\AppData\Local\Temp\OnboardLogs"\RTDC4003\2017-02-05 &amp; aws s3 cp s3://rtdc.mdm.uploadarchive.raw/RTDC4003/ "%USERPROFILE%\AppData\Local\Temp\OnboardLogs"\RTDC4003\2017-02-06 --exclude "*" --recursive --include "*20170206*" &amp; "%USERPROFILE%\Documents\GitHub\mrs-test-scripts\Headless Mode &amp; Sideloading\WalkAndUnGZ.bat" "%USERPROFILE%\AppData\Local\Temp\OnboardLogs"\RTDC4003\2017-02-06</v>
      </c>
      <c r="AF164" s="82" t="str">
        <f>astrogrep_path&amp;" /spath="&amp;search_path&amp;" /stypes=""app*"&amp;B164&amp;"*"&amp;TEXT(I164-utc_offset/24,"YYYYMMDD")&amp;"*"" /stext="" "&amp;TEXT(I164-utc_offset/24,"HH")&amp;search_regexp&amp;""" /e /r /s"</f>
        <v>"C:\Program Files (x86)\AstroGrep\AstroGrep.exe" /spath="%USERPROFILE%\AppData\Local\Temp\OnboardLogs" /stypes="app*4003*20170205*" /stext=" 16:.+((SYSTEM_STATE.+slice.+state.+changed )|(ment ac)|(multiple cpu faults)|(system.+state.+changed )|(\[timeout)|(PRM\|1\|D)|(kpr)|(kdp)|(\|lc)|(penalty))" /e /r /s</v>
      </c>
      <c r="AG164" s="1" t="str">
        <f>IFERROR(IF(VALUE(LEFT(AD164,2))&lt;=2,"EC",IF(OR(VALUE(LEFT(AD164,2))=8,VALUE(LEFT(AD164,2))=18),"NW","Other")),"Other")</f>
        <v>NW</v>
      </c>
      <c r="AH164" s="86" t="str">
        <f t="shared" si="10"/>
        <v>"%USERPROFILE%\Documents\GitHub\eaglep3\Utilities\RefineRTDCRunTimes.py" --tripid 1807-05 --locoid 4003 --swversion DE.1.0.8.0 --startMP 204:1016 --initTime 2017-02-05T08:55:48 --startdatetime 2017-02-05T09:21:31 --delay 0 --endMP 300:58929 --enddatetime 2017-02-05T09:33:21 --enforcementcount 0 &gt;&gt;C:\Users\stu\Documents\GitHub\eaglep3-reporting\EC\2017-02-05-refined-times.txt</v>
      </c>
      <c r="AI164" s="108" t="str">
        <f t="shared" si="11"/>
        <v>echo {"issue":{"subject":"","project_id":79,"tracker_id":40,"status_id":1,"priority_id":2,"assigned_to_id":23,"start_date":"2017-02-05","description":"","custom_fields":[{"id":1,"name":"Subdivision","value":"NW"},{"id":4,"name":"Milepost","value":"5.8929"},{"id":17,"name":"Train ID","value":"1807-05"},{"id":16,"name":"Locomotive ID","value":"4003"},{"id":130,"name":"Impact","value":""},{"id":150,"name":"Time of Event (Mountain Time)","value":"09:33:21"},{"id":151,"name":"Denver Issue ID","value":""},{"id":178,"name":"Operational Impact","value":"Yes"},{"id":179,"name":"Denver Segment Assigned","value":""}]}} | curl -X POST -H "Content-Type: application/json" -H "X-Redmine-API-Key: d6333d4a04012a730768444271f8ca06482dae87" https://secure.xorail.net/redmine/issues.json --data @-</v>
      </c>
      <c r="AJ164" s="48"/>
      <c r="AK164" s="48"/>
      <c r="AL164" s="48"/>
      <c r="AM164" s="158" t="str">
        <f t="shared" si="12"/>
        <v>start /low /b %USERPROFILE%\Documents\GitHub\eaglep3\Utilities\DownloadLogsFromS3.py --loco 4003 --day 2017-02-05</v>
      </c>
      <c r="AN164" s="167" t="str">
        <f>"grep -SE -B400 ""CHR.+\|PRM\|1\|D.+(SWITCH|SIGNAL).+UNKNOWN"" "&amp;search_path&amp;"\RTDC"&amp;B164&amp;"\*"&amp;B164&amp;"*"&amp;TEXT(AVERAGE(F164,I164)-utc_offset/24,"YYYYMMDD")&amp;"* | grep -SE ""(Enforcement Action)|(\[TIMEOUT)|(CHR.+\|PRM\|1\|D.+(SWITCH|SIGNAL).+UNKNOWN)"" - &gt;&gt; "&amp;TEXT(Variables!$A$2,"YYYY-MM-DD")&amp;"-UncaughtWiMAX.txt"</f>
        <v>grep -SE -B400 "CHR.+\|PRM\|1\|D.+(SWITCH|SIGNAL).+UNKNOWN" "%USERPROFILE%\AppData\Local\Temp\OnboardLogs"\RTDC4003\*4003*20170205* | grep -SE "(Enforcement Action)|(\[TIMEOUT)|(CHR.+\|PRM\|1\|D.+(SWITCH|SIGNAL).+UNKNOWN)" - &gt;&gt; 2017-02-05-UncaughtWiMAX.txt</v>
      </c>
    </row>
    <row r="165" spans="1:91" x14ac:dyDescent="0.25">
      <c r="A165" s="33" t="s">
        <v>597</v>
      </c>
      <c r="B165" s="7">
        <v>4004</v>
      </c>
      <c r="C165" s="21" t="s">
        <v>193</v>
      </c>
      <c r="D165" s="21" t="s">
        <v>797</v>
      </c>
      <c r="E165" s="13">
        <v>42771.399525462963</v>
      </c>
      <c r="F165" s="13">
        <v>42771.403425925928</v>
      </c>
      <c r="G165" s="7">
        <v>1</v>
      </c>
      <c r="H165" s="21" t="s">
        <v>798</v>
      </c>
      <c r="I165" s="13">
        <v>42771.412430555552</v>
      </c>
      <c r="J165" s="7">
        <v>0</v>
      </c>
      <c r="K165" s="98" t="str">
        <f>IF(ISEVEN(B165),(B165-1)&amp;"/"&amp;B165,B165&amp;"/"&amp;(B165+1))</f>
        <v>4003/4004</v>
      </c>
      <c r="L165" s="21" t="str">
        <f>VLOOKUP(A165,'Trips&amp;Operators'!$C$1:$G$99999,5,FALSE)</f>
        <v>YORK EDGAR</v>
      </c>
      <c r="M165" s="6">
        <f>I165-F165</f>
        <v>9.0046296245418489E-3</v>
      </c>
      <c r="N165" s="7">
        <f>24*60*SUM($M165:$M165)</f>
        <v>12.966666659340262</v>
      </c>
      <c r="O165" s="7"/>
      <c r="P165" s="7"/>
      <c r="Q165" s="22"/>
      <c r="R165" s="22"/>
      <c r="S165" s="31">
        <f>SUM(U165:U165)/IF(AG165="EC",12,1)</f>
        <v>1</v>
      </c>
      <c r="T165" s="46" t="str">
        <f>IF(ISEVEN(LEFT(AD165,4)),"Southbound","NorthBound")</f>
        <v>Southbound</v>
      </c>
      <c r="U165" s="190">
        <f>IF(AG165="EC",COUNTIFS(Variables!$M$2:$M$19,IF(T165="NorthBound","&gt;=","&lt;=")&amp;Y165,Variables!$M$2:$M$19,IF(T165="NorthBound","&lt;=","&gt;=")&amp;Z165),COUNTIFS(Variables!$P$2:$P$19,IF(T165="NorthBound","&gt;=","&lt;=")&amp;Y165,Variables!$P$2:$P$19,IF(T165="NorthBound","&lt;=","&gt;=")&amp;Z165))</f>
        <v>1</v>
      </c>
      <c r="V165" s="191" t="str">
        <f>"https://d0f6bd738d7f1b3e5a7ca70fe4ff75f0.us-east-1.aws.found.io/app/kibana#/discover/Steve-Slow-Train-Analysis-(2080s-and-2083s)?_g="&amp;"(refreshInterval:(display:Off,pause:!f,section:0,value:0),time:(from:'"&amp;TEXT(E165-1/24,"yyyy-MM-DDThh:mm:ss")&amp;utc_offset&amp;"00"&amp;"',mode:absolute,to:'"&amp;TEXT(I165+1/24,"yyyy-MM-DDThh:mm:ss")&amp;utc_offset&amp;"00"&amp;"'))&amp;_a=(columns:!('Locomotive+ID','Data.Head+End+Milepost',Data.Speed,'Data.Locomotive+State','Data.Train+ID',"&amp;"'Data.Warning%2FEnforcement+Type','Data.Target+Start+Milepost','Data.Target+Description','Data.Target+Speed',"&amp;"'Data.Enforcement+Train+Speed','Data.Enforcement+Start+Milepost','Data.Target+Type','Data.Enforcement+Direction+of+Travel','Message+ID',"&amp;"'Data.Body+of+Summary+Text','Data.Head+End+Track+name'),filters:!(),index:'emp_*',interval:auto,query:"&amp;"(query_string:(analyze_wildcard:!t,query:'Message%5C+ID:(2083+OR+2080+OR+1041+OR+2003+OR+1051+OR+1043+OR+1053)+AND+%22rtdc.l.rtdc."&amp;B165&amp;"%22')),sort:!(Time.ISO8601,asc))"</f>
        <v>https://d0f6bd738d7f1b3e5a7ca70fe4ff75f0.us-east-1.aws.found.io/app/kibana#/discover/Steve-Slow-Train-Analysis-(2080s-and-2083s)?_g=(refreshInterval:(display:Off,pause:!f,section:0,value:0),time:(from:'2017-02-05T08:35:19-0700',mode:absolute,to:'2017-02-05T10:53:54-0700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4004%22')),sort:!(Time.ISO8601,asc))</v>
      </c>
      <c r="W165" s="192" t="str">
        <f>IF(AA165&lt;IF(AG165="EC",23,5.65),"Y","N")</f>
        <v>N</v>
      </c>
      <c r="X165" s="192">
        <f>VALUE(LEFT(AD165,4))-VALUE(LEFT(AD164,4))</f>
        <v>1</v>
      </c>
      <c r="Y165" s="62">
        <f>RIGHT(D165,LEN(D165)-4)/10000</f>
        <v>5.8616999999999999</v>
      </c>
      <c r="Z165" s="62">
        <f>RIGHT(H165,LEN(H165)-4)/10000</f>
        <v>7.3599999999999999E-2</v>
      </c>
      <c r="AA165" s="62">
        <f>ABS(Z165-Y165)</f>
        <v>5.7881</v>
      </c>
      <c r="AB165" s="59" t="e">
        <f>VLOOKUP(A165,Enforcements!$C$7:$K$16,8,0)</f>
        <v>#N/A</v>
      </c>
      <c r="AC165" s="55" t="e">
        <f>VLOOKUP(A165,Enforcements!$C$7:$E$16,3,0)</f>
        <v>#N/A</v>
      </c>
      <c r="AD165" s="56" t="str">
        <f>IF(LEN(A165)=6,"0"&amp;A165,A165)</f>
        <v>1808-05</v>
      </c>
      <c r="AE165" s="85" t="str">
        <f>"aws s3 cp "&amp;s3_bucket&amp;"/RTDC"&amp;B165&amp;"/ "&amp;search_path&amp;"\RTDC"&amp;B165&amp;"\"&amp;TEXT(F165,"YYYY-MM-DD")&amp;" --exclude ""*"" --recursive --include ""*"&amp;TEXT(F165,"YYYYMMDD")&amp;"*"" &amp; """&amp;walkandungz&amp;""" "&amp;search_path&amp;"\RTDC"&amp;B165&amp;"\"&amp;TEXT(F165,"YYYY-MM-DD")
&amp;" &amp; "&amp;"aws s3 cp "&amp;s3_bucket&amp;"/RTDC"&amp;B165&amp;"/ "&amp;search_path&amp;"\RTDC"&amp;B165&amp;"\"&amp;TEXT(F165+1,"YYYY-MM-DD")&amp;" --exclude ""*"" --recursive --include ""*"&amp;TEXT(F165+1,"YYYYMMDD")&amp;"*"" &amp; """&amp;walkandungz&amp;""" "&amp;search_path&amp;"\RTDC"&amp;B165&amp;"\"&amp;TEXT(F165+1,"YYYY-MM-DD")</f>
        <v>aws s3 cp s3://rtdc.mdm.uploadarchive.raw/RTDC4004/ "%USERPROFILE%\AppData\Local\Temp\OnboardLogs"\RTDC4004\2017-02-05 --exclude "*" --recursive --include "*20170205*" &amp; "%USERPROFILE%\Documents\GitHub\mrs-test-scripts\Headless Mode &amp; Sideloading\WalkAndUnGZ.bat" "%USERPROFILE%\AppData\Local\Temp\OnboardLogs"\RTDC4004\2017-02-05 &amp; aws s3 cp s3://rtdc.mdm.uploadarchive.raw/RTDC4004/ "%USERPROFILE%\AppData\Local\Temp\OnboardLogs"\RTDC4004\2017-02-06 --exclude "*" --recursive --include "*20170206*" &amp; "%USERPROFILE%\Documents\GitHub\mrs-test-scripts\Headless Mode &amp; Sideloading\WalkAndUnGZ.bat" "%USERPROFILE%\AppData\Local\Temp\OnboardLogs"\RTDC4004\2017-02-06</v>
      </c>
      <c r="AF165" s="82" t="str">
        <f>astrogrep_path&amp;" /spath="&amp;search_path&amp;" /stypes=""app*"&amp;B165&amp;"*"&amp;TEXT(I165-utc_offset/24,"YYYYMMDD")&amp;"*"" /stext="" "&amp;TEXT(I165-utc_offset/24,"HH")&amp;search_regexp&amp;""" /e /r /s"</f>
        <v>"C:\Program Files (x86)\AstroGrep\AstroGrep.exe" /spath="%USERPROFILE%\AppData\Local\Temp\OnboardLogs" /stypes="app*4004*20170205*" /stext=" 16:.+((SYSTEM_STATE.+slice.+state.+changed )|(ment ac)|(multiple cpu faults)|(system.+state.+changed )|(\[timeout)|(PRM\|1\|D)|(kpr)|(kdp)|(\|lc)|(penalty))" /e /r /s</v>
      </c>
      <c r="AG165" s="1" t="str">
        <f>IFERROR(IF(VALUE(LEFT(AD165,2))&lt;=2,"EC",IF(OR(VALUE(LEFT(AD165,2))=8,VALUE(LEFT(AD165,2))=18),"NW","Other")),"Other")</f>
        <v>NW</v>
      </c>
      <c r="AH165" s="86" t="str">
        <f t="shared" si="10"/>
        <v>"%USERPROFILE%\Documents\GitHub\eaglep3\Utilities\RefineRTDCRunTimes.py" --tripid 1808-05 --locoid 4004 --swversion DE.1.0.8.0 --startMP 300:58617 --initTime 2017-02-05T09:35:19 --startdatetime 2017-02-05T09:40:56 --delay 1 --endMP 204:736 --enddatetime 2017-02-05T09:53:54 --enforcementcount 0 &gt;&gt;C:\Users\stu\Documents\GitHub\eaglep3-reporting\EC\2017-02-05-refined-times.txt</v>
      </c>
      <c r="AI165" s="108" t="str">
        <f t="shared" si="11"/>
        <v>echo {"issue":{"subject":"","project_id":79,"tracker_id":40,"status_id":1,"priority_id":2,"assigned_to_id":23,"start_date":"2017-02-05","description":"","custom_fields":[{"id":1,"name":"Subdivision","value":"NW"},{"id":4,"name":"Milepost","value":"0.0736"},{"id":17,"name":"Train ID","value":"1808-05"},{"id":16,"name":"Locomotive ID","value":"4004"},{"id":130,"name":"Impact","value":""},{"id":150,"name":"Time of Event (Mountain Time)","value":"09:53:54"},{"id":151,"name":"Denver Issue ID","value":""},{"id":178,"name":"Operational Impact","value":"Yes"},{"id":179,"name":"Denver Segment Assigned","value":""}]}} | curl -X POST -H "Content-Type: application/json" -H "X-Redmine-API-Key: d6333d4a04012a730768444271f8ca06482dae87" https://secure.xorail.net/redmine/issues.json --data @-</v>
      </c>
      <c r="AJ165" s="48"/>
      <c r="AK165" s="48"/>
      <c r="AL165" s="48"/>
      <c r="AM165" s="158" t="str">
        <f t="shared" si="12"/>
        <v>start /low /b %USERPROFILE%\Documents\GitHub\eaglep3\Utilities\DownloadLogsFromS3.py --loco 4004 --day 2017-02-05</v>
      </c>
      <c r="AN165" s="167" t="str">
        <f>"grep -SE -B400 ""CHR.+\|PRM\|1\|D.+(SWITCH|SIGNAL).+UNKNOWN"" "&amp;search_path&amp;"\RTDC"&amp;B165&amp;"\*"&amp;B165&amp;"*"&amp;TEXT(AVERAGE(F165,I165)-utc_offset/24,"YYYYMMDD")&amp;"* | grep -SE ""(Enforcement Action)|(\[TIMEOUT)|(CHR.+\|PRM\|1\|D.+(SWITCH|SIGNAL).+UNKNOWN)"" - &gt;&gt; "&amp;TEXT(Variables!$A$2,"YYYY-MM-DD")&amp;"-UncaughtWiMAX.txt"</f>
        <v>grep -SE -B400 "CHR.+\|PRM\|1\|D.+(SWITCH|SIGNAL).+UNKNOWN" "%USERPROFILE%\AppData\Local\Temp\OnboardLogs"\RTDC4004\*4004*20170205* | grep -SE "(Enforcement Action)|(\[TIMEOUT)|(CHR.+\|PRM\|1\|D.+(SWITCH|SIGNAL).+UNKNOWN)" - &gt;&gt; 2017-02-05-UncaughtWiMAX.txt</v>
      </c>
    </row>
    <row r="166" spans="1:91" x14ac:dyDescent="0.25">
      <c r="A166" s="33" t="s">
        <v>599</v>
      </c>
      <c r="B166" s="7">
        <v>4003</v>
      </c>
      <c r="C166" s="21" t="s">
        <v>193</v>
      </c>
      <c r="D166" s="21" t="s">
        <v>795</v>
      </c>
      <c r="E166" s="13">
        <v>42771.413622685184</v>
      </c>
      <c r="F166" s="13">
        <v>42771.432071759256</v>
      </c>
      <c r="G166" s="7">
        <v>0</v>
      </c>
      <c r="H166" s="21" t="s">
        <v>796</v>
      </c>
      <c r="I166" s="13">
        <v>42771.440868055557</v>
      </c>
      <c r="J166" s="7">
        <v>0</v>
      </c>
      <c r="K166" s="98" t="str">
        <f>IF(ISEVEN(B166),(B166-1)&amp;"/"&amp;B166,B166&amp;"/"&amp;(B166+1))</f>
        <v>4003/4004</v>
      </c>
      <c r="L166" s="21" t="str">
        <f>VLOOKUP(A166,'Trips&amp;Operators'!$C$1:$G$99999,5,FALSE)</f>
        <v>YORK EDGAR</v>
      </c>
      <c r="M166" s="6">
        <f>I166-F166</f>
        <v>8.7962963007157668E-3</v>
      </c>
      <c r="N166" s="7">
        <f>24*60*SUM($M166:$M166)</f>
        <v>12.666666673030704</v>
      </c>
      <c r="O166" s="7"/>
      <c r="P166" s="7"/>
      <c r="Q166" s="22"/>
      <c r="R166" s="22"/>
      <c r="S166" s="31">
        <f>SUM(U166:U166)/IF(AG166="EC",12,1)</f>
        <v>1</v>
      </c>
      <c r="T166" s="46" t="str">
        <f>IF(ISEVEN(LEFT(AD166,4)),"Southbound","NorthBound")</f>
        <v>NorthBound</v>
      </c>
      <c r="U166" s="190">
        <f>IF(AG166="EC",COUNTIFS(Variables!$M$2:$M$19,IF(T166="NorthBound","&gt;=","&lt;=")&amp;Y166,Variables!$M$2:$M$19,IF(T166="NorthBound","&lt;=","&gt;=")&amp;Z166),COUNTIFS(Variables!$P$2:$P$19,IF(T166="NorthBound","&gt;=","&lt;=")&amp;Y166,Variables!$P$2:$P$19,IF(T166="NorthBound","&lt;=","&gt;=")&amp;Z166))</f>
        <v>1</v>
      </c>
      <c r="V166" s="191" t="str">
        <f>"https://d0f6bd738d7f1b3e5a7ca70fe4ff75f0.us-east-1.aws.found.io/app/kibana#/discover/Steve-Slow-Train-Analysis-(2080s-and-2083s)?_g="&amp;"(refreshInterval:(display:Off,pause:!f,section:0,value:0),time:(from:'"&amp;TEXT(E166-1/24,"yyyy-MM-DDThh:mm:ss")&amp;utc_offset&amp;"00"&amp;"',mode:absolute,to:'"&amp;TEXT(I166+1/24,"yyyy-MM-DDThh:mm:ss")&amp;utc_offset&amp;"00"&amp;"'))&amp;_a=(columns:!('Locomotive+ID','Data.Head+End+Milepost',Data.Speed,'Data.Locomotive+State','Data.Train+ID',"&amp;"'Data.Warning%2FEnforcement+Type','Data.Target+Start+Milepost','Data.Target+Description','Data.Target+Speed',"&amp;"'Data.Enforcement+Train+Speed','Data.Enforcement+Start+Milepost','Data.Target+Type','Data.Enforcement+Direction+of+Travel','Message+ID',"&amp;"'Data.Body+of+Summary+Text','Data.Head+End+Track+name'),filters:!(),index:'emp_*',interval:auto,query:"&amp;"(query_string:(analyze_wildcard:!t,query:'Message%5C+ID:(2083+OR+2080+OR+1041+OR+2003+OR+1051+OR+1043+OR+1053)+AND+%22rtdc.l.rtdc."&amp;B166&amp;"%22')),sort:!(Time.ISO8601,asc))"</f>
        <v>https://d0f6bd738d7f1b3e5a7ca70fe4ff75f0.us-east-1.aws.found.io/app/kibana#/discover/Steve-Slow-Train-Analysis-(2080s-and-2083s)?_g=(refreshInterval:(display:Off,pause:!f,section:0,value:0),time:(from:'2017-02-05T08:55:37-0700',mode:absolute,to:'2017-02-05T11:34:51-0700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4003%22')),sort:!(Time.ISO8601,asc))</v>
      </c>
      <c r="W166" s="192" t="str">
        <f>IF(AA166&lt;IF(AG166="EC",23,5.65),"Y","N")</f>
        <v>N</v>
      </c>
      <c r="X166" s="192">
        <f>VALUE(LEFT(AD166,4))-VALUE(LEFT(AD165,4))</f>
        <v>1</v>
      </c>
      <c r="Y166" s="62">
        <f>RIGHT(D166,LEN(D166)-4)/10000</f>
        <v>0.1016</v>
      </c>
      <c r="Z166" s="62">
        <f>RIGHT(H166,LEN(H166)-4)/10000</f>
        <v>5.8929</v>
      </c>
      <c r="AA166" s="62">
        <f>ABS(Z166-Y166)</f>
        <v>5.7912999999999997</v>
      </c>
      <c r="AB166" s="59" t="e">
        <f>VLOOKUP(A166,Enforcements!$C$7:$K$16,8,0)</f>
        <v>#N/A</v>
      </c>
      <c r="AC166" s="55" t="e">
        <f>VLOOKUP(A166,Enforcements!$C$7:$E$16,3,0)</f>
        <v>#N/A</v>
      </c>
      <c r="AD166" s="56" t="str">
        <f>IF(LEN(A166)=6,"0"&amp;A166,A166)</f>
        <v>1809-05</v>
      </c>
      <c r="AE166" s="85" t="str">
        <f>"aws s3 cp "&amp;s3_bucket&amp;"/RTDC"&amp;B166&amp;"/ "&amp;search_path&amp;"\RTDC"&amp;B166&amp;"\"&amp;TEXT(F166,"YYYY-MM-DD")&amp;" --exclude ""*"" --recursive --include ""*"&amp;TEXT(F166,"YYYYMMDD")&amp;"*"" &amp; """&amp;walkandungz&amp;""" "&amp;search_path&amp;"\RTDC"&amp;B166&amp;"\"&amp;TEXT(F166,"YYYY-MM-DD")
&amp;" &amp; "&amp;"aws s3 cp "&amp;s3_bucket&amp;"/RTDC"&amp;B166&amp;"/ "&amp;search_path&amp;"\RTDC"&amp;B166&amp;"\"&amp;TEXT(F166+1,"YYYY-MM-DD")&amp;" --exclude ""*"" --recursive --include ""*"&amp;TEXT(F166+1,"YYYYMMDD")&amp;"*"" &amp; """&amp;walkandungz&amp;""" "&amp;search_path&amp;"\RTDC"&amp;B166&amp;"\"&amp;TEXT(F166+1,"YYYY-MM-DD")</f>
        <v>aws s3 cp s3://rtdc.mdm.uploadarchive.raw/RTDC4003/ "%USERPROFILE%\AppData\Local\Temp\OnboardLogs"\RTDC4003\2017-02-05 --exclude "*" --recursive --include "*20170205*" &amp; "%USERPROFILE%\Documents\GitHub\mrs-test-scripts\Headless Mode &amp; Sideloading\WalkAndUnGZ.bat" "%USERPROFILE%\AppData\Local\Temp\OnboardLogs"\RTDC4003\2017-02-05 &amp; aws s3 cp s3://rtdc.mdm.uploadarchive.raw/RTDC4003/ "%USERPROFILE%\AppData\Local\Temp\OnboardLogs"\RTDC4003\2017-02-06 --exclude "*" --recursive --include "*20170206*" &amp; "%USERPROFILE%\Documents\GitHub\mrs-test-scripts\Headless Mode &amp; Sideloading\WalkAndUnGZ.bat" "%USERPROFILE%\AppData\Local\Temp\OnboardLogs"\RTDC4003\2017-02-06</v>
      </c>
      <c r="AF166" s="82" t="str">
        <f>astrogrep_path&amp;" /spath="&amp;search_path&amp;" /stypes=""app*"&amp;B166&amp;"*"&amp;TEXT(I166-utc_offset/24,"YYYYMMDD")&amp;"*"" /stext="" "&amp;TEXT(I166-utc_offset/24,"HH")&amp;search_regexp&amp;""" /e /r /s"</f>
        <v>"C:\Program Files (x86)\AstroGrep\AstroGrep.exe" /spath="%USERPROFILE%\AppData\Local\Temp\OnboardLogs" /stypes="app*4003*20170205*" /stext=" 17:.+((SYSTEM_STATE.+slice.+state.+changed )|(ment ac)|(multiple cpu faults)|(system.+state.+changed )|(\[timeout)|(PRM\|1\|D)|(kpr)|(kdp)|(\|lc)|(penalty))" /e /r /s</v>
      </c>
      <c r="AG166" s="1" t="str">
        <f>IFERROR(IF(VALUE(LEFT(AD166,2))&lt;=2,"EC",IF(OR(VALUE(LEFT(AD166,2))=8,VALUE(LEFT(AD166,2))=18),"NW","Other")),"Other")</f>
        <v>NW</v>
      </c>
      <c r="AH166" s="86" t="str">
        <f t="shared" si="10"/>
        <v>"%USERPROFILE%\Documents\GitHub\eaglep3\Utilities\RefineRTDCRunTimes.py" --tripid 1809-05 --locoid 4003 --swversion DE.1.0.8.0 --startMP 204:1016 --initTime 2017-02-05T09:55:37 --startdatetime 2017-02-05T10:22:11 --delay 0 --endMP 300:58929 --enddatetime 2017-02-05T10:34:51 --enforcementcount 0 &gt;&gt;C:\Users\stu\Documents\GitHub\eaglep3-reporting\EC\2017-02-05-refined-times.txt</v>
      </c>
      <c r="AI166" s="108" t="str">
        <f t="shared" si="11"/>
        <v>echo {"issue":{"subject":"","project_id":79,"tracker_id":40,"status_id":1,"priority_id":2,"assigned_to_id":23,"start_date":"2017-02-05","description":"","custom_fields":[{"id":1,"name":"Subdivision","value":"NW"},{"id":4,"name":"Milepost","value":"5.8929"},{"id":17,"name":"Train ID","value":"1809-05"},{"id":16,"name":"Locomotive ID","value":"4003"},{"id":130,"name":"Impact","value":""},{"id":150,"name":"Time of Event (Mountain Time)","value":"10:34:51"},{"id":151,"name":"Denver Issue ID","value":""},{"id":178,"name":"Operational Impact","value":"Yes"},{"id":179,"name":"Denver Segment Assigned","value":""}]}} | curl -X POST -H "Content-Type: application/json" -H "X-Redmine-API-Key: d6333d4a04012a730768444271f8ca06482dae87" https://secure.xorail.net/redmine/issues.json --data @-</v>
      </c>
      <c r="AJ166" s="48"/>
      <c r="AK166" s="48"/>
      <c r="AL166" s="48"/>
      <c r="AM166" s="158" t="str">
        <f t="shared" si="12"/>
        <v>start /low /b %USERPROFILE%\Documents\GitHub\eaglep3\Utilities\DownloadLogsFromS3.py --loco 4003 --day 2017-02-05</v>
      </c>
      <c r="AN166" s="167" t="str">
        <f>"grep -SE -B400 ""CHR.+\|PRM\|1\|D.+(SWITCH|SIGNAL).+UNKNOWN"" "&amp;search_path&amp;"\RTDC"&amp;B166&amp;"\*"&amp;B166&amp;"*"&amp;TEXT(AVERAGE(F166,I166)-utc_offset/24,"YYYYMMDD")&amp;"* | grep -SE ""(Enforcement Action)|(\[TIMEOUT)|(CHR.+\|PRM\|1\|D.+(SWITCH|SIGNAL).+UNKNOWN)"" - &gt;&gt; "&amp;TEXT(Variables!$A$2,"YYYY-MM-DD")&amp;"-UncaughtWiMAX.txt"</f>
        <v>grep -SE -B400 "CHR.+\|PRM\|1\|D.+(SWITCH|SIGNAL).+UNKNOWN" "%USERPROFILE%\AppData\Local\Temp\OnboardLogs"\RTDC4003\*4003*20170205* | grep -SE "(Enforcement Action)|(\[TIMEOUT)|(CHR.+\|PRM\|1\|D.+(SWITCH|SIGNAL).+UNKNOWN)" - &gt;&gt; 2017-02-05-UncaughtWiMAX.txt</v>
      </c>
    </row>
    <row r="167" spans="1:91" x14ac:dyDescent="0.25">
      <c r="A167" s="33" t="s">
        <v>606</v>
      </c>
      <c r="B167" s="7">
        <v>4004</v>
      </c>
      <c r="C167" s="21" t="s">
        <v>193</v>
      </c>
      <c r="D167" s="21" t="s">
        <v>797</v>
      </c>
      <c r="E167" s="13">
        <v>42771.442303240743</v>
      </c>
      <c r="F167" s="13">
        <v>42771.443738425929</v>
      </c>
      <c r="G167" s="7">
        <v>1</v>
      </c>
      <c r="H167" s="21" t="s">
        <v>800</v>
      </c>
      <c r="I167" s="13">
        <v>42771.45453703704</v>
      </c>
      <c r="J167" s="7">
        <v>0</v>
      </c>
      <c r="K167" s="98" t="str">
        <f>IF(ISEVEN(B167),(B167-1)&amp;"/"&amp;B167,B167&amp;"/"&amp;(B167+1))</f>
        <v>4003/4004</v>
      </c>
      <c r="L167" s="21" t="str">
        <f>VLOOKUP(A167,'Trips&amp;Operators'!$C$1:$G$99999,5,FALSE)</f>
        <v>YORK EDGAR</v>
      </c>
      <c r="M167" s="6">
        <f>I167-F167</f>
        <v>1.0798611110658385E-2</v>
      </c>
      <c r="N167" s="7">
        <f>24*60*SUM($M167:$M167)</f>
        <v>15.549999999348074</v>
      </c>
      <c r="O167" s="7"/>
      <c r="P167" s="7"/>
      <c r="Q167" s="22"/>
      <c r="R167" s="22"/>
      <c r="S167" s="31">
        <f>SUM(U167:U167)/IF(AG167="EC",12,1)</f>
        <v>1</v>
      </c>
      <c r="T167" s="46" t="str">
        <f>IF(ISEVEN(LEFT(AD167,4)),"Southbound","NorthBound")</f>
        <v>Southbound</v>
      </c>
      <c r="U167" s="190">
        <f>IF(AG167="EC",COUNTIFS(Variables!$M$2:$M$19,IF(T167="NorthBound","&gt;=","&lt;=")&amp;Y167,Variables!$M$2:$M$19,IF(T167="NorthBound","&lt;=","&gt;=")&amp;Z167),COUNTIFS(Variables!$P$2:$P$19,IF(T167="NorthBound","&gt;=","&lt;=")&amp;Y167,Variables!$P$2:$P$19,IF(T167="NorthBound","&lt;=","&gt;=")&amp;Z167))</f>
        <v>1</v>
      </c>
      <c r="V167" s="191" t="str">
        <f>"https://d0f6bd738d7f1b3e5a7ca70fe4ff75f0.us-east-1.aws.found.io/app/kibana#/discover/Steve-Slow-Train-Analysis-(2080s-and-2083s)?_g="&amp;"(refreshInterval:(display:Off,pause:!f,section:0,value:0),time:(from:'"&amp;TEXT(E167-1/24,"yyyy-MM-DDThh:mm:ss")&amp;utc_offset&amp;"00"&amp;"',mode:absolute,to:'"&amp;TEXT(I167+1/24,"yyyy-MM-DDThh:mm:ss")&amp;utc_offset&amp;"00"&amp;"'))&amp;_a=(columns:!('Locomotive+ID','Data.Head+End+Milepost',Data.Speed,'Data.Locomotive+State','Data.Train+ID',"&amp;"'Data.Warning%2FEnforcement+Type','Data.Target+Start+Milepost','Data.Target+Description','Data.Target+Speed',"&amp;"'Data.Enforcement+Train+Speed','Data.Enforcement+Start+Milepost','Data.Target+Type','Data.Enforcement+Direction+of+Travel','Message+ID',"&amp;"'Data.Body+of+Summary+Text','Data.Head+End+Track+name'),filters:!(),index:'emp_*',interval:auto,query:"&amp;"(query_string:(analyze_wildcard:!t,query:'Message%5C+ID:(2083+OR+2080+OR+1041+OR+2003+OR+1051+OR+1043+OR+1053)+AND+%22rtdc.l.rtdc."&amp;B167&amp;"%22')),sort:!(Time.ISO8601,asc))"</f>
        <v>https://d0f6bd738d7f1b3e5a7ca70fe4ff75f0.us-east-1.aws.found.io/app/kibana#/discover/Steve-Slow-Train-Analysis-(2080s-and-2083s)?_g=(refreshInterval:(display:Off,pause:!f,section:0,value:0),time:(from:'2017-02-05T09:36:55-0700',mode:absolute,to:'2017-02-05T11:54:32-0700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4004%22')),sort:!(Time.ISO8601,asc))</v>
      </c>
      <c r="W167" s="192" t="str">
        <f>IF(AA167&lt;IF(AG167="EC",23,5.65),"Y","N")</f>
        <v>N</v>
      </c>
      <c r="X167" s="192">
        <f>VALUE(LEFT(AD167,4))-VALUE(LEFT(AD166,4))</f>
        <v>1</v>
      </c>
      <c r="Y167" s="62">
        <f>RIGHT(D167,LEN(D167)-4)/10000</f>
        <v>5.8616999999999999</v>
      </c>
      <c r="Z167" s="62">
        <f>RIGHT(H167,LEN(H167)-4)/10000</f>
        <v>7.4499999999999997E-2</v>
      </c>
      <c r="AA167" s="62">
        <f>ABS(Z167-Y167)</f>
        <v>5.7872000000000003</v>
      </c>
      <c r="AB167" s="59" t="e">
        <f>VLOOKUP(A167,Enforcements!$C$7:$K$16,8,0)</f>
        <v>#N/A</v>
      </c>
      <c r="AC167" s="55" t="e">
        <f>VLOOKUP(A167,Enforcements!$C$7:$E$16,3,0)</f>
        <v>#N/A</v>
      </c>
      <c r="AD167" s="56" t="str">
        <f>IF(LEN(A167)=6,"0"&amp;A167,A167)</f>
        <v>1810-05</v>
      </c>
      <c r="AE167" s="85" t="str">
        <f>"aws s3 cp "&amp;s3_bucket&amp;"/RTDC"&amp;B167&amp;"/ "&amp;search_path&amp;"\RTDC"&amp;B167&amp;"\"&amp;TEXT(F167,"YYYY-MM-DD")&amp;" --exclude ""*"" --recursive --include ""*"&amp;TEXT(F167,"YYYYMMDD")&amp;"*"" &amp; """&amp;walkandungz&amp;""" "&amp;search_path&amp;"\RTDC"&amp;B167&amp;"\"&amp;TEXT(F167,"YYYY-MM-DD")
&amp;" &amp; "&amp;"aws s3 cp "&amp;s3_bucket&amp;"/RTDC"&amp;B167&amp;"/ "&amp;search_path&amp;"\RTDC"&amp;B167&amp;"\"&amp;TEXT(F167+1,"YYYY-MM-DD")&amp;" --exclude ""*"" --recursive --include ""*"&amp;TEXT(F167+1,"YYYYMMDD")&amp;"*"" &amp; """&amp;walkandungz&amp;""" "&amp;search_path&amp;"\RTDC"&amp;B167&amp;"\"&amp;TEXT(F167+1,"YYYY-MM-DD")</f>
        <v>aws s3 cp s3://rtdc.mdm.uploadarchive.raw/RTDC4004/ "%USERPROFILE%\AppData\Local\Temp\OnboardLogs"\RTDC4004\2017-02-05 --exclude "*" --recursive --include "*20170205*" &amp; "%USERPROFILE%\Documents\GitHub\mrs-test-scripts\Headless Mode &amp; Sideloading\WalkAndUnGZ.bat" "%USERPROFILE%\AppData\Local\Temp\OnboardLogs"\RTDC4004\2017-02-05 &amp; aws s3 cp s3://rtdc.mdm.uploadarchive.raw/RTDC4004/ "%USERPROFILE%\AppData\Local\Temp\OnboardLogs"\RTDC4004\2017-02-06 --exclude "*" --recursive --include "*20170206*" &amp; "%USERPROFILE%\Documents\GitHub\mrs-test-scripts\Headless Mode &amp; Sideloading\WalkAndUnGZ.bat" "%USERPROFILE%\AppData\Local\Temp\OnboardLogs"\RTDC4004\2017-02-06</v>
      </c>
      <c r="AF167" s="82" t="str">
        <f>astrogrep_path&amp;" /spath="&amp;search_path&amp;" /stypes=""app*"&amp;B167&amp;"*"&amp;TEXT(I167-utc_offset/24,"YYYYMMDD")&amp;"*"" /stext="" "&amp;TEXT(I167-utc_offset/24,"HH")&amp;search_regexp&amp;""" /e /r /s"</f>
        <v>"C:\Program Files (x86)\AstroGrep\AstroGrep.exe" /spath="%USERPROFILE%\AppData\Local\Temp\OnboardLogs" /stypes="app*4004*20170205*" /stext=" 17:.+((SYSTEM_STATE.+slice.+state.+changed )|(ment ac)|(multiple cpu faults)|(system.+state.+changed )|(\[timeout)|(PRM\|1\|D)|(kpr)|(kdp)|(\|lc)|(penalty))" /e /r /s</v>
      </c>
      <c r="AG167" s="1" t="str">
        <f>IFERROR(IF(VALUE(LEFT(AD167,2))&lt;=2,"EC",IF(OR(VALUE(LEFT(AD167,2))=8,VALUE(LEFT(AD167,2))=18),"NW","Other")),"Other")</f>
        <v>NW</v>
      </c>
      <c r="AH167" s="86" t="str">
        <f t="shared" si="10"/>
        <v>"%USERPROFILE%\Documents\GitHub\eaglep3\Utilities\RefineRTDCRunTimes.py" --tripid 1810-05 --locoid 4004 --swversion DE.1.0.8.0 --startMP 300:58617 --initTime 2017-02-05T10:36:55 --startdatetime 2017-02-05T10:38:59 --delay 1 --endMP 204:745 --enddatetime 2017-02-05T10:54:32 --enforcementcount 0 &gt;&gt;C:\Users\stu\Documents\GitHub\eaglep3-reporting\EC\2017-02-05-refined-times.txt</v>
      </c>
      <c r="AI167" s="108" t="str">
        <f t="shared" si="11"/>
        <v>echo {"issue":{"subject":"","project_id":79,"tracker_id":40,"status_id":1,"priority_id":2,"assigned_to_id":23,"start_date":"2017-02-05","description":"","custom_fields":[{"id":1,"name":"Subdivision","value":"NW"},{"id":4,"name":"Milepost","value":"0.0745"},{"id":17,"name":"Train ID","value":"1810-05"},{"id":16,"name":"Locomotive ID","value":"4004"},{"id":130,"name":"Impact","value":""},{"id":150,"name":"Time of Event (Mountain Time)","value":"10:54:32"},{"id":151,"name":"Denver Issue ID","value":""},{"id":178,"name":"Operational Impact","value":"Yes"},{"id":179,"name":"Denver Segment Assigned","value":""}]}} | curl -X POST -H "Content-Type: application/json" -H "X-Redmine-API-Key: d6333d4a04012a730768444271f8ca06482dae87" https://secure.xorail.net/redmine/issues.json --data @-</v>
      </c>
      <c r="AJ167" s="48"/>
      <c r="AK167" s="48"/>
      <c r="AL167" s="48"/>
      <c r="AM167" s="158" t="str">
        <f t="shared" si="12"/>
        <v>start /low /b %USERPROFILE%\Documents\GitHub\eaglep3\Utilities\DownloadLogsFromS3.py --loco 4004 --day 2017-02-05</v>
      </c>
      <c r="AN167" s="167" t="str">
        <f>"grep -SE -B400 ""CHR.+\|PRM\|1\|D.+(SWITCH|SIGNAL).+UNKNOWN"" "&amp;search_path&amp;"\RTDC"&amp;B167&amp;"\*"&amp;B167&amp;"*"&amp;TEXT(AVERAGE(F167,I167)-utc_offset/24,"YYYYMMDD")&amp;"* | grep -SE ""(Enforcement Action)|(\[TIMEOUT)|(CHR.+\|PRM\|1\|D.+(SWITCH|SIGNAL).+UNKNOWN)"" - &gt;&gt; "&amp;TEXT(Variables!$A$2,"YYYY-MM-DD")&amp;"-UncaughtWiMAX.txt"</f>
        <v>grep -SE -B400 "CHR.+\|PRM\|1\|D.+(SWITCH|SIGNAL).+UNKNOWN" "%USERPROFILE%\AppData\Local\Temp\OnboardLogs"\RTDC4004\*4004*20170205* | grep -SE "(Enforcement Action)|(\[TIMEOUT)|(CHR.+\|PRM\|1\|D.+(SWITCH|SIGNAL).+UNKNOWN)" - &gt;&gt; 2017-02-05-UncaughtWiMAX.txt</v>
      </c>
    </row>
    <row r="168" spans="1:91" s="20" customFormat="1" x14ac:dyDescent="0.25">
      <c r="A168" s="33" t="s">
        <v>612</v>
      </c>
      <c r="B168" s="7">
        <v>4003</v>
      </c>
      <c r="C168" s="21" t="s">
        <v>193</v>
      </c>
      <c r="D168" s="21" t="s">
        <v>801</v>
      </c>
      <c r="E168" s="13">
        <v>42771.455740740741</v>
      </c>
      <c r="F168" s="13">
        <v>42771.473136574074</v>
      </c>
      <c r="G168" s="7">
        <v>0</v>
      </c>
      <c r="H168" s="21" t="s">
        <v>796</v>
      </c>
      <c r="I168" s="13">
        <v>42771.481898148151</v>
      </c>
      <c r="J168" s="7">
        <v>0</v>
      </c>
      <c r="K168" s="98" t="str">
        <f>IF(ISEVEN(B168),(B168-1)&amp;"/"&amp;B168,B168&amp;"/"&amp;(B168+1))</f>
        <v>4003/4004</v>
      </c>
      <c r="L168" s="21" t="str">
        <f>VLOOKUP(A168,'Trips&amp;Operators'!$C$1:$G$99999,5,FALSE)</f>
        <v>YORK EDGAR</v>
      </c>
      <c r="M168" s="6">
        <f>I168-F168</f>
        <v>8.7615740776527673E-3</v>
      </c>
      <c r="N168" s="7">
        <f>24*60*SUM($M168:$M168)</f>
        <v>12.616666671819985</v>
      </c>
      <c r="O168" s="7"/>
      <c r="P168" s="7"/>
      <c r="Q168" s="22"/>
      <c r="R168" s="22"/>
      <c r="S168" s="31">
        <f>SUM(U168:U168)/IF(AG168="EC",12,1)</f>
        <v>1</v>
      </c>
      <c r="T168" s="46" t="str">
        <f>IF(ISEVEN(LEFT(AD168,4)),"Southbound","NorthBound")</f>
        <v>NorthBound</v>
      </c>
      <c r="U168" s="190">
        <f>IF(AG168="EC",COUNTIFS(Variables!$M$2:$M$19,IF(T168="NorthBound","&gt;=","&lt;=")&amp;Y168,Variables!$M$2:$M$19,IF(T168="NorthBound","&lt;=","&gt;=")&amp;Z168),COUNTIFS(Variables!$P$2:$P$19,IF(T168="NorthBound","&gt;=","&lt;=")&amp;Y168,Variables!$P$2:$P$19,IF(T168="NorthBound","&lt;=","&gt;=")&amp;Z168))</f>
        <v>1</v>
      </c>
      <c r="V168" s="191" t="str">
        <f>"https://d0f6bd738d7f1b3e5a7ca70fe4ff75f0.us-east-1.aws.found.io/app/kibana#/discover/Steve-Slow-Train-Analysis-(2080s-and-2083s)?_g="&amp;"(refreshInterval:(display:Off,pause:!f,section:0,value:0),time:(from:'"&amp;TEXT(E168-1/24,"yyyy-MM-DDThh:mm:ss")&amp;utc_offset&amp;"00"&amp;"',mode:absolute,to:'"&amp;TEXT(I168+1/24,"yyyy-MM-DDThh:mm:ss")&amp;utc_offset&amp;"00"&amp;"'))&amp;_a=(columns:!('Locomotive+ID','Data.Head+End+Milepost',Data.Speed,'Data.Locomotive+State','Data.Train+ID',"&amp;"'Data.Warning%2FEnforcement+Type','Data.Target+Start+Milepost','Data.Target+Description','Data.Target+Speed',"&amp;"'Data.Enforcement+Train+Speed','Data.Enforcement+Start+Milepost','Data.Target+Type','Data.Enforcement+Direction+of+Travel','Message+ID',"&amp;"'Data.Body+of+Summary+Text','Data.Head+End+Track+name'),filters:!(),index:'emp_*',interval:auto,query:"&amp;"(query_string:(analyze_wildcard:!t,query:'Message%5C+ID:(2083+OR+2080+OR+1041+OR+2003+OR+1051+OR+1043+OR+1053)+AND+%22rtdc.l.rtdc."&amp;B168&amp;"%22')),sort:!(Time.ISO8601,asc))"</f>
        <v>https://d0f6bd738d7f1b3e5a7ca70fe4ff75f0.us-east-1.aws.found.io/app/kibana#/discover/Steve-Slow-Train-Analysis-(2080s-and-2083s)?_g=(refreshInterval:(display:Off,pause:!f,section:0,value:0),time:(from:'2017-02-05T09:56:16-0700',mode:absolute,to:'2017-02-05T12:33:56-0700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4003%22')),sort:!(Time.ISO8601,asc))</v>
      </c>
      <c r="W168" s="192" t="str">
        <f>IF(AA168&lt;IF(AG168="EC",23,5.65),"Y","N")</f>
        <v>N</v>
      </c>
      <c r="X168" s="192">
        <f>VALUE(LEFT(AD168,4))-VALUE(LEFT(AD167,4))</f>
        <v>1</v>
      </c>
      <c r="Y168" s="62">
        <f>RIGHT(D168,LEN(D168)-4)/10000</f>
        <v>0.1018</v>
      </c>
      <c r="Z168" s="62">
        <f>RIGHT(H168,LEN(H168)-4)/10000</f>
        <v>5.8929</v>
      </c>
      <c r="AA168" s="62">
        <f>ABS(Z168-Y168)</f>
        <v>5.7911000000000001</v>
      </c>
      <c r="AB168" s="59" t="e">
        <f>VLOOKUP(A168,Enforcements!$C$7:$K$16,8,0)</f>
        <v>#N/A</v>
      </c>
      <c r="AC168" s="55" t="e">
        <f>VLOOKUP(A168,Enforcements!$C$7:$E$16,3,0)</f>
        <v>#N/A</v>
      </c>
      <c r="AD168" s="56" t="str">
        <f>IF(LEN(A168)=6,"0"&amp;A168,A168)</f>
        <v>1811-05</v>
      </c>
      <c r="AE168" s="85" t="str">
        <f>"aws s3 cp "&amp;s3_bucket&amp;"/RTDC"&amp;B168&amp;"/ "&amp;search_path&amp;"\RTDC"&amp;B168&amp;"\"&amp;TEXT(F168,"YYYY-MM-DD")&amp;" --exclude ""*"" --recursive --include ""*"&amp;TEXT(F168,"YYYYMMDD")&amp;"*"" &amp; """&amp;walkandungz&amp;""" "&amp;search_path&amp;"\RTDC"&amp;B168&amp;"\"&amp;TEXT(F168,"YYYY-MM-DD")
&amp;" &amp; "&amp;"aws s3 cp "&amp;s3_bucket&amp;"/RTDC"&amp;B168&amp;"/ "&amp;search_path&amp;"\RTDC"&amp;B168&amp;"\"&amp;TEXT(F168+1,"YYYY-MM-DD")&amp;" --exclude ""*"" --recursive --include ""*"&amp;TEXT(F168+1,"YYYYMMDD")&amp;"*"" &amp; """&amp;walkandungz&amp;""" "&amp;search_path&amp;"\RTDC"&amp;B168&amp;"\"&amp;TEXT(F168+1,"YYYY-MM-DD")</f>
        <v>aws s3 cp s3://rtdc.mdm.uploadarchive.raw/RTDC4003/ "%USERPROFILE%\AppData\Local\Temp\OnboardLogs"\RTDC4003\2017-02-05 --exclude "*" --recursive --include "*20170205*" &amp; "%USERPROFILE%\Documents\GitHub\mrs-test-scripts\Headless Mode &amp; Sideloading\WalkAndUnGZ.bat" "%USERPROFILE%\AppData\Local\Temp\OnboardLogs"\RTDC4003\2017-02-05 &amp; aws s3 cp s3://rtdc.mdm.uploadarchive.raw/RTDC4003/ "%USERPROFILE%\AppData\Local\Temp\OnboardLogs"\RTDC4003\2017-02-06 --exclude "*" --recursive --include "*20170206*" &amp; "%USERPROFILE%\Documents\GitHub\mrs-test-scripts\Headless Mode &amp; Sideloading\WalkAndUnGZ.bat" "%USERPROFILE%\AppData\Local\Temp\OnboardLogs"\RTDC4003\2017-02-06</v>
      </c>
      <c r="AF168" s="82" t="str">
        <f>astrogrep_path&amp;" /spath="&amp;search_path&amp;" /stypes=""app*"&amp;B168&amp;"*"&amp;TEXT(I168-utc_offset/24,"YYYYMMDD")&amp;"*"" /stext="" "&amp;TEXT(I168-utc_offset/24,"HH")&amp;search_regexp&amp;""" /e /r /s"</f>
        <v>"C:\Program Files (x86)\AstroGrep\AstroGrep.exe" /spath="%USERPROFILE%\AppData\Local\Temp\OnboardLogs" /stypes="app*4003*20170205*" /stext=" 18:.+((SYSTEM_STATE.+slice.+state.+changed )|(ment ac)|(multiple cpu faults)|(system.+state.+changed )|(\[timeout)|(PRM\|1\|D)|(kpr)|(kdp)|(\|lc)|(penalty))" /e /r /s</v>
      </c>
      <c r="AG168" s="1" t="str">
        <f>IFERROR(IF(VALUE(LEFT(AD168,2))&lt;=2,"EC",IF(OR(VALUE(LEFT(AD168,2))=8,VALUE(LEFT(AD168,2))=18),"NW","Other")),"Other")</f>
        <v>NW</v>
      </c>
      <c r="AH168" s="86" t="str">
        <f t="shared" si="10"/>
        <v>"%USERPROFILE%\Documents\GitHub\eaglep3\Utilities\RefineRTDCRunTimes.py" --tripid 1811-05 --locoid 4003 --swversion DE.1.0.8.0 --startMP 204:1018 --initTime 2017-02-05T10:56:16 --startdatetime 2017-02-05T11:21:19 --delay 0 --endMP 300:58929 --enddatetime 2017-02-05T11:33:56 --enforcementcount 0 &gt;&gt;C:\Users\stu\Documents\GitHub\eaglep3-reporting\EC\2017-02-05-refined-times.txt</v>
      </c>
      <c r="AI168" s="108" t="str">
        <f t="shared" si="11"/>
        <v>echo {"issue":{"subject":"","project_id":79,"tracker_id":40,"status_id":1,"priority_id":2,"assigned_to_id":23,"start_date":"2017-02-05","description":"","custom_fields":[{"id":1,"name":"Subdivision","value":"NW"},{"id":4,"name":"Milepost","value":"5.8929"},{"id":17,"name":"Train ID","value":"1811-05"},{"id":16,"name":"Locomotive ID","value":"4003"},{"id":130,"name":"Impact","value":""},{"id":150,"name":"Time of Event (Mountain Time)","value":"11:33:56"},{"id":151,"name":"Denver Issue ID","value":""},{"id":178,"name":"Operational Impact","value":"Yes"},{"id":179,"name":"Denver Segment Assigned","value":""}]}} | curl -X POST -H "Content-Type: application/json" -H "X-Redmine-API-Key: d6333d4a04012a730768444271f8ca06482dae87" https://secure.xorail.net/redmine/issues.json --data @-</v>
      </c>
      <c r="AJ168" s="48"/>
      <c r="AK168" s="48"/>
      <c r="AL168" s="48"/>
      <c r="AM168" s="158" t="str">
        <f t="shared" si="12"/>
        <v>start /low /b %USERPROFILE%\Documents\GitHub\eaglep3\Utilities\DownloadLogsFromS3.py --loco 4003 --day 2017-02-05</v>
      </c>
      <c r="AN168" s="167" t="str">
        <f>"grep -SE -B400 ""CHR.+\|PRM\|1\|D.+(SWITCH|SIGNAL).+UNKNOWN"" "&amp;search_path&amp;"\RTDC"&amp;B168&amp;"\*"&amp;B168&amp;"*"&amp;TEXT(AVERAGE(F168,I168)-utc_offset/24,"YYYYMMDD")&amp;"* | grep -SE ""(Enforcement Action)|(\[TIMEOUT)|(CHR.+\|PRM\|1\|D.+(SWITCH|SIGNAL).+UNKNOWN)"" - &gt;&gt; "&amp;TEXT(Variables!$A$2,"YYYY-MM-DD")&amp;"-UncaughtWiMAX.txt"</f>
        <v>grep -SE -B400 "CHR.+\|PRM\|1\|D.+(SWITCH|SIGNAL).+UNKNOWN" "%USERPROFILE%\AppData\Local\Temp\OnboardLogs"\RTDC4003\*4003*20170205* | grep -SE "(Enforcement Action)|(\[TIMEOUT)|(CHR.+\|PRM\|1\|D.+(SWITCH|SIGNAL).+UNKNOWN)" - &gt;&gt; 2017-02-05-UncaughtWiMAX.txt</v>
      </c>
      <c r="AO168"/>
      <c r="AP168"/>
      <c r="AQ168"/>
      <c r="AR168"/>
      <c r="AS168"/>
      <c r="AT168"/>
      <c r="AU168"/>
      <c r="AV168"/>
      <c r="AW168"/>
      <c r="AX168"/>
      <c r="AY168"/>
      <c r="AZ168"/>
      <c r="BA168"/>
      <c r="BB168"/>
      <c r="BC168"/>
      <c r="BD168"/>
      <c r="BE168"/>
      <c r="BF168"/>
      <c r="BG168"/>
      <c r="BH168"/>
      <c r="BI168"/>
      <c r="BJ168"/>
      <c r="BK168"/>
      <c r="BL168"/>
      <c r="BM168"/>
      <c r="BN168"/>
      <c r="BO168"/>
      <c r="BP168"/>
      <c r="BQ168"/>
      <c r="BR168"/>
      <c r="BS168"/>
      <c r="BT168"/>
      <c r="BU168"/>
      <c r="BV168"/>
      <c r="BW168"/>
      <c r="BX168"/>
      <c r="BY168"/>
      <c r="BZ168"/>
      <c r="CA168"/>
      <c r="CB168"/>
      <c r="CC168"/>
      <c r="CD168"/>
      <c r="CE168"/>
      <c r="CF168"/>
      <c r="CG168"/>
      <c r="CH168"/>
      <c r="CI168"/>
      <c r="CJ168"/>
      <c r="CK168"/>
      <c r="CL168"/>
      <c r="CM168"/>
    </row>
    <row r="169" spans="1:91" x14ac:dyDescent="0.25">
      <c r="A169" s="33" t="s">
        <v>621</v>
      </c>
      <c r="B169" s="7">
        <v>4004</v>
      </c>
      <c r="C169" s="21" t="s">
        <v>193</v>
      </c>
      <c r="D169" s="21" t="s">
        <v>802</v>
      </c>
      <c r="E169" s="13">
        <v>42771.482847222222</v>
      </c>
      <c r="F169" s="13">
        <v>42771.485208333332</v>
      </c>
      <c r="G169" s="7">
        <v>1</v>
      </c>
      <c r="H169" s="21" t="s">
        <v>803</v>
      </c>
      <c r="I169" s="13">
        <v>42771.495798611111</v>
      </c>
      <c r="J169" s="7">
        <v>0</v>
      </c>
      <c r="K169" s="98" t="str">
        <f>IF(ISEVEN(B169),(B169-1)&amp;"/"&amp;B169,B169&amp;"/"&amp;(B169+1))</f>
        <v>4003/4004</v>
      </c>
      <c r="L169" s="21" t="str">
        <f>VLOOKUP(A169,'Trips&amp;Operators'!$C$1:$G$99999,5,FALSE)</f>
        <v>YORK EDGAR</v>
      </c>
      <c r="M169" s="6">
        <f>I169-F169</f>
        <v>1.0590277779556345E-2</v>
      </c>
      <c r="N169" s="7">
        <f>24*60*SUM($M169:$M169)</f>
        <v>15.250000002561137</v>
      </c>
      <c r="O169" s="7"/>
      <c r="P169" s="7"/>
      <c r="Q169" s="22"/>
      <c r="R169" s="22"/>
      <c r="S169" s="31">
        <f>SUM(U169:U169)/IF(AG169="EC",12,1)</f>
        <v>1</v>
      </c>
      <c r="T169" s="46" t="str">
        <f>IF(ISEVEN(LEFT(AD169,4)),"Southbound","NorthBound")</f>
        <v>Southbound</v>
      </c>
      <c r="U169" s="190">
        <f>IF(AG169="EC",COUNTIFS(Variables!$M$2:$M$19,IF(T169="NorthBound","&gt;=","&lt;=")&amp;Y169,Variables!$M$2:$M$19,IF(T169="NorthBound","&lt;=","&gt;=")&amp;Z169),COUNTIFS(Variables!$P$2:$P$19,IF(T169="NorthBound","&gt;=","&lt;=")&amp;Y169,Variables!$P$2:$P$19,IF(T169="NorthBound","&lt;=","&gt;=")&amp;Z169))</f>
        <v>1</v>
      </c>
      <c r="V169" s="191" t="str">
        <f>"https://d0f6bd738d7f1b3e5a7ca70fe4ff75f0.us-east-1.aws.found.io/app/kibana#/discover/Steve-Slow-Train-Analysis-(2080s-and-2083s)?_g="&amp;"(refreshInterval:(display:Off,pause:!f,section:0,value:0),time:(from:'"&amp;TEXT(E169-1/24,"yyyy-MM-DDThh:mm:ss")&amp;utc_offset&amp;"00"&amp;"',mode:absolute,to:'"&amp;TEXT(I169+1/24,"yyyy-MM-DDThh:mm:ss")&amp;utc_offset&amp;"00"&amp;"'))&amp;_a=(columns:!('Locomotive+ID','Data.Head+End+Milepost',Data.Speed,'Data.Locomotive+State','Data.Train+ID',"&amp;"'Data.Warning%2FEnforcement+Type','Data.Target+Start+Milepost','Data.Target+Description','Data.Target+Speed',"&amp;"'Data.Enforcement+Train+Speed','Data.Enforcement+Start+Milepost','Data.Target+Type','Data.Enforcement+Direction+of+Travel','Message+ID',"&amp;"'Data.Body+of+Summary+Text','Data.Head+End+Track+name'),filters:!(),index:'emp_*',interval:auto,query:"&amp;"(query_string:(analyze_wildcard:!t,query:'Message%5C+ID:(2083+OR+2080+OR+1041+OR+2003+OR+1051+OR+1043+OR+1053)+AND+%22rtdc.l.rtdc."&amp;B169&amp;"%22')),sort:!(Time.ISO8601,asc))"</f>
        <v>https://d0f6bd738d7f1b3e5a7ca70fe4ff75f0.us-east-1.aws.found.io/app/kibana#/discover/Steve-Slow-Train-Analysis-(2080s-and-2083s)?_g=(refreshInterval:(display:Off,pause:!f,section:0,value:0),time:(from:'2017-02-05T10:35:18-0700',mode:absolute,to:'2017-02-05T12:53:57-0700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4004%22')),sort:!(Time.ISO8601,asc))</v>
      </c>
      <c r="W169" s="192" t="str">
        <f>IF(AA169&lt;IF(AG169="EC",23,5.65),"Y","N")</f>
        <v>N</v>
      </c>
      <c r="X169" s="192">
        <f>VALUE(LEFT(AD169,4))-VALUE(LEFT(AD168,4))</f>
        <v>1</v>
      </c>
      <c r="Y169" s="62">
        <f>RIGHT(D169,LEN(D169)-4)/10000</f>
        <v>5.8609</v>
      </c>
      <c r="Z169" s="62">
        <f>RIGHT(H169,LEN(H169)-4)/10000</f>
        <v>7.5499999999999998E-2</v>
      </c>
      <c r="AA169" s="62">
        <f>ABS(Z169-Y169)</f>
        <v>5.7854000000000001</v>
      </c>
      <c r="AB169" s="59" t="e">
        <f>VLOOKUP(A169,Enforcements!$C$7:$K$16,8,0)</f>
        <v>#N/A</v>
      </c>
      <c r="AC169" s="55" t="e">
        <f>VLOOKUP(A169,Enforcements!$C$7:$E$16,3,0)</f>
        <v>#N/A</v>
      </c>
      <c r="AD169" s="56" t="str">
        <f>IF(LEN(A169)=6,"0"&amp;A169,A169)</f>
        <v>1812-05</v>
      </c>
      <c r="AE169" s="85" t="str">
        <f>"aws s3 cp "&amp;s3_bucket&amp;"/RTDC"&amp;B169&amp;"/ "&amp;search_path&amp;"\RTDC"&amp;B169&amp;"\"&amp;TEXT(F169,"YYYY-MM-DD")&amp;" --exclude ""*"" --recursive --include ""*"&amp;TEXT(F169,"YYYYMMDD")&amp;"*"" &amp; """&amp;walkandungz&amp;""" "&amp;search_path&amp;"\RTDC"&amp;B169&amp;"\"&amp;TEXT(F169,"YYYY-MM-DD")
&amp;" &amp; "&amp;"aws s3 cp "&amp;s3_bucket&amp;"/RTDC"&amp;B169&amp;"/ "&amp;search_path&amp;"\RTDC"&amp;B169&amp;"\"&amp;TEXT(F169+1,"YYYY-MM-DD")&amp;" --exclude ""*"" --recursive --include ""*"&amp;TEXT(F169+1,"YYYYMMDD")&amp;"*"" &amp; """&amp;walkandungz&amp;""" "&amp;search_path&amp;"\RTDC"&amp;B169&amp;"\"&amp;TEXT(F169+1,"YYYY-MM-DD")</f>
        <v>aws s3 cp s3://rtdc.mdm.uploadarchive.raw/RTDC4004/ "%USERPROFILE%\AppData\Local\Temp\OnboardLogs"\RTDC4004\2017-02-05 --exclude "*" --recursive --include "*20170205*" &amp; "%USERPROFILE%\Documents\GitHub\mrs-test-scripts\Headless Mode &amp; Sideloading\WalkAndUnGZ.bat" "%USERPROFILE%\AppData\Local\Temp\OnboardLogs"\RTDC4004\2017-02-05 &amp; aws s3 cp s3://rtdc.mdm.uploadarchive.raw/RTDC4004/ "%USERPROFILE%\AppData\Local\Temp\OnboardLogs"\RTDC4004\2017-02-06 --exclude "*" --recursive --include "*20170206*" &amp; "%USERPROFILE%\Documents\GitHub\mrs-test-scripts\Headless Mode &amp; Sideloading\WalkAndUnGZ.bat" "%USERPROFILE%\AppData\Local\Temp\OnboardLogs"\RTDC4004\2017-02-06</v>
      </c>
      <c r="AF169" s="82" t="str">
        <f>astrogrep_path&amp;" /spath="&amp;search_path&amp;" /stypes=""app*"&amp;B169&amp;"*"&amp;TEXT(I169-utc_offset/24,"YYYYMMDD")&amp;"*"" /stext="" "&amp;TEXT(I169-utc_offset/24,"HH")&amp;search_regexp&amp;""" /e /r /s"</f>
        <v>"C:\Program Files (x86)\AstroGrep\AstroGrep.exe" /spath="%USERPROFILE%\AppData\Local\Temp\OnboardLogs" /stypes="app*4004*20170205*" /stext=" 18:.+((SYSTEM_STATE.+slice.+state.+changed )|(ment ac)|(multiple cpu faults)|(system.+state.+changed )|(\[timeout)|(PRM\|1\|D)|(kpr)|(kdp)|(\|lc)|(penalty))" /e /r /s</v>
      </c>
      <c r="AG169" s="1" t="str">
        <f>IFERROR(IF(VALUE(LEFT(AD169,2))&lt;=2,"EC",IF(OR(VALUE(LEFT(AD169,2))=8,VALUE(LEFT(AD169,2))=18),"NW","Other")),"Other")</f>
        <v>NW</v>
      </c>
      <c r="AH169" s="86" t="str">
        <f t="shared" si="10"/>
        <v>"%USERPROFILE%\Documents\GitHub\eaglep3\Utilities\RefineRTDCRunTimes.py" --tripid 1812-05 --locoid 4004 --swversion DE.1.0.8.0 --startMP 300:58609 --initTime 2017-02-05T11:35:18 --startdatetime 2017-02-05T11:38:42 --delay 1 --endMP 204:755 --enddatetime 2017-02-05T11:53:57 --enforcementcount 0 &gt;&gt;C:\Users\stu\Documents\GitHub\eaglep3-reporting\EC\2017-02-05-refined-times.txt</v>
      </c>
      <c r="AI169" s="108" t="str">
        <f t="shared" si="11"/>
        <v>echo {"issue":{"subject":"","project_id":79,"tracker_id":40,"status_id":1,"priority_id":2,"assigned_to_id":23,"start_date":"2017-02-05","description":"","custom_fields":[{"id":1,"name":"Subdivision","value":"NW"},{"id":4,"name":"Milepost","value":"0.0755"},{"id":17,"name":"Train ID","value":"1812-05"},{"id":16,"name":"Locomotive ID","value":"4004"},{"id":130,"name":"Impact","value":""},{"id":150,"name":"Time of Event (Mountain Time)","value":"11:53:57"},{"id":151,"name":"Denver Issue ID","value":""},{"id":178,"name":"Operational Impact","value":"Yes"},{"id":179,"name":"Denver Segment Assigned","value":""}]}} | curl -X POST -H "Content-Type: application/json" -H "X-Redmine-API-Key: d6333d4a04012a730768444271f8ca06482dae87" https://secure.xorail.net/redmine/issues.json --data @-</v>
      </c>
      <c r="AJ169" s="48"/>
      <c r="AK169" s="48"/>
      <c r="AL169" s="48"/>
      <c r="AM169" s="158" t="str">
        <f t="shared" si="12"/>
        <v>start /low /b %USERPROFILE%\Documents\GitHub\eaglep3\Utilities\DownloadLogsFromS3.py --loco 4004 --day 2017-02-05</v>
      </c>
      <c r="AN169" s="167" t="str">
        <f>"grep -SE -B400 ""CHR.+\|PRM\|1\|D.+(SWITCH|SIGNAL).+UNKNOWN"" "&amp;search_path&amp;"\RTDC"&amp;B169&amp;"\*"&amp;B169&amp;"*"&amp;TEXT(AVERAGE(F169,I169)-utc_offset/24,"YYYYMMDD")&amp;"* | grep -SE ""(Enforcement Action)|(\[TIMEOUT)|(CHR.+\|PRM\|1\|D.+(SWITCH|SIGNAL).+UNKNOWN)"" - &gt;&gt; "&amp;TEXT(Variables!$A$2,"YYYY-MM-DD")&amp;"-UncaughtWiMAX.txt"</f>
        <v>grep -SE -B400 "CHR.+\|PRM\|1\|D.+(SWITCH|SIGNAL).+UNKNOWN" "%USERPROFILE%\AppData\Local\Temp\OnboardLogs"\RTDC4004\*4004*20170205* | grep -SE "(Enforcement Action)|(\[TIMEOUT)|(CHR.+\|PRM\|1\|D.+(SWITCH|SIGNAL).+UNKNOWN)" - &gt;&gt; 2017-02-05-UncaughtWiMAX.txt</v>
      </c>
    </row>
    <row r="170" spans="1:91" x14ac:dyDescent="0.25">
      <c r="A170" s="33" t="s">
        <v>627</v>
      </c>
      <c r="B170" s="7">
        <v>4003</v>
      </c>
      <c r="C170" s="21" t="s">
        <v>193</v>
      </c>
      <c r="D170" s="21" t="s">
        <v>422</v>
      </c>
      <c r="E170" s="13">
        <v>42771.498090277775</v>
      </c>
      <c r="F170" s="13">
        <v>42771.514756944445</v>
      </c>
      <c r="G170" s="7">
        <v>0</v>
      </c>
      <c r="H170" s="21" t="s">
        <v>786</v>
      </c>
      <c r="I170" s="13">
        <v>42771.5237037037</v>
      </c>
      <c r="J170" s="7">
        <v>0</v>
      </c>
      <c r="K170" s="98" t="str">
        <f>IF(ISEVEN(B170),(B170-1)&amp;"/"&amp;B170,B170&amp;"/"&amp;(B170+1))</f>
        <v>4003/4004</v>
      </c>
      <c r="L170" s="21" t="str">
        <f>VLOOKUP(A170,'Trips&amp;Operators'!$C$1:$G$99999,5,FALSE)</f>
        <v>YORK EDGAR</v>
      </c>
      <c r="M170" s="6">
        <f>I170-F170</f>
        <v>8.9467592551955022E-3</v>
      </c>
      <c r="N170" s="7">
        <f>24*60*SUM($M170:$M170)</f>
        <v>12.883333327481523</v>
      </c>
      <c r="O170" s="7"/>
      <c r="P170" s="7"/>
      <c r="Q170" s="22"/>
      <c r="R170" s="22"/>
      <c r="S170" s="31">
        <f>SUM(U170:U170)/IF(AG170="EC",12,1)</f>
        <v>1</v>
      </c>
      <c r="T170" s="46" t="str">
        <f>IF(ISEVEN(LEFT(AD170,4)),"Southbound","NorthBound")</f>
        <v>NorthBound</v>
      </c>
      <c r="U170" s="190">
        <f>IF(AG170="EC",COUNTIFS(Variables!$M$2:$M$19,IF(T170="NorthBound","&gt;=","&lt;=")&amp;Y170,Variables!$M$2:$M$19,IF(T170="NorthBound","&lt;=","&gt;=")&amp;Z170),COUNTIFS(Variables!$P$2:$P$19,IF(T170="NorthBound","&gt;=","&lt;=")&amp;Y170,Variables!$P$2:$P$19,IF(T170="NorthBound","&lt;=","&gt;=")&amp;Z170))</f>
        <v>1</v>
      </c>
      <c r="V170" s="191" t="str">
        <f>"https://d0f6bd738d7f1b3e5a7ca70fe4ff75f0.us-east-1.aws.found.io/app/kibana#/discover/Steve-Slow-Train-Analysis-(2080s-and-2083s)?_g="&amp;"(refreshInterval:(display:Off,pause:!f,section:0,value:0),time:(from:'"&amp;TEXT(E170-1/24,"yyyy-MM-DDThh:mm:ss")&amp;utc_offset&amp;"00"&amp;"',mode:absolute,to:'"&amp;TEXT(I170+1/24,"yyyy-MM-DDThh:mm:ss")&amp;utc_offset&amp;"00"&amp;"'))&amp;_a=(columns:!('Locomotive+ID','Data.Head+End+Milepost',Data.Speed,'Data.Locomotive+State','Data.Train+ID',"&amp;"'Data.Warning%2FEnforcement+Type','Data.Target+Start+Milepost','Data.Target+Description','Data.Target+Speed',"&amp;"'Data.Enforcement+Train+Speed','Data.Enforcement+Start+Milepost','Data.Target+Type','Data.Enforcement+Direction+of+Travel','Message+ID',"&amp;"'Data.Body+of+Summary+Text','Data.Head+End+Track+name'),filters:!(),index:'emp_*',interval:auto,query:"&amp;"(query_string:(analyze_wildcard:!t,query:'Message%5C+ID:(2083+OR+2080+OR+1041+OR+2003+OR+1051+OR+1043+OR+1053)+AND+%22rtdc.l.rtdc."&amp;B170&amp;"%22')),sort:!(Time.ISO8601,asc))"</f>
        <v>https://d0f6bd738d7f1b3e5a7ca70fe4ff75f0.us-east-1.aws.found.io/app/kibana#/discover/Steve-Slow-Train-Analysis-(2080s-and-2083s)?_g=(refreshInterval:(display:Off,pause:!f,section:0,value:0),time:(from:'2017-02-05T10:57:15-0700',mode:absolute,to:'2017-02-05T13:34:08-0700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4003%22')),sort:!(Time.ISO8601,asc))</v>
      </c>
      <c r="W170" s="192" t="str">
        <f>IF(AA170&lt;IF(AG170="EC",23,5.65),"Y","N")</f>
        <v>N</v>
      </c>
      <c r="X170" s="192">
        <f>VALUE(LEFT(AD170,4))-VALUE(LEFT(AD169,4))</f>
        <v>1</v>
      </c>
      <c r="Y170" s="62">
        <f>RIGHT(D170,LEN(D170)-4)/10000</f>
        <v>0.1027</v>
      </c>
      <c r="Z170" s="62">
        <f>RIGHT(H170,LEN(H170)-4)/10000</f>
        <v>5.8928000000000003</v>
      </c>
      <c r="AA170" s="62">
        <f>ABS(Z170-Y170)</f>
        <v>5.7901000000000007</v>
      </c>
      <c r="AB170" s="59" t="e">
        <f>VLOOKUP(A170,Enforcements!$C$7:$K$16,8,0)</f>
        <v>#N/A</v>
      </c>
      <c r="AC170" s="55" t="e">
        <f>VLOOKUP(A170,Enforcements!$C$7:$E$16,3,0)</f>
        <v>#N/A</v>
      </c>
      <c r="AD170" s="56" t="str">
        <f>IF(LEN(A170)=6,"0"&amp;A170,A170)</f>
        <v>1813-05</v>
      </c>
      <c r="AE170" s="85" t="str">
        <f>"aws s3 cp "&amp;s3_bucket&amp;"/RTDC"&amp;B170&amp;"/ "&amp;search_path&amp;"\RTDC"&amp;B170&amp;"\"&amp;TEXT(F170,"YYYY-MM-DD")&amp;" --exclude ""*"" --recursive --include ""*"&amp;TEXT(F170,"YYYYMMDD")&amp;"*"" &amp; """&amp;walkandungz&amp;""" "&amp;search_path&amp;"\RTDC"&amp;B170&amp;"\"&amp;TEXT(F170,"YYYY-MM-DD")
&amp;" &amp; "&amp;"aws s3 cp "&amp;s3_bucket&amp;"/RTDC"&amp;B170&amp;"/ "&amp;search_path&amp;"\RTDC"&amp;B170&amp;"\"&amp;TEXT(F170+1,"YYYY-MM-DD")&amp;" --exclude ""*"" --recursive --include ""*"&amp;TEXT(F170+1,"YYYYMMDD")&amp;"*"" &amp; """&amp;walkandungz&amp;""" "&amp;search_path&amp;"\RTDC"&amp;B170&amp;"\"&amp;TEXT(F170+1,"YYYY-MM-DD")</f>
        <v>aws s3 cp s3://rtdc.mdm.uploadarchive.raw/RTDC4003/ "%USERPROFILE%\AppData\Local\Temp\OnboardLogs"\RTDC4003\2017-02-05 --exclude "*" --recursive --include "*20170205*" &amp; "%USERPROFILE%\Documents\GitHub\mrs-test-scripts\Headless Mode &amp; Sideloading\WalkAndUnGZ.bat" "%USERPROFILE%\AppData\Local\Temp\OnboardLogs"\RTDC4003\2017-02-05 &amp; aws s3 cp s3://rtdc.mdm.uploadarchive.raw/RTDC4003/ "%USERPROFILE%\AppData\Local\Temp\OnboardLogs"\RTDC4003\2017-02-06 --exclude "*" --recursive --include "*20170206*" &amp; "%USERPROFILE%\Documents\GitHub\mrs-test-scripts\Headless Mode &amp; Sideloading\WalkAndUnGZ.bat" "%USERPROFILE%\AppData\Local\Temp\OnboardLogs"\RTDC4003\2017-02-06</v>
      </c>
      <c r="AF170" s="82" t="str">
        <f>astrogrep_path&amp;" /spath="&amp;search_path&amp;" /stypes=""app*"&amp;B170&amp;"*"&amp;TEXT(I170-utc_offset/24,"YYYYMMDD")&amp;"*"" /stext="" "&amp;TEXT(I170-utc_offset/24,"HH")&amp;search_regexp&amp;""" /e /r /s"</f>
        <v>"C:\Program Files (x86)\AstroGrep\AstroGrep.exe" /spath="%USERPROFILE%\AppData\Local\Temp\OnboardLogs" /stypes="app*4003*20170205*" /stext=" 19:.+((SYSTEM_STATE.+slice.+state.+changed )|(ment ac)|(multiple cpu faults)|(system.+state.+changed )|(\[timeout)|(PRM\|1\|D)|(kpr)|(kdp)|(\|lc)|(penalty))" /e /r /s</v>
      </c>
      <c r="AG170" s="1" t="str">
        <f>IFERROR(IF(VALUE(LEFT(AD170,2))&lt;=2,"EC",IF(OR(VALUE(LEFT(AD170,2))=8,VALUE(LEFT(AD170,2))=18),"NW","Other")),"Other")</f>
        <v>NW</v>
      </c>
      <c r="AH170" s="86" t="str">
        <f t="shared" si="10"/>
        <v>"%USERPROFILE%\Documents\GitHub\eaglep3\Utilities\RefineRTDCRunTimes.py" --tripid 1813-05 --locoid 4003 --swversion DE.1.0.8.0 --startMP 204:1027 --initTime 2017-02-05T11:57:15 --startdatetime 2017-02-05T12:21:15 --delay 0 --endMP 300:58928 --enddatetime 2017-02-05T12:34:08 --enforcementcount 0 &gt;&gt;C:\Users\stu\Documents\GitHub\eaglep3-reporting\EC\2017-02-05-refined-times.txt</v>
      </c>
      <c r="AI170" s="108" t="str">
        <f t="shared" si="11"/>
        <v>echo {"issue":{"subject":"","project_id":79,"tracker_id":40,"status_id":1,"priority_id":2,"assigned_to_id":23,"start_date":"2017-02-05","description":"","custom_fields":[{"id":1,"name":"Subdivision","value":"NW"},{"id":4,"name":"Milepost","value":"5.8928"},{"id":17,"name":"Train ID","value":"1813-05"},{"id":16,"name":"Locomotive ID","value":"4003"},{"id":130,"name":"Impact","value":""},{"id":150,"name":"Time of Event (Mountain Time)","value":"12:34:08"},{"id":151,"name":"Denver Issue ID","value":""},{"id":178,"name":"Operational Impact","value":"Yes"},{"id":179,"name":"Denver Segment Assigned","value":""}]}} | curl -X POST -H "Content-Type: application/json" -H "X-Redmine-API-Key: d6333d4a04012a730768444271f8ca06482dae87" https://secure.xorail.net/redmine/issues.json --data @-</v>
      </c>
      <c r="AJ170" s="48"/>
      <c r="AK170" s="48"/>
      <c r="AL170" s="48"/>
      <c r="AM170" s="158" t="str">
        <f t="shared" si="12"/>
        <v>start /low /b %USERPROFILE%\Documents\GitHub\eaglep3\Utilities\DownloadLogsFromS3.py --loco 4003 --day 2017-02-05</v>
      </c>
      <c r="AN170" s="167" t="str">
        <f>"grep -SE -B400 ""CHR.+\|PRM\|1\|D.+(SWITCH|SIGNAL).+UNKNOWN"" "&amp;search_path&amp;"\RTDC"&amp;B170&amp;"\*"&amp;B170&amp;"*"&amp;TEXT(AVERAGE(F170,I170)-utc_offset/24,"YYYYMMDD")&amp;"* | grep -SE ""(Enforcement Action)|(\[TIMEOUT)|(CHR.+\|PRM\|1\|D.+(SWITCH|SIGNAL).+UNKNOWN)"" - &gt;&gt; "&amp;TEXT(Variables!$A$2,"YYYY-MM-DD")&amp;"-UncaughtWiMAX.txt"</f>
        <v>grep -SE -B400 "CHR.+\|PRM\|1\|D.+(SWITCH|SIGNAL).+UNKNOWN" "%USERPROFILE%\AppData\Local\Temp\OnboardLogs"\RTDC4003\*4003*20170205* | grep -SE "(Enforcement Action)|(\[TIMEOUT)|(CHR.+\|PRM\|1\|D.+(SWITCH|SIGNAL).+UNKNOWN)" - &gt;&gt; 2017-02-05-UncaughtWiMAX.txt</v>
      </c>
    </row>
    <row r="171" spans="1:91" x14ac:dyDescent="0.25">
      <c r="A171" s="33" t="s">
        <v>635</v>
      </c>
      <c r="B171" s="7">
        <v>4004</v>
      </c>
      <c r="C171" s="21" t="s">
        <v>193</v>
      </c>
      <c r="D171" s="21" t="s">
        <v>785</v>
      </c>
      <c r="E171" s="13">
        <v>42771.525972222225</v>
      </c>
      <c r="F171" s="13">
        <v>42771.527337962965</v>
      </c>
      <c r="G171" s="7">
        <v>1</v>
      </c>
      <c r="H171" s="21" t="s">
        <v>798</v>
      </c>
      <c r="I171" s="13">
        <v>42771.537534722222</v>
      </c>
      <c r="J171" s="7">
        <v>0</v>
      </c>
      <c r="K171" s="98" t="str">
        <f>IF(ISEVEN(B171),(B171-1)&amp;"/"&amp;B171,B171&amp;"/"&amp;(B171+1))</f>
        <v>4003/4004</v>
      </c>
      <c r="L171" s="21" t="str">
        <f>VLOOKUP(A171,'Trips&amp;Operators'!$C$1:$G$99999,5,FALSE)</f>
        <v>YORK EDGAR</v>
      </c>
      <c r="M171" s="6">
        <f>I171-F171</f>
        <v>1.0196759256359655E-2</v>
      </c>
      <c r="N171" s="7">
        <f>24*60*SUM($M171:$M171)</f>
        <v>14.683333329157904</v>
      </c>
      <c r="O171" s="7"/>
      <c r="P171" s="7"/>
      <c r="Q171" s="22"/>
      <c r="R171" s="22"/>
      <c r="S171" s="31">
        <f>SUM(U171:U171)/IF(AG171="EC",12,1)</f>
        <v>1</v>
      </c>
      <c r="T171" s="46" t="str">
        <f>IF(ISEVEN(LEFT(AD171,4)),"Southbound","NorthBound")</f>
        <v>Southbound</v>
      </c>
      <c r="U171" s="190">
        <f>IF(AG171="EC",COUNTIFS(Variables!$M$2:$M$19,IF(T171="NorthBound","&gt;=","&lt;=")&amp;Y171,Variables!$M$2:$M$19,IF(T171="NorthBound","&lt;=","&gt;=")&amp;Z171),COUNTIFS(Variables!$P$2:$P$19,IF(T171="NorthBound","&gt;=","&lt;=")&amp;Y171,Variables!$P$2:$P$19,IF(T171="NorthBound","&lt;=","&gt;=")&amp;Z171))</f>
        <v>1</v>
      </c>
      <c r="V171" s="191" t="str">
        <f>"https://d0f6bd738d7f1b3e5a7ca70fe4ff75f0.us-east-1.aws.found.io/app/kibana#/discover/Steve-Slow-Train-Analysis-(2080s-and-2083s)?_g="&amp;"(refreshInterval:(display:Off,pause:!f,section:0,value:0),time:(from:'"&amp;TEXT(E171-1/24,"yyyy-MM-DDThh:mm:ss")&amp;utc_offset&amp;"00"&amp;"',mode:absolute,to:'"&amp;TEXT(I171+1/24,"yyyy-MM-DDThh:mm:ss")&amp;utc_offset&amp;"00"&amp;"'))&amp;_a=(columns:!('Locomotive+ID','Data.Head+End+Milepost',Data.Speed,'Data.Locomotive+State','Data.Train+ID',"&amp;"'Data.Warning%2FEnforcement+Type','Data.Target+Start+Milepost','Data.Target+Description','Data.Target+Speed',"&amp;"'Data.Enforcement+Train+Speed','Data.Enforcement+Start+Milepost','Data.Target+Type','Data.Enforcement+Direction+of+Travel','Message+ID',"&amp;"'Data.Body+of+Summary+Text','Data.Head+End+Track+name'),filters:!(),index:'emp_*',interval:auto,query:"&amp;"(query_string:(analyze_wildcard:!t,query:'Message%5C+ID:(2083+OR+2080+OR+1041+OR+2003+OR+1051+OR+1043+OR+1053)+AND+%22rtdc.l.rtdc."&amp;B171&amp;"%22')),sort:!(Time.ISO8601,asc))"</f>
        <v>https://d0f6bd738d7f1b3e5a7ca70fe4ff75f0.us-east-1.aws.found.io/app/kibana#/discover/Steve-Slow-Train-Analysis-(2080s-and-2083s)?_g=(refreshInterval:(display:Off,pause:!f,section:0,value:0),time:(from:'2017-02-05T11:37:24-0700',mode:absolute,to:'2017-02-05T13:54:03-0700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4004%22')),sort:!(Time.ISO8601,asc))</v>
      </c>
      <c r="W171" s="192" t="str">
        <f>IF(AA171&lt;IF(AG171="EC",23,5.65),"Y","N")</f>
        <v>N</v>
      </c>
      <c r="X171" s="192">
        <f>VALUE(LEFT(AD171,4))-VALUE(LEFT(AD170,4))</f>
        <v>1</v>
      </c>
      <c r="Y171" s="62">
        <f>RIGHT(D171,LEN(D171)-4)/10000</f>
        <v>5.8625999999999996</v>
      </c>
      <c r="Z171" s="62">
        <f>RIGHT(H171,LEN(H171)-4)/10000</f>
        <v>7.3599999999999999E-2</v>
      </c>
      <c r="AA171" s="62">
        <f>ABS(Z171-Y171)</f>
        <v>5.7889999999999997</v>
      </c>
      <c r="AB171" s="59" t="e">
        <f>VLOOKUP(A171,Enforcements!$C$7:$K$16,8,0)</f>
        <v>#N/A</v>
      </c>
      <c r="AC171" s="55" t="e">
        <f>VLOOKUP(A171,Enforcements!$C$7:$E$16,3,0)</f>
        <v>#N/A</v>
      </c>
      <c r="AD171" s="56" t="str">
        <f>IF(LEN(A171)=6,"0"&amp;A171,A171)</f>
        <v>1814-05</v>
      </c>
      <c r="AE171" s="85" t="str">
        <f>"aws s3 cp "&amp;s3_bucket&amp;"/RTDC"&amp;B171&amp;"/ "&amp;search_path&amp;"\RTDC"&amp;B171&amp;"\"&amp;TEXT(F171,"YYYY-MM-DD")&amp;" --exclude ""*"" --recursive --include ""*"&amp;TEXT(F171,"YYYYMMDD")&amp;"*"" &amp; """&amp;walkandungz&amp;""" "&amp;search_path&amp;"\RTDC"&amp;B171&amp;"\"&amp;TEXT(F171,"YYYY-MM-DD")
&amp;" &amp; "&amp;"aws s3 cp "&amp;s3_bucket&amp;"/RTDC"&amp;B171&amp;"/ "&amp;search_path&amp;"\RTDC"&amp;B171&amp;"\"&amp;TEXT(F171+1,"YYYY-MM-DD")&amp;" --exclude ""*"" --recursive --include ""*"&amp;TEXT(F171+1,"YYYYMMDD")&amp;"*"" &amp; """&amp;walkandungz&amp;""" "&amp;search_path&amp;"\RTDC"&amp;B171&amp;"\"&amp;TEXT(F171+1,"YYYY-MM-DD")</f>
        <v>aws s3 cp s3://rtdc.mdm.uploadarchive.raw/RTDC4004/ "%USERPROFILE%\AppData\Local\Temp\OnboardLogs"\RTDC4004\2017-02-05 --exclude "*" --recursive --include "*20170205*" &amp; "%USERPROFILE%\Documents\GitHub\mrs-test-scripts\Headless Mode &amp; Sideloading\WalkAndUnGZ.bat" "%USERPROFILE%\AppData\Local\Temp\OnboardLogs"\RTDC4004\2017-02-05 &amp; aws s3 cp s3://rtdc.mdm.uploadarchive.raw/RTDC4004/ "%USERPROFILE%\AppData\Local\Temp\OnboardLogs"\RTDC4004\2017-02-06 --exclude "*" --recursive --include "*20170206*" &amp; "%USERPROFILE%\Documents\GitHub\mrs-test-scripts\Headless Mode &amp; Sideloading\WalkAndUnGZ.bat" "%USERPROFILE%\AppData\Local\Temp\OnboardLogs"\RTDC4004\2017-02-06</v>
      </c>
      <c r="AF171" s="82" t="str">
        <f>astrogrep_path&amp;" /spath="&amp;search_path&amp;" /stypes=""app*"&amp;B171&amp;"*"&amp;TEXT(I171-utc_offset/24,"YYYYMMDD")&amp;"*"" /stext="" "&amp;TEXT(I171-utc_offset/24,"HH")&amp;search_regexp&amp;""" /e /r /s"</f>
        <v>"C:\Program Files (x86)\AstroGrep\AstroGrep.exe" /spath="%USERPROFILE%\AppData\Local\Temp\OnboardLogs" /stypes="app*4004*20170205*" /stext=" 19:.+((SYSTEM_STATE.+slice.+state.+changed )|(ment ac)|(multiple cpu faults)|(system.+state.+changed )|(\[timeout)|(PRM\|1\|D)|(kpr)|(kdp)|(\|lc)|(penalty))" /e /r /s</v>
      </c>
      <c r="AG171" s="1" t="str">
        <f>IFERROR(IF(VALUE(LEFT(AD171,2))&lt;=2,"EC",IF(OR(VALUE(LEFT(AD171,2))=8,VALUE(LEFT(AD171,2))=18),"NW","Other")),"Other")</f>
        <v>NW</v>
      </c>
      <c r="AH171" s="86" t="str">
        <f t="shared" si="10"/>
        <v>"%USERPROFILE%\Documents\GitHub\eaglep3\Utilities\RefineRTDCRunTimes.py" --tripid 1814-05 --locoid 4004 --swversion DE.1.0.8.0 --startMP 300:58626 --initTime 2017-02-05T12:37:24 --startdatetime 2017-02-05T12:39:22 --delay 1 --endMP 204:736 --enddatetime 2017-02-05T12:54:03 --enforcementcount 0 &gt;&gt;C:\Users\stu\Documents\GitHub\eaglep3-reporting\EC\2017-02-05-refined-times.txt</v>
      </c>
      <c r="AI171" s="108" t="str">
        <f t="shared" si="11"/>
        <v>echo {"issue":{"subject":"","project_id":79,"tracker_id":40,"status_id":1,"priority_id":2,"assigned_to_id":23,"start_date":"2017-02-05","description":"","custom_fields":[{"id":1,"name":"Subdivision","value":"NW"},{"id":4,"name":"Milepost","value":"0.0736"},{"id":17,"name":"Train ID","value":"1814-05"},{"id":16,"name":"Locomotive ID","value":"4004"},{"id":130,"name":"Impact","value":""},{"id":150,"name":"Time of Event (Mountain Time)","value":"12:54:03"},{"id":151,"name":"Denver Issue ID","value":""},{"id":178,"name":"Operational Impact","value":"Yes"},{"id":179,"name":"Denver Segment Assigned","value":""}]}} | curl -X POST -H "Content-Type: application/json" -H "X-Redmine-API-Key: d6333d4a04012a730768444271f8ca06482dae87" https://secure.xorail.net/redmine/issues.json --data @-</v>
      </c>
      <c r="AJ171" s="48"/>
      <c r="AK171" s="48"/>
      <c r="AL171" s="48"/>
      <c r="AM171" s="158" t="str">
        <f t="shared" si="12"/>
        <v>start /low /b %USERPROFILE%\Documents\GitHub\eaglep3\Utilities\DownloadLogsFromS3.py --loco 4004 --day 2017-02-05</v>
      </c>
      <c r="AN171" s="167" t="str">
        <f>"grep -SE -B400 ""CHR.+\|PRM\|1\|D.+(SWITCH|SIGNAL).+UNKNOWN"" "&amp;search_path&amp;"\RTDC"&amp;B171&amp;"\*"&amp;B171&amp;"*"&amp;TEXT(AVERAGE(F171,I171)-utc_offset/24,"YYYYMMDD")&amp;"* | grep -SE ""(Enforcement Action)|(\[TIMEOUT)|(CHR.+\|PRM\|1\|D.+(SWITCH|SIGNAL).+UNKNOWN)"" - &gt;&gt; "&amp;TEXT(Variables!$A$2,"YYYY-MM-DD")&amp;"-UncaughtWiMAX.txt"</f>
        <v>grep -SE -B400 "CHR.+\|PRM\|1\|D.+(SWITCH|SIGNAL).+UNKNOWN" "%USERPROFILE%\AppData\Local\Temp\OnboardLogs"\RTDC4004\*4004*20170205* | grep -SE "(Enforcement Action)|(\[TIMEOUT)|(CHR.+\|PRM\|1\|D.+(SWITCH|SIGNAL).+UNKNOWN)" - &gt;&gt; 2017-02-05-UncaughtWiMAX.txt</v>
      </c>
    </row>
    <row r="172" spans="1:91" x14ac:dyDescent="0.25">
      <c r="A172" s="33" t="s">
        <v>641</v>
      </c>
      <c r="B172" s="7">
        <v>4003</v>
      </c>
      <c r="C172" s="21" t="s">
        <v>193</v>
      </c>
      <c r="D172" s="21" t="s">
        <v>804</v>
      </c>
      <c r="E172" s="13">
        <v>42771.5387962963</v>
      </c>
      <c r="F172" s="13">
        <v>42771.556631944448</v>
      </c>
      <c r="G172" s="7">
        <v>1</v>
      </c>
      <c r="H172" s="21" t="s">
        <v>796</v>
      </c>
      <c r="I172" s="13">
        <v>42771.565347222226</v>
      </c>
      <c r="J172" s="7">
        <v>0</v>
      </c>
      <c r="K172" s="98" t="str">
        <f>IF(ISEVEN(B172),(B172-1)&amp;"/"&amp;B172,B172&amp;"/"&amp;(B172+1))</f>
        <v>4003/4004</v>
      </c>
      <c r="L172" s="21" t="str">
        <f>VLOOKUP(A172,'Trips&amp;Operators'!$C$1:$G$99999,5,FALSE)</f>
        <v>YORK EDGAR</v>
      </c>
      <c r="M172" s="6">
        <f>I172-F172</f>
        <v>8.7152777778101154E-3</v>
      </c>
      <c r="N172" s="7">
        <f>24*60*SUM($M172:$M172)</f>
        <v>12.550000000046566</v>
      </c>
      <c r="O172" s="7"/>
      <c r="P172" s="7"/>
      <c r="Q172" s="22"/>
      <c r="R172" s="22"/>
      <c r="S172" s="31">
        <f>SUM(U172:U172)/IF(AG172="EC",12,1)</f>
        <v>1</v>
      </c>
      <c r="T172" s="46" t="str">
        <f>IF(ISEVEN(LEFT(AD172,4)),"Southbound","NorthBound")</f>
        <v>NorthBound</v>
      </c>
      <c r="U172" s="190">
        <f>IF(AG172="EC",COUNTIFS(Variables!$M$2:$M$19,IF(T172="NorthBound","&gt;=","&lt;=")&amp;Y172,Variables!$M$2:$M$19,IF(T172="NorthBound","&lt;=","&gt;=")&amp;Z172),COUNTIFS(Variables!$P$2:$P$19,IF(T172="NorthBound","&gt;=","&lt;=")&amp;Y172,Variables!$P$2:$P$19,IF(T172="NorthBound","&lt;=","&gt;=")&amp;Z172))</f>
        <v>1</v>
      </c>
      <c r="V172" s="191" t="str">
        <f>"https://d0f6bd738d7f1b3e5a7ca70fe4ff75f0.us-east-1.aws.found.io/app/kibana#/discover/Steve-Slow-Train-Analysis-(2080s-and-2083s)?_g="&amp;"(refreshInterval:(display:Off,pause:!f,section:0,value:0),time:(from:'"&amp;TEXT(E172-1/24,"yyyy-MM-DDThh:mm:ss")&amp;utc_offset&amp;"00"&amp;"',mode:absolute,to:'"&amp;TEXT(I172+1/24,"yyyy-MM-DDThh:mm:ss")&amp;utc_offset&amp;"00"&amp;"'))&amp;_a=(columns:!('Locomotive+ID','Data.Head+End+Milepost',Data.Speed,'Data.Locomotive+State','Data.Train+ID',"&amp;"'Data.Warning%2FEnforcement+Type','Data.Target+Start+Milepost','Data.Target+Description','Data.Target+Speed',"&amp;"'Data.Enforcement+Train+Speed','Data.Enforcement+Start+Milepost','Data.Target+Type','Data.Enforcement+Direction+of+Travel','Message+ID',"&amp;"'Data.Body+of+Summary+Text','Data.Head+End+Track+name'),filters:!(),index:'emp_*',interval:auto,query:"&amp;"(query_string:(analyze_wildcard:!t,query:'Message%5C+ID:(2083+OR+2080+OR+1041+OR+2003+OR+1051+OR+1043+OR+1053)+AND+%22rtdc.l.rtdc."&amp;B172&amp;"%22')),sort:!(Time.ISO8601,asc))"</f>
        <v>https://d0f6bd738d7f1b3e5a7ca70fe4ff75f0.us-east-1.aws.found.io/app/kibana#/discover/Steve-Slow-Train-Analysis-(2080s-and-2083s)?_g=(refreshInterval:(display:Off,pause:!f,section:0,value:0),time:(from:'2017-02-05T11:55:52-0700',mode:absolute,to:'2017-02-05T14:34:06-0700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4003%22')),sort:!(Time.ISO8601,asc))</v>
      </c>
      <c r="W172" s="192" t="str">
        <f>IF(AA172&lt;IF(AG172="EC",23,5.65),"Y","N")</f>
        <v>N</v>
      </c>
      <c r="X172" s="192">
        <f>VALUE(LEFT(AD172,4))-VALUE(LEFT(AD171,4))</f>
        <v>1</v>
      </c>
      <c r="Y172" s="62">
        <f>RIGHT(D172,LEN(D172)-4)/10000</f>
        <v>0.1023</v>
      </c>
      <c r="Z172" s="62">
        <f>RIGHT(H172,LEN(H172)-4)/10000</f>
        <v>5.8929</v>
      </c>
      <c r="AA172" s="62">
        <f>ABS(Z172-Y172)</f>
        <v>5.7906000000000004</v>
      </c>
      <c r="AB172" s="59" t="e">
        <f>VLOOKUP(A172,Enforcements!$C$7:$K$16,8,0)</f>
        <v>#N/A</v>
      </c>
      <c r="AC172" s="55" t="e">
        <f>VLOOKUP(A172,Enforcements!$C$7:$E$16,3,0)</f>
        <v>#N/A</v>
      </c>
      <c r="AD172" s="56" t="str">
        <f>IF(LEN(A172)=6,"0"&amp;A172,A172)</f>
        <v>1815-05</v>
      </c>
      <c r="AE172" s="85" t="str">
        <f>"aws s3 cp "&amp;s3_bucket&amp;"/RTDC"&amp;B172&amp;"/ "&amp;search_path&amp;"\RTDC"&amp;B172&amp;"\"&amp;TEXT(F172,"YYYY-MM-DD")&amp;" --exclude ""*"" --recursive --include ""*"&amp;TEXT(F172,"YYYYMMDD")&amp;"*"" &amp; """&amp;walkandungz&amp;""" "&amp;search_path&amp;"\RTDC"&amp;B172&amp;"\"&amp;TEXT(F172,"YYYY-MM-DD")
&amp;" &amp; "&amp;"aws s3 cp "&amp;s3_bucket&amp;"/RTDC"&amp;B172&amp;"/ "&amp;search_path&amp;"\RTDC"&amp;B172&amp;"\"&amp;TEXT(F172+1,"YYYY-MM-DD")&amp;" --exclude ""*"" --recursive --include ""*"&amp;TEXT(F172+1,"YYYYMMDD")&amp;"*"" &amp; """&amp;walkandungz&amp;""" "&amp;search_path&amp;"\RTDC"&amp;B172&amp;"\"&amp;TEXT(F172+1,"YYYY-MM-DD")</f>
        <v>aws s3 cp s3://rtdc.mdm.uploadarchive.raw/RTDC4003/ "%USERPROFILE%\AppData\Local\Temp\OnboardLogs"\RTDC4003\2017-02-05 --exclude "*" --recursive --include "*20170205*" &amp; "%USERPROFILE%\Documents\GitHub\mrs-test-scripts\Headless Mode &amp; Sideloading\WalkAndUnGZ.bat" "%USERPROFILE%\AppData\Local\Temp\OnboardLogs"\RTDC4003\2017-02-05 &amp; aws s3 cp s3://rtdc.mdm.uploadarchive.raw/RTDC4003/ "%USERPROFILE%\AppData\Local\Temp\OnboardLogs"\RTDC4003\2017-02-06 --exclude "*" --recursive --include "*20170206*" &amp; "%USERPROFILE%\Documents\GitHub\mrs-test-scripts\Headless Mode &amp; Sideloading\WalkAndUnGZ.bat" "%USERPROFILE%\AppData\Local\Temp\OnboardLogs"\RTDC4003\2017-02-06</v>
      </c>
      <c r="AF172" s="82" t="str">
        <f>astrogrep_path&amp;" /spath="&amp;search_path&amp;" /stypes=""app*"&amp;B172&amp;"*"&amp;TEXT(I172-utc_offset/24,"YYYYMMDD")&amp;"*"" /stext="" "&amp;TEXT(I172-utc_offset/24,"HH")&amp;search_regexp&amp;""" /e /r /s"</f>
        <v>"C:\Program Files (x86)\AstroGrep\AstroGrep.exe" /spath="%USERPROFILE%\AppData\Local\Temp\OnboardLogs" /stypes="app*4003*20170205*" /stext=" 20:.+((SYSTEM_STATE.+slice.+state.+changed )|(ment ac)|(multiple cpu faults)|(system.+state.+changed )|(\[timeout)|(PRM\|1\|D)|(kpr)|(kdp)|(\|lc)|(penalty))" /e /r /s</v>
      </c>
      <c r="AG172" s="1" t="str">
        <f>IFERROR(IF(VALUE(LEFT(AD172,2))&lt;=2,"EC",IF(OR(VALUE(LEFT(AD172,2))=8,VALUE(LEFT(AD172,2))=18),"NW","Other")),"Other")</f>
        <v>NW</v>
      </c>
      <c r="AH172" s="86" t="str">
        <f t="shared" si="10"/>
        <v>"%USERPROFILE%\Documents\GitHub\eaglep3\Utilities\RefineRTDCRunTimes.py" --tripid 1815-05 --locoid 4003 --swversion DE.1.0.8.0 --startMP 204:1023 --initTime 2017-02-05T12:55:52 --startdatetime 2017-02-05T13:21:33 --delay 1 --endMP 300:58929 --enddatetime 2017-02-05T13:34:06 --enforcementcount 0 &gt;&gt;C:\Users\stu\Documents\GitHub\eaglep3-reporting\EC\2017-02-05-refined-times.txt</v>
      </c>
      <c r="AI172" s="108" t="str">
        <f t="shared" si="11"/>
        <v>echo {"issue":{"subject":"","project_id":79,"tracker_id":40,"status_id":1,"priority_id":2,"assigned_to_id":23,"start_date":"2017-02-05","description":"","custom_fields":[{"id":1,"name":"Subdivision","value":"NW"},{"id":4,"name":"Milepost","value":"5.8929"},{"id":17,"name":"Train ID","value":"1815-05"},{"id":16,"name":"Locomotive ID","value":"4003"},{"id":130,"name":"Impact","value":""},{"id":150,"name":"Time of Event (Mountain Time)","value":"13:34:06"},{"id":151,"name":"Denver Issue ID","value":""},{"id":178,"name":"Operational Impact","value":"Yes"},{"id":179,"name":"Denver Segment Assigned","value":""}]}} | curl -X POST -H "Content-Type: application/json" -H "X-Redmine-API-Key: d6333d4a04012a730768444271f8ca06482dae87" https://secure.xorail.net/redmine/issues.json --data @-</v>
      </c>
      <c r="AJ172" s="48"/>
      <c r="AK172" s="48"/>
      <c r="AL172" s="48"/>
      <c r="AM172" s="158" t="str">
        <f t="shared" si="12"/>
        <v>start /low /b %USERPROFILE%\Documents\GitHub\eaglep3\Utilities\DownloadLogsFromS3.py --loco 4003 --day 2017-02-05</v>
      </c>
      <c r="AN172" s="167" t="str">
        <f>"grep -SE -B400 ""CHR.+\|PRM\|1\|D.+(SWITCH|SIGNAL).+UNKNOWN"" "&amp;search_path&amp;"\RTDC"&amp;B172&amp;"\*"&amp;B172&amp;"*"&amp;TEXT(AVERAGE(F172,I172)-utc_offset/24,"YYYYMMDD")&amp;"* | grep -SE ""(Enforcement Action)|(\[TIMEOUT)|(CHR.+\|PRM\|1\|D.+(SWITCH|SIGNAL).+UNKNOWN)"" - &gt;&gt; "&amp;TEXT(Variables!$A$2,"YYYY-MM-DD")&amp;"-UncaughtWiMAX.txt"</f>
        <v>grep -SE -B400 "CHR.+\|PRM\|1\|D.+(SWITCH|SIGNAL).+UNKNOWN" "%USERPROFILE%\AppData\Local\Temp\OnboardLogs"\RTDC4003\*4003*20170205* | grep -SE "(Enforcement Action)|(\[TIMEOUT)|(CHR.+\|PRM\|1\|D.+(SWITCH|SIGNAL).+UNKNOWN)" - &gt;&gt; 2017-02-05-UncaughtWiMAX.txt</v>
      </c>
    </row>
    <row r="173" spans="1:91" x14ac:dyDescent="0.25">
      <c r="A173" s="33" t="s">
        <v>647</v>
      </c>
      <c r="B173" s="7">
        <v>4004</v>
      </c>
      <c r="C173" s="21" t="s">
        <v>193</v>
      </c>
      <c r="D173" s="21" t="s">
        <v>791</v>
      </c>
      <c r="E173" s="13">
        <v>42771.566134259258</v>
      </c>
      <c r="F173" s="13">
        <v>42771.568912037037</v>
      </c>
      <c r="G173" s="7">
        <v>1</v>
      </c>
      <c r="H173" s="21" t="s">
        <v>805</v>
      </c>
      <c r="I173" s="13">
        <v>42771.579456018517</v>
      </c>
      <c r="J173" s="7">
        <v>0</v>
      </c>
      <c r="K173" s="98" t="str">
        <f>IF(ISEVEN(B173),(B173-1)&amp;"/"&amp;B173,B173&amp;"/"&amp;(B173+1))</f>
        <v>4003/4004</v>
      </c>
      <c r="L173" s="21" t="str">
        <f>VLOOKUP(A173,'Trips&amp;Operators'!$C$1:$G$99999,5,FALSE)</f>
        <v>YORK EDGAR</v>
      </c>
      <c r="M173" s="6">
        <f>I173-F173</f>
        <v>1.0543981479713693E-2</v>
      </c>
      <c r="N173" s="7">
        <f>24*60*SUM($M173:$M173)</f>
        <v>15.183333330787718</v>
      </c>
      <c r="O173" s="7"/>
      <c r="P173" s="7"/>
      <c r="Q173" s="22"/>
      <c r="R173" s="22"/>
      <c r="S173" s="31">
        <f>SUM(U173:U173)/IF(AG173="EC",12,1)</f>
        <v>1</v>
      </c>
      <c r="T173" s="46" t="str">
        <f>IF(ISEVEN(LEFT(AD173,4)),"Southbound","NorthBound")</f>
        <v>Southbound</v>
      </c>
      <c r="U173" s="190">
        <f>IF(AG173="EC",COUNTIFS(Variables!$M$2:$M$19,IF(T173="NorthBound","&gt;=","&lt;=")&amp;Y173,Variables!$M$2:$M$19,IF(T173="NorthBound","&lt;=","&gt;=")&amp;Z173),COUNTIFS(Variables!$P$2:$P$19,IF(T173="NorthBound","&gt;=","&lt;=")&amp;Y173,Variables!$P$2:$P$19,IF(T173="NorthBound","&lt;=","&gt;=")&amp;Z173))</f>
        <v>1</v>
      </c>
      <c r="V173" s="191" t="str">
        <f>"https://d0f6bd738d7f1b3e5a7ca70fe4ff75f0.us-east-1.aws.found.io/app/kibana#/discover/Steve-Slow-Train-Analysis-(2080s-and-2083s)?_g="&amp;"(refreshInterval:(display:Off,pause:!f,section:0,value:0),time:(from:'"&amp;TEXT(E173-1/24,"yyyy-MM-DDThh:mm:ss")&amp;utc_offset&amp;"00"&amp;"',mode:absolute,to:'"&amp;TEXT(I173+1/24,"yyyy-MM-DDThh:mm:ss")&amp;utc_offset&amp;"00"&amp;"'))&amp;_a=(columns:!('Locomotive+ID','Data.Head+End+Milepost',Data.Speed,'Data.Locomotive+State','Data.Train+ID',"&amp;"'Data.Warning%2FEnforcement+Type','Data.Target+Start+Milepost','Data.Target+Description','Data.Target+Speed',"&amp;"'Data.Enforcement+Train+Speed','Data.Enforcement+Start+Milepost','Data.Target+Type','Data.Enforcement+Direction+of+Travel','Message+ID',"&amp;"'Data.Body+of+Summary+Text','Data.Head+End+Track+name'),filters:!(),index:'emp_*',interval:auto,query:"&amp;"(query_string:(analyze_wildcard:!t,query:'Message%5C+ID:(2083+OR+2080+OR+1041+OR+2003+OR+1051+OR+1043+OR+1053)+AND+%22rtdc.l.rtdc."&amp;B173&amp;"%22')),sort:!(Time.ISO8601,asc))"</f>
        <v>https://d0f6bd738d7f1b3e5a7ca70fe4ff75f0.us-east-1.aws.found.io/app/kibana#/discover/Steve-Slow-Train-Analysis-(2080s-and-2083s)?_g=(refreshInterval:(display:Off,pause:!f,section:0,value:0),time:(from:'2017-02-05T12:35:14-0700',mode:absolute,to:'2017-02-05T14:54:25-0700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4004%22')),sort:!(Time.ISO8601,asc))</v>
      </c>
      <c r="W173" s="192" t="str">
        <f>IF(AA173&lt;IF(AG173="EC",23,5.65),"Y","N")</f>
        <v>N</v>
      </c>
      <c r="X173" s="192">
        <f>VALUE(LEFT(AD173,4))-VALUE(LEFT(AD172,4))</f>
        <v>1</v>
      </c>
      <c r="Y173" s="62">
        <f>RIGHT(D173,LEN(D173)-4)/10000</f>
        <v>5.8613</v>
      </c>
      <c r="Z173" s="62">
        <f>RIGHT(H173,LEN(H173)-4)/10000</f>
        <v>7.9200000000000007E-2</v>
      </c>
      <c r="AA173" s="62">
        <f>ABS(Z173-Y173)</f>
        <v>5.7820999999999998</v>
      </c>
      <c r="AB173" s="59" t="e">
        <f>VLOOKUP(A173,Enforcements!$C$7:$K$16,8,0)</f>
        <v>#N/A</v>
      </c>
      <c r="AC173" s="55" t="e">
        <f>VLOOKUP(A173,Enforcements!$C$7:$E$16,3,0)</f>
        <v>#N/A</v>
      </c>
      <c r="AD173" s="56" t="str">
        <f>IF(LEN(A173)=6,"0"&amp;A173,A173)</f>
        <v>1816-05</v>
      </c>
      <c r="AE173" s="85" t="str">
        <f>"aws s3 cp "&amp;s3_bucket&amp;"/RTDC"&amp;B173&amp;"/ "&amp;search_path&amp;"\RTDC"&amp;B173&amp;"\"&amp;TEXT(F173,"YYYY-MM-DD")&amp;" --exclude ""*"" --recursive --include ""*"&amp;TEXT(F173,"YYYYMMDD")&amp;"*"" &amp; """&amp;walkandungz&amp;""" "&amp;search_path&amp;"\RTDC"&amp;B173&amp;"\"&amp;TEXT(F173,"YYYY-MM-DD")
&amp;" &amp; "&amp;"aws s3 cp "&amp;s3_bucket&amp;"/RTDC"&amp;B173&amp;"/ "&amp;search_path&amp;"\RTDC"&amp;B173&amp;"\"&amp;TEXT(F173+1,"YYYY-MM-DD")&amp;" --exclude ""*"" --recursive --include ""*"&amp;TEXT(F173+1,"YYYYMMDD")&amp;"*"" &amp; """&amp;walkandungz&amp;""" "&amp;search_path&amp;"\RTDC"&amp;B173&amp;"\"&amp;TEXT(F173+1,"YYYY-MM-DD")</f>
        <v>aws s3 cp s3://rtdc.mdm.uploadarchive.raw/RTDC4004/ "%USERPROFILE%\AppData\Local\Temp\OnboardLogs"\RTDC4004\2017-02-05 --exclude "*" --recursive --include "*20170205*" &amp; "%USERPROFILE%\Documents\GitHub\mrs-test-scripts\Headless Mode &amp; Sideloading\WalkAndUnGZ.bat" "%USERPROFILE%\AppData\Local\Temp\OnboardLogs"\RTDC4004\2017-02-05 &amp; aws s3 cp s3://rtdc.mdm.uploadarchive.raw/RTDC4004/ "%USERPROFILE%\AppData\Local\Temp\OnboardLogs"\RTDC4004\2017-02-06 --exclude "*" --recursive --include "*20170206*" &amp; "%USERPROFILE%\Documents\GitHub\mrs-test-scripts\Headless Mode &amp; Sideloading\WalkAndUnGZ.bat" "%USERPROFILE%\AppData\Local\Temp\OnboardLogs"\RTDC4004\2017-02-06</v>
      </c>
      <c r="AF173" s="82" t="str">
        <f>astrogrep_path&amp;" /spath="&amp;search_path&amp;" /stypes=""app*"&amp;B173&amp;"*"&amp;TEXT(I173-utc_offset/24,"YYYYMMDD")&amp;"*"" /stext="" "&amp;TEXT(I173-utc_offset/24,"HH")&amp;search_regexp&amp;""" /e /r /s"</f>
        <v>"C:\Program Files (x86)\AstroGrep\AstroGrep.exe" /spath="%USERPROFILE%\AppData\Local\Temp\OnboardLogs" /stypes="app*4004*20170205*" /stext=" 20:.+((SYSTEM_STATE.+slice.+state.+changed )|(ment ac)|(multiple cpu faults)|(system.+state.+changed )|(\[timeout)|(PRM\|1\|D)|(kpr)|(kdp)|(\|lc)|(penalty))" /e /r /s</v>
      </c>
      <c r="AG173" s="1" t="str">
        <f>IFERROR(IF(VALUE(LEFT(AD173,2))&lt;=2,"EC",IF(OR(VALUE(LEFT(AD173,2))=8,VALUE(LEFT(AD173,2))=18),"NW","Other")),"Other")</f>
        <v>NW</v>
      </c>
      <c r="AH173" s="86" t="str">
        <f t="shared" si="10"/>
        <v>"%USERPROFILE%\Documents\GitHub\eaglep3\Utilities\RefineRTDCRunTimes.py" --tripid 1816-05 --locoid 4004 --swversion DE.1.0.8.0 --startMP 300:58613 --initTime 2017-02-05T13:35:14 --startdatetime 2017-02-05T13:39:14 --delay 1 --endMP 204:792 --enddatetime 2017-02-05T13:54:25 --enforcementcount 0 &gt;&gt;C:\Users\stu\Documents\GitHub\eaglep3-reporting\EC\2017-02-05-refined-times.txt</v>
      </c>
      <c r="AI173" s="108" t="str">
        <f t="shared" si="11"/>
        <v>echo {"issue":{"subject":"","project_id":79,"tracker_id":40,"status_id":1,"priority_id":2,"assigned_to_id":23,"start_date":"2017-02-05","description":"","custom_fields":[{"id":1,"name":"Subdivision","value":"NW"},{"id":4,"name":"Milepost","value":"0.0792"},{"id":17,"name":"Train ID","value":"1816-05"},{"id":16,"name":"Locomotive ID","value":"4004"},{"id":130,"name":"Impact","value":""},{"id":150,"name":"Time of Event (Mountain Time)","value":"13:54:25"},{"id":151,"name":"Denver Issue ID","value":""},{"id":178,"name":"Operational Impact","value":"Yes"},{"id":179,"name":"Denver Segment Assigned","value":""}]}} | curl -X POST -H "Content-Type: application/json" -H "X-Redmine-API-Key: d6333d4a04012a730768444271f8ca06482dae87" https://secure.xorail.net/redmine/issues.json --data @-</v>
      </c>
      <c r="AJ173" s="48"/>
      <c r="AK173" s="48"/>
      <c r="AL173" s="48"/>
      <c r="AM173" s="158" t="str">
        <f t="shared" si="12"/>
        <v>start /low /b %USERPROFILE%\Documents\GitHub\eaglep3\Utilities\DownloadLogsFromS3.py --loco 4004 --day 2017-02-05</v>
      </c>
      <c r="AN173" s="167" t="str">
        <f>"grep -SE -B400 ""CHR.+\|PRM\|1\|D.+(SWITCH|SIGNAL).+UNKNOWN"" "&amp;search_path&amp;"\RTDC"&amp;B173&amp;"\*"&amp;B173&amp;"*"&amp;TEXT(AVERAGE(F173,I173)-utc_offset/24,"YYYYMMDD")&amp;"* | grep -SE ""(Enforcement Action)|(\[TIMEOUT)|(CHR.+\|PRM\|1\|D.+(SWITCH|SIGNAL).+UNKNOWN)"" - &gt;&gt; "&amp;TEXT(Variables!$A$2,"YYYY-MM-DD")&amp;"-UncaughtWiMAX.txt"</f>
        <v>grep -SE -B400 "CHR.+\|PRM\|1\|D.+(SWITCH|SIGNAL).+UNKNOWN" "%USERPROFILE%\AppData\Local\Temp\OnboardLogs"\RTDC4004\*4004*20170205* | grep -SE "(Enforcement Action)|(\[TIMEOUT)|(CHR.+\|PRM\|1\|D.+(SWITCH|SIGNAL).+UNKNOWN)" - &gt;&gt; 2017-02-05-UncaughtWiMAX.txt</v>
      </c>
    </row>
    <row r="174" spans="1:91" s="20" customFormat="1" x14ac:dyDescent="0.25">
      <c r="A174" s="33" t="s">
        <v>654</v>
      </c>
      <c r="B174" s="7">
        <v>4003</v>
      </c>
      <c r="C174" s="21" t="s">
        <v>193</v>
      </c>
      <c r="D174" s="21" t="s">
        <v>806</v>
      </c>
      <c r="E174" s="13">
        <v>42771.593784722223</v>
      </c>
      <c r="F174" s="13">
        <v>42771.598124999997</v>
      </c>
      <c r="G174" s="7">
        <v>1</v>
      </c>
      <c r="H174" s="21" t="s">
        <v>807</v>
      </c>
      <c r="I174" s="13">
        <v>42771.607314814813</v>
      </c>
      <c r="J174" s="7">
        <v>0</v>
      </c>
      <c r="K174" s="98" t="str">
        <f>IF(ISEVEN(B174),(B174-1)&amp;"/"&amp;B174,B174&amp;"/"&amp;(B174+1))</f>
        <v>4003/4004</v>
      </c>
      <c r="L174" s="21" t="str">
        <f>VLOOKUP(A174,'Trips&amp;Operators'!$C$1:$G$99999,5,FALSE)</f>
        <v>HELVIE ADAM</v>
      </c>
      <c r="M174" s="6">
        <f>I174-F174</f>
        <v>9.189814816636499E-3</v>
      </c>
      <c r="N174" s="7">
        <f>24*60*SUM($M174:$M174)</f>
        <v>13.233333335956559</v>
      </c>
      <c r="O174" s="7"/>
      <c r="P174" s="7"/>
      <c r="Q174" s="22"/>
      <c r="R174" s="22"/>
      <c r="S174" s="31">
        <f>SUM(U174:U174)/IF(AG174="EC",12,1)</f>
        <v>1</v>
      </c>
      <c r="T174" s="46" t="str">
        <f>IF(ISEVEN(LEFT(AD174,4)),"Southbound","NorthBound")</f>
        <v>NorthBound</v>
      </c>
      <c r="U174" s="190">
        <f>IF(AG174="EC",COUNTIFS(Variables!$M$2:$M$19,IF(T174="NorthBound","&gt;=","&lt;=")&amp;Y174,Variables!$M$2:$M$19,IF(T174="NorthBound","&lt;=","&gt;=")&amp;Z174),COUNTIFS(Variables!$P$2:$P$19,IF(T174="NorthBound","&gt;=","&lt;=")&amp;Y174,Variables!$P$2:$P$19,IF(T174="NorthBound","&lt;=","&gt;=")&amp;Z174))</f>
        <v>1</v>
      </c>
      <c r="V174" s="191" t="str">
        <f>"https://d0f6bd738d7f1b3e5a7ca70fe4ff75f0.us-east-1.aws.found.io/app/kibana#/discover/Steve-Slow-Train-Analysis-(2080s-and-2083s)?_g="&amp;"(refreshInterval:(display:Off,pause:!f,section:0,value:0),time:(from:'"&amp;TEXT(E174-1/24,"yyyy-MM-DDThh:mm:ss")&amp;utc_offset&amp;"00"&amp;"',mode:absolute,to:'"&amp;TEXT(I174+1/24,"yyyy-MM-DDThh:mm:ss")&amp;utc_offset&amp;"00"&amp;"'))&amp;_a=(columns:!('Locomotive+ID','Data.Head+End+Milepost',Data.Speed,'Data.Locomotive+State','Data.Train+ID',"&amp;"'Data.Warning%2FEnforcement+Type','Data.Target+Start+Milepost','Data.Target+Description','Data.Target+Speed',"&amp;"'Data.Enforcement+Train+Speed','Data.Enforcement+Start+Milepost','Data.Target+Type','Data.Enforcement+Direction+of+Travel','Message+ID',"&amp;"'Data.Body+of+Summary+Text','Data.Head+End+Track+name'),filters:!(),index:'emp_*',interval:auto,query:"&amp;"(query_string:(analyze_wildcard:!t,query:'Message%5C+ID:(2083+OR+2080+OR+1041+OR+2003+OR+1051+OR+1043+OR+1053)+AND+%22rtdc.l.rtdc."&amp;B174&amp;"%22')),sort:!(Time.ISO8601,asc))"</f>
        <v>https://d0f6bd738d7f1b3e5a7ca70fe4ff75f0.us-east-1.aws.found.io/app/kibana#/discover/Steve-Slow-Train-Analysis-(2080s-and-2083s)?_g=(refreshInterval:(display:Off,pause:!f,section:0,value:0),time:(from:'2017-02-05T13:15:03-0700',mode:absolute,to:'2017-02-05T15:34:32-0700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4003%22')),sort:!(Time.ISO8601,asc))</v>
      </c>
      <c r="W174" s="192" t="str">
        <f>IF(AA174&lt;IF(AG174="EC",23,5.65),"Y","N")</f>
        <v>N</v>
      </c>
      <c r="X174" s="192">
        <f>VALUE(LEFT(AD174,4))-VALUE(LEFT(AD173,4))</f>
        <v>1</v>
      </c>
      <c r="Y174" s="62">
        <f>RIGHT(D174,LEN(D174)-4)/10000</f>
        <v>0.10829999999999999</v>
      </c>
      <c r="Z174" s="62">
        <f>RIGHT(H174,LEN(H174)-4)/10000</f>
        <v>5.8940999999999999</v>
      </c>
      <c r="AA174" s="62">
        <f>ABS(Z174-Y174)</f>
        <v>5.7858000000000001</v>
      </c>
      <c r="AB174" s="59" t="e">
        <f>VLOOKUP(A174,Enforcements!$C$7:$K$16,8,0)</f>
        <v>#N/A</v>
      </c>
      <c r="AC174" s="55" t="e">
        <f>VLOOKUP(A174,Enforcements!$C$7:$E$16,3,0)</f>
        <v>#N/A</v>
      </c>
      <c r="AD174" s="56" t="str">
        <f>IF(LEN(A174)=6,"0"&amp;A174,A174)</f>
        <v>1817-05</v>
      </c>
      <c r="AE174" s="85" t="str">
        <f>"aws s3 cp "&amp;s3_bucket&amp;"/RTDC"&amp;B174&amp;"/ "&amp;search_path&amp;"\RTDC"&amp;B174&amp;"\"&amp;TEXT(F174,"YYYY-MM-DD")&amp;" --exclude ""*"" --recursive --include ""*"&amp;TEXT(F174,"YYYYMMDD")&amp;"*"" &amp; """&amp;walkandungz&amp;""" "&amp;search_path&amp;"\RTDC"&amp;B174&amp;"\"&amp;TEXT(F174,"YYYY-MM-DD")
&amp;" &amp; "&amp;"aws s3 cp "&amp;s3_bucket&amp;"/RTDC"&amp;B174&amp;"/ "&amp;search_path&amp;"\RTDC"&amp;B174&amp;"\"&amp;TEXT(F174+1,"YYYY-MM-DD")&amp;" --exclude ""*"" --recursive --include ""*"&amp;TEXT(F174+1,"YYYYMMDD")&amp;"*"" &amp; """&amp;walkandungz&amp;""" "&amp;search_path&amp;"\RTDC"&amp;B174&amp;"\"&amp;TEXT(F174+1,"YYYY-MM-DD")</f>
        <v>aws s3 cp s3://rtdc.mdm.uploadarchive.raw/RTDC4003/ "%USERPROFILE%\AppData\Local\Temp\OnboardLogs"\RTDC4003\2017-02-05 --exclude "*" --recursive --include "*20170205*" &amp; "%USERPROFILE%\Documents\GitHub\mrs-test-scripts\Headless Mode &amp; Sideloading\WalkAndUnGZ.bat" "%USERPROFILE%\AppData\Local\Temp\OnboardLogs"\RTDC4003\2017-02-05 &amp; aws s3 cp s3://rtdc.mdm.uploadarchive.raw/RTDC4003/ "%USERPROFILE%\AppData\Local\Temp\OnboardLogs"\RTDC4003\2017-02-06 --exclude "*" --recursive --include "*20170206*" &amp; "%USERPROFILE%\Documents\GitHub\mrs-test-scripts\Headless Mode &amp; Sideloading\WalkAndUnGZ.bat" "%USERPROFILE%\AppData\Local\Temp\OnboardLogs"\RTDC4003\2017-02-06</v>
      </c>
      <c r="AF174" s="82" t="str">
        <f>astrogrep_path&amp;" /spath="&amp;search_path&amp;" /stypes=""app*"&amp;B174&amp;"*"&amp;TEXT(I174-utc_offset/24,"YYYYMMDD")&amp;"*"" /stext="" "&amp;TEXT(I174-utc_offset/24,"HH")&amp;search_regexp&amp;""" /e /r /s"</f>
        <v>"C:\Program Files (x86)\AstroGrep\AstroGrep.exe" /spath="%USERPROFILE%\AppData\Local\Temp\OnboardLogs" /stypes="app*4003*20170205*" /stext=" 21:.+((SYSTEM_STATE.+slice.+state.+changed )|(ment ac)|(multiple cpu faults)|(system.+state.+changed )|(\[timeout)|(PRM\|1\|D)|(kpr)|(kdp)|(\|lc)|(penalty))" /e /r /s</v>
      </c>
      <c r="AG174" s="1" t="str">
        <f>IFERROR(IF(VALUE(LEFT(AD174,2))&lt;=2,"EC",IF(OR(VALUE(LEFT(AD174,2))=8,VALUE(LEFT(AD174,2))=18),"NW","Other")),"Other")</f>
        <v>NW</v>
      </c>
      <c r="AH174" s="86" t="str">
        <f t="shared" si="10"/>
        <v>"%USERPROFILE%\Documents\GitHub\eaglep3\Utilities\RefineRTDCRunTimes.py" --tripid 1817-05 --locoid 4003 --swversion DE.1.0.8.0 --startMP 204:1083 --initTime 2017-02-05T14:15:03 --startdatetime 2017-02-05T14:21:18 --delay 1 --endMP 300:58941 --enddatetime 2017-02-05T14:34:32 --enforcementcount 0 &gt;&gt;C:\Users\stu\Documents\GitHub\eaglep3-reporting\EC\2017-02-05-refined-times.txt</v>
      </c>
      <c r="AI174" s="108" t="str">
        <f t="shared" si="11"/>
        <v>echo {"issue":{"subject":"","project_id":79,"tracker_id":40,"status_id":1,"priority_id":2,"assigned_to_id":23,"start_date":"2017-02-05","description":"","custom_fields":[{"id":1,"name":"Subdivision","value":"NW"},{"id":4,"name":"Milepost","value":"5.8941"},{"id":17,"name":"Train ID","value":"1817-05"},{"id":16,"name":"Locomotive ID","value":"4003"},{"id":130,"name":"Impact","value":""},{"id":150,"name":"Time of Event (Mountain Time)","value":"14:34:32"},{"id":151,"name":"Denver Issue ID","value":""},{"id":178,"name":"Operational Impact","value":"Yes"},{"id":179,"name":"Denver Segment Assigned","value":""}]}} | curl -X POST -H "Content-Type: application/json" -H "X-Redmine-API-Key: d6333d4a04012a730768444271f8ca06482dae87" https://secure.xorail.net/redmine/issues.json --data @-</v>
      </c>
      <c r="AJ174" s="48"/>
      <c r="AK174" s="48"/>
      <c r="AL174" s="48"/>
      <c r="AM174" s="158" t="str">
        <f t="shared" si="12"/>
        <v>start /low /b %USERPROFILE%\Documents\GitHub\eaglep3\Utilities\DownloadLogsFromS3.py --loco 4003 --day 2017-02-05</v>
      </c>
      <c r="AN174" s="167" t="str">
        <f>"grep -SE -B400 ""CHR.+\|PRM\|1\|D.+(SWITCH|SIGNAL).+UNKNOWN"" "&amp;search_path&amp;"\RTDC"&amp;B174&amp;"\*"&amp;B174&amp;"*"&amp;TEXT(AVERAGE(F174,I174)-utc_offset/24,"YYYYMMDD")&amp;"* | grep -SE ""(Enforcement Action)|(\[TIMEOUT)|(CHR.+\|PRM\|1\|D.+(SWITCH|SIGNAL).+UNKNOWN)"" - &gt;&gt; "&amp;TEXT(Variables!$A$2,"YYYY-MM-DD")&amp;"-UncaughtWiMAX.txt"</f>
        <v>grep -SE -B400 "CHR.+\|PRM\|1\|D.+(SWITCH|SIGNAL).+UNKNOWN" "%USERPROFILE%\AppData\Local\Temp\OnboardLogs"\RTDC4003\*4003*20170205* | grep -SE "(Enforcement Action)|(\[TIMEOUT)|(CHR.+\|PRM\|1\|D.+(SWITCH|SIGNAL).+UNKNOWN)" - &gt;&gt; 2017-02-05-UncaughtWiMAX.txt</v>
      </c>
      <c r="AO174"/>
      <c r="AP174"/>
      <c r="AQ174"/>
      <c r="AR174"/>
      <c r="AS174"/>
      <c r="AT174"/>
      <c r="AU174"/>
      <c r="AV174"/>
      <c r="AW174"/>
      <c r="AX174"/>
      <c r="AY174"/>
      <c r="AZ174"/>
      <c r="BA174"/>
      <c r="BB174"/>
      <c r="BC174"/>
      <c r="BD174"/>
      <c r="BE174"/>
      <c r="BF174"/>
      <c r="BG174"/>
      <c r="BH174"/>
      <c r="BI174"/>
      <c r="BJ174"/>
      <c r="BK174"/>
      <c r="BL174"/>
      <c r="BM174"/>
      <c r="BN174"/>
      <c r="BO174"/>
      <c r="BP174"/>
      <c r="BQ174"/>
      <c r="BR174"/>
      <c r="BS174"/>
      <c r="BT174"/>
      <c r="BU174"/>
      <c r="BV174"/>
      <c r="BW174"/>
      <c r="BX174"/>
      <c r="BY174"/>
      <c r="BZ174"/>
      <c r="CA174"/>
      <c r="CB174"/>
      <c r="CC174"/>
      <c r="CD174"/>
      <c r="CE174"/>
      <c r="CF174"/>
      <c r="CG174"/>
      <c r="CH174"/>
      <c r="CI174"/>
      <c r="CJ174"/>
      <c r="CK174"/>
      <c r="CL174"/>
      <c r="CM174"/>
    </row>
    <row r="175" spans="1:91" x14ac:dyDescent="0.25">
      <c r="A175" s="33" t="s">
        <v>509</v>
      </c>
      <c r="B175" s="7">
        <v>4004</v>
      </c>
      <c r="C175" s="21" t="s">
        <v>193</v>
      </c>
      <c r="D175" s="21" t="s">
        <v>808</v>
      </c>
      <c r="E175" s="13">
        <v>42771.608067129629</v>
      </c>
      <c r="F175" s="13">
        <v>42771.609895833331</v>
      </c>
      <c r="G175" s="7">
        <v>1</v>
      </c>
      <c r="H175" s="21" t="s">
        <v>352</v>
      </c>
      <c r="I175" s="13">
        <v>42771.621168981481</v>
      </c>
      <c r="J175" s="7">
        <v>0</v>
      </c>
      <c r="K175" s="98" t="str">
        <f>IF(ISEVEN(B175),(B175-1)&amp;"/"&amp;B175,B175&amp;"/"&amp;(B175+1))</f>
        <v>4003/4004</v>
      </c>
      <c r="L175" s="21" t="str">
        <f>VLOOKUP(A175,'Trips&amp;Operators'!$C$1:$G$99999,5,FALSE)</f>
        <v>HELVIE ADAM</v>
      </c>
      <c r="M175" s="6">
        <f>I175-F175</f>
        <v>1.1273148149484769E-2</v>
      </c>
      <c r="N175" s="7">
        <f>24*60*SUM($M175:$M175)</f>
        <v>16.233333335258067</v>
      </c>
      <c r="O175" s="7"/>
      <c r="P175" s="7"/>
      <c r="Q175" s="22"/>
      <c r="R175" s="22"/>
      <c r="S175" s="31">
        <f>SUM(U175:U175)/IF(AG175="EC",12,1)</f>
        <v>1</v>
      </c>
      <c r="T175" s="46" t="str">
        <f>IF(ISEVEN(LEFT(AD175,4)),"Southbound","NorthBound")</f>
        <v>Southbound</v>
      </c>
      <c r="U175" s="190">
        <f>IF(AG175="EC",COUNTIFS(Variables!$M$2:$M$19,IF(T175="NorthBound","&gt;=","&lt;=")&amp;Y175,Variables!$M$2:$M$19,IF(T175="NorthBound","&lt;=","&gt;=")&amp;Z175),COUNTIFS(Variables!$P$2:$P$19,IF(T175="NorthBound","&gt;=","&lt;=")&amp;Y175,Variables!$P$2:$P$19,IF(T175="NorthBound","&lt;=","&gt;=")&amp;Z175))</f>
        <v>1</v>
      </c>
      <c r="V175" s="191" t="str">
        <f>"https://d0f6bd738d7f1b3e5a7ca70fe4ff75f0.us-east-1.aws.found.io/app/kibana#/discover/Steve-Slow-Train-Analysis-(2080s-and-2083s)?_g="&amp;"(refreshInterval:(display:Off,pause:!f,section:0,value:0),time:(from:'"&amp;TEXT(E175-1/24,"yyyy-MM-DDThh:mm:ss")&amp;utc_offset&amp;"00"&amp;"',mode:absolute,to:'"&amp;TEXT(I175+1/24,"yyyy-MM-DDThh:mm:ss")&amp;utc_offset&amp;"00"&amp;"'))&amp;_a=(columns:!('Locomotive+ID','Data.Head+End+Milepost',Data.Speed,'Data.Locomotive+State','Data.Train+ID',"&amp;"'Data.Warning%2FEnforcement+Type','Data.Target+Start+Milepost','Data.Target+Description','Data.Target+Speed',"&amp;"'Data.Enforcement+Train+Speed','Data.Enforcement+Start+Milepost','Data.Target+Type','Data.Enforcement+Direction+of+Travel','Message+ID',"&amp;"'Data.Body+of+Summary+Text','Data.Head+End+Track+name'),filters:!(),index:'emp_*',interval:auto,query:"&amp;"(query_string:(analyze_wildcard:!t,query:'Message%5C+ID:(2083+OR+2080+OR+1041+OR+2003+OR+1051+OR+1043+OR+1053)+AND+%22rtdc.l.rtdc."&amp;B175&amp;"%22')),sort:!(Time.ISO8601,asc))"</f>
        <v>https://d0f6bd738d7f1b3e5a7ca70fe4ff75f0.us-east-1.aws.found.io/app/kibana#/discover/Steve-Slow-Train-Analysis-(2080s-and-2083s)?_g=(refreshInterval:(display:Off,pause:!f,section:0,value:0),time:(from:'2017-02-05T13:35:37-0700',mode:absolute,to:'2017-02-05T15:54:29-0700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4004%22')),sort:!(Time.ISO8601,asc))</v>
      </c>
      <c r="W175" s="192" t="str">
        <f>IF(AA175&lt;IF(AG175="EC",23,5.65),"Y","N")</f>
        <v>N</v>
      </c>
      <c r="X175" s="192">
        <f>VALUE(LEFT(AD175,4))-VALUE(LEFT(AD174,4))</f>
        <v>1</v>
      </c>
      <c r="Y175" s="62">
        <f>RIGHT(D175,LEN(D175)-4)/10000</f>
        <v>5.8634000000000004</v>
      </c>
      <c r="Z175" s="62">
        <f>RIGHT(H175,LEN(H175)-4)/10000</f>
        <v>7.4999999999999997E-2</v>
      </c>
      <c r="AA175" s="62">
        <f>ABS(Z175-Y175)</f>
        <v>5.7884000000000002</v>
      </c>
      <c r="AB175" s="59" t="e">
        <f>VLOOKUP(A175,Enforcements!$C$7:$K$16,8,0)</f>
        <v>#N/A</v>
      </c>
      <c r="AC175" s="55" t="e">
        <f>VLOOKUP(A175,Enforcements!$C$7:$E$16,3,0)</f>
        <v>#N/A</v>
      </c>
      <c r="AD175" s="56" t="str">
        <f>IF(LEN(A175)=6,"0"&amp;A175,A175)</f>
        <v>1818-05</v>
      </c>
      <c r="AE175" s="85" t="str">
        <f>"aws s3 cp "&amp;s3_bucket&amp;"/RTDC"&amp;B175&amp;"/ "&amp;search_path&amp;"\RTDC"&amp;B175&amp;"\"&amp;TEXT(F175,"YYYY-MM-DD")&amp;" --exclude ""*"" --recursive --include ""*"&amp;TEXT(F175,"YYYYMMDD")&amp;"*"" &amp; """&amp;walkandungz&amp;""" "&amp;search_path&amp;"\RTDC"&amp;B175&amp;"\"&amp;TEXT(F175,"YYYY-MM-DD")
&amp;" &amp; "&amp;"aws s3 cp "&amp;s3_bucket&amp;"/RTDC"&amp;B175&amp;"/ "&amp;search_path&amp;"\RTDC"&amp;B175&amp;"\"&amp;TEXT(F175+1,"YYYY-MM-DD")&amp;" --exclude ""*"" --recursive --include ""*"&amp;TEXT(F175+1,"YYYYMMDD")&amp;"*"" &amp; """&amp;walkandungz&amp;""" "&amp;search_path&amp;"\RTDC"&amp;B175&amp;"\"&amp;TEXT(F175+1,"YYYY-MM-DD")</f>
        <v>aws s3 cp s3://rtdc.mdm.uploadarchive.raw/RTDC4004/ "%USERPROFILE%\AppData\Local\Temp\OnboardLogs"\RTDC4004\2017-02-05 --exclude "*" --recursive --include "*20170205*" &amp; "%USERPROFILE%\Documents\GitHub\mrs-test-scripts\Headless Mode &amp; Sideloading\WalkAndUnGZ.bat" "%USERPROFILE%\AppData\Local\Temp\OnboardLogs"\RTDC4004\2017-02-05 &amp; aws s3 cp s3://rtdc.mdm.uploadarchive.raw/RTDC4004/ "%USERPROFILE%\AppData\Local\Temp\OnboardLogs"\RTDC4004\2017-02-06 --exclude "*" --recursive --include "*20170206*" &amp; "%USERPROFILE%\Documents\GitHub\mrs-test-scripts\Headless Mode &amp; Sideloading\WalkAndUnGZ.bat" "%USERPROFILE%\AppData\Local\Temp\OnboardLogs"\RTDC4004\2017-02-06</v>
      </c>
      <c r="AF175" s="82" t="str">
        <f>astrogrep_path&amp;" /spath="&amp;search_path&amp;" /stypes=""app*"&amp;B175&amp;"*"&amp;TEXT(I175-utc_offset/24,"YYYYMMDD")&amp;"*"" /stext="" "&amp;TEXT(I175-utc_offset/24,"HH")&amp;search_regexp&amp;""" /e /r /s"</f>
        <v>"C:\Program Files (x86)\AstroGrep\AstroGrep.exe" /spath="%USERPROFILE%\AppData\Local\Temp\OnboardLogs" /stypes="app*4004*20170205*" /stext=" 21:.+((SYSTEM_STATE.+slice.+state.+changed )|(ment ac)|(multiple cpu faults)|(system.+state.+changed )|(\[timeout)|(PRM\|1\|D)|(kpr)|(kdp)|(\|lc)|(penalty))" /e /r /s</v>
      </c>
      <c r="AG175" s="1" t="str">
        <f>IFERROR(IF(VALUE(LEFT(AD175,2))&lt;=2,"EC",IF(OR(VALUE(LEFT(AD175,2))=8,VALUE(LEFT(AD175,2))=18),"NW","Other")),"Other")</f>
        <v>NW</v>
      </c>
      <c r="AH175" s="86" t="str">
        <f t="shared" si="10"/>
        <v>"%USERPROFILE%\Documents\GitHub\eaglep3\Utilities\RefineRTDCRunTimes.py" --tripid 1818-05 --locoid 4004 --swversion DE.1.0.8.0 --startMP 300:58634 --initTime 2017-02-05T14:35:37 --startdatetime 2017-02-05T14:38:15 --delay 1 --endMP 204:750 --enddatetime 2017-02-05T14:54:29 --enforcementcount 0 &gt;&gt;C:\Users\stu\Documents\GitHub\eaglep3-reporting\EC\2017-02-05-refined-times.txt</v>
      </c>
      <c r="AI175" s="108" t="str">
        <f t="shared" si="11"/>
        <v>echo {"issue":{"subject":"","project_id":79,"tracker_id":40,"status_id":1,"priority_id":2,"assigned_to_id":23,"start_date":"2017-02-05","description":"","custom_fields":[{"id":1,"name":"Subdivision","value":"NW"},{"id":4,"name":"Milepost","value":"0.075"},{"id":17,"name":"Train ID","value":"1818-05"},{"id":16,"name":"Locomotive ID","value":"4004"},{"id":130,"name":"Impact","value":""},{"id":150,"name":"Time of Event (Mountain Time)","value":"14:54:29"},{"id":151,"name":"Denver Issue ID","value":""},{"id":178,"name":"Operational Impact","value":"Yes"},{"id":179,"name":"Denver Segment Assigned","value":""}]}} | curl -X POST -H "Content-Type: application/json" -H "X-Redmine-API-Key: d6333d4a04012a730768444271f8ca06482dae87" https://secure.xorail.net/redmine/issues.json --data @-</v>
      </c>
      <c r="AJ175" s="48"/>
      <c r="AK175" s="48"/>
      <c r="AL175" s="48"/>
      <c r="AM175" s="158" t="str">
        <f t="shared" si="12"/>
        <v>start /low /b %USERPROFILE%\Documents\GitHub\eaglep3\Utilities\DownloadLogsFromS3.py --loco 4004 --day 2017-02-05</v>
      </c>
      <c r="AN175" s="167" t="str">
        <f>"grep -SE -B400 ""CHR.+\|PRM\|1\|D.+(SWITCH|SIGNAL).+UNKNOWN"" "&amp;search_path&amp;"\RTDC"&amp;B175&amp;"\*"&amp;B175&amp;"*"&amp;TEXT(AVERAGE(F175,I175)-utc_offset/24,"YYYYMMDD")&amp;"* | grep -SE ""(Enforcement Action)|(\[TIMEOUT)|(CHR.+\|PRM\|1\|D.+(SWITCH|SIGNAL).+UNKNOWN)"" - &gt;&gt; "&amp;TEXT(Variables!$A$2,"YYYY-MM-DD")&amp;"-UncaughtWiMAX.txt"</f>
        <v>grep -SE -B400 "CHR.+\|PRM\|1\|D.+(SWITCH|SIGNAL).+UNKNOWN" "%USERPROFILE%\AppData\Local\Temp\OnboardLogs"\RTDC4004\*4004*20170205* | grep -SE "(Enforcement Action)|(\[TIMEOUT)|(CHR.+\|PRM\|1\|D.+(SWITCH|SIGNAL).+UNKNOWN)" - &gt;&gt; 2017-02-05-UncaughtWiMAX.txt</v>
      </c>
    </row>
    <row r="176" spans="1:91" x14ac:dyDescent="0.25">
      <c r="A176" s="33" t="s">
        <v>661</v>
      </c>
      <c r="B176" s="7">
        <v>4003</v>
      </c>
      <c r="C176" s="21" t="s">
        <v>193</v>
      </c>
      <c r="D176" s="21" t="s">
        <v>809</v>
      </c>
      <c r="E176" s="13">
        <v>42771.637442129628</v>
      </c>
      <c r="F176" s="13">
        <v>42771.63989583333</v>
      </c>
      <c r="G176" s="7">
        <v>1</v>
      </c>
      <c r="H176" s="21" t="s">
        <v>807</v>
      </c>
      <c r="I176" s="13">
        <v>42771.649363425924</v>
      </c>
      <c r="J176" s="7">
        <v>0</v>
      </c>
      <c r="K176" s="98" t="str">
        <f>IF(ISEVEN(B176),(B176-1)&amp;"/"&amp;B176,B176&amp;"/"&amp;(B176+1))</f>
        <v>4003/4004</v>
      </c>
      <c r="L176" s="21" t="str">
        <f>VLOOKUP(A176,'Trips&amp;Operators'!$C$1:$G$99999,5,FALSE)</f>
        <v>HELVIE ADAM</v>
      </c>
      <c r="M176" s="6">
        <f>I176-F176</f>
        <v>9.4675925938645378E-3</v>
      </c>
      <c r="N176" s="7">
        <f>24*60*SUM($M176:$M176)</f>
        <v>13.633333335164934</v>
      </c>
      <c r="O176" s="7"/>
      <c r="P176" s="7"/>
      <c r="Q176" s="22"/>
      <c r="R176" s="22"/>
      <c r="S176" s="31">
        <f>SUM(U176:U176)/IF(AG176="EC",12,1)</f>
        <v>1</v>
      </c>
      <c r="T176" s="46" t="str">
        <f>IF(ISEVEN(LEFT(AD176,4)),"Southbound","NorthBound")</f>
        <v>NorthBound</v>
      </c>
      <c r="U176" s="190">
        <f>IF(AG176="EC",COUNTIFS(Variables!$M$2:$M$19,IF(T176="NorthBound","&gt;=","&lt;=")&amp;Y176,Variables!$M$2:$M$19,IF(T176="NorthBound","&lt;=","&gt;=")&amp;Z176),COUNTIFS(Variables!$P$2:$P$19,IF(T176="NorthBound","&gt;=","&lt;=")&amp;Y176,Variables!$P$2:$P$19,IF(T176="NorthBound","&lt;=","&gt;=")&amp;Z176))</f>
        <v>1</v>
      </c>
      <c r="V176" s="191" t="str">
        <f>"https://d0f6bd738d7f1b3e5a7ca70fe4ff75f0.us-east-1.aws.found.io/app/kibana#/discover/Steve-Slow-Train-Analysis-(2080s-and-2083s)?_g="&amp;"(refreshInterval:(display:Off,pause:!f,section:0,value:0),time:(from:'"&amp;TEXT(E176-1/24,"yyyy-MM-DDThh:mm:ss")&amp;utc_offset&amp;"00"&amp;"',mode:absolute,to:'"&amp;TEXT(I176+1/24,"yyyy-MM-DDThh:mm:ss")&amp;utc_offset&amp;"00"&amp;"'))&amp;_a=(columns:!('Locomotive+ID','Data.Head+End+Milepost',Data.Speed,'Data.Locomotive+State','Data.Train+ID',"&amp;"'Data.Warning%2FEnforcement+Type','Data.Target+Start+Milepost','Data.Target+Description','Data.Target+Speed',"&amp;"'Data.Enforcement+Train+Speed','Data.Enforcement+Start+Milepost','Data.Target+Type','Data.Enforcement+Direction+of+Travel','Message+ID',"&amp;"'Data.Body+of+Summary+Text','Data.Head+End+Track+name'),filters:!(),index:'emp_*',interval:auto,query:"&amp;"(query_string:(analyze_wildcard:!t,query:'Message%5C+ID:(2083+OR+2080+OR+1041+OR+2003+OR+1051+OR+1043+OR+1053)+AND+%22rtdc.l.rtdc."&amp;B176&amp;"%22')),sort:!(Time.ISO8601,asc))"</f>
        <v>https://d0f6bd738d7f1b3e5a7ca70fe4ff75f0.us-east-1.aws.found.io/app/kibana#/discover/Steve-Slow-Train-Analysis-(2080s-and-2083s)?_g=(refreshInterval:(display:Off,pause:!f,section:0,value:0),time:(from:'2017-02-05T14:17:55-0700',mode:absolute,to:'2017-02-05T16:35:05-0700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4003%22')),sort:!(Time.ISO8601,asc))</v>
      </c>
      <c r="W176" s="192" t="str">
        <f>IF(AA176&lt;IF(AG176="EC",23,5.65),"Y","N")</f>
        <v>N</v>
      </c>
      <c r="X176" s="192">
        <f>VALUE(LEFT(AD176,4))-VALUE(LEFT(AD175,4))</f>
        <v>1</v>
      </c>
      <c r="Y176" s="62">
        <f>RIGHT(D176,LEN(D176)-4)/10000</f>
        <v>0.10489999999999999</v>
      </c>
      <c r="Z176" s="62">
        <f>RIGHT(H176,LEN(H176)-4)/10000</f>
        <v>5.8940999999999999</v>
      </c>
      <c r="AA176" s="62">
        <f>ABS(Z176-Y176)</f>
        <v>5.7892000000000001</v>
      </c>
      <c r="AB176" s="59" t="e">
        <f>VLOOKUP(A176,Enforcements!$C$7:$K$16,8,0)</f>
        <v>#N/A</v>
      </c>
      <c r="AC176" s="55" t="e">
        <f>VLOOKUP(A176,Enforcements!$C$7:$E$16,3,0)</f>
        <v>#N/A</v>
      </c>
      <c r="AD176" s="56" t="str">
        <f>IF(LEN(A176)=6,"0"&amp;A176,A176)</f>
        <v>1819-05</v>
      </c>
      <c r="AE176" s="85" t="str">
        <f>"aws s3 cp "&amp;s3_bucket&amp;"/RTDC"&amp;B176&amp;"/ "&amp;search_path&amp;"\RTDC"&amp;B176&amp;"\"&amp;TEXT(F176,"YYYY-MM-DD")&amp;" --exclude ""*"" --recursive --include ""*"&amp;TEXT(F176,"YYYYMMDD")&amp;"*"" &amp; """&amp;walkandungz&amp;""" "&amp;search_path&amp;"\RTDC"&amp;B176&amp;"\"&amp;TEXT(F176,"YYYY-MM-DD")
&amp;" &amp; "&amp;"aws s3 cp "&amp;s3_bucket&amp;"/RTDC"&amp;B176&amp;"/ "&amp;search_path&amp;"\RTDC"&amp;B176&amp;"\"&amp;TEXT(F176+1,"YYYY-MM-DD")&amp;" --exclude ""*"" --recursive --include ""*"&amp;TEXT(F176+1,"YYYYMMDD")&amp;"*"" &amp; """&amp;walkandungz&amp;""" "&amp;search_path&amp;"\RTDC"&amp;B176&amp;"\"&amp;TEXT(F176+1,"YYYY-MM-DD")</f>
        <v>aws s3 cp s3://rtdc.mdm.uploadarchive.raw/RTDC4003/ "%USERPROFILE%\AppData\Local\Temp\OnboardLogs"\RTDC4003\2017-02-05 --exclude "*" --recursive --include "*20170205*" &amp; "%USERPROFILE%\Documents\GitHub\mrs-test-scripts\Headless Mode &amp; Sideloading\WalkAndUnGZ.bat" "%USERPROFILE%\AppData\Local\Temp\OnboardLogs"\RTDC4003\2017-02-05 &amp; aws s3 cp s3://rtdc.mdm.uploadarchive.raw/RTDC4003/ "%USERPROFILE%\AppData\Local\Temp\OnboardLogs"\RTDC4003\2017-02-06 --exclude "*" --recursive --include "*20170206*" &amp; "%USERPROFILE%\Documents\GitHub\mrs-test-scripts\Headless Mode &amp; Sideloading\WalkAndUnGZ.bat" "%USERPROFILE%\AppData\Local\Temp\OnboardLogs"\RTDC4003\2017-02-06</v>
      </c>
      <c r="AF176" s="82" t="str">
        <f>astrogrep_path&amp;" /spath="&amp;search_path&amp;" /stypes=""app*"&amp;B176&amp;"*"&amp;TEXT(I176-utc_offset/24,"YYYYMMDD")&amp;"*"" /stext="" "&amp;TEXT(I176-utc_offset/24,"HH")&amp;search_regexp&amp;""" /e /r /s"</f>
        <v>"C:\Program Files (x86)\AstroGrep\AstroGrep.exe" /spath="%USERPROFILE%\AppData\Local\Temp\OnboardLogs" /stypes="app*4003*20170205*" /stext=" 22:.+((SYSTEM_STATE.+slice.+state.+changed )|(ment ac)|(multiple cpu faults)|(system.+state.+changed )|(\[timeout)|(PRM\|1\|D)|(kpr)|(kdp)|(\|lc)|(penalty))" /e /r /s</v>
      </c>
      <c r="AG176" s="1" t="str">
        <f>IFERROR(IF(VALUE(LEFT(AD176,2))&lt;=2,"EC",IF(OR(VALUE(LEFT(AD176,2))=8,VALUE(LEFT(AD176,2))=18),"NW","Other")),"Other")</f>
        <v>NW</v>
      </c>
      <c r="AH176" s="86" t="str">
        <f t="shared" si="10"/>
        <v>"%USERPROFILE%\Documents\GitHub\eaglep3\Utilities\RefineRTDCRunTimes.py" --tripid 1819-05 --locoid 4003 --swversion DE.1.0.8.0 --startMP 204:1049 --initTime 2017-02-05T15:17:55 --startdatetime 2017-02-05T15:21:27 --delay 1 --endMP 300:58941 --enddatetime 2017-02-05T15:35:05 --enforcementcount 0 &gt;&gt;C:\Users\stu\Documents\GitHub\eaglep3-reporting\EC\2017-02-05-refined-times.txt</v>
      </c>
      <c r="AI176" s="108" t="str">
        <f t="shared" si="11"/>
        <v>echo {"issue":{"subject":"","project_id":79,"tracker_id":40,"status_id":1,"priority_id":2,"assigned_to_id":23,"start_date":"2017-02-05","description":"","custom_fields":[{"id":1,"name":"Subdivision","value":"NW"},{"id":4,"name":"Milepost","value":"5.8941"},{"id":17,"name":"Train ID","value":"1819-05"},{"id":16,"name":"Locomotive ID","value":"4003"},{"id":130,"name":"Impact","value":""},{"id":150,"name":"Time of Event (Mountain Time)","value":"15:35:05"},{"id":151,"name":"Denver Issue ID","value":""},{"id":178,"name":"Operational Impact","value":"Yes"},{"id":179,"name":"Denver Segment Assigned","value":""}]}} | curl -X POST -H "Content-Type: application/json" -H "X-Redmine-API-Key: d6333d4a04012a730768444271f8ca06482dae87" https://secure.xorail.net/redmine/issues.json --data @-</v>
      </c>
      <c r="AJ176" s="48"/>
      <c r="AK176" s="48"/>
      <c r="AL176" s="48"/>
      <c r="AM176" s="158" t="str">
        <f t="shared" si="12"/>
        <v>start /low /b %USERPROFILE%\Documents\GitHub\eaglep3\Utilities\DownloadLogsFromS3.py --loco 4003 --day 2017-02-05</v>
      </c>
      <c r="AN176" s="167" t="str">
        <f>"grep -SE -B400 ""CHR.+\|PRM\|1\|D.+(SWITCH|SIGNAL).+UNKNOWN"" "&amp;search_path&amp;"\RTDC"&amp;B176&amp;"\*"&amp;B176&amp;"*"&amp;TEXT(AVERAGE(F176,I176)-utc_offset/24,"YYYYMMDD")&amp;"* | grep -SE ""(Enforcement Action)|(\[TIMEOUT)|(CHR.+\|PRM\|1\|D.+(SWITCH|SIGNAL).+UNKNOWN)"" - &gt;&gt; "&amp;TEXT(Variables!$A$2,"YYYY-MM-DD")&amp;"-UncaughtWiMAX.txt"</f>
        <v>grep -SE -B400 "CHR.+\|PRM\|1\|D.+(SWITCH|SIGNAL).+UNKNOWN" "%USERPROFILE%\AppData\Local\Temp\OnboardLogs"\RTDC4003\*4003*20170205* | grep -SE "(Enforcement Action)|(\[TIMEOUT)|(CHR.+\|PRM\|1\|D.+(SWITCH|SIGNAL).+UNKNOWN)" - &gt;&gt; 2017-02-05-UncaughtWiMAX.txt</v>
      </c>
    </row>
    <row r="177" spans="1:91" x14ac:dyDescent="0.25">
      <c r="A177" s="33" t="s">
        <v>664</v>
      </c>
      <c r="B177" s="7">
        <v>4004</v>
      </c>
      <c r="C177" s="21" t="s">
        <v>193</v>
      </c>
      <c r="D177" s="21" t="s">
        <v>791</v>
      </c>
      <c r="E177" s="13">
        <v>42771.650949074072</v>
      </c>
      <c r="F177" s="13">
        <v>42771.65252314815</v>
      </c>
      <c r="G177" s="7">
        <v>1</v>
      </c>
      <c r="H177" s="21" t="s">
        <v>811</v>
      </c>
      <c r="I177" s="13">
        <v>42771.663703703707</v>
      </c>
      <c r="J177" s="7">
        <v>0</v>
      </c>
      <c r="K177" s="98" t="str">
        <f>IF(ISEVEN(B177),(B177-1)&amp;"/"&amp;B177,B177&amp;"/"&amp;(B177+1))</f>
        <v>4003/4004</v>
      </c>
      <c r="L177" s="21" t="str">
        <f>VLOOKUP(A177,'Trips&amp;Operators'!$C$1:$G$99999,5,FALSE)</f>
        <v>HELVIE ADAM</v>
      </c>
      <c r="M177" s="6">
        <f>I177-F177</f>
        <v>1.1180555557075422E-2</v>
      </c>
      <c r="N177" s="7">
        <f>24*60*SUM($M177:$M177)</f>
        <v>16.100000002188608</v>
      </c>
      <c r="O177" s="7"/>
      <c r="P177" s="7"/>
      <c r="Q177" s="22"/>
      <c r="R177" s="22"/>
      <c r="S177" s="31">
        <f>SUM(U177:U177)/IF(AG177="EC",12,1)</f>
        <v>1</v>
      </c>
      <c r="T177" s="46" t="str">
        <f>IF(ISEVEN(LEFT(AD177,4)),"Southbound","NorthBound")</f>
        <v>Southbound</v>
      </c>
      <c r="U177" s="190">
        <f>IF(AG177="EC",COUNTIFS(Variables!$M$2:$M$19,IF(T177="NorthBound","&gt;=","&lt;=")&amp;Y177,Variables!$M$2:$M$19,IF(T177="NorthBound","&lt;=","&gt;=")&amp;Z177),COUNTIFS(Variables!$P$2:$P$19,IF(T177="NorthBound","&gt;=","&lt;=")&amp;Y177,Variables!$P$2:$P$19,IF(T177="NorthBound","&lt;=","&gt;=")&amp;Z177))</f>
        <v>1</v>
      </c>
      <c r="V177" s="191" t="str">
        <f>"https://d0f6bd738d7f1b3e5a7ca70fe4ff75f0.us-east-1.aws.found.io/app/kibana#/discover/Steve-Slow-Train-Analysis-(2080s-and-2083s)?_g="&amp;"(refreshInterval:(display:Off,pause:!f,section:0,value:0),time:(from:'"&amp;TEXT(E177-1/24,"yyyy-MM-DDThh:mm:ss")&amp;utc_offset&amp;"00"&amp;"',mode:absolute,to:'"&amp;TEXT(I177+1/24,"yyyy-MM-DDThh:mm:ss")&amp;utc_offset&amp;"00"&amp;"'))&amp;_a=(columns:!('Locomotive+ID','Data.Head+End+Milepost',Data.Speed,'Data.Locomotive+State','Data.Train+ID',"&amp;"'Data.Warning%2FEnforcement+Type','Data.Target+Start+Milepost','Data.Target+Description','Data.Target+Speed',"&amp;"'Data.Enforcement+Train+Speed','Data.Enforcement+Start+Milepost','Data.Target+Type','Data.Enforcement+Direction+of+Travel','Message+ID',"&amp;"'Data.Body+of+Summary+Text','Data.Head+End+Track+name'),filters:!(),index:'emp_*',interval:auto,query:"&amp;"(query_string:(analyze_wildcard:!t,query:'Message%5C+ID:(2083+OR+2080+OR+1041+OR+2003+OR+1051+OR+1043+OR+1053)+AND+%22rtdc.l.rtdc."&amp;B177&amp;"%22')),sort:!(Time.ISO8601,asc))"</f>
        <v>https://d0f6bd738d7f1b3e5a7ca70fe4ff75f0.us-east-1.aws.found.io/app/kibana#/discover/Steve-Slow-Train-Analysis-(2080s-and-2083s)?_g=(refreshInterval:(display:Off,pause:!f,section:0,value:0),time:(from:'2017-02-05T14:37:22-0700',mode:absolute,to:'2017-02-05T16:55:44-0700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4004%22')),sort:!(Time.ISO8601,asc))</v>
      </c>
      <c r="W177" s="192" t="str">
        <f>IF(AA177&lt;IF(AG177="EC",23,5.65),"Y","N")</f>
        <v>N</v>
      </c>
      <c r="X177" s="192">
        <f>VALUE(LEFT(AD177,4))-VALUE(LEFT(AD176,4))</f>
        <v>1</v>
      </c>
      <c r="Y177" s="62">
        <f>RIGHT(D177,LEN(D177)-4)/10000</f>
        <v>5.8613</v>
      </c>
      <c r="Z177" s="62">
        <f>RIGHT(H177,LEN(H177)-4)/10000</f>
        <v>7.22E-2</v>
      </c>
      <c r="AA177" s="62">
        <f>ABS(Z177-Y177)</f>
        <v>5.7891000000000004</v>
      </c>
      <c r="AB177" s="59" t="e">
        <f>VLOOKUP(A177,Enforcements!$C$7:$K$16,8,0)</f>
        <v>#N/A</v>
      </c>
      <c r="AC177" s="55" t="e">
        <f>VLOOKUP(A177,Enforcements!$C$7:$E$16,3,0)</f>
        <v>#N/A</v>
      </c>
      <c r="AD177" s="56" t="str">
        <f>IF(LEN(A177)=6,"0"&amp;A177,A177)</f>
        <v>1820-05</v>
      </c>
      <c r="AE177" s="85" t="str">
        <f>"aws s3 cp "&amp;s3_bucket&amp;"/RTDC"&amp;B177&amp;"/ "&amp;search_path&amp;"\RTDC"&amp;B177&amp;"\"&amp;TEXT(F177,"YYYY-MM-DD")&amp;" --exclude ""*"" --recursive --include ""*"&amp;TEXT(F177,"YYYYMMDD")&amp;"*"" &amp; """&amp;walkandungz&amp;""" "&amp;search_path&amp;"\RTDC"&amp;B177&amp;"\"&amp;TEXT(F177,"YYYY-MM-DD")
&amp;" &amp; "&amp;"aws s3 cp "&amp;s3_bucket&amp;"/RTDC"&amp;B177&amp;"/ "&amp;search_path&amp;"\RTDC"&amp;B177&amp;"\"&amp;TEXT(F177+1,"YYYY-MM-DD")&amp;" --exclude ""*"" --recursive --include ""*"&amp;TEXT(F177+1,"YYYYMMDD")&amp;"*"" &amp; """&amp;walkandungz&amp;""" "&amp;search_path&amp;"\RTDC"&amp;B177&amp;"\"&amp;TEXT(F177+1,"YYYY-MM-DD")</f>
        <v>aws s3 cp s3://rtdc.mdm.uploadarchive.raw/RTDC4004/ "%USERPROFILE%\AppData\Local\Temp\OnboardLogs"\RTDC4004\2017-02-05 --exclude "*" --recursive --include "*20170205*" &amp; "%USERPROFILE%\Documents\GitHub\mrs-test-scripts\Headless Mode &amp; Sideloading\WalkAndUnGZ.bat" "%USERPROFILE%\AppData\Local\Temp\OnboardLogs"\RTDC4004\2017-02-05 &amp; aws s3 cp s3://rtdc.mdm.uploadarchive.raw/RTDC4004/ "%USERPROFILE%\AppData\Local\Temp\OnboardLogs"\RTDC4004\2017-02-06 --exclude "*" --recursive --include "*20170206*" &amp; "%USERPROFILE%\Documents\GitHub\mrs-test-scripts\Headless Mode &amp; Sideloading\WalkAndUnGZ.bat" "%USERPROFILE%\AppData\Local\Temp\OnboardLogs"\RTDC4004\2017-02-06</v>
      </c>
      <c r="AF177" s="82" t="str">
        <f>astrogrep_path&amp;" /spath="&amp;search_path&amp;" /stypes=""app*"&amp;B177&amp;"*"&amp;TEXT(I177-utc_offset/24,"YYYYMMDD")&amp;"*"" /stext="" "&amp;TEXT(I177-utc_offset/24,"HH")&amp;search_regexp&amp;""" /e /r /s"</f>
        <v>"C:\Program Files (x86)\AstroGrep\AstroGrep.exe" /spath="%USERPROFILE%\AppData\Local\Temp\OnboardLogs" /stypes="app*4004*20170205*" /stext=" 22:.+((SYSTEM_STATE.+slice.+state.+changed )|(ment ac)|(multiple cpu faults)|(system.+state.+changed )|(\[timeout)|(PRM\|1\|D)|(kpr)|(kdp)|(\|lc)|(penalty))" /e /r /s</v>
      </c>
      <c r="AG177" s="1" t="str">
        <f>IFERROR(IF(VALUE(LEFT(AD177,2))&lt;=2,"EC",IF(OR(VALUE(LEFT(AD177,2))=8,VALUE(LEFT(AD177,2))=18),"NW","Other")),"Other")</f>
        <v>NW</v>
      </c>
      <c r="AH177" s="86" t="str">
        <f t="shared" si="10"/>
        <v>"%USERPROFILE%\Documents\GitHub\eaglep3\Utilities\RefineRTDCRunTimes.py" --tripid 1820-05 --locoid 4004 --swversion DE.1.0.8.0 --startMP 300:58613 --initTime 2017-02-05T15:37:22 --startdatetime 2017-02-05T15:39:38 --delay 1 --endMP 204:722 --enddatetime 2017-02-05T15:55:44 --enforcementcount 0 &gt;&gt;C:\Users\stu\Documents\GitHub\eaglep3-reporting\EC\2017-02-05-refined-times.txt</v>
      </c>
      <c r="AI177" s="108" t="str">
        <f t="shared" si="11"/>
        <v>echo {"issue":{"subject":"","project_id":79,"tracker_id":40,"status_id":1,"priority_id":2,"assigned_to_id":23,"start_date":"2017-02-05","description":"","custom_fields":[{"id":1,"name":"Subdivision","value":"NW"},{"id":4,"name":"Milepost","value":"0.0722"},{"id":17,"name":"Train ID","value":"1820-05"},{"id":16,"name":"Locomotive ID","value":"4004"},{"id":130,"name":"Impact","value":""},{"id":150,"name":"Time of Event (Mountain Time)","value":"15:55:44"},{"id":151,"name":"Denver Issue ID","value":""},{"id":178,"name":"Operational Impact","value":"Yes"},{"id":179,"name":"Denver Segment Assigned","value":""}]}} | curl -X POST -H "Content-Type: application/json" -H "X-Redmine-API-Key: d6333d4a04012a730768444271f8ca06482dae87" https://secure.xorail.net/redmine/issues.json --data @-</v>
      </c>
      <c r="AJ177" s="48"/>
      <c r="AK177" s="48"/>
      <c r="AL177" s="48"/>
      <c r="AM177" s="158" t="str">
        <f t="shared" si="12"/>
        <v>start /low /b %USERPROFILE%\Documents\GitHub\eaglep3\Utilities\DownloadLogsFromS3.py --loco 4004 --day 2017-02-05</v>
      </c>
      <c r="AN177" s="167" t="str">
        <f>"grep -SE -B400 ""CHR.+\|PRM\|1\|D.+(SWITCH|SIGNAL).+UNKNOWN"" "&amp;search_path&amp;"\RTDC"&amp;B177&amp;"\*"&amp;B177&amp;"*"&amp;TEXT(AVERAGE(F177,I177)-utc_offset/24,"YYYYMMDD")&amp;"* | grep -SE ""(Enforcement Action)|(\[TIMEOUT)|(CHR.+\|PRM\|1\|D.+(SWITCH|SIGNAL).+UNKNOWN)"" - &gt;&gt; "&amp;TEXT(Variables!$A$2,"YYYY-MM-DD")&amp;"-UncaughtWiMAX.txt"</f>
        <v>grep -SE -B400 "CHR.+\|PRM\|1\|D.+(SWITCH|SIGNAL).+UNKNOWN" "%USERPROFILE%\AppData\Local\Temp\OnboardLogs"\RTDC4004\*4004*20170205* | grep -SE "(Enforcement Action)|(\[TIMEOUT)|(CHR.+\|PRM\|1\|D.+(SWITCH|SIGNAL).+UNKNOWN)" - &gt;&gt; 2017-02-05-UncaughtWiMAX.txt</v>
      </c>
    </row>
    <row r="178" spans="1:91" s="20" customFormat="1" x14ac:dyDescent="0.25">
      <c r="A178" s="33" t="s">
        <v>512</v>
      </c>
      <c r="B178" s="7">
        <v>4003</v>
      </c>
      <c r="C178" s="21" t="s">
        <v>193</v>
      </c>
      <c r="D178" s="21" t="s">
        <v>789</v>
      </c>
      <c r="E178" s="13">
        <v>42771.679189814815</v>
      </c>
      <c r="F178" s="13">
        <v>42771.681493055556</v>
      </c>
      <c r="G178" s="7">
        <v>2</v>
      </c>
      <c r="H178" s="21" t="s">
        <v>807</v>
      </c>
      <c r="I178" s="13">
        <v>42771.690868055557</v>
      </c>
      <c r="J178" s="7">
        <v>0</v>
      </c>
      <c r="K178" s="98" t="str">
        <f>IF(ISEVEN(B178),(B178-1)&amp;"/"&amp;B178,B178&amp;"/"&amp;(B178+1))</f>
        <v>4003/4004</v>
      </c>
      <c r="L178" s="21" t="str">
        <f>VLOOKUP(A178,'Trips&amp;Operators'!$C$1:$G$99999,5,FALSE)</f>
        <v>HELVIE ADAM</v>
      </c>
      <c r="M178" s="6">
        <f>I178-F178</f>
        <v>9.3750000014551915E-3</v>
      </c>
      <c r="N178" s="7">
        <f>24*60*SUM($M178:$M178)</f>
        <v>13.500000002095476</v>
      </c>
      <c r="O178" s="7"/>
      <c r="P178" s="7"/>
      <c r="Q178" s="22"/>
      <c r="R178" s="22"/>
      <c r="S178" s="31">
        <f>SUM(U178:U178)/IF(AG178="EC",12,1)</f>
        <v>1</v>
      </c>
      <c r="T178" s="46" t="str">
        <f>IF(ISEVEN(LEFT(AD178,4)),"Southbound","NorthBound")</f>
        <v>NorthBound</v>
      </c>
      <c r="U178" s="190">
        <f>IF(AG178="EC",COUNTIFS(Variables!$M$2:$M$19,IF(T178="NorthBound","&gt;=","&lt;=")&amp;Y178,Variables!$M$2:$M$19,IF(T178="NorthBound","&lt;=","&gt;=")&amp;Z178),COUNTIFS(Variables!$P$2:$P$19,IF(T178="NorthBound","&gt;=","&lt;=")&amp;Y178,Variables!$P$2:$P$19,IF(T178="NorthBound","&lt;=","&gt;=")&amp;Z178))</f>
        <v>1</v>
      </c>
      <c r="V178" s="191" t="str">
        <f>"https://d0f6bd738d7f1b3e5a7ca70fe4ff75f0.us-east-1.aws.found.io/app/kibana#/discover/Steve-Slow-Train-Analysis-(2080s-and-2083s)?_g="&amp;"(refreshInterval:(display:Off,pause:!f,section:0,value:0),time:(from:'"&amp;TEXT(E178-1/24,"yyyy-MM-DDThh:mm:ss")&amp;utc_offset&amp;"00"&amp;"',mode:absolute,to:'"&amp;TEXT(I178+1/24,"yyyy-MM-DDThh:mm:ss")&amp;utc_offset&amp;"00"&amp;"'))&amp;_a=(columns:!('Locomotive+ID','Data.Head+End+Milepost',Data.Speed,'Data.Locomotive+State','Data.Train+ID',"&amp;"'Data.Warning%2FEnforcement+Type','Data.Target+Start+Milepost','Data.Target+Description','Data.Target+Speed',"&amp;"'Data.Enforcement+Train+Speed','Data.Enforcement+Start+Milepost','Data.Target+Type','Data.Enforcement+Direction+of+Travel','Message+ID',"&amp;"'Data.Body+of+Summary+Text','Data.Head+End+Track+name'),filters:!(),index:'emp_*',interval:auto,query:"&amp;"(query_string:(analyze_wildcard:!t,query:'Message%5C+ID:(2083+OR+2080+OR+1041+OR+2003+OR+1051+OR+1043+OR+1053)+AND+%22rtdc.l.rtdc."&amp;B178&amp;"%22')),sort:!(Time.ISO8601,asc))"</f>
        <v>https://d0f6bd738d7f1b3e5a7ca70fe4ff75f0.us-east-1.aws.found.io/app/kibana#/discover/Steve-Slow-Train-Analysis-(2080s-and-2083s)?_g=(refreshInterval:(display:Off,pause:!f,section:0,value:0),time:(from:'2017-02-05T15:18:02-0700',mode:absolute,to:'2017-02-05T17:34:51-0700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4003%22')),sort:!(Time.ISO8601,asc))</v>
      </c>
      <c r="W178" s="192" t="str">
        <f>IF(AA178&lt;IF(AG178="EC",23,5.65),"Y","N")</f>
        <v>N</v>
      </c>
      <c r="X178" s="192">
        <f>VALUE(LEFT(AD178,4))-VALUE(LEFT(AD177,4))</f>
        <v>1</v>
      </c>
      <c r="Y178" s="62">
        <f>RIGHT(D178,LEN(D178)-4)/10000</f>
        <v>0.1009</v>
      </c>
      <c r="Z178" s="62">
        <f>RIGHT(H178,LEN(H178)-4)/10000</f>
        <v>5.8940999999999999</v>
      </c>
      <c r="AA178" s="62">
        <f>ABS(Z178-Y178)</f>
        <v>5.7931999999999997</v>
      </c>
      <c r="AB178" s="59" t="e">
        <f>VLOOKUP(A178,Enforcements!$C$7:$K$16,8,0)</f>
        <v>#N/A</v>
      </c>
      <c r="AC178" s="55" t="e">
        <f>VLOOKUP(A178,Enforcements!$C$7:$E$16,3,0)</f>
        <v>#N/A</v>
      </c>
      <c r="AD178" s="56" t="str">
        <f>IF(LEN(A178)=6,"0"&amp;A178,A178)</f>
        <v>1821-05</v>
      </c>
      <c r="AE178" s="85" t="str">
        <f>"aws s3 cp "&amp;s3_bucket&amp;"/RTDC"&amp;B178&amp;"/ "&amp;search_path&amp;"\RTDC"&amp;B178&amp;"\"&amp;TEXT(F178,"YYYY-MM-DD")&amp;" --exclude ""*"" --recursive --include ""*"&amp;TEXT(F178,"YYYYMMDD")&amp;"*"" &amp; """&amp;walkandungz&amp;""" "&amp;search_path&amp;"\RTDC"&amp;B178&amp;"\"&amp;TEXT(F178,"YYYY-MM-DD")
&amp;" &amp; "&amp;"aws s3 cp "&amp;s3_bucket&amp;"/RTDC"&amp;B178&amp;"/ "&amp;search_path&amp;"\RTDC"&amp;B178&amp;"\"&amp;TEXT(F178+1,"YYYY-MM-DD")&amp;" --exclude ""*"" --recursive --include ""*"&amp;TEXT(F178+1,"YYYYMMDD")&amp;"*"" &amp; """&amp;walkandungz&amp;""" "&amp;search_path&amp;"\RTDC"&amp;B178&amp;"\"&amp;TEXT(F178+1,"YYYY-MM-DD")</f>
        <v>aws s3 cp s3://rtdc.mdm.uploadarchive.raw/RTDC4003/ "%USERPROFILE%\AppData\Local\Temp\OnboardLogs"\RTDC4003\2017-02-05 --exclude "*" --recursive --include "*20170205*" &amp; "%USERPROFILE%\Documents\GitHub\mrs-test-scripts\Headless Mode &amp; Sideloading\WalkAndUnGZ.bat" "%USERPROFILE%\AppData\Local\Temp\OnboardLogs"\RTDC4003\2017-02-05 &amp; aws s3 cp s3://rtdc.mdm.uploadarchive.raw/RTDC4003/ "%USERPROFILE%\AppData\Local\Temp\OnboardLogs"\RTDC4003\2017-02-06 --exclude "*" --recursive --include "*20170206*" &amp; "%USERPROFILE%\Documents\GitHub\mrs-test-scripts\Headless Mode &amp; Sideloading\WalkAndUnGZ.bat" "%USERPROFILE%\AppData\Local\Temp\OnboardLogs"\RTDC4003\2017-02-06</v>
      </c>
      <c r="AF178" s="82" t="str">
        <f>astrogrep_path&amp;" /spath="&amp;search_path&amp;" /stypes=""app*"&amp;B178&amp;"*"&amp;TEXT(I178-utc_offset/24,"YYYYMMDD")&amp;"*"" /stext="" "&amp;TEXT(I178-utc_offset/24,"HH")&amp;search_regexp&amp;""" /e /r /s"</f>
        <v>"C:\Program Files (x86)\AstroGrep\AstroGrep.exe" /spath="%USERPROFILE%\AppData\Local\Temp\OnboardLogs" /stypes="app*4003*20170205*" /stext=" 23:.+((SYSTEM_STATE.+slice.+state.+changed )|(ment ac)|(multiple cpu faults)|(system.+state.+changed )|(\[timeout)|(PRM\|1\|D)|(kpr)|(kdp)|(\|lc)|(penalty))" /e /r /s</v>
      </c>
      <c r="AG178" s="1" t="str">
        <f>IFERROR(IF(VALUE(LEFT(AD178,2))&lt;=2,"EC",IF(OR(VALUE(LEFT(AD178,2))=8,VALUE(LEFT(AD178,2))=18),"NW","Other")),"Other")</f>
        <v>NW</v>
      </c>
      <c r="AH178" s="86" t="str">
        <f t="shared" si="10"/>
        <v>"%USERPROFILE%\Documents\GitHub\eaglep3\Utilities\RefineRTDCRunTimes.py" --tripid 1821-05 --locoid 4003 --swversion DE.1.0.8.0 --startMP 204:1009 --initTime 2017-02-05T16:18:02 --startdatetime 2017-02-05T16:21:21 --delay 2 --endMP 300:58941 --enddatetime 2017-02-05T16:34:51 --enforcementcount 0 &gt;&gt;C:\Users\stu\Documents\GitHub\eaglep3-reporting\EC\2017-02-05-refined-times.txt</v>
      </c>
      <c r="AI178" s="108" t="str">
        <f t="shared" si="11"/>
        <v>echo {"issue":{"subject":"","project_id":79,"tracker_id":40,"status_id":1,"priority_id":2,"assigned_to_id":23,"start_date":"2017-02-05","description":"","custom_fields":[{"id":1,"name":"Subdivision","value":"NW"},{"id":4,"name":"Milepost","value":"5.8941"},{"id":17,"name":"Train ID","value":"1821-05"},{"id":16,"name":"Locomotive ID","value":"4003"},{"id":130,"name":"Impact","value":""},{"id":150,"name":"Time of Event (Mountain Time)","value":"16:34:51"},{"id":151,"name":"Denver Issue ID","value":""},{"id":178,"name":"Operational Impact","value":"Yes"},{"id":179,"name":"Denver Segment Assigned","value":""}]}} | curl -X POST -H "Content-Type: application/json" -H "X-Redmine-API-Key: d6333d4a04012a730768444271f8ca06482dae87" https://secure.xorail.net/redmine/issues.json --data @-</v>
      </c>
      <c r="AJ178" s="48"/>
      <c r="AK178" s="48"/>
      <c r="AL178" s="48"/>
      <c r="AM178" s="158" t="str">
        <f t="shared" si="12"/>
        <v>start /low /b %USERPROFILE%\Documents\GitHub\eaglep3\Utilities\DownloadLogsFromS3.py --loco 4003 --day 2017-02-05</v>
      </c>
      <c r="AN178" s="167" t="str">
        <f>"grep -SE -B400 ""CHR.+\|PRM\|1\|D.+(SWITCH|SIGNAL).+UNKNOWN"" "&amp;search_path&amp;"\RTDC"&amp;B178&amp;"\*"&amp;B178&amp;"*"&amp;TEXT(AVERAGE(F178,I178)-utc_offset/24,"YYYYMMDD")&amp;"* | grep -SE ""(Enforcement Action)|(\[TIMEOUT)|(CHR.+\|PRM\|1\|D.+(SWITCH|SIGNAL).+UNKNOWN)"" - &gt;&gt; "&amp;TEXT(Variables!$A$2,"YYYY-MM-DD")&amp;"-UncaughtWiMAX.txt"</f>
        <v>grep -SE -B400 "CHR.+\|PRM\|1\|D.+(SWITCH|SIGNAL).+UNKNOWN" "%USERPROFILE%\AppData\Local\Temp\OnboardLogs"\RTDC4003\*4003*20170205* | grep -SE "(Enforcement Action)|(\[TIMEOUT)|(CHR.+\|PRM\|1\|D.+(SWITCH|SIGNAL).+UNKNOWN)" - &gt;&gt; 2017-02-05-UncaughtWiMAX.txt</v>
      </c>
      <c r="AO178"/>
      <c r="AP178"/>
      <c r="AQ178"/>
      <c r="AR178"/>
      <c r="AS178"/>
      <c r="AT178"/>
      <c r="AU178"/>
      <c r="AV178"/>
      <c r="AW178"/>
      <c r="AX178"/>
      <c r="AY178"/>
      <c r="AZ178"/>
      <c r="BA178"/>
      <c r="BB178"/>
      <c r="BC178"/>
      <c r="BD178"/>
      <c r="BE178"/>
      <c r="BF178"/>
      <c r="BG178"/>
      <c r="BH178"/>
      <c r="BI178"/>
      <c r="BJ178"/>
      <c r="BK178"/>
      <c r="BL178"/>
      <c r="BM178"/>
      <c r="BN178"/>
      <c r="BO178"/>
      <c r="BP178"/>
      <c r="BQ178"/>
      <c r="BR178"/>
      <c r="BS178"/>
      <c r="BT178"/>
      <c r="BU178"/>
      <c r="BV178"/>
      <c r="BW178"/>
      <c r="BX178"/>
      <c r="BY178"/>
      <c r="BZ178"/>
      <c r="CA178"/>
      <c r="CB178"/>
      <c r="CC178"/>
      <c r="CD178"/>
      <c r="CE178"/>
      <c r="CF178"/>
      <c r="CG178"/>
      <c r="CH178"/>
      <c r="CI178"/>
      <c r="CJ178"/>
      <c r="CK178"/>
      <c r="CL178"/>
      <c r="CM178"/>
    </row>
    <row r="179" spans="1:91" x14ac:dyDescent="0.25">
      <c r="A179" s="33" t="s">
        <v>672</v>
      </c>
      <c r="B179" s="7">
        <v>4004</v>
      </c>
      <c r="C179" s="21" t="s">
        <v>193</v>
      </c>
      <c r="D179" s="21" t="s">
        <v>336</v>
      </c>
      <c r="E179" s="13">
        <v>42771.693912037037</v>
      </c>
      <c r="F179" s="13">
        <v>42771.695208333331</v>
      </c>
      <c r="G179" s="7">
        <v>1</v>
      </c>
      <c r="H179" s="21" t="s">
        <v>812</v>
      </c>
      <c r="I179" s="13">
        <v>42771.704722222225</v>
      </c>
      <c r="J179" s="7">
        <v>0</v>
      </c>
      <c r="K179" s="98" t="str">
        <f>IF(ISEVEN(B179),(B179-1)&amp;"/"&amp;B179,B179&amp;"/"&amp;(B179+1))</f>
        <v>4003/4004</v>
      </c>
      <c r="L179" s="21" t="str">
        <f>VLOOKUP(A179,'Trips&amp;Operators'!$C$1:$G$99999,5,FALSE)</f>
        <v>HELVIE ADAM</v>
      </c>
      <c r="M179" s="6">
        <f>I179-F179</f>
        <v>9.5138888937071897E-3</v>
      </c>
      <c r="N179" s="7">
        <f>24*60*SUM($M179:$M179)</f>
        <v>13.700000006938353</v>
      </c>
      <c r="O179" s="7"/>
      <c r="P179" s="7"/>
      <c r="Q179" s="22"/>
      <c r="R179" s="22"/>
      <c r="S179" s="31">
        <f>SUM(U179:U179)/IF(AG179="EC",12,1)</f>
        <v>1</v>
      </c>
      <c r="T179" s="46" t="str">
        <f>IF(ISEVEN(LEFT(AD179,4)),"Southbound","NorthBound")</f>
        <v>Southbound</v>
      </c>
      <c r="U179" s="190">
        <f>IF(AG179="EC",COUNTIFS(Variables!$M$2:$M$19,IF(T179="NorthBound","&gt;=","&lt;=")&amp;Y179,Variables!$M$2:$M$19,IF(T179="NorthBound","&lt;=","&gt;=")&amp;Z179),COUNTIFS(Variables!$P$2:$P$19,IF(T179="NorthBound","&gt;=","&lt;=")&amp;Y179,Variables!$P$2:$P$19,IF(T179="NorthBound","&lt;=","&gt;=")&amp;Z179))</f>
        <v>1</v>
      </c>
      <c r="V179" s="191" t="str">
        <f>"https://d0f6bd738d7f1b3e5a7ca70fe4ff75f0.us-east-1.aws.found.io/app/kibana#/discover/Steve-Slow-Train-Analysis-(2080s-and-2083s)?_g="&amp;"(refreshInterval:(display:Off,pause:!f,section:0,value:0),time:(from:'"&amp;TEXT(E179-1/24,"yyyy-MM-DDThh:mm:ss")&amp;utc_offset&amp;"00"&amp;"',mode:absolute,to:'"&amp;TEXT(I179+1/24,"yyyy-MM-DDThh:mm:ss")&amp;utc_offset&amp;"00"&amp;"'))&amp;_a=(columns:!('Locomotive+ID','Data.Head+End+Milepost',Data.Speed,'Data.Locomotive+State','Data.Train+ID',"&amp;"'Data.Warning%2FEnforcement+Type','Data.Target+Start+Milepost','Data.Target+Description','Data.Target+Speed',"&amp;"'Data.Enforcement+Train+Speed','Data.Enforcement+Start+Milepost','Data.Target+Type','Data.Enforcement+Direction+of+Travel','Message+ID',"&amp;"'Data.Body+of+Summary+Text','Data.Head+End+Track+name'),filters:!(),index:'emp_*',interval:auto,query:"&amp;"(query_string:(analyze_wildcard:!t,query:'Message%5C+ID:(2083+OR+2080+OR+1041+OR+2003+OR+1051+OR+1043+OR+1053)+AND+%22rtdc.l.rtdc."&amp;B179&amp;"%22')),sort:!(Time.ISO8601,asc))"</f>
        <v>https://d0f6bd738d7f1b3e5a7ca70fe4ff75f0.us-east-1.aws.found.io/app/kibana#/discover/Steve-Slow-Train-Analysis-(2080s-and-2083s)?_g=(refreshInterval:(display:Off,pause:!f,section:0,value:0),time:(from:'2017-02-05T15:39:14-0700',mode:absolute,to:'2017-02-05T17:54:48-0700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4004%22')),sort:!(Time.ISO8601,asc))</v>
      </c>
      <c r="W179" s="192" t="str">
        <f>IF(AA179&lt;IF(AG179="EC",23,5.65),"Y","N")</f>
        <v>N</v>
      </c>
      <c r="X179" s="192">
        <f>VALUE(LEFT(AD179,4))-VALUE(LEFT(AD178,4))</f>
        <v>1</v>
      </c>
      <c r="Y179" s="62">
        <f>RIGHT(D179,LEN(D179)-4)/10000</f>
        <v>5.8624000000000001</v>
      </c>
      <c r="Z179" s="62">
        <f>RIGHT(H179,LEN(H179)-4)/10000</f>
        <v>7.2599999999999998E-2</v>
      </c>
      <c r="AA179" s="62">
        <f>ABS(Z179-Y179)</f>
        <v>5.7897999999999996</v>
      </c>
      <c r="AB179" s="59" t="e">
        <f>VLOOKUP(A179,Enforcements!$C$7:$K$16,8,0)</f>
        <v>#N/A</v>
      </c>
      <c r="AC179" s="55" t="e">
        <f>VLOOKUP(A179,Enforcements!$C$7:$E$16,3,0)</f>
        <v>#N/A</v>
      </c>
      <c r="AD179" s="56" t="str">
        <f>IF(LEN(A179)=6,"0"&amp;A179,A179)</f>
        <v>1822-05</v>
      </c>
      <c r="AE179" s="85" t="str">
        <f>"aws s3 cp "&amp;s3_bucket&amp;"/RTDC"&amp;B179&amp;"/ "&amp;search_path&amp;"\RTDC"&amp;B179&amp;"\"&amp;TEXT(F179,"YYYY-MM-DD")&amp;" --exclude ""*"" --recursive --include ""*"&amp;TEXT(F179,"YYYYMMDD")&amp;"*"" &amp; """&amp;walkandungz&amp;""" "&amp;search_path&amp;"\RTDC"&amp;B179&amp;"\"&amp;TEXT(F179,"YYYY-MM-DD")
&amp;" &amp; "&amp;"aws s3 cp "&amp;s3_bucket&amp;"/RTDC"&amp;B179&amp;"/ "&amp;search_path&amp;"\RTDC"&amp;B179&amp;"\"&amp;TEXT(F179+1,"YYYY-MM-DD")&amp;" --exclude ""*"" --recursive --include ""*"&amp;TEXT(F179+1,"YYYYMMDD")&amp;"*"" &amp; """&amp;walkandungz&amp;""" "&amp;search_path&amp;"\RTDC"&amp;B179&amp;"\"&amp;TEXT(F179+1,"YYYY-MM-DD")</f>
        <v>aws s3 cp s3://rtdc.mdm.uploadarchive.raw/RTDC4004/ "%USERPROFILE%\AppData\Local\Temp\OnboardLogs"\RTDC4004\2017-02-05 --exclude "*" --recursive --include "*20170205*" &amp; "%USERPROFILE%\Documents\GitHub\mrs-test-scripts\Headless Mode &amp; Sideloading\WalkAndUnGZ.bat" "%USERPROFILE%\AppData\Local\Temp\OnboardLogs"\RTDC4004\2017-02-05 &amp; aws s3 cp s3://rtdc.mdm.uploadarchive.raw/RTDC4004/ "%USERPROFILE%\AppData\Local\Temp\OnboardLogs"\RTDC4004\2017-02-06 --exclude "*" --recursive --include "*20170206*" &amp; "%USERPROFILE%\Documents\GitHub\mrs-test-scripts\Headless Mode &amp; Sideloading\WalkAndUnGZ.bat" "%USERPROFILE%\AppData\Local\Temp\OnboardLogs"\RTDC4004\2017-02-06</v>
      </c>
      <c r="AF179" s="82" t="str">
        <f>astrogrep_path&amp;" /spath="&amp;search_path&amp;" /stypes=""app*"&amp;B179&amp;"*"&amp;TEXT(I179-utc_offset/24,"YYYYMMDD")&amp;"*"" /stext="" "&amp;TEXT(I179-utc_offset/24,"HH")&amp;search_regexp&amp;""" /e /r /s"</f>
        <v>"C:\Program Files (x86)\AstroGrep\AstroGrep.exe" /spath="%USERPROFILE%\AppData\Local\Temp\OnboardLogs" /stypes="app*4004*20170205*" /stext=" 23:.+((SYSTEM_STATE.+slice.+state.+changed )|(ment ac)|(multiple cpu faults)|(system.+state.+changed )|(\[timeout)|(PRM\|1\|D)|(kpr)|(kdp)|(\|lc)|(penalty))" /e /r /s</v>
      </c>
      <c r="AG179" s="1" t="str">
        <f>IFERROR(IF(VALUE(LEFT(AD179,2))&lt;=2,"EC",IF(OR(VALUE(LEFT(AD179,2))=8,VALUE(LEFT(AD179,2))=18),"NW","Other")),"Other")</f>
        <v>NW</v>
      </c>
      <c r="AH179" s="86" t="str">
        <f t="shared" si="10"/>
        <v>"%USERPROFILE%\Documents\GitHub\eaglep3\Utilities\RefineRTDCRunTimes.py" --tripid 1822-05 --locoid 4004 --swversion DE.1.0.8.0 --startMP 300:58624 --initTime 2017-02-05T16:39:14 --startdatetime 2017-02-05T16:41:06 --delay 1 --endMP 204:726 --enddatetime 2017-02-05T16:54:48 --enforcementcount 0 &gt;&gt;C:\Users\stu\Documents\GitHub\eaglep3-reporting\EC\2017-02-05-refined-times.txt</v>
      </c>
      <c r="AI179" s="108" t="str">
        <f t="shared" si="11"/>
        <v>echo {"issue":{"subject":"","project_id":79,"tracker_id":40,"status_id":1,"priority_id":2,"assigned_to_id":23,"start_date":"2017-02-05","description":"","custom_fields":[{"id":1,"name":"Subdivision","value":"NW"},{"id":4,"name":"Milepost","value":"0.0726"},{"id":17,"name":"Train ID","value":"1822-05"},{"id":16,"name":"Locomotive ID","value":"4004"},{"id":130,"name":"Impact","value":""},{"id":150,"name":"Time of Event (Mountain Time)","value":"16:54:48"},{"id":151,"name":"Denver Issue ID","value":""},{"id":178,"name":"Operational Impact","value":"Yes"},{"id":179,"name":"Denver Segment Assigned","value":""}]}} | curl -X POST -H "Content-Type: application/json" -H "X-Redmine-API-Key: d6333d4a04012a730768444271f8ca06482dae87" https://secure.xorail.net/redmine/issues.json --data @-</v>
      </c>
      <c r="AJ179" s="48"/>
      <c r="AK179" s="48"/>
      <c r="AL179" s="48"/>
      <c r="AM179" s="158" t="str">
        <f t="shared" si="12"/>
        <v>start /low /b %USERPROFILE%\Documents\GitHub\eaglep3\Utilities\DownloadLogsFromS3.py --loco 4004 --day 2017-02-05</v>
      </c>
      <c r="AN179" s="167" t="str">
        <f>"grep -SE -B400 ""CHR.+\|PRM\|1\|D.+(SWITCH|SIGNAL).+UNKNOWN"" "&amp;search_path&amp;"\RTDC"&amp;B179&amp;"\*"&amp;B179&amp;"*"&amp;TEXT(AVERAGE(F179,I179)-utc_offset/24,"YYYYMMDD")&amp;"* | grep -SE ""(Enforcement Action)|(\[TIMEOUT)|(CHR.+\|PRM\|1\|D.+(SWITCH|SIGNAL).+UNKNOWN)"" - &gt;&gt; "&amp;TEXT(Variables!$A$2,"YYYY-MM-DD")&amp;"-UncaughtWiMAX.txt"</f>
        <v>grep -SE -B400 "CHR.+\|PRM\|1\|D.+(SWITCH|SIGNAL).+UNKNOWN" "%USERPROFILE%\AppData\Local\Temp\OnboardLogs"\RTDC4004\*4004*20170205* | grep -SE "(Enforcement Action)|(\[TIMEOUT)|(CHR.+\|PRM\|1\|D.+(SWITCH|SIGNAL).+UNKNOWN)" - &gt;&gt; 2017-02-05-UncaughtWiMAX.txt</v>
      </c>
    </row>
    <row r="180" spans="1:91" x14ac:dyDescent="0.25">
      <c r="A180" s="33" t="s">
        <v>683</v>
      </c>
      <c r="B180" s="7">
        <v>4003</v>
      </c>
      <c r="C180" s="21" t="s">
        <v>193</v>
      </c>
      <c r="D180" s="21" t="s">
        <v>813</v>
      </c>
      <c r="E180" s="13">
        <v>42771.720648148148</v>
      </c>
      <c r="F180" s="13">
        <v>42771.72315972222</v>
      </c>
      <c r="G180" s="7">
        <v>1</v>
      </c>
      <c r="H180" s="21" t="s">
        <v>814</v>
      </c>
      <c r="I180" s="13">
        <v>42771.732395833336</v>
      </c>
      <c r="J180" s="7">
        <v>0</v>
      </c>
      <c r="K180" s="98" t="str">
        <f>IF(ISEVEN(B180),(B180-1)&amp;"/"&amp;B180,B180&amp;"/"&amp;(B180+1))</f>
        <v>4003/4004</v>
      </c>
      <c r="L180" s="21" t="str">
        <f>VLOOKUP(A180,'Trips&amp;Operators'!$C$1:$G$99999,5,FALSE)</f>
        <v>HELVIE ADAM</v>
      </c>
      <c r="M180" s="6">
        <f>I180-F180</f>
        <v>9.236111116479151E-3</v>
      </c>
      <c r="N180" s="7">
        <f>24*60*SUM($M180:$M180)</f>
        <v>13.300000007729977</v>
      </c>
      <c r="O180" s="7"/>
      <c r="P180" s="7"/>
      <c r="Q180" s="22"/>
      <c r="R180" s="22"/>
      <c r="S180" s="31">
        <f>SUM(U180:U180)/IF(AG180="EC",12,1)</f>
        <v>1</v>
      </c>
      <c r="T180" s="46" t="str">
        <f>IF(ISEVEN(LEFT(AD180,4)),"Southbound","NorthBound")</f>
        <v>NorthBound</v>
      </c>
      <c r="U180" s="190">
        <f>IF(AG180="EC",COUNTIFS(Variables!$M$2:$M$19,IF(T180="NorthBound","&gt;=","&lt;=")&amp;Y180,Variables!$M$2:$M$19,IF(T180="NorthBound","&lt;=","&gt;=")&amp;Z180),COUNTIFS(Variables!$P$2:$P$19,IF(T180="NorthBound","&gt;=","&lt;=")&amp;Y180,Variables!$P$2:$P$19,IF(T180="NorthBound","&lt;=","&gt;=")&amp;Z180))</f>
        <v>1</v>
      </c>
      <c r="V180" s="191" t="str">
        <f>"https://d0f6bd738d7f1b3e5a7ca70fe4ff75f0.us-east-1.aws.found.io/app/kibana#/discover/Steve-Slow-Train-Analysis-(2080s-and-2083s)?_g="&amp;"(refreshInterval:(display:Off,pause:!f,section:0,value:0),time:(from:'"&amp;TEXT(E180-1/24,"yyyy-MM-DDThh:mm:ss")&amp;utc_offset&amp;"00"&amp;"',mode:absolute,to:'"&amp;TEXT(I180+1/24,"yyyy-MM-DDThh:mm:ss")&amp;utc_offset&amp;"00"&amp;"'))&amp;_a=(columns:!('Locomotive+ID','Data.Head+End+Milepost',Data.Speed,'Data.Locomotive+State','Data.Train+ID',"&amp;"'Data.Warning%2FEnforcement+Type','Data.Target+Start+Milepost','Data.Target+Description','Data.Target+Speed',"&amp;"'Data.Enforcement+Train+Speed','Data.Enforcement+Start+Milepost','Data.Target+Type','Data.Enforcement+Direction+of+Travel','Message+ID',"&amp;"'Data.Body+of+Summary+Text','Data.Head+End+Track+name'),filters:!(),index:'emp_*',interval:auto,query:"&amp;"(query_string:(analyze_wildcard:!t,query:'Message%5C+ID:(2083+OR+2080+OR+1041+OR+2003+OR+1051+OR+1043+OR+1053)+AND+%22rtdc.l.rtdc."&amp;B180&amp;"%22')),sort:!(Time.ISO8601,asc))"</f>
        <v>https://d0f6bd738d7f1b3e5a7ca70fe4ff75f0.us-east-1.aws.found.io/app/kibana#/discover/Steve-Slow-Train-Analysis-(2080s-and-2083s)?_g=(refreshInterval:(display:Off,pause:!f,section:0,value:0),time:(from:'2017-02-05T16:17:44-0700',mode:absolute,to:'2017-02-05T18:34:39-0700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4003%22')),sort:!(Time.ISO8601,asc))</v>
      </c>
      <c r="W180" s="192" t="str">
        <f>IF(AA180&lt;IF(AG180="EC",23,5.65),"Y","N")</f>
        <v>N</v>
      </c>
      <c r="X180" s="192">
        <f>VALUE(LEFT(AD180,4))-VALUE(LEFT(AD179,4))</f>
        <v>1</v>
      </c>
      <c r="Y180" s="62">
        <f>RIGHT(D180,LEN(D180)-4)/10000</f>
        <v>0.1004</v>
      </c>
      <c r="Z180" s="62">
        <f>RIGHT(H180,LEN(H180)-4)/10000</f>
        <v>5.8943000000000003</v>
      </c>
      <c r="AA180" s="62">
        <f>ABS(Z180-Y180)</f>
        <v>5.7939000000000007</v>
      </c>
      <c r="AB180" s="59" t="e">
        <f>VLOOKUP(A180,Enforcements!$C$7:$K$16,8,0)</f>
        <v>#N/A</v>
      </c>
      <c r="AC180" s="55" t="e">
        <f>VLOOKUP(A180,Enforcements!$C$7:$E$16,3,0)</f>
        <v>#N/A</v>
      </c>
      <c r="AD180" s="56" t="str">
        <f>IF(LEN(A180)=6,"0"&amp;A180,A180)</f>
        <v>1823-05</v>
      </c>
      <c r="AE180" s="85" t="str">
        <f>"aws s3 cp "&amp;s3_bucket&amp;"/RTDC"&amp;B180&amp;"/ "&amp;search_path&amp;"\RTDC"&amp;B180&amp;"\"&amp;TEXT(F180,"YYYY-MM-DD")&amp;" --exclude ""*"" --recursive --include ""*"&amp;TEXT(F180,"YYYYMMDD")&amp;"*"" &amp; """&amp;walkandungz&amp;""" "&amp;search_path&amp;"\RTDC"&amp;B180&amp;"\"&amp;TEXT(F180,"YYYY-MM-DD")
&amp;" &amp; "&amp;"aws s3 cp "&amp;s3_bucket&amp;"/RTDC"&amp;B180&amp;"/ "&amp;search_path&amp;"\RTDC"&amp;B180&amp;"\"&amp;TEXT(F180+1,"YYYY-MM-DD")&amp;" --exclude ""*"" --recursive --include ""*"&amp;TEXT(F180+1,"YYYYMMDD")&amp;"*"" &amp; """&amp;walkandungz&amp;""" "&amp;search_path&amp;"\RTDC"&amp;B180&amp;"\"&amp;TEXT(F180+1,"YYYY-MM-DD")</f>
        <v>aws s3 cp s3://rtdc.mdm.uploadarchive.raw/RTDC4003/ "%USERPROFILE%\AppData\Local\Temp\OnboardLogs"\RTDC4003\2017-02-05 --exclude "*" --recursive --include "*20170205*" &amp; "%USERPROFILE%\Documents\GitHub\mrs-test-scripts\Headless Mode &amp; Sideloading\WalkAndUnGZ.bat" "%USERPROFILE%\AppData\Local\Temp\OnboardLogs"\RTDC4003\2017-02-05 &amp; aws s3 cp s3://rtdc.mdm.uploadarchive.raw/RTDC4003/ "%USERPROFILE%\AppData\Local\Temp\OnboardLogs"\RTDC4003\2017-02-06 --exclude "*" --recursive --include "*20170206*" &amp; "%USERPROFILE%\Documents\GitHub\mrs-test-scripts\Headless Mode &amp; Sideloading\WalkAndUnGZ.bat" "%USERPROFILE%\AppData\Local\Temp\OnboardLogs"\RTDC4003\2017-02-06</v>
      </c>
      <c r="AF180" s="82" t="str">
        <f>astrogrep_path&amp;" /spath="&amp;search_path&amp;" /stypes=""app*"&amp;B180&amp;"*"&amp;TEXT(I180-utc_offset/24,"YYYYMMDD")&amp;"*"" /stext="" "&amp;TEXT(I180-utc_offset/24,"HH")&amp;search_regexp&amp;""" /e /r /s"</f>
        <v>"C:\Program Files (x86)\AstroGrep\AstroGrep.exe" /spath="%USERPROFILE%\AppData\Local\Temp\OnboardLogs" /stypes="app*4003*20170206*" /stext=" 00:.+((SYSTEM_STATE.+slice.+state.+changed )|(ment ac)|(multiple cpu faults)|(system.+state.+changed )|(\[timeout)|(PRM\|1\|D)|(kpr)|(kdp)|(\|lc)|(penalty))" /e /r /s</v>
      </c>
      <c r="AG180" s="1" t="str">
        <f>IFERROR(IF(VALUE(LEFT(AD180,2))&lt;=2,"EC",IF(OR(VALUE(LEFT(AD180,2))=8,VALUE(LEFT(AD180,2))=18),"NW","Other")),"Other")</f>
        <v>NW</v>
      </c>
      <c r="AH180" s="86" t="str">
        <f t="shared" si="10"/>
        <v>"%USERPROFILE%\Documents\GitHub\eaglep3\Utilities\RefineRTDCRunTimes.py" --tripid 1823-05 --locoid 4003 --swversion DE.1.0.8.0 --startMP 204:1004 --initTime 2017-02-05T17:17:44 --startdatetime 2017-02-05T17:21:21 --delay 1 --endMP 300:58943 --enddatetime 2017-02-05T17:34:39 --enforcementcount 0 &gt;&gt;C:\Users\stu\Documents\GitHub\eaglep3-reporting\EC\2017-02-05-refined-times.txt</v>
      </c>
      <c r="AI180" s="108" t="str">
        <f t="shared" si="11"/>
        <v>echo {"issue":{"subject":"","project_id":79,"tracker_id":40,"status_id":1,"priority_id":2,"assigned_to_id":23,"start_date":"2017-02-05","description":"","custom_fields":[{"id":1,"name":"Subdivision","value":"NW"},{"id":4,"name":"Milepost","value":"5.8943"},{"id":17,"name":"Train ID","value":"1823-05"},{"id":16,"name":"Locomotive ID","value":"4003"},{"id":130,"name":"Impact","value":""},{"id":150,"name":"Time of Event (Mountain Time)","value":"17:34:39"},{"id":151,"name":"Denver Issue ID","value":""},{"id":178,"name":"Operational Impact","value":"Yes"},{"id":179,"name":"Denver Segment Assigned","value":""}]}} | curl -X POST -H "Content-Type: application/json" -H "X-Redmine-API-Key: d6333d4a04012a730768444271f8ca06482dae87" https://secure.xorail.net/redmine/issues.json --data @-</v>
      </c>
      <c r="AJ180" s="48"/>
      <c r="AK180" s="48"/>
      <c r="AL180" s="48"/>
      <c r="AM180" s="158" t="str">
        <f t="shared" si="12"/>
        <v>start /low /b %USERPROFILE%\Documents\GitHub\eaglep3\Utilities\DownloadLogsFromS3.py --loco 4003 --day 2017-02-05</v>
      </c>
      <c r="AN180" s="167" t="str">
        <f>"grep -SE -B400 ""CHR.+\|PRM\|1\|D.+(SWITCH|SIGNAL).+UNKNOWN"" "&amp;search_path&amp;"\RTDC"&amp;B180&amp;"\*"&amp;B180&amp;"*"&amp;TEXT(AVERAGE(F180,I180)-utc_offset/24,"YYYYMMDD")&amp;"* | grep -SE ""(Enforcement Action)|(\[TIMEOUT)|(CHR.+\|PRM\|1\|D.+(SWITCH|SIGNAL).+UNKNOWN)"" - &gt;&gt; "&amp;TEXT(Variables!$A$2,"YYYY-MM-DD")&amp;"-UncaughtWiMAX.txt"</f>
        <v>grep -SE -B400 "CHR.+\|PRM\|1\|D.+(SWITCH|SIGNAL).+UNKNOWN" "%USERPROFILE%\AppData\Local\Temp\OnboardLogs"\RTDC4003\*4003*20170206* | grep -SE "(Enforcement Action)|(\[TIMEOUT)|(CHR.+\|PRM\|1\|D.+(SWITCH|SIGNAL).+UNKNOWN)" - &gt;&gt; 2017-02-05-UncaughtWiMAX.txt</v>
      </c>
    </row>
    <row r="181" spans="1:91" x14ac:dyDescent="0.25">
      <c r="A181" s="33" t="s">
        <v>687</v>
      </c>
      <c r="B181" s="7">
        <v>4004</v>
      </c>
      <c r="C181" s="21" t="s">
        <v>193</v>
      </c>
      <c r="D181" s="21" t="s">
        <v>787</v>
      </c>
      <c r="E181" s="13">
        <v>42771.734016203707</v>
      </c>
      <c r="F181" s="13">
        <v>42771.735289351855</v>
      </c>
      <c r="G181" s="7">
        <v>1</v>
      </c>
      <c r="H181" s="21" t="s">
        <v>815</v>
      </c>
      <c r="I181" s="13">
        <v>42771.746192129627</v>
      </c>
      <c r="J181" s="7">
        <v>0</v>
      </c>
      <c r="K181" s="98" t="str">
        <f>IF(ISEVEN(B181),(B181-1)&amp;"/"&amp;B181,B181&amp;"/"&amp;(B181+1))</f>
        <v>4003/4004</v>
      </c>
      <c r="L181" s="21" t="str">
        <f>VLOOKUP(A181,'Trips&amp;Operators'!$C$1:$G$99999,5,FALSE)</f>
        <v>HELVIE ADAM</v>
      </c>
      <c r="M181" s="6">
        <f>I181-F181</f>
        <v>1.0902777772571426E-2</v>
      </c>
      <c r="N181" s="7">
        <f>24*60*SUM($M181:$M181)</f>
        <v>15.699999992502853</v>
      </c>
      <c r="O181" s="7"/>
      <c r="P181" s="7"/>
      <c r="Q181" s="22"/>
      <c r="R181" s="22"/>
      <c r="S181" s="31">
        <f>SUM(U181:U181)/IF(AG181="EC",12,1)</f>
        <v>1</v>
      </c>
      <c r="T181" s="46" t="str">
        <f>IF(ISEVEN(LEFT(AD181,4)),"Southbound","NorthBound")</f>
        <v>Southbound</v>
      </c>
      <c r="U181" s="190">
        <f>IF(AG181="EC",COUNTIFS(Variables!$M$2:$M$19,IF(T181="NorthBound","&gt;=","&lt;=")&amp;Y181,Variables!$M$2:$M$19,IF(T181="NorthBound","&lt;=","&gt;=")&amp;Z181),COUNTIFS(Variables!$P$2:$P$19,IF(T181="NorthBound","&gt;=","&lt;=")&amp;Y181,Variables!$P$2:$P$19,IF(T181="NorthBound","&lt;=","&gt;=")&amp;Z181))</f>
        <v>1</v>
      </c>
      <c r="V181" s="191" t="str">
        <f>"https://d0f6bd738d7f1b3e5a7ca70fe4ff75f0.us-east-1.aws.found.io/app/kibana#/discover/Steve-Slow-Train-Analysis-(2080s-and-2083s)?_g="&amp;"(refreshInterval:(display:Off,pause:!f,section:0,value:0),time:(from:'"&amp;TEXT(E181-1/24,"yyyy-MM-DDThh:mm:ss")&amp;utc_offset&amp;"00"&amp;"',mode:absolute,to:'"&amp;TEXT(I181+1/24,"yyyy-MM-DDThh:mm:ss")&amp;utc_offset&amp;"00"&amp;"'))&amp;_a=(columns:!('Locomotive+ID','Data.Head+End+Milepost',Data.Speed,'Data.Locomotive+State','Data.Train+ID',"&amp;"'Data.Warning%2FEnforcement+Type','Data.Target+Start+Milepost','Data.Target+Description','Data.Target+Speed',"&amp;"'Data.Enforcement+Train+Speed','Data.Enforcement+Start+Milepost','Data.Target+Type','Data.Enforcement+Direction+of+Travel','Message+ID',"&amp;"'Data.Body+of+Summary+Text','Data.Head+End+Track+name'),filters:!(),index:'emp_*',interval:auto,query:"&amp;"(query_string:(analyze_wildcard:!t,query:'Message%5C+ID:(2083+OR+2080+OR+1041+OR+2003+OR+1051+OR+1043+OR+1053)+AND+%22rtdc.l.rtdc."&amp;B181&amp;"%22')),sort:!(Time.ISO8601,asc))"</f>
        <v>https://d0f6bd738d7f1b3e5a7ca70fe4ff75f0.us-east-1.aws.found.io/app/kibana#/discover/Steve-Slow-Train-Analysis-(2080s-and-2083s)?_g=(refreshInterval:(display:Off,pause:!f,section:0,value:0),time:(from:'2017-02-05T16:36:59-0700',mode:absolute,to:'2017-02-05T18:54:31-0700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4004%22')),sort:!(Time.ISO8601,asc))</v>
      </c>
      <c r="W181" s="192" t="str">
        <f>IF(AA181&lt;IF(AG181="EC",23,5.65),"Y","N")</f>
        <v>N</v>
      </c>
      <c r="X181" s="192">
        <f>VALUE(LEFT(AD181,4))-VALUE(LEFT(AD180,4))</f>
        <v>1</v>
      </c>
      <c r="Y181" s="62">
        <f>RIGHT(D181,LEN(D181)-4)/10000</f>
        <v>5.8620999999999999</v>
      </c>
      <c r="Z181" s="62">
        <f>RIGHT(H181,LEN(H181)-4)/10000</f>
        <v>7.6399999999999996E-2</v>
      </c>
      <c r="AA181" s="62">
        <f>ABS(Z181-Y181)</f>
        <v>5.7857000000000003</v>
      </c>
      <c r="AB181" s="59" t="e">
        <f>VLOOKUP(A181,Enforcements!$C$7:$K$16,8,0)</f>
        <v>#N/A</v>
      </c>
      <c r="AC181" s="55" t="e">
        <f>VLOOKUP(A181,Enforcements!$C$7:$E$16,3,0)</f>
        <v>#N/A</v>
      </c>
      <c r="AD181" s="56" t="str">
        <f>IF(LEN(A181)=6,"0"&amp;A181,A181)</f>
        <v>1824-05</v>
      </c>
      <c r="AE181" s="85" t="str">
        <f>"aws s3 cp "&amp;s3_bucket&amp;"/RTDC"&amp;B181&amp;"/ "&amp;search_path&amp;"\RTDC"&amp;B181&amp;"\"&amp;TEXT(F181,"YYYY-MM-DD")&amp;" --exclude ""*"" --recursive --include ""*"&amp;TEXT(F181,"YYYYMMDD")&amp;"*"" &amp; """&amp;walkandungz&amp;""" "&amp;search_path&amp;"\RTDC"&amp;B181&amp;"\"&amp;TEXT(F181,"YYYY-MM-DD")
&amp;" &amp; "&amp;"aws s3 cp "&amp;s3_bucket&amp;"/RTDC"&amp;B181&amp;"/ "&amp;search_path&amp;"\RTDC"&amp;B181&amp;"\"&amp;TEXT(F181+1,"YYYY-MM-DD")&amp;" --exclude ""*"" --recursive --include ""*"&amp;TEXT(F181+1,"YYYYMMDD")&amp;"*"" &amp; """&amp;walkandungz&amp;""" "&amp;search_path&amp;"\RTDC"&amp;B181&amp;"\"&amp;TEXT(F181+1,"YYYY-MM-DD")</f>
        <v>aws s3 cp s3://rtdc.mdm.uploadarchive.raw/RTDC4004/ "%USERPROFILE%\AppData\Local\Temp\OnboardLogs"\RTDC4004\2017-02-05 --exclude "*" --recursive --include "*20170205*" &amp; "%USERPROFILE%\Documents\GitHub\mrs-test-scripts\Headless Mode &amp; Sideloading\WalkAndUnGZ.bat" "%USERPROFILE%\AppData\Local\Temp\OnboardLogs"\RTDC4004\2017-02-05 &amp; aws s3 cp s3://rtdc.mdm.uploadarchive.raw/RTDC4004/ "%USERPROFILE%\AppData\Local\Temp\OnboardLogs"\RTDC4004\2017-02-06 --exclude "*" --recursive --include "*20170206*" &amp; "%USERPROFILE%\Documents\GitHub\mrs-test-scripts\Headless Mode &amp; Sideloading\WalkAndUnGZ.bat" "%USERPROFILE%\AppData\Local\Temp\OnboardLogs"\RTDC4004\2017-02-06</v>
      </c>
      <c r="AF181" s="82" t="str">
        <f>astrogrep_path&amp;" /spath="&amp;search_path&amp;" /stypes=""app*"&amp;B181&amp;"*"&amp;TEXT(I181-utc_offset/24,"YYYYMMDD")&amp;"*"" /stext="" "&amp;TEXT(I181-utc_offset/24,"HH")&amp;search_regexp&amp;""" /e /r /s"</f>
        <v>"C:\Program Files (x86)\AstroGrep\AstroGrep.exe" /spath="%USERPROFILE%\AppData\Local\Temp\OnboardLogs" /stypes="app*4004*20170206*" /stext=" 00:.+((SYSTEM_STATE.+slice.+state.+changed )|(ment ac)|(multiple cpu faults)|(system.+state.+changed )|(\[timeout)|(PRM\|1\|D)|(kpr)|(kdp)|(\|lc)|(penalty))" /e /r /s</v>
      </c>
      <c r="AG181" s="1" t="str">
        <f>IFERROR(IF(VALUE(LEFT(AD181,2))&lt;=2,"EC",IF(OR(VALUE(LEFT(AD181,2))=8,VALUE(LEFT(AD181,2))=18),"NW","Other")),"Other")</f>
        <v>NW</v>
      </c>
      <c r="AH181" s="86" t="str">
        <f t="shared" si="10"/>
        <v>"%USERPROFILE%\Documents\GitHub\eaglep3\Utilities\RefineRTDCRunTimes.py" --tripid 1824-05 --locoid 4004 --swversion DE.1.0.8.0 --startMP 300:58621 --initTime 2017-02-05T17:36:59 --startdatetime 2017-02-05T17:38:49 --delay 1 --endMP 204:764 --enddatetime 2017-02-05T17:54:31 --enforcementcount 0 &gt;&gt;C:\Users\stu\Documents\GitHub\eaglep3-reporting\EC\2017-02-05-refined-times.txt</v>
      </c>
      <c r="AI181" s="108" t="str">
        <f t="shared" si="11"/>
        <v>echo {"issue":{"subject":"","project_id":79,"tracker_id":40,"status_id":1,"priority_id":2,"assigned_to_id":23,"start_date":"2017-02-05","description":"","custom_fields":[{"id":1,"name":"Subdivision","value":"NW"},{"id":4,"name":"Milepost","value":"0.0764"},{"id":17,"name":"Train ID","value":"1824-05"},{"id":16,"name":"Locomotive ID","value":"4004"},{"id":130,"name":"Impact","value":""},{"id":150,"name":"Time of Event (Mountain Time)","value":"17:54:31"},{"id":151,"name":"Denver Issue ID","value":""},{"id":178,"name":"Operational Impact","value":"Yes"},{"id":179,"name":"Denver Segment Assigned","value":""}]}} | curl -X POST -H "Content-Type: application/json" -H "X-Redmine-API-Key: d6333d4a04012a730768444271f8ca06482dae87" https://secure.xorail.net/redmine/issues.json --data @-</v>
      </c>
      <c r="AJ181" s="48"/>
      <c r="AK181" s="48"/>
      <c r="AL181" s="48"/>
      <c r="AM181" s="158" t="str">
        <f t="shared" si="12"/>
        <v>start /low /b %USERPROFILE%\Documents\GitHub\eaglep3\Utilities\DownloadLogsFromS3.py --loco 4004 --day 2017-02-05</v>
      </c>
      <c r="AN181" s="167" t="str">
        <f>"grep -SE -B400 ""CHR.+\|PRM\|1\|D.+(SWITCH|SIGNAL).+UNKNOWN"" "&amp;search_path&amp;"\RTDC"&amp;B181&amp;"\*"&amp;B181&amp;"*"&amp;TEXT(AVERAGE(F181,I181)-utc_offset/24,"YYYYMMDD")&amp;"* | grep -SE ""(Enforcement Action)|(\[TIMEOUT)|(CHR.+\|PRM\|1\|D.+(SWITCH|SIGNAL).+UNKNOWN)"" - &gt;&gt; "&amp;TEXT(Variables!$A$2,"YYYY-MM-DD")&amp;"-UncaughtWiMAX.txt"</f>
        <v>grep -SE -B400 "CHR.+\|PRM\|1\|D.+(SWITCH|SIGNAL).+UNKNOWN" "%USERPROFILE%\AppData\Local\Temp\OnboardLogs"\RTDC4004\*4004*20170206* | grep -SE "(Enforcement Action)|(\[TIMEOUT)|(CHR.+\|PRM\|1\|D.+(SWITCH|SIGNAL).+UNKNOWN)" - &gt;&gt; 2017-02-05-UncaughtWiMAX.txt</v>
      </c>
    </row>
    <row r="182" spans="1:91" s="20" customFormat="1" x14ac:dyDescent="0.25">
      <c r="A182" s="33" t="s">
        <v>517</v>
      </c>
      <c r="B182" s="7">
        <v>4003</v>
      </c>
      <c r="C182" s="21" t="s">
        <v>193</v>
      </c>
      <c r="D182" s="21" t="s">
        <v>809</v>
      </c>
      <c r="E182" s="13">
        <v>42771.760995370372</v>
      </c>
      <c r="F182" s="13">
        <v>42771.764768518522</v>
      </c>
      <c r="G182" s="7">
        <v>1</v>
      </c>
      <c r="H182" s="21" t="s">
        <v>816</v>
      </c>
      <c r="I182" s="13">
        <v>42771.77447916667</v>
      </c>
      <c r="J182" s="7">
        <v>0</v>
      </c>
      <c r="K182" s="98" t="str">
        <f>IF(ISEVEN(B182),(B182-1)&amp;"/"&amp;B182,B182&amp;"/"&amp;(B182+1))</f>
        <v>4003/4004</v>
      </c>
      <c r="L182" s="21" t="str">
        <f>VLOOKUP(A182,'Trips&amp;Operators'!$C$1:$G$99999,5,FALSE)</f>
        <v>HELVIE ADAM</v>
      </c>
      <c r="M182" s="6">
        <f>I182-F182</f>
        <v>9.710648148029577E-3</v>
      </c>
      <c r="N182" s="7">
        <f>24*60*SUM($M182:$M182)</f>
        <v>13.983333333162591</v>
      </c>
      <c r="O182" s="7"/>
      <c r="P182" s="7"/>
      <c r="Q182" s="22"/>
      <c r="R182" s="22"/>
      <c r="S182" s="31">
        <f>SUM(U182:U182)/IF(AG182="EC",12,1)</f>
        <v>1</v>
      </c>
      <c r="T182" s="46" t="str">
        <f>IF(ISEVEN(LEFT(AD182,4)),"Southbound","NorthBound")</f>
        <v>NorthBound</v>
      </c>
      <c r="U182" s="190">
        <f>IF(AG182="EC",COUNTIFS(Variables!$M$2:$M$19,IF(T182="NorthBound","&gt;=","&lt;=")&amp;Y182,Variables!$M$2:$M$19,IF(T182="NorthBound","&lt;=","&gt;=")&amp;Z182),COUNTIFS(Variables!$P$2:$P$19,IF(T182="NorthBound","&gt;=","&lt;=")&amp;Y182,Variables!$P$2:$P$19,IF(T182="NorthBound","&lt;=","&gt;=")&amp;Z182))</f>
        <v>1</v>
      </c>
      <c r="V182" s="191" t="str">
        <f>"https://d0f6bd738d7f1b3e5a7ca70fe4ff75f0.us-east-1.aws.found.io/app/kibana#/discover/Steve-Slow-Train-Analysis-(2080s-and-2083s)?_g="&amp;"(refreshInterval:(display:Off,pause:!f,section:0,value:0),time:(from:'"&amp;TEXT(E182-1/24,"yyyy-MM-DDThh:mm:ss")&amp;utc_offset&amp;"00"&amp;"',mode:absolute,to:'"&amp;TEXT(I182+1/24,"yyyy-MM-DDThh:mm:ss")&amp;utc_offset&amp;"00"&amp;"'))&amp;_a=(columns:!('Locomotive+ID','Data.Head+End+Milepost',Data.Speed,'Data.Locomotive+State','Data.Train+ID',"&amp;"'Data.Warning%2FEnforcement+Type','Data.Target+Start+Milepost','Data.Target+Description','Data.Target+Speed',"&amp;"'Data.Enforcement+Train+Speed','Data.Enforcement+Start+Milepost','Data.Target+Type','Data.Enforcement+Direction+of+Travel','Message+ID',"&amp;"'Data.Body+of+Summary+Text','Data.Head+End+Track+name'),filters:!(),index:'emp_*',interval:auto,query:"&amp;"(query_string:(analyze_wildcard:!t,query:'Message%5C+ID:(2083+OR+2080+OR+1041+OR+2003+OR+1051+OR+1043+OR+1053)+AND+%22rtdc.l.rtdc."&amp;B182&amp;"%22')),sort:!(Time.ISO8601,asc))"</f>
        <v>https://d0f6bd738d7f1b3e5a7ca70fe4ff75f0.us-east-1.aws.found.io/app/kibana#/discover/Steve-Slow-Train-Analysis-(2080s-and-2083s)?_g=(refreshInterval:(display:Off,pause:!f,section:0,value:0),time:(from:'2017-02-05T17:15:50-0700',mode:absolute,to:'2017-02-05T19:35:15-0700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4003%22')),sort:!(Time.ISO8601,asc))</v>
      </c>
      <c r="W182" s="192" t="str">
        <f>IF(AA182&lt;IF(AG182="EC",23,5.65),"Y","N")</f>
        <v>N</v>
      </c>
      <c r="X182" s="192">
        <f>VALUE(LEFT(AD182,4))-VALUE(LEFT(AD181,4))</f>
        <v>1</v>
      </c>
      <c r="Y182" s="62">
        <f>RIGHT(D182,LEN(D182)-4)/10000</f>
        <v>0.10489999999999999</v>
      </c>
      <c r="Z182" s="62">
        <f>RIGHT(H182,LEN(H182)-4)/10000</f>
        <v>5.8936999999999999</v>
      </c>
      <c r="AA182" s="62">
        <f>ABS(Z182-Y182)</f>
        <v>5.7888000000000002</v>
      </c>
      <c r="AB182" s="59" t="e">
        <f>VLOOKUP(A182,Enforcements!$C$7:$K$16,8,0)</f>
        <v>#N/A</v>
      </c>
      <c r="AC182" s="55" t="e">
        <f>VLOOKUP(A182,Enforcements!$C$7:$E$16,3,0)</f>
        <v>#N/A</v>
      </c>
      <c r="AD182" s="56" t="str">
        <f>IF(LEN(A182)=6,"0"&amp;A182,A182)</f>
        <v>1825-05</v>
      </c>
      <c r="AE182" s="85" t="str">
        <f>"aws s3 cp "&amp;s3_bucket&amp;"/RTDC"&amp;B182&amp;"/ "&amp;search_path&amp;"\RTDC"&amp;B182&amp;"\"&amp;TEXT(F182,"YYYY-MM-DD")&amp;" --exclude ""*"" --recursive --include ""*"&amp;TEXT(F182,"YYYYMMDD")&amp;"*"" &amp; """&amp;walkandungz&amp;""" "&amp;search_path&amp;"\RTDC"&amp;B182&amp;"\"&amp;TEXT(F182,"YYYY-MM-DD")
&amp;" &amp; "&amp;"aws s3 cp "&amp;s3_bucket&amp;"/RTDC"&amp;B182&amp;"/ "&amp;search_path&amp;"\RTDC"&amp;B182&amp;"\"&amp;TEXT(F182+1,"YYYY-MM-DD")&amp;" --exclude ""*"" --recursive --include ""*"&amp;TEXT(F182+1,"YYYYMMDD")&amp;"*"" &amp; """&amp;walkandungz&amp;""" "&amp;search_path&amp;"\RTDC"&amp;B182&amp;"\"&amp;TEXT(F182+1,"YYYY-MM-DD")</f>
        <v>aws s3 cp s3://rtdc.mdm.uploadarchive.raw/RTDC4003/ "%USERPROFILE%\AppData\Local\Temp\OnboardLogs"\RTDC4003\2017-02-05 --exclude "*" --recursive --include "*20170205*" &amp; "%USERPROFILE%\Documents\GitHub\mrs-test-scripts\Headless Mode &amp; Sideloading\WalkAndUnGZ.bat" "%USERPROFILE%\AppData\Local\Temp\OnboardLogs"\RTDC4003\2017-02-05 &amp; aws s3 cp s3://rtdc.mdm.uploadarchive.raw/RTDC4003/ "%USERPROFILE%\AppData\Local\Temp\OnboardLogs"\RTDC4003\2017-02-06 --exclude "*" --recursive --include "*20170206*" &amp; "%USERPROFILE%\Documents\GitHub\mrs-test-scripts\Headless Mode &amp; Sideloading\WalkAndUnGZ.bat" "%USERPROFILE%\AppData\Local\Temp\OnboardLogs"\RTDC4003\2017-02-06</v>
      </c>
      <c r="AF182" s="82" t="str">
        <f>astrogrep_path&amp;" /spath="&amp;search_path&amp;" /stypes=""app*"&amp;B182&amp;"*"&amp;TEXT(I182-utc_offset/24,"YYYYMMDD")&amp;"*"" /stext="" "&amp;TEXT(I182-utc_offset/24,"HH")&amp;search_regexp&amp;""" /e /r /s"</f>
        <v>"C:\Program Files (x86)\AstroGrep\AstroGrep.exe" /spath="%USERPROFILE%\AppData\Local\Temp\OnboardLogs" /stypes="app*4003*20170206*" /stext=" 01:.+((SYSTEM_STATE.+slice.+state.+changed )|(ment ac)|(multiple cpu faults)|(system.+state.+changed )|(\[timeout)|(PRM\|1\|D)|(kpr)|(kdp)|(\|lc)|(penalty))" /e /r /s</v>
      </c>
      <c r="AG182" s="1" t="str">
        <f>IFERROR(IF(VALUE(LEFT(AD182,2))&lt;=2,"EC",IF(OR(VALUE(LEFT(AD182,2))=8,VALUE(LEFT(AD182,2))=18),"NW","Other")),"Other")</f>
        <v>NW</v>
      </c>
      <c r="AH182" s="86" t="str">
        <f t="shared" si="10"/>
        <v>"%USERPROFILE%\Documents\GitHub\eaglep3\Utilities\RefineRTDCRunTimes.py" --tripid 1825-05 --locoid 4003 --swversion DE.1.0.8.0 --startMP 204:1049 --initTime 2017-02-05T18:15:50 --startdatetime 2017-02-05T18:21:16 --delay 1 --endMP 300:58937 --enddatetime 2017-02-05T18:35:15 --enforcementcount 0 &gt;&gt;C:\Users\stu\Documents\GitHub\eaglep3-reporting\EC\2017-02-05-refined-times.txt</v>
      </c>
      <c r="AI182" s="108" t="str">
        <f t="shared" si="11"/>
        <v>echo {"issue":{"subject":"","project_id":79,"tracker_id":40,"status_id":1,"priority_id":2,"assigned_to_id":23,"start_date":"2017-02-05","description":"","custom_fields":[{"id":1,"name":"Subdivision","value":"NW"},{"id":4,"name":"Milepost","value":"5.8937"},{"id":17,"name":"Train ID","value":"1825-05"},{"id":16,"name":"Locomotive ID","value":"4003"},{"id":130,"name":"Impact","value":""},{"id":150,"name":"Time of Event (Mountain Time)","value":"18:35:15"},{"id":151,"name":"Denver Issue ID","value":""},{"id":178,"name":"Operational Impact","value":"Yes"},{"id":179,"name":"Denver Segment Assigned","value":""}]}} | curl -X POST -H "Content-Type: application/json" -H "X-Redmine-API-Key: d6333d4a04012a730768444271f8ca06482dae87" https://secure.xorail.net/redmine/issues.json --data @-</v>
      </c>
      <c r="AJ182" s="48"/>
      <c r="AK182" s="48"/>
      <c r="AL182" s="48"/>
      <c r="AM182" s="158" t="str">
        <f t="shared" si="12"/>
        <v>start /low /b %USERPROFILE%\Documents\GitHub\eaglep3\Utilities\DownloadLogsFromS3.py --loco 4003 --day 2017-02-05</v>
      </c>
      <c r="AN182" s="167" t="str">
        <f>"grep -SE -B400 ""CHR.+\|PRM\|1\|D.+(SWITCH|SIGNAL).+UNKNOWN"" "&amp;search_path&amp;"\RTDC"&amp;B182&amp;"\*"&amp;B182&amp;"*"&amp;TEXT(AVERAGE(F182,I182)-utc_offset/24,"YYYYMMDD")&amp;"* | grep -SE ""(Enforcement Action)|(\[TIMEOUT)|(CHR.+\|PRM\|1\|D.+(SWITCH|SIGNAL).+UNKNOWN)"" - &gt;&gt; "&amp;TEXT(Variables!$A$2,"YYYY-MM-DD")&amp;"-UncaughtWiMAX.txt"</f>
        <v>grep -SE -B400 "CHR.+\|PRM\|1\|D.+(SWITCH|SIGNAL).+UNKNOWN" "%USERPROFILE%\AppData\Local\Temp\OnboardLogs"\RTDC4003\*4003*20170206* | grep -SE "(Enforcement Action)|(\[TIMEOUT)|(CHR.+\|PRM\|1\|D.+(SWITCH|SIGNAL).+UNKNOWN)" - &gt;&gt; 2017-02-05-UncaughtWiMAX.txt</v>
      </c>
      <c r="AO182"/>
      <c r="AP182"/>
      <c r="AQ182"/>
      <c r="AR182"/>
      <c r="AS182"/>
      <c r="AT182"/>
      <c r="AU182"/>
      <c r="AV182"/>
      <c r="AW182"/>
      <c r="AX182"/>
      <c r="AY182"/>
      <c r="AZ182"/>
      <c r="BA182"/>
      <c r="BB182"/>
      <c r="BC182"/>
      <c r="BD182"/>
      <c r="BE182"/>
      <c r="BF182"/>
      <c r="BG182"/>
      <c r="BH182"/>
      <c r="BI182"/>
      <c r="BJ182"/>
      <c r="BK182"/>
      <c r="BL182"/>
      <c r="BM182"/>
      <c r="BN182"/>
      <c r="BO182"/>
      <c r="BP182"/>
      <c r="BQ182"/>
      <c r="BR182"/>
      <c r="BS182"/>
      <c r="BT182"/>
      <c r="BU182"/>
      <c r="BV182"/>
      <c r="BW182"/>
      <c r="BX182"/>
      <c r="BY182"/>
      <c r="BZ182"/>
      <c r="CA182"/>
      <c r="CB182"/>
      <c r="CC182"/>
      <c r="CD182"/>
      <c r="CE182"/>
      <c r="CF182"/>
      <c r="CG182"/>
      <c r="CH182"/>
      <c r="CI182"/>
      <c r="CJ182"/>
      <c r="CK182"/>
      <c r="CL182"/>
      <c r="CM182"/>
    </row>
    <row r="183" spans="1:91" x14ac:dyDescent="0.25">
      <c r="A183" s="33" t="s">
        <v>698</v>
      </c>
      <c r="B183" s="7">
        <v>4004</v>
      </c>
      <c r="C183" s="21" t="s">
        <v>193</v>
      </c>
      <c r="D183" s="21" t="s">
        <v>785</v>
      </c>
      <c r="E183" s="13">
        <v>42771.776122685187</v>
      </c>
      <c r="F183" s="13">
        <v>42771.777696759258</v>
      </c>
      <c r="G183" s="7">
        <v>1</v>
      </c>
      <c r="H183" s="21" t="s">
        <v>817</v>
      </c>
      <c r="I183" s="13">
        <v>42771.789594907408</v>
      </c>
      <c r="J183" s="7">
        <v>0</v>
      </c>
      <c r="K183" s="98" t="str">
        <f>IF(ISEVEN(B183),(B183-1)&amp;"/"&amp;B183,B183&amp;"/"&amp;(B183+1))</f>
        <v>4003/4004</v>
      </c>
      <c r="L183" s="21" t="str">
        <f>VLOOKUP(A183,'Trips&amp;Operators'!$C$1:$G$99999,5,FALSE)</f>
        <v>HELVIE ADAM</v>
      </c>
      <c r="M183" s="6">
        <f>I183-F183</f>
        <v>1.1898148150066845E-2</v>
      </c>
      <c r="N183" s="7">
        <f>24*60*SUM($M183:$M183)</f>
        <v>17.133333336096257</v>
      </c>
      <c r="O183" s="7"/>
      <c r="P183" s="7"/>
      <c r="Q183" s="22"/>
      <c r="R183" s="22"/>
      <c r="S183" s="31">
        <f>SUM(U183:U183)/IF(AG183="EC",12,1)</f>
        <v>1</v>
      </c>
      <c r="T183" s="46" t="str">
        <f>IF(ISEVEN(LEFT(AD183,4)),"Southbound","NorthBound")</f>
        <v>Southbound</v>
      </c>
      <c r="U183" s="190">
        <f>IF(AG183="EC",COUNTIFS(Variables!$M$2:$M$19,IF(T183="NorthBound","&gt;=","&lt;=")&amp;Y183,Variables!$M$2:$M$19,IF(T183="NorthBound","&lt;=","&gt;=")&amp;Z183),COUNTIFS(Variables!$P$2:$P$19,IF(T183="NorthBound","&gt;=","&lt;=")&amp;Y183,Variables!$P$2:$P$19,IF(T183="NorthBound","&lt;=","&gt;=")&amp;Z183))</f>
        <v>1</v>
      </c>
      <c r="V183" s="191" t="str">
        <f>"https://d0f6bd738d7f1b3e5a7ca70fe4ff75f0.us-east-1.aws.found.io/app/kibana#/discover/Steve-Slow-Train-Analysis-(2080s-and-2083s)?_g="&amp;"(refreshInterval:(display:Off,pause:!f,section:0,value:0),time:(from:'"&amp;TEXT(E183-1/24,"yyyy-MM-DDThh:mm:ss")&amp;utc_offset&amp;"00"&amp;"',mode:absolute,to:'"&amp;TEXT(I183+1/24,"yyyy-MM-DDThh:mm:ss")&amp;utc_offset&amp;"00"&amp;"'))&amp;_a=(columns:!('Locomotive+ID','Data.Head+End+Milepost',Data.Speed,'Data.Locomotive+State','Data.Train+ID',"&amp;"'Data.Warning%2FEnforcement+Type','Data.Target+Start+Milepost','Data.Target+Description','Data.Target+Speed',"&amp;"'Data.Enforcement+Train+Speed','Data.Enforcement+Start+Milepost','Data.Target+Type','Data.Enforcement+Direction+of+Travel','Message+ID',"&amp;"'Data.Body+of+Summary+Text','Data.Head+End+Track+name'),filters:!(),index:'emp_*',interval:auto,query:"&amp;"(query_string:(analyze_wildcard:!t,query:'Message%5C+ID:(2083+OR+2080+OR+1041+OR+2003+OR+1051+OR+1043+OR+1053)+AND+%22rtdc.l.rtdc."&amp;B183&amp;"%22')),sort:!(Time.ISO8601,asc))"</f>
        <v>https://d0f6bd738d7f1b3e5a7ca70fe4ff75f0.us-east-1.aws.found.io/app/kibana#/discover/Steve-Slow-Train-Analysis-(2080s-and-2083s)?_g=(refreshInterval:(display:Off,pause:!f,section:0,value:0),time:(from:'2017-02-05T17:37:37-0700',mode:absolute,to:'2017-02-05T19:57:01-0700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4004%22')),sort:!(Time.ISO8601,asc))</v>
      </c>
      <c r="W183" s="192" t="str">
        <f>IF(AA183&lt;IF(AG183="EC",23,5.65),"Y","N")</f>
        <v>N</v>
      </c>
      <c r="X183" s="192">
        <f>VALUE(LEFT(AD183,4))-VALUE(LEFT(AD182,4))</f>
        <v>1</v>
      </c>
      <c r="Y183" s="62">
        <f>RIGHT(D183,LEN(D183)-4)/10000</f>
        <v>5.8625999999999996</v>
      </c>
      <c r="Z183" s="62">
        <f>RIGHT(H183,LEN(H183)-4)/10000</f>
        <v>7.6200000000000004E-2</v>
      </c>
      <c r="AA183" s="62">
        <f>ABS(Z183-Y183)</f>
        <v>5.7863999999999995</v>
      </c>
      <c r="AB183" s="59" t="e">
        <f>VLOOKUP(A183,Enforcements!$C$7:$K$16,8,0)</f>
        <v>#N/A</v>
      </c>
      <c r="AC183" s="55" t="e">
        <f>VLOOKUP(A183,Enforcements!$C$7:$E$16,3,0)</f>
        <v>#N/A</v>
      </c>
      <c r="AD183" s="56" t="str">
        <f>IF(LEN(A183)=6,"0"&amp;A183,A183)</f>
        <v>1826-05</v>
      </c>
      <c r="AE183" s="85" t="str">
        <f>"aws s3 cp "&amp;s3_bucket&amp;"/RTDC"&amp;B183&amp;"/ "&amp;search_path&amp;"\RTDC"&amp;B183&amp;"\"&amp;TEXT(F183,"YYYY-MM-DD")&amp;" --exclude ""*"" --recursive --include ""*"&amp;TEXT(F183,"YYYYMMDD")&amp;"*"" &amp; """&amp;walkandungz&amp;""" "&amp;search_path&amp;"\RTDC"&amp;B183&amp;"\"&amp;TEXT(F183,"YYYY-MM-DD")
&amp;" &amp; "&amp;"aws s3 cp "&amp;s3_bucket&amp;"/RTDC"&amp;B183&amp;"/ "&amp;search_path&amp;"\RTDC"&amp;B183&amp;"\"&amp;TEXT(F183+1,"YYYY-MM-DD")&amp;" --exclude ""*"" --recursive --include ""*"&amp;TEXT(F183+1,"YYYYMMDD")&amp;"*"" &amp; """&amp;walkandungz&amp;""" "&amp;search_path&amp;"\RTDC"&amp;B183&amp;"\"&amp;TEXT(F183+1,"YYYY-MM-DD")</f>
        <v>aws s3 cp s3://rtdc.mdm.uploadarchive.raw/RTDC4004/ "%USERPROFILE%\AppData\Local\Temp\OnboardLogs"\RTDC4004\2017-02-05 --exclude "*" --recursive --include "*20170205*" &amp; "%USERPROFILE%\Documents\GitHub\mrs-test-scripts\Headless Mode &amp; Sideloading\WalkAndUnGZ.bat" "%USERPROFILE%\AppData\Local\Temp\OnboardLogs"\RTDC4004\2017-02-05 &amp; aws s3 cp s3://rtdc.mdm.uploadarchive.raw/RTDC4004/ "%USERPROFILE%\AppData\Local\Temp\OnboardLogs"\RTDC4004\2017-02-06 --exclude "*" --recursive --include "*20170206*" &amp; "%USERPROFILE%\Documents\GitHub\mrs-test-scripts\Headless Mode &amp; Sideloading\WalkAndUnGZ.bat" "%USERPROFILE%\AppData\Local\Temp\OnboardLogs"\RTDC4004\2017-02-06</v>
      </c>
      <c r="AF183" s="82" t="str">
        <f>astrogrep_path&amp;" /spath="&amp;search_path&amp;" /stypes=""app*"&amp;B183&amp;"*"&amp;TEXT(I183-utc_offset/24,"YYYYMMDD")&amp;"*"" /stext="" "&amp;TEXT(I183-utc_offset/24,"HH")&amp;search_regexp&amp;""" /e /r /s"</f>
        <v>"C:\Program Files (x86)\AstroGrep\AstroGrep.exe" /spath="%USERPROFILE%\AppData\Local\Temp\OnboardLogs" /stypes="app*4004*20170206*" /stext=" 01:.+((SYSTEM_STATE.+slice.+state.+changed )|(ment ac)|(multiple cpu faults)|(system.+state.+changed )|(\[timeout)|(PRM\|1\|D)|(kpr)|(kdp)|(\|lc)|(penalty))" /e /r /s</v>
      </c>
      <c r="AG183" s="1" t="str">
        <f>IFERROR(IF(VALUE(LEFT(AD183,2))&lt;=2,"EC",IF(OR(VALUE(LEFT(AD183,2))=8,VALUE(LEFT(AD183,2))=18),"NW","Other")),"Other")</f>
        <v>NW</v>
      </c>
      <c r="AH183" s="86" t="str">
        <f t="shared" si="10"/>
        <v>"%USERPROFILE%\Documents\GitHub\eaglep3\Utilities\RefineRTDCRunTimes.py" --tripid 1826-05 --locoid 4004 --swversion DE.1.0.8.0 --startMP 300:58626 --initTime 2017-02-05T18:37:37 --startdatetime 2017-02-05T18:39:53 --delay 1 --endMP 204:762 --enddatetime 2017-02-05T18:57:01 --enforcementcount 0 &gt;&gt;C:\Users\stu\Documents\GitHub\eaglep3-reporting\EC\2017-02-05-refined-times.txt</v>
      </c>
      <c r="AI183" s="108" t="str">
        <f t="shared" si="11"/>
        <v>echo {"issue":{"subject":"","project_id":79,"tracker_id":40,"status_id":1,"priority_id":2,"assigned_to_id":23,"start_date":"2017-02-05","description":"","custom_fields":[{"id":1,"name":"Subdivision","value":"NW"},{"id":4,"name":"Milepost","value":"0.0762"},{"id":17,"name":"Train ID","value":"1826-05"},{"id":16,"name":"Locomotive ID","value":"4004"},{"id":130,"name":"Impact","value":""},{"id":150,"name":"Time of Event (Mountain Time)","value":"18:57:01"},{"id":151,"name":"Denver Issue ID","value":""},{"id":178,"name":"Operational Impact","value":"Yes"},{"id":179,"name":"Denver Segment Assigned","value":""}]}} | curl -X POST -H "Content-Type: application/json" -H "X-Redmine-API-Key: d6333d4a04012a730768444271f8ca06482dae87" https://secure.xorail.net/redmine/issues.json --data @-</v>
      </c>
      <c r="AJ183" s="48"/>
      <c r="AK183" s="48"/>
      <c r="AL183" s="48"/>
      <c r="AM183" s="158" t="str">
        <f t="shared" si="12"/>
        <v>start /low /b %USERPROFILE%\Documents\GitHub\eaglep3\Utilities\DownloadLogsFromS3.py --loco 4004 --day 2017-02-05</v>
      </c>
      <c r="AN183" s="167" t="str">
        <f>"grep -SE -B400 ""CHR.+\|PRM\|1\|D.+(SWITCH|SIGNAL).+UNKNOWN"" "&amp;search_path&amp;"\RTDC"&amp;B183&amp;"\*"&amp;B183&amp;"*"&amp;TEXT(AVERAGE(F183,I183)-utc_offset/24,"YYYYMMDD")&amp;"* | grep -SE ""(Enforcement Action)|(\[TIMEOUT)|(CHR.+\|PRM\|1\|D.+(SWITCH|SIGNAL).+UNKNOWN)"" - &gt;&gt; "&amp;TEXT(Variables!$A$2,"YYYY-MM-DD")&amp;"-UncaughtWiMAX.txt"</f>
        <v>grep -SE -B400 "CHR.+\|PRM\|1\|D.+(SWITCH|SIGNAL).+UNKNOWN" "%USERPROFILE%\AppData\Local\Temp\OnboardLogs"\RTDC4004\*4004*20170206* | grep -SE "(Enforcement Action)|(\[TIMEOUT)|(CHR.+\|PRM\|1\|D.+(SWITCH|SIGNAL).+UNKNOWN)" - &gt;&gt; 2017-02-05-UncaughtWiMAX.txt</v>
      </c>
    </row>
    <row r="184" spans="1:91" s="20" customFormat="1" x14ac:dyDescent="0.25">
      <c r="A184" s="33" t="s">
        <v>704</v>
      </c>
      <c r="B184" s="7">
        <v>4003</v>
      </c>
      <c r="C184" s="21" t="s">
        <v>193</v>
      </c>
      <c r="D184" s="21" t="s">
        <v>818</v>
      </c>
      <c r="E184" s="13">
        <v>42771.803912037038</v>
      </c>
      <c r="F184" s="13">
        <v>42771.806562500002</v>
      </c>
      <c r="G184" s="7">
        <v>1</v>
      </c>
      <c r="H184" s="21" t="s">
        <v>335</v>
      </c>
      <c r="I184" s="13">
        <v>42771.816041666665</v>
      </c>
      <c r="J184" s="7">
        <v>0</v>
      </c>
      <c r="K184" s="98" t="str">
        <f>IF(ISEVEN(B184),(B184-1)&amp;"/"&amp;B184,B184&amp;"/"&amp;(B184+1))</f>
        <v>4003/4004</v>
      </c>
      <c r="L184" s="21" t="str">
        <f>VLOOKUP(A184,'Trips&amp;Operators'!$C$1:$G$99999,5,FALSE)</f>
        <v>HELVIE ADAM</v>
      </c>
      <c r="M184" s="6">
        <f>I184-F184</f>
        <v>9.4791666633682325E-3</v>
      </c>
      <c r="N184" s="7">
        <f>24*60*SUM($M184:$M184)</f>
        <v>13.649999995250255</v>
      </c>
      <c r="O184" s="7"/>
      <c r="P184" s="7"/>
      <c r="Q184" s="22"/>
      <c r="R184" s="22"/>
      <c r="S184" s="31">
        <f>SUM(U184:U184)/IF(AG184="EC",12,1)</f>
        <v>1</v>
      </c>
      <c r="T184" s="46" t="str">
        <f>IF(ISEVEN(LEFT(AD184,4)),"Southbound","NorthBound")</f>
        <v>NorthBound</v>
      </c>
      <c r="U184" s="190">
        <f>IF(AG184="EC",COUNTIFS(Variables!$M$2:$M$19,IF(T184="NorthBound","&gt;=","&lt;=")&amp;Y184,Variables!$M$2:$M$19,IF(T184="NorthBound","&lt;=","&gt;=")&amp;Z184),COUNTIFS(Variables!$P$2:$P$19,IF(T184="NorthBound","&gt;=","&lt;=")&amp;Y184,Variables!$P$2:$P$19,IF(T184="NorthBound","&lt;=","&gt;=")&amp;Z184))</f>
        <v>1</v>
      </c>
      <c r="V184" s="191" t="str">
        <f>"https://d0f6bd738d7f1b3e5a7ca70fe4ff75f0.us-east-1.aws.found.io/app/kibana#/discover/Steve-Slow-Train-Analysis-(2080s-and-2083s)?_g="&amp;"(refreshInterval:(display:Off,pause:!f,section:0,value:0),time:(from:'"&amp;TEXT(E184-1/24,"yyyy-MM-DDThh:mm:ss")&amp;utc_offset&amp;"00"&amp;"',mode:absolute,to:'"&amp;TEXT(I184+1/24,"yyyy-MM-DDThh:mm:ss")&amp;utc_offset&amp;"00"&amp;"'))&amp;_a=(columns:!('Locomotive+ID','Data.Head+End+Milepost',Data.Speed,'Data.Locomotive+State','Data.Train+ID',"&amp;"'Data.Warning%2FEnforcement+Type','Data.Target+Start+Milepost','Data.Target+Description','Data.Target+Speed',"&amp;"'Data.Enforcement+Train+Speed','Data.Enforcement+Start+Milepost','Data.Target+Type','Data.Enforcement+Direction+of+Travel','Message+ID',"&amp;"'Data.Body+of+Summary+Text','Data.Head+End+Track+name'),filters:!(),index:'emp_*',interval:auto,query:"&amp;"(query_string:(analyze_wildcard:!t,query:'Message%5C+ID:(2083+OR+2080+OR+1041+OR+2003+OR+1051+OR+1043+OR+1053)+AND+%22rtdc.l.rtdc."&amp;B184&amp;"%22')),sort:!(Time.ISO8601,asc))"</f>
        <v>https://d0f6bd738d7f1b3e5a7ca70fe4ff75f0.us-east-1.aws.found.io/app/kibana#/discover/Steve-Slow-Train-Analysis-(2080s-and-2083s)?_g=(refreshInterval:(display:Off,pause:!f,section:0,value:0),time:(from:'2017-02-05T18:17:38-0700',mode:absolute,to:'2017-02-05T20:35:06-0700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4003%22')),sort:!(Time.ISO8601,asc))</v>
      </c>
      <c r="W184" s="192" t="str">
        <f>IF(AA184&lt;IF(AG184="EC",23,5.65),"Y","N")</f>
        <v>N</v>
      </c>
      <c r="X184" s="192">
        <f>VALUE(LEFT(AD184,4))-VALUE(LEFT(AD183,4))</f>
        <v>1</v>
      </c>
      <c r="Y184" s="62">
        <f>RIGHT(D184,LEN(D184)-4)/10000</f>
        <v>0.1041</v>
      </c>
      <c r="Z184" s="62">
        <f>RIGHT(H184,LEN(H184)-4)/10000</f>
        <v>5.8944000000000001</v>
      </c>
      <c r="AA184" s="62">
        <f>ABS(Z184-Y184)</f>
        <v>5.7903000000000002</v>
      </c>
      <c r="AB184" s="59" t="e">
        <f>VLOOKUP(A184,Enforcements!$C$7:$K$16,8,0)</f>
        <v>#N/A</v>
      </c>
      <c r="AC184" s="55" t="e">
        <f>VLOOKUP(A184,Enforcements!$C$7:$E$16,3,0)</f>
        <v>#N/A</v>
      </c>
      <c r="AD184" s="56" t="str">
        <f>IF(LEN(A184)=6,"0"&amp;A184,A184)</f>
        <v>1827-05</v>
      </c>
      <c r="AE184" s="85" t="str">
        <f>"aws s3 cp "&amp;s3_bucket&amp;"/RTDC"&amp;B184&amp;"/ "&amp;search_path&amp;"\RTDC"&amp;B184&amp;"\"&amp;TEXT(F184,"YYYY-MM-DD")&amp;" --exclude ""*"" --recursive --include ""*"&amp;TEXT(F184,"YYYYMMDD")&amp;"*"" &amp; """&amp;walkandungz&amp;""" "&amp;search_path&amp;"\RTDC"&amp;B184&amp;"\"&amp;TEXT(F184,"YYYY-MM-DD")
&amp;" &amp; "&amp;"aws s3 cp "&amp;s3_bucket&amp;"/RTDC"&amp;B184&amp;"/ "&amp;search_path&amp;"\RTDC"&amp;B184&amp;"\"&amp;TEXT(F184+1,"YYYY-MM-DD")&amp;" --exclude ""*"" --recursive --include ""*"&amp;TEXT(F184+1,"YYYYMMDD")&amp;"*"" &amp; """&amp;walkandungz&amp;""" "&amp;search_path&amp;"\RTDC"&amp;B184&amp;"\"&amp;TEXT(F184+1,"YYYY-MM-DD")</f>
        <v>aws s3 cp s3://rtdc.mdm.uploadarchive.raw/RTDC4003/ "%USERPROFILE%\AppData\Local\Temp\OnboardLogs"\RTDC4003\2017-02-05 --exclude "*" --recursive --include "*20170205*" &amp; "%USERPROFILE%\Documents\GitHub\mrs-test-scripts\Headless Mode &amp; Sideloading\WalkAndUnGZ.bat" "%USERPROFILE%\AppData\Local\Temp\OnboardLogs"\RTDC4003\2017-02-05 &amp; aws s3 cp s3://rtdc.mdm.uploadarchive.raw/RTDC4003/ "%USERPROFILE%\AppData\Local\Temp\OnboardLogs"\RTDC4003\2017-02-06 --exclude "*" --recursive --include "*20170206*" &amp; "%USERPROFILE%\Documents\GitHub\mrs-test-scripts\Headless Mode &amp; Sideloading\WalkAndUnGZ.bat" "%USERPROFILE%\AppData\Local\Temp\OnboardLogs"\RTDC4003\2017-02-06</v>
      </c>
      <c r="AF184" s="82" t="str">
        <f>astrogrep_path&amp;" /spath="&amp;search_path&amp;" /stypes=""app*"&amp;B184&amp;"*"&amp;TEXT(I184-utc_offset/24,"YYYYMMDD")&amp;"*"" /stext="" "&amp;TEXT(I184-utc_offset/24,"HH")&amp;search_regexp&amp;""" /e /r /s"</f>
        <v>"C:\Program Files (x86)\AstroGrep\AstroGrep.exe" /spath="%USERPROFILE%\AppData\Local\Temp\OnboardLogs" /stypes="app*4003*20170206*" /stext=" 02:.+((SYSTEM_STATE.+slice.+state.+changed )|(ment ac)|(multiple cpu faults)|(system.+state.+changed )|(\[timeout)|(PRM\|1\|D)|(kpr)|(kdp)|(\|lc)|(penalty))" /e /r /s</v>
      </c>
      <c r="AG184" s="1" t="str">
        <f>IFERROR(IF(VALUE(LEFT(AD184,2))&lt;=2,"EC",IF(OR(VALUE(LEFT(AD184,2))=8,VALUE(LEFT(AD184,2))=18),"NW","Other")),"Other")</f>
        <v>NW</v>
      </c>
      <c r="AH184" s="86" t="str">
        <f t="shared" si="10"/>
        <v>"%USERPROFILE%\Documents\GitHub\eaglep3\Utilities\RefineRTDCRunTimes.py" --tripid 1827-05 --locoid 4003 --swversion DE.1.0.8.0 --startMP 204:1041 --initTime 2017-02-05T19:17:38 --startdatetime 2017-02-05T19:21:27 --delay 1 --endMP 300:58944 --enddatetime 2017-02-05T19:35:06 --enforcementcount 0 &gt;&gt;C:\Users\stu\Documents\GitHub\eaglep3-reporting\EC\2017-02-05-refined-times.txt</v>
      </c>
      <c r="AI184" s="108" t="str">
        <f t="shared" si="11"/>
        <v>echo {"issue":{"subject":"","project_id":79,"tracker_id":40,"status_id":1,"priority_id":2,"assigned_to_id":23,"start_date":"2017-02-05","description":"","custom_fields":[{"id":1,"name":"Subdivision","value":"NW"},{"id":4,"name":"Milepost","value":"5.8944"},{"id":17,"name":"Train ID","value":"1827-05"},{"id":16,"name":"Locomotive ID","value":"4003"},{"id":130,"name":"Impact","value":""},{"id":150,"name":"Time of Event (Mountain Time)","value":"19:35:06"},{"id":151,"name":"Denver Issue ID","value":""},{"id":178,"name":"Operational Impact","value":"Yes"},{"id":179,"name":"Denver Segment Assigned","value":""}]}} | curl -X POST -H "Content-Type: application/json" -H "X-Redmine-API-Key: d6333d4a04012a730768444271f8ca06482dae87" https://secure.xorail.net/redmine/issues.json --data @-</v>
      </c>
      <c r="AJ184" s="48"/>
      <c r="AK184" s="48"/>
      <c r="AL184" s="48"/>
      <c r="AM184" s="158" t="str">
        <f t="shared" si="12"/>
        <v>start /low /b %USERPROFILE%\Documents\GitHub\eaglep3\Utilities\DownloadLogsFromS3.py --loco 4003 --day 2017-02-05</v>
      </c>
      <c r="AN184" s="167" t="str">
        <f>"grep -SE -B400 ""CHR.+\|PRM\|1\|D.+(SWITCH|SIGNAL).+UNKNOWN"" "&amp;search_path&amp;"\RTDC"&amp;B184&amp;"\*"&amp;B184&amp;"*"&amp;TEXT(AVERAGE(F184,I184)-utc_offset/24,"YYYYMMDD")&amp;"* | grep -SE ""(Enforcement Action)|(\[TIMEOUT)|(CHR.+\|PRM\|1\|D.+(SWITCH|SIGNAL).+UNKNOWN)"" - &gt;&gt; "&amp;TEXT(Variables!$A$2,"YYYY-MM-DD")&amp;"-UncaughtWiMAX.txt"</f>
        <v>grep -SE -B400 "CHR.+\|PRM\|1\|D.+(SWITCH|SIGNAL).+UNKNOWN" "%USERPROFILE%\AppData\Local\Temp\OnboardLogs"\RTDC4003\*4003*20170206* | grep -SE "(Enforcement Action)|(\[TIMEOUT)|(CHR.+\|PRM\|1\|D.+(SWITCH|SIGNAL).+UNKNOWN)" - &gt;&gt; 2017-02-05-UncaughtWiMAX.txt</v>
      </c>
      <c r="AO184"/>
      <c r="AP184"/>
      <c r="AQ184"/>
      <c r="AR184"/>
      <c r="AS184"/>
      <c r="AT184"/>
      <c r="AU184"/>
      <c r="AV184"/>
      <c r="AW184"/>
      <c r="AX184"/>
      <c r="AY184"/>
      <c r="AZ184"/>
      <c r="BA184"/>
      <c r="BB184"/>
      <c r="BC184"/>
      <c r="BD184"/>
      <c r="BE184"/>
      <c r="BF184"/>
      <c r="BG184"/>
      <c r="BH184"/>
      <c r="BI184"/>
      <c r="BJ184"/>
      <c r="BK184"/>
      <c r="BL184"/>
      <c r="BM184"/>
      <c r="BN184"/>
      <c r="BO184"/>
      <c r="BP184"/>
      <c r="BQ184"/>
      <c r="BR184"/>
      <c r="BS184"/>
      <c r="BT184"/>
      <c r="BU184"/>
      <c r="BV184"/>
      <c r="BW184"/>
      <c r="BX184"/>
      <c r="BY184"/>
      <c r="BZ184"/>
      <c r="CA184"/>
      <c r="CB184"/>
      <c r="CC184"/>
      <c r="CD184"/>
      <c r="CE184"/>
      <c r="CF184"/>
      <c r="CG184"/>
      <c r="CH184"/>
      <c r="CI184"/>
      <c r="CJ184"/>
      <c r="CK184"/>
      <c r="CL184"/>
      <c r="CM184"/>
    </row>
    <row r="185" spans="1:91" x14ac:dyDescent="0.25">
      <c r="A185" s="33" t="s">
        <v>707</v>
      </c>
      <c r="B185" s="7">
        <v>4004</v>
      </c>
      <c r="C185" s="21" t="s">
        <v>193</v>
      </c>
      <c r="D185" s="21" t="s">
        <v>819</v>
      </c>
      <c r="E185" s="13">
        <v>42771.81753472222</v>
      </c>
      <c r="F185" s="13">
        <v>42771.819120370368</v>
      </c>
      <c r="G185" s="7">
        <v>1</v>
      </c>
      <c r="H185" s="21" t="s">
        <v>803</v>
      </c>
      <c r="I185" s="13">
        <v>42771.831759259258</v>
      </c>
      <c r="J185" s="7">
        <v>0</v>
      </c>
      <c r="K185" s="98" t="str">
        <f>IF(ISEVEN(B185),(B185-1)&amp;"/"&amp;B185,B185&amp;"/"&amp;(B185+1))</f>
        <v>4003/4004</v>
      </c>
      <c r="L185" s="21" t="str">
        <f>VLOOKUP(A185,'Trips&amp;Operators'!$C$1:$G$99999,5,FALSE)</f>
        <v>HELVIE ADAM</v>
      </c>
      <c r="M185" s="6">
        <f>I185-F185</f>
        <v>1.2638888889341615E-2</v>
      </c>
      <c r="N185" s="7">
        <f>24*60*SUM($M185:$M185)</f>
        <v>18.200000000651926</v>
      </c>
      <c r="O185" s="7"/>
      <c r="P185" s="7"/>
      <c r="Q185" s="22"/>
      <c r="R185" s="22"/>
      <c r="S185" s="31">
        <f>SUM(U185:U185)/IF(AG185="EC",12,1)</f>
        <v>1</v>
      </c>
      <c r="T185" s="46" t="str">
        <f>IF(ISEVEN(LEFT(AD185,4)),"Southbound","NorthBound")</f>
        <v>Southbound</v>
      </c>
      <c r="U185" s="190">
        <f>IF(AG185="EC",COUNTIFS(Variables!$M$2:$M$19,IF(T185="NorthBound","&gt;=","&lt;=")&amp;Y185,Variables!$M$2:$M$19,IF(T185="NorthBound","&lt;=","&gt;=")&amp;Z185),COUNTIFS(Variables!$P$2:$P$19,IF(T185="NorthBound","&gt;=","&lt;=")&amp;Y185,Variables!$P$2:$P$19,IF(T185="NorthBound","&lt;=","&gt;=")&amp;Z185))</f>
        <v>1</v>
      </c>
      <c r="V185" s="191" t="str">
        <f>"https://d0f6bd738d7f1b3e5a7ca70fe4ff75f0.us-east-1.aws.found.io/app/kibana#/discover/Steve-Slow-Train-Analysis-(2080s-and-2083s)?_g="&amp;"(refreshInterval:(display:Off,pause:!f,section:0,value:0),time:(from:'"&amp;TEXT(E185-1/24,"yyyy-MM-DDThh:mm:ss")&amp;utc_offset&amp;"00"&amp;"',mode:absolute,to:'"&amp;TEXT(I185+1/24,"yyyy-MM-DDThh:mm:ss")&amp;utc_offset&amp;"00"&amp;"'))&amp;_a=(columns:!('Locomotive+ID','Data.Head+End+Milepost',Data.Speed,'Data.Locomotive+State','Data.Train+ID',"&amp;"'Data.Warning%2FEnforcement+Type','Data.Target+Start+Milepost','Data.Target+Description','Data.Target+Speed',"&amp;"'Data.Enforcement+Train+Speed','Data.Enforcement+Start+Milepost','Data.Target+Type','Data.Enforcement+Direction+of+Travel','Message+ID',"&amp;"'Data.Body+of+Summary+Text','Data.Head+End+Track+name'),filters:!(),index:'emp_*',interval:auto,query:"&amp;"(query_string:(analyze_wildcard:!t,query:'Message%5C+ID:(2083+OR+2080+OR+1041+OR+2003+OR+1051+OR+1043+OR+1053)+AND+%22rtdc.l.rtdc."&amp;B185&amp;"%22')),sort:!(Time.ISO8601,asc))"</f>
        <v>https://d0f6bd738d7f1b3e5a7ca70fe4ff75f0.us-east-1.aws.found.io/app/kibana#/discover/Steve-Slow-Train-Analysis-(2080s-and-2083s)?_g=(refreshInterval:(display:Off,pause:!f,section:0,value:0),time:(from:'2017-02-05T18:37:15-0700',mode:absolute,to:'2017-02-05T20:57:44-0700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4004%22')),sort:!(Time.ISO8601,asc))</v>
      </c>
      <c r="W185" s="192" t="str">
        <f>IF(AA185&lt;IF(AG185="EC",23,5.65),"Y","N")</f>
        <v>N</v>
      </c>
      <c r="X185" s="192">
        <f>VALUE(LEFT(AD185,4))-VALUE(LEFT(AD184,4))</f>
        <v>1</v>
      </c>
      <c r="Y185" s="62">
        <f>RIGHT(D185,LEN(D185)-4)/10000</f>
        <v>5.8638000000000003</v>
      </c>
      <c r="Z185" s="62">
        <f>RIGHT(H185,LEN(H185)-4)/10000</f>
        <v>7.5499999999999998E-2</v>
      </c>
      <c r="AA185" s="62">
        <f>ABS(Z185-Y185)</f>
        <v>5.7883000000000004</v>
      </c>
      <c r="AB185" s="59" t="e">
        <f>VLOOKUP(A185,Enforcements!$C$7:$K$16,8,0)</f>
        <v>#N/A</v>
      </c>
      <c r="AC185" s="55" t="e">
        <f>VLOOKUP(A185,Enforcements!$C$7:$E$16,3,0)</f>
        <v>#N/A</v>
      </c>
      <c r="AD185" s="56" t="str">
        <f>IF(LEN(A185)=6,"0"&amp;A185,A185)</f>
        <v>1828-05</v>
      </c>
      <c r="AE185" s="85" t="str">
        <f>"aws s3 cp "&amp;s3_bucket&amp;"/RTDC"&amp;B185&amp;"/ "&amp;search_path&amp;"\RTDC"&amp;B185&amp;"\"&amp;TEXT(F185,"YYYY-MM-DD")&amp;" --exclude ""*"" --recursive --include ""*"&amp;TEXT(F185,"YYYYMMDD")&amp;"*"" &amp; """&amp;walkandungz&amp;""" "&amp;search_path&amp;"\RTDC"&amp;B185&amp;"\"&amp;TEXT(F185,"YYYY-MM-DD")
&amp;" &amp; "&amp;"aws s3 cp "&amp;s3_bucket&amp;"/RTDC"&amp;B185&amp;"/ "&amp;search_path&amp;"\RTDC"&amp;B185&amp;"\"&amp;TEXT(F185+1,"YYYY-MM-DD")&amp;" --exclude ""*"" --recursive --include ""*"&amp;TEXT(F185+1,"YYYYMMDD")&amp;"*"" &amp; """&amp;walkandungz&amp;""" "&amp;search_path&amp;"\RTDC"&amp;B185&amp;"\"&amp;TEXT(F185+1,"YYYY-MM-DD")</f>
        <v>aws s3 cp s3://rtdc.mdm.uploadarchive.raw/RTDC4004/ "%USERPROFILE%\AppData\Local\Temp\OnboardLogs"\RTDC4004\2017-02-05 --exclude "*" --recursive --include "*20170205*" &amp; "%USERPROFILE%\Documents\GitHub\mrs-test-scripts\Headless Mode &amp; Sideloading\WalkAndUnGZ.bat" "%USERPROFILE%\AppData\Local\Temp\OnboardLogs"\RTDC4004\2017-02-05 &amp; aws s3 cp s3://rtdc.mdm.uploadarchive.raw/RTDC4004/ "%USERPROFILE%\AppData\Local\Temp\OnboardLogs"\RTDC4004\2017-02-06 --exclude "*" --recursive --include "*20170206*" &amp; "%USERPROFILE%\Documents\GitHub\mrs-test-scripts\Headless Mode &amp; Sideloading\WalkAndUnGZ.bat" "%USERPROFILE%\AppData\Local\Temp\OnboardLogs"\RTDC4004\2017-02-06</v>
      </c>
      <c r="AF185" s="82" t="str">
        <f>astrogrep_path&amp;" /spath="&amp;search_path&amp;" /stypes=""app*"&amp;B185&amp;"*"&amp;TEXT(I185-utc_offset/24,"YYYYMMDD")&amp;"*"" /stext="" "&amp;TEXT(I185-utc_offset/24,"HH")&amp;search_regexp&amp;""" /e /r /s"</f>
        <v>"C:\Program Files (x86)\AstroGrep\AstroGrep.exe" /spath="%USERPROFILE%\AppData\Local\Temp\OnboardLogs" /stypes="app*4004*20170206*" /stext=" 02:.+((SYSTEM_STATE.+slice.+state.+changed )|(ment ac)|(multiple cpu faults)|(system.+state.+changed )|(\[timeout)|(PRM\|1\|D)|(kpr)|(kdp)|(\|lc)|(penalty))" /e /r /s</v>
      </c>
      <c r="AG185" s="1" t="str">
        <f>IFERROR(IF(VALUE(LEFT(AD185,2))&lt;=2,"EC",IF(OR(VALUE(LEFT(AD185,2))=8,VALUE(LEFT(AD185,2))=18),"NW","Other")),"Other")</f>
        <v>NW</v>
      </c>
      <c r="AH185" s="86" t="str">
        <f t="shared" si="10"/>
        <v>"%USERPROFILE%\Documents\GitHub\eaglep3\Utilities\RefineRTDCRunTimes.py" --tripid 1828-05 --locoid 4004 --swversion DE.1.0.8.0 --startMP 300:58638 --initTime 2017-02-05T19:37:15 --startdatetime 2017-02-05T19:39:32 --delay 1 --endMP 204:755 --enddatetime 2017-02-05T19:57:44 --enforcementcount 0 &gt;&gt;C:\Users\stu\Documents\GitHub\eaglep3-reporting\EC\2017-02-05-refined-times.txt</v>
      </c>
      <c r="AI185" s="108" t="str">
        <f t="shared" si="11"/>
        <v>echo {"issue":{"subject":"","project_id":79,"tracker_id":40,"status_id":1,"priority_id":2,"assigned_to_id":23,"start_date":"2017-02-05","description":"","custom_fields":[{"id":1,"name":"Subdivision","value":"NW"},{"id":4,"name":"Milepost","value":"0.0755"},{"id":17,"name":"Train ID","value":"1828-05"},{"id":16,"name":"Locomotive ID","value":"4004"},{"id":130,"name":"Impact","value":""},{"id":150,"name":"Time of Event (Mountain Time)","value":"19:57:44"},{"id":151,"name":"Denver Issue ID","value":""},{"id":178,"name":"Operational Impact","value":"Yes"},{"id":179,"name":"Denver Segment Assigned","value":""}]}} | curl -X POST -H "Content-Type: application/json" -H "X-Redmine-API-Key: d6333d4a04012a730768444271f8ca06482dae87" https://secure.xorail.net/redmine/issues.json --data @-</v>
      </c>
      <c r="AJ185" s="48"/>
      <c r="AK185" s="48"/>
      <c r="AL185" s="48"/>
      <c r="AM185" s="158" t="str">
        <f t="shared" si="12"/>
        <v>start /low /b %USERPROFILE%\Documents\GitHub\eaglep3\Utilities\DownloadLogsFromS3.py --loco 4004 --day 2017-02-05</v>
      </c>
      <c r="AN185" s="167" t="str">
        <f>"grep -SE -B400 ""CHR.+\|PRM\|1\|D.+(SWITCH|SIGNAL).+UNKNOWN"" "&amp;search_path&amp;"\RTDC"&amp;B185&amp;"\*"&amp;B185&amp;"*"&amp;TEXT(AVERAGE(F185,I185)-utc_offset/24,"YYYYMMDD")&amp;"* | grep -SE ""(Enforcement Action)|(\[TIMEOUT)|(CHR.+\|PRM\|1\|D.+(SWITCH|SIGNAL).+UNKNOWN)"" - &gt;&gt; "&amp;TEXT(Variables!$A$2,"YYYY-MM-DD")&amp;"-UncaughtWiMAX.txt"</f>
        <v>grep -SE -B400 "CHR.+\|PRM\|1\|D.+(SWITCH|SIGNAL).+UNKNOWN" "%USERPROFILE%\AppData\Local\Temp\OnboardLogs"\RTDC4004\*4004*20170206* | grep -SE "(Enforcement Action)|(\[TIMEOUT)|(CHR.+\|PRM\|1\|D.+(SWITCH|SIGNAL).+UNKNOWN)" - &gt;&gt; 2017-02-05-UncaughtWiMAX.txt</v>
      </c>
    </row>
    <row r="186" spans="1:91" x14ac:dyDescent="0.25">
      <c r="A186" s="33" t="s">
        <v>712</v>
      </c>
      <c r="B186" s="7">
        <v>4003</v>
      </c>
      <c r="C186" s="21" t="s">
        <v>193</v>
      </c>
      <c r="D186" s="21" t="s">
        <v>370</v>
      </c>
      <c r="E186" s="13">
        <v>42771.84652777778</v>
      </c>
      <c r="F186" s="13">
        <v>42771.848182870373</v>
      </c>
      <c r="G186" s="7">
        <v>1</v>
      </c>
      <c r="H186" s="21" t="s">
        <v>335</v>
      </c>
      <c r="I186" s="13">
        <v>42771.857291666667</v>
      </c>
      <c r="J186" s="7">
        <v>0</v>
      </c>
      <c r="K186" s="98" t="str">
        <f>IF(ISEVEN(B186),(B186-1)&amp;"/"&amp;B186,B186&amp;"/"&amp;(B186+1))</f>
        <v>4003/4004</v>
      </c>
      <c r="L186" s="21" t="str">
        <f>VLOOKUP(A186,'Trips&amp;Operators'!$C$1:$G$99999,5,FALSE)</f>
        <v>HELVIE ADAM</v>
      </c>
      <c r="M186" s="6">
        <f>I186-F186</f>
        <v>9.1087962937308475E-3</v>
      </c>
      <c r="N186" s="7">
        <f>24*60*SUM($M186:$M186)</f>
        <v>13.11666666297242</v>
      </c>
      <c r="O186" s="7"/>
      <c r="P186" s="7"/>
      <c r="Q186" s="22"/>
      <c r="R186" s="22"/>
      <c r="S186" s="31">
        <f>SUM(U186:U186)/IF(AG186="EC",12,1)</f>
        <v>1</v>
      </c>
      <c r="T186" s="46" t="str">
        <f>IF(ISEVEN(LEFT(AD186,4)),"Southbound","NorthBound")</f>
        <v>NorthBound</v>
      </c>
      <c r="U186" s="190">
        <f>IF(AG186="EC",COUNTIFS(Variables!$M$2:$M$19,IF(T186="NorthBound","&gt;=","&lt;=")&amp;Y186,Variables!$M$2:$M$19,IF(T186="NorthBound","&lt;=","&gt;=")&amp;Z186),COUNTIFS(Variables!$P$2:$P$19,IF(T186="NorthBound","&gt;=","&lt;=")&amp;Y186,Variables!$P$2:$P$19,IF(T186="NorthBound","&lt;=","&gt;=")&amp;Z186))</f>
        <v>1</v>
      </c>
      <c r="V186" s="191" t="str">
        <f>"https://d0f6bd738d7f1b3e5a7ca70fe4ff75f0.us-east-1.aws.found.io/app/kibana#/discover/Steve-Slow-Train-Analysis-(2080s-and-2083s)?_g="&amp;"(refreshInterval:(display:Off,pause:!f,section:0,value:0),time:(from:'"&amp;TEXT(E186-1/24,"yyyy-MM-DDThh:mm:ss")&amp;utc_offset&amp;"00"&amp;"',mode:absolute,to:'"&amp;TEXT(I186+1/24,"yyyy-MM-DDThh:mm:ss")&amp;utc_offset&amp;"00"&amp;"'))&amp;_a=(columns:!('Locomotive+ID','Data.Head+End+Milepost',Data.Speed,'Data.Locomotive+State','Data.Train+ID',"&amp;"'Data.Warning%2FEnforcement+Type','Data.Target+Start+Milepost','Data.Target+Description','Data.Target+Speed',"&amp;"'Data.Enforcement+Train+Speed','Data.Enforcement+Start+Milepost','Data.Target+Type','Data.Enforcement+Direction+of+Travel','Message+ID',"&amp;"'Data.Body+of+Summary+Text','Data.Head+End+Track+name'),filters:!(),index:'emp_*',interval:auto,query:"&amp;"(query_string:(analyze_wildcard:!t,query:'Message%5C+ID:(2083+OR+2080+OR+1041+OR+2003+OR+1051+OR+1043+OR+1053)+AND+%22rtdc.l.rtdc."&amp;B186&amp;"%22')),sort:!(Time.ISO8601,asc))"</f>
        <v>https://d0f6bd738d7f1b3e5a7ca70fe4ff75f0.us-east-1.aws.found.io/app/kibana#/discover/Steve-Slow-Train-Analysis-(2080s-and-2083s)?_g=(refreshInterval:(display:Off,pause:!f,section:0,value:0),time:(from:'2017-02-05T19:19:00-0700',mode:absolute,to:'2017-02-05T21:34:30-0700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4003%22')),sort:!(Time.ISO8601,asc))</v>
      </c>
      <c r="W186" s="192" t="str">
        <f>IF(AA186&lt;IF(AG186="EC",23,5.65),"Y","N")</f>
        <v>N</v>
      </c>
      <c r="X186" s="192">
        <f>VALUE(LEFT(AD186,4))-VALUE(LEFT(AD185,4))</f>
        <v>1</v>
      </c>
      <c r="Y186" s="62">
        <f>RIGHT(D186,LEN(D186)-4)/10000</f>
        <v>0.1032</v>
      </c>
      <c r="Z186" s="62">
        <f>RIGHT(H186,LEN(H186)-4)/10000</f>
        <v>5.8944000000000001</v>
      </c>
      <c r="AA186" s="62">
        <f>ABS(Z186-Y186)</f>
        <v>5.7911999999999999</v>
      </c>
      <c r="AB186" s="59" t="e">
        <f>VLOOKUP(A186,Enforcements!$C$7:$K$16,8,0)</f>
        <v>#N/A</v>
      </c>
      <c r="AC186" s="55" t="e">
        <f>VLOOKUP(A186,Enforcements!$C$7:$E$16,3,0)</f>
        <v>#N/A</v>
      </c>
      <c r="AD186" s="56" t="str">
        <f>IF(LEN(A186)=6,"0"&amp;A186,A186)</f>
        <v>1829-05</v>
      </c>
      <c r="AE186" s="85" t="str">
        <f>"aws s3 cp "&amp;s3_bucket&amp;"/RTDC"&amp;B186&amp;"/ "&amp;search_path&amp;"\RTDC"&amp;B186&amp;"\"&amp;TEXT(F186,"YYYY-MM-DD")&amp;" --exclude ""*"" --recursive --include ""*"&amp;TEXT(F186,"YYYYMMDD")&amp;"*"" &amp; """&amp;walkandungz&amp;""" "&amp;search_path&amp;"\RTDC"&amp;B186&amp;"\"&amp;TEXT(F186,"YYYY-MM-DD")
&amp;" &amp; "&amp;"aws s3 cp "&amp;s3_bucket&amp;"/RTDC"&amp;B186&amp;"/ "&amp;search_path&amp;"\RTDC"&amp;B186&amp;"\"&amp;TEXT(F186+1,"YYYY-MM-DD")&amp;" --exclude ""*"" --recursive --include ""*"&amp;TEXT(F186+1,"YYYYMMDD")&amp;"*"" &amp; """&amp;walkandungz&amp;""" "&amp;search_path&amp;"\RTDC"&amp;B186&amp;"\"&amp;TEXT(F186+1,"YYYY-MM-DD")</f>
        <v>aws s3 cp s3://rtdc.mdm.uploadarchive.raw/RTDC4003/ "%USERPROFILE%\AppData\Local\Temp\OnboardLogs"\RTDC4003\2017-02-05 --exclude "*" --recursive --include "*20170205*" &amp; "%USERPROFILE%\Documents\GitHub\mrs-test-scripts\Headless Mode &amp; Sideloading\WalkAndUnGZ.bat" "%USERPROFILE%\AppData\Local\Temp\OnboardLogs"\RTDC4003\2017-02-05 &amp; aws s3 cp s3://rtdc.mdm.uploadarchive.raw/RTDC4003/ "%USERPROFILE%\AppData\Local\Temp\OnboardLogs"\RTDC4003\2017-02-06 --exclude "*" --recursive --include "*20170206*" &amp; "%USERPROFILE%\Documents\GitHub\mrs-test-scripts\Headless Mode &amp; Sideloading\WalkAndUnGZ.bat" "%USERPROFILE%\AppData\Local\Temp\OnboardLogs"\RTDC4003\2017-02-06</v>
      </c>
      <c r="AF186" s="82" t="str">
        <f>astrogrep_path&amp;" /spath="&amp;search_path&amp;" /stypes=""app*"&amp;B186&amp;"*"&amp;TEXT(I186-utc_offset/24,"YYYYMMDD")&amp;"*"" /stext="" "&amp;TEXT(I186-utc_offset/24,"HH")&amp;search_regexp&amp;""" /e /r /s"</f>
        <v>"C:\Program Files (x86)\AstroGrep\AstroGrep.exe" /spath="%USERPROFILE%\AppData\Local\Temp\OnboardLogs" /stypes="app*4003*20170206*" /stext=" 03:.+((SYSTEM_STATE.+slice.+state.+changed )|(ment ac)|(multiple cpu faults)|(system.+state.+changed )|(\[timeout)|(PRM\|1\|D)|(kpr)|(kdp)|(\|lc)|(penalty))" /e /r /s</v>
      </c>
      <c r="AG186" s="1" t="str">
        <f>IFERROR(IF(VALUE(LEFT(AD186,2))&lt;=2,"EC",IF(OR(VALUE(LEFT(AD186,2))=8,VALUE(LEFT(AD186,2))=18),"NW","Other")),"Other")</f>
        <v>NW</v>
      </c>
      <c r="AH186" s="86" t="str">
        <f t="shared" si="10"/>
        <v>"%USERPROFILE%\Documents\GitHub\eaglep3\Utilities\RefineRTDCRunTimes.py" --tripid 1829-05 --locoid 4003 --swversion DE.1.0.8.0 --startMP 204:1032 --initTime 2017-02-05T20:19:00 --startdatetime 2017-02-05T20:21:23 --delay 1 --endMP 300:58944 --enddatetime 2017-02-05T20:34:30 --enforcementcount 0 &gt;&gt;C:\Users\stu\Documents\GitHub\eaglep3-reporting\EC\2017-02-05-refined-times.txt</v>
      </c>
      <c r="AI186" s="108" t="str">
        <f t="shared" si="11"/>
        <v>echo {"issue":{"subject":"","project_id":79,"tracker_id":40,"status_id":1,"priority_id":2,"assigned_to_id":23,"start_date":"2017-02-05","description":"","custom_fields":[{"id":1,"name":"Subdivision","value":"NW"},{"id":4,"name":"Milepost","value":"5.8944"},{"id":17,"name":"Train ID","value":"1829-05"},{"id":16,"name":"Locomotive ID","value":"4003"},{"id":130,"name":"Impact","value":""},{"id":150,"name":"Time of Event (Mountain Time)","value":"20:34:30"},{"id":151,"name":"Denver Issue ID","value":""},{"id":178,"name":"Operational Impact","value":"Yes"},{"id":179,"name":"Denver Segment Assigned","value":""}]}} | curl -X POST -H "Content-Type: application/json" -H "X-Redmine-API-Key: d6333d4a04012a730768444271f8ca06482dae87" https://secure.xorail.net/redmine/issues.json --data @-</v>
      </c>
      <c r="AJ186" s="48"/>
      <c r="AK186" s="48"/>
      <c r="AL186" s="48"/>
      <c r="AM186" s="158" t="str">
        <f t="shared" si="12"/>
        <v>start /low /b %USERPROFILE%\Documents\GitHub\eaglep3\Utilities\DownloadLogsFromS3.py --loco 4003 --day 2017-02-05</v>
      </c>
      <c r="AN186" s="167" t="str">
        <f>"grep -SE -B400 ""CHR.+\|PRM\|1\|D.+(SWITCH|SIGNAL).+UNKNOWN"" "&amp;search_path&amp;"\RTDC"&amp;B186&amp;"\*"&amp;B186&amp;"*"&amp;TEXT(AVERAGE(F186,I186)-utc_offset/24,"YYYYMMDD")&amp;"* | grep -SE ""(Enforcement Action)|(\[TIMEOUT)|(CHR.+\|PRM\|1\|D.+(SWITCH|SIGNAL).+UNKNOWN)"" - &gt;&gt; "&amp;TEXT(Variables!$A$2,"YYYY-MM-DD")&amp;"-UncaughtWiMAX.txt"</f>
        <v>grep -SE -B400 "CHR.+\|PRM\|1\|D.+(SWITCH|SIGNAL).+UNKNOWN" "%USERPROFILE%\AppData\Local\Temp\OnboardLogs"\RTDC4003\*4003*20170206* | grep -SE "(Enforcement Action)|(\[TIMEOUT)|(CHR.+\|PRM\|1\|D.+(SWITCH|SIGNAL).+UNKNOWN)" - &gt;&gt; 2017-02-05-UncaughtWiMAX.txt</v>
      </c>
    </row>
    <row r="187" spans="1:91" s="20" customFormat="1" x14ac:dyDescent="0.25">
      <c r="A187" s="33" t="s">
        <v>715</v>
      </c>
      <c r="B187" s="7">
        <v>4004</v>
      </c>
      <c r="C187" s="21" t="s">
        <v>193</v>
      </c>
      <c r="D187" s="21" t="s">
        <v>336</v>
      </c>
      <c r="E187" s="13">
        <v>42771.858981481484</v>
      </c>
      <c r="F187" s="13">
        <v>42771.860347222224</v>
      </c>
      <c r="G187" s="7">
        <v>1</v>
      </c>
      <c r="H187" s="21" t="s">
        <v>800</v>
      </c>
      <c r="I187" s="13">
        <v>42771.871099537035</v>
      </c>
      <c r="J187" s="7">
        <v>0</v>
      </c>
      <c r="K187" s="98" t="str">
        <f>IF(ISEVEN(B187),(B187-1)&amp;"/"&amp;B187,B187&amp;"/"&amp;(B187+1))</f>
        <v>4003/4004</v>
      </c>
      <c r="L187" s="21" t="str">
        <f>VLOOKUP(A187,'Trips&amp;Operators'!$C$1:$G$99999,5,FALSE)</f>
        <v>HELVIE ADAM</v>
      </c>
      <c r="M187" s="6">
        <f>I187-F187</f>
        <v>1.0752314810815733E-2</v>
      </c>
      <c r="N187" s="7">
        <f>24*60*SUM($M187:$M187)</f>
        <v>15.483333327574655</v>
      </c>
      <c r="O187" s="7"/>
      <c r="P187" s="7"/>
      <c r="Q187" s="22"/>
      <c r="R187" s="22"/>
      <c r="S187" s="31">
        <f>SUM(U187:U187)/IF(AG187="EC",12,1)</f>
        <v>1</v>
      </c>
      <c r="T187" s="46" t="str">
        <f>IF(ISEVEN(LEFT(AD187,4)),"Southbound","NorthBound")</f>
        <v>Southbound</v>
      </c>
      <c r="U187" s="190">
        <f>IF(AG187="EC",COUNTIFS(Variables!$M$2:$M$19,IF(T187="NorthBound","&gt;=","&lt;=")&amp;Y187,Variables!$M$2:$M$19,IF(T187="NorthBound","&lt;=","&gt;=")&amp;Z187),COUNTIFS(Variables!$P$2:$P$19,IF(T187="NorthBound","&gt;=","&lt;=")&amp;Y187,Variables!$P$2:$P$19,IF(T187="NorthBound","&lt;=","&gt;=")&amp;Z187))</f>
        <v>1</v>
      </c>
      <c r="V187" s="191" t="str">
        <f>"https://d0f6bd738d7f1b3e5a7ca70fe4ff75f0.us-east-1.aws.found.io/app/kibana#/discover/Steve-Slow-Train-Analysis-(2080s-and-2083s)?_g="&amp;"(refreshInterval:(display:Off,pause:!f,section:0,value:0),time:(from:'"&amp;TEXT(E187-1/24,"yyyy-MM-DDThh:mm:ss")&amp;utc_offset&amp;"00"&amp;"',mode:absolute,to:'"&amp;TEXT(I187+1/24,"yyyy-MM-DDThh:mm:ss")&amp;utc_offset&amp;"00"&amp;"'))&amp;_a=(columns:!('Locomotive+ID','Data.Head+End+Milepost',Data.Speed,'Data.Locomotive+State','Data.Train+ID',"&amp;"'Data.Warning%2FEnforcement+Type','Data.Target+Start+Milepost','Data.Target+Description','Data.Target+Speed',"&amp;"'Data.Enforcement+Train+Speed','Data.Enforcement+Start+Milepost','Data.Target+Type','Data.Enforcement+Direction+of+Travel','Message+ID',"&amp;"'Data.Body+of+Summary+Text','Data.Head+End+Track+name'),filters:!(),index:'emp_*',interval:auto,query:"&amp;"(query_string:(analyze_wildcard:!t,query:'Message%5C+ID:(2083+OR+2080+OR+1041+OR+2003+OR+1051+OR+1043+OR+1053)+AND+%22rtdc.l.rtdc."&amp;B187&amp;"%22')),sort:!(Time.ISO8601,asc))"</f>
        <v>https://d0f6bd738d7f1b3e5a7ca70fe4ff75f0.us-east-1.aws.found.io/app/kibana#/discover/Steve-Slow-Train-Analysis-(2080s-and-2083s)?_g=(refreshInterval:(display:Off,pause:!f,section:0,value:0),time:(from:'2017-02-05T19:36:56-0700',mode:absolute,to:'2017-02-05T21:54:23-0700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4004%22')),sort:!(Time.ISO8601,asc))</v>
      </c>
      <c r="W187" s="192" t="str">
        <f>IF(AA187&lt;IF(AG187="EC",23,5.65),"Y","N")</f>
        <v>N</v>
      </c>
      <c r="X187" s="192">
        <f>VALUE(LEFT(AD187,4))-VALUE(LEFT(AD186,4))</f>
        <v>1</v>
      </c>
      <c r="Y187" s="62">
        <f>RIGHT(D187,LEN(D187)-4)/10000</f>
        <v>5.8624000000000001</v>
      </c>
      <c r="Z187" s="62">
        <f>RIGHT(H187,LEN(H187)-4)/10000</f>
        <v>7.4499999999999997E-2</v>
      </c>
      <c r="AA187" s="62">
        <f>ABS(Z187-Y187)</f>
        <v>5.7879000000000005</v>
      </c>
      <c r="AB187" s="59" t="e">
        <f>VLOOKUP(A187,Enforcements!$C$7:$K$16,8,0)</f>
        <v>#N/A</v>
      </c>
      <c r="AC187" s="55" t="e">
        <f>VLOOKUP(A187,Enforcements!$C$7:$E$16,3,0)</f>
        <v>#N/A</v>
      </c>
      <c r="AD187" s="56" t="str">
        <f>IF(LEN(A187)=6,"0"&amp;A187,A187)</f>
        <v>1830-05</v>
      </c>
      <c r="AE187" s="85" t="str">
        <f>"aws s3 cp "&amp;s3_bucket&amp;"/RTDC"&amp;B187&amp;"/ "&amp;search_path&amp;"\RTDC"&amp;B187&amp;"\"&amp;TEXT(F187,"YYYY-MM-DD")&amp;" --exclude ""*"" --recursive --include ""*"&amp;TEXT(F187,"YYYYMMDD")&amp;"*"" &amp; """&amp;walkandungz&amp;""" "&amp;search_path&amp;"\RTDC"&amp;B187&amp;"\"&amp;TEXT(F187,"YYYY-MM-DD")
&amp;" &amp; "&amp;"aws s3 cp "&amp;s3_bucket&amp;"/RTDC"&amp;B187&amp;"/ "&amp;search_path&amp;"\RTDC"&amp;B187&amp;"\"&amp;TEXT(F187+1,"YYYY-MM-DD")&amp;" --exclude ""*"" --recursive --include ""*"&amp;TEXT(F187+1,"YYYYMMDD")&amp;"*"" &amp; """&amp;walkandungz&amp;""" "&amp;search_path&amp;"\RTDC"&amp;B187&amp;"\"&amp;TEXT(F187+1,"YYYY-MM-DD")</f>
        <v>aws s3 cp s3://rtdc.mdm.uploadarchive.raw/RTDC4004/ "%USERPROFILE%\AppData\Local\Temp\OnboardLogs"\RTDC4004\2017-02-05 --exclude "*" --recursive --include "*20170205*" &amp; "%USERPROFILE%\Documents\GitHub\mrs-test-scripts\Headless Mode &amp; Sideloading\WalkAndUnGZ.bat" "%USERPROFILE%\AppData\Local\Temp\OnboardLogs"\RTDC4004\2017-02-05 &amp; aws s3 cp s3://rtdc.mdm.uploadarchive.raw/RTDC4004/ "%USERPROFILE%\AppData\Local\Temp\OnboardLogs"\RTDC4004\2017-02-06 --exclude "*" --recursive --include "*20170206*" &amp; "%USERPROFILE%\Documents\GitHub\mrs-test-scripts\Headless Mode &amp; Sideloading\WalkAndUnGZ.bat" "%USERPROFILE%\AppData\Local\Temp\OnboardLogs"\RTDC4004\2017-02-06</v>
      </c>
      <c r="AF187" s="82" t="str">
        <f>astrogrep_path&amp;" /spath="&amp;search_path&amp;" /stypes=""app*"&amp;B187&amp;"*"&amp;TEXT(I187-utc_offset/24,"YYYYMMDD")&amp;"*"" /stext="" "&amp;TEXT(I187-utc_offset/24,"HH")&amp;search_regexp&amp;""" /e /r /s"</f>
        <v>"C:\Program Files (x86)\AstroGrep\AstroGrep.exe" /spath="%USERPROFILE%\AppData\Local\Temp\OnboardLogs" /stypes="app*4004*20170206*" /stext=" 03:.+((SYSTEM_STATE.+slice.+state.+changed )|(ment ac)|(multiple cpu faults)|(system.+state.+changed )|(\[timeout)|(PRM\|1\|D)|(kpr)|(kdp)|(\|lc)|(penalty))" /e /r /s</v>
      </c>
      <c r="AG187" s="1" t="str">
        <f>IFERROR(IF(VALUE(LEFT(AD187,2))&lt;=2,"EC",IF(OR(VALUE(LEFT(AD187,2))=8,VALUE(LEFT(AD187,2))=18),"NW","Other")),"Other")</f>
        <v>NW</v>
      </c>
      <c r="AH187" s="86" t="str">
        <f t="shared" si="10"/>
        <v>"%USERPROFILE%\Documents\GitHub\eaglep3\Utilities\RefineRTDCRunTimes.py" --tripid 1830-05 --locoid 4004 --swversion DE.1.0.8.0 --startMP 300:58624 --initTime 2017-02-05T20:36:56 --startdatetime 2017-02-05T20:38:54 --delay 1 --endMP 204:745 --enddatetime 2017-02-05T20:54:23 --enforcementcount 0 &gt;&gt;C:\Users\stu\Documents\GitHub\eaglep3-reporting\EC\2017-02-05-refined-times.txt</v>
      </c>
      <c r="AI187" s="108" t="str">
        <f t="shared" si="11"/>
        <v>echo {"issue":{"subject":"","project_id":79,"tracker_id":40,"status_id":1,"priority_id":2,"assigned_to_id":23,"start_date":"2017-02-05","description":"","custom_fields":[{"id":1,"name":"Subdivision","value":"NW"},{"id":4,"name":"Milepost","value":"0.0745"},{"id":17,"name":"Train ID","value":"1830-05"},{"id":16,"name":"Locomotive ID","value":"4004"},{"id":130,"name":"Impact","value":""},{"id":150,"name":"Time of Event (Mountain Time)","value":"20:54:23"},{"id":151,"name":"Denver Issue ID","value":""},{"id":178,"name":"Operational Impact","value":"Yes"},{"id":179,"name":"Denver Segment Assigned","value":""}]}} | curl -X POST -H "Content-Type: application/json" -H "X-Redmine-API-Key: d6333d4a04012a730768444271f8ca06482dae87" https://secure.xorail.net/redmine/issues.json --data @-</v>
      </c>
      <c r="AJ187" s="48"/>
      <c r="AK187" s="48"/>
      <c r="AL187" s="48"/>
      <c r="AM187" s="158" t="str">
        <f t="shared" si="12"/>
        <v>start /low /b %USERPROFILE%\Documents\GitHub\eaglep3\Utilities\DownloadLogsFromS3.py --loco 4004 --day 2017-02-05</v>
      </c>
      <c r="AN187" s="167" t="str">
        <f>"grep -SE -B400 ""CHR.+\|PRM\|1\|D.+(SWITCH|SIGNAL).+UNKNOWN"" "&amp;search_path&amp;"\RTDC"&amp;B187&amp;"\*"&amp;B187&amp;"*"&amp;TEXT(AVERAGE(F187,I187)-utc_offset/24,"YYYYMMDD")&amp;"* | grep -SE ""(Enforcement Action)|(\[TIMEOUT)|(CHR.+\|PRM\|1\|D.+(SWITCH|SIGNAL).+UNKNOWN)"" - &gt;&gt; "&amp;TEXT(Variables!$A$2,"YYYY-MM-DD")&amp;"-UncaughtWiMAX.txt"</f>
        <v>grep -SE -B400 "CHR.+\|PRM\|1\|D.+(SWITCH|SIGNAL).+UNKNOWN" "%USERPROFILE%\AppData\Local\Temp\OnboardLogs"\RTDC4004\*4004*20170206* | grep -SE "(Enforcement Action)|(\[TIMEOUT)|(CHR.+\|PRM\|1\|D.+(SWITCH|SIGNAL).+UNKNOWN)" - &gt;&gt; 2017-02-05-UncaughtWiMAX.txt</v>
      </c>
      <c r="AO187"/>
      <c r="AP187"/>
      <c r="AQ187"/>
      <c r="AR187"/>
      <c r="AS187"/>
      <c r="AT187"/>
      <c r="AU187"/>
      <c r="AV187"/>
      <c r="AW187"/>
      <c r="AX187"/>
      <c r="AY187"/>
      <c r="AZ187"/>
      <c r="BA187"/>
      <c r="BB187"/>
      <c r="BC187"/>
      <c r="BD187"/>
      <c r="BE187"/>
      <c r="BF187"/>
      <c r="BG187"/>
      <c r="BH187"/>
      <c r="BI187"/>
      <c r="BJ187"/>
      <c r="BK187"/>
      <c r="BL187"/>
      <c r="BM187"/>
      <c r="BN187"/>
      <c r="BO187"/>
      <c r="BP187"/>
      <c r="BQ187"/>
      <c r="BR187"/>
      <c r="BS187"/>
      <c r="BT187"/>
      <c r="BU187"/>
      <c r="BV187"/>
      <c r="BW187"/>
      <c r="BX187"/>
      <c r="BY187"/>
      <c r="BZ187"/>
      <c r="CA187"/>
      <c r="CB187"/>
      <c r="CC187"/>
      <c r="CD187"/>
      <c r="CE187"/>
      <c r="CF187"/>
      <c r="CG187"/>
      <c r="CH187"/>
      <c r="CI187"/>
      <c r="CJ187"/>
      <c r="CK187"/>
      <c r="CL187"/>
      <c r="CM187"/>
    </row>
    <row r="188" spans="1:91" x14ac:dyDescent="0.25">
      <c r="A188" s="33" t="s">
        <v>719</v>
      </c>
      <c r="B188" s="7">
        <v>4003</v>
      </c>
      <c r="C188" s="21" t="s">
        <v>193</v>
      </c>
      <c r="D188" s="21" t="s">
        <v>818</v>
      </c>
      <c r="E188" s="13">
        <v>42771.887627314813</v>
      </c>
      <c r="F188" s="13">
        <v>42771.889872685184</v>
      </c>
      <c r="G188" s="7">
        <v>1</v>
      </c>
      <c r="H188" s="21" t="s">
        <v>821</v>
      </c>
      <c r="I188" s="13">
        <v>42771.898958333331</v>
      </c>
      <c r="J188" s="7">
        <v>0</v>
      </c>
      <c r="K188" s="98" t="str">
        <f>IF(ISEVEN(B188),(B188-1)&amp;"/"&amp;B188,B188&amp;"/"&amp;(B188+1))</f>
        <v>4003/4004</v>
      </c>
      <c r="L188" s="21" t="str">
        <f>VLOOKUP(A188,'Trips&amp;Operators'!$C$1:$G$99999,5,FALSE)</f>
        <v>HELVIE ADAM</v>
      </c>
      <c r="M188" s="6">
        <f>I188-F188</f>
        <v>9.0856481474475004E-3</v>
      </c>
      <c r="N188" s="7">
        <f>24*60*SUM($M188:$M188)</f>
        <v>13.083333332324401</v>
      </c>
      <c r="O188" s="7"/>
      <c r="P188" s="7"/>
      <c r="Q188" s="22"/>
      <c r="R188" s="22"/>
      <c r="S188" s="31">
        <f>SUM(U188:U188)/IF(AG188="EC",12,1)</f>
        <v>1</v>
      </c>
      <c r="T188" s="46" t="str">
        <f>IF(ISEVEN(LEFT(AD188,4)),"Southbound","NorthBound")</f>
        <v>NorthBound</v>
      </c>
      <c r="U188" s="190">
        <f>IF(AG188="EC",COUNTIFS(Variables!$M$2:$M$19,IF(T188="NorthBound","&gt;=","&lt;=")&amp;Y188,Variables!$M$2:$M$19,IF(T188="NorthBound","&lt;=","&gt;=")&amp;Z188),COUNTIFS(Variables!$P$2:$P$19,IF(T188="NorthBound","&gt;=","&lt;=")&amp;Y188,Variables!$P$2:$P$19,IF(T188="NorthBound","&lt;=","&gt;=")&amp;Z188))</f>
        <v>1</v>
      </c>
      <c r="V188" s="191" t="str">
        <f>"https://d0f6bd738d7f1b3e5a7ca70fe4ff75f0.us-east-1.aws.found.io/app/kibana#/discover/Steve-Slow-Train-Analysis-(2080s-and-2083s)?_g="&amp;"(refreshInterval:(display:Off,pause:!f,section:0,value:0),time:(from:'"&amp;TEXT(E188-1/24,"yyyy-MM-DDThh:mm:ss")&amp;utc_offset&amp;"00"&amp;"',mode:absolute,to:'"&amp;TEXT(I188+1/24,"yyyy-MM-DDThh:mm:ss")&amp;utc_offset&amp;"00"&amp;"'))&amp;_a=(columns:!('Locomotive+ID','Data.Head+End+Milepost',Data.Speed,'Data.Locomotive+State','Data.Train+ID',"&amp;"'Data.Warning%2FEnforcement+Type','Data.Target+Start+Milepost','Data.Target+Description','Data.Target+Speed',"&amp;"'Data.Enforcement+Train+Speed','Data.Enforcement+Start+Milepost','Data.Target+Type','Data.Enforcement+Direction+of+Travel','Message+ID',"&amp;"'Data.Body+of+Summary+Text','Data.Head+End+Track+name'),filters:!(),index:'emp_*',interval:auto,query:"&amp;"(query_string:(analyze_wildcard:!t,query:'Message%5C+ID:(2083+OR+2080+OR+1041+OR+2003+OR+1051+OR+1043+OR+1053)+AND+%22rtdc.l.rtdc."&amp;B188&amp;"%22')),sort:!(Time.ISO8601,asc))"</f>
        <v>https://d0f6bd738d7f1b3e5a7ca70fe4ff75f0.us-east-1.aws.found.io/app/kibana#/discover/Steve-Slow-Train-Analysis-(2080s-and-2083s)?_g=(refreshInterval:(display:Off,pause:!f,section:0,value:0),time:(from:'2017-02-05T20:18:11-0700',mode:absolute,to:'2017-02-05T22:34:30-0700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4003%22')),sort:!(Time.ISO8601,asc))</v>
      </c>
      <c r="W188" s="192" t="str">
        <f>IF(AA188&lt;IF(AG188="EC",23,5.65),"Y","N")</f>
        <v>N</v>
      </c>
      <c r="X188" s="192">
        <f>VALUE(LEFT(AD188,4))-VALUE(LEFT(AD187,4))</f>
        <v>1</v>
      </c>
      <c r="Y188" s="62">
        <f>RIGHT(D188,LEN(D188)-4)/10000</f>
        <v>0.1041</v>
      </c>
      <c r="Z188" s="62">
        <f>RIGHT(H188,LEN(H188)-4)/10000</f>
        <v>5.8939000000000004</v>
      </c>
      <c r="AA188" s="62">
        <f>ABS(Z188-Y188)</f>
        <v>5.7898000000000005</v>
      </c>
      <c r="AB188" s="59" t="e">
        <f>VLOOKUP(A188,Enforcements!$C$7:$K$16,8,0)</f>
        <v>#N/A</v>
      </c>
      <c r="AC188" s="55" t="e">
        <f>VLOOKUP(A188,Enforcements!$C$7:$E$16,3,0)</f>
        <v>#N/A</v>
      </c>
      <c r="AD188" s="56" t="str">
        <f>IF(LEN(A188)=6,"0"&amp;A188,A188)</f>
        <v>1831-05</v>
      </c>
      <c r="AE188" s="85" t="str">
        <f>"aws s3 cp "&amp;s3_bucket&amp;"/RTDC"&amp;B188&amp;"/ "&amp;search_path&amp;"\RTDC"&amp;B188&amp;"\"&amp;TEXT(F188,"YYYY-MM-DD")&amp;" --exclude ""*"" --recursive --include ""*"&amp;TEXT(F188,"YYYYMMDD")&amp;"*"" &amp; """&amp;walkandungz&amp;""" "&amp;search_path&amp;"\RTDC"&amp;B188&amp;"\"&amp;TEXT(F188,"YYYY-MM-DD")
&amp;" &amp; "&amp;"aws s3 cp "&amp;s3_bucket&amp;"/RTDC"&amp;B188&amp;"/ "&amp;search_path&amp;"\RTDC"&amp;B188&amp;"\"&amp;TEXT(F188+1,"YYYY-MM-DD")&amp;" --exclude ""*"" --recursive --include ""*"&amp;TEXT(F188+1,"YYYYMMDD")&amp;"*"" &amp; """&amp;walkandungz&amp;""" "&amp;search_path&amp;"\RTDC"&amp;B188&amp;"\"&amp;TEXT(F188+1,"YYYY-MM-DD")</f>
        <v>aws s3 cp s3://rtdc.mdm.uploadarchive.raw/RTDC4003/ "%USERPROFILE%\AppData\Local\Temp\OnboardLogs"\RTDC4003\2017-02-05 --exclude "*" --recursive --include "*20170205*" &amp; "%USERPROFILE%\Documents\GitHub\mrs-test-scripts\Headless Mode &amp; Sideloading\WalkAndUnGZ.bat" "%USERPROFILE%\AppData\Local\Temp\OnboardLogs"\RTDC4003\2017-02-05 &amp; aws s3 cp s3://rtdc.mdm.uploadarchive.raw/RTDC4003/ "%USERPROFILE%\AppData\Local\Temp\OnboardLogs"\RTDC4003\2017-02-06 --exclude "*" --recursive --include "*20170206*" &amp; "%USERPROFILE%\Documents\GitHub\mrs-test-scripts\Headless Mode &amp; Sideloading\WalkAndUnGZ.bat" "%USERPROFILE%\AppData\Local\Temp\OnboardLogs"\RTDC4003\2017-02-06</v>
      </c>
      <c r="AF188" s="82" t="str">
        <f>astrogrep_path&amp;" /spath="&amp;search_path&amp;" /stypes=""app*"&amp;B188&amp;"*"&amp;TEXT(I188-utc_offset/24,"YYYYMMDD")&amp;"*"" /stext="" "&amp;TEXT(I188-utc_offset/24,"HH")&amp;search_regexp&amp;""" /e /r /s"</f>
        <v>"C:\Program Files (x86)\AstroGrep\AstroGrep.exe" /spath="%USERPROFILE%\AppData\Local\Temp\OnboardLogs" /stypes="app*4003*20170206*" /stext=" 04:.+((SYSTEM_STATE.+slice.+state.+changed )|(ment ac)|(multiple cpu faults)|(system.+state.+changed )|(\[timeout)|(PRM\|1\|D)|(kpr)|(kdp)|(\|lc)|(penalty))" /e /r /s</v>
      </c>
      <c r="AG188" s="1" t="str">
        <f>IFERROR(IF(VALUE(LEFT(AD188,2))&lt;=2,"EC",IF(OR(VALUE(LEFT(AD188,2))=8,VALUE(LEFT(AD188,2))=18),"NW","Other")),"Other")</f>
        <v>NW</v>
      </c>
      <c r="AH188" s="86" t="str">
        <f t="shared" si="10"/>
        <v>"%USERPROFILE%\Documents\GitHub\eaglep3\Utilities\RefineRTDCRunTimes.py" --tripid 1831-05 --locoid 4003 --swversion DE.1.0.8.0 --startMP 204:1041 --initTime 2017-02-05T21:18:11 --startdatetime 2017-02-05T21:21:25 --delay 1 --endMP 300:58939 --enddatetime 2017-02-05T21:34:30 --enforcementcount 0 &gt;&gt;C:\Users\stu\Documents\GitHub\eaglep3-reporting\EC\2017-02-05-refined-times.txt</v>
      </c>
      <c r="AI188" s="108" t="str">
        <f t="shared" si="11"/>
        <v>echo {"issue":{"subject":"","project_id":79,"tracker_id":40,"status_id":1,"priority_id":2,"assigned_to_id":23,"start_date":"2017-02-05","description":"","custom_fields":[{"id":1,"name":"Subdivision","value":"NW"},{"id":4,"name":"Milepost","value":"5.8939"},{"id":17,"name":"Train ID","value":"1831-05"},{"id":16,"name":"Locomotive ID","value":"4003"},{"id":130,"name":"Impact","value":""},{"id":150,"name":"Time of Event (Mountain Time)","value":"21:34:30"},{"id":151,"name":"Denver Issue ID","value":""},{"id":178,"name":"Operational Impact","value":"Yes"},{"id":179,"name":"Denver Segment Assigned","value":""}]}} | curl -X POST -H "Content-Type: application/json" -H "X-Redmine-API-Key: d6333d4a04012a730768444271f8ca06482dae87" https://secure.xorail.net/redmine/issues.json --data @-</v>
      </c>
      <c r="AJ188" s="48"/>
      <c r="AK188" s="48"/>
      <c r="AL188" s="48"/>
      <c r="AM188" s="158" t="str">
        <f t="shared" si="12"/>
        <v>start /low /b %USERPROFILE%\Documents\GitHub\eaglep3\Utilities\DownloadLogsFromS3.py --loco 4003 --day 2017-02-05</v>
      </c>
      <c r="AN188" s="167" t="str">
        <f>"grep -SE -B400 ""CHR.+\|PRM\|1\|D.+(SWITCH|SIGNAL).+UNKNOWN"" "&amp;search_path&amp;"\RTDC"&amp;B188&amp;"\*"&amp;B188&amp;"*"&amp;TEXT(AVERAGE(F188,I188)-utc_offset/24,"YYYYMMDD")&amp;"* | grep -SE ""(Enforcement Action)|(\[TIMEOUT)|(CHR.+\|PRM\|1\|D.+(SWITCH|SIGNAL).+UNKNOWN)"" - &gt;&gt; "&amp;TEXT(Variables!$A$2,"YYYY-MM-DD")&amp;"-UncaughtWiMAX.txt"</f>
        <v>grep -SE -B400 "CHR.+\|PRM\|1\|D.+(SWITCH|SIGNAL).+UNKNOWN" "%USERPROFILE%\AppData\Local\Temp\OnboardLogs"\RTDC4003\*4003*20170206* | grep -SE "(Enforcement Action)|(\[TIMEOUT)|(CHR.+\|PRM\|1\|D.+(SWITCH|SIGNAL).+UNKNOWN)" - &gt;&gt; 2017-02-05-UncaughtWiMAX.txt</v>
      </c>
    </row>
    <row r="189" spans="1:91" s="20" customFormat="1" x14ac:dyDescent="0.25">
      <c r="A189" s="33" t="s">
        <v>721</v>
      </c>
      <c r="B189" s="7">
        <v>4004</v>
      </c>
      <c r="C189" s="21" t="s">
        <v>193</v>
      </c>
      <c r="D189" s="21" t="s">
        <v>371</v>
      </c>
      <c r="E189" s="13">
        <v>42771.900208333333</v>
      </c>
      <c r="F189" s="13">
        <v>42771.902951388889</v>
      </c>
      <c r="G189" s="7">
        <v>1</v>
      </c>
      <c r="H189" s="21" t="s">
        <v>822</v>
      </c>
      <c r="I189" s="13">
        <v>42771.912789351853</v>
      </c>
      <c r="J189" s="7">
        <v>0</v>
      </c>
      <c r="K189" s="98" t="str">
        <f>IF(ISEVEN(B189),(B189-1)&amp;"/"&amp;B189,B189&amp;"/"&amp;(B189+1))</f>
        <v>4003/4004</v>
      </c>
      <c r="L189" s="21" t="str">
        <f>VLOOKUP(A189,'Trips&amp;Operators'!$C$1:$G$99999,5,FALSE)</f>
        <v>HELVIE ADAM</v>
      </c>
      <c r="M189" s="6">
        <f>I189-F189</f>
        <v>9.8379629635019228E-3</v>
      </c>
      <c r="N189" s="7">
        <f>24*60*SUM($M189:$M189)</f>
        <v>14.166666667442769</v>
      </c>
      <c r="O189" s="7"/>
      <c r="P189" s="7"/>
      <c r="Q189" s="22"/>
      <c r="R189" s="22"/>
      <c r="S189" s="31">
        <f>SUM(U189:U189)/IF(AG189="EC",12,1)</f>
        <v>1</v>
      </c>
      <c r="T189" s="46" t="str">
        <f>IF(ISEVEN(LEFT(AD189,4)),"Southbound","NorthBound")</f>
        <v>Southbound</v>
      </c>
      <c r="U189" s="190">
        <f>IF(AG189="EC",COUNTIFS(Variables!$M$2:$M$19,IF(T189="NorthBound","&gt;=","&lt;=")&amp;Y189,Variables!$M$2:$M$19,IF(T189="NorthBound","&lt;=","&gt;=")&amp;Z189),COUNTIFS(Variables!$P$2:$P$19,IF(T189="NorthBound","&gt;=","&lt;=")&amp;Y189,Variables!$P$2:$P$19,IF(T189="NorthBound","&lt;=","&gt;=")&amp;Z189))</f>
        <v>1</v>
      </c>
      <c r="V189" s="191" t="str">
        <f>"https://d0f6bd738d7f1b3e5a7ca70fe4ff75f0.us-east-1.aws.found.io/app/kibana#/discover/Steve-Slow-Train-Analysis-(2080s-and-2083s)?_g="&amp;"(refreshInterval:(display:Off,pause:!f,section:0,value:0),time:(from:'"&amp;TEXT(E189-1/24,"yyyy-MM-DDThh:mm:ss")&amp;utc_offset&amp;"00"&amp;"',mode:absolute,to:'"&amp;TEXT(I189+1/24,"yyyy-MM-DDThh:mm:ss")&amp;utc_offset&amp;"00"&amp;"'))&amp;_a=(columns:!('Locomotive+ID','Data.Head+End+Milepost',Data.Speed,'Data.Locomotive+State','Data.Train+ID',"&amp;"'Data.Warning%2FEnforcement+Type','Data.Target+Start+Milepost','Data.Target+Description','Data.Target+Speed',"&amp;"'Data.Enforcement+Train+Speed','Data.Enforcement+Start+Milepost','Data.Target+Type','Data.Enforcement+Direction+of+Travel','Message+ID',"&amp;"'Data.Body+of+Summary+Text','Data.Head+End+Track+name'),filters:!(),index:'emp_*',interval:auto,query:"&amp;"(query_string:(analyze_wildcard:!t,query:'Message%5C+ID:(2083+OR+2080+OR+1041+OR+2003+OR+1051+OR+1043+OR+1053)+AND+%22rtdc.l.rtdc."&amp;B189&amp;"%22')),sort:!(Time.ISO8601,asc))"</f>
        <v>https://d0f6bd738d7f1b3e5a7ca70fe4ff75f0.us-east-1.aws.found.io/app/kibana#/discover/Steve-Slow-Train-Analysis-(2080s-and-2083s)?_g=(refreshInterval:(display:Off,pause:!f,section:0,value:0),time:(from:'2017-02-05T20:36:18-0700',mode:absolute,to:'2017-02-05T22:54:25-0700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4004%22')),sort:!(Time.ISO8601,asc))</v>
      </c>
      <c r="W189" s="192" t="str">
        <f>IF(AA189&lt;IF(AG189="EC",23,5.65),"Y","N")</f>
        <v>N</v>
      </c>
      <c r="X189" s="192">
        <f>VALUE(LEFT(AD189,4))-VALUE(LEFT(AD188,4))</f>
        <v>1</v>
      </c>
      <c r="Y189" s="62">
        <f>RIGHT(D189,LEN(D189)-4)/10000</f>
        <v>5.8623000000000003</v>
      </c>
      <c r="Z189" s="62">
        <f>RIGHT(H189,LEN(H189)-4)/10000</f>
        <v>7.5899999999999995E-2</v>
      </c>
      <c r="AA189" s="62">
        <f>ABS(Z189-Y189)</f>
        <v>5.7864000000000004</v>
      </c>
      <c r="AB189" s="59" t="e">
        <f>VLOOKUP(A189,Enforcements!$C$7:$K$16,8,0)</f>
        <v>#N/A</v>
      </c>
      <c r="AC189" s="55" t="e">
        <f>VLOOKUP(A189,Enforcements!$C$7:$E$16,3,0)</f>
        <v>#N/A</v>
      </c>
      <c r="AD189" s="56" t="str">
        <f>IF(LEN(A189)=6,"0"&amp;A189,A189)</f>
        <v>1832-05</v>
      </c>
      <c r="AE189" s="85" t="str">
        <f>"aws s3 cp "&amp;s3_bucket&amp;"/RTDC"&amp;B189&amp;"/ "&amp;search_path&amp;"\RTDC"&amp;B189&amp;"\"&amp;TEXT(F189,"YYYY-MM-DD")&amp;" --exclude ""*"" --recursive --include ""*"&amp;TEXT(F189,"YYYYMMDD")&amp;"*"" &amp; """&amp;walkandungz&amp;""" "&amp;search_path&amp;"\RTDC"&amp;B189&amp;"\"&amp;TEXT(F189,"YYYY-MM-DD")
&amp;" &amp; "&amp;"aws s3 cp "&amp;s3_bucket&amp;"/RTDC"&amp;B189&amp;"/ "&amp;search_path&amp;"\RTDC"&amp;B189&amp;"\"&amp;TEXT(F189+1,"YYYY-MM-DD")&amp;" --exclude ""*"" --recursive --include ""*"&amp;TEXT(F189+1,"YYYYMMDD")&amp;"*"" &amp; """&amp;walkandungz&amp;""" "&amp;search_path&amp;"\RTDC"&amp;B189&amp;"\"&amp;TEXT(F189+1,"YYYY-MM-DD")</f>
        <v>aws s3 cp s3://rtdc.mdm.uploadarchive.raw/RTDC4004/ "%USERPROFILE%\AppData\Local\Temp\OnboardLogs"\RTDC4004\2017-02-05 --exclude "*" --recursive --include "*20170205*" &amp; "%USERPROFILE%\Documents\GitHub\mrs-test-scripts\Headless Mode &amp; Sideloading\WalkAndUnGZ.bat" "%USERPROFILE%\AppData\Local\Temp\OnboardLogs"\RTDC4004\2017-02-05 &amp; aws s3 cp s3://rtdc.mdm.uploadarchive.raw/RTDC4004/ "%USERPROFILE%\AppData\Local\Temp\OnboardLogs"\RTDC4004\2017-02-06 --exclude "*" --recursive --include "*20170206*" &amp; "%USERPROFILE%\Documents\GitHub\mrs-test-scripts\Headless Mode &amp; Sideloading\WalkAndUnGZ.bat" "%USERPROFILE%\AppData\Local\Temp\OnboardLogs"\RTDC4004\2017-02-06</v>
      </c>
      <c r="AF189" s="82" t="str">
        <f>astrogrep_path&amp;" /spath="&amp;search_path&amp;" /stypes=""app*"&amp;B189&amp;"*"&amp;TEXT(I189-utc_offset/24,"YYYYMMDD")&amp;"*"" /stext="" "&amp;TEXT(I189-utc_offset/24,"HH")&amp;search_regexp&amp;""" /e /r /s"</f>
        <v>"C:\Program Files (x86)\AstroGrep\AstroGrep.exe" /spath="%USERPROFILE%\AppData\Local\Temp\OnboardLogs" /stypes="app*4004*20170206*" /stext=" 04:.+((SYSTEM_STATE.+slice.+state.+changed )|(ment ac)|(multiple cpu faults)|(system.+state.+changed )|(\[timeout)|(PRM\|1\|D)|(kpr)|(kdp)|(\|lc)|(penalty))" /e /r /s</v>
      </c>
      <c r="AG189" s="1" t="str">
        <f>IFERROR(IF(VALUE(LEFT(AD189,2))&lt;=2,"EC",IF(OR(VALUE(LEFT(AD189,2))=8,VALUE(LEFT(AD189,2))=18),"NW","Other")),"Other")</f>
        <v>NW</v>
      </c>
      <c r="AH189" s="86" t="str">
        <f t="shared" si="10"/>
        <v>"%USERPROFILE%\Documents\GitHub\eaglep3\Utilities\RefineRTDCRunTimes.py" --tripid 1832-05 --locoid 4004 --swversion DE.1.0.8.0 --startMP 300:58623 --initTime 2017-02-05T21:36:18 --startdatetime 2017-02-05T21:40:15 --delay 1 --endMP 204:759 --enddatetime 2017-02-05T21:54:25 --enforcementcount 0 &gt;&gt;C:\Users\stu\Documents\GitHub\eaglep3-reporting\EC\2017-02-05-refined-times.txt</v>
      </c>
      <c r="AI189" s="108" t="str">
        <f t="shared" si="11"/>
        <v>echo {"issue":{"subject":"","project_id":79,"tracker_id":40,"status_id":1,"priority_id":2,"assigned_to_id":23,"start_date":"2017-02-05","description":"","custom_fields":[{"id":1,"name":"Subdivision","value":"NW"},{"id":4,"name":"Milepost","value":"0.0759"},{"id":17,"name":"Train ID","value":"1832-05"},{"id":16,"name":"Locomotive ID","value":"4004"},{"id":130,"name":"Impact","value":""},{"id":150,"name":"Time of Event (Mountain Time)","value":"21:54:25"},{"id":151,"name":"Denver Issue ID","value":""},{"id":178,"name":"Operational Impact","value":"Yes"},{"id":179,"name":"Denver Segment Assigned","value":""}]}} | curl -X POST -H "Content-Type: application/json" -H "X-Redmine-API-Key: d6333d4a04012a730768444271f8ca06482dae87" https://secure.xorail.net/redmine/issues.json --data @-</v>
      </c>
      <c r="AJ189" s="48"/>
      <c r="AK189" s="48"/>
      <c r="AL189" s="48"/>
      <c r="AM189" s="158" t="str">
        <f t="shared" si="12"/>
        <v>start /low /b %USERPROFILE%\Documents\GitHub\eaglep3\Utilities\DownloadLogsFromS3.py --loco 4004 --day 2017-02-05</v>
      </c>
      <c r="AN189" s="167" t="str">
        <f>"grep -SE -B400 ""CHR.+\|PRM\|1\|D.+(SWITCH|SIGNAL).+UNKNOWN"" "&amp;search_path&amp;"\RTDC"&amp;B189&amp;"\*"&amp;B189&amp;"*"&amp;TEXT(AVERAGE(F189,I189)-utc_offset/24,"YYYYMMDD")&amp;"* | grep -SE ""(Enforcement Action)|(\[TIMEOUT)|(CHR.+\|PRM\|1\|D.+(SWITCH|SIGNAL).+UNKNOWN)"" - &gt;&gt; "&amp;TEXT(Variables!$A$2,"YYYY-MM-DD")&amp;"-UncaughtWiMAX.txt"</f>
        <v>grep -SE -B400 "CHR.+\|PRM\|1\|D.+(SWITCH|SIGNAL).+UNKNOWN" "%USERPROFILE%\AppData\Local\Temp\OnboardLogs"\RTDC4004\*4004*20170206* | grep -SE "(Enforcement Action)|(\[TIMEOUT)|(CHR.+\|PRM\|1\|D.+(SWITCH|SIGNAL).+UNKNOWN)" - &gt;&gt; 2017-02-05-UncaughtWiMAX.txt</v>
      </c>
      <c r="AO189"/>
      <c r="AP189"/>
      <c r="AQ189"/>
      <c r="AR189"/>
      <c r="AS189"/>
      <c r="AT189"/>
      <c r="AU189"/>
      <c r="AV189"/>
      <c r="AW189"/>
      <c r="AX189"/>
      <c r="AY189"/>
      <c r="AZ189"/>
      <c r="BA189"/>
      <c r="BB189"/>
      <c r="BC189"/>
      <c r="BD189"/>
      <c r="BE189"/>
      <c r="BF189"/>
      <c r="BG189"/>
      <c r="BH189"/>
      <c r="BI189"/>
      <c r="BJ189"/>
      <c r="BK189"/>
      <c r="BL189"/>
      <c r="BM189"/>
      <c r="BN189"/>
      <c r="BO189"/>
      <c r="BP189"/>
      <c r="BQ189"/>
      <c r="BR189"/>
      <c r="BS189"/>
      <c r="BT189"/>
      <c r="BU189"/>
      <c r="BV189"/>
      <c r="BW189"/>
      <c r="BX189"/>
      <c r="BY189"/>
      <c r="BZ189"/>
      <c r="CA189"/>
      <c r="CB189"/>
      <c r="CC189"/>
      <c r="CD189"/>
      <c r="CE189"/>
      <c r="CF189"/>
      <c r="CG189"/>
      <c r="CH189"/>
      <c r="CI189"/>
      <c r="CJ189"/>
      <c r="CK189"/>
      <c r="CL189"/>
      <c r="CM189"/>
    </row>
    <row r="190" spans="1:91" x14ac:dyDescent="0.25">
      <c r="A190" s="33" t="s">
        <v>725</v>
      </c>
      <c r="B190" s="7">
        <v>4003</v>
      </c>
      <c r="C190" s="21" t="s">
        <v>193</v>
      </c>
      <c r="D190" s="21" t="s">
        <v>823</v>
      </c>
      <c r="E190" s="13">
        <v>42771.926527777781</v>
      </c>
      <c r="F190" s="13">
        <v>42771.931435185186</v>
      </c>
      <c r="G190" s="7">
        <v>1</v>
      </c>
      <c r="H190" s="21" t="s">
        <v>821</v>
      </c>
      <c r="I190" s="13">
        <v>42771.940509259257</v>
      </c>
      <c r="J190" s="7">
        <v>0</v>
      </c>
      <c r="K190" s="98" t="str">
        <f>IF(ISEVEN(B190),(B190-1)&amp;"/"&amp;B190,B190&amp;"/"&amp;(B190+1))</f>
        <v>4003/4004</v>
      </c>
      <c r="L190" s="21" t="str">
        <f>VLOOKUP(A190,'Trips&amp;Operators'!$C$1:$G$99999,5,FALSE)</f>
        <v>HELVIE ADAM</v>
      </c>
      <c r="M190" s="6">
        <f>I190-F190</f>
        <v>9.074074070667848E-3</v>
      </c>
      <c r="N190" s="7">
        <f>24*60*SUM($M190:$M190)</f>
        <v>13.066666661761701</v>
      </c>
      <c r="O190" s="7"/>
      <c r="P190" s="7"/>
      <c r="Q190" s="22"/>
      <c r="R190" s="22"/>
      <c r="S190" s="31">
        <f>SUM(U190:U190)/IF(AG190="EC",12,1)</f>
        <v>1</v>
      </c>
      <c r="T190" s="46" t="str">
        <f>IF(ISEVEN(LEFT(AD190,4)),"Southbound","NorthBound")</f>
        <v>NorthBound</v>
      </c>
      <c r="U190" s="190">
        <f>IF(AG190="EC",COUNTIFS(Variables!$M$2:$M$19,IF(T190="NorthBound","&gt;=","&lt;=")&amp;Y190,Variables!$M$2:$M$19,IF(T190="NorthBound","&lt;=","&gt;=")&amp;Z190),COUNTIFS(Variables!$P$2:$P$19,IF(T190="NorthBound","&gt;=","&lt;=")&amp;Y190,Variables!$P$2:$P$19,IF(T190="NorthBound","&lt;=","&gt;=")&amp;Z190))</f>
        <v>1</v>
      </c>
      <c r="V190" s="191" t="str">
        <f>"https://d0f6bd738d7f1b3e5a7ca70fe4ff75f0.us-east-1.aws.found.io/app/kibana#/discover/Steve-Slow-Train-Analysis-(2080s-and-2083s)?_g="&amp;"(refreshInterval:(display:Off,pause:!f,section:0,value:0),time:(from:'"&amp;TEXT(E190-1/24,"yyyy-MM-DDThh:mm:ss")&amp;utc_offset&amp;"00"&amp;"',mode:absolute,to:'"&amp;TEXT(I190+1/24,"yyyy-MM-DDThh:mm:ss")&amp;utc_offset&amp;"00"&amp;"'))&amp;_a=(columns:!('Locomotive+ID','Data.Head+End+Milepost',Data.Speed,'Data.Locomotive+State','Data.Train+ID',"&amp;"'Data.Warning%2FEnforcement+Type','Data.Target+Start+Milepost','Data.Target+Description','Data.Target+Speed',"&amp;"'Data.Enforcement+Train+Speed','Data.Enforcement+Start+Milepost','Data.Target+Type','Data.Enforcement+Direction+of+Travel','Message+ID',"&amp;"'Data.Body+of+Summary+Text','Data.Head+End+Track+name'),filters:!(),index:'emp_*',interval:auto,query:"&amp;"(query_string:(analyze_wildcard:!t,query:'Message%5C+ID:(2083+OR+2080+OR+1041+OR+2003+OR+1051+OR+1043+OR+1053)+AND+%22rtdc.l.rtdc."&amp;B190&amp;"%22')),sort:!(Time.ISO8601,asc))"</f>
        <v>https://d0f6bd738d7f1b3e5a7ca70fe4ff75f0.us-east-1.aws.found.io/app/kibana#/discover/Steve-Slow-Train-Analysis-(2080s-and-2083s)?_g=(refreshInterval:(display:Off,pause:!f,section:0,value:0),time:(from:'2017-02-05T21:14:12-0700',mode:absolute,to:'2017-02-05T23:34:20-0700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4003%22')),sort:!(Time.ISO8601,asc))</v>
      </c>
      <c r="W190" s="192" t="str">
        <f>IF(AA190&lt;IF(AG190="EC",23,5.65),"Y","N")</f>
        <v>N</v>
      </c>
      <c r="X190" s="192">
        <f>VALUE(LEFT(AD190,4))-VALUE(LEFT(AD189,4))</f>
        <v>1</v>
      </c>
      <c r="Y190" s="62">
        <f>RIGHT(D190,LEN(D190)-4)/10000</f>
        <v>0.1051</v>
      </c>
      <c r="Z190" s="62">
        <f>RIGHT(H190,LEN(H190)-4)/10000</f>
        <v>5.8939000000000004</v>
      </c>
      <c r="AA190" s="62">
        <f>ABS(Z190-Y190)</f>
        <v>5.7888000000000002</v>
      </c>
      <c r="AB190" s="59" t="e">
        <f>VLOOKUP(A190,Enforcements!$C$7:$K$16,8,0)</f>
        <v>#N/A</v>
      </c>
      <c r="AC190" s="55" t="e">
        <f>VLOOKUP(A190,Enforcements!$C$7:$E$16,3,0)</f>
        <v>#N/A</v>
      </c>
      <c r="AD190" s="56" t="str">
        <f>IF(LEN(A190)=6,"0"&amp;A190,A190)</f>
        <v>1833-05</v>
      </c>
      <c r="AE190" s="85" t="str">
        <f>"aws s3 cp "&amp;s3_bucket&amp;"/RTDC"&amp;B190&amp;"/ "&amp;search_path&amp;"\RTDC"&amp;B190&amp;"\"&amp;TEXT(F190,"YYYY-MM-DD")&amp;" --exclude ""*"" --recursive --include ""*"&amp;TEXT(F190,"YYYYMMDD")&amp;"*"" &amp; """&amp;walkandungz&amp;""" "&amp;search_path&amp;"\RTDC"&amp;B190&amp;"\"&amp;TEXT(F190,"YYYY-MM-DD")
&amp;" &amp; "&amp;"aws s3 cp "&amp;s3_bucket&amp;"/RTDC"&amp;B190&amp;"/ "&amp;search_path&amp;"\RTDC"&amp;B190&amp;"\"&amp;TEXT(F190+1,"YYYY-MM-DD")&amp;" --exclude ""*"" --recursive --include ""*"&amp;TEXT(F190+1,"YYYYMMDD")&amp;"*"" &amp; """&amp;walkandungz&amp;""" "&amp;search_path&amp;"\RTDC"&amp;B190&amp;"\"&amp;TEXT(F190+1,"YYYY-MM-DD")</f>
        <v>aws s3 cp s3://rtdc.mdm.uploadarchive.raw/RTDC4003/ "%USERPROFILE%\AppData\Local\Temp\OnboardLogs"\RTDC4003\2017-02-05 --exclude "*" --recursive --include "*20170205*" &amp; "%USERPROFILE%\Documents\GitHub\mrs-test-scripts\Headless Mode &amp; Sideloading\WalkAndUnGZ.bat" "%USERPROFILE%\AppData\Local\Temp\OnboardLogs"\RTDC4003\2017-02-05 &amp; aws s3 cp s3://rtdc.mdm.uploadarchive.raw/RTDC4003/ "%USERPROFILE%\AppData\Local\Temp\OnboardLogs"\RTDC4003\2017-02-06 --exclude "*" --recursive --include "*20170206*" &amp; "%USERPROFILE%\Documents\GitHub\mrs-test-scripts\Headless Mode &amp; Sideloading\WalkAndUnGZ.bat" "%USERPROFILE%\AppData\Local\Temp\OnboardLogs"\RTDC4003\2017-02-06</v>
      </c>
      <c r="AF190" s="82" t="str">
        <f>astrogrep_path&amp;" /spath="&amp;search_path&amp;" /stypes=""app*"&amp;B190&amp;"*"&amp;TEXT(I190-utc_offset/24,"YYYYMMDD")&amp;"*"" /stext="" "&amp;TEXT(I190-utc_offset/24,"HH")&amp;search_regexp&amp;""" /e /r /s"</f>
        <v>"C:\Program Files (x86)\AstroGrep\AstroGrep.exe" /spath="%USERPROFILE%\AppData\Local\Temp\OnboardLogs" /stypes="app*4003*20170206*" /stext=" 05:.+((SYSTEM_STATE.+slice.+state.+changed )|(ment ac)|(multiple cpu faults)|(system.+state.+changed )|(\[timeout)|(PRM\|1\|D)|(kpr)|(kdp)|(\|lc)|(penalty))" /e /r /s</v>
      </c>
      <c r="AG190" s="1" t="str">
        <f>IFERROR(IF(VALUE(LEFT(AD190,2))&lt;=2,"EC",IF(OR(VALUE(LEFT(AD190,2))=8,VALUE(LEFT(AD190,2))=18),"NW","Other")),"Other")</f>
        <v>NW</v>
      </c>
      <c r="AH190" s="86" t="str">
        <f t="shared" si="10"/>
        <v>"%USERPROFILE%\Documents\GitHub\eaglep3\Utilities\RefineRTDCRunTimes.py" --tripid 1833-05 --locoid 4003 --swversion DE.1.0.8.0 --startMP 204:1051 --initTime 2017-02-05T22:14:12 --startdatetime 2017-02-05T22:21:16 --delay 1 --endMP 300:58939 --enddatetime 2017-02-05T22:34:20 --enforcementcount 0 &gt;&gt;C:\Users\stu\Documents\GitHub\eaglep3-reporting\EC\2017-02-05-refined-times.txt</v>
      </c>
      <c r="AI190" s="108" t="str">
        <f t="shared" si="11"/>
        <v>echo {"issue":{"subject":"","project_id":79,"tracker_id":40,"status_id":1,"priority_id":2,"assigned_to_id":23,"start_date":"2017-02-05","description":"","custom_fields":[{"id":1,"name":"Subdivision","value":"NW"},{"id":4,"name":"Milepost","value":"5.8939"},{"id":17,"name":"Train ID","value":"1833-05"},{"id":16,"name":"Locomotive ID","value":"4003"},{"id":130,"name":"Impact","value":""},{"id":150,"name":"Time of Event (Mountain Time)","value":"22:34:20"},{"id":151,"name":"Denver Issue ID","value":""},{"id":178,"name":"Operational Impact","value":"Yes"},{"id":179,"name":"Denver Segment Assigned","value":""}]}} | curl -X POST -H "Content-Type: application/json" -H "X-Redmine-API-Key: d6333d4a04012a730768444271f8ca06482dae87" https://secure.xorail.net/redmine/issues.json --data @-</v>
      </c>
      <c r="AJ190" s="48"/>
      <c r="AK190" s="48"/>
      <c r="AL190" s="48"/>
      <c r="AM190" s="158" t="str">
        <f t="shared" si="12"/>
        <v>start /low /b %USERPROFILE%\Documents\GitHub\eaglep3\Utilities\DownloadLogsFromS3.py --loco 4003 --day 2017-02-05</v>
      </c>
      <c r="AN190" s="167" t="str">
        <f>"grep -SE -B400 ""CHR.+\|PRM\|1\|D.+(SWITCH|SIGNAL).+UNKNOWN"" "&amp;search_path&amp;"\RTDC"&amp;B190&amp;"\*"&amp;B190&amp;"*"&amp;TEXT(AVERAGE(F190,I190)-utc_offset/24,"YYYYMMDD")&amp;"* | grep -SE ""(Enforcement Action)|(\[TIMEOUT)|(CHR.+\|PRM\|1\|D.+(SWITCH|SIGNAL).+UNKNOWN)"" - &gt;&gt; "&amp;TEXT(Variables!$A$2,"YYYY-MM-DD")&amp;"-UncaughtWiMAX.txt"</f>
        <v>grep -SE -B400 "CHR.+\|PRM\|1\|D.+(SWITCH|SIGNAL).+UNKNOWN" "%USERPROFILE%\AppData\Local\Temp\OnboardLogs"\RTDC4003\*4003*20170206* | grep -SE "(Enforcement Action)|(\[TIMEOUT)|(CHR.+\|PRM\|1\|D.+(SWITCH|SIGNAL).+UNKNOWN)" - &gt;&gt; 2017-02-05-UncaughtWiMAX.txt</v>
      </c>
    </row>
    <row r="191" spans="1:91" x14ac:dyDescent="0.25">
      <c r="A191" s="33" t="s">
        <v>702</v>
      </c>
      <c r="B191" s="7">
        <v>4009</v>
      </c>
      <c r="C191" s="21" t="s">
        <v>193</v>
      </c>
      <c r="D191" s="21" t="s">
        <v>778</v>
      </c>
      <c r="E191" s="13">
        <v>42771.798981481479</v>
      </c>
      <c r="F191" s="13">
        <v>25568.708333333332</v>
      </c>
      <c r="G191" s="7">
        <v>1</v>
      </c>
      <c r="H191" s="21" t="s">
        <v>857</v>
      </c>
      <c r="I191" s="13">
        <v>25568.708333333332</v>
      </c>
      <c r="J191" s="7">
        <v>0</v>
      </c>
      <c r="K191" s="98" t="str">
        <f>IF(ISEVEN(B191),(B191-1)&amp;"/"&amp;B191,B191&amp;"/"&amp;(B191+1))</f>
        <v>4009/4010</v>
      </c>
      <c r="L191" s="21" t="str">
        <f>VLOOKUP(A191,'Trips&amp;Operators'!$C$1:$G$99999,5,FALSE)</f>
        <v>CRAYTON QUNTRELL</v>
      </c>
      <c r="M191" s="6">
        <f>I191-F191</f>
        <v>0</v>
      </c>
      <c r="N191" s="7">
        <f>24*60*SUM($M191:$M191)</f>
        <v>0</v>
      </c>
      <c r="O191" s="7"/>
      <c r="P191" s="7"/>
      <c r="Q191" s="22"/>
      <c r="R191" s="22"/>
      <c r="S191" s="31">
        <f>SUM(U191:U191)/IF(AG191="EC",12,1)</f>
        <v>1</v>
      </c>
      <c r="T191" s="46" t="str">
        <f>IF(ISEVEN(LEFT(AD191,4)),"Southbound","NorthBound")</f>
        <v>NorthBound</v>
      </c>
      <c r="U191" s="190">
        <f>IF(AG191="EC",COUNTIFS(Variables!$M$2:$M$19,IF(T191="NorthBound","&gt;=","&lt;=")&amp;Y191,Variables!$M$2:$M$19,IF(T191="NorthBound","&lt;=","&gt;=")&amp;Z191),COUNTIFS(Variables!$P$2:$P$19,IF(T191="NorthBound","&gt;=","&lt;=")&amp;Y191,Variables!$P$2:$P$19,IF(T191="NorthBound","&lt;=","&gt;=")&amp;Z191))</f>
        <v>1</v>
      </c>
      <c r="V191" s="191" t="str">
        <f>"https://d0f6bd738d7f1b3e5a7ca70fe4ff75f0.us-east-1.aws.found.io/app/kibana#/discover/Steve-Slow-Train-Analysis-(2080s-and-2083s)?_g="&amp;"(refreshInterval:(display:Off,pause:!f,section:0,value:0),time:(from:'"&amp;TEXT(E191-1/24,"yyyy-MM-DDThh:mm:ss")&amp;utc_offset&amp;"00"&amp;"',mode:absolute,to:'"&amp;TEXT(I191+1/24,"yyyy-MM-DDThh:mm:ss")&amp;utc_offset&amp;"00"&amp;"'))&amp;_a=(columns:!('Locomotive+ID','Data.Head+End+Milepost',Data.Speed,'Data.Locomotive+State','Data.Train+ID',"&amp;"'Data.Warning%2FEnforcement+Type','Data.Target+Start+Milepost','Data.Target+Description','Data.Target+Speed',"&amp;"'Data.Enforcement+Train+Speed','Data.Enforcement+Start+Milepost','Data.Target+Type','Data.Enforcement+Direction+of+Travel','Message+ID',"&amp;"'Data.Body+of+Summary+Text','Data.Head+End+Track+name'),filters:!(),index:'emp_*',interval:auto,query:"&amp;"(query_string:(analyze_wildcard:!t,query:'Message%5C+ID:(2083+OR+2080+OR+1041+OR+2003+OR+1051+OR+1043+OR+1053)+AND+%22rtdc.l.rtdc."&amp;B191&amp;"%22')),sort:!(Time.ISO8601,asc))"</f>
        <v>https://d0f6bd738d7f1b3e5a7ca70fe4ff75f0.us-east-1.aws.found.io/app/kibana#/discover/Steve-Slow-Train-Analysis-(2080s-and-2083s)?_g=(refreshInterval:(display:Off,pause:!f,section:0,value:0),time:(from:'2017-02-05T18:10:32-0700',mode:absolute,to:'1969-12-31T18:00:00-0700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4009%22')),sort:!(Time.ISO8601,asc))</v>
      </c>
      <c r="W191" s="192" t="str">
        <f>IF(AA191&lt;IF(AG191="EC",23,5.65),"Y","N")</f>
        <v>Y</v>
      </c>
      <c r="X191" s="192">
        <f>VALUE(LEFT(AD191,4))-VALUE(LEFT(AD190,4))</f>
        <v>-1528</v>
      </c>
      <c r="Y191" s="62">
        <f>RIGHT(D191,LEN(D191)-4)/10000</f>
        <v>4.9299999999999997E-2</v>
      </c>
      <c r="Z191" s="62">
        <f>RIGHT(H191,LEN(H191)-4)/10000</f>
        <v>2.3306</v>
      </c>
      <c r="AA191" s="62">
        <f>ABS(Z191-Y191)</f>
        <v>2.2812999999999999</v>
      </c>
      <c r="AB191" s="59" t="e">
        <f>VLOOKUP(A191,Enforcements!$C$7:$K$16,8,0)</f>
        <v>#N/A</v>
      </c>
      <c r="AC191" s="55" t="e">
        <f>VLOOKUP(A191,Enforcements!$C$7:$E$16,3,0)</f>
        <v>#N/A</v>
      </c>
      <c r="AD191" s="56" t="str">
        <f>IF(LEN(A191)=6,"0"&amp;A191,A191)</f>
        <v>0305-05</v>
      </c>
      <c r="AE191" s="85" t="str">
        <f>"aws s3 cp "&amp;s3_bucket&amp;"/RTDC"&amp;B191&amp;"/ "&amp;search_path&amp;"\RTDC"&amp;B191&amp;"\"&amp;TEXT(F191,"YYYY-MM-DD")&amp;" --exclude ""*"" --recursive --include ""*"&amp;TEXT(F191,"YYYYMMDD")&amp;"*"" &amp; """&amp;walkandungz&amp;""" "&amp;search_path&amp;"\RTDC"&amp;B191&amp;"\"&amp;TEXT(F191,"YYYY-MM-DD")
&amp;" &amp; "&amp;"aws s3 cp "&amp;s3_bucket&amp;"/RTDC"&amp;B191&amp;"/ "&amp;search_path&amp;"\RTDC"&amp;B191&amp;"\"&amp;TEXT(F191+1,"YYYY-MM-DD")&amp;" --exclude ""*"" --recursive --include ""*"&amp;TEXT(F191+1,"YYYYMMDD")&amp;"*"" &amp; """&amp;walkandungz&amp;""" "&amp;search_path&amp;"\RTDC"&amp;B191&amp;"\"&amp;TEXT(F191+1,"YYYY-MM-DD")</f>
        <v>aws s3 cp s3://rtdc.mdm.uploadarchive.raw/RTDC4009/ "%USERPROFILE%\AppData\Local\Temp\OnboardLogs"\RTDC4009\1969-12-31 --exclude "*" --recursive --include "*19691231*" &amp; "%USERPROFILE%\Documents\GitHub\mrs-test-scripts\Headless Mode &amp; Sideloading\WalkAndUnGZ.bat" "%USERPROFILE%\AppData\Local\Temp\OnboardLogs"\RTDC4009\1969-12-31 &amp; aws s3 cp s3://rtdc.mdm.uploadarchive.raw/RTDC4009/ "%USERPROFILE%\AppData\Local\Temp\OnboardLogs"\RTDC4009\1970-01-01 --exclude "*" --recursive --include "*19700101*" &amp; "%USERPROFILE%\Documents\GitHub\mrs-test-scripts\Headless Mode &amp; Sideloading\WalkAndUnGZ.bat" "%USERPROFILE%\AppData\Local\Temp\OnboardLogs"\RTDC4009\1970-01-01</v>
      </c>
      <c r="AF191" s="82" t="str">
        <f>astrogrep_path&amp;" /spath="&amp;search_path&amp;" /stypes=""app*"&amp;B191&amp;"*"&amp;TEXT(I191-utc_offset/24,"YYYYMMDD")&amp;"*"" /stext="" "&amp;TEXT(I191-utc_offset/24,"HH")&amp;search_regexp&amp;""" /e /r /s"</f>
        <v>"C:\Program Files (x86)\AstroGrep\AstroGrep.exe" /spath="%USERPROFILE%\AppData\Local\Temp\OnboardLogs" /stypes="app*4009*19700101*" /stext=" 00:.+((SYSTEM_STATE.+slice.+state.+changed )|(ment ac)|(multiple cpu faults)|(system.+state.+changed )|(\[timeout)|(PRM\|1\|D)|(kpr)|(kdp)|(\|lc)|(penalty))" /e /r /s</v>
      </c>
      <c r="AG191" s="1" t="str">
        <f>IFERROR(IF(VALUE(LEFT(AD191,2))&lt;=2,"EC",IF(OR(VALUE(LEFT(AD191,2))=8,VALUE(LEFT(AD191,2))=18),"NW","Other")),"Other")</f>
        <v>Other</v>
      </c>
      <c r="AH191" s="86" t="str">
        <f t="shared" si="10"/>
        <v>"%USERPROFILE%\Documents\GitHub\eaglep3\Utilities\RefineRTDCRunTimes.py" --tripid 305-05 --locoid 4009 --swversion DE.1.0.8.0 --startMP 204:493 --initTime 2017-02-05T19:10:32 --startdatetime 1969-12-31T17:00:00 --delay 1 --endMP 300:23306 --enddatetime 1969-12-31T17:00:00 --enforcementcount 0 &gt;&gt;C:\Users\stu\Documents\GitHub\eaglep3-reporting\EC\2017-02-05-refined-times.txt</v>
      </c>
      <c r="AI191" s="108" t="str">
        <f t="shared" si="11"/>
        <v>echo {"issue":{"subject":"","project_id":79,"tracker_id":40,"status_id":1,"priority_id":2,"assigned_to_id":23,"start_date":"1969-12-31","description":"","custom_fields":[{"id":1,"name":"Subdivision","value":"Other"},{"id":4,"name":"Milepost","value":"2.3306"},{"id":17,"name":"Train ID","value":"305-05"},{"id":16,"name":"Locomotive ID","value":"4009"},{"id":130,"name":"Impact","value":""},{"id":150,"name":"Time of Event (Mountain Time)","value":"17:00:00"},{"id":151,"name":"Denver Issue ID","value":""},{"id":178,"name":"Operational Impact","value":"Yes"},{"id":179,"name":"Denver Segment Assigned","value":""}]}} | curl -X POST -H "Content-Type: application/json" -H "X-Redmine-API-Key: d6333d4a04012a730768444271f8ca06482dae87" https://secure.xorail.net/redmine/issues.json --data @-</v>
      </c>
      <c r="AJ191" s="48"/>
      <c r="AK191" s="48"/>
      <c r="AL191" s="48"/>
      <c r="AM191" s="158" t="str">
        <f t="shared" si="12"/>
        <v>start /low /b %USERPROFILE%\Documents\GitHub\eaglep3\Utilities\DownloadLogsFromS3.py --loco 4009 --day 1969-12-31</v>
      </c>
      <c r="AN191" s="167" t="str">
        <f>"grep -SE -B400 ""CHR.+\|PRM\|1\|D.+(SWITCH|SIGNAL).+UNKNOWN"" "&amp;search_path&amp;"\RTDC"&amp;B191&amp;"\*"&amp;B191&amp;"*"&amp;TEXT(AVERAGE(F191,I191)-utc_offset/24,"YYYYMMDD")&amp;"* | grep -SE ""(Enforcement Action)|(\[TIMEOUT)|(CHR.+\|PRM\|1\|D.+(SWITCH|SIGNAL).+UNKNOWN)"" - &gt;&gt; "&amp;TEXT(Variables!$A$2,"YYYY-MM-DD")&amp;"-UncaughtWiMAX.txt"</f>
        <v>grep -SE -B400 "CHR.+\|PRM\|1\|D.+(SWITCH|SIGNAL).+UNKNOWN" "%USERPROFILE%\AppData\Local\Temp\OnboardLogs"\RTDC4009\*4009*19700101* | grep -SE "(Enforcement Action)|(\[TIMEOUT)|(CHR.+\|PRM\|1\|D.+(SWITCH|SIGNAL).+UNKNOWN)" - &gt;&gt; 2017-02-05-UncaughtWiMAX.txt</v>
      </c>
    </row>
    <row r="192" spans="1:91" x14ac:dyDescent="0.25">
      <c r="A192" s="33" t="s">
        <v>541</v>
      </c>
      <c r="B192" s="7">
        <v>4037</v>
      </c>
      <c r="C192" s="21" t="s">
        <v>193</v>
      </c>
      <c r="D192" s="21" t="s">
        <v>858</v>
      </c>
      <c r="E192" s="13">
        <v>42771.166018518517</v>
      </c>
      <c r="F192" s="13">
        <v>42771.167430555557</v>
      </c>
      <c r="G192" s="7">
        <v>1</v>
      </c>
      <c r="H192" s="21" t="s">
        <v>237</v>
      </c>
      <c r="I192" s="13">
        <v>42771.173495370371</v>
      </c>
      <c r="J192" s="7">
        <v>0</v>
      </c>
      <c r="K192" s="98" t="str">
        <f>IF(ISEVEN(B192),(B192-1)&amp;"/"&amp;B192,B192&amp;"/"&amp;(B192+1))</f>
        <v>4037/4038</v>
      </c>
      <c r="L192" s="21" t="str">
        <f>VLOOKUP(A192,'Trips&amp;Operators'!$C$1:$G$99999,5,FALSE)</f>
        <v>BADERTSCHER DIANE</v>
      </c>
      <c r="M192" s="6">
        <f>I192-F192</f>
        <v>6.064814813726116E-3</v>
      </c>
      <c r="N192" s="7">
        <f>24*60*SUM($M192:$M192)</f>
        <v>8.733333331765607</v>
      </c>
      <c r="O192" s="7"/>
      <c r="P192" s="7"/>
      <c r="Q192" s="22"/>
      <c r="R192" s="22"/>
      <c r="S192" s="31">
        <f>SUM(U192:U192)/IF(AG192="EC",12,1)</f>
        <v>1</v>
      </c>
      <c r="T192" s="46" t="str">
        <f>IF(ISEVEN(LEFT(AD192,4)),"Southbound","NorthBound")</f>
        <v>Southbound</v>
      </c>
      <c r="U192" s="190">
        <f>IF(AG192="EC",COUNTIFS(Variables!$M$2:$M$19,IF(T192="NorthBound","&gt;=","&lt;=")&amp;Y192,Variables!$M$2:$M$19,IF(T192="NorthBound","&lt;=","&gt;=")&amp;Z192),COUNTIFS(Variables!$P$2:$P$19,IF(T192="NorthBound","&gt;=","&lt;=")&amp;Y192,Variables!$P$2:$P$19,IF(T192="NorthBound","&lt;=","&gt;=")&amp;Z192))</f>
        <v>1</v>
      </c>
      <c r="V192" s="191" t="str">
        <f>"https://d0f6bd738d7f1b3e5a7ca70fe4ff75f0.us-east-1.aws.found.io/app/kibana#/discover/Steve-Slow-Train-Analysis-(2080s-and-2083s)?_g="&amp;"(refreshInterval:(display:Off,pause:!f,section:0,value:0),time:(from:'"&amp;TEXT(E192-1/24,"yyyy-MM-DDThh:mm:ss")&amp;utc_offset&amp;"00"&amp;"',mode:absolute,to:'"&amp;TEXT(I192+1/24,"yyyy-MM-DDThh:mm:ss")&amp;utc_offset&amp;"00"&amp;"'))&amp;_a=(columns:!('Locomotive+ID','Data.Head+End+Milepost',Data.Speed,'Data.Locomotive+State','Data.Train+ID',"&amp;"'Data.Warning%2FEnforcement+Type','Data.Target+Start+Milepost','Data.Target+Description','Data.Target+Speed',"&amp;"'Data.Enforcement+Train+Speed','Data.Enforcement+Start+Milepost','Data.Target+Type','Data.Enforcement+Direction+of+Travel','Message+ID',"&amp;"'Data.Body+of+Summary+Text','Data.Head+End+Track+name'),filters:!(),index:'emp_*',interval:auto,query:"&amp;"(query_string:(analyze_wildcard:!t,query:'Message%5C+ID:(2083+OR+2080+OR+1041+OR+2003+OR+1051+OR+1043+OR+1053)+AND+%22rtdc.l.rtdc."&amp;B192&amp;"%22')),sort:!(Time.ISO8601,asc))"</f>
        <v>https://d0f6bd738d7f1b3e5a7ca70fe4ff75f0.us-east-1.aws.found.io/app/kibana#/discover/Steve-Slow-Train-Analysis-(2080s-and-2083s)?_g=(refreshInterval:(display:Off,pause:!f,section:0,value:0),time:(from:'2017-02-05T02:59:04-0700',mode:absolute,to:'2017-02-05T05:09:50-0700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4037%22')),sort:!(Time.ISO8601,asc))</v>
      </c>
      <c r="W192" s="192" t="str">
        <f>IF(AA192&lt;IF(AG192="EC",23,5.65),"Y","N")</f>
        <v>Y</v>
      </c>
      <c r="X192" s="192">
        <f>VALUE(LEFT(AD192,4))-VALUE(LEFT(AD191,4))</f>
        <v>1</v>
      </c>
      <c r="Y192" s="62">
        <f>RIGHT(D192,LEN(D192)-4)/10000</f>
        <v>2.3062999999999998</v>
      </c>
      <c r="Z192" s="62">
        <f>RIGHT(H192,LEN(H192)-4)/10000</f>
        <v>1.43E-2</v>
      </c>
      <c r="AA192" s="62">
        <f>ABS(Z192-Y192)</f>
        <v>2.2919999999999998</v>
      </c>
      <c r="AB192" s="59" t="e">
        <f>VLOOKUP(A192,Enforcements!$C$7:$K$16,8,0)</f>
        <v>#N/A</v>
      </c>
      <c r="AC192" s="55" t="e">
        <f>VLOOKUP(A192,Enforcements!$C$7:$E$16,3,0)</f>
        <v>#N/A</v>
      </c>
      <c r="AD192" s="56" t="str">
        <f>IF(LEN(A192)=6,"0"&amp;A192,A192)</f>
        <v>0306-05</v>
      </c>
      <c r="AE192" s="85" t="str">
        <f>"aws s3 cp "&amp;s3_bucket&amp;"/RTDC"&amp;B192&amp;"/ "&amp;search_path&amp;"\RTDC"&amp;B192&amp;"\"&amp;TEXT(F192,"YYYY-MM-DD")&amp;" --exclude ""*"" --recursive --include ""*"&amp;TEXT(F192,"YYYYMMDD")&amp;"*"" &amp; """&amp;walkandungz&amp;""" "&amp;search_path&amp;"\RTDC"&amp;B192&amp;"\"&amp;TEXT(F192,"YYYY-MM-DD")
&amp;" &amp; "&amp;"aws s3 cp "&amp;s3_bucket&amp;"/RTDC"&amp;B192&amp;"/ "&amp;search_path&amp;"\RTDC"&amp;B192&amp;"\"&amp;TEXT(F192+1,"YYYY-MM-DD")&amp;" --exclude ""*"" --recursive --include ""*"&amp;TEXT(F192+1,"YYYYMMDD")&amp;"*"" &amp; """&amp;walkandungz&amp;""" "&amp;search_path&amp;"\RTDC"&amp;B192&amp;"\"&amp;TEXT(F192+1,"YYYY-MM-DD")</f>
        <v>aws s3 cp s3://rtdc.mdm.uploadarchive.raw/RTDC4037/ "%USERPROFILE%\AppData\Local\Temp\OnboardLogs"\RTDC4037\2017-02-05 --exclude "*" --recursive --include "*20170205*" &amp; "%USERPROFILE%\Documents\GitHub\mrs-test-scripts\Headless Mode &amp; Sideloading\WalkAndUnGZ.bat" "%USERPROFILE%\AppData\Local\Temp\OnboardLogs"\RTDC4037\2017-02-05 &amp; aws s3 cp s3://rtdc.mdm.uploadarchive.raw/RTDC4037/ "%USERPROFILE%\AppData\Local\Temp\OnboardLogs"\RTDC4037\2017-02-06 --exclude "*" --recursive --include "*20170206*" &amp; "%USERPROFILE%\Documents\GitHub\mrs-test-scripts\Headless Mode &amp; Sideloading\WalkAndUnGZ.bat" "%USERPROFILE%\AppData\Local\Temp\OnboardLogs"\RTDC4037\2017-02-06</v>
      </c>
      <c r="AF192" s="82" t="str">
        <f>astrogrep_path&amp;" /spath="&amp;search_path&amp;" /stypes=""app*"&amp;B192&amp;"*"&amp;TEXT(I192-utc_offset/24,"YYYYMMDD")&amp;"*"" /stext="" "&amp;TEXT(I192-utc_offset/24,"HH")&amp;search_regexp&amp;""" /e /r /s"</f>
        <v>"C:\Program Files (x86)\AstroGrep\AstroGrep.exe" /spath="%USERPROFILE%\AppData\Local\Temp\OnboardLogs" /stypes="app*4037*20170205*" /stext=" 11:.+((SYSTEM_STATE.+slice.+state.+changed )|(ment ac)|(multiple cpu faults)|(system.+state.+changed )|(\[timeout)|(PRM\|1\|D)|(kpr)|(kdp)|(\|lc)|(penalty))" /e /r /s</v>
      </c>
      <c r="AG192" s="1" t="str">
        <f>IFERROR(IF(VALUE(LEFT(AD192,2))&lt;=2,"EC",IF(OR(VALUE(LEFT(AD192,2))=8,VALUE(LEFT(AD192,2))=18),"NW","Other")),"Other")</f>
        <v>Other</v>
      </c>
      <c r="AH192" s="86" t="str">
        <f t="shared" si="10"/>
        <v>"%USERPROFILE%\Documents\GitHub\eaglep3\Utilities\RefineRTDCRunTimes.py" --tripid 306-05 --locoid 4037 --swversion DE.1.0.8.0 --startMP 300:23063 --initTime 2017-02-05T03:59:04 --startdatetime 2017-02-05T04:01:06 --delay 1 --endMP 204:143 --enddatetime 2017-02-05T04:09:50 --enforcementcount 0 &gt;&gt;C:\Users\stu\Documents\GitHub\eaglep3-reporting\EC\2017-02-05-refined-times.txt</v>
      </c>
      <c r="AI192" s="108" t="str">
        <f t="shared" si="11"/>
        <v>echo {"issue":{"subject":"","project_id":79,"tracker_id":40,"status_id":1,"priority_id":2,"assigned_to_id":23,"start_date":"2017-02-05","description":"","custom_fields":[{"id":1,"name":"Subdivision","value":"Other"},{"id":4,"name":"Milepost","value":"0.0143"},{"id":17,"name":"Train ID","value":"306-05"},{"id":16,"name":"Locomotive ID","value":"4037"},{"id":130,"name":"Impact","value":""},{"id":150,"name":"Time of Event (Mountain Time)","value":"04:09:50"},{"id":151,"name":"Denver Issue ID","value":""},{"id":178,"name":"Operational Impact","value":"Yes"},{"id":179,"name":"Denver Segment Assigned","value":""}]}} | curl -X POST -H "Content-Type: application/json" -H "X-Redmine-API-Key: d6333d4a04012a730768444271f8ca06482dae87" https://secure.xorail.net/redmine/issues.json --data @-</v>
      </c>
      <c r="AJ192" s="48"/>
      <c r="AK192" s="48"/>
      <c r="AL192" s="48"/>
      <c r="AM192" s="158" t="str">
        <f t="shared" si="12"/>
        <v>start /low /b %USERPROFILE%\Documents\GitHub\eaglep3\Utilities\DownloadLogsFromS3.py --loco 4037 --day 2017-02-05</v>
      </c>
      <c r="AN192" s="167" t="str">
        <f>"grep -SE -B400 ""CHR.+\|PRM\|1\|D.+(SWITCH|SIGNAL).+UNKNOWN"" "&amp;search_path&amp;"\RTDC"&amp;B192&amp;"\*"&amp;B192&amp;"*"&amp;TEXT(AVERAGE(F192,I192)-utc_offset/24,"YYYYMMDD")&amp;"* | grep -SE ""(Enforcement Action)|(\[TIMEOUT)|(CHR.+\|PRM\|1\|D.+(SWITCH|SIGNAL).+UNKNOWN)"" - &gt;&gt; "&amp;TEXT(Variables!$A$2,"YYYY-MM-DD")&amp;"-UncaughtWiMAX.txt"</f>
        <v>grep -SE -B400 "CHR.+\|PRM\|1\|D.+(SWITCH|SIGNAL).+UNKNOWN" "%USERPROFILE%\AppData\Local\Temp\OnboardLogs"\RTDC4037\*4037*20170205* | grep -SE "(Enforcement Action)|(\[TIMEOUT)|(CHR.+\|PRM\|1\|D.+(SWITCH|SIGNAL).+UNKNOWN)" - &gt;&gt; 2017-02-05-UncaughtWiMAX.txt</v>
      </c>
    </row>
    <row r="193" spans="1:91" s="20" customFormat="1" x14ac:dyDescent="0.25">
      <c r="A193" s="33" t="s">
        <v>544</v>
      </c>
      <c r="B193" s="7">
        <v>4021</v>
      </c>
      <c r="C193" s="21" t="s">
        <v>193</v>
      </c>
      <c r="D193" s="21" t="s">
        <v>859</v>
      </c>
      <c r="E193" s="13">
        <v>42771.175416666665</v>
      </c>
      <c r="F193" s="13">
        <v>42771.176689814813</v>
      </c>
      <c r="G193" s="7">
        <v>1</v>
      </c>
      <c r="H193" s="21" t="s">
        <v>225</v>
      </c>
      <c r="I193" s="13">
        <v>42771.182650462964</v>
      </c>
      <c r="J193" s="7">
        <v>0</v>
      </c>
      <c r="K193" s="98" t="str">
        <f>IF(ISEVEN(B193),(B193-1)&amp;"/"&amp;B193,B193&amp;"/"&amp;(B193+1))</f>
        <v>4021/4022</v>
      </c>
      <c r="L193" s="21" t="str">
        <f>VLOOKUP(A193,'Trips&amp;Operators'!$C$1:$G$99999,5,FALSE)</f>
        <v>DAVIS WENDY</v>
      </c>
      <c r="M193" s="6">
        <f>I193-F193</f>
        <v>5.9606481518130749E-3</v>
      </c>
      <c r="N193" s="7">
        <f>24*60*SUM($M193:$M193)</f>
        <v>8.5833333386108279</v>
      </c>
      <c r="O193" s="7"/>
      <c r="P193" s="7"/>
      <c r="Q193" s="22"/>
      <c r="R193" s="22"/>
      <c r="S193" s="31">
        <f>SUM(U193:U193)/IF(AG193="EC",12,1)</f>
        <v>1</v>
      </c>
      <c r="T193" s="46" t="str">
        <f>IF(ISEVEN(LEFT(AD193,4)),"Southbound","NorthBound")</f>
        <v>Southbound</v>
      </c>
      <c r="U193" s="190">
        <f>IF(AG193="EC",COUNTIFS(Variables!$M$2:$M$19,IF(T193="NorthBound","&gt;=","&lt;=")&amp;Y193,Variables!$M$2:$M$19,IF(T193="NorthBound","&lt;=","&gt;=")&amp;Z193),COUNTIFS(Variables!$P$2:$P$19,IF(T193="NorthBound","&gt;=","&lt;=")&amp;Y193,Variables!$P$2:$P$19,IF(T193="NorthBound","&lt;=","&gt;=")&amp;Z193))</f>
        <v>1</v>
      </c>
      <c r="V193" s="191" t="str">
        <f>"https://d0f6bd738d7f1b3e5a7ca70fe4ff75f0.us-east-1.aws.found.io/app/kibana#/discover/Steve-Slow-Train-Analysis-(2080s-and-2083s)?_g="&amp;"(refreshInterval:(display:Off,pause:!f,section:0,value:0),time:(from:'"&amp;TEXT(E193-1/24,"yyyy-MM-DDThh:mm:ss")&amp;utc_offset&amp;"00"&amp;"',mode:absolute,to:'"&amp;TEXT(I193+1/24,"yyyy-MM-DDThh:mm:ss")&amp;utc_offset&amp;"00"&amp;"'))&amp;_a=(columns:!('Locomotive+ID','Data.Head+End+Milepost',Data.Speed,'Data.Locomotive+State','Data.Train+ID',"&amp;"'Data.Warning%2FEnforcement+Type','Data.Target+Start+Milepost','Data.Target+Description','Data.Target+Speed',"&amp;"'Data.Enforcement+Train+Speed','Data.Enforcement+Start+Milepost','Data.Target+Type','Data.Enforcement+Direction+of+Travel','Message+ID',"&amp;"'Data.Body+of+Summary+Text','Data.Head+End+Track+name'),filters:!(),index:'emp_*',interval:auto,query:"&amp;"(query_string:(analyze_wildcard:!t,query:'Message%5C+ID:(2083+OR+2080+OR+1041+OR+2003+OR+1051+OR+1043+OR+1053)+AND+%22rtdc.l.rtdc."&amp;B193&amp;"%22')),sort:!(Time.ISO8601,asc))"</f>
        <v>https://d0f6bd738d7f1b3e5a7ca70fe4ff75f0.us-east-1.aws.found.io/app/kibana#/discover/Steve-Slow-Train-Analysis-(2080s-and-2083s)?_g=(refreshInterval:(display:Off,pause:!f,section:0,value:0),time:(from:'2017-02-05T03:12:36-0700',mode:absolute,to:'2017-02-05T05:23:01-0700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4021%22')),sort:!(Time.ISO8601,asc))</v>
      </c>
      <c r="W193" s="192" t="str">
        <f>IF(AA193&lt;IF(AG193="EC",23,5.65),"Y","N")</f>
        <v>Y</v>
      </c>
      <c r="X193" s="192">
        <f>VALUE(LEFT(AD193,4))-VALUE(LEFT(AD192,4))</f>
        <v>2</v>
      </c>
      <c r="Y193" s="62">
        <f>RIGHT(D193,LEN(D193)-4)/10000</f>
        <v>2.3481000000000001</v>
      </c>
      <c r="Z193" s="62">
        <f>RIGHT(H193,LEN(H193)-4)/10000</f>
        <v>1.54E-2</v>
      </c>
      <c r="AA193" s="62">
        <f>ABS(Z193-Y193)</f>
        <v>2.3327</v>
      </c>
      <c r="AB193" s="59" t="e">
        <f>VLOOKUP(A193,Enforcements!$C$7:$K$16,8,0)</f>
        <v>#N/A</v>
      </c>
      <c r="AC193" s="55" t="e">
        <f>VLOOKUP(A193,Enforcements!$C$7:$E$16,3,0)</f>
        <v>#N/A</v>
      </c>
      <c r="AD193" s="56" t="str">
        <f>IF(LEN(A193)=6,"0"&amp;A193,A193)</f>
        <v>0308-05</v>
      </c>
      <c r="AE193" s="85" t="str">
        <f>"aws s3 cp "&amp;s3_bucket&amp;"/RTDC"&amp;B193&amp;"/ "&amp;search_path&amp;"\RTDC"&amp;B193&amp;"\"&amp;TEXT(F193,"YYYY-MM-DD")&amp;" --exclude ""*"" --recursive --include ""*"&amp;TEXT(F193,"YYYYMMDD")&amp;"*"" &amp; """&amp;walkandungz&amp;""" "&amp;search_path&amp;"\RTDC"&amp;B193&amp;"\"&amp;TEXT(F193,"YYYY-MM-DD")
&amp;" &amp; "&amp;"aws s3 cp "&amp;s3_bucket&amp;"/RTDC"&amp;B193&amp;"/ "&amp;search_path&amp;"\RTDC"&amp;B193&amp;"\"&amp;TEXT(F193+1,"YYYY-MM-DD")&amp;" --exclude ""*"" --recursive --include ""*"&amp;TEXT(F193+1,"YYYYMMDD")&amp;"*"" &amp; """&amp;walkandungz&amp;""" "&amp;search_path&amp;"\RTDC"&amp;B193&amp;"\"&amp;TEXT(F193+1,"YYYY-MM-DD")</f>
        <v>aws s3 cp s3://rtdc.mdm.uploadarchive.raw/RTDC4021/ "%USERPROFILE%\AppData\Local\Temp\OnboardLogs"\RTDC4021\2017-02-05 --exclude "*" --recursive --include "*20170205*" &amp; "%USERPROFILE%\Documents\GitHub\mrs-test-scripts\Headless Mode &amp; Sideloading\WalkAndUnGZ.bat" "%USERPROFILE%\AppData\Local\Temp\OnboardLogs"\RTDC4021\2017-02-05 &amp; aws s3 cp s3://rtdc.mdm.uploadarchive.raw/RTDC4021/ "%USERPROFILE%\AppData\Local\Temp\OnboardLogs"\RTDC4021\2017-02-06 --exclude "*" --recursive --include "*20170206*" &amp; "%USERPROFILE%\Documents\GitHub\mrs-test-scripts\Headless Mode &amp; Sideloading\WalkAndUnGZ.bat" "%USERPROFILE%\AppData\Local\Temp\OnboardLogs"\RTDC4021\2017-02-06</v>
      </c>
      <c r="AF193" s="82" t="str">
        <f>astrogrep_path&amp;" /spath="&amp;search_path&amp;" /stypes=""app*"&amp;B193&amp;"*"&amp;TEXT(I193-utc_offset/24,"YYYYMMDD")&amp;"*"" /stext="" "&amp;TEXT(I193-utc_offset/24,"HH")&amp;search_regexp&amp;""" /e /r /s"</f>
        <v>"C:\Program Files (x86)\AstroGrep\AstroGrep.exe" /spath="%USERPROFILE%\AppData\Local\Temp\OnboardLogs" /stypes="app*4021*20170205*" /stext=" 11:.+((SYSTEM_STATE.+slice.+state.+changed )|(ment ac)|(multiple cpu faults)|(system.+state.+changed )|(\[timeout)|(PRM\|1\|D)|(kpr)|(kdp)|(\|lc)|(penalty))" /e /r /s</v>
      </c>
      <c r="AG193" s="1" t="str">
        <f>IFERROR(IF(VALUE(LEFT(AD193,2))&lt;=2,"EC",IF(OR(VALUE(LEFT(AD193,2))=8,VALUE(LEFT(AD193,2))=18),"NW","Other")),"Other")</f>
        <v>Other</v>
      </c>
      <c r="AH193" s="86" t="str">
        <f t="shared" si="10"/>
        <v>"%USERPROFILE%\Documents\GitHub\eaglep3\Utilities\RefineRTDCRunTimes.py" --tripid 308-05 --locoid 4021 --swversion DE.1.0.8.0 --startMP 300:23481 --initTime 2017-02-05T04:12:36 --startdatetime 2017-02-05T04:14:26 --delay 1 --endMP 204:154 --enddatetime 2017-02-05T04:23:01 --enforcementcount 0 &gt;&gt;C:\Users\stu\Documents\GitHub\eaglep3-reporting\EC\2017-02-05-refined-times.txt</v>
      </c>
      <c r="AI193" s="108" t="str">
        <f t="shared" si="11"/>
        <v>echo {"issue":{"subject":"","project_id":79,"tracker_id":40,"status_id":1,"priority_id":2,"assigned_to_id":23,"start_date":"2017-02-05","description":"","custom_fields":[{"id":1,"name":"Subdivision","value":"Other"},{"id":4,"name":"Milepost","value":"0.0154"},{"id":17,"name":"Train ID","value":"308-05"},{"id":16,"name":"Locomotive ID","value":"4021"},{"id":130,"name":"Impact","value":""},{"id":150,"name":"Time of Event (Mountain Time)","value":"04:23:01"},{"id":151,"name":"Denver Issue ID","value":""},{"id":178,"name":"Operational Impact","value":"Yes"},{"id":179,"name":"Denver Segment Assigned","value":""}]}} | curl -X POST -H "Content-Type: application/json" -H "X-Redmine-API-Key: d6333d4a04012a730768444271f8ca06482dae87" https://secure.xorail.net/redmine/issues.json --data @-</v>
      </c>
      <c r="AJ193" s="48"/>
      <c r="AK193" s="48"/>
      <c r="AL193" s="48"/>
      <c r="AM193" s="158" t="str">
        <f t="shared" si="12"/>
        <v>start /low /b %USERPROFILE%\Documents\GitHub\eaglep3\Utilities\DownloadLogsFromS3.py --loco 4021 --day 2017-02-05</v>
      </c>
      <c r="AN193" s="167" t="str">
        <f>"grep -SE -B400 ""CHR.+\|PRM\|1\|D.+(SWITCH|SIGNAL).+UNKNOWN"" "&amp;search_path&amp;"\RTDC"&amp;B193&amp;"\*"&amp;B193&amp;"*"&amp;TEXT(AVERAGE(F193,I193)-utc_offset/24,"YYYYMMDD")&amp;"* | grep -SE ""(Enforcement Action)|(\[TIMEOUT)|(CHR.+\|PRM\|1\|D.+(SWITCH|SIGNAL).+UNKNOWN)"" - &gt;&gt; "&amp;TEXT(Variables!$A$2,"YYYY-MM-DD")&amp;"-UncaughtWiMAX.txt"</f>
        <v>grep -SE -B400 "CHR.+\|PRM\|1\|D.+(SWITCH|SIGNAL).+UNKNOWN" "%USERPROFILE%\AppData\Local\Temp\OnboardLogs"\RTDC4021\*4021*20170205* | grep -SE "(Enforcement Action)|(\[TIMEOUT)|(CHR.+\|PRM\|1\|D.+(SWITCH|SIGNAL).+UNKNOWN)" - &gt;&gt; 2017-02-05-UncaughtWiMAX.txt</v>
      </c>
      <c r="AO193"/>
      <c r="AP193"/>
      <c r="AQ193"/>
      <c r="AR193"/>
      <c r="AS193"/>
      <c r="AT193"/>
      <c r="AU193"/>
      <c r="AV193"/>
      <c r="AW193"/>
      <c r="AX193"/>
      <c r="AY193"/>
      <c r="AZ193"/>
      <c r="BA193"/>
      <c r="BB193"/>
      <c r="BC193"/>
      <c r="BD193"/>
      <c r="BE193"/>
      <c r="BF193"/>
      <c r="BG193"/>
      <c r="BH193"/>
      <c r="BI193"/>
      <c r="BJ193"/>
      <c r="BK193"/>
      <c r="BL193"/>
      <c r="BM193"/>
      <c r="BN193"/>
      <c r="BO193"/>
      <c r="BP193"/>
      <c r="BQ193"/>
      <c r="BR193"/>
      <c r="BS193"/>
      <c r="BT193"/>
      <c r="BU193"/>
      <c r="BV193"/>
      <c r="BW193"/>
      <c r="BX193"/>
      <c r="BY193"/>
      <c r="BZ193"/>
      <c r="CA193"/>
      <c r="CB193"/>
      <c r="CC193"/>
      <c r="CD193"/>
      <c r="CE193"/>
      <c r="CF193"/>
      <c r="CG193"/>
      <c r="CH193"/>
      <c r="CI193"/>
      <c r="CJ193"/>
      <c r="CK193"/>
      <c r="CL193"/>
      <c r="CM193"/>
    </row>
    <row r="194" spans="1:91" x14ac:dyDescent="0.25">
      <c r="A194" s="33" t="s">
        <v>548</v>
      </c>
      <c r="B194" s="7">
        <v>4001</v>
      </c>
      <c r="C194" s="21" t="s">
        <v>193</v>
      </c>
      <c r="D194" s="21" t="s">
        <v>860</v>
      </c>
      <c r="E194" s="13">
        <v>42771.180763888886</v>
      </c>
      <c r="F194" s="13">
        <v>42771.181631944448</v>
      </c>
      <c r="G194" s="7">
        <v>1</v>
      </c>
      <c r="H194" s="21" t="s">
        <v>213</v>
      </c>
      <c r="I194" s="13">
        <v>42771.190821759257</v>
      </c>
      <c r="J194" s="7">
        <v>0</v>
      </c>
      <c r="K194" s="98" t="str">
        <f>IF(ISEVEN(B194),(B194-1)&amp;"/"&amp;B194,B194&amp;"/"&amp;(B194+1))</f>
        <v>4001/4002</v>
      </c>
      <c r="L194" s="21" t="str">
        <f>VLOOKUP(A194,'Trips&amp;Operators'!$C$1:$G$99999,5,FALSE)</f>
        <v>BERLING GARY</v>
      </c>
      <c r="M194" s="6">
        <f>I194-F194</f>
        <v>9.1898148093605414E-3</v>
      </c>
      <c r="N194" s="7">
        <f>24*60*SUM($M194:$M194)</f>
        <v>13.23333332547918</v>
      </c>
      <c r="O194" s="7"/>
      <c r="P194" s="7"/>
      <c r="Q194" s="22"/>
      <c r="R194" s="22"/>
      <c r="S194" s="31">
        <f>SUM(U194:U194)/IF(AG194="EC",12,1)</f>
        <v>1</v>
      </c>
      <c r="T194" s="46" t="str">
        <f>IF(ISEVEN(LEFT(AD194,4)),"Southbound","NorthBound")</f>
        <v>Southbound</v>
      </c>
      <c r="U194" s="190">
        <f>IF(AG194="EC",COUNTIFS(Variables!$M$2:$M$19,IF(T194="NorthBound","&gt;=","&lt;=")&amp;Y194,Variables!$M$2:$M$19,IF(T194="NorthBound","&lt;=","&gt;=")&amp;Z194),COUNTIFS(Variables!$P$2:$P$19,IF(T194="NorthBound","&gt;=","&lt;=")&amp;Y194,Variables!$P$2:$P$19,IF(T194="NorthBound","&lt;=","&gt;=")&amp;Z194))</f>
        <v>1</v>
      </c>
      <c r="V194" s="191" t="str">
        <f>"https://d0f6bd738d7f1b3e5a7ca70fe4ff75f0.us-east-1.aws.found.io/app/kibana#/discover/Steve-Slow-Train-Analysis-(2080s-and-2083s)?_g="&amp;"(refreshInterval:(display:Off,pause:!f,section:0,value:0),time:(from:'"&amp;TEXT(E194-1/24,"yyyy-MM-DDThh:mm:ss")&amp;utc_offset&amp;"00"&amp;"',mode:absolute,to:'"&amp;TEXT(I194+1/24,"yyyy-MM-DDThh:mm:ss")&amp;utc_offset&amp;"00"&amp;"'))&amp;_a=(columns:!('Locomotive+ID','Data.Head+End+Milepost',Data.Speed,'Data.Locomotive+State','Data.Train+ID',"&amp;"'Data.Warning%2FEnforcement+Type','Data.Target+Start+Milepost','Data.Target+Description','Data.Target+Speed',"&amp;"'Data.Enforcement+Train+Speed','Data.Enforcement+Start+Milepost','Data.Target+Type','Data.Enforcement+Direction+of+Travel','Message+ID',"&amp;"'Data.Body+of+Summary+Text','Data.Head+End+Track+name'),filters:!(),index:'emp_*',interval:auto,query:"&amp;"(query_string:(analyze_wildcard:!t,query:'Message%5C+ID:(2083+OR+2080+OR+1041+OR+2003+OR+1051+OR+1043+OR+1053)+AND+%22rtdc.l.rtdc."&amp;B194&amp;"%22')),sort:!(Time.ISO8601,asc))"</f>
        <v>https://d0f6bd738d7f1b3e5a7ca70fe4ff75f0.us-east-1.aws.found.io/app/kibana#/discover/Steve-Slow-Train-Analysis-(2080s-and-2083s)?_g=(refreshInterval:(display:Off,pause:!f,section:0,value:0),time:(from:'2017-02-05T03:20:18-0700',mode:absolute,to:'2017-02-05T05:34:47-0700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4001%22')),sort:!(Time.ISO8601,asc))</v>
      </c>
      <c r="W194" s="192" t="str">
        <f>IF(AA194&lt;IF(AG194="EC",23,5.65),"Y","N")</f>
        <v>Y</v>
      </c>
      <c r="X194" s="192">
        <f>VALUE(LEFT(AD194,4))-VALUE(LEFT(AD193,4))</f>
        <v>2</v>
      </c>
      <c r="Y194" s="62">
        <f>RIGHT(D194,LEN(D194)-4)/10000</f>
        <v>2.3292000000000002</v>
      </c>
      <c r="Z194" s="62">
        <f>RIGHT(H194,LEN(H194)-4)/10000</f>
        <v>1.5800000000000002E-2</v>
      </c>
      <c r="AA194" s="62">
        <f>ABS(Z194-Y194)</f>
        <v>2.3134000000000001</v>
      </c>
      <c r="AB194" s="59" t="e">
        <f>VLOOKUP(A194,Enforcements!$C$7:$K$16,8,0)</f>
        <v>#N/A</v>
      </c>
      <c r="AC194" s="55" t="e">
        <f>VLOOKUP(A194,Enforcements!$C$7:$E$16,3,0)</f>
        <v>#N/A</v>
      </c>
      <c r="AD194" s="56" t="str">
        <f>IF(LEN(A194)=6,"0"&amp;A194,A194)</f>
        <v>0310-05</v>
      </c>
      <c r="AE194" s="85" t="str">
        <f>"aws s3 cp "&amp;s3_bucket&amp;"/RTDC"&amp;B194&amp;"/ "&amp;search_path&amp;"\RTDC"&amp;B194&amp;"\"&amp;TEXT(F194,"YYYY-MM-DD")&amp;" --exclude ""*"" --recursive --include ""*"&amp;TEXT(F194,"YYYYMMDD")&amp;"*"" &amp; """&amp;walkandungz&amp;""" "&amp;search_path&amp;"\RTDC"&amp;B194&amp;"\"&amp;TEXT(F194,"YYYY-MM-DD")
&amp;" &amp; "&amp;"aws s3 cp "&amp;s3_bucket&amp;"/RTDC"&amp;B194&amp;"/ "&amp;search_path&amp;"\RTDC"&amp;B194&amp;"\"&amp;TEXT(F194+1,"YYYY-MM-DD")&amp;" --exclude ""*"" --recursive --include ""*"&amp;TEXT(F194+1,"YYYYMMDD")&amp;"*"" &amp; """&amp;walkandungz&amp;""" "&amp;search_path&amp;"\RTDC"&amp;B194&amp;"\"&amp;TEXT(F194+1,"YYYY-MM-DD")</f>
        <v>aws s3 cp s3://rtdc.mdm.uploadarchive.raw/RTDC4001/ "%USERPROFILE%\AppData\Local\Temp\OnboardLogs"\RTDC4001\2017-02-05 --exclude "*" --recursive --include "*20170205*" &amp; "%USERPROFILE%\Documents\GitHub\mrs-test-scripts\Headless Mode &amp; Sideloading\WalkAndUnGZ.bat" "%USERPROFILE%\AppData\Local\Temp\OnboardLogs"\RTDC4001\2017-02-05 &amp; aws s3 cp s3://rtdc.mdm.uploadarchive.raw/RTDC4001/ "%USERPROFILE%\AppData\Local\Temp\OnboardLogs"\RTDC4001\2017-02-06 --exclude "*" --recursive --include "*20170206*" &amp; "%USERPROFILE%\Documents\GitHub\mrs-test-scripts\Headless Mode &amp; Sideloading\WalkAndUnGZ.bat" "%USERPROFILE%\AppData\Local\Temp\OnboardLogs"\RTDC4001\2017-02-06</v>
      </c>
      <c r="AF194" s="82" t="str">
        <f>astrogrep_path&amp;" /spath="&amp;search_path&amp;" /stypes=""app*"&amp;B194&amp;"*"&amp;TEXT(I194-utc_offset/24,"YYYYMMDD")&amp;"*"" /stext="" "&amp;TEXT(I194-utc_offset/24,"HH")&amp;search_regexp&amp;""" /e /r /s"</f>
        <v>"C:\Program Files (x86)\AstroGrep\AstroGrep.exe" /spath="%USERPROFILE%\AppData\Local\Temp\OnboardLogs" /stypes="app*4001*20170205*" /stext=" 11:.+((SYSTEM_STATE.+slice.+state.+changed )|(ment ac)|(multiple cpu faults)|(system.+state.+changed )|(\[timeout)|(PRM\|1\|D)|(kpr)|(kdp)|(\|lc)|(penalty))" /e /r /s</v>
      </c>
      <c r="AG194" s="1" t="str">
        <f>IFERROR(IF(VALUE(LEFT(AD194,2))&lt;=2,"EC",IF(OR(VALUE(LEFT(AD194,2))=8,VALUE(LEFT(AD194,2))=18),"NW","Other")),"Other")</f>
        <v>Other</v>
      </c>
      <c r="AH194" s="86" t="str">
        <f t="shared" si="10"/>
        <v>"%USERPROFILE%\Documents\GitHub\eaglep3\Utilities\RefineRTDCRunTimes.py" --tripid 310-05 --locoid 4001 --swversion DE.1.0.8.0 --startMP 300:23292 --initTime 2017-02-05T04:20:18 --startdatetime 2017-02-05T04:21:33 --delay 1 --endMP 204:158 --enddatetime 2017-02-05T04:34:47 --enforcementcount 0 &gt;&gt;C:\Users\stu\Documents\GitHub\eaglep3-reporting\EC\2017-02-05-refined-times.txt</v>
      </c>
      <c r="AI194" s="108" t="str">
        <f t="shared" si="11"/>
        <v>echo {"issue":{"subject":"","project_id":79,"tracker_id":40,"status_id":1,"priority_id":2,"assigned_to_id":23,"start_date":"2017-02-05","description":"","custom_fields":[{"id":1,"name":"Subdivision","value":"Other"},{"id":4,"name":"Milepost","value":"0.0158"},{"id":17,"name":"Train ID","value":"310-05"},{"id":16,"name":"Locomotive ID","value":"4001"},{"id":130,"name":"Impact","value":""},{"id":150,"name":"Time of Event (Mountain Time)","value":"04:34:47"},{"id":151,"name":"Denver Issue ID","value":""},{"id":178,"name":"Operational Impact","value":"Yes"},{"id":179,"name":"Denver Segment Assigned","value":""}]}} | curl -X POST -H "Content-Type: application/json" -H "X-Redmine-API-Key: d6333d4a04012a730768444271f8ca06482dae87" https://secure.xorail.net/redmine/issues.json --data @-</v>
      </c>
      <c r="AJ194" s="48"/>
      <c r="AK194" s="48"/>
      <c r="AL194" s="48"/>
      <c r="AM194" s="158" t="str">
        <f t="shared" si="12"/>
        <v>start /low /b %USERPROFILE%\Documents\GitHub\eaglep3\Utilities\DownloadLogsFromS3.py --loco 4001 --day 2017-02-05</v>
      </c>
      <c r="AN194" s="167" t="str">
        <f>"grep -SE -B400 ""CHR.+\|PRM\|1\|D.+(SWITCH|SIGNAL).+UNKNOWN"" "&amp;search_path&amp;"\RTDC"&amp;B194&amp;"\*"&amp;B194&amp;"*"&amp;TEXT(AVERAGE(F194,I194)-utc_offset/24,"YYYYMMDD")&amp;"* | grep -SE ""(Enforcement Action)|(\[TIMEOUT)|(CHR.+\|PRM\|1\|D.+(SWITCH|SIGNAL).+UNKNOWN)"" - &gt;&gt; "&amp;TEXT(Variables!$A$2,"YYYY-MM-DD")&amp;"-UncaughtWiMAX.txt"</f>
        <v>grep -SE -B400 "CHR.+\|PRM\|1\|D.+(SWITCH|SIGNAL).+UNKNOWN" "%USERPROFILE%\AppData\Local\Temp\OnboardLogs"\RTDC4001\*4001*20170205* | grep -SE "(Enforcement Action)|(\[TIMEOUT)|(CHR.+\|PRM\|1\|D.+(SWITCH|SIGNAL).+UNKNOWN)" - &gt;&gt; 2017-02-05-UncaughtWiMAX.txt</v>
      </c>
    </row>
    <row r="195" spans="1:91" s="20" customFormat="1" x14ac:dyDescent="0.25">
      <c r="A195" s="33" t="s">
        <v>736</v>
      </c>
      <c r="B195" s="7">
        <v>4031</v>
      </c>
      <c r="C195" s="21" t="s">
        <v>193</v>
      </c>
      <c r="D195" s="21" t="s">
        <v>226</v>
      </c>
      <c r="E195" s="13">
        <v>42772.040289351855</v>
      </c>
      <c r="F195" s="13">
        <v>25568.708333333332</v>
      </c>
      <c r="G195" s="7">
        <v>2</v>
      </c>
      <c r="H195" s="21" t="s">
        <v>419</v>
      </c>
      <c r="I195" s="13">
        <v>25568.708333333332</v>
      </c>
      <c r="J195" s="7">
        <v>0</v>
      </c>
      <c r="K195" s="98" t="str">
        <f>IF(ISEVEN(B195),(B195-1)&amp;"/"&amp;B195,B195&amp;"/"&amp;(B195+1))</f>
        <v>4031/4032</v>
      </c>
      <c r="L195" s="21" t="str">
        <f>VLOOKUP(A195,'Trips&amp;Operators'!$C$1:$G$99999,5,FALSE)</f>
        <v>MAGEE KENYA</v>
      </c>
      <c r="M195" s="6">
        <f>I195-F195</f>
        <v>0</v>
      </c>
      <c r="N195" s="7">
        <f>24*60*SUM($M195:$M195)</f>
        <v>0</v>
      </c>
      <c r="O195" s="7"/>
      <c r="P195" s="7"/>
      <c r="Q195" s="22"/>
      <c r="R195" s="22"/>
      <c r="S195" s="31">
        <f>SUM(U195:U195)/IF(AG195="EC",12,1)</f>
        <v>1</v>
      </c>
      <c r="T195" s="46" t="str">
        <f>IF(ISEVEN(LEFT(AD195,4)),"Southbound","NorthBound")</f>
        <v>NorthBound</v>
      </c>
      <c r="U195" s="190">
        <f>IF(AG195="EC",COUNTIFS(Variables!$M$2:$M$19,IF(T195="NorthBound","&gt;=","&lt;=")&amp;Y195,Variables!$M$2:$M$19,IF(T195="NorthBound","&lt;=","&gt;=")&amp;Z195),COUNTIFS(Variables!$P$2:$P$19,IF(T195="NorthBound","&gt;=","&lt;=")&amp;Y195,Variables!$P$2:$P$19,IF(T195="NorthBound","&lt;=","&gt;=")&amp;Z195))</f>
        <v>1</v>
      </c>
      <c r="V195" s="191" t="str">
        <f>"https://d0f6bd738d7f1b3e5a7ca70fe4ff75f0.us-east-1.aws.found.io/app/kibana#/discover/Steve-Slow-Train-Analysis-(2080s-and-2083s)?_g="&amp;"(refreshInterval:(display:Off,pause:!f,section:0,value:0),time:(from:'"&amp;TEXT(E195-1/24,"yyyy-MM-DDThh:mm:ss")&amp;utc_offset&amp;"00"&amp;"',mode:absolute,to:'"&amp;TEXT(I195+1/24,"yyyy-MM-DDThh:mm:ss")&amp;utc_offset&amp;"00"&amp;"'))&amp;_a=(columns:!('Locomotive+ID','Data.Head+End+Milepost',Data.Speed,'Data.Locomotive+State','Data.Train+ID',"&amp;"'Data.Warning%2FEnforcement+Type','Data.Target+Start+Milepost','Data.Target+Description','Data.Target+Speed',"&amp;"'Data.Enforcement+Train+Speed','Data.Enforcement+Start+Milepost','Data.Target+Type','Data.Enforcement+Direction+of+Travel','Message+ID',"&amp;"'Data.Body+of+Summary+Text','Data.Head+End+Track+name'),filters:!(),index:'emp_*',interval:auto,query:"&amp;"(query_string:(analyze_wildcard:!t,query:'Message%5C+ID:(2083+OR+2080+OR+1041+OR+2003+OR+1051+OR+1043+OR+1053)+AND+%22rtdc.l.rtdc."&amp;B195&amp;"%22')),sort:!(Time.ISO8601,asc))"</f>
        <v>https://d0f6bd738d7f1b3e5a7ca70fe4ff75f0.us-east-1.aws.found.io/app/kibana#/discover/Steve-Slow-Train-Analysis-(2080s-and-2083s)?_g=(refreshInterval:(display:Off,pause:!f,section:0,value:0),time:(from:'2017-02-05T23:58:01-0700',mode:absolute,to:'1969-12-31T18:00:00-0700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4031%22')),sort:!(Time.ISO8601,asc))</v>
      </c>
      <c r="W195" s="192" t="str">
        <f>IF(AA195&lt;IF(AG195="EC",23,5.65),"Y","N")</f>
        <v>Y</v>
      </c>
      <c r="X195" s="192">
        <f>VALUE(LEFT(AD195,4))-VALUE(LEFT(AD194,4))</f>
        <v>1</v>
      </c>
      <c r="Y195" s="62">
        <f>RIGHT(D195,LEN(D195)-4)/10000</f>
        <v>4.58E-2</v>
      </c>
      <c r="Z195" s="62">
        <f>RIGHT(H195,LEN(H195)-4)/10000</f>
        <v>2.3311999999999999</v>
      </c>
      <c r="AA195" s="62">
        <f>ABS(Z195-Y195)</f>
        <v>2.2854000000000001</v>
      </c>
      <c r="AB195" s="59" t="e">
        <f>VLOOKUP(A195,Enforcements!$C$7:$K$16,8,0)</f>
        <v>#N/A</v>
      </c>
      <c r="AC195" s="55" t="e">
        <f>VLOOKUP(A195,Enforcements!$C$7:$E$16,3,0)</f>
        <v>#N/A</v>
      </c>
      <c r="AD195" s="56" t="str">
        <f>IF(LEN(A195)=6,"0"&amp;A195,A195)</f>
        <v>0311-05</v>
      </c>
      <c r="AE195" s="85" t="str">
        <f>"aws s3 cp "&amp;s3_bucket&amp;"/RTDC"&amp;B195&amp;"/ "&amp;search_path&amp;"\RTDC"&amp;B195&amp;"\"&amp;TEXT(F195,"YYYY-MM-DD")&amp;" --exclude ""*"" --recursive --include ""*"&amp;TEXT(F195,"YYYYMMDD")&amp;"*"" &amp; """&amp;walkandungz&amp;""" "&amp;search_path&amp;"\RTDC"&amp;B195&amp;"\"&amp;TEXT(F195,"YYYY-MM-DD")
&amp;" &amp; "&amp;"aws s3 cp "&amp;s3_bucket&amp;"/RTDC"&amp;B195&amp;"/ "&amp;search_path&amp;"\RTDC"&amp;B195&amp;"\"&amp;TEXT(F195+1,"YYYY-MM-DD")&amp;" --exclude ""*"" --recursive --include ""*"&amp;TEXT(F195+1,"YYYYMMDD")&amp;"*"" &amp; """&amp;walkandungz&amp;""" "&amp;search_path&amp;"\RTDC"&amp;B195&amp;"\"&amp;TEXT(F195+1,"YYYY-MM-DD")</f>
        <v>aws s3 cp s3://rtdc.mdm.uploadarchive.raw/RTDC4031/ "%USERPROFILE%\AppData\Local\Temp\OnboardLogs"\RTDC4031\1969-12-31 --exclude "*" --recursive --include "*19691231*" &amp; "%USERPROFILE%\Documents\GitHub\mrs-test-scripts\Headless Mode &amp; Sideloading\WalkAndUnGZ.bat" "%USERPROFILE%\AppData\Local\Temp\OnboardLogs"\RTDC4031\1969-12-31 &amp; aws s3 cp s3://rtdc.mdm.uploadarchive.raw/RTDC4031/ "%USERPROFILE%\AppData\Local\Temp\OnboardLogs"\RTDC4031\1970-01-01 --exclude "*" --recursive --include "*19700101*" &amp; "%USERPROFILE%\Documents\GitHub\mrs-test-scripts\Headless Mode &amp; Sideloading\WalkAndUnGZ.bat" "%USERPROFILE%\AppData\Local\Temp\OnboardLogs"\RTDC4031\1970-01-01</v>
      </c>
      <c r="AF195" s="82" t="str">
        <f>astrogrep_path&amp;" /spath="&amp;search_path&amp;" /stypes=""app*"&amp;B195&amp;"*"&amp;TEXT(I195-utc_offset/24,"YYYYMMDD")&amp;"*"" /stext="" "&amp;TEXT(I195-utc_offset/24,"HH")&amp;search_regexp&amp;""" /e /r /s"</f>
        <v>"C:\Program Files (x86)\AstroGrep\AstroGrep.exe" /spath="%USERPROFILE%\AppData\Local\Temp\OnboardLogs" /stypes="app*4031*19700101*" /stext=" 00:.+((SYSTEM_STATE.+slice.+state.+changed )|(ment ac)|(multiple cpu faults)|(system.+state.+changed )|(\[timeout)|(PRM\|1\|D)|(kpr)|(kdp)|(\|lc)|(penalty))" /e /r /s</v>
      </c>
      <c r="AG195" s="1" t="str">
        <f>IFERROR(IF(VALUE(LEFT(AD195,2))&lt;=2,"EC",IF(OR(VALUE(LEFT(AD195,2))=8,VALUE(LEFT(AD195,2))=18),"NW","Other")),"Other")</f>
        <v>Other</v>
      </c>
      <c r="AH195" s="86" t="str">
        <f t="shared" si="10"/>
        <v>"%USERPROFILE%\Documents\GitHub\eaglep3\Utilities\RefineRTDCRunTimes.py" --tripid 311-05 --locoid 4031 --swversion DE.1.0.8.0 --startMP 204:458 --initTime 2017-02-06T00:58:01 --startdatetime 1969-12-31T17:00:00 --delay 2 --endMP 300:23312 --enddatetime 1969-12-31T17:00:00 --enforcementcount 0 &gt;&gt;C:\Users\stu\Documents\GitHub\eaglep3-reporting\EC\2017-02-05-refined-times.txt</v>
      </c>
      <c r="AI195" s="108" t="str">
        <f t="shared" si="11"/>
        <v>echo {"issue":{"subject":"","project_id":79,"tracker_id":40,"status_id":1,"priority_id":2,"assigned_to_id":23,"start_date":"1969-12-31","description":"","custom_fields":[{"id":1,"name":"Subdivision","value":"Other"},{"id":4,"name":"Milepost","value":"2.3312"},{"id":17,"name":"Train ID","value":"311-05"},{"id":16,"name":"Locomotive ID","value":"4031"},{"id":130,"name":"Impact","value":""},{"id":150,"name":"Time of Event (Mountain Time)","value":"17:00:00"},{"id":151,"name":"Denver Issue ID","value":""},{"id":178,"name":"Operational Impact","value":"Yes"},{"id":179,"name":"Denver Segment Assigned","value":""}]}} | curl -X POST -H "Content-Type: application/json" -H "X-Redmine-API-Key: d6333d4a04012a730768444271f8ca06482dae87" https://secure.xorail.net/redmine/issues.json --data @-</v>
      </c>
      <c r="AJ195" s="48"/>
      <c r="AK195" s="48"/>
      <c r="AL195" s="48"/>
      <c r="AM195" s="158" t="str">
        <f t="shared" si="12"/>
        <v>start /low /b %USERPROFILE%\Documents\GitHub\eaglep3\Utilities\DownloadLogsFromS3.py --loco 4031 --day 1969-12-31</v>
      </c>
      <c r="AN195" s="167" t="str">
        <f>"grep -SE -B400 ""CHR.+\|PRM\|1\|D.+(SWITCH|SIGNAL).+UNKNOWN"" "&amp;search_path&amp;"\RTDC"&amp;B195&amp;"\*"&amp;B195&amp;"*"&amp;TEXT(AVERAGE(F195,I195)-utc_offset/24,"YYYYMMDD")&amp;"* | grep -SE ""(Enforcement Action)|(\[TIMEOUT)|(CHR.+\|PRM\|1\|D.+(SWITCH|SIGNAL).+UNKNOWN)"" - &gt;&gt; "&amp;TEXT(Variables!$A$2,"YYYY-MM-DD")&amp;"-UncaughtWiMAX.txt"</f>
        <v>grep -SE -B400 "CHR.+\|PRM\|1\|D.+(SWITCH|SIGNAL).+UNKNOWN" "%USERPROFILE%\AppData\Local\Temp\OnboardLogs"\RTDC4031\*4031*19700101* | grep -SE "(Enforcement Action)|(\[TIMEOUT)|(CHR.+\|PRM\|1\|D.+(SWITCH|SIGNAL).+UNKNOWN)" - &gt;&gt; 2017-02-05-UncaughtWiMAX.txt</v>
      </c>
      <c r="AO195"/>
      <c r="AP195"/>
      <c r="AQ195"/>
      <c r="AR195"/>
      <c r="AS195"/>
      <c r="AT195"/>
      <c r="AU195"/>
      <c r="AV195"/>
      <c r="AW195"/>
      <c r="AX195"/>
      <c r="AY195"/>
      <c r="AZ195"/>
      <c r="BA195"/>
      <c r="BB195"/>
      <c r="BC195"/>
      <c r="BD195"/>
      <c r="BE195"/>
      <c r="BF195"/>
      <c r="BG195"/>
      <c r="BH195"/>
      <c r="BI195"/>
      <c r="BJ195"/>
      <c r="BK195"/>
      <c r="BL195"/>
      <c r="BM195"/>
      <c r="BN195"/>
      <c r="BO195"/>
      <c r="BP195"/>
      <c r="BQ195"/>
      <c r="BR195"/>
      <c r="BS195"/>
      <c r="BT195"/>
      <c r="BU195"/>
      <c r="BV195"/>
      <c r="BW195"/>
      <c r="BX195"/>
      <c r="BY195"/>
      <c r="BZ195"/>
      <c r="CA195"/>
      <c r="CB195"/>
      <c r="CC195"/>
      <c r="CD195"/>
      <c r="CE195"/>
      <c r="CF195"/>
      <c r="CG195"/>
      <c r="CH195"/>
      <c r="CI195"/>
      <c r="CJ195"/>
      <c r="CK195"/>
      <c r="CL195"/>
      <c r="CM195"/>
    </row>
    <row r="196" spans="1:91" x14ac:dyDescent="0.25">
      <c r="A196" s="33" t="s">
        <v>738</v>
      </c>
      <c r="B196" s="7">
        <v>4016</v>
      </c>
      <c r="C196" s="21" t="s">
        <v>193</v>
      </c>
      <c r="D196" s="21" t="s">
        <v>209</v>
      </c>
      <c r="E196" s="13">
        <v>42772.075555555559</v>
      </c>
      <c r="F196" s="13">
        <v>42772.077453703707</v>
      </c>
      <c r="G196" s="7">
        <v>2</v>
      </c>
      <c r="H196" s="21" t="s">
        <v>861</v>
      </c>
      <c r="I196" s="13">
        <v>42772.082592592589</v>
      </c>
      <c r="J196" s="7">
        <v>0</v>
      </c>
      <c r="K196" s="98" t="str">
        <f>IF(ISEVEN(B196),(B196-1)&amp;"/"&amp;B196,B196&amp;"/"&amp;(B196+1))</f>
        <v>4015/4016</v>
      </c>
      <c r="L196" s="21" t="str">
        <f>VLOOKUP(A196,'Trips&amp;Operators'!$C$1:$G$99999,5,FALSE)</f>
        <v>SMITH MICHAEL</v>
      </c>
      <c r="M196" s="6">
        <f>I196-F196</f>
        <v>5.1388888823566958E-3</v>
      </c>
      <c r="N196" s="7">
        <f>24*60*SUM($M196:$M196)</f>
        <v>7.399999990593642</v>
      </c>
      <c r="O196" s="7"/>
      <c r="P196" s="7"/>
      <c r="Q196" s="22"/>
      <c r="R196" s="22"/>
      <c r="S196" s="31">
        <f>SUM(U196:U196)/IF(AG196="EC",12,1)</f>
        <v>1</v>
      </c>
      <c r="T196" s="46" t="str">
        <f>IF(ISEVEN(LEFT(AD196,4)),"Southbound","NorthBound")</f>
        <v>NorthBound</v>
      </c>
      <c r="U196" s="190">
        <f>IF(AG196="EC",COUNTIFS(Variables!$M$2:$M$19,IF(T196="NorthBound","&gt;=","&lt;=")&amp;Y196,Variables!$M$2:$M$19,IF(T196="NorthBound","&lt;=","&gt;=")&amp;Z196),COUNTIFS(Variables!$P$2:$P$19,IF(T196="NorthBound","&gt;=","&lt;=")&amp;Y196,Variables!$P$2:$P$19,IF(T196="NorthBound","&lt;=","&gt;=")&amp;Z196))</f>
        <v>1</v>
      </c>
      <c r="V196" s="191" t="str">
        <f>"https://d0f6bd738d7f1b3e5a7ca70fe4ff75f0.us-east-1.aws.found.io/app/kibana#/discover/Steve-Slow-Train-Analysis-(2080s-and-2083s)?_g="&amp;"(refreshInterval:(display:Off,pause:!f,section:0,value:0),time:(from:'"&amp;TEXT(E196-1/24,"yyyy-MM-DDThh:mm:ss")&amp;utc_offset&amp;"00"&amp;"',mode:absolute,to:'"&amp;TEXT(I196+1/24,"yyyy-MM-DDThh:mm:ss")&amp;utc_offset&amp;"00"&amp;"'))&amp;_a=(columns:!('Locomotive+ID','Data.Head+End+Milepost',Data.Speed,'Data.Locomotive+State','Data.Train+ID',"&amp;"'Data.Warning%2FEnforcement+Type','Data.Target+Start+Milepost','Data.Target+Description','Data.Target+Speed',"&amp;"'Data.Enforcement+Train+Speed','Data.Enforcement+Start+Milepost','Data.Target+Type','Data.Enforcement+Direction+of+Travel','Message+ID',"&amp;"'Data.Body+of+Summary+Text','Data.Head+End+Track+name'),filters:!(),index:'emp_*',interval:auto,query:"&amp;"(query_string:(analyze_wildcard:!t,query:'Message%5C+ID:(2083+OR+2080+OR+1041+OR+2003+OR+1051+OR+1043+OR+1053)+AND+%22rtdc.l.rtdc."&amp;B196&amp;"%22')),sort:!(Time.ISO8601,asc))"</f>
        <v>https://d0f6bd738d7f1b3e5a7ca70fe4ff75f0.us-east-1.aws.found.io/app/kibana#/discover/Steve-Slow-Train-Analysis-(2080s-and-2083s)?_g=(refreshInterval:(display:Off,pause:!f,section:0,value:0),time:(from:'2017-02-06T00:48:48-0700',mode:absolute,to:'2017-02-06T02:58:56-0700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4016%22')),sort:!(Time.ISO8601,asc))</v>
      </c>
      <c r="W196" s="192" t="str">
        <f>IF(AA196&lt;IF(AG196="EC",23,5.65),"Y","N")</f>
        <v>Y</v>
      </c>
      <c r="X196" s="192">
        <f>VALUE(LEFT(AD196,4))-VALUE(LEFT(AD195,4))</f>
        <v>2</v>
      </c>
      <c r="Y196" s="62">
        <f>RIGHT(D196,LEN(D196)-4)/10000</f>
        <v>4.6199999999999998E-2</v>
      </c>
      <c r="Z196" s="62">
        <f>RIGHT(H196,LEN(H196)-4)/10000</f>
        <v>2.3308</v>
      </c>
      <c r="AA196" s="62">
        <f>ABS(Z196-Y196)</f>
        <v>2.2846000000000002</v>
      </c>
      <c r="AB196" s="59" t="e">
        <f>VLOOKUP(A196,Enforcements!$C$7:$K$16,8,0)</f>
        <v>#N/A</v>
      </c>
      <c r="AC196" s="55" t="e">
        <f>VLOOKUP(A196,Enforcements!$C$7:$E$16,3,0)</f>
        <v>#N/A</v>
      </c>
      <c r="AD196" s="56" t="str">
        <f>IF(LEN(A196)=6,"0"&amp;A196,A196)</f>
        <v>0313-05</v>
      </c>
      <c r="AE196" s="85" t="str">
        <f>"aws s3 cp "&amp;s3_bucket&amp;"/RTDC"&amp;B196&amp;"/ "&amp;search_path&amp;"\RTDC"&amp;B196&amp;"\"&amp;TEXT(F196,"YYYY-MM-DD")&amp;" --exclude ""*"" --recursive --include ""*"&amp;TEXT(F196,"YYYYMMDD")&amp;"*"" &amp; """&amp;walkandungz&amp;""" "&amp;search_path&amp;"\RTDC"&amp;B196&amp;"\"&amp;TEXT(F196,"YYYY-MM-DD")
&amp;" &amp; "&amp;"aws s3 cp "&amp;s3_bucket&amp;"/RTDC"&amp;B196&amp;"/ "&amp;search_path&amp;"\RTDC"&amp;B196&amp;"\"&amp;TEXT(F196+1,"YYYY-MM-DD")&amp;" --exclude ""*"" --recursive --include ""*"&amp;TEXT(F196+1,"YYYYMMDD")&amp;"*"" &amp; """&amp;walkandungz&amp;""" "&amp;search_path&amp;"\RTDC"&amp;B196&amp;"\"&amp;TEXT(F196+1,"YYYY-MM-DD")</f>
        <v>aws s3 cp s3://rtdc.mdm.uploadarchive.raw/RTDC4016/ "%USERPROFILE%\AppData\Local\Temp\OnboardLogs"\RTDC4016\2017-02-06 --exclude "*" --recursive --include "*20170206*" &amp; "%USERPROFILE%\Documents\GitHub\mrs-test-scripts\Headless Mode &amp; Sideloading\WalkAndUnGZ.bat" "%USERPROFILE%\AppData\Local\Temp\OnboardLogs"\RTDC4016\2017-02-06 &amp; aws s3 cp s3://rtdc.mdm.uploadarchive.raw/RTDC4016/ "%USERPROFILE%\AppData\Local\Temp\OnboardLogs"\RTDC4016\2017-02-07 --exclude "*" --recursive --include "*20170207*" &amp; "%USERPROFILE%\Documents\GitHub\mrs-test-scripts\Headless Mode &amp; Sideloading\WalkAndUnGZ.bat" "%USERPROFILE%\AppData\Local\Temp\OnboardLogs"\RTDC4016\2017-02-07</v>
      </c>
      <c r="AF196" s="82" t="str">
        <f>astrogrep_path&amp;" /spath="&amp;search_path&amp;" /stypes=""app*"&amp;B196&amp;"*"&amp;TEXT(I196-utc_offset/24,"YYYYMMDD")&amp;"*"" /stext="" "&amp;TEXT(I196-utc_offset/24,"HH")&amp;search_regexp&amp;""" /e /r /s"</f>
        <v>"C:\Program Files (x86)\AstroGrep\AstroGrep.exe" /spath="%USERPROFILE%\AppData\Local\Temp\OnboardLogs" /stypes="app*4016*20170206*" /stext=" 08:.+((SYSTEM_STATE.+slice.+state.+changed )|(ment ac)|(multiple cpu faults)|(system.+state.+changed )|(\[timeout)|(PRM\|1\|D)|(kpr)|(kdp)|(\|lc)|(penalty))" /e /r /s</v>
      </c>
      <c r="AG196" s="1" t="str">
        <f>IFERROR(IF(VALUE(LEFT(AD196,2))&lt;=2,"EC",IF(OR(VALUE(LEFT(AD196,2))=8,VALUE(LEFT(AD196,2))=18),"NW","Other")),"Other")</f>
        <v>Other</v>
      </c>
      <c r="AH196" s="86" t="str">
        <f t="shared" si="10"/>
        <v>"%USERPROFILE%\Documents\GitHub\eaglep3\Utilities\RefineRTDCRunTimes.py" --tripid 313-05 --locoid 4016 --swversion DE.1.0.8.0 --startMP 204:462 --initTime 2017-02-06T01:48:48 --startdatetime 2017-02-06T01:51:32 --delay 2 --endMP 300:23308 --enddatetime 2017-02-06T01:58:56 --enforcementcount 0 &gt;&gt;C:\Users\stu\Documents\GitHub\eaglep3-reporting\EC\2017-02-05-refined-times.txt</v>
      </c>
      <c r="AI196" s="108" t="str">
        <f t="shared" si="11"/>
        <v>echo {"issue":{"subject":"","project_id":79,"tracker_id":40,"status_id":1,"priority_id":2,"assigned_to_id":23,"start_date":"2017-02-06","description":"","custom_fields":[{"id":1,"name":"Subdivision","value":"Other"},{"id":4,"name":"Milepost","value":"2.3308"},{"id":17,"name":"Train ID","value":"313-05"},{"id":16,"name":"Locomotive ID","value":"4016"},{"id":130,"name":"Impact","value":""},{"id":150,"name":"Time of Event (Mountain Time)","value":"01:58:56"},{"id":151,"name":"Denver Issue ID","value":""},{"id":178,"name":"Operational Impact","value":"Yes"},{"id":179,"name":"Denver Segment Assigned","value":""}]}} | curl -X POST -H "Content-Type: application/json" -H "X-Redmine-API-Key: d6333d4a04012a730768444271f8ca06482dae87" https://secure.xorail.net/redmine/issues.json --data @-</v>
      </c>
      <c r="AJ196" s="48"/>
      <c r="AK196" s="48"/>
      <c r="AL196" s="48"/>
      <c r="AM196" s="158" t="str">
        <f t="shared" si="12"/>
        <v>start /low /b %USERPROFILE%\Documents\GitHub\eaglep3\Utilities\DownloadLogsFromS3.py --loco 4016 --day 2017-02-06</v>
      </c>
      <c r="AN196" s="167" t="str">
        <f>"grep -SE -B400 ""CHR.+\|PRM\|1\|D.+(SWITCH|SIGNAL).+UNKNOWN"" "&amp;search_path&amp;"\RTDC"&amp;B196&amp;"\*"&amp;B196&amp;"*"&amp;TEXT(AVERAGE(F196,I196)-utc_offset/24,"YYYYMMDD")&amp;"* | grep -SE ""(Enforcement Action)|(\[TIMEOUT)|(CHR.+\|PRM\|1\|D.+(SWITCH|SIGNAL).+UNKNOWN)"" - &gt;&gt; "&amp;TEXT(Variables!$A$2,"YYYY-MM-DD")&amp;"-UncaughtWiMAX.txt"</f>
        <v>grep -SE -B400 "CHR.+\|PRM\|1\|D.+(SWITCH|SIGNAL).+UNKNOWN" "%USERPROFILE%\AppData\Local\Temp\OnboardLogs"\RTDC4016\*4016*20170206* | grep -SE "(Enforcement Action)|(\[TIMEOUT)|(CHR.+\|PRM\|1\|D.+(SWITCH|SIGNAL).+UNKNOWN)" - &gt;&gt; 2017-02-05-UncaughtWiMAX.txt</v>
      </c>
    </row>
    <row r="197" spans="1:91" x14ac:dyDescent="0.25">
      <c r="A197" s="33" t="s">
        <v>498</v>
      </c>
      <c r="B197" s="7">
        <v>4007</v>
      </c>
      <c r="C197" s="21" t="s">
        <v>193</v>
      </c>
      <c r="D197" s="21" t="s">
        <v>862</v>
      </c>
      <c r="E197" s="13">
        <v>42771.112233796295</v>
      </c>
      <c r="F197" s="13">
        <v>42771.114062499997</v>
      </c>
      <c r="G197" s="7">
        <v>1</v>
      </c>
      <c r="H197" s="21" t="s">
        <v>863</v>
      </c>
      <c r="I197" s="13">
        <v>42771.119270833333</v>
      </c>
      <c r="J197" s="7">
        <v>0</v>
      </c>
      <c r="K197" s="98" t="str">
        <f>IF(ISEVEN(B197),(B197-1)&amp;"/"&amp;B197,B197&amp;"/"&amp;(B197+1))</f>
        <v>4007/4008</v>
      </c>
      <c r="L197" s="21" t="str">
        <f>VLOOKUP(A197,'Trips&amp;Operators'!$C$1:$G$99999,5,FALSE)</f>
        <v>BROWN JACOB</v>
      </c>
      <c r="M197" s="6">
        <f>I197-F197</f>
        <v>5.2083333357586525E-3</v>
      </c>
      <c r="N197" s="7">
        <f>24*60*SUM($M197:$M197)</f>
        <v>7.5000000034924597</v>
      </c>
      <c r="O197" s="7"/>
      <c r="P197" s="7"/>
      <c r="Q197" s="22"/>
      <c r="R197" s="22"/>
      <c r="S197" s="31">
        <f>SUM(U197:U197)/IF(AG197="EC",12,1)</f>
        <v>1</v>
      </c>
      <c r="T197" s="46" t="str">
        <f>IF(ISEVEN(LEFT(AD197,4)),"Southbound","NorthBound")</f>
        <v>NorthBound</v>
      </c>
      <c r="U197" s="190">
        <f>IF(AG197="EC",COUNTIFS(Variables!$M$2:$M$19,IF(T197="NorthBound","&gt;=","&lt;=")&amp;Y197,Variables!$M$2:$M$19,IF(T197="NorthBound","&lt;=","&gt;=")&amp;Z197),COUNTIFS(Variables!$P$2:$P$19,IF(T197="NorthBound","&gt;=","&lt;=")&amp;Y197,Variables!$P$2:$P$19,IF(T197="NorthBound","&lt;=","&gt;=")&amp;Z197))</f>
        <v>1</v>
      </c>
      <c r="V197" s="191" t="str">
        <f>"https://d0f6bd738d7f1b3e5a7ca70fe4ff75f0.us-east-1.aws.found.io/app/kibana#/discover/Steve-Slow-Train-Analysis-(2080s-and-2083s)?_g="&amp;"(refreshInterval:(display:Off,pause:!f,section:0,value:0),time:(from:'"&amp;TEXT(E197-1/24,"yyyy-MM-DDThh:mm:ss")&amp;utc_offset&amp;"00"&amp;"',mode:absolute,to:'"&amp;TEXT(I197+1/24,"yyyy-MM-DDThh:mm:ss")&amp;utc_offset&amp;"00"&amp;"'))&amp;_a=(columns:!('Locomotive+ID','Data.Head+End+Milepost',Data.Speed,'Data.Locomotive+State','Data.Train+ID',"&amp;"'Data.Warning%2FEnforcement+Type','Data.Target+Start+Milepost','Data.Target+Description','Data.Target+Speed',"&amp;"'Data.Enforcement+Train+Speed','Data.Enforcement+Start+Milepost','Data.Target+Type','Data.Enforcement+Direction+of+Travel','Message+ID',"&amp;"'Data.Body+of+Summary+Text','Data.Head+End+Track+name'),filters:!(),index:'emp_*',interval:auto,query:"&amp;"(query_string:(analyze_wildcard:!t,query:'Message%5C+ID:(2083+OR+2080+OR+1041+OR+2003+OR+1051+OR+1043+OR+1053)+AND+%22rtdc.l.rtdc."&amp;B197&amp;"%22')),sort:!(Time.ISO8601,asc))"</f>
        <v>https://d0f6bd738d7f1b3e5a7ca70fe4ff75f0.us-east-1.aws.found.io/app/kibana#/discover/Steve-Slow-Train-Analysis-(2080s-and-2083s)?_g=(refreshInterval:(display:Off,pause:!f,section:0,value:0),time:(from:'2017-02-05T01:41:37-0700',mode:absolute,to:'2017-02-05T03:51:45-0700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4007%22')),sort:!(Time.ISO8601,asc))</v>
      </c>
      <c r="W197" s="192" t="str">
        <f>IF(AA197&lt;IF(AG197="EC",23,5.65),"Y","N")</f>
        <v>Y</v>
      </c>
      <c r="X197" s="192">
        <f>VALUE(LEFT(AD197,4))-VALUE(LEFT(AD196,4))</f>
        <v>2</v>
      </c>
      <c r="Y197" s="62">
        <f>RIGHT(D197,LEN(D197)-4)/10000</f>
        <v>0.1182</v>
      </c>
      <c r="Z197" s="62">
        <f>RIGHT(H197,LEN(H197)-4)/10000</f>
        <v>3.1856</v>
      </c>
      <c r="AA197" s="62">
        <f>ABS(Z197-Y197)</f>
        <v>3.0674000000000001</v>
      </c>
      <c r="AB197" s="59" t="e">
        <f>VLOOKUP(A197,Enforcements!$C$7:$K$16,8,0)</f>
        <v>#N/A</v>
      </c>
      <c r="AC197" s="55" t="e">
        <f>VLOOKUP(A197,Enforcements!$C$7:$E$16,3,0)</f>
        <v>#N/A</v>
      </c>
      <c r="AD197" s="56" t="str">
        <f>IF(LEN(A197)=6,"0"&amp;A197,A197)</f>
        <v>0315-04</v>
      </c>
      <c r="AE197" s="85" t="str">
        <f>"aws s3 cp "&amp;s3_bucket&amp;"/RTDC"&amp;B197&amp;"/ "&amp;search_path&amp;"\RTDC"&amp;B197&amp;"\"&amp;TEXT(F197,"YYYY-MM-DD")&amp;" --exclude ""*"" --recursive --include ""*"&amp;TEXT(F197,"YYYYMMDD")&amp;"*"" &amp; """&amp;walkandungz&amp;""" "&amp;search_path&amp;"\RTDC"&amp;B197&amp;"\"&amp;TEXT(F197,"YYYY-MM-DD")
&amp;" &amp; "&amp;"aws s3 cp "&amp;s3_bucket&amp;"/RTDC"&amp;B197&amp;"/ "&amp;search_path&amp;"\RTDC"&amp;B197&amp;"\"&amp;TEXT(F197+1,"YYYY-MM-DD")&amp;" --exclude ""*"" --recursive --include ""*"&amp;TEXT(F197+1,"YYYYMMDD")&amp;"*"" &amp; """&amp;walkandungz&amp;""" "&amp;search_path&amp;"\RTDC"&amp;B197&amp;"\"&amp;TEXT(F197+1,"YYYY-MM-DD")</f>
        <v>aws s3 cp s3://rtdc.mdm.uploadarchive.raw/RTDC4007/ "%USERPROFILE%\AppData\Local\Temp\OnboardLogs"\RTDC4007\2017-02-05 --exclude "*" --recursive --include "*20170205*" &amp; "%USERPROFILE%\Documents\GitHub\mrs-test-scripts\Headless Mode &amp; Sideloading\WalkAndUnGZ.bat" "%USERPROFILE%\AppData\Local\Temp\OnboardLogs"\RTDC4007\2017-02-05 &amp; aws s3 cp s3://rtdc.mdm.uploadarchive.raw/RTDC4007/ "%USERPROFILE%\AppData\Local\Temp\OnboardLogs"\RTDC4007\2017-02-06 --exclude "*" --recursive --include "*20170206*" &amp; "%USERPROFILE%\Documents\GitHub\mrs-test-scripts\Headless Mode &amp; Sideloading\WalkAndUnGZ.bat" "%USERPROFILE%\AppData\Local\Temp\OnboardLogs"\RTDC4007\2017-02-06</v>
      </c>
      <c r="AF197" s="82" t="str">
        <f>astrogrep_path&amp;" /spath="&amp;search_path&amp;" /stypes=""app*"&amp;B197&amp;"*"&amp;TEXT(I197-utc_offset/24,"YYYYMMDD")&amp;"*"" /stext="" "&amp;TEXT(I197-utc_offset/24,"HH")&amp;search_regexp&amp;""" /e /r /s"</f>
        <v>"C:\Program Files (x86)\AstroGrep\AstroGrep.exe" /spath="%USERPROFILE%\AppData\Local\Temp\OnboardLogs" /stypes="app*4007*20170205*" /stext=" 09:.+((SYSTEM_STATE.+slice.+state.+changed )|(ment ac)|(multiple cpu faults)|(system.+state.+changed )|(\[timeout)|(PRM\|1\|D)|(kpr)|(kdp)|(\|lc)|(penalty))" /e /r /s</v>
      </c>
      <c r="AG197" s="1" t="str">
        <f>IFERROR(IF(VALUE(LEFT(AD197,2))&lt;=2,"EC",IF(OR(VALUE(LEFT(AD197,2))=8,VALUE(LEFT(AD197,2))=18),"NW","Other")),"Other")</f>
        <v>Other</v>
      </c>
      <c r="AH197" s="86" t="str">
        <f t="shared" si="10"/>
        <v>"%USERPROFILE%\Documents\GitHub\eaglep3\Utilities\RefineRTDCRunTimes.py" --tripid 315-04 --locoid 4007 --swversion DE.1.0.8.0 --startMP 204:1182 --initTime 2017-02-05T02:41:37 --startdatetime 2017-02-05T02:44:15 --delay 1 --endMP 300:31856 --enddatetime 2017-02-05T02:51:45 --enforcementcount 0 &gt;&gt;C:\Users\stu\Documents\GitHub\eaglep3-reporting\EC\2017-02-05-refined-times.txt</v>
      </c>
      <c r="AI197" s="108" t="str">
        <f t="shared" si="11"/>
        <v>echo {"issue":{"subject":"","project_id":79,"tracker_id":40,"status_id":1,"priority_id":2,"assigned_to_id":23,"start_date":"2017-02-05","description":"","custom_fields":[{"id":1,"name":"Subdivision","value":"Other"},{"id":4,"name":"Milepost","value":"3.1856"},{"id":17,"name":"Train ID","value":"315-04"},{"id":16,"name":"Locomotive ID","value":"4007"},{"id":130,"name":"Impact","value":""},{"id":150,"name":"Time of Event (Mountain Time)","value":"02:51:45"},{"id":151,"name":"Denver Issue ID","value":""},{"id":178,"name":"Operational Impact","value":"Yes"},{"id":179,"name":"Denver Segment Assigned","value":""}]}} | curl -X POST -H "Content-Type: application/json" -H "X-Redmine-API-Key: d6333d4a04012a730768444271f8ca06482dae87" https://secure.xorail.net/redmine/issues.json --data @-</v>
      </c>
      <c r="AJ197" s="48"/>
      <c r="AK197" s="48"/>
      <c r="AL197" s="48"/>
      <c r="AM197" s="158" t="str">
        <f t="shared" si="12"/>
        <v>start /low /b %USERPROFILE%\Documents\GitHub\eaglep3\Utilities\DownloadLogsFromS3.py --loco 4007 --day 2017-02-05</v>
      </c>
      <c r="AN197" s="167" t="str">
        <f>"grep -SE -B400 ""CHR.+\|PRM\|1\|D.+(SWITCH|SIGNAL).+UNKNOWN"" "&amp;search_path&amp;"\RTDC"&amp;B197&amp;"\*"&amp;B197&amp;"*"&amp;TEXT(AVERAGE(F197,I197)-utc_offset/24,"YYYYMMDD")&amp;"* | grep -SE ""(Enforcement Action)|(\[TIMEOUT)|(CHR.+\|PRM\|1\|D.+(SWITCH|SIGNAL).+UNKNOWN)"" - &gt;&gt; "&amp;TEXT(Variables!$A$2,"YYYY-MM-DD")&amp;"-UncaughtWiMAX.txt"</f>
        <v>grep -SE -B400 "CHR.+\|PRM\|1\|D.+(SWITCH|SIGNAL).+UNKNOWN" "%USERPROFILE%\AppData\Local\Temp\OnboardLogs"\RTDC4007\*4007*20170205* | grep -SE "(Enforcement Action)|(\[TIMEOUT)|(CHR.+\|PRM\|1\|D.+(SWITCH|SIGNAL).+UNKNOWN)" - &gt;&gt; 2017-02-05-UncaughtWiMAX.txt</v>
      </c>
    </row>
    <row r="198" spans="1:91" x14ac:dyDescent="0.25">
      <c r="A198" s="33" t="s">
        <v>735</v>
      </c>
      <c r="B198" s="7">
        <v>4031</v>
      </c>
      <c r="C198" s="21" t="s">
        <v>193</v>
      </c>
      <c r="D198" s="21" t="s">
        <v>226</v>
      </c>
      <c r="E198" s="13">
        <v>42772.03465277778</v>
      </c>
      <c r="F198" s="13">
        <v>25568.708333333332</v>
      </c>
      <c r="G198" s="7">
        <v>10</v>
      </c>
      <c r="H198" s="21" t="s">
        <v>419</v>
      </c>
      <c r="I198" s="13">
        <v>25568.708333333332</v>
      </c>
      <c r="J198" s="7">
        <v>0</v>
      </c>
      <c r="K198" s="98" t="str">
        <f>IF(ISEVEN(B198),(B198-1)&amp;"/"&amp;B198,B198&amp;"/"&amp;(B198+1))</f>
        <v>4031/4032</v>
      </c>
      <c r="L198" s="21" t="str">
        <f>VLOOKUP(A198,'Trips&amp;Operators'!$C$1:$G$99999,5,FALSE)</f>
        <v>MAGEE KENYA</v>
      </c>
      <c r="M198" s="6">
        <f>I198-F198</f>
        <v>0</v>
      </c>
      <c r="N198" s="7">
        <f>24*60*SUM($M198:$M198)</f>
        <v>0</v>
      </c>
      <c r="O198" s="7"/>
      <c r="P198" s="7"/>
      <c r="Q198" s="22"/>
      <c r="R198" s="22"/>
      <c r="S198" s="31">
        <f>SUM(U198:U198)/IF(AG198="EC",12,1)</f>
        <v>1</v>
      </c>
      <c r="T198" s="46" t="str">
        <f>IF(ISEVEN(LEFT(AD198,4)),"Southbound","NorthBound")</f>
        <v>NorthBound</v>
      </c>
      <c r="U198" s="190">
        <f>IF(AG198="EC",COUNTIFS(Variables!$M$2:$M$19,IF(T198="NorthBound","&gt;=","&lt;=")&amp;Y198,Variables!$M$2:$M$19,IF(T198="NorthBound","&lt;=","&gt;=")&amp;Z198),COUNTIFS(Variables!$P$2:$P$19,IF(T198="NorthBound","&gt;=","&lt;=")&amp;Y198,Variables!$P$2:$P$19,IF(T198="NorthBound","&lt;=","&gt;=")&amp;Z198))</f>
        <v>1</v>
      </c>
      <c r="V198" s="191" t="str">
        <f>"https://d0f6bd738d7f1b3e5a7ca70fe4ff75f0.us-east-1.aws.found.io/app/kibana#/discover/Steve-Slow-Train-Analysis-(2080s-and-2083s)?_g="&amp;"(refreshInterval:(display:Off,pause:!f,section:0,value:0),time:(from:'"&amp;TEXT(E198-1/24,"yyyy-MM-DDThh:mm:ss")&amp;utc_offset&amp;"00"&amp;"',mode:absolute,to:'"&amp;TEXT(I198+1/24,"yyyy-MM-DDThh:mm:ss")&amp;utc_offset&amp;"00"&amp;"'))&amp;_a=(columns:!('Locomotive+ID','Data.Head+End+Milepost',Data.Speed,'Data.Locomotive+State','Data.Train+ID',"&amp;"'Data.Warning%2FEnforcement+Type','Data.Target+Start+Milepost','Data.Target+Description','Data.Target+Speed',"&amp;"'Data.Enforcement+Train+Speed','Data.Enforcement+Start+Milepost','Data.Target+Type','Data.Enforcement+Direction+of+Travel','Message+ID',"&amp;"'Data.Body+of+Summary+Text','Data.Head+End+Track+name'),filters:!(),index:'emp_*',interval:auto,query:"&amp;"(query_string:(analyze_wildcard:!t,query:'Message%5C+ID:(2083+OR+2080+OR+1041+OR+2003+OR+1051+OR+1043+OR+1053)+AND+%22rtdc.l.rtdc."&amp;B198&amp;"%22')),sort:!(Time.ISO8601,asc))"</f>
        <v>https://d0f6bd738d7f1b3e5a7ca70fe4ff75f0.us-east-1.aws.found.io/app/kibana#/discover/Steve-Slow-Train-Analysis-(2080s-and-2083s)?_g=(refreshInterval:(display:Off,pause:!f,section:0,value:0),time:(from:'2017-02-05T23:49:54-0700',mode:absolute,to:'1969-12-31T18:00:00-0700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4031%22')),sort:!(Time.ISO8601,asc))</v>
      </c>
      <c r="W198" s="192" t="str">
        <f>IF(AA198&lt;IF(AG198="EC",23,5.65),"Y","N")</f>
        <v>Y</v>
      </c>
      <c r="X198" s="192">
        <f>VALUE(LEFT(AD198,4))-VALUE(LEFT(AD197,4))</f>
        <v>0</v>
      </c>
      <c r="Y198" s="62">
        <f>RIGHT(D198,LEN(D198)-4)/10000</f>
        <v>4.58E-2</v>
      </c>
      <c r="Z198" s="62">
        <f>RIGHT(H198,LEN(H198)-4)/10000</f>
        <v>2.3311999999999999</v>
      </c>
      <c r="AA198" s="62">
        <f>ABS(Z198-Y198)</f>
        <v>2.2854000000000001</v>
      </c>
      <c r="AB198" s="59" t="e">
        <f>VLOOKUP(A198,Enforcements!$C$7:$K$16,8,0)</f>
        <v>#N/A</v>
      </c>
      <c r="AC198" s="55" t="e">
        <f>VLOOKUP(A198,Enforcements!$C$7:$E$16,3,0)</f>
        <v>#N/A</v>
      </c>
      <c r="AD198" s="56" t="str">
        <f>IF(LEN(A198)=6,"0"&amp;A198,A198)</f>
        <v>0315-05</v>
      </c>
      <c r="AE198" s="85" t="str">
        <f>"aws s3 cp "&amp;s3_bucket&amp;"/RTDC"&amp;B198&amp;"/ "&amp;search_path&amp;"\RTDC"&amp;B198&amp;"\"&amp;TEXT(F198,"YYYY-MM-DD")&amp;" --exclude ""*"" --recursive --include ""*"&amp;TEXT(F198,"YYYYMMDD")&amp;"*"" &amp; """&amp;walkandungz&amp;""" "&amp;search_path&amp;"\RTDC"&amp;B198&amp;"\"&amp;TEXT(F198,"YYYY-MM-DD")
&amp;" &amp; "&amp;"aws s3 cp "&amp;s3_bucket&amp;"/RTDC"&amp;B198&amp;"/ "&amp;search_path&amp;"\RTDC"&amp;B198&amp;"\"&amp;TEXT(F198+1,"YYYY-MM-DD")&amp;" --exclude ""*"" --recursive --include ""*"&amp;TEXT(F198+1,"YYYYMMDD")&amp;"*"" &amp; """&amp;walkandungz&amp;""" "&amp;search_path&amp;"\RTDC"&amp;B198&amp;"\"&amp;TEXT(F198+1,"YYYY-MM-DD")</f>
        <v>aws s3 cp s3://rtdc.mdm.uploadarchive.raw/RTDC4031/ "%USERPROFILE%\AppData\Local\Temp\OnboardLogs"\RTDC4031\1969-12-31 --exclude "*" --recursive --include "*19691231*" &amp; "%USERPROFILE%\Documents\GitHub\mrs-test-scripts\Headless Mode &amp; Sideloading\WalkAndUnGZ.bat" "%USERPROFILE%\AppData\Local\Temp\OnboardLogs"\RTDC4031\1969-12-31 &amp; aws s3 cp s3://rtdc.mdm.uploadarchive.raw/RTDC4031/ "%USERPROFILE%\AppData\Local\Temp\OnboardLogs"\RTDC4031\1970-01-01 --exclude "*" --recursive --include "*19700101*" &amp; "%USERPROFILE%\Documents\GitHub\mrs-test-scripts\Headless Mode &amp; Sideloading\WalkAndUnGZ.bat" "%USERPROFILE%\AppData\Local\Temp\OnboardLogs"\RTDC4031\1970-01-01</v>
      </c>
      <c r="AF198" s="82" t="str">
        <f>astrogrep_path&amp;" /spath="&amp;search_path&amp;" /stypes=""app*"&amp;B198&amp;"*"&amp;TEXT(I198-utc_offset/24,"YYYYMMDD")&amp;"*"" /stext="" "&amp;TEXT(I198-utc_offset/24,"HH")&amp;search_regexp&amp;""" /e /r /s"</f>
        <v>"C:\Program Files (x86)\AstroGrep\AstroGrep.exe" /spath="%USERPROFILE%\AppData\Local\Temp\OnboardLogs" /stypes="app*4031*19700101*" /stext=" 00:.+((SYSTEM_STATE.+slice.+state.+changed )|(ment ac)|(multiple cpu faults)|(system.+state.+changed )|(\[timeout)|(PRM\|1\|D)|(kpr)|(kdp)|(\|lc)|(penalty))" /e /r /s</v>
      </c>
      <c r="AG198" s="1" t="str">
        <f>IFERROR(IF(VALUE(LEFT(AD198,2))&lt;=2,"EC",IF(OR(VALUE(LEFT(AD198,2))=8,VALUE(LEFT(AD198,2))=18),"NW","Other")),"Other")</f>
        <v>Other</v>
      </c>
      <c r="AH198" s="86" t="str">
        <f t="shared" si="10"/>
        <v>"%USERPROFILE%\Documents\GitHub\eaglep3\Utilities\RefineRTDCRunTimes.py" --tripid 315-05 --locoid 4031 --swversion DE.1.0.8.0 --startMP 204:458 --initTime 2017-02-06T00:49:54 --startdatetime 1969-12-31T17:00:00 --delay 10 --endMP 300:23312 --enddatetime 1969-12-31T17:00:00 --enforcementcount 0 &gt;&gt;C:\Users\stu\Documents\GitHub\eaglep3-reporting\EC\2017-02-05-refined-times.txt</v>
      </c>
      <c r="AI198" s="108" t="str">
        <f t="shared" si="11"/>
        <v>echo {"issue":{"subject":"","project_id":79,"tracker_id":40,"status_id":1,"priority_id":2,"assigned_to_id":23,"start_date":"1969-12-31","description":"","custom_fields":[{"id":1,"name":"Subdivision","value":"Other"},{"id":4,"name":"Milepost","value":"2.3312"},{"id":17,"name":"Train ID","value":"315-05"},{"id":16,"name":"Locomotive ID","value":"4031"},{"id":130,"name":"Impact","value":""},{"id":150,"name":"Time of Event (Mountain Time)","value":"17:00:00"},{"id":151,"name":"Denver Issue ID","value":""},{"id":178,"name":"Operational Impact","value":"Yes"},{"id":179,"name":"Denver Segment Assigned","value":""}]}} | curl -X POST -H "Content-Type: application/json" -H "X-Redmine-API-Key: d6333d4a04012a730768444271f8ca06482dae87" https://secure.xorail.net/redmine/issues.json --data @-</v>
      </c>
      <c r="AJ198" s="48"/>
      <c r="AK198" s="48"/>
      <c r="AL198" s="48"/>
      <c r="AM198" s="158" t="str">
        <f t="shared" si="12"/>
        <v>start /low /b %USERPROFILE%\Documents\GitHub\eaglep3\Utilities\DownloadLogsFromS3.py --loco 4031 --day 1969-12-31</v>
      </c>
      <c r="AN198" s="167" t="str">
        <f>"grep -SE -B400 ""CHR.+\|PRM\|1\|D.+(SWITCH|SIGNAL).+UNKNOWN"" "&amp;search_path&amp;"\RTDC"&amp;B198&amp;"\*"&amp;B198&amp;"*"&amp;TEXT(AVERAGE(F198,I198)-utc_offset/24,"YYYYMMDD")&amp;"* | grep -SE ""(Enforcement Action)|(\[TIMEOUT)|(CHR.+\|PRM\|1\|D.+(SWITCH|SIGNAL).+UNKNOWN)"" - &gt;&gt; "&amp;TEXT(Variables!$A$2,"YYYY-MM-DD")&amp;"-UncaughtWiMAX.txt"</f>
        <v>grep -SE -B400 "CHR.+\|PRM\|1\|D.+(SWITCH|SIGNAL).+UNKNOWN" "%USERPROFILE%\AppData\Local\Temp\OnboardLogs"\RTDC4031\*4031*19700101* | grep -SE "(Enforcement Action)|(\[TIMEOUT)|(CHR.+\|PRM\|1\|D.+(SWITCH|SIGNAL).+UNKNOWN)" - &gt;&gt; 2017-02-05-UncaughtWiMAX.txt</v>
      </c>
    </row>
    <row r="199" spans="1:91" x14ac:dyDescent="0.25">
      <c r="A199" s="33" t="s">
        <v>557</v>
      </c>
      <c r="B199" s="7">
        <v>4003</v>
      </c>
      <c r="C199" s="21" t="s">
        <v>193</v>
      </c>
      <c r="D199" s="21" t="s">
        <v>831</v>
      </c>
      <c r="E199" s="13">
        <v>42771.225115740737</v>
      </c>
      <c r="F199" s="13">
        <v>42771.226145833331</v>
      </c>
      <c r="G199" s="7">
        <v>1</v>
      </c>
      <c r="H199" s="21" t="s">
        <v>821</v>
      </c>
      <c r="I199" s="13">
        <v>42771.231354166666</v>
      </c>
      <c r="J199" s="7">
        <v>0</v>
      </c>
      <c r="K199" s="98" t="str">
        <f>IF(ISEVEN(B199),(B199-1)&amp;"/"&amp;B199,B199&amp;"/"&amp;(B199+1))</f>
        <v>4003/4004</v>
      </c>
      <c r="L199" s="21" t="str">
        <f>VLOOKUP(A199,'Trips&amp;Operators'!$C$1:$G$99999,5,FALSE)</f>
        <v>YORK EDGAR</v>
      </c>
      <c r="M199" s="6">
        <f>I199-F199</f>
        <v>5.2083333357586525E-3</v>
      </c>
      <c r="N199" s="7">
        <f>24*60*SUM($M199:$M199)</f>
        <v>7.5000000034924597</v>
      </c>
      <c r="O199" s="7"/>
      <c r="P199" s="7"/>
      <c r="Q199" s="22"/>
      <c r="R199" s="22"/>
      <c r="S199" s="31">
        <f>SUM(U199:U199)/IF(AG199="EC",12,1)</f>
        <v>0</v>
      </c>
      <c r="T199" s="46" t="str">
        <f>IF(ISEVEN(LEFT(AD199,4)),"Southbound","NorthBound")</f>
        <v>NorthBound</v>
      </c>
      <c r="U199" s="190">
        <f>IF(AG199="EC",COUNTIFS(Variables!$M$2:$M$19,IF(T199="NorthBound","&gt;=","&lt;=")&amp;Y199,Variables!$M$2:$M$19,IF(T199="NorthBound","&lt;=","&gt;=")&amp;Z199),COUNTIFS(Variables!$P$2:$P$19,IF(T199="NorthBound","&gt;=","&lt;=")&amp;Y199,Variables!$P$2:$P$19,IF(T199="NorthBound","&lt;=","&gt;=")&amp;Z199))</f>
        <v>0</v>
      </c>
      <c r="V199" s="191" t="str">
        <f>"https://d0f6bd738d7f1b3e5a7ca70fe4ff75f0.us-east-1.aws.found.io/app/kibana#/discover/Steve-Slow-Train-Analysis-(2080s-and-2083s)?_g="&amp;"(refreshInterval:(display:Off,pause:!f,section:0,value:0),time:(from:'"&amp;TEXT(E199-1/24,"yyyy-MM-DDThh:mm:ss")&amp;utc_offset&amp;"00"&amp;"',mode:absolute,to:'"&amp;TEXT(I199+1/24,"yyyy-MM-DDThh:mm:ss")&amp;utc_offset&amp;"00"&amp;"'))&amp;_a=(columns:!('Locomotive+ID','Data.Head+End+Milepost',Data.Speed,'Data.Locomotive+State','Data.Train+ID',"&amp;"'Data.Warning%2FEnforcement+Type','Data.Target+Start+Milepost','Data.Target+Description','Data.Target+Speed',"&amp;"'Data.Enforcement+Train+Speed','Data.Enforcement+Start+Milepost','Data.Target+Type','Data.Enforcement+Direction+of+Travel','Message+ID',"&amp;"'Data.Body+of+Summary+Text','Data.Head+End+Track+name'),filters:!(),index:'emp_*',interval:auto,query:"&amp;"(query_string:(analyze_wildcard:!t,query:'Message%5C+ID:(2083+OR+2080+OR+1041+OR+2003+OR+1051+OR+1043+OR+1053)+AND+%22rtdc.l.rtdc."&amp;B199&amp;"%22')),sort:!(Time.ISO8601,asc))"</f>
        <v>https://d0f6bd738d7f1b3e5a7ca70fe4ff75f0.us-east-1.aws.found.io/app/kibana#/discover/Steve-Slow-Train-Analysis-(2080s-and-2083s)?_g=(refreshInterval:(display:Off,pause:!f,section:0,value:0),time:(from:'2017-02-05T04:24:10-0700',mode:absolute,to:'2017-02-05T06:33:09-0700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4003%22')),sort:!(Time.ISO8601,asc))</v>
      </c>
      <c r="W199" s="192" t="str">
        <f>IF(AA199&lt;IF(AG199="EC",23,5.65),"Y","N")</f>
        <v>Y</v>
      </c>
      <c r="X199" s="192">
        <f>VALUE(LEFT(AD199,4))-VALUE(LEFT(AD198,4))</f>
        <v>1586</v>
      </c>
      <c r="Y199" s="62">
        <f>RIGHT(D199,LEN(D199)-4)/10000</f>
        <v>3.0249999999999999</v>
      </c>
      <c r="Z199" s="62">
        <f>RIGHT(H199,LEN(H199)-4)/10000</f>
        <v>5.8939000000000004</v>
      </c>
      <c r="AA199" s="62">
        <f>ABS(Z199-Y199)</f>
        <v>2.8689000000000004</v>
      </c>
      <c r="AB199" s="59" t="e">
        <f>VLOOKUP(A199,Enforcements!$C$7:$K$16,8,0)</f>
        <v>#N/A</v>
      </c>
      <c r="AC199" s="55" t="e">
        <f>VLOOKUP(A199,Enforcements!$C$7:$E$16,3,0)</f>
        <v>#N/A</v>
      </c>
      <c r="AD199" s="56" t="str">
        <f>IF(LEN(A199)=6,"0"&amp;A199,A199)</f>
        <v>1901-05</v>
      </c>
      <c r="AE199" s="85" t="str">
        <f>"aws s3 cp "&amp;s3_bucket&amp;"/RTDC"&amp;B199&amp;"/ "&amp;search_path&amp;"\RTDC"&amp;B199&amp;"\"&amp;TEXT(F199,"YYYY-MM-DD")&amp;" --exclude ""*"" --recursive --include ""*"&amp;TEXT(F199,"YYYYMMDD")&amp;"*"" &amp; """&amp;walkandungz&amp;""" "&amp;search_path&amp;"\RTDC"&amp;B199&amp;"\"&amp;TEXT(F199,"YYYY-MM-DD")
&amp;" &amp; "&amp;"aws s3 cp "&amp;s3_bucket&amp;"/RTDC"&amp;B199&amp;"/ "&amp;search_path&amp;"\RTDC"&amp;B199&amp;"\"&amp;TEXT(F199+1,"YYYY-MM-DD")&amp;" --exclude ""*"" --recursive --include ""*"&amp;TEXT(F199+1,"YYYYMMDD")&amp;"*"" &amp; """&amp;walkandungz&amp;""" "&amp;search_path&amp;"\RTDC"&amp;B199&amp;"\"&amp;TEXT(F199+1,"YYYY-MM-DD")</f>
        <v>aws s3 cp s3://rtdc.mdm.uploadarchive.raw/RTDC4003/ "%USERPROFILE%\AppData\Local\Temp\OnboardLogs"\RTDC4003\2017-02-05 --exclude "*" --recursive --include "*20170205*" &amp; "%USERPROFILE%\Documents\GitHub\mrs-test-scripts\Headless Mode &amp; Sideloading\WalkAndUnGZ.bat" "%USERPROFILE%\AppData\Local\Temp\OnboardLogs"\RTDC4003\2017-02-05 &amp; aws s3 cp s3://rtdc.mdm.uploadarchive.raw/RTDC4003/ "%USERPROFILE%\AppData\Local\Temp\OnboardLogs"\RTDC4003\2017-02-06 --exclude "*" --recursive --include "*20170206*" &amp; "%USERPROFILE%\Documents\GitHub\mrs-test-scripts\Headless Mode &amp; Sideloading\WalkAndUnGZ.bat" "%USERPROFILE%\AppData\Local\Temp\OnboardLogs"\RTDC4003\2017-02-06</v>
      </c>
      <c r="AF199" s="82" t="str">
        <f>astrogrep_path&amp;" /spath="&amp;search_path&amp;" /stypes=""app*"&amp;B199&amp;"*"&amp;TEXT(I199-utc_offset/24,"YYYYMMDD")&amp;"*"" /stext="" "&amp;TEXT(I199-utc_offset/24,"HH")&amp;search_regexp&amp;""" /e /r /s"</f>
        <v>"C:\Program Files (x86)\AstroGrep\AstroGrep.exe" /spath="%USERPROFILE%\AppData\Local\Temp\OnboardLogs" /stypes="app*4003*20170205*" /stext=" 12:.+((SYSTEM_STATE.+slice.+state.+changed )|(ment ac)|(multiple cpu faults)|(system.+state.+changed )|(\[timeout)|(PRM\|1\|D)|(kpr)|(kdp)|(\|lc)|(penalty))" /e /r /s</v>
      </c>
      <c r="AG199" s="1" t="str">
        <f>IFERROR(IF(VALUE(LEFT(AD199,2))&lt;=2,"EC",IF(OR(VALUE(LEFT(AD199,2))=8,VALUE(LEFT(AD199,2))=18),"NW","Other")),"Other")</f>
        <v>Other</v>
      </c>
      <c r="AH199" s="86" t="str">
        <f t="shared" si="10"/>
        <v>"%USERPROFILE%\Documents\GitHub\eaglep3\Utilities\RefineRTDCRunTimes.py" --tripid 1901-05 --locoid 4003 --swversion DE.1.0.8.0 --startMP 300:30250 --initTime 2017-02-05T05:24:10 --startdatetime 2017-02-05T05:25:39 --delay 1 --endMP 300:58939 --enddatetime 2017-02-05T05:33:09 --enforcementcount 0 &gt;&gt;C:\Users\stu\Documents\GitHub\eaglep3-reporting\EC\2017-02-05-refined-times.txt</v>
      </c>
      <c r="AI199" s="108" t="str">
        <f t="shared" si="11"/>
        <v>echo {"issue":{"subject":"","project_id":79,"tracker_id":40,"status_id":1,"priority_id":2,"assigned_to_id":23,"start_date":"2017-02-05","description":"","custom_fields":[{"id":1,"name":"Subdivision","value":"Other"},{"id":4,"name":"Milepost","value":"5.8939"},{"id":17,"name":"Train ID","value":"1901-05"},{"id":16,"name":"Locomotive ID","value":"4003"},{"id":130,"name":"Impact","value":""},{"id":150,"name":"Time of Event (Mountain Time)","value":"05:33:09"},{"id":151,"name":"Denver Issue ID","value":""},{"id":178,"name":"Operational Impact","value":"Yes"},{"id":179,"name":"Denver Segment Assigned","value":""}]}} | curl -X POST -H "Content-Type: application/json" -H "X-Redmine-API-Key: d6333d4a04012a730768444271f8ca06482dae87" https://secure.xorail.net/redmine/issues.json --data @-</v>
      </c>
      <c r="AJ199" s="48"/>
      <c r="AK199" s="48"/>
      <c r="AL199" s="48"/>
      <c r="AM199" s="158" t="str">
        <f t="shared" si="12"/>
        <v>start /low /b %USERPROFILE%\Documents\GitHub\eaglep3\Utilities\DownloadLogsFromS3.py --loco 4003 --day 2017-02-05</v>
      </c>
      <c r="AN199" s="167" t="str">
        <f>"grep -SE -B400 ""CHR.+\|PRM\|1\|D.+(SWITCH|SIGNAL).+UNKNOWN"" "&amp;search_path&amp;"\RTDC"&amp;B199&amp;"\*"&amp;B199&amp;"*"&amp;TEXT(AVERAGE(F199,I199)-utc_offset/24,"YYYYMMDD")&amp;"* | grep -SE ""(Enforcement Action)|(\[TIMEOUT)|(CHR.+\|PRM\|1\|D.+(SWITCH|SIGNAL).+UNKNOWN)"" - &gt;&gt; "&amp;TEXT(Variables!$A$2,"YYYY-MM-DD")&amp;"-UncaughtWiMAX.txt"</f>
        <v>grep -SE -B400 "CHR.+\|PRM\|1\|D.+(SWITCH|SIGNAL).+UNKNOWN" "%USERPROFILE%\AppData\Local\Temp\OnboardLogs"\RTDC4003\*4003*20170205* | grep -SE "(Enforcement Action)|(\[TIMEOUT)|(CHR.+\|PRM\|1\|D.+(SWITCH|SIGNAL).+UNKNOWN)" - &gt;&gt; 2017-02-05-UncaughtWiMAX.txt</v>
      </c>
    </row>
    <row r="200" spans="1:91" x14ac:dyDescent="0.25">
      <c r="A200" s="33" t="s">
        <v>727</v>
      </c>
      <c r="B200" s="7">
        <v>4004</v>
      </c>
      <c r="C200" s="21" t="s">
        <v>193</v>
      </c>
      <c r="D200" s="21" t="s">
        <v>832</v>
      </c>
      <c r="E200" s="13">
        <v>42771.941516203704</v>
      </c>
      <c r="F200" s="13">
        <v>42771.942662037036</v>
      </c>
      <c r="G200" s="7">
        <v>1</v>
      </c>
      <c r="H200" s="21" t="s">
        <v>833</v>
      </c>
      <c r="I200" s="13">
        <v>42771.947025462963</v>
      </c>
      <c r="J200" s="7">
        <v>0</v>
      </c>
      <c r="K200" s="98" t="str">
        <f>IF(ISEVEN(B200),(B200-1)&amp;"/"&amp;B200,B200&amp;"/"&amp;(B200+1))</f>
        <v>4003/4004</v>
      </c>
      <c r="L200" s="21" t="str">
        <f>VLOOKUP(A200,'Trips&amp;Operators'!$C$1:$G$99999,5,FALSE)</f>
        <v>HELVIE ADAM</v>
      </c>
      <c r="M200" s="6">
        <f>I200-F200</f>
        <v>4.3634259272948839E-3</v>
      </c>
      <c r="N200" s="7">
        <f>24*60*SUM($M200:$M200)</f>
        <v>6.2833333353046328</v>
      </c>
      <c r="O200" s="7"/>
      <c r="P200" s="7"/>
      <c r="Q200" s="22"/>
      <c r="R200" s="22"/>
      <c r="S200" s="31">
        <f>SUM(U200:U200)/IF(AG200="EC",12,1)</f>
        <v>0</v>
      </c>
      <c r="T200" s="46" t="str">
        <f>IF(ISEVEN(LEFT(AD200,4)),"Southbound","NorthBound")</f>
        <v>Southbound</v>
      </c>
      <c r="U200" s="190">
        <f>IF(AG200="EC",COUNTIFS(Variables!$M$2:$M$19,IF(T200="NorthBound","&gt;=","&lt;=")&amp;Y200,Variables!$M$2:$M$19,IF(T200="NorthBound","&lt;=","&gt;=")&amp;Z200),COUNTIFS(Variables!$P$2:$P$19,IF(T200="NorthBound","&gt;=","&lt;=")&amp;Y200,Variables!$P$2:$P$19,IF(T200="NorthBound","&lt;=","&gt;=")&amp;Z200))</f>
        <v>0</v>
      </c>
      <c r="V200" s="191" t="str">
        <f>"https://d0f6bd738d7f1b3e5a7ca70fe4ff75f0.us-east-1.aws.found.io/app/kibana#/discover/Steve-Slow-Train-Analysis-(2080s-and-2083s)?_g="&amp;"(refreshInterval:(display:Off,pause:!f,section:0,value:0),time:(from:'"&amp;TEXT(E200-1/24,"yyyy-MM-DDThh:mm:ss")&amp;utc_offset&amp;"00"&amp;"',mode:absolute,to:'"&amp;TEXT(I200+1/24,"yyyy-MM-DDThh:mm:ss")&amp;utc_offset&amp;"00"&amp;"'))&amp;_a=(columns:!('Locomotive+ID','Data.Head+End+Milepost',Data.Speed,'Data.Locomotive+State','Data.Train+ID',"&amp;"'Data.Warning%2FEnforcement+Type','Data.Target+Start+Milepost','Data.Target+Description','Data.Target+Speed',"&amp;"'Data.Enforcement+Train+Speed','Data.Enforcement+Start+Milepost','Data.Target+Type','Data.Enforcement+Direction+of+Travel','Message+ID',"&amp;"'Data.Body+of+Summary+Text','Data.Head+End+Track+name'),filters:!(),index:'emp_*',interval:auto,query:"&amp;"(query_string:(analyze_wildcard:!t,query:'Message%5C+ID:(2083+OR+2080+OR+1041+OR+2003+OR+1051+OR+1043+OR+1053)+AND+%22rtdc.l.rtdc."&amp;B200&amp;"%22')),sort:!(Time.ISO8601,asc))"</f>
        <v>https://d0f6bd738d7f1b3e5a7ca70fe4ff75f0.us-east-1.aws.found.io/app/kibana#/discover/Steve-Slow-Train-Analysis-(2080s-and-2083s)?_g=(refreshInterval:(display:Off,pause:!f,section:0,value:0),time:(from:'2017-02-05T21:35:47-0700',mode:absolute,to:'2017-02-05T23:43:43-0700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4004%22')),sort:!(Time.ISO8601,asc))</v>
      </c>
      <c r="W200" s="192" t="str">
        <f>IF(AA200&lt;IF(AG200="EC",23,5.65),"Y","N")</f>
        <v>Y</v>
      </c>
      <c r="X200" s="192">
        <f>VALUE(LEFT(AD200,4))-VALUE(LEFT(AD199,4))</f>
        <v>1</v>
      </c>
      <c r="Y200" s="62">
        <f>RIGHT(D200,LEN(D200)-4)/10000</f>
        <v>5.8630000000000004</v>
      </c>
      <c r="Z200" s="62">
        <f>RIGHT(H200,LEN(H200)-4)/10000</f>
        <v>2.1758999999999999</v>
      </c>
      <c r="AA200" s="62">
        <f>ABS(Z200-Y200)</f>
        <v>3.6871000000000005</v>
      </c>
      <c r="AB200" s="59" t="e">
        <f>VLOOKUP(A200,Enforcements!$C$7:$K$16,8,0)</f>
        <v>#N/A</v>
      </c>
      <c r="AC200" s="55" t="e">
        <f>VLOOKUP(A200,Enforcements!$C$7:$E$16,3,0)</f>
        <v>#N/A</v>
      </c>
      <c r="AD200" s="56" t="str">
        <f>IF(LEN(A200)=6,"0"&amp;A200,A200)</f>
        <v>1902-05</v>
      </c>
      <c r="AE200" s="85" t="str">
        <f>"aws s3 cp "&amp;s3_bucket&amp;"/RTDC"&amp;B200&amp;"/ "&amp;search_path&amp;"\RTDC"&amp;B200&amp;"\"&amp;TEXT(F200,"YYYY-MM-DD")&amp;" --exclude ""*"" --recursive --include ""*"&amp;TEXT(F200,"YYYYMMDD")&amp;"*"" &amp; """&amp;walkandungz&amp;""" "&amp;search_path&amp;"\RTDC"&amp;B200&amp;"\"&amp;TEXT(F200,"YYYY-MM-DD")
&amp;" &amp; "&amp;"aws s3 cp "&amp;s3_bucket&amp;"/RTDC"&amp;B200&amp;"/ "&amp;search_path&amp;"\RTDC"&amp;B200&amp;"\"&amp;TEXT(F200+1,"YYYY-MM-DD")&amp;" --exclude ""*"" --recursive --include ""*"&amp;TEXT(F200+1,"YYYYMMDD")&amp;"*"" &amp; """&amp;walkandungz&amp;""" "&amp;search_path&amp;"\RTDC"&amp;B200&amp;"\"&amp;TEXT(F200+1,"YYYY-MM-DD")</f>
        <v>aws s3 cp s3://rtdc.mdm.uploadarchive.raw/RTDC4004/ "%USERPROFILE%\AppData\Local\Temp\OnboardLogs"\RTDC4004\2017-02-05 --exclude "*" --recursive --include "*20170205*" &amp; "%USERPROFILE%\Documents\GitHub\mrs-test-scripts\Headless Mode &amp; Sideloading\WalkAndUnGZ.bat" "%USERPROFILE%\AppData\Local\Temp\OnboardLogs"\RTDC4004\2017-02-05 &amp; aws s3 cp s3://rtdc.mdm.uploadarchive.raw/RTDC4004/ "%USERPROFILE%\AppData\Local\Temp\OnboardLogs"\RTDC4004\2017-02-06 --exclude "*" --recursive --include "*20170206*" &amp; "%USERPROFILE%\Documents\GitHub\mrs-test-scripts\Headless Mode &amp; Sideloading\WalkAndUnGZ.bat" "%USERPROFILE%\AppData\Local\Temp\OnboardLogs"\RTDC4004\2017-02-06</v>
      </c>
      <c r="AF200" s="82" t="str">
        <f>astrogrep_path&amp;" /spath="&amp;search_path&amp;" /stypes=""app*"&amp;B200&amp;"*"&amp;TEXT(I200-utc_offset/24,"YYYYMMDD")&amp;"*"" /stext="" "&amp;TEXT(I200-utc_offset/24,"HH")&amp;search_regexp&amp;""" /e /r /s"</f>
        <v>"C:\Program Files (x86)\AstroGrep\AstroGrep.exe" /spath="%USERPROFILE%\AppData\Local\Temp\OnboardLogs" /stypes="app*4004*20170206*" /stext=" 05:.+((SYSTEM_STATE.+slice.+state.+changed )|(ment ac)|(multiple cpu faults)|(system.+state.+changed )|(\[timeout)|(PRM\|1\|D)|(kpr)|(kdp)|(\|lc)|(penalty))" /e /r /s</v>
      </c>
      <c r="AG200" s="1" t="str">
        <f>IFERROR(IF(VALUE(LEFT(AD200,2))&lt;=2,"EC",IF(OR(VALUE(LEFT(AD200,2))=8,VALUE(LEFT(AD200,2))=18),"NW","Other")),"Other")</f>
        <v>Other</v>
      </c>
      <c r="AH200" s="86" t="str">
        <f t="shared" ref="AH200:AH218" si="16">refinertdcruntimes&amp;" --tripid "&amp;A200&amp;" --locoid "&amp;B200&amp;" --swversion "&amp;C200&amp;" --startMP "&amp;D200&amp;" --initTime "&amp;TEXT(E200,"yyyy-mm-ddTHH:MM:SS")&amp;" --startdatetime "&amp;TEXT(F200,"yyyy-mm-ddTHH:MM:SS")&amp;" --delay "&amp;G200&amp;" --endMP "&amp;H200&amp;" --enddatetime "&amp;TEXT(I200,"yyyy-mm-ddTHH:MM:SS")&amp;" --enforcementcount "&amp;J200&amp;IF(outputrefinedruntimes," &gt;&gt;"&amp;RefinedRTDCRunTimesOutputFile,"")</f>
        <v>"%USERPROFILE%\Documents\GitHub\eaglep3\Utilities\RefineRTDCRunTimes.py" --tripid 1902-05 --locoid 4004 --swversion DE.1.0.8.0 --startMP 300:58630 --initTime 2017-02-05T22:35:47 --startdatetime 2017-02-05T22:37:26 --delay 1 --endMP 300:21759 --enddatetime 2017-02-05T22:43:43 --enforcementcount 0 &gt;&gt;C:\Users\stu\Documents\GitHub\eaglep3-reporting\EC\2017-02-05-refined-times.txt</v>
      </c>
      <c r="AI200" s="108" t="str">
        <f t="shared" ref="AI200:AI218" si="17">"echo {""issue"":{""subject"":"""&amp;R200&amp;""",""project_id"":79,""tracker_id"":40,""status_id"":"&amp;redmine_status&amp;",""priority_id"":"&amp;redmine_priority&amp;",""assigned_to_id"":"&amp;redmine_assignee&amp;",""start_date"":"""&amp;TEXT(I200,"YYYY-mm-dd")&amp;""",""description"":"""&amp;AJ200&amp;""",""custom_fields"":[{""id"":1,""name"":""Subdivision"",""value"":"""&amp;AG200&amp;"""},{""id"":4,""name"":""Milepost"",""value"":"""&amp;Z200&amp;"""},{""id"":17,""name"":""Train ID"",""value"":"""&amp;A200&amp;"""},{""id"":16,""name"":""Locomotive ID"",""value"":"""&amp;B200&amp;"""},{""id"":130,""name"":""Impact"",""value"":"""&amp;AK200&amp;"""},{""id"":150,""name"":""Time of Event (Mountain Time)"",""value"":"""&amp;TEXT(I200,"hh:mm:ss")&amp;"""},{""id"":151,""name"":""Denver Issue ID"",""value"":"""&amp;"""},{""id"":178,""name"":""Operational Impact"",""value"":"""&amp;redmine_op_impact&amp;"""},{""id"":179,""name"":""Denver Segment Assigned"",""value"":"""&amp;AL200&amp;"""}]}}"&amp;" | curl -X POST -H ""Content-Type: application/json"" -H ""X-Redmine-API-Key: "&amp;redm_api_key&amp;""" "&amp;redm_url&amp;" --data @-"</f>
        <v>echo {"issue":{"subject":"","project_id":79,"tracker_id":40,"status_id":1,"priority_id":2,"assigned_to_id":23,"start_date":"2017-02-05","description":"","custom_fields":[{"id":1,"name":"Subdivision","value":"Other"},{"id":4,"name":"Milepost","value":"2.1759"},{"id":17,"name":"Train ID","value":"1902-05"},{"id":16,"name":"Locomotive ID","value":"4004"},{"id":130,"name":"Impact","value":""},{"id":150,"name":"Time of Event (Mountain Time)","value":"22:43:43"},{"id":151,"name":"Denver Issue ID","value":""},{"id":178,"name":"Operational Impact","value":"Yes"},{"id":179,"name":"Denver Segment Assigned","value":""}]}} | curl -X POST -H "Content-Type: application/json" -H "X-Redmine-API-Key: d6333d4a04012a730768444271f8ca06482dae87" https://secure.xorail.net/redmine/issues.json --data @-</v>
      </c>
      <c r="AJ200" s="48"/>
      <c r="AK200" s="48"/>
      <c r="AL200" s="48"/>
      <c r="AM200" s="158" t="str">
        <f t="shared" ref="AM200:AM218" si="18">"start /low /b "&amp;dls3logs&amp;" --loco "&amp;B200&amp;" --day "&amp;TEXT(F200,"YYYY-MM-DD")</f>
        <v>start /low /b %USERPROFILE%\Documents\GitHub\eaglep3\Utilities\DownloadLogsFromS3.py --loco 4004 --day 2017-02-05</v>
      </c>
      <c r="AN200" s="167" t="str">
        <f>"grep -SE -B400 ""CHR.+\|PRM\|1\|D.+(SWITCH|SIGNAL).+UNKNOWN"" "&amp;search_path&amp;"\RTDC"&amp;B200&amp;"\*"&amp;B200&amp;"*"&amp;TEXT(AVERAGE(F200,I200)-utc_offset/24,"YYYYMMDD")&amp;"* | grep -SE ""(Enforcement Action)|(\[TIMEOUT)|(CHR.+\|PRM\|1\|D.+(SWITCH|SIGNAL).+UNKNOWN)"" - &gt;&gt; "&amp;TEXT(Variables!$A$2,"YYYY-MM-DD")&amp;"-UncaughtWiMAX.txt"</f>
        <v>grep -SE -B400 "CHR.+\|PRM\|1\|D.+(SWITCH|SIGNAL).+UNKNOWN" "%USERPROFILE%\AppData\Local\Temp\OnboardLogs"\RTDC4004\*4004*20170206* | grep -SE "(Enforcement Action)|(\[TIMEOUT)|(CHR.+\|PRM\|1\|D.+(SWITCH|SIGNAL).+UNKNOWN)" - &gt;&gt; 2017-02-05-UncaughtWiMAX.txt</v>
      </c>
    </row>
    <row r="201" spans="1:91" x14ac:dyDescent="0.25">
      <c r="A201" s="33" t="s">
        <v>507</v>
      </c>
      <c r="B201" s="7">
        <v>4030</v>
      </c>
      <c r="C201" s="21" t="s">
        <v>193</v>
      </c>
      <c r="D201" s="21" t="s">
        <v>864</v>
      </c>
      <c r="E201" s="13">
        <v>42771.459965277776</v>
      </c>
      <c r="F201" s="13">
        <v>42771.461053240739</v>
      </c>
      <c r="G201" s="7">
        <v>1</v>
      </c>
      <c r="H201" s="21" t="s">
        <v>325</v>
      </c>
      <c r="I201" s="13">
        <v>42771.466296296298</v>
      </c>
      <c r="J201" s="7">
        <v>0</v>
      </c>
      <c r="K201" s="98" t="str">
        <f>IF(ISEVEN(B201),(B201-1)&amp;"/"&amp;B201,B201&amp;"/"&amp;(B201+1))</f>
        <v>4029/4030</v>
      </c>
      <c r="L201" s="21" t="str">
        <f>VLOOKUP(A201,'Trips&amp;Operators'!$C$1:$G$99999,5,FALSE)</f>
        <v>MACDONALD THOMAS</v>
      </c>
      <c r="M201" s="6">
        <f>I201-F201</f>
        <v>5.2430555588216521E-3</v>
      </c>
      <c r="N201" s="7">
        <f>24*60*SUM($M201:$M201)</f>
        <v>7.550000004703179</v>
      </c>
      <c r="O201" s="7"/>
      <c r="P201" s="7"/>
      <c r="Q201" s="22"/>
      <c r="R201" s="22"/>
      <c r="S201" s="31">
        <f>SUM(U201:U201)/IF(AG201="EC",12,1)</f>
        <v>0</v>
      </c>
      <c r="T201" s="46" t="e">
        <f>IF(ISEVEN(LEFT(AD201,4)),"Southbound","NorthBound")</f>
        <v>#VALUE!</v>
      </c>
      <c r="U201" s="190">
        <f>IF(AG201="EC",COUNTIFS(Variables!$M$2:$M$19,IF(T201="NorthBound","&gt;=","&lt;=")&amp;Y201,Variables!$M$2:$M$19,IF(T201="NorthBound","&lt;=","&gt;=")&amp;Z201),COUNTIFS(Variables!$P$2:$P$19,IF(T201="NorthBound","&gt;=","&lt;=")&amp;Y201,Variables!$P$2:$P$19,IF(T201="NorthBound","&lt;=","&gt;=")&amp;Z201))</f>
        <v>0</v>
      </c>
      <c r="V201" s="191" t="str">
        <f>"https://d0f6bd738d7f1b3e5a7ca70fe4ff75f0.us-east-1.aws.found.io/app/kibana#/discover/Steve-Slow-Train-Analysis-(2080s-and-2083s)?_g="&amp;"(refreshInterval:(display:Off,pause:!f,section:0,value:0),time:(from:'"&amp;TEXT(E201-1/24,"yyyy-MM-DDThh:mm:ss")&amp;utc_offset&amp;"00"&amp;"',mode:absolute,to:'"&amp;TEXT(I201+1/24,"yyyy-MM-DDThh:mm:ss")&amp;utc_offset&amp;"00"&amp;"'))&amp;_a=(columns:!('Locomotive+ID','Data.Head+End+Milepost',Data.Speed,'Data.Locomotive+State','Data.Train+ID',"&amp;"'Data.Warning%2FEnforcement+Type','Data.Target+Start+Milepost','Data.Target+Description','Data.Target+Speed',"&amp;"'Data.Enforcement+Train+Speed','Data.Enforcement+Start+Milepost','Data.Target+Type','Data.Enforcement+Direction+of+Travel','Message+ID',"&amp;"'Data.Body+of+Summary+Text','Data.Head+End+Track+name'),filters:!(),index:'emp_*',interval:auto,query:"&amp;"(query_string:(analyze_wildcard:!t,query:'Message%5C+ID:(2083+OR+2080+OR+1041+OR+2003+OR+1051+OR+1043+OR+1053)+AND+%22rtdc.l.rtdc."&amp;B201&amp;"%22')),sort:!(Time.ISO8601,asc))"</f>
        <v>https://d0f6bd738d7f1b3e5a7ca70fe4ff75f0.us-east-1.aws.found.io/app/kibana#/discover/Steve-Slow-Train-Analysis-(2080s-and-2083s)?_g=(refreshInterval:(display:Off,pause:!f,section:0,value:0),time:(from:'2017-02-05T10:02:21-0700',mode:absolute,to:'2017-02-05T12:11:28-0700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4030%22')),sort:!(Time.ISO8601,asc))</v>
      </c>
      <c r="W201" s="192" t="str">
        <f>IF(AA201&lt;IF(AG201="EC",23,5.65),"Y","N")</f>
        <v>Y</v>
      </c>
      <c r="X201" s="192" t="e">
        <f>VALUE(LEFT(AD201,4))-VALUE(LEFT(AD200,4))</f>
        <v>#VALUE!</v>
      </c>
      <c r="Y201" s="62">
        <f>RIGHT(D201,LEN(D201)-4)/10000</f>
        <v>2.1818</v>
      </c>
      <c r="Z201" s="62">
        <f>RIGHT(H201,LEN(H201)-4)/10000</f>
        <v>1.38E-2</v>
      </c>
      <c r="AA201" s="62">
        <f>ABS(Z201-Y201)</f>
        <v>2.1680000000000001</v>
      </c>
      <c r="AB201" s="59" t="e">
        <f>VLOOKUP(A201,Enforcements!$C$7:$K$16,8,0)</f>
        <v>#N/A</v>
      </c>
      <c r="AC201" s="55" t="e">
        <f>VLOOKUP(A201,Enforcements!$C$7:$E$16,3,0)</f>
        <v>#N/A</v>
      </c>
      <c r="AD201" s="56" t="str">
        <f>IF(LEN(A201)=6,"0"&amp;A201,A201)</f>
        <v>50-05</v>
      </c>
      <c r="AE201" s="85" t="str">
        <f>"aws s3 cp "&amp;s3_bucket&amp;"/RTDC"&amp;B201&amp;"/ "&amp;search_path&amp;"\RTDC"&amp;B201&amp;"\"&amp;TEXT(F201,"YYYY-MM-DD")&amp;" --exclude ""*"" --recursive --include ""*"&amp;TEXT(F201,"YYYYMMDD")&amp;"*"" &amp; """&amp;walkandungz&amp;""" "&amp;search_path&amp;"\RTDC"&amp;B201&amp;"\"&amp;TEXT(F201,"YYYY-MM-DD")
&amp;" &amp; "&amp;"aws s3 cp "&amp;s3_bucket&amp;"/RTDC"&amp;B201&amp;"/ "&amp;search_path&amp;"\RTDC"&amp;B201&amp;"\"&amp;TEXT(F201+1,"YYYY-MM-DD")&amp;" --exclude ""*"" --recursive --include ""*"&amp;TEXT(F201+1,"YYYYMMDD")&amp;"*"" &amp; """&amp;walkandungz&amp;""" "&amp;search_path&amp;"\RTDC"&amp;B201&amp;"\"&amp;TEXT(F201+1,"YYYY-MM-DD")</f>
        <v>aws s3 cp s3://rtdc.mdm.uploadarchive.raw/RTDC4030/ "%USERPROFILE%\AppData\Local\Temp\OnboardLogs"\RTDC4030\2017-02-05 --exclude "*" --recursive --include "*20170205*" &amp; "%USERPROFILE%\Documents\GitHub\mrs-test-scripts\Headless Mode &amp; Sideloading\WalkAndUnGZ.bat" "%USERPROFILE%\AppData\Local\Temp\OnboardLogs"\RTDC4030\2017-02-05 &amp; aws s3 cp s3://rtdc.mdm.uploadarchive.raw/RTDC4030/ "%USERPROFILE%\AppData\Local\Temp\OnboardLogs"\RTDC4030\2017-02-06 --exclude "*" --recursive --include "*20170206*" &amp; "%USERPROFILE%\Documents\GitHub\mrs-test-scripts\Headless Mode &amp; Sideloading\WalkAndUnGZ.bat" "%USERPROFILE%\AppData\Local\Temp\OnboardLogs"\RTDC4030\2017-02-06</v>
      </c>
      <c r="AF201" s="82" t="str">
        <f>astrogrep_path&amp;" /spath="&amp;search_path&amp;" /stypes=""app*"&amp;B201&amp;"*"&amp;TEXT(I201-utc_offset/24,"YYYYMMDD")&amp;"*"" /stext="" "&amp;TEXT(I201-utc_offset/24,"HH")&amp;search_regexp&amp;""" /e /r /s"</f>
        <v>"C:\Program Files (x86)\AstroGrep\AstroGrep.exe" /spath="%USERPROFILE%\AppData\Local\Temp\OnboardLogs" /stypes="app*4030*20170205*" /stext=" 18:.+((SYSTEM_STATE.+slice.+state.+changed )|(ment ac)|(multiple cpu faults)|(system.+state.+changed )|(\[timeout)|(PRM\|1\|D)|(kpr)|(kdp)|(\|lc)|(penalty))" /e /r /s</v>
      </c>
      <c r="AG201" s="1" t="str">
        <f>IFERROR(IF(VALUE(LEFT(AD201,2))&lt;=2,"EC",IF(OR(VALUE(LEFT(AD201,2))=8,VALUE(LEFT(AD201,2))=18),"NW","Other")),"Other")</f>
        <v>Other</v>
      </c>
      <c r="AH201" s="86" t="str">
        <f t="shared" si="16"/>
        <v>"%USERPROFILE%\Documents\GitHub\eaglep3\Utilities\RefineRTDCRunTimes.py" --tripid 50-05 --locoid 4030 --swversion DE.1.0.8.0 --startMP 300:21818 --initTime 2017-02-05T11:02:21 --startdatetime 2017-02-05T11:03:55 --delay 1 --endMP 204:138 --enddatetime 2017-02-05T11:11:28 --enforcementcount 0 &gt;&gt;C:\Users\stu\Documents\GitHub\eaglep3-reporting\EC\2017-02-05-refined-times.txt</v>
      </c>
      <c r="AI201" s="108" t="str">
        <f t="shared" si="17"/>
        <v>echo {"issue":{"subject":"","project_id":79,"tracker_id":40,"status_id":1,"priority_id":2,"assigned_to_id":23,"start_date":"2017-02-05","description":"","custom_fields":[{"id":1,"name":"Subdivision","value":"Other"},{"id":4,"name":"Milepost","value":"0.0138"},{"id":17,"name":"Train ID","value":"50-05"},{"id":16,"name":"Locomotive ID","value":"4030"},{"id":130,"name":"Impact","value":""},{"id":150,"name":"Time of Event (Mountain Time)","value":"11:11:28"},{"id":151,"name":"Denver Issue ID","value":""},{"id":178,"name":"Operational Impact","value":"Yes"},{"id":179,"name":"Denver Segment Assigned","value":""}]}} | curl -X POST -H "Content-Type: application/json" -H "X-Redmine-API-Key: d6333d4a04012a730768444271f8ca06482dae87" https://secure.xorail.net/redmine/issues.json --data @-</v>
      </c>
      <c r="AJ201" s="48"/>
      <c r="AK201" s="48"/>
      <c r="AL201" s="48"/>
      <c r="AM201" s="158" t="str">
        <f t="shared" si="18"/>
        <v>start /low /b %USERPROFILE%\Documents\GitHub\eaglep3\Utilities\DownloadLogsFromS3.py --loco 4030 --day 2017-02-05</v>
      </c>
      <c r="AN201" s="167" t="str">
        <f>"grep -SE -B400 ""CHR.+\|PRM\|1\|D.+(SWITCH|SIGNAL).+UNKNOWN"" "&amp;search_path&amp;"\RTDC"&amp;B201&amp;"\*"&amp;B201&amp;"*"&amp;TEXT(AVERAGE(F201,I201)-utc_offset/24,"YYYYMMDD")&amp;"* | grep -SE ""(Enforcement Action)|(\[TIMEOUT)|(CHR.+\|PRM\|1\|D.+(SWITCH|SIGNAL).+UNKNOWN)"" - &gt;&gt; "&amp;TEXT(Variables!$A$2,"YYYY-MM-DD")&amp;"-UncaughtWiMAX.txt"</f>
        <v>grep -SE -B400 "CHR.+\|PRM\|1\|D.+(SWITCH|SIGNAL).+UNKNOWN" "%USERPROFILE%\AppData\Local\Temp\OnboardLogs"\RTDC4030\*4030*20170205* | grep -SE "(Enforcement Action)|(\[TIMEOUT)|(CHR.+\|PRM\|1\|D.+(SWITCH|SIGNAL).+UNKNOWN)" - &gt;&gt; 2017-02-05-UncaughtWiMAX.txt</v>
      </c>
    </row>
    <row r="202" spans="1:91" x14ac:dyDescent="0.25">
      <c r="A202" s="33" t="s">
        <v>620</v>
      </c>
      <c r="B202" s="7">
        <v>4029</v>
      </c>
      <c r="C202" s="21" t="s">
        <v>193</v>
      </c>
      <c r="D202" s="21" t="s">
        <v>364</v>
      </c>
      <c r="E202" s="13">
        <v>42771.477685185186</v>
      </c>
      <c r="F202" s="13">
        <v>42771.484756944446</v>
      </c>
      <c r="G202" s="7">
        <v>1</v>
      </c>
      <c r="H202" s="21" t="s">
        <v>334</v>
      </c>
      <c r="I202" s="13">
        <v>42771.489270833335</v>
      </c>
      <c r="J202" s="7">
        <v>0</v>
      </c>
      <c r="K202" s="98" t="str">
        <f>IF(ISEVEN(B202),(B202-1)&amp;"/"&amp;B202,B202&amp;"/"&amp;(B202+1))</f>
        <v>4029/4030</v>
      </c>
      <c r="L202" s="21" t="str">
        <f>VLOOKUP(A202,'Trips&amp;Operators'!$C$1:$G$99999,5,FALSE)</f>
        <v>DAVIS WENDY</v>
      </c>
      <c r="M202" s="6">
        <f>I202-F202</f>
        <v>4.5138888890505768E-3</v>
      </c>
      <c r="N202" s="7">
        <f>24*60*SUM($M202:$M202)</f>
        <v>6.5000000002328306</v>
      </c>
      <c r="O202" s="7"/>
      <c r="P202" s="7"/>
      <c r="Q202" s="22"/>
      <c r="R202" s="22"/>
      <c r="S202" s="31">
        <f>SUM(U202:U202)/IF(AG202="EC",12,1)</f>
        <v>0</v>
      </c>
      <c r="T202" s="46" t="e">
        <f>IF(ISEVEN(LEFT(AD202,4)),"Southbound","NorthBound")</f>
        <v>#VALUE!</v>
      </c>
      <c r="U202" s="190">
        <f>IF(AG202="EC",COUNTIFS(Variables!$M$2:$M$19,IF(T202="NorthBound","&gt;=","&lt;=")&amp;Y202,Variables!$M$2:$M$19,IF(T202="NorthBound","&lt;=","&gt;=")&amp;Z202),COUNTIFS(Variables!$P$2:$P$19,IF(T202="NorthBound","&gt;=","&lt;=")&amp;Y202,Variables!$P$2:$P$19,IF(T202="NorthBound","&lt;=","&gt;=")&amp;Z202))</f>
        <v>0</v>
      </c>
      <c r="V202" s="191" t="str">
        <f>"https://d0f6bd738d7f1b3e5a7ca70fe4ff75f0.us-east-1.aws.found.io/app/kibana#/discover/Steve-Slow-Train-Analysis-(2080s-and-2083s)?_g="&amp;"(refreshInterval:(display:Off,pause:!f,section:0,value:0),time:(from:'"&amp;TEXT(E202-1/24,"yyyy-MM-DDThh:mm:ss")&amp;utc_offset&amp;"00"&amp;"',mode:absolute,to:'"&amp;TEXT(I202+1/24,"yyyy-MM-DDThh:mm:ss")&amp;utc_offset&amp;"00"&amp;"'))&amp;_a=(columns:!('Locomotive+ID','Data.Head+End+Milepost',Data.Speed,'Data.Locomotive+State','Data.Train+ID',"&amp;"'Data.Warning%2FEnforcement+Type','Data.Target+Start+Milepost','Data.Target+Description','Data.Target+Speed',"&amp;"'Data.Enforcement+Train+Speed','Data.Enforcement+Start+Milepost','Data.Target+Type','Data.Enforcement+Direction+of+Travel','Message+ID',"&amp;"'Data.Body+of+Summary+Text','Data.Head+End+Track+name'),filters:!(),index:'emp_*',interval:auto,query:"&amp;"(query_string:(analyze_wildcard:!t,query:'Message%5C+ID:(2083+OR+2080+OR+1041+OR+2003+OR+1051+OR+1043+OR+1053)+AND+%22rtdc.l.rtdc."&amp;B202&amp;"%22')),sort:!(Time.ISO8601,asc))"</f>
        <v>https://d0f6bd738d7f1b3e5a7ca70fe4ff75f0.us-east-1.aws.found.io/app/kibana#/discover/Steve-Slow-Train-Analysis-(2080s-and-2083s)?_g=(refreshInterval:(display:Off,pause:!f,section:0,value:0),time:(from:'2017-02-05T10:27:52-0700',mode:absolute,to:'2017-02-05T12:44:33-0700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4029%22')),sort:!(Time.ISO8601,asc))</v>
      </c>
      <c r="W202" s="192" t="str">
        <f>IF(AA202&lt;IF(AG202="EC",23,5.65),"Y","N")</f>
        <v>Y</v>
      </c>
      <c r="X202" s="192" t="e">
        <f>VALUE(LEFT(AD202,4))-VALUE(LEFT(AD201,4))</f>
        <v>#VALUE!</v>
      </c>
      <c r="Y202" s="62">
        <f>RIGHT(D202,LEN(D202)-4)/10000</f>
        <v>4.7500000000000001E-2</v>
      </c>
      <c r="Z202" s="62">
        <f>RIGHT(H202,LEN(H202)-4)/10000</f>
        <v>2.3346</v>
      </c>
      <c r="AA202" s="62">
        <f>ABS(Z202-Y202)</f>
        <v>2.2871000000000001</v>
      </c>
      <c r="AB202" s="59" t="e">
        <f>VLOOKUP(A202,Enforcements!$C$7:$K$16,8,0)</f>
        <v>#N/A</v>
      </c>
      <c r="AC202" s="55" t="e">
        <f>VLOOKUP(A202,Enforcements!$C$7:$E$16,3,0)</f>
        <v>#N/A</v>
      </c>
      <c r="AD202" s="56" t="str">
        <f>IF(LEN(A202)=6,"0"&amp;A202,A202)</f>
        <v>51-05</v>
      </c>
      <c r="AE202" s="85" t="str">
        <f>"aws s3 cp "&amp;s3_bucket&amp;"/RTDC"&amp;B202&amp;"/ "&amp;search_path&amp;"\RTDC"&amp;B202&amp;"\"&amp;TEXT(F202,"YYYY-MM-DD")&amp;" --exclude ""*"" --recursive --include ""*"&amp;TEXT(F202,"YYYYMMDD")&amp;"*"" &amp; """&amp;walkandungz&amp;""" "&amp;search_path&amp;"\RTDC"&amp;B202&amp;"\"&amp;TEXT(F202,"YYYY-MM-DD")
&amp;" &amp; "&amp;"aws s3 cp "&amp;s3_bucket&amp;"/RTDC"&amp;B202&amp;"/ "&amp;search_path&amp;"\RTDC"&amp;B202&amp;"\"&amp;TEXT(F202+1,"YYYY-MM-DD")&amp;" --exclude ""*"" --recursive --include ""*"&amp;TEXT(F202+1,"YYYYMMDD")&amp;"*"" &amp; """&amp;walkandungz&amp;""" "&amp;search_path&amp;"\RTDC"&amp;B202&amp;"\"&amp;TEXT(F202+1,"YYYY-MM-DD")</f>
        <v>aws s3 cp s3://rtdc.mdm.uploadarchive.raw/RTDC4029/ "%USERPROFILE%\AppData\Local\Temp\OnboardLogs"\RTDC4029\2017-02-05 --exclude "*" --recursive --include "*20170205*" &amp; "%USERPROFILE%\Documents\GitHub\mrs-test-scripts\Headless Mode &amp; Sideloading\WalkAndUnGZ.bat" "%USERPROFILE%\AppData\Local\Temp\OnboardLogs"\RTDC4029\2017-02-05 &amp; aws s3 cp s3://rtdc.mdm.uploadarchive.raw/RTDC4029/ "%USERPROFILE%\AppData\Local\Temp\OnboardLogs"\RTDC4029\2017-02-06 --exclude "*" --recursive --include "*20170206*" &amp; "%USERPROFILE%\Documents\GitHub\mrs-test-scripts\Headless Mode &amp; Sideloading\WalkAndUnGZ.bat" "%USERPROFILE%\AppData\Local\Temp\OnboardLogs"\RTDC4029\2017-02-06</v>
      </c>
      <c r="AF202" s="82" t="str">
        <f>astrogrep_path&amp;" /spath="&amp;search_path&amp;" /stypes=""app*"&amp;B202&amp;"*"&amp;TEXT(I202-utc_offset/24,"YYYYMMDD")&amp;"*"" /stext="" "&amp;TEXT(I202-utc_offset/24,"HH")&amp;search_regexp&amp;""" /e /r /s"</f>
        <v>"C:\Program Files (x86)\AstroGrep\AstroGrep.exe" /spath="%USERPROFILE%\AppData\Local\Temp\OnboardLogs" /stypes="app*4029*20170205*" /stext=" 18:.+((SYSTEM_STATE.+slice.+state.+changed )|(ment ac)|(multiple cpu faults)|(system.+state.+changed )|(\[timeout)|(PRM\|1\|D)|(kpr)|(kdp)|(\|lc)|(penalty))" /e /r /s</v>
      </c>
      <c r="AG202" s="1" t="str">
        <f>IFERROR(IF(VALUE(LEFT(AD202,2))&lt;=2,"EC",IF(OR(VALUE(LEFT(AD202,2))=8,VALUE(LEFT(AD202,2))=18),"NW","Other")),"Other")</f>
        <v>Other</v>
      </c>
      <c r="AH202" s="86" t="str">
        <f t="shared" si="16"/>
        <v>"%USERPROFILE%\Documents\GitHub\eaglep3\Utilities\RefineRTDCRunTimes.py" --tripid 51-05 --locoid 4029 --swversion DE.1.0.8.0 --startMP 204:475 --initTime 2017-02-05T11:27:52 --startdatetime 2017-02-05T11:38:03 --delay 1 --endMP 300:23346 --enddatetime 2017-02-05T11:44:33 --enforcementcount 0 &gt;&gt;C:\Users\stu\Documents\GitHub\eaglep3-reporting\EC\2017-02-05-refined-times.txt</v>
      </c>
      <c r="AI202" s="108" t="str">
        <f t="shared" si="17"/>
        <v>echo {"issue":{"subject":"","project_id":79,"tracker_id":40,"status_id":1,"priority_id":2,"assigned_to_id":23,"start_date":"2017-02-05","description":"","custom_fields":[{"id":1,"name":"Subdivision","value":"Other"},{"id":4,"name":"Milepost","value":"2.3346"},{"id":17,"name":"Train ID","value":"51-05"},{"id":16,"name":"Locomotive ID","value":"4029"},{"id":130,"name":"Impact","value":""},{"id":150,"name":"Time of Event (Mountain Time)","value":"11:44:33"},{"id":151,"name":"Denver Issue ID","value":""},{"id":178,"name":"Operational Impact","value":"Yes"},{"id":179,"name":"Denver Segment Assigned","value":""}]}} | curl -X POST -H "Content-Type: application/json" -H "X-Redmine-API-Key: d6333d4a04012a730768444271f8ca06482dae87" https://secure.xorail.net/redmine/issues.json --data @-</v>
      </c>
      <c r="AJ202" s="48"/>
      <c r="AK202" s="48"/>
      <c r="AL202" s="48"/>
      <c r="AM202" s="158" t="str">
        <f t="shared" si="18"/>
        <v>start /low /b %USERPROFILE%\Documents\GitHub\eaglep3\Utilities\DownloadLogsFromS3.py --loco 4029 --day 2017-02-05</v>
      </c>
      <c r="AN202" s="167" t="str">
        <f>"grep -SE -B400 ""CHR.+\|PRM\|1\|D.+(SWITCH|SIGNAL).+UNKNOWN"" "&amp;search_path&amp;"\RTDC"&amp;B202&amp;"\*"&amp;B202&amp;"*"&amp;TEXT(AVERAGE(F202,I202)-utc_offset/24,"YYYYMMDD")&amp;"* | grep -SE ""(Enforcement Action)|(\[TIMEOUT)|(CHR.+\|PRM\|1\|D.+(SWITCH|SIGNAL).+UNKNOWN)"" - &gt;&gt; "&amp;TEXT(Variables!$A$2,"YYYY-MM-DD")&amp;"-UncaughtWiMAX.txt"</f>
        <v>grep -SE -B400 "CHR.+\|PRM\|1\|D.+(SWITCH|SIGNAL).+UNKNOWN" "%USERPROFILE%\AppData\Local\Temp\OnboardLogs"\RTDC4029\*4029*20170205* | grep -SE "(Enforcement Action)|(\[TIMEOUT)|(CHR.+\|PRM\|1\|D.+(SWITCH|SIGNAL).+UNKNOWN)" - &gt;&gt; 2017-02-05-UncaughtWiMAX.txt</v>
      </c>
    </row>
    <row r="203" spans="1:91" x14ac:dyDescent="0.25">
      <c r="A203" s="33" t="s">
        <v>688</v>
      </c>
      <c r="B203" s="7">
        <v>4030</v>
      </c>
      <c r="C203" s="21" t="s">
        <v>193</v>
      </c>
      <c r="D203" s="21" t="s">
        <v>865</v>
      </c>
      <c r="E203" s="13">
        <v>42771.73474537037</v>
      </c>
      <c r="F203" s="13">
        <v>42771.743449074071</v>
      </c>
      <c r="G203" s="7">
        <v>12</v>
      </c>
      <c r="H203" s="21" t="s">
        <v>866</v>
      </c>
      <c r="I203" s="13">
        <v>42771.749745370369</v>
      </c>
      <c r="J203" s="7">
        <v>0</v>
      </c>
      <c r="K203" s="98" t="str">
        <f>IF(ISEVEN(B203),(B203-1)&amp;"/"&amp;B203,B203&amp;"/"&amp;(B203+1))</f>
        <v>4029/4030</v>
      </c>
      <c r="L203" s="21" t="str">
        <f>VLOOKUP(A203,'Trips&amp;Operators'!$C$1:$G$99999,5,FALSE)</f>
        <v>SMITH MICHAEL</v>
      </c>
      <c r="M203" s="6">
        <f>I203-F203</f>
        <v>6.2962962983874604E-3</v>
      </c>
      <c r="N203" s="7">
        <f>24*60*SUM($M203:$M203)</f>
        <v>9.066666669677943</v>
      </c>
      <c r="O203" s="7"/>
      <c r="P203" s="7"/>
      <c r="Q203" s="22"/>
      <c r="R203" s="22"/>
      <c r="S203" s="31">
        <f>SUM(U203:U203)/IF(AG203="EC",12,1)</f>
        <v>0</v>
      </c>
      <c r="T203" s="46" t="e">
        <f>IF(ISEVEN(LEFT(AD203,4)),"Southbound","NorthBound")</f>
        <v>#VALUE!</v>
      </c>
      <c r="U203" s="190">
        <f>IF(AG203="EC",COUNTIFS(Variables!$M$2:$M$19,IF(T203="NorthBound","&gt;=","&lt;=")&amp;Y203,Variables!$M$2:$M$19,IF(T203="NorthBound","&lt;=","&gt;=")&amp;Z203),COUNTIFS(Variables!$P$2:$P$19,IF(T203="NorthBound","&gt;=","&lt;=")&amp;Y203,Variables!$P$2:$P$19,IF(T203="NorthBound","&lt;=","&gt;=")&amp;Z203))</f>
        <v>0</v>
      </c>
      <c r="V203" s="191" t="str">
        <f>"https://d0f6bd738d7f1b3e5a7ca70fe4ff75f0.us-east-1.aws.found.io/app/kibana#/discover/Steve-Slow-Train-Analysis-(2080s-and-2083s)?_g="&amp;"(refreshInterval:(display:Off,pause:!f,section:0,value:0),time:(from:'"&amp;TEXT(E203-1/24,"yyyy-MM-DDThh:mm:ss")&amp;utc_offset&amp;"00"&amp;"',mode:absolute,to:'"&amp;TEXT(I203+1/24,"yyyy-MM-DDThh:mm:ss")&amp;utc_offset&amp;"00"&amp;"'))&amp;_a=(columns:!('Locomotive+ID','Data.Head+End+Milepost',Data.Speed,'Data.Locomotive+State','Data.Train+ID',"&amp;"'Data.Warning%2FEnforcement+Type','Data.Target+Start+Milepost','Data.Target+Description','Data.Target+Speed',"&amp;"'Data.Enforcement+Train+Speed','Data.Enforcement+Start+Milepost','Data.Target+Type','Data.Enforcement+Direction+of+Travel','Message+ID',"&amp;"'Data.Body+of+Summary+Text','Data.Head+End+Track+name'),filters:!(),index:'emp_*',interval:auto,query:"&amp;"(query_string:(analyze_wildcard:!t,query:'Message%5C+ID:(2083+OR+2080+OR+1041+OR+2003+OR+1051+OR+1043+OR+1053)+AND+%22rtdc.l.rtdc."&amp;B203&amp;"%22')),sort:!(Time.ISO8601,asc))"</f>
        <v>https://d0f6bd738d7f1b3e5a7ca70fe4ff75f0.us-east-1.aws.found.io/app/kibana#/discover/Steve-Slow-Train-Analysis-(2080s-and-2083s)?_g=(refreshInterval:(display:Off,pause:!f,section:0,value:0),time:(from:'2017-02-05T16:38:02-0700',mode:absolute,to:'2017-02-05T18:59:38-0700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4030%22')),sort:!(Time.ISO8601,asc))</v>
      </c>
      <c r="W203" s="192" t="str">
        <f>IF(AA203&lt;IF(AG203="EC",23,5.65),"Y","N")</f>
        <v>Y</v>
      </c>
      <c r="X203" s="192" t="e">
        <f>VALUE(LEFT(AD203,4))-VALUE(LEFT(AD202,4))</f>
        <v>#VALUE!</v>
      </c>
      <c r="Y203" s="62">
        <f>RIGHT(D203,LEN(D203)-4)/10000</f>
        <v>2.3462999999999998</v>
      </c>
      <c r="Z203" s="62">
        <f>RIGHT(H203,LEN(H203)-4)/10000</f>
        <v>8.0999999999999996E-3</v>
      </c>
      <c r="AA203" s="62">
        <f>ABS(Z203-Y203)</f>
        <v>2.3381999999999996</v>
      </c>
      <c r="AB203" s="59" t="e">
        <f>VLOOKUP(A203,Enforcements!$C$7:$K$16,8,0)</f>
        <v>#N/A</v>
      </c>
      <c r="AC203" s="55" t="e">
        <f>VLOOKUP(A203,Enforcements!$C$7:$E$16,3,0)</f>
        <v>#N/A</v>
      </c>
      <c r="AD203" s="56" t="str">
        <f>IF(LEN(A203)=6,"0"&amp;A203,A203)</f>
        <v>52-05</v>
      </c>
      <c r="AE203" s="85" t="str">
        <f>"aws s3 cp "&amp;s3_bucket&amp;"/RTDC"&amp;B203&amp;"/ "&amp;search_path&amp;"\RTDC"&amp;B203&amp;"\"&amp;TEXT(F203,"YYYY-MM-DD")&amp;" --exclude ""*"" --recursive --include ""*"&amp;TEXT(F203,"YYYYMMDD")&amp;"*"" &amp; """&amp;walkandungz&amp;""" "&amp;search_path&amp;"\RTDC"&amp;B203&amp;"\"&amp;TEXT(F203,"YYYY-MM-DD")
&amp;" &amp; "&amp;"aws s3 cp "&amp;s3_bucket&amp;"/RTDC"&amp;B203&amp;"/ "&amp;search_path&amp;"\RTDC"&amp;B203&amp;"\"&amp;TEXT(F203+1,"YYYY-MM-DD")&amp;" --exclude ""*"" --recursive --include ""*"&amp;TEXT(F203+1,"YYYYMMDD")&amp;"*"" &amp; """&amp;walkandungz&amp;""" "&amp;search_path&amp;"\RTDC"&amp;B203&amp;"\"&amp;TEXT(F203+1,"YYYY-MM-DD")</f>
        <v>aws s3 cp s3://rtdc.mdm.uploadarchive.raw/RTDC4030/ "%USERPROFILE%\AppData\Local\Temp\OnboardLogs"\RTDC4030\2017-02-05 --exclude "*" --recursive --include "*20170205*" &amp; "%USERPROFILE%\Documents\GitHub\mrs-test-scripts\Headless Mode &amp; Sideloading\WalkAndUnGZ.bat" "%USERPROFILE%\AppData\Local\Temp\OnboardLogs"\RTDC4030\2017-02-05 &amp; aws s3 cp s3://rtdc.mdm.uploadarchive.raw/RTDC4030/ "%USERPROFILE%\AppData\Local\Temp\OnboardLogs"\RTDC4030\2017-02-06 --exclude "*" --recursive --include "*20170206*" &amp; "%USERPROFILE%\Documents\GitHub\mrs-test-scripts\Headless Mode &amp; Sideloading\WalkAndUnGZ.bat" "%USERPROFILE%\AppData\Local\Temp\OnboardLogs"\RTDC4030\2017-02-06</v>
      </c>
      <c r="AF203" s="82" t="str">
        <f>astrogrep_path&amp;" /spath="&amp;search_path&amp;" /stypes=""app*"&amp;B203&amp;"*"&amp;TEXT(I203-utc_offset/24,"YYYYMMDD")&amp;"*"" /stext="" "&amp;TEXT(I203-utc_offset/24,"HH")&amp;search_regexp&amp;""" /e /r /s"</f>
        <v>"C:\Program Files (x86)\AstroGrep\AstroGrep.exe" /spath="%USERPROFILE%\AppData\Local\Temp\OnboardLogs" /stypes="app*4030*20170206*" /stext=" 00:.+((SYSTEM_STATE.+slice.+state.+changed )|(ment ac)|(multiple cpu faults)|(system.+state.+changed )|(\[timeout)|(PRM\|1\|D)|(kpr)|(kdp)|(\|lc)|(penalty))" /e /r /s</v>
      </c>
      <c r="AG203" s="1" t="str">
        <f>IFERROR(IF(VALUE(LEFT(AD203,2))&lt;=2,"EC",IF(OR(VALUE(LEFT(AD203,2))=8,VALUE(LEFT(AD203,2))=18),"NW","Other")),"Other")</f>
        <v>Other</v>
      </c>
      <c r="AH203" s="86" t="str">
        <f t="shared" si="16"/>
        <v>"%USERPROFILE%\Documents\GitHub\eaglep3\Utilities\RefineRTDCRunTimes.py" --tripid 52-05 --locoid 4030 --swversion DE.1.0.8.0 --startMP 300:23463 --initTime 2017-02-05T17:38:02 --startdatetime 2017-02-05T17:50:34 --delay 12 --endMP 204:81 --enddatetime 2017-02-05T17:59:38 --enforcementcount 0 &gt;&gt;C:\Users\stu\Documents\GitHub\eaglep3-reporting\EC\2017-02-05-refined-times.txt</v>
      </c>
      <c r="AI203" s="108" t="str">
        <f t="shared" si="17"/>
        <v>echo {"issue":{"subject":"","project_id":79,"tracker_id":40,"status_id":1,"priority_id":2,"assigned_to_id":23,"start_date":"2017-02-05","description":"","custom_fields":[{"id":1,"name":"Subdivision","value":"Other"},{"id":4,"name":"Milepost","value":"0.0081"},{"id":17,"name":"Train ID","value":"52-05"},{"id":16,"name":"Locomotive ID","value":"4030"},{"id":130,"name":"Impact","value":""},{"id":150,"name":"Time of Event (Mountain Time)","value":"17:59:38"},{"id":151,"name":"Denver Issue ID","value":""},{"id":178,"name":"Operational Impact","value":"Yes"},{"id":179,"name":"Denver Segment Assigned","value":""}]}} | curl -X POST -H "Content-Type: application/json" -H "X-Redmine-API-Key: d6333d4a04012a730768444271f8ca06482dae87" https://secure.xorail.net/redmine/issues.json --data @-</v>
      </c>
      <c r="AJ203" s="48"/>
      <c r="AK203" s="48"/>
      <c r="AL203" s="48"/>
      <c r="AM203" s="158" t="str">
        <f t="shared" si="18"/>
        <v>start /low /b %USERPROFILE%\Documents\GitHub\eaglep3\Utilities\DownloadLogsFromS3.py --loco 4030 --day 2017-02-05</v>
      </c>
      <c r="AN203" s="167" t="str">
        <f>"grep -SE -B400 ""CHR.+\|PRM\|1\|D.+(SWITCH|SIGNAL).+UNKNOWN"" "&amp;search_path&amp;"\RTDC"&amp;B203&amp;"\*"&amp;B203&amp;"*"&amp;TEXT(AVERAGE(F203,I203)-utc_offset/24,"YYYYMMDD")&amp;"* | grep -SE ""(Enforcement Action)|(\[TIMEOUT)|(CHR.+\|PRM\|1\|D.+(SWITCH|SIGNAL).+UNKNOWN)"" - &gt;&gt; "&amp;TEXT(Variables!$A$2,"YYYY-MM-DD")&amp;"-UncaughtWiMAX.txt"</f>
        <v>grep -SE -B400 "CHR.+\|PRM\|1\|D.+(SWITCH|SIGNAL).+UNKNOWN" "%USERPROFILE%\AppData\Local\Temp\OnboardLogs"\RTDC4030\*4030*20170206* | grep -SE "(Enforcement Action)|(\[TIMEOUT)|(CHR.+\|PRM\|1\|D.+(SWITCH|SIGNAL).+UNKNOWN)" - &gt;&gt; 2017-02-05-UncaughtWiMAX.txt</v>
      </c>
    </row>
    <row r="204" spans="1:91" x14ac:dyDescent="0.25">
      <c r="A204" s="33" t="s">
        <v>675</v>
      </c>
      <c r="B204" s="7">
        <v>4002</v>
      </c>
      <c r="C204" s="21" t="s">
        <v>193</v>
      </c>
      <c r="D204" s="21" t="s">
        <v>867</v>
      </c>
      <c r="E204" s="13">
        <v>42771.704444444447</v>
      </c>
      <c r="F204" s="13">
        <v>25568.708333333332</v>
      </c>
      <c r="G204" s="7">
        <v>1</v>
      </c>
      <c r="H204" s="21" t="s">
        <v>868</v>
      </c>
      <c r="I204" s="13">
        <v>25568.708333333332</v>
      </c>
      <c r="J204" s="7">
        <v>0</v>
      </c>
      <c r="K204" s="98" t="str">
        <f>IF(ISEVEN(B204),(B204-1)&amp;"/"&amp;B204,B204&amp;"/"&amp;(B204+1))</f>
        <v>4001/4002</v>
      </c>
      <c r="L204" s="21" t="str">
        <f>VLOOKUP(A204,'Trips&amp;Operators'!$C$1:$G$99999,5,FALSE)</f>
        <v>HOLCOMB KAMDEN</v>
      </c>
      <c r="M204" s="6">
        <f>I204-F204</f>
        <v>0</v>
      </c>
      <c r="N204" s="7">
        <f>24*60*SUM($M204:$M204)</f>
        <v>0</v>
      </c>
      <c r="O204" s="7"/>
      <c r="P204" s="7"/>
      <c r="Q204" s="22"/>
      <c r="R204" s="22"/>
      <c r="S204" s="31">
        <f>SUM(U204:U204)/IF(AG204="EC",12,1)</f>
        <v>0</v>
      </c>
      <c r="T204" s="46" t="e">
        <f>IF(ISEVEN(LEFT(AD204,4)),"Southbound","NorthBound")</f>
        <v>#VALUE!</v>
      </c>
      <c r="U204" s="190">
        <f>IF(AG204="EC",COUNTIFS(Variables!$M$2:$M$19,IF(T204="NorthBound","&gt;=","&lt;=")&amp;Y204,Variables!$M$2:$M$19,IF(T204="NorthBound","&lt;=","&gt;=")&amp;Z204),COUNTIFS(Variables!$P$2:$P$19,IF(T204="NorthBound","&gt;=","&lt;=")&amp;Y204,Variables!$P$2:$P$19,IF(T204="NorthBound","&lt;=","&gt;=")&amp;Z204))</f>
        <v>0</v>
      </c>
      <c r="V204" s="191" t="str">
        <f>"https://d0f6bd738d7f1b3e5a7ca70fe4ff75f0.us-east-1.aws.found.io/app/kibana#/discover/Steve-Slow-Train-Analysis-(2080s-and-2083s)?_g="&amp;"(refreshInterval:(display:Off,pause:!f,section:0,value:0),time:(from:'"&amp;TEXT(E204-1/24,"yyyy-MM-DDThh:mm:ss")&amp;utc_offset&amp;"00"&amp;"',mode:absolute,to:'"&amp;TEXT(I204+1/24,"yyyy-MM-DDThh:mm:ss")&amp;utc_offset&amp;"00"&amp;"'))&amp;_a=(columns:!('Locomotive+ID','Data.Head+End+Milepost',Data.Speed,'Data.Locomotive+State','Data.Train+ID',"&amp;"'Data.Warning%2FEnforcement+Type','Data.Target+Start+Milepost','Data.Target+Description','Data.Target+Speed',"&amp;"'Data.Enforcement+Train+Speed','Data.Enforcement+Start+Milepost','Data.Target+Type','Data.Enforcement+Direction+of+Travel','Message+ID',"&amp;"'Data.Body+of+Summary+Text','Data.Head+End+Track+name'),filters:!(),index:'emp_*',interval:auto,query:"&amp;"(query_string:(analyze_wildcard:!t,query:'Message%5C+ID:(2083+OR+2080+OR+1041+OR+2003+OR+1051+OR+1043+OR+1053)+AND+%22rtdc.l.rtdc."&amp;B204&amp;"%22')),sort:!(Time.ISO8601,asc))"</f>
        <v>https://d0f6bd738d7f1b3e5a7ca70fe4ff75f0.us-east-1.aws.found.io/app/kibana#/discover/Steve-Slow-Train-Analysis-(2080s-and-2083s)?_g=(refreshInterval:(display:Off,pause:!f,section:0,value:0),time:(from:'2017-02-05T15:54:24-0700',mode:absolute,to:'1969-12-31T18:00:00-0700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4002%22')),sort:!(Time.ISO8601,asc))</v>
      </c>
      <c r="W204" s="192" t="str">
        <f>IF(AA204&lt;IF(AG204="EC",23,5.65),"Y","N")</f>
        <v>Y</v>
      </c>
      <c r="X204" s="192" t="e">
        <f>VALUE(LEFT(AD204,4))-VALUE(LEFT(AD203,4))</f>
        <v>#VALUE!</v>
      </c>
      <c r="Y204" s="62">
        <f>RIGHT(D204,LEN(D204)-4)/10000</f>
        <v>0.12659999999999999</v>
      </c>
      <c r="Z204" s="62">
        <f>RIGHT(H204,LEN(H204)-4)/10000</f>
        <v>2.3294999999999999</v>
      </c>
      <c r="AA204" s="62">
        <f>ABS(Z204-Y204)</f>
        <v>2.2029000000000001</v>
      </c>
      <c r="AB204" s="59" t="e">
        <f>VLOOKUP(A204,Enforcements!$C$7:$K$16,8,0)</f>
        <v>#N/A</v>
      </c>
      <c r="AC204" s="55" t="e">
        <f>VLOOKUP(A204,Enforcements!$C$7:$E$16,3,0)</f>
        <v>#N/A</v>
      </c>
      <c r="AD204" s="56" t="str">
        <f>IF(LEN(A204)=6,"0"&amp;A204,A204)</f>
        <v>53-05</v>
      </c>
      <c r="AE204" s="85" t="str">
        <f>"aws s3 cp "&amp;s3_bucket&amp;"/RTDC"&amp;B204&amp;"/ "&amp;search_path&amp;"\RTDC"&amp;B204&amp;"\"&amp;TEXT(F204,"YYYY-MM-DD")&amp;" --exclude ""*"" --recursive --include ""*"&amp;TEXT(F204,"YYYYMMDD")&amp;"*"" &amp; """&amp;walkandungz&amp;""" "&amp;search_path&amp;"\RTDC"&amp;B204&amp;"\"&amp;TEXT(F204,"YYYY-MM-DD")
&amp;" &amp; "&amp;"aws s3 cp "&amp;s3_bucket&amp;"/RTDC"&amp;B204&amp;"/ "&amp;search_path&amp;"\RTDC"&amp;B204&amp;"\"&amp;TEXT(F204+1,"YYYY-MM-DD")&amp;" --exclude ""*"" --recursive --include ""*"&amp;TEXT(F204+1,"YYYYMMDD")&amp;"*"" &amp; """&amp;walkandungz&amp;""" "&amp;search_path&amp;"\RTDC"&amp;B204&amp;"\"&amp;TEXT(F204+1,"YYYY-MM-DD")</f>
        <v>aws s3 cp s3://rtdc.mdm.uploadarchive.raw/RTDC4002/ "%USERPROFILE%\AppData\Local\Temp\OnboardLogs"\RTDC4002\1969-12-31 --exclude "*" --recursive --include "*19691231*" &amp; "%USERPROFILE%\Documents\GitHub\mrs-test-scripts\Headless Mode &amp; Sideloading\WalkAndUnGZ.bat" "%USERPROFILE%\AppData\Local\Temp\OnboardLogs"\RTDC4002\1969-12-31 &amp; aws s3 cp s3://rtdc.mdm.uploadarchive.raw/RTDC4002/ "%USERPROFILE%\AppData\Local\Temp\OnboardLogs"\RTDC4002\1970-01-01 --exclude "*" --recursive --include "*19700101*" &amp; "%USERPROFILE%\Documents\GitHub\mrs-test-scripts\Headless Mode &amp; Sideloading\WalkAndUnGZ.bat" "%USERPROFILE%\AppData\Local\Temp\OnboardLogs"\RTDC4002\1970-01-01</v>
      </c>
      <c r="AF204" s="82" t="str">
        <f>astrogrep_path&amp;" /spath="&amp;search_path&amp;" /stypes=""app*"&amp;B204&amp;"*"&amp;TEXT(I204-utc_offset/24,"YYYYMMDD")&amp;"*"" /stext="" "&amp;TEXT(I204-utc_offset/24,"HH")&amp;search_regexp&amp;""" /e /r /s"</f>
        <v>"C:\Program Files (x86)\AstroGrep\AstroGrep.exe" /spath="%USERPROFILE%\AppData\Local\Temp\OnboardLogs" /stypes="app*4002*19700101*" /stext=" 00:.+((SYSTEM_STATE.+slice.+state.+changed )|(ment ac)|(multiple cpu faults)|(system.+state.+changed )|(\[timeout)|(PRM\|1\|D)|(kpr)|(kdp)|(\|lc)|(penalty))" /e /r /s</v>
      </c>
      <c r="AG204" s="1" t="str">
        <f>IFERROR(IF(VALUE(LEFT(AD204,2))&lt;=2,"EC",IF(OR(VALUE(LEFT(AD204,2))=8,VALUE(LEFT(AD204,2))=18),"NW","Other")),"Other")</f>
        <v>Other</v>
      </c>
      <c r="AH204" s="86" t="str">
        <f t="shared" si="16"/>
        <v>"%USERPROFILE%\Documents\GitHub\eaglep3\Utilities\RefineRTDCRunTimes.py" --tripid 53-05 --locoid 4002 --swversion DE.1.0.8.0 --startMP 204:1266 --initTime 2017-02-05T16:54:24 --startdatetime 1969-12-31T17:00:00 --delay 1 --endMP 300:23295 --enddatetime 1969-12-31T17:00:00 --enforcementcount 0 &gt;&gt;C:\Users\stu\Documents\GitHub\eaglep3-reporting\EC\2017-02-05-refined-times.txt</v>
      </c>
      <c r="AI204" s="108" t="str">
        <f t="shared" si="17"/>
        <v>echo {"issue":{"subject":"","project_id":79,"tracker_id":40,"status_id":1,"priority_id":2,"assigned_to_id":23,"start_date":"1969-12-31","description":"","custom_fields":[{"id":1,"name":"Subdivision","value":"Other"},{"id":4,"name":"Milepost","value":"2.3295"},{"id":17,"name":"Train ID","value":"53-05"},{"id":16,"name":"Locomotive ID","value":"4002"},{"id":130,"name":"Impact","value":""},{"id":150,"name":"Time of Event (Mountain Time)","value":"17:00:00"},{"id":151,"name":"Denver Issue ID","value":""},{"id":178,"name":"Operational Impact","value":"Yes"},{"id":179,"name":"Denver Segment Assigned","value":""}]}} | curl -X POST -H "Content-Type: application/json" -H "X-Redmine-API-Key: d6333d4a04012a730768444271f8ca06482dae87" https://secure.xorail.net/redmine/issues.json --data @-</v>
      </c>
      <c r="AJ204" s="48"/>
      <c r="AK204" s="48"/>
      <c r="AL204" s="48"/>
      <c r="AM204" s="158" t="str">
        <f t="shared" si="18"/>
        <v>start /low /b %USERPROFILE%\Documents\GitHub\eaglep3\Utilities\DownloadLogsFromS3.py --loco 4002 --day 1969-12-31</v>
      </c>
      <c r="AN204" s="167" t="str">
        <f>"grep -SE -B400 ""CHR.+\|PRM\|1\|D.+(SWITCH|SIGNAL).+UNKNOWN"" "&amp;search_path&amp;"\RTDC"&amp;B204&amp;"\*"&amp;B204&amp;"*"&amp;TEXT(AVERAGE(F204,I204)-utc_offset/24,"YYYYMMDD")&amp;"* | grep -SE ""(Enforcement Action)|(\[TIMEOUT)|(CHR.+\|PRM\|1\|D.+(SWITCH|SIGNAL).+UNKNOWN)"" - &gt;&gt; "&amp;TEXT(Variables!$A$2,"YYYY-MM-DD")&amp;"-UncaughtWiMAX.txt"</f>
        <v>grep -SE -B400 "CHR.+\|PRM\|1\|D.+(SWITCH|SIGNAL).+UNKNOWN" "%USERPROFILE%\AppData\Local\Temp\OnboardLogs"\RTDC4002\*4002*19700101* | grep -SE "(Enforcement Action)|(\[TIMEOUT)|(CHR.+\|PRM\|1\|D.+(SWITCH|SIGNAL).+UNKNOWN)" - &gt;&gt; 2017-02-05-UncaughtWiMAX.txt</v>
      </c>
    </row>
    <row r="205" spans="1:91" x14ac:dyDescent="0.25">
      <c r="A205" s="33" t="s">
        <v>691</v>
      </c>
      <c r="B205" s="7">
        <v>4045</v>
      </c>
      <c r="C205" s="21" t="s">
        <v>193</v>
      </c>
      <c r="D205" s="21" t="s">
        <v>869</v>
      </c>
      <c r="E205" s="13">
        <v>42771.753495370373</v>
      </c>
      <c r="F205" s="13">
        <v>42771.754930555559</v>
      </c>
      <c r="G205" s="7">
        <v>1</v>
      </c>
      <c r="H205" s="21" t="s">
        <v>870</v>
      </c>
      <c r="I205" s="13">
        <v>42771.777789351851</v>
      </c>
      <c r="J205" s="7">
        <v>0</v>
      </c>
      <c r="K205" s="98" t="str">
        <f>IF(ISEVEN(B205),(B205-1)&amp;"/"&amp;B205,B205&amp;"/"&amp;(B205+1))</f>
        <v>4045/4046</v>
      </c>
      <c r="L205" s="21" t="str">
        <f>VLOOKUP(A205,'Trips&amp;Operators'!$C$1:$G$99999,5,FALSE)</f>
        <v>COMELLA JUSTIN</v>
      </c>
      <c r="M205" s="6">
        <f>I205-F205</f>
        <v>2.2858796291984618E-2</v>
      </c>
      <c r="N205" s="7">
        <f>24*60*SUM($M205:$M205)</f>
        <v>32.91666666045785</v>
      </c>
      <c r="O205" s="7"/>
      <c r="P205" s="7"/>
      <c r="Q205" s="22"/>
      <c r="R205" s="22"/>
      <c r="S205" s="31">
        <f>SUM(U205:U205)/IF(AG205="EC",12,1)</f>
        <v>0</v>
      </c>
      <c r="T205" s="46" t="e">
        <f>IF(ISEVEN(LEFT(AD205,4)),"Southbound","NorthBound")</f>
        <v>#VALUE!</v>
      </c>
      <c r="U205" s="190">
        <f>IF(AG205="EC",COUNTIFS(Variables!$M$2:$M$19,IF(T205="NorthBound","&gt;=","&lt;=")&amp;Y205,Variables!$M$2:$M$19,IF(T205="NorthBound","&lt;=","&gt;=")&amp;Z205),COUNTIFS(Variables!$P$2:$P$19,IF(T205="NorthBound","&gt;=","&lt;=")&amp;Y205,Variables!$P$2:$P$19,IF(T205="NorthBound","&lt;=","&gt;=")&amp;Z205))</f>
        <v>0</v>
      </c>
      <c r="V205" s="191" t="str">
        <f>"https://d0f6bd738d7f1b3e5a7ca70fe4ff75f0.us-east-1.aws.found.io/app/kibana#/discover/Steve-Slow-Train-Analysis-(2080s-and-2083s)?_g="&amp;"(refreshInterval:(display:Off,pause:!f,section:0,value:0),time:(from:'"&amp;TEXT(E205-1/24,"yyyy-MM-DDThh:mm:ss")&amp;utc_offset&amp;"00"&amp;"',mode:absolute,to:'"&amp;TEXT(I205+1/24,"yyyy-MM-DDThh:mm:ss")&amp;utc_offset&amp;"00"&amp;"'))&amp;_a=(columns:!('Locomotive+ID','Data.Head+End+Milepost',Data.Speed,'Data.Locomotive+State','Data.Train+ID',"&amp;"'Data.Warning%2FEnforcement+Type','Data.Target+Start+Milepost','Data.Target+Description','Data.Target+Speed',"&amp;"'Data.Enforcement+Train+Speed','Data.Enforcement+Start+Milepost','Data.Target+Type','Data.Enforcement+Direction+of+Travel','Message+ID',"&amp;"'Data.Body+of+Summary+Text','Data.Head+End+Track+name'),filters:!(),index:'emp_*',interval:auto,query:"&amp;"(query_string:(analyze_wildcard:!t,query:'Message%5C+ID:(2083+OR+2080+OR+1041+OR+2003+OR+1051+OR+1043+OR+1053)+AND+%22rtdc.l.rtdc."&amp;B205&amp;"%22')),sort:!(Time.ISO8601,asc))"</f>
        <v>https://d0f6bd738d7f1b3e5a7ca70fe4ff75f0.us-east-1.aws.found.io/app/kibana#/discover/Steve-Slow-Train-Analysis-(2080s-and-2083s)?_g=(refreshInterval:(display:Off,pause:!f,section:0,value:0),time:(from:'2017-02-05T17:05:02-0700',mode:absolute,to:'2017-02-05T19:40:01-0700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4045%22')),sort:!(Time.ISO8601,asc))</v>
      </c>
      <c r="W205" s="192" t="str">
        <f>IF(AA205&lt;IF(AG205="EC",23,5.65),"Y","N")</f>
        <v>Y</v>
      </c>
      <c r="X205" s="192" t="e">
        <f>VALUE(LEFT(AD205,4))-VALUE(LEFT(AD204,4))</f>
        <v>#VALUE!</v>
      </c>
      <c r="Y205" s="62">
        <f>RIGHT(D205,LEN(D205)-4)/10000</f>
        <v>2.3161</v>
      </c>
      <c r="Z205" s="62">
        <f>RIGHT(H205,LEN(H205)-4)/10000</f>
        <v>0.20039999999999999</v>
      </c>
      <c r="AA205" s="62">
        <f>ABS(Z205-Y205)</f>
        <v>2.1156999999999999</v>
      </c>
      <c r="AB205" s="59" t="e">
        <f>VLOOKUP(A205,Enforcements!$C$7:$K$16,8,0)</f>
        <v>#N/A</v>
      </c>
      <c r="AC205" s="55" t="e">
        <f>VLOOKUP(A205,Enforcements!$C$7:$E$16,3,0)</f>
        <v>#N/A</v>
      </c>
      <c r="AD205" s="56" t="str">
        <f>IF(LEN(A205)=6,"0"&amp;A205,A205)</f>
        <v>54-05</v>
      </c>
      <c r="AE205" s="85" t="str">
        <f>"aws s3 cp "&amp;s3_bucket&amp;"/RTDC"&amp;B205&amp;"/ "&amp;search_path&amp;"\RTDC"&amp;B205&amp;"\"&amp;TEXT(F205,"YYYY-MM-DD")&amp;" --exclude ""*"" --recursive --include ""*"&amp;TEXT(F205,"YYYYMMDD")&amp;"*"" &amp; """&amp;walkandungz&amp;""" "&amp;search_path&amp;"\RTDC"&amp;B205&amp;"\"&amp;TEXT(F205,"YYYY-MM-DD")
&amp;" &amp; "&amp;"aws s3 cp "&amp;s3_bucket&amp;"/RTDC"&amp;B205&amp;"/ "&amp;search_path&amp;"\RTDC"&amp;B205&amp;"\"&amp;TEXT(F205+1,"YYYY-MM-DD")&amp;" --exclude ""*"" --recursive --include ""*"&amp;TEXT(F205+1,"YYYYMMDD")&amp;"*"" &amp; """&amp;walkandungz&amp;""" "&amp;search_path&amp;"\RTDC"&amp;B205&amp;"\"&amp;TEXT(F205+1,"YYYY-MM-DD")</f>
        <v>aws s3 cp s3://rtdc.mdm.uploadarchive.raw/RTDC4045/ "%USERPROFILE%\AppData\Local\Temp\OnboardLogs"\RTDC4045\2017-02-05 --exclude "*" --recursive --include "*20170205*" &amp; "%USERPROFILE%\Documents\GitHub\mrs-test-scripts\Headless Mode &amp; Sideloading\WalkAndUnGZ.bat" "%USERPROFILE%\AppData\Local\Temp\OnboardLogs"\RTDC4045\2017-02-05 &amp; aws s3 cp s3://rtdc.mdm.uploadarchive.raw/RTDC4045/ "%USERPROFILE%\AppData\Local\Temp\OnboardLogs"\RTDC4045\2017-02-06 --exclude "*" --recursive --include "*20170206*" &amp; "%USERPROFILE%\Documents\GitHub\mrs-test-scripts\Headless Mode &amp; Sideloading\WalkAndUnGZ.bat" "%USERPROFILE%\AppData\Local\Temp\OnboardLogs"\RTDC4045\2017-02-06</v>
      </c>
      <c r="AF205" s="82" t="str">
        <f>astrogrep_path&amp;" /spath="&amp;search_path&amp;" /stypes=""app*"&amp;B205&amp;"*"&amp;TEXT(I205-utc_offset/24,"YYYYMMDD")&amp;"*"" /stext="" "&amp;TEXT(I205-utc_offset/24,"HH")&amp;search_regexp&amp;""" /e /r /s"</f>
        <v>"C:\Program Files (x86)\AstroGrep\AstroGrep.exe" /spath="%USERPROFILE%\AppData\Local\Temp\OnboardLogs" /stypes="app*4045*20170206*" /stext=" 01:.+((SYSTEM_STATE.+slice.+state.+changed )|(ment ac)|(multiple cpu faults)|(system.+state.+changed )|(\[timeout)|(PRM\|1\|D)|(kpr)|(kdp)|(\|lc)|(penalty))" /e /r /s</v>
      </c>
      <c r="AG205" s="1" t="str">
        <f>IFERROR(IF(VALUE(LEFT(AD205,2))&lt;=2,"EC",IF(OR(VALUE(LEFT(AD205,2))=8,VALUE(LEFT(AD205,2))=18),"NW","Other")),"Other")</f>
        <v>Other</v>
      </c>
      <c r="AH205" s="86" t="str">
        <f t="shared" si="16"/>
        <v>"%USERPROFILE%\Documents\GitHub\eaglep3\Utilities\RefineRTDCRunTimes.py" --tripid 54-05 --locoid 4045 --swversion DE.1.0.8.0 --startMP 300:23161 --initTime 2017-02-05T18:05:02 --startdatetime 2017-02-05T18:07:06 --delay 1 --endMP 204:2004 --enddatetime 2017-02-05T18:40:01 --enforcementcount 0 &gt;&gt;C:\Users\stu\Documents\GitHub\eaglep3-reporting\EC\2017-02-05-refined-times.txt</v>
      </c>
      <c r="AI205" s="108" t="str">
        <f t="shared" si="17"/>
        <v>echo {"issue":{"subject":"","project_id":79,"tracker_id":40,"status_id":1,"priority_id":2,"assigned_to_id":23,"start_date":"2017-02-05","description":"","custom_fields":[{"id":1,"name":"Subdivision","value":"Other"},{"id":4,"name":"Milepost","value":"0.2004"},{"id":17,"name":"Train ID","value":"54-05"},{"id":16,"name":"Locomotive ID","value":"4045"},{"id":130,"name":"Impact","value":""},{"id":150,"name":"Time of Event (Mountain Time)","value":"18:40:01"},{"id":151,"name":"Denver Issue ID","value":""},{"id":178,"name":"Operational Impact","value":"Yes"},{"id":179,"name":"Denver Segment Assigned","value":""}]}} | curl -X POST -H "Content-Type: application/json" -H "X-Redmine-API-Key: d6333d4a04012a730768444271f8ca06482dae87" https://secure.xorail.net/redmine/issues.json --data @-</v>
      </c>
      <c r="AJ205" s="48"/>
      <c r="AK205" s="48"/>
      <c r="AL205" s="48"/>
      <c r="AM205" s="158" t="str">
        <f t="shared" si="18"/>
        <v>start /low /b %USERPROFILE%\Documents\GitHub\eaglep3\Utilities\DownloadLogsFromS3.py --loco 4045 --day 2017-02-05</v>
      </c>
      <c r="AN205" s="167" t="str">
        <f>"grep -SE -B400 ""CHR.+\|PRM\|1\|D.+(SWITCH|SIGNAL).+UNKNOWN"" "&amp;search_path&amp;"\RTDC"&amp;B205&amp;"\*"&amp;B205&amp;"*"&amp;TEXT(AVERAGE(F205,I205)-utc_offset/24,"YYYYMMDD")&amp;"* | grep -SE ""(Enforcement Action)|(\[TIMEOUT)|(CHR.+\|PRM\|1\|D.+(SWITCH|SIGNAL).+UNKNOWN)"" - &gt;&gt; "&amp;TEXT(Variables!$A$2,"YYYY-MM-DD")&amp;"-UncaughtWiMAX.txt"</f>
        <v>grep -SE -B400 "CHR.+\|PRM\|1\|D.+(SWITCH|SIGNAL).+UNKNOWN" "%USERPROFILE%\AppData\Local\Temp\OnboardLogs"\RTDC4045\*4045*20170206* | grep -SE "(Enforcement Action)|(\[TIMEOUT)|(CHR.+\|PRM\|1\|D.+(SWITCH|SIGNAL).+UNKNOWN)" - &gt;&gt; 2017-02-05-UncaughtWiMAX.txt</v>
      </c>
    </row>
    <row r="206" spans="1:91" x14ac:dyDescent="0.25">
      <c r="A206" s="33" t="s">
        <v>695</v>
      </c>
      <c r="B206" s="7">
        <v>4029</v>
      </c>
      <c r="C206" s="21" t="s">
        <v>193</v>
      </c>
      <c r="D206" s="21" t="s">
        <v>871</v>
      </c>
      <c r="E206" s="13">
        <v>42771.767256944448</v>
      </c>
      <c r="F206" s="13">
        <v>25568.708333333332</v>
      </c>
      <c r="G206" s="7">
        <v>1</v>
      </c>
      <c r="H206" s="21" t="s">
        <v>334</v>
      </c>
      <c r="I206" s="13">
        <v>25568.708333333332</v>
      </c>
      <c r="J206" s="7">
        <v>0</v>
      </c>
      <c r="K206" s="98" t="str">
        <f>IF(ISEVEN(B206),(B206-1)&amp;"/"&amp;B206,B206&amp;"/"&amp;(B206+1))</f>
        <v>4029/4030</v>
      </c>
      <c r="L206" s="21" t="str">
        <f>VLOOKUP(A206,'Trips&amp;Operators'!$C$1:$G$99999,5,FALSE)</f>
        <v>LEVIN SCOTT</v>
      </c>
      <c r="M206" s="6">
        <f>I206-F206</f>
        <v>0</v>
      </c>
      <c r="N206" s="7">
        <f>24*60*SUM($M206:$M206)</f>
        <v>0</v>
      </c>
      <c r="O206" s="7"/>
      <c r="P206" s="7"/>
      <c r="Q206" s="22"/>
      <c r="R206" s="22"/>
      <c r="S206" s="31">
        <f>SUM(U206:U206)/IF(AG206="EC",12,1)</f>
        <v>0</v>
      </c>
      <c r="T206" s="46" t="e">
        <f>IF(ISEVEN(LEFT(AD206,4)),"Southbound","NorthBound")</f>
        <v>#VALUE!</v>
      </c>
      <c r="U206" s="190">
        <f>IF(AG206="EC",COUNTIFS(Variables!$M$2:$M$19,IF(T206="NorthBound","&gt;=","&lt;=")&amp;Y206,Variables!$M$2:$M$19,IF(T206="NorthBound","&lt;=","&gt;=")&amp;Z206),COUNTIFS(Variables!$P$2:$P$19,IF(T206="NorthBound","&gt;=","&lt;=")&amp;Y206,Variables!$P$2:$P$19,IF(T206="NorthBound","&lt;=","&gt;=")&amp;Z206))</f>
        <v>0</v>
      </c>
      <c r="V206" s="191" t="str">
        <f>"https://d0f6bd738d7f1b3e5a7ca70fe4ff75f0.us-east-1.aws.found.io/app/kibana#/discover/Steve-Slow-Train-Analysis-(2080s-and-2083s)?_g="&amp;"(refreshInterval:(display:Off,pause:!f,section:0,value:0),time:(from:'"&amp;TEXT(E206-1/24,"yyyy-MM-DDThh:mm:ss")&amp;utc_offset&amp;"00"&amp;"',mode:absolute,to:'"&amp;TEXT(I206+1/24,"yyyy-MM-DDThh:mm:ss")&amp;utc_offset&amp;"00"&amp;"'))&amp;_a=(columns:!('Locomotive+ID','Data.Head+End+Milepost',Data.Speed,'Data.Locomotive+State','Data.Train+ID',"&amp;"'Data.Warning%2FEnforcement+Type','Data.Target+Start+Milepost','Data.Target+Description','Data.Target+Speed',"&amp;"'Data.Enforcement+Train+Speed','Data.Enforcement+Start+Milepost','Data.Target+Type','Data.Enforcement+Direction+of+Travel','Message+ID',"&amp;"'Data.Body+of+Summary+Text','Data.Head+End+Track+name'),filters:!(),index:'emp_*',interval:auto,query:"&amp;"(query_string:(analyze_wildcard:!t,query:'Message%5C+ID:(2083+OR+2080+OR+1041+OR+2003+OR+1051+OR+1043+OR+1053)+AND+%22rtdc.l.rtdc."&amp;B206&amp;"%22')),sort:!(Time.ISO8601,asc))"</f>
        <v>https://d0f6bd738d7f1b3e5a7ca70fe4ff75f0.us-east-1.aws.found.io/app/kibana#/discover/Steve-Slow-Train-Analysis-(2080s-and-2083s)?_g=(refreshInterval:(display:Off,pause:!f,section:0,value:0),time:(from:'2017-02-05T17:24:51-0700',mode:absolute,to:'1969-12-31T18:00:00-0700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4029%22')),sort:!(Time.ISO8601,asc))</v>
      </c>
      <c r="W206" s="192" t="str">
        <f>IF(AA206&lt;IF(AG206="EC",23,5.65),"Y","N")</f>
        <v>Y</v>
      </c>
      <c r="X206" s="192" t="e">
        <f>VALUE(LEFT(AD206,4))-VALUE(LEFT(AD205,4))</f>
        <v>#VALUE!</v>
      </c>
      <c r="Y206" s="62">
        <f>RIGHT(D206,LEN(D206)-4)/10000</f>
        <v>3.85E-2</v>
      </c>
      <c r="Z206" s="62">
        <f>RIGHT(H206,LEN(H206)-4)/10000</f>
        <v>2.3346</v>
      </c>
      <c r="AA206" s="62">
        <f>ABS(Z206-Y206)</f>
        <v>2.2961</v>
      </c>
      <c r="AB206" s="59" t="e">
        <f>VLOOKUP(A206,Enforcements!$C$7:$K$16,8,0)</f>
        <v>#N/A</v>
      </c>
      <c r="AC206" s="55" t="e">
        <f>VLOOKUP(A206,Enforcements!$C$7:$E$16,3,0)</f>
        <v>#N/A</v>
      </c>
      <c r="AD206" s="56" t="str">
        <f>IF(LEN(A206)=6,"0"&amp;A206,A206)</f>
        <v>55-05</v>
      </c>
      <c r="AE206" s="85" t="str">
        <f>"aws s3 cp "&amp;s3_bucket&amp;"/RTDC"&amp;B206&amp;"/ "&amp;search_path&amp;"\RTDC"&amp;B206&amp;"\"&amp;TEXT(F206,"YYYY-MM-DD")&amp;" --exclude ""*"" --recursive --include ""*"&amp;TEXT(F206,"YYYYMMDD")&amp;"*"" &amp; """&amp;walkandungz&amp;""" "&amp;search_path&amp;"\RTDC"&amp;B206&amp;"\"&amp;TEXT(F206,"YYYY-MM-DD")
&amp;" &amp; "&amp;"aws s3 cp "&amp;s3_bucket&amp;"/RTDC"&amp;B206&amp;"/ "&amp;search_path&amp;"\RTDC"&amp;B206&amp;"\"&amp;TEXT(F206+1,"YYYY-MM-DD")&amp;" --exclude ""*"" --recursive --include ""*"&amp;TEXT(F206+1,"YYYYMMDD")&amp;"*"" &amp; """&amp;walkandungz&amp;""" "&amp;search_path&amp;"\RTDC"&amp;B206&amp;"\"&amp;TEXT(F206+1,"YYYY-MM-DD")</f>
        <v>aws s3 cp s3://rtdc.mdm.uploadarchive.raw/RTDC4029/ "%USERPROFILE%\AppData\Local\Temp\OnboardLogs"\RTDC4029\1969-12-31 --exclude "*" --recursive --include "*19691231*" &amp; "%USERPROFILE%\Documents\GitHub\mrs-test-scripts\Headless Mode &amp; Sideloading\WalkAndUnGZ.bat" "%USERPROFILE%\AppData\Local\Temp\OnboardLogs"\RTDC4029\1969-12-31 &amp; aws s3 cp s3://rtdc.mdm.uploadarchive.raw/RTDC4029/ "%USERPROFILE%\AppData\Local\Temp\OnboardLogs"\RTDC4029\1970-01-01 --exclude "*" --recursive --include "*19700101*" &amp; "%USERPROFILE%\Documents\GitHub\mrs-test-scripts\Headless Mode &amp; Sideloading\WalkAndUnGZ.bat" "%USERPROFILE%\AppData\Local\Temp\OnboardLogs"\RTDC4029\1970-01-01</v>
      </c>
      <c r="AF206" s="82" t="str">
        <f>astrogrep_path&amp;" /spath="&amp;search_path&amp;" /stypes=""app*"&amp;B206&amp;"*"&amp;TEXT(I206-utc_offset/24,"YYYYMMDD")&amp;"*"" /stext="" "&amp;TEXT(I206-utc_offset/24,"HH")&amp;search_regexp&amp;""" /e /r /s"</f>
        <v>"C:\Program Files (x86)\AstroGrep\AstroGrep.exe" /spath="%USERPROFILE%\AppData\Local\Temp\OnboardLogs" /stypes="app*4029*19700101*" /stext=" 00:.+((SYSTEM_STATE.+slice.+state.+changed )|(ment ac)|(multiple cpu faults)|(system.+state.+changed )|(\[timeout)|(PRM\|1\|D)|(kpr)|(kdp)|(\|lc)|(penalty))" /e /r /s</v>
      </c>
      <c r="AG206" s="1" t="str">
        <f>IFERROR(IF(VALUE(LEFT(AD206,2))&lt;=2,"EC",IF(OR(VALUE(LEFT(AD206,2))=8,VALUE(LEFT(AD206,2))=18),"NW","Other")),"Other")</f>
        <v>Other</v>
      </c>
      <c r="AH206" s="86" t="str">
        <f t="shared" si="16"/>
        <v>"%USERPROFILE%\Documents\GitHub\eaglep3\Utilities\RefineRTDCRunTimes.py" --tripid 55-05 --locoid 4029 --swversion DE.1.0.8.0 --startMP 204:385 --initTime 2017-02-05T18:24:51 --startdatetime 1969-12-31T17:00:00 --delay 1 --endMP 300:23346 --enddatetime 1969-12-31T17:00:00 --enforcementcount 0 &gt;&gt;C:\Users\stu\Documents\GitHub\eaglep3-reporting\EC\2017-02-05-refined-times.txt</v>
      </c>
      <c r="AI206" s="108" t="str">
        <f t="shared" si="17"/>
        <v>echo {"issue":{"subject":"","project_id":79,"tracker_id":40,"status_id":1,"priority_id":2,"assigned_to_id":23,"start_date":"1969-12-31","description":"","custom_fields":[{"id":1,"name":"Subdivision","value":"Other"},{"id":4,"name":"Milepost","value":"2.3346"},{"id":17,"name":"Train ID","value":"55-05"},{"id":16,"name":"Locomotive ID","value":"4029"},{"id":130,"name":"Impact","value":""},{"id":150,"name":"Time of Event (Mountain Time)","value":"17:00:00"},{"id":151,"name":"Denver Issue ID","value":""},{"id":178,"name":"Operational Impact","value":"Yes"},{"id":179,"name":"Denver Segment Assigned","value":""}]}} | curl -X POST -H "Content-Type: application/json" -H "X-Redmine-API-Key: d6333d4a04012a730768444271f8ca06482dae87" https://secure.xorail.net/redmine/issues.json --data @-</v>
      </c>
      <c r="AJ206" s="48"/>
      <c r="AK206" s="48"/>
      <c r="AL206" s="48"/>
      <c r="AM206" s="158" t="str">
        <f t="shared" si="18"/>
        <v>start /low /b %USERPROFILE%\Documents\GitHub\eaglep3\Utilities\DownloadLogsFromS3.py --loco 4029 --day 1969-12-31</v>
      </c>
      <c r="AN206" s="167" t="str">
        <f>"grep -SE -B400 ""CHR.+\|PRM\|1\|D.+(SWITCH|SIGNAL).+UNKNOWN"" "&amp;search_path&amp;"\RTDC"&amp;B206&amp;"\*"&amp;B206&amp;"*"&amp;TEXT(AVERAGE(F206,I206)-utc_offset/24,"YYYYMMDD")&amp;"* | grep -SE ""(Enforcement Action)|(\[TIMEOUT)|(CHR.+\|PRM\|1\|D.+(SWITCH|SIGNAL).+UNKNOWN)"" - &gt;&gt; "&amp;TEXT(Variables!$A$2,"YYYY-MM-DD")&amp;"-UncaughtWiMAX.txt"</f>
        <v>grep -SE -B400 "CHR.+\|PRM\|1\|D.+(SWITCH|SIGNAL).+UNKNOWN" "%USERPROFILE%\AppData\Local\Temp\OnboardLogs"\RTDC4029\*4029*19700101* | grep -SE "(Enforcement Action)|(\[TIMEOUT)|(CHR.+\|PRM\|1\|D.+(SWITCH|SIGNAL).+UNKNOWN)" - &gt;&gt; 2017-02-05-UncaughtWiMAX.txt</v>
      </c>
    </row>
    <row r="207" spans="1:91" x14ac:dyDescent="0.25">
      <c r="A207" s="33" t="s">
        <v>705</v>
      </c>
      <c r="B207" s="7">
        <v>4056</v>
      </c>
      <c r="C207" s="21" t="s">
        <v>193</v>
      </c>
      <c r="D207" s="21" t="s">
        <v>872</v>
      </c>
      <c r="E207" s="13">
        <v>42771.80369212963</v>
      </c>
      <c r="F207" s="13">
        <v>42771.815243055556</v>
      </c>
      <c r="G207" s="7">
        <v>15</v>
      </c>
      <c r="H207" s="21">
        <v>8.5361111111111114</v>
      </c>
      <c r="I207" s="13">
        <v>42771.820763888885</v>
      </c>
      <c r="J207" s="7">
        <v>0</v>
      </c>
      <c r="K207" s="98" t="str">
        <f>IF(ISEVEN(B207),(B207-1)&amp;"/"&amp;B207,B207&amp;"/"&amp;(B207+1))</f>
        <v>4055/4056</v>
      </c>
      <c r="L207" s="21" t="str">
        <f>VLOOKUP(A207,'Trips&amp;Operators'!$C$1:$G$99999,5,FALSE)</f>
        <v>SIMMONS SHYHESHA</v>
      </c>
      <c r="M207" s="6">
        <f>I207-F207</f>
        <v>5.5208333287737332E-3</v>
      </c>
      <c r="N207" s="7">
        <f>24*60*SUM($M207:$M207)</f>
        <v>7.9499999934341758</v>
      </c>
      <c r="O207" s="7"/>
      <c r="P207" s="7"/>
      <c r="Q207" s="22"/>
      <c r="R207" s="22"/>
      <c r="S207" s="31">
        <f>SUM(U207:U207)/IF(AG207="EC",12,1)</f>
        <v>0</v>
      </c>
      <c r="T207" s="46" t="e">
        <f>IF(ISEVEN(LEFT(AD207,4)),"Southbound","NorthBound")</f>
        <v>#VALUE!</v>
      </c>
      <c r="U207" s="190">
        <f>IF(AG207="EC",COUNTIFS(Variables!$M$2:$M$19,IF(T207="NorthBound","&gt;=","&lt;=")&amp;Y207,Variables!$M$2:$M$19,IF(T207="NorthBound","&lt;=","&gt;=")&amp;Z207),COUNTIFS(Variables!$P$2:$P$19,IF(T207="NorthBound","&gt;=","&lt;=")&amp;Y207,Variables!$P$2:$P$19,IF(T207="NorthBound","&lt;=","&gt;=")&amp;Z207))</f>
        <v>0</v>
      </c>
      <c r="V207" s="191" t="str">
        <f>"https://d0f6bd738d7f1b3e5a7ca70fe4ff75f0.us-east-1.aws.found.io/app/kibana#/discover/Steve-Slow-Train-Analysis-(2080s-and-2083s)?_g="&amp;"(refreshInterval:(display:Off,pause:!f,section:0,value:0),time:(from:'"&amp;TEXT(E207-1/24,"yyyy-MM-DDThh:mm:ss")&amp;utc_offset&amp;"00"&amp;"',mode:absolute,to:'"&amp;TEXT(I207+1/24,"yyyy-MM-DDThh:mm:ss")&amp;utc_offset&amp;"00"&amp;"'))&amp;_a=(columns:!('Locomotive+ID','Data.Head+End+Milepost',Data.Speed,'Data.Locomotive+State','Data.Train+ID',"&amp;"'Data.Warning%2FEnforcement+Type','Data.Target+Start+Milepost','Data.Target+Description','Data.Target+Speed',"&amp;"'Data.Enforcement+Train+Speed','Data.Enforcement+Start+Milepost','Data.Target+Type','Data.Enforcement+Direction+of+Travel','Message+ID',"&amp;"'Data.Body+of+Summary+Text','Data.Head+End+Track+name'),filters:!(),index:'emp_*',interval:auto,query:"&amp;"(query_string:(analyze_wildcard:!t,query:'Message%5C+ID:(2083+OR+2080+OR+1041+OR+2003+OR+1051+OR+1043+OR+1053)+AND+%22rtdc.l.rtdc."&amp;B207&amp;"%22')),sort:!(Time.ISO8601,asc))"</f>
        <v>https://d0f6bd738d7f1b3e5a7ca70fe4ff75f0.us-east-1.aws.found.io/app/kibana#/discover/Steve-Slow-Train-Analysis-(2080s-and-2083s)?_g=(refreshInterval:(display:Off,pause:!f,section:0,value:0),time:(from:'2017-02-05T18:17:19-0700',mode:absolute,to:'2017-02-05T20:41:54-0700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4056%22')),sort:!(Time.ISO8601,asc))</v>
      </c>
      <c r="W207" s="192" t="str">
        <f>IF(AA207&lt;IF(AG207="EC",23,5.65),"Y","N")</f>
        <v>N</v>
      </c>
      <c r="X207" s="192" t="e">
        <f>VALUE(LEFT(AD207,4))-VALUE(LEFT(AD206,4))</f>
        <v>#VALUE!</v>
      </c>
      <c r="Y207" s="62">
        <f>RIGHT(D207,LEN(D207)-4)/10000</f>
        <v>2.3108</v>
      </c>
      <c r="Z207" s="62">
        <f>RIGHT(H207,LEN(H207)-4)/10000</f>
        <v>61111111.111100003</v>
      </c>
      <c r="AA207" s="62">
        <f>ABS(Z207-Y207)</f>
        <v>61111108.800300002</v>
      </c>
      <c r="AB207" s="59" t="e">
        <f>VLOOKUP(A207,Enforcements!$C$7:$K$16,8,0)</f>
        <v>#N/A</v>
      </c>
      <c r="AC207" s="55" t="e">
        <f>VLOOKUP(A207,Enforcements!$C$7:$E$16,3,0)</f>
        <v>#N/A</v>
      </c>
      <c r="AD207" s="56" t="str">
        <f>IF(LEN(A207)=6,"0"&amp;A207,A207)</f>
        <v>58-05</v>
      </c>
      <c r="AE207" s="85" t="str">
        <f>"aws s3 cp "&amp;s3_bucket&amp;"/RTDC"&amp;B207&amp;"/ "&amp;search_path&amp;"\RTDC"&amp;B207&amp;"\"&amp;TEXT(F207,"YYYY-MM-DD")&amp;" --exclude ""*"" --recursive --include ""*"&amp;TEXT(F207,"YYYYMMDD")&amp;"*"" &amp; """&amp;walkandungz&amp;""" "&amp;search_path&amp;"\RTDC"&amp;B207&amp;"\"&amp;TEXT(F207,"YYYY-MM-DD")
&amp;" &amp; "&amp;"aws s3 cp "&amp;s3_bucket&amp;"/RTDC"&amp;B207&amp;"/ "&amp;search_path&amp;"\RTDC"&amp;B207&amp;"\"&amp;TEXT(F207+1,"YYYY-MM-DD")&amp;" --exclude ""*"" --recursive --include ""*"&amp;TEXT(F207+1,"YYYYMMDD")&amp;"*"" &amp; """&amp;walkandungz&amp;""" "&amp;search_path&amp;"\RTDC"&amp;B207&amp;"\"&amp;TEXT(F207+1,"YYYY-MM-DD")</f>
        <v>aws s3 cp s3://rtdc.mdm.uploadarchive.raw/RTDC4056/ "%USERPROFILE%\AppData\Local\Temp\OnboardLogs"\RTDC4056\2017-02-05 --exclude "*" --recursive --include "*20170205*" &amp; "%USERPROFILE%\Documents\GitHub\mrs-test-scripts\Headless Mode &amp; Sideloading\WalkAndUnGZ.bat" "%USERPROFILE%\AppData\Local\Temp\OnboardLogs"\RTDC4056\2017-02-05 &amp; aws s3 cp s3://rtdc.mdm.uploadarchive.raw/RTDC4056/ "%USERPROFILE%\AppData\Local\Temp\OnboardLogs"\RTDC4056\2017-02-06 --exclude "*" --recursive --include "*20170206*" &amp; "%USERPROFILE%\Documents\GitHub\mrs-test-scripts\Headless Mode &amp; Sideloading\WalkAndUnGZ.bat" "%USERPROFILE%\AppData\Local\Temp\OnboardLogs"\RTDC4056\2017-02-06</v>
      </c>
      <c r="AF207" s="82" t="str">
        <f>astrogrep_path&amp;" /spath="&amp;search_path&amp;" /stypes=""app*"&amp;B207&amp;"*"&amp;TEXT(I207-utc_offset/24,"YYYYMMDD")&amp;"*"" /stext="" "&amp;TEXT(I207-utc_offset/24,"HH")&amp;search_regexp&amp;""" /e /r /s"</f>
        <v>"C:\Program Files (x86)\AstroGrep\AstroGrep.exe" /spath="%USERPROFILE%\AppData\Local\Temp\OnboardLogs" /stypes="app*4056*20170206*" /stext=" 02:.+((SYSTEM_STATE.+slice.+state.+changed )|(ment ac)|(multiple cpu faults)|(system.+state.+changed )|(\[timeout)|(PRM\|1\|D)|(kpr)|(kdp)|(\|lc)|(penalty))" /e /r /s</v>
      </c>
      <c r="AG207" s="1" t="str">
        <f>IFERROR(IF(VALUE(LEFT(AD207,2))&lt;=2,"EC",IF(OR(VALUE(LEFT(AD207,2))=8,VALUE(LEFT(AD207,2))=18),"NW","Other")),"Other")</f>
        <v>Other</v>
      </c>
      <c r="AH207" s="86" t="str">
        <f t="shared" si="16"/>
        <v>"%USERPROFILE%\Documents\GitHub\eaglep3\Utilities\RefineRTDCRunTimes.py" --tripid 58-05 --locoid 4056 --swversion DE.1.0.8.0 --startMP 300:23108 --initTime 2017-02-05T19:17:19 --startdatetime 2017-02-05T19:33:57 --delay 15 --endMP 8.53611111111111 --enddatetime 2017-02-05T19:41:54 --enforcementcount 0 &gt;&gt;C:\Users\stu\Documents\GitHub\eaglep3-reporting\EC\2017-02-05-refined-times.txt</v>
      </c>
      <c r="AI207" s="108" t="str">
        <f t="shared" si="17"/>
        <v>echo {"issue":{"subject":"","project_id":79,"tracker_id":40,"status_id":1,"priority_id":2,"assigned_to_id":23,"start_date":"2017-02-05","description":"","custom_fields":[{"id":1,"name":"Subdivision","value":"Other"},{"id":4,"name":"Milepost","value":"61111111.1111"},{"id":17,"name":"Train ID","value":"58-05"},{"id":16,"name":"Locomotive ID","value":"4056"},{"id":130,"name":"Impact","value":""},{"id":150,"name":"Time of Event (Mountain Time)","value":"19:41:54"},{"id":151,"name":"Denver Issue ID","value":""},{"id":178,"name":"Operational Impact","value":"Yes"},{"id":179,"name":"Denver Segment Assigned","value":""}]}} | curl -X POST -H "Content-Type: application/json" -H "X-Redmine-API-Key: d6333d4a04012a730768444271f8ca06482dae87" https://secure.xorail.net/redmine/issues.json --data @-</v>
      </c>
      <c r="AJ207" s="48"/>
      <c r="AK207" s="48"/>
      <c r="AL207" s="48"/>
      <c r="AM207" s="158" t="str">
        <f t="shared" si="18"/>
        <v>start /low /b %USERPROFILE%\Documents\GitHub\eaglep3\Utilities\DownloadLogsFromS3.py --loco 4056 --day 2017-02-05</v>
      </c>
      <c r="AN207" s="167" t="str">
        <f>"grep -SE -B400 ""CHR.+\|PRM\|1\|D.+(SWITCH|SIGNAL).+UNKNOWN"" "&amp;search_path&amp;"\RTDC"&amp;B207&amp;"\*"&amp;B207&amp;"*"&amp;TEXT(AVERAGE(F207,I207)-utc_offset/24,"YYYYMMDD")&amp;"* | grep -SE ""(Enforcement Action)|(\[TIMEOUT)|(CHR.+\|PRM\|1\|D.+(SWITCH|SIGNAL).+UNKNOWN)"" - &gt;&gt; "&amp;TEXT(Variables!$A$2,"YYYY-MM-DD")&amp;"-UncaughtWiMAX.txt"</f>
        <v>grep -SE -B400 "CHR.+\|PRM\|1\|D.+(SWITCH|SIGNAL).+UNKNOWN" "%USERPROFILE%\AppData\Local\Temp\OnboardLogs"\RTDC4056\*4056*20170206* | grep -SE "(Enforcement Action)|(\[TIMEOUT)|(CHR.+\|PRM\|1\|D.+(SWITCH|SIGNAL).+UNKNOWN)" - &gt;&gt; 2017-02-05-UncaughtWiMAX.txt</v>
      </c>
    </row>
    <row r="208" spans="1:91" x14ac:dyDescent="0.25">
      <c r="A208" s="33" t="s">
        <v>532</v>
      </c>
      <c r="B208" s="7">
        <v>4057</v>
      </c>
      <c r="C208" s="21" t="s">
        <v>193</v>
      </c>
      <c r="D208" s="21" t="s">
        <v>873</v>
      </c>
      <c r="E208" s="13">
        <v>42771.077662037038</v>
      </c>
      <c r="F208" s="13">
        <v>42771.078969907408</v>
      </c>
      <c r="G208" s="7">
        <v>0</v>
      </c>
      <c r="H208" s="21" t="s">
        <v>874</v>
      </c>
      <c r="I208" s="13">
        <v>42771.115937499999</v>
      </c>
      <c r="J208" s="7">
        <v>0</v>
      </c>
      <c r="K208" s="98" t="str">
        <f>IF(ISEVEN(B208),(B208-1)&amp;"/"&amp;B208,B208&amp;"/"&amp;(B208+1))</f>
        <v>4057/4058</v>
      </c>
      <c r="L208" s="21" t="str">
        <f>VLOOKUP(A208,'Trips&amp;Operators'!$C$1:$G$99999,5,FALSE)</f>
        <v>SIMMONS SHYHESHA</v>
      </c>
      <c r="M208" s="6">
        <f>I208-F208</f>
        <v>3.6967592590372078E-2</v>
      </c>
      <c r="N208" s="7">
        <f>24*60*SUM($M208:$M208)</f>
        <v>53.233333330135792</v>
      </c>
      <c r="O208" s="7"/>
      <c r="P208" s="7"/>
      <c r="Q208" s="22"/>
      <c r="R208" s="22"/>
      <c r="S208" s="31">
        <f>SUM(U208:U208)/IF(AG208="EC",12,1)</f>
        <v>0</v>
      </c>
      <c r="T208" s="46" t="e">
        <f>IF(ISEVEN(LEFT(AD208,4)),"Southbound","NorthBound")</f>
        <v>#VALUE!</v>
      </c>
      <c r="U208" s="190">
        <f>IF(AG208="EC",COUNTIFS(Variables!$M$2:$M$19,IF(T208="NorthBound","&gt;=","&lt;=")&amp;Y208,Variables!$M$2:$M$19,IF(T208="NorthBound","&lt;=","&gt;=")&amp;Z208),COUNTIFS(Variables!$P$2:$P$19,IF(T208="NorthBound","&gt;=","&lt;=")&amp;Y208,Variables!$P$2:$P$19,IF(T208="NorthBound","&lt;=","&gt;=")&amp;Z208))</f>
        <v>0</v>
      </c>
      <c r="V208" s="191" t="str">
        <f>"https://d0f6bd738d7f1b3e5a7ca70fe4ff75f0.us-east-1.aws.found.io/app/kibana#/discover/Steve-Slow-Train-Analysis-(2080s-and-2083s)?_g="&amp;"(refreshInterval:(display:Off,pause:!f,section:0,value:0),time:(from:'"&amp;TEXT(E208-1/24,"yyyy-MM-DDThh:mm:ss")&amp;utc_offset&amp;"00"&amp;"',mode:absolute,to:'"&amp;TEXT(I208+1/24,"yyyy-MM-DDThh:mm:ss")&amp;utc_offset&amp;"00"&amp;"'))&amp;_a=(columns:!('Locomotive+ID','Data.Head+End+Milepost',Data.Speed,'Data.Locomotive+State','Data.Train+ID',"&amp;"'Data.Warning%2FEnforcement+Type','Data.Target+Start+Milepost','Data.Target+Description','Data.Target+Speed',"&amp;"'Data.Enforcement+Train+Speed','Data.Enforcement+Start+Milepost','Data.Target+Type','Data.Enforcement+Direction+of+Travel','Message+ID',"&amp;"'Data.Body+of+Summary+Text','Data.Head+End+Track+name'),filters:!(),index:'emp_*',interval:auto,query:"&amp;"(query_string:(analyze_wildcard:!t,query:'Message%5C+ID:(2083+OR+2080+OR+1041+OR+2003+OR+1051+OR+1043+OR+1053)+AND+%22rtdc.l.rtdc."&amp;B208&amp;"%22')),sort:!(Time.ISO8601,asc))"</f>
        <v>https://d0f6bd738d7f1b3e5a7ca70fe4ff75f0.us-east-1.aws.found.io/app/kibana#/discover/Steve-Slow-Train-Analysis-(2080s-and-2083s)?_g=(refreshInterval:(display:Off,pause:!f,section:0,value:0),time:(from:'2017-02-05T00:51:50-0700',mode:absolute,to:'2017-02-05T03:46:57-0700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4057%22')),sort:!(Time.ISO8601,asc))</v>
      </c>
      <c r="W208" s="192" t="str">
        <f>IF(AA208&lt;IF(AG208="EC",23,5.65),"Y","N")</f>
        <v>N</v>
      </c>
      <c r="X208" s="192" t="e">
        <f>VALUE(LEFT(AD208,4))-VALUE(LEFT(AD207,4))</f>
        <v>#VALUE!</v>
      </c>
      <c r="Y208" s="62">
        <f>RIGHT(D208,LEN(D208)-4)/10000</f>
        <v>23.264600000000002</v>
      </c>
      <c r="Z208" s="62">
        <f>RIGHT(H208,LEN(H208)-4)/10000</f>
        <v>6.4000000000000003E-3</v>
      </c>
      <c r="AA208" s="62">
        <f>ABS(Z208-Y208)</f>
        <v>23.258200000000002</v>
      </c>
      <c r="AB208" s="59" t="e">
        <f>VLOOKUP(A208,Enforcements!$C$7:$K$16,8,0)</f>
        <v>#N/A</v>
      </c>
      <c r="AC208" s="55" t="e">
        <f>VLOOKUP(A208,Enforcements!$C$7:$E$16,3,0)</f>
        <v>#N/A</v>
      </c>
      <c r="AD208" s="56" t="str">
        <f>IF(LEN(A208)=6,"0"&amp;A208,A208)</f>
        <v>80-04</v>
      </c>
      <c r="AE208" s="85" t="str">
        <f>"aws s3 cp "&amp;s3_bucket&amp;"/RTDC"&amp;B208&amp;"/ "&amp;search_path&amp;"\RTDC"&amp;B208&amp;"\"&amp;TEXT(F208,"YYYY-MM-DD")&amp;" --exclude ""*"" --recursive --include ""*"&amp;TEXT(F208,"YYYYMMDD")&amp;"*"" &amp; """&amp;walkandungz&amp;""" "&amp;search_path&amp;"\RTDC"&amp;B208&amp;"\"&amp;TEXT(F208,"YYYY-MM-DD")
&amp;" &amp; "&amp;"aws s3 cp "&amp;s3_bucket&amp;"/RTDC"&amp;B208&amp;"/ "&amp;search_path&amp;"\RTDC"&amp;B208&amp;"\"&amp;TEXT(F208+1,"YYYY-MM-DD")&amp;" --exclude ""*"" --recursive --include ""*"&amp;TEXT(F208+1,"YYYYMMDD")&amp;"*"" &amp; """&amp;walkandungz&amp;""" "&amp;search_path&amp;"\RTDC"&amp;B208&amp;"\"&amp;TEXT(F208+1,"YYYY-MM-DD")</f>
        <v>aws s3 cp s3://rtdc.mdm.uploadarchive.raw/RTDC4057/ "%USERPROFILE%\AppData\Local\Temp\OnboardLogs"\RTDC4057\2017-02-05 --exclude "*" --recursive --include "*20170205*" &amp; "%USERPROFILE%\Documents\GitHub\mrs-test-scripts\Headless Mode &amp; Sideloading\WalkAndUnGZ.bat" "%USERPROFILE%\AppData\Local\Temp\OnboardLogs"\RTDC4057\2017-02-05 &amp; aws s3 cp s3://rtdc.mdm.uploadarchive.raw/RTDC4057/ "%USERPROFILE%\AppData\Local\Temp\OnboardLogs"\RTDC4057\2017-02-06 --exclude "*" --recursive --include "*20170206*" &amp; "%USERPROFILE%\Documents\GitHub\mrs-test-scripts\Headless Mode &amp; Sideloading\WalkAndUnGZ.bat" "%USERPROFILE%\AppData\Local\Temp\OnboardLogs"\RTDC4057\2017-02-06</v>
      </c>
      <c r="AF208" s="82" t="str">
        <f>astrogrep_path&amp;" /spath="&amp;search_path&amp;" /stypes=""app*"&amp;B208&amp;"*"&amp;TEXT(I208-utc_offset/24,"YYYYMMDD")&amp;"*"" /stext="" "&amp;TEXT(I208-utc_offset/24,"HH")&amp;search_regexp&amp;""" /e /r /s"</f>
        <v>"C:\Program Files (x86)\AstroGrep\AstroGrep.exe" /spath="%USERPROFILE%\AppData\Local\Temp\OnboardLogs" /stypes="app*4057*20170205*" /stext=" 09:.+((SYSTEM_STATE.+slice.+state.+changed )|(ment ac)|(multiple cpu faults)|(system.+state.+changed )|(\[timeout)|(PRM\|1\|D)|(kpr)|(kdp)|(\|lc)|(penalty))" /e /r /s</v>
      </c>
      <c r="AG208" s="1" t="str">
        <f>IFERROR(IF(VALUE(LEFT(AD208,2))&lt;=2,"EC",IF(OR(VALUE(LEFT(AD208,2))=8,VALUE(LEFT(AD208,2))=18),"NW","Other")),"Other")</f>
        <v>Other</v>
      </c>
      <c r="AH208" s="86" t="str">
        <f t="shared" si="16"/>
        <v>"%USERPROFILE%\Documents\GitHub\eaglep3\Utilities\RefineRTDCRunTimes.py" --tripid 80-04 --locoid 4057 --swversion DE.1.0.8.0 --startMP 204:232646 --initTime 2017-02-05T01:51:50 --startdatetime 2017-02-05T01:53:43 --delay 0 --endMP 204:64 --enddatetime 2017-02-05T02:46:57 --enforcementcount 0 &gt;&gt;C:\Users\stu\Documents\GitHub\eaglep3-reporting\EC\2017-02-05-refined-times.txt</v>
      </c>
      <c r="AI208" s="108" t="str">
        <f t="shared" si="17"/>
        <v>echo {"issue":{"subject":"","project_id":79,"tracker_id":40,"status_id":1,"priority_id":2,"assigned_to_id":23,"start_date":"2017-02-05","description":"","custom_fields":[{"id":1,"name":"Subdivision","value":"Other"},{"id":4,"name":"Milepost","value":"0.0064"},{"id":17,"name":"Train ID","value":"80-04"},{"id":16,"name":"Locomotive ID","value":"4057"},{"id":130,"name":"Impact","value":""},{"id":150,"name":"Time of Event (Mountain Time)","value":"02:46:57"},{"id":151,"name":"Denver Issue ID","value":""},{"id":178,"name":"Operational Impact","value":"Yes"},{"id":179,"name":"Denver Segment Assigned","value":""}]}} | curl -X POST -H "Content-Type: application/json" -H "X-Redmine-API-Key: d6333d4a04012a730768444271f8ca06482dae87" https://secure.xorail.net/redmine/issues.json --data @-</v>
      </c>
      <c r="AJ208" s="48"/>
      <c r="AK208" s="48"/>
      <c r="AL208" s="48"/>
      <c r="AM208" s="158" t="str">
        <f t="shared" si="18"/>
        <v>start /low /b %USERPROFILE%\Documents\GitHub\eaglep3\Utilities\DownloadLogsFromS3.py --loco 4057 --day 2017-02-05</v>
      </c>
      <c r="AN208" s="167" t="str">
        <f>"grep -SE -B400 ""CHR.+\|PRM\|1\|D.+(SWITCH|SIGNAL).+UNKNOWN"" "&amp;search_path&amp;"\RTDC"&amp;B208&amp;"\*"&amp;B208&amp;"*"&amp;TEXT(AVERAGE(F208,I208)-utc_offset/24,"YYYYMMDD")&amp;"* | grep -SE ""(Enforcement Action)|(\[TIMEOUT)|(CHR.+\|PRM\|1\|D.+(SWITCH|SIGNAL).+UNKNOWN)"" - &gt;&gt; "&amp;TEXT(Variables!$A$2,"YYYY-MM-DD")&amp;"-UncaughtWiMAX.txt"</f>
        <v>grep -SE -B400 "CHR.+\|PRM\|1\|D.+(SWITCH|SIGNAL).+UNKNOWN" "%USERPROFILE%\AppData\Local\Temp\OnboardLogs"\RTDC4057\*4057*20170205* | grep -SE "(Enforcement Action)|(\[TIMEOUT)|(CHR.+\|PRM\|1\|D.+(SWITCH|SIGNAL).+UNKNOWN)" - &gt;&gt; 2017-02-05-UncaughtWiMAX.txt</v>
      </c>
    </row>
    <row r="209" spans="1:40" x14ac:dyDescent="0.25">
      <c r="A209" s="33" t="s">
        <v>522</v>
      </c>
      <c r="B209" s="7">
        <v>4056</v>
      </c>
      <c r="C209" s="21" t="s">
        <v>193</v>
      </c>
      <c r="D209" s="21" t="s">
        <v>283</v>
      </c>
      <c r="E209" s="13">
        <v>42771.881203703706</v>
      </c>
      <c r="F209" s="13">
        <v>42771.882743055554</v>
      </c>
      <c r="G209" s="7">
        <v>1</v>
      </c>
      <c r="H209" s="21" t="s">
        <v>289</v>
      </c>
      <c r="I209" s="13">
        <v>42771.909259259257</v>
      </c>
      <c r="J209" s="7">
        <v>0</v>
      </c>
      <c r="K209" s="98" t="str">
        <f>IF(ISEVEN(B209),(B209-1)&amp;"/"&amp;B209,B209&amp;"/"&amp;(B209+1))</f>
        <v>4055/4056</v>
      </c>
      <c r="L209" s="21" t="str">
        <f>VLOOKUP(A209,'Trips&amp;Operators'!$C$1:$G$99999,5,FALSE)</f>
        <v>SIMMONS SHYHESHA</v>
      </c>
      <c r="M209" s="6">
        <f>I209-F209</f>
        <v>2.6516203703067731E-2</v>
      </c>
      <c r="N209" s="7">
        <f>24*60*SUM($M209:$M209)</f>
        <v>38.183333332417533</v>
      </c>
      <c r="O209" s="7"/>
      <c r="P209" s="7"/>
      <c r="Q209" s="22"/>
      <c r="R209" s="22"/>
      <c r="S209" s="31">
        <f>SUM(U209:U209)/IF(AG209="EC",12,1)</f>
        <v>0</v>
      </c>
      <c r="T209" s="46" t="e">
        <f>IF(ISEVEN(LEFT(AD209,4)),"Southbound","NorthBound")</f>
        <v>#VALUE!</v>
      </c>
      <c r="U209" s="190">
        <f>IF(AG209="EC",COUNTIFS(Variables!$M$2:$M$19,IF(T209="NorthBound","&gt;=","&lt;=")&amp;Y209,Variables!$M$2:$M$19,IF(T209="NorthBound","&lt;=","&gt;=")&amp;Z209),COUNTIFS(Variables!$P$2:$P$19,IF(T209="NorthBound","&gt;=","&lt;=")&amp;Y209,Variables!$P$2:$P$19,IF(T209="NorthBound","&lt;=","&gt;=")&amp;Z209))</f>
        <v>0</v>
      </c>
      <c r="V209" s="191" t="str">
        <f>"https://d0f6bd738d7f1b3e5a7ca70fe4ff75f0.us-east-1.aws.found.io/app/kibana#/discover/Steve-Slow-Train-Analysis-(2080s-and-2083s)?_g="&amp;"(refreshInterval:(display:Off,pause:!f,section:0,value:0),time:(from:'"&amp;TEXT(E209-1/24,"yyyy-MM-DDThh:mm:ss")&amp;utc_offset&amp;"00"&amp;"',mode:absolute,to:'"&amp;TEXT(I209+1/24,"yyyy-MM-DDThh:mm:ss")&amp;utc_offset&amp;"00"&amp;"'))&amp;_a=(columns:!('Locomotive+ID','Data.Head+End+Milepost',Data.Speed,'Data.Locomotive+State','Data.Train+ID',"&amp;"'Data.Warning%2FEnforcement+Type','Data.Target+Start+Milepost','Data.Target+Description','Data.Target+Speed',"&amp;"'Data.Enforcement+Train+Speed','Data.Enforcement+Start+Milepost','Data.Target+Type','Data.Enforcement+Direction+of+Travel','Message+ID',"&amp;"'Data.Body+of+Summary+Text','Data.Head+End+Track+name'),filters:!(),index:'emp_*',interval:auto,query:"&amp;"(query_string:(analyze_wildcard:!t,query:'Message%5C+ID:(2083+OR+2080+OR+1041+OR+2003+OR+1051+OR+1043+OR+1053)+AND+%22rtdc.l.rtdc."&amp;B209&amp;"%22')),sort:!(Time.ISO8601,asc))"</f>
        <v>https://d0f6bd738d7f1b3e5a7ca70fe4ff75f0.us-east-1.aws.found.io/app/kibana#/discover/Steve-Slow-Train-Analysis-(2080s-and-2083s)?_g=(refreshInterval:(display:Off,pause:!f,section:0,value:0),time:(from:'2017-02-05T20:08:56-0700',mode:absolute,to:'2017-02-05T22:49:20-0700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4056%22')),sort:!(Time.ISO8601,asc))</v>
      </c>
      <c r="W209" s="192" t="str">
        <f>IF(AA209&lt;IF(AG209="EC",23,5.65),"Y","N")</f>
        <v>N</v>
      </c>
      <c r="X209" s="192" t="e">
        <f>VALUE(LEFT(AD209,4))-VALUE(LEFT(AD208,4))</f>
        <v>#VALUE!</v>
      </c>
      <c r="Y209" s="62">
        <f>RIGHT(D209,LEN(D209)-4)/10000</f>
        <v>23.298200000000001</v>
      </c>
      <c r="Z209" s="62">
        <f>RIGHT(H209,LEN(H209)-4)/10000</f>
        <v>1.5599999999999999E-2</v>
      </c>
      <c r="AA209" s="62">
        <f>ABS(Z209-Y209)</f>
        <v>23.282600000000002</v>
      </c>
      <c r="AB209" s="59" t="e">
        <f>VLOOKUP(A209,Enforcements!$C$7:$K$16,8,0)</f>
        <v>#N/A</v>
      </c>
      <c r="AC209" s="55" t="e">
        <f>VLOOKUP(A209,Enforcements!$C$7:$E$16,3,0)</f>
        <v>#N/A</v>
      </c>
      <c r="AD209" s="56" t="str">
        <f>IF(LEN(A209)=6,"0"&amp;A209,A209)</f>
        <v>80-05</v>
      </c>
      <c r="AE209" s="85" t="str">
        <f>"aws s3 cp "&amp;s3_bucket&amp;"/RTDC"&amp;B209&amp;"/ "&amp;search_path&amp;"\RTDC"&amp;B209&amp;"\"&amp;TEXT(F209,"YYYY-MM-DD")&amp;" --exclude ""*"" --recursive --include ""*"&amp;TEXT(F209,"YYYYMMDD")&amp;"*"" &amp; """&amp;walkandungz&amp;""" "&amp;search_path&amp;"\RTDC"&amp;B209&amp;"\"&amp;TEXT(F209,"YYYY-MM-DD")
&amp;" &amp; "&amp;"aws s3 cp "&amp;s3_bucket&amp;"/RTDC"&amp;B209&amp;"/ "&amp;search_path&amp;"\RTDC"&amp;B209&amp;"\"&amp;TEXT(F209+1,"YYYY-MM-DD")&amp;" --exclude ""*"" --recursive --include ""*"&amp;TEXT(F209+1,"YYYYMMDD")&amp;"*"" &amp; """&amp;walkandungz&amp;""" "&amp;search_path&amp;"\RTDC"&amp;B209&amp;"\"&amp;TEXT(F209+1,"YYYY-MM-DD")</f>
        <v>aws s3 cp s3://rtdc.mdm.uploadarchive.raw/RTDC4056/ "%USERPROFILE%\AppData\Local\Temp\OnboardLogs"\RTDC4056\2017-02-05 --exclude "*" --recursive --include "*20170205*" &amp; "%USERPROFILE%\Documents\GitHub\mrs-test-scripts\Headless Mode &amp; Sideloading\WalkAndUnGZ.bat" "%USERPROFILE%\AppData\Local\Temp\OnboardLogs"\RTDC4056\2017-02-05 &amp; aws s3 cp s3://rtdc.mdm.uploadarchive.raw/RTDC4056/ "%USERPROFILE%\AppData\Local\Temp\OnboardLogs"\RTDC4056\2017-02-06 --exclude "*" --recursive --include "*20170206*" &amp; "%USERPROFILE%\Documents\GitHub\mrs-test-scripts\Headless Mode &amp; Sideloading\WalkAndUnGZ.bat" "%USERPROFILE%\AppData\Local\Temp\OnboardLogs"\RTDC4056\2017-02-06</v>
      </c>
      <c r="AF209" s="82" t="str">
        <f>astrogrep_path&amp;" /spath="&amp;search_path&amp;" /stypes=""app*"&amp;B209&amp;"*"&amp;TEXT(I209-utc_offset/24,"YYYYMMDD")&amp;"*"" /stext="" "&amp;TEXT(I209-utc_offset/24,"HH")&amp;search_regexp&amp;""" /e /r /s"</f>
        <v>"C:\Program Files (x86)\AstroGrep\AstroGrep.exe" /spath="%USERPROFILE%\AppData\Local\Temp\OnboardLogs" /stypes="app*4056*20170206*" /stext=" 04:.+((SYSTEM_STATE.+slice.+state.+changed )|(ment ac)|(multiple cpu faults)|(system.+state.+changed )|(\[timeout)|(PRM\|1\|D)|(kpr)|(kdp)|(\|lc)|(penalty))" /e /r /s</v>
      </c>
      <c r="AG209" s="1" t="str">
        <f>IFERROR(IF(VALUE(LEFT(AD209,2))&lt;=2,"EC",IF(OR(VALUE(LEFT(AD209,2))=8,VALUE(LEFT(AD209,2))=18),"NW","Other")),"Other")</f>
        <v>Other</v>
      </c>
      <c r="AH209" s="86" t="str">
        <f t="shared" si="16"/>
        <v>"%USERPROFILE%\Documents\GitHub\eaglep3\Utilities\RefineRTDCRunTimes.py" --tripid 80-05 --locoid 4056 --swversion DE.1.0.8.0 --startMP 204:232982 --initTime 2017-02-05T21:08:56 --startdatetime 2017-02-05T21:11:09 --delay 1 --endMP 204:156 --enddatetime 2017-02-05T21:49:20 --enforcementcount 0 &gt;&gt;C:\Users\stu\Documents\GitHub\eaglep3-reporting\EC\2017-02-05-refined-times.txt</v>
      </c>
      <c r="AI209" s="108" t="str">
        <f t="shared" si="17"/>
        <v>echo {"issue":{"subject":"","project_id":79,"tracker_id":40,"status_id":1,"priority_id":2,"assigned_to_id":23,"start_date":"2017-02-05","description":"","custom_fields":[{"id":1,"name":"Subdivision","value":"Other"},{"id":4,"name":"Milepost","value":"0.0156"},{"id":17,"name":"Train ID","value":"80-05"},{"id":16,"name":"Locomotive ID","value":"4056"},{"id":130,"name":"Impact","value":""},{"id":150,"name":"Time of Event (Mountain Time)","value":"21:49:20"},{"id":151,"name":"Denver Issue ID","value":""},{"id":178,"name":"Operational Impact","value":"Yes"},{"id":179,"name":"Denver Segment Assigned","value":""}]}} | curl -X POST -H "Content-Type: application/json" -H "X-Redmine-API-Key: d6333d4a04012a730768444271f8ca06482dae87" https://secure.xorail.net/redmine/issues.json --data @-</v>
      </c>
      <c r="AJ209" s="48"/>
      <c r="AK209" s="48"/>
      <c r="AL209" s="48"/>
      <c r="AM209" s="158" t="str">
        <f t="shared" si="18"/>
        <v>start /low /b %USERPROFILE%\Documents\GitHub\eaglep3\Utilities\DownloadLogsFromS3.py --loco 4056 --day 2017-02-05</v>
      </c>
      <c r="AN209" s="167" t="str">
        <f>"grep -SE -B400 ""CHR.+\|PRM\|1\|D.+(SWITCH|SIGNAL).+UNKNOWN"" "&amp;search_path&amp;"\RTDC"&amp;B209&amp;"\*"&amp;B209&amp;"*"&amp;TEXT(AVERAGE(F209,I209)-utc_offset/24,"YYYYMMDD")&amp;"* | grep -SE ""(Enforcement Action)|(\[TIMEOUT)|(CHR.+\|PRM\|1\|D.+(SWITCH|SIGNAL).+UNKNOWN)"" - &gt;&gt; "&amp;TEXT(Variables!$A$2,"YYYY-MM-DD")&amp;"-UncaughtWiMAX.txt"</f>
        <v>grep -SE -B400 "CHR.+\|PRM\|1\|D.+(SWITCH|SIGNAL).+UNKNOWN" "%USERPROFILE%\AppData\Local\Temp\OnboardLogs"\RTDC4056\*4056*20170206* | grep -SE "(Enforcement Action)|(\[TIMEOUT)|(CHR.+\|PRM\|1\|D.+(SWITCH|SIGNAL).+UNKNOWN)" - &gt;&gt; 2017-02-05-UncaughtWiMAX.txt</v>
      </c>
    </row>
    <row r="210" spans="1:40" x14ac:dyDescent="0.25">
      <c r="A210" s="33" t="s">
        <v>522</v>
      </c>
      <c r="B210" s="7">
        <v>4056</v>
      </c>
      <c r="C210" s="21" t="s">
        <v>193</v>
      </c>
      <c r="D210" s="21" t="s">
        <v>363</v>
      </c>
      <c r="E210" s="13">
        <v>42771.95989583333</v>
      </c>
      <c r="F210" s="13">
        <v>42771.963263888887</v>
      </c>
      <c r="G210" s="7">
        <v>1</v>
      </c>
      <c r="H210" s="21" t="s">
        <v>289</v>
      </c>
      <c r="I210" s="13">
        <v>42771.996215277781</v>
      </c>
      <c r="J210" s="7">
        <v>0</v>
      </c>
      <c r="K210" s="98" t="str">
        <f>IF(ISEVEN(B210),(B210-1)&amp;"/"&amp;B210,B210&amp;"/"&amp;(B210+1))</f>
        <v>4055/4056</v>
      </c>
      <c r="L210" s="21" t="str">
        <f>VLOOKUP(A210,'Trips&amp;Operators'!$C$1:$G$99999,5,FALSE)</f>
        <v>SIMMONS SHYHESHA</v>
      </c>
      <c r="M210" s="6">
        <f>I210-F210</f>
        <v>3.295138889370719E-2</v>
      </c>
      <c r="N210" s="7">
        <f>24*60*SUM($M210:$M210)</f>
        <v>47.450000006938353</v>
      </c>
      <c r="O210" s="7"/>
      <c r="P210" s="7"/>
      <c r="Q210" s="22"/>
      <c r="R210" s="22"/>
      <c r="S210" s="31">
        <f>SUM(U210:U210)/IF(AG210="EC",12,1)</f>
        <v>0</v>
      </c>
      <c r="T210" s="46" t="e">
        <f>IF(ISEVEN(LEFT(AD210,4)),"Southbound","NorthBound")</f>
        <v>#VALUE!</v>
      </c>
      <c r="U210" s="190">
        <f>IF(AG210="EC",COUNTIFS(Variables!$M$2:$M$19,IF(T210="NorthBound","&gt;=","&lt;=")&amp;Y210,Variables!$M$2:$M$19,IF(T210="NorthBound","&lt;=","&gt;=")&amp;Z210),COUNTIFS(Variables!$P$2:$P$19,IF(T210="NorthBound","&gt;=","&lt;=")&amp;Y210,Variables!$P$2:$P$19,IF(T210="NorthBound","&lt;=","&gt;=")&amp;Z210))</f>
        <v>0</v>
      </c>
      <c r="V210" s="191" t="str">
        <f>"https://d0f6bd738d7f1b3e5a7ca70fe4ff75f0.us-east-1.aws.found.io/app/kibana#/discover/Steve-Slow-Train-Analysis-(2080s-and-2083s)?_g="&amp;"(refreshInterval:(display:Off,pause:!f,section:0,value:0),time:(from:'"&amp;TEXT(E210-1/24,"yyyy-MM-DDThh:mm:ss")&amp;utc_offset&amp;"00"&amp;"',mode:absolute,to:'"&amp;TEXT(I210+1/24,"yyyy-MM-DDThh:mm:ss")&amp;utc_offset&amp;"00"&amp;"'))&amp;_a=(columns:!('Locomotive+ID','Data.Head+End+Milepost',Data.Speed,'Data.Locomotive+State','Data.Train+ID',"&amp;"'Data.Warning%2FEnforcement+Type','Data.Target+Start+Milepost','Data.Target+Description','Data.Target+Speed',"&amp;"'Data.Enforcement+Train+Speed','Data.Enforcement+Start+Milepost','Data.Target+Type','Data.Enforcement+Direction+of+Travel','Message+ID',"&amp;"'Data.Body+of+Summary+Text','Data.Head+End+Track+name'),filters:!(),index:'emp_*',interval:auto,query:"&amp;"(query_string:(analyze_wildcard:!t,query:'Message%5C+ID:(2083+OR+2080+OR+1041+OR+2003+OR+1051+OR+1043+OR+1053)+AND+%22rtdc.l.rtdc."&amp;B210&amp;"%22')),sort:!(Time.ISO8601,asc))"</f>
        <v>https://d0f6bd738d7f1b3e5a7ca70fe4ff75f0.us-east-1.aws.found.io/app/kibana#/discover/Steve-Slow-Train-Analysis-(2080s-and-2083s)?_g=(refreshInterval:(display:Off,pause:!f,section:0,value:0),time:(from:'2017-02-05T22:02:15-0700',mode:absolute,to:'2017-02-06T00:54:33-0700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4056%22')),sort:!(Time.ISO8601,asc))</v>
      </c>
      <c r="W210" s="192" t="str">
        <f>IF(AA210&lt;IF(AG210="EC",23,5.65),"Y","N")</f>
        <v>N</v>
      </c>
      <c r="X210" s="192" t="e">
        <f>VALUE(LEFT(AD210,4))-VALUE(LEFT(AD209,4))</f>
        <v>#VALUE!</v>
      </c>
      <c r="Y210" s="62">
        <f>RIGHT(D210,LEN(D210)-4)/10000</f>
        <v>23.3004</v>
      </c>
      <c r="Z210" s="62">
        <f>RIGHT(H210,LEN(H210)-4)/10000</f>
        <v>1.5599999999999999E-2</v>
      </c>
      <c r="AA210" s="62">
        <f>ABS(Z210-Y210)</f>
        <v>23.284800000000001</v>
      </c>
      <c r="AB210" s="59" t="e">
        <f>VLOOKUP(A210,Enforcements!$C$7:$K$16,8,0)</f>
        <v>#N/A</v>
      </c>
      <c r="AC210" s="55" t="e">
        <f>VLOOKUP(A210,Enforcements!$C$7:$E$16,3,0)</f>
        <v>#N/A</v>
      </c>
      <c r="AD210" s="56" t="str">
        <f>IF(LEN(A210)=6,"0"&amp;A210,A210)</f>
        <v>80-05</v>
      </c>
      <c r="AE210" s="85" t="str">
        <f>"aws s3 cp "&amp;s3_bucket&amp;"/RTDC"&amp;B210&amp;"/ "&amp;search_path&amp;"\RTDC"&amp;B210&amp;"\"&amp;TEXT(F210,"YYYY-MM-DD")&amp;" --exclude ""*"" --recursive --include ""*"&amp;TEXT(F210,"YYYYMMDD")&amp;"*"" &amp; """&amp;walkandungz&amp;""" "&amp;search_path&amp;"\RTDC"&amp;B210&amp;"\"&amp;TEXT(F210,"YYYY-MM-DD")
&amp;" &amp; "&amp;"aws s3 cp "&amp;s3_bucket&amp;"/RTDC"&amp;B210&amp;"/ "&amp;search_path&amp;"\RTDC"&amp;B210&amp;"\"&amp;TEXT(F210+1,"YYYY-MM-DD")&amp;" --exclude ""*"" --recursive --include ""*"&amp;TEXT(F210+1,"YYYYMMDD")&amp;"*"" &amp; """&amp;walkandungz&amp;""" "&amp;search_path&amp;"\RTDC"&amp;B210&amp;"\"&amp;TEXT(F210+1,"YYYY-MM-DD")</f>
        <v>aws s3 cp s3://rtdc.mdm.uploadarchive.raw/RTDC4056/ "%USERPROFILE%\AppData\Local\Temp\OnboardLogs"\RTDC4056\2017-02-05 --exclude "*" --recursive --include "*20170205*" &amp; "%USERPROFILE%\Documents\GitHub\mrs-test-scripts\Headless Mode &amp; Sideloading\WalkAndUnGZ.bat" "%USERPROFILE%\AppData\Local\Temp\OnboardLogs"\RTDC4056\2017-02-05 &amp; aws s3 cp s3://rtdc.mdm.uploadarchive.raw/RTDC4056/ "%USERPROFILE%\AppData\Local\Temp\OnboardLogs"\RTDC4056\2017-02-06 --exclude "*" --recursive --include "*20170206*" &amp; "%USERPROFILE%\Documents\GitHub\mrs-test-scripts\Headless Mode &amp; Sideloading\WalkAndUnGZ.bat" "%USERPROFILE%\AppData\Local\Temp\OnboardLogs"\RTDC4056\2017-02-06</v>
      </c>
      <c r="AF210" s="82" t="str">
        <f>astrogrep_path&amp;" /spath="&amp;search_path&amp;" /stypes=""app*"&amp;B210&amp;"*"&amp;TEXT(I210-utc_offset/24,"YYYYMMDD")&amp;"*"" /stext="" "&amp;TEXT(I210-utc_offset/24,"HH")&amp;search_regexp&amp;""" /e /r /s"</f>
        <v>"C:\Program Files (x86)\AstroGrep\AstroGrep.exe" /spath="%USERPROFILE%\AppData\Local\Temp\OnboardLogs" /stypes="app*4056*20170206*" /stext=" 06:.+((SYSTEM_STATE.+slice.+state.+changed )|(ment ac)|(multiple cpu faults)|(system.+state.+changed )|(\[timeout)|(PRM\|1\|D)|(kpr)|(kdp)|(\|lc)|(penalty))" /e /r /s</v>
      </c>
      <c r="AG210" s="1" t="str">
        <f>IFERROR(IF(VALUE(LEFT(AD210,2))&lt;=2,"EC",IF(OR(VALUE(LEFT(AD210,2))=8,VALUE(LEFT(AD210,2))=18),"NW","Other")),"Other")</f>
        <v>Other</v>
      </c>
      <c r="AH210" s="86" t="str">
        <f t="shared" si="16"/>
        <v>"%USERPROFILE%\Documents\GitHub\eaglep3\Utilities\RefineRTDCRunTimes.py" --tripid 80-05 --locoid 4056 --swversion DE.1.0.8.0 --startMP 204:233004 --initTime 2017-02-05T23:02:15 --startdatetime 2017-02-05T23:07:06 --delay 1 --endMP 204:156 --enddatetime 2017-02-05T23:54:33 --enforcementcount 0 &gt;&gt;C:\Users\stu\Documents\GitHub\eaglep3-reporting\EC\2017-02-05-refined-times.txt</v>
      </c>
      <c r="AI210" s="108" t="str">
        <f t="shared" si="17"/>
        <v>echo {"issue":{"subject":"","project_id":79,"tracker_id":40,"status_id":1,"priority_id":2,"assigned_to_id":23,"start_date":"2017-02-05","description":"","custom_fields":[{"id":1,"name":"Subdivision","value":"Other"},{"id":4,"name":"Milepost","value":"0.0156"},{"id":17,"name":"Train ID","value":"80-05"},{"id":16,"name":"Locomotive ID","value":"4056"},{"id":130,"name":"Impact","value":""},{"id":150,"name":"Time of Event (Mountain Time)","value":"23:54:33"},{"id":151,"name":"Denver Issue ID","value":""},{"id":178,"name":"Operational Impact","value":"Yes"},{"id":179,"name":"Denver Segment Assigned","value":""}]}} | curl -X POST -H "Content-Type: application/json" -H "X-Redmine-API-Key: d6333d4a04012a730768444271f8ca06482dae87" https://secure.xorail.net/redmine/issues.json --data @-</v>
      </c>
      <c r="AJ210" s="48"/>
      <c r="AK210" s="48"/>
      <c r="AL210" s="48"/>
      <c r="AM210" s="158" t="str">
        <f t="shared" si="18"/>
        <v>start /low /b %USERPROFILE%\Documents\GitHub\eaglep3\Utilities\DownloadLogsFromS3.py --loco 4056 --day 2017-02-05</v>
      </c>
      <c r="AN210" s="167" t="str">
        <f>"grep -SE -B400 ""CHR.+\|PRM\|1\|D.+(SWITCH|SIGNAL).+UNKNOWN"" "&amp;search_path&amp;"\RTDC"&amp;B210&amp;"\*"&amp;B210&amp;"*"&amp;TEXT(AVERAGE(F210,I210)-utc_offset/24,"YYYYMMDD")&amp;"* | grep -SE ""(Enforcement Action)|(\[TIMEOUT)|(CHR.+\|PRM\|1\|D.+(SWITCH|SIGNAL).+UNKNOWN)"" - &gt;&gt; "&amp;TEXT(Variables!$A$2,"YYYY-MM-DD")&amp;"-UncaughtWiMAX.txt"</f>
        <v>grep -SE -B400 "CHR.+\|PRM\|1\|D.+(SWITCH|SIGNAL).+UNKNOWN" "%USERPROFILE%\AppData\Local\Temp\OnboardLogs"\RTDC4056\*4056*20170206* | grep -SE "(Enforcement Action)|(\[TIMEOUT)|(CHR.+\|PRM\|1\|D.+(SWITCH|SIGNAL).+UNKNOWN)" - &gt;&gt; 2017-02-05-UncaughtWiMAX.txt</v>
      </c>
    </row>
    <row r="211" spans="1:40" x14ac:dyDescent="0.25">
      <c r="A211" s="33" t="s">
        <v>522</v>
      </c>
      <c r="B211" s="7">
        <v>4056</v>
      </c>
      <c r="C211" s="21" t="s">
        <v>193</v>
      </c>
      <c r="D211" s="21" t="s">
        <v>875</v>
      </c>
      <c r="E211" s="13">
        <v>42772.040543981479</v>
      </c>
      <c r="F211" s="13">
        <v>42772.04828703704</v>
      </c>
      <c r="G211" s="7">
        <v>1</v>
      </c>
      <c r="H211" s="21" t="s">
        <v>351</v>
      </c>
      <c r="I211" s="13">
        <v>42772.050937499997</v>
      </c>
      <c r="J211" s="7">
        <v>0</v>
      </c>
      <c r="K211" s="98" t="str">
        <f>IF(ISEVEN(B211),(B211-1)&amp;"/"&amp;B211,B211&amp;"/"&amp;(B211+1))</f>
        <v>4055/4056</v>
      </c>
      <c r="L211" s="21" t="str">
        <f>VLOOKUP(A211,'Trips&amp;Operators'!$C$1:$G$99999,5,FALSE)</f>
        <v>SIMMONS SHYHESHA</v>
      </c>
      <c r="M211" s="6">
        <f>I211-F211</f>
        <v>2.6504629568080418E-3</v>
      </c>
      <c r="N211" s="7">
        <f>24*60*SUM($M211:$M211)</f>
        <v>3.8166666578035802</v>
      </c>
      <c r="O211" s="7"/>
      <c r="P211" s="7"/>
      <c r="Q211" s="22"/>
      <c r="R211" s="22"/>
      <c r="S211" s="31">
        <f>SUM(U211:U211)/IF(AG211="EC",12,1)</f>
        <v>0</v>
      </c>
      <c r="T211" s="46" t="e">
        <f>IF(ISEVEN(LEFT(AD211,4)),"Southbound","NorthBound")</f>
        <v>#VALUE!</v>
      </c>
      <c r="U211" s="190">
        <f>IF(AG211="EC",COUNTIFS(Variables!$M$2:$M$19,IF(T211="NorthBound","&gt;=","&lt;=")&amp;Y211,Variables!$M$2:$M$19,IF(T211="NorthBound","&lt;=","&gt;=")&amp;Z211),COUNTIFS(Variables!$P$2:$P$19,IF(T211="NorthBound","&gt;=","&lt;=")&amp;Y211,Variables!$P$2:$P$19,IF(T211="NorthBound","&lt;=","&gt;=")&amp;Z211))</f>
        <v>0</v>
      </c>
      <c r="V211" s="191" t="str">
        <f>"https://d0f6bd738d7f1b3e5a7ca70fe4ff75f0.us-east-1.aws.found.io/app/kibana#/discover/Steve-Slow-Train-Analysis-(2080s-and-2083s)?_g="&amp;"(refreshInterval:(display:Off,pause:!f,section:0,value:0),time:(from:'"&amp;TEXT(E211-1/24,"yyyy-MM-DDThh:mm:ss")&amp;utc_offset&amp;"00"&amp;"',mode:absolute,to:'"&amp;TEXT(I211+1/24,"yyyy-MM-DDThh:mm:ss")&amp;utc_offset&amp;"00"&amp;"'))&amp;_a=(columns:!('Locomotive+ID','Data.Head+End+Milepost',Data.Speed,'Data.Locomotive+State','Data.Train+ID',"&amp;"'Data.Warning%2FEnforcement+Type','Data.Target+Start+Milepost','Data.Target+Description','Data.Target+Speed',"&amp;"'Data.Enforcement+Train+Speed','Data.Enforcement+Start+Milepost','Data.Target+Type','Data.Enforcement+Direction+of+Travel','Message+ID',"&amp;"'Data.Body+of+Summary+Text','Data.Head+End+Track+name'),filters:!(),index:'emp_*',interval:auto,query:"&amp;"(query_string:(analyze_wildcard:!t,query:'Message%5C+ID:(2083+OR+2080+OR+1041+OR+2003+OR+1051+OR+1043+OR+1053)+AND+%22rtdc.l.rtdc."&amp;B211&amp;"%22')),sort:!(Time.ISO8601,asc))"</f>
        <v>https://d0f6bd738d7f1b3e5a7ca70fe4ff75f0.us-east-1.aws.found.io/app/kibana#/discover/Steve-Slow-Train-Analysis-(2080s-and-2083s)?_g=(refreshInterval:(display:Off,pause:!f,section:0,value:0),time:(from:'2017-02-05T23:58:23-0700',mode:absolute,to:'2017-02-06T02:13:21-0700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4056%22')),sort:!(Time.ISO8601,asc))</v>
      </c>
      <c r="W211" s="192" t="str">
        <f>IF(AA211&lt;IF(AG211="EC",23,5.65),"Y","N")</f>
        <v>Y</v>
      </c>
      <c r="X211" s="192" t="e">
        <f>VALUE(LEFT(AD211,4))-VALUE(LEFT(AD210,4))</f>
        <v>#VALUE!</v>
      </c>
      <c r="Y211" s="62">
        <f>RIGHT(D211,LEN(D211)-4)/10000</f>
        <v>0.66159999999999997</v>
      </c>
      <c r="Z211" s="62">
        <f>RIGHT(H211,LEN(H211)-4)/10000</f>
        <v>1.29E-2</v>
      </c>
      <c r="AA211" s="62">
        <f>ABS(Z211-Y211)</f>
        <v>0.64869999999999994</v>
      </c>
      <c r="AB211" s="59" t="e">
        <f>VLOOKUP(A211,Enforcements!$C$7:$K$16,8,0)</f>
        <v>#N/A</v>
      </c>
      <c r="AC211" s="55" t="e">
        <f>VLOOKUP(A211,Enforcements!$C$7:$E$16,3,0)</f>
        <v>#N/A</v>
      </c>
      <c r="AD211" s="56" t="str">
        <f>IF(LEN(A211)=6,"0"&amp;A211,A211)</f>
        <v>80-05</v>
      </c>
      <c r="AE211" s="85" t="str">
        <f>"aws s3 cp "&amp;s3_bucket&amp;"/RTDC"&amp;B211&amp;"/ "&amp;search_path&amp;"\RTDC"&amp;B211&amp;"\"&amp;TEXT(F211,"YYYY-MM-DD")&amp;" --exclude ""*"" --recursive --include ""*"&amp;TEXT(F211,"YYYYMMDD")&amp;"*"" &amp; """&amp;walkandungz&amp;""" "&amp;search_path&amp;"\RTDC"&amp;B211&amp;"\"&amp;TEXT(F211,"YYYY-MM-DD")
&amp;" &amp; "&amp;"aws s3 cp "&amp;s3_bucket&amp;"/RTDC"&amp;B211&amp;"/ "&amp;search_path&amp;"\RTDC"&amp;B211&amp;"\"&amp;TEXT(F211+1,"YYYY-MM-DD")&amp;" --exclude ""*"" --recursive --include ""*"&amp;TEXT(F211+1,"YYYYMMDD")&amp;"*"" &amp; """&amp;walkandungz&amp;""" "&amp;search_path&amp;"\RTDC"&amp;B211&amp;"\"&amp;TEXT(F211+1,"YYYY-MM-DD")</f>
        <v>aws s3 cp s3://rtdc.mdm.uploadarchive.raw/RTDC4056/ "%USERPROFILE%\AppData\Local\Temp\OnboardLogs"\RTDC4056\2017-02-06 --exclude "*" --recursive --include "*20170206*" &amp; "%USERPROFILE%\Documents\GitHub\mrs-test-scripts\Headless Mode &amp; Sideloading\WalkAndUnGZ.bat" "%USERPROFILE%\AppData\Local\Temp\OnboardLogs"\RTDC4056\2017-02-06 &amp; aws s3 cp s3://rtdc.mdm.uploadarchive.raw/RTDC4056/ "%USERPROFILE%\AppData\Local\Temp\OnboardLogs"\RTDC4056\2017-02-07 --exclude "*" --recursive --include "*20170207*" &amp; "%USERPROFILE%\Documents\GitHub\mrs-test-scripts\Headless Mode &amp; Sideloading\WalkAndUnGZ.bat" "%USERPROFILE%\AppData\Local\Temp\OnboardLogs"\RTDC4056\2017-02-07</v>
      </c>
      <c r="AF211" s="82" t="str">
        <f>astrogrep_path&amp;" /spath="&amp;search_path&amp;" /stypes=""app*"&amp;B211&amp;"*"&amp;TEXT(I211-utc_offset/24,"YYYYMMDD")&amp;"*"" /stext="" "&amp;TEXT(I211-utc_offset/24,"HH")&amp;search_regexp&amp;""" /e /r /s"</f>
        <v>"C:\Program Files (x86)\AstroGrep\AstroGrep.exe" /spath="%USERPROFILE%\AppData\Local\Temp\OnboardLogs" /stypes="app*4056*20170206*" /stext=" 08:.+((SYSTEM_STATE.+slice.+state.+changed )|(ment ac)|(multiple cpu faults)|(system.+state.+changed )|(\[timeout)|(PRM\|1\|D)|(kpr)|(kdp)|(\|lc)|(penalty))" /e /r /s</v>
      </c>
      <c r="AG211" s="1" t="str">
        <f>IFERROR(IF(VALUE(LEFT(AD211,2))&lt;=2,"EC",IF(OR(VALUE(LEFT(AD211,2))=8,VALUE(LEFT(AD211,2))=18),"NW","Other")),"Other")</f>
        <v>Other</v>
      </c>
      <c r="AH211" s="86" t="str">
        <f t="shared" si="16"/>
        <v>"%USERPROFILE%\Documents\GitHub\eaglep3\Utilities\RefineRTDCRunTimes.py" --tripid 80-05 --locoid 4056 --swversion DE.1.0.8.0 --startMP 204:6616 --initTime 2017-02-06T00:58:23 --startdatetime 2017-02-06T01:09:32 --delay 1 --endMP 204:129 --enddatetime 2017-02-06T01:13:21 --enforcementcount 0 &gt;&gt;C:\Users\stu\Documents\GitHub\eaglep3-reporting\EC\2017-02-05-refined-times.txt</v>
      </c>
      <c r="AI211" s="108" t="str">
        <f t="shared" si="17"/>
        <v>echo {"issue":{"subject":"","project_id":79,"tracker_id":40,"status_id":1,"priority_id":2,"assigned_to_id":23,"start_date":"2017-02-06","description":"","custom_fields":[{"id":1,"name":"Subdivision","value":"Other"},{"id":4,"name":"Milepost","value":"0.0129"},{"id":17,"name":"Train ID","value":"80-05"},{"id":16,"name":"Locomotive ID","value":"4056"},{"id":130,"name":"Impact","value":""},{"id":150,"name":"Time of Event (Mountain Time)","value":"01:13:21"},{"id":151,"name":"Denver Issue ID","value":""},{"id":178,"name":"Operational Impact","value":"Yes"},{"id":179,"name":"Denver Segment Assigned","value":""}]}} | curl -X POST -H "Content-Type: application/json" -H "X-Redmine-API-Key: d6333d4a04012a730768444271f8ca06482dae87" https://secure.xorail.net/redmine/issues.json --data @-</v>
      </c>
      <c r="AJ211" s="48"/>
      <c r="AK211" s="48"/>
      <c r="AL211" s="48"/>
      <c r="AM211" s="158" t="str">
        <f t="shared" si="18"/>
        <v>start /low /b %USERPROFILE%\Documents\GitHub\eaglep3\Utilities\DownloadLogsFromS3.py --loco 4056 --day 2017-02-06</v>
      </c>
      <c r="AN211" s="167" t="str">
        <f>"grep -SE -B400 ""CHR.+\|PRM\|1\|D.+(SWITCH|SIGNAL).+UNKNOWN"" "&amp;search_path&amp;"\RTDC"&amp;B211&amp;"\*"&amp;B211&amp;"*"&amp;TEXT(AVERAGE(F211,I211)-utc_offset/24,"YYYYMMDD")&amp;"* | grep -SE ""(Enforcement Action)|(\[TIMEOUT)|(CHR.+\|PRM\|1\|D.+(SWITCH|SIGNAL).+UNKNOWN)"" - &gt;&gt; "&amp;TEXT(Variables!$A$2,"YYYY-MM-DD")&amp;"-UncaughtWiMAX.txt"</f>
        <v>grep -SE -B400 "CHR.+\|PRM\|1\|D.+(SWITCH|SIGNAL).+UNKNOWN" "%USERPROFILE%\AppData\Local\Temp\OnboardLogs"\RTDC4056\*4056*20170206* | grep -SE "(Enforcement Action)|(\[TIMEOUT)|(CHR.+\|PRM\|1\|D.+(SWITCH|SIGNAL).+UNKNOWN)" - &gt;&gt; 2017-02-05-UncaughtWiMAX.txt</v>
      </c>
    </row>
    <row r="212" spans="1:40" x14ac:dyDescent="0.25">
      <c r="A212" s="33" t="s">
        <v>527</v>
      </c>
      <c r="B212" s="7">
        <v>4055</v>
      </c>
      <c r="C212" s="21" t="s">
        <v>193</v>
      </c>
      <c r="D212" s="21" t="s">
        <v>876</v>
      </c>
      <c r="E212" s="13">
        <v>42771.134421296294</v>
      </c>
      <c r="F212" s="13">
        <v>25568.708333333332</v>
      </c>
      <c r="G212" s="7">
        <v>1</v>
      </c>
      <c r="H212" s="21" t="s">
        <v>877</v>
      </c>
      <c r="I212" s="13">
        <v>25568.708333333332</v>
      </c>
      <c r="J212" s="7">
        <v>0</v>
      </c>
      <c r="K212" s="98" t="str">
        <f>IF(ISEVEN(B212),(B212-1)&amp;"/"&amp;B212,B212&amp;"/"&amp;(B212+1))</f>
        <v>4055/4056</v>
      </c>
      <c r="L212" s="21" t="str">
        <f>VLOOKUP(A212,'Trips&amp;Operators'!$C$1:$G$99999,5,FALSE)</f>
        <v>SIMMONS SHYHESHA</v>
      </c>
      <c r="M212" s="6">
        <f>I212-F212</f>
        <v>0</v>
      </c>
      <c r="N212" s="7">
        <f>24*60*SUM($M212:$M212)</f>
        <v>0</v>
      </c>
      <c r="O212" s="7"/>
      <c r="P212" s="7"/>
      <c r="Q212" s="22"/>
      <c r="R212" s="22"/>
      <c r="S212" s="31">
        <f>SUM(U212:U212)/IF(AG212="EC",12,1)</f>
        <v>0</v>
      </c>
      <c r="T212" s="46" t="e">
        <f>IF(ISEVEN(LEFT(AD212,4)),"Southbound","NorthBound")</f>
        <v>#VALUE!</v>
      </c>
      <c r="U212" s="190">
        <f>IF(AG212="EC",COUNTIFS(Variables!$M$2:$M$19,IF(T212="NorthBound","&gt;=","&lt;=")&amp;Y212,Variables!$M$2:$M$19,IF(T212="NorthBound","&lt;=","&gt;=")&amp;Z212),COUNTIFS(Variables!$P$2:$P$19,IF(T212="NorthBound","&gt;=","&lt;=")&amp;Y212,Variables!$P$2:$P$19,IF(T212="NorthBound","&lt;=","&gt;=")&amp;Z212))</f>
        <v>0</v>
      </c>
      <c r="V212" s="191" t="str">
        <f>"https://d0f6bd738d7f1b3e5a7ca70fe4ff75f0.us-east-1.aws.found.io/app/kibana#/discover/Steve-Slow-Train-Analysis-(2080s-and-2083s)?_g="&amp;"(refreshInterval:(display:Off,pause:!f,section:0,value:0),time:(from:'"&amp;TEXT(E212-1/24,"yyyy-MM-DDThh:mm:ss")&amp;utc_offset&amp;"00"&amp;"',mode:absolute,to:'"&amp;TEXT(I212+1/24,"yyyy-MM-DDThh:mm:ss")&amp;utc_offset&amp;"00"&amp;"'))&amp;_a=(columns:!('Locomotive+ID','Data.Head+End+Milepost',Data.Speed,'Data.Locomotive+State','Data.Train+ID',"&amp;"'Data.Warning%2FEnforcement+Type','Data.Target+Start+Milepost','Data.Target+Description','Data.Target+Speed',"&amp;"'Data.Enforcement+Train+Speed','Data.Enforcement+Start+Milepost','Data.Target+Type','Data.Enforcement+Direction+of+Travel','Message+ID',"&amp;"'Data.Body+of+Summary+Text','Data.Head+End+Track+name'),filters:!(),index:'emp_*',interval:auto,query:"&amp;"(query_string:(analyze_wildcard:!t,query:'Message%5C+ID:(2083+OR+2080+OR+1041+OR+2003+OR+1051+OR+1043+OR+1053)+AND+%22rtdc.l.rtdc."&amp;B212&amp;"%22')),sort:!(Time.ISO8601,asc))"</f>
        <v>https://d0f6bd738d7f1b3e5a7ca70fe4ff75f0.us-east-1.aws.found.io/app/kibana#/discover/Steve-Slow-Train-Analysis-(2080s-and-2083s)?_g=(refreshInterval:(display:Off,pause:!f,section:0,value:0),time:(from:'2017-02-05T02:13:34-0700',mode:absolute,to:'1969-12-31T18:00:00-0700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4055%22')),sort:!(Time.ISO8601,asc))</v>
      </c>
      <c r="W212" s="192" t="str">
        <f>IF(AA212&lt;IF(AG212="EC",23,5.65),"Y","N")</f>
        <v>Y</v>
      </c>
      <c r="X212" s="192" t="e">
        <f>VALUE(LEFT(AD212,4))-VALUE(LEFT(AD211,4))</f>
        <v>#VALUE!</v>
      </c>
      <c r="Y212" s="62">
        <f>RIGHT(D212,LEN(D212)-4)/10000</f>
        <v>0.22459999999999999</v>
      </c>
      <c r="Z212" s="62">
        <f>RIGHT(H212,LEN(H212)-4)/10000</f>
        <v>3.1631999999999998</v>
      </c>
      <c r="AA212" s="62">
        <f>ABS(Z212-Y212)</f>
        <v>2.9385999999999997</v>
      </c>
      <c r="AB212" s="59" t="e">
        <f>VLOOKUP(A212,Enforcements!$C$7:$K$16,8,0)</f>
        <v>#N/A</v>
      </c>
      <c r="AC212" s="55" t="e">
        <f>VLOOKUP(A212,Enforcements!$C$7:$E$16,3,0)</f>
        <v>#N/A</v>
      </c>
      <c r="AD212" s="56" t="str">
        <f>IF(LEN(A212)=6,"0"&amp;A212,A212)</f>
        <v>81-04</v>
      </c>
      <c r="AE212" s="85" t="str">
        <f>"aws s3 cp "&amp;s3_bucket&amp;"/RTDC"&amp;B212&amp;"/ "&amp;search_path&amp;"\RTDC"&amp;B212&amp;"\"&amp;TEXT(F212,"YYYY-MM-DD")&amp;" --exclude ""*"" --recursive --include ""*"&amp;TEXT(F212,"YYYYMMDD")&amp;"*"" &amp; """&amp;walkandungz&amp;""" "&amp;search_path&amp;"\RTDC"&amp;B212&amp;"\"&amp;TEXT(F212,"YYYY-MM-DD")
&amp;" &amp; "&amp;"aws s3 cp "&amp;s3_bucket&amp;"/RTDC"&amp;B212&amp;"/ "&amp;search_path&amp;"\RTDC"&amp;B212&amp;"\"&amp;TEXT(F212+1,"YYYY-MM-DD")&amp;" --exclude ""*"" --recursive --include ""*"&amp;TEXT(F212+1,"YYYYMMDD")&amp;"*"" &amp; """&amp;walkandungz&amp;""" "&amp;search_path&amp;"\RTDC"&amp;B212&amp;"\"&amp;TEXT(F212+1,"YYYY-MM-DD")</f>
        <v>aws s3 cp s3://rtdc.mdm.uploadarchive.raw/RTDC4055/ "%USERPROFILE%\AppData\Local\Temp\OnboardLogs"\RTDC4055\1969-12-31 --exclude "*" --recursive --include "*19691231*" &amp; "%USERPROFILE%\Documents\GitHub\mrs-test-scripts\Headless Mode &amp; Sideloading\WalkAndUnGZ.bat" "%USERPROFILE%\AppData\Local\Temp\OnboardLogs"\RTDC4055\1969-12-31 &amp; aws s3 cp s3://rtdc.mdm.uploadarchive.raw/RTDC4055/ "%USERPROFILE%\AppData\Local\Temp\OnboardLogs"\RTDC4055\1970-01-01 --exclude "*" --recursive --include "*19700101*" &amp; "%USERPROFILE%\Documents\GitHub\mrs-test-scripts\Headless Mode &amp; Sideloading\WalkAndUnGZ.bat" "%USERPROFILE%\AppData\Local\Temp\OnboardLogs"\RTDC4055\1970-01-01</v>
      </c>
      <c r="AF212" s="82" t="str">
        <f>astrogrep_path&amp;" /spath="&amp;search_path&amp;" /stypes=""app*"&amp;B212&amp;"*"&amp;TEXT(I212-utc_offset/24,"YYYYMMDD")&amp;"*"" /stext="" "&amp;TEXT(I212-utc_offset/24,"HH")&amp;search_regexp&amp;""" /e /r /s"</f>
        <v>"C:\Program Files (x86)\AstroGrep\AstroGrep.exe" /spath="%USERPROFILE%\AppData\Local\Temp\OnboardLogs" /stypes="app*4055*19700101*" /stext=" 00:.+((SYSTEM_STATE.+slice.+state.+changed )|(ment ac)|(multiple cpu faults)|(system.+state.+changed )|(\[timeout)|(PRM\|1\|D)|(kpr)|(kdp)|(\|lc)|(penalty))" /e /r /s</v>
      </c>
      <c r="AG212" s="1" t="str">
        <f>IFERROR(IF(VALUE(LEFT(AD212,2))&lt;=2,"EC",IF(OR(VALUE(LEFT(AD212,2))=8,VALUE(LEFT(AD212,2))=18),"NW","Other")),"Other")</f>
        <v>Other</v>
      </c>
      <c r="AH212" s="86" t="str">
        <f t="shared" si="16"/>
        <v>"%USERPROFILE%\Documents\GitHub\eaglep3\Utilities\RefineRTDCRunTimes.py" --tripid 81-04 --locoid 4055 --swversion DE.1.0.8.0 --startMP 204:2246 --initTime 2017-02-05T03:13:34 --startdatetime 1969-12-31T17:00:00 --delay 1 --endMP 300:31632 --enddatetime 1969-12-31T17:00:00 --enforcementcount 0 &gt;&gt;C:\Users\stu\Documents\GitHub\eaglep3-reporting\EC\2017-02-05-refined-times.txt</v>
      </c>
      <c r="AI212" s="108" t="str">
        <f t="shared" si="17"/>
        <v>echo {"issue":{"subject":"","project_id":79,"tracker_id":40,"status_id":1,"priority_id":2,"assigned_to_id":23,"start_date":"1969-12-31","description":"","custom_fields":[{"id":1,"name":"Subdivision","value":"Other"},{"id":4,"name":"Milepost","value":"3.1632"},{"id":17,"name":"Train ID","value":"81-04"},{"id":16,"name":"Locomotive ID","value":"4055"},{"id":130,"name":"Impact","value":""},{"id":150,"name":"Time of Event (Mountain Time)","value":"17:00:00"},{"id":151,"name":"Denver Issue ID","value":""},{"id":178,"name":"Operational Impact","value":"Yes"},{"id":179,"name":"Denver Segment Assigned","value":""}]}} | curl -X POST -H "Content-Type: application/json" -H "X-Redmine-API-Key: d6333d4a04012a730768444271f8ca06482dae87" https://secure.xorail.net/redmine/issues.json --data @-</v>
      </c>
      <c r="AJ212" s="48"/>
      <c r="AK212" s="48"/>
      <c r="AL212" s="48"/>
      <c r="AM212" s="158" t="str">
        <f t="shared" si="18"/>
        <v>start /low /b %USERPROFILE%\Documents\GitHub\eaglep3\Utilities\DownloadLogsFromS3.py --loco 4055 --day 1969-12-31</v>
      </c>
      <c r="AN212" s="167" t="str">
        <f>"grep -SE -B400 ""CHR.+\|PRM\|1\|D.+(SWITCH|SIGNAL).+UNKNOWN"" "&amp;search_path&amp;"\RTDC"&amp;B212&amp;"\*"&amp;B212&amp;"*"&amp;TEXT(AVERAGE(F212,I212)-utc_offset/24,"YYYYMMDD")&amp;"* | grep -SE ""(Enforcement Action)|(\[TIMEOUT)|(CHR.+\|PRM\|1\|D.+(SWITCH|SIGNAL).+UNKNOWN)"" - &gt;&gt; "&amp;TEXT(Variables!$A$2,"YYYY-MM-DD")&amp;"-UncaughtWiMAX.txt"</f>
        <v>grep -SE -B400 "CHR.+\|PRM\|1\|D.+(SWITCH|SIGNAL).+UNKNOWN" "%USERPROFILE%\AppData\Local\Temp\OnboardLogs"\RTDC4055\*4055*19700101* | grep -SE "(Enforcement Action)|(\[TIMEOUT)|(CHR.+\|PRM\|1\|D.+(SWITCH|SIGNAL).+UNKNOWN)" - &gt;&gt; 2017-02-05-UncaughtWiMAX.txt</v>
      </c>
    </row>
    <row r="213" spans="1:40" x14ac:dyDescent="0.25">
      <c r="A213" s="33" t="s">
        <v>709</v>
      </c>
      <c r="B213" s="7">
        <v>4055</v>
      </c>
      <c r="C213" s="21" t="s">
        <v>193</v>
      </c>
      <c r="D213" s="21" t="s">
        <v>878</v>
      </c>
      <c r="E213" s="13">
        <v>42771.830972222226</v>
      </c>
      <c r="F213" s="13">
        <v>42771.844814814816</v>
      </c>
      <c r="G213" s="7">
        <v>4</v>
      </c>
      <c r="H213" s="21" t="s">
        <v>330</v>
      </c>
      <c r="I213" s="13">
        <v>42771.872060185182</v>
      </c>
      <c r="J213" s="7">
        <v>0</v>
      </c>
      <c r="K213" s="98" t="str">
        <f>IF(ISEVEN(B213),(B213-1)&amp;"/"&amp;B213,B213&amp;"/"&amp;(B213+1))</f>
        <v>4055/4056</v>
      </c>
      <c r="L213" s="21" t="str">
        <f>VLOOKUP(A213,'Trips&amp;Operators'!$C$1:$G$99999,5,FALSE)</f>
        <v>SIMMONS SHYHESHA</v>
      </c>
      <c r="M213" s="6">
        <f>I213-F213</f>
        <v>2.7245370365562849E-2</v>
      </c>
      <c r="N213" s="7">
        <f>24*60*SUM($M213:$M213)</f>
        <v>39.233333326410502</v>
      </c>
      <c r="O213" s="7"/>
      <c r="P213" s="7"/>
      <c r="Q213" s="22"/>
      <c r="R213" s="22"/>
      <c r="S213" s="31">
        <f>SUM(U213:U213)/IF(AG213="EC",12,1)</f>
        <v>0</v>
      </c>
      <c r="T213" s="46" t="e">
        <f>IF(ISEVEN(LEFT(AD213,4)),"Southbound","NorthBound")</f>
        <v>#VALUE!</v>
      </c>
      <c r="U213" s="190">
        <f>IF(AG213="EC",COUNTIFS(Variables!$M$2:$M$19,IF(T213="NorthBound","&gt;=","&lt;=")&amp;Y213,Variables!$M$2:$M$19,IF(T213="NorthBound","&lt;=","&gt;=")&amp;Z213),COUNTIFS(Variables!$P$2:$P$19,IF(T213="NorthBound","&gt;=","&lt;=")&amp;Y213,Variables!$P$2:$P$19,IF(T213="NorthBound","&lt;=","&gt;=")&amp;Z213))</f>
        <v>0</v>
      </c>
      <c r="V213" s="191" t="str">
        <f>"https://d0f6bd738d7f1b3e5a7ca70fe4ff75f0.us-east-1.aws.found.io/app/kibana#/discover/Steve-Slow-Train-Analysis-(2080s-and-2083s)?_g="&amp;"(refreshInterval:(display:Off,pause:!f,section:0,value:0),time:(from:'"&amp;TEXT(E213-1/24,"yyyy-MM-DDThh:mm:ss")&amp;utc_offset&amp;"00"&amp;"',mode:absolute,to:'"&amp;TEXT(I213+1/24,"yyyy-MM-DDThh:mm:ss")&amp;utc_offset&amp;"00"&amp;"'))&amp;_a=(columns:!('Locomotive+ID','Data.Head+End+Milepost',Data.Speed,'Data.Locomotive+State','Data.Train+ID',"&amp;"'Data.Warning%2FEnforcement+Type','Data.Target+Start+Milepost','Data.Target+Description','Data.Target+Speed',"&amp;"'Data.Enforcement+Train+Speed','Data.Enforcement+Start+Milepost','Data.Target+Type','Data.Enforcement+Direction+of+Travel','Message+ID',"&amp;"'Data.Body+of+Summary+Text','Data.Head+End+Track+name'),filters:!(),index:'emp_*',interval:auto,query:"&amp;"(query_string:(analyze_wildcard:!t,query:'Message%5C+ID:(2083+OR+2080+OR+1041+OR+2003+OR+1051+OR+1043+OR+1053)+AND+%22rtdc.l.rtdc."&amp;B213&amp;"%22')),sort:!(Time.ISO8601,asc))"</f>
        <v>https://d0f6bd738d7f1b3e5a7ca70fe4ff75f0.us-east-1.aws.found.io/app/kibana#/discover/Steve-Slow-Train-Analysis-(2080s-and-2083s)?_g=(refreshInterval:(display:Off,pause:!f,section:0,value:0),time:(from:'2017-02-05T18:56:36-0700',mode:absolute,to:'2017-02-05T21:55:46-0700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4055%22')),sort:!(Time.ISO8601,asc))</v>
      </c>
      <c r="W213" s="192" t="str">
        <f>IF(AA213&lt;IF(AG213="EC",23,5.65),"Y","N")</f>
        <v>N</v>
      </c>
      <c r="X213" s="192" t="e">
        <f>VALUE(LEFT(AD213,4))-VALUE(LEFT(AD212,4))</f>
        <v>#VALUE!</v>
      </c>
      <c r="Y213" s="62">
        <f>RIGHT(D213,LEN(D213)-4)/10000</f>
        <v>3.5200000000000002E-2</v>
      </c>
      <c r="Z213" s="62">
        <f>RIGHT(H213,LEN(H213)-4)/10000</f>
        <v>23.330300000000001</v>
      </c>
      <c r="AA213" s="62">
        <f>ABS(Z213-Y213)</f>
        <v>23.295100000000001</v>
      </c>
      <c r="AB213" s="59" t="e">
        <f>VLOOKUP(A213,Enforcements!$C$7:$K$16,8,0)</f>
        <v>#N/A</v>
      </c>
      <c r="AC213" s="55" t="e">
        <f>VLOOKUP(A213,Enforcements!$C$7:$E$16,3,0)</f>
        <v>#N/A</v>
      </c>
      <c r="AD213" s="56" t="str">
        <f>IF(LEN(A213)=6,"0"&amp;A213,A213)</f>
        <v>81-05</v>
      </c>
      <c r="AE213" s="85" t="str">
        <f>"aws s3 cp "&amp;s3_bucket&amp;"/RTDC"&amp;B213&amp;"/ "&amp;search_path&amp;"\RTDC"&amp;B213&amp;"\"&amp;TEXT(F213,"YYYY-MM-DD")&amp;" --exclude ""*"" --recursive --include ""*"&amp;TEXT(F213,"YYYYMMDD")&amp;"*"" &amp; """&amp;walkandungz&amp;""" "&amp;search_path&amp;"\RTDC"&amp;B213&amp;"\"&amp;TEXT(F213,"YYYY-MM-DD")
&amp;" &amp; "&amp;"aws s3 cp "&amp;s3_bucket&amp;"/RTDC"&amp;B213&amp;"/ "&amp;search_path&amp;"\RTDC"&amp;B213&amp;"\"&amp;TEXT(F213+1,"YYYY-MM-DD")&amp;" --exclude ""*"" --recursive --include ""*"&amp;TEXT(F213+1,"YYYYMMDD")&amp;"*"" &amp; """&amp;walkandungz&amp;""" "&amp;search_path&amp;"\RTDC"&amp;B213&amp;"\"&amp;TEXT(F213+1,"YYYY-MM-DD")</f>
        <v>aws s3 cp s3://rtdc.mdm.uploadarchive.raw/RTDC4055/ "%USERPROFILE%\AppData\Local\Temp\OnboardLogs"\RTDC4055\2017-02-05 --exclude "*" --recursive --include "*20170205*" &amp; "%USERPROFILE%\Documents\GitHub\mrs-test-scripts\Headless Mode &amp; Sideloading\WalkAndUnGZ.bat" "%USERPROFILE%\AppData\Local\Temp\OnboardLogs"\RTDC4055\2017-02-05 &amp; aws s3 cp s3://rtdc.mdm.uploadarchive.raw/RTDC4055/ "%USERPROFILE%\AppData\Local\Temp\OnboardLogs"\RTDC4055\2017-02-06 --exclude "*" --recursive --include "*20170206*" &amp; "%USERPROFILE%\Documents\GitHub\mrs-test-scripts\Headless Mode &amp; Sideloading\WalkAndUnGZ.bat" "%USERPROFILE%\AppData\Local\Temp\OnboardLogs"\RTDC4055\2017-02-06</v>
      </c>
      <c r="AF213" s="82" t="str">
        <f>astrogrep_path&amp;" /spath="&amp;search_path&amp;" /stypes=""app*"&amp;B213&amp;"*"&amp;TEXT(I213-utc_offset/24,"YYYYMMDD")&amp;"*"" /stext="" "&amp;TEXT(I213-utc_offset/24,"HH")&amp;search_regexp&amp;""" /e /r /s"</f>
        <v>"C:\Program Files (x86)\AstroGrep\AstroGrep.exe" /spath="%USERPROFILE%\AppData\Local\Temp\OnboardLogs" /stypes="app*4055*20170206*" /stext=" 03:.+((SYSTEM_STATE.+slice.+state.+changed )|(ment ac)|(multiple cpu faults)|(system.+state.+changed )|(\[timeout)|(PRM\|1\|D)|(kpr)|(kdp)|(\|lc)|(penalty))" /e /r /s</v>
      </c>
      <c r="AG213" s="1" t="str">
        <f>IFERROR(IF(VALUE(LEFT(AD213,2))&lt;=2,"EC",IF(OR(VALUE(LEFT(AD213,2))=8,VALUE(LEFT(AD213,2))=18),"NW","Other")),"Other")</f>
        <v>Other</v>
      </c>
      <c r="AH213" s="86" t="str">
        <f t="shared" si="16"/>
        <v>"%USERPROFILE%\Documents\GitHub\eaglep3\Utilities\RefineRTDCRunTimes.py" --tripid 81-05 --locoid 4055 --swversion DE.1.0.8.0 --startMP 204:352 --initTime 2017-02-05T19:56:36 --startdatetime 2017-02-05T20:16:32 --delay 4 --endMP 204:233303 --enddatetime 2017-02-05T20:55:46 --enforcementcount 0 &gt;&gt;C:\Users\stu\Documents\GitHub\eaglep3-reporting\EC\2017-02-05-refined-times.txt</v>
      </c>
      <c r="AI213" s="108" t="str">
        <f t="shared" si="17"/>
        <v>echo {"issue":{"subject":"","project_id":79,"tracker_id":40,"status_id":1,"priority_id":2,"assigned_to_id":23,"start_date":"2017-02-05","description":"","custom_fields":[{"id":1,"name":"Subdivision","value":"Other"},{"id":4,"name":"Milepost","value":"23.3303"},{"id":17,"name":"Train ID","value":"81-05"},{"id":16,"name":"Locomotive ID","value":"4055"},{"id":130,"name":"Impact","value":""},{"id":150,"name":"Time of Event (Mountain Time)","value":"20:55:46"},{"id":151,"name":"Denver Issue ID","value":""},{"id":178,"name":"Operational Impact","value":"Yes"},{"id":179,"name":"Denver Segment Assigned","value":""}]}} | curl -X POST -H "Content-Type: application/json" -H "X-Redmine-API-Key: d6333d4a04012a730768444271f8ca06482dae87" https://secure.xorail.net/redmine/issues.json --data @-</v>
      </c>
      <c r="AJ213" s="48"/>
      <c r="AK213" s="48"/>
      <c r="AL213" s="48"/>
      <c r="AM213" s="158" t="str">
        <f t="shared" si="18"/>
        <v>start /low /b %USERPROFILE%\Documents\GitHub\eaglep3\Utilities\DownloadLogsFromS3.py --loco 4055 --day 2017-02-05</v>
      </c>
      <c r="AN213" s="167" t="str">
        <f>"grep -SE -B400 ""CHR.+\|PRM\|1\|D.+(SWITCH|SIGNAL).+UNKNOWN"" "&amp;search_path&amp;"\RTDC"&amp;B213&amp;"\*"&amp;B213&amp;"*"&amp;TEXT(AVERAGE(F213,I213)-utc_offset/24,"YYYYMMDD")&amp;"* | grep -SE ""(Enforcement Action)|(\[TIMEOUT)|(CHR.+\|PRM\|1\|D.+(SWITCH|SIGNAL).+UNKNOWN)"" - &gt;&gt; "&amp;TEXT(Variables!$A$2,"YYYY-MM-DD")&amp;"-UncaughtWiMAX.txt"</f>
        <v>grep -SE -B400 "CHR.+\|PRM\|1\|D.+(SWITCH|SIGNAL).+UNKNOWN" "%USERPROFILE%\AppData\Local\Temp\OnboardLogs"\RTDC4055\*4055*20170206* | grep -SE "(Enforcement Action)|(\[TIMEOUT)|(CHR.+\|PRM\|1\|D.+(SWITCH|SIGNAL).+UNKNOWN)" - &gt;&gt; 2017-02-05-UncaughtWiMAX.txt</v>
      </c>
    </row>
    <row r="214" spans="1:40" x14ac:dyDescent="0.25">
      <c r="A214" s="33" t="s">
        <v>709</v>
      </c>
      <c r="B214" s="7">
        <v>4055</v>
      </c>
      <c r="C214" s="21" t="s">
        <v>193</v>
      </c>
      <c r="D214" s="21" t="s">
        <v>312</v>
      </c>
      <c r="E214" s="13">
        <v>42771.91265046296</v>
      </c>
      <c r="F214" s="13">
        <v>42771.924270833333</v>
      </c>
      <c r="G214" s="7">
        <v>1</v>
      </c>
      <c r="H214" s="21" t="s">
        <v>320</v>
      </c>
      <c r="I214" s="13">
        <v>42771.952604166669</v>
      </c>
      <c r="J214" s="7">
        <v>0</v>
      </c>
      <c r="K214" s="98" t="str">
        <f>IF(ISEVEN(B214),(B214-1)&amp;"/"&amp;B214,B214&amp;"/"&amp;(B214+1))</f>
        <v>4055/4056</v>
      </c>
      <c r="L214" s="21" t="str">
        <f>VLOOKUP(A214,'Trips&amp;Operators'!$C$1:$G$99999,5,FALSE)</f>
        <v>SIMMONS SHYHESHA</v>
      </c>
      <c r="M214" s="6">
        <f>I214-F214</f>
        <v>2.8333333335467614E-2</v>
      </c>
      <c r="N214" s="7">
        <f>24*60*SUM($M214:$M214)</f>
        <v>40.800000003073364</v>
      </c>
      <c r="O214" s="7"/>
      <c r="P214" s="7"/>
      <c r="Q214" s="22"/>
      <c r="R214" s="22"/>
      <c r="S214" s="31">
        <f>SUM(U214:U214)/IF(AG214="EC",12,1)</f>
        <v>0</v>
      </c>
      <c r="T214" s="46" t="e">
        <f>IF(ISEVEN(LEFT(AD214,4)),"Southbound","NorthBound")</f>
        <v>#VALUE!</v>
      </c>
      <c r="U214" s="190">
        <f>IF(AG214="EC",COUNTIFS(Variables!$M$2:$M$19,IF(T214="NorthBound","&gt;=","&lt;=")&amp;Y214,Variables!$M$2:$M$19,IF(T214="NorthBound","&lt;=","&gt;=")&amp;Z214),COUNTIFS(Variables!$P$2:$P$19,IF(T214="NorthBound","&gt;=","&lt;=")&amp;Y214,Variables!$P$2:$P$19,IF(T214="NorthBound","&lt;=","&gt;=")&amp;Z214))</f>
        <v>0</v>
      </c>
      <c r="V214" s="191" t="str">
        <f>"https://d0f6bd738d7f1b3e5a7ca70fe4ff75f0.us-east-1.aws.found.io/app/kibana#/discover/Steve-Slow-Train-Analysis-(2080s-and-2083s)?_g="&amp;"(refreshInterval:(display:Off,pause:!f,section:0,value:0),time:(from:'"&amp;TEXT(E214-1/24,"yyyy-MM-DDThh:mm:ss")&amp;utc_offset&amp;"00"&amp;"',mode:absolute,to:'"&amp;TEXT(I214+1/24,"yyyy-MM-DDThh:mm:ss")&amp;utc_offset&amp;"00"&amp;"'))&amp;_a=(columns:!('Locomotive+ID','Data.Head+End+Milepost',Data.Speed,'Data.Locomotive+State','Data.Train+ID',"&amp;"'Data.Warning%2FEnforcement+Type','Data.Target+Start+Milepost','Data.Target+Description','Data.Target+Speed',"&amp;"'Data.Enforcement+Train+Speed','Data.Enforcement+Start+Milepost','Data.Target+Type','Data.Enforcement+Direction+of+Travel','Message+ID',"&amp;"'Data.Body+of+Summary+Text','Data.Head+End+Track+name'),filters:!(),index:'emp_*',interval:auto,query:"&amp;"(query_string:(analyze_wildcard:!t,query:'Message%5C+ID:(2083+OR+2080+OR+1041+OR+2003+OR+1051+OR+1043+OR+1053)+AND+%22rtdc.l.rtdc."&amp;B214&amp;"%22')),sort:!(Time.ISO8601,asc))"</f>
        <v>https://d0f6bd738d7f1b3e5a7ca70fe4ff75f0.us-east-1.aws.found.io/app/kibana#/discover/Steve-Slow-Train-Analysis-(2080s-and-2083s)?_g=(refreshInterval:(display:Off,pause:!f,section:0,value:0),time:(from:'2017-02-05T20:54:13-0700',mode:absolute,to:'2017-02-05T23:51:45-0700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4055%22')),sort:!(Time.ISO8601,asc))</v>
      </c>
      <c r="W214" s="192" t="str">
        <f>IF(AA214&lt;IF(AG214="EC",23,5.65),"Y","N")</f>
        <v>N</v>
      </c>
      <c r="X214" s="192" t="e">
        <f>VALUE(LEFT(AD214,4))-VALUE(LEFT(AD213,4))</f>
        <v>#VALUE!</v>
      </c>
      <c r="Y214" s="62">
        <f>RIGHT(D214,LEN(D214)-4)/10000</f>
        <v>4.3700000000000003E-2</v>
      </c>
      <c r="Z214" s="62">
        <f>RIGHT(H214,LEN(H214)-4)/10000</f>
        <v>23.331700000000001</v>
      </c>
      <c r="AA214" s="62">
        <f>ABS(Z214-Y214)</f>
        <v>23.288</v>
      </c>
      <c r="AB214" s="59" t="e">
        <f>VLOOKUP(A214,Enforcements!$C$7:$K$16,8,0)</f>
        <v>#N/A</v>
      </c>
      <c r="AC214" s="55" t="e">
        <f>VLOOKUP(A214,Enforcements!$C$7:$E$16,3,0)</f>
        <v>#N/A</v>
      </c>
      <c r="AD214" s="56" t="str">
        <f>IF(LEN(A214)=6,"0"&amp;A214,A214)</f>
        <v>81-05</v>
      </c>
      <c r="AE214" s="85" t="str">
        <f>"aws s3 cp "&amp;s3_bucket&amp;"/RTDC"&amp;B214&amp;"/ "&amp;search_path&amp;"\RTDC"&amp;B214&amp;"\"&amp;TEXT(F214,"YYYY-MM-DD")&amp;" --exclude ""*"" --recursive --include ""*"&amp;TEXT(F214,"YYYYMMDD")&amp;"*"" &amp; """&amp;walkandungz&amp;""" "&amp;search_path&amp;"\RTDC"&amp;B214&amp;"\"&amp;TEXT(F214,"YYYY-MM-DD")
&amp;" &amp; "&amp;"aws s3 cp "&amp;s3_bucket&amp;"/RTDC"&amp;B214&amp;"/ "&amp;search_path&amp;"\RTDC"&amp;B214&amp;"\"&amp;TEXT(F214+1,"YYYY-MM-DD")&amp;" --exclude ""*"" --recursive --include ""*"&amp;TEXT(F214+1,"YYYYMMDD")&amp;"*"" &amp; """&amp;walkandungz&amp;""" "&amp;search_path&amp;"\RTDC"&amp;B214&amp;"\"&amp;TEXT(F214+1,"YYYY-MM-DD")</f>
        <v>aws s3 cp s3://rtdc.mdm.uploadarchive.raw/RTDC4055/ "%USERPROFILE%\AppData\Local\Temp\OnboardLogs"\RTDC4055\2017-02-05 --exclude "*" --recursive --include "*20170205*" &amp; "%USERPROFILE%\Documents\GitHub\mrs-test-scripts\Headless Mode &amp; Sideloading\WalkAndUnGZ.bat" "%USERPROFILE%\AppData\Local\Temp\OnboardLogs"\RTDC4055\2017-02-05 &amp; aws s3 cp s3://rtdc.mdm.uploadarchive.raw/RTDC4055/ "%USERPROFILE%\AppData\Local\Temp\OnboardLogs"\RTDC4055\2017-02-06 --exclude "*" --recursive --include "*20170206*" &amp; "%USERPROFILE%\Documents\GitHub\mrs-test-scripts\Headless Mode &amp; Sideloading\WalkAndUnGZ.bat" "%USERPROFILE%\AppData\Local\Temp\OnboardLogs"\RTDC4055\2017-02-06</v>
      </c>
      <c r="AF214" s="82" t="str">
        <f>astrogrep_path&amp;" /spath="&amp;search_path&amp;" /stypes=""app*"&amp;B214&amp;"*"&amp;TEXT(I214-utc_offset/24,"YYYYMMDD")&amp;"*"" /stext="" "&amp;TEXT(I214-utc_offset/24,"HH")&amp;search_regexp&amp;""" /e /r /s"</f>
        <v>"C:\Program Files (x86)\AstroGrep\AstroGrep.exe" /spath="%USERPROFILE%\AppData\Local\Temp\OnboardLogs" /stypes="app*4055*20170206*" /stext=" 05:.+((SYSTEM_STATE.+slice.+state.+changed )|(ment ac)|(multiple cpu faults)|(system.+state.+changed )|(\[timeout)|(PRM\|1\|D)|(kpr)|(kdp)|(\|lc)|(penalty))" /e /r /s</v>
      </c>
      <c r="AG214" s="1" t="str">
        <f>IFERROR(IF(VALUE(LEFT(AD214,2))&lt;=2,"EC",IF(OR(VALUE(LEFT(AD214,2))=8,VALUE(LEFT(AD214,2))=18),"NW","Other")),"Other")</f>
        <v>Other</v>
      </c>
      <c r="AH214" s="86" t="str">
        <f t="shared" si="16"/>
        <v>"%USERPROFILE%\Documents\GitHub\eaglep3\Utilities\RefineRTDCRunTimes.py" --tripid 81-05 --locoid 4055 --swversion DE.1.0.8.0 --startMP 204:437 --initTime 2017-02-05T21:54:13 --startdatetime 2017-02-05T22:10:57 --delay 1 --endMP 204:233317 --enddatetime 2017-02-05T22:51:45 --enforcementcount 0 &gt;&gt;C:\Users\stu\Documents\GitHub\eaglep3-reporting\EC\2017-02-05-refined-times.txt</v>
      </c>
      <c r="AI214" s="108" t="str">
        <f t="shared" si="17"/>
        <v>echo {"issue":{"subject":"","project_id":79,"tracker_id":40,"status_id":1,"priority_id":2,"assigned_to_id":23,"start_date":"2017-02-05","description":"","custom_fields":[{"id":1,"name":"Subdivision","value":"Other"},{"id":4,"name":"Milepost","value":"23.3317"},{"id":17,"name":"Train ID","value":"81-05"},{"id":16,"name":"Locomotive ID","value":"4055"},{"id":130,"name":"Impact","value":""},{"id":150,"name":"Time of Event (Mountain Time)","value":"22:51:45"},{"id":151,"name":"Denver Issue ID","value":""},{"id":178,"name":"Operational Impact","value":"Yes"},{"id":179,"name":"Denver Segment Assigned","value":""}]}} | curl -X POST -H "Content-Type: application/json" -H "X-Redmine-API-Key: d6333d4a04012a730768444271f8ca06482dae87" https://secure.xorail.net/redmine/issues.json --data @-</v>
      </c>
      <c r="AJ214" s="48"/>
      <c r="AK214" s="48"/>
      <c r="AL214" s="48"/>
      <c r="AM214" s="158" t="str">
        <f t="shared" si="18"/>
        <v>start /low /b %USERPROFILE%\Documents\GitHub\eaglep3\Utilities\DownloadLogsFromS3.py --loco 4055 --day 2017-02-05</v>
      </c>
      <c r="AN214" s="167" t="str">
        <f>"grep -SE -B400 ""CHR.+\|PRM\|1\|D.+(SWITCH|SIGNAL).+UNKNOWN"" "&amp;search_path&amp;"\RTDC"&amp;B214&amp;"\*"&amp;B214&amp;"*"&amp;TEXT(AVERAGE(F214,I214)-utc_offset/24,"YYYYMMDD")&amp;"* | grep -SE ""(Enforcement Action)|(\[TIMEOUT)|(CHR.+\|PRM\|1\|D.+(SWITCH|SIGNAL).+UNKNOWN)"" - &gt;&gt; "&amp;TEXT(Variables!$A$2,"YYYY-MM-DD")&amp;"-UncaughtWiMAX.txt"</f>
        <v>grep -SE -B400 "CHR.+\|PRM\|1\|D.+(SWITCH|SIGNAL).+UNKNOWN" "%USERPROFILE%\AppData\Local\Temp\OnboardLogs"\RTDC4055\*4055*20170206* | grep -SE "(Enforcement Action)|(\[TIMEOUT)|(CHR.+\|PRM\|1\|D.+(SWITCH|SIGNAL).+UNKNOWN)" - &gt;&gt; 2017-02-05-UncaughtWiMAX.txt</v>
      </c>
    </row>
    <row r="215" spans="1:40" x14ac:dyDescent="0.25">
      <c r="A215" s="33" t="s">
        <v>709</v>
      </c>
      <c r="B215" s="7">
        <v>4055</v>
      </c>
      <c r="C215" s="21" t="s">
        <v>193</v>
      </c>
      <c r="D215" s="21" t="s">
        <v>290</v>
      </c>
      <c r="E215" s="13">
        <v>42772.053101851852</v>
      </c>
      <c r="F215" s="13">
        <v>42772.054386574076</v>
      </c>
      <c r="G215" s="7">
        <v>1</v>
      </c>
      <c r="H215" s="21" t="s">
        <v>419</v>
      </c>
      <c r="I215" s="13">
        <v>42772.059317129628</v>
      </c>
      <c r="J215" s="7">
        <v>0</v>
      </c>
      <c r="K215" s="98" t="str">
        <f>IF(ISEVEN(B215),(B215-1)&amp;"/"&amp;B215,B215&amp;"/"&amp;(B215+1))</f>
        <v>4055/4056</v>
      </c>
      <c r="L215" s="21" t="str">
        <f>VLOOKUP(A215,'Trips&amp;Operators'!$C$1:$G$99999,5,FALSE)</f>
        <v>SIMMONS SHYHESHA</v>
      </c>
      <c r="M215" s="6">
        <f>I215-F215</f>
        <v>4.9305555512546562E-3</v>
      </c>
      <c r="N215" s="7">
        <f>24*60*SUM($M215:$M215)</f>
        <v>7.0999999938067049</v>
      </c>
      <c r="O215" s="7"/>
      <c r="P215" s="7"/>
      <c r="Q215" s="22"/>
      <c r="R215" s="22"/>
      <c r="S215" s="31">
        <f>SUM(U215:U215)/IF(AG215="EC",12,1)</f>
        <v>0</v>
      </c>
      <c r="T215" s="46" t="e">
        <f>IF(ISEVEN(LEFT(AD215,4)),"Southbound","NorthBound")</f>
        <v>#VALUE!</v>
      </c>
      <c r="U215" s="190">
        <f>IF(AG215="EC",COUNTIFS(Variables!$M$2:$M$19,IF(T215="NorthBound","&gt;=","&lt;=")&amp;Y215,Variables!$M$2:$M$19,IF(T215="NorthBound","&lt;=","&gt;=")&amp;Z215),COUNTIFS(Variables!$P$2:$P$19,IF(T215="NorthBound","&gt;=","&lt;=")&amp;Y215,Variables!$P$2:$P$19,IF(T215="NorthBound","&lt;=","&gt;=")&amp;Z215))</f>
        <v>0</v>
      </c>
      <c r="V215" s="191" t="str">
        <f>"https://d0f6bd738d7f1b3e5a7ca70fe4ff75f0.us-east-1.aws.found.io/app/kibana#/discover/Steve-Slow-Train-Analysis-(2080s-and-2083s)?_g="&amp;"(refreshInterval:(display:Off,pause:!f,section:0,value:0),time:(from:'"&amp;TEXT(E215-1/24,"yyyy-MM-DDThh:mm:ss")&amp;utc_offset&amp;"00"&amp;"',mode:absolute,to:'"&amp;TEXT(I215+1/24,"yyyy-MM-DDThh:mm:ss")&amp;utc_offset&amp;"00"&amp;"'))&amp;_a=(columns:!('Locomotive+ID','Data.Head+End+Milepost',Data.Speed,'Data.Locomotive+State','Data.Train+ID',"&amp;"'Data.Warning%2FEnforcement+Type','Data.Target+Start+Milepost','Data.Target+Description','Data.Target+Speed',"&amp;"'Data.Enforcement+Train+Speed','Data.Enforcement+Start+Milepost','Data.Target+Type','Data.Enforcement+Direction+of+Travel','Message+ID',"&amp;"'Data.Body+of+Summary+Text','Data.Head+End+Track+name'),filters:!(),index:'emp_*',interval:auto,query:"&amp;"(query_string:(analyze_wildcard:!t,query:'Message%5C+ID:(2083+OR+2080+OR+1041+OR+2003+OR+1051+OR+1043+OR+1053)+AND+%22rtdc.l.rtdc."&amp;B215&amp;"%22')),sort:!(Time.ISO8601,asc))"</f>
        <v>https://d0f6bd738d7f1b3e5a7ca70fe4ff75f0.us-east-1.aws.found.io/app/kibana#/discover/Steve-Slow-Train-Analysis-(2080s-and-2083s)?_g=(refreshInterval:(display:Off,pause:!f,section:0,value:0),time:(from:'2017-02-06T00:16:28-0700',mode:absolute,to:'2017-02-06T02:25:25-0700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4055%22')),sort:!(Time.ISO8601,asc))</v>
      </c>
      <c r="W215" s="192" t="str">
        <f>IF(AA215&lt;IF(AG215="EC",23,5.65),"Y","N")</f>
        <v>Y</v>
      </c>
      <c r="X215" s="192" t="e">
        <f>VALUE(LEFT(AD215,4))-VALUE(LEFT(AD214,4))</f>
        <v>#VALUE!</v>
      </c>
      <c r="Y215" s="62">
        <f>RIGHT(D215,LEN(D215)-4)/10000</f>
        <v>4.4600000000000001E-2</v>
      </c>
      <c r="Z215" s="62">
        <f>RIGHT(H215,LEN(H215)-4)/10000</f>
        <v>2.3311999999999999</v>
      </c>
      <c r="AA215" s="62">
        <f>ABS(Z215-Y215)</f>
        <v>2.2866</v>
      </c>
      <c r="AB215" s="59" t="e">
        <f>VLOOKUP(A215,Enforcements!$C$7:$K$16,8,0)</f>
        <v>#N/A</v>
      </c>
      <c r="AC215" s="55" t="e">
        <f>VLOOKUP(A215,Enforcements!$C$7:$E$16,3,0)</f>
        <v>#N/A</v>
      </c>
      <c r="AD215" s="56" t="str">
        <f>IF(LEN(A215)=6,"0"&amp;A215,A215)</f>
        <v>81-05</v>
      </c>
      <c r="AE215" s="85" t="str">
        <f>"aws s3 cp "&amp;s3_bucket&amp;"/RTDC"&amp;B215&amp;"/ "&amp;search_path&amp;"\RTDC"&amp;B215&amp;"\"&amp;TEXT(F215,"YYYY-MM-DD")&amp;" --exclude ""*"" --recursive --include ""*"&amp;TEXT(F215,"YYYYMMDD")&amp;"*"" &amp; """&amp;walkandungz&amp;""" "&amp;search_path&amp;"\RTDC"&amp;B215&amp;"\"&amp;TEXT(F215,"YYYY-MM-DD")
&amp;" &amp; "&amp;"aws s3 cp "&amp;s3_bucket&amp;"/RTDC"&amp;B215&amp;"/ "&amp;search_path&amp;"\RTDC"&amp;B215&amp;"\"&amp;TEXT(F215+1,"YYYY-MM-DD")&amp;" --exclude ""*"" --recursive --include ""*"&amp;TEXT(F215+1,"YYYYMMDD")&amp;"*"" &amp; """&amp;walkandungz&amp;""" "&amp;search_path&amp;"\RTDC"&amp;B215&amp;"\"&amp;TEXT(F215+1,"YYYY-MM-DD")</f>
        <v>aws s3 cp s3://rtdc.mdm.uploadarchive.raw/RTDC4055/ "%USERPROFILE%\AppData\Local\Temp\OnboardLogs"\RTDC4055\2017-02-06 --exclude "*" --recursive --include "*20170206*" &amp; "%USERPROFILE%\Documents\GitHub\mrs-test-scripts\Headless Mode &amp; Sideloading\WalkAndUnGZ.bat" "%USERPROFILE%\AppData\Local\Temp\OnboardLogs"\RTDC4055\2017-02-06 &amp; aws s3 cp s3://rtdc.mdm.uploadarchive.raw/RTDC4055/ "%USERPROFILE%\AppData\Local\Temp\OnboardLogs"\RTDC4055\2017-02-07 --exclude "*" --recursive --include "*20170207*" &amp; "%USERPROFILE%\Documents\GitHub\mrs-test-scripts\Headless Mode &amp; Sideloading\WalkAndUnGZ.bat" "%USERPROFILE%\AppData\Local\Temp\OnboardLogs"\RTDC4055\2017-02-07</v>
      </c>
      <c r="AF215" s="82" t="str">
        <f>astrogrep_path&amp;" /spath="&amp;search_path&amp;" /stypes=""app*"&amp;B215&amp;"*"&amp;TEXT(I215-utc_offset/24,"YYYYMMDD")&amp;"*"" /stext="" "&amp;TEXT(I215-utc_offset/24,"HH")&amp;search_regexp&amp;""" /e /r /s"</f>
        <v>"C:\Program Files (x86)\AstroGrep\AstroGrep.exe" /spath="%USERPROFILE%\AppData\Local\Temp\OnboardLogs" /stypes="app*4055*20170206*" /stext=" 08:.+((SYSTEM_STATE.+slice.+state.+changed )|(ment ac)|(multiple cpu faults)|(system.+state.+changed )|(\[timeout)|(PRM\|1\|D)|(kpr)|(kdp)|(\|lc)|(penalty))" /e /r /s</v>
      </c>
      <c r="AG215" s="1" t="str">
        <f>IFERROR(IF(VALUE(LEFT(AD215,2))&lt;=2,"EC",IF(OR(VALUE(LEFT(AD215,2))=8,VALUE(LEFT(AD215,2))=18),"NW","Other")),"Other")</f>
        <v>Other</v>
      </c>
      <c r="AH215" s="86" t="str">
        <f t="shared" si="16"/>
        <v>"%USERPROFILE%\Documents\GitHub\eaglep3\Utilities\RefineRTDCRunTimes.py" --tripid 81-05 --locoid 4055 --swversion DE.1.0.8.0 --startMP 204:446 --initTime 2017-02-06T01:16:28 --startdatetime 2017-02-06T01:18:19 --delay 1 --endMP 300:23312 --enddatetime 2017-02-06T01:25:25 --enforcementcount 0 &gt;&gt;C:\Users\stu\Documents\GitHub\eaglep3-reporting\EC\2017-02-05-refined-times.txt</v>
      </c>
      <c r="AI215" s="108" t="str">
        <f t="shared" si="17"/>
        <v>echo {"issue":{"subject":"","project_id":79,"tracker_id":40,"status_id":1,"priority_id":2,"assigned_to_id":23,"start_date":"2017-02-06","description":"","custom_fields":[{"id":1,"name":"Subdivision","value":"Other"},{"id":4,"name":"Milepost","value":"2.3312"},{"id":17,"name":"Train ID","value":"81-05"},{"id":16,"name":"Locomotive ID","value":"4055"},{"id":130,"name":"Impact","value":""},{"id":150,"name":"Time of Event (Mountain Time)","value":"01:25:25"},{"id":151,"name":"Denver Issue ID","value":""},{"id":178,"name":"Operational Impact","value":"Yes"},{"id":179,"name":"Denver Segment Assigned","value":""}]}} | curl -X POST -H "Content-Type: application/json" -H "X-Redmine-API-Key: d6333d4a04012a730768444271f8ca06482dae87" https://secure.xorail.net/redmine/issues.json --data @-</v>
      </c>
      <c r="AJ215" s="48"/>
      <c r="AK215" s="48"/>
      <c r="AL215" s="48"/>
      <c r="AM215" s="158" t="str">
        <f t="shared" si="18"/>
        <v>start /low /b %USERPROFILE%\Documents\GitHub\eaglep3\Utilities\DownloadLogsFromS3.py --loco 4055 --day 2017-02-06</v>
      </c>
      <c r="AN215" s="167" t="str">
        <f>"grep -SE -B400 ""CHR.+\|PRM\|1\|D.+(SWITCH|SIGNAL).+UNKNOWN"" "&amp;search_path&amp;"\RTDC"&amp;B215&amp;"\*"&amp;B215&amp;"*"&amp;TEXT(AVERAGE(F215,I215)-utc_offset/24,"YYYYMMDD")&amp;"* | grep -SE ""(Enforcement Action)|(\[TIMEOUT)|(CHR.+\|PRM\|1\|D.+(SWITCH|SIGNAL).+UNKNOWN)"" - &gt;&gt; "&amp;TEXT(Variables!$A$2,"YYYY-MM-DD")&amp;"-UncaughtWiMAX.txt"</f>
        <v>grep -SE -B400 "CHR.+\|PRM\|1\|D.+(SWITCH|SIGNAL).+UNKNOWN" "%USERPROFILE%\AppData\Local\Temp\OnboardLogs"\RTDC4055\*4055*20170206* | grep -SE "(Enforcement Action)|(\[TIMEOUT)|(CHR.+\|PRM\|1\|D.+(SWITCH|SIGNAL).+UNKNOWN)" - &gt;&gt; 2017-02-05-UncaughtWiMAX.txt</v>
      </c>
    </row>
    <row r="216" spans="1:40" x14ac:dyDescent="0.25">
      <c r="A216" s="33" t="s">
        <v>709</v>
      </c>
      <c r="B216" s="7">
        <v>4055</v>
      </c>
      <c r="C216" s="21" t="s">
        <v>193</v>
      </c>
      <c r="D216" s="21" t="s">
        <v>399</v>
      </c>
      <c r="E216" s="13">
        <v>42772.003194444442</v>
      </c>
      <c r="F216" s="13">
        <v>42772.054386574076</v>
      </c>
      <c r="G216" s="7">
        <v>2</v>
      </c>
      <c r="H216" s="21" t="s">
        <v>879</v>
      </c>
      <c r="I216" s="13">
        <v>42772.059317129628</v>
      </c>
      <c r="J216" s="7">
        <v>0</v>
      </c>
      <c r="K216" s="98" t="str">
        <f>IF(ISEVEN(B216),(B216-1)&amp;"/"&amp;B216,B216&amp;"/"&amp;(B216+1))</f>
        <v>4055/4056</v>
      </c>
      <c r="L216" s="21" t="str">
        <f>VLOOKUP(A216,'Trips&amp;Operators'!$C$1:$G$99999,5,FALSE)</f>
        <v>SIMMONS SHYHESHA</v>
      </c>
      <c r="M216" s="6">
        <f>I216-F216</f>
        <v>4.9305555512546562E-3</v>
      </c>
      <c r="N216" s="7">
        <f>24*60*SUM($M216:$M216)</f>
        <v>7.0999999938067049</v>
      </c>
      <c r="O216" s="7"/>
      <c r="P216" s="7"/>
      <c r="Q216" s="22"/>
      <c r="R216" s="22"/>
      <c r="S216" s="31">
        <f>SUM(U216:U216)/IF(AG216="EC",12,1)</f>
        <v>0</v>
      </c>
      <c r="T216" s="46" t="e">
        <f>IF(ISEVEN(LEFT(AD216,4)),"Southbound","NorthBound")</f>
        <v>#VALUE!</v>
      </c>
      <c r="U216" s="190">
        <f>IF(AG216="EC",COUNTIFS(Variables!$M$2:$M$19,IF(T216="NorthBound","&gt;=","&lt;=")&amp;Y216,Variables!$M$2:$M$19,IF(T216="NorthBound","&lt;=","&gt;=")&amp;Z216),COUNTIFS(Variables!$P$2:$P$19,IF(T216="NorthBound","&gt;=","&lt;=")&amp;Y216,Variables!$P$2:$P$19,IF(T216="NorthBound","&lt;=","&gt;=")&amp;Z216))</f>
        <v>0</v>
      </c>
      <c r="V216" s="191" t="str">
        <f>"https://d0f6bd738d7f1b3e5a7ca70fe4ff75f0.us-east-1.aws.found.io/app/kibana#/discover/Steve-Slow-Train-Analysis-(2080s-and-2083s)?_g="&amp;"(refreshInterval:(display:Off,pause:!f,section:0,value:0),time:(from:'"&amp;TEXT(E216-1/24,"yyyy-MM-DDThh:mm:ss")&amp;utc_offset&amp;"00"&amp;"',mode:absolute,to:'"&amp;TEXT(I216+1/24,"yyyy-MM-DDThh:mm:ss")&amp;utc_offset&amp;"00"&amp;"'))&amp;_a=(columns:!('Locomotive+ID','Data.Head+End+Milepost',Data.Speed,'Data.Locomotive+State','Data.Train+ID',"&amp;"'Data.Warning%2FEnforcement+Type','Data.Target+Start+Milepost','Data.Target+Description','Data.Target+Speed',"&amp;"'Data.Enforcement+Train+Speed','Data.Enforcement+Start+Milepost','Data.Target+Type','Data.Enforcement+Direction+of+Travel','Message+ID',"&amp;"'Data.Body+of+Summary+Text','Data.Head+End+Track+name'),filters:!(),index:'emp_*',interval:auto,query:"&amp;"(query_string:(analyze_wildcard:!t,query:'Message%5C+ID:(2083+OR+2080+OR+1041+OR+2003+OR+1051+OR+1043+OR+1053)+AND+%22rtdc.l.rtdc."&amp;B216&amp;"%22')),sort:!(Time.ISO8601,asc))"</f>
        <v>https://d0f6bd738d7f1b3e5a7ca70fe4ff75f0.us-east-1.aws.found.io/app/kibana#/discover/Steve-Slow-Train-Analysis-(2080s-and-2083s)?_g=(refreshInterval:(display:Off,pause:!f,section:0,value:0),time:(from:'2017-02-05T23:04:36-0700',mode:absolute,to:'2017-02-06T02:25:25-0700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4055%22')),sort:!(Time.ISO8601,asc))</v>
      </c>
      <c r="W216" s="192" t="str">
        <f>IF(AA216&lt;IF(AG216="EC",23,5.65),"Y","N")</f>
        <v>Y</v>
      </c>
      <c r="X216" s="192" t="e">
        <f>VALUE(LEFT(AD216,4))-VALUE(LEFT(AD215,4))</f>
        <v>#VALUE!</v>
      </c>
      <c r="Y216" s="62">
        <f>RIGHT(D216,LEN(D216)-4)/10000</f>
        <v>4.6399999999999997E-2</v>
      </c>
      <c r="Z216" s="62">
        <f>RIGHT(H216,LEN(H216)-4)/10000</f>
        <v>0.69330000000000003</v>
      </c>
      <c r="AA216" s="62">
        <f>ABS(Z216-Y216)</f>
        <v>0.64690000000000003</v>
      </c>
      <c r="AB216" s="59" t="e">
        <f>VLOOKUP(A216,Enforcements!$C$7:$K$16,8,0)</f>
        <v>#N/A</v>
      </c>
      <c r="AC216" s="55" t="e">
        <f>VLOOKUP(A216,Enforcements!$C$7:$E$16,3,0)</f>
        <v>#N/A</v>
      </c>
      <c r="AD216" s="56" t="str">
        <f>IF(LEN(A216)=6,"0"&amp;A216,A216)</f>
        <v>81-05</v>
      </c>
      <c r="AE216" s="85" t="str">
        <f>"aws s3 cp "&amp;s3_bucket&amp;"/RTDC"&amp;B216&amp;"/ "&amp;search_path&amp;"\RTDC"&amp;B216&amp;"\"&amp;TEXT(F216,"YYYY-MM-DD")&amp;" --exclude ""*"" --recursive --include ""*"&amp;TEXT(F216,"YYYYMMDD")&amp;"*"" &amp; """&amp;walkandungz&amp;""" "&amp;search_path&amp;"\RTDC"&amp;B216&amp;"\"&amp;TEXT(F216,"YYYY-MM-DD")
&amp;" &amp; "&amp;"aws s3 cp "&amp;s3_bucket&amp;"/RTDC"&amp;B216&amp;"/ "&amp;search_path&amp;"\RTDC"&amp;B216&amp;"\"&amp;TEXT(F216+1,"YYYY-MM-DD")&amp;" --exclude ""*"" --recursive --include ""*"&amp;TEXT(F216+1,"YYYYMMDD")&amp;"*"" &amp; """&amp;walkandungz&amp;""" "&amp;search_path&amp;"\RTDC"&amp;B216&amp;"\"&amp;TEXT(F216+1,"YYYY-MM-DD")</f>
        <v>aws s3 cp s3://rtdc.mdm.uploadarchive.raw/RTDC4055/ "%USERPROFILE%\AppData\Local\Temp\OnboardLogs"\RTDC4055\2017-02-06 --exclude "*" --recursive --include "*20170206*" &amp; "%USERPROFILE%\Documents\GitHub\mrs-test-scripts\Headless Mode &amp; Sideloading\WalkAndUnGZ.bat" "%USERPROFILE%\AppData\Local\Temp\OnboardLogs"\RTDC4055\2017-02-06 &amp; aws s3 cp s3://rtdc.mdm.uploadarchive.raw/RTDC4055/ "%USERPROFILE%\AppData\Local\Temp\OnboardLogs"\RTDC4055\2017-02-07 --exclude "*" --recursive --include "*20170207*" &amp; "%USERPROFILE%\Documents\GitHub\mrs-test-scripts\Headless Mode &amp; Sideloading\WalkAndUnGZ.bat" "%USERPROFILE%\AppData\Local\Temp\OnboardLogs"\RTDC4055\2017-02-07</v>
      </c>
      <c r="AF216" s="82" t="str">
        <f>astrogrep_path&amp;" /spath="&amp;search_path&amp;" /stypes=""app*"&amp;B216&amp;"*"&amp;TEXT(I216-utc_offset/24,"YYYYMMDD")&amp;"*"" /stext="" "&amp;TEXT(I216-utc_offset/24,"HH")&amp;search_regexp&amp;""" /e /r /s"</f>
        <v>"C:\Program Files (x86)\AstroGrep\AstroGrep.exe" /spath="%USERPROFILE%\AppData\Local\Temp\OnboardLogs" /stypes="app*4055*20170206*" /stext=" 08:.+((SYSTEM_STATE.+slice.+state.+changed )|(ment ac)|(multiple cpu faults)|(system.+state.+changed )|(\[timeout)|(PRM\|1\|D)|(kpr)|(kdp)|(\|lc)|(penalty))" /e /r /s</v>
      </c>
      <c r="AG216" s="1" t="str">
        <f>IFERROR(IF(VALUE(LEFT(AD216,2))&lt;=2,"EC",IF(OR(VALUE(LEFT(AD216,2))=8,VALUE(LEFT(AD216,2))=18),"NW","Other")),"Other")</f>
        <v>Other</v>
      </c>
      <c r="AH216" s="86" t="str">
        <f t="shared" si="16"/>
        <v>"%USERPROFILE%\Documents\GitHub\eaglep3\Utilities\RefineRTDCRunTimes.py" --tripid 81-05 --locoid 4055 --swversion DE.1.0.8.0 --startMP 204:464 --initTime 2017-02-06T00:04:36 --startdatetime 2017-02-06T01:18:19 --delay 2 --endMP 204:6933 --enddatetime 2017-02-06T01:25:25 --enforcementcount 0 &gt;&gt;C:\Users\stu\Documents\GitHub\eaglep3-reporting\EC\2017-02-05-refined-times.txt</v>
      </c>
      <c r="AI216" s="108" t="str">
        <f t="shared" si="17"/>
        <v>echo {"issue":{"subject":"","project_id":79,"tracker_id":40,"status_id":1,"priority_id":2,"assigned_to_id":23,"start_date":"2017-02-06","description":"","custom_fields":[{"id":1,"name":"Subdivision","value":"Other"},{"id":4,"name":"Milepost","value":"0.6933"},{"id":17,"name":"Train ID","value":"81-05"},{"id":16,"name":"Locomotive ID","value":"4055"},{"id":130,"name":"Impact","value":""},{"id":150,"name":"Time of Event (Mountain Time)","value":"01:25:25"},{"id":151,"name":"Denver Issue ID","value":""},{"id":178,"name":"Operational Impact","value":"Yes"},{"id":179,"name":"Denver Segment Assigned","value":""}]}} | curl -X POST -H "Content-Type: application/json" -H "X-Redmine-API-Key: d6333d4a04012a730768444271f8ca06482dae87" https://secure.xorail.net/redmine/issues.json --data @-</v>
      </c>
      <c r="AJ216" s="48"/>
      <c r="AK216" s="48"/>
      <c r="AL216" s="48"/>
      <c r="AM216" s="158" t="str">
        <f t="shared" si="18"/>
        <v>start /low /b %USERPROFILE%\Documents\GitHub\eaglep3\Utilities\DownloadLogsFromS3.py --loco 4055 --day 2017-02-06</v>
      </c>
      <c r="AN216" s="167" t="str">
        <f>"grep -SE -B400 ""CHR.+\|PRM\|1\|D.+(SWITCH|SIGNAL).+UNKNOWN"" "&amp;search_path&amp;"\RTDC"&amp;B216&amp;"\*"&amp;B216&amp;"*"&amp;TEXT(AVERAGE(F216,I216)-utc_offset/24,"YYYYMMDD")&amp;"* | grep -SE ""(Enforcement Action)|(\[TIMEOUT)|(CHR.+\|PRM\|1\|D.+(SWITCH|SIGNAL).+UNKNOWN)"" - &gt;&gt; "&amp;TEXT(Variables!$A$2,"YYYY-MM-DD")&amp;"-UncaughtWiMAX.txt"</f>
        <v>grep -SE -B400 "CHR.+\|PRM\|1\|D.+(SWITCH|SIGNAL).+UNKNOWN" "%USERPROFILE%\AppData\Local\Temp\OnboardLogs"\RTDC4055\*4055*20170206* | grep -SE "(Enforcement Action)|(\[TIMEOUT)|(CHR.+\|PRM\|1\|D.+(SWITCH|SIGNAL).+UNKNOWN)" - &gt;&gt; 2017-02-05-UncaughtWiMAX.txt</v>
      </c>
    </row>
    <row r="217" spans="1:40" x14ac:dyDescent="0.25">
      <c r="A217" s="33" t="s">
        <v>543</v>
      </c>
      <c r="B217" s="7">
        <v>4029</v>
      </c>
      <c r="C217" s="21" t="s">
        <v>193</v>
      </c>
      <c r="D217" s="21" t="s">
        <v>880</v>
      </c>
      <c r="E217" s="13">
        <v>42771.179571759261</v>
      </c>
      <c r="F217" s="13">
        <v>25568.708333333332</v>
      </c>
      <c r="G217" s="7">
        <v>2</v>
      </c>
      <c r="H217" s="21" t="s">
        <v>881</v>
      </c>
      <c r="I217" s="13">
        <v>25568.708333333332</v>
      </c>
      <c r="J217" s="7">
        <v>0</v>
      </c>
      <c r="K217" s="98" t="str">
        <f>IF(ISEVEN(B217),(B217-1)&amp;"/"&amp;B217,B217&amp;"/"&amp;(B217+1))</f>
        <v>4029/4030</v>
      </c>
      <c r="L217" s="21" t="str">
        <f>VLOOKUP(A217,'Trips&amp;Operators'!$C$1:$G$99999,5,FALSE)</f>
        <v>GRASTON MATHEU</v>
      </c>
      <c r="M217" s="6">
        <f>I217-F217</f>
        <v>0</v>
      </c>
      <c r="N217" s="7">
        <f>24*60*SUM($M217:$M217)</f>
        <v>0</v>
      </c>
      <c r="O217" s="7"/>
      <c r="P217" s="7"/>
      <c r="Q217" s="22"/>
      <c r="R217" s="22"/>
      <c r="S217" s="31">
        <f>SUM(U217:U217)/IF(AG217="EC",12,1)</f>
        <v>0</v>
      </c>
      <c r="T217" s="46" t="e">
        <f>IF(ISEVEN(LEFT(AD217,4)),"Southbound","NorthBound")</f>
        <v>#VALUE!</v>
      </c>
      <c r="U217" s="190">
        <f>IF(AG217="EC",COUNTIFS(Variables!$M$2:$M$19,IF(T217="NorthBound","&gt;=","&lt;=")&amp;Y217,Variables!$M$2:$M$19,IF(T217="NorthBound","&lt;=","&gt;=")&amp;Z217),COUNTIFS(Variables!$P$2:$P$19,IF(T217="NorthBound","&gt;=","&lt;=")&amp;Y217,Variables!$P$2:$P$19,IF(T217="NorthBound","&lt;=","&gt;=")&amp;Z217))</f>
        <v>0</v>
      </c>
      <c r="V217" s="191" t="str">
        <f>"https://d0f6bd738d7f1b3e5a7ca70fe4ff75f0.us-east-1.aws.found.io/app/kibana#/discover/Steve-Slow-Train-Analysis-(2080s-and-2083s)?_g="&amp;"(refreshInterval:(display:Off,pause:!f,section:0,value:0),time:(from:'"&amp;TEXT(E217-1/24,"yyyy-MM-DDThh:mm:ss")&amp;utc_offset&amp;"00"&amp;"',mode:absolute,to:'"&amp;TEXT(I217+1/24,"yyyy-MM-DDThh:mm:ss")&amp;utc_offset&amp;"00"&amp;"'))&amp;_a=(columns:!('Locomotive+ID','Data.Head+End+Milepost',Data.Speed,'Data.Locomotive+State','Data.Train+ID',"&amp;"'Data.Warning%2FEnforcement+Type','Data.Target+Start+Milepost','Data.Target+Description','Data.Target+Speed',"&amp;"'Data.Enforcement+Train+Speed','Data.Enforcement+Start+Milepost','Data.Target+Type','Data.Enforcement+Direction+of+Travel','Message+ID',"&amp;"'Data.Body+of+Summary+Text','Data.Head+End+Track+name'),filters:!(),index:'emp_*',interval:auto,query:"&amp;"(query_string:(analyze_wildcard:!t,query:'Message%5C+ID:(2083+OR+2080+OR+1041+OR+2003+OR+1051+OR+1043+OR+1053)+AND+%22rtdc.l.rtdc."&amp;B217&amp;"%22')),sort:!(Time.ISO8601,asc))"</f>
        <v>https://d0f6bd738d7f1b3e5a7ca70fe4ff75f0.us-east-1.aws.found.io/app/kibana#/discover/Steve-Slow-Train-Analysis-(2080s-and-2083s)?_g=(refreshInterval:(display:Off,pause:!f,section:0,value:0),time:(from:'2017-02-05T03:18:35-0700',mode:absolute,to:'1969-12-31T18:00:00-0700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4029%22')),sort:!(Time.ISO8601,asc))</v>
      </c>
      <c r="W217" s="192" t="str">
        <f>IF(AA217&lt;IF(AG217="EC",23,5.65),"Y","N")</f>
        <v>Y</v>
      </c>
      <c r="X217" s="192" t="e">
        <f>VALUE(LEFT(AD217,4))-VALUE(LEFT(AD216,4))</f>
        <v>#VALUE!</v>
      </c>
      <c r="Y217" s="62">
        <f>RIGHT(D217,LEN(D217)-4)/10000</f>
        <v>0.1323</v>
      </c>
      <c r="Z217" s="62">
        <f>RIGHT(H217,LEN(H217)-4)/10000</f>
        <v>2.3304</v>
      </c>
      <c r="AA217" s="62">
        <f>ABS(Z217-Y217)</f>
        <v>2.1981000000000002</v>
      </c>
      <c r="AB217" s="59" t="e">
        <f>VLOOKUP(A217,Enforcements!$C$7:$K$16,8,0)</f>
        <v>#N/A</v>
      </c>
      <c r="AC217" s="55" t="e">
        <f>VLOOKUP(A217,Enforcements!$C$7:$E$16,3,0)</f>
        <v>#N/A</v>
      </c>
      <c r="AD217" s="56" t="str">
        <f>IF(LEN(A217)=6,"0"&amp;A217,A217)</f>
        <v>NEPTUNE-05</v>
      </c>
      <c r="AE217" s="85" t="str">
        <f>"aws s3 cp "&amp;s3_bucket&amp;"/RTDC"&amp;B217&amp;"/ "&amp;search_path&amp;"\RTDC"&amp;B217&amp;"\"&amp;TEXT(F217,"YYYY-MM-DD")&amp;" --exclude ""*"" --recursive --include ""*"&amp;TEXT(F217,"YYYYMMDD")&amp;"*"" &amp; """&amp;walkandungz&amp;""" "&amp;search_path&amp;"\RTDC"&amp;B217&amp;"\"&amp;TEXT(F217,"YYYY-MM-DD")
&amp;" &amp; "&amp;"aws s3 cp "&amp;s3_bucket&amp;"/RTDC"&amp;B217&amp;"/ "&amp;search_path&amp;"\RTDC"&amp;B217&amp;"\"&amp;TEXT(F217+1,"YYYY-MM-DD")&amp;" --exclude ""*"" --recursive --include ""*"&amp;TEXT(F217+1,"YYYYMMDD")&amp;"*"" &amp; """&amp;walkandungz&amp;""" "&amp;search_path&amp;"\RTDC"&amp;B217&amp;"\"&amp;TEXT(F217+1,"YYYY-MM-DD")</f>
        <v>aws s3 cp s3://rtdc.mdm.uploadarchive.raw/RTDC4029/ "%USERPROFILE%\AppData\Local\Temp\OnboardLogs"\RTDC4029\1969-12-31 --exclude "*" --recursive --include "*19691231*" &amp; "%USERPROFILE%\Documents\GitHub\mrs-test-scripts\Headless Mode &amp; Sideloading\WalkAndUnGZ.bat" "%USERPROFILE%\AppData\Local\Temp\OnboardLogs"\RTDC4029\1969-12-31 &amp; aws s3 cp s3://rtdc.mdm.uploadarchive.raw/RTDC4029/ "%USERPROFILE%\AppData\Local\Temp\OnboardLogs"\RTDC4029\1970-01-01 --exclude "*" --recursive --include "*19700101*" &amp; "%USERPROFILE%\Documents\GitHub\mrs-test-scripts\Headless Mode &amp; Sideloading\WalkAndUnGZ.bat" "%USERPROFILE%\AppData\Local\Temp\OnboardLogs"\RTDC4029\1970-01-01</v>
      </c>
      <c r="AF217" s="82" t="str">
        <f>astrogrep_path&amp;" /spath="&amp;search_path&amp;" /stypes=""app*"&amp;B217&amp;"*"&amp;TEXT(I217-utc_offset/24,"YYYYMMDD")&amp;"*"" /stext="" "&amp;TEXT(I217-utc_offset/24,"HH")&amp;search_regexp&amp;""" /e /r /s"</f>
        <v>"C:\Program Files (x86)\AstroGrep\AstroGrep.exe" /spath="%USERPROFILE%\AppData\Local\Temp\OnboardLogs" /stypes="app*4029*19700101*" /stext=" 00:.+((SYSTEM_STATE.+slice.+state.+changed )|(ment ac)|(multiple cpu faults)|(system.+state.+changed )|(\[timeout)|(PRM\|1\|D)|(kpr)|(kdp)|(\|lc)|(penalty))" /e /r /s</v>
      </c>
      <c r="AG217" s="1" t="str">
        <f>IFERROR(IF(VALUE(LEFT(AD217,2))&lt;=2,"EC",IF(OR(VALUE(LEFT(AD217,2))=8,VALUE(LEFT(AD217,2))=18),"NW","Other")),"Other")</f>
        <v>Other</v>
      </c>
      <c r="AH217" s="86" t="str">
        <f t="shared" si="16"/>
        <v>"%USERPROFILE%\Documents\GitHub\eaglep3\Utilities\RefineRTDCRunTimes.py" --tripid NEPTUNE-05 --locoid 4029 --swversion DE.1.0.8.0 --startMP 204:1323 --initTime 2017-02-05T04:18:35 --startdatetime 1969-12-31T17:00:00 --delay 2 --endMP 300:23304 --enddatetime 1969-12-31T17:00:00 --enforcementcount 0 &gt;&gt;C:\Users\stu\Documents\GitHub\eaglep3-reporting\EC\2017-02-05-refined-times.txt</v>
      </c>
      <c r="AI217" s="108" t="str">
        <f t="shared" si="17"/>
        <v>echo {"issue":{"subject":"","project_id":79,"tracker_id":40,"status_id":1,"priority_id":2,"assigned_to_id":23,"start_date":"1969-12-31","description":"","custom_fields":[{"id":1,"name":"Subdivision","value":"Other"},{"id":4,"name":"Milepost","value":"2.3304"},{"id":17,"name":"Train ID","value":"NEPTUNE-05"},{"id":16,"name":"Locomotive ID","value":"4029"},{"id":130,"name":"Impact","value":""},{"id":150,"name":"Time of Event (Mountain Time)","value":"17:00:00"},{"id":151,"name":"Denver Issue ID","value":""},{"id":178,"name":"Operational Impact","value":"Yes"},{"id":179,"name":"Denver Segment Assigned","value":""}]}} | curl -X POST -H "Content-Type: application/json" -H "X-Redmine-API-Key: d6333d4a04012a730768444271f8ca06482dae87" https://secure.xorail.net/redmine/issues.json --data @-</v>
      </c>
      <c r="AJ217" s="48"/>
      <c r="AK217" s="48"/>
      <c r="AL217" s="48"/>
      <c r="AM217" s="158" t="str">
        <f t="shared" si="18"/>
        <v>start /low /b %USERPROFILE%\Documents\GitHub\eaglep3\Utilities\DownloadLogsFromS3.py --loco 4029 --day 1969-12-31</v>
      </c>
      <c r="AN217" s="167" t="str">
        <f>"grep -SE -B400 ""CHR.+\|PRM\|1\|D.+(SWITCH|SIGNAL).+UNKNOWN"" "&amp;search_path&amp;"\RTDC"&amp;B217&amp;"\*"&amp;B217&amp;"*"&amp;TEXT(AVERAGE(F217,I217)-utc_offset/24,"YYYYMMDD")&amp;"* | grep -SE ""(Enforcement Action)|(\[TIMEOUT)|(CHR.+\|PRM\|1\|D.+(SWITCH|SIGNAL).+UNKNOWN)"" - &gt;&gt; "&amp;TEXT(Variables!$A$2,"YYYY-MM-DD")&amp;"-UncaughtWiMAX.txt"</f>
        <v>grep -SE -B400 "CHR.+\|PRM\|1\|D.+(SWITCH|SIGNAL).+UNKNOWN" "%USERPROFILE%\AppData\Local\Temp\OnboardLogs"\RTDC4029\*4029*19700101* | grep -SE "(Enforcement Action)|(\[TIMEOUT)|(CHR.+\|PRM\|1\|D.+(SWITCH|SIGNAL).+UNKNOWN)" - &gt;&gt; 2017-02-05-UncaughtWiMAX.txt</v>
      </c>
    </row>
    <row r="218" spans="1:40" x14ac:dyDescent="0.25">
      <c r="A218" s="33" t="s">
        <v>543</v>
      </c>
      <c r="B218" s="7">
        <v>4030</v>
      </c>
      <c r="C218" s="21" t="s">
        <v>193</v>
      </c>
      <c r="D218" s="21" t="s">
        <v>882</v>
      </c>
      <c r="E218" s="13">
        <v>42771.171886574077</v>
      </c>
      <c r="F218" s="13">
        <v>25568.708333333332</v>
      </c>
      <c r="G218" s="7">
        <v>0</v>
      </c>
      <c r="H218" s="21" t="s">
        <v>795</v>
      </c>
      <c r="I218" s="13">
        <v>25568.708333333332</v>
      </c>
      <c r="J218" s="7">
        <v>0</v>
      </c>
      <c r="K218" s="98" t="str">
        <f>IF(ISEVEN(B218),(B218-1)&amp;"/"&amp;B218,B218&amp;"/"&amp;(B218+1))</f>
        <v>4029/4030</v>
      </c>
      <c r="L218" s="21" t="str">
        <f>VLOOKUP(A218,'Trips&amp;Operators'!$C$1:$G$99999,5,FALSE)</f>
        <v>GRASTON MATHEU</v>
      </c>
      <c r="M218" s="6">
        <f>I218-F218</f>
        <v>0</v>
      </c>
      <c r="N218" s="7">
        <f>24*60*SUM($M218:$M218)</f>
        <v>0</v>
      </c>
      <c r="O218" s="7"/>
      <c r="P218" s="7"/>
      <c r="Q218" s="22"/>
      <c r="R218" s="22"/>
      <c r="S218" s="31">
        <f>SUM(U218:U218)/IF(AG218="EC",12,1)</f>
        <v>0</v>
      </c>
      <c r="T218" s="46" t="e">
        <f>IF(ISEVEN(LEFT(AD218,4)),"Southbound","NorthBound")</f>
        <v>#VALUE!</v>
      </c>
      <c r="U218" s="190">
        <f>IF(AG218="EC",COUNTIFS(Variables!$M$2:$M$19,IF(T218="NorthBound","&gt;=","&lt;=")&amp;Y218,Variables!$M$2:$M$19,IF(T218="NorthBound","&lt;=","&gt;=")&amp;Z218),COUNTIFS(Variables!$P$2:$P$19,IF(T218="NorthBound","&gt;=","&lt;=")&amp;Y218,Variables!$P$2:$P$19,IF(T218="NorthBound","&lt;=","&gt;=")&amp;Z218))</f>
        <v>0</v>
      </c>
      <c r="V218" s="191" t="str">
        <f>"https://d0f6bd738d7f1b3e5a7ca70fe4ff75f0.us-east-1.aws.found.io/app/kibana#/discover/Steve-Slow-Train-Analysis-(2080s-and-2083s)?_g="&amp;"(refreshInterval:(display:Off,pause:!f,section:0,value:0),time:(from:'"&amp;TEXT(E218-1/24,"yyyy-MM-DDThh:mm:ss")&amp;utc_offset&amp;"00"&amp;"',mode:absolute,to:'"&amp;TEXT(I218+1/24,"yyyy-MM-DDThh:mm:ss")&amp;utc_offset&amp;"00"&amp;"'))&amp;_a=(columns:!('Locomotive+ID','Data.Head+End+Milepost',Data.Speed,'Data.Locomotive+State','Data.Train+ID',"&amp;"'Data.Warning%2FEnforcement+Type','Data.Target+Start+Milepost','Data.Target+Description','Data.Target+Speed',"&amp;"'Data.Enforcement+Train+Speed','Data.Enforcement+Start+Milepost','Data.Target+Type','Data.Enforcement+Direction+of+Travel','Message+ID',"&amp;"'Data.Body+of+Summary+Text','Data.Head+End+Track+name'),filters:!(),index:'emp_*',interval:auto,query:"&amp;"(query_string:(analyze_wildcard:!t,query:'Message%5C+ID:(2083+OR+2080+OR+1041+OR+2003+OR+1051+OR+1043+OR+1053)+AND+%22rtdc.l.rtdc."&amp;B218&amp;"%22')),sort:!(Time.ISO8601,asc))"</f>
        <v>https://d0f6bd738d7f1b3e5a7ca70fe4ff75f0.us-east-1.aws.found.io/app/kibana#/discover/Steve-Slow-Train-Analysis-(2080s-and-2083s)?_g=(refreshInterval:(display:Off,pause:!f,section:0,value:0),time:(from:'2017-02-05T03:07:31-0700',mode:absolute,to:'1969-12-31T18:00:00-0700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4030%22')),sort:!(Time.ISO8601,asc))</v>
      </c>
      <c r="W218" s="192" t="str">
        <f>IF(AA218&lt;IF(AG218="EC",23,5.65),"Y","N")</f>
        <v>Y</v>
      </c>
      <c r="X218" s="192" t="e">
        <f>VALUE(LEFT(AD218,4))-VALUE(LEFT(AD217,4))</f>
        <v>#VALUE!</v>
      </c>
      <c r="Y218" s="62">
        <f>RIGHT(D218,LEN(D218)-4)/10000</f>
        <v>2.2195</v>
      </c>
      <c r="Z218" s="62">
        <f>RIGHT(H218,LEN(H218)-4)/10000</f>
        <v>0.1016</v>
      </c>
      <c r="AA218" s="62">
        <f>ABS(Z218-Y218)</f>
        <v>2.1179000000000001</v>
      </c>
      <c r="AB218" s="59" t="e">
        <f>VLOOKUP(A218,Enforcements!$C$7:$K$16,8,0)</f>
        <v>#N/A</v>
      </c>
      <c r="AC218" s="55" t="e">
        <f>VLOOKUP(A218,Enforcements!$C$7:$E$16,3,0)</f>
        <v>#N/A</v>
      </c>
      <c r="AD218" s="56" t="str">
        <f>IF(LEN(A218)=6,"0"&amp;A218,A218)</f>
        <v>NEPTUNE-05</v>
      </c>
      <c r="AE218" s="85" t="str">
        <f>"aws s3 cp "&amp;s3_bucket&amp;"/RTDC"&amp;B218&amp;"/ "&amp;search_path&amp;"\RTDC"&amp;B218&amp;"\"&amp;TEXT(F218,"YYYY-MM-DD")&amp;" --exclude ""*"" --recursive --include ""*"&amp;TEXT(F218,"YYYYMMDD")&amp;"*"" &amp; """&amp;walkandungz&amp;""" "&amp;search_path&amp;"\RTDC"&amp;B218&amp;"\"&amp;TEXT(F218,"YYYY-MM-DD")
&amp;" &amp; "&amp;"aws s3 cp "&amp;s3_bucket&amp;"/RTDC"&amp;B218&amp;"/ "&amp;search_path&amp;"\RTDC"&amp;B218&amp;"\"&amp;TEXT(F218+1,"YYYY-MM-DD")&amp;" --exclude ""*"" --recursive --include ""*"&amp;TEXT(F218+1,"YYYYMMDD")&amp;"*"" &amp; """&amp;walkandungz&amp;""" "&amp;search_path&amp;"\RTDC"&amp;B218&amp;"\"&amp;TEXT(F218+1,"YYYY-MM-DD")</f>
        <v>aws s3 cp s3://rtdc.mdm.uploadarchive.raw/RTDC4030/ "%USERPROFILE%\AppData\Local\Temp\OnboardLogs"\RTDC4030\1969-12-31 --exclude "*" --recursive --include "*19691231*" &amp; "%USERPROFILE%\Documents\GitHub\mrs-test-scripts\Headless Mode &amp; Sideloading\WalkAndUnGZ.bat" "%USERPROFILE%\AppData\Local\Temp\OnboardLogs"\RTDC4030\1969-12-31 &amp; aws s3 cp s3://rtdc.mdm.uploadarchive.raw/RTDC4030/ "%USERPROFILE%\AppData\Local\Temp\OnboardLogs"\RTDC4030\1970-01-01 --exclude "*" --recursive --include "*19700101*" &amp; "%USERPROFILE%\Documents\GitHub\mrs-test-scripts\Headless Mode &amp; Sideloading\WalkAndUnGZ.bat" "%USERPROFILE%\AppData\Local\Temp\OnboardLogs"\RTDC4030\1970-01-01</v>
      </c>
      <c r="AF218" s="82" t="str">
        <f>astrogrep_path&amp;" /spath="&amp;search_path&amp;" /stypes=""app*"&amp;B218&amp;"*"&amp;TEXT(I218-utc_offset/24,"YYYYMMDD")&amp;"*"" /stext="" "&amp;TEXT(I218-utc_offset/24,"HH")&amp;search_regexp&amp;""" /e /r /s"</f>
        <v>"C:\Program Files (x86)\AstroGrep\AstroGrep.exe" /spath="%USERPROFILE%\AppData\Local\Temp\OnboardLogs" /stypes="app*4030*19700101*" /stext=" 00:.+((SYSTEM_STATE.+slice.+state.+changed )|(ment ac)|(multiple cpu faults)|(system.+state.+changed )|(\[timeout)|(PRM\|1\|D)|(kpr)|(kdp)|(\|lc)|(penalty))" /e /r /s</v>
      </c>
      <c r="AG218" s="1" t="str">
        <f>IFERROR(IF(VALUE(LEFT(AD218,2))&lt;=2,"EC",IF(OR(VALUE(LEFT(AD218,2))=8,VALUE(LEFT(AD218,2))=18),"NW","Other")),"Other")</f>
        <v>Other</v>
      </c>
      <c r="AH218" s="86" t="str">
        <f t="shared" si="16"/>
        <v>"%USERPROFILE%\Documents\GitHub\eaglep3\Utilities\RefineRTDCRunTimes.py" --tripid NEPTUNE-05 --locoid 4030 --swversion DE.1.0.8.0 --startMP 300:22195 --initTime 2017-02-05T04:07:31 --startdatetime 1969-12-31T17:00:00 --delay 0 --endMP 204:1016 --enddatetime 1969-12-31T17:00:00 --enforcementcount 0 &gt;&gt;C:\Users\stu\Documents\GitHub\eaglep3-reporting\EC\2017-02-05-refined-times.txt</v>
      </c>
      <c r="AI218" s="108" t="str">
        <f t="shared" si="17"/>
        <v>echo {"issue":{"subject":"","project_id":79,"tracker_id":40,"status_id":1,"priority_id":2,"assigned_to_id":23,"start_date":"1969-12-31","description":"","custom_fields":[{"id":1,"name":"Subdivision","value":"Other"},{"id":4,"name":"Milepost","value":"0.1016"},{"id":17,"name":"Train ID","value":"NEPTUNE-05"},{"id":16,"name":"Locomotive ID","value":"4030"},{"id":130,"name":"Impact","value":""},{"id":150,"name":"Time of Event (Mountain Time)","value":"17:00:00"},{"id":151,"name":"Denver Issue ID","value":""},{"id":178,"name":"Operational Impact","value":"Yes"},{"id":179,"name":"Denver Segment Assigned","value":""}]}} | curl -X POST -H "Content-Type: application/json" -H "X-Redmine-API-Key: d6333d4a04012a730768444271f8ca06482dae87" https://secure.xorail.net/redmine/issues.json --data @-</v>
      </c>
      <c r="AJ218" s="48"/>
      <c r="AK218" s="48"/>
      <c r="AL218" s="48"/>
      <c r="AM218" s="158" t="str">
        <f t="shared" si="18"/>
        <v>start /low /b %USERPROFILE%\Documents\GitHub\eaglep3\Utilities\DownloadLogsFromS3.py --loco 4030 --day 1969-12-31</v>
      </c>
      <c r="AN218" s="167" t="str">
        <f>"grep -SE -B400 ""CHR.+\|PRM\|1\|D.+(SWITCH|SIGNAL).+UNKNOWN"" "&amp;search_path&amp;"\RTDC"&amp;B218&amp;"\*"&amp;B218&amp;"*"&amp;TEXT(AVERAGE(F218,I218)-utc_offset/24,"YYYYMMDD")&amp;"* | grep -SE ""(Enforcement Action)|(\[TIMEOUT)|(CHR.+\|PRM\|1\|D.+(SWITCH|SIGNAL).+UNKNOWN)"" - &gt;&gt; "&amp;TEXT(Variables!$A$2,"YYYY-MM-DD")&amp;"-UncaughtWiMAX.txt"</f>
        <v>grep -SE -B400 "CHR.+\|PRM\|1\|D.+(SWITCH|SIGNAL).+UNKNOWN" "%USERPROFILE%\AppData\Local\Temp\OnboardLogs"\RTDC4030\*4030*19700101* | grep -SE "(Enforcement Action)|(\[TIMEOUT)|(CHR.+\|PRM\|1\|D.+(SWITCH|SIGNAL).+UNKNOWN)" - &gt;&gt; 2017-02-05-UncaughtWiMAX.txt</v>
      </c>
    </row>
    <row r="219" spans="1:40" x14ac:dyDescent="0.25">
      <c r="A219"/>
      <c r="B219"/>
      <c r="C219"/>
      <c r="D219"/>
      <c r="E219"/>
      <c r="F219"/>
      <c r="G219"/>
      <c r="H219"/>
      <c r="I219"/>
      <c r="J219"/>
      <c r="K219"/>
      <c r="L219"/>
      <c r="M219"/>
      <c r="N219"/>
      <c r="O219"/>
      <c r="P219"/>
      <c r="S219"/>
      <c r="U219"/>
      <c r="V219"/>
      <c r="W219"/>
      <c r="X219"/>
      <c r="Y219"/>
      <c r="Z219"/>
      <c r="AA219"/>
      <c r="AB219"/>
      <c r="AC219"/>
      <c r="AD219"/>
      <c r="AE219"/>
      <c r="AF219"/>
      <c r="AH219"/>
      <c r="AI219"/>
      <c r="AM219"/>
    </row>
    <row r="220" spans="1:40" x14ac:dyDescent="0.25">
      <c r="A220"/>
      <c r="B220"/>
      <c r="C220"/>
      <c r="D220"/>
      <c r="E220"/>
      <c r="F220"/>
      <c r="G220"/>
      <c r="H220"/>
      <c r="I220"/>
      <c r="J220"/>
      <c r="K220"/>
      <c r="L220"/>
      <c r="M220"/>
      <c r="N220"/>
      <c r="O220"/>
      <c r="P220"/>
      <c r="S220"/>
      <c r="U220"/>
      <c r="V220"/>
      <c r="W220"/>
      <c r="X220"/>
      <c r="Y220"/>
      <c r="Z220"/>
      <c r="AA220"/>
      <c r="AB220"/>
      <c r="AC220"/>
      <c r="AD220"/>
      <c r="AE220"/>
      <c r="AF220"/>
      <c r="AH220"/>
      <c r="AI220"/>
      <c r="AM220"/>
    </row>
    <row r="221" spans="1:40" x14ac:dyDescent="0.25">
      <c r="A221"/>
      <c r="B221"/>
      <c r="C221"/>
      <c r="D221"/>
      <c r="E221"/>
      <c r="F221"/>
      <c r="G221"/>
      <c r="H221"/>
      <c r="I221"/>
      <c r="J221"/>
      <c r="K221"/>
      <c r="L221"/>
      <c r="M221"/>
      <c r="N221"/>
      <c r="O221"/>
      <c r="P221"/>
      <c r="S221"/>
      <c r="U221"/>
      <c r="V221"/>
      <c r="W221"/>
      <c r="X221"/>
      <c r="Y221"/>
      <c r="Z221"/>
      <c r="AA221"/>
      <c r="AB221"/>
      <c r="AC221"/>
      <c r="AD221"/>
      <c r="AE221"/>
      <c r="AF221"/>
      <c r="AH221"/>
      <c r="AI221"/>
      <c r="AM221"/>
    </row>
    <row r="222" spans="1:40" x14ac:dyDescent="0.25">
      <c r="A222"/>
      <c r="B222"/>
      <c r="C222"/>
      <c r="D222"/>
      <c r="E222"/>
      <c r="F222"/>
      <c r="G222"/>
      <c r="H222"/>
      <c r="I222"/>
      <c r="J222"/>
      <c r="K222"/>
      <c r="L222"/>
      <c r="M222"/>
      <c r="N222"/>
      <c r="O222"/>
      <c r="P222"/>
      <c r="S222"/>
      <c r="U222"/>
      <c r="V222"/>
      <c r="W222"/>
      <c r="X222"/>
      <c r="Y222"/>
      <c r="Z222"/>
      <c r="AA222"/>
      <c r="AB222"/>
      <c r="AC222"/>
      <c r="AD222"/>
      <c r="AE222"/>
      <c r="AF222"/>
      <c r="AH222"/>
      <c r="AI222"/>
      <c r="AM222"/>
    </row>
    <row r="223" spans="1:40" x14ac:dyDescent="0.25">
      <c r="A223"/>
      <c r="B223"/>
      <c r="C223"/>
      <c r="D223"/>
      <c r="E223"/>
      <c r="F223"/>
      <c r="G223"/>
      <c r="H223"/>
      <c r="I223"/>
      <c r="J223"/>
      <c r="K223"/>
      <c r="L223"/>
      <c r="M223"/>
      <c r="N223"/>
      <c r="O223"/>
      <c r="P223"/>
      <c r="S223"/>
      <c r="U223"/>
      <c r="V223"/>
      <c r="W223"/>
      <c r="X223"/>
      <c r="Y223"/>
      <c r="Z223"/>
      <c r="AA223"/>
      <c r="AB223"/>
      <c r="AC223"/>
      <c r="AD223"/>
      <c r="AE223"/>
      <c r="AF223"/>
      <c r="AH223"/>
      <c r="AI223"/>
      <c r="AM223"/>
    </row>
    <row r="224" spans="1:40" x14ac:dyDescent="0.25">
      <c r="A224"/>
      <c r="B224"/>
      <c r="C224"/>
      <c r="D224"/>
      <c r="E224"/>
      <c r="F224"/>
      <c r="G224"/>
      <c r="H224"/>
      <c r="I224"/>
      <c r="J224"/>
      <c r="K224"/>
      <c r="L224"/>
      <c r="M224"/>
      <c r="N224"/>
      <c r="O224"/>
      <c r="P224"/>
      <c r="S224"/>
      <c r="U224"/>
      <c r="V224"/>
      <c r="W224"/>
      <c r="X224"/>
      <c r="Y224"/>
      <c r="Z224"/>
      <c r="AA224"/>
      <c r="AB224"/>
      <c r="AC224"/>
      <c r="AD224"/>
      <c r="AE224"/>
      <c r="AF224"/>
      <c r="AH224"/>
      <c r="AI224"/>
      <c r="AM224"/>
    </row>
    <row r="225" spans="1:39" x14ac:dyDescent="0.25">
      <c r="A225"/>
      <c r="B225"/>
      <c r="C225"/>
      <c r="D225"/>
      <c r="E225"/>
      <c r="F225"/>
      <c r="G225"/>
      <c r="H225"/>
      <c r="I225"/>
      <c r="J225"/>
      <c r="K225"/>
      <c r="L225"/>
      <c r="M225"/>
      <c r="N225"/>
      <c r="O225"/>
      <c r="P225"/>
      <c r="S225"/>
      <c r="U225"/>
      <c r="V225"/>
      <c r="W225"/>
      <c r="X225"/>
      <c r="Y225"/>
      <c r="Z225"/>
      <c r="AA225"/>
      <c r="AB225"/>
      <c r="AC225"/>
      <c r="AD225"/>
      <c r="AE225"/>
      <c r="AF225"/>
      <c r="AH225"/>
      <c r="AI225"/>
      <c r="AM225"/>
    </row>
    <row r="226" spans="1:39" x14ac:dyDescent="0.25">
      <c r="A226"/>
      <c r="B226"/>
      <c r="C226"/>
      <c r="D226"/>
      <c r="E226"/>
      <c r="F226"/>
      <c r="G226"/>
      <c r="H226"/>
      <c r="I226"/>
      <c r="J226"/>
      <c r="K226"/>
      <c r="L226"/>
      <c r="M226"/>
      <c r="N226"/>
      <c r="O226"/>
      <c r="P226"/>
      <c r="S226"/>
      <c r="U226"/>
      <c r="V226"/>
      <c r="W226"/>
      <c r="X226"/>
      <c r="Y226"/>
      <c r="Z226"/>
      <c r="AA226"/>
      <c r="AB226"/>
      <c r="AC226"/>
      <c r="AD226"/>
      <c r="AE226"/>
      <c r="AF226"/>
      <c r="AH226"/>
      <c r="AI226"/>
      <c r="AM226"/>
    </row>
    <row r="227" spans="1:39" x14ac:dyDescent="0.25">
      <c r="A227"/>
      <c r="B227"/>
      <c r="C227"/>
      <c r="D227"/>
      <c r="E227"/>
      <c r="F227"/>
      <c r="G227"/>
      <c r="H227"/>
      <c r="I227"/>
      <c r="J227"/>
      <c r="K227"/>
      <c r="L227"/>
      <c r="M227"/>
      <c r="N227"/>
      <c r="O227"/>
      <c r="P227"/>
      <c r="S227"/>
      <c r="U227"/>
      <c r="V227"/>
      <c r="W227"/>
      <c r="X227"/>
      <c r="Y227"/>
      <c r="Z227"/>
      <c r="AA227"/>
      <c r="AB227"/>
      <c r="AC227"/>
      <c r="AD227"/>
      <c r="AE227"/>
      <c r="AF227"/>
      <c r="AH227"/>
      <c r="AI227"/>
      <c r="AM227"/>
    </row>
    <row r="228" spans="1:39" x14ac:dyDescent="0.25">
      <c r="A228"/>
      <c r="B228"/>
      <c r="C228"/>
      <c r="D228"/>
      <c r="E228"/>
      <c r="F228"/>
      <c r="G228"/>
      <c r="H228"/>
      <c r="I228"/>
      <c r="J228"/>
      <c r="K228"/>
      <c r="L228"/>
      <c r="M228"/>
      <c r="N228"/>
      <c r="O228"/>
      <c r="P228"/>
      <c r="S228"/>
      <c r="U228"/>
      <c r="V228"/>
      <c r="W228"/>
      <c r="X228"/>
      <c r="Y228"/>
      <c r="Z228"/>
      <c r="AA228"/>
      <c r="AB228"/>
      <c r="AC228"/>
      <c r="AD228"/>
      <c r="AE228"/>
      <c r="AF228"/>
      <c r="AH228"/>
      <c r="AI228"/>
      <c r="AM228"/>
    </row>
    <row r="229" spans="1:39" x14ac:dyDescent="0.25">
      <c r="A229"/>
      <c r="B229"/>
      <c r="C229"/>
      <c r="D229"/>
      <c r="E229"/>
      <c r="F229"/>
      <c r="G229"/>
      <c r="H229"/>
      <c r="I229"/>
      <c r="J229"/>
      <c r="K229"/>
      <c r="L229"/>
      <c r="M229"/>
      <c r="N229"/>
      <c r="O229"/>
      <c r="P229"/>
      <c r="S229"/>
      <c r="U229"/>
      <c r="V229"/>
      <c r="W229"/>
      <c r="X229"/>
      <c r="Y229"/>
      <c r="Z229"/>
      <c r="AA229"/>
      <c r="AB229"/>
      <c r="AC229"/>
      <c r="AD229"/>
      <c r="AE229"/>
      <c r="AF229"/>
      <c r="AH229"/>
      <c r="AI229"/>
      <c r="AM229"/>
    </row>
    <row r="230" spans="1:39" x14ac:dyDescent="0.25">
      <c r="A230"/>
      <c r="B230"/>
      <c r="C230"/>
      <c r="D230"/>
      <c r="E230"/>
      <c r="F230"/>
      <c r="G230"/>
      <c r="H230"/>
      <c r="I230"/>
      <c r="J230"/>
      <c r="K230"/>
      <c r="L230"/>
      <c r="M230"/>
      <c r="N230"/>
      <c r="O230"/>
      <c r="P230"/>
      <c r="S230"/>
      <c r="U230"/>
      <c r="V230"/>
      <c r="W230"/>
      <c r="X230"/>
      <c r="Y230"/>
      <c r="Z230"/>
      <c r="AA230"/>
      <c r="AB230"/>
      <c r="AC230"/>
      <c r="AD230"/>
      <c r="AE230"/>
      <c r="AF230"/>
      <c r="AH230"/>
      <c r="AI230"/>
      <c r="AM230"/>
    </row>
    <row r="231" spans="1:39" x14ac:dyDescent="0.25">
      <c r="A231"/>
      <c r="B231"/>
      <c r="C231"/>
      <c r="D231"/>
      <c r="E231"/>
      <c r="F231"/>
      <c r="G231"/>
      <c r="H231"/>
      <c r="I231"/>
      <c r="J231"/>
      <c r="K231"/>
      <c r="L231"/>
      <c r="M231"/>
      <c r="N231"/>
      <c r="O231"/>
      <c r="P231"/>
      <c r="S231"/>
      <c r="U231"/>
      <c r="V231"/>
      <c r="W231"/>
      <c r="X231"/>
      <c r="Y231"/>
      <c r="Z231"/>
      <c r="AA231"/>
      <c r="AB231"/>
      <c r="AC231"/>
      <c r="AD231"/>
      <c r="AE231"/>
      <c r="AF231"/>
      <c r="AH231"/>
      <c r="AI231"/>
      <c r="AM231"/>
    </row>
    <row r="232" spans="1:39" x14ac:dyDescent="0.25">
      <c r="A232"/>
      <c r="B232"/>
      <c r="C232"/>
      <c r="D232"/>
      <c r="E232"/>
      <c r="F232"/>
      <c r="G232"/>
      <c r="H232"/>
      <c r="I232"/>
      <c r="J232"/>
      <c r="K232"/>
      <c r="L232"/>
      <c r="M232"/>
      <c r="N232"/>
      <c r="O232"/>
      <c r="P232"/>
      <c r="S232"/>
      <c r="U232"/>
      <c r="V232"/>
      <c r="W232"/>
      <c r="X232"/>
      <c r="Y232"/>
      <c r="Z232"/>
      <c r="AA232"/>
      <c r="AB232"/>
      <c r="AC232"/>
      <c r="AD232"/>
      <c r="AE232"/>
      <c r="AF232"/>
      <c r="AH232"/>
      <c r="AI232"/>
      <c r="AM232"/>
    </row>
    <row r="233" spans="1:39" x14ac:dyDescent="0.25">
      <c r="A233"/>
      <c r="B233"/>
      <c r="C233"/>
      <c r="D233"/>
      <c r="E233"/>
      <c r="F233"/>
      <c r="G233"/>
      <c r="H233"/>
      <c r="I233"/>
      <c r="J233"/>
      <c r="K233"/>
      <c r="L233"/>
      <c r="M233"/>
      <c r="N233"/>
      <c r="O233"/>
      <c r="P233"/>
      <c r="S233"/>
      <c r="U233"/>
      <c r="V233"/>
      <c r="W233"/>
      <c r="X233"/>
      <c r="Y233"/>
      <c r="Z233"/>
      <c r="AA233"/>
      <c r="AB233"/>
      <c r="AC233"/>
      <c r="AD233"/>
      <c r="AE233"/>
      <c r="AF233"/>
      <c r="AH233"/>
      <c r="AI233"/>
      <c r="AM233"/>
    </row>
    <row r="234" spans="1:39" x14ac:dyDescent="0.25">
      <c r="A234"/>
      <c r="B234"/>
      <c r="C234"/>
      <c r="D234"/>
      <c r="E234"/>
      <c r="F234"/>
      <c r="G234"/>
      <c r="H234"/>
      <c r="I234"/>
      <c r="J234"/>
      <c r="K234"/>
      <c r="L234"/>
      <c r="M234"/>
      <c r="N234"/>
      <c r="O234"/>
      <c r="P234"/>
      <c r="S234"/>
      <c r="U234"/>
      <c r="V234"/>
      <c r="W234"/>
      <c r="X234"/>
      <c r="Y234"/>
      <c r="Z234"/>
      <c r="AA234"/>
      <c r="AB234"/>
      <c r="AC234"/>
      <c r="AD234"/>
      <c r="AE234"/>
      <c r="AF234"/>
      <c r="AH234"/>
      <c r="AI234"/>
      <c r="AM234"/>
    </row>
    <row r="235" spans="1:39" x14ac:dyDescent="0.25">
      <c r="A235"/>
      <c r="B235"/>
      <c r="C235"/>
      <c r="D235"/>
      <c r="E235"/>
      <c r="F235"/>
      <c r="G235"/>
      <c r="H235"/>
      <c r="I235"/>
      <c r="J235"/>
      <c r="K235"/>
      <c r="L235"/>
      <c r="M235"/>
      <c r="N235"/>
      <c r="O235"/>
      <c r="P235"/>
      <c r="S235"/>
      <c r="U235"/>
      <c r="V235"/>
      <c r="W235"/>
      <c r="X235"/>
      <c r="Y235"/>
      <c r="Z235"/>
      <c r="AA235"/>
      <c r="AB235"/>
      <c r="AC235"/>
      <c r="AD235"/>
      <c r="AE235"/>
      <c r="AF235"/>
      <c r="AH235"/>
      <c r="AI235"/>
      <c r="AM235"/>
    </row>
    <row r="236" spans="1:39" x14ac:dyDescent="0.25">
      <c r="A236"/>
      <c r="B236"/>
      <c r="C236"/>
      <c r="D236"/>
      <c r="E236"/>
      <c r="F236"/>
      <c r="G236"/>
      <c r="H236"/>
      <c r="I236"/>
      <c r="J236"/>
      <c r="K236"/>
      <c r="L236"/>
      <c r="M236"/>
      <c r="N236"/>
      <c r="O236"/>
      <c r="P236"/>
      <c r="S236"/>
      <c r="U236"/>
      <c r="V236"/>
      <c r="W236"/>
      <c r="X236"/>
      <c r="Y236"/>
      <c r="Z236"/>
      <c r="AA236"/>
      <c r="AB236"/>
      <c r="AC236"/>
      <c r="AD236"/>
      <c r="AE236"/>
      <c r="AF236"/>
      <c r="AH236"/>
      <c r="AI236"/>
      <c r="AM236"/>
    </row>
    <row r="237" spans="1:39" x14ac:dyDescent="0.25">
      <c r="A237"/>
      <c r="B237"/>
      <c r="C237"/>
      <c r="D237"/>
      <c r="E237"/>
      <c r="F237"/>
      <c r="G237"/>
      <c r="H237"/>
      <c r="I237"/>
      <c r="J237"/>
      <c r="K237"/>
      <c r="L237"/>
      <c r="M237"/>
      <c r="N237"/>
      <c r="O237"/>
      <c r="P237"/>
      <c r="S237"/>
      <c r="U237"/>
      <c r="V237"/>
      <c r="W237"/>
      <c r="X237"/>
      <c r="Y237"/>
      <c r="Z237"/>
      <c r="AA237"/>
      <c r="AB237"/>
      <c r="AC237"/>
      <c r="AD237"/>
      <c r="AE237"/>
      <c r="AF237"/>
      <c r="AH237"/>
      <c r="AI237"/>
      <c r="AM237"/>
    </row>
    <row r="238" spans="1:39" x14ac:dyDescent="0.25">
      <c r="A238"/>
      <c r="B238"/>
      <c r="C238"/>
      <c r="D238"/>
      <c r="E238"/>
      <c r="F238"/>
      <c r="G238"/>
      <c r="H238"/>
      <c r="I238"/>
      <c r="J238"/>
      <c r="K238"/>
      <c r="L238"/>
      <c r="M238"/>
      <c r="N238"/>
      <c r="O238"/>
      <c r="P238"/>
      <c r="S238"/>
      <c r="U238"/>
      <c r="V238"/>
      <c r="W238"/>
      <c r="X238"/>
      <c r="Y238"/>
      <c r="Z238"/>
      <c r="AA238"/>
      <c r="AB238"/>
      <c r="AC238"/>
      <c r="AD238"/>
      <c r="AE238"/>
      <c r="AF238"/>
      <c r="AH238"/>
      <c r="AI238"/>
      <c r="AM238"/>
    </row>
    <row r="239" spans="1:39" x14ac:dyDescent="0.25">
      <c r="A239"/>
      <c r="B239"/>
      <c r="C239"/>
      <c r="D239"/>
      <c r="E239"/>
      <c r="F239"/>
      <c r="G239"/>
      <c r="H239"/>
      <c r="I239"/>
      <c r="J239"/>
      <c r="K239"/>
      <c r="L239"/>
      <c r="M239"/>
      <c r="N239"/>
      <c r="O239"/>
      <c r="P239"/>
      <c r="S239"/>
      <c r="U239"/>
      <c r="V239"/>
      <c r="W239"/>
      <c r="X239"/>
      <c r="Y239"/>
      <c r="Z239"/>
      <c r="AA239"/>
      <c r="AB239"/>
      <c r="AC239"/>
      <c r="AD239"/>
      <c r="AE239"/>
      <c r="AF239"/>
      <c r="AH239"/>
      <c r="AI239"/>
      <c r="AM239"/>
    </row>
    <row r="240" spans="1:39" x14ac:dyDescent="0.25">
      <c r="A240"/>
      <c r="B240"/>
      <c r="C240"/>
      <c r="D240"/>
      <c r="E240"/>
      <c r="F240"/>
      <c r="G240"/>
      <c r="H240"/>
      <c r="I240"/>
      <c r="J240"/>
      <c r="K240"/>
      <c r="L240"/>
      <c r="M240"/>
      <c r="N240"/>
      <c r="O240"/>
      <c r="P240"/>
      <c r="S240"/>
      <c r="U240"/>
      <c r="V240"/>
      <c r="W240"/>
      <c r="X240"/>
      <c r="Y240"/>
      <c r="Z240"/>
      <c r="AA240"/>
      <c r="AB240"/>
      <c r="AC240"/>
      <c r="AD240"/>
      <c r="AE240"/>
      <c r="AF240"/>
      <c r="AH240"/>
      <c r="AI240"/>
      <c r="AM240"/>
    </row>
    <row r="241" spans="1:39" x14ac:dyDescent="0.25">
      <c r="A241"/>
      <c r="B241"/>
      <c r="C241"/>
      <c r="D241"/>
      <c r="E241"/>
      <c r="F241"/>
      <c r="G241"/>
      <c r="H241"/>
      <c r="I241"/>
      <c r="J241"/>
      <c r="K241"/>
      <c r="L241"/>
      <c r="M241"/>
      <c r="N241"/>
      <c r="O241"/>
      <c r="P241"/>
      <c r="S241"/>
      <c r="U241"/>
      <c r="V241"/>
      <c r="W241"/>
      <c r="X241"/>
      <c r="Y241"/>
      <c r="Z241"/>
      <c r="AA241"/>
      <c r="AB241"/>
      <c r="AC241"/>
      <c r="AD241"/>
      <c r="AE241"/>
      <c r="AF241"/>
      <c r="AH241"/>
      <c r="AI241"/>
      <c r="AM241"/>
    </row>
    <row r="242" spans="1:39" x14ac:dyDescent="0.25">
      <c r="A242"/>
      <c r="B242"/>
      <c r="C242"/>
      <c r="D242"/>
      <c r="E242"/>
      <c r="F242"/>
      <c r="G242"/>
      <c r="H242"/>
      <c r="I242"/>
      <c r="J242"/>
      <c r="K242"/>
      <c r="L242"/>
      <c r="M242"/>
      <c r="N242"/>
      <c r="O242"/>
      <c r="P242"/>
      <c r="S242"/>
      <c r="U242"/>
      <c r="V242"/>
      <c r="W242"/>
      <c r="X242"/>
      <c r="Y242"/>
      <c r="Z242"/>
      <c r="AA242"/>
      <c r="AB242"/>
      <c r="AC242"/>
      <c r="AD242"/>
      <c r="AE242"/>
      <c r="AF242"/>
      <c r="AH242"/>
      <c r="AI242"/>
      <c r="AM242"/>
    </row>
    <row r="243" spans="1:39" x14ac:dyDescent="0.25">
      <c r="A243"/>
      <c r="B243"/>
      <c r="C243"/>
      <c r="D243"/>
      <c r="E243"/>
      <c r="F243"/>
      <c r="G243"/>
      <c r="H243"/>
      <c r="I243"/>
      <c r="J243"/>
      <c r="K243"/>
      <c r="L243"/>
      <c r="M243"/>
      <c r="N243"/>
      <c r="O243"/>
      <c r="P243"/>
      <c r="S243"/>
      <c r="U243"/>
      <c r="V243"/>
      <c r="W243"/>
      <c r="X243"/>
      <c r="Y243"/>
      <c r="Z243"/>
      <c r="AA243"/>
      <c r="AB243"/>
      <c r="AC243"/>
      <c r="AD243"/>
      <c r="AE243"/>
      <c r="AF243"/>
      <c r="AH243"/>
      <c r="AI243"/>
      <c r="AM243"/>
    </row>
    <row r="244" spans="1:39" x14ac:dyDescent="0.25">
      <c r="A244"/>
      <c r="B244"/>
      <c r="C244"/>
      <c r="D244"/>
      <c r="E244"/>
      <c r="F244"/>
      <c r="G244"/>
      <c r="H244"/>
      <c r="I244"/>
      <c r="J244"/>
      <c r="K244"/>
      <c r="L244"/>
      <c r="M244"/>
      <c r="N244"/>
      <c r="O244"/>
      <c r="P244"/>
      <c r="S244"/>
      <c r="U244"/>
      <c r="V244"/>
      <c r="W244"/>
      <c r="X244"/>
      <c r="Y244"/>
      <c r="Z244"/>
      <c r="AA244"/>
      <c r="AB244"/>
      <c r="AC244"/>
      <c r="AD244"/>
      <c r="AE244"/>
      <c r="AF244"/>
      <c r="AH244"/>
      <c r="AI244"/>
      <c r="AM244"/>
    </row>
    <row r="245" spans="1:39" x14ac:dyDescent="0.25">
      <c r="A245"/>
      <c r="B245"/>
      <c r="C245"/>
      <c r="D245"/>
      <c r="E245"/>
      <c r="F245"/>
      <c r="G245"/>
      <c r="H245"/>
      <c r="I245"/>
      <c r="J245"/>
      <c r="K245"/>
      <c r="L245"/>
      <c r="M245"/>
      <c r="N245"/>
      <c r="O245"/>
      <c r="P245"/>
      <c r="S245"/>
      <c r="U245"/>
      <c r="V245"/>
      <c r="W245"/>
      <c r="X245"/>
      <c r="Y245"/>
      <c r="Z245"/>
      <c r="AA245"/>
      <c r="AB245"/>
      <c r="AC245"/>
      <c r="AD245"/>
      <c r="AE245"/>
      <c r="AF245"/>
      <c r="AH245"/>
      <c r="AI245"/>
      <c r="AM245"/>
    </row>
    <row r="246" spans="1:39" x14ac:dyDescent="0.25">
      <c r="A246"/>
      <c r="B246"/>
      <c r="C246"/>
      <c r="D246"/>
      <c r="E246"/>
      <c r="F246"/>
      <c r="G246"/>
      <c r="H246"/>
      <c r="I246"/>
      <c r="J246"/>
      <c r="K246"/>
      <c r="L246"/>
      <c r="M246"/>
      <c r="N246"/>
      <c r="O246"/>
      <c r="P246"/>
      <c r="S246"/>
      <c r="U246"/>
      <c r="V246"/>
      <c r="W246"/>
      <c r="X246"/>
      <c r="Y246"/>
      <c r="Z246"/>
      <c r="AA246"/>
      <c r="AB246"/>
      <c r="AC246"/>
      <c r="AD246"/>
      <c r="AE246"/>
      <c r="AF246"/>
      <c r="AH246"/>
      <c r="AI246"/>
      <c r="AM246"/>
    </row>
    <row r="247" spans="1:39" x14ac:dyDescent="0.25">
      <c r="A247"/>
      <c r="B247"/>
      <c r="C247"/>
      <c r="D247"/>
      <c r="E247"/>
      <c r="F247"/>
      <c r="G247"/>
      <c r="H247"/>
      <c r="I247"/>
      <c r="J247"/>
      <c r="K247"/>
      <c r="L247"/>
      <c r="M247"/>
      <c r="N247"/>
      <c r="O247"/>
      <c r="P247"/>
      <c r="S247"/>
      <c r="U247"/>
      <c r="V247"/>
      <c r="W247"/>
      <c r="X247"/>
      <c r="Y247"/>
      <c r="Z247"/>
      <c r="AA247"/>
      <c r="AB247"/>
      <c r="AC247"/>
      <c r="AD247"/>
      <c r="AE247"/>
      <c r="AF247"/>
      <c r="AH247"/>
      <c r="AI247"/>
      <c r="AM247"/>
    </row>
    <row r="248" spans="1:39" x14ac:dyDescent="0.25">
      <c r="A248"/>
      <c r="B248"/>
      <c r="C248"/>
      <c r="D248"/>
      <c r="E248"/>
      <c r="F248"/>
      <c r="G248"/>
      <c r="H248"/>
      <c r="I248"/>
      <c r="J248"/>
      <c r="K248"/>
      <c r="L248"/>
      <c r="M248"/>
      <c r="N248"/>
      <c r="O248"/>
      <c r="P248"/>
      <c r="S248"/>
      <c r="U248"/>
      <c r="V248"/>
      <c r="W248"/>
      <c r="X248"/>
      <c r="Y248"/>
      <c r="Z248"/>
      <c r="AA248"/>
      <c r="AB248"/>
      <c r="AC248"/>
      <c r="AD248"/>
      <c r="AE248"/>
      <c r="AF248"/>
      <c r="AH248"/>
      <c r="AI248"/>
      <c r="AM248"/>
    </row>
    <row r="249" spans="1:39" x14ac:dyDescent="0.25">
      <c r="A249"/>
      <c r="B249"/>
      <c r="C249"/>
      <c r="D249"/>
      <c r="E249"/>
      <c r="F249"/>
      <c r="G249"/>
      <c r="H249"/>
      <c r="I249"/>
      <c r="J249"/>
      <c r="K249"/>
      <c r="L249"/>
      <c r="M249"/>
      <c r="N249"/>
      <c r="O249"/>
      <c r="P249"/>
      <c r="S249"/>
      <c r="U249"/>
      <c r="V249"/>
      <c r="W249"/>
      <c r="X249"/>
      <c r="Y249"/>
      <c r="Z249"/>
      <c r="AA249"/>
      <c r="AB249"/>
      <c r="AC249"/>
      <c r="AD249"/>
      <c r="AE249"/>
      <c r="AF249"/>
      <c r="AH249"/>
      <c r="AI249"/>
      <c r="AM249"/>
    </row>
    <row r="250" spans="1:39" x14ac:dyDescent="0.25">
      <c r="A250"/>
      <c r="B250"/>
      <c r="C250"/>
      <c r="D250"/>
      <c r="E250"/>
      <c r="F250"/>
      <c r="G250"/>
      <c r="H250"/>
      <c r="I250"/>
      <c r="J250"/>
      <c r="K250"/>
      <c r="L250"/>
      <c r="M250"/>
      <c r="N250"/>
      <c r="O250"/>
      <c r="P250"/>
      <c r="S250"/>
      <c r="U250"/>
      <c r="V250"/>
      <c r="W250"/>
      <c r="X250"/>
      <c r="Y250"/>
      <c r="Z250"/>
      <c r="AA250"/>
      <c r="AB250"/>
      <c r="AC250"/>
      <c r="AD250"/>
      <c r="AE250"/>
      <c r="AF250"/>
      <c r="AH250"/>
      <c r="AI250"/>
      <c r="AM250"/>
    </row>
    <row r="251" spans="1:39" x14ac:dyDescent="0.25">
      <c r="A251"/>
      <c r="B251"/>
      <c r="C251"/>
      <c r="D251"/>
      <c r="E251"/>
      <c r="F251"/>
      <c r="G251"/>
      <c r="H251"/>
      <c r="I251"/>
      <c r="J251"/>
      <c r="K251"/>
      <c r="L251"/>
      <c r="M251"/>
      <c r="N251"/>
      <c r="O251"/>
      <c r="P251"/>
      <c r="S251"/>
      <c r="U251"/>
      <c r="V251"/>
      <c r="W251"/>
      <c r="X251"/>
      <c r="Y251"/>
      <c r="Z251"/>
      <c r="AA251"/>
      <c r="AB251"/>
      <c r="AC251"/>
      <c r="AD251"/>
      <c r="AE251"/>
      <c r="AF251"/>
      <c r="AH251"/>
      <c r="AI251"/>
      <c r="AM251"/>
    </row>
    <row r="252" spans="1:39" x14ac:dyDescent="0.25">
      <c r="A252"/>
      <c r="B252"/>
      <c r="C252"/>
      <c r="D252"/>
      <c r="E252"/>
      <c r="F252"/>
      <c r="G252"/>
      <c r="H252"/>
      <c r="I252"/>
      <c r="J252"/>
      <c r="K252"/>
      <c r="L252"/>
      <c r="M252"/>
      <c r="N252"/>
      <c r="O252"/>
      <c r="P252"/>
      <c r="S252"/>
      <c r="U252"/>
      <c r="V252"/>
      <c r="W252"/>
      <c r="X252"/>
      <c r="Y252"/>
      <c r="Z252"/>
      <c r="AA252"/>
      <c r="AB252"/>
      <c r="AC252"/>
      <c r="AD252"/>
      <c r="AE252"/>
      <c r="AF252"/>
      <c r="AH252"/>
      <c r="AI252"/>
      <c r="AM252"/>
    </row>
    <row r="253" spans="1:39" x14ac:dyDescent="0.25">
      <c r="A253"/>
      <c r="B253"/>
      <c r="C253"/>
      <c r="D253"/>
      <c r="E253"/>
      <c r="F253"/>
      <c r="G253"/>
      <c r="H253"/>
      <c r="I253"/>
      <c r="J253"/>
      <c r="K253"/>
      <c r="L253"/>
      <c r="M253"/>
      <c r="N253"/>
      <c r="O253"/>
      <c r="P253"/>
      <c r="S253"/>
      <c r="U253"/>
      <c r="V253"/>
      <c r="W253"/>
      <c r="X253"/>
      <c r="Y253"/>
      <c r="Z253"/>
      <c r="AA253"/>
      <c r="AB253"/>
      <c r="AC253"/>
      <c r="AD253"/>
      <c r="AE253"/>
      <c r="AF253"/>
      <c r="AH253"/>
      <c r="AI253"/>
      <c r="AM253"/>
    </row>
    <row r="254" spans="1:39" x14ac:dyDescent="0.25">
      <c r="A254"/>
      <c r="B254"/>
      <c r="C254"/>
      <c r="D254"/>
      <c r="E254"/>
      <c r="F254"/>
      <c r="G254"/>
      <c r="H254"/>
      <c r="I254"/>
      <c r="J254"/>
      <c r="K254"/>
      <c r="L254"/>
      <c r="M254"/>
      <c r="N254"/>
      <c r="O254"/>
      <c r="P254"/>
      <c r="S254"/>
      <c r="U254"/>
      <c r="V254"/>
      <c r="W254"/>
      <c r="X254"/>
      <c r="Y254"/>
      <c r="Z254"/>
      <c r="AA254"/>
      <c r="AB254"/>
      <c r="AC254"/>
      <c r="AD254"/>
      <c r="AE254"/>
      <c r="AF254"/>
      <c r="AH254"/>
      <c r="AI254"/>
      <c r="AM254"/>
    </row>
    <row r="255" spans="1:39" x14ac:dyDescent="0.25">
      <c r="A255"/>
      <c r="B255"/>
      <c r="C255"/>
      <c r="D255"/>
      <c r="E255"/>
      <c r="F255"/>
      <c r="G255"/>
      <c r="H255"/>
      <c r="I255"/>
      <c r="J255"/>
      <c r="K255"/>
      <c r="L255"/>
      <c r="M255"/>
      <c r="N255"/>
      <c r="O255"/>
      <c r="P255"/>
      <c r="S255"/>
      <c r="U255"/>
      <c r="V255"/>
      <c r="W255"/>
      <c r="X255"/>
      <c r="Y255"/>
      <c r="Z255"/>
      <c r="AA255"/>
      <c r="AB255"/>
      <c r="AC255"/>
      <c r="AD255"/>
      <c r="AE255"/>
      <c r="AF255"/>
      <c r="AH255"/>
      <c r="AI255"/>
      <c r="AM255"/>
    </row>
    <row r="256" spans="1:39" x14ac:dyDescent="0.25">
      <c r="A256"/>
      <c r="B256"/>
      <c r="C256"/>
      <c r="D256"/>
      <c r="E256"/>
      <c r="F256"/>
      <c r="G256"/>
      <c r="H256"/>
      <c r="I256"/>
      <c r="J256"/>
      <c r="K256"/>
      <c r="L256"/>
      <c r="M256"/>
      <c r="N256"/>
      <c r="O256"/>
      <c r="P256"/>
      <c r="S256"/>
      <c r="U256"/>
      <c r="V256"/>
      <c r="W256"/>
      <c r="X256"/>
      <c r="Y256"/>
      <c r="Z256"/>
      <c r="AA256"/>
      <c r="AB256"/>
      <c r="AC256"/>
      <c r="AD256"/>
      <c r="AE256"/>
      <c r="AF256"/>
      <c r="AH256"/>
      <c r="AI256"/>
      <c r="AM256"/>
    </row>
  </sheetData>
  <autoFilter ref="A12:AG227">
    <sortState ref="A13:AG233">
      <sortCondition ref="AG13:AG224"/>
      <sortCondition ref="AD13:AD224"/>
    </sortState>
  </autoFilter>
  <sortState ref="A13:AH200">
    <sortCondition ref="AG13:AG200"/>
    <sortCondition ref="AD13:AD200"/>
  </sortState>
  <mergeCells count="1">
    <mergeCell ref="A11:P11"/>
  </mergeCells>
  <conditionalFormatting sqref="W11:W12 W257:X1048576 W13:X218">
    <cfRule type="cellIs" dxfId="10" priority="356" operator="equal">
      <formula>"Y"</formula>
    </cfRule>
  </conditionalFormatting>
  <conditionalFormatting sqref="X257:X1048576 X13:X218">
    <cfRule type="cellIs" dxfId="9" priority="339" operator="greaterThan">
      <formula>1</formula>
    </cfRule>
  </conditionalFormatting>
  <conditionalFormatting sqref="X257:X1048576 X12:X218">
    <cfRule type="cellIs" dxfId="8" priority="336" operator="equal">
      <formula>0</formula>
    </cfRule>
  </conditionalFormatting>
  <conditionalFormatting sqref="A13:S218">
    <cfRule type="expression" dxfId="7" priority="330" stopIfTrue="1">
      <formula>$P13&gt;0</formula>
    </cfRule>
    <cfRule type="expression" dxfId="6" priority="331" stopIfTrue="1">
      <formula>$O13&gt;0</formula>
    </cfRule>
  </conditionalFormatting>
  <pageMargins left="0.7" right="0.7" top="0.75" bottom="0.75" header="0.3" footer="0.3"/>
  <pageSetup scale="17"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2]!DailyMorningStuff_Runs">
                <anchor moveWithCells="1" sizeWithCells="1">
                  <from>
                    <xdr:col>24</xdr:col>
                    <xdr:colOff>552450</xdr:colOff>
                    <xdr:row>2</xdr:row>
                    <xdr:rowOff>38100</xdr:rowOff>
                  </from>
                  <to>
                    <xdr:col>26</xdr:col>
                    <xdr:colOff>466725</xdr:colOff>
                    <xdr:row>4</xdr:row>
                    <xdr:rowOff>190500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332" stopIfTrue="1" id="{07B64F47-9FD1-48B1-84DC-90BBCF0B8697}">
            <xm:f>IF($AG13="EC",OR($N13&gt;Variables!$C$2,$N13&lt;Variables!$C$5),OR($N13&gt;Variables!$D$2,$N13&lt;Variables!$D$5))</xm:f>
            <x14:dxf>
              <fill>
                <patternFill>
                  <bgColor theme="5" tint="0.79998168889431442"/>
                </patternFill>
              </fill>
            </x14:dxf>
          </x14:cfRule>
          <xm:sqref>A13:S218</xm:sqref>
        </x14:conditionalFormatting>
        <x14:conditionalFormatting xmlns:xm="http://schemas.microsoft.com/office/excel/2006/main">
          <x14:cfRule type="expression" priority="15" stopIfTrue="1" id="{44578D0A-3CE8-4388-A6D0-8700858490EC}">
            <xm:f>IF($AG13="EC",OR($N13&gt;Variables!#REF!,$N13&lt;Variables!#REF!),OR($N13&gt;Variables!#REF!,$N13&lt;Variables!#REF!))</xm:f>
            <x14:dxf>
              <fill>
                <patternFill>
                  <bgColor theme="5" tint="0.79998168889431442"/>
                </patternFill>
              </fill>
            </x14:dxf>
          </x14:cfRule>
          <xm:sqref>A13:S218</xm:sqref>
        </x14:conditionalFormatting>
      </x14:conditionalFormattings>
    </ext>
    <ext xmlns:x14="http://schemas.microsoft.com/office/spreadsheetml/2009/9/main" uri="{CCE6A557-97BC-4b89-ADB6-D9C93CAAB3DF}">
      <x14:dataValidations xmlns:xm="http://schemas.microsoft.com/office/excel/2006/main" count="2">
        <x14:dataValidation type="list" allowBlank="1" showInputMessage="1" showErrorMessage="1">
          <x14:formula1>
            <xm:f>'Redmine List Values'!$A$2:$A$7</xm:f>
          </x14:formula1>
          <xm:sqref>AK13:AK218</xm:sqref>
        </x14:dataValidation>
        <x14:dataValidation type="list" allowBlank="1" showInputMessage="1" showErrorMessage="1">
          <x14:formula1>
            <xm:f>'Redmine List Values'!$C$2:$C$15</xm:f>
          </x14:formula1>
          <xm:sqref>AL13:AL218</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pageSetUpPr fitToPage="1"/>
  </sheetPr>
  <dimension ref="A1:AF62"/>
  <sheetViews>
    <sheetView topLeftCell="A2" zoomScaleNormal="100" workbookViewId="0">
      <selection activeCell="A2" sqref="A2"/>
    </sheetView>
  </sheetViews>
  <sheetFormatPr defaultRowHeight="15" x14ac:dyDescent="0.25"/>
  <cols>
    <col min="1" max="1" width="18.28515625" style="8" bestFit="1" customWidth="1"/>
    <col min="2" max="2" width="15" customWidth="1"/>
    <col min="3" max="3" width="8.28515625" customWidth="1"/>
    <col min="4" max="4" width="13.140625" style="125" customWidth="1"/>
    <col min="5" max="5" width="18.5703125" style="125" customWidth="1"/>
    <col min="6" max="6" width="5.7109375" style="125" customWidth="1"/>
    <col min="7" max="7" width="5.85546875" style="125" customWidth="1"/>
    <col min="8" max="8" width="7.85546875" style="125" customWidth="1"/>
    <col min="9" max="9" width="9" style="125" customWidth="1"/>
    <col min="10" max="10" width="11.5703125" style="125" hidden="1" customWidth="1"/>
    <col min="11" max="11" width="9.140625" style="125" customWidth="1"/>
    <col min="12" max="12" width="7.85546875" style="125" customWidth="1"/>
    <col min="13" max="13" width="7.85546875" style="2" customWidth="1"/>
    <col min="14" max="14" width="14.28515625" style="124" customWidth="1"/>
    <col min="15" max="15" width="5.140625" style="152" customWidth="1"/>
    <col min="16" max="16" width="33.42578125" style="125" customWidth="1"/>
    <col min="17" max="17" width="5" hidden="1" customWidth="1"/>
    <col min="18" max="18" width="5.5703125" style="83" customWidth="1"/>
    <col min="19" max="19" width="5.5703125" style="90" customWidth="1"/>
    <col min="20" max="20" width="6" style="80" customWidth="1"/>
    <col min="21" max="21" width="5.140625" customWidth="1"/>
    <col min="22" max="22" width="21.42578125" style="44" bestFit="1" customWidth="1"/>
    <col min="23" max="23" width="5.28515625" customWidth="1"/>
    <col min="24" max="24" width="6.7109375" hidden="1" customWidth="1"/>
    <col min="25" max="25" width="4.28515625" customWidth="1"/>
    <col min="26" max="26" width="15.28515625" bestFit="1" customWidth="1"/>
    <col min="27" max="27" width="6.42578125" customWidth="1"/>
    <col min="28" max="28" width="7.140625" customWidth="1"/>
    <col min="29" max="29" width="5.28515625" style="127" customWidth="1"/>
    <col min="31" max="31" width="9.140625" style="158"/>
  </cols>
  <sheetData>
    <row r="1" spans="1:31" s="20" customFormat="1" ht="15.75" hidden="1" thickBot="1" x14ac:dyDescent="0.3">
      <c r="A1" s="8"/>
      <c r="D1" s="125"/>
      <c r="E1" s="125"/>
      <c r="F1" s="125"/>
      <c r="G1" s="125"/>
      <c r="H1" s="125"/>
      <c r="I1" s="125"/>
      <c r="J1" s="125"/>
      <c r="K1" s="125"/>
      <c r="L1" s="125"/>
      <c r="M1" s="2"/>
      <c r="N1" s="124"/>
      <c r="O1" s="152"/>
      <c r="P1" s="125"/>
      <c r="R1" s="83"/>
      <c r="S1" s="90"/>
      <c r="T1" s="80"/>
      <c r="V1" s="44"/>
      <c r="AC1" s="127"/>
      <c r="AE1" s="158"/>
    </row>
    <row r="2" spans="1:31" s="20" customFormat="1" x14ac:dyDescent="0.25">
      <c r="A2" s="8"/>
      <c r="D2" s="125"/>
      <c r="E2" s="125"/>
      <c r="F2" s="125"/>
      <c r="G2" s="125"/>
      <c r="H2" s="125"/>
      <c r="I2" s="125"/>
      <c r="J2" s="125"/>
      <c r="K2" s="125"/>
      <c r="L2" s="136" t="s">
        <v>80</v>
      </c>
      <c r="M2" s="120"/>
      <c r="N2" s="137"/>
      <c r="O2" s="154">
        <f>COUNTIF($O$7:$O$321,"=Y")</f>
        <v>3</v>
      </c>
      <c r="P2" s="122"/>
      <c r="R2" s="83"/>
      <c r="S2" s="90"/>
      <c r="T2" s="80"/>
      <c r="V2" s="44"/>
      <c r="AC2" s="128"/>
      <c r="AE2" s="158"/>
    </row>
    <row r="3" spans="1:31" s="20" customFormat="1" ht="15.75" thickBot="1" x14ac:dyDescent="0.3">
      <c r="A3" s="8"/>
      <c r="D3" s="125"/>
      <c r="E3" s="125"/>
      <c r="F3" s="125"/>
      <c r="G3" s="125"/>
      <c r="H3" s="125"/>
      <c r="I3" s="125"/>
      <c r="J3" s="125"/>
      <c r="K3" s="125"/>
      <c r="L3" s="138" t="s">
        <v>81</v>
      </c>
      <c r="M3" s="121"/>
      <c r="N3" s="139"/>
      <c r="O3" s="155">
        <f>COUNTA($O$7:$O$321)-O2</f>
        <v>20</v>
      </c>
      <c r="P3" s="122"/>
      <c r="R3" s="83"/>
      <c r="S3" s="90"/>
      <c r="T3" s="80"/>
      <c r="V3" s="44"/>
      <c r="AC3" s="128"/>
      <c r="AE3" s="158"/>
    </row>
    <row r="4" spans="1:31" s="20" customFormat="1" x14ac:dyDescent="0.25">
      <c r="A4" s="8"/>
      <c r="D4" s="125"/>
      <c r="E4" s="125"/>
      <c r="F4" s="125"/>
      <c r="G4" s="125"/>
      <c r="H4" s="125"/>
      <c r="I4" s="125"/>
      <c r="J4" s="125"/>
      <c r="K4" s="125"/>
      <c r="L4" s="125"/>
      <c r="M4" s="2"/>
      <c r="N4" s="124"/>
      <c r="O4" s="152"/>
      <c r="P4" s="125"/>
      <c r="R4" s="83"/>
      <c r="S4" s="90"/>
      <c r="T4" s="80"/>
      <c r="V4" s="44"/>
      <c r="AC4" s="128"/>
      <c r="AE4" s="158"/>
    </row>
    <row r="5" spans="1:31" s="10" customFormat="1" ht="15" customHeight="1" x14ac:dyDescent="0.25">
      <c r="A5" s="194" t="str">
        <f>"Eagle P3 Braking Events - "&amp;TEXT(Variables!$A$2,"YYYY-mm-dd")</f>
        <v>Eagle P3 Braking Events - 2017-02-05</v>
      </c>
      <c r="B5" s="194"/>
      <c r="C5" s="194"/>
      <c r="D5" s="194"/>
      <c r="E5" s="194"/>
      <c r="F5" s="194"/>
      <c r="G5" s="194"/>
      <c r="H5" s="194"/>
      <c r="I5" s="194"/>
      <c r="J5" s="194"/>
      <c r="K5" s="194"/>
      <c r="L5" s="194"/>
      <c r="M5" s="194"/>
      <c r="N5" s="194"/>
      <c r="O5" s="194"/>
      <c r="P5" s="140"/>
      <c r="R5" s="88"/>
      <c r="S5" s="91"/>
      <c r="T5" s="93"/>
      <c r="V5" s="45"/>
      <c r="AC5" s="129"/>
      <c r="AE5" s="160"/>
    </row>
    <row r="6" spans="1:31" s="119" customFormat="1" ht="69.75" customHeight="1" x14ac:dyDescent="0.2">
      <c r="A6" s="109" t="s">
        <v>38</v>
      </c>
      <c r="B6" s="110" t="s">
        <v>37</v>
      </c>
      <c r="C6" s="110" t="s">
        <v>36</v>
      </c>
      <c r="D6" s="126" t="s">
        <v>35</v>
      </c>
      <c r="E6" s="126" t="s">
        <v>34</v>
      </c>
      <c r="F6" s="126" t="s">
        <v>33</v>
      </c>
      <c r="G6" s="126" t="s">
        <v>32</v>
      </c>
      <c r="H6" s="126" t="s">
        <v>31</v>
      </c>
      <c r="I6" s="126" t="s">
        <v>153</v>
      </c>
      <c r="J6" s="126" t="s">
        <v>30</v>
      </c>
      <c r="K6" s="126" t="s">
        <v>29</v>
      </c>
      <c r="L6" s="126" t="s">
        <v>28</v>
      </c>
      <c r="M6" s="111" t="s">
        <v>154</v>
      </c>
      <c r="N6" s="141" t="s">
        <v>47</v>
      </c>
      <c r="O6" s="156" t="s">
        <v>27</v>
      </c>
      <c r="P6" s="126" t="s">
        <v>24</v>
      </c>
      <c r="Q6" s="112"/>
      <c r="R6" s="113" t="s">
        <v>89</v>
      </c>
      <c r="S6" s="114" t="s">
        <v>55</v>
      </c>
      <c r="T6" s="115" t="s">
        <v>88</v>
      </c>
      <c r="U6" s="110" t="s">
        <v>83</v>
      </c>
      <c r="V6" s="116" t="s">
        <v>84</v>
      </c>
      <c r="W6" s="112" t="s">
        <v>96</v>
      </c>
      <c r="X6" s="112" t="s">
        <v>97</v>
      </c>
      <c r="Y6" s="117" t="s">
        <v>147</v>
      </c>
      <c r="Z6" s="118" t="s">
        <v>148</v>
      </c>
      <c r="AA6" s="118" t="s">
        <v>121</v>
      </c>
      <c r="AB6" s="118" t="s">
        <v>149</v>
      </c>
      <c r="AC6" s="130" t="s">
        <v>173</v>
      </c>
      <c r="AD6" s="119" t="s">
        <v>199</v>
      </c>
      <c r="AE6" s="159" t="s">
        <v>215</v>
      </c>
    </row>
    <row r="7" spans="1:31" s="1" customFormat="1" x14ac:dyDescent="0.25">
      <c r="A7" s="32">
        <v>42771.79351851852</v>
      </c>
      <c r="B7" s="30" t="s">
        <v>518</v>
      </c>
      <c r="C7" s="30" t="s">
        <v>519</v>
      </c>
      <c r="D7" s="30" t="s">
        <v>98</v>
      </c>
      <c r="E7" s="30" t="s">
        <v>219</v>
      </c>
      <c r="F7" s="43">
        <v>200</v>
      </c>
      <c r="G7" s="43">
        <v>251</v>
      </c>
      <c r="H7" s="43">
        <v>5060</v>
      </c>
      <c r="I7" s="43">
        <v>5539</v>
      </c>
      <c r="J7" s="30" t="s">
        <v>220</v>
      </c>
      <c r="K7" s="43">
        <v>4677</v>
      </c>
      <c r="L7" s="143" t="s">
        <v>50</v>
      </c>
      <c r="M7" s="144">
        <f>CONVERT((I7-K7)/10000,"mi","ft")*IF(L7="Increasing Mileposts (1)",-1,1)</f>
        <v>-455.13600000000002</v>
      </c>
      <c r="N7" s="145" t="str">
        <f>VLOOKUP(C7,'Trips&amp;Operators'!$C$1:$G$99999,5,FALSE)</f>
        <v>MAGEE KENYA</v>
      </c>
      <c r="O7" s="157" t="s">
        <v>185</v>
      </c>
      <c r="P7" s="146"/>
      <c r="Q7" s="30"/>
      <c r="R7" s="89" t="str">
        <f>VLOOKUP(C7,'Train Runs'!$A$13:$AE$9961,31,0)</f>
        <v>aws s3 cp s3://rtdc.mdm.uploadarchive.raw/RTDC4031/ "%USERPROFILE%\AppData\Local\Temp\OnboardLogs"\RTDC4031\2017-02-05 --exclude "*" --recursive --include "*20170205*" &amp; "%USERPROFILE%\Documents\GitHub\mrs-test-scripts\Headless Mode &amp; Sideloading\WalkAndUnGZ.bat" "%USERPROFILE%\AppData\Local\Temp\OnboardLogs"\RTDC4031\2017-02-05 &amp; aws s3 cp s3://rtdc.mdm.uploadarchive.raw/RTDC4031/ "%USERPROFILE%\AppData\Local\Temp\OnboardLogs"\RTDC4031\2017-02-06 --exclude "*" --recursive --include "*20170206*" &amp; "%USERPROFILE%\Documents\GitHub\mrs-test-scripts\Headless Mode &amp; Sideloading\WalkAndUnGZ.bat" "%USERPROFILE%\AppData\Local\Temp\OnboardLogs"\RTDC4031\2017-02-06</v>
      </c>
      <c r="S7" s="92" t="str">
        <f>VLOOKUP(C7,'Train Runs'!$A$13:$AE$9961,22,0)</f>
        <v>https://d0f6bd738d7f1b3e5a7ca70fe4ff75f0.us-east-1.aws.found.io/app/kibana#/discover/Steve-Slow-Train-Analysis-(2080s-and-2083s)?_g=(refreshInterval:(display:Off,pause:!f,section:0,value:0),time:(from:'2017-02-05T17:54:18-0700',mode:absolute,to:'2017-02-05T20:38:11-0700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4031%22')),sort:!(Time.ISO8601,asc))</v>
      </c>
      <c r="T7" s="94" t="str">
        <f>astrogrep_path&amp;" /spath="&amp;search_path&amp;" /stypes=""*"&amp;U7&amp;"*"&amp;TEXT(A7-utc_offset/24,"YYYYMMDD")&amp;LEFT(TEXT(A7-utc_offset/24,"HH"),1)&amp;"*"" /stext="" "&amp;TEXT(A7-utc_offset/24,"HH")&amp;search_regexp&amp;""" /e /r /s"</f>
        <v>"C:\Program Files (x86)\AstroGrep\AstroGrep.exe" /spath="%USERPROFILE%\AppData\Local\Temp\OnboardLogs" /stypes="*4031*201702060*" /stext=" 02:.+((SYSTEM_STATE.+slice.+state.+changed )|(ment ac)|(multiple cpu faults)|(system.+state.+changed )|(\[timeout)|(PRM\|1\|D)|(kpr)|(kdp)|(\|lc)|(penalty))" /e /r /s</v>
      </c>
      <c r="U7" s="9" t="str">
        <f>MID(B7,13,4)</f>
        <v>4031</v>
      </c>
      <c r="V7" s="32">
        <f>A7-utc_offset/24</f>
        <v>42772.085185185184</v>
      </c>
      <c r="W7" s="46" t="str">
        <f>IFERROR(IF(VALUE(LEFT(IF(LEN(C7)=6,"0"&amp;C7,C7),2))&lt;=2,"EC",IF(OR(VALUE(LEFT(IF(LEN(C7)=6,"0"&amp;C7,C7),2))=8,VALUE(LEFT(IF(LEN(C7)=6,"0"&amp;C7,C7),2))=18),"NW","Other")),"Other")</f>
        <v>EC</v>
      </c>
      <c r="X7" s="46" t="str">
        <f>IF(AND(E7="TRACK WARRANT AUTHORITY",G7&lt;10),"OMIT","KEEP")</f>
        <v>KEEP</v>
      </c>
      <c r="Y7" s="108" t="str">
        <f>"echo {""issue"":{""subject"":"""&amp;P7&amp;""",""project_id"":79,""tracker_id"":40,""status_id"":"&amp;redmine_status&amp;",""priority_id"":"&amp;redmine_priority&amp;",""assigned_to_id"":"&amp;redmine_assignee&amp;",""start_date"":"""&amp;TEXT(A7,"YYYY-mm-dd")&amp;""",""description"":"""&amp;Z7&amp;""",""custom_fields"":[{""id"":1,""name"":""Subdivision"",""value"":"""&amp;W7&amp;"""},{""id"":4,""name"":""Milepost"",""value"":"""&amp;K7/10000&amp;"""},{""id"":17,""name"":""Train ID"",""value"":"""&amp;C7&amp;"""},{""id"":16,""name"":""Locomotive ID"",""value"":"""&amp;U7&amp;"""},{""id"":130,""name"":""Impact"",""value"":"""&amp;AA7&amp;"""},{""id"":150,""name"":""Time of Event (Mountain Time)"",""value"":"""&amp;TEXT(A7,"hh:mm:ss")&amp;"""},{""id"":151,""name"":""Denver Issue ID"",""value"":"""&amp;"""},{""id"":178,""name"":""Operational Impact"",""value"":"""&amp;redmine_op_impact&amp;"""},{""id"":179,""name"":""Denver Segment Assigned"",""value"":"""&amp;AB7&amp;"""}]}}"&amp;" | curl -X POST -H ""Content-Type: application/json"" -H ""X-Redmine-API-Key: "&amp;redm_api_key&amp;""" "&amp;redm_url&amp;" --data @-"</f>
        <v>echo {"issue":{"subject":"","project_id":79,"tracker_id":40,"status_id":1,"priority_id":2,"assigned_to_id":23,"start_date":"2017-02-05","description":"","custom_fields":[{"id":1,"name":"Subdivision","value":"EC"},{"id":4,"name":"Milepost","value":"0.4677"},{"id":17,"name":"Train ID","value":"221-05"},{"id":16,"name":"Locomotive ID","value":"4031"},{"id":130,"name":"Impact","value":""},{"id":150,"name":"Time of Event (Mountain Time)","value":"19:02:40"},{"id":151,"name":"Denver Issue ID","value":""},{"id":178,"name":"Operational Impact","value":"Yes"},{"id":179,"name":"Denver Segment Assigned","value":""}]}} | curl -X POST -H "Content-Type: application/json" -H "X-Redmine-API-Key: d6333d4a04012a730768444271f8ca06482dae87" https://secure.xorail.net/redmine/issues.json --data @-</v>
      </c>
      <c r="Z7" s="48"/>
      <c r="AA7" s="48"/>
      <c r="AB7" s="48"/>
      <c r="AC7" s="127" t="str">
        <f>"grep -hSE -A400 ""Enforcement Action"" "&amp;search_path&amp;"\RTDC"&amp;U7&amp;"\*"&amp;U7&amp;"*"&amp;TEXT(A7-utc_offset/24,"YYYYMMDD")&amp;LEFT(TEXT(A7-utc_offset/24,"HH"),1)&amp;"* | grep -SE ""((Enforcement Ac)|(PRM))"" -"</f>
        <v>grep -hSE -A400 "Enforcement Action" "%USERPROFILE%\AppData\Local\Temp\OnboardLogs"\RTDC4031\*4031*201702060* | grep -SE "((Enforcement Ac)|(PRM))" -</v>
      </c>
      <c r="AD7" s="1" t="str">
        <f>"grep -hSE ""Enforcement Action"" "&amp;search_path&amp;"\RTDC"&amp;U7&amp;"\*"&amp;U7&amp;"*"&amp;TEXT(A7-utc_offset/24,"YYYYMMDD")&amp;LEFT(TEXT(A7-utc_offset/24,"HH"),1)&amp;"* &gt;&gt; "&amp;TEXT(Variables!$A$2,"YYYY-MM-DD")&amp;"-SliceDisagreementCheck.txt"</f>
        <v>grep -hSE "Enforcement Action" "%USERPROFILE%\AppData\Local\Temp\OnboardLogs"\RTDC4031\*4031*201702060* &gt;&gt; 2017-02-05-SliceDisagreementCheck.txt</v>
      </c>
      <c r="AE7" s="161" t="str">
        <f t="shared" ref="AE7:AE37" si="0">"start /low /b "&amp;dls3logs&amp;" --loco "&amp;U7&amp;" --day "&amp;TEXT(V7,"YYYY-MM-DD")</f>
        <v>start /low /b %USERPROFILE%\Documents\GitHub\eaglep3\Utilities\DownloadLogsFromS3.py --loco 4031 --day 2017-02-06</v>
      </c>
    </row>
    <row r="8" spans="1:31" s="1" customFormat="1" x14ac:dyDescent="0.25">
      <c r="A8" s="32">
        <v>42771.426134259258</v>
      </c>
      <c r="B8" s="30" t="s">
        <v>197</v>
      </c>
      <c r="C8" s="30" t="s">
        <v>505</v>
      </c>
      <c r="D8" s="30" t="s">
        <v>98</v>
      </c>
      <c r="E8" s="30" t="s">
        <v>219</v>
      </c>
      <c r="F8" s="43">
        <v>700</v>
      </c>
      <c r="G8" s="43">
        <v>750</v>
      </c>
      <c r="H8" s="43">
        <v>174894</v>
      </c>
      <c r="I8" s="43">
        <v>177774</v>
      </c>
      <c r="J8" s="30" t="s">
        <v>220</v>
      </c>
      <c r="K8" s="43">
        <v>161962</v>
      </c>
      <c r="L8" s="143" t="s">
        <v>50</v>
      </c>
      <c r="M8" s="144">
        <f>CONVERT((I8-K8)/10000,"mi","ft")*IF(L8="Increasing Mileposts (1)",-1,1)</f>
        <v>-8348.7360000000008</v>
      </c>
      <c r="N8" s="145" t="str">
        <f>VLOOKUP(C8,'Trips&amp;Operators'!$C$1:$G$99999,5,FALSE)</f>
        <v>DAVIS WENDY</v>
      </c>
      <c r="O8" s="157" t="s">
        <v>185</v>
      </c>
      <c r="P8" s="146"/>
      <c r="Q8" s="30"/>
      <c r="R8" s="89" t="str">
        <f>VLOOKUP(C8,'Train Runs'!$A$13:$AE$9961,31,0)</f>
        <v>aws s3 cp s3://rtdc.mdm.uploadarchive.raw/RTDC4022/ "%USERPROFILE%\AppData\Local\Temp\OnboardLogs"\RTDC4022\2017-02-05 --exclude "*" --recursive --include "*20170205*" &amp; "%USERPROFILE%\Documents\GitHub\mrs-test-scripts\Headless Mode &amp; Sideloading\WalkAndUnGZ.bat" "%USERPROFILE%\AppData\Local\Temp\OnboardLogs"\RTDC4022\2017-02-05 &amp; aws s3 cp s3://rtdc.mdm.uploadarchive.raw/RTDC4022/ "%USERPROFILE%\AppData\Local\Temp\OnboardLogs"\RTDC4022\2017-02-06 --exclude "*" --recursive --include "*20170206*" &amp; "%USERPROFILE%\Documents\GitHub\mrs-test-scripts\Headless Mode &amp; Sideloading\WalkAndUnGZ.bat" "%USERPROFILE%\AppData\Local\Temp\OnboardLogs"\RTDC4022\2017-02-06</v>
      </c>
      <c r="S8" s="92" t="str">
        <f>VLOOKUP(C8,'Train Runs'!$A$13:$AE$9961,22,0)</f>
        <v>https://d0f6bd738d7f1b3e5a7ca70fe4ff75f0.us-east-1.aws.found.io/app/kibana#/discover/Steve-Slow-Train-Analysis-(2080s-and-2083s)?_g=(refreshInterval:(display:Off,pause:!f,section:0,value:0),time:(from:'2017-02-05T08:37:52-0700',mode:absolute,to:'2017-02-05T11:23:33-0700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4022%22')),sort:!(Time.ISO8601,asc))</v>
      </c>
      <c r="T8" s="94" t="str">
        <f>astrogrep_path&amp;" /spath="&amp;search_path&amp;" /stypes=""*"&amp;U8&amp;"*"&amp;TEXT(A8-utc_offset/24,"YYYYMMDD")&amp;LEFT(TEXT(A8-utc_offset/24,"HH"),1)&amp;"*"" /stext="" "&amp;TEXT(A8-utc_offset/24,"HH")&amp;search_regexp&amp;""" /e /r /s"</f>
        <v>"C:\Program Files (x86)\AstroGrep\AstroGrep.exe" /spath="%USERPROFILE%\AppData\Local\Temp\OnboardLogs" /stypes="*4022*201702051*" /stext=" 17:.+((SYSTEM_STATE.+slice.+state.+changed )|(ment ac)|(multiple cpu faults)|(system.+state.+changed )|(\[timeout)|(PRM\|1\|D)|(kpr)|(kdp)|(\|lc)|(penalty))" /e /r /s</v>
      </c>
      <c r="U8" s="9" t="str">
        <f>MID(B8,13,4)</f>
        <v>4022</v>
      </c>
      <c r="V8" s="32">
        <f>A8-utc_offset/24</f>
        <v>42771.717800925922</v>
      </c>
      <c r="W8" s="46" t="str">
        <f>IFERROR(IF(VALUE(LEFT(IF(LEN(C8)=6,"0"&amp;C8,C8),2))&lt;=2,"EC",IF(OR(VALUE(LEFT(IF(LEN(C8)=6,"0"&amp;C8,C8),2))=8,VALUE(LEFT(IF(LEN(C8)=6,"0"&amp;C8,C8),2))=18),"NW","Other")),"Other")</f>
        <v>EC</v>
      </c>
      <c r="X8" s="46" t="str">
        <f>IF(AND(E8="TRACK WARRANT AUTHORITY",G8&lt;10),"OMIT","KEEP")</f>
        <v>KEEP</v>
      </c>
      <c r="Y8" s="108" t="str">
        <f>"echo {""issue"":{""subject"":"""&amp;P8&amp;""",""project_id"":79,""tracker_id"":40,""status_id"":"&amp;redmine_status&amp;",""priority_id"":"&amp;redmine_priority&amp;",""assigned_to_id"":"&amp;redmine_assignee&amp;",""start_date"":"""&amp;TEXT(A8,"YYYY-mm-dd")&amp;""",""description"":"""&amp;Z8&amp;""",""custom_fields"":[{""id"":1,""name"":""Subdivision"",""value"":"""&amp;W8&amp;"""},{""id"":4,""name"":""Milepost"",""value"":"""&amp;K8/10000&amp;"""},{""id"":17,""name"":""Train ID"",""value"":"""&amp;C8&amp;"""},{""id"":16,""name"":""Locomotive ID"",""value"":"""&amp;U8&amp;"""},{""id"":130,""name"":""Impact"",""value"":"""&amp;AA8&amp;"""},{""id"":150,""name"":""Time of Event (Mountain Time)"",""value"":"""&amp;TEXT(A8,"hh:mm:ss")&amp;"""},{""id"":151,""name"":""Denver Issue ID"",""value"":"""&amp;"""},{""id"":178,""name"":""Operational Impact"",""value"":"""&amp;redmine_op_impact&amp;"""},{""id"":179,""name"":""Denver Segment Assigned"",""value"":"""&amp;AB8&amp;"""}]}}"&amp;" | curl -X POST -H ""Content-Type: application/json"" -H ""X-Redmine-API-Key: "&amp;redm_api_key&amp;""" "&amp;redm_url&amp;" --data @-"</f>
        <v>echo {"issue":{"subject":"","project_id":79,"tracker_id":40,"status_id":1,"priority_id":2,"assigned_to_id":23,"start_date":"2017-02-05","description":"","custom_fields":[{"id":1,"name":"Subdivision","value":"EC"},{"id":4,"name":"Milepost","value":"16.1962"},{"id":17,"name":"Train ID","value":"149-05"},{"id":16,"name":"Locomotive ID","value":"4022"},{"id":130,"name":"Impact","value":""},{"id":150,"name":"Time of Event (Mountain Time)","value":"10:13:38"},{"id":151,"name":"Denver Issue ID","value":""},{"id":178,"name":"Operational Impact","value":"Yes"},{"id":179,"name":"Denver Segment Assigned","value":""}]}} | curl -X POST -H "Content-Type: application/json" -H "X-Redmine-API-Key: d6333d4a04012a730768444271f8ca06482dae87" https://secure.xorail.net/redmine/issues.json --data @-</v>
      </c>
      <c r="Z8" s="48"/>
      <c r="AA8" s="48"/>
      <c r="AB8" s="48"/>
      <c r="AC8" s="127" t="str">
        <f>"grep -hSE -A400 ""Enforcement Action"" "&amp;search_path&amp;"\RTDC"&amp;U8&amp;"\*"&amp;U8&amp;"*"&amp;TEXT(A8-utc_offset/24,"YYYYMMDD")&amp;LEFT(TEXT(A8-utc_offset/24,"HH"),1)&amp;"* | grep -SE ""((Enforcement Ac)|(PRM))"" -"</f>
        <v>grep -hSE -A400 "Enforcement Action" "%USERPROFILE%\AppData\Local\Temp\OnboardLogs"\RTDC4022\*4022*201702051* | grep -SE "((Enforcement Ac)|(PRM))" -</v>
      </c>
      <c r="AD8" s="1" t="str">
        <f>"grep -hSE ""Enforcement Action"" "&amp;search_path&amp;"\RTDC"&amp;U8&amp;"\*"&amp;U8&amp;"*"&amp;TEXT(A8-utc_offset/24,"YYYYMMDD")&amp;LEFT(TEXT(A8-utc_offset/24,"HH"),1)&amp;"* &gt;&gt; "&amp;TEXT(Variables!$A$2,"YYYY-MM-DD")&amp;"-SliceDisagreementCheck.txt"</f>
        <v>grep -hSE "Enforcement Action" "%USERPROFILE%\AppData\Local\Temp\OnboardLogs"\RTDC4022\*4022*201702051* &gt;&gt; 2017-02-05-SliceDisagreementCheck.txt</v>
      </c>
      <c r="AE8" s="161" t="str">
        <f t="shared" ref="AE8:AE29" si="1">"start /low /b "&amp;dls3logs&amp;" --loco "&amp;U8&amp;" --day "&amp;TEXT(V8,"YYYY-MM-DD")</f>
        <v>start /low /b %USERPROFILE%\Documents\GitHub\eaglep3\Utilities\DownloadLogsFromS3.py --loco 4022 --day 2017-02-05</v>
      </c>
    </row>
    <row r="9" spans="1:31" s="1" customFormat="1" x14ac:dyDescent="0.25">
      <c r="A9" s="32">
        <v>42771.357037037036</v>
      </c>
      <c r="B9" s="30" t="s">
        <v>224</v>
      </c>
      <c r="C9" s="30" t="s">
        <v>503</v>
      </c>
      <c r="D9" s="30" t="s">
        <v>98</v>
      </c>
      <c r="E9" s="30" t="s">
        <v>219</v>
      </c>
      <c r="F9" s="43">
        <v>700</v>
      </c>
      <c r="G9" s="43">
        <v>750</v>
      </c>
      <c r="H9" s="43">
        <v>180002</v>
      </c>
      <c r="I9" s="43">
        <v>176577</v>
      </c>
      <c r="J9" s="30" t="s">
        <v>220</v>
      </c>
      <c r="K9" s="43">
        <v>183829</v>
      </c>
      <c r="L9" s="143" t="s">
        <v>51</v>
      </c>
      <c r="M9" s="144">
        <f>CONVERT((I9-K9)/10000,"mi","ft")*IF(L9="Increasing Mileposts (1)",-1,1)</f>
        <v>-3829.056</v>
      </c>
      <c r="N9" s="145" t="str">
        <f>VLOOKUP(C9,'Trips&amp;Operators'!$C$1:$G$99999,5,FALSE)</f>
        <v>MAELZER KURT</v>
      </c>
      <c r="O9" s="157" t="s">
        <v>185</v>
      </c>
      <c r="P9" s="146"/>
      <c r="Q9" s="30"/>
      <c r="R9" s="89" t="str">
        <f>VLOOKUP(C9,'Train Runs'!$A$13:$AE$9961,31,0)</f>
        <v>aws s3 cp s3://rtdc.mdm.uploadarchive.raw/RTDC4026/ "%USERPROFILE%\AppData\Local\Temp\OnboardLogs"\RTDC4026\2017-02-05 --exclude "*" --recursive --include "*20170205*" &amp; "%USERPROFILE%\Documents\GitHub\mrs-test-scripts\Headless Mode &amp; Sideloading\WalkAndUnGZ.bat" "%USERPROFILE%\AppData\Local\Temp\OnboardLogs"\RTDC4026\2017-02-05 &amp; aws s3 cp s3://rtdc.mdm.uploadarchive.raw/RTDC4026/ "%USERPROFILE%\AppData\Local\Temp\OnboardLogs"\RTDC4026\2017-02-06 --exclude "*" --recursive --include "*20170206*" &amp; "%USERPROFILE%\Documents\GitHub\mrs-test-scripts\Headless Mode &amp; Sideloading\WalkAndUnGZ.bat" "%USERPROFILE%\AppData\Local\Temp\OnboardLogs"\RTDC4026\2017-02-06</v>
      </c>
      <c r="S9" s="92" t="str">
        <f>VLOOKUP(C9,'Train Runs'!$A$13:$AE$9961,22,0)</f>
        <v>https://d0f6bd738d7f1b3e5a7ca70fe4ff75f0.us-east-1.aws.found.io/app/kibana#/discover/Steve-Slow-Train-Analysis-(2080s-and-2083s)?_g=(refreshInterval:(display:Off,pause:!f,section:0,value:0),time:(from:'2017-02-05T07:14:48-0700',mode:absolute,to:'2017-02-05T10:05:25-0700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4026%22')),sort:!(Time.ISO8601,asc))</v>
      </c>
      <c r="T9" s="94" t="str">
        <f>astrogrep_path&amp;" /spath="&amp;search_path&amp;" /stypes=""*"&amp;U9&amp;"*"&amp;TEXT(A9-utc_offset/24,"YYYYMMDD")&amp;LEFT(TEXT(A9-utc_offset/24,"HH"),1)&amp;"*"" /stext="" "&amp;TEXT(A9-utc_offset/24,"HH")&amp;search_regexp&amp;""" /e /r /s"</f>
        <v>"C:\Program Files (x86)\AstroGrep\AstroGrep.exe" /spath="%USERPROFILE%\AppData\Local\Temp\OnboardLogs" /stypes="*4026*201702051*" /stext=" 15:.+((SYSTEM_STATE.+slice.+state.+changed )|(ment ac)|(multiple cpu faults)|(system.+state.+changed )|(\[timeout)|(PRM\|1\|D)|(kpr)|(kdp)|(\|lc)|(penalty))" /e /r /s</v>
      </c>
      <c r="U9" s="9" t="str">
        <f>MID(B9,13,4)</f>
        <v>4026</v>
      </c>
      <c r="V9" s="32">
        <f>A9-utc_offset/24</f>
        <v>42771.6487037037</v>
      </c>
      <c r="W9" s="46" t="str">
        <f>IFERROR(IF(VALUE(LEFT(IF(LEN(C9)=6,"0"&amp;C9,C9),2))&lt;=2,"EC",IF(OR(VALUE(LEFT(IF(LEN(C9)=6,"0"&amp;C9,C9),2))=8,VALUE(LEFT(IF(LEN(C9)=6,"0"&amp;C9,C9),2))=18),"NW","Other")),"Other")</f>
        <v>EC</v>
      </c>
      <c r="X9" s="46" t="str">
        <f>IF(AND(E9="TRACK WARRANT AUTHORITY",G9&lt;10),"OMIT","KEEP")</f>
        <v>KEEP</v>
      </c>
      <c r="Y9" s="108" t="str">
        <f>"echo {""issue"":{""subject"":"""&amp;P9&amp;""",""project_id"":79,""tracker_id"":40,""status_id"":"&amp;redmine_status&amp;",""priority_id"":"&amp;redmine_priority&amp;",""assigned_to_id"":"&amp;redmine_assignee&amp;",""start_date"":"""&amp;TEXT(A9,"YYYY-mm-dd")&amp;""",""description"":"""&amp;Z9&amp;""",""custom_fields"":[{""id"":1,""name"":""Subdivision"",""value"":"""&amp;W9&amp;"""},{""id"":4,""name"":""Milepost"",""value"":"""&amp;K9/10000&amp;"""},{""id"":17,""name"":""Train ID"",""value"":"""&amp;C9&amp;"""},{""id"":16,""name"":""Locomotive ID"",""value"":"""&amp;U9&amp;"""},{""id"":130,""name"":""Impact"",""value"":"""&amp;AA9&amp;"""},{""id"":150,""name"":""Time of Event (Mountain Time)"",""value"":"""&amp;TEXT(A9,"hh:mm:ss")&amp;"""},{""id"":151,""name"":""Denver Issue ID"",""value"":"""&amp;"""},{""id"":178,""name"":""Operational Impact"",""value"":"""&amp;redmine_op_impact&amp;"""},{""id"":179,""name"":""Denver Segment Assigned"",""value"":"""&amp;AB9&amp;"""}]}}"&amp;" | curl -X POST -H ""Content-Type: application/json"" -H ""X-Redmine-API-Key: "&amp;redm_api_key&amp;""" "&amp;redm_url&amp;" --data @-"</f>
        <v>echo {"issue":{"subject":"","project_id":79,"tracker_id":40,"status_id":1,"priority_id":2,"assigned_to_id":23,"start_date":"2017-02-05","description":"","custom_fields":[{"id":1,"name":"Subdivision","value":"EC"},{"id":4,"name":"Milepost","value":"18.3829"},{"id":17,"name":"Train ID","value":"132-05"},{"id":16,"name":"Locomotive ID","value":"4026"},{"id":130,"name":"Impact","value":""},{"id":150,"name":"Time of Event (Mountain Time)","value":"08:34:08"},{"id":151,"name":"Denver Issue ID","value":""},{"id":178,"name":"Operational Impact","value":"Yes"},{"id":179,"name":"Denver Segment Assigned","value":""}]}} | curl -X POST -H "Content-Type: application/json" -H "X-Redmine-API-Key: d6333d4a04012a730768444271f8ca06482dae87" https://secure.xorail.net/redmine/issues.json --data @-</v>
      </c>
      <c r="Z9" s="48"/>
      <c r="AA9" s="48"/>
      <c r="AB9" s="48"/>
      <c r="AC9" s="127" t="str">
        <f>"grep -hSE -A400 ""Enforcement Action"" "&amp;search_path&amp;"\RTDC"&amp;U9&amp;"\*"&amp;U9&amp;"*"&amp;TEXT(A9-utc_offset/24,"YYYYMMDD")&amp;LEFT(TEXT(A9-utc_offset/24,"HH"),1)&amp;"* | grep -SE ""((Enforcement Ac)|(PRM))"" -"</f>
        <v>grep -hSE -A400 "Enforcement Action" "%USERPROFILE%\AppData\Local\Temp\OnboardLogs"\RTDC4026\*4026*201702051* | grep -SE "((Enforcement Ac)|(PRM))" -</v>
      </c>
      <c r="AD9" s="1" t="str">
        <f>"grep -hSE ""Enforcement Action"" "&amp;search_path&amp;"\RTDC"&amp;U9&amp;"\*"&amp;U9&amp;"*"&amp;TEXT(A9-utc_offset/24,"YYYYMMDD")&amp;LEFT(TEXT(A9-utc_offset/24,"HH"),1)&amp;"* &gt;&gt; "&amp;TEXT(Variables!$A$2,"YYYY-MM-DD")&amp;"-SliceDisagreementCheck.txt"</f>
        <v>grep -hSE "Enforcement Action" "%USERPROFILE%\AppData\Local\Temp\OnboardLogs"\RTDC4026\*4026*201702051* &gt;&gt; 2017-02-05-SliceDisagreementCheck.txt</v>
      </c>
      <c r="AE9" s="161" t="str">
        <f t="shared" si="1"/>
        <v>start /low /b %USERPROFILE%\Documents\GitHub\eaglep3\Utilities\DownloadLogsFromS3.py --loco 4026 --day 2017-02-05</v>
      </c>
    </row>
    <row r="10" spans="1:31" s="1" customFormat="1" x14ac:dyDescent="0.25">
      <c r="A10" s="32">
        <v>42771.594131944446</v>
      </c>
      <c r="B10" s="30" t="s">
        <v>198</v>
      </c>
      <c r="C10" s="30" t="s">
        <v>508</v>
      </c>
      <c r="D10" s="30" t="s">
        <v>98</v>
      </c>
      <c r="E10" s="30" t="s">
        <v>186</v>
      </c>
      <c r="F10" s="43">
        <v>0</v>
      </c>
      <c r="G10" s="43">
        <v>4</v>
      </c>
      <c r="H10" s="43">
        <v>1727</v>
      </c>
      <c r="I10" s="43">
        <v>1725</v>
      </c>
      <c r="J10" s="30" t="s">
        <v>187</v>
      </c>
      <c r="K10" s="43">
        <v>1692</v>
      </c>
      <c r="L10" s="143" t="s">
        <v>50</v>
      </c>
      <c r="M10" s="144">
        <f>CONVERT((I10-K10)/10000,"mi","ft")*IF(L10="Increasing Mileposts (1)",-1,1)</f>
        <v>-17.423999999999999</v>
      </c>
      <c r="N10" s="145" t="str">
        <f>VLOOKUP(C10,'Trips&amp;Operators'!$C$1:$G$99999,5,FALSE)</f>
        <v>LOPES KIMBERLY</v>
      </c>
      <c r="O10" s="157" t="s">
        <v>185</v>
      </c>
      <c r="P10" s="146" t="s">
        <v>904</v>
      </c>
      <c r="Q10" s="30"/>
      <c r="R10" s="89" t="str">
        <f>VLOOKUP(C10,'Train Runs'!$A$13:$AE$9961,31,0)</f>
        <v>aws s3 cp s3://rtdc.mdm.uploadarchive.raw/RTDC4038/ "%USERPROFILE%\AppData\Local\Temp\OnboardLogs"\RTDC4038\2017-02-05 --exclude "*" --recursive --include "*20170205*" &amp; "%USERPROFILE%\Documents\GitHub\mrs-test-scripts\Headless Mode &amp; Sideloading\WalkAndUnGZ.bat" "%USERPROFILE%\AppData\Local\Temp\OnboardLogs"\RTDC4038\2017-02-05 &amp; aws s3 cp s3://rtdc.mdm.uploadarchive.raw/RTDC4038/ "%USERPROFILE%\AppData\Local\Temp\OnboardLogs"\RTDC4038\2017-02-06 --exclude "*" --recursive --include "*20170206*" &amp; "%USERPROFILE%\Documents\GitHub\mrs-test-scripts\Headless Mode &amp; Sideloading\WalkAndUnGZ.bat" "%USERPROFILE%\AppData\Local\Temp\OnboardLogs"\RTDC4038\2017-02-06</v>
      </c>
      <c r="S10" s="92" t="str">
        <f>VLOOKUP(C10,'Train Runs'!$A$13:$AE$9961,22,0)</f>
        <v>https://d0f6bd738d7f1b3e5a7ca70fe4ff75f0.us-east-1.aws.found.io/app/kibana#/discover/Steve-Slow-Train-Analysis-(2080s-and-2083s)?_g=(refreshInterval:(display:Off,pause:!f,section:0,value:0),time:(from:'2017-02-05T13:02:58-0700',mode:absolute,to:'2017-02-05T15:54:22-0700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4038%22')),sort:!(Time.ISO8601,asc))</v>
      </c>
      <c r="T10" s="94" t="str">
        <f>astrogrep_path&amp;" /spath="&amp;search_path&amp;" /stypes=""*"&amp;U10&amp;"*"&amp;TEXT(A10-utc_offset/24,"YYYYMMDD")&amp;LEFT(TEXT(A10-utc_offset/24,"HH"),1)&amp;"*"" /stext="" "&amp;TEXT(A10-utc_offset/24,"HH")&amp;search_regexp&amp;""" /e /r /s"</f>
        <v>"C:\Program Files (x86)\AstroGrep\AstroGrep.exe" /spath="%USERPROFILE%\AppData\Local\Temp\OnboardLogs" /stypes="*4038*201702052*" /stext=" 21:.+((SYSTEM_STATE.+slice.+state.+changed )|(ment ac)|(multiple cpu faults)|(system.+state.+changed )|(\[timeout)|(PRM\|1\|D)|(kpr)|(kdp)|(\|lc)|(penalty))" /e /r /s</v>
      </c>
      <c r="U10" s="9" t="str">
        <f>MID(B10,13,4)</f>
        <v>4038</v>
      </c>
      <c r="V10" s="32">
        <f>A10-utc_offset/24</f>
        <v>42771.885798611111</v>
      </c>
      <c r="W10" s="46" t="str">
        <f>IFERROR(IF(VALUE(LEFT(IF(LEN(C10)=6,"0"&amp;C10,C10),2))&lt;=2,"EC",IF(OR(VALUE(LEFT(IF(LEN(C10)=6,"0"&amp;C10,C10),2))=8,VALUE(LEFT(IF(LEN(C10)=6,"0"&amp;C10,C10),2))=18),"NW","Other")),"Other")</f>
        <v>EC</v>
      </c>
      <c r="X10" s="46" t="str">
        <f>IF(AND(E10="TRACK WARRANT AUTHORITY",G10&lt;10),"OMIT","KEEP")</f>
        <v>KEEP</v>
      </c>
      <c r="Y10" s="108" t="str">
        <f>"echo {""issue"":{""subject"":"""&amp;P10&amp;""",""project_id"":79,""tracker_id"":40,""status_id"":"&amp;redmine_status&amp;",""priority_id"":"&amp;redmine_priority&amp;",""assigned_to_id"":"&amp;redmine_assignee&amp;",""start_date"":"""&amp;TEXT(A10,"YYYY-mm-dd")&amp;""",""description"":"""&amp;Z10&amp;""",""custom_fields"":[{""id"":1,""name"":""Subdivision"",""value"":"""&amp;W10&amp;"""},{""id"":4,""name"":""Milepost"",""value"":"""&amp;K10/10000&amp;"""},{""id"":17,""name"":""Train ID"",""value"":"""&amp;C10&amp;"""},{""id"":16,""name"":""Locomotive ID"",""value"":"""&amp;U10&amp;"""},{""id"":130,""name"":""Impact"",""value"":"""&amp;AA10&amp;"""},{""id"":150,""name"":""Time of Event (Mountain Time)"",""value"":"""&amp;TEXT(A10,"hh:mm:ss")&amp;"""},{""id"":151,""name"":""Denver Issue ID"",""value"":"""&amp;"""},{""id"":178,""name"":""Operational Impact"",""value"":"""&amp;redmine_op_impact&amp;"""},{""id"":179,""name"":""Denver Segment Assigned"",""value"":"""&amp;AB10&amp;"""}]}}"&amp;" | curl -X POST -H ""Content-Type: application/json"" -H ""X-Redmine-API-Key: "&amp;redm_api_key&amp;""" "&amp;redm_url&amp;" --data @-"</f>
        <v>echo {"issue":{"subject":"Main 3 departure","project_id":79,"tracker_id":40,"status_id":1,"priority_id":2,"assigned_to_id":23,"start_date":"2017-02-05","description":"","custom_fields":[{"id":1,"name":"Subdivision","value":"EC"},{"id":4,"name":"Milepost","value":"0.1692"},{"id":17,"name":"Train ID","value":"185-05"},{"id":16,"name":"Locomotive ID","value":"4038"},{"id":130,"name":"Impact","value":""},{"id":150,"name":"Time of Event (Mountain Time)","value":"14:15:33"},{"id":151,"name":"Denver Issue ID","value":""},{"id":178,"name":"Operational Impact","value":"Yes"},{"id":179,"name":"Denver Segment Assigned","value":""}]}} | curl -X POST -H "Content-Type: application/json" -H "X-Redmine-API-Key: d6333d4a04012a730768444271f8ca06482dae87" https://secure.xorail.net/redmine/issues.json --data @-</v>
      </c>
      <c r="Z10" s="48"/>
      <c r="AA10" s="48"/>
      <c r="AB10" s="48"/>
      <c r="AC10" s="127" t="str">
        <f>"grep -hSE -A400 ""Enforcement Action"" "&amp;search_path&amp;"\RTDC"&amp;U10&amp;"\*"&amp;U10&amp;"*"&amp;TEXT(A10-utc_offset/24,"YYYYMMDD")&amp;LEFT(TEXT(A10-utc_offset/24,"HH"),1)&amp;"* | grep -SE ""((Enforcement Ac)|(PRM))"" -"</f>
        <v>grep -hSE -A400 "Enforcement Action" "%USERPROFILE%\AppData\Local\Temp\OnboardLogs"\RTDC4038\*4038*201702052* | grep -SE "((Enforcement Ac)|(PRM))" -</v>
      </c>
      <c r="AD10" s="1" t="str">
        <f>"grep -hSE ""Enforcement Action"" "&amp;search_path&amp;"\RTDC"&amp;U10&amp;"\*"&amp;U10&amp;"*"&amp;TEXT(A10-utc_offset/24,"YYYYMMDD")&amp;LEFT(TEXT(A10-utc_offset/24,"HH"),1)&amp;"* &gt;&gt; "&amp;TEXT(Variables!$A$2,"YYYY-MM-DD")&amp;"-SliceDisagreementCheck.txt"</f>
        <v>grep -hSE "Enforcement Action" "%USERPROFILE%\AppData\Local\Temp\OnboardLogs"\RTDC4038\*4038*201702052* &gt;&gt; 2017-02-05-SliceDisagreementCheck.txt</v>
      </c>
      <c r="AE10" s="161" t="str">
        <f t="shared" si="1"/>
        <v>start /low /b %USERPROFILE%\Documents\GitHub\eaglep3\Utilities\DownloadLogsFromS3.py --loco 4038 --day 2017-02-05</v>
      </c>
    </row>
    <row r="11" spans="1:31" s="1" customFormat="1" x14ac:dyDescent="0.25">
      <c r="A11" s="32">
        <v>42771.262986111113</v>
      </c>
      <c r="B11" s="30" t="s">
        <v>316</v>
      </c>
      <c r="C11" s="30" t="s">
        <v>500</v>
      </c>
      <c r="D11" s="30" t="s">
        <v>49</v>
      </c>
      <c r="E11" s="30" t="s">
        <v>186</v>
      </c>
      <c r="F11" s="43">
        <v>0</v>
      </c>
      <c r="G11" s="43">
        <v>579</v>
      </c>
      <c r="H11" s="43">
        <v>79865</v>
      </c>
      <c r="I11" s="43">
        <v>82192</v>
      </c>
      <c r="J11" s="30" t="s">
        <v>187</v>
      </c>
      <c r="K11" s="43">
        <v>81738</v>
      </c>
      <c r="L11" s="143" t="s">
        <v>50</v>
      </c>
      <c r="M11" s="144">
        <f>CONVERT((I11-K11)/10000,"mi","ft")*IF(L11="Increasing Mileposts (1)",-1,1)</f>
        <v>-239.71199999999999</v>
      </c>
      <c r="N11" s="145" t="str">
        <f>VLOOKUP(C11,'Trips&amp;Operators'!$C$1:$G$99999,5,FALSE)</f>
        <v>BADERTSCHER DIANE</v>
      </c>
      <c r="O11" s="157" t="s">
        <v>221</v>
      </c>
      <c r="P11" s="146" t="s">
        <v>912</v>
      </c>
      <c r="Q11" s="30"/>
      <c r="R11" s="89" t="str">
        <f>VLOOKUP(C11,'Train Runs'!$A$13:$AE$9961,31,0)</f>
        <v>aws s3 cp s3://rtdc.mdm.uploadarchive.raw/RTDC4016/ "%USERPROFILE%\AppData\Local\Temp\OnboardLogs"\RTDC4016\2017-02-05 --exclude "*" --recursive --include "*20170205*" &amp; "%USERPROFILE%\Documents\GitHub\mrs-test-scripts\Headless Mode &amp; Sideloading\WalkAndUnGZ.bat" "%USERPROFILE%\AppData\Local\Temp\OnboardLogs"\RTDC4016\2017-02-05 &amp; aws s3 cp s3://rtdc.mdm.uploadarchive.raw/RTDC4016/ "%USERPROFILE%\AppData\Local\Temp\OnboardLogs"\RTDC4016\2017-02-06 --exclude "*" --recursive --include "*20170206*" &amp; "%USERPROFILE%\Documents\GitHub\mrs-test-scripts\Headless Mode &amp; Sideloading\WalkAndUnGZ.bat" "%USERPROFILE%\AppData\Local\Temp\OnboardLogs"\RTDC4016\2017-02-06</v>
      </c>
      <c r="S11" s="92" t="str">
        <f>VLOOKUP(C11,'Train Runs'!$A$13:$AE$9961,22,0)</f>
        <v>https://d0f6bd738d7f1b3e5a7ca70fe4ff75f0.us-east-1.aws.found.io/app/kibana#/discover/Steve-Slow-Train-Analysis-(2080s-and-2083s)?_g=(refreshInterval:(display:Off,pause:!f,section:0,value:0),time:(from:'2017-02-05T04:58:45-0700',mode:absolute,to:'2017-02-05T07:46:52-0700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4016%22')),sort:!(Time.ISO8601,asc))</v>
      </c>
      <c r="T11" s="94" t="str">
        <f>astrogrep_path&amp;" /spath="&amp;search_path&amp;" /stypes=""*"&amp;U11&amp;"*"&amp;TEXT(A11-utc_offset/24,"YYYYMMDD")&amp;LEFT(TEXT(A11-utc_offset/24,"HH"),1)&amp;"*"" /stext="" "&amp;TEXT(A11-utc_offset/24,"HH")&amp;search_regexp&amp;""" /e /r /s"</f>
        <v>"C:\Program Files (x86)\AstroGrep\AstroGrep.exe" /spath="%USERPROFILE%\AppData\Local\Temp\OnboardLogs" /stypes="*4016*201702051*" /stext=" 13:.+((SYSTEM_STATE.+slice.+state.+changed )|(ment ac)|(multiple cpu faults)|(system.+state.+changed )|(\[timeout)|(PRM\|1\|D)|(kpr)|(kdp)|(\|lc)|(penalty))" /e /r /s</v>
      </c>
      <c r="U11" s="9" t="str">
        <f>MID(B11,13,4)</f>
        <v>4016</v>
      </c>
      <c r="V11" s="32">
        <f>A11-utc_offset/24</f>
        <v>42771.554652777777</v>
      </c>
      <c r="W11" s="46" t="str">
        <f>IFERROR(IF(VALUE(LEFT(IF(LEN(C11)=6,"0"&amp;C11,C11),2))&lt;=2,"EC",IF(OR(VALUE(LEFT(IF(LEN(C11)=6,"0"&amp;C11,C11),2))=8,VALUE(LEFT(IF(LEN(C11)=6,"0"&amp;C11,C11),2))=18),"NW","Other")),"Other")</f>
        <v>EC</v>
      </c>
      <c r="X11" s="46" t="str">
        <f>IF(AND(E11="TRACK WARRANT AUTHORITY",G11&lt;10),"OMIT","KEEP")</f>
        <v>KEEP</v>
      </c>
      <c r="Y11" s="108" t="str">
        <f>"echo {""issue"":{""subject"":"""&amp;P11&amp;""",""project_id"":79,""tracker_id"":40,""status_id"":"&amp;redmine_status&amp;",""priority_id"":"&amp;redmine_priority&amp;",""assigned_to_id"":"&amp;redmine_assignee&amp;",""start_date"":"""&amp;TEXT(A11,"YYYY-mm-dd")&amp;""",""description"":"""&amp;Z11&amp;""",""custom_fields"":[{""id"":1,""name"":""Subdivision"",""value"":"""&amp;W11&amp;"""},{""id"":4,""name"":""Milepost"",""value"":"""&amp;K11/10000&amp;"""},{""id"":17,""name"":""Train ID"",""value"":"""&amp;C11&amp;"""},{""id"":16,""name"":""Locomotive ID"",""value"":"""&amp;U11&amp;"""},{""id"":130,""name"":""Impact"",""value"":"""&amp;AA11&amp;"""},{""id"":150,""name"":""Time of Event (Mountain Time)"",""value"":"""&amp;TEXT(A11,"hh:mm:ss")&amp;"""},{""id"":151,""name"":""Denver Issue ID"",""value"":"""&amp;"""},{""id"":178,""name"":""Operational Impact"",""value"":"""&amp;redmine_op_impact&amp;"""},{""id"":179,""name"":""Denver Segment Assigned"",""value"":"""&amp;AB11&amp;"""}]}}"&amp;" | curl -X POST -H ""Content-Type: application/json"" -H ""X-Redmine-API-Key: "&amp;redm_api_key&amp;""" "&amp;redm_url&amp;" --data @-"</f>
        <v>echo {"issue":{"subject":"Premature downgrade at EC0816RH 75-1T 1N","project_id":79,"tracker_id":40,"status_id":1,"priority_id":2,"assigned_to_id":23,"start_date":"2017-02-05","description":"Around 06:18:42 EC0816 RH 75-1T dropped from 270 to STOP &amp; PROCEED. Was this another false occupancy?","custom_fields":[{"id":1,"name":"Subdivision","value":"EC"},{"id":4,"name":"Milepost","value":"8.1738"},{"id":17,"name":"Train ID","value":"119-05"},{"id":16,"name":"Locomotive ID","value":"4016"},{"id":130,"name":"Impact","value":"Enforcement"},{"id":150,"name":"Time of Event (Mountain Time)","value":"06:18:42"},{"id":151,"name":"Denver Issue ID","value":""},{"id":178,"name":"Operational Impact","value":"Yes"},{"id":179,"name":"Denver Segment Assigned","value":"Signal"}]}} | curl -X POST -H "Content-Type: application/json" -H "X-Redmine-API-Key: d6333d4a04012a730768444271f8ca06482dae87" https://secure.xorail.net/redmine/issues.json --data @-</v>
      </c>
      <c r="Z11" s="48" t="str">
        <f>"Around "&amp;TEXT(A11,"HH:MM:SS")&amp;" EC0816 RH 75-1T dropped from 270 to STOP &amp; PROCEED. Was this another false occupancy?"</f>
        <v>Around 06:18:42 EC0816 RH 75-1T dropped from 270 to STOP &amp; PROCEED. Was this another false occupancy?</v>
      </c>
      <c r="AA11" s="48" t="s">
        <v>124</v>
      </c>
      <c r="AB11" s="48" t="s">
        <v>129</v>
      </c>
      <c r="AC11" s="127" t="str">
        <f>"grep -hSE -A400 ""Enforcement Action"" "&amp;search_path&amp;"\RTDC"&amp;U11&amp;"\*"&amp;U11&amp;"*"&amp;TEXT(A11-utc_offset/24,"YYYYMMDD")&amp;LEFT(TEXT(A11-utc_offset/24,"HH"),1)&amp;"* | grep -SE ""((Enforcement Ac)|(PRM))"" -"</f>
        <v>grep -hSE -A400 "Enforcement Action" "%USERPROFILE%\AppData\Local\Temp\OnboardLogs"\RTDC4016\*4016*201702051* | grep -SE "((Enforcement Ac)|(PRM))" -</v>
      </c>
      <c r="AD11" s="1" t="str">
        <f>"grep -hSE ""Enforcement Action"" "&amp;search_path&amp;"\RTDC"&amp;U11&amp;"\*"&amp;U11&amp;"*"&amp;TEXT(A11-utc_offset/24,"YYYYMMDD")&amp;LEFT(TEXT(A11-utc_offset/24,"HH"),1)&amp;"* &gt;&gt; "&amp;TEXT(Variables!$A$2,"YYYY-MM-DD")&amp;"-SliceDisagreementCheck.txt"</f>
        <v>grep -hSE "Enforcement Action" "%USERPROFILE%\AppData\Local\Temp\OnboardLogs"\RTDC4016\*4016*201702051* &gt;&gt; 2017-02-05-SliceDisagreementCheck.txt</v>
      </c>
      <c r="AE11" s="161" t="str">
        <f t="shared" si="1"/>
        <v>start /low /b %USERPROFILE%\Documents\GitHub\eaglep3\Utilities\DownloadLogsFromS3.py --loco 4016 --day 2017-02-05</v>
      </c>
    </row>
    <row r="12" spans="1:31" s="1" customFormat="1" x14ac:dyDescent="0.25">
      <c r="A12" s="32">
        <v>42771.428136574075</v>
      </c>
      <c r="B12" s="30" t="s">
        <v>287</v>
      </c>
      <c r="C12" s="30" t="s">
        <v>506</v>
      </c>
      <c r="D12" s="30" t="s">
        <v>49</v>
      </c>
      <c r="E12" s="30" t="s">
        <v>186</v>
      </c>
      <c r="F12" s="43">
        <v>0</v>
      </c>
      <c r="G12" s="43">
        <v>684</v>
      </c>
      <c r="H12" s="43">
        <v>80457</v>
      </c>
      <c r="I12" s="43">
        <v>83565</v>
      </c>
      <c r="J12" s="30" t="s">
        <v>187</v>
      </c>
      <c r="K12" s="43">
        <v>81738</v>
      </c>
      <c r="L12" s="143" t="s">
        <v>50</v>
      </c>
      <c r="M12" s="144">
        <f>CONVERT((I12-K12)/10000,"mi","ft")*IF(L12="Increasing Mileposts (1)",-1,1)</f>
        <v>-964.65599999999995</v>
      </c>
      <c r="N12" s="145" t="str">
        <f>VLOOKUP(C12,'Trips&amp;Operators'!$C$1:$G$99999,5,FALSE)</f>
        <v>BERLING GARY</v>
      </c>
      <c r="O12" s="157" t="s">
        <v>221</v>
      </c>
      <c r="P12" s="146" t="s">
        <v>912</v>
      </c>
      <c r="Q12" s="30"/>
      <c r="R12" s="89" t="str">
        <f>VLOOKUP(C12,'Train Runs'!$A$13:$AE$9961,31,0)</f>
        <v>aws s3 cp s3://rtdc.mdm.uploadarchive.raw/RTDC4002/ "%USERPROFILE%\AppData\Local\Temp\OnboardLogs"\RTDC4002\2017-02-05 --exclude "*" --recursive --include "*20170205*" &amp; "%USERPROFILE%\Documents\GitHub\mrs-test-scripts\Headless Mode &amp; Sideloading\WalkAndUnGZ.bat" "%USERPROFILE%\AppData\Local\Temp\OnboardLogs"\RTDC4002\2017-02-05 &amp; aws s3 cp s3://rtdc.mdm.uploadarchive.raw/RTDC4002/ "%USERPROFILE%\AppData\Local\Temp\OnboardLogs"\RTDC4002\2017-02-06 --exclude "*" --recursive --include "*20170206*" &amp; "%USERPROFILE%\Documents\GitHub\mrs-test-scripts\Headless Mode &amp; Sideloading\WalkAndUnGZ.bat" "%USERPROFILE%\AppData\Local\Temp\OnboardLogs"\RTDC4002\2017-02-06</v>
      </c>
      <c r="S12" s="92" t="str">
        <f>VLOOKUP(C12,'Train Runs'!$A$13:$AE$9961,22,0)</f>
        <v>https://d0f6bd738d7f1b3e5a7ca70fe4ff75f0.us-east-1.aws.found.io/app/kibana#/discover/Steve-Slow-Train-Analysis-(2080s-and-2083s)?_g=(refreshInterval:(display:Off,pause:!f,section:0,value:0),time:(from:'2017-02-05T08:52:15-0700',mode:absolute,to:'2017-02-05T11:37:17-0700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4002%22')),sort:!(Time.ISO8601,asc))</v>
      </c>
      <c r="T12" s="94" t="str">
        <f>astrogrep_path&amp;" /spath="&amp;search_path&amp;" /stypes=""*"&amp;U12&amp;"*"&amp;TEXT(A12-utc_offset/24,"YYYYMMDD")&amp;LEFT(TEXT(A12-utc_offset/24,"HH"),1)&amp;"*"" /stext="" "&amp;TEXT(A12-utc_offset/24,"HH")&amp;search_regexp&amp;""" /e /r /s"</f>
        <v>"C:\Program Files (x86)\AstroGrep\AstroGrep.exe" /spath="%USERPROFILE%\AppData\Local\Temp\OnboardLogs" /stypes="*4002*201702051*" /stext=" 17:.+((SYSTEM_STATE.+slice.+state.+changed )|(ment ac)|(multiple cpu faults)|(system.+state.+changed )|(\[timeout)|(PRM\|1\|D)|(kpr)|(kdp)|(\|lc)|(penalty))" /e /r /s</v>
      </c>
      <c r="U12" s="9" t="str">
        <f>MID(B12,13,4)</f>
        <v>4002</v>
      </c>
      <c r="V12" s="32">
        <f>A12-utc_offset/24</f>
        <v>42771.71980324074</v>
      </c>
      <c r="W12" s="46" t="str">
        <f>IFERROR(IF(VALUE(LEFT(IF(LEN(C12)=6,"0"&amp;C12,C12),2))&lt;=2,"EC",IF(OR(VALUE(LEFT(IF(LEN(C12)=6,"0"&amp;C12,C12),2))=8,VALUE(LEFT(IF(LEN(C12)=6,"0"&amp;C12,C12),2))=18),"NW","Other")),"Other")</f>
        <v>EC</v>
      </c>
      <c r="X12" s="46" t="str">
        <f>IF(AND(E12="TRACK WARRANT AUTHORITY",G12&lt;10),"OMIT","KEEP")</f>
        <v>KEEP</v>
      </c>
      <c r="Y12" s="108" t="str">
        <f>"echo {""issue"":{""subject"":"""&amp;P12&amp;""",""project_id"":79,""tracker_id"":40,""status_id"":"&amp;redmine_status&amp;",""priority_id"":"&amp;redmine_priority&amp;",""assigned_to_id"":"&amp;redmine_assignee&amp;",""start_date"":"""&amp;TEXT(A12,"YYYY-mm-dd")&amp;""",""description"":"""&amp;Z12&amp;""",""custom_fields"":[{""id"":1,""name"":""Subdivision"",""value"":"""&amp;W12&amp;"""},{""id"":4,""name"":""Milepost"",""value"":"""&amp;K12/10000&amp;"""},{""id"":17,""name"":""Train ID"",""value"":"""&amp;C12&amp;"""},{""id"":16,""name"":""Locomotive ID"",""value"":"""&amp;U12&amp;"""},{""id"":130,""name"":""Impact"",""value"":"""&amp;AA12&amp;"""},{""id"":150,""name"":""Time of Event (Mountain Time)"",""value"":"""&amp;TEXT(A12,"hh:mm:ss")&amp;"""},{""id"":151,""name"":""Denver Issue ID"",""value"":"""&amp;"""},{""id"":178,""name"":""Operational Impact"",""value"":"""&amp;redmine_op_impact&amp;"""},{""id"":179,""name"":""Denver Segment Assigned"",""value"":"""&amp;AB12&amp;"""}]}}"&amp;" | curl -X POST -H ""Content-Type: application/json"" -H ""X-Redmine-API-Key: "&amp;redm_api_key&amp;""" "&amp;redm_url&amp;" --data @-"</f>
        <v>echo {"issue":{"subject":"Premature downgrade at EC0816RH 75-1T 1N","project_id":79,"tracker_id":40,"status_id":1,"priority_id":2,"assigned_to_id":23,"start_date":"2017-02-05","description":"Around 10:16:31 EC0816 RH 75-1T dropped from 270 to STOP &amp; PROCEED. Was this another false occupancy?","custom_fields":[{"id":1,"name":"Subdivision","value":"EC"},{"id":4,"name":"Milepost","value":"8.1738"},{"id":17,"name":"Train ID","value":"151-05"},{"id":16,"name":"Locomotive ID","value":"4002"},{"id":130,"name":"Impact","value":"Enforcement"},{"id":150,"name":"Time of Event (Mountain Time)","value":"10:16:31"},{"id":151,"name":"Denver Issue ID","value":""},{"id":178,"name":"Operational Impact","value":"Yes"},{"id":179,"name":"Denver Segment Assigned","value":"Signal"}]}} | curl -X POST -H "Content-Type: application/json" -H "X-Redmine-API-Key: d6333d4a04012a730768444271f8ca06482dae87" https://secure.xorail.net/redmine/issues.json --data @-</v>
      </c>
      <c r="Z12" s="48" t="str">
        <f t="shared" ref="Z12:Z13" si="2">"Around "&amp;TEXT(A12,"HH:MM:SS")&amp;" EC0816 RH 75-1T dropped from 270 to STOP &amp; PROCEED. Was this another false occupancy?"</f>
        <v>Around 10:16:31 EC0816 RH 75-1T dropped from 270 to STOP &amp; PROCEED. Was this another false occupancy?</v>
      </c>
      <c r="AA12" s="48" t="s">
        <v>124</v>
      </c>
      <c r="AB12" s="48" t="s">
        <v>129</v>
      </c>
      <c r="AC12" s="127" t="str">
        <f>"grep -hSE -A400 ""Enforcement Action"" "&amp;search_path&amp;"\RTDC"&amp;U12&amp;"\*"&amp;U12&amp;"*"&amp;TEXT(A12-utc_offset/24,"YYYYMMDD")&amp;LEFT(TEXT(A12-utc_offset/24,"HH"),1)&amp;"* | grep -SE ""((Enforcement Ac)|(PRM))"" -"</f>
        <v>grep -hSE -A400 "Enforcement Action" "%USERPROFILE%\AppData\Local\Temp\OnboardLogs"\RTDC4002\*4002*201702051* | grep -SE "((Enforcement Ac)|(PRM))" -</v>
      </c>
      <c r="AD12" s="1" t="str">
        <f>"grep -hSE ""Enforcement Action"" "&amp;search_path&amp;"\RTDC"&amp;U12&amp;"\*"&amp;U12&amp;"*"&amp;TEXT(A12-utc_offset/24,"YYYYMMDD")&amp;LEFT(TEXT(A12-utc_offset/24,"HH"),1)&amp;"* &gt;&gt; "&amp;TEXT(Variables!$A$2,"YYYY-MM-DD")&amp;"-SliceDisagreementCheck.txt"</f>
        <v>grep -hSE "Enforcement Action" "%USERPROFILE%\AppData\Local\Temp\OnboardLogs"\RTDC4002\*4002*201702051* &gt;&gt; 2017-02-05-SliceDisagreementCheck.txt</v>
      </c>
      <c r="AE12" s="161" t="str">
        <f t="shared" si="1"/>
        <v>start /low /b %USERPROFILE%\Documents\GitHub\eaglep3\Utilities\DownloadLogsFromS3.py --loco 4002 --day 2017-02-05</v>
      </c>
    </row>
    <row r="13" spans="1:31" s="1" customFormat="1" x14ac:dyDescent="0.25">
      <c r="A13" s="32">
        <v>42771.751712962963</v>
      </c>
      <c r="B13" s="30" t="s">
        <v>198</v>
      </c>
      <c r="C13" s="30" t="s">
        <v>515</v>
      </c>
      <c r="D13" s="30" t="s">
        <v>49</v>
      </c>
      <c r="E13" s="30" t="s">
        <v>186</v>
      </c>
      <c r="F13" s="43">
        <v>0</v>
      </c>
      <c r="G13" s="43">
        <v>790</v>
      </c>
      <c r="H13" s="43">
        <v>79916</v>
      </c>
      <c r="I13" s="43">
        <v>83839</v>
      </c>
      <c r="J13" s="30" t="s">
        <v>187</v>
      </c>
      <c r="K13" s="43">
        <v>81738</v>
      </c>
      <c r="L13" s="143" t="s">
        <v>50</v>
      </c>
      <c r="M13" s="144">
        <f>CONVERT((I13-K13)/10000,"mi","ft")*IF(L13="Increasing Mileposts (1)",-1,1)</f>
        <v>-1109.328</v>
      </c>
      <c r="N13" s="145" t="str">
        <f>VLOOKUP(C13,'Trips&amp;Operators'!$C$1:$G$99999,5,FALSE)</f>
        <v>NEWELL JAMES</v>
      </c>
      <c r="O13" s="157" t="s">
        <v>221</v>
      </c>
      <c r="P13" s="146" t="s">
        <v>912</v>
      </c>
      <c r="Q13" s="30"/>
      <c r="R13" s="89" t="str">
        <f>VLOOKUP(C13,'Train Runs'!$A$13:$AE$9961,31,0)</f>
        <v>aws s3 cp s3://rtdc.mdm.uploadarchive.raw/RTDC4038/ "%USERPROFILE%\AppData\Local\Temp\OnboardLogs"\RTDC4038\2017-02-05 --exclude "*" --recursive --include "*20170205*" &amp; "%USERPROFILE%\Documents\GitHub\mrs-test-scripts\Headless Mode &amp; Sideloading\WalkAndUnGZ.bat" "%USERPROFILE%\AppData\Local\Temp\OnboardLogs"\RTDC4038\2017-02-05 &amp; aws s3 cp s3://rtdc.mdm.uploadarchive.raw/RTDC4038/ "%USERPROFILE%\AppData\Local\Temp\OnboardLogs"\RTDC4038\2017-02-06 --exclude "*" --recursive --include "*20170206*" &amp; "%USERPROFILE%\Documents\GitHub\mrs-test-scripts\Headless Mode &amp; Sideloading\WalkAndUnGZ.bat" "%USERPROFILE%\AppData\Local\Temp\OnboardLogs"\RTDC4038\2017-02-06</v>
      </c>
      <c r="S13" s="92" t="str">
        <f>VLOOKUP(C13,'Train Runs'!$A$13:$AE$9961,22,0)</f>
        <v>https://d0f6bd738d7f1b3e5a7ca70fe4ff75f0.us-east-1.aws.found.io/app/kibana#/discover/Steve-Slow-Train-Analysis-(2080s-and-2083s)?_g=(refreshInterval:(display:Off,pause:!f,section:0,value:0),time:(from:'2017-02-05T16:42:05-0700',mode:absolute,to:'2017-02-05T19:23:29-0700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4038%22')),sort:!(Time.ISO8601,asc))</v>
      </c>
      <c r="T13" s="94" t="str">
        <f>astrogrep_path&amp;" /spath="&amp;search_path&amp;" /stypes=""*"&amp;U13&amp;"*"&amp;TEXT(A13-utc_offset/24,"YYYYMMDD")&amp;LEFT(TEXT(A13-utc_offset/24,"HH"),1)&amp;"*"" /stext="" "&amp;TEXT(A13-utc_offset/24,"HH")&amp;search_regexp&amp;""" /e /r /s"</f>
        <v>"C:\Program Files (x86)\AstroGrep\AstroGrep.exe" /spath="%USERPROFILE%\AppData\Local\Temp\OnboardLogs" /stypes="*4038*201702060*" /stext=" 01:.+((SYSTEM_STATE.+slice.+state.+changed )|(ment ac)|(multiple cpu faults)|(system.+state.+changed )|(\[timeout)|(PRM\|1\|D)|(kpr)|(kdp)|(\|lc)|(penalty))" /e /r /s</v>
      </c>
      <c r="U13" s="9" t="str">
        <f>MID(B13,13,4)</f>
        <v>4038</v>
      </c>
      <c r="V13" s="32">
        <f>A13-utc_offset/24</f>
        <v>42772.043379629627</v>
      </c>
      <c r="W13" s="46" t="str">
        <f>IFERROR(IF(VALUE(LEFT(IF(LEN(C13)=6,"0"&amp;C13,C13),2))&lt;=2,"EC",IF(OR(VALUE(LEFT(IF(LEN(C13)=6,"0"&amp;C13,C13),2))=8,VALUE(LEFT(IF(LEN(C13)=6,"0"&amp;C13,C13),2))=18),"NW","Other")),"Other")</f>
        <v>EC</v>
      </c>
      <c r="X13" s="46" t="str">
        <f>IF(AND(E13="TRACK WARRANT AUTHORITY",G13&lt;10),"OMIT","KEEP")</f>
        <v>KEEP</v>
      </c>
      <c r="Y13" s="108" t="str">
        <f>"echo {""issue"":{""subject"":"""&amp;P13&amp;""",""project_id"":79,""tracker_id"":40,""status_id"":"&amp;redmine_status&amp;",""priority_id"":"&amp;redmine_priority&amp;",""assigned_to_id"":"&amp;redmine_assignee&amp;",""start_date"":"""&amp;TEXT(A13,"YYYY-mm-dd")&amp;""",""description"":"""&amp;Z13&amp;""",""custom_fields"":[{""id"":1,""name"":""Subdivision"",""value"":"""&amp;W13&amp;"""},{""id"":4,""name"":""Milepost"",""value"":"""&amp;K13/10000&amp;"""},{""id"":17,""name"":""Train ID"",""value"":"""&amp;C13&amp;"""},{""id"":16,""name"":""Locomotive ID"",""value"":"""&amp;U13&amp;"""},{""id"":130,""name"":""Impact"",""value"":"""&amp;AA13&amp;"""},{""id"":150,""name"":""Time of Event (Mountain Time)"",""value"":"""&amp;TEXT(A13,"hh:mm:ss")&amp;"""},{""id"":151,""name"":""Denver Issue ID"",""value"":"""&amp;"""},{""id"":178,""name"":""Operational Impact"",""value"":"""&amp;redmine_op_impact&amp;"""},{""id"":179,""name"":""Denver Segment Assigned"",""value"":"""&amp;AB13&amp;"""}]}}"&amp;" | curl -X POST -H ""Content-Type: application/json"" -H ""X-Redmine-API-Key: "&amp;redm_api_key&amp;""" "&amp;redm_url&amp;" --data @-"</f>
        <v>echo {"issue":{"subject":"Premature downgrade at EC0816RH 75-1T 1N","project_id":79,"tracker_id":40,"status_id":1,"priority_id":2,"assigned_to_id":23,"start_date":"2017-02-05","description":"Around 18:02:28 EC0816 RH 75-1T dropped from 270 to STOP &amp; PROCEED. Was this another false occupancy?","custom_fields":[{"id":1,"name":"Subdivision","value":"EC"},{"id":4,"name":"Milepost","value":"8.1738"},{"id":17,"name":"Train ID","value":"213-05"},{"id":16,"name":"Locomotive ID","value":"4038"},{"id":130,"name":"Impact","value":"Enforcement"},{"id":150,"name":"Time of Event (Mountain Time)","value":"18:02:28"},{"id":151,"name":"Denver Issue ID","value":""},{"id":178,"name":"Operational Impact","value":"Yes"},{"id":179,"name":"Denver Segment Assigned","value":"Signal"}]}} | curl -X POST -H "Content-Type: application/json" -H "X-Redmine-API-Key: d6333d4a04012a730768444271f8ca06482dae87" https://secure.xorail.net/redmine/issues.json --data @-</v>
      </c>
      <c r="Z13" s="48" t="str">
        <f t="shared" si="2"/>
        <v>Around 18:02:28 EC0816 RH 75-1T dropped from 270 to STOP &amp; PROCEED. Was this another false occupancy?</v>
      </c>
      <c r="AA13" s="48" t="s">
        <v>124</v>
      </c>
      <c r="AB13" s="48" t="s">
        <v>129</v>
      </c>
      <c r="AC13" s="127" t="str">
        <f>"grep -hSE -A400 ""Enforcement Action"" "&amp;search_path&amp;"\RTDC"&amp;U13&amp;"\*"&amp;U13&amp;"*"&amp;TEXT(A13-utc_offset/24,"YYYYMMDD")&amp;LEFT(TEXT(A13-utc_offset/24,"HH"),1)&amp;"* | grep -SE ""((Enforcement Ac)|(PRM))"" -"</f>
        <v>grep -hSE -A400 "Enforcement Action" "%USERPROFILE%\AppData\Local\Temp\OnboardLogs"\RTDC4038\*4038*201702060* | grep -SE "((Enforcement Ac)|(PRM))" -</v>
      </c>
      <c r="AD13" s="1" t="str">
        <f>"grep -hSE ""Enforcement Action"" "&amp;search_path&amp;"\RTDC"&amp;U13&amp;"\*"&amp;U13&amp;"*"&amp;TEXT(A13-utc_offset/24,"YYYYMMDD")&amp;LEFT(TEXT(A13-utc_offset/24,"HH"),1)&amp;"* &gt;&gt; "&amp;TEXT(Variables!$A$2,"YYYY-MM-DD")&amp;"-SliceDisagreementCheck.txt"</f>
        <v>grep -hSE "Enforcement Action" "%USERPROFILE%\AppData\Local\Temp\OnboardLogs"\RTDC4038\*4038*201702060* &gt;&gt; 2017-02-05-SliceDisagreementCheck.txt</v>
      </c>
      <c r="AE13" s="161" t="str">
        <f t="shared" si="1"/>
        <v>start /low /b %USERPROFILE%\Documents\GitHub\eaglep3\Utilities\DownloadLogsFromS3.py --loco 4038 --day 2017-02-06</v>
      </c>
    </row>
    <row r="14" spans="1:31" s="1" customFormat="1" x14ac:dyDescent="0.25">
      <c r="A14" s="32">
        <v>42771.28665509259</v>
      </c>
      <c r="B14" s="30" t="s">
        <v>322</v>
      </c>
      <c r="C14" s="30" t="s">
        <v>501</v>
      </c>
      <c r="D14" s="30" t="s">
        <v>49</v>
      </c>
      <c r="E14" s="30" t="s">
        <v>188</v>
      </c>
      <c r="F14" s="43">
        <v>0</v>
      </c>
      <c r="G14" s="43">
        <v>45</v>
      </c>
      <c r="H14" s="43">
        <v>169</v>
      </c>
      <c r="I14" s="43">
        <v>125</v>
      </c>
      <c r="J14" s="30" t="s">
        <v>189</v>
      </c>
      <c r="K14" s="43">
        <v>1</v>
      </c>
      <c r="L14" s="143" t="s">
        <v>51</v>
      </c>
      <c r="M14" s="144">
        <f>CONVERT((I14-K14)/10000,"mi","ft")*IF(L14="Increasing Mileposts (1)",-1,1)</f>
        <v>65.471999999999994</v>
      </c>
      <c r="N14" s="145" t="str">
        <f>VLOOKUP(C14,'Trips&amp;Operators'!$C$1:$G$99999,5,FALSE)</f>
        <v>OUN ZACK</v>
      </c>
      <c r="O14" s="157" t="s">
        <v>185</v>
      </c>
      <c r="P14" s="146"/>
      <c r="Q14" s="30"/>
      <c r="R14" s="89" t="str">
        <f>VLOOKUP(C14,'Train Runs'!$A$13:$AE$9961,31,0)</f>
        <v>aws s3 cp s3://rtdc.mdm.uploadarchive.raw/RTDC4010/ "%USERPROFILE%\AppData\Local\Temp\OnboardLogs"\RTDC4010\2017-02-05 --exclude "*" --recursive --include "*20170205*" &amp; "%USERPROFILE%\Documents\GitHub\mrs-test-scripts\Headless Mode &amp; Sideloading\WalkAndUnGZ.bat" "%USERPROFILE%\AppData\Local\Temp\OnboardLogs"\RTDC4010\2017-02-05 &amp; aws s3 cp s3://rtdc.mdm.uploadarchive.raw/RTDC4010/ "%USERPROFILE%\AppData\Local\Temp\OnboardLogs"\RTDC4010\2017-02-06 --exclude "*" --recursive --include "*20170206*" &amp; "%USERPROFILE%\Documents\GitHub\mrs-test-scripts\Headless Mode &amp; Sideloading\WalkAndUnGZ.bat" "%USERPROFILE%\AppData\Local\Temp\OnboardLogs"\RTDC4010\2017-02-06</v>
      </c>
      <c r="S14" s="92" t="str">
        <f>VLOOKUP(C14,'Train Runs'!$A$13:$AE$9961,22,0)</f>
        <v>https://d0f6bd738d7f1b3e5a7ca70fe4ff75f0.us-east-1.aws.found.io/app/kibana#/discover/Steve-Slow-Train-Analysis-(2080s-and-2083s)?_g=(refreshInterval:(display:Off,pause:!f,section:0,value:0),time:(from:'2017-02-05T05:06:39-0700',mode:absolute,to:'2017-02-05T07:52:47-0700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4010%22')),sort:!(Time.ISO8601,asc))</v>
      </c>
      <c r="T14" s="94" t="str">
        <f>astrogrep_path&amp;" /spath="&amp;search_path&amp;" /stypes=""*"&amp;U14&amp;"*"&amp;TEXT(A14-utc_offset/24,"YYYYMMDD")&amp;LEFT(TEXT(A14-utc_offset/24,"HH"),1)&amp;"*"" /stext="" "&amp;TEXT(A14-utc_offset/24,"HH")&amp;search_regexp&amp;""" /e /r /s"</f>
        <v>"C:\Program Files (x86)\AstroGrep\AstroGrep.exe" /spath="%USERPROFILE%\AppData\Local\Temp\OnboardLogs" /stypes="*4010*201702051*" /stext=" 13:.+((SYSTEM_STATE.+slice.+state.+changed )|(ment ac)|(multiple cpu faults)|(system.+state.+changed )|(\[timeout)|(PRM\|1\|D)|(kpr)|(kdp)|(\|lc)|(penalty))" /e /r /s</v>
      </c>
      <c r="U14" s="9" t="str">
        <f>MID(B14,13,4)</f>
        <v>4010</v>
      </c>
      <c r="V14" s="32">
        <f>A14-utc_offset/24</f>
        <v>42771.578321759254</v>
      </c>
      <c r="W14" s="46" t="str">
        <f>IFERROR(IF(VALUE(LEFT(IF(LEN(C14)=6,"0"&amp;C14,C14),2))&lt;=2,"EC",IF(OR(VALUE(LEFT(IF(LEN(C14)=6,"0"&amp;C14,C14),2))=8,VALUE(LEFT(IF(LEN(C14)=6,"0"&amp;C14,C14),2))=18),"NW","Other")),"Other")</f>
        <v>EC</v>
      </c>
      <c r="X14" s="46" t="str">
        <f>IF(AND(E14="TRACK WARRANT AUTHORITY",G14&lt;10),"OMIT","KEEP")</f>
        <v>KEEP</v>
      </c>
      <c r="Y14" s="108" t="str">
        <f>"echo {""issue"":{""subject"":"""&amp;P14&amp;""",""project_id"":79,""tracker_id"":40,""status_id"":"&amp;redmine_status&amp;",""priority_id"":"&amp;redmine_priority&amp;",""assigned_to_id"":"&amp;redmine_assignee&amp;",""start_date"":"""&amp;TEXT(A14,"YYYY-mm-dd")&amp;""",""description"":"""&amp;Z14&amp;""",""custom_fields"":[{""id"":1,""name"":""Subdivision"",""value"":"""&amp;W14&amp;"""},{""id"":4,""name"":""Milepost"",""value"":"""&amp;K14/10000&amp;"""},{""id"":17,""name"":""Train ID"",""value"":"""&amp;C14&amp;"""},{""id"":16,""name"":""Locomotive ID"",""value"":"""&amp;U14&amp;"""},{""id"":130,""name"":""Impact"",""value"":"""&amp;AA14&amp;"""},{""id"":150,""name"":""Time of Event (Mountain Time)"",""value"":"""&amp;TEXT(A14,"hh:mm:ss")&amp;"""},{""id"":151,""name"":""Denver Issue ID"",""value"":"""&amp;"""},{""id"":178,""name"":""Operational Impact"",""value"":"""&amp;redmine_op_impact&amp;"""},{""id"":179,""name"":""Denver Segment Assigned"",""value"":"""&amp;AB14&amp;"""}]}}"&amp;" | curl -X POST -H ""Content-Type: application/json"" -H ""X-Redmine-API-Key: "&amp;redm_api_key&amp;""" "&amp;redm_url&amp;" --data @-"</f>
        <v>echo {"issue":{"subject":"","project_id":79,"tracker_id":40,"status_id":1,"priority_id":2,"assigned_to_id":23,"start_date":"2017-02-05","description":"","custom_fields":[{"id":1,"name":"Subdivision","value":"EC"},{"id":4,"name":"Milepost","value":"0.0001"},{"id":17,"name":"Train ID","value":"114-05"},{"id":16,"name":"Locomotive ID","value":"4010"},{"id":130,"name":"Impact","value":""},{"id":150,"name":"Time of Event (Mountain Time)","value":"06:52:47"},{"id":151,"name":"Denver Issue ID","value":""},{"id":178,"name":"Operational Impact","value":"Yes"},{"id":179,"name":"Denver Segment Assigned","value":""}]}} | curl -X POST -H "Content-Type: application/json" -H "X-Redmine-API-Key: d6333d4a04012a730768444271f8ca06482dae87" https://secure.xorail.net/redmine/issues.json --data @-</v>
      </c>
      <c r="Z14" s="48"/>
      <c r="AA14" s="48"/>
      <c r="AB14" s="48"/>
      <c r="AC14" s="127" t="str">
        <f>"grep -hSE -A400 ""Enforcement Action"" "&amp;search_path&amp;"\RTDC"&amp;U14&amp;"\*"&amp;U14&amp;"*"&amp;TEXT(A14-utc_offset/24,"YYYYMMDD")&amp;LEFT(TEXT(A14-utc_offset/24,"HH"),1)&amp;"* | grep -SE ""((Enforcement Ac)|(PRM))"" -"</f>
        <v>grep -hSE -A400 "Enforcement Action" "%USERPROFILE%\AppData\Local\Temp\OnboardLogs"\RTDC4010\*4010*201702051* | grep -SE "((Enforcement Ac)|(PRM))" -</v>
      </c>
      <c r="AD14" s="1" t="str">
        <f>"grep -hSE ""Enforcement Action"" "&amp;search_path&amp;"\RTDC"&amp;U14&amp;"\*"&amp;U14&amp;"*"&amp;TEXT(A14-utc_offset/24,"YYYYMMDD")&amp;LEFT(TEXT(A14-utc_offset/24,"HH"),1)&amp;"* &gt;&gt; "&amp;TEXT(Variables!$A$2,"YYYY-MM-DD")&amp;"-SliceDisagreementCheck.txt"</f>
        <v>grep -hSE "Enforcement Action" "%USERPROFILE%\AppData\Local\Temp\OnboardLogs"\RTDC4010\*4010*201702051* &gt;&gt; 2017-02-05-SliceDisagreementCheck.txt</v>
      </c>
      <c r="AE14" s="161" t="str">
        <f t="shared" si="1"/>
        <v>start /low /b %USERPROFILE%\Documents\GitHub\eaglep3\Utilities\DownloadLogsFromS3.py --loco 4010 --day 2017-02-05</v>
      </c>
    </row>
    <row r="15" spans="1:31" s="1" customFormat="1" x14ac:dyDescent="0.25">
      <c r="A15" s="32">
        <v>42771.357361111113</v>
      </c>
      <c r="B15" s="30" t="s">
        <v>322</v>
      </c>
      <c r="C15" s="30" t="s">
        <v>504</v>
      </c>
      <c r="D15" s="30" t="s">
        <v>49</v>
      </c>
      <c r="E15" s="30" t="s">
        <v>188</v>
      </c>
      <c r="F15" s="43">
        <v>0</v>
      </c>
      <c r="G15" s="43">
        <v>42</v>
      </c>
      <c r="H15" s="43">
        <v>143</v>
      </c>
      <c r="I15" s="43">
        <v>121</v>
      </c>
      <c r="J15" s="30" t="s">
        <v>189</v>
      </c>
      <c r="K15" s="43">
        <v>1</v>
      </c>
      <c r="L15" s="143" t="s">
        <v>51</v>
      </c>
      <c r="M15" s="144">
        <f>CONVERT((I15-K15)/10000,"mi","ft")*IF(L15="Increasing Mileposts (1)",-1,1)</f>
        <v>63.36</v>
      </c>
      <c r="N15" s="145" t="str">
        <f>VLOOKUP(C15,'Trips&amp;Operators'!$C$1:$G$99999,5,FALSE)</f>
        <v>OUN ZACK</v>
      </c>
      <c r="O15" s="157" t="s">
        <v>185</v>
      </c>
      <c r="P15" s="146"/>
      <c r="Q15" s="30"/>
      <c r="R15" s="89" t="str">
        <f>VLOOKUP(C15,'Train Runs'!$A$13:$AE$9961,31,0)</f>
        <v>aws s3 cp s3://rtdc.mdm.uploadarchive.raw/RTDC4010/ "%USERPROFILE%\AppData\Local\Temp\OnboardLogs"\RTDC4010\2017-02-05 --exclude "*" --recursive --include "*20170205*" &amp; "%USERPROFILE%\Documents\GitHub\mrs-test-scripts\Headless Mode &amp; Sideloading\WalkAndUnGZ.bat" "%USERPROFILE%\AppData\Local\Temp\OnboardLogs"\RTDC4010\2017-02-05 &amp; aws s3 cp s3://rtdc.mdm.uploadarchive.raw/RTDC4010/ "%USERPROFILE%\AppData\Local\Temp\OnboardLogs"\RTDC4010\2017-02-06 --exclude "*" --recursive --include "*20170206*" &amp; "%USERPROFILE%\Documents\GitHub\mrs-test-scripts\Headless Mode &amp; Sideloading\WalkAndUnGZ.bat" "%USERPROFILE%\AppData\Local\Temp\OnboardLogs"\RTDC4010\2017-02-06</v>
      </c>
      <c r="S15" s="92" t="str">
        <f>VLOOKUP(C15,'Train Runs'!$A$13:$AE$9961,22,0)</f>
        <v>https://d0f6bd738d7f1b3e5a7ca70fe4ff75f0.us-east-1.aws.found.io/app/kibana#/discover/Steve-Slow-Train-Analysis-(2080s-and-2083s)?_g=(refreshInterval:(display:Off,pause:!f,section:0,value:0),time:(from:'2017-02-05T06:50:21-0700',mode:absolute,to:'2017-02-05T09:34:36-0700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4010%22')),sort:!(Time.ISO8601,asc))</v>
      </c>
      <c r="T15" s="94" t="str">
        <f>astrogrep_path&amp;" /spath="&amp;search_path&amp;" /stypes=""*"&amp;U15&amp;"*"&amp;TEXT(A15-utc_offset/24,"YYYYMMDD")&amp;LEFT(TEXT(A15-utc_offset/24,"HH"),1)&amp;"*"" /stext="" "&amp;TEXT(A15-utc_offset/24,"HH")&amp;search_regexp&amp;""" /e /r /s"</f>
        <v>"C:\Program Files (x86)\AstroGrep\AstroGrep.exe" /spath="%USERPROFILE%\AppData\Local\Temp\OnboardLogs" /stypes="*4010*201702051*" /stext=" 15:.+((SYSTEM_STATE.+slice.+state.+changed )|(ment ac)|(multiple cpu faults)|(system.+state.+changed )|(\[timeout)|(PRM\|1\|D)|(kpr)|(kdp)|(\|lc)|(penalty))" /e /r /s</v>
      </c>
      <c r="U15" s="9" t="str">
        <f>MID(B15,13,4)</f>
        <v>4010</v>
      </c>
      <c r="V15" s="32">
        <f>A15-utc_offset/24</f>
        <v>42771.649027777778</v>
      </c>
      <c r="W15" s="46" t="str">
        <f>IFERROR(IF(VALUE(LEFT(IF(LEN(C15)=6,"0"&amp;C15,C15),2))&lt;=2,"EC",IF(OR(VALUE(LEFT(IF(LEN(C15)=6,"0"&amp;C15,C15),2))=8,VALUE(LEFT(IF(LEN(C15)=6,"0"&amp;C15,C15),2))=18),"NW","Other")),"Other")</f>
        <v>EC</v>
      </c>
      <c r="X15" s="46" t="str">
        <f>IF(AND(E15="TRACK WARRANT AUTHORITY",G15&lt;10),"OMIT","KEEP")</f>
        <v>KEEP</v>
      </c>
      <c r="Y15" s="108" t="str">
        <f>"echo {""issue"":{""subject"":"""&amp;P15&amp;""",""project_id"":79,""tracker_id"":40,""status_id"":"&amp;redmine_status&amp;",""priority_id"":"&amp;redmine_priority&amp;",""assigned_to_id"":"&amp;redmine_assignee&amp;",""start_date"":"""&amp;TEXT(A15,"YYYY-mm-dd")&amp;""",""description"":"""&amp;Z15&amp;""",""custom_fields"":[{""id"":1,""name"":""Subdivision"",""value"":"""&amp;W15&amp;"""},{""id"":4,""name"":""Milepost"",""value"":"""&amp;K15/10000&amp;"""},{""id"":17,""name"":""Train ID"",""value"":"""&amp;C15&amp;"""},{""id"":16,""name"":""Locomotive ID"",""value"":"""&amp;U15&amp;"""},{""id"":130,""name"":""Impact"",""value"":"""&amp;AA15&amp;"""},{""id"":150,""name"":""Time of Event (Mountain Time)"",""value"":"""&amp;TEXT(A15,"hh:mm:ss")&amp;"""},{""id"":151,""name"":""Denver Issue ID"",""value"":"""&amp;"""},{""id"":178,""name"":""Operational Impact"",""value"":"""&amp;redmine_op_impact&amp;"""},{""id"":179,""name"":""Denver Segment Assigned"",""value"":"""&amp;AB15&amp;"""}]}}"&amp;" | curl -X POST -H ""Content-Type: application/json"" -H ""X-Redmine-API-Key: "&amp;redm_api_key&amp;""" "&amp;redm_url&amp;" --data @-"</f>
        <v>echo {"issue":{"subject":"","project_id":79,"tracker_id":40,"status_id":1,"priority_id":2,"assigned_to_id":23,"start_date":"2017-02-05","description":"","custom_fields":[{"id":1,"name":"Subdivision","value":"EC"},{"id":4,"name":"Milepost","value":"0.0001"},{"id":17,"name":"Train ID","value":"128-05"},{"id":16,"name":"Locomotive ID","value":"4010"},{"id":130,"name":"Impact","value":""},{"id":150,"name":"Time of Event (Mountain Time)","value":"08:34:36"},{"id":151,"name":"Denver Issue ID","value":""},{"id":178,"name":"Operational Impact","value":"Yes"},{"id":179,"name":"Denver Segment Assigned","value":""}]}} | curl -X POST -H "Content-Type: application/json" -H "X-Redmine-API-Key: d6333d4a04012a730768444271f8ca06482dae87" https://secure.xorail.net/redmine/issues.json --data @-</v>
      </c>
      <c r="Z15" s="48"/>
      <c r="AA15" s="48"/>
      <c r="AB15" s="48"/>
      <c r="AC15" s="127" t="str">
        <f>"grep -hSE -A400 ""Enforcement Action"" "&amp;search_path&amp;"\RTDC"&amp;U15&amp;"\*"&amp;U15&amp;"*"&amp;TEXT(A15-utc_offset/24,"YYYYMMDD")&amp;LEFT(TEXT(A15-utc_offset/24,"HH"),1)&amp;"* | grep -SE ""((Enforcement Ac)|(PRM))"" -"</f>
        <v>grep -hSE -A400 "Enforcement Action" "%USERPROFILE%\AppData\Local\Temp\OnboardLogs"\RTDC4010\*4010*201702051* | grep -SE "((Enforcement Ac)|(PRM))" -</v>
      </c>
      <c r="AD15" s="1" t="str">
        <f>"grep -hSE ""Enforcement Action"" "&amp;search_path&amp;"\RTDC"&amp;U15&amp;"\*"&amp;U15&amp;"*"&amp;TEXT(A15-utc_offset/24,"YYYYMMDD")&amp;LEFT(TEXT(A15-utc_offset/24,"HH"),1)&amp;"* &gt;&gt; "&amp;TEXT(Variables!$A$2,"YYYY-MM-DD")&amp;"-SliceDisagreementCheck.txt"</f>
        <v>grep -hSE "Enforcement Action" "%USERPROFILE%\AppData\Local\Temp\OnboardLogs"\RTDC4010\*4010*201702051* &gt;&gt; 2017-02-05-SliceDisagreementCheck.txt</v>
      </c>
      <c r="AE15" s="161" t="str">
        <f t="shared" si="1"/>
        <v>start /low /b %USERPROFILE%\Documents\GitHub\eaglep3\Utilities\DownloadLogsFromS3.py --loco 4010 --day 2017-02-05</v>
      </c>
    </row>
    <row r="16" spans="1:31" s="1" customFormat="1" x14ac:dyDescent="0.25">
      <c r="A16" s="32">
        <v>42771.755370370367</v>
      </c>
      <c r="B16" s="30" t="s">
        <v>238</v>
      </c>
      <c r="C16" s="30" t="s">
        <v>516</v>
      </c>
      <c r="D16" s="30" t="s">
        <v>49</v>
      </c>
      <c r="E16" s="30" t="s">
        <v>188</v>
      </c>
      <c r="F16" s="43">
        <v>0</v>
      </c>
      <c r="G16" s="43">
        <v>76</v>
      </c>
      <c r="H16" s="43">
        <v>298</v>
      </c>
      <c r="I16" s="43">
        <v>216</v>
      </c>
      <c r="J16" s="30" t="s">
        <v>189</v>
      </c>
      <c r="K16" s="43">
        <v>1</v>
      </c>
      <c r="L16" s="143" t="s">
        <v>51</v>
      </c>
      <c r="M16" s="144">
        <f>CONVERT((I16-K16)/10000,"mi","ft")*IF(L16="Increasing Mileposts (1)",-1,1)</f>
        <v>113.52</v>
      </c>
      <c r="N16" s="145" t="str">
        <f>VLOOKUP(C16,'Trips&amp;Operators'!$C$1:$G$99999,5,FALSE)</f>
        <v>DAVIS MICHAEL</v>
      </c>
      <c r="O16" s="157" t="s">
        <v>185</v>
      </c>
      <c r="P16" s="146"/>
      <c r="Q16" s="30"/>
      <c r="R16" s="89" t="str">
        <f>VLOOKUP(C16,'Train Runs'!$A$13:$AE$9961,31,0)</f>
        <v>aws s3 cp s3://rtdc.mdm.uploadarchive.raw/RTDC4015/ "%USERPROFILE%\AppData\Local\Temp\OnboardLogs"\RTDC4015\2017-02-05 --exclude "*" --recursive --include "*20170205*" &amp; "%USERPROFILE%\Documents\GitHub\mrs-test-scripts\Headless Mode &amp; Sideloading\WalkAndUnGZ.bat" "%USERPROFILE%\AppData\Local\Temp\OnboardLogs"\RTDC4015\2017-02-05 &amp; aws s3 cp s3://rtdc.mdm.uploadarchive.raw/RTDC4015/ "%USERPROFILE%\AppData\Local\Temp\OnboardLogs"\RTDC4015\2017-02-06 --exclude "*" --recursive --include "*20170206*" &amp; "%USERPROFILE%\Documents\GitHub\mrs-test-scripts\Headless Mode &amp; Sideloading\WalkAndUnGZ.bat" "%USERPROFILE%\AppData\Local\Temp\OnboardLogs"\RTDC4015\2017-02-06</v>
      </c>
      <c r="S16" s="92" t="str">
        <f>VLOOKUP(C16,'Train Runs'!$A$13:$AE$9961,22,0)</f>
        <v>https://d0f6bd738d7f1b3e5a7ca70fe4ff75f0.us-east-1.aws.found.io/app/kibana#/discover/Steve-Slow-Train-Analysis-(2080s-and-2083s)?_g=(refreshInterval:(display:Off,pause:!f,section:0,value:0),time:(from:'2017-02-05T16:22:42-0700',mode:absolute,to:'2017-02-05T19:07:45-0700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4015%22')),sort:!(Time.ISO8601,asc))</v>
      </c>
      <c r="T16" s="94" t="str">
        <f>astrogrep_path&amp;" /spath="&amp;search_path&amp;" /stypes=""*"&amp;U16&amp;"*"&amp;TEXT(A16-utc_offset/24,"YYYYMMDD")&amp;LEFT(TEXT(A16-utc_offset/24,"HH"),1)&amp;"*"" /stext="" "&amp;TEXT(A16-utc_offset/24,"HH")&amp;search_regexp&amp;""" /e /r /s"</f>
        <v>"C:\Program Files (x86)\AstroGrep\AstroGrep.exe" /spath="%USERPROFILE%\AppData\Local\Temp\OnboardLogs" /stypes="*4015*201702060*" /stext=" 01:.+((SYSTEM_STATE.+slice.+state.+changed )|(ment ac)|(multiple cpu faults)|(system.+state.+changed )|(\[timeout)|(PRM\|1\|D)|(kpr)|(kdp)|(\|lc)|(penalty))" /e /r /s</v>
      </c>
      <c r="U16" s="9" t="str">
        <f>MID(B16,13,4)</f>
        <v>4015</v>
      </c>
      <c r="V16" s="32">
        <f>A16-utc_offset/24</f>
        <v>42772.047037037031</v>
      </c>
      <c r="W16" s="46" t="str">
        <f>IFERROR(IF(VALUE(LEFT(IF(LEN(C16)=6,"0"&amp;C16,C16),2))&lt;=2,"EC",IF(OR(VALUE(LEFT(IF(LEN(C16)=6,"0"&amp;C16,C16),2))=8,VALUE(LEFT(IF(LEN(C16)=6,"0"&amp;C16,C16),2))=18),"NW","Other")),"Other")</f>
        <v>EC</v>
      </c>
      <c r="X16" s="46" t="str">
        <f>IF(AND(E16="TRACK WARRANT AUTHORITY",G16&lt;10),"OMIT","KEEP")</f>
        <v>KEEP</v>
      </c>
      <c r="Y16" s="108" t="str">
        <f>"echo {""issue"":{""subject"":"""&amp;P16&amp;""",""project_id"":79,""tracker_id"":40,""status_id"":"&amp;redmine_status&amp;",""priority_id"":"&amp;redmine_priority&amp;",""assigned_to_id"":"&amp;redmine_assignee&amp;",""start_date"":"""&amp;TEXT(A16,"YYYY-mm-dd")&amp;""",""description"":"""&amp;Z16&amp;""",""custom_fields"":[{""id"":1,""name"":""Subdivision"",""value"":"""&amp;W16&amp;"""},{""id"":4,""name"":""Milepost"",""value"":"""&amp;K16/10000&amp;"""},{""id"":17,""name"":""Train ID"",""value"":"""&amp;C16&amp;"""},{""id"":16,""name"":""Locomotive ID"",""value"":"""&amp;U16&amp;"""},{""id"":130,""name"":""Impact"",""value"":"""&amp;AA16&amp;"""},{""id"":150,""name"":""Time of Event (Mountain Time)"",""value"":"""&amp;TEXT(A16,"hh:mm:ss")&amp;"""},{""id"":151,""name"":""Denver Issue ID"",""value"":"""&amp;"""},{""id"":178,""name"":""Operational Impact"",""value"":"""&amp;redmine_op_impact&amp;"""},{""id"":179,""name"":""Denver Segment Assigned"",""value"":"""&amp;AB16&amp;"""}]}}"&amp;" | curl -X POST -H ""Content-Type: application/json"" -H ""X-Redmine-API-Key: "&amp;redm_api_key&amp;""" "&amp;redm_url&amp;" --data @-"</f>
        <v>echo {"issue":{"subject":"","project_id":79,"tracker_id":40,"status_id":1,"priority_id":2,"assigned_to_id":23,"start_date":"2017-02-05","description":"","custom_fields":[{"id":1,"name":"Subdivision","value":"EC"},{"id":4,"name":"Milepost","value":"0.0001"},{"id":17,"name":"Train ID","value":"204-05"},{"id":16,"name":"Locomotive ID","value":"4015"},{"id":130,"name":"Impact","value":""},{"id":150,"name":"Time of Event (Mountain Time)","value":"18:07:44"},{"id":151,"name":"Denver Issue ID","value":""},{"id":178,"name":"Operational Impact","value":"Yes"},{"id":179,"name":"Denver Segment Assigned","value":""}]}} | curl -X POST -H "Content-Type: application/json" -H "X-Redmine-API-Key: d6333d4a04012a730768444271f8ca06482dae87" https://secure.xorail.net/redmine/issues.json --data @-</v>
      </c>
      <c r="Z16" s="48"/>
      <c r="AA16" s="48"/>
      <c r="AB16" s="48"/>
      <c r="AC16" s="127" t="str">
        <f>"grep -hSE -A400 ""Enforcement Action"" "&amp;search_path&amp;"\RTDC"&amp;U16&amp;"\*"&amp;U16&amp;"*"&amp;TEXT(A16-utc_offset/24,"YYYYMMDD")&amp;LEFT(TEXT(A16-utc_offset/24,"HH"),1)&amp;"* | grep -SE ""((Enforcement Ac)|(PRM))"" -"</f>
        <v>grep -hSE -A400 "Enforcement Action" "%USERPROFILE%\AppData\Local\Temp\OnboardLogs"\RTDC4015\*4015*201702060* | grep -SE "((Enforcement Ac)|(PRM))" -</v>
      </c>
      <c r="AD16" s="1" t="str">
        <f>"grep -hSE ""Enforcement Action"" "&amp;search_path&amp;"\RTDC"&amp;U16&amp;"\*"&amp;U16&amp;"*"&amp;TEXT(A16-utc_offset/24,"YYYYMMDD")&amp;LEFT(TEXT(A16-utc_offset/24,"HH"),1)&amp;"* &gt;&gt; "&amp;TEXT(Variables!$A$2,"YYYY-MM-DD")&amp;"-SliceDisagreementCheck.txt"</f>
        <v>grep -hSE "Enforcement Action" "%USERPROFILE%\AppData\Local\Temp\OnboardLogs"\RTDC4015\*4015*201702060* &gt;&gt; 2017-02-05-SliceDisagreementCheck.txt</v>
      </c>
      <c r="AE16" s="161" t="str">
        <f t="shared" si="1"/>
        <v>start /low /b %USERPROFILE%\Documents\GitHub\eaglep3\Utilities\DownloadLogsFromS3.py --loco 4015 --day 2017-02-06</v>
      </c>
    </row>
    <row r="17" spans="1:32" x14ac:dyDescent="0.25">
      <c r="A17" s="32">
        <v>42771.984479166669</v>
      </c>
      <c r="B17" s="30" t="s">
        <v>238</v>
      </c>
      <c r="C17" s="30" t="s">
        <v>520</v>
      </c>
      <c r="D17" s="30" t="s">
        <v>49</v>
      </c>
      <c r="E17" s="30" t="s">
        <v>188</v>
      </c>
      <c r="F17" s="43">
        <v>0</v>
      </c>
      <c r="G17" s="43">
        <v>40</v>
      </c>
      <c r="H17" s="43">
        <v>145</v>
      </c>
      <c r="I17" s="43">
        <v>119</v>
      </c>
      <c r="J17" s="30" t="s">
        <v>189</v>
      </c>
      <c r="K17" s="43">
        <v>1</v>
      </c>
      <c r="L17" s="143" t="s">
        <v>51</v>
      </c>
      <c r="M17" s="144">
        <f>CONVERT((I17-K17)/10000,"mi","ft")*IF(L17="Increasing Mileposts (1)",-1,1)</f>
        <v>62.304000000000002</v>
      </c>
      <c r="N17" s="145" t="str">
        <f>VLOOKUP(C17,'Trips&amp;Operators'!$C$1:$G$99999,5,FALSE)</f>
        <v>SMITH MICHAEL</v>
      </c>
      <c r="O17" s="157" t="s">
        <v>185</v>
      </c>
      <c r="P17" s="146"/>
      <c r="Q17" s="30"/>
      <c r="R17" s="89" t="str">
        <f>VLOOKUP(C17,'Train Runs'!$A$13:$AE$9961,31,0)</f>
        <v>aws s3 cp s3://rtdc.mdm.uploadarchive.raw/RTDC4015/ "%USERPROFILE%\AppData\Local\Temp\OnboardLogs"\RTDC4015\2017-02-05 --exclude "*" --recursive --include "*20170205*" &amp; "%USERPROFILE%\Documents\GitHub\mrs-test-scripts\Headless Mode &amp; Sideloading\WalkAndUnGZ.bat" "%USERPROFILE%\AppData\Local\Temp\OnboardLogs"\RTDC4015\2017-02-05 &amp; aws s3 cp s3://rtdc.mdm.uploadarchive.raw/RTDC4015/ "%USERPROFILE%\AppData\Local\Temp\OnboardLogs"\RTDC4015\2017-02-06 --exclude "*" --recursive --include "*20170206*" &amp; "%USERPROFILE%\Documents\GitHub\mrs-test-scripts\Headless Mode &amp; Sideloading\WalkAndUnGZ.bat" "%USERPROFILE%\AppData\Local\Temp\OnboardLogs"\RTDC4015\2017-02-06</v>
      </c>
      <c r="S17" s="92" t="str">
        <f>VLOOKUP(C17,'Train Runs'!$A$13:$AE$9961,22,0)</f>
        <v>https://d0f6bd738d7f1b3e5a7ca70fe4ff75f0.us-east-1.aws.found.io/app/kibana#/discover/Steve-Slow-Train-Analysis-(2080s-and-2083s)?_g=(refreshInterval:(display:Off,pause:!f,section:0,value:0),time:(from:'2017-02-05T21:43:15-0700',mode:absolute,to:'2017-02-06T00:37:39-0700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4015%22')),sort:!(Time.ISO8601,asc))</v>
      </c>
      <c r="T17" s="94" t="str">
        <f>astrogrep_path&amp;" /spath="&amp;search_path&amp;" /stypes=""*"&amp;U17&amp;"*"&amp;TEXT(A17-utc_offset/24,"YYYYMMDD")&amp;LEFT(TEXT(A17-utc_offset/24,"HH"),1)&amp;"*"" /stext="" "&amp;TEXT(A17-utc_offset/24,"HH")&amp;search_regexp&amp;""" /e /r /s"</f>
        <v>"C:\Program Files (x86)\AstroGrep\AstroGrep.exe" /spath="%USERPROFILE%\AppData\Local\Temp\OnboardLogs" /stypes="*4015*201702060*" /stext=" 06:.+((SYSTEM_STATE.+slice.+state.+changed )|(ment ac)|(multiple cpu faults)|(system.+state.+changed )|(\[timeout)|(PRM\|1\|D)|(kpr)|(kdp)|(\|lc)|(penalty))" /e /r /s</v>
      </c>
      <c r="U17" s="9" t="str">
        <f>MID(B17,13,4)</f>
        <v>4015</v>
      </c>
      <c r="V17" s="32">
        <f>A17-utc_offset/24</f>
        <v>42772.276145833333</v>
      </c>
      <c r="W17" s="46" t="str">
        <f>IFERROR(IF(VALUE(LEFT(IF(LEN(C17)=6,"0"&amp;C17,C17),2))&lt;=2,"EC",IF(OR(VALUE(LEFT(IF(LEN(C17)=6,"0"&amp;C17,C17),2))=8,VALUE(LEFT(IF(LEN(C17)=6,"0"&amp;C17,C17),2))=18),"NW","Other")),"Other")</f>
        <v>EC</v>
      </c>
      <c r="X17" s="46" t="str">
        <f>IF(AND(E17="TRACK WARRANT AUTHORITY",G17&lt;10),"OMIT","KEEP")</f>
        <v>KEEP</v>
      </c>
      <c r="Y17" s="108" t="str">
        <f>"echo {""issue"":{""subject"":"""&amp;P17&amp;""",""project_id"":79,""tracker_id"":40,""status_id"":"&amp;redmine_status&amp;",""priority_id"":"&amp;redmine_priority&amp;",""assigned_to_id"":"&amp;redmine_assignee&amp;",""start_date"":"""&amp;TEXT(A17,"YYYY-mm-dd")&amp;""",""description"":"""&amp;Z17&amp;""",""custom_fields"":[{""id"":1,""name"":""Subdivision"",""value"":"""&amp;W17&amp;"""},{""id"":4,""name"":""Milepost"",""value"":"""&amp;K17/10000&amp;"""},{""id"":17,""name"":""Train ID"",""value"":"""&amp;C17&amp;"""},{""id"":16,""name"":""Locomotive ID"",""value"":"""&amp;U17&amp;"""},{""id"":130,""name"":""Impact"",""value"":"""&amp;AA17&amp;"""},{""id"":150,""name"":""Time of Event (Mountain Time)"",""value"":"""&amp;TEXT(A17,"hh:mm:ss")&amp;"""},{""id"":151,""name"":""Denver Issue ID"",""value"":"""&amp;"""},{""id"":178,""name"":""Operational Impact"",""value"":"""&amp;redmine_op_impact&amp;"""},{""id"":179,""name"":""Denver Segment Assigned"",""value"":"""&amp;AB17&amp;"""}]}}"&amp;" | curl -X POST -H ""Content-Type: application/json"" -H ""X-Redmine-API-Key: "&amp;redm_api_key&amp;""" "&amp;redm_url&amp;" --data @-"</f>
        <v>echo {"issue":{"subject":"","project_id":79,"tracker_id":40,"status_id":1,"priority_id":2,"assigned_to_id":23,"start_date":"2017-02-05","description":"","custom_fields":[{"id":1,"name":"Subdivision","value":"EC"},{"id":4,"name":"Milepost","value":"0.0001"},{"id":17,"name":"Train ID","value":"234-05"},{"id":16,"name":"Locomotive ID","value":"4015"},{"id":130,"name":"Impact","value":""},{"id":150,"name":"Time of Event (Mountain Time)","value":"23:37:39"},{"id":151,"name":"Denver Issue ID","value":""},{"id":178,"name":"Operational Impact","value":"Yes"},{"id":179,"name":"Denver Segment Assigned","value":""}]}} | curl -X POST -H "Content-Type: application/json" -H "X-Redmine-API-Key: d6333d4a04012a730768444271f8ca06482dae87" https://secure.xorail.net/redmine/issues.json --data @-</v>
      </c>
      <c r="Z17" s="48"/>
      <c r="AA17" s="48"/>
      <c r="AB17" s="48"/>
      <c r="AC17" s="127" t="str">
        <f>"grep -hSE -A400 ""Enforcement Action"" "&amp;search_path&amp;"\RTDC"&amp;U17&amp;"\*"&amp;U17&amp;"*"&amp;TEXT(A17-utc_offset/24,"YYYYMMDD")&amp;LEFT(TEXT(A17-utc_offset/24,"HH"),1)&amp;"* | grep -SE ""((Enforcement Ac)|(PRM))"" -"</f>
        <v>grep -hSE -A400 "Enforcement Action" "%USERPROFILE%\AppData\Local\Temp\OnboardLogs"\RTDC4015\*4015*201702060* | grep -SE "((Enforcement Ac)|(PRM))" -</v>
      </c>
      <c r="AD17" s="1" t="str">
        <f>"grep -hSE ""Enforcement Action"" "&amp;search_path&amp;"\RTDC"&amp;U17&amp;"\*"&amp;U17&amp;"*"&amp;TEXT(A17-utc_offset/24,"YYYYMMDD")&amp;LEFT(TEXT(A17-utc_offset/24,"HH"),1)&amp;"* &gt;&gt; "&amp;TEXT(Variables!$A$2,"YYYY-MM-DD")&amp;"-SliceDisagreementCheck.txt"</f>
        <v>grep -hSE "Enforcement Action" "%USERPROFILE%\AppData\Local\Temp\OnboardLogs"\RTDC4015\*4015*201702060* &gt;&gt; 2017-02-05-SliceDisagreementCheck.txt</v>
      </c>
      <c r="AE17" s="161" t="str">
        <f t="shared" si="1"/>
        <v>start /low /b %USERPROFILE%\Documents\GitHub\eaglep3\Utilities\DownloadLogsFromS3.py --loco 4015 --day 2017-02-06</v>
      </c>
      <c r="AF17" s="1"/>
    </row>
    <row r="18" spans="1:32" x14ac:dyDescent="0.25">
      <c r="A18" s="32">
        <v>42771.224097222221</v>
      </c>
      <c r="B18" s="30" t="s">
        <v>287</v>
      </c>
      <c r="C18" s="30" t="s">
        <v>499</v>
      </c>
      <c r="D18" s="30" t="s">
        <v>49</v>
      </c>
      <c r="E18" s="30" t="s">
        <v>188</v>
      </c>
      <c r="F18" s="43">
        <v>0</v>
      </c>
      <c r="G18" s="43">
        <v>64</v>
      </c>
      <c r="H18" s="43">
        <v>233264</v>
      </c>
      <c r="I18" s="43">
        <v>233329</v>
      </c>
      <c r="J18" s="30" t="s">
        <v>189</v>
      </c>
      <c r="K18" s="43">
        <v>233491</v>
      </c>
      <c r="L18" s="143" t="s">
        <v>50</v>
      </c>
      <c r="M18" s="144">
        <f>CONVERT((I18-K18)/10000,"mi","ft")*IF(L18="Increasing Mileposts (1)",-1,1)</f>
        <v>85.536000000000001</v>
      </c>
      <c r="N18" s="145" t="str">
        <f>VLOOKUP(C18,'Trips&amp;Operators'!$C$1:$G$99999,5,FALSE)</f>
        <v>BERLING GARY</v>
      </c>
      <c r="O18" s="157" t="s">
        <v>185</v>
      </c>
      <c r="P18" s="146"/>
      <c r="Q18" s="30"/>
      <c r="R18" s="89" t="str">
        <f>VLOOKUP(C18,'Train Runs'!$A$13:$AE$9961,31,0)</f>
        <v>aws s3 cp s3://rtdc.mdm.uploadarchive.raw/RTDC4002/ "%USERPROFILE%\AppData\Local\Temp\OnboardLogs"\RTDC4002\2017-02-05 --exclude "*" --recursive --include "*20170205*" &amp; "%USERPROFILE%\Documents\GitHub\mrs-test-scripts\Headless Mode &amp; Sideloading\WalkAndUnGZ.bat" "%USERPROFILE%\AppData\Local\Temp\OnboardLogs"\RTDC4002\2017-02-05 &amp; aws s3 cp s3://rtdc.mdm.uploadarchive.raw/RTDC4002/ "%USERPROFILE%\AppData\Local\Temp\OnboardLogs"\RTDC4002\2017-02-06 --exclude "*" --recursive --include "*20170206*" &amp; "%USERPROFILE%\Documents\GitHub\mrs-test-scripts\Headless Mode &amp; Sideloading\WalkAndUnGZ.bat" "%USERPROFILE%\AppData\Local\Temp\OnboardLogs"\RTDC4002\2017-02-06</v>
      </c>
      <c r="S18" s="92" t="str">
        <f>VLOOKUP(C18,'Train Runs'!$A$13:$AE$9961,22,0)</f>
        <v>https://d0f6bd738d7f1b3e5a7ca70fe4ff75f0.us-east-1.aws.found.io/app/kibana#/discover/Steve-Slow-Train-Analysis-(2080s-and-2083s)?_g=(refreshInterval:(display:Off,pause:!f,section:0,value:0),time:(from:'2017-02-05T03:37:15-0700',mode:absolute,to:'2017-02-05T06:22:41-0700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4002%22')),sort:!(Time.ISO8601,asc))</v>
      </c>
      <c r="T18" s="94" t="str">
        <f>astrogrep_path&amp;" /spath="&amp;search_path&amp;" /stypes=""*"&amp;U18&amp;"*"&amp;TEXT(A18-utc_offset/24,"YYYYMMDD")&amp;LEFT(TEXT(A18-utc_offset/24,"HH"),1)&amp;"*"" /stext="" "&amp;TEXT(A18-utc_offset/24,"HH")&amp;search_regexp&amp;""" /e /r /s"</f>
        <v>"C:\Program Files (x86)\AstroGrep\AstroGrep.exe" /spath="%USERPROFILE%\AppData\Local\Temp\OnboardLogs" /stypes="*4002*201702051*" /stext=" 12:.+((SYSTEM_STATE.+slice.+state.+changed )|(ment ac)|(multiple cpu faults)|(system.+state.+changed )|(\[timeout)|(PRM\|1\|D)|(kpr)|(kdp)|(\|lc)|(penalty))" /e /r /s</v>
      </c>
      <c r="U18" s="9" t="str">
        <f>MID(B18,13,4)</f>
        <v>4002</v>
      </c>
      <c r="V18" s="32">
        <f>A18-utc_offset/24</f>
        <v>42771.515763888885</v>
      </c>
      <c r="W18" s="46" t="str">
        <f>IFERROR(IF(VALUE(LEFT(IF(LEN(C18)=6,"0"&amp;C18,C18),2))&lt;=2,"EC",IF(OR(VALUE(LEFT(IF(LEN(C18)=6,"0"&amp;C18,C18),2))=8,VALUE(LEFT(IF(LEN(C18)=6,"0"&amp;C18,C18),2))=18),"NW","Other")),"Other")</f>
        <v>EC</v>
      </c>
      <c r="X18" s="46" t="str">
        <f>IF(AND(E18="TRACK WARRANT AUTHORITY",G18&lt;10),"OMIT","KEEP")</f>
        <v>KEEP</v>
      </c>
      <c r="Y18" s="108" t="str">
        <f>"echo {""issue"":{""subject"":"""&amp;P18&amp;""",""project_id"":79,""tracker_id"":40,""status_id"":"&amp;redmine_status&amp;",""priority_id"":"&amp;redmine_priority&amp;",""assigned_to_id"":"&amp;redmine_assignee&amp;",""start_date"":"""&amp;TEXT(A18,"YYYY-mm-dd")&amp;""",""description"":"""&amp;Z18&amp;""",""custom_fields"":[{""id"":1,""name"":""Subdivision"",""value"":"""&amp;W18&amp;"""},{""id"":4,""name"":""Milepost"",""value"":"""&amp;K18/10000&amp;"""},{""id"":17,""name"":""Train ID"",""value"":"""&amp;C18&amp;"""},{""id"":16,""name"":""Locomotive ID"",""value"":"""&amp;U18&amp;"""},{""id"":130,""name"":""Impact"",""value"":"""&amp;AA18&amp;"""},{""id"":150,""name"":""Time of Event (Mountain Time)"",""value"":"""&amp;TEXT(A18,"hh:mm:ss")&amp;"""},{""id"":151,""name"":""Denver Issue ID"",""value"":"""&amp;"""},{""id"":178,""name"":""Operational Impact"",""value"":"""&amp;redmine_op_impact&amp;"""},{""id"":179,""name"":""Denver Segment Assigned"",""value"":"""&amp;AB18&amp;"""}]}}"&amp;" | curl -X POST -H ""Content-Type: application/json"" -H ""X-Redmine-API-Key: "&amp;redm_api_key&amp;""" "&amp;redm_url&amp;" --data @-"</f>
        <v>echo {"issue":{"subject":"","project_id":79,"tracker_id":40,"status_id":1,"priority_id":2,"assigned_to_id":23,"start_date":"2017-02-05","description":"","custom_fields":[{"id":1,"name":"Subdivision","value":"EC"},{"id":4,"name":"Milepost","value":"23.3491"},{"id":17,"name":"Train ID","value":"109-05"},{"id":16,"name":"Locomotive ID","value":"4002"},{"id":130,"name":"Impact","value":""},{"id":150,"name":"Time of Event (Mountain Time)","value":"05:22:42"},{"id":151,"name":"Denver Issue ID","value":""},{"id":178,"name":"Operational Impact","value":"Yes"},{"id":179,"name":"Denver Segment Assigned","value":""}]}} | curl -X POST -H "Content-Type: application/json" -H "X-Redmine-API-Key: d6333d4a04012a730768444271f8ca06482dae87" https://secure.xorail.net/redmine/issues.json --data @-</v>
      </c>
      <c r="Z18" s="48"/>
      <c r="AA18" s="48"/>
      <c r="AB18" s="48"/>
      <c r="AC18" s="127" t="str">
        <f>"grep -hSE -A400 ""Enforcement Action"" "&amp;search_path&amp;"\RTDC"&amp;U18&amp;"\*"&amp;U18&amp;"*"&amp;TEXT(A18-utc_offset/24,"YYYYMMDD")&amp;LEFT(TEXT(A18-utc_offset/24,"HH"),1)&amp;"* | grep -SE ""((Enforcement Ac)|(PRM))"" -"</f>
        <v>grep -hSE -A400 "Enforcement Action" "%USERPROFILE%\AppData\Local\Temp\OnboardLogs"\RTDC4002\*4002*201702051* | grep -SE "((Enforcement Ac)|(PRM))" -</v>
      </c>
      <c r="AD18" s="1" t="str">
        <f>"grep -hSE ""Enforcement Action"" "&amp;search_path&amp;"\RTDC"&amp;U18&amp;"\*"&amp;U18&amp;"*"&amp;TEXT(A18-utc_offset/24,"YYYYMMDD")&amp;LEFT(TEXT(A18-utc_offset/24,"HH"),1)&amp;"* &gt;&gt; "&amp;TEXT(Variables!$A$2,"YYYY-MM-DD")&amp;"-SliceDisagreementCheck.txt"</f>
        <v>grep -hSE "Enforcement Action" "%USERPROFILE%\AppData\Local\Temp\OnboardLogs"\RTDC4002\*4002*201702051* &gt;&gt; 2017-02-05-SliceDisagreementCheck.txt</v>
      </c>
      <c r="AE18" s="161" t="str">
        <f t="shared" si="1"/>
        <v>start /low /b %USERPROFILE%\Documents\GitHub\eaglep3\Utilities\DownloadLogsFromS3.py --loco 4002 --day 2017-02-05</v>
      </c>
      <c r="AF18" s="1"/>
    </row>
    <row r="19" spans="1:32" x14ac:dyDescent="0.25">
      <c r="A19" s="32">
        <v>42771.316759259258</v>
      </c>
      <c r="B19" s="30" t="s">
        <v>323</v>
      </c>
      <c r="C19" s="30" t="s">
        <v>502</v>
      </c>
      <c r="D19" s="30" t="s">
        <v>49</v>
      </c>
      <c r="E19" s="30" t="s">
        <v>188</v>
      </c>
      <c r="F19" s="43">
        <v>0</v>
      </c>
      <c r="G19" s="43">
        <v>38</v>
      </c>
      <c r="H19" s="43">
        <v>233351</v>
      </c>
      <c r="I19" s="43">
        <v>233374</v>
      </c>
      <c r="J19" s="30" t="s">
        <v>189</v>
      </c>
      <c r="K19" s="43">
        <v>233491</v>
      </c>
      <c r="L19" s="143" t="s">
        <v>50</v>
      </c>
      <c r="M19" s="144">
        <f>CONVERT((I19-K19)/10000,"mi","ft")*IF(L19="Increasing Mileposts (1)",-1,1)</f>
        <v>61.776000000000003</v>
      </c>
      <c r="N19" s="145" t="str">
        <f>VLOOKUP(C19,'Trips&amp;Operators'!$C$1:$G$99999,5,FALSE)</f>
        <v>OUN ZACK</v>
      </c>
      <c r="O19" s="157" t="s">
        <v>185</v>
      </c>
      <c r="P19" s="146"/>
      <c r="Q19" s="30"/>
      <c r="R19" s="89" t="str">
        <f>VLOOKUP(C19,'Train Runs'!$A$13:$AE$9961,31,0)</f>
        <v>aws s3 cp s3://rtdc.mdm.uploadarchive.raw/RTDC4009/ "%USERPROFILE%\AppData\Local\Temp\OnboardLogs"\RTDC4009\2017-02-05 --exclude "*" --recursive --include "*20170205*" &amp; "%USERPROFILE%\Documents\GitHub\mrs-test-scripts\Headless Mode &amp; Sideloading\WalkAndUnGZ.bat" "%USERPROFILE%\AppData\Local\Temp\OnboardLogs"\RTDC4009\2017-02-05 &amp; aws s3 cp s3://rtdc.mdm.uploadarchive.raw/RTDC4009/ "%USERPROFILE%\AppData\Local\Temp\OnboardLogs"\RTDC4009\2017-02-06 --exclude "*" --recursive --include "*20170206*" &amp; "%USERPROFILE%\Documents\GitHub\mrs-test-scripts\Headless Mode &amp; Sideloading\WalkAndUnGZ.bat" "%USERPROFILE%\AppData\Local\Temp\OnboardLogs"\RTDC4009\2017-02-06</v>
      </c>
      <c r="S19" s="92" t="str">
        <f>VLOOKUP(C19,'Train Runs'!$A$13:$AE$9961,22,0)</f>
        <v>https://d0f6bd738d7f1b3e5a7ca70fe4ff75f0.us-east-1.aws.found.io/app/kibana#/discover/Steve-Slow-Train-Analysis-(2080s-and-2083s)?_g=(refreshInterval:(display:Off,pause:!f,section:0,value:0),time:(from:'2017-02-05T05:55:44-0700',mode:absolute,to:'2017-02-05T08:36:08-0700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4009%22')),sort:!(Time.ISO8601,asc))</v>
      </c>
      <c r="T19" s="94" t="str">
        <f>astrogrep_path&amp;" /spath="&amp;search_path&amp;" /stypes=""*"&amp;U19&amp;"*"&amp;TEXT(A19-utc_offset/24,"YYYYMMDD")&amp;LEFT(TEXT(A19-utc_offset/24,"HH"),1)&amp;"*"" /stext="" "&amp;TEXT(A19-utc_offset/24,"HH")&amp;search_regexp&amp;""" /e /r /s"</f>
        <v>"C:\Program Files (x86)\AstroGrep\AstroGrep.exe" /spath="%USERPROFILE%\AppData\Local\Temp\OnboardLogs" /stypes="*4009*201702051*" /stext=" 14:.+((SYSTEM_STATE.+slice.+state.+changed )|(ment ac)|(multiple cpu faults)|(system.+state.+changed )|(\[timeout)|(PRM\|1\|D)|(kpr)|(kdp)|(\|lc)|(penalty))" /e /r /s</v>
      </c>
      <c r="U19" s="9" t="str">
        <f>MID(B19,13,4)</f>
        <v>4009</v>
      </c>
      <c r="V19" s="32">
        <f>A19-utc_offset/24</f>
        <v>42771.608425925922</v>
      </c>
      <c r="W19" s="46" t="str">
        <f>IFERROR(IF(VALUE(LEFT(IF(LEN(C19)=6,"0"&amp;C19,C19),2))&lt;=2,"EC",IF(OR(VALUE(LEFT(IF(LEN(C19)=6,"0"&amp;C19,C19),2))=8,VALUE(LEFT(IF(LEN(C19)=6,"0"&amp;C19,C19),2))=18),"NW","Other")),"Other")</f>
        <v>EC</v>
      </c>
      <c r="X19" s="46" t="str">
        <f>IF(AND(E19="TRACK WARRANT AUTHORITY",G19&lt;10),"OMIT","KEEP")</f>
        <v>KEEP</v>
      </c>
      <c r="Y19" s="108" t="str">
        <f>"echo {""issue"":{""subject"":"""&amp;P19&amp;""",""project_id"":79,""tracker_id"":40,""status_id"":"&amp;redmine_status&amp;",""priority_id"":"&amp;redmine_priority&amp;",""assigned_to_id"":"&amp;redmine_assignee&amp;",""start_date"":"""&amp;TEXT(A19,"YYYY-mm-dd")&amp;""",""description"":"""&amp;Z19&amp;""",""custom_fields"":[{""id"":1,""name"":""Subdivision"",""value"":"""&amp;W19&amp;"""},{""id"":4,""name"":""Milepost"",""value"":"""&amp;K19/10000&amp;"""},{""id"":17,""name"":""Train ID"",""value"":"""&amp;C19&amp;"""},{""id"":16,""name"":""Locomotive ID"",""value"":"""&amp;U19&amp;"""},{""id"":130,""name"":""Impact"",""value"":"""&amp;AA19&amp;"""},{""id"":150,""name"":""Time of Event (Mountain Time)"",""value"":"""&amp;TEXT(A19,"hh:mm:ss")&amp;"""},{""id"":151,""name"":""Denver Issue ID"",""value"":"""&amp;"""},{""id"":178,""name"":""Operational Impact"",""value"":"""&amp;redmine_op_impact&amp;"""},{""id"":179,""name"":""Denver Segment Assigned"",""value"":"""&amp;AB19&amp;"""}]}}"&amp;" | curl -X POST -H ""Content-Type: application/json"" -H ""X-Redmine-API-Key: "&amp;redm_api_key&amp;""" "&amp;redm_url&amp;" --data @-"</f>
        <v>echo {"issue":{"subject":"","project_id":79,"tracker_id":40,"status_id":1,"priority_id":2,"assigned_to_id":23,"start_date":"2017-02-05","description":"","custom_fields":[{"id":1,"name":"Subdivision","value":"EC"},{"id":4,"name":"Milepost","value":"23.3491"},{"id":17,"name":"Train ID","value":"127-05"},{"id":16,"name":"Locomotive ID","value":"4009"},{"id":130,"name":"Impact","value":""},{"id":150,"name":"Time of Event (Mountain Time)","value":"07:36:08"},{"id":151,"name":"Denver Issue ID","value":""},{"id":178,"name":"Operational Impact","value":"Yes"},{"id":179,"name":"Denver Segment Assigned","value":""}]}} | curl -X POST -H "Content-Type: application/json" -H "X-Redmine-API-Key: d6333d4a04012a730768444271f8ca06482dae87" https://secure.xorail.net/redmine/issues.json --data @-</v>
      </c>
      <c r="Z19" s="48"/>
      <c r="AA19" s="48"/>
      <c r="AB19" s="48"/>
      <c r="AC19" s="127" t="str">
        <f>"grep -hSE -A400 ""Enforcement Action"" "&amp;search_path&amp;"\RTDC"&amp;U19&amp;"\*"&amp;U19&amp;"*"&amp;TEXT(A19-utc_offset/24,"YYYYMMDD")&amp;LEFT(TEXT(A19-utc_offset/24,"HH"),1)&amp;"* | grep -SE ""((Enforcement Ac)|(PRM))"" -"</f>
        <v>grep -hSE -A400 "Enforcement Action" "%USERPROFILE%\AppData\Local\Temp\OnboardLogs"\RTDC4009\*4009*201702051* | grep -SE "((Enforcement Ac)|(PRM))" -</v>
      </c>
      <c r="AD19" s="1" t="str">
        <f>"grep -hSE ""Enforcement Action"" "&amp;search_path&amp;"\RTDC"&amp;U19&amp;"\*"&amp;U19&amp;"*"&amp;TEXT(A19-utc_offset/24,"YYYYMMDD")&amp;LEFT(TEXT(A19-utc_offset/24,"HH"),1)&amp;"* &gt;&gt; "&amp;TEXT(Variables!$A$2,"YYYY-MM-DD")&amp;"-SliceDisagreementCheck.txt"</f>
        <v>grep -hSE "Enforcement Action" "%USERPROFILE%\AppData\Local\Temp\OnboardLogs"\RTDC4009\*4009*201702051* &gt;&gt; 2017-02-05-SliceDisagreementCheck.txt</v>
      </c>
      <c r="AE19" s="161" t="str">
        <f t="shared" si="1"/>
        <v>start /low /b %USERPROFILE%\Documents\GitHub\eaglep3\Utilities\DownloadLogsFromS3.py --loco 4009 --day 2017-02-05</v>
      </c>
      <c r="AF19" s="1"/>
    </row>
    <row r="20" spans="1:32" x14ac:dyDescent="0.25">
      <c r="A20" s="32">
        <v>42771.649722222224</v>
      </c>
      <c r="B20" s="30" t="s">
        <v>316</v>
      </c>
      <c r="C20" s="30" t="s">
        <v>510</v>
      </c>
      <c r="D20" s="30" t="s">
        <v>49</v>
      </c>
      <c r="E20" s="30" t="s">
        <v>188</v>
      </c>
      <c r="F20" s="43">
        <v>0</v>
      </c>
      <c r="G20" s="43">
        <v>35</v>
      </c>
      <c r="H20" s="43">
        <v>233401</v>
      </c>
      <c r="I20" s="43">
        <v>233439</v>
      </c>
      <c r="J20" s="30" t="s">
        <v>189</v>
      </c>
      <c r="K20" s="43">
        <v>233491</v>
      </c>
      <c r="L20" s="143" t="s">
        <v>50</v>
      </c>
      <c r="M20" s="144">
        <f>CONVERT((I20-K20)/10000,"mi","ft")*IF(L20="Increasing Mileposts (1)",-1,1)</f>
        <v>27.456</v>
      </c>
      <c r="N20" s="145" t="str">
        <f>VLOOKUP(C20,'Trips&amp;Operators'!$C$1:$G$99999,5,FALSE)</f>
        <v>DAVIS MICHAEL</v>
      </c>
      <c r="O20" s="157" t="s">
        <v>185</v>
      </c>
      <c r="P20" s="146"/>
      <c r="Q20" s="30"/>
      <c r="R20" s="89" t="str">
        <f>VLOOKUP(C20,'Train Runs'!$A$13:$AE$9961,31,0)</f>
        <v>aws s3 cp s3://rtdc.mdm.uploadarchive.raw/RTDC4016/ "%USERPROFILE%\AppData\Local\Temp\OnboardLogs"\RTDC4016\2017-02-05 --exclude "*" --recursive --include "*20170205*" &amp; "%USERPROFILE%\Documents\GitHub\mrs-test-scripts\Headless Mode &amp; Sideloading\WalkAndUnGZ.bat" "%USERPROFILE%\AppData\Local\Temp\OnboardLogs"\RTDC4016\2017-02-05 &amp; aws s3 cp s3://rtdc.mdm.uploadarchive.raw/RTDC4016/ "%USERPROFILE%\AppData\Local\Temp\OnboardLogs"\RTDC4016\2017-02-06 --exclude "*" --recursive --include "*20170206*" &amp; "%USERPROFILE%\Documents\GitHub\mrs-test-scripts\Headless Mode &amp; Sideloading\WalkAndUnGZ.bat" "%USERPROFILE%\AppData\Local\Temp\OnboardLogs"\RTDC4016\2017-02-06</v>
      </c>
      <c r="S20" s="92" t="str">
        <f>VLOOKUP(C20,'Train Runs'!$A$13:$AE$9961,22,0)</f>
        <v>https://d0f6bd738d7f1b3e5a7ca70fe4ff75f0.us-east-1.aws.found.io/app/kibana#/discover/Steve-Slow-Train-Analysis-(2080s-and-2083s)?_g=(refreshInterval:(display:Off,pause:!f,section:0,value:0),time:(from:'2017-02-05T13:40:15-0700',mode:absolute,to:'2017-02-05T16:35:37-0700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4016%22')),sort:!(Time.ISO8601,asc))</v>
      </c>
      <c r="T20" s="94" t="str">
        <f>astrogrep_path&amp;" /spath="&amp;search_path&amp;" /stypes=""*"&amp;U20&amp;"*"&amp;TEXT(A20-utc_offset/24,"YYYYMMDD")&amp;LEFT(TEXT(A20-utc_offset/24,"HH"),1)&amp;"*"" /stext="" "&amp;TEXT(A20-utc_offset/24,"HH")&amp;search_regexp&amp;""" /e /r /s"</f>
        <v>"C:\Program Files (x86)\AstroGrep\AstroGrep.exe" /spath="%USERPROFILE%\AppData\Local\Temp\OnboardLogs" /stypes="*4016*201702052*" /stext=" 22:.+((SYSTEM_STATE.+slice.+state.+changed )|(ment ac)|(multiple cpu faults)|(system.+state.+changed )|(\[timeout)|(PRM\|1\|D)|(kpr)|(kdp)|(\|lc)|(penalty))" /e /r /s</v>
      </c>
      <c r="U20" s="9" t="str">
        <f>MID(B20,13,4)</f>
        <v>4016</v>
      </c>
      <c r="V20" s="32">
        <f>A20-utc_offset/24</f>
        <v>42771.941388888888</v>
      </c>
      <c r="W20" s="46" t="str">
        <f>IFERROR(IF(VALUE(LEFT(IF(LEN(C20)=6,"0"&amp;C20,C20),2))&lt;=2,"EC",IF(OR(VALUE(LEFT(IF(LEN(C20)=6,"0"&amp;C20,C20),2))=8,VALUE(LEFT(IF(LEN(C20)=6,"0"&amp;C20,C20),2))=18),"NW","Other")),"Other")</f>
        <v>EC</v>
      </c>
      <c r="X20" s="46" t="str">
        <f>IF(AND(E20="TRACK WARRANT AUTHORITY",G20&lt;10),"OMIT","KEEP")</f>
        <v>KEEP</v>
      </c>
      <c r="Y20" s="108" t="str">
        <f>"echo {""issue"":{""subject"":"""&amp;P20&amp;""",""project_id"":79,""tracker_id"":40,""status_id"":"&amp;redmine_status&amp;",""priority_id"":"&amp;redmine_priority&amp;",""assigned_to_id"":"&amp;redmine_assignee&amp;",""start_date"":"""&amp;TEXT(A20,"YYYY-mm-dd")&amp;""",""description"":"""&amp;Z20&amp;""",""custom_fields"":[{""id"":1,""name"":""Subdivision"",""value"":"""&amp;W20&amp;"""},{""id"":4,""name"":""Milepost"",""value"":"""&amp;K20/10000&amp;"""},{""id"":17,""name"":""Train ID"",""value"":"""&amp;C20&amp;"""},{""id"":16,""name"":""Locomotive ID"",""value"":"""&amp;U20&amp;"""},{""id"":130,""name"":""Impact"",""value"":"""&amp;AA20&amp;"""},{""id"":150,""name"":""Time of Event (Mountain Time)"",""value"":"""&amp;TEXT(A20,"hh:mm:ss")&amp;"""},{""id"":151,""name"":""Denver Issue ID"",""value"":"""&amp;"""},{""id"":178,""name"":""Operational Impact"",""value"":"""&amp;redmine_op_impact&amp;"""},{""id"":179,""name"":""Denver Segment Assigned"",""value"":"""&amp;AB20&amp;"""}]}}"&amp;" | curl -X POST -H ""Content-Type: application/json"" -H ""X-Redmine-API-Key: "&amp;redm_api_key&amp;""" "&amp;redm_url&amp;" --data @-"</f>
        <v>echo {"issue":{"subject":"","project_id":79,"tracker_id":40,"status_id":1,"priority_id":2,"assigned_to_id":23,"start_date":"2017-02-05","description":"","custom_fields":[{"id":1,"name":"Subdivision","value":"EC"},{"id":4,"name":"Milepost","value":"23.3491"},{"id":17,"name":"Train ID","value":"189-05"},{"id":16,"name":"Locomotive ID","value":"4016"},{"id":130,"name":"Impact","value":""},{"id":150,"name":"Time of Event (Mountain Time)","value":"15:35:36"},{"id":151,"name":"Denver Issue ID","value":""},{"id":178,"name":"Operational Impact","value":"Yes"},{"id":179,"name":"Denver Segment Assigned","value":""}]}} | curl -X POST -H "Content-Type: application/json" -H "X-Redmine-API-Key: d6333d4a04012a730768444271f8ca06482dae87" https://secure.xorail.net/redmine/issues.json --data @-</v>
      </c>
      <c r="Z20" s="48"/>
      <c r="AA20" s="48"/>
      <c r="AB20" s="48"/>
      <c r="AC20" s="127" t="str">
        <f>"grep -hSE -A400 ""Enforcement Action"" "&amp;search_path&amp;"\RTDC"&amp;U20&amp;"\*"&amp;U20&amp;"*"&amp;TEXT(A20-utc_offset/24,"YYYYMMDD")&amp;LEFT(TEXT(A20-utc_offset/24,"HH"),1)&amp;"* | grep -SE ""((Enforcement Ac)|(PRM))"" -"</f>
        <v>grep -hSE -A400 "Enforcement Action" "%USERPROFILE%\AppData\Local\Temp\OnboardLogs"\RTDC4016\*4016*201702052* | grep -SE "((Enforcement Ac)|(PRM))" -</v>
      </c>
      <c r="AD20" s="1" t="str">
        <f>"grep -hSE ""Enforcement Action"" "&amp;search_path&amp;"\RTDC"&amp;U20&amp;"\*"&amp;U20&amp;"*"&amp;TEXT(A20-utc_offset/24,"YYYYMMDD")&amp;LEFT(TEXT(A20-utc_offset/24,"HH"),1)&amp;"* &gt;&gt; "&amp;TEXT(Variables!$A$2,"YYYY-MM-DD")&amp;"-SliceDisagreementCheck.txt"</f>
        <v>grep -hSE "Enforcement Action" "%USERPROFILE%\AppData\Local\Temp\OnboardLogs"\RTDC4016\*4016*201702052* &gt;&gt; 2017-02-05-SliceDisagreementCheck.txt</v>
      </c>
      <c r="AE20" s="161" t="str">
        <f t="shared" si="1"/>
        <v>start /low /b %USERPROFILE%\Documents\GitHub\eaglep3\Utilities\DownloadLogsFromS3.py --loco 4016 --day 2017-02-05</v>
      </c>
      <c r="AF20" s="1"/>
    </row>
    <row r="21" spans="1:32" ht="15" customHeight="1" x14ac:dyDescent="0.25">
      <c r="A21" s="32">
        <v>42771.652789351851</v>
      </c>
      <c r="B21" s="30" t="s">
        <v>197</v>
      </c>
      <c r="C21" s="30" t="s">
        <v>511</v>
      </c>
      <c r="D21" s="30" t="s">
        <v>49</v>
      </c>
      <c r="E21" s="30" t="s">
        <v>188</v>
      </c>
      <c r="F21" s="43">
        <v>0</v>
      </c>
      <c r="G21" s="43">
        <v>62</v>
      </c>
      <c r="H21" s="43">
        <v>233283</v>
      </c>
      <c r="I21" s="43">
        <v>233349</v>
      </c>
      <c r="J21" s="30" t="s">
        <v>189</v>
      </c>
      <c r="K21" s="43">
        <v>233491</v>
      </c>
      <c r="L21" s="143" t="s">
        <v>50</v>
      </c>
      <c r="M21" s="144">
        <f>CONVERT((I21-K21)/10000,"mi","ft")*IF(L21="Increasing Mileposts (1)",-1,1)</f>
        <v>74.975999999999999</v>
      </c>
      <c r="N21" s="145" t="str">
        <f>VLOOKUP(C21,'Trips&amp;Operators'!$C$1:$G$99999,5,FALSE)</f>
        <v>LEVIN SCOTT</v>
      </c>
      <c r="O21" s="157" t="s">
        <v>185</v>
      </c>
      <c r="P21" s="146"/>
      <c r="Q21" s="30"/>
      <c r="R21" s="89" t="str">
        <f>VLOOKUP(C21,'Train Runs'!$A$13:$AE$9961,31,0)</f>
        <v>aws s3 cp s3://rtdc.mdm.uploadarchive.raw/RTDC4022/ "%USERPROFILE%\AppData\Local\Temp\OnboardLogs"\RTDC4022\2017-02-05 --exclude "*" --recursive --include "*20170205*" &amp; "%USERPROFILE%\Documents\GitHub\mrs-test-scripts\Headless Mode &amp; Sideloading\WalkAndUnGZ.bat" "%USERPROFILE%\AppData\Local\Temp\OnboardLogs"\RTDC4022\2017-02-05 &amp; aws s3 cp s3://rtdc.mdm.uploadarchive.raw/RTDC4022/ "%USERPROFILE%\AppData\Local\Temp\OnboardLogs"\RTDC4022\2017-02-06 --exclude "*" --recursive --include "*20170206*" &amp; "%USERPROFILE%\Documents\GitHub\mrs-test-scripts\Headless Mode &amp; Sideloading\WalkAndUnGZ.bat" "%USERPROFILE%\AppData\Local\Temp\OnboardLogs"\RTDC4022\2017-02-06</v>
      </c>
      <c r="S21" s="92" t="str">
        <f>VLOOKUP(C21,'Train Runs'!$A$13:$AE$9961,22,0)</f>
        <v>https://d0f6bd738d7f1b3e5a7ca70fe4ff75f0.us-east-1.aws.found.io/app/kibana#/discover/Steve-Slow-Train-Analysis-(2080s-and-2083s)?_g=(refreshInterval:(display:Off,pause:!f,section:0,value:0),time:(from:'2017-02-05T13:55:09-0700',mode:absolute,to:'2017-02-05T16:40:00-0700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4022%22')),sort:!(Time.ISO8601,asc))</v>
      </c>
      <c r="T21" s="94" t="str">
        <f>astrogrep_path&amp;" /spath="&amp;search_path&amp;" /stypes=""*"&amp;U21&amp;"*"&amp;TEXT(A21-utc_offset/24,"YYYYMMDD")&amp;LEFT(TEXT(A21-utc_offset/24,"HH"),1)&amp;"*"" /stext="" "&amp;TEXT(A21-utc_offset/24,"HH")&amp;search_regexp&amp;""" /e /r /s"</f>
        <v>"C:\Program Files (x86)\AstroGrep\AstroGrep.exe" /spath="%USERPROFILE%\AppData\Local\Temp\OnboardLogs" /stypes="*4022*201702052*" /stext=" 22:.+((SYSTEM_STATE.+slice.+state.+changed )|(ment ac)|(multiple cpu faults)|(system.+state.+changed )|(\[timeout)|(PRM\|1\|D)|(kpr)|(kdp)|(\|lc)|(penalty))" /e /r /s</v>
      </c>
      <c r="U21" s="9" t="str">
        <f>MID(B21,13,4)</f>
        <v>4022</v>
      </c>
      <c r="V21" s="32">
        <f>A21-utc_offset/24</f>
        <v>42771.944456018515</v>
      </c>
      <c r="W21" s="46" t="str">
        <f>IFERROR(IF(VALUE(LEFT(IF(LEN(C21)=6,"0"&amp;C21,C21),2))&lt;=2,"EC",IF(OR(VALUE(LEFT(IF(LEN(C21)=6,"0"&amp;C21,C21),2))=8,VALUE(LEFT(IF(LEN(C21)=6,"0"&amp;C21,C21),2))=18),"NW","Other")),"Other")</f>
        <v>EC</v>
      </c>
      <c r="X21" s="46" t="str">
        <f>IF(AND(E21="TRACK WARRANT AUTHORITY",G21&lt;10),"OMIT","KEEP")</f>
        <v>KEEP</v>
      </c>
      <c r="Y21" s="108" t="str">
        <f>"echo {""issue"":{""subject"":"""&amp;P21&amp;""",""project_id"":79,""tracker_id"":40,""status_id"":"&amp;redmine_status&amp;",""priority_id"":"&amp;redmine_priority&amp;",""assigned_to_id"":"&amp;redmine_assignee&amp;",""start_date"":"""&amp;TEXT(A21,"YYYY-mm-dd")&amp;""",""description"":"""&amp;Z21&amp;""",""custom_fields"":[{""id"":1,""name"":""Subdivision"",""value"":"""&amp;W21&amp;"""},{""id"":4,""name"":""Milepost"",""value"":"""&amp;K21/10000&amp;"""},{""id"":17,""name"":""Train ID"",""value"":"""&amp;C21&amp;"""},{""id"":16,""name"":""Locomotive ID"",""value"":"""&amp;U21&amp;"""},{""id"":130,""name"":""Impact"",""value"":"""&amp;AA21&amp;"""},{""id"":150,""name"":""Time of Event (Mountain Time)"",""value"":"""&amp;TEXT(A21,"hh:mm:ss")&amp;"""},{""id"":151,""name"":""Denver Issue ID"",""value"":"""&amp;"""},{""id"":178,""name"":""Operational Impact"",""value"":"""&amp;redmine_op_impact&amp;"""},{""id"":179,""name"":""Denver Segment Assigned"",""value"":"""&amp;AB21&amp;"""}]}}"&amp;" | curl -X POST -H ""Content-Type: application/json"" -H ""X-Redmine-API-Key: "&amp;redm_api_key&amp;""" "&amp;redm_url&amp;" --data @-"</f>
        <v>echo {"issue":{"subject":"","project_id":79,"tracker_id":40,"status_id":1,"priority_id":2,"assigned_to_id":23,"start_date":"2017-02-05","description":"","custom_fields":[{"id":1,"name":"Subdivision","value":"EC"},{"id":4,"name":"Milepost","value":"23.3491"},{"id":17,"name":"Train ID","value":"191-05"},{"id":16,"name":"Locomotive ID","value":"4022"},{"id":130,"name":"Impact","value":""},{"id":150,"name":"Time of Event (Mountain Time)","value":"15:40:01"},{"id":151,"name":"Denver Issue ID","value":""},{"id":178,"name":"Operational Impact","value":"Yes"},{"id":179,"name":"Denver Segment Assigned","value":""}]}} | curl -X POST -H "Content-Type: application/json" -H "X-Redmine-API-Key: d6333d4a04012a730768444271f8ca06482dae87" https://secure.xorail.net/redmine/issues.json --data @-</v>
      </c>
      <c r="Z21" s="48"/>
      <c r="AA21" s="48"/>
      <c r="AB21" s="48"/>
      <c r="AC21" s="127" t="str">
        <f>"grep -hSE -A400 ""Enforcement Action"" "&amp;search_path&amp;"\RTDC"&amp;U21&amp;"\*"&amp;U21&amp;"*"&amp;TEXT(A21-utc_offset/24,"YYYYMMDD")&amp;LEFT(TEXT(A21-utc_offset/24,"HH"),1)&amp;"* | grep -SE ""((Enforcement Ac)|(PRM))"" -"</f>
        <v>grep -hSE -A400 "Enforcement Action" "%USERPROFILE%\AppData\Local\Temp\OnboardLogs"\RTDC4022\*4022*201702052* | grep -SE "((Enforcement Ac)|(PRM))" -</v>
      </c>
      <c r="AD21" s="1" t="str">
        <f>"grep -hSE ""Enforcement Action"" "&amp;search_path&amp;"\RTDC"&amp;U21&amp;"\*"&amp;U21&amp;"*"&amp;TEXT(A21-utc_offset/24,"YYYYMMDD")&amp;LEFT(TEXT(A21-utc_offset/24,"HH"),1)&amp;"* &gt;&gt; "&amp;TEXT(Variables!$A$2,"YYYY-MM-DD")&amp;"-SliceDisagreementCheck.txt"</f>
        <v>grep -hSE "Enforcement Action" "%USERPROFILE%\AppData\Local\Temp\OnboardLogs"\RTDC4022\*4022*201702052* &gt;&gt; 2017-02-05-SliceDisagreementCheck.txt</v>
      </c>
      <c r="AE21" s="161" t="str">
        <f t="shared" si="1"/>
        <v>start /low /b %USERPROFILE%\Documents\GitHub\eaglep3\Utilities\DownloadLogsFromS3.py --loco 4022 --day 2017-02-05</v>
      </c>
      <c r="AF21" s="1"/>
    </row>
    <row r="22" spans="1:32" x14ac:dyDescent="0.25">
      <c r="A22" s="32">
        <v>42771.702314814815</v>
      </c>
      <c r="B22" s="30" t="s">
        <v>248</v>
      </c>
      <c r="C22" s="30" t="s">
        <v>513</v>
      </c>
      <c r="D22" s="30" t="s">
        <v>49</v>
      </c>
      <c r="E22" s="30" t="s">
        <v>188</v>
      </c>
      <c r="F22" s="43">
        <v>0</v>
      </c>
      <c r="G22" s="43">
        <v>150</v>
      </c>
      <c r="H22" s="43">
        <v>232873</v>
      </c>
      <c r="I22" s="43">
        <v>233028</v>
      </c>
      <c r="J22" s="30" t="s">
        <v>189</v>
      </c>
      <c r="K22" s="43">
        <v>233491</v>
      </c>
      <c r="L22" s="143" t="s">
        <v>50</v>
      </c>
      <c r="M22" s="144">
        <f>CONVERT((I22-K22)/10000,"mi","ft")*IF(L22="Increasing Mileposts (1)",-1,1)</f>
        <v>244.464</v>
      </c>
      <c r="N22" s="145" t="str">
        <f>VLOOKUP(C22,'Trips&amp;Operators'!$C$1:$G$99999,5,FALSE)</f>
        <v>STEWART MICHAEL</v>
      </c>
      <c r="O22" s="157" t="s">
        <v>185</v>
      </c>
      <c r="P22" s="146"/>
      <c r="Q22" s="30"/>
      <c r="R22" s="89" t="str">
        <f>VLOOKUP(C22,'Train Runs'!$A$13:$AE$9961,31,0)</f>
        <v>aws s3 cp s3://rtdc.mdm.uploadarchive.raw/RTDC4025/ "%USERPROFILE%\AppData\Local\Temp\OnboardLogs"\RTDC4025\2017-02-05 --exclude "*" --recursive --include "*20170205*" &amp; "%USERPROFILE%\Documents\GitHub\mrs-test-scripts\Headless Mode &amp; Sideloading\WalkAndUnGZ.bat" "%USERPROFILE%\AppData\Local\Temp\OnboardLogs"\RTDC4025\2017-02-05 &amp; aws s3 cp s3://rtdc.mdm.uploadarchive.raw/RTDC4025/ "%USERPROFILE%\AppData\Local\Temp\OnboardLogs"\RTDC4025\2017-02-06 --exclude "*" --recursive --include "*20170206*" &amp; "%USERPROFILE%\Documents\GitHub\mrs-test-scripts\Headless Mode &amp; Sideloading\WalkAndUnGZ.bat" "%USERPROFILE%\AppData\Local\Temp\OnboardLogs"\RTDC4025\2017-02-06</v>
      </c>
      <c r="S22" s="92" t="str">
        <f>VLOOKUP(C22,'Train Runs'!$A$13:$AE$9961,22,0)</f>
        <v>https://d0f6bd738d7f1b3e5a7ca70fe4ff75f0.us-east-1.aws.found.io/app/kibana#/discover/Steve-Slow-Train-Analysis-(2080s-and-2083s)?_g=(refreshInterval:(display:Off,pause:!f,section:0,value:0),time:(from:'2017-02-05T15:11:25-0700',mode:absolute,to:'2017-02-05T17:51:21-0700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4025%22')),sort:!(Time.ISO8601,asc))</v>
      </c>
      <c r="T22" s="94" t="str">
        <f>astrogrep_path&amp;" /spath="&amp;search_path&amp;" /stypes=""*"&amp;U22&amp;"*"&amp;TEXT(A22-utc_offset/24,"YYYYMMDD")&amp;LEFT(TEXT(A22-utc_offset/24,"HH"),1)&amp;"*"" /stext="" "&amp;TEXT(A22-utc_offset/24,"HH")&amp;search_regexp&amp;""" /e /r /s"</f>
        <v>"C:\Program Files (x86)\AstroGrep\AstroGrep.exe" /spath="%USERPROFILE%\AppData\Local\Temp\OnboardLogs" /stypes="*4025*201702052*" /stext=" 23:.+((SYSTEM_STATE.+slice.+state.+changed )|(ment ac)|(multiple cpu faults)|(system.+state.+changed )|(\[timeout)|(PRM\|1\|D)|(kpr)|(kdp)|(\|lc)|(penalty))" /e /r /s</v>
      </c>
      <c r="U22" s="9" t="str">
        <f>MID(B22,13,4)</f>
        <v>4025</v>
      </c>
      <c r="V22" s="32">
        <f>A22-utc_offset/24</f>
        <v>42771.993981481479</v>
      </c>
      <c r="W22" s="46" t="str">
        <f>IFERROR(IF(VALUE(LEFT(IF(LEN(C22)=6,"0"&amp;C22,C22),2))&lt;=2,"EC",IF(OR(VALUE(LEFT(IF(LEN(C22)=6,"0"&amp;C22,C22),2))=8,VALUE(LEFT(IF(LEN(C22)=6,"0"&amp;C22,C22),2))=18),"NW","Other")),"Other")</f>
        <v>EC</v>
      </c>
      <c r="X22" s="46" t="str">
        <f>IF(AND(E22="TRACK WARRANT AUTHORITY",G22&lt;10),"OMIT","KEEP")</f>
        <v>KEEP</v>
      </c>
      <c r="Y22" s="108" t="str">
        <f>"echo {""issue"":{""subject"":"""&amp;P22&amp;""",""project_id"":79,""tracker_id"":40,""status_id"":"&amp;redmine_status&amp;",""priority_id"":"&amp;redmine_priority&amp;",""assigned_to_id"":"&amp;redmine_assignee&amp;",""start_date"":"""&amp;TEXT(A22,"YYYY-mm-dd")&amp;""",""description"":"""&amp;Z22&amp;""",""custom_fields"":[{""id"":1,""name"":""Subdivision"",""value"":"""&amp;W22&amp;"""},{""id"":4,""name"":""Milepost"",""value"":"""&amp;K22/10000&amp;"""},{""id"":17,""name"":""Train ID"",""value"":"""&amp;C22&amp;"""},{""id"":16,""name"":""Locomotive ID"",""value"":"""&amp;U22&amp;"""},{""id"":130,""name"":""Impact"",""value"":"""&amp;AA22&amp;"""},{""id"":150,""name"":""Time of Event (Mountain Time)"",""value"":"""&amp;TEXT(A22,"hh:mm:ss")&amp;"""},{""id"":151,""name"":""Denver Issue ID"",""value"":"""&amp;"""},{""id"":178,""name"":""Operational Impact"",""value"":"""&amp;redmine_op_impact&amp;"""},{""id"":179,""name"":""Denver Segment Assigned"",""value"":"""&amp;AB22&amp;"""}]}}"&amp;" | curl -X POST -H ""Content-Type: application/json"" -H ""X-Redmine-API-Key: "&amp;redm_api_key&amp;""" "&amp;redm_url&amp;" --data @-"</f>
        <v>echo {"issue":{"subject":"","project_id":79,"tracker_id":40,"status_id":1,"priority_id":2,"assigned_to_id":23,"start_date":"2017-02-05","description":"","custom_fields":[{"id":1,"name":"Subdivision","value":"EC"},{"id":4,"name":"Milepost","value":"23.3491"},{"id":17,"name":"Train ID","value":"201-05"},{"id":16,"name":"Locomotive ID","value":"4025"},{"id":130,"name":"Impact","value":""},{"id":150,"name":"Time of Event (Mountain Time)","value":"16:51:20"},{"id":151,"name":"Denver Issue ID","value":""},{"id":178,"name":"Operational Impact","value":"Yes"},{"id":179,"name":"Denver Segment Assigned","value":""}]}} | curl -X POST -H "Content-Type: application/json" -H "X-Redmine-API-Key: d6333d4a04012a730768444271f8ca06482dae87" https://secure.xorail.net/redmine/issues.json --data @-</v>
      </c>
      <c r="Z22" s="48"/>
      <c r="AA22" s="48"/>
      <c r="AB22" s="48"/>
      <c r="AC22" s="127" t="str">
        <f>"grep -hSE -A400 ""Enforcement Action"" "&amp;search_path&amp;"\RTDC"&amp;U22&amp;"\*"&amp;U22&amp;"*"&amp;TEXT(A22-utc_offset/24,"YYYYMMDD")&amp;LEFT(TEXT(A22-utc_offset/24,"HH"),1)&amp;"* | grep -SE ""((Enforcement Ac)|(PRM))"" -"</f>
        <v>grep -hSE -A400 "Enforcement Action" "%USERPROFILE%\AppData\Local\Temp\OnboardLogs"\RTDC4025\*4025*201702052* | grep -SE "((Enforcement Ac)|(PRM))" -</v>
      </c>
      <c r="AD22" s="1" t="str">
        <f>"grep -hSE ""Enforcement Action"" "&amp;search_path&amp;"\RTDC"&amp;U22&amp;"\*"&amp;U22&amp;"*"&amp;TEXT(A22-utc_offset/24,"YYYYMMDD")&amp;LEFT(TEXT(A22-utc_offset/24,"HH"),1)&amp;"* &gt;&gt; "&amp;TEXT(Variables!$A$2,"YYYY-MM-DD")&amp;"-SliceDisagreementCheck.txt"</f>
        <v>grep -hSE "Enforcement Action" "%USERPROFILE%\AppData\Local\Temp\OnboardLogs"\RTDC4025\*4025*201702052* &gt;&gt; 2017-02-05-SliceDisagreementCheck.txt</v>
      </c>
      <c r="AE22" s="161" t="str">
        <f t="shared" si="1"/>
        <v>start /low /b %USERPROFILE%\Documents\GitHub\eaglep3\Utilities\DownloadLogsFromS3.py --loco 4025 --day 2017-02-05</v>
      </c>
      <c r="AF22" s="1"/>
    </row>
    <row r="23" spans="1:32" x14ac:dyDescent="0.25">
      <c r="A23" s="32">
        <v>42771.714270833334</v>
      </c>
      <c r="B23" s="30" t="s">
        <v>316</v>
      </c>
      <c r="C23" s="30" t="s">
        <v>514</v>
      </c>
      <c r="D23" s="30" t="s">
        <v>49</v>
      </c>
      <c r="E23" s="30" t="s">
        <v>188</v>
      </c>
      <c r="F23" s="43">
        <v>0</v>
      </c>
      <c r="G23" s="43">
        <v>63</v>
      </c>
      <c r="H23" s="43">
        <v>233244</v>
      </c>
      <c r="I23" s="43">
        <v>233302</v>
      </c>
      <c r="J23" s="30" t="s">
        <v>189</v>
      </c>
      <c r="K23" s="43">
        <v>233491</v>
      </c>
      <c r="L23" s="143" t="s">
        <v>50</v>
      </c>
      <c r="M23" s="144">
        <f>CONVERT((I23-K23)/10000,"mi","ft")*IF(L23="Increasing Mileposts (1)",-1,1)</f>
        <v>99.792000000000002</v>
      </c>
      <c r="N23" s="145" t="str">
        <f>VLOOKUP(C23,'Trips&amp;Operators'!$C$1:$G$99999,5,FALSE)</f>
        <v>DAVIS MICHAEL</v>
      </c>
      <c r="O23" s="157" t="s">
        <v>185</v>
      </c>
      <c r="P23" s="146"/>
      <c r="Q23" s="30"/>
      <c r="R23" s="89" t="str">
        <f>VLOOKUP(C23,'Train Runs'!$A$13:$AE$9961,31,0)</f>
        <v>aws s3 cp s3://rtdc.mdm.uploadarchive.raw/RTDC4016/ "%USERPROFILE%\AppData\Local\Temp\OnboardLogs"\RTDC4016\2017-02-05 --exclude "*" --recursive --include "*20170205*" &amp; "%USERPROFILE%\Documents\GitHub\mrs-test-scripts\Headless Mode &amp; Sideloading\WalkAndUnGZ.bat" "%USERPROFILE%\AppData\Local\Temp\OnboardLogs"\RTDC4016\2017-02-05 &amp; aws s3 cp s3://rtdc.mdm.uploadarchive.raw/RTDC4016/ "%USERPROFILE%\AppData\Local\Temp\OnboardLogs"\RTDC4016\2017-02-06 --exclude "*" --recursive --include "*20170206*" &amp; "%USERPROFILE%\Documents\GitHub\mrs-test-scripts\Headless Mode &amp; Sideloading\WalkAndUnGZ.bat" "%USERPROFILE%\AppData\Local\Temp\OnboardLogs"\RTDC4016\2017-02-06</v>
      </c>
      <c r="S23" s="92" t="str">
        <f>VLOOKUP(C23,'Train Runs'!$A$13:$AE$9961,22,0)</f>
        <v>https://d0f6bd738d7f1b3e5a7ca70fe4ff75f0.us-east-1.aws.found.io/app/kibana#/discover/Steve-Slow-Train-Analysis-(2080s-and-2083s)?_g=(refreshInterval:(display:Off,pause:!f,section:0,value:0),time:(from:'2017-02-05T15:28:06-0700',mode:absolute,to:'2017-02-05T18:08:34-0700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4016%22')),sort:!(Time.ISO8601,asc))</v>
      </c>
      <c r="T23" s="94" t="str">
        <f>astrogrep_path&amp;" /spath="&amp;search_path&amp;" /stypes=""*"&amp;U23&amp;"*"&amp;TEXT(A23-utc_offset/24,"YYYYMMDD")&amp;LEFT(TEXT(A23-utc_offset/24,"HH"),1)&amp;"*"" /stext="" "&amp;TEXT(A23-utc_offset/24,"HH")&amp;search_regexp&amp;""" /e /r /s"</f>
        <v>"C:\Program Files (x86)\AstroGrep\AstroGrep.exe" /spath="%USERPROFILE%\AppData\Local\Temp\OnboardLogs" /stypes="*4016*201702060*" /stext=" 00:.+((SYSTEM_STATE.+slice.+state.+changed )|(ment ac)|(multiple cpu faults)|(system.+state.+changed )|(\[timeout)|(PRM\|1\|D)|(kpr)|(kdp)|(\|lc)|(penalty))" /e /r /s</v>
      </c>
      <c r="U23" s="9" t="str">
        <f>MID(B23,13,4)</f>
        <v>4016</v>
      </c>
      <c r="V23" s="32">
        <f>A23-utc_offset/24</f>
        <v>42772.005937499998</v>
      </c>
      <c r="W23" s="46" t="str">
        <f>IFERROR(IF(VALUE(LEFT(IF(LEN(C23)=6,"0"&amp;C23,C23),2))&lt;=2,"EC",IF(OR(VALUE(LEFT(IF(LEN(C23)=6,"0"&amp;C23,C23),2))=8,VALUE(LEFT(IF(LEN(C23)=6,"0"&amp;C23,C23),2))=18),"NW","Other")),"Other")</f>
        <v>EC</v>
      </c>
      <c r="X23" s="46" t="str">
        <f>IF(AND(E23="TRACK WARRANT AUTHORITY",G23&lt;10),"OMIT","KEEP")</f>
        <v>KEEP</v>
      </c>
      <c r="Y23" s="108" t="str">
        <f>"echo {""issue"":{""subject"":"""&amp;P23&amp;""",""project_id"":79,""tracker_id"":40,""status_id"":"&amp;redmine_status&amp;",""priority_id"":"&amp;redmine_priority&amp;",""assigned_to_id"":"&amp;redmine_assignee&amp;",""start_date"":"""&amp;TEXT(A23,"YYYY-mm-dd")&amp;""",""description"":"""&amp;Z23&amp;""",""custom_fields"":[{""id"":1,""name"":""Subdivision"",""value"":"""&amp;W23&amp;"""},{""id"":4,""name"":""Milepost"",""value"":"""&amp;K23/10000&amp;"""},{""id"":17,""name"":""Train ID"",""value"":"""&amp;C23&amp;"""},{""id"":16,""name"":""Locomotive ID"",""value"":"""&amp;U23&amp;"""},{""id"":130,""name"":""Impact"",""value"":"""&amp;AA23&amp;"""},{""id"":150,""name"":""Time of Event (Mountain Time)"",""value"":"""&amp;TEXT(A23,"hh:mm:ss")&amp;"""},{""id"":151,""name"":""Denver Issue ID"",""value"":"""&amp;"""},{""id"":178,""name"":""Operational Impact"",""value"":"""&amp;redmine_op_impact&amp;"""},{""id"":179,""name"":""Denver Segment Assigned"",""value"":"""&amp;AB23&amp;"""}]}}"&amp;" | curl -X POST -H ""Content-Type: application/json"" -H ""X-Redmine-API-Key: "&amp;redm_api_key&amp;""" "&amp;redm_url&amp;" --data @-"</f>
        <v>echo {"issue":{"subject":"","project_id":79,"tracker_id":40,"status_id":1,"priority_id":2,"assigned_to_id":23,"start_date":"2017-02-05","description":"","custom_fields":[{"id":1,"name":"Subdivision","value":"EC"},{"id":4,"name":"Milepost","value":"23.3491"},{"id":17,"name":"Train ID","value":"203-05"},{"id":16,"name":"Locomotive ID","value":"4016"},{"id":130,"name":"Impact","value":""},{"id":150,"name":"Time of Event (Mountain Time)","value":"17:08:33"},{"id":151,"name":"Denver Issue ID","value":""},{"id":178,"name":"Operational Impact","value":"Yes"},{"id":179,"name":"Denver Segment Assigned","value":""}]}} | curl -X POST -H "Content-Type: application/json" -H "X-Redmine-API-Key: d6333d4a04012a730768444271f8ca06482dae87" https://secure.xorail.net/redmine/issues.json --data @-</v>
      </c>
      <c r="Z23" s="48"/>
      <c r="AA23" s="48"/>
      <c r="AB23" s="48"/>
      <c r="AC23" s="127" t="str">
        <f>"grep -hSE -A400 ""Enforcement Action"" "&amp;search_path&amp;"\RTDC"&amp;U23&amp;"\*"&amp;U23&amp;"*"&amp;TEXT(A23-utc_offset/24,"YYYYMMDD")&amp;LEFT(TEXT(A23-utc_offset/24,"HH"),1)&amp;"* | grep -SE ""((Enforcement Ac)|(PRM))"" -"</f>
        <v>grep -hSE -A400 "Enforcement Action" "%USERPROFILE%\AppData\Local\Temp\OnboardLogs"\RTDC4016\*4016*201702060* | grep -SE "((Enforcement Ac)|(PRM))" -</v>
      </c>
      <c r="AD23" s="1" t="str">
        <f>"grep -hSE ""Enforcement Action"" "&amp;search_path&amp;"\RTDC"&amp;U23&amp;"\*"&amp;U23&amp;"*"&amp;TEXT(A23-utc_offset/24,"YYYYMMDD")&amp;LEFT(TEXT(A23-utc_offset/24,"HH"),1)&amp;"* &gt;&gt; "&amp;TEXT(Variables!$A$2,"YYYY-MM-DD")&amp;"-SliceDisagreementCheck.txt"</f>
        <v>grep -hSE "Enforcement Action" "%USERPROFILE%\AppData\Local\Temp\OnboardLogs"\RTDC4016\*4016*201702060* &gt;&gt; 2017-02-05-SliceDisagreementCheck.txt</v>
      </c>
      <c r="AE23" s="161" t="str">
        <f t="shared" si="1"/>
        <v>start /low /b %USERPROFILE%\Documents\GitHub\eaglep3\Utilities\DownloadLogsFromS3.py --loco 4016 --day 2017-02-06</v>
      </c>
      <c r="AF23" s="1"/>
    </row>
    <row r="24" spans="1:32" x14ac:dyDescent="0.25">
      <c r="A24" s="32">
        <v>42771.684502314813</v>
      </c>
      <c r="B24" s="30" t="s">
        <v>277</v>
      </c>
      <c r="C24" s="30" t="s">
        <v>512</v>
      </c>
      <c r="D24" s="30" t="s">
        <v>49</v>
      </c>
      <c r="E24" s="30" t="s">
        <v>219</v>
      </c>
      <c r="F24" s="43">
        <v>300</v>
      </c>
      <c r="G24" s="43">
        <v>453</v>
      </c>
      <c r="H24" s="43">
        <v>18968</v>
      </c>
      <c r="I24" s="43">
        <v>20684</v>
      </c>
      <c r="J24" s="30" t="s">
        <v>220</v>
      </c>
      <c r="K24" s="43">
        <v>21299</v>
      </c>
      <c r="L24" s="143" t="s">
        <v>50</v>
      </c>
      <c r="M24" s="144">
        <f>CONVERT((I24-K24)/10000,"mi","ft")*IF(L24="Increasing Mileposts (1)",-1,1)</f>
        <v>324.72000000000003</v>
      </c>
      <c r="N24" s="145" t="str">
        <f>VLOOKUP(C24,'Trips&amp;Operators'!$C$1:$G$99999,5,FALSE)</f>
        <v>HELVIE ADAM</v>
      </c>
      <c r="O24" s="157" t="s">
        <v>185</v>
      </c>
      <c r="P24" s="146"/>
      <c r="Q24" s="30"/>
      <c r="R24" s="89" t="str">
        <f>VLOOKUP(C24,'Train Runs'!$A$13:$AE$9961,31,0)</f>
        <v>aws s3 cp s3://rtdc.mdm.uploadarchive.raw/RTDC4003/ "%USERPROFILE%\AppData\Local\Temp\OnboardLogs"\RTDC4003\2017-02-05 --exclude "*" --recursive --include "*20170205*" &amp; "%USERPROFILE%\Documents\GitHub\mrs-test-scripts\Headless Mode &amp; Sideloading\WalkAndUnGZ.bat" "%USERPROFILE%\AppData\Local\Temp\OnboardLogs"\RTDC4003\2017-02-05 &amp; aws s3 cp s3://rtdc.mdm.uploadarchive.raw/RTDC4003/ "%USERPROFILE%\AppData\Local\Temp\OnboardLogs"\RTDC4003\2017-02-06 --exclude "*" --recursive --include "*20170206*" &amp; "%USERPROFILE%\Documents\GitHub\mrs-test-scripts\Headless Mode &amp; Sideloading\WalkAndUnGZ.bat" "%USERPROFILE%\AppData\Local\Temp\OnboardLogs"\RTDC4003\2017-02-06</v>
      </c>
      <c r="S24" s="92" t="str">
        <f>VLOOKUP(C24,'Train Runs'!$A$13:$AE$9961,22,0)</f>
        <v>https://d0f6bd738d7f1b3e5a7ca70fe4ff75f0.us-east-1.aws.found.io/app/kibana#/discover/Steve-Slow-Train-Analysis-(2080s-and-2083s)?_g=(refreshInterval:(display:Off,pause:!f,section:0,value:0),time:(from:'2017-02-05T15:18:02-0700',mode:absolute,to:'2017-02-05T17:34:51-0700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4003%22')),sort:!(Time.ISO8601,asc))</v>
      </c>
      <c r="T24" s="94" t="str">
        <f>astrogrep_path&amp;" /spath="&amp;search_path&amp;" /stypes=""*"&amp;U24&amp;"*"&amp;TEXT(A24-utc_offset/24,"YYYYMMDD")&amp;LEFT(TEXT(A24-utc_offset/24,"HH"),1)&amp;"*"" /stext="" "&amp;TEXT(A24-utc_offset/24,"HH")&amp;search_regexp&amp;""" /e /r /s"</f>
        <v>"C:\Program Files (x86)\AstroGrep\AstroGrep.exe" /spath="%USERPROFILE%\AppData\Local\Temp\OnboardLogs" /stypes="*4003*201702052*" /stext=" 23:.+((SYSTEM_STATE.+slice.+state.+changed )|(ment ac)|(multiple cpu faults)|(system.+state.+changed )|(\[timeout)|(PRM\|1\|D)|(kpr)|(kdp)|(\|lc)|(penalty))" /e /r /s</v>
      </c>
      <c r="U24" s="9" t="str">
        <f>MID(B24,13,4)</f>
        <v>4003</v>
      </c>
      <c r="V24" s="32">
        <f>A24-utc_offset/24</f>
        <v>42771.976168981477</v>
      </c>
      <c r="W24" s="46" t="str">
        <f>IFERROR(IF(VALUE(LEFT(IF(LEN(C24)=6,"0"&amp;C24,C24),2))&lt;=2,"EC",IF(OR(VALUE(LEFT(IF(LEN(C24)=6,"0"&amp;C24,C24),2))=8,VALUE(LEFT(IF(LEN(C24)=6,"0"&amp;C24,C24),2))=18),"NW","Other")),"Other")</f>
        <v>NW</v>
      </c>
      <c r="X24" s="46" t="str">
        <f>IF(AND(E24="TRACK WARRANT AUTHORITY",G24&lt;10),"OMIT","KEEP")</f>
        <v>KEEP</v>
      </c>
      <c r="Y24" s="108" t="str">
        <f>"echo {""issue"":{""subject"":"""&amp;P24&amp;""",""project_id"":79,""tracker_id"":40,""status_id"":"&amp;redmine_status&amp;",""priority_id"":"&amp;redmine_priority&amp;",""assigned_to_id"":"&amp;redmine_assignee&amp;",""start_date"":"""&amp;TEXT(A24,"YYYY-mm-dd")&amp;""",""description"":"""&amp;Z24&amp;""",""custom_fields"":[{""id"":1,""name"":""Subdivision"",""value"":"""&amp;W24&amp;"""},{""id"":4,""name"":""Milepost"",""value"":"""&amp;K24/10000&amp;"""},{""id"":17,""name"":""Train ID"",""value"":"""&amp;C24&amp;"""},{""id"":16,""name"":""Locomotive ID"",""value"":"""&amp;U24&amp;"""},{""id"":130,""name"":""Impact"",""value"":"""&amp;AA24&amp;"""},{""id"":150,""name"":""Time of Event (Mountain Time)"",""value"":"""&amp;TEXT(A24,"hh:mm:ss")&amp;"""},{""id"":151,""name"":""Denver Issue ID"",""value"":"""&amp;"""},{""id"":178,""name"":""Operational Impact"",""value"":"""&amp;redmine_op_impact&amp;"""},{""id"":179,""name"":""Denver Segment Assigned"",""value"":"""&amp;AB24&amp;"""}]}}"&amp;" | curl -X POST -H ""Content-Type: application/json"" -H ""X-Redmine-API-Key: "&amp;redm_api_key&amp;""" "&amp;redm_url&amp;" --data @-"</f>
        <v>echo {"issue":{"subject":"","project_id":79,"tracker_id":40,"status_id":1,"priority_id":2,"assigned_to_id":23,"start_date":"2017-02-05","description":"","custom_fields":[{"id":1,"name":"Subdivision","value":"NW"},{"id":4,"name":"Milepost","value":"2.1299"},{"id":17,"name":"Train ID","value":"1821-05"},{"id":16,"name":"Locomotive ID","value":"4003"},{"id":130,"name":"Impact","value":""},{"id":150,"name":"Time of Event (Mountain Time)","value":"16:25:41"},{"id":151,"name":"Denver Issue ID","value":""},{"id":178,"name":"Operational Impact","value":"Yes"},{"id":179,"name":"Denver Segment Assigned","value":""}]}} | curl -X POST -H "Content-Type: application/json" -H "X-Redmine-API-Key: d6333d4a04012a730768444271f8ca06482dae87" https://secure.xorail.net/redmine/issues.json --data @-</v>
      </c>
      <c r="Z24" s="48"/>
      <c r="AA24" s="48"/>
      <c r="AB24" s="48"/>
      <c r="AC24" s="127" t="str">
        <f>"grep -hSE -A400 ""Enforcement Action"" "&amp;search_path&amp;"\RTDC"&amp;U24&amp;"\*"&amp;U24&amp;"*"&amp;TEXT(A24-utc_offset/24,"YYYYMMDD")&amp;LEFT(TEXT(A24-utc_offset/24,"HH"),1)&amp;"* | grep -SE ""((Enforcement Ac)|(PRM))"" -"</f>
        <v>grep -hSE -A400 "Enforcement Action" "%USERPROFILE%\AppData\Local\Temp\OnboardLogs"\RTDC4003\*4003*201702052* | grep -SE "((Enforcement Ac)|(PRM))" -</v>
      </c>
      <c r="AD24" s="1" t="str">
        <f>"grep -hSE ""Enforcement Action"" "&amp;search_path&amp;"\RTDC"&amp;U24&amp;"\*"&amp;U24&amp;"*"&amp;TEXT(A24-utc_offset/24,"YYYYMMDD")&amp;LEFT(TEXT(A24-utc_offset/24,"HH"),1)&amp;"* &gt;&gt; "&amp;TEXT(Variables!$A$2,"YYYY-MM-DD")&amp;"-SliceDisagreementCheck.txt"</f>
        <v>grep -hSE "Enforcement Action" "%USERPROFILE%\AppData\Local\Temp\OnboardLogs"\RTDC4003\*4003*201702052* &gt;&gt; 2017-02-05-SliceDisagreementCheck.txt</v>
      </c>
      <c r="AE24" s="161" t="str">
        <f t="shared" si="1"/>
        <v>start /low /b %USERPROFILE%\Documents\GitHub\eaglep3\Utilities\DownloadLogsFromS3.py --loco 4003 --day 2017-02-05</v>
      </c>
      <c r="AF24" s="1"/>
    </row>
    <row r="25" spans="1:32" x14ac:dyDescent="0.25">
      <c r="A25" s="32">
        <v>42771.769050925926</v>
      </c>
      <c r="B25" s="30" t="s">
        <v>277</v>
      </c>
      <c r="C25" s="30" t="s">
        <v>517</v>
      </c>
      <c r="D25" s="30" t="s">
        <v>49</v>
      </c>
      <c r="E25" s="30" t="s">
        <v>186</v>
      </c>
      <c r="F25" s="43">
        <v>0</v>
      </c>
      <c r="G25" s="43">
        <v>266</v>
      </c>
      <c r="H25" s="43">
        <v>32774</v>
      </c>
      <c r="I25" s="43">
        <v>33406</v>
      </c>
      <c r="J25" s="30" t="s">
        <v>187</v>
      </c>
      <c r="K25" s="43">
        <v>34583</v>
      </c>
      <c r="L25" s="143" t="s">
        <v>50</v>
      </c>
      <c r="M25" s="144">
        <f>CONVERT((I25-K25)/10000,"mi","ft")*IF(L25="Increasing Mileposts (1)",-1,1)</f>
        <v>621.45600000000002</v>
      </c>
      <c r="N25" s="145" t="str">
        <f>VLOOKUP(C25,'Trips&amp;Operators'!$C$1:$G$99999,5,FALSE)</f>
        <v>HELVIE ADAM</v>
      </c>
      <c r="O25" s="157" t="s">
        <v>185</v>
      </c>
      <c r="P25" s="146" t="s">
        <v>913</v>
      </c>
      <c r="Q25" s="30"/>
      <c r="R25" s="89" t="str">
        <f>VLOOKUP(C25,'Train Runs'!$A$13:$AE$9961,31,0)</f>
        <v>aws s3 cp s3://rtdc.mdm.uploadarchive.raw/RTDC4003/ "%USERPROFILE%\AppData\Local\Temp\OnboardLogs"\RTDC4003\2017-02-05 --exclude "*" --recursive --include "*20170205*" &amp; "%USERPROFILE%\Documents\GitHub\mrs-test-scripts\Headless Mode &amp; Sideloading\WalkAndUnGZ.bat" "%USERPROFILE%\AppData\Local\Temp\OnboardLogs"\RTDC4003\2017-02-05 &amp; aws s3 cp s3://rtdc.mdm.uploadarchive.raw/RTDC4003/ "%USERPROFILE%\AppData\Local\Temp\OnboardLogs"\RTDC4003\2017-02-06 --exclude "*" --recursive --include "*20170206*" &amp; "%USERPROFILE%\Documents\GitHub\mrs-test-scripts\Headless Mode &amp; Sideloading\WalkAndUnGZ.bat" "%USERPROFILE%\AppData\Local\Temp\OnboardLogs"\RTDC4003\2017-02-06</v>
      </c>
      <c r="S25" s="92" t="str">
        <f>VLOOKUP(C25,'Train Runs'!$A$13:$AE$9961,22,0)</f>
        <v>https://d0f6bd738d7f1b3e5a7ca70fe4ff75f0.us-east-1.aws.found.io/app/kibana#/discover/Steve-Slow-Train-Analysis-(2080s-and-2083s)?_g=(refreshInterval:(display:Off,pause:!f,section:0,value:0),time:(from:'2017-02-05T17:15:50-0700',mode:absolute,to:'2017-02-05T19:35:15-0700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4003%22')),sort:!(Time.ISO8601,asc))</v>
      </c>
      <c r="T25" s="94" t="str">
        <f>astrogrep_path&amp;" /spath="&amp;search_path&amp;" /stypes=""*"&amp;U25&amp;"*"&amp;TEXT(A25-utc_offset/24,"YYYYMMDD")&amp;LEFT(TEXT(A25-utc_offset/24,"HH"),1)&amp;"*"" /stext="" "&amp;TEXT(A25-utc_offset/24,"HH")&amp;search_regexp&amp;""" /e /r /s"</f>
        <v>"C:\Program Files (x86)\AstroGrep\AstroGrep.exe" /spath="%USERPROFILE%\AppData\Local\Temp\OnboardLogs" /stypes="*4003*201702060*" /stext=" 01:.+((SYSTEM_STATE.+slice.+state.+changed )|(ment ac)|(multiple cpu faults)|(system.+state.+changed )|(\[timeout)|(PRM\|1\|D)|(kpr)|(kdp)|(\|lc)|(penalty))" /e /r /s</v>
      </c>
      <c r="U25" s="9" t="str">
        <f>MID(B25,13,4)</f>
        <v>4003</v>
      </c>
      <c r="V25" s="32">
        <f>A25-utc_offset/24</f>
        <v>42772.060717592591</v>
      </c>
      <c r="W25" s="46" t="str">
        <f>IFERROR(IF(VALUE(LEFT(IF(LEN(C25)=6,"0"&amp;C25,C25),2))&lt;=2,"EC",IF(OR(VALUE(LEFT(IF(LEN(C25)=6,"0"&amp;C25,C25),2))=8,VALUE(LEFT(IF(LEN(C25)=6,"0"&amp;C25,C25),2))=18),"NW","Other")),"Other")</f>
        <v>NW</v>
      </c>
      <c r="X25" s="46" t="str">
        <f>IF(AND(E25="TRACK WARRANT AUTHORITY",G25&lt;10),"OMIT","KEEP")</f>
        <v>KEEP</v>
      </c>
      <c r="Y25" s="108" t="str">
        <f>"echo {""issue"":{""subject"":"""&amp;P25&amp;""",""project_id"":79,""tracker_id"":40,""status_id"":"&amp;redmine_status&amp;",""priority_id"":"&amp;redmine_priority&amp;",""assigned_to_id"":"&amp;redmine_assignee&amp;",""start_date"":"""&amp;TEXT(A25,"YYYY-mm-dd")&amp;""",""description"":"""&amp;Z25&amp;""",""custom_fields"":[{""id"":1,""name"":""Subdivision"",""value"":"""&amp;W25&amp;"""},{""id"":4,""name"":""Milepost"",""value"":"""&amp;K25/10000&amp;"""},{""id"":17,""name"":""Train ID"",""value"":"""&amp;C25&amp;"""},{""id"":16,""name"":""Locomotive ID"",""value"":"""&amp;U25&amp;"""},{""id"":130,""name"":""Impact"",""value"":"""&amp;AA25&amp;"""},{""id"":150,""name"":""Time of Event (Mountain Time)"",""value"":"""&amp;TEXT(A25,"hh:mm:ss")&amp;"""},{""id"":151,""name"":""Denver Issue ID"",""value"":"""&amp;"""},{""id"":178,""name"":""Operational Impact"",""value"":"""&amp;redmine_op_impact&amp;"""},{""id"":179,""name"":""Denver Segment Assigned"",""value"":"""&amp;AB25&amp;"""}]}}"&amp;" | curl -X POST -H ""Content-Type: application/json"" -H ""X-Redmine-API-Key: "&amp;redm_api_key&amp;""" "&amp;redm_url&amp;" --data @-"</f>
        <v>echo {"issue":{"subject":"Restricting aspect","project_id":79,"tracker_id":40,"status_id":1,"priority_id":2,"assigned_to_id":23,"start_date":"2017-02-05","description":"","custom_fields":[{"id":1,"name":"Subdivision","value":"NW"},{"id":4,"name":"Milepost","value":"3.4583"},{"id":17,"name":"Train ID","value":"1825-05"},{"id":16,"name":"Locomotive ID","value":"4003"},{"id":130,"name":"Impact","value":""},{"id":150,"name":"Time of Event (Mountain Time)","value":"18:27:26"},{"id":151,"name":"Denver Issue ID","value":""},{"id":178,"name":"Operational Impact","value":"Yes"},{"id":179,"name":"Denver Segment Assigned","value":""}]}} | curl -X POST -H "Content-Type: application/json" -H "X-Redmine-API-Key: d6333d4a04012a730768444271f8ca06482dae87" https://secure.xorail.net/redmine/issues.json --data @-</v>
      </c>
      <c r="Z25" s="48"/>
      <c r="AA25" s="48"/>
      <c r="AB25" s="48"/>
      <c r="AC25" s="127" t="str">
        <f>"grep -hSE -A400 ""Enforcement Action"" "&amp;search_path&amp;"\RTDC"&amp;U25&amp;"\*"&amp;U25&amp;"*"&amp;TEXT(A25-utc_offset/24,"YYYYMMDD")&amp;LEFT(TEXT(A25-utc_offset/24,"HH"),1)&amp;"* | grep -SE ""((Enforcement Ac)|(PRM))"" -"</f>
        <v>grep -hSE -A400 "Enforcement Action" "%USERPROFILE%\AppData\Local\Temp\OnboardLogs"\RTDC4003\*4003*201702060* | grep -SE "((Enforcement Ac)|(PRM))" -</v>
      </c>
      <c r="AD25" s="1" t="str">
        <f>"grep -hSE ""Enforcement Action"" "&amp;search_path&amp;"\RTDC"&amp;U25&amp;"\*"&amp;U25&amp;"*"&amp;TEXT(A25-utc_offset/24,"YYYYMMDD")&amp;LEFT(TEXT(A25-utc_offset/24,"HH"),1)&amp;"* &gt;&gt; "&amp;TEXT(Variables!$A$2,"YYYY-MM-DD")&amp;"-SliceDisagreementCheck.txt"</f>
        <v>grep -hSE "Enforcement Action" "%USERPROFILE%\AppData\Local\Temp\OnboardLogs"\RTDC4003\*4003*201702060* &gt;&gt; 2017-02-05-SliceDisagreementCheck.txt</v>
      </c>
      <c r="AE25" s="161" t="str">
        <f t="shared" si="1"/>
        <v>start /low /b %USERPROFILE%\Documents\GitHub\eaglep3\Utilities\DownloadLogsFromS3.py --loco 4003 --day 2017-02-06</v>
      </c>
      <c r="AF25" s="1"/>
    </row>
    <row r="26" spans="1:32" x14ac:dyDescent="0.25">
      <c r="A26" s="32">
        <v>42771.621168981481</v>
      </c>
      <c r="B26" s="30" t="s">
        <v>278</v>
      </c>
      <c r="C26" s="30" t="s">
        <v>509</v>
      </c>
      <c r="D26" s="30" t="s">
        <v>49</v>
      </c>
      <c r="E26" s="30" t="s">
        <v>188</v>
      </c>
      <c r="F26" s="43">
        <v>0</v>
      </c>
      <c r="G26" s="43">
        <v>53</v>
      </c>
      <c r="H26" s="43">
        <v>769</v>
      </c>
      <c r="I26" s="43">
        <v>726</v>
      </c>
      <c r="J26" s="30" t="s">
        <v>189</v>
      </c>
      <c r="K26" s="43">
        <v>575</v>
      </c>
      <c r="L26" s="143" t="s">
        <v>51</v>
      </c>
      <c r="M26" s="144">
        <f>CONVERT((I26-K26)/10000,"mi","ft")*IF(L26="Increasing Mileposts (1)",-1,1)</f>
        <v>79.727999999999994</v>
      </c>
      <c r="N26" s="145" t="str">
        <f>VLOOKUP(C26,'Trips&amp;Operators'!$C$1:$G$99999,5,FALSE)</f>
        <v>HELVIE ADAM</v>
      </c>
      <c r="O26" s="157" t="s">
        <v>185</v>
      </c>
      <c r="P26" s="146"/>
      <c r="Q26" s="30"/>
      <c r="R26" s="89" t="str">
        <f>VLOOKUP(C26,'Train Runs'!$A$13:$AE$9961,31,0)</f>
        <v>aws s3 cp s3://rtdc.mdm.uploadarchive.raw/RTDC4004/ "%USERPROFILE%\AppData\Local\Temp\OnboardLogs"\RTDC4004\2017-02-05 --exclude "*" --recursive --include "*20170205*" &amp; "%USERPROFILE%\Documents\GitHub\mrs-test-scripts\Headless Mode &amp; Sideloading\WalkAndUnGZ.bat" "%USERPROFILE%\AppData\Local\Temp\OnboardLogs"\RTDC4004\2017-02-05 &amp; aws s3 cp s3://rtdc.mdm.uploadarchive.raw/RTDC4004/ "%USERPROFILE%\AppData\Local\Temp\OnboardLogs"\RTDC4004\2017-02-06 --exclude "*" --recursive --include "*20170206*" &amp; "%USERPROFILE%\Documents\GitHub\mrs-test-scripts\Headless Mode &amp; Sideloading\WalkAndUnGZ.bat" "%USERPROFILE%\AppData\Local\Temp\OnboardLogs"\RTDC4004\2017-02-06</v>
      </c>
      <c r="S26" s="92" t="str">
        <f>VLOOKUP(C26,'Train Runs'!$A$13:$AE$9961,22,0)</f>
        <v>https://d0f6bd738d7f1b3e5a7ca70fe4ff75f0.us-east-1.aws.found.io/app/kibana#/discover/Steve-Slow-Train-Analysis-(2080s-and-2083s)?_g=(refreshInterval:(display:Off,pause:!f,section:0,value:0),time:(from:'2017-02-05T13:35:37-0700',mode:absolute,to:'2017-02-05T15:54:29-0700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4004%22')),sort:!(Time.ISO8601,asc))</v>
      </c>
      <c r="T26" s="94" t="str">
        <f>astrogrep_path&amp;" /spath="&amp;search_path&amp;" /stypes=""*"&amp;U26&amp;"*"&amp;TEXT(A26-utc_offset/24,"YYYYMMDD")&amp;LEFT(TEXT(A26-utc_offset/24,"HH"),1)&amp;"*"" /stext="" "&amp;TEXT(A26-utc_offset/24,"HH")&amp;search_regexp&amp;""" /e /r /s"</f>
        <v>"C:\Program Files (x86)\AstroGrep\AstroGrep.exe" /spath="%USERPROFILE%\AppData\Local\Temp\OnboardLogs" /stypes="*4004*201702052*" /stext=" 21:.+((SYSTEM_STATE.+slice.+state.+changed )|(ment ac)|(multiple cpu faults)|(system.+state.+changed )|(\[timeout)|(PRM\|1\|D)|(kpr)|(kdp)|(\|lc)|(penalty))" /e /r /s</v>
      </c>
      <c r="U26" s="9" t="str">
        <f>MID(B26,13,4)</f>
        <v>4004</v>
      </c>
      <c r="V26" s="32">
        <f>A26-utc_offset/24</f>
        <v>42771.912835648145</v>
      </c>
      <c r="W26" s="46" t="str">
        <f>IFERROR(IF(VALUE(LEFT(IF(LEN(C26)=6,"0"&amp;C26,C26),2))&lt;=2,"EC",IF(OR(VALUE(LEFT(IF(LEN(C26)=6,"0"&amp;C26,C26),2))=8,VALUE(LEFT(IF(LEN(C26)=6,"0"&amp;C26,C26),2))=18),"NW","Other")),"Other")</f>
        <v>NW</v>
      </c>
      <c r="X26" s="46" t="str">
        <f>IF(AND(E26="TRACK WARRANT AUTHORITY",G26&lt;10),"OMIT","KEEP")</f>
        <v>KEEP</v>
      </c>
      <c r="Y26" s="108" t="str">
        <f>"echo {""issue"":{""subject"":"""&amp;P26&amp;""",""project_id"":79,""tracker_id"":40,""status_id"":"&amp;redmine_status&amp;",""priority_id"":"&amp;redmine_priority&amp;",""assigned_to_id"":"&amp;redmine_assignee&amp;",""start_date"":"""&amp;TEXT(A26,"YYYY-mm-dd")&amp;""",""description"":"""&amp;Z26&amp;""",""custom_fields"":[{""id"":1,""name"":""Subdivision"",""value"":"""&amp;W26&amp;"""},{""id"":4,""name"":""Milepost"",""value"":"""&amp;K26/10000&amp;"""},{""id"":17,""name"":""Train ID"",""value"":"""&amp;C26&amp;"""},{""id"":16,""name"":""Locomotive ID"",""value"":"""&amp;U26&amp;"""},{""id"":130,""name"":""Impact"",""value"":"""&amp;AA26&amp;"""},{""id"":150,""name"":""Time of Event (Mountain Time)"",""value"":"""&amp;TEXT(A26,"hh:mm:ss")&amp;"""},{""id"":151,""name"":""Denver Issue ID"",""value"":"""&amp;"""},{""id"":178,""name"":""Operational Impact"",""value"":"""&amp;redmine_op_impact&amp;"""},{""id"":179,""name"":""Denver Segment Assigned"",""value"":"""&amp;AB26&amp;"""}]}}"&amp;" | curl -X POST -H ""Content-Type: application/json"" -H ""X-Redmine-API-Key: "&amp;redm_api_key&amp;""" "&amp;redm_url&amp;" --data @-"</f>
        <v>echo {"issue":{"subject":"","project_id":79,"tracker_id":40,"status_id":1,"priority_id":2,"assigned_to_id":23,"start_date":"2017-02-05","description":"","custom_fields":[{"id":1,"name":"Subdivision","value":"NW"},{"id":4,"name":"Milepost","value":"0.0575"},{"id":17,"name":"Train ID","value":"1818-05"},{"id":16,"name":"Locomotive ID","value":"4004"},{"id":130,"name":"Impact","value":""},{"id":150,"name":"Time of Event (Mountain Time)","value":"14:54:29"},{"id":151,"name":"Denver Issue ID","value":""},{"id":178,"name":"Operational Impact","value":"Yes"},{"id":179,"name":"Denver Segment Assigned","value":""}]}} | curl -X POST -H "Content-Type: application/json" -H "X-Redmine-API-Key: d6333d4a04012a730768444271f8ca06482dae87" https://secure.xorail.net/redmine/issues.json --data @-</v>
      </c>
      <c r="Z26" s="48"/>
      <c r="AA26" s="48"/>
      <c r="AB26" s="48"/>
      <c r="AC26" s="127" t="str">
        <f>"grep -hSE -A400 ""Enforcement Action"" "&amp;search_path&amp;"\RTDC"&amp;U26&amp;"\*"&amp;U26&amp;"*"&amp;TEXT(A26-utc_offset/24,"YYYYMMDD")&amp;LEFT(TEXT(A26-utc_offset/24,"HH"),1)&amp;"* | grep -SE ""((Enforcement Ac)|(PRM))"" -"</f>
        <v>grep -hSE -A400 "Enforcement Action" "%USERPROFILE%\AppData\Local\Temp\OnboardLogs"\RTDC4004\*4004*201702052* | grep -SE "((Enforcement Ac)|(PRM))" -</v>
      </c>
      <c r="AD26" s="1" t="str">
        <f>"grep -hSE ""Enforcement Action"" "&amp;search_path&amp;"\RTDC"&amp;U26&amp;"\*"&amp;U26&amp;"*"&amp;TEXT(A26-utc_offset/24,"YYYYMMDD")&amp;LEFT(TEXT(A26-utc_offset/24,"HH"),1)&amp;"* &gt;&gt; "&amp;TEXT(Variables!$A$2,"YYYY-MM-DD")&amp;"-SliceDisagreementCheck.txt"</f>
        <v>grep -hSE "Enforcement Action" "%USERPROFILE%\AppData\Local\Temp\OnboardLogs"\RTDC4004\*4004*201702052* &gt;&gt; 2017-02-05-SliceDisagreementCheck.txt</v>
      </c>
      <c r="AE26" s="161" t="str">
        <f t="shared" si="1"/>
        <v>start /low /b %USERPROFILE%\Documents\GitHub\eaglep3\Utilities\DownloadLogsFromS3.py --loco 4004 --day 2017-02-05</v>
      </c>
      <c r="AF26" s="1"/>
    </row>
    <row r="27" spans="1:32" x14ac:dyDescent="0.25">
      <c r="A27" s="32">
        <v>42771.990543981483</v>
      </c>
      <c r="B27" s="30" t="s">
        <v>521</v>
      </c>
      <c r="C27" s="30" t="s">
        <v>522</v>
      </c>
      <c r="D27" s="30" t="s">
        <v>98</v>
      </c>
      <c r="E27" s="30" t="s">
        <v>201</v>
      </c>
      <c r="F27" s="43">
        <v>120</v>
      </c>
      <c r="G27" s="43">
        <v>179</v>
      </c>
      <c r="H27" s="43">
        <v>27167</v>
      </c>
      <c r="I27" s="43">
        <v>26941</v>
      </c>
      <c r="J27" s="30" t="s">
        <v>202</v>
      </c>
      <c r="K27" s="43">
        <v>27350</v>
      </c>
      <c r="L27" s="143" t="s">
        <v>51</v>
      </c>
      <c r="M27" s="144">
        <f>CONVERT((I27-K27)/10000,"mi","ft")*IF(L27="Increasing Mileposts (1)",-1,1)</f>
        <v>-215.952</v>
      </c>
      <c r="N27" s="145" t="str">
        <f>VLOOKUP(C27,'Trips&amp;Operators'!$C$1:$G$99999,5,FALSE)</f>
        <v>SIMMONS SHYHESHA</v>
      </c>
      <c r="O27" s="157" t="s">
        <v>185</v>
      </c>
      <c r="P27" s="146"/>
      <c r="Q27" s="30"/>
      <c r="R27" s="89" t="str">
        <f>VLOOKUP(C27,'Train Runs'!$A$13:$AE$9961,31,0)</f>
        <v>aws s3 cp s3://rtdc.mdm.uploadarchive.raw/RTDC4056/ "%USERPROFILE%\AppData\Local\Temp\OnboardLogs"\RTDC4056\2017-02-05 --exclude "*" --recursive --include "*20170205*" &amp; "%USERPROFILE%\Documents\GitHub\mrs-test-scripts\Headless Mode &amp; Sideloading\WalkAndUnGZ.bat" "%USERPROFILE%\AppData\Local\Temp\OnboardLogs"\RTDC4056\2017-02-05 &amp; aws s3 cp s3://rtdc.mdm.uploadarchive.raw/RTDC4056/ "%USERPROFILE%\AppData\Local\Temp\OnboardLogs"\RTDC4056\2017-02-06 --exclude "*" --recursive --include "*20170206*" &amp; "%USERPROFILE%\Documents\GitHub\mrs-test-scripts\Headless Mode &amp; Sideloading\WalkAndUnGZ.bat" "%USERPROFILE%\AppData\Local\Temp\OnboardLogs"\RTDC4056\2017-02-06</v>
      </c>
      <c r="S27" s="92" t="str">
        <f>VLOOKUP(C27,'Train Runs'!$A$13:$AE$9961,22,0)</f>
        <v>https://d0f6bd738d7f1b3e5a7ca70fe4ff75f0.us-east-1.aws.found.io/app/kibana#/discover/Steve-Slow-Train-Analysis-(2080s-and-2083s)?_g=(refreshInterval:(display:Off,pause:!f,section:0,value:0),time:(from:'2017-02-05T20:08:56-0700',mode:absolute,to:'2017-02-05T22:49:20-0700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4056%22')),sort:!(Time.ISO8601,asc))</v>
      </c>
      <c r="T27" s="94" t="str">
        <f>astrogrep_path&amp;" /spath="&amp;search_path&amp;" /stypes=""*"&amp;U27&amp;"*"&amp;TEXT(A27-utc_offset/24,"YYYYMMDD")&amp;LEFT(TEXT(A27-utc_offset/24,"HH"),1)&amp;"*"" /stext="" "&amp;TEXT(A27-utc_offset/24,"HH")&amp;search_regexp&amp;""" /e /r /s"</f>
        <v>"C:\Program Files (x86)\AstroGrep\AstroGrep.exe" /spath="%USERPROFILE%\AppData\Local\Temp\OnboardLogs" /stypes="*4056*201702060*" /stext=" 06:.+((SYSTEM_STATE.+slice.+state.+changed )|(ment ac)|(multiple cpu faults)|(system.+state.+changed )|(\[timeout)|(PRM\|1\|D)|(kpr)|(kdp)|(\|lc)|(penalty))" /e /r /s</v>
      </c>
      <c r="U27" s="9" t="str">
        <f>MID(B27,13,4)</f>
        <v>4056</v>
      </c>
      <c r="V27" s="32">
        <f>A27-utc_offset/24</f>
        <v>42772.282210648147</v>
      </c>
      <c r="W27" s="46" t="str">
        <f>IFERROR(IF(VALUE(LEFT(IF(LEN(C27)=6,"0"&amp;C27,C27),2))&lt;=2,"EC",IF(OR(VALUE(LEFT(IF(LEN(C27)=6,"0"&amp;C27,C27),2))=8,VALUE(LEFT(IF(LEN(C27)=6,"0"&amp;C27,C27),2))=18),"NW","Other")),"Other")</f>
        <v>Other</v>
      </c>
      <c r="X27" s="46" t="str">
        <f>IF(AND(E27="TRACK WARRANT AUTHORITY",G27&lt;10),"OMIT","KEEP")</f>
        <v>KEEP</v>
      </c>
      <c r="Y27" s="108" t="str">
        <f>"echo {""issue"":{""subject"":"""&amp;P27&amp;""",""project_id"":79,""tracker_id"":40,""status_id"":"&amp;redmine_status&amp;",""priority_id"":"&amp;redmine_priority&amp;",""assigned_to_id"":"&amp;redmine_assignee&amp;",""start_date"":"""&amp;TEXT(A27,"YYYY-mm-dd")&amp;""",""description"":"""&amp;Z27&amp;""",""custom_fields"":[{""id"":1,""name"":""Subdivision"",""value"":"""&amp;W27&amp;"""},{""id"":4,""name"":""Milepost"",""value"":"""&amp;K27/10000&amp;"""},{""id"":17,""name"":""Train ID"",""value"":"""&amp;C27&amp;"""},{""id"":16,""name"":""Locomotive ID"",""value"":"""&amp;U27&amp;"""},{""id"":130,""name"":""Impact"",""value"":"""&amp;AA27&amp;"""},{""id"":150,""name"":""Time of Event (Mountain Time)"",""value"":"""&amp;TEXT(A27,"hh:mm:ss")&amp;"""},{""id"":151,""name"":""Denver Issue ID"",""value"":"""&amp;"""},{""id"":178,""name"":""Operational Impact"",""value"":"""&amp;redmine_op_impact&amp;"""},{""id"":179,""name"":""Denver Segment Assigned"",""value"":"""&amp;AB27&amp;"""}]}}"&amp;" | curl -X POST -H ""Content-Type: application/json"" -H ""X-Redmine-API-Key: "&amp;redm_api_key&amp;""" "&amp;redm_url&amp;" --data @-"</f>
        <v>echo {"issue":{"subject":"","project_id":79,"tracker_id":40,"status_id":1,"priority_id":2,"assigned_to_id":23,"start_date":"2017-02-05","description":"","custom_fields":[{"id":1,"name":"Subdivision","value":"Other"},{"id":4,"name":"Milepost","value":"2.735"},{"id":17,"name":"Train ID","value":"80-05"},{"id":16,"name":"Locomotive ID","value":"4056"},{"id":130,"name":"Impact","value":""},{"id":150,"name":"Time of Event (Mountain Time)","value":"23:46:23"},{"id":151,"name":"Denver Issue ID","value":""},{"id":178,"name":"Operational Impact","value":"Yes"},{"id":179,"name":"Denver Segment Assigned","value":""}]}} | curl -X POST -H "Content-Type: application/json" -H "X-Redmine-API-Key: d6333d4a04012a730768444271f8ca06482dae87" https://secure.xorail.net/redmine/issues.json --data @-</v>
      </c>
      <c r="Z27" s="48"/>
      <c r="AA27" s="48"/>
      <c r="AB27" s="48"/>
      <c r="AC27" s="127" t="str">
        <f>"grep -hSE -A400 ""Enforcement Action"" "&amp;search_path&amp;"\RTDC"&amp;U27&amp;"\*"&amp;U27&amp;"*"&amp;TEXT(A27-utc_offset/24,"YYYYMMDD")&amp;LEFT(TEXT(A27-utc_offset/24,"HH"),1)&amp;"* | grep -SE ""((Enforcement Ac)|(PRM))"" -"</f>
        <v>grep -hSE -A400 "Enforcement Action" "%USERPROFILE%\AppData\Local\Temp\OnboardLogs"\RTDC4056\*4056*201702060* | grep -SE "((Enforcement Ac)|(PRM))" -</v>
      </c>
      <c r="AD27" s="1" t="str">
        <f>"grep -hSE ""Enforcement Action"" "&amp;search_path&amp;"\RTDC"&amp;U27&amp;"\*"&amp;U27&amp;"*"&amp;TEXT(A27-utc_offset/24,"YYYYMMDD")&amp;LEFT(TEXT(A27-utc_offset/24,"HH"),1)&amp;"* &gt;&gt; "&amp;TEXT(Variables!$A$2,"YYYY-MM-DD")&amp;"-SliceDisagreementCheck.txt"</f>
        <v>grep -hSE "Enforcement Action" "%USERPROFILE%\AppData\Local\Temp\OnboardLogs"\RTDC4056\*4056*201702060* &gt;&gt; 2017-02-05-SliceDisagreementCheck.txt</v>
      </c>
      <c r="AE27" s="161" t="str">
        <f t="shared" si="1"/>
        <v>start /low /b %USERPROFILE%\Documents\GitHub\eaglep3\Utilities\DownloadLogsFromS3.py --loco 4056 --day 2017-02-06</v>
      </c>
      <c r="AF27" s="1"/>
    </row>
    <row r="28" spans="1:32" x14ac:dyDescent="0.25">
      <c r="A28" s="32">
        <v>42771.117615740739</v>
      </c>
      <c r="B28" s="30" t="s">
        <v>245</v>
      </c>
      <c r="C28" s="30" t="s">
        <v>498</v>
      </c>
      <c r="D28" s="30" t="s">
        <v>49</v>
      </c>
      <c r="E28" s="30" t="s">
        <v>219</v>
      </c>
      <c r="F28" s="43">
        <v>300</v>
      </c>
      <c r="G28" s="43">
        <v>356</v>
      </c>
      <c r="H28" s="43">
        <v>20879</v>
      </c>
      <c r="I28" s="43">
        <v>21903</v>
      </c>
      <c r="J28" s="30" t="s">
        <v>220</v>
      </c>
      <c r="K28" s="43">
        <v>21299</v>
      </c>
      <c r="L28" s="143" t="s">
        <v>50</v>
      </c>
      <c r="M28" s="144">
        <f>CONVERT((I28-K28)/10000,"mi","ft")*IF(L28="Increasing Mileposts (1)",-1,1)</f>
        <v>-318.91199999999998</v>
      </c>
      <c r="N28" s="145" t="str">
        <f>VLOOKUP(C28,'Trips&amp;Operators'!$C$1:$G$99999,5,FALSE)</f>
        <v>BROWN JACOB</v>
      </c>
      <c r="O28" s="157" t="s">
        <v>185</v>
      </c>
      <c r="P28" s="146"/>
      <c r="Q28" s="30"/>
      <c r="R28" s="89" t="str">
        <f>VLOOKUP(C28,'Train Runs'!$A$13:$AE$9961,31,0)</f>
        <v>aws s3 cp s3://rtdc.mdm.uploadarchive.raw/RTDC4007/ "%USERPROFILE%\AppData\Local\Temp\OnboardLogs"\RTDC4007\2017-02-05 --exclude "*" --recursive --include "*20170205*" &amp; "%USERPROFILE%\Documents\GitHub\mrs-test-scripts\Headless Mode &amp; Sideloading\WalkAndUnGZ.bat" "%USERPROFILE%\AppData\Local\Temp\OnboardLogs"\RTDC4007\2017-02-05 &amp; aws s3 cp s3://rtdc.mdm.uploadarchive.raw/RTDC4007/ "%USERPROFILE%\AppData\Local\Temp\OnboardLogs"\RTDC4007\2017-02-06 --exclude "*" --recursive --include "*20170206*" &amp; "%USERPROFILE%\Documents\GitHub\mrs-test-scripts\Headless Mode &amp; Sideloading\WalkAndUnGZ.bat" "%USERPROFILE%\AppData\Local\Temp\OnboardLogs"\RTDC4007\2017-02-06</v>
      </c>
      <c r="S28" s="92" t="str">
        <f>VLOOKUP(C28,'Train Runs'!$A$13:$AE$9961,22,0)</f>
        <v>https://d0f6bd738d7f1b3e5a7ca70fe4ff75f0.us-east-1.aws.found.io/app/kibana#/discover/Steve-Slow-Train-Analysis-(2080s-and-2083s)?_g=(refreshInterval:(display:Off,pause:!f,section:0,value:0),time:(from:'2017-02-05T01:41:37-0700',mode:absolute,to:'2017-02-05T03:51:45-0700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4007%22')),sort:!(Time.ISO8601,asc))</v>
      </c>
      <c r="T28" s="94" t="str">
        <f>astrogrep_path&amp;" /spath="&amp;search_path&amp;" /stypes=""*"&amp;U28&amp;"*"&amp;TEXT(A28-utc_offset/24,"YYYYMMDD")&amp;LEFT(TEXT(A28-utc_offset/24,"HH"),1)&amp;"*"" /stext="" "&amp;TEXT(A28-utc_offset/24,"HH")&amp;search_regexp&amp;""" /e /r /s"</f>
        <v>"C:\Program Files (x86)\AstroGrep\AstroGrep.exe" /spath="%USERPROFILE%\AppData\Local\Temp\OnboardLogs" /stypes="*4007*201702050*" /stext=" 09:.+((SYSTEM_STATE.+slice.+state.+changed )|(ment ac)|(multiple cpu faults)|(system.+state.+changed )|(\[timeout)|(PRM\|1\|D)|(kpr)|(kdp)|(\|lc)|(penalty))" /e /r /s</v>
      </c>
      <c r="U28" s="9" t="str">
        <f>MID(B28,13,4)</f>
        <v>4007</v>
      </c>
      <c r="V28" s="32">
        <f>A28-utc_offset/24</f>
        <v>42771.409282407403</v>
      </c>
      <c r="W28" s="46" t="str">
        <f>IFERROR(IF(VALUE(LEFT(IF(LEN(C28)=6,"0"&amp;C28,C28),2))&lt;=2,"EC",IF(OR(VALUE(LEFT(IF(LEN(C28)=6,"0"&amp;C28,C28),2))=8,VALUE(LEFT(IF(LEN(C28)=6,"0"&amp;C28,C28),2))=18),"NW","Other")),"Other")</f>
        <v>Other</v>
      </c>
      <c r="X28" s="46" t="str">
        <f>IF(AND(E28="TRACK WARRANT AUTHORITY",G28&lt;10),"OMIT","KEEP")</f>
        <v>KEEP</v>
      </c>
      <c r="Y28" s="108" t="str">
        <f>"echo {""issue"":{""subject"":"""&amp;P28&amp;""",""project_id"":79,""tracker_id"":40,""status_id"":"&amp;redmine_status&amp;",""priority_id"":"&amp;redmine_priority&amp;",""assigned_to_id"":"&amp;redmine_assignee&amp;",""start_date"":"""&amp;TEXT(A28,"YYYY-mm-dd")&amp;""",""description"":"""&amp;Z28&amp;""",""custom_fields"":[{""id"":1,""name"":""Subdivision"",""value"":"""&amp;W28&amp;"""},{""id"":4,""name"":""Milepost"",""value"":"""&amp;K28/10000&amp;"""},{""id"":17,""name"":""Train ID"",""value"":"""&amp;C28&amp;"""},{""id"":16,""name"":""Locomotive ID"",""value"":"""&amp;U28&amp;"""},{""id"":130,""name"":""Impact"",""value"":"""&amp;AA28&amp;"""},{""id"":150,""name"":""Time of Event (Mountain Time)"",""value"":"""&amp;TEXT(A28,"hh:mm:ss")&amp;"""},{""id"":151,""name"":""Denver Issue ID"",""value"":"""&amp;"""},{""id"":178,""name"":""Operational Impact"",""value"":"""&amp;redmine_op_impact&amp;"""},{""id"":179,""name"":""Denver Segment Assigned"",""value"":"""&amp;AB28&amp;"""}]}}"&amp;" | curl -X POST -H ""Content-Type: application/json"" -H ""X-Redmine-API-Key: "&amp;redm_api_key&amp;""" "&amp;redm_url&amp;" --data @-"</f>
        <v>echo {"issue":{"subject":"","project_id":79,"tracker_id":40,"status_id":1,"priority_id":2,"assigned_to_id":23,"start_date":"2017-02-05","description":"","custom_fields":[{"id":1,"name":"Subdivision","value":"Other"},{"id":4,"name":"Milepost","value":"2.1299"},{"id":17,"name":"Train ID","value":"315-04"},{"id":16,"name":"Locomotive ID","value":"4007"},{"id":130,"name":"Impact","value":""},{"id":150,"name":"Time of Event (Mountain Time)","value":"02:49:22"},{"id":151,"name":"Denver Issue ID","value":""},{"id":178,"name":"Operational Impact","value":"Yes"},{"id":179,"name":"Denver Segment Assigned","value":""}]}} | curl -X POST -H "Content-Type: application/json" -H "X-Redmine-API-Key: d6333d4a04012a730768444271f8ca06482dae87" https://secure.xorail.net/redmine/issues.json --data @-</v>
      </c>
      <c r="Z28" s="48"/>
      <c r="AA28" s="48"/>
      <c r="AB28" s="48"/>
      <c r="AC28" s="127" t="str">
        <f>"grep -hSE -A400 ""Enforcement Action"" "&amp;search_path&amp;"\RTDC"&amp;U28&amp;"\*"&amp;U28&amp;"*"&amp;TEXT(A28-utc_offset/24,"YYYYMMDD")&amp;LEFT(TEXT(A28-utc_offset/24,"HH"),1)&amp;"* | grep -SE ""((Enforcement Ac)|(PRM))"" -"</f>
        <v>grep -hSE -A400 "Enforcement Action" "%USERPROFILE%\AppData\Local\Temp\OnboardLogs"\RTDC4007\*4007*201702050* | grep -SE "((Enforcement Ac)|(PRM))" -</v>
      </c>
      <c r="AD28" s="1" t="str">
        <f>"grep -hSE ""Enforcement Action"" "&amp;search_path&amp;"\RTDC"&amp;U28&amp;"\*"&amp;U28&amp;"*"&amp;TEXT(A28-utc_offset/24,"YYYYMMDD")&amp;LEFT(TEXT(A28-utc_offset/24,"HH"),1)&amp;"* &gt;&gt; "&amp;TEXT(Variables!$A$2,"YYYY-MM-DD")&amp;"-SliceDisagreementCheck.txt"</f>
        <v>grep -hSE "Enforcement Action" "%USERPROFILE%\AppData\Local\Temp\OnboardLogs"\RTDC4007\*4007*201702050* &gt;&gt; 2017-02-05-SliceDisagreementCheck.txt</v>
      </c>
      <c r="AE28" s="161" t="str">
        <f t="shared" si="1"/>
        <v>start /low /b %USERPROFILE%\Documents\GitHub\eaglep3\Utilities\DownloadLogsFromS3.py --loco 4007 --day 2017-02-05</v>
      </c>
      <c r="AF28" s="1"/>
    </row>
    <row r="29" spans="1:32" x14ac:dyDescent="0.25">
      <c r="A29" s="32">
        <v>42771.466296296298</v>
      </c>
      <c r="B29" s="30" t="s">
        <v>214</v>
      </c>
      <c r="C29" s="30" t="s">
        <v>507</v>
      </c>
      <c r="D29" s="30" t="s">
        <v>49</v>
      </c>
      <c r="E29" s="30" t="s">
        <v>188</v>
      </c>
      <c r="F29" s="43">
        <v>0</v>
      </c>
      <c r="G29" s="43">
        <v>42</v>
      </c>
      <c r="H29" s="43">
        <v>140</v>
      </c>
      <c r="I29" s="43">
        <v>108</v>
      </c>
      <c r="J29" s="30" t="s">
        <v>189</v>
      </c>
      <c r="K29" s="43">
        <v>1</v>
      </c>
      <c r="L29" s="143" t="s">
        <v>51</v>
      </c>
      <c r="M29" s="144">
        <f>CONVERT((I29-K29)/10000,"mi","ft")*IF(L29="Increasing Mileposts (1)",-1,1)</f>
        <v>56.496000000000002</v>
      </c>
      <c r="N29" s="145" t="str">
        <f>VLOOKUP(C29,'Trips&amp;Operators'!$C$1:$G$99999,5,FALSE)</f>
        <v>MACDONALD THOMAS</v>
      </c>
      <c r="O29" s="157" t="s">
        <v>185</v>
      </c>
      <c r="P29" s="146"/>
      <c r="Q29" s="30"/>
      <c r="R29" s="89" t="str">
        <f>VLOOKUP(C29,'Train Runs'!$A$13:$AE$9961,31,0)</f>
        <v>aws s3 cp s3://rtdc.mdm.uploadarchive.raw/RTDC4030/ "%USERPROFILE%\AppData\Local\Temp\OnboardLogs"\RTDC4030\2017-02-05 --exclude "*" --recursive --include "*20170205*" &amp; "%USERPROFILE%\Documents\GitHub\mrs-test-scripts\Headless Mode &amp; Sideloading\WalkAndUnGZ.bat" "%USERPROFILE%\AppData\Local\Temp\OnboardLogs"\RTDC4030\2017-02-05 &amp; aws s3 cp s3://rtdc.mdm.uploadarchive.raw/RTDC4030/ "%USERPROFILE%\AppData\Local\Temp\OnboardLogs"\RTDC4030\2017-02-06 --exclude "*" --recursive --include "*20170206*" &amp; "%USERPROFILE%\Documents\GitHub\mrs-test-scripts\Headless Mode &amp; Sideloading\WalkAndUnGZ.bat" "%USERPROFILE%\AppData\Local\Temp\OnboardLogs"\RTDC4030\2017-02-06</v>
      </c>
      <c r="S29" s="92" t="str">
        <f>VLOOKUP(C29,'Train Runs'!$A$13:$AE$9961,22,0)</f>
        <v>https://d0f6bd738d7f1b3e5a7ca70fe4ff75f0.us-east-1.aws.found.io/app/kibana#/discover/Steve-Slow-Train-Analysis-(2080s-and-2083s)?_g=(refreshInterval:(display:Off,pause:!f,section:0,value:0),time:(from:'2017-02-05T10:02:21-0700',mode:absolute,to:'2017-02-05T12:11:28-0700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4030%22')),sort:!(Time.ISO8601,asc))</v>
      </c>
      <c r="T29" s="94" t="str">
        <f>astrogrep_path&amp;" /spath="&amp;search_path&amp;" /stypes=""*"&amp;U29&amp;"*"&amp;TEXT(A29-utc_offset/24,"YYYYMMDD")&amp;LEFT(TEXT(A29-utc_offset/24,"HH"),1)&amp;"*"" /stext="" "&amp;TEXT(A29-utc_offset/24,"HH")&amp;search_regexp&amp;""" /e /r /s"</f>
        <v>"C:\Program Files (x86)\AstroGrep\AstroGrep.exe" /spath="%USERPROFILE%\AppData\Local\Temp\OnboardLogs" /stypes="*4030*201702051*" /stext=" 18:.+((SYSTEM_STATE.+slice.+state.+changed )|(ment ac)|(multiple cpu faults)|(system.+state.+changed )|(\[timeout)|(PRM\|1\|D)|(kpr)|(kdp)|(\|lc)|(penalty))" /e /r /s</v>
      </c>
      <c r="U29" s="9" t="str">
        <f>MID(B29,13,4)</f>
        <v>4030</v>
      </c>
      <c r="V29" s="32">
        <f>A29-utc_offset/24</f>
        <v>42771.757962962962</v>
      </c>
      <c r="W29" s="46" t="str">
        <f>IFERROR(IF(VALUE(LEFT(IF(LEN(C29)=6,"0"&amp;C29,C29),2))&lt;=2,"EC",IF(OR(VALUE(LEFT(IF(LEN(C29)=6,"0"&amp;C29,C29),2))=8,VALUE(LEFT(IF(LEN(C29)=6,"0"&amp;C29,C29),2))=18),"NW","Other")),"Other")</f>
        <v>Other</v>
      </c>
      <c r="X29" s="46" t="str">
        <f>IF(AND(E29="TRACK WARRANT AUTHORITY",G29&lt;10),"OMIT","KEEP")</f>
        <v>KEEP</v>
      </c>
      <c r="Y29" s="108" t="str">
        <f>"echo {""issue"":{""subject"":"""&amp;P29&amp;""",""project_id"":79,""tracker_id"":40,""status_id"":"&amp;redmine_status&amp;",""priority_id"":"&amp;redmine_priority&amp;",""assigned_to_id"":"&amp;redmine_assignee&amp;",""start_date"":"""&amp;TEXT(A29,"YYYY-mm-dd")&amp;""",""description"":"""&amp;Z29&amp;""",""custom_fields"":[{""id"":1,""name"":""Subdivision"",""value"":"""&amp;W29&amp;"""},{""id"":4,""name"":""Milepost"",""value"":"""&amp;K29/10000&amp;"""},{""id"":17,""name"":""Train ID"",""value"":"""&amp;C29&amp;"""},{""id"":16,""name"":""Locomotive ID"",""value"":"""&amp;U29&amp;"""},{""id"":130,""name"":""Impact"",""value"":"""&amp;AA29&amp;"""},{""id"":150,""name"":""Time of Event (Mountain Time)"",""value"":"""&amp;TEXT(A29,"hh:mm:ss")&amp;"""},{""id"":151,""name"":""Denver Issue ID"",""value"":"""&amp;"""},{""id"":178,""name"":""Operational Impact"",""value"":"""&amp;redmine_op_impact&amp;"""},{""id"":179,""name"":""Denver Segment Assigned"",""value"":"""&amp;AB29&amp;"""}]}}"&amp;" | curl -X POST -H ""Content-Type: application/json"" -H ""X-Redmine-API-Key: "&amp;redm_api_key&amp;""" "&amp;redm_url&amp;" --data @-"</f>
        <v>echo {"issue":{"subject":"","project_id":79,"tracker_id":40,"status_id":1,"priority_id":2,"assigned_to_id":23,"start_date":"2017-02-05","description":"","custom_fields":[{"id":1,"name":"Subdivision","value":"Other"},{"id":4,"name":"Milepost","value":"0.0001"},{"id":17,"name":"Train ID","value":"50-05"},{"id":16,"name":"Locomotive ID","value":"4030"},{"id":130,"name":"Impact","value":""},{"id":150,"name":"Time of Event (Mountain Time)","value":"11:11:28"},{"id":151,"name":"Denver Issue ID","value":""},{"id":178,"name":"Operational Impact","value":"Yes"},{"id":179,"name":"Denver Segment Assigned","value":""}]}} | curl -X POST -H "Content-Type: application/json" -H "X-Redmine-API-Key: d6333d4a04012a730768444271f8ca06482dae87" https://secure.xorail.net/redmine/issues.json --data @-</v>
      </c>
      <c r="Z29" s="48"/>
      <c r="AA29" s="48"/>
      <c r="AB29" s="48"/>
      <c r="AC29" s="127" t="str">
        <f>"grep -hSE -A400 ""Enforcement Action"" "&amp;search_path&amp;"\RTDC"&amp;U29&amp;"\*"&amp;U29&amp;"*"&amp;TEXT(A29-utc_offset/24,"YYYYMMDD")&amp;LEFT(TEXT(A29-utc_offset/24,"HH"),1)&amp;"* | grep -SE ""((Enforcement Ac)|(PRM))"" -"</f>
        <v>grep -hSE -A400 "Enforcement Action" "%USERPROFILE%\AppData\Local\Temp\OnboardLogs"\RTDC4030\*4030*201702051* | grep -SE "((Enforcement Ac)|(PRM))" -</v>
      </c>
      <c r="AD29" s="1" t="str">
        <f>"grep -hSE ""Enforcement Action"" "&amp;search_path&amp;"\RTDC"&amp;U29&amp;"\*"&amp;U29&amp;"*"&amp;TEXT(A29-utc_offset/24,"YYYYMMDD")&amp;LEFT(TEXT(A29-utc_offset/24,"HH"),1)&amp;"* &gt;&gt; "&amp;TEXT(Variables!$A$2,"YYYY-MM-DD")&amp;"-SliceDisagreementCheck.txt"</f>
        <v>grep -hSE "Enforcement Action" "%USERPROFILE%\AppData\Local\Temp\OnboardLogs"\RTDC4030\*4030*201702051* &gt;&gt; 2017-02-05-SliceDisagreementCheck.txt</v>
      </c>
      <c r="AE29" s="161" t="str">
        <f t="shared" si="1"/>
        <v>start /low /b %USERPROFILE%\Documents\GitHub\eaglep3\Utilities\DownloadLogsFromS3.py --loco 4030 --day 2017-02-05</v>
      </c>
      <c r="AF29" s="1"/>
    </row>
    <row r="30" spans="1:32" x14ac:dyDescent="0.25">
      <c r="A30"/>
      <c r="D30"/>
      <c r="E30"/>
      <c r="F30"/>
      <c r="G30"/>
      <c r="H30"/>
      <c r="I30"/>
      <c r="J30"/>
      <c r="K30"/>
      <c r="L30"/>
      <c r="M30"/>
      <c r="N30"/>
      <c r="O30"/>
      <c r="P30"/>
      <c r="R30"/>
      <c r="S30"/>
      <c r="T30"/>
      <c r="V30"/>
      <c r="AC30"/>
      <c r="AE30"/>
    </row>
    <row r="31" spans="1:32" x14ac:dyDescent="0.25">
      <c r="A31"/>
      <c r="D31"/>
      <c r="E31"/>
      <c r="F31"/>
      <c r="G31"/>
      <c r="H31"/>
      <c r="I31"/>
      <c r="J31"/>
      <c r="K31"/>
      <c r="L31"/>
      <c r="M31"/>
      <c r="N31"/>
      <c r="O31"/>
      <c r="P31"/>
      <c r="R31"/>
      <c r="S31"/>
      <c r="T31"/>
      <c r="V31"/>
      <c r="AC31"/>
      <c r="AE31"/>
    </row>
    <row r="32" spans="1:32" x14ac:dyDescent="0.25">
      <c r="A32"/>
      <c r="D32"/>
      <c r="E32"/>
      <c r="F32"/>
      <c r="G32"/>
      <c r="H32"/>
      <c r="I32"/>
      <c r="J32"/>
      <c r="K32"/>
      <c r="L32"/>
      <c r="M32"/>
      <c r="N32"/>
      <c r="O32"/>
      <c r="P32"/>
      <c r="R32"/>
      <c r="S32"/>
      <c r="T32"/>
      <c r="V32"/>
      <c r="AC32"/>
      <c r="AE32"/>
    </row>
    <row r="33" spans="1:31" x14ac:dyDescent="0.25">
      <c r="A33"/>
      <c r="D33"/>
      <c r="E33"/>
      <c r="F33"/>
      <c r="G33"/>
      <c r="H33"/>
      <c r="I33"/>
      <c r="J33"/>
      <c r="K33"/>
      <c r="L33"/>
      <c r="M33"/>
      <c r="N33"/>
      <c r="O33"/>
      <c r="P33"/>
      <c r="R33"/>
      <c r="S33"/>
      <c r="T33"/>
      <c r="V33"/>
      <c r="AC33"/>
      <c r="AE33"/>
    </row>
    <row r="34" spans="1:31" x14ac:dyDescent="0.25">
      <c r="A34"/>
      <c r="D34"/>
      <c r="E34"/>
      <c r="F34"/>
      <c r="G34"/>
      <c r="H34"/>
      <c r="I34"/>
      <c r="J34"/>
      <c r="K34"/>
      <c r="L34"/>
      <c r="M34"/>
      <c r="N34"/>
      <c r="O34"/>
      <c r="P34"/>
      <c r="R34"/>
      <c r="S34"/>
      <c r="T34"/>
      <c r="V34"/>
      <c r="AC34"/>
      <c r="AE34"/>
    </row>
    <row r="35" spans="1:31" x14ac:dyDescent="0.25">
      <c r="A35"/>
      <c r="D35"/>
      <c r="E35"/>
      <c r="F35"/>
      <c r="G35"/>
      <c r="H35"/>
      <c r="I35"/>
      <c r="J35"/>
      <c r="K35"/>
      <c r="L35"/>
      <c r="M35"/>
      <c r="N35"/>
      <c r="O35"/>
      <c r="P35"/>
      <c r="R35"/>
      <c r="S35"/>
      <c r="T35"/>
      <c r="V35"/>
      <c r="AC35"/>
      <c r="AE35"/>
    </row>
    <row r="36" spans="1:31" x14ac:dyDescent="0.25">
      <c r="A36"/>
      <c r="D36"/>
      <c r="E36"/>
      <c r="F36"/>
      <c r="G36"/>
      <c r="H36"/>
      <c r="I36"/>
      <c r="J36"/>
      <c r="K36"/>
      <c r="L36"/>
      <c r="M36"/>
      <c r="N36"/>
      <c r="O36"/>
      <c r="P36"/>
      <c r="R36"/>
      <c r="S36"/>
      <c r="T36"/>
      <c r="V36"/>
      <c r="AC36"/>
      <c r="AE36"/>
    </row>
    <row r="37" spans="1:31" x14ac:dyDescent="0.25">
      <c r="A37"/>
      <c r="D37"/>
      <c r="E37"/>
      <c r="F37"/>
      <c r="G37"/>
      <c r="H37"/>
      <c r="I37"/>
      <c r="J37"/>
      <c r="K37"/>
      <c r="L37"/>
      <c r="M37"/>
      <c r="N37"/>
      <c r="O37"/>
      <c r="P37"/>
      <c r="R37"/>
      <c r="S37"/>
      <c r="T37"/>
      <c r="V37"/>
      <c r="AC37"/>
      <c r="AE37"/>
    </row>
    <row r="38" spans="1:31" x14ac:dyDescent="0.25">
      <c r="A38"/>
      <c r="D38"/>
      <c r="E38"/>
      <c r="F38"/>
      <c r="G38"/>
      <c r="H38"/>
      <c r="I38"/>
      <c r="J38"/>
      <c r="K38"/>
      <c r="L38"/>
      <c r="M38"/>
      <c r="N38"/>
      <c r="O38"/>
      <c r="P38"/>
      <c r="R38"/>
      <c r="S38"/>
      <c r="T38"/>
      <c r="V38"/>
      <c r="AC38"/>
      <c r="AE38"/>
    </row>
    <row r="39" spans="1:31" x14ac:dyDescent="0.25">
      <c r="A39"/>
      <c r="D39"/>
      <c r="E39"/>
      <c r="F39"/>
      <c r="G39"/>
      <c r="H39"/>
      <c r="I39"/>
      <c r="J39"/>
      <c r="K39"/>
      <c r="L39"/>
      <c r="M39"/>
      <c r="N39"/>
      <c r="O39"/>
      <c r="P39"/>
      <c r="R39"/>
      <c r="S39"/>
      <c r="T39"/>
      <c r="V39"/>
      <c r="AC39"/>
      <c r="AE39"/>
    </row>
    <row r="40" spans="1:31" x14ac:dyDescent="0.25">
      <c r="A40"/>
      <c r="D40"/>
      <c r="E40"/>
      <c r="F40"/>
      <c r="G40"/>
      <c r="H40"/>
      <c r="I40"/>
      <c r="J40"/>
      <c r="K40"/>
      <c r="L40"/>
      <c r="M40"/>
      <c r="N40"/>
      <c r="O40"/>
      <c r="P40"/>
      <c r="R40"/>
      <c r="S40"/>
      <c r="T40"/>
      <c r="V40"/>
      <c r="AC40"/>
      <c r="AE40"/>
    </row>
    <row r="41" spans="1:31" x14ac:dyDescent="0.25">
      <c r="A41"/>
      <c r="D41"/>
      <c r="E41"/>
      <c r="F41"/>
      <c r="G41"/>
      <c r="H41"/>
      <c r="I41"/>
      <c r="J41"/>
      <c r="K41"/>
      <c r="L41"/>
      <c r="M41"/>
      <c r="N41"/>
      <c r="O41"/>
      <c r="P41"/>
      <c r="R41"/>
      <c r="S41"/>
      <c r="T41"/>
      <c r="V41"/>
      <c r="AC41"/>
      <c r="AE41"/>
    </row>
    <row r="42" spans="1:31" x14ac:dyDescent="0.25">
      <c r="A42"/>
      <c r="D42"/>
      <c r="E42"/>
      <c r="F42"/>
      <c r="G42"/>
      <c r="H42"/>
      <c r="I42"/>
      <c r="J42"/>
      <c r="K42"/>
      <c r="L42"/>
      <c r="M42"/>
      <c r="N42"/>
      <c r="O42"/>
      <c r="P42"/>
      <c r="R42"/>
      <c r="S42"/>
      <c r="T42"/>
      <c r="V42"/>
      <c r="AC42"/>
      <c r="AE42"/>
    </row>
    <row r="43" spans="1:31" x14ac:dyDescent="0.25">
      <c r="A43"/>
      <c r="D43"/>
      <c r="E43"/>
      <c r="F43"/>
      <c r="G43"/>
      <c r="H43"/>
      <c r="I43"/>
      <c r="J43"/>
      <c r="K43"/>
      <c r="L43"/>
      <c r="M43"/>
      <c r="N43"/>
      <c r="O43"/>
      <c r="P43"/>
      <c r="R43"/>
      <c r="S43"/>
      <c r="T43"/>
      <c r="V43"/>
      <c r="AC43"/>
      <c r="AE43"/>
    </row>
    <row r="44" spans="1:31" x14ac:dyDescent="0.25">
      <c r="A44"/>
      <c r="D44"/>
      <c r="E44"/>
      <c r="F44"/>
      <c r="G44"/>
      <c r="H44"/>
      <c r="I44"/>
      <c r="J44"/>
      <c r="K44"/>
      <c r="L44"/>
      <c r="M44"/>
      <c r="N44"/>
      <c r="O44"/>
      <c r="P44"/>
      <c r="R44"/>
      <c r="S44"/>
      <c r="T44"/>
      <c r="V44"/>
      <c r="AC44"/>
      <c r="AE44"/>
    </row>
    <row r="45" spans="1:31" x14ac:dyDescent="0.25">
      <c r="A45"/>
      <c r="D45"/>
      <c r="E45"/>
      <c r="F45"/>
      <c r="G45"/>
      <c r="H45"/>
      <c r="I45"/>
      <c r="J45"/>
      <c r="K45"/>
      <c r="L45"/>
      <c r="M45"/>
      <c r="N45"/>
      <c r="O45"/>
      <c r="P45"/>
      <c r="R45"/>
      <c r="S45"/>
      <c r="T45"/>
      <c r="V45"/>
      <c r="AC45"/>
      <c r="AE45"/>
    </row>
    <row r="46" spans="1:31" x14ac:dyDescent="0.25">
      <c r="A46"/>
      <c r="D46"/>
      <c r="E46"/>
      <c r="F46"/>
      <c r="G46"/>
      <c r="H46"/>
      <c r="I46"/>
      <c r="J46"/>
      <c r="K46"/>
      <c r="L46"/>
      <c r="M46"/>
      <c r="N46"/>
      <c r="O46"/>
      <c r="P46"/>
      <c r="R46"/>
      <c r="S46"/>
      <c r="T46"/>
      <c r="V46"/>
      <c r="AC46"/>
      <c r="AE46"/>
    </row>
    <row r="47" spans="1:31" x14ac:dyDescent="0.25">
      <c r="A47"/>
      <c r="D47"/>
      <c r="E47"/>
      <c r="F47"/>
      <c r="G47"/>
      <c r="H47"/>
      <c r="I47"/>
      <c r="J47"/>
      <c r="K47"/>
      <c r="L47"/>
      <c r="M47"/>
      <c r="N47"/>
      <c r="O47"/>
      <c r="P47"/>
      <c r="R47"/>
      <c r="S47"/>
      <c r="T47"/>
      <c r="V47"/>
      <c r="AC47"/>
      <c r="AE47"/>
    </row>
    <row r="48" spans="1:31" x14ac:dyDescent="0.25">
      <c r="A48"/>
      <c r="D48"/>
      <c r="E48"/>
      <c r="F48"/>
      <c r="G48"/>
      <c r="H48"/>
      <c r="I48"/>
      <c r="J48"/>
      <c r="K48"/>
      <c r="L48"/>
      <c r="M48"/>
      <c r="N48"/>
      <c r="O48"/>
      <c r="P48"/>
      <c r="R48"/>
      <c r="S48"/>
      <c r="T48"/>
      <c r="V48"/>
      <c r="AC48"/>
      <c r="AE48"/>
    </row>
    <row r="49" spans="1:31" x14ac:dyDescent="0.25">
      <c r="A49"/>
      <c r="D49"/>
      <c r="E49"/>
      <c r="F49"/>
      <c r="G49"/>
      <c r="H49"/>
      <c r="I49"/>
      <c r="J49"/>
      <c r="K49"/>
      <c r="L49"/>
      <c r="M49"/>
      <c r="N49"/>
      <c r="O49"/>
      <c r="P49"/>
      <c r="R49"/>
      <c r="S49"/>
      <c r="T49"/>
      <c r="V49"/>
      <c r="AC49"/>
      <c r="AE49"/>
    </row>
    <row r="50" spans="1:31" x14ac:dyDescent="0.25">
      <c r="A50"/>
      <c r="D50"/>
      <c r="E50"/>
      <c r="F50"/>
      <c r="G50"/>
      <c r="H50"/>
      <c r="I50"/>
      <c r="J50"/>
      <c r="K50"/>
      <c r="L50"/>
      <c r="M50"/>
      <c r="N50"/>
      <c r="O50"/>
      <c r="P50"/>
      <c r="R50"/>
      <c r="S50"/>
      <c r="T50"/>
      <c r="V50"/>
      <c r="AC50"/>
      <c r="AE50"/>
    </row>
    <row r="51" spans="1:31" x14ac:dyDescent="0.25">
      <c r="A51"/>
      <c r="D51"/>
      <c r="E51"/>
      <c r="F51"/>
      <c r="G51"/>
      <c r="H51"/>
      <c r="I51"/>
      <c r="J51"/>
      <c r="K51"/>
      <c r="L51"/>
      <c r="M51"/>
      <c r="N51"/>
      <c r="O51"/>
      <c r="P51"/>
      <c r="R51"/>
      <c r="S51"/>
      <c r="T51"/>
      <c r="V51"/>
      <c r="AC51"/>
      <c r="AE51"/>
    </row>
    <row r="52" spans="1:31" x14ac:dyDescent="0.25">
      <c r="A52"/>
      <c r="D52"/>
      <c r="E52"/>
      <c r="F52"/>
      <c r="G52"/>
      <c r="H52"/>
      <c r="I52"/>
      <c r="J52"/>
      <c r="K52"/>
      <c r="L52"/>
      <c r="M52"/>
      <c r="N52"/>
      <c r="O52"/>
      <c r="P52"/>
      <c r="R52"/>
      <c r="S52"/>
      <c r="T52"/>
      <c r="V52"/>
      <c r="AC52"/>
      <c r="AE52"/>
    </row>
    <row r="53" spans="1:31" x14ac:dyDescent="0.25">
      <c r="A53"/>
      <c r="D53"/>
      <c r="E53"/>
      <c r="F53"/>
      <c r="G53"/>
      <c r="H53"/>
      <c r="I53"/>
      <c r="J53"/>
      <c r="K53"/>
      <c r="L53"/>
      <c r="M53"/>
      <c r="N53"/>
      <c r="O53"/>
      <c r="P53"/>
      <c r="R53"/>
      <c r="S53"/>
      <c r="T53"/>
      <c r="V53"/>
      <c r="AC53"/>
      <c r="AE53"/>
    </row>
    <row r="54" spans="1:31" x14ac:dyDescent="0.25">
      <c r="A54"/>
      <c r="D54"/>
      <c r="E54"/>
      <c r="F54"/>
      <c r="G54"/>
      <c r="H54"/>
      <c r="I54"/>
      <c r="J54"/>
      <c r="K54"/>
      <c r="L54"/>
      <c r="M54"/>
      <c r="N54"/>
      <c r="O54"/>
      <c r="P54"/>
      <c r="R54"/>
      <c r="S54"/>
      <c r="T54"/>
      <c r="V54"/>
      <c r="AC54"/>
      <c r="AE54"/>
    </row>
    <row r="55" spans="1:31" x14ac:dyDescent="0.25">
      <c r="A55"/>
      <c r="D55"/>
      <c r="E55"/>
      <c r="F55"/>
      <c r="G55"/>
      <c r="H55"/>
      <c r="I55"/>
      <c r="J55"/>
      <c r="K55"/>
      <c r="L55"/>
      <c r="M55"/>
      <c r="N55"/>
      <c r="O55"/>
      <c r="P55"/>
      <c r="R55"/>
      <c r="S55"/>
      <c r="T55"/>
      <c r="V55"/>
      <c r="AC55"/>
      <c r="AE55"/>
    </row>
    <row r="56" spans="1:31" x14ac:dyDescent="0.25">
      <c r="A56"/>
      <c r="D56"/>
      <c r="E56"/>
      <c r="F56"/>
      <c r="G56"/>
      <c r="H56"/>
      <c r="I56"/>
      <c r="J56"/>
      <c r="K56"/>
      <c r="L56"/>
      <c r="M56"/>
      <c r="N56"/>
      <c r="O56"/>
      <c r="P56"/>
      <c r="R56"/>
      <c r="S56"/>
      <c r="T56"/>
      <c r="V56"/>
      <c r="AC56"/>
      <c r="AE56"/>
    </row>
    <row r="57" spans="1:31" x14ac:dyDescent="0.25">
      <c r="A57"/>
      <c r="D57"/>
      <c r="E57"/>
      <c r="F57"/>
      <c r="G57"/>
      <c r="H57"/>
      <c r="I57"/>
      <c r="J57"/>
      <c r="K57"/>
      <c r="L57"/>
      <c r="M57"/>
      <c r="N57"/>
      <c r="O57"/>
      <c r="P57"/>
      <c r="R57"/>
      <c r="S57"/>
      <c r="T57"/>
      <c r="V57"/>
      <c r="AC57"/>
      <c r="AE57"/>
    </row>
    <row r="58" spans="1:31" x14ac:dyDescent="0.25">
      <c r="A58"/>
      <c r="D58"/>
      <c r="E58"/>
      <c r="F58"/>
      <c r="G58"/>
      <c r="H58"/>
      <c r="I58"/>
      <c r="J58"/>
      <c r="K58"/>
      <c r="L58"/>
      <c r="M58"/>
      <c r="N58"/>
      <c r="O58"/>
      <c r="P58"/>
      <c r="R58"/>
      <c r="S58"/>
      <c r="T58"/>
      <c r="V58"/>
      <c r="AC58"/>
      <c r="AE58"/>
    </row>
    <row r="59" spans="1:31" x14ac:dyDescent="0.25">
      <c r="A59"/>
      <c r="D59"/>
      <c r="E59"/>
      <c r="F59"/>
      <c r="G59"/>
      <c r="H59"/>
      <c r="I59"/>
      <c r="J59"/>
      <c r="K59"/>
      <c r="L59"/>
      <c r="M59"/>
      <c r="N59"/>
      <c r="O59"/>
      <c r="P59"/>
      <c r="R59"/>
      <c r="S59"/>
      <c r="T59"/>
      <c r="V59"/>
      <c r="AC59"/>
      <c r="AE59"/>
    </row>
    <row r="60" spans="1:31" x14ac:dyDescent="0.25">
      <c r="A60"/>
      <c r="D60"/>
      <c r="E60"/>
      <c r="F60"/>
      <c r="G60"/>
      <c r="H60"/>
      <c r="I60"/>
      <c r="J60"/>
      <c r="K60"/>
      <c r="L60"/>
      <c r="M60"/>
      <c r="N60"/>
      <c r="O60"/>
      <c r="P60"/>
      <c r="R60"/>
      <c r="S60"/>
      <c r="T60"/>
      <c r="V60"/>
      <c r="AC60"/>
      <c r="AE60"/>
    </row>
    <row r="61" spans="1:31" x14ac:dyDescent="0.25">
      <c r="A61"/>
      <c r="D61"/>
      <c r="E61"/>
      <c r="F61"/>
      <c r="G61"/>
      <c r="H61"/>
      <c r="I61"/>
      <c r="J61"/>
      <c r="K61"/>
      <c r="L61"/>
      <c r="M61"/>
      <c r="N61"/>
      <c r="O61"/>
      <c r="P61"/>
      <c r="R61"/>
      <c r="S61"/>
      <c r="T61"/>
      <c r="V61"/>
      <c r="AC61"/>
      <c r="AE61"/>
    </row>
    <row r="62" spans="1:31" x14ac:dyDescent="0.25">
      <c r="A62"/>
      <c r="D62"/>
      <c r="E62"/>
      <c r="F62"/>
      <c r="G62"/>
      <c r="H62"/>
      <c r="I62"/>
      <c r="J62"/>
      <c r="K62"/>
      <c r="L62"/>
      <c r="M62"/>
      <c r="N62"/>
      <c r="O62"/>
      <c r="P62"/>
      <c r="R62"/>
      <c r="S62"/>
      <c r="T62"/>
      <c r="V62"/>
      <c r="AC62"/>
      <c r="AE62"/>
    </row>
  </sheetData>
  <autoFilter ref="A6:AC35">
    <sortState ref="A7:AC35">
      <sortCondition ref="W7:W29"/>
      <sortCondition ref="E7:E29"/>
      <sortCondition ref="K7:K29"/>
      <sortCondition ref="F7:F29"/>
    </sortState>
  </autoFilter>
  <sortState ref="A7:AE37">
    <sortCondition ref="W7:W37"/>
    <sortCondition ref="E7:E37"/>
    <sortCondition ref="K7:K37"/>
    <sortCondition ref="C7:C37"/>
    <sortCondition ref="F7:F37"/>
  </sortState>
  <mergeCells count="1">
    <mergeCell ref="A5:O5"/>
  </mergeCells>
  <conditionalFormatting sqref="O6:P6 R6 O63:O1048576 O7:O29">
    <cfRule type="cellIs" dxfId="3" priority="36" operator="equal">
      <formula>"Y"</formula>
    </cfRule>
  </conditionalFormatting>
  <conditionalFormatting sqref="O2:O3">
    <cfRule type="cellIs" dxfId="2" priority="27" operator="equal">
      <formula>"Y"</formula>
    </cfRule>
  </conditionalFormatting>
  <conditionalFormatting sqref="A7:P29">
    <cfRule type="expression" dxfId="1" priority="20">
      <formula>$O7="Y"</formula>
    </cfRule>
  </conditionalFormatting>
  <pageMargins left="0.7" right="0.7" top="0.75" bottom="0.75" header="0.3" footer="0.3"/>
  <pageSetup scale="24"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2]!DailyMorningStuff_Enforcements">
                <anchor moveWithCells="1" sizeWithCells="1">
                  <from>
                    <xdr:col>15</xdr:col>
                    <xdr:colOff>352425</xdr:colOff>
                    <xdr:row>1</xdr:row>
                    <xdr:rowOff>28575</xdr:rowOff>
                  </from>
                  <to>
                    <xdr:col>15</xdr:col>
                    <xdr:colOff>1152525</xdr:colOff>
                    <xdr:row>3</xdr:row>
                    <xdr:rowOff>66675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14:formula1>
            <xm:f>'Redmine List Values'!$A$2:$A$7</xm:f>
          </x14:formula1>
          <xm:sqref>AA7:AA29</xm:sqref>
        </x14:dataValidation>
        <x14:dataValidation type="list" allowBlank="1" showInputMessage="1" showErrorMessage="1">
          <x14:formula1>
            <xm:f>'Redmine List Values'!$C$2:$C$15</xm:f>
          </x14:formula1>
          <xm:sqref>AB7:AB29</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J120"/>
  <sheetViews>
    <sheetView workbookViewId="0"/>
  </sheetViews>
  <sheetFormatPr defaultRowHeight="15" x14ac:dyDescent="0.25"/>
  <cols>
    <col min="1" max="1" width="9.140625" style="171"/>
    <col min="2" max="2" width="9.140625" style="2" customWidth="1"/>
    <col min="3" max="3" width="8" style="97" bestFit="1" customWidth="1"/>
    <col min="4" max="4" width="9.85546875" style="151" bestFit="1" customWidth="1"/>
    <col min="5" max="5" width="50.85546875" bestFit="1" customWidth="1"/>
    <col min="6" max="6" width="8.7109375" customWidth="1"/>
    <col min="7" max="7" width="13.5703125" customWidth="1"/>
    <col min="8" max="8" width="14.7109375" customWidth="1"/>
    <col min="9" max="10" width="9.140625" customWidth="1"/>
  </cols>
  <sheetData>
    <row r="1" spans="1:10" s="20" customFormat="1" x14ac:dyDescent="0.25">
      <c r="A1" s="171"/>
      <c r="B1" s="195" t="str">
        <f>"Trips that did not appear in PTC Data "&amp;TEXT(Variables!$A$2,"YYYY-mm-dd")</f>
        <v>Trips that did not appear in PTC Data 2017-02-05</v>
      </c>
      <c r="C1" s="195"/>
      <c r="D1" s="195"/>
      <c r="E1" s="195"/>
      <c r="F1" s="195"/>
    </row>
    <row r="2" spans="1:10" s="23" customFormat="1" ht="45" x14ac:dyDescent="0.25">
      <c r="A2" s="196" t="s">
        <v>152</v>
      </c>
      <c r="B2" s="99" t="s">
        <v>58</v>
      </c>
      <c r="C2" s="96" t="s">
        <v>59</v>
      </c>
      <c r="D2" s="168" t="s">
        <v>60</v>
      </c>
      <c r="E2" s="23" t="s">
        <v>56</v>
      </c>
      <c r="F2" s="23" t="s">
        <v>57</v>
      </c>
      <c r="G2" s="23" t="s">
        <v>61</v>
      </c>
      <c r="H2" s="28" t="s">
        <v>62</v>
      </c>
      <c r="I2" s="28" t="s">
        <v>104</v>
      </c>
    </row>
    <row r="3" spans="1:10" x14ac:dyDescent="0.25">
      <c r="A3" s="190">
        <v>240</v>
      </c>
      <c r="B3" s="43" t="str">
        <f>A3&amp;"-"&amp;IF(DAY(Variables!$A$2)&lt;10,0,"")&amp;DAY(Variables!$A$2)</f>
        <v>240-05</v>
      </c>
      <c r="C3" s="147"/>
      <c r="D3" s="169"/>
      <c r="E3" s="30" t="s">
        <v>909</v>
      </c>
      <c r="F3" s="21" t="e">
        <f>VLOOKUP(B3,'Trips&amp;Operators'!$C$2:$E$10000,3,FALSE)</f>
        <v>#N/A</v>
      </c>
      <c r="G3" s="21" t="e">
        <f>VLOOKUP(B3,'Trips&amp;Operators'!$C$1:$F$10000,4,FALSE)</f>
        <v>#N/A</v>
      </c>
      <c r="H3" s="29" t="e">
        <f>VLOOKUP(B3,'Trips&amp;Operators'!$C$1:$H$10000,5,FALSE)</f>
        <v>#N/A</v>
      </c>
      <c r="I3" s="46" t="str">
        <f t="shared" ref="I3:I49" si="0">"https://d0f6bd738d7f1b3e5a7ca70fe4ff75f0.us-east-1.aws.found.io/app/kibana#/discover/Steve-Slow-Train-Analysis-(2080s-and-2083s)?_g="&amp;"(refreshInterval:(display:Off,pause:!f,section:0,value:0),time:(from:now-7d,mode:quick,to:now))&amp;_a=(columns:!('Locomotive%20ID','Data.Train%20ID','Message%20ID'),filters:!(),"&amp;"index:'emp_*',interval:auto,query:(query_string:(analyze_wildcard:!t,query:%22"&amp;B3&amp;"%22)),sort:!(Time.ISO8601,asc))"</f>
        <v>https://d0f6bd738d7f1b3e5a7ca70fe4ff75f0.us-east-1.aws.found.io/app/kibana#/discover/Steve-Slow-Train-Analysis-(2080s-and-2083s)?_g=(refreshInterval:(display:Off,pause:!f,section:0,value:0),time:(from:now-7d,mode:quick,to:now))&amp;_a=(columns:!('Locomotive%20ID','Data.Train%20ID','Message%20ID'),filters:!(),index:'emp_*',interval:auto,query:(query_string:(analyze_wildcard:!t,query:%22240-05%22)),sort:!(Time.ISO8601,asc))</v>
      </c>
      <c r="J3" s="30" t="e">
        <f>VLOOKUP(B3,'Train Runs'!$A$13:$A$99958,1,FALSE)</f>
        <v>#N/A</v>
      </c>
    </row>
    <row r="4" spans="1:10" x14ac:dyDescent="0.25">
      <c r="A4" s="190"/>
      <c r="B4" s="43" t="str">
        <f>A4&amp;"-"&amp;IF(DAY(Variables!$A$2)&lt;10,0,"")&amp;DAY(Variables!$A$2)</f>
        <v>-05</v>
      </c>
      <c r="C4" s="147"/>
      <c r="D4" s="169"/>
      <c r="E4" s="30"/>
      <c r="F4" s="21" t="e">
        <f>VLOOKUP(B4,'Trips&amp;Operators'!$C$2:$E$10000,3,FALSE)</f>
        <v>#N/A</v>
      </c>
      <c r="G4" s="21" t="e">
        <f>VLOOKUP(B4,'Trips&amp;Operators'!$C$1:$F$10000,4,FALSE)</f>
        <v>#N/A</v>
      </c>
      <c r="H4" s="29" t="e">
        <f>VLOOKUP(B4,'Trips&amp;Operators'!$C$1:$H$10000,5,FALSE)</f>
        <v>#N/A</v>
      </c>
      <c r="I4" s="46" t="str">
        <f t="shared" si="0"/>
        <v>https://d0f6bd738d7f1b3e5a7ca70fe4ff75f0.us-east-1.aws.found.io/app/kibana#/discover/Steve-Slow-Train-Analysis-(2080s-and-2083s)?_g=(refreshInterval:(display:Off,pause:!f,section:0,value:0),time:(from:now-7d,mode:quick,to:now))&amp;_a=(columns:!('Locomotive%20ID','Data.Train%20ID','Message%20ID'),filters:!(),index:'emp_*',interval:auto,query:(query_string:(analyze_wildcard:!t,query:%22-05%22)),sort:!(Time.ISO8601,asc))</v>
      </c>
      <c r="J4" s="30" t="e">
        <f>VLOOKUP(B4,'Train Runs'!$A$13:$A$99958,1,FALSE)</f>
        <v>#N/A</v>
      </c>
    </row>
    <row r="5" spans="1:10" x14ac:dyDescent="0.25">
      <c r="A5" s="190"/>
      <c r="B5" s="43" t="str">
        <f>A5&amp;"-"&amp;IF(DAY(Variables!$A$2)&lt;10,0,"")&amp;DAY(Variables!$A$2)</f>
        <v>-05</v>
      </c>
      <c r="C5" s="147"/>
      <c r="D5" s="169"/>
      <c r="E5" s="30"/>
      <c r="F5" s="21" t="e">
        <f>VLOOKUP(B5,'Trips&amp;Operators'!$C$2:$E$10000,3,FALSE)</f>
        <v>#N/A</v>
      </c>
      <c r="G5" s="21" t="e">
        <f>VLOOKUP(B5,'Trips&amp;Operators'!$C$1:$F$10000,4,FALSE)</f>
        <v>#N/A</v>
      </c>
      <c r="H5" s="29" t="e">
        <f>VLOOKUP(B5,'Trips&amp;Operators'!$C$1:$H$10000,5,FALSE)</f>
        <v>#N/A</v>
      </c>
      <c r="I5" s="46" t="str">
        <f t="shared" si="0"/>
        <v>https://d0f6bd738d7f1b3e5a7ca70fe4ff75f0.us-east-1.aws.found.io/app/kibana#/discover/Steve-Slow-Train-Analysis-(2080s-and-2083s)?_g=(refreshInterval:(display:Off,pause:!f,section:0,value:0),time:(from:now-7d,mode:quick,to:now))&amp;_a=(columns:!('Locomotive%20ID','Data.Train%20ID','Message%20ID'),filters:!(),index:'emp_*',interval:auto,query:(query_string:(analyze_wildcard:!t,query:%22-05%22)),sort:!(Time.ISO8601,asc))</v>
      </c>
      <c r="J5" s="30" t="e">
        <f>VLOOKUP(B5,'Train Runs'!$A$13:$A$99958,1,FALSE)</f>
        <v>#N/A</v>
      </c>
    </row>
    <row r="6" spans="1:10" x14ac:dyDescent="0.25">
      <c r="A6" s="190"/>
      <c r="B6" s="43" t="str">
        <f>A6&amp;"-"&amp;IF(DAY(Variables!$A$2)&lt;10,0,"")&amp;DAY(Variables!$A$2)</f>
        <v>-05</v>
      </c>
      <c r="C6" s="147"/>
      <c r="D6" s="169"/>
      <c r="E6" s="30"/>
      <c r="F6" s="21" t="e">
        <f>VLOOKUP(B6,'Trips&amp;Operators'!$C$2:$E$10000,3,FALSE)</f>
        <v>#N/A</v>
      </c>
      <c r="G6" s="21" t="e">
        <f>VLOOKUP(B6,'Trips&amp;Operators'!$C$1:$F$10000,4,FALSE)</f>
        <v>#N/A</v>
      </c>
      <c r="H6" s="29" t="e">
        <f>VLOOKUP(B6,'Trips&amp;Operators'!$C$1:$H$10000,5,FALSE)</f>
        <v>#N/A</v>
      </c>
      <c r="I6" s="46" t="str">
        <f t="shared" si="0"/>
        <v>https://d0f6bd738d7f1b3e5a7ca70fe4ff75f0.us-east-1.aws.found.io/app/kibana#/discover/Steve-Slow-Train-Analysis-(2080s-and-2083s)?_g=(refreshInterval:(display:Off,pause:!f,section:0,value:0),time:(from:now-7d,mode:quick,to:now))&amp;_a=(columns:!('Locomotive%20ID','Data.Train%20ID','Message%20ID'),filters:!(),index:'emp_*',interval:auto,query:(query_string:(analyze_wildcard:!t,query:%22-05%22)),sort:!(Time.ISO8601,asc))</v>
      </c>
      <c r="J6" s="30" t="e">
        <f>VLOOKUP(B6,'Train Runs'!$A$13:$A$99958,1,FALSE)</f>
        <v>#N/A</v>
      </c>
    </row>
    <row r="7" spans="1:10" x14ac:dyDescent="0.25">
      <c r="A7" s="190"/>
      <c r="B7" s="43" t="str">
        <f>A7&amp;"-"&amp;IF(DAY(Variables!$A$2)&lt;10,0,"")&amp;DAY(Variables!$A$2)</f>
        <v>-05</v>
      </c>
      <c r="C7" s="147"/>
      <c r="D7" s="169"/>
      <c r="E7" s="30"/>
      <c r="F7" s="21" t="e">
        <f>VLOOKUP(B7,'Trips&amp;Operators'!$C$2:$E$10000,3,FALSE)</f>
        <v>#N/A</v>
      </c>
      <c r="G7" s="21" t="e">
        <f>VLOOKUP(B7,'Trips&amp;Operators'!$C$1:$F$10000,4,FALSE)</f>
        <v>#N/A</v>
      </c>
      <c r="H7" s="29" t="e">
        <f>VLOOKUP(B7,'Trips&amp;Operators'!$C$1:$H$10000,5,FALSE)</f>
        <v>#N/A</v>
      </c>
      <c r="I7" s="46" t="str">
        <f t="shared" si="0"/>
        <v>https://d0f6bd738d7f1b3e5a7ca70fe4ff75f0.us-east-1.aws.found.io/app/kibana#/discover/Steve-Slow-Train-Analysis-(2080s-and-2083s)?_g=(refreshInterval:(display:Off,pause:!f,section:0,value:0),time:(from:now-7d,mode:quick,to:now))&amp;_a=(columns:!('Locomotive%20ID','Data.Train%20ID','Message%20ID'),filters:!(),index:'emp_*',interval:auto,query:(query_string:(analyze_wildcard:!t,query:%22-05%22)),sort:!(Time.ISO8601,asc))</v>
      </c>
      <c r="J7" s="30" t="e">
        <f>VLOOKUP(B7,'Train Runs'!$A$13:$A$99958,1,FALSE)</f>
        <v>#N/A</v>
      </c>
    </row>
    <row r="8" spans="1:10" x14ac:dyDescent="0.25">
      <c r="A8" s="190"/>
      <c r="B8" s="43" t="str">
        <f>A8&amp;"-"&amp;IF(DAY(Variables!$A$2)&lt;10,0,"")&amp;DAY(Variables!$A$2)</f>
        <v>-05</v>
      </c>
      <c r="C8" s="147"/>
      <c r="D8" s="169"/>
      <c r="E8" s="30"/>
      <c r="F8" s="21" t="e">
        <f>VLOOKUP(B8,'Trips&amp;Operators'!$C$2:$E$10000,3,FALSE)</f>
        <v>#N/A</v>
      </c>
      <c r="G8" s="21" t="e">
        <f>VLOOKUP(B8,'Trips&amp;Operators'!$C$1:$F$10000,4,FALSE)</f>
        <v>#N/A</v>
      </c>
      <c r="H8" s="29" t="e">
        <f>VLOOKUP(B8,'Trips&amp;Operators'!$C$1:$H$10000,5,FALSE)</f>
        <v>#N/A</v>
      </c>
      <c r="I8" s="46" t="str">
        <f t="shared" si="0"/>
        <v>https://d0f6bd738d7f1b3e5a7ca70fe4ff75f0.us-east-1.aws.found.io/app/kibana#/discover/Steve-Slow-Train-Analysis-(2080s-and-2083s)?_g=(refreshInterval:(display:Off,pause:!f,section:0,value:0),time:(from:now-7d,mode:quick,to:now))&amp;_a=(columns:!('Locomotive%20ID','Data.Train%20ID','Message%20ID'),filters:!(),index:'emp_*',interval:auto,query:(query_string:(analyze_wildcard:!t,query:%22-05%22)),sort:!(Time.ISO8601,asc))</v>
      </c>
      <c r="J8" s="30" t="e">
        <f>VLOOKUP(B8,'Train Runs'!$A$13:$A$99958,1,FALSE)</f>
        <v>#N/A</v>
      </c>
    </row>
    <row r="9" spans="1:10" x14ac:dyDescent="0.25">
      <c r="A9" s="190"/>
      <c r="B9" s="43" t="str">
        <f>A9&amp;"-"&amp;IF(DAY(Variables!$A$2)&lt;10,0,"")&amp;DAY(Variables!$A$2)</f>
        <v>-05</v>
      </c>
      <c r="C9" s="147"/>
      <c r="D9" s="169"/>
      <c r="E9" s="30"/>
      <c r="F9" s="21" t="e">
        <f>VLOOKUP(B9,'Trips&amp;Operators'!$C$2:$E$10000,3,FALSE)</f>
        <v>#N/A</v>
      </c>
      <c r="G9" s="21" t="e">
        <f>VLOOKUP(B9,'Trips&amp;Operators'!$C$1:$F$10000,4,FALSE)</f>
        <v>#N/A</v>
      </c>
      <c r="H9" s="29" t="e">
        <f>VLOOKUP(B9,'Trips&amp;Operators'!$C$1:$H$10000,5,FALSE)</f>
        <v>#N/A</v>
      </c>
      <c r="I9" s="46" t="str">
        <f t="shared" si="0"/>
        <v>https://d0f6bd738d7f1b3e5a7ca70fe4ff75f0.us-east-1.aws.found.io/app/kibana#/discover/Steve-Slow-Train-Analysis-(2080s-and-2083s)?_g=(refreshInterval:(display:Off,pause:!f,section:0,value:0),time:(from:now-7d,mode:quick,to:now))&amp;_a=(columns:!('Locomotive%20ID','Data.Train%20ID','Message%20ID'),filters:!(),index:'emp_*',interval:auto,query:(query_string:(analyze_wildcard:!t,query:%22-05%22)),sort:!(Time.ISO8601,asc))</v>
      </c>
      <c r="J9" s="30" t="e">
        <f>VLOOKUP(B9,'Train Runs'!$A$13:$A$99958,1,FALSE)</f>
        <v>#N/A</v>
      </c>
    </row>
    <row r="10" spans="1:10" x14ac:dyDescent="0.25">
      <c r="A10" s="190"/>
      <c r="B10" s="43" t="str">
        <f>A10&amp;"-"&amp;IF(DAY(Variables!$A$2)&lt;10,0,"")&amp;DAY(Variables!$A$2)</f>
        <v>-05</v>
      </c>
      <c r="C10" s="147"/>
      <c r="D10" s="169"/>
      <c r="E10" s="30"/>
      <c r="F10" s="21" t="e">
        <f>VLOOKUP(B10,'Trips&amp;Operators'!$C$2:$E$10000,3,FALSE)</f>
        <v>#N/A</v>
      </c>
      <c r="G10" s="21" t="e">
        <f>VLOOKUP(B10,'Trips&amp;Operators'!$C$1:$F$10000,4,FALSE)</f>
        <v>#N/A</v>
      </c>
      <c r="H10" s="29" t="e">
        <f>VLOOKUP(B10,'Trips&amp;Operators'!$C$1:$H$10000,5,FALSE)</f>
        <v>#N/A</v>
      </c>
      <c r="I10" s="46" t="str">
        <f t="shared" si="0"/>
        <v>https://d0f6bd738d7f1b3e5a7ca70fe4ff75f0.us-east-1.aws.found.io/app/kibana#/discover/Steve-Slow-Train-Analysis-(2080s-and-2083s)?_g=(refreshInterval:(display:Off,pause:!f,section:0,value:0),time:(from:now-7d,mode:quick,to:now))&amp;_a=(columns:!('Locomotive%20ID','Data.Train%20ID','Message%20ID'),filters:!(),index:'emp_*',interval:auto,query:(query_string:(analyze_wildcard:!t,query:%22-05%22)),sort:!(Time.ISO8601,asc))</v>
      </c>
      <c r="J10" s="30" t="e">
        <f>VLOOKUP(B10,'Train Runs'!$A$13:$A$99958,1,FALSE)</f>
        <v>#N/A</v>
      </c>
    </row>
    <row r="11" spans="1:10" x14ac:dyDescent="0.25">
      <c r="A11" s="190"/>
      <c r="B11" s="43" t="str">
        <f>A11&amp;"-"&amp;IF(DAY(Variables!$A$2)&lt;10,0,"")&amp;DAY(Variables!$A$2)</f>
        <v>-05</v>
      </c>
      <c r="C11" s="147"/>
      <c r="D11" s="169"/>
      <c r="E11" s="30"/>
      <c r="F11" s="21" t="e">
        <f>VLOOKUP(B11,'Trips&amp;Operators'!$C$2:$E$10000,3,FALSE)</f>
        <v>#N/A</v>
      </c>
      <c r="G11" s="21" t="e">
        <f>VLOOKUP(B11,'Trips&amp;Operators'!$C$1:$F$10000,4,FALSE)</f>
        <v>#N/A</v>
      </c>
      <c r="H11" s="29" t="e">
        <f>VLOOKUP(B11,'Trips&amp;Operators'!$C$1:$H$10000,5,FALSE)</f>
        <v>#N/A</v>
      </c>
      <c r="I11" s="46" t="str">
        <f t="shared" si="0"/>
        <v>https://d0f6bd738d7f1b3e5a7ca70fe4ff75f0.us-east-1.aws.found.io/app/kibana#/discover/Steve-Slow-Train-Analysis-(2080s-and-2083s)?_g=(refreshInterval:(display:Off,pause:!f,section:0,value:0),time:(from:now-7d,mode:quick,to:now))&amp;_a=(columns:!('Locomotive%20ID','Data.Train%20ID','Message%20ID'),filters:!(),index:'emp_*',interval:auto,query:(query_string:(analyze_wildcard:!t,query:%22-05%22)),sort:!(Time.ISO8601,asc))</v>
      </c>
      <c r="J11" s="30" t="e">
        <f>VLOOKUP(B11,'Train Runs'!$A$13:$A$99958,1,FALSE)</f>
        <v>#N/A</v>
      </c>
    </row>
    <row r="12" spans="1:10" x14ac:dyDescent="0.25">
      <c r="A12" s="190"/>
      <c r="B12" s="43" t="str">
        <f>A12&amp;"-"&amp;IF(DAY(Variables!$A$2)&lt;10,0,"")&amp;DAY(Variables!$A$2)</f>
        <v>-05</v>
      </c>
      <c r="C12" s="147"/>
      <c r="D12" s="169"/>
      <c r="E12" s="30"/>
      <c r="F12" s="21" t="e">
        <f>VLOOKUP(B12,'Trips&amp;Operators'!$C$2:$E$10000,3,FALSE)</f>
        <v>#N/A</v>
      </c>
      <c r="G12" s="21" t="e">
        <f>VLOOKUP(B12,'Trips&amp;Operators'!$C$1:$F$10000,4,FALSE)</f>
        <v>#N/A</v>
      </c>
      <c r="H12" s="29" t="e">
        <f>VLOOKUP(B12,'Trips&amp;Operators'!$C$1:$H$10000,5,FALSE)</f>
        <v>#N/A</v>
      </c>
      <c r="I12" s="46" t="str">
        <f t="shared" si="0"/>
        <v>https://d0f6bd738d7f1b3e5a7ca70fe4ff75f0.us-east-1.aws.found.io/app/kibana#/discover/Steve-Slow-Train-Analysis-(2080s-and-2083s)?_g=(refreshInterval:(display:Off,pause:!f,section:0,value:0),time:(from:now-7d,mode:quick,to:now))&amp;_a=(columns:!('Locomotive%20ID','Data.Train%20ID','Message%20ID'),filters:!(),index:'emp_*',interval:auto,query:(query_string:(analyze_wildcard:!t,query:%22-05%22)),sort:!(Time.ISO8601,asc))</v>
      </c>
      <c r="J12" s="30" t="e">
        <f>VLOOKUP(B12,'Train Runs'!$A$13:$A$99958,1,FALSE)</f>
        <v>#N/A</v>
      </c>
    </row>
    <row r="13" spans="1:10" x14ac:dyDescent="0.25">
      <c r="A13" s="190"/>
      <c r="B13" s="43" t="str">
        <f>A13&amp;"-"&amp;IF(DAY(Variables!$A$2)&lt;10,0,"")&amp;DAY(Variables!$A$2)</f>
        <v>-05</v>
      </c>
      <c r="C13" s="147"/>
      <c r="D13" s="169"/>
      <c r="E13" s="30"/>
      <c r="F13" s="21" t="e">
        <f>VLOOKUP(B13,'Trips&amp;Operators'!$C$2:$E$10000,3,FALSE)</f>
        <v>#N/A</v>
      </c>
      <c r="G13" s="21" t="e">
        <f>VLOOKUP(B13,'Trips&amp;Operators'!$C$1:$F$10000,4,FALSE)</f>
        <v>#N/A</v>
      </c>
      <c r="H13" s="29" t="e">
        <f>VLOOKUP(B13,'Trips&amp;Operators'!$C$1:$H$10000,5,FALSE)</f>
        <v>#N/A</v>
      </c>
      <c r="I13" s="46" t="str">
        <f t="shared" si="0"/>
        <v>https://d0f6bd738d7f1b3e5a7ca70fe4ff75f0.us-east-1.aws.found.io/app/kibana#/discover/Steve-Slow-Train-Analysis-(2080s-and-2083s)?_g=(refreshInterval:(display:Off,pause:!f,section:0,value:0),time:(from:now-7d,mode:quick,to:now))&amp;_a=(columns:!('Locomotive%20ID','Data.Train%20ID','Message%20ID'),filters:!(),index:'emp_*',interval:auto,query:(query_string:(analyze_wildcard:!t,query:%22-05%22)),sort:!(Time.ISO8601,asc))</v>
      </c>
      <c r="J13" s="30" t="e">
        <f>VLOOKUP(B13,'Train Runs'!$A$13:$A$99958,1,FALSE)</f>
        <v>#N/A</v>
      </c>
    </row>
    <row r="14" spans="1:10" x14ac:dyDescent="0.25">
      <c r="A14" s="190"/>
      <c r="B14" s="43" t="str">
        <f>A14&amp;"-"&amp;IF(DAY(Variables!$A$2)&lt;10,0,"")&amp;DAY(Variables!$A$2)</f>
        <v>-05</v>
      </c>
      <c r="C14" s="147"/>
      <c r="D14" s="169"/>
      <c r="E14" s="30"/>
      <c r="F14" s="21" t="e">
        <f>VLOOKUP(B14,'Trips&amp;Operators'!$C$2:$E$10000,3,FALSE)</f>
        <v>#N/A</v>
      </c>
      <c r="G14" s="21" t="e">
        <f>VLOOKUP(B14,'Trips&amp;Operators'!$C$1:$F$10000,4,FALSE)</f>
        <v>#N/A</v>
      </c>
      <c r="H14" s="29" t="e">
        <f>VLOOKUP(B14,'Trips&amp;Operators'!$C$1:$H$10000,5,FALSE)</f>
        <v>#N/A</v>
      </c>
      <c r="I14" s="46" t="str">
        <f t="shared" si="0"/>
        <v>https://d0f6bd738d7f1b3e5a7ca70fe4ff75f0.us-east-1.aws.found.io/app/kibana#/discover/Steve-Slow-Train-Analysis-(2080s-and-2083s)?_g=(refreshInterval:(display:Off,pause:!f,section:0,value:0),time:(from:now-7d,mode:quick,to:now))&amp;_a=(columns:!('Locomotive%20ID','Data.Train%20ID','Message%20ID'),filters:!(),index:'emp_*',interval:auto,query:(query_string:(analyze_wildcard:!t,query:%22-05%22)),sort:!(Time.ISO8601,asc))</v>
      </c>
      <c r="J14" s="30" t="e">
        <f>VLOOKUP(B14,'Train Runs'!$A$13:$A$99958,1,FALSE)</f>
        <v>#N/A</v>
      </c>
    </row>
    <row r="15" spans="1:10" x14ac:dyDescent="0.25">
      <c r="A15" s="190"/>
      <c r="B15" s="43" t="str">
        <f>A15&amp;"-"&amp;IF(DAY(Variables!$A$2)&lt;10,0,"")&amp;DAY(Variables!$A$2)</f>
        <v>-05</v>
      </c>
      <c r="C15" s="147"/>
      <c r="D15" s="169"/>
      <c r="E15" s="30"/>
      <c r="F15" s="21" t="e">
        <f>VLOOKUP(B15,'Trips&amp;Operators'!$C$2:$E$10000,3,FALSE)</f>
        <v>#N/A</v>
      </c>
      <c r="G15" s="21" t="e">
        <f>VLOOKUP(B15,'Trips&amp;Operators'!$C$1:$F$10000,4,FALSE)</f>
        <v>#N/A</v>
      </c>
      <c r="H15" s="29" t="e">
        <f>VLOOKUP(B15,'Trips&amp;Operators'!$C$1:$H$10000,5,FALSE)</f>
        <v>#N/A</v>
      </c>
      <c r="I15" s="46" t="str">
        <f t="shared" si="0"/>
        <v>https://d0f6bd738d7f1b3e5a7ca70fe4ff75f0.us-east-1.aws.found.io/app/kibana#/discover/Steve-Slow-Train-Analysis-(2080s-and-2083s)?_g=(refreshInterval:(display:Off,pause:!f,section:0,value:0),time:(from:now-7d,mode:quick,to:now))&amp;_a=(columns:!('Locomotive%20ID','Data.Train%20ID','Message%20ID'),filters:!(),index:'emp_*',interval:auto,query:(query_string:(analyze_wildcard:!t,query:%22-05%22)),sort:!(Time.ISO8601,asc))</v>
      </c>
      <c r="J15" s="30" t="e">
        <f>VLOOKUP(B15,'Train Runs'!$A$13:$A$99958,1,FALSE)</f>
        <v>#N/A</v>
      </c>
    </row>
    <row r="16" spans="1:10" x14ac:dyDescent="0.25">
      <c r="A16" s="190"/>
      <c r="B16" s="43" t="str">
        <f>A16&amp;"-"&amp;IF(DAY(Variables!$A$2)&lt;10,0,"")&amp;DAY(Variables!$A$2)</f>
        <v>-05</v>
      </c>
      <c r="C16" s="147"/>
      <c r="D16" s="169"/>
      <c r="E16" s="30"/>
      <c r="F16" s="21" t="e">
        <f>VLOOKUP(B16,'Trips&amp;Operators'!$C$2:$E$10000,3,FALSE)</f>
        <v>#N/A</v>
      </c>
      <c r="G16" s="21" t="e">
        <f>VLOOKUP(B16,'Trips&amp;Operators'!$C$1:$F$10000,4,FALSE)</f>
        <v>#N/A</v>
      </c>
      <c r="H16" s="29" t="e">
        <f>VLOOKUP(B16,'Trips&amp;Operators'!$C$1:$H$10000,5,FALSE)</f>
        <v>#N/A</v>
      </c>
      <c r="I16" s="46" t="str">
        <f t="shared" si="0"/>
        <v>https://d0f6bd738d7f1b3e5a7ca70fe4ff75f0.us-east-1.aws.found.io/app/kibana#/discover/Steve-Slow-Train-Analysis-(2080s-and-2083s)?_g=(refreshInterval:(display:Off,pause:!f,section:0,value:0),time:(from:now-7d,mode:quick,to:now))&amp;_a=(columns:!('Locomotive%20ID','Data.Train%20ID','Message%20ID'),filters:!(),index:'emp_*',interval:auto,query:(query_string:(analyze_wildcard:!t,query:%22-05%22)),sort:!(Time.ISO8601,asc))</v>
      </c>
      <c r="J16" s="30" t="e">
        <f>VLOOKUP(B16,'Train Runs'!$A$13:$A$99958,1,FALSE)</f>
        <v>#N/A</v>
      </c>
    </row>
    <row r="17" spans="1:10" x14ac:dyDescent="0.25">
      <c r="A17" s="190"/>
      <c r="B17" s="43" t="str">
        <f>A17&amp;"-"&amp;IF(DAY(Variables!$A$2)&lt;10,0,"")&amp;DAY(Variables!$A$2)</f>
        <v>-05</v>
      </c>
      <c r="C17" s="147"/>
      <c r="D17" s="169"/>
      <c r="E17" s="30"/>
      <c r="F17" s="21" t="e">
        <f>VLOOKUP(B17,'Trips&amp;Operators'!$C$2:$E$10000,3,FALSE)</f>
        <v>#N/A</v>
      </c>
      <c r="G17" s="21" t="e">
        <f>VLOOKUP(B17,'Trips&amp;Operators'!$C$1:$F$10000,4,FALSE)</f>
        <v>#N/A</v>
      </c>
      <c r="H17" s="29" t="e">
        <f>VLOOKUP(B17,'Trips&amp;Operators'!$C$1:$H$10000,5,FALSE)</f>
        <v>#N/A</v>
      </c>
      <c r="I17" s="46" t="str">
        <f t="shared" si="0"/>
        <v>https://d0f6bd738d7f1b3e5a7ca70fe4ff75f0.us-east-1.aws.found.io/app/kibana#/discover/Steve-Slow-Train-Analysis-(2080s-and-2083s)?_g=(refreshInterval:(display:Off,pause:!f,section:0,value:0),time:(from:now-7d,mode:quick,to:now))&amp;_a=(columns:!('Locomotive%20ID','Data.Train%20ID','Message%20ID'),filters:!(),index:'emp_*',interval:auto,query:(query_string:(analyze_wildcard:!t,query:%22-05%22)),sort:!(Time.ISO8601,asc))</v>
      </c>
      <c r="J17" s="30" t="e">
        <f>VLOOKUP(B17,'Train Runs'!$A$13:$A$99958,1,FALSE)</f>
        <v>#N/A</v>
      </c>
    </row>
    <row r="18" spans="1:10" x14ac:dyDescent="0.25">
      <c r="A18" s="190"/>
      <c r="B18" s="43" t="str">
        <f>A18&amp;"-"&amp;IF(DAY(Variables!$A$2)&lt;10,0,"")&amp;DAY(Variables!$A$2)</f>
        <v>-05</v>
      </c>
      <c r="C18" s="147"/>
      <c r="D18" s="169"/>
      <c r="E18" s="30"/>
      <c r="F18" s="21" t="e">
        <f>VLOOKUP(B18,'Trips&amp;Operators'!$C$2:$E$10000,3,FALSE)</f>
        <v>#N/A</v>
      </c>
      <c r="G18" s="21" t="e">
        <f>VLOOKUP(B18,'Trips&amp;Operators'!$C$1:$F$10000,4,FALSE)</f>
        <v>#N/A</v>
      </c>
      <c r="H18" s="29" t="e">
        <f>VLOOKUP(B18,'Trips&amp;Operators'!$C$1:$H$10000,5,FALSE)</f>
        <v>#N/A</v>
      </c>
      <c r="I18" s="46" t="str">
        <f t="shared" si="0"/>
        <v>https://d0f6bd738d7f1b3e5a7ca70fe4ff75f0.us-east-1.aws.found.io/app/kibana#/discover/Steve-Slow-Train-Analysis-(2080s-and-2083s)?_g=(refreshInterval:(display:Off,pause:!f,section:0,value:0),time:(from:now-7d,mode:quick,to:now))&amp;_a=(columns:!('Locomotive%20ID','Data.Train%20ID','Message%20ID'),filters:!(),index:'emp_*',interval:auto,query:(query_string:(analyze_wildcard:!t,query:%22-05%22)),sort:!(Time.ISO8601,asc))</v>
      </c>
      <c r="J18" s="30" t="e">
        <f>VLOOKUP(B18,'Train Runs'!$A$13:$A$99958,1,FALSE)</f>
        <v>#N/A</v>
      </c>
    </row>
    <row r="19" spans="1:10" x14ac:dyDescent="0.25">
      <c r="A19" s="190"/>
      <c r="B19" s="43" t="str">
        <f>A19&amp;"-"&amp;IF(DAY(Variables!$A$2)&lt;10,0,"")&amp;DAY(Variables!$A$2)</f>
        <v>-05</v>
      </c>
      <c r="C19" s="147"/>
      <c r="D19" s="169"/>
      <c r="E19" s="30"/>
      <c r="F19" s="21" t="e">
        <f>VLOOKUP(B19,'Trips&amp;Operators'!$C$2:$E$10000,3,FALSE)</f>
        <v>#N/A</v>
      </c>
      <c r="G19" s="21" t="e">
        <f>VLOOKUP(B19,'Trips&amp;Operators'!$C$1:$F$10000,4,FALSE)</f>
        <v>#N/A</v>
      </c>
      <c r="H19" s="29" t="e">
        <f>VLOOKUP(B19,'Trips&amp;Operators'!$C$1:$H$10000,5,FALSE)</f>
        <v>#N/A</v>
      </c>
      <c r="I19" s="46" t="str">
        <f t="shared" si="0"/>
        <v>https://d0f6bd738d7f1b3e5a7ca70fe4ff75f0.us-east-1.aws.found.io/app/kibana#/discover/Steve-Slow-Train-Analysis-(2080s-and-2083s)?_g=(refreshInterval:(display:Off,pause:!f,section:0,value:0),time:(from:now-7d,mode:quick,to:now))&amp;_a=(columns:!('Locomotive%20ID','Data.Train%20ID','Message%20ID'),filters:!(),index:'emp_*',interval:auto,query:(query_string:(analyze_wildcard:!t,query:%22-05%22)),sort:!(Time.ISO8601,asc))</v>
      </c>
      <c r="J19" s="30" t="e">
        <f>VLOOKUP(B19,'Train Runs'!$A$13:$A$99958,1,FALSE)</f>
        <v>#N/A</v>
      </c>
    </row>
    <row r="20" spans="1:10" x14ac:dyDescent="0.25">
      <c r="A20" s="190"/>
      <c r="B20" s="43" t="str">
        <f>A20&amp;"-"&amp;IF(DAY(Variables!$A$2)&lt;10,0,"")&amp;DAY(Variables!$A$2)</f>
        <v>-05</v>
      </c>
      <c r="C20" s="147"/>
      <c r="D20" s="169"/>
      <c r="E20" s="30"/>
      <c r="F20" s="21" t="e">
        <f>VLOOKUP(B20,'Trips&amp;Operators'!$C$2:$E$10000,3,FALSE)</f>
        <v>#N/A</v>
      </c>
      <c r="G20" s="21" t="e">
        <f>VLOOKUP(B20,'Trips&amp;Operators'!$C$1:$F$10000,4,FALSE)</f>
        <v>#N/A</v>
      </c>
      <c r="H20" s="29" t="e">
        <f>VLOOKUP(B20,'Trips&amp;Operators'!$C$1:$H$10000,5,FALSE)</f>
        <v>#N/A</v>
      </c>
      <c r="I20" s="46" t="str">
        <f t="shared" si="0"/>
        <v>https://d0f6bd738d7f1b3e5a7ca70fe4ff75f0.us-east-1.aws.found.io/app/kibana#/discover/Steve-Slow-Train-Analysis-(2080s-and-2083s)?_g=(refreshInterval:(display:Off,pause:!f,section:0,value:0),time:(from:now-7d,mode:quick,to:now))&amp;_a=(columns:!('Locomotive%20ID','Data.Train%20ID','Message%20ID'),filters:!(),index:'emp_*',interval:auto,query:(query_string:(analyze_wildcard:!t,query:%22-05%22)),sort:!(Time.ISO8601,asc))</v>
      </c>
      <c r="J20" s="30" t="e">
        <f>VLOOKUP(B20,'Train Runs'!$A$13:$A$99958,1,FALSE)</f>
        <v>#N/A</v>
      </c>
    </row>
    <row r="21" spans="1:10" x14ac:dyDescent="0.25">
      <c r="A21" s="190"/>
      <c r="B21" s="43" t="str">
        <f>A21&amp;"-"&amp;IF(DAY(Variables!$A$2)&lt;10,0,"")&amp;DAY(Variables!$A$2)</f>
        <v>-05</v>
      </c>
      <c r="C21" s="147"/>
      <c r="D21" s="169"/>
      <c r="E21" s="30"/>
      <c r="F21" s="21" t="e">
        <f>VLOOKUP(B21,'Trips&amp;Operators'!$C$2:$E$10000,3,FALSE)</f>
        <v>#N/A</v>
      </c>
      <c r="G21" s="21" t="e">
        <f>VLOOKUP(B21,'Trips&amp;Operators'!$C$1:$F$10000,4,FALSE)</f>
        <v>#N/A</v>
      </c>
      <c r="H21" s="29" t="e">
        <f>VLOOKUP(B21,'Trips&amp;Operators'!$C$1:$H$10000,5,FALSE)</f>
        <v>#N/A</v>
      </c>
      <c r="I21" s="46" t="str">
        <f t="shared" si="0"/>
        <v>https://d0f6bd738d7f1b3e5a7ca70fe4ff75f0.us-east-1.aws.found.io/app/kibana#/discover/Steve-Slow-Train-Analysis-(2080s-and-2083s)?_g=(refreshInterval:(display:Off,pause:!f,section:0,value:0),time:(from:now-7d,mode:quick,to:now))&amp;_a=(columns:!('Locomotive%20ID','Data.Train%20ID','Message%20ID'),filters:!(),index:'emp_*',interval:auto,query:(query_string:(analyze_wildcard:!t,query:%22-05%22)),sort:!(Time.ISO8601,asc))</v>
      </c>
      <c r="J21" s="30" t="e">
        <f>VLOOKUP(B21,'Train Runs'!$A$13:$A$99958,1,FALSE)</f>
        <v>#N/A</v>
      </c>
    </row>
    <row r="22" spans="1:10" x14ac:dyDescent="0.25">
      <c r="A22" s="190"/>
      <c r="B22" s="43" t="str">
        <f>A22&amp;"-"&amp;IF(DAY(Variables!$A$2)&lt;10,0,"")&amp;DAY(Variables!$A$2)</f>
        <v>-05</v>
      </c>
      <c r="C22" s="147"/>
      <c r="D22" s="169"/>
      <c r="E22" s="30"/>
      <c r="F22" s="21" t="e">
        <f>VLOOKUP(B22,'Trips&amp;Operators'!$C$2:$E$10000,3,FALSE)</f>
        <v>#N/A</v>
      </c>
      <c r="G22" s="21" t="e">
        <f>VLOOKUP(B22,'Trips&amp;Operators'!$C$1:$F$10000,4,FALSE)</f>
        <v>#N/A</v>
      </c>
      <c r="H22" s="29" t="e">
        <f>VLOOKUP(B22,'Trips&amp;Operators'!$C$1:$H$10000,5,FALSE)</f>
        <v>#N/A</v>
      </c>
      <c r="I22" s="46" t="str">
        <f t="shared" si="0"/>
        <v>https://d0f6bd738d7f1b3e5a7ca70fe4ff75f0.us-east-1.aws.found.io/app/kibana#/discover/Steve-Slow-Train-Analysis-(2080s-and-2083s)?_g=(refreshInterval:(display:Off,pause:!f,section:0,value:0),time:(from:now-7d,mode:quick,to:now))&amp;_a=(columns:!('Locomotive%20ID','Data.Train%20ID','Message%20ID'),filters:!(),index:'emp_*',interval:auto,query:(query_string:(analyze_wildcard:!t,query:%22-05%22)),sort:!(Time.ISO8601,asc))</v>
      </c>
      <c r="J22" s="30" t="e">
        <f>VLOOKUP(B22,'Train Runs'!$A$13:$A$99958,1,FALSE)</f>
        <v>#N/A</v>
      </c>
    </row>
    <row r="23" spans="1:10" x14ac:dyDescent="0.25">
      <c r="A23" s="190"/>
      <c r="B23" s="43" t="str">
        <f>A23&amp;"-"&amp;IF(DAY(Variables!$A$2)&lt;10,0,"")&amp;DAY(Variables!$A$2)</f>
        <v>-05</v>
      </c>
      <c r="C23" s="147"/>
      <c r="D23" s="169"/>
      <c r="E23" s="30"/>
      <c r="F23" s="21" t="e">
        <f>VLOOKUP(B23,'Trips&amp;Operators'!$C$2:$E$10000,3,FALSE)</f>
        <v>#N/A</v>
      </c>
      <c r="G23" s="21" t="e">
        <f>VLOOKUP(B23,'Trips&amp;Operators'!$C$1:$F$10000,4,FALSE)</f>
        <v>#N/A</v>
      </c>
      <c r="H23" s="29" t="e">
        <f>VLOOKUP(B23,'Trips&amp;Operators'!$C$1:$H$10000,5,FALSE)</f>
        <v>#N/A</v>
      </c>
      <c r="I23" s="46" t="str">
        <f t="shared" si="0"/>
        <v>https://d0f6bd738d7f1b3e5a7ca70fe4ff75f0.us-east-1.aws.found.io/app/kibana#/discover/Steve-Slow-Train-Analysis-(2080s-and-2083s)?_g=(refreshInterval:(display:Off,pause:!f,section:0,value:0),time:(from:now-7d,mode:quick,to:now))&amp;_a=(columns:!('Locomotive%20ID','Data.Train%20ID','Message%20ID'),filters:!(),index:'emp_*',interval:auto,query:(query_string:(analyze_wildcard:!t,query:%22-05%22)),sort:!(Time.ISO8601,asc))</v>
      </c>
      <c r="J23" s="30" t="e">
        <f>VLOOKUP(B23,'Train Runs'!$A$13:$A$99958,1,FALSE)</f>
        <v>#N/A</v>
      </c>
    </row>
    <row r="24" spans="1:10" x14ac:dyDescent="0.25">
      <c r="A24" s="190"/>
      <c r="B24" s="43" t="str">
        <f>A24&amp;"-"&amp;IF(DAY(Variables!$A$2)&lt;10,0,"")&amp;DAY(Variables!$A$2)</f>
        <v>-05</v>
      </c>
      <c r="C24" s="147"/>
      <c r="D24" s="169"/>
      <c r="E24" s="30"/>
      <c r="F24" s="21" t="e">
        <f>VLOOKUP(B24,'Trips&amp;Operators'!$C$2:$E$10000,3,FALSE)</f>
        <v>#N/A</v>
      </c>
      <c r="G24" s="21" t="e">
        <f>VLOOKUP(B24,'Trips&amp;Operators'!$C$1:$F$10000,4,FALSE)</f>
        <v>#N/A</v>
      </c>
      <c r="H24" s="29" t="e">
        <f>VLOOKUP(B24,'Trips&amp;Operators'!$C$1:$H$10000,5,FALSE)</f>
        <v>#N/A</v>
      </c>
      <c r="I24" s="46" t="str">
        <f t="shared" si="0"/>
        <v>https://d0f6bd738d7f1b3e5a7ca70fe4ff75f0.us-east-1.aws.found.io/app/kibana#/discover/Steve-Slow-Train-Analysis-(2080s-and-2083s)?_g=(refreshInterval:(display:Off,pause:!f,section:0,value:0),time:(from:now-7d,mode:quick,to:now))&amp;_a=(columns:!('Locomotive%20ID','Data.Train%20ID','Message%20ID'),filters:!(),index:'emp_*',interval:auto,query:(query_string:(analyze_wildcard:!t,query:%22-05%22)),sort:!(Time.ISO8601,asc))</v>
      </c>
      <c r="J24" s="30" t="e">
        <f>VLOOKUP(B24,'Train Runs'!$A$13:$A$99958,1,FALSE)</f>
        <v>#N/A</v>
      </c>
    </row>
    <row r="25" spans="1:10" x14ac:dyDescent="0.25">
      <c r="A25" s="190"/>
      <c r="B25" s="43" t="str">
        <f>A25&amp;"-"&amp;IF(DAY(Variables!$A$2)&lt;10,0,"")&amp;DAY(Variables!$A$2)</f>
        <v>-05</v>
      </c>
      <c r="C25" s="147"/>
      <c r="D25" s="169"/>
      <c r="E25" s="30"/>
      <c r="F25" s="21" t="e">
        <f>VLOOKUP(B25,'Trips&amp;Operators'!$C$2:$E$10000,3,FALSE)</f>
        <v>#N/A</v>
      </c>
      <c r="G25" s="21" t="e">
        <f>VLOOKUP(B25,'Trips&amp;Operators'!$C$1:$F$10000,4,FALSE)</f>
        <v>#N/A</v>
      </c>
      <c r="H25" s="29" t="e">
        <f>VLOOKUP(B25,'Trips&amp;Operators'!$C$1:$H$10000,5,FALSE)</f>
        <v>#N/A</v>
      </c>
      <c r="I25" s="46" t="str">
        <f t="shared" si="0"/>
        <v>https://d0f6bd738d7f1b3e5a7ca70fe4ff75f0.us-east-1.aws.found.io/app/kibana#/discover/Steve-Slow-Train-Analysis-(2080s-and-2083s)?_g=(refreshInterval:(display:Off,pause:!f,section:0,value:0),time:(from:now-7d,mode:quick,to:now))&amp;_a=(columns:!('Locomotive%20ID','Data.Train%20ID','Message%20ID'),filters:!(),index:'emp_*',interval:auto,query:(query_string:(analyze_wildcard:!t,query:%22-05%22)),sort:!(Time.ISO8601,asc))</v>
      </c>
      <c r="J25" s="30" t="e">
        <f>VLOOKUP(B25,'Train Runs'!$A$13:$A$99958,1,FALSE)</f>
        <v>#N/A</v>
      </c>
    </row>
    <row r="26" spans="1:10" x14ac:dyDescent="0.25">
      <c r="A26" s="190"/>
      <c r="B26" s="43" t="str">
        <f>A26&amp;"-"&amp;IF(DAY(Variables!$A$2)&lt;10,0,"")&amp;DAY(Variables!$A$2)</f>
        <v>-05</v>
      </c>
      <c r="C26" s="147"/>
      <c r="D26" s="169"/>
      <c r="E26" s="30"/>
      <c r="F26" s="21" t="e">
        <f>VLOOKUP(B26,'Trips&amp;Operators'!$C$2:$E$10000,3,FALSE)</f>
        <v>#N/A</v>
      </c>
      <c r="G26" s="21" t="e">
        <f>VLOOKUP(B26,'Trips&amp;Operators'!$C$1:$F$10000,4,FALSE)</f>
        <v>#N/A</v>
      </c>
      <c r="H26" s="29" t="e">
        <f>VLOOKUP(B26,'Trips&amp;Operators'!$C$1:$H$10000,5,FALSE)</f>
        <v>#N/A</v>
      </c>
      <c r="I26" s="46" t="str">
        <f t="shared" si="0"/>
        <v>https://d0f6bd738d7f1b3e5a7ca70fe4ff75f0.us-east-1.aws.found.io/app/kibana#/discover/Steve-Slow-Train-Analysis-(2080s-and-2083s)?_g=(refreshInterval:(display:Off,pause:!f,section:0,value:0),time:(from:now-7d,mode:quick,to:now))&amp;_a=(columns:!('Locomotive%20ID','Data.Train%20ID','Message%20ID'),filters:!(),index:'emp_*',interval:auto,query:(query_string:(analyze_wildcard:!t,query:%22-05%22)),sort:!(Time.ISO8601,asc))</v>
      </c>
      <c r="J26" s="30" t="e">
        <f>VLOOKUP(B26,'Train Runs'!$A$13:$A$99958,1,FALSE)</f>
        <v>#N/A</v>
      </c>
    </row>
    <row r="27" spans="1:10" x14ac:dyDescent="0.25">
      <c r="A27" s="190"/>
      <c r="B27" s="43" t="str">
        <f>A27&amp;"-"&amp;IF(DAY(Variables!$A$2)&lt;10,0,"")&amp;DAY(Variables!$A$2)</f>
        <v>-05</v>
      </c>
      <c r="C27" s="147"/>
      <c r="D27" s="169"/>
      <c r="E27" s="30"/>
      <c r="F27" s="21" t="e">
        <f>VLOOKUP(B27,'Trips&amp;Operators'!$C$2:$E$10000,3,FALSE)</f>
        <v>#N/A</v>
      </c>
      <c r="G27" s="21" t="e">
        <f>VLOOKUP(B27,'Trips&amp;Operators'!$C$1:$F$10000,4,FALSE)</f>
        <v>#N/A</v>
      </c>
      <c r="H27" s="29" t="e">
        <f>VLOOKUP(B27,'Trips&amp;Operators'!$C$1:$H$10000,5,FALSE)</f>
        <v>#N/A</v>
      </c>
      <c r="I27" s="46" t="str">
        <f t="shared" si="0"/>
        <v>https://d0f6bd738d7f1b3e5a7ca70fe4ff75f0.us-east-1.aws.found.io/app/kibana#/discover/Steve-Slow-Train-Analysis-(2080s-and-2083s)?_g=(refreshInterval:(display:Off,pause:!f,section:0,value:0),time:(from:now-7d,mode:quick,to:now))&amp;_a=(columns:!('Locomotive%20ID','Data.Train%20ID','Message%20ID'),filters:!(),index:'emp_*',interval:auto,query:(query_string:(analyze_wildcard:!t,query:%22-05%22)),sort:!(Time.ISO8601,asc))</v>
      </c>
      <c r="J27" s="30" t="e">
        <f>VLOOKUP(B27,'Train Runs'!$A$13:$A$99958,1,FALSE)</f>
        <v>#N/A</v>
      </c>
    </row>
    <row r="28" spans="1:10" x14ac:dyDescent="0.25">
      <c r="A28" s="190"/>
      <c r="B28" s="43" t="str">
        <f>A28&amp;"-"&amp;IF(DAY(Variables!$A$2)&lt;10,0,"")&amp;DAY(Variables!$A$2)</f>
        <v>-05</v>
      </c>
      <c r="C28" s="147"/>
      <c r="D28" s="169"/>
      <c r="E28" s="30"/>
      <c r="F28" s="21" t="e">
        <f>VLOOKUP(B28,'Trips&amp;Operators'!$C$2:$E$10000,3,FALSE)</f>
        <v>#N/A</v>
      </c>
      <c r="G28" s="21" t="e">
        <f>VLOOKUP(B28,'Trips&amp;Operators'!$C$1:$F$10000,4,FALSE)</f>
        <v>#N/A</v>
      </c>
      <c r="H28" s="29" t="e">
        <f>VLOOKUP(B28,'Trips&amp;Operators'!$C$1:$H$10000,5,FALSE)</f>
        <v>#N/A</v>
      </c>
      <c r="I28" s="46" t="str">
        <f t="shared" si="0"/>
        <v>https://d0f6bd738d7f1b3e5a7ca70fe4ff75f0.us-east-1.aws.found.io/app/kibana#/discover/Steve-Slow-Train-Analysis-(2080s-and-2083s)?_g=(refreshInterval:(display:Off,pause:!f,section:0,value:0),time:(from:now-7d,mode:quick,to:now))&amp;_a=(columns:!('Locomotive%20ID','Data.Train%20ID','Message%20ID'),filters:!(),index:'emp_*',interval:auto,query:(query_string:(analyze_wildcard:!t,query:%22-05%22)),sort:!(Time.ISO8601,asc))</v>
      </c>
      <c r="J28" s="30" t="e">
        <f>VLOOKUP(B28,'Train Runs'!$A$13:$A$99958,1,FALSE)</f>
        <v>#N/A</v>
      </c>
    </row>
    <row r="29" spans="1:10" x14ac:dyDescent="0.25">
      <c r="A29" s="190"/>
      <c r="B29" s="43" t="str">
        <f>A29&amp;"-"&amp;IF(DAY(Variables!$A$2)&lt;10,0,"")&amp;DAY(Variables!$A$2)</f>
        <v>-05</v>
      </c>
      <c r="C29" s="147"/>
      <c r="D29" s="169"/>
      <c r="E29" s="30"/>
      <c r="F29" s="21" t="e">
        <f>VLOOKUP(B29,'Trips&amp;Operators'!$C$2:$E$10000,3,FALSE)</f>
        <v>#N/A</v>
      </c>
      <c r="G29" s="21" t="e">
        <f>VLOOKUP(B29,'Trips&amp;Operators'!$C$1:$F$10000,4,FALSE)</f>
        <v>#N/A</v>
      </c>
      <c r="H29" s="29" t="e">
        <f>VLOOKUP(B29,'Trips&amp;Operators'!$C$1:$H$10000,5,FALSE)</f>
        <v>#N/A</v>
      </c>
      <c r="I29" s="46" t="str">
        <f t="shared" si="0"/>
        <v>https://d0f6bd738d7f1b3e5a7ca70fe4ff75f0.us-east-1.aws.found.io/app/kibana#/discover/Steve-Slow-Train-Analysis-(2080s-and-2083s)?_g=(refreshInterval:(display:Off,pause:!f,section:0,value:0),time:(from:now-7d,mode:quick,to:now))&amp;_a=(columns:!('Locomotive%20ID','Data.Train%20ID','Message%20ID'),filters:!(),index:'emp_*',interval:auto,query:(query_string:(analyze_wildcard:!t,query:%22-05%22)),sort:!(Time.ISO8601,asc))</v>
      </c>
      <c r="J29" s="30" t="e">
        <f>VLOOKUP(B29,'Train Runs'!$A$13:$A$99958,1,FALSE)</f>
        <v>#N/A</v>
      </c>
    </row>
    <row r="30" spans="1:10" x14ac:dyDescent="0.25">
      <c r="A30" s="190"/>
      <c r="B30" s="43" t="str">
        <f>A30&amp;"-"&amp;IF(DAY(Variables!$A$2)&lt;10,0,"")&amp;DAY(Variables!$A$2)</f>
        <v>-05</v>
      </c>
      <c r="C30" s="147"/>
      <c r="D30" s="169"/>
      <c r="E30" s="30"/>
      <c r="F30" s="21" t="e">
        <f>VLOOKUP(B30,'Trips&amp;Operators'!$C$2:$E$10000,3,FALSE)</f>
        <v>#N/A</v>
      </c>
      <c r="G30" s="21" t="e">
        <f>VLOOKUP(B30,'Trips&amp;Operators'!$C$1:$F$10000,4,FALSE)</f>
        <v>#N/A</v>
      </c>
      <c r="H30" s="29" t="e">
        <f>VLOOKUP(B30,'Trips&amp;Operators'!$C$1:$H$10000,5,FALSE)</f>
        <v>#N/A</v>
      </c>
      <c r="I30" s="46" t="str">
        <f t="shared" si="0"/>
        <v>https://d0f6bd738d7f1b3e5a7ca70fe4ff75f0.us-east-1.aws.found.io/app/kibana#/discover/Steve-Slow-Train-Analysis-(2080s-and-2083s)?_g=(refreshInterval:(display:Off,pause:!f,section:0,value:0),time:(from:now-7d,mode:quick,to:now))&amp;_a=(columns:!('Locomotive%20ID','Data.Train%20ID','Message%20ID'),filters:!(),index:'emp_*',interval:auto,query:(query_string:(analyze_wildcard:!t,query:%22-05%22)),sort:!(Time.ISO8601,asc))</v>
      </c>
      <c r="J30" s="30" t="e">
        <f>VLOOKUP(B30,'Train Runs'!$A$13:$A$99958,1,FALSE)</f>
        <v>#N/A</v>
      </c>
    </row>
    <row r="31" spans="1:10" x14ac:dyDescent="0.25">
      <c r="A31" s="190"/>
      <c r="B31" s="43" t="str">
        <f>A31&amp;"-"&amp;IF(DAY(Variables!$A$2)&lt;10,0,"")&amp;DAY(Variables!$A$2)</f>
        <v>-05</v>
      </c>
      <c r="C31" s="147"/>
      <c r="D31" s="169"/>
      <c r="E31" s="30"/>
      <c r="F31" s="21" t="e">
        <f>VLOOKUP(B31,'Trips&amp;Operators'!$C$2:$E$10000,3,FALSE)</f>
        <v>#N/A</v>
      </c>
      <c r="G31" s="21" t="e">
        <f>VLOOKUP(B31,'Trips&amp;Operators'!$C$1:$F$10000,4,FALSE)</f>
        <v>#N/A</v>
      </c>
      <c r="H31" s="29" t="e">
        <f>VLOOKUP(B31,'Trips&amp;Operators'!$C$1:$H$10000,5,FALSE)</f>
        <v>#N/A</v>
      </c>
      <c r="I31" s="46" t="str">
        <f t="shared" si="0"/>
        <v>https://d0f6bd738d7f1b3e5a7ca70fe4ff75f0.us-east-1.aws.found.io/app/kibana#/discover/Steve-Slow-Train-Analysis-(2080s-and-2083s)?_g=(refreshInterval:(display:Off,pause:!f,section:0,value:0),time:(from:now-7d,mode:quick,to:now))&amp;_a=(columns:!('Locomotive%20ID','Data.Train%20ID','Message%20ID'),filters:!(),index:'emp_*',interval:auto,query:(query_string:(analyze_wildcard:!t,query:%22-05%22)),sort:!(Time.ISO8601,asc))</v>
      </c>
      <c r="J31" s="30" t="e">
        <f>VLOOKUP(B31,'Train Runs'!$A$13:$A$99958,1,FALSE)</f>
        <v>#N/A</v>
      </c>
    </row>
    <row r="32" spans="1:10" x14ac:dyDescent="0.25">
      <c r="A32" s="190"/>
      <c r="B32" s="43" t="str">
        <f>A32&amp;"-"&amp;IF(DAY(Variables!$A$2)&lt;10,0,"")&amp;DAY(Variables!$A$2)</f>
        <v>-05</v>
      </c>
      <c r="C32" s="147"/>
      <c r="D32" s="169"/>
      <c r="E32" s="30"/>
      <c r="F32" s="21" t="e">
        <f>VLOOKUP(B32,'Trips&amp;Operators'!$C$2:$E$10000,3,FALSE)</f>
        <v>#N/A</v>
      </c>
      <c r="G32" s="21" t="e">
        <f>VLOOKUP(B32,'Trips&amp;Operators'!$C$1:$F$10000,4,FALSE)</f>
        <v>#N/A</v>
      </c>
      <c r="H32" s="29" t="e">
        <f>VLOOKUP(B32,'Trips&amp;Operators'!$C$1:$H$10000,5,FALSE)</f>
        <v>#N/A</v>
      </c>
      <c r="I32" s="46" t="str">
        <f t="shared" si="0"/>
        <v>https://d0f6bd738d7f1b3e5a7ca70fe4ff75f0.us-east-1.aws.found.io/app/kibana#/discover/Steve-Slow-Train-Analysis-(2080s-and-2083s)?_g=(refreshInterval:(display:Off,pause:!f,section:0,value:0),time:(from:now-7d,mode:quick,to:now))&amp;_a=(columns:!('Locomotive%20ID','Data.Train%20ID','Message%20ID'),filters:!(),index:'emp_*',interval:auto,query:(query_string:(analyze_wildcard:!t,query:%22-05%22)),sort:!(Time.ISO8601,asc))</v>
      </c>
      <c r="J32" s="30" t="e">
        <f>VLOOKUP(B32,'Train Runs'!$A$13:$A$99958,1,FALSE)</f>
        <v>#N/A</v>
      </c>
    </row>
    <row r="33" spans="1:10" x14ac:dyDescent="0.25">
      <c r="A33" s="190"/>
      <c r="B33" s="43" t="str">
        <f>A33&amp;"-"&amp;IF(DAY(Variables!$A$2)&lt;10,0,"")&amp;DAY(Variables!$A$2)</f>
        <v>-05</v>
      </c>
      <c r="C33" s="147"/>
      <c r="D33" s="169"/>
      <c r="E33" s="30"/>
      <c r="F33" s="21" t="e">
        <f>VLOOKUP(B33,'Trips&amp;Operators'!$C$2:$E$10000,3,FALSE)</f>
        <v>#N/A</v>
      </c>
      <c r="G33" s="21" t="e">
        <f>VLOOKUP(B33,'Trips&amp;Operators'!$C$1:$F$10000,4,FALSE)</f>
        <v>#N/A</v>
      </c>
      <c r="H33" s="29" t="e">
        <f>VLOOKUP(B33,'Trips&amp;Operators'!$C$1:$H$10000,5,FALSE)</f>
        <v>#N/A</v>
      </c>
      <c r="I33" s="46" t="str">
        <f t="shared" si="0"/>
        <v>https://d0f6bd738d7f1b3e5a7ca70fe4ff75f0.us-east-1.aws.found.io/app/kibana#/discover/Steve-Slow-Train-Analysis-(2080s-and-2083s)?_g=(refreshInterval:(display:Off,pause:!f,section:0,value:0),time:(from:now-7d,mode:quick,to:now))&amp;_a=(columns:!('Locomotive%20ID','Data.Train%20ID','Message%20ID'),filters:!(),index:'emp_*',interval:auto,query:(query_string:(analyze_wildcard:!t,query:%22-05%22)),sort:!(Time.ISO8601,asc))</v>
      </c>
      <c r="J33" s="30" t="e">
        <f>VLOOKUP(B33,'Train Runs'!$A$13:$A$99958,1,FALSE)</f>
        <v>#N/A</v>
      </c>
    </row>
    <row r="34" spans="1:10" x14ac:dyDescent="0.25">
      <c r="A34" s="190"/>
      <c r="B34" s="43" t="str">
        <f>A34&amp;"-"&amp;IF(DAY(Variables!$A$2)&lt;10,0,"")&amp;DAY(Variables!$A$2)</f>
        <v>-05</v>
      </c>
      <c r="C34" s="147"/>
      <c r="D34" s="169"/>
      <c r="E34" s="30"/>
      <c r="F34" s="21" t="e">
        <f>VLOOKUP(B34,'Trips&amp;Operators'!$C$2:$E$10000,3,FALSE)</f>
        <v>#N/A</v>
      </c>
      <c r="G34" s="21" t="e">
        <f>VLOOKUP(B34,'Trips&amp;Operators'!$C$1:$F$10000,4,FALSE)</f>
        <v>#N/A</v>
      </c>
      <c r="H34" s="29" t="e">
        <f>VLOOKUP(B34,'Trips&amp;Operators'!$C$1:$H$10000,5,FALSE)</f>
        <v>#N/A</v>
      </c>
      <c r="I34" s="46" t="str">
        <f t="shared" si="0"/>
        <v>https://d0f6bd738d7f1b3e5a7ca70fe4ff75f0.us-east-1.aws.found.io/app/kibana#/discover/Steve-Slow-Train-Analysis-(2080s-and-2083s)?_g=(refreshInterval:(display:Off,pause:!f,section:0,value:0),time:(from:now-7d,mode:quick,to:now))&amp;_a=(columns:!('Locomotive%20ID','Data.Train%20ID','Message%20ID'),filters:!(),index:'emp_*',interval:auto,query:(query_string:(analyze_wildcard:!t,query:%22-05%22)),sort:!(Time.ISO8601,asc))</v>
      </c>
      <c r="J34" s="30" t="e">
        <f>VLOOKUP(B34,'Train Runs'!$A$13:$A$99958,1,FALSE)</f>
        <v>#N/A</v>
      </c>
    </row>
    <row r="35" spans="1:10" x14ac:dyDescent="0.25">
      <c r="A35" s="190"/>
      <c r="B35" s="43" t="str">
        <f>A35&amp;"-"&amp;IF(DAY(Variables!$A$2)&lt;10,0,"")&amp;DAY(Variables!$A$2)</f>
        <v>-05</v>
      </c>
      <c r="C35" s="147"/>
      <c r="D35" s="169"/>
      <c r="E35" s="30"/>
      <c r="F35" s="21" t="e">
        <f>VLOOKUP(B35,'Trips&amp;Operators'!$C$2:$E$10000,3,FALSE)</f>
        <v>#N/A</v>
      </c>
      <c r="G35" s="21" t="e">
        <f>VLOOKUP(B35,'Trips&amp;Operators'!$C$1:$F$10000,4,FALSE)</f>
        <v>#N/A</v>
      </c>
      <c r="H35" s="29" t="e">
        <f>VLOOKUP(B35,'Trips&amp;Operators'!$C$1:$H$10000,5,FALSE)</f>
        <v>#N/A</v>
      </c>
      <c r="I35" s="46" t="str">
        <f t="shared" si="0"/>
        <v>https://d0f6bd738d7f1b3e5a7ca70fe4ff75f0.us-east-1.aws.found.io/app/kibana#/discover/Steve-Slow-Train-Analysis-(2080s-and-2083s)?_g=(refreshInterval:(display:Off,pause:!f,section:0,value:0),time:(from:now-7d,mode:quick,to:now))&amp;_a=(columns:!('Locomotive%20ID','Data.Train%20ID','Message%20ID'),filters:!(),index:'emp_*',interval:auto,query:(query_string:(analyze_wildcard:!t,query:%22-05%22)),sort:!(Time.ISO8601,asc))</v>
      </c>
      <c r="J35" s="30" t="e">
        <f>VLOOKUP(B35,'Train Runs'!$A$13:$A$99958,1,FALSE)</f>
        <v>#N/A</v>
      </c>
    </row>
    <row r="36" spans="1:10" x14ac:dyDescent="0.25">
      <c r="A36" s="190"/>
      <c r="B36" s="43" t="str">
        <f>A36&amp;"-"&amp;IF(DAY(Variables!$A$2)&lt;10,0,"")&amp;DAY(Variables!$A$2)</f>
        <v>-05</v>
      </c>
      <c r="C36" s="147"/>
      <c r="D36" s="169"/>
      <c r="E36" s="30"/>
      <c r="F36" s="21" t="e">
        <f>VLOOKUP(B36,'Trips&amp;Operators'!$C$2:$E$10000,3,FALSE)</f>
        <v>#N/A</v>
      </c>
      <c r="G36" s="21" t="e">
        <f>VLOOKUP(B36,'Trips&amp;Operators'!$C$1:$F$10000,4,FALSE)</f>
        <v>#N/A</v>
      </c>
      <c r="H36" s="29" t="e">
        <f>VLOOKUP(B36,'Trips&amp;Operators'!$C$1:$H$10000,5,FALSE)</f>
        <v>#N/A</v>
      </c>
      <c r="I36" s="46" t="str">
        <f t="shared" si="0"/>
        <v>https://d0f6bd738d7f1b3e5a7ca70fe4ff75f0.us-east-1.aws.found.io/app/kibana#/discover/Steve-Slow-Train-Analysis-(2080s-and-2083s)?_g=(refreshInterval:(display:Off,pause:!f,section:0,value:0),time:(from:now-7d,mode:quick,to:now))&amp;_a=(columns:!('Locomotive%20ID','Data.Train%20ID','Message%20ID'),filters:!(),index:'emp_*',interval:auto,query:(query_string:(analyze_wildcard:!t,query:%22-05%22)),sort:!(Time.ISO8601,asc))</v>
      </c>
      <c r="J36" s="30" t="e">
        <f>VLOOKUP(B36,'Train Runs'!$A$13:$A$99958,1,FALSE)</f>
        <v>#N/A</v>
      </c>
    </row>
    <row r="37" spans="1:10" x14ac:dyDescent="0.25">
      <c r="A37" s="190"/>
      <c r="B37" s="43" t="str">
        <f>A37&amp;"-"&amp;IF(DAY(Variables!$A$2)&lt;10,0,"")&amp;DAY(Variables!$A$2)</f>
        <v>-05</v>
      </c>
      <c r="C37" s="147"/>
      <c r="D37" s="169"/>
      <c r="E37" s="30"/>
      <c r="F37" s="21" t="e">
        <f>VLOOKUP(B37,'Trips&amp;Operators'!$C$2:$E$10000,3,FALSE)</f>
        <v>#N/A</v>
      </c>
      <c r="G37" s="21" t="e">
        <f>VLOOKUP(B37,'Trips&amp;Operators'!$C$1:$F$10000,4,FALSE)</f>
        <v>#N/A</v>
      </c>
      <c r="H37" s="29" t="e">
        <f>VLOOKUP(B37,'Trips&amp;Operators'!$C$1:$H$10000,5,FALSE)</f>
        <v>#N/A</v>
      </c>
      <c r="I37" s="46" t="str">
        <f t="shared" si="0"/>
        <v>https://d0f6bd738d7f1b3e5a7ca70fe4ff75f0.us-east-1.aws.found.io/app/kibana#/discover/Steve-Slow-Train-Analysis-(2080s-and-2083s)?_g=(refreshInterval:(display:Off,pause:!f,section:0,value:0),time:(from:now-7d,mode:quick,to:now))&amp;_a=(columns:!('Locomotive%20ID','Data.Train%20ID','Message%20ID'),filters:!(),index:'emp_*',interval:auto,query:(query_string:(analyze_wildcard:!t,query:%22-05%22)),sort:!(Time.ISO8601,asc))</v>
      </c>
      <c r="J37" s="30" t="e">
        <f>VLOOKUP(B37,'Train Runs'!$A$13:$A$99958,1,FALSE)</f>
        <v>#N/A</v>
      </c>
    </row>
    <row r="38" spans="1:10" x14ac:dyDescent="0.25">
      <c r="A38" s="190"/>
      <c r="B38" s="43" t="str">
        <f>A38&amp;"-"&amp;IF(DAY(Variables!$A$2)&lt;10,0,"")&amp;DAY(Variables!$A$2)</f>
        <v>-05</v>
      </c>
      <c r="C38" s="147"/>
      <c r="D38" s="169"/>
      <c r="E38" s="30"/>
      <c r="F38" s="21" t="e">
        <f>VLOOKUP(B38,'Trips&amp;Operators'!$C$2:$E$10000,3,FALSE)</f>
        <v>#N/A</v>
      </c>
      <c r="G38" s="21" t="e">
        <f>VLOOKUP(B38,'Trips&amp;Operators'!$C$1:$F$10000,4,FALSE)</f>
        <v>#N/A</v>
      </c>
      <c r="H38" s="29" t="e">
        <f>VLOOKUP(B38,'Trips&amp;Operators'!$C$1:$H$10000,5,FALSE)</f>
        <v>#N/A</v>
      </c>
      <c r="I38" s="46" t="str">
        <f t="shared" si="0"/>
        <v>https://d0f6bd738d7f1b3e5a7ca70fe4ff75f0.us-east-1.aws.found.io/app/kibana#/discover/Steve-Slow-Train-Analysis-(2080s-and-2083s)?_g=(refreshInterval:(display:Off,pause:!f,section:0,value:0),time:(from:now-7d,mode:quick,to:now))&amp;_a=(columns:!('Locomotive%20ID','Data.Train%20ID','Message%20ID'),filters:!(),index:'emp_*',interval:auto,query:(query_string:(analyze_wildcard:!t,query:%22-05%22)),sort:!(Time.ISO8601,asc))</v>
      </c>
      <c r="J38" s="30" t="e">
        <f>VLOOKUP(B38,'Train Runs'!$A$13:$A$99958,1,FALSE)</f>
        <v>#N/A</v>
      </c>
    </row>
    <row r="39" spans="1:10" x14ac:dyDescent="0.25">
      <c r="A39" s="190"/>
      <c r="B39" s="43" t="str">
        <f>A39&amp;"-"&amp;IF(DAY(Variables!$A$2)&lt;10,0,"")&amp;DAY(Variables!$A$2)</f>
        <v>-05</v>
      </c>
      <c r="C39" s="147"/>
      <c r="D39" s="169"/>
      <c r="E39" s="30"/>
      <c r="F39" s="21" t="e">
        <f>VLOOKUP(B39,'Trips&amp;Operators'!$C$2:$E$10000,3,FALSE)</f>
        <v>#N/A</v>
      </c>
      <c r="G39" s="21" t="e">
        <f>VLOOKUP(B39,'Trips&amp;Operators'!$C$1:$F$10000,4,FALSE)</f>
        <v>#N/A</v>
      </c>
      <c r="H39" s="29" t="e">
        <f>VLOOKUP(B39,'Trips&amp;Operators'!$C$1:$H$10000,5,FALSE)</f>
        <v>#N/A</v>
      </c>
      <c r="I39" s="46" t="str">
        <f t="shared" si="0"/>
        <v>https://d0f6bd738d7f1b3e5a7ca70fe4ff75f0.us-east-1.aws.found.io/app/kibana#/discover/Steve-Slow-Train-Analysis-(2080s-and-2083s)?_g=(refreshInterval:(display:Off,pause:!f,section:0,value:0),time:(from:now-7d,mode:quick,to:now))&amp;_a=(columns:!('Locomotive%20ID','Data.Train%20ID','Message%20ID'),filters:!(),index:'emp_*',interval:auto,query:(query_string:(analyze_wildcard:!t,query:%22-05%22)),sort:!(Time.ISO8601,asc))</v>
      </c>
      <c r="J39" s="30" t="e">
        <f>VLOOKUP(B39,'Train Runs'!$A$13:$A$99958,1,FALSE)</f>
        <v>#N/A</v>
      </c>
    </row>
    <row r="40" spans="1:10" x14ac:dyDescent="0.25">
      <c r="A40" s="190"/>
      <c r="B40" s="43" t="str">
        <f>A40&amp;"-"&amp;IF(DAY(Variables!$A$2)&lt;10,0,"")&amp;DAY(Variables!$A$2)</f>
        <v>-05</v>
      </c>
      <c r="C40" s="147"/>
      <c r="D40" s="169"/>
      <c r="E40" s="30"/>
      <c r="F40" s="21" t="e">
        <f>VLOOKUP(B40,'Trips&amp;Operators'!$C$2:$E$10000,3,FALSE)</f>
        <v>#N/A</v>
      </c>
      <c r="G40" s="21" t="e">
        <f>VLOOKUP(B40,'Trips&amp;Operators'!$C$1:$F$10000,4,FALSE)</f>
        <v>#N/A</v>
      </c>
      <c r="H40" s="29" t="e">
        <f>VLOOKUP(B40,'Trips&amp;Operators'!$C$1:$H$10000,5,FALSE)</f>
        <v>#N/A</v>
      </c>
      <c r="I40" s="46" t="str">
        <f t="shared" si="0"/>
        <v>https://d0f6bd738d7f1b3e5a7ca70fe4ff75f0.us-east-1.aws.found.io/app/kibana#/discover/Steve-Slow-Train-Analysis-(2080s-and-2083s)?_g=(refreshInterval:(display:Off,pause:!f,section:0,value:0),time:(from:now-7d,mode:quick,to:now))&amp;_a=(columns:!('Locomotive%20ID','Data.Train%20ID','Message%20ID'),filters:!(),index:'emp_*',interval:auto,query:(query_string:(analyze_wildcard:!t,query:%22-05%22)),sort:!(Time.ISO8601,asc))</v>
      </c>
      <c r="J40" s="30" t="e">
        <f>VLOOKUP(B40,'Train Runs'!$A$13:$A$99958,1,FALSE)</f>
        <v>#N/A</v>
      </c>
    </row>
    <row r="41" spans="1:10" x14ac:dyDescent="0.25">
      <c r="A41" s="190"/>
      <c r="B41" s="43" t="str">
        <f>A41&amp;"-"&amp;IF(DAY(Variables!$A$2)&lt;10,0,"")&amp;DAY(Variables!$A$2)</f>
        <v>-05</v>
      </c>
      <c r="C41" s="147"/>
      <c r="D41" s="169"/>
      <c r="E41" s="30"/>
      <c r="F41" s="21" t="e">
        <f>VLOOKUP(B41,'Trips&amp;Operators'!$C$2:$E$10000,3,FALSE)</f>
        <v>#N/A</v>
      </c>
      <c r="G41" s="21" t="e">
        <f>VLOOKUP(B41,'Trips&amp;Operators'!$C$1:$F$10000,4,FALSE)</f>
        <v>#N/A</v>
      </c>
      <c r="H41" s="29" t="e">
        <f>VLOOKUP(B41,'Trips&amp;Operators'!$C$1:$H$10000,5,FALSE)</f>
        <v>#N/A</v>
      </c>
      <c r="I41" s="46" t="str">
        <f t="shared" si="0"/>
        <v>https://d0f6bd738d7f1b3e5a7ca70fe4ff75f0.us-east-1.aws.found.io/app/kibana#/discover/Steve-Slow-Train-Analysis-(2080s-and-2083s)?_g=(refreshInterval:(display:Off,pause:!f,section:0,value:0),time:(from:now-7d,mode:quick,to:now))&amp;_a=(columns:!('Locomotive%20ID','Data.Train%20ID','Message%20ID'),filters:!(),index:'emp_*',interval:auto,query:(query_string:(analyze_wildcard:!t,query:%22-05%22)),sort:!(Time.ISO8601,asc))</v>
      </c>
      <c r="J41" s="30" t="e">
        <f>VLOOKUP(B41,'Train Runs'!$A$13:$A$99958,1,FALSE)</f>
        <v>#N/A</v>
      </c>
    </row>
    <row r="42" spans="1:10" x14ac:dyDescent="0.25">
      <c r="A42" s="190"/>
      <c r="B42" s="43" t="str">
        <f>A42&amp;"-"&amp;IF(DAY(Variables!$A$2)&lt;10,0,"")&amp;DAY(Variables!$A$2)</f>
        <v>-05</v>
      </c>
      <c r="C42" s="147"/>
      <c r="D42" s="169"/>
      <c r="E42" s="30"/>
      <c r="F42" s="21" t="e">
        <f>VLOOKUP(B42,'Trips&amp;Operators'!$C$2:$E$10000,3,FALSE)</f>
        <v>#N/A</v>
      </c>
      <c r="G42" s="21" t="e">
        <f>VLOOKUP(B42,'Trips&amp;Operators'!$C$1:$F$10000,4,FALSE)</f>
        <v>#N/A</v>
      </c>
      <c r="H42" s="29" t="e">
        <f>VLOOKUP(B42,'Trips&amp;Operators'!$C$1:$H$10000,5,FALSE)</f>
        <v>#N/A</v>
      </c>
      <c r="I42" s="46" t="str">
        <f t="shared" si="0"/>
        <v>https://d0f6bd738d7f1b3e5a7ca70fe4ff75f0.us-east-1.aws.found.io/app/kibana#/discover/Steve-Slow-Train-Analysis-(2080s-and-2083s)?_g=(refreshInterval:(display:Off,pause:!f,section:0,value:0),time:(from:now-7d,mode:quick,to:now))&amp;_a=(columns:!('Locomotive%20ID','Data.Train%20ID','Message%20ID'),filters:!(),index:'emp_*',interval:auto,query:(query_string:(analyze_wildcard:!t,query:%22-05%22)),sort:!(Time.ISO8601,asc))</v>
      </c>
      <c r="J42" s="30" t="e">
        <f>VLOOKUP(B42,'Train Runs'!$A$13:$A$99958,1,FALSE)</f>
        <v>#N/A</v>
      </c>
    </row>
    <row r="43" spans="1:10" x14ac:dyDescent="0.25">
      <c r="A43" s="190"/>
      <c r="B43" s="43" t="str">
        <f>A43&amp;"-"&amp;IF(DAY(Variables!$A$2)&lt;10,0,"")&amp;DAY(Variables!$A$2)</f>
        <v>-05</v>
      </c>
      <c r="C43" s="147"/>
      <c r="D43" s="169"/>
      <c r="E43" s="30"/>
      <c r="F43" s="21" t="e">
        <f>VLOOKUP(B43,'Trips&amp;Operators'!$C$2:$E$10000,3,FALSE)</f>
        <v>#N/A</v>
      </c>
      <c r="G43" s="21" t="e">
        <f>VLOOKUP(B43,'Trips&amp;Operators'!$C$1:$F$10000,4,FALSE)</f>
        <v>#N/A</v>
      </c>
      <c r="H43" s="29" t="e">
        <f>VLOOKUP(B43,'Trips&amp;Operators'!$C$1:$H$10000,5,FALSE)</f>
        <v>#N/A</v>
      </c>
      <c r="I43" s="46" t="str">
        <f t="shared" si="0"/>
        <v>https://d0f6bd738d7f1b3e5a7ca70fe4ff75f0.us-east-1.aws.found.io/app/kibana#/discover/Steve-Slow-Train-Analysis-(2080s-and-2083s)?_g=(refreshInterval:(display:Off,pause:!f,section:0,value:0),time:(from:now-7d,mode:quick,to:now))&amp;_a=(columns:!('Locomotive%20ID','Data.Train%20ID','Message%20ID'),filters:!(),index:'emp_*',interval:auto,query:(query_string:(analyze_wildcard:!t,query:%22-05%22)),sort:!(Time.ISO8601,asc))</v>
      </c>
      <c r="J43" s="30" t="e">
        <f>VLOOKUP(B43,'Train Runs'!$A$13:$A$99958,1,FALSE)</f>
        <v>#N/A</v>
      </c>
    </row>
    <row r="44" spans="1:10" x14ac:dyDescent="0.25">
      <c r="A44" s="190"/>
      <c r="B44" s="43" t="str">
        <f>A44&amp;"-"&amp;IF(DAY(Variables!$A$2)&lt;10,0,"")&amp;DAY(Variables!$A$2)</f>
        <v>-05</v>
      </c>
      <c r="C44" s="147"/>
      <c r="D44" s="169"/>
      <c r="E44" s="30"/>
      <c r="F44" s="21" t="e">
        <f>VLOOKUP(B44,'Trips&amp;Operators'!$C$2:$E$10000,3,FALSE)</f>
        <v>#N/A</v>
      </c>
      <c r="G44" s="21" t="e">
        <f>VLOOKUP(B44,'Trips&amp;Operators'!$C$1:$F$10000,4,FALSE)</f>
        <v>#N/A</v>
      </c>
      <c r="H44" s="29" t="e">
        <f>VLOOKUP(B44,'Trips&amp;Operators'!$C$1:$H$10000,5,FALSE)</f>
        <v>#N/A</v>
      </c>
      <c r="I44" s="46" t="str">
        <f t="shared" si="0"/>
        <v>https://d0f6bd738d7f1b3e5a7ca70fe4ff75f0.us-east-1.aws.found.io/app/kibana#/discover/Steve-Slow-Train-Analysis-(2080s-and-2083s)?_g=(refreshInterval:(display:Off,pause:!f,section:0,value:0),time:(from:now-7d,mode:quick,to:now))&amp;_a=(columns:!('Locomotive%20ID','Data.Train%20ID','Message%20ID'),filters:!(),index:'emp_*',interval:auto,query:(query_string:(analyze_wildcard:!t,query:%22-05%22)),sort:!(Time.ISO8601,asc))</v>
      </c>
      <c r="J44" s="30" t="e">
        <f>VLOOKUP(B44,'Train Runs'!$A$13:$A$99958,1,FALSE)</f>
        <v>#N/A</v>
      </c>
    </row>
    <row r="45" spans="1:10" x14ac:dyDescent="0.25">
      <c r="A45" s="190"/>
      <c r="B45" s="43" t="str">
        <f>A45&amp;"-"&amp;IF(DAY(Variables!$A$2)&lt;10,0,"")&amp;DAY(Variables!$A$2)</f>
        <v>-05</v>
      </c>
      <c r="C45" s="147"/>
      <c r="D45" s="169"/>
      <c r="E45" s="30"/>
      <c r="F45" s="21" t="e">
        <f>VLOOKUP(B45,'Trips&amp;Operators'!$C$2:$E$10000,3,FALSE)</f>
        <v>#N/A</v>
      </c>
      <c r="G45" s="21" t="e">
        <f>VLOOKUP(B45,'Trips&amp;Operators'!$C$1:$F$10000,4,FALSE)</f>
        <v>#N/A</v>
      </c>
      <c r="H45" s="29" t="e">
        <f>VLOOKUP(B45,'Trips&amp;Operators'!$C$1:$H$10000,5,FALSE)</f>
        <v>#N/A</v>
      </c>
      <c r="I45" s="46" t="str">
        <f t="shared" si="0"/>
        <v>https://d0f6bd738d7f1b3e5a7ca70fe4ff75f0.us-east-1.aws.found.io/app/kibana#/discover/Steve-Slow-Train-Analysis-(2080s-and-2083s)?_g=(refreshInterval:(display:Off,pause:!f,section:0,value:0),time:(from:now-7d,mode:quick,to:now))&amp;_a=(columns:!('Locomotive%20ID','Data.Train%20ID','Message%20ID'),filters:!(),index:'emp_*',interval:auto,query:(query_string:(analyze_wildcard:!t,query:%22-05%22)),sort:!(Time.ISO8601,asc))</v>
      </c>
      <c r="J45" s="30" t="e">
        <f>VLOOKUP(B45,'Train Runs'!$A$13:$A$99958,1,FALSE)</f>
        <v>#N/A</v>
      </c>
    </row>
    <row r="46" spans="1:10" x14ac:dyDescent="0.25">
      <c r="A46" s="190"/>
      <c r="B46" s="43" t="str">
        <f>A46&amp;"-"&amp;IF(DAY(Variables!$A$2)&lt;10,0,"")&amp;DAY(Variables!$A$2)</f>
        <v>-05</v>
      </c>
      <c r="C46" s="147"/>
      <c r="D46" s="169"/>
      <c r="E46" s="30"/>
      <c r="F46" s="21" t="e">
        <f>VLOOKUP(B46,'Trips&amp;Operators'!$C$2:$E$10000,3,FALSE)</f>
        <v>#N/A</v>
      </c>
      <c r="G46" s="21" t="e">
        <f>VLOOKUP(B46,'Trips&amp;Operators'!$C$1:$F$10000,4,FALSE)</f>
        <v>#N/A</v>
      </c>
      <c r="H46" s="29" t="e">
        <f>VLOOKUP(B46,'Trips&amp;Operators'!$C$1:$H$10000,5,FALSE)</f>
        <v>#N/A</v>
      </c>
      <c r="I46" s="46" t="str">
        <f t="shared" si="0"/>
        <v>https://d0f6bd738d7f1b3e5a7ca70fe4ff75f0.us-east-1.aws.found.io/app/kibana#/discover/Steve-Slow-Train-Analysis-(2080s-and-2083s)?_g=(refreshInterval:(display:Off,pause:!f,section:0,value:0),time:(from:now-7d,mode:quick,to:now))&amp;_a=(columns:!('Locomotive%20ID','Data.Train%20ID','Message%20ID'),filters:!(),index:'emp_*',interval:auto,query:(query_string:(analyze_wildcard:!t,query:%22-05%22)),sort:!(Time.ISO8601,asc))</v>
      </c>
      <c r="J46" s="30" t="e">
        <f>VLOOKUP(B46,'Train Runs'!$A$13:$A$99958,1,FALSE)</f>
        <v>#N/A</v>
      </c>
    </row>
    <row r="47" spans="1:10" x14ac:dyDescent="0.25">
      <c r="A47" s="190"/>
      <c r="B47" s="43" t="str">
        <f>A47&amp;"-"&amp;IF(DAY(Variables!$A$2)&lt;10,0,"")&amp;DAY(Variables!$A$2)</f>
        <v>-05</v>
      </c>
      <c r="C47" s="147"/>
      <c r="D47" s="169"/>
      <c r="E47" s="30"/>
      <c r="F47" s="21" t="e">
        <f>VLOOKUP(B47,'Trips&amp;Operators'!$C$2:$E$10000,3,FALSE)</f>
        <v>#N/A</v>
      </c>
      <c r="G47" s="21" t="e">
        <f>VLOOKUP(B47,'Trips&amp;Operators'!$C$1:$F$10000,4,FALSE)</f>
        <v>#N/A</v>
      </c>
      <c r="H47" s="29" t="e">
        <f>VLOOKUP(B47,'Trips&amp;Operators'!$C$1:$H$10000,5,FALSE)</f>
        <v>#N/A</v>
      </c>
      <c r="I47" s="46" t="str">
        <f t="shared" si="0"/>
        <v>https://d0f6bd738d7f1b3e5a7ca70fe4ff75f0.us-east-1.aws.found.io/app/kibana#/discover/Steve-Slow-Train-Analysis-(2080s-and-2083s)?_g=(refreshInterval:(display:Off,pause:!f,section:0,value:0),time:(from:now-7d,mode:quick,to:now))&amp;_a=(columns:!('Locomotive%20ID','Data.Train%20ID','Message%20ID'),filters:!(),index:'emp_*',interval:auto,query:(query_string:(analyze_wildcard:!t,query:%22-05%22)),sort:!(Time.ISO8601,asc))</v>
      </c>
      <c r="J47" s="30" t="e">
        <f>VLOOKUP(B47,'Train Runs'!$A$13:$A$99958,1,FALSE)</f>
        <v>#N/A</v>
      </c>
    </row>
    <row r="48" spans="1:10" x14ac:dyDescent="0.25">
      <c r="A48" s="190"/>
      <c r="B48" s="43" t="str">
        <f>A48&amp;"-"&amp;IF(DAY(Variables!$A$2)&lt;10,0,"")&amp;DAY(Variables!$A$2)</f>
        <v>-05</v>
      </c>
      <c r="C48" s="147"/>
      <c r="D48" s="169"/>
      <c r="E48" s="30"/>
      <c r="F48" s="21" t="e">
        <f>VLOOKUP(B48,'Trips&amp;Operators'!$C$2:$E$10000,3,FALSE)</f>
        <v>#N/A</v>
      </c>
      <c r="G48" s="21" t="e">
        <f>VLOOKUP(B48,'Trips&amp;Operators'!$C$1:$F$10000,4,FALSE)</f>
        <v>#N/A</v>
      </c>
      <c r="H48" s="29" t="e">
        <f>VLOOKUP(B48,'Trips&amp;Operators'!$C$1:$H$10000,5,FALSE)</f>
        <v>#N/A</v>
      </c>
      <c r="I48" s="46" t="str">
        <f t="shared" si="0"/>
        <v>https://d0f6bd738d7f1b3e5a7ca70fe4ff75f0.us-east-1.aws.found.io/app/kibana#/discover/Steve-Slow-Train-Analysis-(2080s-and-2083s)?_g=(refreshInterval:(display:Off,pause:!f,section:0,value:0),time:(from:now-7d,mode:quick,to:now))&amp;_a=(columns:!('Locomotive%20ID','Data.Train%20ID','Message%20ID'),filters:!(),index:'emp_*',interval:auto,query:(query_string:(analyze_wildcard:!t,query:%22-05%22)),sort:!(Time.ISO8601,asc))</v>
      </c>
      <c r="J48" s="30" t="e">
        <f>VLOOKUP(B48,'Train Runs'!$A$13:$A$99958,1,FALSE)</f>
        <v>#N/A</v>
      </c>
    </row>
    <row r="49" spans="1:10" x14ac:dyDescent="0.25">
      <c r="A49" s="190"/>
      <c r="B49" s="43" t="str">
        <f>A49&amp;"-"&amp;IF(DAY(Variables!$A$2)&lt;10,0,"")&amp;DAY(Variables!$A$2)</f>
        <v>-05</v>
      </c>
      <c r="C49" s="147"/>
      <c r="D49" s="169"/>
      <c r="E49" s="30"/>
      <c r="F49" s="21" t="e">
        <f>VLOOKUP(B49,'Trips&amp;Operators'!$C$2:$E$10000,3,FALSE)</f>
        <v>#N/A</v>
      </c>
      <c r="G49" s="21" t="e">
        <f>VLOOKUP(B49,'Trips&amp;Operators'!$C$1:$F$10000,4,FALSE)</f>
        <v>#N/A</v>
      </c>
      <c r="H49" s="29" t="e">
        <f>VLOOKUP(B49,'Trips&amp;Operators'!$C$1:$H$10000,5,FALSE)</f>
        <v>#N/A</v>
      </c>
      <c r="I49" s="46" t="str">
        <f t="shared" si="0"/>
        <v>https://d0f6bd738d7f1b3e5a7ca70fe4ff75f0.us-east-1.aws.found.io/app/kibana#/discover/Steve-Slow-Train-Analysis-(2080s-and-2083s)?_g=(refreshInterval:(display:Off,pause:!f,section:0,value:0),time:(from:now-7d,mode:quick,to:now))&amp;_a=(columns:!('Locomotive%20ID','Data.Train%20ID','Message%20ID'),filters:!(),index:'emp_*',interval:auto,query:(query_string:(analyze_wildcard:!t,query:%22-05%22)),sort:!(Time.ISO8601,asc))</v>
      </c>
      <c r="J49" s="30" t="e">
        <f>VLOOKUP(B49,'Train Runs'!$A$13:$A$99958,1,FALSE)</f>
        <v>#N/A</v>
      </c>
    </row>
    <row r="50" spans="1:10" x14ac:dyDescent="0.25">
      <c r="A50" s="190"/>
      <c r="B50" s="43" t="str">
        <f>A50&amp;"-"&amp;IF(DAY(Variables!$A$2)&lt;10,0,"")&amp;DAY(Variables!$A$2)</f>
        <v>-05</v>
      </c>
      <c r="C50" s="147"/>
      <c r="D50" s="169"/>
      <c r="E50" s="30"/>
      <c r="F50" s="21" t="e">
        <f>VLOOKUP(B50,'Trips&amp;Operators'!$C$2:$E$10000,3,FALSE)</f>
        <v>#N/A</v>
      </c>
      <c r="G50" s="21" t="e">
        <f>VLOOKUP(B50,'Trips&amp;Operators'!$C$1:$F$10000,4,FALSE)</f>
        <v>#N/A</v>
      </c>
      <c r="H50" s="29" t="e">
        <f>VLOOKUP(B50,'Trips&amp;Operators'!$C$1:$H$10000,5,FALSE)</f>
        <v>#N/A</v>
      </c>
      <c r="I50" s="46" t="str">
        <f t="shared" ref="I50:I113" si="1">"https://d0f6bd738d7f1b3e5a7ca70fe4ff75f0.us-east-1.aws.found.io/app/kibana#/discover/Steve-Slow-Train-Analysis-(2080s-and-2083s)?_g="&amp;"(refreshInterval:(display:Off,pause:!f,section:0,value:0),time:(from:now-7d,mode:quick,to:now))&amp;_a=(columns:!('Locomotive%20ID','Data.Train%20ID','Message%20ID'),filters:!(),"&amp;"index:'emp_*',interval:auto,query:(query_string:(analyze_wildcard:!t,query:%22"&amp;B50&amp;"%22)),sort:!(Time.ISO8601,asc))"</f>
        <v>https://d0f6bd738d7f1b3e5a7ca70fe4ff75f0.us-east-1.aws.found.io/app/kibana#/discover/Steve-Slow-Train-Analysis-(2080s-and-2083s)?_g=(refreshInterval:(display:Off,pause:!f,section:0,value:0),time:(from:now-7d,mode:quick,to:now))&amp;_a=(columns:!('Locomotive%20ID','Data.Train%20ID','Message%20ID'),filters:!(),index:'emp_*',interval:auto,query:(query_string:(analyze_wildcard:!t,query:%22-05%22)),sort:!(Time.ISO8601,asc))</v>
      </c>
      <c r="J50" s="30" t="e">
        <f>VLOOKUP(B50,'Train Runs'!$A$13:$A$99958,1,FALSE)</f>
        <v>#N/A</v>
      </c>
    </row>
    <row r="51" spans="1:10" x14ac:dyDescent="0.25">
      <c r="A51" s="190"/>
      <c r="B51" s="43" t="str">
        <f>A51&amp;"-"&amp;IF(DAY(Variables!$A$2)&lt;10,0,"")&amp;DAY(Variables!$A$2)</f>
        <v>-05</v>
      </c>
      <c r="C51" s="147"/>
      <c r="D51" s="169"/>
      <c r="E51" s="30"/>
      <c r="F51" s="21" t="e">
        <f>VLOOKUP(B51,'Trips&amp;Operators'!$C$2:$E$10000,3,FALSE)</f>
        <v>#N/A</v>
      </c>
      <c r="G51" s="21" t="e">
        <f>VLOOKUP(B51,'Trips&amp;Operators'!$C$1:$F$10000,4,FALSE)</f>
        <v>#N/A</v>
      </c>
      <c r="H51" s="29" t="e">
        <f>VLOOKUP(B51,'Trips&amp;Operators'!$C$1:$H$10000,5,FALSE)</f>
        <v>#N/A</v>
      </c>
      <c r="I51" s="46" t="str">
        <f t="shared" si="1"/>
        <v>https://d0f6bd738d7f1b3e5a7ca70fe4ff75f0.us-east-1.aws.found.io/app/kibana#/discover/Steve-Slow-Train-Analysis-(2080s-and-2083s)?_g=(refreshInterval:(display:Off,pause:!f,section:0,value:0),time:(from:now-7d,mode:quick,to:now))&amp;_a=(columns:!('Locomotive%20ID','Data.Train%20ID','Message%20ID'),filters:!(),index:'emp_*',interval:auto,query:(query_string:(analyze_wildcard:!t,query:%22-05%22)),sort:!(Time.ISO8601,asc))</v>
      </c>
      <c r="J51" s="30" t="e">
        <f>VLOOKUP(B51,'Train Runs'!$A$13:$A$99958,1,FALSE)</f>
        <v>#N/A</v>
      </c>
    </row>
    <row r="52" spans="1:10" x14ac:dyDescent="0.25">
      <c r="A52" s="190"/>
      <c r="B52" s="43" t="str">
        <f>A52&amp;"-"&amp;IF(DAY(Variables!$A$2)&lt;10,0,"")&amp;DAY(Variables!$A$2)</f>
        <v>-05</v>
      </c>
      <c r="C52" s="147"/>
      <c r="D52" s="169"/>
      <c r="E52" s="30"/>
      <c r="F52" s="21" t="e">
        <f>VLOOKUP(B52,'Trips&amp;Operators'!$C$2:$E$10000,3,FALSE)</f>
        <v>#N/A</v>
      </c>
      <c r="G52" s="21" t="e">
        <f>VLOOKUP(B52,'Trips&amp;Operators'!$C$1:$F$10000,4,FALSE)</f>
        <v>#N/A</v>
      </c>
      <c r="H52" s="29" t="e">
        <f>VLOOKUP(B52,'Trips&amp;Operators'!$C$1:$H$10000,5,FALSE)</f>
        <v>#N/A</v>
      </c>
      <c r="I52" s="46" t="str">
        <f t="shared" si="1"/>
        <v>https://d0f6bd738d7f1b3e5a7ca70fe4ff75f0.us-east-1.aws.found.io/app/kibana#/discover/Steve-Slow-Train-Analysis-(2080s-and-2083s)?_g=(refreshInterval:(display:Off,pause:!f,section:0,value:0),time:(from:now-7d,mode:quick,to:now))&amp;_a=(columns:!('Locomotive%20ID','Data.Train%20ID','Message%20ID'),filters:!(),index:'emp_*',interval:auto,query:(query_string:(analyze_wildcard:!t,query:%22-05%22)),sort:!(Time.ISO8601,asc))</v>
      </c>
      <c r="J52" s="30" t="e">
        <f>VLOOKUP(B52,'Train Runs'!$A$13:$A$99958,1,FALSE)</f>
        <v>#N/A</v>
      </c>
    </row>
    <row r="53" spans="1:10" x14ac:dyDescent="0.25">
      <c r="A53" s="190"/>
      <c r="B53" s="43" t="str">
        <f>A53&amp;"-"&amp;IF(DAY(Variables!$A$2)&lt;10,0,"")&amp;DAY(Variables!$A$2)</f>
        <v>-05</v>
      </c>
      <c r="C53" s="147"/>
      <c r="D53" s="169"/>
      <c r="E53" s="30"/>
      <c r="F53" s="21" t="e">
        <f>VLOOKUP(B53,'Trips&amp;Operators'!$C$2:$E$10000,3,FALSE)</f>
        <v>#N/A</v>
      </c>
      <c r="G53" s="21" t="e">
        <f>VLOOKUP(B53,'Trips&amp;Operators'!$C$1:$F$10000,4,FALSE)</f>
        <v>#N/A</v>
      </c>
      <c r="H53" s="29" t="e">
        <f>VLOOKUP(B53,'Trips&amp;Operators'!$C$1:$H$10000,5,FALSE)</f>
        <v>#N/A</v>
      </c>
      <c r="I53" s="46" t="str">
        <f t="shared" si="1"/>
        <v>https://d0f6bd738d7f1b3e5a7ca70fe4ff75f0.us-east-1.aws.found.io/app/kibana#/discover/Steve-Slow-Train-Analysis-(2080s-and-2083s)?_g=(refreshInterval:(display:Off,pause:!f,section:0,value:0),time:(from:now-7d,mode:quick,to:now))&amp;_a=(columns:!('Locomotive%20ID','Data.Train%20ID','Message%20ID'),filters:!(),index:'emp_*',interval:auto,query:(query_string:(analyze_wildcard:!t,query:%22-05%22)),sort:!(Time.ISO8601,asc))</v>
      </c>
      <c r="J53" s="30" t="e">
        <f>VLOOKUP(B53,'Train Runs'!$A$13:$A$99958,1,FALSE)</f>
        <v>#N/A</v>
      </c>
    </row>
    <row r="54" spans="1:10" x14ac:dyDescent="0.25">
      <c r="A54" s="190"/>
      <c r="B54" s="43" t="str">
        <f>A54&amp;"-"&amp;IF(DAY(Variables!$A$2)&lt;10,0,"")&amp;DAY(Variables!$A$2)</f>
        <v>-05</v>
      </c>
      <c r="C54" s="147"/>
      <c r="D54" s="169"/>
      <c r="E54" s="30"/>
      <c r="F54" s="21" t="e">
        <f>VLOOKUP(B54,'Trips&amp;Operators'!$C$2:$E$10000,3,FALSE)</f>
        <v>#N/A</v>
      </c>
      <c r="G54" s="21" t="e">
        <f>VLOOKUP(B54,'Trips&amp;Operators'!$C$1:$F$10000,4,FALSE)</f>
        <v>#N/A</v>
      </c>
      <c r="H54" s="29" t="e">
        <f>VLOOKUP(B54,'Trips&amp;Operators'!$C$1:$H$10000,5,FALSE)</f>
        <v>#N/A</v>
      </c>
      <c r="I54" s="46" t="str">
        <f t="shared" si="1"/>
        <v>https://d0f6bd738d7f1b3e5a7ca70fe4ff75f0.us-east-1.aws.found.io/app/kibana#/discover/Steve-Slow-Train-Analysis-(2080s-and-2083s)?_g=(refreshInterval:(display:Off,pause:!f,section:0,value:0),time:(from:now-7d,mode:quick,to:now))&amp;_a=(columns:!('Locomotive%20ID','Data.Train%20ID','Message%20ID'),filters:!(),index:'emp_*',interval:auto,query:(query_string:(analyze_wildcard:!t,query:%22-05%22)),sort:!(Time.ISO8601,asc))</v>
      </c>
      <c r="J54" s="30" t="e">
        <f>VLOOKUP(B54,'Train Runs'!$A$13:$A$99958,1,FALSE)</f>
        <v>#N/A</v>
      </c>
    </row>
    <row r="55" spans="1:10" x14ac:dyDescent="0.25">
      <c r="A55" s="190"/>
      <c r="B55" s="43" t="str">
        <f>A55&amp;"-"&amp;IF(DAY(Variables!$A$2)&lt;10,0,"")&amp;DAY(Variables!$A$2)</f>
        <v>-05</v>
      </c>
      <c r="C55" s="147"/>
      <c r="D55" s="169"/>
      <c r="E55" s="30"/>
      <c r="F55" s="21" t="e">
        <f>VLOOKUP(B55,'Trips&amp;Operators'!$C$2:$E$10000,3,FALSE)</f>
        <v>#N/A</v>
      </c>
      <c r="G55" s="21" t="e">
        <f>VLOOKUP(B55,'Trips&amp;Operators'!$C$1:$F$10000,4,FALSE)</f>
        <v>#N/A</v>
      </c>
      <c r="H55" s="29" t="e">
        <f>VLOOKUP(B55,'Trips&amp;Operators'!$C$1:$H$10000,5,FALSE)</f>
        <v>#N/A</v>
      </c>
      <c r="I55" s="46" t="str">
        <f t="shared" si="1"/>
        <v>https://d0f6bd738d7f1b3e5a7ca70fe4ff75f0.us-east-1.aws.found.io/app/kibana#/discover/Steve-Slow-Train-Analysis-(2080s-and-2083s)?_g=(refreshInterval:(display:Off,pause:!f,section:0,value:0),time:(from:now-7d,mode:quick,to:now))&amp;_a=(columns:!('Locomotive%20ID','Data.Train%20ID','Message%20ID'),filters:!(),index:'emp_*',interval:auto,query:(query_string:(analyze_wildcard:!t,query:%22-05%22)),sort:!(Time.ISO8601,asc))</v>
      </c>
      <c r="J55" s="30" t="e">
        <f>VLOOKUP(B55,'Train Runs'!$A$13:$A$99958,1,FALSE)</f>
        <v>#N/A</v>
      </c>
    </row>
    <row r="56" spans="1:10" x14ac:dyDescent="0.25">
      <c r="A56" s="190"/>
      <c r="B56" s="43" t="str">
        <f>A56&amp;"-"&amp;IF(DAY(Variables!$A$2)&lt;10,0,"")&amp;DAY(Variables!$A$2)</f>
        <v>-05</v>
      </c>
      <c r="C56" s="147"/>
      <c r="D56" s="169"/>
      <c r="E56" s="30"/>
      <c r="F56" s="21" t="e">
        <f>VLOOKUP(B56,'Trips&amp;Operators'!$C$2:$E$10000,3,FALSE)</f>
        <v>#N/A</v>
      </c>
      <c r="G56" s="21" t="e">
        <f>VLOOKUP(B56,'Trips&amp;Operators'!$C$1:$F$10000,4,FALSE)</f>
        <v>#N/A</v>
      </c>
      <c r="H56" s="29" t="e">
        <f>VLOOKUP(B56,'Trips&amp;Operators'!$C$1:$H$10000,5,FALSE)</f>
        <v>#N/A</v>
      </c>
      <c r="I56" s="46" t="str">
        <f t="shared" si="1"/>
        <v>https://d0f6bd738d7f1b3e5a7ca70fe4ff75f0.us-east-1.aws.found.io/app/kibana#/discover/Steve-Slow-Train-Analysis-(2080s-and-2083s)?_g=(refreshInterval:(display:Off,pause:!f,section:0,value:0),time:(from:now-7d,mode:quick,to:now))&amp;_a=(columns:!('Locomotive%20ID','Data.Train%20ID','Message%20ID'),filters:!(),index:'emp_*',interval:auto,query:(query_string:(analyze_wildcard:!t,query:%22-05%22)),sort:!(Time.ISO8601,asc))</v>
      </c>
      <c r="J56" s="30" t="e">
        <f>VLOOKUP(B56,'Train Runs'!$A$13:$A$99958,1,FALSE)</f>
        <v>#N/A</v>
      </c>
    </row>
    <row r="57" spans="1:10" x14ac:dyDescent="0.25">
      <c r="A57" s="190"/>
      <c r="B57" s="43" t="str">
        <f>A57&amp;"-"&amp;IF(DAY(Variables!$A$2)&lt;10,0,"")&amp;DAY(Variables!$A$2)</f>
        <v>-05</v>
      </c>
      <c r="C57" s="147"/>
      <c r="D57" s="169"/>
      <c r="E57" s="30"/>
      <c r="F57" s="21" t="e">
        <f>VLOOKUP(B57,'Trips&amp;Operators'!$C$2:$E$10000,3,FALSE)</f>
        <v>#N/A</v>
      </c>
      <c r="G57" s="21" t="e">
        <f>VLOOKUP(B57,'Trips&amp;Operators'!$C$1:$F$10000,4,FALSE)</f>
        <v>#N/A</v>
      </c>
      <c r="H57" s="29" t="e">
        <f>VLOOKUP(B57,'Trips&amp;Operators'!$C$1:$H$10000,5,FALSE)</f>
        <v>#N/A</v>
      </c>
      <c r="I57" s="46" t="str">
        <f t="shared" si="1"/>
        <v>https://d0f6bd738d7f1b3e5a7ca70fe4ff75f0.us-east-1.aws.found.io/app/kibana#/discover/Steve-Slow-Train-Analysis-(2080s-and-2083s)?_g=(refreshInterval:(display:Off,pause:!f,section:0,value:0),time:(from:now-7d,mode:quick,to:now))&amp;_a=(columns:!('Locomotive%20ID','Data.Train%20ID','Message%20ID'),filters:!(),index:'emp_*',interval:auto,query:(query_string:(analyze_wildcard:!t,query:%22-05%22)),sort:!(Time.ISO8601,asc))</v>
      </c>
      <c r="J57" s="30" t="e">
        <f>VLOOKUP(B57,'Train Runs'!$A$13:$A$99958,1,FALSE)</f>
        <v>#N/A</v>
      </c>
    </row>
    <row r="58" spans="1:10" x14ac:dyDescent="0.25">
      <c r="A58" s="190"/>
      <c r="B58" s="43" t="str">
        <f>A58&amp;"-"&amp;IF(DAY(Variables!$A$2)&lt;10,0,"")&amp;DAY(Variables!$A$2)</f>
        <v>-05</v>
      </c>
      <c r="C58" s="147"/>
      <c r="D58" s="169"/>
      <c r="E58" s="30"/>
      <c r="F58" s="21" t="e">
        <f>VLOOKUP(B58,'Trips&amp;Operators'!$C$2:$E$10000,3,FALSE)</f>
        <v>#N/A</v>
      </c>
      <c r="G58" s="21" t="e">
        <f>VLOOKUP(B58,'Trips&amp;Operators'!$C$1:$F$10000,4,FALSE)</f>
        <v>#N/A</v>
      </c>
      <c r="H58" s="29" t="e">
        <f>VLOOKUP(B58,'Trips&amp;Operators'!$C$1:$H$10000,5,FALSE)</f>
        <v>#N/A</v>
      </c>
      <c r="I58" s="46" t="str">
        <f t="shared" si="1"/>
        <v>https://d0f6bd738d7f1b3e5a7ca70fe4ff75f0.us-east-1.aws.found.io/app/kibana#/discover/Steve-Slow-Train-Analysis-(2080s-and-2083s)?_g=(refreshInterval:(display:Off,pause:!f,section:0,value:0),time:(from:now-7d,mode:quick,to:now))&amp;_a=(columns:!('Locomotive%20ID','Data.Train%20ID','Message%20ID'),filters:!(),index:'emp_*',interval:auto,query:(query_string:(analyze_wildcard:!t,query:%22-05%22)),sort:!(Time.ISO8601,asc))</v>
      </c>
      <c r="J58" s="30" t="e">
        <f>VLOOKUP(B58,'Train Runs'!$A$13:$A$99958,1,FALSE)</f>
        <v>#N/A</v>
      </c>
    </row>
    <row r="59" spans="1:10" x14ac:dyDescent="0.25">
      <c r="A59" s="190"/>
      <c r="B59" s="43" t="str">
        <f>A59&amp;"-"&amp;IF(DAY(Variables!$A$2)&lt;10,0,"")&amp;DAY(Variables!$A$2)</f>
        <v>-05</v>
      </c>
      <c r="C59" s="147"/>
      <c r="D59" s="169"/>
      <c r="E59" s="30"/>
      <c r="F59" s="21" t="e">
        <f>VLOOKUP(B59,'Trips&amp;Operators'!$C$2:$E$10000,3,FALSE)</f>
        <v>#N/A</v>
      </c>
      <c r="G59" s="21" t="e">
        <f>VLOOKUP(B59,'Trips&amp;Operators'!$C$1:$F$10000,4,FALSE)</f>
        <v>#N/A</v>
      </c>
      <c r="H59" s="29" t="e">
        <f>VLOOKUP(B59,'Trips&amp;Operators'!$C$1:$H$10000,5,FALSE)</f>
        <v>#N/A</v>
      </c>
      <c r="I59" s="46" t="str">
        <f t="shared" si="1"/>
        <v>https://d0f6bd738d7f1b3e5a7ca70fe4ff75f0.us-east-1.aws.found.io/app/kibana#/discover/Steve-Slow-Train-Analysis-(2080s-and-2083s)?_g=(refreshInterval:(display:Off,pause:!f,section:0,value:0),time:(from:now-7d,mode:quick,to:now))&amp;_a=(columns:!('Locomotive%20ID','Data.Train%20ID','Message%20ID'),filters:!(),index:'emp_*',interval:auto,query:(query_string:(analyze_wildcard:!t,query:%22-05%22)),sort:!(Time.ISO8601,asc))</v>
      </c>
      <c r="J59" s="30" t="e">
        <f>VLOOKUP(B59,'Train Runs'!$A$13:$A$99958,1,FALSE)</f>
        <v>#N/A</v>
      </c>
    </row>
    <row r="60" spans="1:10" x14ac:dyDescent="0.25">
      <c r="A60" s="190"/>
      <c r="B60" s="43" t="str">
        <f>A60&amp;"-"&amp;IF(DAY(Variables!$A$2)&lt;10,0,"")&amp;DAY(Variables!$A$2)</f>
        <v>-05</v>
      </c>
      <c r="C60" s="147"/>
      <c r="D60" s="169"/>
      <c r="E60" s="30"/>
      <c r="F60" s="21" t="e">
        <f>VLOOKUP(B60,'Trips&amp;Operators'!$C$2:$E$10000,3,FALSE)</f>
        <v>#N/A</v>
      </c>
      <c r="G60" s="21" t="e">
        <f>VLOOKUP(B60,'Trips&amp;Operators'!$C$1:$F$10000,4,FALSE)</f>
        <v>#N/A</v>
      </c>
      <c r="H60" s="29" t="e">
        <f>VLOOKUP(B60,'Trips&amp;Operators'!$C$1:$H$10000,5,FALSE)</f>
        <v>#N/A</v>
      </c>
      <c r="I60" s="46" t="str">
        <f t="shared" si="1"/>
        <v>https://d0f6bd738d7f1b3e5a7ca70fe4ff75f0.us-east-1.aws.found.io/app/kibana#/discover/Steve-Slow-Train-Analysis-(2080s-and-2083s)?_g=(refreshInterval:(display:Off,pause:!f,section:0,value:0),time:(from:now-7d,mode:quick,to:now))&amp;_a=(columns:!('Locomotive%20ID','Data.Train%20ID','Message%20ID'),filters:!(),index:'emp_*',interval:auto,query:(query_string:(analyze_wildcard:!t,query:%22-05%22)),sort:!(Time.ISO8601,asc))</v>
      </c>
      <c r="J60" s="30" t="e">
        <f>VLOOKUP(B60,'Train Runs'!$A$13:$A$99958,1,FALSE)</f>
        <v>#N/A</v>
      </c>
    </row>
    <row r="61" spans="1:10" x14ac:dyDescent="0.25">
      <c r="A61" s="190"/>
      <c r="B61" s="43" t="str">
        <f>A61&amp;"-"&amp;IF(DAY(Variables!$A$2)&lt;10,0,"")&amp;DAY(Variables!$A$2)</f>
        <v>-05</v>
      </c>
      <c r="C61" s="147"/>
      <c r="D61" s="169"/>
      <c r="E61" s="30"/>
      <c r="F61" s="21" t="e">
        <f>VLOOKUP(B61,'Trips&amp;Operators'!$C$2:$E$10000,3,FALSE)</f>
        <v>#N/A</v>
      </c>
      <c r="G61" s="21" t="e">
        <f>VLOOKUP(B61,'Trips&amp;Operators'!$C$1:$F$10000,4,FALSE)</f>
        <v>#N/A</v>
      </c>
      <c r="H61" s="29" t="e">
        <f>VLOOKUP(B61,'Trips&amp;Operators'!$C$1:$H$10000,5,FALSE)</f>
        <v>#N/A</v>
      </c>
      <c r="I61" s="46" t="str">
        <f t="shared" si="1"/>
        <v>https://d0f6bd738d7f1b3e5a7ca70fe4ff75f0.us-east-1.aws.found.io/app/kibana#/discover/Steve-Slow-Train-Analysis-(2080s-and-2083s)?_g=(refreshInterval:(display:Off,pause:!f,section:0,value:0),time:(from:now-7d,mode:quick,to:now))&amp;_a=(columns:!('Locomotive%20ID','Data.Train%20ID','Message%20ID'),filters:!(),index:'emp_*',interval:auto,query:(query_string:(analyze_wildcard:!t,query:%22-05%22)),sort:!(Time.ISO8601,asc))</v>
      </c>
      <c r="J61" s="30" t="e">
        <f>VLOOKUP(B61,'Train Runs'!$A$13:$A$99958,1,FALSE)</f>
        <v>#N/A</v>
      </c>
    </row>
    <row r="62" spans="1:10" x14ac:dyDescent="0.25">
      <c r="A62" s="190"/>
      <c r="B62" s="43" t="str">
        <f>A62&amp;"-"&amp;IF(DAY(Variables!$A$2)&lt;10,0,"")&amp;DAY(Variables!$A$2)</f>
        <v>-05</v>
      </c>
      <c r="C62" s="147"/>
      <c r="D62" s="169"/>
      <c r="E62" s="30"/>
      <c r="F62" s="21" t="e">
        <f>VLOOKUP(B62,'Trips&amp;Operators'!$C$2:$E$10000,3,FALSE)</f>
        <v>#N/A</v>
      </c>
      <c r="G62" s="21" t="e">
        <f>VLOOKUP(B62,'Trips&amp;Operators'!$C$1:$F$10000,4,FALSE)</f>
        <v>#N/A</v>
      </c>
      <c r="H62" s="29" t="e">
        <f>VLOOKUP(B62,'Trips&amp;Operators'!$C$1:$H$10000,5,FALSE)</f>
        <v>#N/A</v>
      </c>
      <c r="I62" s="46" t="str">
        <f t="shared" si="1"/>
        <v>https://d0f6bd738d7f1b3e5a7ca70fe4ff75f0.us-east-1.aws.found.io/app/kibana#/discover/Steve-Slow-Train-Analysis-(2080s-and-2083s)?_g=(refreshInterval:(display:Off,pause:!f,section:0,value:0),time:(from:now-7d,mode:quick,to:now))&amp;_a=(columns:!('Locomotive%20ID','Data.Train%20ID','Message%20ID'),filters:!(),index:'emp_*',interval:auto,query:(query_string:(analyze_wildcard:!t,query:%22-05%22)),sort:!(Time.ISO8601,asc))</v>
      </c>
      <c r="J62" s="30" t="e">
        <f>VLOOKUP(B62,'Train Runs'!$A$13:$A$99958,1,FALSE)</f>
        <v>#N/A</v>
      </c>
    </row>
    <row r="63" spans="1:10" x14ac:dyDescent="0.25">
      <c r="A63" s="190"/>
      <c r="B63" s="43" t="str">
        <f>A63&amp;"-"&amp;IF(DAY(Variables!$A$2)&lt;10,0,"")&amp;DAY(Variables!$A$2)</f>
        <v>-05</v>
      </c>
      <c r="C63" s="147"/>
      <c r="D63" s="169"/>
      <c r="E63" s="30"/>
      <c r="F63" s="21" t="e">
        <f>VLOOKUP(B63,'Trips&amp;Operators'!$C$2:$E$10000,3,FALSE)</f>
        <v>#N/A</v>
      </c>
      <c r="G63" s="21" t="e">
        <f>VLOOKUP(B63,'Trips&amp;Operators'!$C$1:$F$10000,4,FALSE)</f>
        <v>#N/A</v>
      </c>
      <c r="H63" s="29" t="e">
        <f>VLOOKUP(B63,'Trips&amp;Operators'!$C$1:$H$10000,5,FALSE)</f>
        <v>#N/A</v>
      </c>
      <c r="I63" s="46" t="str">
        <f t="shared" si="1"/>
        <v>https://d0f6bd738d7f1b3e5a7ca70fe4ff75f0.us-east-1.aws.found.io/app/kibana#/discover/Steve-Slow-Train-Analysis-(2080s-and-2083s)?_g=(refreshInterval:(display:Off,pause:!f,section:0,value:0),time:(from:now-7d,mode:quick,to:now))&amp;_a=(columns:!('Locomotive%20ID','Data.Train%20ID','Message%20ID'),filters:!(),index:'emp_*',interval:auto,query:(query_string:(analyze_wildcard:!t,query:%22-05%22)),sort:!(Time.ISO8601,asc))</v>
      </c>
      <c r="J63" s="30" t="e">
        <f>VLOOKUP(B63,'Train Runs'!$A$13:$A$99958,1,FALSE)</f>
        <v>#N/A</v>
      </c>
    </row>
    <row r="64" spans="1:10" x14ac:dyDescent="0.25">
      <c r="A64" s="190"/>
      <c r="B64" s="43" t="str">
        <f>A64&amp;"-"&amp;IF(DAY(Variables!$A$2)&lt;10,0,"")&amp;DAY(Variables!$A$2)</f>
        <v>-05</v>
      </c>
      <c r="C64" s="147"/>
      <c r="D64" s="169"/>
      <c r="E64" s="30"/>
      <c r="F64" s="21" t="e">
        <f>VLOOKUP(B64,'Trips&amp;Operators'!$C$2:$E$10000,3,FALSE)</f>
        <v>#N/A</v>
      </c>
      <c r="G64" s="21" t="e">
        <f>VLOOKUP(B64,'Trips&amp;Operators'!$C$1:$F$10000,4,FALSE)</f>
        <v>#N/A</v>
      </c>
      <c r="H64" s="29" t="e">
        <f>VLOOKUP(B64,'Trips&amp;Operators'!$C$1:$H$10000,5,FALSE)</f>
        <v>#N/A</v>
      </c>
      <c r="I64" s="46" t="str">
        <f t="shared" si="1"/>
        <v>https://d0f6bd738d7f1b3e5a7ca70fe4ff75f0.us-east-1.aws.found.io/app/kibana#/discover/Steve-Slow-Train-Analysis-(2080s-and-2083s)?_g=(refreshInterval:(display:Off,pause:!f,section:0,value:0),time:(from:now-7d,mode:quick,to:now))&amp;_a=(columns:!('Locomotive%20ID','Data.Train%20ID','Message%20ID'),filters:!(),index:'emp_*',interval:auto,query:(query_string:(analyze_wildcard:!t,query:%22-05%22)),sort:!(Time.ISO8601,asc))</v>
      </c>
      <c r="J64" s="30" t="e">
        <f>VLOOKUP(B64,'Train Runs'!$A$13:$A$99958,1,FALSE)</f>
        <v>#N/A</v>
      </c>
    </row>
    <row r="65" spans="1:10" x14ac:dyDescent="0.25">
      <c r="A65" s="190"/>
      <c r="B65" s="43" t="str">
        <f>A65&amp;"-"&amp;IF(DAY(Variables!$A$2)&lt;10,0,"")&amp;DAY(Variables!$A$2)</f>
        <v>-05</v>
      </c>
      <c r="C65" s="147"/>
      <c r="D65" s="169"/>
      <c r="E65" s="30"/>
      <c r="F65" s="21" t="e">
        <f>VLOOKUP(B65,'Trips&amp;Operators'!$C$2:$E$10000,3,FALSE)</f>
        <v>#N/A</v>
      </c>
      <c r="G65" s="21" t="e">
        <f>VLOOKUP(B65,'Trips&amp;Operators'!$C$1:$F$10000,4,FALSE)</f>
        <v>#N/A</v>
      </c>
      <c r="H65" s="29" t="e">
        <f>VLOOKUP(B65,'Trips&amp;Operators'!$C$1:$H$10000,5,FALSE)</f>
        <v>#N/A</v>
      </c>
      <c r="I65" s="46" t="str">
        <f t="shared" si="1"/>
        <v>https://d0f6bd738d7f1b3e5a7ca70fe4ff75f0.us-east-1.aws.found.io/app/kibana#/discover/Steve-Slow-Train-Analysis-(2080s-and-2083s)?_g=(refreshInterval:(display:Off,pause:!f,section:0,value:0),time:(from:now-7d,mode:quick,to:now))&amp;_a=(columns:!('Locomotive%20ID','Data.Train%20ID','Message%20ID'),filters:!(),index:'emp_*',interval:auto,query:(query_string:(analyze_wildcard:!t,query:%22-05%22)),sort:!(Time.ISO8601,asc))</v>
      </c>
      <c r="J65" s="30" t="e">
        <f>VLOOKUP(B65,'Train Runs'!$A$13:$A$99958,1,FALSE)</f>
        <v>#N/A</v>
      </c>
    </row>
    <row r="66" spans="1:10" x14ac:dyDescent="0.25">
      <c r="A66" s="190"/>
      <c r="B66" s="43" t="str">
        <f>A66&amp;"-"&amp;IF(DAY(Variables!$A$2)&lt;10,0,"")&amp;DAY(Variables!$A$2)</f>
        <v>-05</v>
      </c>
      <c r="C66" s="147"/>
      <c r="D66" s="169"/>
      <c r="E66" s="30"/>
      <c r="F66" s="21" t="e">
        <f>VLOOKUP(B66,'Trips&amp;Operators'!$C$2:$E$10000,3,FALSE)</f>
        <v>#N/A</v>
      </c>
      <c r="G66" s="21" t="e">
        <f>VLOOKUP(B66,'Trips&amp;Operators'!$C$1:$F$10000,4,FALSE)</f>
        <v>#N/A</v>
      </c>
      <c r="H66" s="29" t="e">
        <f>VLOOKUP(B66,'Trips&amp;Operators'!$C$1:$H$10000,5,FALSE)</f>
        <v>#N/A</v>
      </c>
      <c r="I66" s="46" t="str">
        <f t="shared" si="1"/>
        <v>https://d0f6bd738d7f1b3e5a7ca70fe4ff75f0.us-east-1.aws.found.io/app/kibana#/discover/Steve-Slow-Train-Analysis-(2080s-and-2083s)?_g=(refreshInterval:(display:Off,pause:!f,section:0,value:0),time:(from:now-7d,mode:quick,to:now))&amp;_a=(columns:!('Locomotive%20ID','Data.Train%20ID','Message%20ID'),filters:!(),index:'emp_*',interval:auto,query:(query_string:(analyze_wildcard:!t,query:%22-05%22)),sort:!(Time.ISO8601,asc))</v>
      </c>
      <c r="J66" s="30" t="e">
        <f>VLOOKUP(B66,'Train Runs'!$A$13:$A$99958,1,FALSE)</f>
        <v>#N/A</v>
      </c>
    </row>
    <row r="67" spans="1:10" x14ac:dyDescent="0.25">
      <c r="A67" s="190"/>
      <c r="B67" s="43" t="str">
        <f>A67&amp;"-"&amp;IF(DAY(Variables!$A$2)&lt;10,0,"")&amp;DAY(Variables!$A$2)</f>
        <v>-05</v>
      </c>
      <c r="C67" s="147"/>
      <c r="D67" s="169"/>
      <c r="E67" s="30"/>
      <c r="F67" s="21" t="e">
        <f>VLOOKUP(B67,'Trips&amp;Operators'!$C$2:$E$10000,3,FALSE)</f>
        <v>#N/A</v>
      </c>
      <c r="G67" s="21" t="e">
        <f>VLOOKUP(B67,'Trips&amp;Operators'!$C$1:$F$10000,4,FALSE)</f>
        <v>#N/A</v>
      </c>
      <c r="H67" s="29" t="e">
        <f>VLOOKUP(B67,'Trips&amp;Operators'!$C$1:$H$10000,5,FALSE)</f>
        <v>#N/A</v>
      </c>
      <c r="I67" s="46" t="str">
        <f t="shared" si="1"/>
        <v>https://d0f6bd738d7f1b3e5a7ca70fe4ff75f0.us-east-1.aws.found.io/app/kibana#/discover/Steve-Slow-Train-Analysis-(2080s-and-2083s)?_g=(refreshInterval:(display:Off,pause:!f,section:0,value:0),time:(from:now-7d,mode:quick,to:now))&amp;_a=(columns:!('Locomotive%20ID','Data.Train%20ID','Message%20ID'),filters:!(),index:'emp_*',interval:auto,query:(query_string:(analyze_wildcard:!t,query:%22-05%22)),sort:!(Time.ISO8601,asc))</v>
      </c>
      <c r="J67" s="30" t="e">
        <f>VLOOKUP(B67,'Train Runs'!$A$13:$A$99958,1,FALSE)</f>
        <v>#N/A</v>
      </c>
    </row>
    <row r="68" spans="1:10" x14ac:dyDescent="0.25">
      <c r="A68" s="190"/>
      <c r="B68" s="43" t="str">
        <f>A68&amp;"-"&amp;IF(DAY(Variables!$A$2)&lt;10,0,"")&amp;DAY(Variables!$A$2)</f>
        <v>-05</v>
      </c>
      <c r="C68" s="147"/>
      <c r="D68" s="169"/>
      <c r="E68" s="30"/>
      <c r="F68" s="21" t="e">
        <f>VLOOKUP(B68,'Trips&amp;Operators'!$C$2:$E$10000,3,FALSE)</f>
        <v>#N/A</v>
      </c>
      <c r="G68" s="21" t="e">
        <f>VLOOKUP(B68,'Trips&amp;Operators'!$C$1:$F$10000,4,FALSE)</f>
        <v>#N/A</v>
      </c>
      <c r="H68" s="29" t="e">
        <f>VLOOKUP(B68,'Trips&amp;Operators'!$C$1:$H$10000,5,FALSE)</f>
        <v>#N/A</v>
      </c>
      <c r="I68" s="46" t="str">
        <f t="shared" si="1"/>
        <v>https://d0f6bd738d7f1b3e5a7ca70fe4ff75f0.us-east-1.aws.found.io/app/kibana#/discover/Steve-Slow-Train-Analysis-(2080s-and-2083s)?_g=(refreshInterval:(display:Off,pause:!f,section:0,value:0),time:(from:now-7d,mode:quick,to:now))&amp;_a=(columns:!('Locomotive%20ID','Data.Train%20ID','Message%20ID'),filters:!(),index:'emp_*',interval:auto,query:(query_string:(analyze_wildcard:!t,query:%22-05%22)),sort:!(Time.ISO8601,asc))</v>
      </c>
      <c r="J68" s="30" t="e">
        <f>VLOOKUP(B68,'Train Runs'!$A$13:$A$99958,1,FALSE)</f>
        <v>#N/A</v>
      </c>
    </row>
    <row r="69" spans="1:10" x14ac:dyDescent="0.25">
      <c r="A69" s="190"/>
      <c r="B69" s="43" t="str">
        <f>A69&amp;"-"&amp;IF(DAY(Variables!$A$2)&lt;10,0,"")&amp;DAY(Variables!$A$2)</f>
        <v>-05</v>
      </c>
      <c r="C69" s="147"/>
      <c r="D69" s="169"/>
      <c r="E69" s="30"/>
      <c r="F69" s="21" t="e">
        <f>VLOOKUP(B69,'Trips&amp;Operators'!$C$2:$E$10000,3,FALSE)</f>
        <v>#N/A</v>
      </c>
      <c r="G69" s="21" t="e">
        <f>VLOOKUP(B69,'Trips&amp;Operators'!$C$1:$F$10000,4,FALSE)</f>
        <v>#N/A</v>
      </c>
      <c r="H69" s="29" t="e">
        <f>VLOOKUP(B69,'Trips&amp;Operators'!$C$1:$H$10000,5,FALSE)</f>
        <v>#N/A</v>
      </c>
      <c r="I69" s="46" t="str">
        <f t="shared" si="1"/>
        <v>https://d0f6bd738d7f1b3e5a7ca70fe4ff75f0.us-east-1.aws.found.io/app/kibana#/discover/Steve-Slow-Train-Analysis-(2080s-and-2083s)?_g=(refreshInterval:(display:Off,pause:!f,section:0,value:0),time:(from:now-7d,mode:quick,to:now))&amp;_a=(columns:!('Locomotive%20ID','Data.Train%20ID','Message%20ID'),filters:!(),index:'emp_*',interval:auto,query:(query_string:(analyze_wildcard:!t,query:%22-05%22)),sort:!(Time.ISO8601,asc))</v>
      </c>
      <c r="J69" s="30" t="e">
        <f>VLOOKUP(B69,'Train Runs'!$A$13:$A$99958,1,FALSE)</f>
        <v>#N/A</v>
      </c>
    </row>
    <row r="70" spans="1:10" x14ac:dyDescent="0.25">
      <c r="A70" s="190"/>
      <c r="B70" s="43" t="str">
        <f>A70&amp;"-"&amp;IF(DAY(Variables!$A$2)&lt;10,0,"")&amp;DAY(Variables!$A$2)</f>
        <v>-05</v>
      </c>
      <c r="C70" s="147"/>
      <c r="D70" s="169"/>
      <c r="E70" s="30"/>
      <c r="F70" s="21" t="e">
        <f>VLOOKUP(B70,'Trips&amp;Operators'!$C$2:$E$10000,3,FALSE)</f>
        <v>#N/A</v>
      </c>
      <c r="G70" s="21" t="e">
        <f>VLOOKUP(B70,'Trips&amp;Operators'!$C$1:$F$10000,4,FALSE)</f>
        <v>#N/A</v>
      </c>
      <c r="H70" s="29" t="e">
        <f>VLOOKUP(B70,'Trips&amp;Operators'!$C$1:$H$10000,5,FALSE)</f>
        <v>#N/A</v>
      </c>
      <c r="I70" s="46" t="str">
        <f t="shared" si="1"/>
        <v>https://d0f6bd738d7f1b3e5a7ca70fe4ff75f0.us-east-1.aws.found.io/app/kibana#/discover/Steve-Slow-Train-Analysis-(2080s-and-2083s)?_g=(refreshInterval:(display:Off,pause:!f,section:0,value:0),time:(from:now-7d,mode:quick,to:now))&amp;_a=(columns:!('Locomotive%20ID','Data.Train%20ID','Message%20ID'),filters:!(),index:'emp_*',interval:auto,query:(query_string:(analyze_wildcard:!t,query:%22-05%22)),sort:!(Time.ISO8601,asc))</v>
      </c>
      <c r="J70" s="30" t="e">
        <f>VLOOKUP(B70,'Train Runs'!$A$13:$A$99958,1,FALSE)</f>
        <v>#N/A</v>
      </c>
    </row>
    <row r="71" spans="1:10" x14ac:dyDescent="0.25">
      <c r="A71" s="190"/>
      <c r="B71" s="43" t="str">
        <f>A71&amp;"-"&amp;IF(DAY(Variables!$A$2)&lt;10,0,"")&amp;DAY(Variables!$A$2)</f>
        <v>-05</v>
      </c>
      <c r="C71" s="147"/>
      <c r="D71" s="169"/>
      <c r="E71" s="30"/>
      <c r="F71" s="21" t="e">
        <f>VLOOKUP(B71,'Trips&amp;Operators'!$C$2:$E$10000,3,FALSE)</f>
        <v>#N/A</v>
      </c>
      <c r="G71" s="21" t="e">
        <f>VLOOKUP(B71,'Trips&amp;Operators'!$C$1:$F$10000,4,FALSE)</f>
        <v>#N/A</v>
      </c>
      <c r="H71" s="29" t="e">
        <f>VLOOKUP(B71,'Trips&amp;Operators'!$C$1:$H$10000,5,FALSE)</f>
        <v>#N/A</v>
      </c>
      <c r="I71" s="46" t="str">
        <f t="shared" si="1"/>
        <v>https://d0f6bd738d7f1b3e5a7ca70fe4ff75f0.us-east-1.aws.found.io/app/kibana#/discover/Steve-Slow-Train-Analysis-(2080s-and-2083s)?_g=(refreshInterval:(display:Off,pause:!f,section:0,value:0),time:(from:now-7d,mode:quick,to:now))&amp;_a=(columns:!('Locomotive%20ID','Data.Train%20ID','Message%20ID'),filters:!(),index:'emp_*',interval:auto,query:(query_string:(analyze_wildcard:!t,query:%22-05%22)),sort:!(Time.ISO8601,asc))</v>
      </c>
      <c r="J71" s="30" t="e">
        <f>VLOOKUP(B71,'Train Runs'!$A$13:$A$99958,1,FALSE)</f>
        <v>#N/A</v>
      </c>
    </row>
    <row r="72" spans="1:10" x14ac:dyDescent="0.25">
      <c r="A72" s="190"/>
      <c r="B72" s="43" t="str">
        <f>A72&amp;"-"&amp;IF(DAY(Variables!$A$2)&lt;10,0,"")&amp;DAY(Variables!$A$2)</f>
        <v>-05</v>
      </c>
      <c r="C72" s="147"/>
      <c r="D72" s="169"/>
      <c r="E72" s="30"/>
      <c r="F72" s="21" t="e">
        <f>VLOOKUP(B72,'Trips&amp;Operators'!$C$2:$E$10000,3,FALSE)</f>
        <v>#N/A</v>
      </c>
      <c r="G72" s="21" t="e">
        <f>VLOOKUP(B72,'Trips&amp;Operators'!$C$1:$F$10000,4,FALSE)</f>
        <v>#N/A</v>
      </c>
      <c r="H72" s="29" t="e">
        <f>VLOOKUP(B72,'Trips&amp;Operators'!$C$1:$H$10000,5,FALSE)</f>
        <v>#N/A</v>
      </c>
      <c r="I72" s="46" t="str">
        <f t="shared" si="1"/>
        <v>https://d0f6bd738d7f1b3e5a7ca70fe4ff75f0.us-east-1.aws.found.io/app/kibana#/discover/Steve-Slow-Train-Analysis-(2080s-and-2083s)?_g=(refreshInterval:(display:Off,pause:!f,section:0,value:0),time:(from:now-7d,mode:quick,to:now))&amp;_a=(columns:!('Locomotive%20ID','Data.Train%20ID','Message%20ID'),filters:!(),index:'emp_*',interval:auto,query:(query_string:(analyze_wildcard:!t,query:%22-05%22)),sort:!(Time.ISO8601,asc))</v>
      </c>
      <c r="J72" s="30" t="e">
        <f>VLOOKUP(B72,'Train Runs'!$A$13:$A$99958,1,FALSE)</f>
        <v>#N/A</v>
      </c>
    </row>
    <row r="73" spans="1:10" x14ac:dyDescent="0.25">
      <c r="A73" s="190"/>
      <c r="B73" s="43" t="str">
        <f>A73&amp;"-"&amp;IF(DAY(Variables!$A$2)&lt;10,0,"")&amp;DAY(Variables!$A$2)</f>
        <v>-05</v>
      </c>
      <c r="C73" s="147"/>
      <c r="D73" s="169"/>
      <c r="E73" s="30"/>
      <c r="F73" s="21" t="e">
        <f>VLOOKUP(B73,'Trips&amp;Operators'!$C$2:$E$10000,3,FALSE)</f>
        <v>#N/A</v>
      </c>
      <c r="G73" s="21" t="e">
        <f>VLOOKUP(B73,'Trips&amp;Operators'!$C$1:$F$10000,4,FALSE)</f>
        <v>#N/A</v>
      </c>
      <c r="H73" s="29" t="e">
        <f>VLOOKUP(B73,'Trips&amp;Operators'!$C$1:$H$10000,5,FALSE)</f>
        <v>#N/A</v>
      </c>
      <c r="I73" s="46" t="str">
        <f t="shared" si="1"/>
        <v>https://d0f6bd738d7f1b3e5a7ca70fe4ff75f0.us-east-1.aws.found.io/app/kibana#/discover/Steve-Slow-Train-Analysis-(2080s-and-2083s)?_g=(refreshInterval:(display:Off,pause:!f,section:0,value:0),time:(from:now-7d,mode:quick,to:now))&amp;_a=(columns:!('Locomotive%20ID','Data.Train%20ID','Message%20ID'),filters:!(),index:'emp_*',interval:auto,query:(query_string:(analyze_wildcard:!t,query:%22-05%22)),sort:!(Time.ISO8601,asc))</v>
      </c>
      <c r="J73" s="30" t="e">
        <f>VLOOKUP(B73,'Train Runs'!$A$13:$A$99958,1,FALSE)</f>
        <v>#N/A</v>
      </c>
    </row>
    <row r="74" spans="1:10" x14ac:dyDescent="0.25">
      <c r="A74" s="190"/>
      <c r="B74" s="43" t="str">
        <f>A74&amp;"-"&amp;IF(DAY(Variables!$A$2)&lt;10,0,"")&amp;DAY(Variables!$A$2)</f>
        <v>-05</v>
      </c>
      <c r="C74" s="147"/>
      <c r="D74" s="169"/>
      <c r="E74" s="30"/>
      <c r="F74" s="21" t="e">
        <f>VLOOKUP(B74,'Trips&amp;Operators'!$C$2:$E$10000,3,FALSE)</f>
        <v>#N/A</v>
      </c>
      <c r="G74" s="21" t="e">
        <f>VLOOKUP(B74,'Trips&amp;Operators'!$C$1:$F$10000,4,FALSE)</f>
        <v>#N/A</v>
      </c>
      <c r="H74" s="29" t="e">
        <f>VLOOKUP(B74,'Trips&amp;Operators'!$C$1:$H$10000,5,FALSE)</f>
        <v>#N/A</v>
      </c>
      <c r="I74" s="46" t="str">
        <f t="shared" si="1"/>
        <v>https://d0f6bd738d7f1b3e5a7ca70fe4ff75f0.us-east-1.aws.found.io/app/kibana#/discover/Steve-Slow-Train-Analysis-(2080s-and-2083s)?_g=(refreshInterval:(display:Off,pause:!f,section:0,value:0),time:(from:now-7d,mode:quick,to:now))&amp;_a=(columns:!('Locomotive%20ID','Data.Train%20ID','Message%20ID'),filters:!(),index:'emp_*',interval:auto,query:(query_string:(analyze_wildcard:!t,query:%22-05%22)),sort:!(Time.ISO8601,asc))</v>
      </c>
      <c r="J74" s="30" t="e">
        <f>VLOOKUP(B74,'Train Runs'!$A$13:$A$99958,1,FALSE)</f>
        <v>#N/A</v>
      </c>
    </row>
    <row r="75" spans="1:10" x14ac:dyDescent="0.25">
      <c r="A75" s="190"/>
      <c r="B75" s="43" t="str">
        <f>A75&amp;"-"&amp;IF(DAY(Variables!$A$2)&lt;10,0,"")&amp;DAY(Variables!$A$2)</f>
        <v>-05</v>
      </c>
      <c r="C75" s="147"/>
      <c r="D75" s="169"/>
      <c r="E75" s="30"/>
      <c r="F75" s="21" t="e">
        <f>VLOOKUP(B75,'Trips&amp;Operators'!$C$2:$E$10000,3,FALSE)</f>
        <v>#N/A</v>
      </c>
      <c r="G75" s="21" t="e">
        <f>VLOOKUP(B75,'Trips&amp;Operators'!$C$1:$F$10000,4,FALSE)</f>
        <v>#N/A</v>
      </c>
      <c r="H75" s="29" t="e">
        <f>VLOOKUP(B75,'Trips&amp;Operators'!$C$1:$H$10000,5,FALSE)</f>
        <v>#N/A</v>
      </c>
      <c r="I75" s="46" t="str">
        <f t="shared" si="1"/>
        <v>https://d0f6bd738d7f1b3e5a7ca70fe4ff75f0.us-east-1.aws.found.io/app/kibana#/discover/Steve-Slow-Train-Analysis-(2080s-and-2083s)?_g=(refreshInterval:(display:Off,pause:!f,section:0,value:0),time:(from:now-7d,mode:quick,to:now))&amp;_a=(columns:!('Locomotive%20ID','Data.Train%20ID','Message%20ID'),filters:!(),index:'emp_*',interval:auto,query:(query_string:(analyze_wildcard:!t,query:%22-05%22)),sort:!(Time.ISO8601,asc))</v>
      </c>
      <c r="J75" s="30" t="e">
        <f>VLOOKUP(B75,'Train Runs'!$A$13:$A$99958,1,FALSE)</f>
        <v>#N/A</v>
      </c>
    </row>
    <row r="76" spans="1:10" x14ac:dyDescent="0.25">
      <c r="A76" s="190"/>
      <c r="B76" s="43" t="str">
        <f>A76&amp;"-"&amp;IF(DAY(Variables!$A$2)&lt;10,0,"")&amp;DAY(Variables!$A$2)</f>
        <v>-05</v>
      </c>
      <c r="C76" s="147"/>
      <c r="D76" s="169"/>
      <c r="E76" s="30"/>
      <c r="F76" s="21" t="e">
        <f>VLOOKUP(B76,'Trips&amp;Operators'!$C$2:$E$10000,3,FALSE)</f>
        <v>#N/A</v>
      </c>
      <c r="G76" s="21" t="e">
        <f>VLOOKUP(B76,'Trips&amp;Operators'!$C$1:$F$10000,4,FALSE)</f>
        <v>#N/A</v>
      </c>
      <c r="H76" s="29" t="e">
        <f>VLOOKUP(B76,'Trips&amp;Operators'!$C$1:$H$10000,5,FALSE)</f>
        <v>#N/A</v>
      </c>
      <c r="I76" s="46" t="str">
        <f t="shared" si="1"/>
        <v>https://d0f6bd738d7f1b3e5a7ca70fe4ff75f0.us-east-1.aws.found.io/app/kibana#/discover/Steve-Slow-Train-Analysis-(2080s-and-2083s)?_g=(refreshInterval:(display:Off,pause:!f,section:0,value:0),time:(from:now-7d,mode:quick,to:now))&amp;_a=(columns:!('Locomotive%20ID','Data.Train%20ID','Message%20ID'),filters:!(),index:'emp_*',interval:auto,query:(query_string:(analyze_wildcard:!t,query:%22-05%22)),sort:!(Time.ISO8601,asc))</v>
      </c>
      <c r="J76" s="30" t="e">
        <f>VLOOKUP(B76,'Train Runs'!$A$13:$A$99958,1,FALSE)</f>
        <v>#N/A</v>
      </c>
    </row>
    <row r="77" spans="1:10" x14ac:dyDescent="0.25">
      <c r="A77" s="190"/>
      <c r="B77" s="43" t="str">
        <f>A77&amp;"-"&amp;IF(DAY(Variables!$A$2)&lt;10,0,"")&amp;DAY(Variables!$A$2)</f>
        <v>-05</v>
      </c>
      <c r="C77" s="147"/>
      <c r="D77" s="169"/>
      <c r="E77" s="30"/>
      <c r="F77" s="21" t="e">
        <f>VLOOKUP(B77,'Trips&amp;Operators'!$C$2:$E$10000,3,FALSE)</f>
        <v>#N/A</v>
      </c>
      <c r="G77" s="21" t="e">
        <f>VLOOKUP(B77,'Trips&amp;Operators'!$C$1:$F$10000,4,FALSE)</f>
        <v>#N/A</v>
      </c>
      <c r="H77" s="29" t="e">
        <f>VLOOKUP(B77,'Trips&amp;Operators'!$C$1:$H$10000,5,FALSE)</f>
        <v>#N/A</v>
      </c>
      <c r="I77" s="46" t="str">
        <f t="shared" si="1"/>
        <v>https://d0f6bd738d7f1b3e5a7ca70fe4ff75f0.us-east-1.aws.found.io/app/kibana#/discover/Steve-Slow-Train-Analysis-(2080s-and-2083s)?_g=(refreshInterval:(display:Off,pause:!f,section:0,value:0),time:(from:now-7d,mode:quick,to:now))&amp;_a=(columns:!('Locomotive%20ID','Data.Train%20ID','Message%20ID'),filters:!(),index:'emp_*',interval:auto,query:(query_string:(analyze_wildcard:!t,query:%22-05%22)),sort:!(Time.ISO8601,asc))</v>
      </c>
      <c r="J77" s="30" t="e">
        <f>VLOOKUP(B77,'Train Runs'!$A$13:$A$99958,1,FALSE)</f>
        <v>#N/A</v>
      </c>
    </row>
    <row r="78" spans="1:10" x14ac:dyDescent="0.25">
      <c r="A78" s="190"/>
      <c r="B78" s="43" t="str">
        <f>A78&amp;"-"&amp;IF(DAY(Variables!$A$2)&lt;10,0,"")&amp;DAY(Variables!$A$2)</f>
        <v>-05</v>
      </c>
      <c r="C78" s="147"/>
      <c r="D78" s="169"/>
      <c r="E78" s="30"/>
      <c r="F78" s="21" t="e">
        <f>VLOOKUP(B78,'Trips&amp;Operators'!$C$2:$E$10000,3,FALSE)</f>
        <v>#N/A</v>
      </c>
      <c r="G78" s="21" t="e">
        <f>VLOOKUP(B78,'Trips&amp;Operators'!$C$1:$F$10000,4,FALSE)</f>
        <v>#N/A</v>
      </c>
      <c r="H78" s="29" t="e">
        <f>VLOOKUP(B78,'Trips&amp;Operators'!$C$1:$H$10000,5,FALSE)</f>
        <v>#N/A</v>
      </c>
      <c r="I78" s="46" t="str">
        <f t="shared" si="1"/>
        <v>https://d0f6bd738d7f1b3e5a7ca70fe4ff75f0.us-east-1.aws.found.io/app/kibana#/discover/Steve-Slow-Train-Analysis-(2080s-and-2083s)?_g=(refreshInterval:(display:Off,pause:!f,section:0,value:0),time:(from:now-7d,mode:quick,to:now))&amp;_a=(columns:!('Locomotive%20ID','Data.Train%20ID','Message%20ID'),filters:!(),index:'emp_*',interval:auto,query:(query_string:(analyze_wildcard:!t,query:%22-05%22)),sort:!(Time.ISO8601,asc))</v>
      </c>
      <c r="J78" s="30" t="e">
        <f>VLOOKUP(B78,'Train Runs'!$A$13:$A$99958,1,FALSE)</f>
        <v>#N/A</v>
      </c>
    </row>
    <row r="79" spans="1:10" x14ac:dyDescent="0.25">
      <c r="A79" s="190"/>
      <c r="B79" s="43" t="str">
        <f>A79&amp;"-"&amp;IF(DAY(Variables!$A$2)&lt;10,0,"")&amp;DAY(Variables!$A$2)</f>
        <v>-05</v>
      </c>
      <c r="C79" s="147"/>
      <c r="D79" s="169"/>
      <c r="E79" s="30"/>
      <c r="F79" s="21" t="e">
        <f>VLOOKUP(B79,'Trips&amp;Operators'!$C$2:$E$10000,3,FALSE)</f>
        <v>#N/A</v>
      </c>
      <c r="G79" s="21" t="e">
        <f>VLOOKUP(B79,'Trips&amp;Operators'!$C$1:$F$10000,4,FALSE)</f>
        <v>#N/A</v>
      </c>
      <c r="H79" s="29" t="e">
        <f>VLOOKUP(B79,'Trips&amp;Operators'!$C$1:$H$10000,5,FALSE)</f>
        <v>#N/A</v>
      </c>
      <c r="I79" s="46" t="str">
        <f t="shared" si="1"/>
        <v>https://d0f6bd738d7f1b3e5a7ca70fe4ff75f0.us-east-1.aws.found.io/app/kibana#/discover/Steve-Slow-Train-Analysis-(2080s-and-2083s)?_g=(refreshInterval:(display:Off,pause:!f,section:0,value:0),time:(from:now-7d,mode:quick,to:now))&amp;_a=(columns:!('Locomotive%20ID','Data.Train%20ID','Message%20ID'),filters:!(),index:'emp_*',interval:auto,query:(query_string:(analyze_wildcard:!t,query:%22-05%22)),sort:!(Time.ISO8601,asc))</v>
      </c>
      <c r="J79" s="30" t="e">
        <f>VLOOKUP(B79,'Train Runs'!$A$13:$A$99958,1,FALSE)</f>
        <v>#N/A</v>
      </c>
    </row>
    <row r="80" spans="1:10" x14ac:dyDescent="0.25">
      <c r="A80" s="190"/>
      <c r="B80" s="43" t="str">
        <f>A80&amp;"-"&amp;IF(DAY(Variables!$A$2)&lt;10,0,"")&amp;DAY(Variables!$A$2)</f>
        <v>-05</v>
      </c>
      <c r="C80" s="147"/>
      <c r="D80" s="169"/>
      <c r="E80" s="30"/>
      <c r="F80" s="21" t="e">
        <f>VLOOKUP(B80,'Trips&amp;Operators'!$C$2:$E$10000,3,FALSE)</f>
        <v>#N/A</v>
      </c>
      <c r="G80" s="21" t="e">
        <f>VLOOKUP(B80,'Trips&amp;Operators'!$C$1:$F$10000,4,FALSE)</f>
        <v>#N/A</v>
      </c>
      <c r="H80" s="29" t="e">
        <f>VLOOKUP(B80,'Trips&amp;Operators'!$C$1:$H$10000,5,FALSE)</f>
        <v>#N/A</v>
      </c>
      <c r="I80" s="46" t="str">
        <f t="shared" si="1"/>
        <v>https://d0f6bd738d7f1b3e5a7ca70fe4ff75f0.us-east-1.aws.found.io/app/kibana#/discover/Steve-Slow-Train-Analysis-(2080s-and-2083s)?_g=(refreshInterval:(display:Off,pause:!f,section:0,value:0),time:(from:now-7d,mode:quick,to:now))&amp;_a=(columns:!('Locomotive%20ID','Data.Train%20ID','Message%20ID'),filters:!(),index:'emp_*',interval:auto,query:(query_string:(analyze_wildcard:!t,query:%22-05%22)),sort:!(Time.ISO8601,asc))</v>
      </c>
      <c r="J80" s="30" t="e">
        <f>VLOOKUP(B80,'Train Runs'!$A$13:$A$99958,1,FALSE)</f>
        <v>#N/A</v>
      </c>
    </row>
    <row r="81" spans="1:10" x14ac:dyDescent="0.25">
      <c r="A81" s="190"/>
      <c r="B81" s="43" t="str">
        <f>A81&amp;"-"&amp;IF(DAY(Variables!$A$2)&lt;10,0,"")&amp;DAY(Variables!$A$2)</f>
        <v>-05</v>
      </c>
      <c r="C81" s="147"/>
      <c r="D81" s="169"/>
      <c r="E81" s="30"/>
      <c r="F81" s="21" t="e">
        <f>VLOOKUP(B81,'Trips&amp;Operators'!$C$2:$E$10000,3,FALSE)</f>
        <v>#N/A</v>
      </c>
      <c r="G81" s="21" t="e">
        <f>VLOOKUP(B81,'Trips&amp;Operators'!$C$1:$F$10000,4,FALSE)</f>
        <v>#N/A</v>
      </c>
      <c r="H81" s="29" t="e">
        <f>VLOOKUP(B81,'Trips&amp;Operators'!$C$1:$H$10000,5,FALSE)</f>
        <v>#N/A</v>
      </c>
      <c r="I81" s="46" t="str">
        <f t="shared" si="1"/>
        <v>https://d0f6bd738d7f1b3e5a7ca70fe4ff75f0.us-east-1.aws.found.io/app/kibana#/discover/Steve-Slow-Train-Analysis-(2080s-and-2083s)?_g=(refreshInterval:(display:Off,pause:!f,section:0,value:0),time:(from:now-7d,mode:quick,to:now))&amp;_a=(columns:!('Locomotive%20ID','Data.Train%20ID','Message%20ID'),filters:!(),index:'emp_*',interval:auto,query:(query_string:(analyze_wildcard:!t,query:%22-05%22)),sort:!(Time.ISO8601,asc))</v>
      </c>
      <c r="J81" s="30" t="e">
        <f>VLOOKUP(B81,'Train Runs'!$A$13:$A$99958,1,FALSE)</f>
        <v>#N/A</v>
      </c>
    </row>
    <row r="82" spans="1:10" x14ac:dyDescent="0.25">
      <c r="A82" s="190"/>
      <c r="B82" s="43" t="str">
        <f>A82&amp;"-"&amp;IF(DAY(Variables!$A$2)&lt;10,0,"")&amp;DAY(Variables!$A$2)</f>
        <v>-05</v>
      </c>
      <c r="C82" s="147"/>
      <c r="D82" s="169"/>
      <c r="E82" s="30"/>
      <c r="F82" s="21" t="e">
        <f>VLOOKUP(B82,'Trips&amp;Operators'!$C$2:$E$10000,3,FALSE)</f>
        <v>#N/A</v>
      </c>
      <c r="G82" s="21" t="e">
        <f>VLOOKUP(B82,'Trips&amp;Operators'!$C$1:$F$10000,4,FALSE)</f>
        <v>#N/A</v>
      </c>
      <c r="H82" s="29" t="e">
        <f>VLOOKUP(B82,'Trips&amp;Operators'!$C$1:$H$10000,5,FALSE)</f>
        <v>#N/A</v>
      </c>
      <c r="I82" s="46" t="str">
        <f t="shared" si="1"/>
        <v>https://d0f6bd738d7f1b3e5a7ca70fe4ff75f0.us-east-1.aws.found.io/app/kibana#/discover/Steve-Slow-Train-Analysis-(2080s-and-2083s)?_g=(refreshInterval:(display:Off,pause:!f,section:0,value:0),time:(from:now-7d,mode:quick,to:now))&amp;_a=(columns:!('Locomotive%20ID','Data.Train%20ID','Message%20ID'),filters:!(),index:'emp_*',interval:auto,query:(query_string:(analyze_wildcard:!t,query:%22-05%22)),sort:!(Time.ISO8601,asc))</v>
      </c>
      <c r="J82" s="30" t="e">
        <f>VLOOKUP(B82,'Train Runs'!$A$13:$A$99958,1,FALSE)</f>
        <v>#N/A</v>
      </c>
    </row>
    <row r="83" spans="1:10" x14ac:dyDescent="0.25">
      <c r="A83" s="190"/>
      <c r="B83" s="43" t="str">
        <f>A83&amp;"-"&amp;IF(DAY(Variables!$A$2)&lt;10,0,"")&amp;DAY(Variables!$A$2)</f>
        <v>-05</v>
      </c>
      <c r="C83" s="147"/>
      <c r="D83" s="169"/>
      <c r="E83" s="30"/>
      <c r="F83" s="21" t="e">
        <f>VLOOKUP(B83,'Trips&amp;Operators'!$C$2:$E$10000,3,FALSE)</f>
        <v>#N/A</v>
      </c>
      <c r="G83" s="21" t="e">
        <f>VLOOKUP(B83,'Trips&amp;Operators'!$C$1:$F$10000,4,FALSE)</f>
        <v>#N/A</v>
      </c>
      <c r="H83" s="29" t="e">
        <f>VLOOKUP(B83,'Trips&amp;Operators'!$C$1:$H$10000,5,FALSE)</f>
        <v>#N/A</v>
      </c>
      <c r="I83" s="46" t="str">
        <f t="shared" si="1"/>
        <v>https://d0f6bd738d7f1b3e5a7ca70fe4ff75f0.us-east-1.aws.found.io/app/kibana#/discover/Steve-Slow-Train-Analysis-(2080s-and-2083s)?_g=(refreshInterval:(display:Off,pause:!f,section:0,value:0),time:(from:now-7d,mode:quick,to:now))&amp;_a=(columns:!('Locomotive%20ID','Data.Train%20ID','Message%20ID'),filters:!(),index:'emp_*',interval:auto,query:(query_string:(analyze_wildcard:!t,query:%22-05%22)),sort:!(Time.ISO8601,asc))</v>
      </c>
      <c r="J83" s="30" t="e">
        <f>VLOOKUP(B83,'Train Runs'!$A$13:$A$99958,1,FALSE)</f>
        <v>#N/A</v>
      </c>
    </row>
    <row r="84" spans="1:10" x14ac:dyDescent="0.25">
      <c r="A84" s="190"/>
      <c r="B84" s="43" t="str">
        <f>A84&amp;"-"&amp;IF(DAY(Variables!$A$2)&lt;10,0,"")&amp;DAY(Variables!$A$2)</f>
        <v>-05</v>
      </c>
      <c r="C84" s="147"/>
      <c r="D84" s="169"/>
      <c r="E84" s="30"/>
      <c r="F84" s="21" t="e">
        <f>VLOOKUP(B84,'Trips&amp;Operators'!$C$2:$E$10000,3,FALSE)</f>
        <v>#N/A</v>
      </c>
      <c r="G84" s="21" t="e">
        <f>VLOOKUP(B84,'Trips&amp;Operators'!$C$1:$F$10000,4,FALSE)</f>
        <v>#N/A</v>
      </c>
      <c r="H84" s="29" t="e">
        <f>VLOOKUP(B84,'Trips&amp;Operators'!$C$1:$H$10000,5,FALSE)</f>
        <v>#N/A</v>
      </c>
      <c r="I84" s="46" t="str">
        <f t="shared" si="1"/>
        <v>https://d0f6bd738d7f1b3e5a7ca70fe4ff75f0.us-east-1.aws.found.io/app/kibana#/discover/Steve-Slow-Train-Analysis-(2080s-and-2083s)?_g=(refreshInterval:(display:Off,pause:!f,section:0,value:0),time:(from:now-7d,mode:quick,to:now))&amp;_a=(columns:!('Locomotive%20ID','Data.Train%20ID','Message%20ID'),filters:!(),index:'emp_*',interval:auto,query:(query_string:(analyze_wildcard:!t,query:%22-05%22)),sort:!(Time.ISO8601,asc))</v>
      </c>
      <c r="J84" s="30" t="e">
        <f>VLOOKUP(B84,'Train Runs'!$A$13:$A$99958,1,FALSE)</f>
        <v>#N/A</v>
      </c>
    </row>
    <row r="85" spans="1:10" x14ac:dyDescent="0.25">
      <c r="A85" s="190"/>
      <c r="B85" s="43" t="str">
        <f>A85&amp;"-"&amp;IF(DAY(Variables!$A$2)&lt;10,0,"")&amp;DAY(Variables!$A$2)</f>
        <v>-05</v>
      </c>
      <c r="C85" s="147"/>
      <c r="D85" s="169"/>
      <c r="E85" s="30"/>
      <c r="F85" s="21" t="e">
        <f>VLOOKUP(B85,'Trips&amp;Operators'!$C$2:$E$10000,3,FALSE)</f>
        <v>#N/A</v>
      </c>
      <c r="G85" s="21" t="e">
        <f>VLOOKUP(B85,'Trips&amp;Operators'!$C$1:$F$10000,4,FALSE)</f>
        <v>#N/A</v>
      </c>
      <c r="H85" s="29" t="e">
        <f>VLOOKUP(B85,'Trips&amp;Operators'!$C$1:$H$10000,5,FALSE)</f>
        <v>#N/A</v>
      </c>
      <c r="I85" s="46" t="str">
        <f t="shared" si="1"/>
        <v>https://d0f6bd738d7f1b3e5a7ca70fe4ff75f0.us-east-1.aws.found.io/app/kibana#/discover/Steve-Slow-Train-Analysis-(2080s-and-2083s)?_g=(refreshInterval:(display:Off,pause:!f,section:0,value:0),time:(from:now-7d,mode:quick,to:now))&amp;_a=(columns:!('Locomotive%20ID','Data.Train%20ID','Message%20ID'),filters:!(),index:'emp_*',interval:auto,query:(query_string:(analyze_wildcard:!t,query:%22-05%22)),sort:!(Time.ISO8601,asc))</v>
      </c>
      <c r="J85" s="30" t="e">
        <f>VLOOKUP(B85,'Train Runs'!$A$13:$A$99958,1,FALSE)</f>
        <v>#N/A</v>
      </c>
    </row>
    <row r="86" spans="1:10" x14ac:dyDescent="0.25">
      <c r="A86" s="190"/>
      <c r="B86" s="43" t="str">
        <f>A86&amp;"-"&amp;IF(DAY(Variables!$A$2)&lt;10,0,"")&amp;DAY(Variables!$A$2)</f>
        <v>-05</v>
      </c>
      <c r="C86" s="147"/>
      <c r="D86" s="169"/>
      <c r="E86" s="30"/>
      <c r="F86" s="21" t="e">
        <f>VLOOKUP(B86,'Trips&amp;Operators'!$C$2:$E$10000,3,FALSE)</f>
        <v>#N/A</v>
      </c>
      <c r="G86" s="21" t="e">
        <f>VLOOKUP(B86,'Trips&amp;Operators'!$C$1:$F$10000,4,FALSE)</f>
        <v>#N/A</v>
      </c>
      <c r="H86" s="29" t="e">
        <f>VLOOKUP(B86,'Trips&amp;Operators'!$C$1:$H$10000,5,FALSE)</f>
        <v>#N/A</v>
      </c>
      <c r="I86" s="46" t="str">
        <f t="shared" si="1"/>
        <v>https://d0f6bd738d7f1b3e5a7ca70fe4ff75f0.us-east-1.aws.found.io/app/kibana#/discover/Steve-Slow-Train-Analysis-(2080s-and-2083s)?_g=(refreshInterval:(display:Off,pause:!f,section:0,value:0),time:(from:now-7d,mode:quick,to:now))&amp;_a=(columns:!('Locomotive%20ID','Data.Train%20ID','Message%20ID'),filters:!(),index:'emp_*',interval:auto,query:(query_string:(analyze_wildcard:!t,query:%22-05%22)),sort:!(Time.ISO8601,asc))</v>
      </c>
      <c r="J86" s="30" t="e">
        <f>VLOOKUP(B86,'Train Runs'!$A$13:$A$99958,1,FALSE)</f>
        <v>#N/A</v>
      </c>
    </row>
    <row r="87" spans="1:10" x14ac:dyDescent="0.25">
      <c r="A87" s="190"/>
      <c r="B87" s="43" t="str">
        <f>A87&amp;"-"&amp;IF(DAY(Variables!$A$2)&lt;10,0,"")&amp;DAY(Variables!$A$2)</f>
        <v>-05</v>
      </c>
      <c r="C87" s="147"/>
      <c r="D87" s="169"/>
      <c r="E87" s="30"/>
      <c r="F87" s="21" t="e">
        <f>VLOOKUP(B87,'Trips&amp;Operators'!$C$2:$E$10000,3,FALSE)</f>
        <v>#N/A</v>
      </c>
      <c r="G87" s="21" t="e">
        <f>VLOOKUP(B87,'Trips&amp;Operators'!$C$1:$F$10000,4,FALSE)</f>
        <v>#N/A</v>
      </c>
      <c r="H87" s="29" t="e">
        <f>VLOOKUP(B87,'Trips&amp;Operators'!$C$1:$H$10000,5,FALSE)</f>
        <v>#N/A</v>
      </c>
      <c r="I87" s="46" t="str">
        <f t="shared" si="1"/>
        <v>https://d0f6bd738d7f1b3e5a7ca70fe4ff75f0.us-east-1.aws.found.io/app/kibana#/discover/Steve-Slow-Train-Analysis-(2080s-and-2083s)?_g=(refreshInterval:(display:Off,pause:!f,section:0,value:0),time:(from:now-7d,mode:quick,to:now))&amp;_a=(columns:!('Locomotive%20ID','Data.Train%20ID','Message%20ID'),filters:!(),index:'emp_*',interval:auto,query:(query_string:(analyze_wildcard:!t,query:%22-05%22)),sort:!(Time.ISO8601,asc))</v>
      </c>
      <c r="J87" s="30" t="e">
        <f>VLOOKUP(B87,'Train Runs'!$A$13:$A$99958,1,FALSE)</f>
        <v>#N/A</v>
      </c>
    </row>
    <row r="88" spans="1:10" x14ac:dyDescent="0.25">
      <c r="A88" s="190"/>
      <c r="B88" s="43" t="str">
        <f>A88&amp;"-"&amp;IF(DAY(Variables!$A$2)&lt;10,0,"")&amp;DAY(Variables!$A$2)</f>
        <v>-05</v>
      </c>
      <c r="C88" s="147"/>
      <c r="D88" s="169"/>
      <c r="E88" s="30"/>
      <c r="F88" s="21" t="e">
        <f>VLOOKUP(B88,'Trips&amp;Operators'!$C$2:$E$10000,3,FALSE)</f>
        <v>#N/A</v>
      </c>
      <c r="G88" s="21" t="e">
        <f>VLOOKUP(B88,'Trips&amp;Operators'!$C$1:$F$10000,4,FALSE)</f>
        <v>#N/A</v>
      </c>
      <c r="H88" s="29" t="e">
        <f>VLOOKUP(B88,'Trips&amp;Operators'!$C$1:$H$10000,5,FALSE)</f>
        <v>#N/A</v>
      </c>
      <c r="I88" s="46" t="str">
        <f t="shared" si="1"/>
        <v>https://d0f6bd738d7f1b3e5a7ca70fe4ff75f0.us-east-1.aws.found.io/app/kibana#/discover/Steve-Slow-Train-Analysis-(2080s-and-2083s)?_g=(refreshInterval:(display:Off,pause:!f,section:0,value:0),time:(from:now-7d,mode:quick,to:now))&amp;_a=(columns:!('Locomotive%20ID','Data.Train%20ID','Message%20ID'),filters:!(),index:'emp_*',interval:auto,query:(query_string:(analyze_wildcard:!t,query:%22-05%22)),sort:!(Time.ISO8601,asc))</v>
      </c>
      <c r="J88" s="30" t="e">
        <f>VLOOKUP(B88,'Train Runs'!$A$13:$A$99958,1,FALSE)</f>
        <v>#N/A</v>
      </c>
    </row>
    <row r="89" spans="1:10" x14ac:dyDescent="0.25">
      <c r="A89" s="190"/>
      <c r="B89" s="43" t="str">
        <f>A89&amp;"-"&amp;IF(DAY(Variables!$A$2)&lt;10,0,"")&amp;DAY(Variables!$A$2)</f>
        <v>-05</v>
      </c>
      <c r="C89" s="147"/>
      <c r="D89" s="169"/>
      <c r="E89" s="30"/>
      <c r="F89" s="21" t="e">
        <f>VLOOKUP(B89,'Trips&amp;Operators'!$C$2:$E$10000,3,FALSE)</f>
        <v>#N/A</v>
      </c>
      <c r="G89" s="21" t="e">
        <f>VLOOKUP(B89,'Trips&amp;Operators'!$C$1:$F$10000,4,FALSE)</f>
        <v>#N/A</v>
      </c>
      <c r="H89" s="29" t="e">
        <f>VLOOKUP(B89,'Trips&amp;Operators'!$C$1:$H$10000,5,FALSE)</f>
        <v>#N/A</v>
      </c>
      <c r="I89" s="46" t="str">
        <f t="shared" si="1"/>
        <v>https://d0f6bd738d7f1b3e5a7ca70fe4ff75f0.us-east-1.aws.found.io/app/kibana#/discover/Steve-Slow-Train-Analysis-(2080s-and-2083s)?_g=(refreshInterval:(display:Off,pause:!f,section:0,value:0),time:(from:now-7d,mode:quick,to:now))&amp;_a=(columns:!('Locomotive%20ID','Data.Train%20ID','Message%20ID'),filters:!(),index:'emp_*',interval:auto,query:(query_string:(analyze_wildcard:!t,query:%22-05%22)),sort:!(Time.ISO8601,asc))</v>
      </c>
      <c r="J89" s="30" t="e">
        <f>VLOOKUP(B89,'Train Runs'!$A$13:$A$99958,1,FALSE)</f>
        <v>#N/A</v>
      </c>
    </row>
    <row r="90" spans="1:10" x14ac:dyDescent="0.25">
      <c r="A90" s="190"/>
      <c r="B90" s="43" t="str">
        <f>A90&amp;"-"&amp;IF(DAY(Variables!$A$2)&lt;10,0,"")&amp;DAY(Variables!$A$2)</f>
        <v>-05</v>
      </c>
      <c r="C90" s="147"/>
      <c r="D90" s="169"/>
      <c r="E90" s="30"/>
      <c r="F90" s="21" t="e">
        <f>VLOOKUP(B90,'Trips&amp;Operators'!$C$2:$E$10000,3,FALSE)</f>
        <v>#N/A</v>
      </c>
      <c r="G90" s="21" t="e">
        <f>VLOOKUP(B90,'Trips&amp;Operators'!$C$1:$F$10000,4,FALSE)</f>
        <v>#N/A</v>
      </c>
      <c r="H90" s="29" t="e">
        <f>VLOOKUP(B90,'Trips&amp;Operators'!$C$1:$H$10000,5,FALSE)</f>
        <v>#N/A</v>
      </c>
      <c r="I90" s="46" t="str">
        <f t="shared" si="1"/>
        <v>https://d0f6bd738d7f1b3e5a7ca70fe4ff75f0.us-east-1.aws.found.io/app/kibana#/discover/Steve-Slow-Train-Analysis-(2080s-and-2083s)?_g=(refreshInterval:(display:Off,pause:!f,section:0,value:0),time:(from:now-7d,mode:quick,to:now))&amp;_a=(columns:!('Locomotive%20ID','Data.Train%20ID','Message%20ID'),filters:!(),index:'emp_*',interval:auto,query:(query_string:(analyze_wildcard:!t,query:%22-05%22)),sort:!(Time.ISO8601,asc))</v>
      </c>
      <c r="J90" s="30" t="e">
        <f>VLOOKUP(B90,'Train Runs'!$A$13:$A$99958,1,FALSE)</f>
        <v>#N/A</v>
      </c>
    </row>
    <row r="91" spans="1:10" x14ac:dyDescent="0.25">
      <c r="A91" s="190"/>
      <c r="B91" s="43" t="str">
        <f>A91&amp;"-"&amp;IF(DAY(Variables!$A$2)&lt;10,0,"")&amp;DAY(Variables!$A$2)</f>
        <v>-05</v>
      </c>
      <c r="C91" s="147"/>
      <c r="D91" s="169"/>
      <c r="E91" s="30"/>
      <c r="F91" s="21" t="e">
        <f>VLOOKUP(B91,'Trips&amp;Operators'!$C$2:$E$10000,3,FALSE)</f>
        <v>#N/A</v>
      </c>
      <c r="G91" s="21" t="e">
        <f>VLOOKUP(B91,'Trips&amp;Operators'!$C$1:$F$10000,4,FALSE)</f>
        <v>#N/A</v>
      </c>
      <c r="H91" s="29" t="e">
        <f>VLOOKUP(B91,'Trips&amp;Operators'!$C$1:$H$10000,5,FALSE)</f>
        <v>#N/A</v>
      </c>
      <c r="I91" s="46" t="str">
        <f t="shared" si="1"/>
        <v>https://d0f6bd738d7f1b3e5a7ca70fe4ff75f0.us-east-1.aws.found.io/app/kibana#/discover/Steve-Slow-Train-Analysis-(2080s-and-2083s)?_g=(refreshInterval:(display:Off,pause:!f,section:0,value:0),time:(from:now-7d,mode:quick,to:now))&amp;_a=(columns:!('Locomotive%20ID','Data.Train%20ID','Message%20ID'),filters:!(),index:'emp_*',interval:auto,query:(query_string:(analyze_wildcard:!t,query:%22-05%22)),sort:!(Time.ISO8601,asc))</v>
      </c>
      <c r="J91" s="30" t="e">
        <f>VLOOKUP(B91,'Train Runs'!$A$13:$A$99958,1,FALSE)</f>
        <v>#N/A</v>
      </c>
    </row>
    <row r="92" spans="1:10" x14ac:dyDescent="0.25">
      <c r="A92" s="190"/>
      <c r="B92" s="43" t="str">
        <f>A92&amp;"-"&amp;IF(DAY(Variables!$A$2)&lt;10,0,"")&amp;DAY(Variables!$A$2)</f>
        <v>-05</v>
      </c>
      <c r="C92" s="147"/>
      <c r="D92" s="169"/>
      <c r="E92" s="30"/>
      <c r="F92" s="21" t="e">
        <f>VLOOKUP(B92,'Trips&amp;Operators'!$C$2:$E$10000,3,FALSE)</f>
        <v>#N/A</v>
      </c>
      <c r="G92" s="21" t="e">
        <f>VLOOKUP(B92,'Trips&amp;Operators'!$C$1:$F$10000,4,FALSE)</f>
        <v>#N/A</v>
      </c>
      <c r="H92" s="29" t="e">
        <f>VLOOKUP(B92,'Trips&amp;Operators'!$C$1:$H$10000,5,FALSE)</f>
        <v>#N/A</v>
      </c>
      <c r="I92" s="46" t="str">
        <f t="shared" si="1"/>
        <v>https://d0f6bd738d7f1b3e5a7ca70fe4ff75f0.us-east-1.aws.found.io/app/kibana#/discover/Steve-Slow-Train-Analysis-(2080s-and-2083s)?_g=(refreshInterval:(display:Off,pause:!f,section:0,value:0),time:(from:now-7d,mode:quick,to:now))&amp;_a=(columns:!('Locomotive%20ID','Data.Train%20ID','Message%20ID'),filters:!(),index:'emp_*',interval:auto,query:(query_string:(analyze_wildcard:!t,query:%22-05%22)),sort:!(Time.ISO8601,asc))</v>
      </c>
      <c r="J92" s="30" t="e">
        <f>VLOOKUP(B92,'Train Runs'!$A$13:$A$99958,1,FALSE)</f>
        <v>#N/A</v>
      </c>
    </row>
    <row r="93" spans="1:10" x14ac:dyDescent="0.25">
      <c r="A93" s="190"/>
      <c r="B93" s="43" t="str">
        <f>A93&amp;"-"&amp;IF(DAY(Variables!$A$2)&lt;10,0,"")&amp;DAY(Variables!$A$2)</f>
        <v>-05</v>
      </c>
      <c r="C93" s="147"/>
      <c r="D93" s="169"/>
      <c r="E93" s="30"/>
      <c r="F93" s="21" t="e">
        <f>VLOOKUP(B93,'Trips&amp;Operators'!$C$2:$E$10000,3,FALSE)</f>
        <v>#N/A</v>
      </c>
      <c r="G93" s="21" t="e">
        <f>VLOOKUP(B93,'Trips&amp;Operators'!$C$1:$F$10000,4,FALSE)</f>
        <v>#N/A</v>
      </c>
      <c r="H93" s="29" t="e">
        <f>VLOOKUP(B93,'Trips&amp;Operators'!$C$1:$H$10000,5,FALSE)</f>
        <v>#N/A</v>
      </c>
      <c r="I93" s="46" t="str">
        <f t="shared" si="1"/>
        <v>https://d0f6bd738d7f1b3e5a7ca70fe4ff75f0.us-east-1.aws.found.io/app/kibana#/discover/Steve-Slow-Train-Analysis-(2080s-and-2083s)?_g=(refreshInterval:(display:Off,pause:!f,section:0,value:0),time:(from:now-7d,mode:quick,to:now))&amp;_a=(columns:!('Locomotive%20ID','Data.Train%20ID','Message%20ID'),filters:!(),index:'emp_*',interval:auto,query:(query_string:(analyze_wildcard:!t,query:%22-05%22)),sort:!(Time.ISO8601,asc))</v>
      </c>
      <c r="J93" s="30" t="e">
        <f>VLOOKUP(B93,'Train Runs'!$A$13:$A$99958,1,FALSE)</f>
        <v>#N/A</v>
      </c>
    </row>
    <row r="94" spans="1:10" x14ac:dyDescent="0.25">
      <c r="A94" s="190"/>
      <c r="B94" s="43" t="str">
        <f>A94&amp;"-"&amp;IF(DAY(Variables!$A$2)&lt;10,0,"")&amp;DAY(Variables!$A$2)</f>
        <v>-05</v>
      </c>
      <c r="C94" s="147"/>
      <c r="D94" s="169"/>
      <c r="E94" s="30"/>
      <c r="F94" s="21" t="e">
        <f>VLOOKUP(B94,'Trips&amp;Operators'!$C$2:$E$10000,3,FALSE)</f>
        <v>#N/A</v>
      </c>
      <c r="G94" s="21" t="e">
        <f>VLOOKUP(B94,'Trips&amp;Operators'!$C$1:$F$10000,4,FALSE)</f>
        <v>#N/A</v>
      </c>
      <c r="H94" s="29" t="e">
        <f>VLOOKUP(B94,'Trips&amp;Operators'!$C$1:$H$10000,5,FALSE)</f>
        <v>#N/A</v>
      </c>
      <c r="I94" s="46" t="str">
        <f t="shared" si="1"/>
        <v>https://d0f6bd738d7f1b3e5a7ca70fe4ff75f0.us-east-1.aws.found.io/app/kibana#/discover/Steve-Slow-Train-Analysis-(2080s-and-2083s)?_g=(refreshInterval:(display:Off,pause:!f,section:0,value:0),time:(from:now-7d,mode:quick,to:now))&amp;_a=(columns:!('Locomotive%20ID','Data.Train%20ID','Message%20ID'),filters:!(),index:'emp_*',interval:auto,query:(query_string:(analyze_wildcard:!t,query:%22-05%22)),sort:!(Time.ISO8601,asc))</v>
      </c>
      <c r="J94" s="30" t="e">
        <f>VLOOKUP(B94,'Train Runs'!$A$13:$A$99958,1,FALSE)</f>
        <v>#N/A</v>
      </c>
    </row>
    <row r="95" spans="1:10" x14ac:dyDescent="0.25">
      <c r="A95" s="190"/>
      <c r="B95" s="43" t="str">
        <f>A95&amp;"-"&amp;IF(DAY(Variables!$A$2)&lt;10,0,"")&amp;DAY(Variables!$A$2)</f>
        <v>-05</v>
      </c>
      <c r="C95" s="147"/>
      <c r="D95" s="169"/>
      <c r="E95" s="30"/>
      <c r="F95" s="21" t="e">
        <f>VLOOKUP(B95,'Trips&amp;Operators'!$C$2:$E$10000,3,FALSE)</f>
        <v>#N/A</v>
      </c>
      <c r="G95" s="21" t="e">
        <f>VLOOKUP(B95,'Trips&amp;Operators'!$C$1:$F$10000,4,FALSE)</f>
        <v>#N/A</v>
      </c>
      <c r="H95" s="29" t="e">
        <f>VLOOKUP(B95,'Trips&amp;Operators'!$C$1:$H$10000,5,FALSE)</f>
        <v>#N/A</v>
      </c>
      <c r="I95" s="46" t="str">
        <f t="shared" si="1"/>
        <v>https://d0f6bd738d7f1b3e5a7ca70fe4ff75f0.us-east-1.aws.found.io/app/kibana#/discover/Steve-Slow-Train-Analysis-(2080s-and-2083s)?_g=(refreshInterval:(display:Off,pause:!f,section:0,value:0),time:(from:now-7d,mode:quick,to:now))&amp;_a=(columns:!('Locomotive%20ID','Data.Train%20ID','Message%20ID'),filters:!(),index:'emp_*',interval:auto,query:(query_string:(analyze_wildcard:!t,query:%22-05%22)),sort:!(Time.ISO8601,asc))</v>
      </c>
      <c r="J95" s="30" t="e">
        <f>VLOOKUP(B95,'Train Runs'!$A$13:$A$99958,1,FALSE)</f>
        <v>#N/A</v>
      </c>
    </row>
    <row r="96" spans="1:10" x14ac:dyDescent="0.25">
      <c r="A96" s="190"/>
      <c r="B96" s="43" t="str">
        <f>A96&amp;"-"&amp;IF(DAY(Variables!$A$2)&lt;10,0,"")&amp;DAY(Variables!$A$2)</f>
        <v>-05</v>
      </c>
      <c r="C96" s="147"/>
      <c r="D96" s="169"/>
      <c r="E96" s="30"/>
      <c r="F96" s="21" t="e">
        <f>VLOOKUP(B96,'Trips&amp;Operators'!$C$2:$E$10000,3,FALSE)</f>
        <v>#N/A</v>
      </c>
      <c r="G96" s="21" t="e">
        <f>VLOOKUP(B96,'Trips&amp;Operators'!$C$1:$F$10000,4,FALSE)</f>
        <v>#N/A</v>
      </c>
      <c r="H96" s="29" t="e">
        <f>VLOOKUP(B96,'Trips&amp;Operators'!$C$1:$H$10000,5,FALSE)</f>
        <v>#N/A</v>
      </c>
      <c r="I96" s="46" t="str">
        <f t="shared" si="1"/>
        <v>https://d0f6bd738d7f1b3e5a7ca70fe4ff75f0.us-east-1.aws.found.io/app/kibana#/discover/Steve-Slow-Train-Analysis-(2080s-and-2083s)?_g=(refreshInterval:(display:Off,pause:!f,section:0,value:0),time:(from:now-7d,mode:quick,to:now))&amp;_a=(columns:!('Locomotive%20ID','Data.Train%20ID','Message%20ID'),filters:!(),index:'emp_*',interval:auto,query:(query_string:(analyze_wildcard:!t,query:%22-05%22)),sort:!(Time.ISO8601,asc))</v>
      </c>
      <c r="J96" s="30" t="e">
        <f>VLOOKUP(B96,'Train Runs'!$A$13:$A$99958,1,FALSE)</f>
        <v>#N/A</v>
      </c>
    </row>
    <row r="97" spans="1:10" x14ac:dyDescent="0.25">
      <c r="A97" s="190"/>
      <c r="B97" s="43" t="str">
        <f>A97&amp;"-"&amp;IF(DAY(Variables!$A$2)&lt;10,0,"")&amp;DAY(Variables!$A$2)</f>
        <v>-05</v>
      </c>
      <c r="C97" s="147"/>
      <c r="D97" s="169"/>
      <c r="E97" s="30"/>
      <c r="F97" s="21" t="e">
        <f>VLOOKUP(B97,'Trips&amp;Operators'!$C$2:$E$10000,3,FALSE)</f>
        <v>#N/A</v>
      </c>
      <c r="G97" s="21" t="e">
        <f>VLOOKUP(B97,'Trips&amp;Operators'!$C$1:$F$10000,4,FALSE)</f>
        <v>#N/A</v>
      </c>
      <c r="H97" s="29" t="e">
        <f>VLOOKUP(B97,'Trips&amp;Operators'!$C$1:$H$10000,5,FALSE)</f>
        <v>#N/A</v>
      </c>
      <c r="I97" s="46" t="str">
        <f t="shared" si="1"/>
        <v>https://d0f6bd738d7f1b3e5a7ca70fe4ff75f0.us-east-1.aws.found.io/app/kibana#/discover/Steve-Slow-Train-Analysis-(2080s-and-2083s)?_g=(refreshInterval:(display:Off,pause:!f,section:0,value:0),time:(from:now-7d,mode:quick,to:now))&amp;_a=(columns:!('Locomotive%20ID','Data.Train%20ID','Message%20ID'),filters:!(),index:'emp_*',interval:auto,query:(query_string:(analyze_wildcard:!t,query:%22-05%22)),sort:!(Time.ISO8601,asc))</v>
      </c>
      <c r="J97" s="30" t="e">
        <f>VLOOKUP(B97,'Train Runs'!$A$13:$A$99958,1,FALSE)</f>
        <v>#N/A</v>
      </c>
    </row>
    <row r="98" spans="1:10" x14ac:dyDescent="0.25">
      <c r="A98" s="190"/>
      <c r="B98" s="43" t="str">
        <f>A98&amp;"-"&amp;IF(DAY(Variables!$A$2)&lt;10,0,"")&amp;DAY(Variables!$A$2)</f>
        <v>-05</v>
      </c>
      <c r="C98" s="147"/>
      <c r="D98" s="169"/>
      <c r="E98" s="30"/>
      <c r="F98" s="21" t="e">
        <f>VLOOKUP(B98,'Trips&amp;Operators'!$C$2:$E$10000,3,FALSE)</f>
        <v>#N/A</v>
      </c>
      <c r="G98" s="21" t="e">
        <f>VLOOKUP(B98,'Trips&amp;Operators'!$C$1:$F$10000,4,FALSE)</f>
        <v>#N/A</v>
      </c>
      <c r="H98" s="29" t="e">
        <f>VLOOKUP(B98,'Trips&amp;Operators'!$C$1:$H$10000,5,FALSE)</f>
        <v>#N/A</v>
      </c>
      <c r="I98" s="46" t="str">
        <f t="shared" si="1"/>
        <v>https://d0f6bd738d7f1b3e5a7ca70fe4ff75f0.us-east-1.aws.found.io/app/kibana#/discover/Steve-Slow-Train-Analysis-(2080s-and-2083s)?_g=(refreshInterval:(display:Off,pause:!f,section:0,value:0),time:(from:now-7d,mode:quick,to:now))&amp;_a=(columns:!('Locomotive%20ID','Data.Train%20ID','Message%20ID'),filters:!(),index:'emp_*',interval:auto,query:(query_string:(analyze_wildcard:!t,query:%22-05%22)),sort:!(Time.ISO8601,asc))</v>
      </c>
      <c r="J98" s="30" t="e">
        <f>VLOOKUP(B98,'Train Runs'!$A$13:$A$99958,1,FALSE)</f>
        <v>#N/A</v>
      </c>
    </row>
    <row r="99" spans="1:10" x14ac:dyDescent="0.25">
      <c r="A99" s="190"/>
      <c r="B99" s="43" t="str">
        <f>A99&amp;"-"&amp;IF(DAY(Variables!$A$2)&lt;10,0,"")&amp;DAY(Variables!$A$2)</f>
        <v>-05</v>
      </c>
      <c r="C99" s="147"/>
      <c r="D99" s="169"/>
      <c r="E99" s="30"/>
      <c r="F99" s="21" t="e">
        <f>VLOOKUP(B99,'Trips&amp;Operators'!$C$2:$E$10000,3,FALSE)</f>
        <v>#N/A</v>
      </c>
      <c r="G99" s="21" t="e">
        <f>VLOOKUP(B99,'Trips&amp;Operators'!$C$1:$F$10000,4,FALSE)</f>
        <v>#N/A</v>
      </c>
      <c r="H99" s="29" t="e">
        <f>VLOOKUP(B99,'Trips&amp;Operators'!$C$1:$H$10000,5,FALSE)</f>
        <v>#N/A</v>
      </c>
      <c r="I99" s="46" t="str">
        <f t="shared" si="1"/>
        <v>https://d0f6bd738d7f1b3e5a7ca70fe4ff75f0.us-east-1.aws.found.io/app/kibana#/discover/Steve-Slow-Train-Analysis-(2080s-and-2083s)?_g=(refreshInterval:(display:Off,pause:!f,section:0,value:0),time:(from:now-7d,mode:quick,to:now))&amp;_a=(columns:!('Locomotive%20ID','Data.Train%20ID','Message%20ID'),filters:!(),index:'emp_*',interval:auto,query:(query_string:(analyze_wildcard:!t,query:%22-05%22)),sort:!(Time.ISO8601,asc))</v>
      </c>
      <c r="J99" s="30" t="e">
        <f>VLOOKUP(B99,'Train Runs'!$A$13:$A$99958,1,FALSE)</f>
        <v>#N/A</v>
      </c>
    </row>
    <row r="100" spans="1:10" x14ac:dyDescent="0.25">
      <c r="A100" s="190"/>
      <c r="B100" s="43" t="str">
        <f>A100&amp;"-"&amp;IF(DAY(Variables!$A$2)&lt;10,0,"")&amp;DAY(Variables!$A$2)</f>
        <v>-05</v>
      </c>
      <c r="C100" s="147"/>
      <c r="D100" s="169"/>
      <c r="E100" s="30"/>
      <c r="F100" s="21" t="e">
        <f>VLOOKUP(B100,'Trips&amp;Operators'!$C$2:$E$10000,3,FALSE)</f>
        <v>#N/A</v>
      </c>
      <c r="G100" s="21" t="e">
        <f>VLOOKUP(B100,'Trips&amp;Operators'!$C$1:$F$10000,4,FALSE)</f>
        <v>#N/A</v>
      </c>
      <c r="H100" s="29" t="e">
        <f>VLOOKUP(B100,'Trips&amp;Operators'!$C$1:$H$10000,5,FALSE)</f>
        <v>#N/A</v>
      </c>
      <c r="I100" s="46" t="str">
        <f t="shared" si="1"/>
        <v>https://d0f6bd738d7f1b3e5a7ca70fe4ff75f0.us-east-1.aws.found.io/app/kibana#/discover/Steve-Slow-Train-Analysis-(2080s-and-2083s)?_g=(refreshInterval:(display:Off,pause:!f,section:0,value:0),time:(from:now-7d,mode:quick,to:now))&amp;_a=(columns:!('Locomotive%20ID','Data.Train%20ID','Message%20ID'),filters:!(),index:'emp_*',interval:auto,query:(query_string:(analyze_wildcard:!t,query:%22-05%22)),sort:!(Time.ISO8601,asc))</v>
      </c>
      <c r="J100" s="30" t="e">
        <f>VLOOKUP(B100,'Train Runs'!$A$13:$A$99958,1,FALSE)</f>
        <v>#N/A</v>
      </c>
    </row>
    <row r="101" spans="1:10" x14ac:dyDescent="0.25">
      <c r="A101" s="190"/>
      <c r="B101" s="43" t="str">
        <f>A101&amp;"-"&amp;IF(DAY(Variables!$A$2)&lt;10,0,"")&amp;DAY(Variables!$A$2)</f>
        <v>-05</v>
      </c>
      <c r="C101" s="147"/>
      <c r="D101" s="169"/>
      <c r="E101" s="30"/>
      <c r="F101" s="21" t="e">
        <f>VLOOKUP(B101,'Trips&amp;Operators'!$C$2:$E$10000,3,FALSE)</f>
        <v>#N/A</v>
      </c>
      <c r="G101" s="21" t="e">
        <f>VLOOKUP(B101,'Trips&amp;Operators'!$C$1:$F$10000,4,FALSE)</f>
        <v>#N/A</v>
      </c>
      <c r="H101" s="29" t="e">
        <f>VLOOKUP(B101,'Trips&amp;Operators'!$C$1:$H$10000,5,FALSE)</f>
        <v>#N/A</v>
      </c>
      <c r="I101" s="46" t="str">
        <f t="shared" si="1"/>
        <v>https://d0f6bd738d7f1b3e5a7ca70fe4ff75f0.us-east-1.aws.found.io/app/kibana#/discover/Steve-Slow-Train-Analysis-(2080s-and-2083s)?_g=(refreshInterval:(display:Off,pause:!f,section:0,value:0),time:(from:now-7d,mode:quick,to:now))&amp;_a=(columns:!('Locomotive%20ID','Data.Train%20ID','Message%20ID'),filters:!(),index:'emp_*',interval:auto,query:(query_string:(analyze_wildcard:!t,query:%22-05%22)),sort:!(Time.ISO8601,asc))</v>
      </c>
      <c r="J101" s="30" t="e">
        <f>VLOOKUP(B101,'Train Runs'!$A$13:$A$99958,1,FALSE)</f>
        <v>#N/A</v>
      </c>
    </row>
    <row r="102" spans="1:10" x14ac:dyDescent="0.25">
      <c r="A102" s="190"/>
      <c r="B102" s="43" t="str">
        <f>A102&amp;"-"&amp;IF(DAY(Variables!$A$2)&lt;10,0,"")&amp;DAY(Variables!$A$2)</f>
        <v>-05</v>
      </c>
      <c r="C102" s="147"/>
      <c r="D102" s="169"/>
      <c r="E102" s="30"/>
      <c r="F102" s="21" t="e">
        <f>VLOOKUP(B102,'Trips&amp;Operators'!$C$2:$E$10000,3,FALSE)</f>
        <v>#N/A</v>
      </c>
      <c r="G102" s="21" t="e">
        <f>VLOOKUP(B102,'Trips&amp;Operators'!$C$1:$F$10000,4,FALSE)</f>
        <v>#N/A</v>
      </c>
      <c r="H102" s="29" t="e">
        <f>VLOOKUP(B102,'Trips&amp;Operators'!$C$1:$H$10000,5,FALSE)</f>
        <v>#N/A</v>
      </c>
      <c r="I102" s="46" t="str">
        <f t="shared" si="1"/>
        <v>https://d0f6bd738d7f1b3e5a7ca70fe4ff75f0.us-east-1.aws.found.io/app/kibana#/discover/Steve-Slow-Train-Analysis-(2080s-and-2083s)?_g=(refreshInterval:(display:Off,pause:!f,section:0,value:0),time:(from:now-7d,mode:quick,to:now))&amp;_a=(columns:!('Locomotive%20ID','Data.Train%20ID','Message%20ID'),filters:!(),index:'emp_*',interval:auto,query:(query_string:(analyze_wildcard:!t,query:%22-05%22)),sort:!(Time.ISO8601,asc))</v>
      </c>
      <c r="J102" s="30" t="e">
        <f>VLOOKUP(B102,'Train Runs'!$A$13:$A$99958,1,FALSE)</f>
        <v>#N/A</v>
      </c>
    </row>
    <row r="103" spans="1:10" x14ac:dyDescent="0.25">
      <c r="A103" s="190"/>
      <c r="B103" s="43" t="str">
        <f>A103&amp;"-"&amp;IF(DAY(Variables!$A$2)&lt;10,0,"")&amp;DAY(Variables!$A$2)</f>
        <v>-05</v>
      </c>
      <c r="C103" s="147"/>
      <c r="D103" s="169"/>
      <c r="E103" s="30"/>
      <c r="F103" s="21" t="e">
        <f>VLOOKUP(B103,'Trips&amp;Operators'!$C$2:$E$10000,3,FALSE)</f>
        <v>#N/A</v>
      </c>
      <c r="G103" s="21" t="e">
        <f>VLOOKUP(B103,'Trips&amp;Operators'!$C$1:$F$10000,4,FALSE)</f>
        <v>#N/A</v>
      </c>
      <c r="H103" s="29" t="e">
        <f>VLOOKUP(B103,'Trips&amp;Operators'!$C$1:$H$10000,5,FALSE)</f>
        <v>#N/A</v>
      </c>
      <c r="I103" s="46" t="str">
        <f t="shared" si="1"/>
        <v>https://d0f6bd738d7f1b3e5a7ca70fe4ff75f0.us-east-1.aws.found.io/app/kibana#/discover/Steve-Slow-Train-Analysis-(2080s-and-2083s)?_g=(refreshInterval:(display:Off,pause:!f,section:0,value:0),time:(from:now-7d,mode:quick,to:now))&amp;_a=(columns:!('Locomotive%20ID','Data.Train%20ID','Message%20ID'),filters:!(),index:'emp_*',interval:auto,query:(query_string:(analyze_wildcard:!t,query:%22-05%22)),sort:!(Time.ISO8601,asc))</v>
      </c>
      <c r="J103" s="30" t="e">
        <f>VLOOKUP(B103,'Train Runs'!$A$13:$A$99958,1,FALSE)</f>
        <v>#N/A</v>
      </c>
    </row>
    <row r="104" spans="1:10" x14ac:dyDescent="0.25">
      <c r="A104" s="190"/>
      <c r="B104" s="43" t="str">
        <f>A104&amp;"-"&amp;IF(DAY(Variables!$A$2)&lt;10,0,"")&amp;DAY(Variables!$A$2)</f>
        <v>-05</v>
      </c>
      <c r="C104" s="147"/>
      <c r="D104" s="169"/>
      <c r="E104" s="30"/>
      <c r="F104" s="21" t="e">
        <f>VLOOKUP(B104,'Trips&amp;Operators'!$C$2:$E$10000,3,FALSE)</f>
        <v>#N/A</v>
      </c>
      <c r="G104" s="21" t="e">
        <f>VLOOKUP(B104,'Trips&amp;Operators'!$C$1:$F$10000,4,FALSE)</f>
        <v>#N/A</v>
      </c>
      <c r="H104" s="29" t="e">
        <f>VLOOKUP(B104,'Trips&amp;Operators'!$C$1:$H$10000,5,FALSE)</f>
        <v>#N/A</v>
      </c>
      <c r="I104" s="46" t="str">
        <f t="shared" si="1"/>
        <v>https://d0f6bd738d7f1b3e5a7ca70fe4ff75f0.us-east-1.aws.found.io/app/kibana#/discover/Steve-Slow-Train-Analysis-(2080s-and-2083s)?_g=(refreshInterval:(display:Off,pause:!f,section:0,value:0),time:(from:now-7d,mode:quick,to:now))&amp;_a=(columns:!('Locomotive%20ID','Data.Train%20ID','Message%20ID'),filters:!(),index:'emp_*',interval:auto,query:(query_string:(analyze_wildcard:!t,query:%22-05%22)),sort:!(Time.ISO8601,asc))</v>
      </c>
      <c r="J104" s="30" t="e">
        <f>VLOOKUP(B104,'Train Runs'!$A$13:$A$99958,1,FALSE)</f>
        <v>#N/A</v>
      </c>
    </row>
    <row r="105" spans="1:10" x14ac:dyDescent="0.25">
      <c r="A105" s="190"/>
      <c r="B105" s="43" t="str">
        <f>A105&amp;"-"&amp;IF(DAY(Variables!$A$2)&lt;10,0,"")&amp;DAY(Variables!$A$2)</f>
        <v>-05</v>
      </c>
      <c r="C105" s="147"/>
      <c r="D105" s="169"/>
      <c r="E105" s="30"/>
      <c r="F105" s="21" t="e">
        <f>VLOOKUP(B105,'Trips&amp;Operators'!$C$2:$E$10000,3,FALSE)</f>
        <v>#N/A</v>
      </c>
      <c r="G105" s="21" t="e">
        <f>VLOOKUP(B105,'Trips&amp;Operators'!$C$1:$F$10000,4,FALSE)</f>
        <v>#N/A</v>
      </c>
      <c r="H105" s="29" t="e">
        <f>VLOOKUP(B105,'Trips&amp;Operators'!$C$1:$H$10000,5,FALSE)</f>
        <v>#N/A</v>
      </c>
      <c r="I105" s="46" t="str">
        <f t="shared" si="1"/>
        <v>https://d0f6bd738d7f1b3e5a7ca70fe4ff75f0.us-east-1.aws.found.io/app/kibana#/discover/Steve-Slow-Train-Analysis-(2080s-and-2083s)?_g=(refreshInterval:(display:Off,pause:!f,section:0,value:0),time:(from:now-7d,mode:quick,to:now))&amp;_a=(columns:!('Locomotive%20ID','Data.Train%20ID','Message%20ID'),filters:!(),index:'emp_*',interval:auto,query:(query_string:(analyze_wildcard:!t,query:%22-05%22)),sort:!(Time.ISO8601,asc))</v>
      </c>
      <c r="J105" s="30" t="e">
        <f>VLOOKUP(B105,'Train Runs'!$A$13:$A$99958,1,FALSE)</f>
        <v>#N/A</v>
      </c>
    </row>
    <row r="106" spans="1:10" x14ac:dyDescent="0.25">
      <c r="A106" s="190"/>
      <c r="B106" s="43" t="str">
        <f>A106&amp;"-"&amp;IF(DAY(Variables!$A$2)&lt;10,0,"")&amp;DAY(Variables!$A$2)</f>
        <v>-05</v>
      </c>
      <c r="C106" s="147"/>
      <c r="D106" s="169"/>
      <c r="E106" s="30"/>
      <c r="F106" s="21" t="e">
        <f>VLOOKUP(B106,'Trips&amp;Operators'!$C$2:$E$10000,3,FALSE)</f>
        <v>#N/A</v>
      </c>
      <c r="G106" s="21" t="e">
        <f>VLOOKUP(B106,'Trips&amp;Operators'!$C$1:$F$10000,4,FALSE)</f>
        <v>#N/A</v>
      </c>
      <c r="H106" s="29" t="e">
        <f>VLOOKUP(B106,'Trips&amp;Operators'!$C$1:$H$10000,5,FALSE)</f>
        <v>#N/A</v>
      </c>
      <c r="I106" s="46" t="str">
        <f t="shared" si="1"/>
        <v>https://d0f6bd738d7f1b3e5a7ca70fe4ff75f0.us-east-1.aws.found.io/app/kibana#/discover/Steve-Slow-Train-Analysis-(2080s-and-2083s)?_g=(refreshInterval:(display:Off,pause:!f,section:0,value:0),time:(from:now-7d,mode:quick,to:now))&amp;_a=(columns:!('Locomotive%20ID','Data.Train%20ID','Message%20ID'),filters:!(),index:'emp_*',interval:auto,query:(query_string:(analyze_wildcard:!t,query:%22-05%22)),sort:!(Time.ISO8601,asc))</v>
      </c>
      <c r="J106" s="30" t="e">
        <f>VLOOKUP(B106,'Train Runs'!$A$13:$A$99958,1,FALSE)</f>
        <v>#N/A</v>
      </c>
    </row>
    <row r="107" spans="1:10" x14ac:dyDescent="0.25">
      <c r="A107" s="190"/>
      <c r="B107" s="43" t="str">
        <f>A107&amp;"-"&amp;IF(DAY(Variables!$A$2)&lt;10,0,"")&amp;DAY(Variables!$A$2)</f>
        <v>-05</v>
      </c>
      <c r="C107" s="147"/>
      <c r="D107" s="169"/>
      <c r="E107" s="30"/>
      <c r="F107" s="21" t="e">
        <f>VLOOKUP(B107,'Trips&amp;Operators'!$C$2:$E$10000,3,FALSE)</f>
        <v>#N/A</v>
      </c>
      <c r="G107" s="21" t="e">
        <f>VLOOKUP(B107,'Trips&amp;Operators'!$C$1:$F$10000,4,FALSE)</f>
        <v>#N/A</v>
      </c>
      <c r="H107" s="29" t="e">
        <f>VLOOKUP(B107,'Trips&amp;Operators'!$C$1:$H$10000,5,FALSE)</f>
        <v>#N/A</v>
      </c>
      <c r="I107" s="46" t="str">
        <f t="shared" si="1"/>
        <v>https://d0f6bd738d7f1b3e5a7ca70fe4ff75f0.us-east-1.aws.found.io/app/kibana#/discover/Steve-Slow-Train-Analysis-(2080s-and-2083s)?_g=(refreshInterval:(display:Off,pause:!f,section:0,value:0),time:(from:now-7d,mode:quick,to:now))&amp;_a=(columns:!('Locomotive%20ID','Data.Train%20ID','Message%20ID'),filters:!(),index:'emp_*',interval:auto,query:(query_string:(analyze_wildcard:!t,query:%22-05%22)),sort:!(Time.ISO8601,asc))</v>
      </c>
      <c r="J107" s="30" t="e">
        <f>VLOOKUP(B107,'Train Runs'!$A$13:$A$99958,1,FALSE)</f>
        <v>#N/A</v>
      </c>
    </row>
    <row r="108" spans="1:10" x14ac:dyDescent="0.25">
      <c r="A108" s="190"/>
      <c r="B108" s="43" t="str">
        <f>A108&amp;"-"&amp;IF(DAY(Variables!$A$2)&lt;10,0,"")&amp;DAY(Variables!$A$2)</f>
        <v>-05</v>
      </c>
      <c r="C108" s="147"/>
      <c r="D108" s="169"/>
      <c r="E108" s="30"/>
      <c r="F108" s="21" t="e">
        <f>VLOOKUP(B108,'Trips&amp;Operators'!$C$2:$E$10000,3,FALSE)</f>
        <v>#N/A</v>
      </c>
      <c r="G108" s="21" t="e">
        <f>VLOOKUP(B108,'Trips&amp;Operators'!$C$1:$F$10000,4,FALSE)</f>
        <v>#N/A</v>
      </c>
      <c r="H108" s="29" t="e">
        <f>VLOOKUP(B108,'Trips&amp;Operators'!$C$1:$H$10000,5,FALSE)</f>
        <v>#N/A</v>
      </c>
      <c r="I108" s="46" t="str">
        <f t="shared" si="1"/>
        <v>https://d0f6bd738d7f1b3e5a7ca70fe4ff75f0.us-east-1.aws.found.io/app/kibana#/discover/Steve-Slow-Train-Analysis-(2080s-and-2083s)?_g=(refreshInterval:(display:Off,pause:!f,section:0,value:0),time:(from:now-7d,mode:quick,to:now))&amp;_a=(columns:!('Locomotive%20ID','Data.Train%20ID','Message%20ID'),filters:!(),index:'emp_*',interval:auto,query:(query_string:(analyze_wildcard:!t,query:%22-05%22)),sort:!(Time.ISO8601,asc))</v>
      </c>
      <c r="J108" s="30" t="e">
        <f>VLOOKUP(B108,'Train Runs'!$A$13:$A$99958,1,FALSE)</f>
        <v>#N/A</v>
      </c>
    </row>
    <row r="109" spans="1:10" x14ac:dyDescent="0.25">
      <c r="A109" s="190"/>
      <c r="B109" s="43" t="str">
        <f>A109&amp;"-"&amp;IF(DAY(Variables!$A$2)&lt;10,0,"")&amp;DAY(Variables!$A$2)</f>
        <v>-05</v>
      </c>
      <c r="C109" s="147"/>
      <c r="D109" s="169"/>
      <c r="E109" s="30"/>
      <c r="F109" s="21" t="e">
        <f>VLOOKUP(B109,'Trips&amp;Operators'!$C$2:$E$10000,3,FALSE)</f>
        <v>#N/A</v>
      </c>
      <c r="G109" s="21" t="e">
        <f>VLOOKUP(B109,'Trips&amp;Operators'!$C$1:$F$10000,4,FALSE)</f>
        <v>#N/A</v>
      </c>
      <c r="H109" s="29" t="e">
        <f>VLOOKUP(B109,'Trips&amp;Operators'!$C$1:$H$10000,5,FALSE)</f>
        <v>#N/A</v>
      </c>
      <c r="I109" s="46" t="str">
        <f t="shared" si="1"/>
        <v>https://d0f6bd738d7f1b3e5a7ca70fe4ff75f0.us-east-1.aws.found.io/app/kibana#/discover/Steve-Slow-Train-Analysis-(2080s-and-2083s)?_g=(refreshInterval:(display:Off,pause:!f,section:0,value:0),time:(from:now-7d,mode:quick,to:now))&amp;_a=(columns:!('Locomotive%20ID','Data.Train%20ID','Message%20ID'),filters:!(),index:'emp_*',interval:auto,query:(query_string:(analyze_wildcard:!t,query:%22-05%22)),sort:!(Time.ISO8601,asc))</v>
      </c>
      <c r="J109" s="30" t="e">
        <f>VLOOKUP(B109,'Train Runs'!$A$13:$A$99958,1,FALSE)</f>
        <v>#N/A</v>
      </c>
    </row>
    <row r="110" spans="1:10" x14ac:dyDescent="0.25">
      <c r="A110" s="190"/>
      <c r="B110" s="43" t="str">
        <f>A110&amp;"-"&amp;IF(DAY(Variables!$A$2)&lt;10,0,"")&amp;DAY(Variables!$A$2)</f>
        <v>-05</v>
      </c>
      <c r="C110" s="147"/>
      <c r="D110" s="169"/>
      <c r="E110" s="30"/>
      <c r="F110" s="21" t="e">
        <f>VLOOKUP(B110,'Trips&amp;Operators'!$C$2:$E$10000,3,FALSE)</f>
        <v>#N/A</v>
      </c>
      <c r="G110" s="21" t="e">
        <f>VLOOKUP(B110,'Trips&amp;Operators'!$C$1:$F$10000,4,FALSE)</f>
        <v>#N/A</v>
      </c>
      <c r="H110" s="29" t="e">
        <f>VLOOKUP(B110,'Trips&amp;Operators'!$C$1:$H$10000,5,FALSE)</f>
        <v>#N/A</v>
      </c>
      <c r="I110" s="46" t="str">
        <f t="shared" si="1"/>
        <v>https://d0f6bd738d7f1b3e5a7ca70fe4ff75f0.us-east-1.aws.found.io/app/kibana#/discover/Steve-Slow-Train-Analysis-(2080s-and-2083s)?_g=(refreshInterval:(display:Off,pause:!f,section:0,value:0),time:(from:now-7d,mode:quick,to:now))&amp;_a=(columns:!('Locomotive%20ID','Data.Train%20ID','Message%20ID'),filters:!(),index:'emp_*',interval:auto,query:(query_string:(analyze_wildcard:!t,query:%22-05%22)),sort:!(Time.ISO8601,asc))</v>
      </c>
      <c r="J110" s="30" t="e">
        <f>VLOOKUP(B110,'Train Runs'!$A$13:$A$99958,1,FALSE)</f>
        <v>#N/A</v>
      </c>
    </row>
    <row r="111" spans="1:10" x14ac:dyDescent="0.25">
      <c r="A111" s="190"/>
      <c r="B111" s="43" t="str">
        <f>A111&amp;"-"&amp;IF(DAY(Variables!$A$2)&lt;10,0,"")&amp;DAY(Variables!$A$2)</f>
        <v>-05</v>
      </c>
      <c r="C111" s="147"/>
      <c r="D111" s="169"/>
      <c r="E111" s="30"/>
      <c r="F111" s="21" t="e">
        <f>VLOOKUP(B111,'Trips&amp;Operators'!$C$2:$E$10000,3,FALSE)</f>
        <v>#N/A</v>
      </c>
      <c r="G111" s="21" t="e">
        <f>VLOOKUP(B111,'Trips&amp;Operators'!$C$1:$F$10000,4,FALSE)</f>
        <v>#N/A</v>
      </c>
      <c r="H111" s="29" t="e">
        <f>VLOOKUP(B111,'Trips&amp;Operators'!$C$1:$H$10000,5,FALSE)</f>
        <v>#N/A</v>
      </c>
      <c r="I111" s="46" t="str">
        <f t="shared" si="1"/>
        <v>https://d0f6bd738d7f1b3e5a7ca70fe4ff75f0.us-east-1.aws.found.io/app/kibana#/discover/Steve-Slow-Train-Analysis-(2080s-and-2083s)?_g=(refreshInterval:(display:Off,pause:!f,section:0,value:0),time:(from:now-7d,mode:quick,to:now))&amp;_a=(columns:!('Locomotive%20ID','Data.Train%20ID','Message%20ID'),filters:!(),index:'emp_*',interval:auto,query:(query_string:(analyze_wildcard:!t,query:%22-05%22)),sort:!(Time.ISO8601,asc))</v>
      </c>
      <c r="J111" s="30" t="e">
        <f>VLOOKUP(B111,'Train Runs'!$A$13:$A$99958,1,FALSE)</f>
        <v>#N/A</v>
      </c>
    </row>
    <row r="112" spans="1:10" x14ac:dyDescent="0.25">
      <c r="A112" s="190"/>
      <c r="B112" s="43" t="str">
        <f>A112&amp;"-"&amp;IF(DAY(Variables!$A$2)&lt;10,0,"")&amp;DAY(Variables!$A$2)</f>
        <v>-05</v>
      </c>
      <c r="C112" s="147"/>
      <c r="D112" s="169"/>
      <c r="E112" s="30"/>
      <c r="F112" s="21" t="e">
        <f>VLOOKUP(B112,'Trips&amp;Operators'!$C$2:$E$10000,3,FALSE)</f>
        <v>#N/A</v>
      </c>
      <c r="G112" s="21" t="e">
        <f>VLOOKUP(B112,'Trips&amp;Operators'!$C$1:$F$10000,4,FALSE)</f>
        <v>#N/A</v>
      </c>
      <c r="H112" s="29" t="e">
        <f>VLOOKUP(B112,'Trips&amp;Operators'!$C$1:$H$10000,5,FALSE)</f>
        <v>#N/A</v>
      </c>
      <c r="I112" s="46" t="str">
        <f t="shared" si="1"/>
        <v>https://d0f6bd738d7f1b3e5a7ca70fe4ff75f0.us-east-1.aws.found.io/app/kibana#/discover/Steve-Slow-Train-Analysis-(2080s-and-2083s)?_g=(refreshInterval:(display:Off,pause:!f,section:0,value:0),time:(from:now-7d,mode:quick,to:now))&amp;_a=(columns:!('Locomotive%20ID','Data.Train%20ID','Message%20ID'),filters:!(),index:'emp_*',interval:auto,query:(query_string:(analyze_wildcard:!t,query:%22-05%22)),sort:!(Time.ISO8601,asc))</v>
      </c>
      <c r="J112" s="30" t="e">
        <f>VLOOKUP(B112,'Train Runs'!$A$13:$A$99958,1,FALSE)</f>
        <v>#N/A</v>
      </c>
    </row>
    <row r="113" spans="1:10" x14ac:dyDescent="0.25">
      <c r="A113" s="190"/>
      <c r="B113" s="43" t="str">
        <f>A113&amp;"-"&amp;IF(DAY(Variables!$A$2)&lt;10,0,"")&amp;DAY(Variables!$A$2)</f>
        <v>-05</v>
      </c>
      <c r="C113" s="147"/>
      <c r="D113" s="169"/>
      <c r="E113" s="30"/>
      <c r="F113" s="21" t="e">
        <f>VLOOKUP(B113,'Trips&amp;Operators'!$C$2:$E$10000,3,FALSE)</f>
        <v>#N/A</v>
      </c>
      <c r="G113" s="21" t="e">
        <f>VLOOKUP(B113,'Trips&amp;Operators'!$C$1:$F$10000,4,FALSE)</f>
        <v>#N/A</v>
      </c>
      <c r="H113" s="29" t="e">
        <f>VLOOKUP(B113,'Trips&amp;Operators'!$C$1:$H$10000,5,FALSE)</f>
        <v>#N/A</v>
      </c>
      <c r="I113" s="46" t="str">
        <f t="shared" si="1"/>
        <v>https://d0f6bd738d7f1b3e5a7ca70fe4ff75f0.us-east-1.aws.found.io/app/kibana#/discover/Steve-Slow-Train-Analysis-(2080s-and-2083s)?_g=(refreshInterval:(display:Off,pause:!f,section:0,value:0),time:(from:now-7d,mode:quick,to:now))&amp;_a=(columns:!('Locomotive%20ID','Data.Train%20ID','Message%20ID'),filters:!(),index:'emp_*',interval:auto,query:(query_string:(analyze_wildcard:!t,query:%22-05%22)),sort:!(Time.ISO8601,asc))</v>
      </c>
      <c r="J113" s="30" t="e">
        <f>VLOOKUP(B113,'Train Runs'!$A$13:$A$99958,1,FALSE)</f>
        <v>#N/A</v>
      </c>
    </row>
    <row r="114" spans="1:10" x14ac:dyDescent="0.25">
      <c r="A114" s="190"/>
      <c r="B114" s="43" t="str">
        <f>A114&amp;"-"&amp;IF(DAY(Variables!$A$2)&lt;10,0,"")&amp;DAY(Variables!$A$2)</f>
        <v>-05</v>
      </c>
      <c r="C114" s="147"/>
      <c r="D114" s="169"/>
      <c r="E114" s="30"/>
      <c r="F114" s="21" t="e">
        <f>VLOOKUP(B114,'Trips&amp;Operators'!$C$2:$E$10000,3,FALSE)</f>
        <v>#N/A</v>
      </c>
      <c r="G114" s="21" t="e">
        <f>VLOOKUP(B114,'Trips&amp;Operators'!$C$1:$F$10000,4,FALSE)</f>
        <v>#N/A</v>
      </c>
      <c r="H114" s="29" t="e">
        <f>VLOOKUP(B114,'Trips&amp;Operators'!$C$1:$H$10000,5,FALSE)</f>
        <v>#N/A</v>
      </c>
      <c r="I114" s="46" t="str">
        <f t="shared" ref="I114:I120" si="2">"https://d0f6bd738d7f1b3e5a7ca70fe4ff75f0.us-east-1.aws.found.io/app/kibana#/discover/Steve-Slow-Train-Analysis-(2080s-and-2083s)?_g="&amp;"(refreshInterval:(display:Off,pause:!f,section:0,value:0),time:(from:now-7d,mode:quick,to:now))&amp;_a=(columns:!('Locomotive%20ID','Data.Train%20ID','Message%20ID'),filters:!(),"&amp;"index:'emp_*',interval:auto,query:(query_string:(analyze_wildcard:!t,query:%22"&amp;B114&amp;"%22)),sort:!(Time.ISO8601,asc))"</f>
        <v>https://d0f6bd738d7f1b3e5a7ca70fe4ff75f0.us-east-1.aws.found.io/app/kibana#/discover/Steve-Slow-Train-Analysis-(2080s-and-2083s)?_g=(refreshInterval:(display:Off,pause:!f,section:0,value:0),time:(from:now-7d,mode:quick,to:now))&amp;_a=(columns:!('Locomotive%20ID','Data.Train%20ID','Message%20ID'),filters:!(),index:'emp_*',interval:auto,query:(query_string:(analyze_wildcard:!t,query:%22-05%22)),sort:!(Time.ISO8601,asc))</v>
      </c>
      <c r="J114" s="30" t="e">
        <f>VLOOKUP(B114,'Train Runs'!$A$13:$A$99958,1,FALSE)</f>
        <v>#N/A</v>
      </c>
    </row>
    <row r="115" spans="1:10" x14ac:dyDescent="0.25">
      <c r="A115" s="190"/>
      <c r="B115" s="43" t="str">
        <f>A115&amp;"-"&amp;IF(DAY(Variables!$A$2)&lt;10,0,"")&amp;DAY(Variables!$A$2)</f>
        <v>-05</v>
      </c>
      <c r="C115" s="147"/>
      <c r="D115" s="169"/>
      <c r="E115" s="30"/>
      <c r="F115" s="21" t="e">
        <f>VLOOKUP(B115,'Trips&amp;Operators'!$C$2:$E$10000,3,FALSE)</f>
        <v>#N/A</v>
      </c>
      <c r="G115" s="21" t="e">
        <f>VLOOKUP(B115,'Trips&amp;Operators'!$C$1:$F$10000,4,FALSE)</f>
        <v>#N/A</v>
      </c>
      <c r="H115" s="29" t="e">
        <f>VLOOKUP(B115,'Trips&amp;Operators'!$C$1:$H$10000,5,FALSE)</f>
        <v>#N/A</v>
      </c>
      <c r="I115" s="46" t="str">
        <f t="shared" si="2"/>
        <v>https://d0f6bd738d7f1b3e5a7ca70fe4ff75f0.us-east-1.aws.found.io/app/kibana#/discover/Steve-Slow-Train-Analysis-(2080s-and-2083s)?_g=(refreshInterval:(display:Off,pause:!f,section:0,value:0),time:(from:now-7d,mode:quick,to:now))&amp;_a=(columns:!('Locomotive%20ID','Data.Train%20ID','Message%20ID'),filters:!(),index:'emp_*',interval:auto,query:(query_string:(analyze_wildcard:!t,query:%22-05%22)),sort:!(Time.ISO8601,asc))</v>
      </c>
      <c r="J115" s="30" t="e">
        <f>VLOOKUP(B115,'Train Runs'!$A$13:$A$99958,1,FALSE)</f>
        <v>#N/A</v>
      </c>
    </row>
    <row r="116" spans="1:10" x14ac:dyDescent="0.25">
      <c r="A116" s="190"/>
      <c r="B116" s="43" t="str">
        <f>A116&amp;"-"&amp;IF(DAY(Variables!$A$2)&lt;10,0,"")&amp;DAY(Variables!$A$2)</f>
        <v>-05</v>
      </c>
      <c r="C116" s="147"/>
      <c r="D116" s="169"/>
      <c r="E116" s="30"/>
      <c r="F116" s="21" t="e">
        <f>VLOOKUP(B116,'Trips&amp;Operators'!$C$2:$E$10000,3,FALSE)</f>
        <v>#N/A</v>
      </c>
      <c r="G116" s="21" t="e">
        <f>VLOOKUP(B116,'Trips&amp;Operators'!$C$1:$F$10000,4,FALSE)</f>
        <v>#N/A</v>
      </c>
      <c r="H116" s="29" t="e">
        <f>VLOOKUP(B116,'Trips&amp;Operators'!$C$1:$H$10000,5,FALSE)</f>
        <v>#N/A</v>
      </c>
      <c r="I116" s="46" t="str">
        <f t="shared" si="2"/>
        <v>https://d0f6bd738d7f1b3e5a7ca70fe4ff75f0.us-east-1.aws.found.io/app/kibana#/discover/Steve-Slow-Train-Analysis-(2080s-and-2083s)?_g=(refreshInterval:(display:Off,pause:!f,section:0,value:0),time:(from:now-7d,mode:quick,to:now))&amp;_a=(columns:!('Locomotive%20ID','Data.Train%20ID','Message%20ID'),filters:!(),index:'emp_*',interval:auto,query:(query_string:(analyze_wildcard:!t,query:%22-05%22)),sort:!(Time.ISO8601,asc))</v>
      </c>
      <c r="J116" s="30" t="e">
        <f>VLOOKUP(B116,'Train Runs'!$A$13:$A$99958,1,FALSE)</f>
        <v>#N/A</v>
      </c>
    </row>
    <row r="117" spans="1:10" x14ac:dyDescent="0.25">
      <c r="A117" s="190"/>
      <c r="B117" s="43" t="str">
        <f>A117&amp;"-"&amp;IF(DAY(Variables!$A$2)&lt;10,0,"")&amp;DAY(Variables!$A$2)</f>
        <v>-05</v>
      </c>
      <c r="C117" s="147"/>
      <c r="D117" s="169"/>
      <c r="E117" s="30"/>
      <c r="F117" s="21" t="e">
        <f>VLOOKUP(B117,'Trips&amp;Operators'!$C$2:$E$10000,3,FALSE)</f>
        <v>#N/A</v>
      </c>
      <c r="G117" s="21" t="e">
        <f>VLOOKUP(B117,'Trips&amp;Operators'!$C$1:$F$10000,4,FALSE)</f>
        <v>#N/A</v>
      </c>
      <c r="H117" s="29" t="e">
        <f>VLOOKUP(B117,'Trips&amp;Operators'!$C$1:$H$10000,5,FALSE)</f>
        <v>#N/A</v>
      </c>
      <c r="I117" s="46" t="str">
        <f t="shared" si="2"/>
        <v>https://d0f6bd738d7f1b3e5a7ca70fe4ff75f0.us-east-1.aws.found.io/app/kibana#/discover/Steve-Slow-Train-Analysis-(2080s-and-2083s)?_g=(refreshInterval:(display:Off,pause:!f,section:0,value:0),time:(from:now-7d,mode:quick,to:now))&amp;_a=(columns:!('Locomotive%20ID','Data.Train%20ID','Message%20ID'),filters:!(),index:'emp_*',interval:auto,query:(query_string:(analyze_wildcard:!t,query:%22-05%22)),sort:!(Time.ISO8601,asc))</v>
      </c>
      <c r="J117" s="30" t="e">
        <f>VLOOKUP(B117,'Train Runs'!$A$13:$A$99958,1,FALSE)</f>
        <v>#N/A</v>
      </c>
    </row>
    <row r="118" spans="1:10" x14ac:dyDescent="0.25">
      <c r="A118" s="190"/>
      <c r="B118" s="43" t="str">
        <f>A118&amp;"-"&amp;IF(DAY(Variables!$A$2)&lt;10,0,"")&amp;DAY(Variables!$A$2)</f>
        <v>-05</v>
      </c>
      <c r="C118" s="147"/>
      <c r="D118" s="169"/>
      <c r="E118" s="30"/>
      <c r="F118" s="21" t="e">
        <f>VLOOKUP(B118,'Trips&amp;Operators'!$C$2:$E$10000,3,FALSE)</f>
        <v>#N/A</v>
      </c>
      <c r="G118" s="21" t="e">
        <f>VLOOKUP(B118,'Trips&amp;Operators'!$C$1:$F$10000,4,FALSE)</f>
        <v>#N/A</v>
      </c>
      <c r="H118" s="29" t="e">
        <f>VLOOKUP(B118,'Trips&amp;Operators'!$C$1:$H$10000,5,FALSE)</f>
        <v>#N/A</v>
      </c>
      <c r="I118" s="46" t="str">
        <f t="shared" si="2"/>
        <v>https://d0f6bd738d7f1b3e5a7ca70fe4ff75f0.us-east-1.aws.found.io/app/kibana#/discover/Steve-Slow-Train-Analysis-(2080s-and-2083s)?_g=(refreshInterval:(display:Off,pause:!f,section:0,value:0),time:(from:now-7d,mode:quick,to:now))&amp;_a=(columns:!('Locomotive%20ID','Data.Train%20ID','Message%20ID'),filters:!(),index:'emp_*',interval:auto,query:(query_string:(analyze_wildcard:!t,query:%22-05%22)),sort:!(Time.ISO8601,asc))</v>
      </c>
      <c r="J118" s="30" t="e">
        <f>VLOOKUP(B118,'Train Runs'!$A$13:$A$99958,1,FALSE)</f>
        <v>#N/A</v>
      </c>
    </row>
    <row r="119" spans="1:10" x14ac:dyDescent="0.25">
      <c r="A119" s="190"/>
      <c r="B119" s="43" t="str">
        <f>A119&amp;"-"&amp;IF(DAY(Variables!$A$2)&lt;10,0,"")&amp;DAY(Variables!$A$2)</f>
        <v>-05</v>
      </c>
      <c r="C119" s="147"/>
      <c r="D119" s="169"/>
      <c r="E119" s="30"/>
      <c r="F119" s="21" t="e">
        <f>VLOOKUP(B119,'Trips&amp;Operators'!$C$2:$E$10000,3,FALSE)</f>
        <v>#N/A</v>
      </c>
      <c r="G119" s="21" t="e">
        <f>VLOOKUP(B119,'Trips&amp;Operators'!$C$1:$F$10000,4,FALSE)</f>
        <v>#N/A</v>
      </c>
      <c r="H119" s="29" t="e">
        <f>VLOOKUP(B119,'Trips&amp;Operators'!$C$1:$H$10000,5,FALSE)</f>
        <v>#N/A</v>
      </c>
      <c r="I119" s="46" t="str">
        <f t="shared" si="2"/>
        <v>https://d0f6bd738d7f1b3e5a7ca70fe4ff75f0.us-east-1.aws.found.io/app/kibana#/discover/Steve-Slow-Train-Analysis-(2080s-and-2083s)?_g=(refreshInterval:(display:Off,pause:!f,section:0,value:0),time:(from:now-7d,mode:quick,to:now))&amp;_a=(columns:!('Locomotive%20ID','Data.Train%20ID','Message%20ID'),filters:!(),index:'emp_*',interval:auto,query:(query_string:(analyze_wildcard:!t,query:%22-05%22)),sort:!(Time.ISO8601,asc))</v>
      </c>
      <c r="J119" s="30" t="e">
        <f>VLOOKUP(B119,'Train Runs'!$A$13:$A$99958,1,FALSE)</f>
        <v>#N/A</v>
      </c>
    </row>
    <row r="120" spans="1:10" x14ac:dyDescent="0.25">
      <c r="A120" s="190"/>
      <c r="B120" s="43" t="str">
        <f>A120&amp;"-"&amp;IF(DAY(Variables!$A$2)&lt;10,0,"")&amp;DAY(Variables!$A$2)</f>
        <v>-05</v>
      </c>
      <c r="C120" s="147"/>
      <c r="D120" s="169"/>
      <c r="E120" s="30"/>
      <c r="F120" s="21" t="e">
        <f>VLOOKUP(B120,'Trips&amp;Operators'!$C$2:$E$10000,3,FALSE)</f>
        <v>#N/A</v>
      </c>
      <c r="G120" s="21" t="e">
        <f>VLOOKUP(B120,'Trips&amp;Operators'!$C$1:$F$10000,4,FALSE)</f>
        <v>#N/A</v>
      </c>
      <c r="H120" s="29" t="e">
        <f>VLOOKUP(B120,'Trips&amp;Operators'!$C$1:$H$10000,5,FALSE)</f>
        <v>#N/A</v>
      </c>
      <c r="I120" s="46" t="str">
        <f t="shared" si="2"/>
        <v>https://d0f6bd738d7f1b3e5a7ca70fe4ff75f0.us-east-1.aws.found.io/app/kibana#/discover/Steve-Slow-Train-Analysis-(2080s-and-2083s)?_g=(refreshInterval:(display:Off,pause:!f,section:0,value:0),time:(from:now-7d,mode:quick,to:now))&amp;_a=(columns:!('Locomotive%20ID','Data.Train%20ID','Message%20ID'),filters:!(),index:'emp_*',interval:auto,query:(query_string:(analyze_wildcard:!t,query:%22-05%22)),sort:!(Time.ISO8601,asc))</v>
      </c>
      <c r="J120" s="30" t="e">
        <f>VLOOKUP(B120,'Train Runs'!$A$13:$A$99958,1,FALSE)</f>
        <v>#N/A</v>
      </c>
    </row>
  </sheetData>
  <autoFilter ref="A2:J120"/>
  <mergeCells count="1">
    <mergeCell ref="B1:F1"/>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theme="0"/>
  </sheetPr>
  <dimension ref="A1:G543"/>
  <sheetViews>
    <sheetView topLeftCell="A218" workbookViewId="0">
      <selection sqref="A1:F231"/>
    </sheetView>
  </sheetViews>
  <sheetFormatPr defaultRowHeight="15" x14ac:dyDescent="0.25"/>
  <cols>
    <col min="1" max="1" width="18.28515625" style="8" bestFit="1" customWidth="1"/>
    <col min="2" max="2" width="17" bestFit="1" customWidth="1"/>
    <col min="3" max="3" width="10.140625" bestFit="1" customWidth="1"/>
    <col min="4" max="4" width="9.28515625" style="150" customWidth="1"/>
    <col min="5" max="5" width="19.7109375" bestFit="1" customWidth="1"/>
    <col min="6" max="6" width="17" style="20" bestFit="1" customWidth="1"/>
    <col min="7" max="7" width="18.28515625" style="8" bestFit="1" customWidth="1"/>
  </cols>
  <sheetData>
    <row r="1" spans="1:7" s="20" customFormat="1" x14ac:dyDescent="0.25">
      <c r="A1" s="8" t="s">
        <v>174</v>
      </c>
      <c r="B1" s="20" t="s">
        <v>175</v>
      </c>
      <c r="C1" s="20" t="s">
        <v>0</v>
      </c>
      <c r="D1" s="150" t="s">
        <v>176</v>
      </c>
      <c r="E1" s="20" t="s">
        <v>177</v>
      </c>
      <c r="F1" s="20" t="s">
        <v>205</v>
      </c>
      <c r="G1" s="8" t="s">
        <v>204</v>
      </c>
    </row>
    <row r="2" spans="1:7" x14ac:dyDescent="0.25">
      <c r="A2" s="8">
        <v>42771.037118055552</v>
      </c>
      <c r="B2" s="20" t="s">
        <v>245</v>
      </c>
      <c r="C2" s="20" t="s">
        <v>523</v>
      </c>
      <c r="D2" s="150">
        <v>2270000</v>
      </c>
      <c r="E2" s="20" t="s">
        <v>246</v>
      </c>
      <c r="F2" s="20" t="s">
        <v>247</v>
      </c>
      <c r="G2" s="8" t="str">
        <f>E2&amp;" "&amp;F2</f>
        <v>BROWN JACOB</v>
      </c>
    </row>
    <row r="3" spans="1:7" x14ac:dyDescent="0.25">
      <c r="A3" s="8">
        <v>42771.037662037037</v>
      </c>
      <c r="B3" s="20" t="s">
        <v>230</v>
      </c>
      <c r="C3" s="20" t="s">
        <v>524</v>
      </c>
      <c r="D3" s="150">
        <v>2630000</v>
      </c>
      <c r="E3" s="20" t="s">
        <v>525</v>
      </c>
      <c r="F3" s="20" t="s">
        <v>526</v>
      </c>
      <c r="G3" s="8" t="str">
        <f t="shared" ref="G3:G66" si="0">E3&amp;" "&amp;F3</f>
        <v>SAFIEF AEIMEN</v>
      </c>
    </row>
    <row r="4" spans="1:7" x14ac:dyDescent="0.25">
      <c r="A4" s="8">
        <v>42771.04179398148</v>
      </c>
      <c r="B4" s="20" t="s">
        <v>337</v>
      </c>
      <c r="C4" s="20" t="s">
        <v>527</v>
      </c>
      <c r="D4" s="150">
        <v>2710000</v>
      </c>
      <c r="E4" s="20" t="s">
        <v>383</v>
      </c>
      <c r="F4" s="20" t="s">
        <v>384</v>
      </c>
      <c r="G4" s="8" t="str">
        <f t="shared" si="0"/>
        <v>SIMMONS SHYHESHA</v>
      </c>
    </row>
    <row r="5" spans="1:7" x14ac:dyDescent="0.25">
      <c r="A5" s="8">
        <v>42771.04755787037</v>
      </c>
      <c r="B5" s="20" t="s">
        <v>372</v>
      </c>
      <c r="C5" s="20" t="s">
        <v>528</v>
      </c>
      <c r="D5" s="150">
        <v>2220000</v>
      </c>
      <c r="E5" s="20" t="s">
        <v>227</v>
      </c>
      <c r="F5" s="20" t="s">
        <v>228</v>
      </c>
      <c r="G5" s="8" t="str">
        <f t="shared" si="0"/>
        <v>HILLS DUSTIN</v>
      </c>
    </row>
    <row r="6" spans="1:7" x14ac:dyDescent="0.25">
      <c r="A6" s="8">
        <v>42771.070543981485</v>
      </c>
      <c r="B6" s="20" t="s">
        <v>229</v>
      </c>
      <c r="C6" s="20" t="s">
        <v>529</v>
      </c>
      <c r="D6" s="150">
        <v>2630000</v>
      </c>
      <c r="E6" s="20" t="s">
        <v>525</v>
      </c>
      <c r="F6" s="20" t="s">
        <v>526</v>
      </c>
      <c r="G6" s="8" t="str">
        <f t="shared" si="0"/>
        <v>SAFIEF AEIMEN</v>
      </c>
    </row>
    <row r="7" spans="1:7" x14ac:dyDescent="0.25">
      <c r="A7" s="8">
        <v>42771.073900462965</v>
      </c>
      <c r="B7" s="20" t="s">
        <v>530</v>
      </c>
      <c r="C7" s="20" t="s">
        <v>531</v>
      </c>
      <c r="D7" s="150">
        <v>2270000</v>
      </c>
      <c r="E7" s="20" t="s">
        <v>246</v>
      </c>
      <c r="F7" s="20" t="s">
        <v>247</v>
      </c>
      <c r="G7" s="8" t="str">
        <f t="shared" si="0"/>
        <v>BROWN JACOB</v>
      </c>
    </row>
    <row r="8" spans="1:7" x14ac:dyDescent="0.25">
      <c r="A8" s="8">
        <v>42771.07545138889</v>
      </c>
      <c r="B8" s="20" t="s">
        <v>347</v>
      </c>
      <c r="C8" s="20" t="s">
        <v>527</v>
      </c>
      <c r="D8" s="150">
        <v>2710000</v>
      </c>
      <c r="E8" s="20" t="s">
        <v>383</v>
      </c>
      <c r="F8" s="20" t="s">
        <v>384</v>
      </c>
      <c r="G8" s="8" t="str">
        <f t="shared" si="0"/>
        <v>SIMMONS SHYHESHA</v>
      </c>
    </row>
    <row r="9" spans="1:7" ht="15.75" thickBot="1" x14ac:dyDescent="0.3">
      <c r="A9" s="24">
        <v>42771.076574074075</v>
      </c>
      <c r="B9" s="20" t="s">
        <v>347</v>
      </c>
      <c r="C9" s="20" t="s">
        <v>527</v>
      </c>
      <c r="D9" s="150">
        <v>2710000</v>
      </c>
      <c r="E9" s="20" t="s">
        <v>383</v>
      </c>
      <c r="F9" s="20" t="s">
        <v>384</v>
      </c>
      <c r="G9" s="8" t="str">
        <f t="shared" si="0"/>
        <v>SIMMONS SHYHESHA</v>
      </c>
    </row>
    <row r="10" spans="1:7" x14ac:dyDescent="0.25">
      <c r="A10" s="8">
        <v>42771.078020833331</v>
      </c>
      <c r="B10" s="20" t="s">
        <v>347</v>
      </c>
      <c r="C10" s="20" t="s">
        <v>532</v>
      </c>
      <c r="D10" s="150">
        <v>2710000</v>
      </c>
      <c r="E10" s="20" t="s">
        <v>383</v>
      </c>
      <c r="F10" s="20" t="s">
        <v>384</v>
      </c>
      <c r="G10" s="8" t="str">
        <f t="shared" si="0"/>
        <v>SIMMONS SHYHESHA</v>
      </c>
    </row>
    <row r="11" spans="1:7" x14ac:dyDescent="0.25">
      <c r="A11" s="8">
        <v>42771.112743055557</v>
      </c>
      <c r="B11" s="20" t="s">
        <v>245</v>
      </c>
      <c r="C11" s="20" t="s">
        <v>498</v>
      </c>
      <c r="D11" s="150">
        <v>2270000</v>
      </c>
      <c r="E11" s="20" t="s">
        <v>246</v>
      </c>
      <c r="F11" s="20" t="s">
        <v>247</v>
      </c>
      <c r="G11" s="8" t="str">
        <f t="shared" si="0"/>
        <v>BROWN JACOB</v>
      </c>
    </row>
    <row r="12" spans="1:7" x14ac:dyDescent="0.25">
      <c r="A12" s="8">
        <v>42771.129791666666</v>
      </c>
      <c r="B12" s="20" t="s">
        <v>518</v>
      </c>
      <c r="C12" s="20" t="s">
        <v>533</v>
      </c>
      <c r="D12" s="150">
        <v>2110000</v>
      </c>
      <c r="E12" s="20" t="s">
        <v>534</v>
      </c>
      <c r="F12" s="20" t="s">
        <v>535</v>
      </c>
      <c r="G12" s="8" t="str">
        <f t="shared" si="0"/>
        <v>OUN ZACK</v>
      </c>
    </row>
    <row r="13" spans="1:7" x14ac:dyDescent="0.25">
      <c r="A13" s="8">
        <v>42771.135081018518</v>
      </c>
      <c r="B13" s="20" t="s">
        <v>337</v>
      </c>
      <c r="C13" s="20" t="s">
        <v>527</v>
      </c>
      <c r="D13" s="150">
        <v>2710000</v>
      </c>
      <c r="E13" s="20" t="s">
        <v>383</v>
      </c>
      <c r="F13" s="20" t="s">
        <v>384</v>
      </c>
      <c r="G13" s="8" t="str">
        <f t="shared" si="0"/>
        <v>SIMMONS SHYHESHA</v>
      </c>
    </row>
    <row r="14" spans="1:7" x14ac:dyDescent="0.25">
      <c r="A14" s="8">
        <v>42771.153263888889</v>
      </c>
      <c r="B14" s="20" t="s">
        <v>536</v>
      </c>
      <c r="C14" s="20" t="s">
        <v>537</v>
      </c>
      <c r="D14" s="150">
        <v>2010000</v>
      </c>
      <c r="E14" s="20" t="s">
        <v>538</v>
      </c>
      <c r="F14" s="20" t="s">
        <v>539</v>
      </c>
      <c r="G14" s="8" t="str">
        <f t="shared" si="0"/>
        <v>MAELZER KURT</v>
      </c>
    </row>
    <row r="15" spans="1:7" x14ac:dyDescent="0.25">
      <c r="A15" s="8">
        <v>42771.157824074071</v>
      </c>
      <c r="B15" s="20" t="s">
        <v>347</v>
      </c>
      <c r="C15" s="20" t="s">
        <v>527</v>
      </c>
      <c r="D15" s="150">
        <v>2710000</v>
      </c>
      <c r="E15" s="20" t="s">
        <v>383</v>
      </c>
      <c r="F15" s="20" t="s">
        <v>384</v>
      </c>
      <c r="G15" s="8" t="str">
        <f t="shared" si="0"/>
        <v>SIMMONS SHYHESHA</v>
      </c>
    </row>
    <row r="16" spans="1:7" x14ac:dyDescent="0.25">
      <c r="A16" s="8">
        <v>42771.166643518518</v>
      </c>
      <c r="B16" s="20" t="s">
        <v>540</v>
      </c>
      <c r="C16" s="20" t="s">
        <v>541</v>
      </c>
      <c r="D16" s="150">
        <v>2550000</v>
      </c>
      <c r="E16" s="20" t="s">
        <v>342</v>
      </c>
      <c r="F16" s="20" t="s">
        <v>343</v>
      </c>
      <c r="G16" s="8" t="str">
        <f t="shared" si="0"/>
        <v>BADERTSCHER DIANE</v>
      </c>
    </row>
    <row r="17" spans="1:7" x14ac:dyDescent="0.25">
      <c r="A17" s="8">
        <v>42771.169861111113</v>
      </c>
      <c r="B17" s="20" t="s">
        <v>322</v>
      </c>
      <c r="C17" s="20" t="s">
        <v>542</v>
      </c>
      <c r="D17" s="150">
        <v>2110000</v>
      </c>
      <c r="E17" s="20" t="s">
        <v>534</v>
      </c>
      <c r="F17" s="20" t="s">
        <v>535</v>
      </c>
      <c r="G17" s="8" t="str">
        <f t="shared" si="0"/>
        <v>OUN ZACK</v>
      </c>
    </row>
    <row r="18" spans="1:7" x14ac:dyDescent="0.25">
      <c r="A18" s="8">
        <v>42771.171574074076</v>
      </c>
      <c r="B18" s="20" t="s">
        <v>214</v>
      </c>
      <c r="C18" s="20" t="s">
        <v>543</v>
      </c>
      <c r="D18" s="150">
        <v>1240000</v>
      </c>
      <c r="E18" s="20" t="s">
        <v>385</v>
      </c>
      <c r="F18" s="20" t="s">
        <v>386</v>
      </c>
      <c r="G18" s="8" t="str">
        <f t="shared" si="0"/>
        <v>GRASTON MATHEU</v>
      </c>
    </row>
    <row r="19" spans="1:7" x14ac:dyDescent="0.25">
      <c r="A19" s="8">
        <v>42771.1721412037</v>
      </c>
      <c r="B19" s="20" t="s">
        <v>214</v>
      </c>
      <c r="C19" s="20" t="s">
        <v>543</v>
      </c>
      <c r="D19" s="150">
        <v>1240000</v>
      </c>
      <c r="E19" s="20" t="s">
        <v>385</v>
      </c>
      <c r="F19" s="20" t="s">
        <v>386</v>
      </c>
      <c r="G19" s="8" t="str">
        <f t="shared" si="0"/>
        <v>GRASTON MATHEU</v>
      </c>
    </row>
    <row r="20" spans="1:7" x14ac:dyDescent="0.25">
      <c r="A20" s="8">
        <v>42771.17597222222</v>
      </c>
      <c r="B20" s="20" t="s">
        <v>231</v>
      </c>
      <c r="C20" s="20" t="s">
        <v>544</v>
      </c>
      <c r="D20" s="150">
        <v>1990000</v>
      </c>
      <c r="E20" s="20" t="s">
        <v>545</v>
      </c>
      <c r="F20" s="20" t="s">
        <v>546</v>
      </c>
      <c r="G20" s="8" t="str">
        <f t="shared" si="0"/>
        <v>DAVIS WENDY</v>
      </c>
    </row>
    <row r="21" spans="1:7" x14ac:dyDescent="0.25">
      <c r="A21" s="8">
        <v>42771.176527777781</v>
      </c>
      <c r="B21" s="20" t="s">
        <v>316</v>
      </c>
      <c r="C21" s="20" t="s">
        <v>547</v>
      </c>
      <c r="D21" s="150">
        <v>2550000</v>
      </c>
      <c r="E21" s="20" t="s">
        <v>342</v>
      </c>
      <c r="F21" s="20" t="s">
        <v>343</v>
      </c>
      <c r="G21" s="8" t="str">
        <f t="shared" si="0"/>
        <v>BADERTSCHER DIANE</v>
      </c>
    </row>
    <row r="22" spans="1:7" x14ac:dyDescent="0.25">
      <c r="A22" s="26">
        <v>42771.179201388892</v>
      </c>
      <c r="B22" s="20" t="s">
        <v>376</v>
      </c>
      <c r="C22" s="20" t="s">
        <v>548</v>
      </c>
      <c r="D22" s="150">
        <v>2350000</v>
      </c>
      <c r="E22" s="20" t="s">
        <v>549</v>
      </c>
      <c r="F22" s="20" t="s">
        <v>550</v>
      </c>
      <c r="G22" s="8" t="str">
        <f t="shared" si="0"/>
        <v>BERLING GARY</v>
      </c>
    </row>
    <row r="23" spans="1:7" x14ac:dyDescent="0.25">
      <c r="A23" s="8">
        <v>42771.17931712963</v>
      </c>
      <c r="B23" s="20" t="s">
        <v>239</v>
      </c>
      <c r="C23" s="20" t="s">
        <v>543</v>
      </c>
      <c r="D23" s="150">
        <v>1240000</v>
      </c>
      <c r="E23" s="20" t="s">
        <v>385</v>
      </c>
      <c r="F23" s="20" t="s">
        <v>386</v>
      </c>
      <c r="G23" s="8" t="str">
        <f t="shared" si="0"/>
        <v>GRASTON MATHEU</v>
      </c>
    </row>
    <row r="24" spans="1:7" x14ac:dyDescent="0.25">
      <c r="A24" s="8">
        <v>42771.179814814815</v>
      </c>
      <c r="B24" s="20" t="s">
        <v>376</v>
      </c>
      <c r="C24" s="20" t="s">
        <v>548</v>
      </c>
      <c r="D24" s="150">
        <v>2350000</v>
      </c>
      <c r="E24" s="20" t="s">
        <v>549</v>
      </c>
      <c r="F24" s="20" t="s">
        <v>550</v>
      </c>
      <c r="G24" s="8" t="str">
        <f t="shared" si="0"/>
        <v>BERLING GARY</v>
      </c>
    </row>
    <row r="25" spans="1:7" x14ac:dyDescent="0.25">
      <c r="A25" s="8">
        <v>42771.181064814817</v>
      </c>
      <c r="B25" s="20" t="s">
        <v>376</v>
      </c>
      <c r="C25" s="20" t="s">
        <v>548</v>
      </c>
      <c r="D25" s="150">
        <v>2350000</v>
      </c>
      <c r="E25" s="20" t="s">
        <v>549</v>
      </c>
      <c r="F25" s="20" t="s">
        <v>550</v>
      </c>
      <c r="G25" s="8" t="str">
        <f t="shared" si="0"/>
        <v>BERLING GARY</v>
      </c>
    </row>
    <row r="26" spans="1:7" x14ac:dyDescent="0.25">
      <c r="A26" s="8">
        <v>42771.181284722225</v>
      </c>
      <c r="B26" s="20" t="s">
        <v>239</v>
      </c>
      <c r="C26" s="20" t="s">
        <v>543</v>
      </c>
      <c r="D26" s="150">
        <v>1240000</v>
      </c>
      <c r="E26" s="20" t="s">
        <v>385</v>
      </c>
      <c r="F26" s="20" t="s">
        <v>386</v>
      </c>
      <c r="G26" s="8" t="str">
        <f t="shared" si="0"/>
        <v>GRASTON MATHEU</v>
      </c>
    </row>
    <row r="27" spans="1:7" x14ac:dyDescent="0.25">
      <c r="A27" s="8">
        <v>42771.184340277781</v>
      </c>
      <c r="B27" s="20" t="s">
        <v>197</v>
      </c>
      <c r="C27" s="20" t="s">
        <v>551</v>
      </c>
      <c r="D27" s="150">
        <v>1990000</v>
      </c>
      <c r="E27" s="20" t="s">
        <v>545</v>
      </c>
      <c r="F27" s="20" t="s">
        <v>546</v>
      </c>
      <c r="G27" s="8" t="str">
        <f t="shared" si="0"/>
        <v>DAVIS WENDY</v>
      </c>
    </row>
    <row r="28" spans="1:7" x14ac:dyDescent="0.25">
      <c r="A28" s="8">
        <v>42771.18990740741</v>
      </c>
      <c r="B28" s="20" t="s">
        <v>224</v>
      </c>
      <c r="C28" s="20" t="s">
        <v>552</v>
      </c>
      <c r="D28" s="150">
        <v>2010000</v>
      </c>
      <c r="E28" s="20" t="s">
        <v>538</v>
      </c>
      <c r="F28" s="20" t="s">
        <v>539</v>
      </c>
      <c r="G28" s="8" t="str">
        <f t="shared" si="0"/>
        <v>MAELZER KURT</v>
      </c>
    </row>
    <row r="29" spans="1:7" x14ac:dyDescent="0.25">
      <c r="A29" s="8">
        <v>42771.193356481483</v>
      </c>
      <c r="B29" s="20" t="s">
        <v>287</v>
      </c>
      <c r="C29" s="20" t="s">
        <v>499</v>
      </c>
      <c r="D29" s="150">
        <v>2350000</v>
      </c>
      <c r="E29" s="20" t="s">
        <v>549</v>
      </c>
      <c r="F29" s="20" t="s">
        <v>550</v>
      </c>
      <c r="G29" s="8" t="str">
        <f t="shared" si="0"/>
        <v>BERLING GARY</v>
      </c>
    </row>
    <row r="30" spans="1:7" x14ac:dyDescent="0.25">
      <c r="A30" s="8">
        <v>42771.20894675926</v>
      </c>
      <c r="B30" s="20" t="s">
        <v>540</v>
      </c>
      <c r="C30" s="20" t="s">
        <v>553</v>
      </c>
      <c r="D30" s="150">
        <v>2550000</v>
      </c>
      <c r="E30" s="20" t="s">
        <v>342</v>
      </c>
      <c r="F30" s="20" t="s">
        <v>343</v>
      </c>
      <c r="G30" s="8" t="str">
        <f t="shared" si="0"/>
        <v>BADERTSCHER DIANE</v>
      </c>
    </row>
    <row r="31" spans="1:7" x14ac:dyDescent="0.25">
      <c r="A31" s="8">
        <v>42771.214108796295</v>
      </c>
      <c r="B31" s="20" t="s">
        <v>518</v>
      </c>
      <c r="C31" s="20" t="s">
        <v>554</v>
      </c>
      <c r="D31" s="150">
        <v>1100000</v>
      </c>
      <c r="E31" s="20" t="s">
        <v>338</v>
      </c>
      <c r="F31" s="20" t="s">
        <v>339</v>
      </c>
      <c r="G31" s="8" t="str">
        <f t="shared" si="0"/>
        <v>GEBRETEKLE DAGNEW</v>
      </c>
    </row>
    <row r="32" spans="1:7" x14ac:dyDescent="0.25">
      <c r="A32" s="8">
        <v>42771.215590277781</v>
      </c>
      <c r="B32" s="20" t="s">
        <v>323</v>
      </c>
      <c r="C32" s="20" t="s">
        <v>555</v>
      </c>
      <c r="D32" s="150">
        <v>2110000</v>
      </c>
      <c r="E32" s="20" t="s">
        <v>534</v>
      </c>
      <c r="F32" s="20" t="s">
        <v>535</v>
      </c>
      <c r="G32" s="8" t="str">
        <f t="shared" si="0"/>
        <v>OUN ZACK</v>
      </c>
    </row>
    <row r="33" spans="1:7" x14ac:dyDescent="0.25">
      <c r="A33" s="8">
        <v>42771.22420138889</v>
      </c>
      <c r="B33" s="20" t="s">
        <v>231</v>
      </c>
      <c r="C33" s="20" t="s">
        <v>556</v>
      </c>
      <c r="D33" s="150">
        <v>1990000</v>
      </c>
      <c r="E33" s="20" t="s">
        <v>545</v>
      </c>
      <c r="F33" s="20" t="s">
        <v>546</v>
      </c>
      <c r="G33" s="8" t="str">
        <f t="shared" si="0"/>
        <v>DAVIS WENDY</v>
      </c>
    </row>
    <row r="34" spans="1:7" x14ac:dyDescent="0.25">
      <c r="A34" s="8">
        <v>42771.225474537037</v>
      </c>
      <c r="B34" s="20" t="s">
        <v>277</v>
      </c>
      <c r="C34" s="20" t="s">
        <v>557</v>
      </c>
      <c r="D34" s="150">
        <v>1830000</v>
      </c>
      <c r="E34" s="20" t="s">
        <v>340</v>
      </c>
      <c r="F34" s="20" t="s">
        <v>341</v>
      </c>
      <c r="G34" s="8" t="str">
        <f t="shared" si="0"/>
        <v>YORK EDGAR</v>
      </c>
    </row>
    <row r="35" spans="1:7" x14ac:dyDescent="0.25">
      <c r="A35" s="8">
        <v>42771.227187500001</v>
      </c>
      <c r="B35" s="20" t="s">
        <v>536</v>
      </c>
      <c r="C35" s="20" t="s">
        <v>558</v>
      </c>
      <c r="D35" s="150">
        <v>2020000</v>
      </c>
      <c r="E35" s="20" t="s">
        <v>374</v>
      </c>
      <c r="F35" s="20" t="s">
        <v>375</v>
      </c>
      <c r="G35" s="8" t="str">
        <f t="shared" si="0"/>
        <v>SHOOK JOHN</v>
      </c>
    </row>
    <row r="36" spans="1:7" x14ac:dyDescent="0.25">
      <c r="A36" s="8">
        <v>42771.228263888886</v>
      </c>
      <c r="B36" s="20" t="s">
        <v>248</v>
      </c>
      <c r="C36" s="20" t="s">
        <v>559</v>
      </c>
      <c r="D36" s="150">
        <v>2010000</v>
      </c>
      <c r="E36" s="20" t="s">
        <v>538</v>
      </c>
      <c r="F36" s="20" t="s">
        <v>539</v>
      </c>
      <c r="G36" s="8" t="str">
        <f t="shared" si="0"/>
        <v>MAELZER KURT</v>
      </c>
    </row>
    <row r="37" spans="1:7" x14ac:dyDescent="0.25">
      <c r="A37" s="8">
        <v>42771.230358796296</v>
      </c>
      <c r="B37" s="20" t="s">
        <v>376</v>
      </c>
      <c r="C37" s="20" t="s">
        <v>560</v>
      </c>
      <c r="D37" s="150">
        <v>2350000</v>
      </c>
      <c r="E37" s="20" t="s">
        <v>549</v>
      </c>
      <c r="F37" s="20" t="s">
        <v>550</v>
      </c>
      <c r="G37" s="8" t="str">
        <f t="shared" si="0"/>
        <v>BERLING GARY</v>
      </c>
    </row>
    <row r="38" spans="1:7" x14ac:dyDescent="0.25">
      <c r="A38" s="8">
        <v>42771.233993055554</v>
      </c>
      <c r="B38" s="20" t="s">
        <v>278</v>
      </c>
      <c r="C38" s="20" t="s">
        <v>561</v>
      </c>
      <c r="D38" s="150">
        <v>1830000</v>
      </c>
      <c r="E38" s="20" t="s">
        <v>340</v>
      </c>
      <c r="F38" s="20" t="s">
        <v>341</v>
      </c>
      <c r="G38" s="8" t="str">
        <f t="shared" si="0"/>
        <v>YORK EDGAR</v>
      </c>
    </row>
    <row r="39" spans="1:7" x14ac:dyDescent="0.25">
      <c r="A39" s="8">
        <v>42771.244155092594</v>
      </c>
      <c r="B39" s="20" t="s">
        <v>562</v>
      </c>
      <c r="C39" s="20" t="s">
        <v>563</v>
      </c>
      <c r="D39" s="150">
        <v>1100000</v>
      </c>
      <c r="E39" s="20" t="s">
        <v>338</v>
      </c>
      <c r="F39" s="20" t="s">
        <v>339</v>
      </c>
      <c r="G39" s="8" t="str">
        <f t="shared" si="0"/>
        <v>GEBRETEKLE DAGNEW</v>
      </c>
    </row>
    <row r="40" spans="1:7" x14ac:dyDescent="0.25">
      <c r="A40" s="8">
        <v>42771.24726851852</v>
      </c>
      <c r="B40" s="25" t="s">
        <v>277</v>
      </c>
      <c r="C40" s="20" t="s">
        <v>564</v>
      </c>
      <c r="D40" s="150">
        <v>1830000</v>
      </c>
      <c r="E40" s="20" t="s">
        <v>340</v>
      </c>
      <c r="F40" s="20" t="s">
        <v>341</v>
      </c>
      <c r="G40" s="8" t="str">
        <f t="shared" si="0"/>
        <v>YORK EDGAR</v>
      </c>
    </row>
    <row r="41" spans="1:7" x14ac:dyDescent="0.25">
      <c r="A41" s="8">
        <v>42771.249780092592</v>
      </c>
      <c r="B41" s="20" t="s">
        <v>316</v>
      </c>
      <c r="C41" s="20" t="s">
        <v>500</v>
      </c>
      <c r="D41" s="150">
        <v>2550000</v>
      </c>
      <c r="E41" s="20" t="s">
        <v>342</v>
      </c>
      <c r="F41" s="20" t="s">
        <v>343</v>
      </c>
      <c r="G41" s="8" t="str">
        <f t="shared" si="0"/>
        <v>BADERTSCHER DIANE</v>
      </c>
    </row>
    <row r="42" spans="1:7" x14ac:dyDescent="0.25">
      <c r="A42" s="8">
        <v>42771.254942129628</v>
      </c>
      <c r="B42" s="20" t="s">
        <v>322</v>
      </c>
      <c r="C42" s="20" t="s">
        <v>501</v>
      </c>
      <c r="D42" s="150">
        <v>2110000</v>
      </c>
      <c r="E42" s="20" t="s">
        <v>534</v>
      </c>
      <c r="F42" s="20" t="s">
        <v>535</v>
      </c>
      <c r="G42" s="8" t="str">
        <f t="shared" si="0"/>
        <v>OUN ZACK</v>
      </c>
    </row>
    <row r="43" spans="1:7" x14ac:dyDescent="0.25">
      <c r="A43" s="8">
        <v>42771.256053240744</v>
      </c>
      <c r="B43" s="20" t="s">
        <v>197</v>
      </c>
      <c r="C43" s="20" t="s">
        <v>565</v>
      </c>
      <c r="D43" s="150">
        <v>1990000</v>
      </c>
      <c r="E43" s="20" t="s">
        <v>545</v>
      </c>
      <c r="F43" s="20" t="s">
        <v>546</v>
      </c>
      <c r="G43" s="8" t="str">
        <f t="shared" si="0"/>
        <v>DAVIS WENDY</v>
      </c>
    </row>
    <row r="44" spans="1:7" x14ac:dyDescent="0.25">
      <c r="A44" s="8">
        <v>42771.258020833331</v>
      </c>
      <c r="B44" s="20" t="s">
        <v>566</v>
      </c>
      <c r="C44" s="20" t="s">
        <v>567</v>
      </c>
      <c r="D44" s="150">
        <v>2020000</v>
      </c>
      <c r="E44" s="20" t="s">
        <v>374</v>
      </c>
      <c r="F44" s="20" t="s">
        <v>375</v>
      </c>
      <c r="G44" s="8" t="str">
        <f t="shared" si="0"/>
        <v>SHOOK JOHN</v>
      </c>
    </row>
    <row r="45" spans="1:7" x14ac:dyDescent="0.25">
      <c r="A45" s="8">
        <v>42771.266875000001</v>
      </c>
      <c r="B45" s="20" t="s">
        <v>287</v>
      </c>
      <c r="C45" s="20" t="s">
        <v>568</v>
      </c>
      <c r="D45" s="150">
        <v>2350000</v>
      </c>
      <c r="E45" s="20" t="s">
        <v>549</v>
      </c>
      <c r="F45" s="20" t="s">
        <v>550</v>
      </c>
      <c r="G45" s="8" t="str">
        <f t="shared" si="0"/>
        <v>BERLING GARY</v>
      </c>
    </row>
    <row r="46" spans="1:7" x14ac:dyDescent="0.25">
      <c r="A46" s="8">
        <v>42771.270856481482</v>
      </c>
      <c r="B46" s="20" t="s">
        <v>224</v>
      </c>
      <c r="C46" s="20" t="s">
        <v>569</v>
      </c>
      <c r="D46" s="150">
        <v>2010000</v>
      </c>
      <c r="E46" s="20" t="s">
        <v>538</v>
      </c>
      <c r="F46" s="20" t="s">
        <v>539</v>
      </c>
      <c r="G46" s="8" t="str">
        <f t="shared" si="0"/>
        <v>MAELZER KURT</v>
      </c>
    </row>
    <row r="47" spans="1:7" x14ac:dyDescent="0.25">
      <c r="A47" s="8">
        <v>42771.275891203702</v>
      </c>
      <c r="B47" s="20" t="s">
        <v>278</v>
      </c>
      <c r="C47" s="20" t="s">
        <v>570</v>
      </c>
      <c r="D47" s="150">
        <v>1830000</v>
      </c>
      <c r="E47" s="20" t="s">
        <v>340</v>
      </c>
      <c r="F47" s="20" t="s">
        <v>341</v>
      </c>
      <c r="G47" s="8" t="str">
        <f t="shared" si="0"/>
        <v>YORK EDGAR</v>
      </c>
    </row>
    <row r="48" spans="1:7" x14ac:dyDescent="0.25">
      <c r="A48" s="8">
        <v>42771.276273148149</v>
      </c>
      <c r="B48" s="20" t="s">
        <v>518</v>
      </c>
      <c r="C48" s="20" t="s">
        <v>571</v>
      </c>
      <c r="D48" s="150">
        <v>1100000</v>
      </c>
      <c r="E48" s="20" t="s">
        <v>338</v>
      </c>
      <c r="F48" s="20" t="s">
        <v>339</v>
      </c>
      <c r="G48" s="8" t="str">
        <f t="shared" si="0"/>
        <v>GEBRETEKLE DAGNEW</v>
      </c>
    </row>
    <row r="49" spans="1:7" x14ac:dyDescent="0.25">
      <c r="A49" s="8">
        <v>42771.285682870373</v>
      </c>
      <c r="B49" s="20" t="s">
        <v>238</v>
      </c>
      <c r="C49" s="20" t="s">
        <v>572</v>
      </c>
      <c r="D49" s="150">
        <v>2550000</v>
      </c>
      <c r="E49" s="20" t="s">
        <v>342</v>
      </c>
      <c r="F49" s="20" t="s">
        <v>343</v>
      </c>
      <c r="G49" s="8" t="str">
        <f t="shared" si="0"/>
        <v>BADERTSCHER DIANE</v>
      </c>
    </row>
    <row r="50" spans="1:7" x14ac:dyDescent="0.25">
      <c r="A50" s="8">
        <v>42771.289178240739</v>
      </c>
      <c r="B50" s="20" t="s">
        <v>323</v>
      </c>
      <c r="C50" s="20" t="s">
        <v>502</v>
      </c>
      <c r="D50" s="150">
        <v>2110000</v>
      </c>
      <c r="E50" s="20" t="s">
        <v>534</v>
      </c>
      <c r="F50" s="20" t="s">
        <v>535</v>
      </c>
      <c r="G50" s="8" t="str">
        <f t="shared" si="0"/>
        <v>OUN ZACK</v>
      </c>
    </row>
    <row r="51" spans="1:7" x14ac:dyDescent="0.25">
      <c r="A51" s="8">
        <v>42771.2893287037</v>
      </c>
      <c r="B51" s="20" t="s">
        <v>277</v>
      </c>
      <c r="C51" s="20" t="s">
        <v>573</v>
      </c>
      <c r="D51" s="150">
        <v>1830000</v>
      </c>
      <c r="E51" s="20" t="s">
        <v>340</v>
      </c>
      <c r="F51" s="20" t="s">
        <v>341</v>
      </c>
      <c r="G51" s="8" t="str">
        <f t="shared" si="0"/>
        <v>YORK EDGAR</v>
      </c>
    </row>
    <row r="52" spans="1:7" x14ac:dyDescent="0.25">
      <c r="A52" s="8">
        <v>42771.295590277776</v>
      </c>
      <c r="B52" s="20" t="s">
        <v>231</v>
      </c>
      <c r="C52" s="20" t="s">
        <v>574</v>
      </c>
      <c r="D52" s="150">
        <v>1990000</v>
      </c>
      <c r="E52" s="20" t="s">
        <v>545</v>
      </c>
      <c r="F52" s="20" t="s">
        <v>546</v>
      </c>
      <c r="G52" s="8" t="str">
        <f t="shared" si="0"/>
        <v>DAVIS WENDY</v>
      </c>
    </row>
    <row r="53" spans="1:7" x14ac:dyDescent="0.25">
      <c r="A53" s="8">
        <v>42771.298391203702</v>
      </c>
      <c r="B53" s="20" t="s">
        <v>536</v>
      </c>
      <c r="C53" s="20" t="s">
        <v>575</v>
      </c>
      <c r="D53" s="150">
        <v>2020000</v>
      </c>
      <c r="E53" s="20" t="s">
        <v>374</v>
      </c>
      <c r="F53" s="20" t="s">
        <v>375</v>
      </c>
      <c r="G53" s="8" t="str">
        <f t="shared" si="0"/>
        <v>SHOOK JOHN</v>
      </c>
    </row>
    <row r="54" spans="1:7" x14ac:dyDescent="0.25">
      <c r="A54" s="8">
        <v>42771.302210648151</v>
      </c>
      <c r="B54" s="20" t="s">
        <v>376</v>
      </c>
      <c r="C54" s="20" t="s">
        <v>576</v>
      </c>
      <c r="D54" s="150">
        <v>2350000</v>
      </c>
      <c r="E54" s="20" t="s">
        <v>549</v>
      </c>
      <c r="F54" s="20" t="s">
        <v>550</v>
      </c>
      <c r="G54" s="8" t="str">
        <f t="shared" si="0"/>
        <v>BERLING GARY</v>
      </c>
    </row>
    <row r="55" spans="1:7" x14ac:dyDescent="0.25">
      <c r="A55" s="8">
        <v>42771.310173611113</v>
      </c>
      <c r="B55" s="20" t="s">
        <v>248</v>
      </c>
      <c r="C55" s="20" t="s">
        <v>577</v>
      </c>
      <c r="D55" s="150">
        <v>2010000</v>
      </c>
      <c r="E55" s="20" t="s">
        <v>538</v>
      </c>
      <c r="F55" s="20" t="s">
        <v>539</v>
      </c>
      <c r="G55" s="8" t="str">
        <f t="shared" si="0"/>
        <v>MAELZER KURT</v>
      </c>
    </row>
    <row r="56" spans="1:7" x14ac:dyDescent="0.25">
      <c r="A56" s="8">
        <v>42771.31486111111</v>
      </c>
      <c r="B56" s="20" t="s">
        <v>562</v>
      </c>
      <c r="C56" s="20" t="s">
        <v>578</v>
      </c>
      <c r="D56" s="150">
        <v>1100000</v>
      </c>
      <c r="E56" s="20" t="s">
        <v>338</v>
      </c>
      <c r="F56" s="20" t="s">
        <v>339</v>
      </c>
      <c r="G56" s="8" t="str">
        <f t="shared" si="0"/>
        <v>GEBRETEKLE DAGNEW</v>
      </c>
    </row>
    <row r="57" spans="1:7" x14ac:dyDescent="0.25">
      <c r="A57" s="8">
        <v>42771.317939814813</v>
      </c>
      <c r="B57" s="20" t="s">
        <v>278</v>
      </c>
      <c r="C57" s="20" t="s">
        <v>579</v>
      </c>
      <c r="D57" s="150">
        <v>1830000</v>
      </c>
      <c r="E57" s="20" t="s">
        <v>340</v>
      </c>
      <c r="F57" s="20" t="s">
        <v>341</v>
      </c>
      <c r="G57" s="8" t="str">
        <f t="shared" si="0"/>
        <v>YORK EDGAR</v>
      </c>
    </row>
    <row r="58" spans="1:7" x14ac:dyDescent="0.25">
      <c r="A58" s="8">
        <v>42771.321782407409</v>
      </c>
      <c r="B58" s="20" t="s">
        <v>316</v>
      </c>
      <c r="C58" s="20" t="s">
        <v>580</v>
      </c>
      <c r="D58" s="150">
        <v>2550000</v>
      </c>
      <c r="E58" s="20" t="s">
        <v>342</v>
      </c>
      <c r="F58" s="20" t="s">
        <v>343</v>
      </c>
      <c r="G58" s="8" t="str">
        <f t="shared" si="0"/>
        <v>BADERTSCHER DIANE</v>
      </c>
    </row>
    <row r="59" spans="1:7" x14ac:dyDescent="0.25">
      <c r="A59" s="8">
        <v>42771.327025462961</v>
      </c>
      <c r="B59" s="20" t="s">
        <v>322</v>
      </c>
      <c r="C59" s="20" t="s">
        <v>504</v>
      </c>
      <c r="D59" s="150">
        <v>2110000</v>
      </c>
      <c r="E59" s="20" t="s">
        <v>534</v>
      </c>
      <c r="F59" s="20" t="s">
        <v>535</v>
      </c>
      <c r="G59" s="8" t="str">
        <f t="shared" si="0"/>
        <v>OUN ZACK</v>
      </c>
    </row>
    <row r="60" spans="1:7" x14ac:dyDescent="0.25">
      <c r="A60" s="8">
        <v>42771.328946759262</v>
      </c>
      <c r="B60" s="20" t="s">
        <v>197</v>
      </c>
      <c r="C60" s="20" t="s">
        <v>581</v>
      </c>
      <c r="D60" s="150">
        <v>1990000</v>
      </c>
      <c r="E60" s="20" t="s">
        <v>545</v>
      </c>
      <c r="F60" s="20" t="s">
        <v>546</v>
      </c>
      <c r="G60" s="8" t="str">
        <f t="shared" si="0"/>
        <v>DAVIS WENDY</v>
      </c>
    </row>
    <row r="61" spans="1:7" x14ac:dyDescent="0.25">
      <c r="A61" s="8">
        <v>42771.33116898148</v>
      </c>
      <c r="B61" s="20" t="s">
        <v>566</v>
      </c>
      <c r="C61" s="20" t="s">
        <v>582</v>
      </c>
      <c r="D61" s="150">
        <v>2020000</v>
      </c>
      <c r="E61" s="20" t="s">
        <v>374</v>
      </c>
      <c r="F61" s="20" t="s">
        <v>375</v>
      </c>
      <c r="G61" s="8" t="str">
        <f t="shared" si="0"/>
        <v>SHOOK JOHN</v>
      </c>
    </row>
    <row r="62" spans="1:7" x14ac:dyDescent="0.25">
      <c r="A62" s="8">
        <v>42771.331666666665</v>
      </c>
      <c r="B62" s="20" t="s">
        <v>277</v>
      </c>
      <c r="C62" s="20" t="s">
        <v>583</v>
      </c>
      <c r="D62" s="150">
        <v>1830000</v>
      </c>
      <c r="E62" s="20" t="s">
        <v>340</v>
      </c>
      <c r="F62" s="20" t="s">
        <v>341</v>
      </c>
      <c r="G62" s="8" t="str">
        <f t="shared" si="0"/>
        <v>YORK EDGAR</v>
      </c>
    </row>
    <row r="63" spans="1:7" x14ac:dyDescent="0.25">
      <c r="A63" s="8">
        <v>42771.339189814818</v>
      </c>
      <c r="B63" s="20" t="s">
        <v>287</v>
      </c>
      <c r="C63" s="20" t="s">
        <v>584</v>
      </c>
      <c r="D63" s="150">
        <v>2350000</v>
      </c>
      <c r="E63" s="20" t="s">
        <v>549</v>
      </c>
      <c r="F63" s="20" t="s">
        <v>550</v>
      </c>
      <c r="G63" s="8" t="str">
        <f t="shared" si="0"/>
        <v>BERLING GARY</v>
      </c>
    </row>
    <row r="64" spans="1:7" x14ac:dyDescent="0.25">
      <c r="A64" s="26">
        <v>42771.344027777777</v>
      </c>
      <c r="B64" s="20" t="s">
        <v>224</v>
      </c>
      <c r="C64" s="20" t="s">
        <v>503</v>
      </c>
      <c r="D64" s="150">
        <v>2010000</v>
      </c>
      <c r="E64" s="20" t="s">
        <v>538</v>
      </c>
      <c r="F64" s="20" t="s">
        <v>539</v>
      </c>
      <c r="G64" s="8" t="str">
        <f t="shared" si="0"/>
        <v>MAELZER KURT</v>
      </c>
    </row>
    <row r="65" spans="1:7" x14ac:dyDescent="0.25">
      <c r="A65" s="8">
        <v>42771.348645833335</v>
      </c>
      <c r="B65" s="20" t="s">
        <v>518</v>
      </c>
      <c r="C65" s="20" t="s">
        <v>585</v>
      </c>
      <c r="D65" s="150">
        <v>1100000</v>
      </c>
      <c r="E65" s="20" t="s">
        <v>338</v>
      </c>
      <c r="F65" s="20" t="s">
        <v>339</v>
      </c>
      <c r="G65" s="8" t="str">
        <f t="shared" si="0"/>
        <v>GEBRETEKLE DAGNEW</v>
      </c>
    </row>
    <row r="66" spans="1:7" x14ac:dyDescent="0.25">
      <c r="A66" s="8">
        <v>42771.353807870371</v>
      </c>
      <c r="B66" s="20" t="s">
        <v>238</v>
      </c>
      <c r="C66" s="20" t="s">
        <v>586</v>
      </c>
      <c r="D66" s="150">
        <v>2550000</v>
      </c>
      <c r="E66" s="20" t="s">
        <v>342</v>
      </c>
      <c r="F66" s="20" t="s">
        <v>343</v>
      </c>
      <c r="G66" s="8" t="str">
        <f t="shared" si="0"/>
        <v>BADERTSCHER DIANE</v>
      </c>
    </row>
    <row r="67" spans="1:7" x14ac:dyDescent="0.25">
      <c r="A67" s="8">
        <v>42771.359398148146</v>
      </c>
      <c r="B67" s="20" t="s">
        <v>278</v>
      </c>
      <c r="C67" s="20" t="s">
        <v>587</v>
      </c>
      <c r="D67" s="150">
        <v>1830000</v>
      </c>
      <c r="E67" s="20" t="s">
        <v>340</v>
      </c>
      <c r="F67" s="20" t="s">
        <v>341</v>
      </c>
      <c r="G67" s="8" t="str">
        <f t="shared" ref="G67:G130" si="1">E67&amp;" "&amp;F67</f>
        <v>YORK EDGAR</v>
      </c>
    </row>
    <row r="68" spans="1:7" x14ac:dyDescent="0.25">
      <c r="A68" s="8">
        <v>42771.359525462962</v>
      </c>
      <c r="B68" s="20" t="s">
        <v>323</v>
      </c>
      <c r="C68" s="20" t="s">
        <v>588</v>
      </c>
      <c r="D68" s="150">
        <v>2110000</v>
      </c>
      <c r="E68" s="20" t="s">
        <v>534</v>
      </c>
      <c r="F68" s="20" t="s">
        <v>535</v>
      </c>
      <c r="G68" s="8" t="str">
        <f t="shared" si="1"/>
        <v>OUN ZACK</v>
      </c>
    </row>
    <row r="69" spans="1:7" x14ac:dyDescent="0.25">
      <c r="A69" s="8">
        <v>42771.369201388887</v>
      </c>
      <c r="B69" s="20" t="s">
        <v>231</v>
      </c>
      <c r="C69" s="20" t="s">
        <v>589</v>
      </c>
      <c r="D69" s="150">
        <v>1990000</v>
      </c>
      <c r="E69" s="20" t="s">
        <v>545</v>
      </c>
      <c r="F69" s="20" t="s">
        <v>546</v>
      </c>
      <c r="G69" s="8" t="str">
        <f t="shared" si="1"/>
        <v>DAVIS WENDY</v>
      </c>
    </row>
    <row r="70" spans="1:7" x14ac:dyDescent="0.25">
      <c r="A70" s="8">
        <v>42771.371423611112</v>
      </c>
      <c r="B70" s="20" t="s">
        <v>536</v>
      </c>
      <c r="C70" s="20" t="s">
        <v>590</v>
      </c>
      <c r="D70" s="150">
        <v>2020000</v>
      </c>
      <c r="E70" s="20" t="s">
        <v>374</v>
      </c>
      <c r="F70" s="20" t="s">
        <v>375</v>
      </c>
      <c r="G70" s="8" t="str">
        <f t="shared" si="1"/>
        <v>SHOOK JOHN</v>
      </c>
    </row>
    <row r="71" spans="1:7" x14ac:dyDescent="0.25">
      <c r="A71" s="8">
        <v>42771.37232638889</v>
      </c>
      <c r="B71" s="20" t="s">
        <v>277</v>
      </c>
      <c r="C71" s="20" t="s">
        <v>591</v>
      </c>
      <c r="D71" s="150">
        <v>1830000</v>
      </c>
      <c r="E71" s="20" t="s">
        <v>340</v>
      </c>
      <c r="F71" s="20" t="s">
        <v>341</v>
      </c>
      <c r="G71" s="8" t="str">
        <f t="shared" si="1"/>
        <v>YORK EDGAR</v>
      </c>
    </row>
    <row r="72" spans="1:7" x14ac:dyDescent="0.25">
      <c r="A72" s="8">
        <v>42771.376759259256</v>
      </c>
      <c r="B72" s="20" t="s">
        <v>376</v>
      </c>
      <c r="C72" s="20" t="s">
        <v>592</v>
      </c>
      <c r="D72" s="150">
        <v>2350000</v>
      </c>
      <c r="E72" s="20" t="s">
        <v>549</v>
      </c>
      <c r="F72" s="20" t="s">
        <v>550</v>
      </c>
      <c r="G72" s="8" t="str">
        <f t="shared" si="1"/>
        <v>BERLING GARY</v>
      </c>
    </row>
    <row r="73" spans="1:7" x14ac:dyDescent="0.25">
      <c r="A73" s="8">
        <v>42771.38318287037</v>
      </c>
      <c r="B73" s="20" t="s">
        <v>248</v>
      </c>
      <c r="C73" s="20" t="s">
        <v>593</v>
      </c>
      <c r="D73" s="150">
        <v>2010000</v>
      </c>
      <c r="E73" s="20" t="s">
        <v>538</v>
      </c>
      <c r="F73" s="20" t="s">
        <v>539</v>
      </c>
      <c r="G73" s="8" t="str">
        <f t="shared" si="1"/>
        <v>MAELZER KURT</v>
      </c>
    </row>
    <row r="74" spans="1:7" x14ac:dyDescent="0.25">
      <c r="A74" s="8">
        <v>42771.387476851851</v>
      </c>
      <c r="B74" s="20" t="s">
        <v>562</v>
      </c>
      <c r="C74" s="20" t="s">
        <v>594</v>
      </c>
      <c r="D74" s="150">
        <v>1100000</v>
      </c>
      <c r="E74" s="20" t="s">
        <v>338</v>
      </c>
      <c r="F74" s="20" t="s">
        <v>339</v>
      </c>
      <c r="G74" s="8" t="str">
        <f t="shared" si="1"/>
        <v>GEBRETEKLE DAGNEW</v>
      </c>
    </row>
    <row r="75" spans="1:7" x14ac:dyDescent="0.25">
      <c r="A75" s="8">
        <v>42771.392627314817</v>
      </c>
      <c r="B75" s="20" t="s">
        <v>316</v>
      </c>
      <c r="C75" s="20" t="s">
        <v>595</v>
      </c>
      <c r="D75" s="150">
        <v>2550000</v>
      </c>
      <c r="E75" s="20" t="s">
        <v>342</v>
      </c>
      <c r="F75" s="20" t="s">
        <v>343</v>
      </c>
      <c r="G75" s="8" t="str">
        <f t="shared" si="1"/>
        <v>BADERTSCHER DIANE</v>
      </c>
    </row>
    <row r="76" spans="1:7" x14ac:dyDescent="0.25">
      <c r="A76" s="8">
        <v>42771.399733796294</v>
      </c>
      <c r="B76" s="20" t="s">
        <v>322</v>
      </c>
      <c r="C76" s="20" t="s">
        <v>596</v>
      </c>
      <c r="D76" s="150">
        <v>2110000</v>
      </c>
      <c r="E76" s="20" t="s">
        <v>534</v>
      </c>
      <c r="F76" s="20" t="s">
        <v>535</v>
      </c>
      <c r="G76" s="8" t="str">
        <f t="shared" si="1"/>
        <v>OUN ZACK</v>
      </c>
    </row>
    <row r="77" spans="1:7" x14ac:dyDescent="0.25">
      <c r="A77" s="8">
        <v>42771.399826388886</v>
      </c>
      <c r="B77" s="20" t="s">
        <v>278</v>
      </c>
      <c r="C77" s="20" t="s">
        <v>597</v>
      </c>
      <c r="D77" s="150">
        <v>1830000</v>
      </c>
      <c r="E77" s="20" t="s">
        <v>340</v>
      </c>
      <c r="F77" s="20" t="s">
        <v>341</v>
      </c>
      <c r="G77" s="8" t="str">
        <f t="shared" si="1"/>
        <v>YORK EDGAR</v>
      </c>
    </row>
    <row r="78" spans="1:7" x14ac:dyDescent="0.25">
      <c r="A78" s="8">
        <v>42771.401608796295</v>
      </c>
      <c r="B78" s="20" t="s">
        <v>197</v>
      </c>
      <c r="C78" s="20" t="s">
        <v>505</v>
      </c>
      <c r="D78" s="150">
        <v>1990000</v>
      </c>
      <c r="E78" s="20" t="s">
        <v>545</v>
      </c>
      <c r="F78" s="20" t="s">
        <v>546</v>
      </c>
      <c r="G78" s="8" t="str">
        <f t="shared" si="1"/>
        <v>DAVIS WENDY</v>
      </c>
    </row>
    <row r="79" spans="1:7" x14ac:dyDescent="0.25">
      <c r="A79" s="8">
        <v>42771.402766203704</v>
      </c>
      <c r="B79" s="20" t="s">
        <v>566</v>
      </c>
      <c r="C79" s="20" t="s">
        <v>598</v>
      </c>
      <c r="D79" s="150">
        <v>2020000</v>
      </c>
      <c r="E79" s="20" t="s">
        <v>374</v>
      </c>
      <c r="F79" s="20" t="s">
        <v>375</v>
      </c>
      <c r="G79" s="8" t="str">
        <f t="shared" si="1"/>
        <v>SHOOK JOHN</v>
      </c>
    </row>
    <row r="80" spans="1:7" x14ac:dyDescent="0.25">
      <c r="A80" s="8">
        <v>42771.411874999998</v>
      </c>
      <c r="B80" s="20" t="s">
        <v>287</v>
      </c>
      <c r="C80" s="20" t="s">
        <v>506</v>
      </c>
      <c r="D80" s="150">
        <v>2350000</v>
      </c>
      <c r="E80" s="20" t="s">
        <v>549</v>
      </c>
      <c r="F80" s="20" t="s">
        <v>550</v>
      </c>
      <c r="G80" s="8" t="str">
        <f t="shared" si="1"/>
        <v>BERLING GARY</v>
      </c>
    </row>
    <row r="81" spans="1:7" x14ac:dyDescent="0.25">
      <c r="A81" s="8">
        <v>42771.413865740738</v>
      </c>
      <c r="B81" s="20" t="s">
        <v>277</v>
      </c>
      <c r="C81" s="20" t="s">
        <v>599</v>
      </c>
      <c r="D81" s="150">
        <v>1830000</v>
      </c>
      <c r="E81" s="20" t="s">
        <v>340</v>
      </c>
      <c r="F81" s="20" t="s">
        <v>341</v>
      </c>
      <c r="G81" s="8" t="str">
        <f t="shared" si="1"/>
        <v>YORK EDGAR</v>
      </c>
    </row>
    <row r="82" spans="1:7" x14ac:dyDescent="0.25">
      <c r="A82" s="8">
        <v>42771.420590277776</v>
      </c>
      <c r="B82" s="20" t="s">
        <v>224</v>
      </c>
      <c r="C82" s="20" t="s">
        <v>600</v>
      </c>
      <c r="D82" s="150">
        <v>2010000</v>
      </c>
      <c r="E82" s="20" t="s">
        <v>538</v>
      </c>
      <c r="F82" s="20" t="s">
        <v>539</v>
      </c>
      <c r="G82" s="8" t="str">
        <f t="shared" si="1"/>
        <v>MAELZER KURT</v>
      </c>
    </row>
    <row r="83" spans="1:7" x14ac:dyDescent="0.25">
      <c r="A83" s="8">
        <v>42771.422650462962</v>
      </c>
      <c r="B83" s="20" t="s">
        <v>518</v>
      </c>
      <c r="C83" s="20" t="s">
        <v>601</v>
      </c>
      <c r="D83" s="150">
        <v>1100000</v>
      </c>
      <c r="E83" s="20" t="s">
        <v>338</v>
      </c>
      <c r="F83" s="20" t="s">
        <v>339</v>
      </c>
      <c r="G83" s="8" t="str">
        <f t="shared" si="1"/>
        <v>GEBRETEKLE DAGNEW</v>
      </c>
    </row>
    <row r="84" spans="1:7" x14ac:dyDescent="0.25">
      <c r="A84" s="8">
        <v>42771.424756944441</v>
      </c>
      <c r="B84" s="20" t="s">
        <v>238</v>
      </c>
      <c r="C84" s="20" t="s">
        <v>602</v>
      </c>
      <c r="D84" s="150">
        <v>2550000</v>
      </c>
      <c r="E84" s="20" t="s">
        <v>342</v>
      </c>
      <c r="F84" s="20" t="s">
        <v>343</v>
      </c>
      <c r="G84" s="8" t="str">
        <f t="shared" si="1"/>
        <v>BADERTSCHER DIANE</v>
      </c>
    </row>
    <row r="85" spans="1:7" x14ac:dyDescent="0.25">
      <c r="A85" s="8">
        <v>42771.43378472222</v>
      </c>
      <c r="B85" s="20" t="s">
        <v>323</v>
      </c>
      <c r="C85" s="20" t="s">
        <v>603</v>
      </c>
      <c r="D85" s="150">
        <v>2470000</v>
      </c>
      <c r="E85" s="20" t="s">
        <v>604</v>
      </c>
      <c r="F85" s="20" t="s">
        <v>605</v>
      </c>
      <c r="G85" s="8" t="str">
        <f t="shared" si="1"/>
        <v>ROMERO CHAD</v>
      </c>
    </row>
    <row r="86" spans="1:7" x14ac:dyDescent="0.25">
      <c r="A86" s="8">
        <v>42771.442569444444</v>
      </c>
      <c r="B86" s="20" t="s">
        <v>278</v>
      </c>
      <c r="C86" s="20" t="s">
        <v>606</v>
      </c>
      <c r="D86" s="150">
        <v>1830000</v>
      </c>
      <c r="E86" s="20" t="s">
        <v>340</v>
      </c>
      <c r="F86" s="20" t="s">
        <v>341</v>
      </c>
      <c r="G86" s="8" t="str">
        <f t="shared" si="1"/>
        <v>YORK EDGAR</v>
      </c>
    </row>
    <row r="87" spans="1:7" x14ac:dyDescent="0.25">
      <c r="A87" s="8">
        <v>42771.443703703706</v>
      </c>
      <c r="B87" s="20" t="s">
        <v>231</v>
      </c>
      <c r="C87" s="20" t="s">
        <v>607</v>
      </c>
      <c r="D87" s="150">
        <v>1990000</v>
      </c>
      <c r="E87" s="20" t="s">
        <v>545</v>
      </c>
      <c r="F87" s="20" t="s">
        <v>546</v>
      </c>
      <c r="G87" s="8" t="str">
        <f t="shared" si="1"/>
        <v>DAVIS WENDY</v>
      </c>
    </row>
    <row r="88" spans="1:7" x14ac:dyDescent="0.25">
      <c r="A88" s="8">
        <v>42771.443807870368</v>
      </c>
      <c r="B88" s="20" t="s">
        <v>536</v>
      </c>
      <c r="C88" s="20" t="s">
        <v>608</v>
      </c>
      <c r="D88" s="150">
        <v>2020000</v>
      </c>
      <c r="E88" s="20" t="s">
        <v>374</v>
      </c>
      <c r="F88" s="20" t="s">
        <v>375</v>
      </c>
      <c r="G88" s="8" t="str">
        <f t="shared" si="1"/>
        <v>SHOOK JOHN</v>
      </c>
    </row>
    <row r="89" spans="1:7" x14ac:dyDescent="0.25">
      <c r="A89" s="8">
        <v>42771.451990740738</v>
      </c>
      <c r="B89" s="20" t="s">
        <v>376</v>
      </c>
      <c r="C89" s="20" t="s">
        <v>609</v>
      </c>
      <c r="D89" s="150">
        <v>2350000</v>
      </c>
      <c r="E89" s="20" t="s">
        <v>549</v>
      </c>
      <c r="F89" s="20" t="s">
        <v>550</v>
      </c>
      <c r="G89" s="8" t="str">
        <f t="shared" si="1"/>
        <v>BERLING GARY</v>
      </c>
    </row>
    <row r="90" spans="1:7" x14ac:dyDescent="0.25">
      <c r="A90" s="8">
        <v>42771.453935185185</v>
      </c>
      <c r="B90" s="20" t="s">
        <v>248</v>
      </c>
      <c r="C90" s="20" t="s">
        <v>610</v>
      </c>
      <c r="D90" s="150">
        <v>880000</v>
      </c>
      <c r="E90" s="20" t="s">
        <v>611</v>
      </c>
      <c r="F90" s="20" t="s">
        <v>207</v>
      </c>
      <c r="G90" s="8" t="str">
        <f t="shared" si="1"/>
        <v>STEWART MICHAEL</v>
      </c>
    </row>
    <row r="91" spans="1:7" x14ac:dyDescent="0.25">
      <c r="A91" s="8">
        <v>42771.456030092595</v>
      </c>
      <c r="B91" s="20" t="s">
        <v>277</v>
      </c>
      <c r="C91" s="20" t="s">
        <v>612</v>
      </c>
      <c r="D91" s="150">
        <v>1830000</v>
      </c>
      <c r="E91" s="20" t="s">
        <v>340</v>
      </c>
      <c r="F91" s="20" t="s">
        <v>341</v>
      </c>
      <c r="G91" s="8" t="str">
        <f t="shared" si="1"/>
        <v>YORK EDGAR</v>
      </c>
    </row>
    <row r="92" spans="1:7" x14ac:dyDescent="0.25">
      <c r="A92" s="8">
        <v>42771.460405092592</v>
      </c>
      <c r="B92" s="20" t="s">
        <v>214</v>
      </c>
      <c r="C92" s="20" t="s">
        <v>507</v>
      </c>
      <c r="D92" s="150">
        <v>2560000</v>
      </c>
      <c r="E92" s="20" t="s">
        <v>379</v>
      </c>
      <c r="F92" s="20" t="s">
        <v>380</v>
      </c>
      <c r="G92" s="8" t="str">
        <f t="shared" si="1"/>
        <v>MACDONALD THOMAS</v>
      </c>
    </row>
    <row r="93" spans="1:7" x14ac:dyDescent="0.25">
      <c r="A93" s="8">
        <v>42771.462881944448</v>
      </c>
      <c r="B93" s="20" t="s">
        <v>562</v>
      </c>
      <c r="C93" s="20" t="s">
        <v>613</v>
      </c>
      <c r="D93" s="150">
        <v>1100000</v>
      </c>
      <c r="E93" s="20" t="s">
        <v>338</v>
      </c>
      <c r="F93" s="20" t="s">
        <v>339</v>
      </c>
      <c r="G93" s="8" t="str">
        <f t="shared" si="1"/>
        <v>GEBRETEKLE DAGNEW</v>
      </c>
    </row>
    <row r="94" spans="1:7" x14ac:dyDescent="0.25">
      <c r="A94" s="8">
        <v>42771.464780092596</v>
      </c>
      <c r="B94" s="20" t="s">
        <v>322</v>
      </c>
      <c r="C94" s="20" t="s">
        <v>614</v>
      </c>
      <c r="D94" s="150">
        <v>2470000</v>
      </c>
      <c r="E94" s="20" t="s">
        <v>604</v>
      </c>
      <c r="F94" s="20" t="s">
        <v>605</v>
      </c>
      <c r="G94" s="8" t="str">
        <f t="shared" si="1"/>
        <v>ROMERO CHAD</v>
      </c>
    </row>
    <row r="95" spans="1:7" x14ac:dyDescent="0.25">
      <c r="A95" s="8">
        <v>42771.46702546296</v>
      </c>
      <c r="B95" s="20" t="s">
        <v>316</v>
      </c>
      <c r="C95" s="20" t="s">
        <v>615</v>
      </c>
      <c r="D95" s="150">
        <v>920000</v>
      </c>
      <c r="E95" s="20" t="s">
        <v>545</v>
      </c>
      <c r="F95" s="20" t="s">
        <v>207</v>
      </c>
      <c r="G95" s="8" t="str">
        <f t="shared" si="1"/>
        <v>DAVIS MICHAEL</v>
      </c>
    </row>
    <row r="96" spans="1:7" x14ac:dyDescent="0.25">
      <c r="A96" s="8">
        <v>42771.475162037037</v>
      </c>
      <c r="B96" s="20" t="s">
        <v>197</v>
      </c>
      <c r="C96" s="20" t="s">
        <v>616</v>
      </c>
      <c r="D96" s="150">
        <v>1300000</v>
      </c>
      <c r="E96" s="20" t="s">
        <v>617</v>
      </c>
      <c r="F96" s="20" t="s">
        <v>618</v>
      </c>
      <c r="G96" s="8" t="str">
        <f t="shared" si="1"/>
        <v>LEVIN SCOTT</v>
      </c>
    </row>
    <row r="97" spans="1:7" x14ac:dyDescent="0.25">
      <c r="A97" s="8">
        <v>42771.476365740738</v>
      </c>
      <c r="B97" s="20" t="s">
        <v>566</v>
      </c>
      <c r="C97" s="20" t="s">
        <v>619</v>
      </c>
      <c r="D97" s="150">
        <v>2020000</v>
      </c>
      <c r="E97" s="20" t="s">
        <v>374</v>
      </c>
      <c r="F97" s="20" t="s">
        <v>375</v>
      </c>
      <c r="G97" s="8" t="str">
        <f t="shared" si="1"/>
        <v>SHOOK JOHN</v>
      </c>
    </row>
    <row r="98" spans="1:7" x14ac:dyDescent="0.25">
      <c r="A98" s="8">
        <v>42771.47824074074</v>
      </c>
      <c r="B98" s="20" t="s">
        <v>239</v>
      </c>
      <c r="C98" s="20" t="s">
        <v>620</v>
      </c>
      <c r="D98" s="150">
        <v>1990000</v>
      </c>
      <c r="E98" s="20" t="s">
        <v>545</v>
      </c>
      <c r="F98" s="20" t="s">
        <v>546</v>
      </c>
      <c r="G98" s="8" t="str">
        <f t="shared" si="1"/>
        <v>DAVIS WENDY</v>
      </c>
    </row>
    <row r="99" spans="1:7" x14ac:dyDescent="0.25">
      <c r="A99" s="8">
        <v>42771.483275462961</v>
      </c>
      <c r="B99" s="20" t="s">
        <v>278</v>
      </c>
      <c r="C99" s="20" t="s">
        <v>621</v>
      </c>
      <c r="D99" s="150">
        <v>1830000</v>
      </c>
      <c r="E99" s="20" t="s">
        <v>340</v>
      </c>
      <c r="F99" s="20" t="s">
        <v>341</v>
      </c>
      <c r="G99" s="8" t="str">
        <f t="shared" si="1"/>
        <v>YORK EDGAR</v>
      </c>
    </row>
    <row r="100" spans="1:7" x14ac:dyDescent="0.25">
      <c r="A100" s="8">
        <v>42771.485578703701</v>
      </c>
      <c r="B100" s="20" t="s">
        <v>287</v>
      </c>
      <c r="C100" s="20" t="s">
        <v>622</v>
      </c>
      <c r="D100" s="150">
        <v>2480000</v>
      </c>
      <c r="E100" s="20" t="s">
        <v>346</v>
      </c>
      <c r="F100" s="20" t="s">
        <v>228</v>
      </c>
      <c r="G100" s="8" t="str">
        <f t="shared" si="1"/>
        <v>WHITED DUSTIN</v>
      </c>
    </row>
    <row r="101" spans="1:7" x14ac:dyDescent="0.25">
      <c r="A101" s="8">
        <v>42771.493587962963</v>
      </c>
      <c r="B101" s="20" t="s">
        <v>224</v>
      </c>
      <c r="C101" s="20" t="s">
        <v>623</v>
      </c>
      <c r="D101" s="150">
        <v>880000</v>
      </c>
      <c r="E101" s="20" t="s">
        <v>611</v>
      </c>
      <c r="F101" s="20" t="s">
        <v>207</v>
      </c>
      <c r="G101" s="8" t="str">
        <f t="shared" si="1"/>
        <v>STEWART MICHAEL</v>
      </c>
    </row>
    <row r="102" spans="1:7" x14ac:dyDescent="0.25">
      <c r="A102" s="8">
        <v>42771.494375000002</v>
      </c>
      <c r="B102" s="20" t="s">
        <v>518</v>
      </c>
      <c r="C102" s="20" t="s">
        <v>624</v>
      </c>
      <c r="D102" s="150">
        <v>2250000</v>
      </c>
      <c r="E102" s="20" t="s">
        <v>625</v>
      </c>
      <c r="F102" s="20" t="s">
        <v>626</v>
      </c>
      <c r="G102" s="8" t="str">
        <f t="shared" si="1"/>
        <v>CRAYTON QUNTRELL</v>
      </c>
    </row>
    <row r="103" spans="1:7" x14ac:dyDescent="0.25">
      <c r="A103" s="8">
        <v>42771.498379629629</v>
      </c>
      <c r="B103" s="20" t="s">
        <v>277</v>
      </c>
      <c r="C103" s="20" t="s">
        <v>627</v>
      </c>
      <c r="D103" s="150">
        <v>1830000</v>
      </c>
      <c r="E103" s="20" t="s">
        <v>340</v>
      </c>
      <c r="F103" s="20" t="s">
        <v>341</v>
      </c>
      <c r="G103" s="8" t="str">
        <f t="shared" si="1"/>
        <v>YORK EDGAR</v>
      </c>
    </row>
    <row r="104" spans="1:7" x14ac:dyDescent="0.25">
      <c r="A104" s="8">
        <v>42771.505173611113</v>
      </c>
      <c r="B104" s="20" t="s">
        <v>323</v>
      </c>
      <c r="C104" s="20" t="s">
        <v>628</v>
      </c>
      <c r="D104" s="150">
        <v>2470000</v>
      </c>
      <c r="E104" s="20" t="s">
        <v>604</v>
      </c>
      <c r="F104" s="20" t="s">
        <v>605</v>
      </c>
      <c r="G104" s="8" t="str">
        <f t="shared" si="1"/>
        <v>ROMERO CHAD</v>
      </c>
    </row>
    <row r="105" spans="1:7" x14ac:dyDescent="0.25">
      <c r="A105" s="8">
        <v>42771.505196759259</v>
      </c>
      <c r="B105" s="20" t="s">
        <v>238</v>
      </c>
      <c r="C105" s="20" t="s">
        <v>629</v>
      </c>
      <c r="D105" s="150">
        <v>920000</v>
      </c>
      <c r="E105" s="20" t="s">
        <v>545</v>
      </c>
      <c r="F105" s="20" t="s">
        <v>207</v>
      </c>
      <c r="G105" s="8" t="str">
        <f t="shared" si="1"/>
        <v>DAVIS MICHAEL</v>
      </c>
    </row>
    <row r="106" spans="1:7" x14ac:dyDescent="0.25">
      <c r="A106" s="8">
        <v>42771.517071759263</v>
      </c>
      <c r="B106" s="20" t="s">
        <v>536</v>
      </c>
      <c r="C106" s="20" t="s">
        <v>630</v>
      </c>
      <c r="D106" s="150">
        <v>2030000</v>
      </c>
      <c r="E106" s="20" t="s">
        <v>631</v>
      </c>
      <c r="F106" s="20" t="s">
        <v>632</v>
      </c>
      <c r="G106" s="8" t="str">
        <f t="shared" si="1"/>
        <v>KILLION DAVID</v>
      </c>
    </row>
    <row r="107" spans="1:7" x14ac:dyDescent="0.25">
      <c r="A107" s="8">
        <v>42771.517106481479</v>
      </c>
      <c r="B107" s="20" t="s">
        <v>231</v>
      </c>
      <c r="C107" s="20" t="s">
        <v>633</v>
      </c>
      <c r="D107" s="150">
        <v>1300000</v>
      </c>
      <c r="E107" s="20" t="s">
        <v>617</v>
      </c>
      <c r="F107" s="20" t="s">
        <v>618</v>
      </c>
      <c r="G107" s="8" t="str">
        <f t="shared" si="1"/>
        <v>LEVIN SCOTT</v>
      </c>
    </row>
    <row r="108" spans="1:7" x14ac:dyDescent="0.25">
      <c r="A108" s="8">
        <v>42771.523402777777</v>
      </c>
      <c r="B108" s="20" t="s">
        <v>376</v>
      </c>
      <c r="C108" s="20" t="s">
        <v>634</v>
      </c>
      <c r="D108" s="150">
        <v>2480000</v>
      </c>
      <c r="E108" s="20" t="s">
        <v>346</v>
      </c>
      <c r="F108" s="20" t="s">
        <v>228</v>
      </c>
      <c r="G108" s="8" t="str">
        <f t="shared" si="1"/>
        <v>WHITED DUSTIN</v>
      </c>
    </row>
    <row r="109" spans="1:7" x14ac:dyDescent="0.25">
      <c r="A109" s="8">
        <v>42771.526342592595</v>
      </c>
      <c r="B109" s="20" t="s">
        <v>278</v>
      </c>
      <c r="C109" s="20" t="s">
        <v>635</v>
      </c>
      <c r="D109" s="150">
        <v>1830000</v>
      </c>
      <c r="E109" s="20" t="s">
        <v>340</v>
      </c>
      <c r="F109" s="20" t="s">
        <v>341</v>
      </c>
      <c r="G109" s="8" t="str">
        <f t="shared" si="1"/>
        <v>YORK EDGAR</v>
      </c>
    </row>
    <row r="110" spans="1:7" x14ac:dyDescent="0.25">
      <c r="A110" s="8">
        <v>42771.527731481481</v>
      </c>
      <c r="B110" s="20" t="s">
        <v>248</v>
      </c>
      <c r="C110" s="20" t="s">
        <v>636</v>
      </c>
      <c r="D110" s="150">
        <v>2530000</v>
      </c>
      <c r="E110" s="20" t="s">
        <v>637</v>
      </c>
      <c r="F110" s="20" t="s">
        <v>638</v>
      </c>
      <c r="G110" s="8" t="str">
        <f t="shared" si="1"/>
        <v>LALONDE GREGORY</v>
      </c>
    </row>
    <row r="111" spans="1:7" x14ac:dyDescent="0.25">
      <c r="A111" s="8">
        <v>42771.532488425924</v>
      </c>
      <c r="B111" s="20" t="s">
        <v>562</v>
      </c>
      <c r="C111" s="20" t="s">
        <v>639</v>
      </c>
      <c r="D111" s="150">
        <v>2250000</v>
      </c>
      <c r="E111" s="20" t="s">
        <v>625</v>
      </c>
      <c r="F111" s="20" t="s">
        <v>626</v>
      </c>
      <c r="G111" s="8" t="str">
        <f t="shared" si="1"/>
        <v>CRAYTON QUNTRELL</v>
      </c>
    </row>
    <row r="112" spans="1:7" x14ac:dyDescent="0.25">
      <c r="A112" s="8">
        <v>42771.538599537038</v>
      </c>
      <c r="B112" s="20" t="s">
        <v>316</v>
      </c>
      <c r="C112" s="20" t="s">
        <v>640</v>
      </c>
      <c r="D112" s="150">
        <v>920000</v>
      </c>
      <c r="E112" s="20" t="s">
        <v>545</v>
      </c>
      <c r="F112" s="20" t="s">
        <v>207</v>
      </c>
      <c r="G112" s="8" t="str">
        <f t="shared" si="1"/>
        <v>DAVIS MICHAEL</v>
      </c>
    </row>
    <row r="113" spans="1:7" x14ac:dyDescent="0.25">
      <c r="A113" s="8">
        <v>42771.539097222223</v>
      </c>
      <c r="B113" s="20" t="s">
        <v>277</v>
      </c>
      <c r="C113" s="20" t="s">
        <v>641</v>
      </c>
      <c r="D113" s="150">
        <v>1830000</v>
      </c>
      <c r="E113" s="20" t="s">
        <v>340</v>
      </c>
      <c r="F113" s="20" t="s">
        <v>341</v>
      </c>
      <c r="G113" s="8" t="str">
        <f t="shared" si="1"/>
        <v>YORK EDGAR</v>
      </c>
    </row>
    <row r="114" spans="1:7" x14ac:dyDescent="0.25">
      <c r="A114" s="8">
        <v>42771.539386574077</v>
      </c>
      <c r="B114" s="20" t="s">
        <v>322</v>
      </c>
      <c r="C114" s="20" t="s">
        <v>642</v>
      </c>
      <c r="D114" s="150">
        <v>2470000</v>
      </c>
      <c r="E114" s="20" t="s">
        <v>604</v>
      </c>
      <c r="F114" s="20" t="s">
        <v>605</v>
      </c>
      <c r="G114" s="8" t="str">
        <f t="shared" si="1"/>
        <v>ROMERO CHAD</v>
      </c>
    </row>
    <row r="115" spans="1:7" x14ac:dyDescent="0.25">
      <c r="A115" s="8">
        <v>42771.547974537039</v>
      </c>
      <c r="B115" s="20" t="s">
        <v>197</v>
      </c>
      <c r="C115" s="20" t="s">
        <v>643</v>
      </c>
      <c r="D115" s="150">
        <v>1300000</v>
      </c>
      <c r="E115" s="20" t="s">
        <v>617</v>
      </c>
      <c r="F115" s="20" t="s">
        <v>618</v>
      </c>
      <c r="G115" s="8" t="str">
        <f t="shared" si="1"/>
        <v>LEVIN SCOTT</v>
      </c>
    </row>
    <row r="116" spans="1:7" x14ac:dyDescent="0.25">
      <c r="A116" s="8">
        <v>42771.553113425929</v>
      </c>
      <c r="B116" s="20" t="s">
        <v>566</v>
      </c>
      <c r="C116" s="20" t="s">
        <v>644</v>
      </c>
      <c r="D116" s="150">
        <v>2030000</v>
      </c>
      <c r="E116" s="20" t="s">
        <v>631</v>
      </c>
      <c r="F116" s="20" t="s">
        <v>632</v>
      </c>
      <c r="G116" s="8" t="str">
        <f t="shared" si="1"/>
        <v>KILLION DAVID</v>
      </c>
    </row>
    <row r="117" spans="1:7" x14ac:dyDescent="0.25">
      <c r="A117" s="8">
        <v>42771.558599537035</v>
      </c>
      <c r="B117" s="20" t="s">
        <v>287</v>
      </c>
      <c r="C117" s="20" t="s">
        <v>645</v>
      </c>
      <c r="D117" s="150">
        <v>2480000</v>
      </c>
      <c r="E117" s="20" t="s">
        <v>346</v>
      </c>
      <c r="F117" s="20" t="s">
        <v>228</v>
      </c>
      <c r="G117" s="8" t="str">
        <f t="shared" si="1"/>
        <v>WHITED DUSTIN</v>
      </c>
    </row>
    <row r="118" spans="1:7" x14ac:dyDescent="0.25">
      <c r="A118" s="8">
        <v>42771.559895833336</v>
      </c>
      <c r="B118" s="20" t="s">
        <v>224</v>
      </c>
      <c r="C118" s="20" t="s">
        <v>646</v>
      </c>
      <c r="D118" s="150">
        <v>2530000</v>
      </c>
      <c r="E118" s="20" t="s">
        <v>637</v>
      </c>
      <c r="F118" s="20" t="s">
        <v>638</v>
      </c>
      <c r="G118" s="8" t="str">
        <f t="shared" si="1"/>
        <v>LALONDE GREGORY</v>
      </c>
    </row>
    <row r="119" spans="1:7" x14ac:dyDescent="0.25">
      <c r="A119" s="8">
        <v>42771.566435185188</v>
      </c>
      <c r="B119" s="20" t="s">
        <v>278</v>
      </c>
      <c r="C119" s="20" t="s">
        <v>647</v>
      </c>
      <c r="D119" s="150">
        <v>1830000</v>
      </c>
      <c r="E119" s="20" t="s">
        <v>340</v>
      </c>
      <c r="F119" s="20" t="s">
        <v>341</v>
      </c>
      <c r="G119" s="8" t="str">
        <f t="shared" si="1"/>
        <v>YORK EDGAR</v>
      </c>
    </row>
    <row r="120" spans="1:7" x14ac:dyDescent="0.25">
      <c r="A120" s="8">
        <v>42771.56758101852</v>
      </c>
      <c r="B120" s="20" t="s">
        <v>518</v>
      </c>
      <c r="C120" s="20" t="s">
        <v>648</v>
      </c>
      <c r="D120" s="150">
        <v>2250000</v>
      </c>
      <c r="E120" s="20" t="s">
        <v>625</v>
      </c>
      <c r="F120" s="20" t="s">
        <v>626</v>
      </c>
      <c r="G120" s="8" t="str">
        <f t="shared" si="1"/>
        <v>CRAYTON QUNTRELL</v>
      </c>
    </row>
    <row r="121" spans="1:7" x14ac:dyDescent="0.25">
      <c r="A121" s="8">
        <v>42771.578182870369</v>
      </c>
      <c r="B121" s="20" t="s">
        <v>238</v>
      </c>
      <c r="C121" s="20" t="s">
        <v>649</v>
      </c>
      <c r="D121" s="150">
        <v>920000</v>
      </c>
      <c r="E121" s="20" t="s">
        <v>545</v>
      </c>
      <c r="F121" s="20" t="s">
        <v>207</v>
      </c>
      <c r="G121" s="8" t="str">
        <f t="shared" si="1"/>
        <v>DAVIS MICHAEL</v>
      </c>
    </row>
    <row r="122" spans="1:7" x14ac:dyDescent="0.25">
      <c r="A122" s="8">
        <v>42771.578634259262</v>
      </c>
      <c r="B122" s="25" t="s">
        <v>323</v>
      </c>
      <c r="C122" s="20" t="s">
        <v>650</v>
      </c>
      <c r="D122" s="150">
        <v>2470000</v>
      </c>
      <c r="E122" s="20" t="s">
        <v>604</v>
      </c>
      <c r="F122" s="20" t="s">
        <v>605</v>
      </c>
      <c r="G122" s="8" t="str">
        <f t="shared" si="1"/>
        <v>ROMERO CHAD</v>
      </c>
    </row>
    <row r="123" spans="1:7" x14ac:dyDescent="0.25">
      <c r="A123" s="8">
        <v>42771.587523148148</v>
      </c>
      <c r="B123" s="20" t="s">
        <v>198</v>
      </c>
      <c r="C123" s="20" t="s">
        <v>508</v>
      </c>
      <c r="D123" s="150">
        <v>2440000</v>
      </c>
      <c r="E123" s="20" t="s">
        <v>651</v>
      </c>
      <c r="F123" s="20" t="s">
        <v>652</v>
      </c>
      <c r="G123" s="8" t="str">
        <f t="shared" si="1"/>
        <v>LOPES KIMBERLY</v>
      </c>
    </row>
    <row r="124" spans="1:7" x14ac:dyDescent="0.25">
      <c r="A124" s="8">
        <v>42771.588738425926</v>
      </c>
      <c r="B124" s="20" t="s">
        <v>231</v>
      </c>
      <c r="C124" s="20" t="s">
        <v>653</v>
      </c>
      <c r="D124" s="150">
        <v>1300000</v>
      </c>
      <c r="E124" s="20" t="s">
        <v>617</v>
      </c>
      <c r="F124" s="20" t="s">
        <v>618</v>
      </c>
      <c r="G124" s="8" t="str">
        <f t="shared" si="1"/>
        <v>LEVIN SCOTT</v>
      </c>
    </row>
    <row r="125" spans="1:7" x14ac:dyDescent="0.25">
      <c r="A125" s="8">
        <v>42771.594525462962</v>
      </c>
      <c r="B125" s="20" t="s">
        <v>277</v>
      </c>
      <c r="C125" s="20" t="s">
        <v>654</v>
      </c>
      <c r="D125" s="150">
        <v>1540000</v>
      </c>
      <c r="E125" s="20" t="s">
        <v>344</v>
      </c>
      <c r="F125" s="20" t="s">
        <v>345</v>
      </c>
      <c r="G125" s="8" t="str">
        <f t="shared" si="1"/>
        <v>HELVIE ADAM</v>
      </c>
    </row>
    <row r="126" spans="1:7" x14ac:dyDescent="0.25">
      <c r="A126" s="8">
        <v>42771.594976851855</v>
      </c>
      <c r="B126" s="20" t="s">
        <v>376</v>
      </c>
      <c r="C126" s="20" t="s">
        <v>655</v>
      </c>
      <c r="D126" s="150">
        <v>2480000</v>
      </c>
      <c r="E126" s="20" t="s">
        <v>346</v>
      </c>
      <c r="F126" s="20" t="s">
        <v>228</v>
      </c>
      <c r="G126" s="8" t="str">
        <f t="shared" si="1"/>
        <v>WHITED DUSTIN</v>
      </c>
    </row>
    <row r="127" spans="1:7" x14ac:dyDescent="0.25">
      <c r="A127" s="8">
        <v>42771.599085648151</v>
      </c>
      <c r="B127" s="20" t="s">
        <v>198</v>
      </c>
      <c r="C127" s="20" t="s">
        <v>508</v>
      </c>
      <c r="D127" s="150">
        <v>2440000</v>
      </c>
      <c r="E127" s="20" t="s">
        <v>651</v>
      </c>
      <c r="F127" s="20" t="s">
        <v>652</v>
      </c>
      <c r="G127" s="8" t="str">
        <f t="shared" si="1"/>
        <v>LOPES KIMBERLY</v>
      </c>
    </row>
    <row r="128" spans="1:7" x14ac:dyDescent="0.25">
      <c r="A128" s="8">
        <v>42771.602199074077</v>
      </c>
      <c r="B128" s="20" t="s">
        <v>248</v>
      </c>
      <c r="C128" s="20" t="s">
        <v>656</v>
      </c>
      <c r="D128" s="150">
        <v>880000</v>
      </c>
      <c r="E128" s="20" t="s">
        <v>611</v>
      </c>
      <c r="F128" s="20" t="s">
        <v>207</v>
      </c>
      <c r="G128" s="8" t="str">
        <f t="shared" si="1"/>
        <v>STEWART MICHAEL</v>
      </c>
    </row>
    <row r="129" spans="1:7" x14ac:dyDescent="0.25">
      <c r="A129" s="8">
        <v>42771.606296296297</v>
      </c>
      <c r="B129" s="20" t="s">
        <v>562</v>
      </c>
      <c r="C129" s="20" t="s">
        <v>657</v>
      </c>
      <c r="D129" s="150">
        <v>2250000</v>
      </c>
      <c r="E129" s="20" t="s">
        <v>625</v>
      </c>
      <c r="F129" s="20" t="s">
        <v>626</v>
      </c>
      <c r="G129" s="8" t="str">
        <f t="shared" si="1"/>
        <v>CRAYTON QUNTRELL</v>
      </c>
    </row>
    <row r="130" spans="1:7" x14ac:dyDescent="0.25">
      <c r="A130" s="8">
        <v>42771.608599537038</v>
      </c>
      <c r="B130" s="20" t="s">
        <v>278</v>
      </c>
      <c r="C130" s="20" t="s">
        <v>509</v>
      </c>
      <c r="D130" s="150">
        <v>1540000</v>
      </c>
      <c r="E130" s="20" t="s">
        <v>344</v>
      </c>
      <c r="F130" s="20" t="s">
        <v>345</v>
      </c>
      <c r="G130" s="8" t="str">
        <f t="shared" si="1"/>
        <v>HELVIE ADAM</v>
      </c>
    </row>
    <row r="131" spans="1:7" x14ac:dyDescent="0.25">
      <c r="A131" s="8">
        <v>42771.611446759256</v>
      </c>
      <c r="B131" s="20" t="s">
        <v>322</v>
      </c>
      <c r="C131" s="20" t="s">
        <v>658</v>
      </c>
      <c r="D131" s="150">
        <v>2470000</v>
      </c>
      <c r="E131" s="20" t="s">
        <v>604</v>
      </c>
      <c r="F131" s="20" t="s">
        <v>605</v>
      </c>
      <c r="G131" s="8" t="str">
        <f t="shared" ref="G131:G194" si="2">E131&amp;" "&amp;F131</f>
        <v>ROMERO CHAD</v>
      </c>
    </row>
    <row r="132" spans="1:7" x14ac:dyDescent="0.25">
      <c r="A132" s="8">
        <v>42771.611631944441</v>
      </c>
      <c r="B132" s="20" t="s">
        <v>316</v>
      </c>
      <c r="C132" s="20" t="s">
        <v>510</v>
      </c>
      <c r="D132" s="150">
        <v>920000</v>
      </c>
      <c r="E132" s="20" t="s">
        <v>545</v>
      </c>
      <c r="F132" s="20" t="s">
        <v>207</v>
      </c>
      <c r="G132" s="8" t="str">
        <f t="shared" si="2"/>
        <v>DAVIS MICHAEL</v>
      </c>
    </row>
    <row r="133" spans="1:7" x14ac:dyDescent="0.25">
      <c r="A133" s="8">
        <v>42771.621990740743</v>
      </c>
      <c r="B133" s="20" t="s">
        <v>197</v>
      </c>
      <c r="C133" s="20" t="s">
        <v>511</v>
      </c>
      <c r="D133" s="150">
        <v>1300000</v>
      </c>
      <c r="E133" s="20" t="s">
        <v>617</v>
      </c>
      <c r="F133" s="20" t="s">
        <v>618</v>
      </c>
      <c r="G133" s="8" t="str">
        <f t="shared" si="2"/>
        <v>LEVIN SCOTT</v>
      </c>
    </row>
    <row r="134" spans="1:7" x14ac:dyDescent="0.25">
      <c r="A134" s="8">
        <v>42771.624259259261</v>
      </c>
      <c r="B134" s="20" t="s">
        <v>540</v>
      </c>
      <c r="C134" s="20" t="s">
        <v>659</v>
      </c>
      <c r="D134" s="150">
        <v>2440000</v>
      </c>
      <c r="E134" s="20" t="s">
        <v>651</v>
      </c>
      <c r="F134" s="20" t="s">
        <v>652</v>
      </c>
      <c r="G134" s="8" t="str">
        <f t="shared" si="2"/>
        <v>LOPES KIMBERLY</v>
      </c>
    </row>
    <row r="135" spans="1:7" x14ac:dyDescent="0.25">
      <c r="A135" s="8">
        <v>42771.633437500001</v>
      </c>
      <c r="B135" s="20" t="s">
        <v>287</v>
      </c>
      <c r="C135" s="20" t="s">
        <v>660</v>
      </c>
      <c r="D135" s="150">
        <v>2480000</v>
      </c>
      <c r="E135" s="20" t="s">
        <v>346</v>
      </c>
      <c r="F135" s="20" t="s">
        <v>228</v>
      </c>
      <c r="G135" s="8" t="str">
        <f t="shared" si="2"/>
        <v>WHITED DUSTIN</v>
      </c>
    </row>
    <row r="136" spans="1:7" x14ac:dyDescent="0.25">
      <c r="A136" s="8">
        <v>42771.637939814813</v>
      </c>
      <c r="B136" s="20" t="s">
        <v>277</v>
      </c>
      <c r="C136" s="20" t="s">
        <v>661</v>
      </c>
      <c r="D136" s="150">
        <v>1540000</v>
      </c>
      <c r="E136" s="20" t="s">
        <v>344</v>
      </c>
      <c r="F136" s="20" t="s">
        <v>345</v>
      </c>
      <c r="G136" s="8" t="str">
        <f t="shared" si="2"/>
        <v>HELVIE ADAM</v>
      </c>
    </row>
    <row r="137" spans="1:7" x14ac:dyDescent="0.25">
      <c r="A137" s="8">
        <v>42771.641689814816</v>
      </c>
      <c r="B137" s="20" t="s">
        <v>224</v>
      </c>
      <c r="C137" s="20" t="s">
        <v>662</v>
      </c>
      <c r="D137" s="150">
        <v>880000</v>
      </c>
      <c r="E137" s="20" t="s">
        <v>611</v>
      </c>
      <c r="F137" s="20" t="s">
        <v>207</v>
      </c>
      <c r="G137" s="8" t="str">
        <f t="shared" si="2"/>
        <v>STEWART MICHAEL</v>
      </c>
    </row>
    <row r="138" spans="1:7" x14ac:dyDescent="0.25">
      <c r="A138" s="8">
        <v>42771.644687499997</v>
      </c>
      <c r="B138" s="20" t="s">
        <v>518</v>
      </c>
      <c r="C138" s="20" t="s">
        <v>663</v>
      </c>
      <c r="D138" s="150">
        <v>2250000</v>
      </c>
      <c r="E138" s="20" t="s">
        <v>625</v>
      </c>
      <c r="F138" s="20" t="s">
        <v>626</v>
      </c>
      <c r="G138" s="8" t="str">
        <f t="shared" si="2"/>
        <v>CRAYTON QUNTRELL</v>
      </c>
    </row>
    <row r="139" spans="1:7" x14ac:dyDescent="0.25">
      <c r="A139" s="8">
        <v>42771.651620370372</v>
      </c>
      <c r="B139" s="20" t="s">
        <v>278</v>
      </c>
      <c r="C139" s="20" t="s">
        <v>664</v>
      </c>
      <c r="D139" s="150">
        <v>1540000</v>
      </c>
      <c r="E139" s="20" t="s">
        <v>344</v>
      </c>
      <c r="F139" s="20" t="s">
        <v>345</v>
      </c>
      <c r="G139" s="8" t="str">
        <f t="shared" si="2"/>
        <v>HELVIE ADAM</v>
      </c>
    </row>
    <row r="140" spans="1:7" x14ac:dyDescent="0.25">
      <c r="A140" s="8">
        <v>42771.652037037034</v>
      </c>
      <c r="B140" s="20" t="s">
        <v>238</v>
      </c>
      <c r="C140" s="20" t="s">
        <v>665</v>
      </c>
      <c r="D140" s="150">
        <v>920000</v>
      </c>
      <c r="E140" s="20" t="s">
        <v>545</v>
      </c>
      <c r="F140" s="20" t="s">
        <v>207</v>
      </c>
      <c r="G140" s="8" t="str">
        <f t="shared" si="2"/>
        <v>DAVIS MICHAEL</v>
      </c>
    </row>
    <row r="141" spans="1:7" x14ac:dyDescent="0.25">
      <c r="A141" s="8">
        <v>42771.652349537035</v>
      </c>
      <c r="B141" s="20" t="s">
        <v>323</v>
      </c>
      <c r="C141" s="20" t="s">
        <v>666</v>
      </c>
      <c r="D141" s="150">
        <v>2470000</v>
      </c>
      <c r="E141" s="20" t="s">
        <v>604</v>
      </c>
      <c r="F141" s="20" t="s">
        <v>605</v>
      </c>
      <c r="G141" s="8" t="str">
        <f t="shared" si="2"/>
        <v>ROMERO CHAD</v>
      </c>
    </row>
    <row r="142" spans="1:7" x14ac:dyDescent="0.25">
      <c r="A142" s="8">
        <v>42771.66070601852</v>
      </c>
      <c r="B142" s="20" t="s">
        <v>231</v>
      </c>
      <c r="C142" s="20" t="s">
        <v>667</v>
      </c>
      <c r="D142" s="150">
        <v>1300000</v>
      </c>
      <c r="E142" s="20" t="s">
        <v>617</v>
      </c>
      <c r="F142" s="20" t="s">
        <v>618</v>
      </c>
      <c r="G142" s="8" t="str">
        <f t="shared" si="2"/>
        <v>LEVIN SCOTT</v>
      </c>
    </row>
    <row r="143" spans="1:7" x14ac:dyDescent="0.25">
      <c r="A143" s="8">
        <v>42771.662743055553</v>
      </c>
      <c r="B143" s="20" t="s">
        <v>198</v>
      </c>
      <c r="C143" s="20" t="s">
        <v>668</v>
      </c>
      <c r="D143" s="150">
        <v>2030000</v>
      </c>
      <c r="E143" s="20" t="s">
        <v>631</v>
      </c>
      <c r="F143" s="20" t="s">
        <v>632</v>
      </c>
      <c r="G143" s="8" t="str">
        <f t="shared" si="2"/>
        <v>KILLION DAVID</v>
      </c>
    </row>
    <row r="144" spans="1:7" x14ac:dyDescent="0.25">
      <c r="A144" s="8">
        <v>42771.666701388887</v>
      </c>
      <c r="B144" s="20" t="s">
        <v>376</v>
      </c>
      <c r="C144" s="20" t="s">
        <v>669</v>
      </c>
      <c r="D144" s="150">
        <v>2530000</v>
      </c>
      <c r="E144" s="20" t="s">
        <v>637</v>
      </c>
      <c r="F144" s="20" t="s">
        <v>638</v>
      </c>
      <c r="G144" s="8" t="str">
        <f t="shared" si="2"/>
        <v>LALONDE GREGORY</v>
      </c>
    </row>
    <row r="145" spans="1:7" x14ac:dyDescent="0.25">
      <c r="A145" s="8">
        <v>42771.675243055557</v>
      </c>
      <c r="B145" s="20" t="s">
        <v>248</v>
      </c>
      <c r="C145" s="20" t="s">
        <v>513</v>
      </c>
      <c r="D145" s="150">
        <v>880000</v>
      </c>
      <c r="E145" s="20" t="s">
        <v>611</v>
      </c>
      <c r="F145" s="20" t="s">
        <v>207</v>
      </c>
      <c r="G145" s="8" t="str">
        <f t="shared" si="2"/>
        <v>STEWART MICHAEL</v>
      </c>
    </row>
    <row r="146" spans="1:7" x14ac:dyDescent="0.25">
      <c r="A146" s="8">
        <v>42771.676759259259</v>
      </c>
      <c r="B146" s="20" t="s">
        <v>562</v>
      </c>
      <c r="C146" s="20" t="s">
        <v>670</v>
      </c>
      <c r="D146" s="150">
        <v>2250000</v>
      </c>
      <c r="E146" s="20" t="s">
        <v>625</v>
      </c>
      <c r="F146" s="20" t="s">
        <v>626</v>
      </c>
      <c r="G146" s="8" t="str">
        <f t="shared" si="2"/>
        <v>CRAYTON QUNTRELL</v>
      </c>
    </row>
    <row r="147" spans="1:7" x14ac:dyDescent="0.25">
      <c r="A147" s="8">
        <v>42771.680335648147</v>
      </c>
      <c r="B147" s="20" t="s">
        <v>277</v>
      </c>
      <c r="C147" s="20" t="s">
        <v>512</v>
      </c>
      <c r="D147" s="150">
        <v>1540000</v>
      </c>
      <c r="E147" s="20" t="s">
        <v>344</v>
      </c>
      <c r="F147" s="20" t="s">
        <v>345</v>
      </c>
      <c r="G147" s="8" t="str">
        <f t="shared" si="2"/>
        <v>HELVIE ADAM</v>
      </c>
    </row>
    <row r="148" spans="1:7" x14ac:dyDescent="0.25">
      <c r="A148" s="8">
        <v>42771.683749999997</v>
      </c>
      <c r="B148" s="20" t="s">
        <v>322</v>
      </c>
      <c r="C148" s="20" t="s">
        <v>671</v>
      </c>
      <c r="D148" s="150">
        <v>2470000</v>
      </c>
      <c r="E148" s="20" t="s">
        <v>604</v>
      </c>
      <c r="F148" s="20" t="s">
        <v>605</v>
      </c>
      <c r="G148" s="8" t="str">
        <f t="shared" si="2"/>
        <v>ROMERO CHAD</v>
      </c>
    </row>
    <row r="149" spans="1:7" x14ac:dyDescent="0.25">
      <c r="A149" s="8">
        <v>42771.68650462963</v>
      </c>
      <c r="B149" s="20" t="s">
        <v>316</v>
      </c>
      <c r="C149" s="20" t="s">
        <v>514</v>
      </c>
      <c r="D149" s="150">
        <v>920000</v>
      </c>
      <c r="E149" s="20" t="s">
        <v>545</v>
      </c>
      <c r="F149" s="20" t="s">
        <v>207</v>
      </c>
      <c r="G149" s="8" t="str">
        <f t="shared" si="2"/>
        <v>DAVIS MICHAEL</v>
      </c>
    </row>
    <row r="150" spans="1:7" x14ac:dyDescent="0.25">
      <c r="A150" s="8">
        <v>42771.694386574076</v>
      </c>
      <c r="B150" s="20" t="s">
        <v>278</v>
      </c>
      <c r="C150" s="20" t="s">
        <v>672</v>
      </c>
      <c r="D150" s="150">
        <v>1540000</v>
      </c>
      <c r="E150" s="20" t="s">
        <v>344</v>
      </c>
      <c r="F150" s="20" t="s">
        <v>345</v>
      </c>
      <c r="G150" s="8" t="str">
        <f t="shared" si="2"/>
        <v>HELVIE ADAM</v>
      </c>
    </row>
    <row r="151" spans="1:7" x14ac:dyDescent="0.25">
      <c r="A151" s="8">
        <v>42771.697199074071</v>
      </c>
      <c r="B151" s="20" t="s">
        <v>197</v>
      </c>
      <c r="C151" s="20" t="s">
        <v>673</v>
      </c>
      <c r="D151" s="150">
        <v>1300000</v>
      </c>
      <c r="E151" s="20" t="s">
        <v>617</v>
      </c>
      <c r="F151" s="20" t="s">
        <v>618</v>
      </c>
      <c r="G151" s="8" t="str">
        <f t="shared" si="2"/>
        <v>LEVIN SCOTT</v>
      </c>
    </row>
    <row r="152" spans="1:7" x14ac:dyDescent="0.25">
      <c r="A152" s="8">
        <v>42771.699074074073</v>
      </c>
      <c r="B152" s="20" t="s">
        <v>540</v>
      </c>
      <c r="C152" s="20" t="s">
        <v>674</v>
      </c>
      <c r="D152" s="150">
        <v>2030000</v>
      </c>
      <c r="E152" s="20" t="s">
        <v>631</v>
      </c>
      <c r="F152" s="20" t="s">
        <v>632</v>
      </c>
      <c r="G152" s="8" t="str">
        <f t="shared" si="2"/>
        <v>KILLION DAVID</v>
      </c>
    </row>
    <row r="153" spans="1:7" x14ac:dyDescent="0.25">
      <c r="A153" s="8">
        <v>42771.704930555556</v>
      </c>
      <c r="B153" s="20" t="s">
        <v>287</v>
      </c>
      <c r="C153" s="20" t="s">
        <v>675</v>
      </c>
      <c r="D153" s="150">
        <v>2420000</v>
      </c>
      <c r="E153" s="20" t="s">
        <v>676</v>
      </c>
      <c r="F153" s="20" t="s">
        <v>677</v>
      </c>
      <c r="G153" s="8" t="str">
        <f t="shared" si="2"/>
        <v>HOLCOMB KAMDEN</v>
      </c>
    </row>
    <row r="154" spans="1:7" x14ac:dyDescent="0.25">
      <c r="A154" s="8">
        <v>42771.706250000003</v>
      </c>
      <c r="B154" s="20" t="s">
        <v>536</v>
      </c>
      <c r="C154" s="20" t="s">
        <v>678</v>
      </c>
      <c r="D154" s="150">
        <v>2480000</v>
      </c>
      <c r="E154" s="20" t="s">
        <v>346</v>
      </c>
      <c r="F154" s="20" t="s">
        <v>228</v>
      </c>
      <c r="G154" s="8" t="str">
        <f t="shared" si="2"/>
        <v>WHITED DUSTIN</v>
      </c>
    </row>
    <row r="155" spans="1:7" x14ac:dyDescent="0.25">
      <c r="A155" s="8">
        <v>42771.712824074071</v>
      </c>
      <c r="B155" s="20" t="s">
        <v>224</v>
      </c>
      <c r="C155" s="20" t="s">
        <v>679</v>
      </c>
      <c r="D155" s="150">
        <v>880000</v>
      </c>
      <c r="E155" s="20" t="s">
        <v>611</v>
      </c>
      <c r="F155" s="20" t="s">
        <v>207</v>
      </c>
      <c r="G155" s="8" t="str">
        <f t="shared" si="2"/>
        <v>STEWART MICHAEL</v>
      </c>
    </row>
    <row r="156" spans="1:7" x14ac:dyDescent="0.25">
      <c r="A156" s="8">
        <v>42771.715416666666</v>
      </c>
      <c r="B156" s="20" t="s">
        <v>518</v>
      </c>
      <c r="C156" s="20" t="s">
        <v>680</v>
      </c>
      <c r="D156" s="150">
        <v>2610000</v>
      </c>
      <c r="E156" s="20" t="s">
        <v>681</v>
      </c>
      <c r="F156" s="20" t="s">
        <v>682</v>
      </c>
      <c r="G156" s="8" t="str">
        <f t="shared" si="2"/>
        <v>MAGEE KENYA</v>
      </c>
    </row>
    <row r="157" spans="1:7" x14ac:dyDescent="0.25">
      <c r="A157" s="8">
        <v>42771.720949074072</v>
      </c>
      <c r="B157" s="20" t="s">
        <v>277</v>
      </c>
      <c r="C157" s="20" t="s">
        <v>683</v>
      </c>
      <c r="D157" s="150">
        <v>1540000</v>
      </c>
      <c r="E157" s="20" t="s">
        <v>344</v>
      </c>
      <c r="F157" s="20" t="s">
        <v>345</v>
      </c>
      <c r="G157" s="8" t="str">
        <f t="shared" si="2"/>
        <v>HELVIE ADAM</v>
      </c>
    </row>
    <row r="158" spans="1:7" x14ac:dyDescent="0.25">
      <c r="A158" s="8">
        <v>42771.722337962965</v>
      </c>
      <c r="B158" s="20" t="s">
        <v>323</v>
      </c>
      <c r="C158" s="20" t="s">
        <v>684</v>
      </c>
      <c r="D158" s="150">
        <v>2250000</v>
      </c>
      <c r="E158" s="20" t="s">
        <v>625</v>
      </c>
      <c r="F158" s="20" t="s">
        <v>626</v>
      </c>
      <c r="G158" s="8" t="str">
        <f t="shared" si="2"/>
        <v>CRAYTON QUNTRELL</v>
      </c>
    </row>
    <row r="159" spans="1:7" x14ac:dyDescent="0.25">
      <c r="A159" s="8">
        <v>42771.722939814812</v>
      </c>
      <c r="B159" s="20" t="s">
        <v>378</v>
      </c>
      <c r="C159" s="20" t="s">
        <v>685</v>
      </c>
      <c r="D159" s="150">
        <v>2440000</v>
      </c>
      <c r="E159" s="20" t="s">
        <v>651</v>
      </c>
      <c r="F159" s="20" t="s">
        <v>652</v>
      </c>
      <c r="G159" s="8" t="str">
        <f t="shared" si="2"/>
        <v>LOPES KIMBERLY</v>
      </c>
    </row>
    <row r="160" spans="1:7" x14ac:dyDescent="0.25">
      <c r="A160" s="8">
        <v>42771.724606481483</v>
      </c>
      <c r="B160" s="20" t="s">
        <v>238</v>
      </c>
      <c r="C160" s="20" t="s">
        <v>516</v>
      </c>
      <c r="D160" s="150">
        <v>920000</v>
      </c>
      <c r="E160" s="20" t="s">
        <v>545</v>
      </c>
      <c r="F160" s="20" t="s">
        <v>207</v>
      </c>
      <c r="G160" s="8" t="str">
        <f t="shared" si="2"/>
        <v>DAVIS MICHAEL</v>
      </c>
    </row>
    <row r="161" spans="1:7" x14ac:dyDescent="0.25">
      <c r="A161" s="8">
        <v>42771.729363425926</v>
      </c>
      <c r="B161" s="20" t="s">
        <v>323</v>
      </c>
      <c r="C161" s="20" t="s">
        <v>684</v>
      </c>
      <c r="D161" s="150">
        <v>2250000</v>
      </c>
      <c r="E161" s="20" t="s">
        <v>625</v>
      </c>
      <c r="F161" s="20" t="s">
        <v>626</v>
      </c>
      <c r="G161" s="8" t="str">
        <f t="shared" si="2"/>
        <v>CRAYTON QUNTRELL</v>
      </c>
    </row>
    <row r="162" spans="1:7" x14ac:dyDescent="0.25">
      <c r="A162" s="8">
        <v>42771.730069444442</v>
      </c>
      <c r="B162" s="20" t="s">
        <v>231</v>
      </c>
      <c r="C162" s="20" t="s">
        <v>686</v>
      </c>
      <c r="D162" s="150">
        <v>1300000</v>
      </c>
      <c r="E162" s="20" t="s">
        <v>617</v>
      </c>
      <c r="F162" s="20" t="s">
        <v>618</v>
      </c>
      <c r="G162" s="8" t="str">
        <f t="shared" si="2"/>
        <v>LEVIN SCOTT</v>
      </c>
    </row>
    <row r="163" spans="1:7" x14ac:dyDescent="0.25">
      <c r="A163" s="8">
        <v>42771.734490740739</v>
      </c>
      <c r="B163" s="20" t="s">
        <v>278</v>
      </c>
      <c r="C163" s="20" t="s">
        <v>687</v>
      </c>
      <c r="D163" s="150">
        <v>1540000</v>
      </c>
      <c r="E163" s="20" t="s">
        <v>344</v>
      </c>
      <c r="F163" s="20" t="s">
        <v>345</v>
      </c>
      <c r="G163" s="8" t="str">
        <f t="shared" si="2"/>
        <v>HELVIE ADAM</v>
      </c>
    </row>
    <row r="164" spans="1:7" x14ac:dyDescent="0.25">
      <c r="A164" s="8">
        <v>42771.73578703704</v>
      </c>
      <c r="B164" s="20" t="s">
        <v>214</v>
      </c>
      <c r="C164" s="20" t="s">
        <v>688</v>
      </c>
      <c r="D164" s="150">
        <v>2230000</v>
      </c>
      <c r="E164" s="20" t="s">
        <v>377</v>
      </c>
      <c r="F164" s="20" t="s">
        <v>207</v>
      </c>
      <c r="G164" s="8" t="str">
        <f t="shared" si="2"/>
        <v>SMITH MICHAEL</v>
      </c>
    </row>
    <row r="165" spans="1:7" x14ac:dyDescent="0.25">
      <c r="A165" s="8">
        <v>42771.738055555557</v>
      </c>
      <c r="B165" s="20" t="s">
        <v>198</v>
      </c>
      <c r="C165" s="20" t="s">
        <v>515</v>
      </c>
      <c r="D165" s="150">
        <v>1810000</v>
      </c>
      <c r="E165" s="20" t="s">
        <v>210</v>
      </c>
      <c r="F165" s="20" t="s">
        <v>203</v>
      </c>
      <c r="G165" s="8" t="str">
        <f t="shared" si="2"/>
        <v>NEWELL JAMES</v>
      </c>
    </row>
    <row r="166" spans="1:7" x14ac:dyDescent="0.25">
      <c r="A166" s="8">
        <v>42771.742407407408</v>
      </c>
      <c r="B166" s="20" t="s">
        <v>566</v>
      </c>
      <c r="C166" s="20" t="s">
        <v>689</v>
      </c>
      <c r="D166" s="150">
        <v>2480000</v>
      </c>
      <c r="E166" s="20" t="s">
        <v>346</v>
      </c>
      <c r="F166" s="20" t="s">
        <v>228</v>
      </c>
      <c r="G166" s="8" t="str">
        <f t="shared" si="2"/>
        <v>WHITED DUSTIN</v>
      </c>
    </row>
    <row r="167" spans="1:7" x14ac:dyDescent="0.25">
      <c r="A167" s="8">
        <v>42771.744305555556</v>
      </c>
      <c r="B167" s="20" t="s">
        <v>248</v>
      </c>
      <c r="C167" s="20" t="s">
        <v>690</v>
      </c>
      <c r="D167" s="150">
        <v>2030000</v>
      </c>
      <c r="E167" s="20" t="s">
        <v>631</v>
      </c>
      <c r="F167" s="20" t="s">
        <v>632</v>
      </c>
      <c r="G167" s="8" t="str">
        <f t="shared" si="2"/>
        <v>KILLION DAVID</v>
      </c>
    </row>
    <row r="168" spans="1:7" x14ac:dyDescent="0.25">
      <c r="A168" s="8">
        <v>42771.75403935185</v>
      </c>
      <c r="B168" s="20" t="s">
        <v>230</v>
      </c>
      <c r="C168" s="20" t="s">
        <v>691</v>
      </c>
      <c r="D168" s="150">
        <v>2670000</v>
      </c>
      <c r="E168" s="20" t="s">
        <v>257</v>
      </c>
      <c r="F168" s="20" t="s">
        <v>258</v>
      </c>
      <c r="G168" s="8" t="str">
        <f t="shared" si="2"/>
        <v>COMELLA JUSTIN</v>
      </c>
    </row>
    <row r="169" spans="1:7" x14ac:dyDescent="0.25">
      <c r="A169" s="8">
        <v>42771.754548611112</v>
      </c>
      <c r="B169" s="20" t="s">
        <v>562</v>
      </c>
      <c r="C169" s="20" t="s">
        <v>692</v>
      </c>
      <c r="D169" s="150">
        <v>2610000</v>
      </c>
      <c r="E169" s="20" t="s">
        <v>681</v>
      </c>
      <c r="F169" s="20" t="s">
        <v>682</v>
      </c>
      <c r="G169" s="8" t="str">
        <f t="shared" si="2"/>
        <v>MAGEE KENYA</v>
      </c>
    </row>
    <row r="170" spans="1:7" x14ac:dyDescent="0.25">
      <c r="A170" s="8">
        <v>42771.758634259262</v>
      </c>
      <c r="B170" s="20" t="s">
        <v>316</v>
      </c>
      <c r="C170" s="20" t="s">
        <v>693</v>
      </c>
      <c r="D170" s="150">
        <v>2230000</v>
      </c>
      <c r="E170" s="20" t="s">
        <v>377</v>
      </c>
      <c r="F170" s="20" t="s">
        <v>207</v>
      </c>
      <c r="G170" s="8" t="str">
        <f t="shared" si="2"/>
        <v>SMITH MICHAEL</v>
      </c>
    </row>
    <row r="171" spans="1:7" x14ac:dyDescent="0.25">
      <c r="A171" s="8">
        <v>42771.761377314811</v>
      </c>
      <c r="B171" s="20" t="s">
        <v>277</v>
      </c>
      <c r="C171" s="20" t="s">
        <v>517</v>
      </c>
      <c r="D171" s="150">
        <v>1540000</v>
      </c>
      <c r="E171" s="20" t="s">
        <v>344</v>
      </c>
      <c r="F171" s="20" t="s">
        <v>345</v>
      </c>
      <c r="G171" s="8" t="str">
        <f t="shared" si="2"/>
        <v>HELVIE ADAM</v>
      </c>
    </row>
    <row r="172" spans="1:7" x14ac:dyDescent="0.25">
      <c r="A172" s="8">
        <v>42771.764618055553</v>
      </c>
      <c r="B172" s="20" t="s">
        <v>322</v>
      </c>
      <c r="C172" s="20" t="s">
        <v>694</v>
      </c>
      <c r="D172" s="150">
        <v>2250000</v>
      </c>
      <c r="E172" s="20" t="s">
        <v>625</v>
      </c>
      <c r="F172" s="20" t="s">
        <v>626</v>
      </c>
      <c r="G172" s="8" t="str">
        <f t="shared" si="2"/>
        <v>CRAYTON QUNTRELL</v>
      </c>
    </row>
    <row r="173" spans="1:7" x14ac:dyDescent="0.25">
      <c r="A173" s="8">
        <v>42771.768055555556</v>
      </c>
      <c r="B173" s="20" t="s">
        <v>239</v>
      </c>
      <c r="C173" s="20" t="s">
        <v>695</v>
      </c>
      <c r="D173" s="150">
        <v>1300000</v>
      </c>
      <c r="E173" s="20" t="s">
        <v>617</v>
      </c>
      <c r="F173" s="20" t="s">
        <v>618</v>
      </c>
      <c r="G173" s="8" t="str">
        <f t="shared" si="2"/>
        <v>LEVIN SCOTT</v>
      </c>
    </row>
    <row r="174" spans="1:7" x14ac:dyDescent="0.25">
      <c r="A174" s="8">
        <v>42771.76834490741</v>
      </c>
      <c r="B174" s="20" t="s">
        <v>197</v>
      </c>
      <c r="C174" s="20" t="s">
        <v>696</v>
      </c>
      <c r="D174" s="150">
        <v>2730000</v>
      </c>
      <c r="E174" s="20" t="s">
        <v>381</v>
      </c>
      <c r="F174" s="20" t="s">
        <v>382</v>
      </c>
      <c r="G174" s="8" t="str">
        <f t="shared" si="2"/>
        <v>YANG JAN</v>
      </c>
    </row>
    <row r="175" spans="1:7" x14ac:dyDescent="0.25">
      <c r="A175" s="8">
        <v>42771.77484953704</v>
      </c>
      <c r="B175" s="20" t="s">
        <v>540</v>
      </c>
      <c r="C175" s="20" t="s">
        <v>697</v>
      </c>
      <c r="D175" s="150">
        <v>1810000</v>
      </c>
      <c r="E175" s="20" t="s">
        <v>210</v>
      </c>
      <c r="F175" s="20" t="s">
        <v>203</v>
      </c>
      <c r="G175" s="8" t="str">
        <f t="shared" si="2"/>
        <v>NEWELL JAMES</v>
      </c>
    </row>
    <row r="176" spans="1:7" x14ac:dyDescent="0.25">
      <c r="A176" s="8">
        <v>42771.776493055557</v>
      </c>
      <c r="B176" s="20" t="s">
        <v>278</v>
      </c>
      <c r="C176" s="20" t="s">
        <v>698</v>
      </c>
      <c r="D176" s="150">
        <v>1540000</v>
      </c>
      <c r="E176" s="20" t="s">
        <v>344</v>
      </c>
      <c r="F176" s="20" t="s">
        <v>345</v>
      </c>
      <c r="G176" s="8" t="str">
        <f t="shared" si="2"/>
        <v>HELVIE ADAM</v>
      </c>
    </row>
    <row r="177" spans="1:7" x14ac:dyDescent="0.25">
      <c r="A177" s="8">
        <v>42771.779120370367</v>
      </c>
      <c r="B177" s="20" t="s">
        <v>536</v>
      </c>
      <c r="C177" s="20" t="s">
        <v>699</v>
      </c>
      <c r="D177" s="150">
        <v>2480000</v>
      </c>
      <c r="E177" s="20" t="s">
        <v>346</v>
      </c>
      <c r="F177" s="20" t="s">
        <v>228</v>
      </c>
      <c r="G177" s="8" t="str">
        <f t="shared" si="2"/>
        <v>WHITED DUSTIN</v>
      </c>
    </row>
    <row r="178" spans="1:7" x14ac:dyDescent="0.25">
      <c r="A178" s="8">
        <v>42771.784189814818</v>
      </c>
      <c r="B178" s="20" t="s">
        <v>224</v>
      </c>
      <c r="C178" s="20" t="s">
        <v>700</v>
      </c>
      <c r="D178" s="150">
        <v>2030000</v>
      </c>
      <c r="E178" s="20" t="s">
        <v>631</v>
      </c>
      <c r="F178" s="20" t="s">
        <v>632</v>
      </c>
      <c r="G178" s="8" t="str">
        <f t="shared" si="2"/>
        <v>KILLION DAVID</v>
      </c>
    </row>
    <row r="179" spans="1:7" x14ac:dyDescent="0.25">
      <c r="A179" s="8">
        <v>42771.788206018522</v>
      </c>
      <c r="B179" s="20" t="s">
        <v>518</v>
      </c>
      <c r="C179" s="20" t="s">
        <v>519</v>
      </c>
      <c r="D179" s="150">
        <v>2610000</v>
      </c>
      <c r="E179" s="20" t="s">
        <v>681</v>
      </c>
      <c r="F179" s="20" t="s">
        <v>682</v>
      </c>
      <c r="G179" s="8" t="str">
        <f t="shared" si="2"/>
        <v>MAGEE KENYA</v>
      </c>
    </row>
    <row r="180" spans="1:7" x14ac:dyDescent="0.25">
      <c r="A180" s="8">
        <v>42771.793773148151</v>
      </c>
      <c r="B180" s="20" t="s">
        <v>238</v>
      </c>
      <c r="C180" s="20" t="s">
        <v>701</v>
      </c>
      <c r="D180" s="150">
        <v>2230000</v>
      </c>
      <c r="E180" s="20" t="s">
        <v>377</v>
      </c>
      <c r="F180" s="20" t="s">
        <v>207</v>
      </c>
      <c r="G180" s="8" t="str">
        <f t="shared" si="2"/>
        <v>SMITH MICHAEL</v>
      </c>
    </row>
    <row r="181" spans="1:7" x14ac:dyDescent="0.25">
      <c r="A181" s="8">
        <v>42771.799641203703</v>
      </c>
      <c r="B181" s="20" t="s">
        <v>323</v>
      </c>
      <c r="C181" s="20" t="s">
        <v>702</v>
      </c>
      <c r="D181" s="150">
        <v>2250000</v>
      </c>
      <c r="E181" s="20" t="s">
        <v>625</v>
      </c>
      <c r="F181" s="20" t="s">
        <v>626</v>
      </c>
      <c r="G181" s="8" t="str">
        <f t="shared" si="2"/>
        <v>CRAYTON QUNTRELL</v>
      </c>
    </row>
    <row r="182" spans="1:7" x14ac:dyDescent="0.25">
      <c r="A182" s="8">
        <v>42771.802164351851</v>
      </c>
      <c r="B182" s="20" t="s">
        <v>231</v>
      </c>
      <c r="C182" s="20" t="s">
        <v>703</v>
      </c>
      <c r="D182" s="150">
        <v>2730000</v>
      </c>
      <c r="E182" s="20" t="s">
        <v>381</v>
      </c>
      <c r="F182" s="20" t="s">
        <v>382</v>
      </c>
      <c r="G182" s="8" t="str">
        <f t="shared" si="2"/>
        <v>YANG JAN</v>
      </c>
    </row>
    <row r="183" spans="1:7" x14ac:dyDescent="0.25">
      <c r="A183" s="8">
        <v>42771.804247685184</v>
      </c>
      <c r="B183" s="20" t="s">
        <v>277</v>
      </c>
      <c r="C183" s="20" t="s">
        <v>704</v>
      </c>
      <c r="D183" s="150">
        <v>1540000</v>
      </c>
      <c r="E183" s="20" t="s">
        <v>344</v>
      </c>
      <c r="F183" s="20" t="s">
        <v>345</v>
      </c>
      <c r="G183" s="8" t="str">
        <f t="shared" si="2"/>
        <v>HELVIE ADAM</v>
      </c>
    </row>
    <row r="184" spans="1:7" x14ac:dyDescent="0.25">
      <c r="A184" s="8">
        <v>42771.805798611109</v>
      </c>
      <c r="B184" s="20" t="s">
        <v>521</v>
      </c>
      <c r="C184" s="20" t="s">
        <v>705</v>
      </c>
      <c r="D184" s="150">
        <v>2710000</v>
      </c>
      <c r="E184" s="20" t="s">
        <v>383</v>
      </c>
      <c r="F184" s="20" t="s">
        <v>384</v>
      </c>
      <c r="G184" s="8" t="str">
        <f t="shared" si="2"/>
        <v>SIMMONS SHYHESHA</v>
      </c>
    </row>
    <row r="185" spans="1:7" x14ac:dyDescent="0.25">
      <c r="A185" s="8">
        <v>42771.80672453704</v>
      </c>
      <c r="B185" s="20" t="s">
        <v>198</v>
      </c>
      <c r="C185" s="20" t="s">
        <v>706</v>
      </c>
      <c r="D185" s="150">
        <v>1810000</v>
      </c>
      <c r="E185" s="20" t="s">
        <v>210</v>
      </c>
      <c r="F185" s="20" t="s">
        <v>203</v>
      </c>
      <c r="G185" s="8" t="str">
        <f t="shared" si="2"/>
        <v>NEWELL JAMES</v>
      </c>
    </row>
    <row r="186" spans="1:7" x14ac:dyDescent="0.25">
      <c r="A186" s="8">
        <v>42771.813993055555</v>
      </c>
      <c r="B186" s="20" t="s">
        <v>521</v>
      </c>
      <c r="C186" s="20" t="s">
        <v>705</v>
      </c>
      <c r="D186" s="150">
        <v>2710000</v>
      </c>
      <c r="E186" s="20" t="s">
        <v>383</v>
      </c>
      <c r="F186" s="20" t="s">
        <v>384</v>
      </c>
      <c r="G186" s="8" t="str">
        <f t="shared" si="2"/>
        <v>SIMMONS SHYHESHA</v>
      </c>
    </row>
    <row r="187" spans="1:7" x14ac:dyDescent="0.25">
      <c r="A187" s="8">
        <v>42771.818043981482</v>
      </c>
      <c r="B187" s="20" t="s">
        <v>278</v>
      </c>
      <c r="C187" s="20" t="s">
        <v>707</v>
      </c>
      <c r="D187" s="150">
        <v>1540000</v>
      </c>
      <c r="E187" s="20" t="s">
        <v>344</v>
      </c>
      <c r="F187" s="20" t="s">
        <v>345</v>
      </c>
      <c r="G187" s="8" t="str">
        <f t="shared" si="2"/>
        <v>HELVIE ADAM</v>
      </c>
    </row>
    <row r="188" spans="1:7" x14ac:dyDescent="0.25">
      <c r="A188" s="8">
        <v>42771.818923611114</v>
      </c>
      <c r="B188" s="20" t="s">
        <v>248</v>
      </c>
      <c r="C188" s="20" t="s">
        <v>708</v>
      </c>
      <c r="D188" s="150">
        <v>2030000</v>
      </c>
      <c r="E188" s="20" t="s">
        <v>631</v>
      </c>
      <c r="F188" s="20" t="s">
        <v>632</v>
      </c>
      <c r="G188" s="8" t="str">
        <f t="shared" si="2"/>
        <v>KILLION DAVID</v>
      </c>
    </row>
    <row r="189" spans="1:7" x14ac:dyDescent="0.25">
      <c r="A189" s="8">
        <v>42771.827337962961</v>
      </c>
      <c r="B189" s="20" t="s">
        <v>337</v>
      </c>
      <c r="C189" s="20" t="s">
        <v>709</v>
      </c>
      <c r="D189" s="150">
        <v>2710000</v>
      </c>
      <c r="E189" s="20" t="s">
        <v>383</v>
      </c>
      <c r="F189" s="20" t="s">
        <v>384</v>
      </c>
      <c r="G189" s="8" t="str">
        <f t="shared" si="2"/>
        <v>SIMMONS SHYHESHA</v>
      </c>
    </row>
    <row r="190" spans="1:7" x14ac:dyDescent="0.25">
      <c r="A190" s="8">
        <v>42771.827997685185</v>
      </c>
      <c r="B190" s="20" t="s">
        <v>562</v>
      </c>
      <c r="C190" s="20" t="s">
        <v>710</v>
      </c>
      <c r="D190" s="150">
        <v>2610000</v>
      </c>
      <c r="E190" s="20" t="s">
        <v>681</v>
      </c>
      <c r="F190" s="20" t="s">
        <v>682</v>
      </c>
      <c r="G190" s="8" t="str">
        <f t="shared" si="2"/>
        <v>MAGEE KENYA</v>
      </c>
    </row>
    <row r="191" spans="1:7" x14ac:dyDescent="0.25">
      <c r="A191" s="8">
        <v>42771.828715277778</v>
      </c>
      <c r="B191" s="20" t="s">
        <v>337</v>
      </c>
      <c r="C191" s="20" t="s">
        <v>709</v>
      </c>
      <c r="D191" s="150">
        <v>2710000</v>
      </c>
      <c r="E191" s="20" t="s">
        <v>383</v>
      </c>
      <c r="F191" s="20" t="s">
        <v>384</v>
      </c>
      <c r="G191" s="8" t="str">
        <f t="shared" si="2"/>
        <v>SIMMONS SHYHESHA</v>
      </c>
    </row>
    <row r="192" spans="1:7" x14ac:dyDescent="0.25">
      <c r="A192" s="8">
        <v>42771.830891203703</v>
      </c>
      <c r="B192" s="20" t="s">
        <v>316</v>
      </c>
      <c r="C192" s="20" t="s">
        <v>711</v>
      </c>
      <c r="D192" s="150">
        <v>2230000</v>
      </c>
      <c r="E192" s="20" t="s">
        <v>377</v>
      </c>
      <c r="F192" s="20" t="s">
        <v>207</v>
      </c>
      <c r="G192" s="8" t="str">
        <f t="shared" si="2"/>
        <v>SMITH MICHAEL</v>
      </c>
    </row>
    <row r="193" spans="1:7" x14ac:dyDescent="0.25">
      <c r="A193" s="8">
        <v>42771.831284722219</v>
      </c>
      <c r="B193" s="20" t="s">
        <v>337</v>
      </c>
      <c r="C193" s="20" t="s">
        <v>709</v>
      </c>
      <c r="D193" s="150">
        <v>2710000</v>
      </c>
      <c r="E193" s="20" t="s">
        <v>383</v>
      </c>
      <c r="F193" s="20" t="s">
        <v>384</v>
      </c>
      <c r="G193" s="8" t="str">
        <f t="shared" si="2"/>
        <v>SIMMONS SHYHESHA</v>
      </c>
    </row>
    <row r="194" spans="1:7" x14ac:dyDescent="0.25">
      <c r="A194" s="8">
        <v>42771.846932870372</v>
      </c>
      <c r="B194" s="20" t="s">
        <v>277</v>
      </c>
      <c r="C194" s="20" t="s">
        <v>712</v>
      </c>
      <c r="D194" s="150">
        <v>1540000</v>
      </c>
      <c r="E194" s="20" t="s">
        <v>344</v>
      </c>
      <c r="F194" s="20" t="s">
        <v>345</v>
      </c>
      <c r="G194" s="8" t="str">
        <f t="shared" si="2"/>
        <v>HELVIE ADAM</v>
      </c>
    </row>
    <row r="195" spans="1:7" x14ac:dyDescent="0.25">
      <c r="A195" s="8">
        <v>42771.849027777775</v>
      </c>
      <c r="B195" s="20" t="s">
        <v>540</v>
      </c>
      <c r="C195" s="20" t="s">
        <v>713</v>
      </c>
      <c r="D195" s="150">
        <v>1810000</v>
      </c>
      <c r="E195" s="20" t="s">
        <v>210</v>
      </c>
      <c r="F195" s="20" t="s">
        <v>203</v>
      </c>
      <c r="G195" s="8" t="str">
        <f t="shared" ref="G195:G258" si="3">E195&amp;" "&amp;F195</f>
        <v>NEWELL JAMES</v>
      </c>
    </row>
    <row r="196" spans="1:7" x14ac:dyDescent="0.25">
      <c r="A196" s="8">
        <v>42771.849340277775</v>
      </c>
      <c r="B196" s="20" t="s">
        <v>197</v>
      </c>
      <c r="C196" s="20" t="s">
        <v>714</v>
      </c>
      <c r="D196" s="150">
        <v>2730000</v>
      </c>
      <c r="E196" s="20" t="s">
        <v>381</v>
      </c>
      <c r="F196" s="20" t="s">
        <v>382</v>
      </c>
      <c r="G196" s="8" t="str">
        <f t="shared" si="3"/>
        <v>YANG JAN</v>
      </c>
    </row>
    <row r="197" spans="1:7" x14ac:dyDescent="0.25">
      <c r="A197" s="8">
        <v>42771.859409722223</v>
      </c>
      <c r="B197" s="20" t="s">
        <v>278</v>
      </c>
      <c r="C197" s="20" t="s">
        <v>715</v>
      </c>
      <c r="D197" s="150">
        <v>1540000</v>
      </c>
      <c r="E197" s="20" t="s">
        <v>344</v>
      </c>
      <c r="F197" s="20" t="s">
        <v>345</v>
      </c>
      <c r="G197" s="8" t="str">
        <f t="shared" si="3"/>
        <v>HELVIE ADAM</v>
      </c>
    </row>
    <row r="198" spans="1:7" x14ac:dyDescent="0.25">
      <c r="A198" s="8">
        <v>42771.865543981483</v>
      </c>
      <c r="B198" s="20" t="s">
        <v>238</v>
      </c>
      <c r="C198" s="20" t="s">
        <v>716</v>
      </c>
      <c r="D198" s="150">
        <v>2230000</v>
      </c>
      <c r="E198" s="20" t="s">
        <v>377</v>
      </c>
      <c r="F198" s="20" t="s">
        <v>207</v>
      </c>
      <c r="G198" s="8" t="str">
        <f t="shared" si="3"/>
        <v>SMITH MICHAEL</v>
      </c>
    </row>
    <row r="199" spans="1:7" x14ac:dyDescent="0.25">
      <c r="A199" s="8">
        <v>42771.866574074076</v>
      </c>
      <c r="B199" s="20" t="s">
        <v>518</v>
      </c>
      <c r="C199" s="20" t="s">
        <v>717</v>
      </c>
      <c r="D199" s="150">
        <v>2610000</v>
      </c>
      <c r="E199" s="20" t="s">
        <v>681</v>
      </c>
      <c r="F199" s="20" t="s">
        <v>682</v>
      </c>
      <c r="G199" s="8" t="str">
        <f t="shared" si="3"/>
        <v>MAGEE KENYA</v>
      </c>
    </row>
    <row r="200" spans="1:7" x14ac:dyDescent="0.25">
      <c r="A200" s="8">
        <v>42771.880613425928</v>
      </c>
      <c r="B200" s="20" t="s">
        <v>198</v>
      </c>
      <c r="C200" s="20" t="s">
        <v>718</v>
      </c>
      <c r="D200" s="150">
        <v>1810000</v>
      </c>
      <c r="E200" s="20" t="s">
        <v>210</v>
      </c>
      <c r="F200" s="20" t="s">
        <v>203</v>
      </c>
      <c r="G200" s="8" t="str">
        <f t="shared" si="3"/>
        <v>NEWELL JAMES</v>
      </c>
    </row>
    <row r="201" spans="1:7" x14ac:dyDescent="0.25">
      <c r="A201" s="8">
        <v>42771.881631944445</v>
      </c>
      <c r="B201" s="20" t="s">
        <v>521</v>
      </c>
      <c r="C201" s="20" t="s">
        <v>522</v>
      </c>
      <c r="D201" s="150">
        <v>2710000</v>
      </c>
      <c r="E201" s="20" t="s">
        <v>383</v>
      </c>
      <c r="F201" s="20" t="s">
        <v>384</v>
      </c>
      <c r="G201" s="8" t="str">
        <f t="shared" si="3"/>
        <v>SIMMONS SHYHESHA</v>
      </c>
    </row>
    <row r="202" spans="1:7" x14ac:dyDescent="0.25">
      <c r="A202" s="26">
        <v>42771.888067129628</v>
      </c>
      <c r="B202" s="20" t="s">
        <v>277</v>
      </c>
      <c r="C202" s="20" t="s">
        <v>719</v>
      </c>
      <c r="D202" s="150">
        <v>1540000</v>
      </c>
      <c r="E202" s="20" t="s">
        <v>344</v>
      </c>
      <c r="F202" s="20" t="s">
        <v>345</v>
      </c>
      <c r="G202" s="8" t="str">
        <f t="shared" si="3"/>
        <v>HELVIE ADAM</v>
      </c>
    </row>
    <row r="203" spans="1:7" x14ac:dyDescent="0.25">
      <c r="A203" s="8">
        <v>42771.891585648147</v>
      </c>
      <c r="B203" s="20" t="s">
        <v>231</v>
      </c>
      <c r="C203" s="20" t="s">
        <v>720</v>
      </c>
      <c r="D203" s="150">
        <v>2730000</v>
      </c>
      <c r="E203" s="20" t="s">
        <v>381</v>
      </c>
      <c r="F203" s="20" t="s">
        <v>382</v>
      </c>
      <c r="G203" s="8" t="str">
        <f t="shared" si="3"/>
        <v>YANG JAN</v>
      </c>
    </row>
    <row r="204" spans="1:7" x14ac:dyDescent="0.25">
      <c r="A204" s="8">
        <v>42771.900752314818</v>
      </c>
      <c r="B204" s="20" t="s">
        <v>278</v>
      </c>
      <c r="C204" s="20" t="s">
        <v>721</v>
      </c>
      <c r="D204" s="150">
        <v>1540000</v>
      </c>
      <c r="E204" s="20" t="s">
        <v>344</v>
      </c>
      <c r="F204" s="20" t="s">
        <v>345</v>
      </c>
      <c r="G204" s="8" t="str">
        <f t="shared" si="3"/>
        <v>HELVIE ADAM</v>
      </c>
    </row>
    <row r="205" spans="1:7" x14ac:dyDescent="0.25">
      <c r="A205" s="8">
        <v>42771.905127314814</v>
      </c>
      <c r="B205" s="20" t="s">
        <v>562</v>
      </c>
      <c r="C205" s="20" t="s">
        <v>722</v>
      </c>
      <c r="D205" s="150">
        <v>2610000</v>
      </c>
      <c r="E205" s="20" t="s">
        <v>681</v>
      </c>
      <c r="F205" s="20" t="s">
        <v>682</v>
      </c>
      <c r="G205" s="8" t="str">
        <f t="shared" si="3"/>
        <v>MAGEE KENYA</v>
      </c>
    </row>
    <row r="206" spans="1:7" x14ac:dyDescent="0.25">
      <c r="A206" s="8">
        <v>42771.905601851853</v>
      </c>
      <c r="B206" s="20" t="s">
        <v>316</v>
      </c>
      <c r="C206" s="20" t="s">
        <v>723</v>
      </c>
      <c r="D206" s="150">
        <v>2230000</v>
      </c>
      <c r="E206" s="20" t="s">
        <v>377</v>
      </c>
      <c r="F206" s="20" t="s">
        <v>207</v>
      </c>
      <c r="G206" s="8" t="str">
        <f t="shared" si="3"/>
        <v>SMITH MICHAEL</v>
      </c>
    </row>
    <row r="207" spans="1:7" x14ac:dyDescent="0.25">
      <c r="A207" s="8">
        <v>42771.913148148145</v>
      </c>
      <c r="B207" s="20" t="s">
        <v>337</v>
      </c>
      <c r="C207" s="20" t="s">
        <v>709</v>
      </c>
      <c r="D207" s="150">
        <v>2710000</v>
      </c>
      <c r="E207" s="20" t="s">
        <v>383</v>
      </c>
      <c r="F207" s="20" t="s">
        <v>384</v>
      </c>
      <c r="G207" s="8" t="str">
        <f t="shared" si="3"/>
        <v>SIMMONS SHYHESHA</v>
      </c>
    </row>
    <row r="208" spans="1:7" x14ac:dyDescent="0.25">
      <c r="A208" s="8">
        <v>42771.918680555558</v>
      </c>
      <c r="B208" s="20" t="s">
        <v>316</v>
      </c>
      <c r="C208" s="20" t="s">
        <v>723</v>
      </c>
      <c r="D208" s="150">
        <v>2230000</v>
      </c>
      <c r="E208" s="20" t="s">
        <v>377</v>
      </c>
      <c r="F208" s="20" t="s">
        <v>207</v>
      </c>
      <c r="G208" s="8" t="str">
        <f t="shared" si="3"/>
        <v>SMITH MICHAEL</v>
      </c>
    </row>
    <row r="209" spans="1:7" x14ac:dyDescent="0.25">
      <c r="A209" s="8">
        <v>42771.922754629632</v>
      </c>
      <c r="B209" s="20" t="s">
        <v>540</v>
      </c>
      <c r="C209" s="20" t="s">
        <v>724</v>
      </c>
      <c r="D209" s="150">
        <v>1810000</v>
      </c>
      <c r="E209" s="20" t="s">
        <v>210</v>
      </c>
      <c r="F209" s="20" t="s">
        <v>203</v>
      </c>
      <c r="G209" s="8" t="str">
        <f t="shared" si="3"/>
        <v>NEWELL JAMES</v>
      </c>
    </row>
    <row r="210" spans="1:7" x14ac:dyDescent="0.25">
      <c r="A210" s="8">
        <v>42771.927094907405</v>
      </c>
      <c r="B210" s="20" t="s">
        <v>277</v>
      </c>
      <c r="C210" s="20" t="s">
        <v>725</v>
      </c>
      <c r="D210" s="150">
        <v>1540000</v>
      </c>
      <c r="E210" s="20" t="s">
        <v>344</v>
      </c>
      <c r="F210" s="20" t="s">
        <v>345</v>
      </c>
      <c r="G210" s="8" t="str">
        <f t="shared" si="3"/>
        <v>HELVIE ADAM</v>
      </c>
    </row>
    <row r="211" spans="1:7" x14ac:dyDescent="0.25">
      <c r="A211" s="8">
        <v>42771.930844907409</v>
      </c>
      <c r="B211" s="20" t="s">
        <v>197</v>
      </c>
      <c r="C211" s="20" t="s">
        <v>726</v>
      </c>
      <c r="D211" s="150">
        <v>2730000</v>
      </c>
      <c r="E211" s="20" t="s">
        <v>381</v>
      </c>
      <c r="F211" s="20" t="s">
        <v>382</v>
      </c>
      <c r="G211" s="8" t="str">
        <f t="shared" si="3"/>
        <v>YANG JAN</v>
      </c>
    </row>
    <row r="212" spans="1:7" x14ac:dyDescent="0.25">
      <c r="A212" s="8">
        <v>42771.941782407404</v>
      </c>
      <c r="B212" s="20" t="s">
        <v>278</v>
      </c>
      <c r="C212" s="20" t="s">
        <v>727</v>
      </c>
      <c r="D212" s="150">
        <v>1540000</v>
      </c>
      <c r="E212" s="20" t="s">
        <v>344</v>
      </c>
      <c r="F212" s="20" t="s">
        <v>345</v>
      </c>
      <c r="G212" s="8" t="str">
        <f t="shared" si="3"/>
        <v>HELVIE ADAM</v>
      </c>
    </row>
    <row r="213" spans="1:7" x14ac:dyDescent="0.25">
      <c r="A213" s="8">
        <v>42771.944120370368</v>
      </c>
      <c r="B213" s="20" t="s">
        <v>518</v>
      </c>
      <c r="C213" s="20" t="s">
        <v>728</v>
      </c>
      <c r="D213" s="150">
        <v>2610000</v>
      </c>
      <c r="E213" s="20" t="s">
        <v>681</v>
      </c>
      <c r="F213" s="20" t="s">
        <v>682</v>
      </c>
      <c r="G213" s="8" t="str">
        <f t="shared" si="3"/>
        <v>MAGEE KENYA</v>
      </c>
    </row>
    <row r="214" spans="1:7" x14ac:dyDescent="0.25">
      <c r="A214" s="8">
        <v>42771.947442129633</v>
      </c>
      <c r="B214" s="20" t="s">
        <v>238</v>
      </c>
      <c r="C214" s="20" t="s">
        <v>520</v>
      </c>
      <c r="D214" s="150">
        <v>2230000</v>
      </c>
      <c r="E214" s="20" t="s">
        <v>377</v>
      </c>
      <c r="F214" s="20" t="s">
        <v>207</v>
      </c>
      <c r="G214" s="8" t="str">
        <f t="shared" si="3"/>
        <v>SMITH MICHAEL</v>
      </c>
    </row>
    <row r="215" spans="1:7" x14ac:dyDescent="0.25">
      <c r="A215" s="8">
        <v>42771.960219907407</v>
      </c>
      <c r="B215" s="20" t="s">
        <v>521</v>
      </c>
      <c r="C215" s="20" t="s">
        <v>522</v>
      </c>
      <c r="D215" s="150">
        <v>2710000</v>
      </c>
      <c r="E215" s="20" t="s">
        <v>383</v>
      </c>
      <c r="F215" s="20" t="s">
        <v>384</v>
      </c>
      <c r="G215" s="8" t="str">
        <f t="shared" si="3"/>
        <v>SIMMONS SHYHESHA</v>
      </c>
    </row>
    <row r="216" spans="1:7" x14ac:dyDescent="0.25">
      <c r="A216" s="8">
        <v>42771.97446759259</v>
      </c>
      <c r="B216" s="20" t="s">
        <v>231</v>
      </c>
      <c r="C216" s="20" t="s">
        <v>729</v>
      </c>
      <c r="D216" s="150">
        <v>2730000</v>
      </c>
      <c r="E216" s="20" t="s">
        <v>381</v>
      </c>
      <c r="F216" s="20" t="s">
        <v>382</v>
      </c>
      <c r="G216" s="8" t="str">
        <f t="shared" si="3"/>
        <v>YANG JAN</v>
      </c>
    </row>
    <row r="217" spans="1:7" x14ac:dyDescent="0.25">
      <c r="A217" s="8">
        <v>42771.977210648147</v>
      </c>
      <c r="B217" s="20" t="s">
        <v>198</v>
      </c>
      <c r="C217" s="20" t="s">
        <v>730</v>
      </c>
      <c r="D217" s="150">
        <v>1810000</v>
      </c>
      <c r="E217" s="20" t="s">
        <v>210</v>
      </c>
      <c r="F217" s="20" t="s">
        <v>203</v>
      </c>
      <c r="G217" s="8" t="str">
        <f t="shared" si="3"/>
        <v>NEWELL JAMES</v>
      </c>
    </row>
    <row r="218" spans="1:7" x14ac:dyDescent="0.25">
      <c r="A218" s="8">
        <v>42771.987175925926</v>
      </c>
      <c r="B218" s="20" t="s">
        <v>316</v>
      </c>
      <c r="C218" s="20" t="s">
        <v>731</v>
      </c>
      <c r="D218" s="150">
        <v>2230000</v>
      </c>
      <c r="E218" s="20" t="s">
        <v>377</v>
      </c>
      <c r="F218" s="20" t="s">
        <v>207</v>
      </c>
      <c r="G218" s="8" t="str">
        <f t="shared" si="3"/>
        <v>SMITH MICHAEL</v>
      </c>
    </row>
    <row r="219" spans="1:7" x14ac:dyDescent="0.25">
      <c r="A219" s="8">
        <v>42771.987847222219</v>
      </c>
      <c r="B219" s="20" t="s">
        <v>562</v>
      </c>
      <c r="C219" s="20" t="s">
        <v>732</v>
      </c>
      <c r="D219" s="150">
        <v>2610000</v>
      </c>
      <c r="E219" s="20" t="s">
        <v>681</v>
      </c>
      <c r="F219" s="20" t="s">
        <v>682</v>
      </c>
      <c r="G219" s="8" t="str">
        <f t="shared" si="3"/>
        <v>MAGEE KENYA</v>
      </c>
    </row>
    <row r="220" spans="1:7" x14ac:dyDescent="0.25">
      <c r="A220" s="8">
        <v>42771.997002314813</v>
      </c>
      <c r="B220" s="20" t="s">
        <v>562</v>
      </c>
      <c r="C220" s="20" t="s">
        <v>732</v>
      </c>
      <c r="D220" s="150">
        <v>2610000</v>
      </c>
      <c r="E220" s="20" t="s">
        <v>681</v>
      </c>
      <c r="F220" s="20" t="s">
        <v>682</v>
      </c>
      <c r="G220" s="8" t="str">
        <f t="shared" si="3"/>
        <v>MAGEE KENYA</v>
      </c>
    </row>
    <row r="221" spans="1:7" x14ac:dyDescent="0.25">
      <c r="A221" s="8">
        <v>42772.004178240742</v>
      </c>
      <c r="B221" s="20" t="s">
        <v>337</v>
      </c>
      <c r="C221" s="20" t="s">
        <v>709</v>
      </c>
      <c r="D221" s="150">
        <v>2710000</v>
      </c>
      <c r="E221" s="20" t="s">
        <v>383</v>
      </c>
      <c r="F221" s="20" t="s">
        <v>384</v>
      </c>
      <c r="G221" s="8" t="str">
        <f t="shared" si="3"/>
        <v>SIMMONS SHYHESHA</v>
      </c>
    </row>
    <row r="222" spans="1:7" x14ac:dyDescent="0.25">
      <c r="A222" s="8">
        <v>42772.016967592594</v>
      </c>
      <c r="B222" s="20" t="s">
        <v>562</v>
      </c>
      <c r="C222" s="20" t="s">
        <v>732</v>
      </c>
      <c r="D222" s="150">
        <v>2610000</v>
      </c>
      <c r="E222" s="20" t="s">
        <v>681</v>
      </c>
      <c r="F222" s="20" t="s">
        <v>682</v>
      </c>
      <c r="G222" s="8" t="str">
        <f t="shared" si="3"/>
        <v>MAGEE KENYA</v>
      </c>
    </row>
    <row r="223" spans="1:7" x14ac:dyDescent="0.25">
      <c r="A223" s="8">
        <v>42772.021412037036</v>
      </c>
      <c r="B223" s="20" t="s">
        <v>229</v>
      </c>
      <c r="C223" s="20" t="s">
        <v>733</v>
      </c>
      <c r="D223" s="150">
        <v>2730000</v>
      </c>
      <c r="E223" s="20" t="s">
        <v>381</v>
      </c>
      <c r="F223" s="20" t="s">
        <v>382</v>
      </c>
      <c r="G223" s="8" t="str">
        <f t="shared" si="3"/>
        <v>YANG JAN</v>
      </c>
    </row>
    <row r="224" spans="1:7" x14ac:dyDescent="0.25">
      <c r="A224" s="8">
        <v>42772.036157407405</v>
      </c>
      <c r="B224" t="s">
        <v>238</v>
      </c>
      <c r="C224" t="s">
        <v>734</v>
      </c>
      <c r="D224" s="150">
        <v>2230000</v>
      </c>
      <c r="E224" t="s">
        <v>377</v>
      </c>
      <c r="F224" s="20" t="s">
        <v>207</v>
      </c>
      <c r="G224" s="8" t="str">
        <f t="shared" si="3"/>
        <v>SMITH MICHAEL</v>
      </c>
    </row>
    <row r="225" spans="1:7" x14ac:dyDescent="0.25">
      <c r="A225" s="8">
        <v>42772.038113425922</v>
      </c>
      <c r="B225" t="s">
        <v>518</v>
      </c>
      <c r="C225" t="s">
        <v>735</v>
      </c>
      <c r="D225" s="150">
        <v>2610000</v>
      </c>
      <c r="E225" t="s">
        <v>681</v>
      </c>
      <c r="F225" s="20" t="s">
        <v>682</v>
      </c>
      <c r="G225" s="8" t="str">
        <f t="shared" si="3"/>
        <v>MAGEE KENYA</v>
      </c>
    </row>
    <row r="226" spans="1:7" x14ac:dyDescent="0.25">
      <c r="A226" s="8">
        <v>42772.040902777779</v>
      </c>
      <c r="B226" t="s">
        <v>518</v>
      </c>
      <c r="C226" t="s">
        <v>736</v>
      </c>
      <c r="D226" s="150">
        <v>2610000</v>
      </c>
      <c r="E226" t="s">
        <v>681</v>
      </c>
      <c r="F226" s="20" t="s">
        <v>682</v>
      </c>
      <c r="G226" s="8" t="str">
        <f t="shared" si="3"/>
        <v>MAGEE KENYA</v>
      </c>
    </row>
    <row r="227" spans="1:7" x14ac:dyDescent="0.25">
      <c r="A227" s="8">
        <v>42772.040960648148</v>
      </c>
      <c r="B227" t="s">
        <v>521</v>
      </c>
      <c r="C227" t="s">
        <v>522</v>
      </c>
      <c r="D227" s="150">
        <v>2710000</v>
      </c>
      <c r="E227" t="s">
        <v>383</v>
      </c>
      <c r="F227" s="20" t="s">
        <v>384</v>
      </c>
      <c r="G227" s="8" t="str">
        <f t="shared" si="3"/>
        <v>SIMMONS SHYHESHA</v>
      </c>
    </row>
    <row r="228" spans="1:7" x14ac:dyDescent="0.25">
      <c r="A228" s="8">
        <v>42772.053391203706</v>
      </c>
      <c r="B228" t="s">
        <v>337</v>
      </c>
      <c r="C228" t="s">
        <v>709</v>
      </c>
      <c r="D228" s="150">
        <v>2710000</v>
      </c>
      <c r="E228" t="s">
        <v>383</v>
      </c>
      <c r="F228" s="20" t="s">
        <v>384</v>
      </c>
      <c r="G228" s="8" t="str">
        <f t="shared" si="3"/>
        <v>SIMMONS SHYHESHA</v>
      </c>
    </row>
    <row r="229" spans="1:7" x14ac:dyDescent="0.25">
      <c r="A229" s="8">
        <v>42772.057696759257</v>
      </c>
      <c r="B229" t="s">
        <v>230</v>
      </c>
      <c r="C229" t="s">
        <v>737</v>
      </c>
      <c r="D229" s="150">
        <v>2730000</v>
      </c>
      <c r="E229" t="s">
        <v>381</v>
      </c>
      <c r="F229" s="20" t="s">
        <v>382</v>
      </c>
      <c r="G229" s="8" t="str">
        <f t="shared" si="3"/>
        <v>YANG JAN</v>
      </c>
    </row>
    <row r="230" spans="1:7" x14ac:dyDescent="0.25">
      <c r="A230" s="8">
        <v>42772.075416666667</v>
      </c>
      <c r="B230" t="s">
        <v>230</v>
      </c>
      <c r="C230" t="s">
        <v>737</v>
      </c>
      <c r="D230" s="150">
        <v>2730000</v>
      </c>
      <c r="E230" t="s">
        <v>381</v>
      </c>
      <c r="F230" s="20" t="s">
        <v>382</v>
      </c>
      <c r="G230" s="8" t="str">
        <f t="shared" si="3"/>
        <v>YANG JAN</v>
      </c>
    </row>
    <row r="231" spans="1:7" x14ac:dyDescent="0.25">
      <c r="A231" s="8">
        <v>42772.076354166667</v>
      </c>
      <c r="B231" t="s">
        <v>316</v>
      </c>
      <c r="C231" t="s">
        <v>738</v>
      </c>
      <c r="D231" s="150">
        <v>2230000</v>
      </c>
      <c r="E231" t="s">
        <v>377</v>
      </c>
      <c r="F231" s="20" t="s">
        <v>207</v>
      </c>
      <c r="G231" s="8" t="str">
        <f t="shared" si="3"/>
        <v>SMITH MICHAEL</v>
      </c>
    </row>
    <row r="232" spans="1:7" x14ac:dyDescent="0.25">
      <c r="A232" s="8">
        <v>42769.017314814817</v>
      </c>
      <c r="B232" t="s">
        <v>347</v>
      </c>
      <c r="C232" t="s">
        <v>373</v>
      </c>
      <c r="D232" s="150">
        <v>2710000</v>
      </c>
      <c r="E232" t="s">
        <v>383</v>
      </c>
      <c r="F232" s="20" t="s">
        <v>384</v>
      </c>
      <c r="G232" s="8" t="str">
        <f t="shared" si="3"/>
        <v>SIMMONS SHYHESHA</v>
      </c>
    </row>
    <row r="233" spans="1:7" x14ac:dyDescent="0.25">
      <c r="A233" s="8">
        <v>42769.02847222222</v>
      </c>
      <c r="B233" t="s">
        <v>234</v>
      </c>
      <c r="C233" t="s">
        <v>388</v>
      </c>
      <c r="D233" s="150">
        <v>1800000</v>
      </c>
      <c r="E233" t="s">
        <v>279</v>
      </c>
      <c r="F233" s="20" t="s">
        <v>280</v>
      </c>
      <c r="G233" s="8" t="str">
        <f t="shared" si="3"/>
        <v>CHANDLER KELVIN</v>
      </c>
    </row>
    <row r="234" spans="1:7" x14ac:dyDescent="0.25">
      <c r="A234" s="8">
        <v>42769.034826388888</v>
      </c>
      <c r="B234" t="s">
        <v>195</v>
      </c>
      <c r="C234" t="s">
        <v>389</v>
      </c>
      <c r="D234" s="150">
        <v>2560000</v>
      </c>
      <c r="E234" t="s">
        <v>379</v>
      </c>
      <c r="F234" s="20" t="s">
        <v>380</v>
      </c>
      <c r="G234" s="8" t="str">
        <f t="shared" si="3"/>
        <v>MACDONALD THOMAS</v>
      </c>
    </row>
    <row r="235" spans="1:7" x14ac:dyDescent="0.25">
      <c r="A235" s="8">
        <v>42769.048842592594</v>
      </c>
      <c r="B235" t="s">
        <v>316</v>
      </c>
      <c r="C235" t="s">
        <v>390</v>
      </c>
      <c r="D235" s="150">
        <v>1810000</v>
      </c>
      <c r="E235" t="s">
        <v>210</v>
      </c>
      <c r="F235" s="20" t="s">
        <v>203</v>
      </c>
      <c r="G235" s="8" t="str">
        <f t="shared" si="3"/>
        <v>NEWELL JAMES</v>
      </c>
    </row>
    <row r="236" spans="1:7" x14ac:dyDescent="0.25">
      <c r="A236" s="8">
        <v>42769.05</v>
      </c>
      <c r="B236" t="s">
        <v>293</v>
      </c>
      <c r="C236" t="s">
        <v>391</v>
      </c>
      <c r="D236" s="150">
        <v>2220000</v>
      </c>
      <c r="E236" t="s">
        <v>227</v>
      </c>
      <c r="F236" s="20" t="s">
        <v>228</v>
      </c>
      <c r="G236" s="8" t="str">
        <f t="shared" si="3"/>
        <v>HILLS DUSTIN</v>
      </c>
    </row>
    <row r="237" spans="1:7" x14ac:dyDescent="0.25">
      <c r="A237" s="8">
        <v>42769.054016203707</v>
      </c>
      <c r="B237" t="s">
        <v>337</v>
      </c>
      <c r="C237" t="s">
        <v>387</v>
      </c>
      <c r="D237" s="150">
        <v>2710000</v>
      </c>
      <c r="E237" t="s">
        <v>383</v>
      </c>
      <c r="F237" s="20" t="s">
        <v>384</v>
      </c>
      <c r="G237" s="8" t="str">
        <f t="shared" si="3"/>
        <v>SIMMONS SHYHESHA</v>
      </c>
    </row>
    <row r="238" spans="1:7" x14ac:dyDescent="0.25">
      <c r="A238" s="8">
        <v>42769.068425925929</v>
      </c>
      <c r="B238" t="s">
        <v>192</v>
      </c>
      <c r="C238" t="s">
        <v>392</v>
      </c>
      <c r="D238" s="150">
        <v>2560000</v>
      </c>
      <c r="E238" t="s">
        <v>379</v>
      </c>
      <c r="F238" s="20" t="s">
        <v>380</v>
      </c>
      <c r="G238" s="8" t="str">
        <f t="shared" si="3"/>
        <v>MACDONALD THOMAS</v>
      </c>
    </row>
    <row r="239" spans="1:7" x14ac:dyDescent="0.25">
      <c r="A239" s="8">
        <v>42769.087592592594</v>
      </c>
      <c r="B239" t="s">
        <v>292</v>
      </c>
      <c r="C239" t="s">
        <v>393</v>
      </c>
      <c r="D239" s="150">
        <v>2220000</v>
      </c>
      <c r="E239" t="s">
        <v>227</v>
      </c>
      <c r="F239" s="20" t="s">
        <v>228</v>
      </c>
      <c r="G239" s="8" t="str">
        <f t="shared" si="3"/>
        <v>HILLS DUSTIN</v>
      </c>
    </row>
    <row r="240" spans="1:7" x14ac:dyDescent="0.25">
      <c r="A240" s="8">
        <v>42769.104016203702</v>
      </c>
      <c r="B240" t="s">
        <v>347</v>
      </c>
      <c r="C240" t="s">
        <v>373</v>
      </c>
      <c r="D240" s="150">
        <v>2710000</v>
      </c>
      <c r="E240" t="s">
        <v>383</v>
      </c>
      <c r="F240" s="20" t="s">
        <v>384</v>
      </c>
      <c r="G240" s="8" t="str">
        <f t="shared" si="3"/>
        <v>SIMMONS SHYHESHA</v>
      </c>
    </row>
    <row r="241" spans="1:7" x14ac:dyDescent="0.25">
      <c r="A241" s="8">
        <v>42768.067361111112</v>
      </c>
      <c r="B241" t="s">
        <v>198</v>
      </c>
      <c r="C241" t="s">
        <v>348</v>
      </c>
      <c r="D241" s="150">
        <v>1740000</v>
      </c>
      <c r="E241" t="s">
        <v>242</v>
      </c>
      <c r="F241" s="20" t="s">
        <v>243</v>
      </c>
      <c r="G241" s="8" t="str">
        <f t="shared" si="3"/>
        <v>STORY SAMANTHA</v>
      </c>
    </row>
    <row r="242" spans="1:7" x14ac:dyDescent="0.25">
      <c r="A242" s="8">
        <v>42768.078194444446</v>
      </c>
      <c r="B242" t="s">
        <v>282</v>
      </c>
      <c r="C242" t="s">
        <v>349</v>
      </c>
      <c r="D242" s="150">
        <v>2270000</v>
      </c>
      <c r="E242" t="s">
        <v>246</v>
      </c>
      <c r="F242" s="20" t="s">
        <v>247</v>
      </c>
      <c r="G242" s="8" t="str">
        <f t="shared" si="3"/>
        <v>BROWN JACOB</v>
      </c>
    </row>
    <row r="243" spans="1:7" x14ac:dyDescent="0.25">
      <c r="A243" s="8">
        <v>42768.095821759256</v>
      </c>
      <c r="B243" t="s">
        <v>229</v>
      </c>
      <c r="C243" t="s">
        <v>350</v>
      </c>
      <c r="D243" s="150">
        <v>2540000</v>
      </c>
      <c r="E243" t="s">
        <v>235</v>
      </c>
      <c r="F243" s="20" t="s">
        <v>236</v>
      </c>
      <c r="G243" s="8" t="str">
        <f t="shared" si="3"/>
        <v>MCREYNOLDS KYLE</v>
      </c>
    </row>
    <row r="244" spans="1:7" x14ac:dyDescent="0.25">
      <c r="A244" s="8">
        <v>42761.974421296298</v>
      </c>
      <c r="B244" t="s">
        <v>292</v>
      </c>
      <c r="C244" t="s">
        <v>296</v>
      </c>
      <c r="D244" s="150">
        <v>1810000</v>
      </c>
      <c r="E244" t="s">
        <v>210</v>
      </c>
      <c r="F244" s="20" t="s">
        <v>203</v>
      </c>
      <c r="G244" s="8" t="str">
        <f t="shared" si="3"/>
        <v>NEWELL JAMES</v>
      </c>
    </row>
    <row r="245" spans="1:7" x14ac:dyDescent="0.25">
      <c r="A245" s="8">
        <v>42761.993668981479</v>
      </c>
      <c r="B245" t="s">
        <v>277</v>
      </c>
      <c r="C245" t="s">
        <v>294</v>
      </c>
      <c r="D245" s="150">
        <v>2270000</v>
      </c>
      <c r="E245" t="s">
        <v>246</v>
      </c>
      <c r="F245" s="20" t="s">
        <v>247</v>
      </c>
      <c r="G245" s="8" t="str">
        <f t="shared" si="3"/>
        <v>BROWN JACOB</v>
      </c>
    </row>
    <row r="246" spans="1:7" x14ac:dyDescent="0.25">
      <c r="A246" s="8">
        <v>42761.994988425926</v>
      </c>
      <c r="B246" t="s">
        <v>230</v>
      </c>
      <c r="C246" t="s">
        <v>297</v>
      </c>
      <c r="D246" s="150">
        <v>1800000</v>
      </c>
      <c r="E246" t="s">
        <v>279</v>
      </c>
      <c r="F246" s="20" t="s">
        <v>280</v>
      </c>
      <c r="G246" s="8" t="str">
        <f t="shared" si="3"/>
        <v>CHANDLER KELVIN</v>
      </c>
    </row>
    <row r="247" spans="1:7" x14ac:dyDescent="0.25">
      <c r="A247" s="8">
        <v>42762.010069444441</v>
      </c>
      <c r="B247" t="s">
        <v>282</v>
      </c>
      <c r="C247" t="s">
        <v>298</v>
      </c>
      <c r="D247" s="150">
        <v>2220000</v>
      </c>
      <c r="E247" t="s">
        <v>227</v>
      </c>
      <c r="F247" s="20" t="s">
        <v>228</v>
      </c>
      <c r="G247" s="8" t="str">
        <f t="shared" si="3"/>
        <v>HILLS DUSTIN</v>
      </c>
    </row>
    <row r="248" spans="1:7" x14ac:dyDescent="0.25">
      <c r="A248" s="8">
        <v>42762.016180555554</v>
      </c>
      <c r="B248" t="s">
        <v>293</v>
      </c>
      <c r="C248" t="s">
        <v>299</v>
      </c>
      <c r="D248" s="150">
        <v>1810000</v>
      </c>
      <c r="E248" t="s">
        <v>210</v>
      </c>
      <c r="F248" s="20" t="s">
        <v>203</v>
      </c>
      <c r="G248" s="8" t="str">
        <f t="shared" si="3"/>
        <v>NEWELL JAMES</v>
      </c>
    </row>
    <row r="249" spans="1:7" x14ac:dyDescent="0.25">
      <c r="A249" s="8">
        <v>42762.02784722222</v>
      </c>
      <c r="B249" t="s">
        <v>229</v>
      </c>
      <c r="C249" t="s">
        <v>300</v>
      </c>
      <c r="D249" s="150">
        <v>1800000</v>
      </c>
      <c r="E249" t="s">
        <v>279</v>
      </c>
      <c r="F249" s="20" t="s">
        <v>280</v>
      </c>
      <c r="G249" s="8" t="str">
        <f t="shared" si="3"/>
        <v>CHANDLER KELVIN</v>
      </c>
    </row>
    <row r="250" spans="1:7" x14ac:dyDescent="0.25">
      <c r="A250" s="8">
        <v>42762.032488425924</v>
      </c>
      <c r="B250" t="s">
        <v>278</v>
      </c>
      <c r="C250" t="s">
        <v>295</v>
      </c>
      <c r="D250" s="150">
        <v>2270000</v>
      </c>
      <c r="E250" t="s">
        <v>246</v>
      </c>
      <c r="F250" s="20" t="s">
        <v>247</v>
      </c>
      <c r="G250" s="8" t="str">
        <f t="shared" si="3"/>
        <v>BROWN JACOB</v>
      </c>
    </row>
    <row r="251" spans="1:7" x14ac:dyDescent="0.25">
      <c r="A251" s="8">
        <v>42762.046157407407</v>
      </c>
      <c r="B251" t="s">
        <v>292</v>
      </c>
      <c r="C251" t="s">
        <v>301</v>
      </c>
      <c r="D251" s="150">
        <v>1810000</v>
      </c>
      <c r="E251" t="s">
        <v>210</v>
      </c>
      <c r="F251" s="20" t="s">
        <v>203</v>
      </c>
      <c r="G251" s="8" t="str">
        <f t="shared" si="3"/>
        <v>NEWELL JAMES</v>
      </c>
    </row>
    <row r="252" spans="1:7" x14ac:dyDescent="0.25">
      <c r="A252" s="8">
        <v>42762.050347222219</v>
      </c>
      <c r="B252" t="s">
        <v>281</v>
      </c>
      <c r="C252" t="s">
        <v>302</v>
      </c>
      <c r="D252" s="150">
        <v>2220000</v>
      </c>
      <c r="E252" t="s">
        <v>227</v>
      </c>
      <c r="F252" s="20" t="s">
        <v>228</v>
      </c>
      <c r="G252" s="8" t="str">
        <f t="shared" si="3"/>
        <v>HILLS DUSTIN</v>
      </c>
    </row>
    <row r="253" spans="1:7" x14ac:dyDescent="0.25">
      <c r="A253" s="8">
        <v>42762.064432870371</v>
      </c>
      <c r="B253" t="s">
        <v>281</v>
      </c>
      <c r="C253" t="s">
        <v>302</v>
      </c>
      <c r="D253" s="150">
        <v>2220000</v>
      </c>
      <c r="E253" t="s">
        <v>227</v>
      </c>
      <c r="F253" s="20" t="s">
        <v>228</v>
      </c>
      <c r="G253" s="8" t="str">
        <f t="shared" si="3"/>
        <v>HILLS DUSTIN</v>
      </c>
    </row>
    <row r="254" spans="1:7" x14ac:dyDescent="0.25">
      <c r="A254" s="8">
        <v>42762.072662037041</v>
      </c>
      <c r="B254" t="s">
        <v>277</v>
      </c>
      <c r="C254" t="s">
        <v>303</v>
      </c>
      <c r="D254" s="150">
        <v>2270000</v>
      </c>
      <c r="E254" t="s">
        <v>246</v>
      </c>
      <c r="F254" s="20" t="s">
        <v>247</v>
      </c>
      <c r="G254" s="8" t="str">
        <f t="shared" si="3"/>
        <v>BROWN JACOB</v>
      </c>
    </row>
    <row r="255" spans="1:7" x14ac:dyDescent="0.25">
      <c r="A255" s="8">
        <v>42762.095057870371</v>
      </c>
      <c r="B255" t="s">
        <v>282</v>
      </c>
      <c r="C255" t="s">
        <v>304</v>
      </c>
      <c r="D255" s="150">
        <v>2220000</v>
      </c>
      <c r="E255" t="s">
        <v>227</v>
      </c>
      <c r="F255" s="20" t="s">
        <v>228</v>
      </c>
      <c r="G255" s="8" t="str">
        <f t="shared" si="3"/>
        <v>HILLS DUSTIN</v>
      </c>
    </row>
    <row r="256" spans="1:7" x14ac:dyDescent="0.25">
      <c r="A256" s="8">
        <v>42756.050243055557</v>
      </c>
      <c r="B256" t="s">
        <v>214</v>
      </c>
      <c r="C256" t="s">
        <v>266</v>
      </c>
      <c r="D256" s="150">
        <v>2220000</v>
      </c>
      <c r="E256" t="s">
        <v>227</v>
      </c>
      <c r="F256" s="20" t="s">
        <v>228</v>
      </c>
      <c r="G256" s="8" t="str">
        <f t="shared" si="3"/>
        <v>HILLS DUSTIN</v>
      </c>
    </row>
    <row r="257" spans="1:7" x14ac:dyDescent="0.25">
      <c r="A257" s="8">
        <v>42756.067199074074</v>
      </c>
      <c r="B257" t="s">
        <v>198</v>
      </c>
      <c r="C257" t="s">
        <v>267</v>
      </c>
      <c r="D257" s="150">
        <v>2000000</v>
      </c>
      <c r="E257" t="s">
        <v>265</v>
      </c>
      <c r="F257" s="20" t="s">
        <v>203</v>
      </c>
      <c r="G257" s="8" t="str">
        <f t="shared" si="3"/>
        <v>STAMBAUGH JAMES</v>
      </c>
    </row>
    <row r="258" spans="1:7" x14ac:dyDescent="0.25">
      <c r="A258" s="8">
        <v>42756.088101851848</v>
      </c>
      <c r="B258" t="s">
        <v>239</v>
      </c>
      <c r="C258" t="s">
        <v>268</v>
      </c>
      <c r="D258" s="150">
        <v>2220000</v>
      </c>
      <c r="E258" t="s">
        <v>227</v>
      </c>
      <c r="F258" s="20" t="s">
        <v>228</v>
      </c>
      <c r="G258" s="8" t="str">
        <f t="shared" si="3"/>
        <v>HILLS DUSTIN</v>
      </c>
    </row>
    <row r="259" spans="1:7" x14ac:dyDescent="0.25">
      <c r="A259" s="8">
        <v>42756.114201388889</v>
      </c>
      <c r="B259" t="s">
        <v>264</v>
      </c>
      <c r="C259" t="s">
        <v>269</v>
      </c>
      <c r="D259" s="150">
        <v>1360000</v>
      </c>
      <c r="E259" t="s">
        <v>270</v>
      </c>
      <c r="F259" s="20" t="s">
        <v>271</v>
      </c>
      <c r="G259" s="8" t="str">
        <f t="shared" ref="G259:G322" si="4">E259&amp;" "&amp;F259</f>
        <v>SANTIZO D. EDY</v>
      </c>
    </row>
    <row r="260" spans="1:7" x14ac:dyDescent="0.25">
      <c r="A260" s="8">
        <v>42754.05332175926</v>
      </c>
      <c r="B260" t="s">
        <v>248</v>
      </c>
      <c r="C260" t="s">
        <v>254</v>
      </c>
      <c r="D260" s="150">
        <v>2450000</v>
      </c>
      <c r="E260" t="s">
        <v>250</v>
      </c>
      <c r="F260" s="20" t="s">
        <v>251</v>
      </c>
      <c r="G260" s="8" t="str">
        <f t="shared" si="4"/>
        <v>NELSON ARIANE</v>
      </c>
    </row>
    <row r="261" spans="1:7" x14ac:dyDescent="0.25">
      <c r="A261" s="8">
        <v>42754.057476851849</v>
      </c>
      <c r="B261" t="s">
        <v>233</v>
      </c>
      <c r="C261" t="s">
        <v>261</v>
      </c>
      <c r="D261" s="150">
        <v>1810000</v>
      </c>
      <c r="E261" t="s">
        <v>210</v>
      </c>
      <c r="F261" s="20" t="s">
        <v>203</v>
      </c>
      <c r="G261" s="8" t="str">
        <f t="shared" si="4"/>
        <v>NEWELL JAMES</v>
      </c>
    </row>
    <row r="262" spans="1:7" x14ac:dyDescent="0.25">
      <c r="A262" s="8">
        <v>42754.060081018521</v>
      </c>
      <c r="B262" t="s">
        <v>255</v>
      </c>
      <c r="C262" t="s">
        <v>259</v>
      </c>
      <c r="D262" s="150">
        <v>2670000</v>
      </c>
      <c r="E262" t="s">
        <v>257</v>
      </c>
      <c r="F262" s="20" t="s">
        <v>258</v>
      </c>
      <c r="G262" s="8" t="str">
        <f t="shared" si="4"/>
        <v>COMELLA JUSTIN</v>
      </c>
    </row>
    <row r="263" spans="1:7" x14ac:dyDescent="0.25">
      <c r="A263" s="8">
        <v>42754.060555555552</v>
      </c>
      <c r="B263" t="s">
        <v>229</v>
      </c>
      <c r="C263" t="s">
        <v>253</v>
      </c>
      <c r="D263" s="150">
        <v>2540000</v>
      </c>
      <c r="E263" t="s">
        <v>235</v>
      </c>
      <c r="F263" s="20" t="s">
        <v>236</v>
      </c>
      <c r="G263" s="8" t="str">
        <f t="shared" si="4"/>
        <v>MCREYNOLDS KYLE</v>
      </c>
    </row>
    <row r="264" spans="1:7" x14ac:dyDescent="0.25">
      <c r="A264" s="8">
        <v>42754.068148148152</v>
      </c>
      <c r="B264" t="s">
        <v>224</v>
      </c>
      <c r="C264" t="s">
        <v>249</v>
      </c>
      <c r="D264" s="150">
        <v>2450000</v>
      </c>
      <c r="E264" t="s">
        <v>250</v>
      </c>
      <c r="F264" s="20" t="s">
        <v>251</v>
      </c>
      <c r="G264" s="8" t="str">
        <f t="shared" si="4"/>
        <v>NELSON ARIANE</v>
      </c>
    </row>
    <row r="265" spans="1:7" x14ac:dyDescent="0.25">
      <c r="A265" s="8">
        <v>42754.069988425923</v>
      </c>
      <c r="B265" t="s">
        <v>245</v>
      </c>
      <c r="C265" t="s">
        <v>262</v>
      </c>
      <c r="D265" s="150">
        <v>2270000</v>
      </c>
      <c r="E265" t="s">
        <v>246</v>
      </c>
      <c r="F265" s="20" t="s">
        <v>247</v>
      </c>
      <c r="G265" s="8" t="str">
        <f t="shared" si="4"/>
        <v>BROWN JACOB</v>
      </c>
    </row>
    <row r="266" spans="1:7" x14ac:dyDescent="0.25">
      <c r="A266" s="8">
        <v>42754.070185185185</v>
      </c>
      <c r="B266" t="s">
        <v>230</v>
      </c>
      <c r="C266" t="s">
        <v>252</v>
      </c>
      <c r="D266" s="150">
        <v>2540000</v>
      </c>
      <c r="E266" t="s">
        <v>235</v>
      </c>
      <c r="F266" s="20" t="s">
        <v>236</v>
      </c>
      <c r="G266" s="8" t="str">
        <f t="shared" si="4"/>
        <v>MCREYNOLDS KYLE</v>
      </c>
    </row>
    <row r="267" spans="1:7" x14ac:dyDescent="0.25">
      <c r="A267" s="8">
        <v>42754.077326388891</v>
      </c>
      <c r="B267" t="s">
        <v>248</v>
      </c>
      <c r="C267" t="s">
        <v>254</v>
      </c>
      <c r="D267" s="150">
        <v>2450000</v>
      </c>
      <c r="E267" t="s">
        <v>250</v>
      </c>
      <c r="F267" s="20" t="s">
        <v>251</v>
      </c>
      <c r="G267" s="8" t="str">
        <f t="shared" si="4"/>
        <v>NELSON ARIANE</v>
      </c>
    </row>
    <row r="268" spans="1:7" x14ac:dyDescent="0.25">
      <c r="A268" s="8">
        <v>42754.08556712963</v>
      </c>
      <c r="B268" t="s">
        <v>245</v>
      </c>
      <c r="C268" t="s">
        <v>262</v>
      </c>
      <c r="D268" s="150">
        <v>2270000</v>
      </c>
      <c r="E268" t="s">
        <v>246</v>
      </c>
      <c r="F268" s="20" t="s">
        <v>247</v>
      </c>
      <c r="G268" s="8" t="str">
        <f t="shared" si="4"/>
        <v>BROWN JACOB</v>
      </c>
    </row>
    <row r="269" spans="1:7" x14ac:dyDescent="0.25">
      <c r="A269" s="8">
        <v>42754.092013888891</v>
      </c>
      <c r="B269" t="s">
        <v>229</v>
      </c>
      <c r="C269" t="s">
        <v>253</v>
      </c>
      <c r="D269" s="150">
        <v>2540000</v>
      </c>
      <c r="E269" t="s">
        <v>235</v>
      </c>
      <c r="F269" s="20" t="s">
        <v>236</v>
      </c>
      <c r="G269" s="8" t="str">
        <f t="shared" si="4"/>
        <v>MCREYNOLDS KYLE</v>
      </c>
    </row>
    <row r="270" spans="1:7" x14ac:dyDescent="0.25">
      <c r="A270" s="8">
        <v>42754.093356481484</v>
      </c>
      <c r="B270" t="s">
        <v>234</v>
      </c>
      <c r="C270" t="s">
        <v>263</v>
      </c>
      <c r="D270" s="150">
        <v>1810000</v>
      </c>
      <c r="E270" t="s">
        <v>210</v>
      </c>
      <c r="F270" s="20" t="s">
        <v>203</v>
      </c>
      <c r="G270" s="8" t="str">
        <f t="shared" si="4"/>
        <v>NEWELL JAMES</v>
      </c>
    </row>
    <row r="271" spans="1:7" x14ac:dyDescent="0.25">
      <c r="A271" s="8">
        <v>42754.098680555559</v>
      </c>
      <c r="B271" t="s">
        <v>260</v>
      </c>
      <c r="C271" t="s">
        <v>256</v>
      </c>
      <c r="D271" s="150">
        <v>2670000</v>
      </c>
      <c r="E271" t="s">
        <v>257</v>
      </c>
      <c r="F271" s="20" t="s">
        <v>258</v>
      </c>
      <c r="G271" s="8" t="str">
        <f t="shared" si="4"/>
        <v>COMELLA JUSTIN</v>
      </c>
    </row>
    <row r="272" spans="1:7" x14ac:dyDescent="0.25">
      <c r="A272" s="8">
        <v>42754.108900462961</v>
      </c>
      <c r="B272" t="s">
        <v>224</v>
      </c>
      <c r="C272" t="s">
        <v>249</v>
      </c>
      <c r="D272" s="150">
        <v>2450000</v>
      </c>
      <c r="E272" t="s">
        <v>250</v>
      </c>
      <c r="F272" s="20" t="s">
        <v>251</v>
      </c>
      <c r="G272" s="8" t="str">
        <f t="shared" si="4"/>
        <v>NELSON ARIANE</v>
      </c>
    </row>
    <row r="273" spans="1:7" x14ac:dyDescent="0.25">
      <c r="A273" s="8">
        <v>42754.109803240739</v>
      </c>
      <c r="B273" t="s">
        <v>230</v>
      </c>
      <c r="C273" t="s">
        <v>252</v>
      </c>
      <c r="D273" s="150">
        <v>2540000</v>
      </c>
      <c r="E273" t="s">
        <v>235</v>
      </c>
      <c r="F273" s="20" t="s">
        <v>236</v>
      </c>
      <c r="G273" s="8" t="str">
        <f t="shared" si="4"/>
        <v>MCREYNOLDS KYLE</v>
      </c>
    </row>
    <row r="274" spans="1:7" x14ac:dyDescent="0.25">
      <c r="F274" s="20">
        <f t="shared" ref="F274:F281" si="5">B274</f>
        <v>0</v>
      </c>
      <c r="G274" s="8" t="str">
        <f t="shared" si="4"/>
        <v xml:space="preserve"> 0</v>
      </c>
    </row>
    <row r="275" spans="1:7" x14ac:dyDescent="0.25">
      <c r="F275" s="20">
        <f t="shared" si="5"/>
        <v>0</v>
      </c>
      <c r="G275" s="8" t="str">
        <f t="shared" si="4"/>
        <v xml:space="preserve"> 0</v>
      </c>
    </row>
    <row r="276" spans="1:7" x14ac:dyDescent="0.25">
      <c r="F276" s="20">
        <f t="shared" si="5"/>
        <v>0</v>
      </c>
      <c r="G276" s="8" t="str">
        <f t="shared" si="4"/>
        <v xml:space="preserve"> 0</v>
      </c>
    </row>
    <row r="277" spans="1:7" x14ac:dyDescent="0.25">
      <c r="F277" s="20">
        <f t="shared" si="5"/>
        <v>0</v>
      </c>
      <c r="G277" s="8" t="str">
        <f t="shared" si="4"/>
        <v xml:space="preserve"> 0</v>
      </c>
    </row>
    <row r="278" spans="1:7" x14ac:dyDescent="0.25">
      <c r="F278" s="20">
        <f t="shared" si="5"/>
        <v>0</v>
      </c>
      <c r="G278" s="8" t="str">
        <f t="shared" si="4"/>
        <v xml:space="preserve"> 0</v>
      </c>
    </row>
    <row r="279" spans="1:7" x14ac:dyDescent="0.25">
      <c r="F279" s="20">
        <f t="shared" si="5"/>
        <v>0</v>
      </c>
      <c r="G279" s="8" t="str">
        <f t="shared" si="4"/>
        <v xml:space="preserve"> 0</v>
      </c>
    </row>
    <row r="280" spans="1:7" x14ac:dyDescent="0.25">
      <c r="F280" s="20">
        <f t="shared" si="5"/>
        <v>0</v>
      </c>
      <c r="G280" s="8" t="str">
        <f t="shared" si="4"/>
        <v xml:space="preserve"> 0</v>
      </c>
    </row>
    <row r="281" spans="1:7" x14ac:dyDescent="0.25">
      <c r="F281" s="20">
        <f t="shared" si="5"/>
        <v>0</v>
      </c>
      <c r="G281" s="8" t="str">
        <f t="shared" si="4"/>
        <v xml:space="preserve"> 0</v>
      </c>
    </row>
    <row r="282" spans="1:7" x14ac:dyDescent="0.25">
      <c r="F282" s="20">
        <f t="shared" ref="F282:F345" si="6">B282</f>
        <v>0</v>
      </c>
      <c r="G282" s="8" t="str">
        <f t="shared" si="4"/>
        <v xml:space="preserve"> 0</v>
      </c>
    </row>
    <row r="283" spans="1:7" x14ac:dyDescent="0.25">
      <c r="F283" s="20">
        <f t="shared" si="6"/>
        <v>0</v>
      </c>
      <c r="G283" s="8" t="str">
        <f t="shared" si="4"/>
        <v xml:space="preserve"> 0</v>
      </c>
    </row>
    <row r="284" spans="1:7" x14ac:dyDescent="0.25">
      <c r="F284" s="20">
        <f t="shared" si="6"/>
        <v>0</v>
      </c>
      <c r="G284" s="8" t="str">
        <f t="shared" si="4"/>
        <v xml:space="preserve"> 0</v>
      </c>
    </row>
    <row r="285" spans="1:7" x14ac:dyDescent="0.25">
      <c r="F285" s="20">
        <f t="shared" si="6"/>
        <v>0</v>
      </c>
      <c r="G285" s="8" t="str">
        <f t="shared" si="4"/>
        <v xml:space="preserve"> 0</v>
      </c>
    </row>
    <row r="286" spans="1:7" x14ac:dyDescent="0.25">
      <c r="F286" s="20">
        <f t="shared" si="6"/>
        <v>0</v>
      </c>
      <c r="G286" s="8" t="str">
        <f t="shared" si="4"/>
        <v xml:space="preserve"> 0</v>
      </c>
    </row>
    <row r="287" spans="1:7" x14ac:dyDescent="0.25">
      <c r="F287" s="20">
        <f t="shared" si="6"/>
        <v>0</v>
      </c>
      <c r="G287" s="8" t="str">
        <f t="shared" si="4"/>
        <v xml:space="preserve"> 0</v>
      </c>
    </row>
    <row r="288" spans="1:7" x14ac:dyDescent="0.25">
      <c r="F288" s="20">
        <f t="shared" si="6"/>
        <v>0</v>
      </c>
      <c r="G288" s="8" t="str">
        <f t="shared" si="4"/>
        <v xml:space="preserve"> 0</v>
      </c>
    </row>
    <row r="289" spans="6:7" x14ac:dyDescent="0.25">
      <c r="F289" s="20">
        <f t="shared" si="6"/>
        <v>0</v>
      </c>
      <c r="G289" s="8" t="str">
        <f t="shared" si="4"/>
        <v xml:space="preserve"> 0</v>
      </c>
    </row>
    <row r="290" spans="6:7" x14ac:dyDescent="0.25">
      <c r="F290" s="20">
        <f t="shared" si="6"/>
        <v>0</v>
      </c>
      <c r="G290" s="8" t="str">
        <f t="shared" si="4"/>
        <v xml:space="preserve"> 0</v>
      </c>
    </row>
    <row r="291" spans="6:7" x14ac:dyDescent="0.25">
      <c r="F291" s="20">
        <f t="shared" si="6"/>
        <v>0</v>
      </c>
      <c r="G291" s="8" t="str">
        <f t="shared" si="4"/>
        <v xml:space="preserve"> 0</v>
      </c>
    </row>
    <row r="292" spans="6:7" x14ac:dyDescent="0.25">
      <c r="F292" s="20">
        <f t="shared" si="6"/>
        <v>0</v>
      </c>
      <c r="G292" s="8" t="str">
        <f t="shared" si="4"/>
        <v xml:space="preserve"> 0</v>
      </c>
    </row>
    <row r="293" spans="6:7" x14ac:dyDescent="0.25">
      <c r="F293" s="20">
        <f t="shared" si="6"/>
        <v>0</v>
      </c>
      <c r="G293" s="8" t="str">
        <f t="shared" si="4"/>
        <v xml:space="preserve"> 0</v>
      </c>
    </row>
    <row r="294" spans="6:7" x14ac:dyDescent="0.25">
      <c r="F294" s="20">
        <f t="shared" si="6"/>
        <v>0</v>
      </c>
      <c r="G294" s="8" t="str">
        <f t="shared" si="4"/>
        <v xml:space="preserve"> 0</v>
      </c>
    </row>
    <row r="295" spans="6:7" x14ac:dyDescent="0.25">
      <c r="F295" s="20">
        <f t="shared" si="6"/>
        <v>0</v>
      </c>
      <c r="G295" s="8" t="str">
        <f t="shared" si="4"/>
        <v xml:space="preserve"> 0</v>
      </c>
    </row>
    <row r="296" spans="6:7" x14ac:dyDescent="0.25">
      <c r="F296" s="20">
        <f t="shared" si="6"/>
        <v>0</v>
      </c>
      <c r="G296" s="8" t="str">
        <f t="shared" si="4"/>
        <v xml:space="preserve"> 0</v>
      </c>
    </row>
    <row r="297" spans="6:7" x14ac:dyDescent="0.25">
      <c r="F297" s="20">
        <f t="shared" si="6"/>
        <v>0</v>
      </c>
      <c r="G297" s="8" t="str">
        <f t="shared" si="4"/>
        <v xml:space="preserve"> 0</v>
      </c>
    </row>
    <row r="298" spans="6:7" x14ac:dyDescent="0.25">
      <c r="F298" s="20">
        <f t="shared" si="6"/>
        <v>0</v>
      </c>
      <c r="G298" s="8" t="str">
        <f t="shared" si="4"/>
        <v xml:space="preserve"> 0</v>
      </c>
    </row>
    <row r="299" spans="6:7" x14ac:dyDescent="0.25">
      <c r="F299" s="20">
        <f t="shared" si="6"/>
        <v>0</v>
      </c>
      <c r="G299" s="8" t="str">
        <f t="shared" si="4"/>
        <v xml:space="preserve"> 0</v>
      </c>
    </row>
    <row r="300" spans="6:7" x14ac:dyDescent="0.25">
      <c r="F300" s="20">
        <f t="shared" si="6"/>
        <v>0</v>
      </c>
      <c r="G300" s="8" t="str">
        <f t="shared" si="4"/>
        <v xml:space="preserve"> 0</v>
      </c>
    </row>
    <row r="301" spans="6:7" x14ac:dyDescent="0.25">
      <c r="F301" s="20">
        <f t="shared" si="6"/>
        <v>0</v>
      </c>
      <c r="G301" s="8" t="str">
        <f t="shared" si="4"/>
        <v xml:space="preserve"> 0</v>
      </c>
    </row>
    <row r="302" spans="6:7" x14ac:dyDescent="0.25">
      <c r="F302" s="20">
        <f t="shared" si="6"/>
        <v>0</v>
      </c>
      <c r="G302" s="8" t="str">
        <f t="shared" si="4"/>
        <v xml:space="preserve"> 0</v>
      </c>
    </row>
    <row r="303" spans="6:7" x14ac:dyDescent="0.25">
      <c r="F303" s="20">
        <f t="shared" si="6"/>
        <v>0</v>
      </c>
      <c r="G303" s="8" t="str">
        <f t="shared" si="4"/>
        <v xml:space="preserve"> 0</v>
      </c>
    </row>
    <row r="304" spans="6:7" x14ac:dyDescent="0.25">
      <c r="F304" s="20">
        <f t="shared" si="6"/>
        <v>0</v>
      </c>
      <c r="G304" s="8" t="str">
        <f t="shared" si="4"/>
        <v xml:space="preserve"> 0</v>
      </c>
    </row>
    <row r="305" spans="6:7" x14ac:dyDescent="0.25">
      <c r="F305" s="20">
        <f t="shared" si="6"/>
        <v>0</v>
      </c>
      <c r="G305" s="8" t="str">
        <f t="shared" si="4"/>
        <v xml:space="preserve"> 0</v>
      </c>
    </row>
    <row r="306" spans="6:7" x14ac:dyDescent="0.25">
      <c r="F306" s="20">
        <f t="shared" si="6"/>
        <v>0</v>
      </c>
      <c r="G306" s="8" t="str">
        <f t="shared" si="4"/>
        <v xml:space="preserve"> 0</v>
      </c>
    </row>
    <row r="307" spans="6:7" x14ac:dyDescent="0.25">
      <c r="F307" s="20">
        <f t="shared" si="6"/>
        <v>0</v>
      </c>
      <c r="G307" s="8" t="str">
        <f t="shared" si="4"/>
        <v xml:space="preserve"> 0</v>
      </c>
    </row>
    <row r="308" spans="6:7" x14ac:dyDescent="0.25">
      <c r="F308" s="20">
        <f t="shared" si="6"/>
        <v>0</v>
      </c>
      <c r="G308" s="8" t="str">
        <f t="shared" si="4"/>
        <v xml:space="preserve"> 0</v>
      </c>
    </row>
    <row r="309" spans="6:7" x14ac:dyDescent="0.25">
      <c r="F309" s="20">
        <f t="shared" si="6"/>
        <v>0</v>
      </c>
      <c r="G309" s="8" t="str">
        <f t="shared" si="4"/>
        <v xml:space="preserve"> 0</v>
      </c>
    </row>
    <row r="310" spans="6:7" x14ac:dyDescent="0.25">
      <c r="F310" s="20">
        <f t="shared" si="6"/>
        <v>0</v>
      </c>
      <c r="G310" s="8" t="str">
        <f t="shared" si="4"/>
        <v xml:space="preserve"> 0</v>
      </c>
    </row>
    <row r="311" spans="6:7" x14ac:dyDescent="0.25">
      <c r="F311" s="20">
        <f t="shared" si="6"/>
        <v>0</v>
      </c>
      <c r="G311" s="8" t="str">
        <f t="shared" si="4"/>
        <v xml:space="preserve"> 0</v>
      </c>
    </row>
    <row r="312" spans="6:7" x14ac:dyDescent="0.25">
      <c r="F312" s="20">
        <f t="shared" si="6"/>
        <v>0</v>
      </c>
      <c r="G312" s="8" t="str">
        <f t="shared" si="4"/>
        <v xml:space="preserve"> 0</v>
      </c>
    </row>
    <row r="313" spans="6:7" x14ac:dyDescent="0.25">
      <c r="F313" s="20">
        <f t="shared" si="6"/>
        <v>0</v>
      </c>
      <c r="G313" s="8" t="str">
        <f t="shared" si="4"/>
        <v xml:space="preserve"> 0</v>
      </c>
    </row>
    <row r="314" spans="6:7" x14ac:dyDescent="0.25">
      <c r="F314" s="20">
        <f t="shared" si="6"/>
        <v>0</v>
      </c>
      <c r="G314" s="8" t="str">
        <f t="shared" si="4"/>
        <v xml:space="preserve"> 0</v>
      </c>
    </row>
    <row r="315" spans="6:7" x14ac:dyDescent="0.25">
      <c r="F315" s="20">
        <f t="shared" si="6"/>
        <v>0</v>
      </c>
      <c r="G315" s="8" t="str">
        <f t="shared" si="4"/>
        <v xml:space="preserve"> 0</v>
      </c>
    </row>
    <row r="316" spans="6:7" x14ac:dyDescent="0.25">
      <c r="F316" s="20">
        <f t="shared" si="6"/>
        <v>0</v>
      </c>
      <c r="G316" s="8" t="str">
        <f t="shared" si="4"/>
        <v xml:space="preserve"> 0</v>
      </c>
    </row>
    <row r="317" spans="6:7" x14ac:dyDescent="0.25">
      <c r="F317" s="20">
        <f t="shared" si="6"/>
        <v>0</v>
      </c>
      <c r="G317" s="8" t="str">
        <f t="shared" si="4"/>
        <v xml:space="preserve"> 0</v>
      </c>
    </row>
    <row r="318" spans="6:7" x14ac:dyDescent="0.25">
      <c r="F318" s="20">
        <f t="shared" si="6"/>
        <v>0</v>
      </c>
      <c r="G318" s="8" t="str">
        <f t="shared" si="4"/>
        <v xml:space="preserve"> 0</v>
      </c>
    </row>
    <row r="319" spans="6:7" x14ac:dyDescent="0.25">
      <c r="F319" s="20">
        <f t="shared" si="6"/>
        <v>0</v>
      </c>
      <c r="G319" s="8" t="str">
        <f t="shared" si="4"/>
        <v xml:space="preserve"> 0</v>
      </c>
    </row>
    <row r="320" spans="6:7" x14ac:dyDescent="0.25">
      <c r="F320" s="20">
        <f t="shared" si="6"/>
        <v>0</v>
      </c>
      <c r="G320" s="8" t="str">
        <f t="shared" si="4"/>
        <v xml:space="preserve"> 0</v>
      </c>
    </row>
    <row r="321" spans="6:7" x14ac:dyDescent="0.25">
      <c r="F321" s="20">
        <f t="shared" si="6"/>
        <v>0</v>
      </c>
      <c r="G321" s="8" t="str">
        <f t="shared" si="4"/>
        <v xml:space="preserve"> 0</v>
      </c>
    </row>
    <row r="322" spans="6:7" x14ac:dyDescent="0.25">
      <c r="F322" s="20">
        <f t="shared" si="6"/>
        <v>0</v>
      </c>
      <c r="G322" s="8" t="str">
        <f t="shared" si="4"/>
        <v xml:space="preserve"> 0</v>
      </c>
    </row>
    <row r="323" spans="6:7" x14ac:dyDescent="0.25">
      <c r="F323" s="20">
        <f t="shared" si="6"/>
        <v>0</v>
      </c>
      <c r="G323" s="8" t="str">
        <f t="shared" ref="G323:G386" si="7">E323&amp;" "&amp;F323</f>
        <v xml:space="preserve"> 0</v>
      </c>
    </row>
    <row r="324" spans="6:7" x14ac:dyDescent="0.25">
      <c r="F324" s="20">
        <f t="shared" si="6"/>
        <v>0</v>
      </c>
      <c r="G324" s="8" t="str">
        <f t="shared" si="7"/>
        <v xml:space="preserve"> 0</v>
      </c>
    </row>
    <row r="325" spans="6:7" x14ac:dyDescent="0.25">
      <c r="F325" s="20">
        <f t="shared" si="6"/>
        <v>0</v>
      </c>
      <c r="G325" s="8" t="str">
        <f t="shared" si="7"/>
        <v xml:space="preserve"> 0</v>
      </c>
    </row>
    <row r="326" spans="6:7" x14ac:dyDescent="0.25">
      <c r="F326" s="20">
        <f t="shared" si="6"/>
        <v>0</v>
      </c>
      <c r="G326" s="8" t="str">
        <f t="shared" si="7"/>
        <v xml:space="preserve"> 0</v>
      </c>
    </row>
    <row r="327" spans="6:7" x14ac:dyDescent="0.25">
      <c r="F327" s="20">
        <f t="shared" si="6"/>
        <v>0</v>
      </c>
      <c r="G327" s="8" t="str">
        <f t="shared" si="7"/>
        <v xml:space="preserve"> 0</v>
      </c>
    </row>
    <row r="328" spans="6:7" x14ac:dyDescent="0.25">
      <c r="F328" s="20">
        <f t="shared" si="6"/>
        <v>0</v>
      </c>
      <c r="G328" s="8" t="str">
        <f t="shared" si="7"/>
        <v xml:space="preserve"> 0</v>
      </c>
    </row>
    <row r="329" spans="6:7" x14ac:dyDescent="0.25">
      <c r="F329" s="20">
        <f t="shared" si="6"/>
        <v>0</v>
      </c>
      <c r="G329" s="8" t="str">
        <f t="shared" si="7"/>
        <v xml:space="preserve"> 0</v>
      </c>
    </row>
    <row r="330" spans="6:7" x14ac:dyDescent="0.25">
      <c r="F330" s="20">
        <f t="shared" si="6"/>
        <v>0</v>
      </c>
      <c r="G330" s="8" t="str">
        <f t="shared" si="7"/>
        <v xml:space="preserve"> 0</v>
      </c>
    </row>
    <row r="331" spans="6:7" x14ac:dyDescent="0.25">
      <c r="F331" s="20">
        <f t="shared" si="6"/>
        <v>0</v>
      </c>
      <c r="G331" s="8" t="str">
        <f t="shared" si="7"/>
        <v xml:space="preserve"> 0</v>
      </c>
    </row>
    <row r="332" spans="6:7" x14ac:dyDescent="0.25">
      <c r="F332" s="20">
        <f t="shared" si="6"/>
        <v>0</v>
      </c>
      <c r="G332" s="8" t="str">
        <f t="shared" si="7"/>
        <v xml:space="preserve"> 0</v>
      </c>
    </row>
    <row r="333" spans="6:7" x14ac:dyDescent="0.25">
      <c r="F333" s="20">
        <f t="shared" si="6"/>
        <v>0</v>
      </c>
      <c r="G333" s="8" t="str">
        <f t="shared" si="7"/>
        <v xml:space="preserve"> 0</v>
      </c>
    </row>
    <row r="334" spans="6:7" x14ac:dyDescent="0.25">
      <c r="F334" s="20">
        <f t="shared" si="6"/>
        <v>0</v>
      </c>
      <c r="G334" s="8" t="str">
        <f t="shared" si="7"/>
        <v xml:space="preserve"> 0</v>
      </c>
    </row>
    <row r="335" spans="6:7" x14ac:dyDescent="0.25">
      <c r="F335" s="20">
        <f t="shared" si="6"/>
        <v>0</v>
      </c>
      <c r="G335" s="8" t="str">
        <f t="shared" si="7"/>
        <v xml:space="preserve"> 0</v>
      </c>
    </row>
    <row r="336" spans="6:7" x14ac:dyDescent="0.25">
      <c r="F336" s="20">
        <f t="shared" si="6"/>
        <v>0</v>
      </c>
      <c r="G336" s="8" t="str">
        <f t="shared" si="7"/>
        <v xml:space="preserve"> 0</v>
      </c>
    </row>
    <row r="337" spans="6:7" x14ac:dyDescent="0.25">
      <c r="F337" s="20">
        <f t="shared" si="6"/>
        <v>0</v>
      </c>
      <c r="G337" s="8" t="str">
        <f t="shared" si="7"/>
        <v xml:space="preserve"> 0</v>
      </c>
    </row>
    <row r="338" spans="6:7" x14ac:dyDescent="0.25">
      <c r="F338" s="20">
        <f t="shared" si="6"/>
        <v>0</v>
      </c>
      <c r="G338" s="8" t="str">
        <f t="shared" si="7"/>
        <v xml:space="preserve"> 0</v>
      </c>
    </row>
    <row r="339" spans="6:7" x14ac:dyDescent="0.25">
      <c r="F339" s="20">
        <f t="shared" si="6"/>
        <v>0</v>
      </c>
      <c r="G339" s="8" t="str">
        <f t="shared" si="7"/>
        <v xml:space="preserve"> 0</v>
      </c>
    </row>
    <row r="340" spans="6:7" x14ac:dyDescent="0.25">
      <c r="F340" s="20">
        <f t="shared" si="6"/>
        <v>0</v>
      </c>
      <c r="G340" s="8" t="str">
        <f t="shared" si="7"/>
        <v xml:space="preserve"> 0</v>
      </c>
    </row>
    <row r="341" spans="6:7" x14ac:dyDescent="0.25">
      <c r="F341" s="20">
        <f t="shared" si="6"/>
        <v>0</v>
      </c>
      <c r="G341" s="8" t="str">
        <f t="shared" si="7"/>
        <v xml:space="preserve"> 0</v>
      </c>
    </row>
    <row r="342" spans="6:7" x14ac:dyDescent="0.25">
      <c r="F342" s="20">
        <f t="shared" si="6"/>
        <v>0</v>
      </c>
      <c r="G342" s="8" t="str">
        <f t="shared" si="7"/>
        <v xml:space="preserve"> 0</v>
      </c>
    </row>
    <row r="343" spans="6:7" x14ac:dyDescent="0.25">
      <c r="F343" s="20">
        <f t="shared" si="6"/>
        <v>0</v>
      </c>
      <c r="G343" s="8" t="str">
        <f t="shared" si="7"/>
        <v xml:space="preserve"> 0</v>
      </c>
    </row>
    <row r="344" spans="6:7" x14ac:dyDescent="0.25">
      <c r="F344" s="20">
        <f t="shared" si="6"/>
        <v>0</v>
      </c>
      <c r="G344" s="8" t="str">
        <f t="shared" si="7"/>
        <v xml:space="preserve"> 0</v>
      </c>
    </row>
    <row r="345" spans="6:7" x14ac:dyDescent="0.25">
      <c r="F345" s="20">
        <f t="shared" si="6"/>
        <v>0</v>
      </c>
      <c r="G345" s="8" t="str">
        <f t="shared" si="7"/>
        <v xml:space="preserve"> 0</v>
      </c>
    </row>
    <row r="346" spans="6:7" x14ac:dyDescent="0.25">
      <c r="F346" s="20">
        <f t="shared" ref="F346:F409" si="8">B346</f>
        <v>0</v>
      </c>
      <c r="G346" s="8" t="str">
        <f t="shared" si="7"/>
        <v xml:space="preserve"> 0</v>
      </c>
    </row>
    <row r="347" spans="6:7" x14ac:dyDescent="0.25">
      <c r="F347" s="20">
        <f t="shared" si="8"/>
        <v>0</v>
      </c>
      <c r="G347" s="8" t="str">
        <f t="shared" si="7"/>
        <v xml:space="preserve"> 0</v>
      </c>
    </row>
    <row r="348" spans="6:7" x14ac:dyDescent="0.25">
      <c r="F348" s="20">
        <f t="shared" si="8"/>
        <v>0</v>
      </c>
      <c r="G348" s="8" t="str">
        <f t="shared" si="7"/>
        <v xml:space="preserve"> 0</v>
      </c>
    </row>
    <row r="349" spans="6:7" x14ac:dyDescent="0.25">
      <c r="F349" s="20">
        <f t="shared" si="8"/>
        <v>0</v>
      </c>
      <c r="G349" s="8" t="str">
        <f t="shared" si="7"/>
        <v xml:space="preserve"> 0</v>
      </c>
    </row>
    <row r="350" spans="6:7" x14ac:dyDescent="0.25">
      <c r="F350" s="20">
        <f t="shared" si="8"/>
        <v>0</v>
      </c>
      <c r="G350" s="8" t="str">
        <f t="shared" si="7"/>
        <v xml:space="preserve"> 0</v>
      </c>
    </row>
    <row r="351" spans="6:7" x14ac:dyDescent="0.25">
      <c r="F351" s="20">
        <f t="shared" si="8"/>
        <v>0</v>
      </c>
      <c r="G351" s="8" t="str">
        <f t="shared" si="7"/>
        <v xml:space="preserve"> 0</v>
      </c>
    </row>
    <row r="352" spans="6:7" x14ac:dyDescent="0.25">
      <c r="F352" s="20">
        <f t="shared" si="8"/>
        <v>0</v>
      </c>
      <c r="G352" s="8" t="str">
        <f t="shared" si="7"/>
        <v xml:space="preserve"> 0</v>
      </c>
    </row>
    <row r="353" spans="6:7" x14ac:dyDescent="0.25">
      <c r="F353" s="20">
        <f t="shared" si="8"/>
        <v>0</v>
      </c>
      <c r="G353" s="8" t="str">
        <f t="shared" si="7"/>
        <v xml:space="preserve"> 0</v>
      </c>
    </row>
    <row r="354" spans="6:7" x14ac:dyDescent="0.25">
      <c r="F354" s="20">
        <f t="shared" si="8"/>
        <v>0</v>
      </c>
      <c r="G354" s="8" t="str">
        <f t="shared" si="7"/>
        <v xml:space="preserve"> 0</v>
      </c>
    </row>
    <row r="355" spans="6:7" x14ac:dyDescent="0.25">
      <c r="F355" s="20">
        <f t="shared" si="8"/>
        <v>0</v>
      </c>
      <c r="G355" s="8" t="str">
        <f t="shared" si="7"/>
        <v xml:space="preserve"> 0</v>
      </c>
    </row>
    <row r="356" spans="6:7" x14ac:dyDescent="0.25">
      <c r="F356" s="20">
        <f t="shared" si="8"/>
        <v>0</v>
      </c>
      <c r="G356" s="8" t="str">
        <f t="shared" si="7"/>
        <v xml:space="preserve"> 0</v>
      </c>
    </row>
    <row r="357" spans="6:7" x14ac:dyDescent="0.25">
      <c r="F357" s="20">
        <f t="shared" si="8"/>
        <v>0</v>
      </c>
      <c r="G357" s="8" t="str">
        <f t="shared" si="7"/>
        <v xml:space="preserve"> 0</v>
      </c>
    </row>
    <row r="358" spans="6:7" x14ac:dyDescent="0.25">
      <c r="F358" s="20">
        <f t="shared" si="8"/>
        <v>0</v>
      </c>
      <c r="G358" s="8" t="str">
        <f t="shared" si="7"/>
        <v xml:space="preserve"> 0</v>
      </c>
    </row>
    <row r="359" spans="6:7" x14ac:dyDescent="0.25">
      <c r="F359" s="20">
        <f t="shared" si="8"/>
        <v>0</v>
      </c>
      <c r="G359" s="8" t="str">
        <f t="shared" si="7"/>
        <v xml:space="preserve"> 0</v>
      </c>
    </row>
    <row r="360" spans="6:7" x14ac:dyDescent="0.25">
      <c r="F360" s="20">
        <f t="shared" si="8"/>
        <v>0</v>
      </c>
      <c r="G360" s="8" t="str">
        <f t="shared" si="7"/>
        <v xml:space="preserve"> 0</v>
      </c>
    </row>
    <row r="361" spans="6:7" x14ac:dyDescent="0.25">
      <c r="F361" s="20">
        <f t="shared" si="8"/>
        <v>0</v>
      </c>
      <c r="G361" s="8" t="str">
        <f t="shared" si="7"/>
        <v xml:space="preserve"> 0</v>
      </c>
    </row>
    <row r="362" spans="6:7" x14ac:dyDescent="0.25">
      <c r="F362" s="20">
        <f t="shared" si="8"/>
        <v>0</v>
      </c>
      <c r="G362" s="8" t="str">
        <f t="shared" si="7"/>
        <v xml:space="preserve"> 0</v>
      </c>
    </row>
    <row r="363" spans="6:7" x14ac:dyDescent="0.25">
      <c r="F363" s="20">
        <f t="shared" si="8"/>
        <v>0</v>
      </c>
      <c r="G363" s="8" t="str">
        <f t="shared" si="7"/>
        <v xml:space="preserve"> 0</v>
      </c>
    </row>
    <row r="364" spans="6:7" x14ac:dyDescent="0.25">
      <c r="F364" s="20">
        <f t="shared" si="8"/>
        <v>0</v>
      </c>
      <c r="G364" s="8" t="str">
        <f t="shared" si="7"/>
        <v xml:space="preserve"> 0</v>
      </c>
    </row>
    <row r="365" spans="6:7" x14ac:dyDescent="0.25">
      <c r="F365" s="20">
        <f t="shared" si="8"/>
        <v>0</v>
      </c>
      <c r="G365" s="8" t="str">
        <f t="shared" si="7"/>
        <v xml:space="preserve"> 0</v>
      </c>
    </row>
    <row r="366" spans="6:7" x14ac:dyDescent="0.25">
      <c r="F366" s="20">
        <f t="shared" si="8"/>
        <v>0</v>
      </c>
      <c r="G366" s="8" t="str">
        <f t="shared" si="7"/>
        <v xml:space="preserve"> 0</v>
      </c>
    </row>
    <row r="367" spans="6:7" x14ac:dyDescent="0.25">
      <c r="F367" s="20">
        <f t="shared" si="8"/>
        <v>0</v>
      </c>
      <c r="G367" s="8" t="str">
        <f t="shared" si="7"/>
        <v xml:space="preserve"> 0</v>
      </c>
    </row>
    <row r="368" spans="6:7" x14ac:dyDescent="0.25">
      <c r="F368" s="20">
        <f t="shared" si="8"/>
        <v>0</v>
      </c>
      <c r="G368" s="8" t="str">
        <f t="shared" si="7"/>
        <v xml:space="preserve"> 0</v>
      </c>
    </row>
    <row r="369" spans="6:7" x14ac:dyDescent="0.25">
      <c r="F369" s="20">
        <f t="shared" si="8"/>
        <v>0</v>
      </c>
      <c r="G369" s="8" t="str">
        <f t="shared" si="7"/>
        <v xml:space="preserve"> 0</v>
      </c>
    </row>
    <row r="370" spans="6:7" x14ac:dyDescent="0.25">
      <c r="F370" s="20">
        <f t="shared" si="8"/>
        <v>0</v>
      </c>
      <c r="G370" s="8" t="str">
        <f t="shared" si="7"/>
        <v xml:space="preserve"> 0</v>
      </c>
    </row>
    <row r="371" spans="6:7" x14ac:dyDescent="0.25">
      <c r="F371" s="20">
        <f t="shared" si="8"/>
        <v>0</v>
      </c>
      <c r="G371" s="8" t="str">
        <f t="shared" si="7"/>
        <v xml:space="preserve"> 0</v>
      </c>
    </row>
    <row r="372" spans="6:7" x14ac:dyDescent="0.25">
      <c r="F372" s="20">
        <f t="shared" si="8"/>
        <v>0</v>
      </c>
      <c r="G372" s="8" t="str">
        <f t="shared" si="7"/>
        <v xml:space="preserve"> 0</v>
      </c>
    </row>
    <row r="373" spans="6:7" x14ac:dyDescent="0.25">
      <c r="F373" s="20">
        <f t="shared" si="8"/>
        <v>0</v>
      </c>
      <c r="G373" s="8" t="str">
        <f t="shared" si="7"/>
        <v xml:space="preserve"> 0</v>
      </c>
    </row>
    <row r="374" spans="6:7" x14ac:dyDescent="0.25">
      <c r="F374" s="20">
        <f t="shared" si="8"/>
        <v>0</v>
      </c>
      <c r="G374" s="8" t="str">
        <f t="shared" si="7"/>
        <v xml:space="preserve"> 0</v>
      </c>
    </row>
    <row r="375" spans="6:7" x14ac:dyDescent="0.25">
      <c r="F375" s="20">
        <f t="shared" si="8"/>
        <v>0</v>
      </c>
      <c r="G375" s="8" t="str">
        <f t="shared" si="7"/>
        <v xml:space="preserve"> 0</v>
      </c>
    </row>
    <row r="376" spans="6:7" x14ac:dyDescent="0.25">
      <c r="F376" s="20">
        <f t="shared" si="8"/>
        <v>0</v>
      </c>
      <c r="G376" s="8" t="str">
        <f t="shared" si="7"/>
        <v xml:space="preserve"> 0</v>
      </c>
    </row>
    <row r="377" spans="6:7" x14ac:dyDescent="0.25">
      <c r="F377" s="20">
        <f t="shared" si="8"/>
        <v>0</v>
      </c>
      <c r="G377" s="8" t="str">
        <f t="shared" si="7"/>
        <v xml:space="preserve"> 0</v>
      </c>
    </row>
    <row r="378" spans="6:7" x14ac:dyDescent="0.25">
      <c r="F378" s="20">
        <f t="shared" si="8"/>
        <v>0</v>
      </c>
      <c r="G378" s="8" t="str">
        <f t="shared" si="7"/>
        <v xml:space="preserve"> 0</v>
      </c>
    </row>
    <row r="379" spans="6:7" x14ac:dyDescent="0.25">
      <c r="F379" s="20">
        <f t="shared" si="8"/>
        <v>0</v>
      </c>
      <c r="G379" s="8" t="str">
        <f t="shared" si="7"/>
        <v xml:space="preserve"> 0</v>
      </c>
    </row>
    <row r="380" spans="6:7" x14ac:dyDescent="0.25">
      <c r="F380" s="20">
        <f t="shared" si="8"/>
        <v>0</v>
      </c>
      <c r="G380" s="8" t="str">
        <f t="shared" si="7"/>
        <v xml:space="preserve"> 0</v>
      </c>
    </row>
    <row r="381" spans="6:7" x14ac:dyDescent="0.25">
      <c r="F381" s="20">
        <f t="shared" si="8"/>
        <v>0</v>
      </c>
      <c r="G381" s="8" t="str">
        <f t="shared" si="7"/>
        <v xml:space="preserve"> 0</v>
      </c>
    </row>
    <row r="382" spans="6:7" x14ac:dyDescent="0.25">
      <c r="F382" s="20">
        <f t="shared" si="8"/>
        <v>0</v>
      </c>
      <c r="G382" s="8" t="str">
        <f t="shared" si="7"/>
        <v xml:space="preserve"> 0</v>
      </c>
    </row>
    <row r="383" spans="6:7" x14ac:dyDescent="0.25">
      <c r="F383" s="20">
        <f t="shared" si="8"/>
        <v>0</v>
      </c>
      <c r="G383" s="8" t="str">
        <f t="shared" si="7"/>
        <v xml:space="preserve"> 0</v>
      </c>
    </row>
    <row r="384" spans="6:7" x14ac:dyDescent="0.25">
      <c r="F384" s="20">
        <f t="shared" si="8"/>
        <v>0</v>
      </c>
      <c r="G384" s="8" t="str">
        <f t="shared" si="7"/>
        <v xml:space="preserve"> 0</v>
      </c>
    </row>
    <row r="385" spans="6:7" x14ac:dyDescent="0.25">
      <c r="F385" s="20">
        <f t="shared" si="8"/>
        <v>0</v>
      </c>
      <c r="G385" s="8" t="str">
        <f t="shared" si="7"/>
        <v xml:space="preserve"> 0</v>
      </c>
    </row>
    <row r="386" spans="6:7" x14ac:dyDescent="0.25">
      <c r="F386" s="20">
        <f t="shared" si="8"/>
        <v>0</v>
      </c>
      <c r="G386" s="8" t="str">
        <f t="shared" si="7"/>
        <v xml:space="preserve"> 0</v>
      </c>
    </row>
    <row r="387" spans="6:7" x14ac:dyDescent="0.25">
      <c r="F387" s="20">
        <f t="shared" si="8"/>
        <v>0</v>
      </c>
      <c r="G387" s="8" t="str">
        <f t="shared" ref="G387:G450" si="9">E387&amp;" "&amp;F387</f>
        <v xml:space="preserve"> 0</v>
      </c>
    </row>
    <row r="388" spans="6:7" x14ac:dyDescent="0.25">
      <c r="F388" s="20">
        <f t="shared" si="8"/>
        <v>0</v>
      </c>
      <c r="G388" s="8" t="str">
        <f t="shared" si="9"/>
        <v xml:space="preserve"> 0</v>
      </c>
    </row>
    <row r="389" spans="6:7" x14ac:dyDescent="0.25">
      <c r="F389" s="20">
        <f t="shared" si="8"/>
        <v>0</v>
      </c>
      <c r="G389" s="8" t="str">
        <f t="shared" si="9"/>
        <v xml:space="preserve"> 0</v>
      </c>
    </row>
    <row r="390" spans="6:7" x14ac:dyDescent="0.25">
      <c r="F390" s="20">
        <f t="shared" si="8"/>
        <v>0</v>
      </c>
      <c r="G390" s="8" t="str">
        <f t="shared" si="9"/>
        <v xml:space="preserve"> 0</v>
      </c>
    </row>
    <row r="391" spans="6:7" x14ac:dyDescent="0.25">
      <c r="F391" s="20">
        <f t="shared" si="8"/>
        <v>0</v>
      </c>
      <c r="G391" s="8" t="str">
        <f t="shared" si="9"/>
        <v xml:space="preserve"> 0</v>
      </c>
    </row>
    <row r="392" spans="6:7" x14ac:dyDescent="0.25">
      <c r="F392" s="20">
        <f t="shared" si="8"/>
        <v>0</v>
      </c>
      <c r="G392" s="8" t="str">
        <f t="shared" si="9"/>
        <v xml:space="preserve"> 0</v>
      </c>
    </row>
    <row r="393" spans="6:7" x14ac:dyDescent="0.25">
      <c r="F393" s="20">
        <f t="shared" si="8"/>
        <v>0</v>
      </c>
      <c r="G393" s="8" t="str">
        <f t="shared" si="9"/>
        <v xml:space="preserve"> 0</v>
      </c>
    </row>
    <row r="394" spans="6:7" x14ac:dyDescent="0.25">
      <c r="F394" s="20">
        <f t="shared" si="8"/>
        <v>0</v>
      </c>
      <c r="G394" s="8" t="str">
        <f t="shared" si="9"/>
        <v xml:space="preserve"> 0</v>
      </c>
    </row>
    <row r="395" spans="6:7" x14ac:dyDescent="0.25">
      <c r="F395" s="20">
        <f t="shared" si="8"/>
        <v>0</v>
      </c>
      <c r="G395" s="8" t="str">
        <f t="shared" si="9"/>
        <v xml:space="preserve"> 0</v>
      </c>
    </row>
    <row r="396" spans="6:7" x14ac:dyDescent="0.25">
      <c r="F396" s="20">
        <f t="shared" si="8"/>
        <v>0</v>
      </c>
      <c r="G396" s="8" t="str">
        <f t="shared" si="9"/>
        <v xml:space="preserve"> 0</v>
      </c>
    </row>
    <row r="397" spans="6:7" x14ac:dyDescent="0.25">
      <c r="F397" s="20">
        <f t="shared" si="8"/>
        <v>0</v>
      </c>
      <c r="G397" s="8" t="str">
        <f t="shared" si="9"/>
        <v xml:space="preserve"> 0</v>
      </c>
    </row>
    <row r="398" spans="6:7" x14ac:dyDescent="0.25">
      <c r="F398" s="20">
        <f t="shared" si="8"/>
        <v>0</v>
      </c>
      <c r="G398" s="8" t="str">
        <f t="shared" si="9"/>
        <v xml:space="preserve"> 0</v>
      </c>
    </row>
    <row r="399" spans="6:7" x14ac:dyDescent="0.25">
      <c r="F399" s="20">
        <f t="shared" si="8"/>
        <v>0</v>
      </c>
      <c r="G399" s="8" t="str">
        <f t="shared" si="9"/>
        <v xml:space="preserve"> 0</v>
      </c>
    </row>
    <row r="400" spans="6:7" x14ac:dyDescent="0.25">
      <c r="F400" s="20">
        <f t="shared" si="8"/>
        <v>0</v>
      </c>
      <c r="G400" s="8" t="str">
        <f t="shared" si="9"/>
        <v xml:space="preserve"> 0</v>
      </c>
    </row>
    <row r="401" spans="6:7" x14ac:dyDescent="0.25">
      <c r="F401" s="20">
        <f t="shared" si="8"/>
        <v>0</v>
      </c>
      <c r="G401" s="8" t="str">
        <f t="shared" si="9"/>
        <v xml:space="preserve"> 0</v>
      </c>
    </row>
    <row r="402" spans="6:7" x14ac:dyDescent="0.25">
      <c r="F402" s="20">
        <f t="shared" si="8"/>
        <v>0</v>
      </c>
      <c r="G402" s="8" t="str">
        <f t="shared" si="9"/>
        <v xml:space="preserve"> 0</v>
      </c>
    </row>
    <row r="403" spans="6:7" x14ac:dyDescent="0.25">
      <c r="F403" s="20">
        <f t="shared" si="8"/>
        <v>0</v>
      </c>
      <c r="G403" s="8" t="str">
        <f t="shared" si="9"/>
        <v xml:space="preserve"> 0</v>
      </c>
    </row>
    <row r="404" spans="6:7" x14ac:dyDescent="0.25">
      <c r="F404" s="20">
        <f t="shared" si="8"/>
        <v>0</v>
      </c>
      <c r="G404" s="8" t="str">
        <f t="shared" si="9"/>
        <v xml:space="preserve"> 0</v>
      </c>
    </row>
    <row r="405" spans="6:7" x14ac:dyDescent="0.25">
      <c r="F405" s="20">
        <f t="shared" si="8"/>
        <v>0</v>
      </c>
      <c r="G405" s="8" t="str">
        <f t="shared" si="9"/>
        <v xml:space="preserve"> 0</v>
      </c>
    </row>
    <row r="406" spans="6:7" x14ac:dyDescent="0.25">
      <c r="F406" s="20">
        <f t="shared" si="8"/>
        <v>0</v>
      </c>
      <c r="G406" s="8" t="str">
        <f t="shared" si="9"/>
        <v xml:space="preserve"> 0</v>
      </c>
    </row>
    <row r="407" spans="6:7" x14ac:dyDescent="0.25">
      <c r="F407" s="20">
        <f t="shared" si="8"/>
        <v>0</v>
      </c>
      <c r="G407" s="8" t="str">
        <f t="shared" si="9"/>
        <v xml:space="preserve"> 0</v>
      </c>
    </row>
    <row r="408" spans="6:7" x14ac:dyDescent="0.25">
      <c r="F408" s="20">
        <f t="shared" si="8"/>
        <v>0</v>
      </c>
      <c r="G408" s="8" t="str">
        <f t="shared" si="9"/>
        <v xml:space="preserve"> 0</v>
      </c>
    </row>
    <row r="409" spans="6:7" x14ac:dyDescent="0.25">
      <c r="F409" s="20">
        <f t="shared" si="8"/>
        <v>0</v>
      </c>
      <c r="G409" s="8" t="str">
        <f t="shared" si="9"/>
        <v xml:space="preserve"> 0</v>
      </c>
    </row>
    <row r="410" spans="6:7" x14ac:dyDescent="0.25">
      <c r="F410" s="20">
        <f t="shared" ref="F410:F473" si="10">B410</f>
        <v>0</v>
      </c>
      <c r="G410" s="8" t="str">
        <f t="shared" si="9"/>
        <v xml:space="preserve"> 0</v>
      </c>
    </row>
    <row r="411" spans="6:7" x14ac:dyDescent="0.25">
      <c r="F411" s="20">
        <f t="shared" si="10"/>
        <v>0</v>
      </c>
      <c r="G411" s="8" t="str">
        <f t="shared" si="9"/>
        <v xml:space="preserve"> 0</v>
      </c>
    </row>
    <row r="412" spans="6:7" x14ac:dyDescent="0.25">
      <c r="F412" s="20">
        <f t="shared" si="10"/>
        <v>0</v>
      </c>
      <c r="G412" s="8" t="str">
        <f t="shared" si="9"/>
        <v xml:space="preserve"> 0</v>
      </c>
    </row>
    <row r="413" spans="6:7" x14ac:dyDescent="0.25">
      <c r="F413" s="20">
        <f t="shared" si="10"/>
        <v>0</v>
      </c>
      <c r="G413" s="8" t="str">
        <f t="shared" si="9"/>
        <v xml:space="preserve"> 0</v>
      </c>
    </row>
    <row r="414" spans="6:7" x14ac:dyDescent="0.25">
      <c r="F414" s="20">
        <f t="shared" si="10"/>
        <v>0</v>
      </c>
      <c r="G414" s="8" t="str">
        <f t="shared" si="9"/>
        <v xml:space="preserve"> 0</v>
      </c>
    </row>
    <row r="415" spans="6:7" x14ac:dyDescent="0.25">
      <c r="F415" s="20">
        <f t="shared" si="10"/>
        <v>0</v>
      </c>
      <c r="G415" s="8" t="str">
        <f t="shared" si="9"/>
        <v xml:space="preserve"> 0</v>
      </c>
    </row>
    <row r="416" spans="6:7" x14ac:dyDescent="0.25">
      <c r="F416" s="20">
        <f t="shared" si="10"/>
        <v>0</v>
      </c>
      <c r="G416" s="8" t="str">
        <f t="shared" si="9"/>
        <v xml:space="preserve"> 0</v>
      </c>
    </row>
    <row r="417" spans="6:7" x14ac:dyDescent="0.25">
      <c r="F417" s="20">
        <f t="shared" si="10"/>
        <v>0</v>
      </c>
      <c r="G417" s="8" t="str">
        <f t="shared" si="9"/>
        <v xml:space="preserve"> 0</v>
      </c>
    </row>
    <row r="418" spans="6:7" x14ac:dyDescent="0.25">
      <c r="F418" s="20">
        <f t="shared" si="10"/>
        <v>0</v>
      </c>
      <c r="G418" s="8" t="str">
        <f t="shared" si="9"/>
        <v xml:space="preserve"> 0</v>
      </c>
    </row>
    <row r="419" spans="6:7" x14ac:dyDescent="0.25">
      <c r="F419" s="20">
        <f t="shared" si="10"/>
        <v>0</v>
      </c>
      <c r="G419" s="8" t="str">
        <f t="shared" si="9"/>
        <v xml:space="preserve"> 0</v>
      </c>
    </row>
    <row r="420" spans="6:7" x14ac:dyDescent="0.25">
      <c r="F420" s="20">
        <f t="shared" si="10"/>
        <v>0</v>
      </c>
      <c r="G420" s="8" t="str">
        <f t="shared" si="9"/>
        <v xml:space="preserve"> 0</v>
      </c>
    </row>
    <row r="421" spans="6:7" x14ac:dyDescent="0.25">
      <c r="F421" s="20">
        <f t="shared" si="10"/>
        <v>0</v>
      </c>
      <c r="G421" s="8" t="str">
        <f t="shared" si="9"/>
        <v xml:space="preserve"> 0</v>
      </c>
    </row>
    <row r="422" spans="6:7" x14ac:dyDescent="0.25">
      <c r="F422" s="20">
        <f t="shared" si="10"/>
        <v>0</v>
      </c>
      <c r="G422" s="8" t="str">
        <f t="shared" si="9"/>
        <v xml:space="preserve"> 0</v>
      </c>
    </row>
    <row r="423" spans="6:7" x14ac:dyDescent="0.25">
      <c r="F423" s="20">
        <f t="shared" si="10"/>
        <v>0</v>
      </c>
      <c r="G423" s="8" t="str">
        <f t="shared" si="9"/>
        <v xml:space="preserve"> 0</v>
      </c>
    </row>
    <row r="424" spans="6:7" x14ac:dyDescent="0.25">
      <c r="F424" s="20">
        <f t="shared" si="10"/>
        <v>0</v>
      </c>
      <c r="G424" s="8" t="str">
        <f t="shared" si="9"/>
        <v xml:space="preserve"> 0</v>
      </c>
    </row>
    <row r="425" spans="6:7" x14ac:dyDescent="0.25">
      <c r="F425" s="20">
        <f t="shared" si="10"/>
        <v>0</v>
      </c>
      <c r="G425" s="8" t="str">
        <f t="shared" si="9"/>
        <v xml:space="preserve"> 0</v>
      </c>
    </row>
    <row r="426" spans="6:7" x14ac:dyDescent="0.25">
      <c r="F426" s="20">
        <f t="shared" si="10"/>
        <v>0</v>
      </c>
      <c r="G426" s="8" t="str">
        <f t="shared" si="9"/>
        <v xml:space="preserve"> 0</v>
      </c>
    </row>
    <row r="427" spans="6:7" x14ac:dyDescent="0.25">
      <c r="F427" s="20">
        <f t="shared" si="10"/>
        <v>0</v>
      </c>
      <c r="G427" s="8" t="str">
        <f t="shared" si="9"/>
        <v xml:space="preserve"> 0</v>
      </c>
    </row>
    <row r="428" spans="6:7" x14ac:dyDescent="0.25">
      <c r="F428" s="20">
        <f t="shared" si="10"/>
        <v>0</v>
      </c>
      <c r="G428" s="8" t="str">
        <f t="shared" si="9"/>
        <v xml:space="preserve"> 0</v>
      </c>
    </row>
    <row r="429" spans="6:7" x14ac:dyDescent="0.25">
      <c r="F429" s="20">
        <f t="shared" si="10"/>
        <v>0</v>
      </c>
      <c r="G429" s="8" t="str">
        <f t="shared" si="9"/>
        <v xml:space="preserve"> 0</v>
      </c>
    </row>
    <row r="430" spans="6:7" x14ac:dyDescent="0.25">
      <c r="F430" s="20">
        <f t="shared" si="10"/>
        <v>0</v>
      </c>
      <c r="G430" s="8" t="str">
        <f t="shared" si="9"/>
        <v xml:space="preserve"> 0</v>
      </c>
    </row>
    <row r="431" spans="6:7" x14ac:dyDescent="0.25">
      <c r="F431" s="20">
        <f t="shared" si="10"/>
        <v>0</v>
      </c>
      <c r="G431" s="8" t="str">
        <f t="shared" si="9"/>
        <v xml:space="preserve"> 0</v>
      </c>
    </row>
    <row r="432" spans="6:7" x14ac:dyDescent="0.25">
      <c r="F432" s="20">
        <f t="shared" si="10"/>
        <v>0</v>
      </c>
      <c r="G432" s="8" t="str">
        <f t="shared" si="9"/>
        <v xml:space="preserve"> 0</v>
      </c>
    </row>
    <row r="433" spans="6:7" x14ac:dyDescent="0.25">
      <c r="F433" s="20">
        <f t="shared" si="10"/>
        <v>0</v>
      </c>
      <c r="G433" s="8" t="str">
        <f t="shared" si="9"/>
        <v xml:space="preserve"> 0</v>
      </c>
    </row>
    <row r="434" spans="6:7" x14ac:dyDescent="0.25">
      <c r="F434" s="20">
        <f t="shared" si="10"/>
        <v>0</v>
      </c>
      <c r="G434" s="8" t="str">
        <f t="shared" si="9"/>
        <v xml:space="preserve"> 0</v>
      </c>
    </row>
    <row r="435" spans="6:7" x14ac:dyDescent="0.25">
      <c r="F435" s="20">
        <f t="shared" si="10"/>
        <v>0</v>
      </c>
      <c r="G435" s="8" t="str">
        <f t="shared" si="9"/>
        <v xml:space="preserve"> 0</v>
      </c>
    </row>
    <row r="436" spans="6:7" x14ac:dyDescent="0.25">
      <c r="F436" s="20">
        <f t="shared" si="10"/>
        <v>0</v>
      </c>
      <c r="G436" s="8" t="str">
        <f t="shared" si="9"/>
        <v xml:space="preserve"> 0</v>
      </c>
    </row>
    <row r="437" spans="6:7" x14ac:dyDescent="0.25">
      <c r="F437" s="20">
        <f t="shared" si="10"/>
        <v>0</v>
      </c>
      <c r="G437" s="8" t="str">
        <f t="shared" si="9"/>
        <v xml:space="preserve"> 0</v>
      </c>
    </row>
    <row r="438" spans="6:7" x14ac:dyDescent="0.25">
      <c r="F438" s="20">
        <f t="shared" si="10"/>
        <v>0</v>
      </c>
      <c r="G438" s="8" t="str">
        <f t="shared" si="9"/>
        <v xml:space="preserve"> 0</v>
      </c>
    </row>
    <row r="439" spans="6:7" x14ac:dyDescent="0.25">
      <c r="F439" s="20">
        <f t="shared" si="10"/>
        <v>0</v>
      </c>
      <c r="G439" s="8" t="str">
        <f t="shared" si="9"/>
        <v xml:space="preserve"> 0</v>
      </c>
    </row>
    <row r="440" spans="6:7" x14ac:dyDescent="0.25">
      <c r="F440" s="20">
        <f t="shared" si="10"/>
        <v>0</v>
      </c>
      <c r="G440" s="8" t="str">
        <f t="shared" si="9"/>
        <v xml:space="preserve"> 0</v>
      </c>
    </row>
    <row r="441" spans="6:7" x14ac:dyDescent="0.25">
      <c r="F441" s="20">
        <f t="shared" si="10"/>
        <v>0</v>
      </c>
      <c r="G441" s="8" t="str">
        <f t="shared" si="9"/>
        <v xml:space="preserve"> 0</v>
      </c>
    </row>
    <row r="442" spans="6:7" x14ac:dyDescent="0.25">
      <c r="F442" s="20">
        <f t="shared" si="10"/>
        <v>0</v>
      </c>
      <c r="G442" s="8" t="str">
        <f t="shared" si="9"/>
        <v xml:space="preserve"> 0</v>
      </c>
    </row>
    <row r="443" spans="6:7" x14ac:dyDescent="0.25">
      <c r="F443" s="20">
        <f t="shared" si="10"/>
        <v>0</v>
      </c>
      <c r="G443" s="8" t="str">
        <f t="shared" si="9"/>
        <v xml:space="preserve"> 0</v>
      </c>
    </row>
    <row r="444" spans="6:7" x14ac:dyDescent="0.25">
      <c r="F444" s="20">
        <f t="shared" si="10"/>
        <v>0</v>
      </c>
      <c r="G444" s="8" t="str">
        <f t="shared" si="9"/>
        <v xml:space="preserve"> 0</v>
      </c>
    </row>
    <row r="445" spans="6:7" x14ac:dyDescent="0.25">
      <c r="F445" s="20">
        <f t="shared" si="10"/>
        <v>0</v>
      </c>
      <c r="G445" s="8" t="str">
        <f t="shared" si="9"/>
        <v xml:space="preserve"> 0</v>
      </c>
    </row>
    <row r="446" spans="6:7" x14ac:dyDescent="0.25">
      <c r="F446" s="20">
        <f t="shared" si="10"/>
        <v>0</v>
      </c>
      <c r="G446" s="8" t="str">
        <f t="shared" si="9"/>
        <v xml:space="preserve"> 0</v>
      </c>
    </row>
    <row r="447" spans="6:7" x14ac:dyDescent="0.25">
      <c r="F447" s="20">
        <f t="shared" si="10"/>
        <v>0</v>
      </c>
      <c r="G447" s="8" t="str">
        <f t="shared" si="9"/>
        <v xml:space="preserve"> 0</v>
      </c>
    </row>
    <row r="448" spans="6:7" x14ac:dyDescent="0.25">
      <c r="F448" s="20">
        <f t="shared" si="10"/>
        <v>0</v>
      </c>
      <c r="G448" s="8" t="str">
        <f t="shared" si="9"/>
        <v xml:space="preserve"> 0</v>
      </c>
    </row>
    <row r="449" spans="6:7" x14ac:dyDescent="0.25">
      <c r="F449" s="20">
        <f t="shared" si="10"/>
        <v>0</v>
      </c>
      <c r="G449" s="8" t="str">
        <f t="shared" si="9"/>
        <v xml:space="preserve"> 0</v>
      </c>
    </row>
    <row r="450" spans="6:7" x14ac:dyDescent="0.25">
      <c r="F450" s="20">
        <f t="shared" si="10"/>
        <v>0</v>
      </c>
      <c r="G450" s="8" t="str">
        <f t="shared" si="9"/>
        <v xml:space="preserve"> 0</v>
      </c>
    </row>
    <row r="451" spans="6:7" x14ac:dyDescent="0.25">
      <c r="F451" s="20">
        <f t="shared" si="10"/>
        <v>0</v>
      </c>
      <c r="G451" s="8" t="str">
        <f t="shared" ref="G451:G514" si="11">E451&amp;" "&amp;F451</f>
        <v xml:space="preserve"> 0</v>
      </c>
    </row>
    <row r="452" spans="6:7" x14ac:dyDescent="0.25">
      <c r="F452" s="20">
        <f t="shared" si="10"/>
        <v>0</v>
      </c>
      <c r="G452" s="8" t="str">
        <f t="shared" si="11"/>
        <v xml:space="preserve"> 0</v>
      </c>
    </row>
    <row r="453" spans="6:7" x14ac:dyDescent="0.25">
      <c r="F453" s="20">
        <f t="shared" si="10"/>
        <v>0</v>
      </c>
      <c r="G453" s="8" t="str">
        <f t="shared" si="11"/>
        <v xml:space="preserve"> 0</v>
      </c>
    </row>
    <row r="454" spans="6:7" x14ac:dyDescent="0.25">
      <c r="F454" s="20">
        <f t="shared" si="10"/>
        <v>0</v>
      </c>
      <c r="G454" s="8" t="str">
        <f t="shared" si="11"/>
        <v xml:space="preserve"> 0</v>
      </c>
    </row>
    <row r="455" spans="6:7" x14ac:dyDescent="0.25">
      <c r="F455" s="20">
        <f t="shared" si="10"/>
        <v>0</v>
      </c>
      <c r="G455" s="8" t="str">
        <f t="shared" si="11"/>
        <v xml:space="preserve"> 0</v>
      </c>
    </row>
    <row r="456" spans="6:7" x14ac:dyDescent="0.25">
      <c r="F456" s="20">
        <f t="shared" si="10"/>
        <v>0</v>
      </c>
      <c r="G456" s="8" t="str">
        <f t="shared" si="11"/>
        <v xml:space="preserve"> 0</v>
      </c>
    </row>
    <row r="457" spans="6:7" x14ac:dyDescent="0.25">
      <c r="F457" s="20">
        <f t="shared" si="10"/>
        <v>0</v>
      </c>
      <c r="G457" s="8" t="str">
        <f t="shared" si="11"/>
        <v xml:space="preserve"> 0</v>
      </c>
    </row>
    <row r="458" spans="6:7" x14ac:dyDescent="0.25">
      <c r="F458" s="20">
        <f t="shared" si="10"/>
        <v>0</v>
      </c>
      <c r="G458" s="8" t="str">
        <f t="shared" si="11"/>
        <v xml:space="preserve"> 0</v>
      </c>
    </row>
    <row r="459" spans="6:7" x14ac:dyDescent="0.25">
      <c r="F459" s="20">
        <f t="shared" si="10"/>
        <v>0</v>
      </c>
      <c r="G459" s="8" t="str">
        <f t="shared" si="11"/>
        <v xml:space="preserve"> 0</v>
      </c>
    </row>
    <row r="460" spans="6:7" x14ac:dyDescent="0.25">
      <c r="F460" s="20">
        <f t="shared" si="10"/>
        <v>0</v>
      </c>
      <c r="G460" s="8" t="str">
        <f t="shared" si="11"/>
        <v xml:space="preserve"> 0</v>
      </c>
    </row>
    <row r="461" spans="6:7" x14ac:dyDescent="0.25">
      <c r="F461" s="20">
        <f t="shared" si="10"/>
        <v>0</v>
      </c>
      <c r="G461" s="8" t="str">
        <f t="shared" si="11"/>
        <v xml:space="preserve"> 0</v>
      </c>
    </row>
    <row r="462" spans="6:7" x14ac:dyDescent="0.25">
      <c r="F462" s="20">
        <f t="shared" si="10"/>
        <v>0</v>
      </c>
      <c r="G462" s="8" t="str">
        <f t="shared" si="11"/>
        <v xml:space="preserve"> 0</v>
      </c>
    </row>
    <row r="463" spans="6:7" x14ac:dyDescent="0.25">
      <c r="F463" s="20">
        <f t="shared" si="10"/>
        <v>0</v>
      </c>
      <c r="G463" s="8" t="str">
        <f t="shared" si="11"/>
        <v xml:space="preserve"> 0</v>
      </c>
    </row>
    <row r="464" spans="6:7" x14ac:dyDescent="0.25">
      <c r="F464" s="20">
        <f t="shared" si="10"/>
        <v>0</v>
      </c>
      <c r="G464" s="8" t="str">
        <f t="shared" si="11"/>
        <v xml:space="preserve"> 0</v>
      </c>
    </row>
    <row r="465" spans="6:7" x14ac:dyDescent="0.25">
      <c r="F465" s="20">
        <f t="shared" si="10"/>
        <v>0</v>
      </c>
      <c r="G465" s="8" t="str">
        <f t="shared" si="11"/>
        <v xml:space="preserve"> 0</v>
      </c>
    </row>
    <row r="466" spans="6:7" x14ac:dyDescent="0.25">
      <c r="F466" s="20">
        <f t="shared" si="10"/>
        <v>0</v>
      </c>
      <c r="G466" s="8" t="str">
        <f t="shared" si="11"/>
        <v xml:space="preserve"> 0</v>
      </c>
    </row>
    <row r="467" spans="6:7" x14ac:dyDescent="0.25">
      <c r="F467" s="20">
        <f t="shared" si="10"/>
        <v>0</v>
      </c>
      <c r="G467" s="8" t="str">
        <f t="shared" si="11"/>
        <v xml:space="preserve"> 0</v>
      </c>
    </row>
    <row r="468" spans="6:7" x14ac:dyDescent="0.25">
      <c r="F468" s="20">
        <f t="shared" si="10"/>
        <v>0</v>
      </c>
      <c r="G468" s="8" t="str">
        <f t="shared" si="11"/>
        <v xml:space="preserve"> 0</v>
      </c>
    </row>
    <row r="469" spans="6:7" x14ac:dyDescent="0.25">
      <c r="F469" s="20">
        <f t="shared" si="10"/>
        <v>0</v>
      </c>
      <c r="G469" s="8" t="str">
        <f t="shared" si="11"/>
        <v xml:space="preserve"> 0</v>
      </c>
    </row>
    <row r="470" spans="6:7" x14ac:dyDescent="0.25">
      <c r="F470" s="20">
        <f t="shared" si="10"/>
        <v>0</v>
      </c>
      <c r="G470" s="8" t="str">
        <f t="shared" si="11"/>
        <v xml:space="preserve"> 0</v>
      </c>
    </row>
    <row r="471" spans="6:7" x14ac:dyDescent="0.25">
      <c r="F471" s="20">
        <f t="shared" si="10"/>
        <v>0</v>
      </c>
      <c r="G471" s="8" t="str">
        <f t="shared" si="11"/>
        <v xml:space="preserve"> 0</v>
      </c>
    </row>
    <row r="472" spans="6:7" x14ac:dyDescent="0.25">
      <c r="F472" s="20">
        <f t="shared" si="10"/>
        <v>0</v>
      </c>
      <c r="G472" s="8" t="str">
        <f t="shared" si="11"/>
        <v xml:space="preserve"> 0</v>
      </c>
    </row>
    <row r="473" spans="6:7" x14ac:dyDescent="0.25">
      <c r="F473" s="20">
        <f t="shared" si="10"/>
        <v>0</v>
      </c>
      <c r="G473" s="8" t="str">
        <f t="shared" si="11"/>
        <v xml:space="preserve"> 0</v>
      </c>
    </row>
    <row r="474" spans="6:7" x14ac:dyDescent="0.25">
      <c r="F474" s="20">
        <f t="shared" ref="F474:F537" si="12">B474</f>
        <v>0</v>
      </c>
      <c r="G474" s="8" t="str">
        <f t="shared" si="11"/>
        <v xml:space="preserve"> 0</v>
      </c>
    </row>
    <row r="475" spans="6:7" x14ac:dyDescent="0.25">
      <c r="F475" s="20">
        <f t="shared" si="12"/>
        <v>0</v>
      </c>
      <c r="G475" s="8" t="str">
        <f t="shared" si="11"/>
        <v xml:space="preserve"> 0</v>
      </c>
    </row>
    <row r="476" spans="6:7" x14ac:dyDescent="0.25">
      <c r="F476" s="20">
        <f t="shared" si="12"/>
        <v>0</v>
      </c>
      <c r="G476" s="8" t="str">
        <f t="shared" si="11"/>
        <v xml:space="preserve"> 0</v>
      </c>
    </row>
    <row r="477" spans="6:7" x14ac:dyDescent="0.25">
      <c r="F477" s="20">
        <f t="shared" si="12"/>
        <v>0</v>
      </c>
      <c r="G477" s="8" t="str">
        <f t="shared" si="11"/>
        <v xml:space="preserve"> 0</v>
      </c>
    </row>
    <row r="478" spans="6:7" x14ac:dyDescent="0.25">
      <c r="F478" s="20">
        <f t="shared" si="12"/>
        <v>0</v>
      </c>
      <c r="G478" s="8" t="str">
        <f t="shared" si="11"/>
        <v xml:space="preserve"> 0</v>
      </c>
    </row>
    <row r="479" spans="6:7" x14ac:dyDescent="0.25">
      <c r="F479" s="20">
        <f t="shared" si="12"/>
        <v>0</v>
      </c>
      <c r="G479" s="8" t="str">
        <f t="shared" si="11"/>
        <v xml:space="preserve"> 0</v>
      </c>
    </row>
    <row r="480" spans="6:7" x14ac:dyDescent="0.25">
      <c r="F480" s="20">
        <f t="shared" si="12"/>
        <v>0</v>
      </c>
      <c r="G480" s="8" t="str">
        <f t="shared" si="11"/>
        <v xml:space="preserve"> 0</v>
      </c>
    </row>
    <row r="481" spans="6:7" x14ac:dyDescent="0.25">
      <c r="F481" s="20">
        <f t="shared" si="12"/>
        <v>0</v>
      </c>
      <c r="G481" s="8" t="str">
        <f t="shared" si="11"/>
        <v xml:space="preserve"> 0</v>
      </c>
    </row>
    <row r="482" spans="6:7" x14ac:dyDescent="0.25">
      <c r="F482" s="20">
        <f t="shared" si="12"/>
        <v>0</v>
      </c>
      <c r="G482" s="8" t="str">
        <f t="shared" si="11"/>
        <v xml:space="preserve"> 0</v>
      </c>
    </row>
    <row r="483" spans="6:7" x14ac:dyDescent="0.25">
      <c r="F483" s="20">
        <f t="shared" si="12"/>
        <v>0</v>
      </c>
      <c r="G483" s="8" t="str">
        <f t="shared" si="11"/>
        <v xml:space="preserve"> 0</v>
      </c>
    </row>
    <row r="484" spans="6:7" x14ac:dyDescent="0.25">
      <c r="F484" s="20">
        <f t="shared" si="12"/>
        <v>0</v>
      </c>
      <c r="G484" s="8" t="str">
        <f t="shared" si="11"/>
        <v xml:space="preserve"> 0</v>
      </c>
    </row>
    <row r="485" spans="6:7" x14ac:dyDescent="0.25">
      <c r="F485" s="20">
        <f t="shared" si="12"/>
        <v>0</v>
      </c>
      <c r="G485" s="8" t="str">
        <f t="shared" si="11"/>
        <v xml:space="preserve"> 0</v>
      </c>
    </row>
    <row r="486" spans="6:7" x14ac:dyDescent="0.25">
      <c r="F486" s="20">
        <f t="shared" si="12"/>
        <v>0</v>
      </c>
      <c r="G486" s="8" t="str">
        <f t="shared" si="11"/>
        <v xml:space="preserve"> 0</v>
      </c>
    </row>
    <row r="487" spans="6:7" x14ac:dyDescent="0.25">
      <c r="F487" s="20">
        <f t="shared" si="12"/>
        <v>0</v>
      </c>
      <c r="G487" s="8" t="str">
        <f t="shared" si="11"/>
        <v xml:space="preserve"> 0</v>
      </c>
    </row>
    <row r="488" spans="6:7" x14ac:dyDescent="0.25">
      <c r="F488" s="20">
        <f t="shared" si="12"/>
        <v>0</v>
      </c>
      <c r="G488" s="8" t="str">
        <f t="shared" si="11"/>
        <v xml:space="preserve"> 0</v>
      </c>
    </row>
    <row r="489" spans="6:7" x14ac:dyDescent="0.25">
      <c r="F489" s="20">
        <f t="shared" si="12"/>
        <v>0</v>
      </c>
      <c r="G489" s="8" t="str">
        <f t="shared" si="11"/>
        <v xml:space="preserve"> 0</v>
      </c>
    </row>
    <row r="490" spans="6:7" x14ac:dyDescent="0.25">
      <c r="F490" s="20">
        <f t="shared" si="12"/>
        <v>0</v>
      </c>
      <c r="G490" s="8" t="str">
        <f t="shared" si="11"/>
        <v xml:space="preserve"> 0</v>
      </c>
    </row>
    <row r="491" spans="6:7" x14ac:dyDescent="0.25">
      <c r="F491" s="20">
        <f t="shared" si="12"/>
        <v>0</v>
      </c>
      <c r="G491" s="8" t="str">
        <f t="shared" si="11"/>
        <v xml:space="preserve"> 0</v>
      </c>
    </row>
    <row r="492" spans="6:7" x14ac:dyDescent="0.25">
      <c r="F492" s="20">
        <f t="shared" si="12"/>
        <v>0</v>
      </c>
      <c r="G492" s="8" t="str">
        <f t="shared" si="11"/>
        <v xml:space="preserve"> 0</v>
      </c>
    </row>
    <row r="493" spans="6:7" x14ac:dyDescent="0.25">
      <c r="F493" s="20">
        <f t="shared" si="12"/>
        <v>0</v>
      </c>
      <c r="G493" s="8" t="str">
        <f t="shared" si="11"/>
        <v xml:space="preserve"> 0</v>
      </c>
    </row>
    <row r="494" spans="6:7" x14ac:dyDescent="0.25">
      <c r="F494" s="20">
        <f t="shared" si="12"/>
        <v>0</v>
      </c>
      <c r="G494" s="8" t="str">
        <f t="shared" si="11"/>
        <v xml:space="preserve"> 0</v>
      </c>
    </row>
    <row r="495" spans="6:7" x14ac:dyDescent="0.25">
      <c r="F495" s="20">
        <f t="shared" si="12"/>
        <v>0</v>
      </c>
      <c r="G495" s="8" t="str">
        <f t="shared" si="11"/>
        <v xml:space="preserve"> 0</v>
      </c>
    </row>
    <row r="496" spans="6:7" x14ac:dyDescent="0.25">
      <c r="F496" s="20">
        <f t="shared" si="12"/>
        <v>0</v>
      </c>
      <c r="G496" s="8" t="str">
        <f t="shared" si="11"/>
        <v xml:space="preserve"> 0</v>
      </c>
    </row>
    <row r="497" spans="6:7" x14ac:dyDescent="0.25">
      <c r="F497" s="20">
        <f t="shared" si="12"/>
        <v>0</v>
      </c>
      <c r="G497" s="8" t="str">
        <f t="shared" si="11"/>
        <v xml:space="preserve"> 0</v>
      </c>
    </row>
    <row r="498" spans="6:7" x14ac:dyDescent="0.25">
      <c r="F498" s="20">
        <f t="shared" si="12"/>
        <v>0</v>
      </c>
      <c r="G498" s="8" t="str">
        <f t="shared" si="11"/>
        <v xml:space="preserve"> 0</v>
      </c>
    </row>
    <row r="499" spans="6:7" x14ac:dyDescent="0.25">
      <c r="F499" s="20">
        <f t="shared" si="12"/>
        <v>0</v>
      </c>
      <c r="G499" s="8" t="str">
        <f t="shared" si="11"/>
        <v xml:space="preserve"> 0</v>
      </c>
    </row>
    <row r="500" spans="6:7" x14ac:dyDescent="0.25">
      <c r="F500" s="20">
        <f t="shared" si="12"/>
        <v>0</v>
      </c>
      <c r="G500" s="8" t="str">
        <f t="shared" si="11"/>
        <v xml:space="preserve"> 0</v>
      </c>
    </row>
    <row r="501" spans="6:7" x14ac:dyDescent="0.25">
      <c r="F501" s="20">
        <f t="shared" si="12"/>
        <v>0</v>
      </c>
      <c r="G501" s="8" t="str">
        <f t="shared" si="11"/>
        <v xml:space="preserve"> 0</v>
      </c>
    </row>
    <row r="502" spans="6:7" x14ac:dyDescent="0.25">
      <c r="F502" s="20">
        <f t="shared" si="12"/>
        <v>0</v>
      </c>
      <c r="G502" s="8" t="str">
        <f t="shared" si="11"/>
        <v xml:space="preserve"> 0</v>
      </c>
    </row>
    <row r="503" spans="6:7" x14ac:dyDescent="0.25">
      <c r="F503" s="20">
        <f t="shared" si="12"/>
        <v>0</v>
      </c>
      <c r="G503" s="8" t="str">
        <f t="shared" si="11"/>
        <v xml:space="preserve"> 0</v>
      </c>
    </row>
    <row r="504" spans="6:7" x14ac:dyDescent="0.25">
      <c r="F504" s="20">
        <f t="shared" si="12"/>
        <v>0</v>
      </c>
      <c r="G504" s="8" t="str">
        <f t="shared" si="11"/>
        <v xml:space="preserve"> 0</v>
      </c>
    </row>
    <row r="505" spans="6:7" x14ac:dyDescent="0.25">
      <c r="F505" s="20">
        <f t="shared" si="12"/>
        <v>0</v>
      </c>
      <c r="G505" s="8" t="str">
        <f t="shared" si="11"/>
        <v xml:space="preserve"> 0</v>
      </c>
    </row>
    <row r="506" spans="6:7" x14ac:dyDescent="0.25">
      <c r="F506" s="20">
        <f t="shared" si="12"/>
        <v>0</v>
      </c>
      <c r="G506" s="8" t="str">
        <f t="shared" si="11"/>
        <v xml:space="preserve"> 0</v>
      </c>
    </row>
    <row r="507" spans="6:7" x14ac:dyDescent="0.25">
      <c r="F507" s="20">
        <f t="shared" si="12"/>
        <v>0</v>
      </c>
      <c r="G507" s="8" t="str">
        <f t="shared" si="11"/>
        <v xml:space="preserve"> 0</v>
      </c>
    </row>
    <row r="508" spans="6:7" x14ac:dyDescent="0.25">
      <c r="F508" s="20">
        <f t="shared" si="12"/>
        <v>0</v>
      </c>
      <c r="G508" s="8" t="str">
        <f t="shared" si="11"/>
        <v xml:space="preserve"> 0</v>
      </c>
    </row>
    <row r="509" spans="6:7" x14ac:dyDescent="0.25">
      <c r="F509" s="20">
        <f t="shared" si="12"/>
        <v>0</v>
      </c>
      <c r="G509" s="8" t="str">
        <f t="shared" si="11"/>
        <v xml:space="preserve"> 0</v>
      </c>
    </row>
    <row r="510" spans="6:7" x14ac:dyDescent="0.25">
      <c r="F510" s="20">
        <f t="shared" si="12"/>
        <v>0</v>
      </c>
      <c r="G510" s="8" t="str">
        <f t="shared" si="11"/>
        <v xml:space="preserve"> 0</v>
      </c>
    </row>
    <row r="511" spans="6:7" x14ac:dyDescent="0.25">
      <c r="F511" s="20">
        <f t="shared" si="12"/>
        <v>0</v>
      </c>
      <c r="G511" s="8" t="str">
        <f t="shared" si="11"/>
        <v xml:space="preserve"> 0</v>
      </c>
    </row>
    <row r="512" spans="6:7" x14ac:dyDescent="0.25">
      <c r="F512" s="20">
        <f t="shared" si="12"/>
        <v>0</v>
      </c>
      <c r="G512" s="8" t="str">
        <f t="shared" si="11"/>
        <v xml:space="preserve"> 0</v>
      </c>
    </row>
    <row r="513" spans="6:7" x14ac:dyDescent="0.25">
      <c r="F513" s="20">
        <f t="shared" si="12"/>
        <v>0</v>
      </c>
      <c r="G513" s="8" t="str">
        <f t="shared" si="11"/>
        <v xml:space="preserve"> 0</v>
      </c>
    </row>
    <row r="514" spans="6:7" x14ac:dyDescent="0.25">
      <c r="F514" s="20">
        <f t="shared" si="12"/>
        <v>0</v>
      </c>
      <c r="G514" s="8" t="str">
        <f t="shared" si="11"/>
        <v xml:space="preserve"> 0</v>
      </c>
    </row>
    <row r="515" spans="6:7" x14ac:dyDescent="0.25">
      <c r="F515" s="20">
        <f t="shared" si="12"/>
        <v>0</v>
      </c>
      <c r="G515" s="8" t="str">
        <f t="shared" ref="G515:G543" si="13">E515&amp;" "&amp;F515</f>
        <v xml:space="preserve"> 0</v>
      </c>
    </row>
    <row r="516" spans="6:7" x14ac:dyDescent="0.25">
      <c r="F516" s="20">
        <f t="shared" si="12"/>
        <v>0</v>
      </c>
      <c r="G516" s="8" t="str">
        <f t="shared" si="13"/>
        <v xml:space="preserve"> 0</v>
      </c>
    </row>
    <row r="517" spans="6:7" x14ac:dyDescent="0.25">
      <c r="F517" s="20">
        <f t="shared" si="12"/>
        <v>0</v>
      </c>
      <c r="G517" s="8" t="str">
        <f t="shared" si="13"/>
        <v xml:space="preserve"> 0</v>
      </c>
    </row>
    <row r="518" spans="6:7" x14ac:dyDescent="0.25">
      <c r="F518" s="20">
        <f t="shared" si="12"/>
        <v>0</v>
      </c>
      <c r="G518" s="8" t="str">
        <f t="shared" si="13"/>
        <v xml:space="preserve"> 0</v>
      </c>
    </row>
    <row r="519" spans="6:7" x14ac:dyDescent="0.25">
      <c r="F519" s="20">
        <f t="shared" si="12"/>
        <v>0</v>
      </c>
      <c r="G519" s="8" t="str">
        <f t="shared" si="13"/>
        <v xml:space="preserve"> 0</v>
      </c>
    </row>
    <row r="520" spans="6:7" x14ac:dyDescent="0.25">
      <c r="F520" s="20">
        <f t="shared" si="12"/>
        <v>0</v>
      </c>
      <c r="G520" s="8" t="str">
        <f t="shared" si="13"/>
        <v xml:space="preserve"> 0</v>
      </c>
    </row>
    <row r="521" spans="6:7" x14ac:dyDescent="0.25">
      <c r="F521" s="20">
        <f t="shared" si="12"/>
        <v>0</v>
      </c>
      <c r="G521" s="8" t="str">
        <f t="shared" si="13"/>
        <v xml:space="preserve"> 0</v>
      </c>
    </row>
    <row r="522" spans="6:7" x14ac:dyDescent="0.25">
      <c r="F522" s="20">
        <f t="shared" si="12"/>
        <v>0</v>
      </c>
      <c r="G522" s="8" t="str">
        <f t="shared" si="13"/>
        <v xml:space="preserve"> 0</v>
      </c>
    </row>
    <row r="523" spans="6:7" x14ac:dyDescent="0.25">
      <c r="F523" s="20">
        <f t="shared" si="12"/>
        <v>0</v>
      </c>
      <c r="G523" s="8" t="str">
        <f t="shared" si="13"/>
        <v xml:space="preserve"> 0</v>
      </c>
    </row>
    <row r="524" spans="6:7" x14ac:dyDescent="0.25">
      <c r="F524" s="20">
        <f t="shared" si="12"/>
        <v>0</v>
      </c>
      <c r="G524" s="8" t="str">
        <f t="shared" si="13"/>
        <v xml:space="preserve"> 0</v>
      </c>
    </row>
    <row r="525" spans="6:7" x14ac:dyDescent="0.25">
      <c r="F525" s="20">
        <f t="shared" si="12"/>
        <v>0</v>
      </c>
      <c r="G525" s="8" t="str">
        <f t="shared" si="13"/>
        <v xml:space="preserve"> 0</v>
      </c>
    </row>
    <row r="526" spans="6:7" x14ac:dyDescent="0.25">
      <c r="F526" s="20">
        <f t="shared" si="12"/>
        <v>0</v>
      </c>
      <c r="G526" s="8" t="str">
        <f t="shared" si="13"/>
        <v xml:space="preserve"> 0</v>
      </c>
    </row>
    <row r="527" spans="6:7" x14ac:dyDescent="0.25">
      <c r="F527" s="20">
        <f t="shared" si="12"/>
        <v>0</v>
      </c>
      <c r="G527" s="8" t="str">
        <f t="shared" si="13"/>
        <v xml:space="preserve"> 0</v>
      </c>
    </row>
    <row r="528" spans="6:7" x14ac:dyDescent="0.25">
      <c r="F528" s="20">
        <f t="shared" si="12"/>
        <v>0</v>
      </c>
      <c r="G528" s="8" t="str">
        <f t="shared" si="13"/>
        <v xml:space="preserve"> 0</v>
      </c>
    </row>
    <row r="529" spans="6:7" x14ac:dyDescent="0.25">
      <c r="F529" s="20">
        <f t="shared" si="12"/>
        <v>0</v>
      </c>
      <c r="G529" s="8" t="str">
        <f t="shared" si="13"/>
        <v xml:space="preserve"> 0</v>
      </c>
    </row>
    <row r="530" spans="6:7" x14ac:dyDescent="0.25">
      <c r="F530" s="20">
        <f t="shared" si="12"/>
        <v>0</v>
      </c>
      <c r="G530" s="8" t="str">
        <f t="shared" si="13"/>
        <v xml:space="preserve"> 0</v>
      </c>
    </row>
    <row r="531" spans="6:7" x14ac:dyDescent="0.25">
      <c r="F531" s="20">
        <f t="shared" si="12"/>
        <v>0</v>
      </c>
      <c r="G531" s="8" t="str">
        <f t="shared" si="13"/>
        <v xml:space="preserve"> 0</v>
      </c>
    </row>
    <row r="532" spans="6:7" x14ac:dyDescent="0.25">
      <c r="F532" s="20">
        <f t="shared" si="12"/>
        <v>0</v>
      </c>
      <c r="G532" s="8" t="str">
        <f t="shared" si="13"/>
        <v xml:space="preserve"> 0</v>
      </c>
    </row>
    <row r="533" spans="6:7" x14ac:dyDescent="0.25">
      <c r="F533" s="20">
        <f t="shared" si="12"/>
        <v>0</v>
      </c>
      <c r="G533" s="8" t="str">
        <f t="shared" si="13"/>
        <v xml:space="preserve"> 0</v>
      </c>
    </row>
    <row r="534" spans="6:7" x14ac:dyDescent="0.25">
      <c r="F534" s="20">
        <f t="shared" si="12"/>
        <v>0</v>
      </c>
      <c r="G534" s="8" t="str">
        <f t="shared" si="13"/>
        <v xml:space="preserve"> 0</v>
      </c>
    </row>
    <row r="535" spans="6:7" x14ac:dyDescent="0.25">
      <c r="F535" s="20">
        <f t="shared" si="12"/>
        <v>0</v>
      </c>
      <c r="G535" s="8" t="str">
        <f t="shared" si="13"/>
        <v xml:space="preserve"> 0</v>
      </c>
    </row>
    <row r="536" spans="6:7" x14ac:dyDescent="0.25">
      <c r="F536" s="20">
        <f t="shared" si="12"/>
        <v>0</v>
      </c>
      <c r="G536" s="8" t="str">
        <f t="shared" si="13"/>
        <v xml:space="preserve"> 0</v>
      </c>
    </row>
    <row r="537" spans="6:7" x14ac:dyDescent="0.25">
      <c r="F537" s="20">
        <f t="shared" si="12"/>
        <v>0</v>
      </c>
      <c r="G537" s="8" t="str">
        <f t="shared" si="13"/>
        <v xml:space="preserve"> 0</v>
      </c>
    </row>
    <row r="538" spans="6:7" x14ac:dyDescent="0.25">
      <c r="F538" s="20">
        <f t="shared" ref="F538:F543" si="14">B538</f>
        <v>0</v>
      </c>
      <c r="G538" s="8" t="str">
        <f t="shared" si="13"/>
        <v xml:space="preserve"> 0</v>
      </c>
    </row>
    <row r="539" spans="6:7" x14ac:dyDescent="0.25">
      <c r="F539" s="20">
        <f t="shared" si="14"/>
        <v>0</v>
      </c>
      <c r="G539" s="8" t="str">
        <f t="shared" si="13"/>
        <v xml:space="preserve"> 0</v>
      </c>
    </row>
    <row r="540" spans="6:7" x14ac:dyDescent="0.25">
      <c r="F540" s="20">
        <f t="shared" si="14"/>
        <v>0</v>
      </c>
      <c r="G540" s="8" t="str">
        <f t="shared" si="13"/>
        <v xml:space="preserve"> 0</v>
      </c>
    </row>
    <row r="541" spans="6:7" x14ac:dyDescent="0.25">
      <c r="F541" s="20">
        <f t="shared" si="14"/>
        <v>0</v>
      </c>
      <c r="G541" s="8" t="str">
        <f t="shared" si="13"/>
        <v xml:space="preserve"> 0</v>
      </c>
    </row>
    <row r="542" spans="6:7" x14ac:dyDescent="0.25">
      <c r="F542" s="20">
        <f t="shared" si="14"/>
        <v>0</v>
      </c>
      <c r="G542" s="8" t="str">
        <f t="shared" si="13"/>
        <v xml:space="preserve"> 0</v>
      </c>
    </row>
    <row r="543" spans="6:7" x14ac:dyDescent="0.25">
      <c r="F543" s="20">
        <f t="shared" si="14"/>
        <v>0</v>
      </c>
      <c r="G543" s="8" t="str">
        <f t="shared" si="13"/>
        <v xml:space="preserve"> 0</v>
      </c>
    </row>
  </sheetData>
  <sortState ref="A1:E291">
    <sortCondition ref="C1:C291"/>
  </sortState>
  <pageMargins left="0.7" right="0.7" top="0.75" bottom="0.75" header="0.3" footer="0.3"/>
  <pageSetup orientation="portrait"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theme="0"/>
  </sheetPr>
  <dimension ref="A1:R33"/>
  <sheetViews>
    <sheetView workbookViewId="0">
      <selection sqref="A1:P29"/>
    </sheetView>
  </sheetViews>
  <sheetFormatPr defaultRowHeight="15" x14ac:dyDescent="0.25"/>
  <cols>
    <col min="1" max="1" width="22.5703125" style="153" customWidth="1"/>
    <col min="2" max="2" width="8.42578125" style="153" bestFit="1" customWidth="1"/>
    <col min="3" max="3" width="12.5703125" style="153" bestFit="1" customWidth="1"/>
    <col min="4" max="4" width="18.5703125" style="142" bestFit="1" customWidth="1"/>
    <col min="5" max="5" width="9.85546875" style="153" bestFit="1" customWidth="1"/>
    <col min="6" max="6" width="9" style="153" bestFit="1" customWidth="1"/>
    <col min="7" max="7" width="8.85546875" style="153" bestFit="1" customWidth="1"/>
    <col min="8" max="8" width="14" style="153" bestFit="1" customWidth="1"/>
    <col min="9" max="9" width="21.140625" style="153" bestFit="1" customWidth="1"/>
    <col min="10" max="10" width="8.7109375" style="153" bestFit="1" customWidth="1"/>
    <col min="11" max="11" width="11.28515625" style="153" bestFit="1" customWidth="1"/>
    <col min="12" max="12" width="11" style="153" bestFit="1" customWidth="1"/>
    <col min="13" max="13" width="11.28515625" style="153" bestFit="1" customWidth="1"/>
    <col min="14" max="14" width="13.7109375" style="153" bestFit="1" customWidth="1"/>
    <col min="15" max="15" width="14.85546875" style="153" bestFit="1" customWidth="1"/>
    <col min="16" max="16" width="16.7109375" style="153" bestFit="1" customWidth="1"/>
    <col min="17" max="17" width="9.42578125" style="122" bestFit="1" customWidth="1"/>
    <col min="18" max="16384" width="9.140625" style="122"/>
  </cols>
  <sheetData>
    <row r="1" spans="1:18" s="123" customFormat="1" x14ac:dyDescent="0.25">
      <c r="A1" s="170" t="s">
        <v>162</v>
      </c>
      <c r="B1" s="170" t="s">
        <v>165</v>
      </c>
      <c r="C1" s="170" t="s">
        <v>158</v>
      </c>
      <c r="D1" s="148" t="s">
        <v>170</v>
      </c>
      <c r="E1" s="170" t="s">
        <v>159</v>
      </c>
      <c r="F1" s="170" t="s">
        <v>157</v>
      </c>
      <c r="G1" s="170" t="s">
        <v>155</v>
      </c>
      <c r="H1" s="170" t="s">
        <v>168</v>
      </c>
      <c r="I1" s="170" t="s">
        <v>169</v>
      </c>
      <c r="J1" s="170" t="s">
        <v>163</v>
      </c>
      <c r="K1" s="170" t="s">
        <v>161</v>
      </c>
      <c r="L1" s="170" t="s">
        <v>156</v>
      </c>
      <c r="M1" s="170" t="s">
        <v>166</v>
      </c>
      <c r="N1" s="170" t="s">
        <v>160</v>
      </c>
      <c r="O1" s="170" t="s">
        <v>167</v>
      </c>
      <c r="P1" s="170" t="s">
        <v>164</v>
      </c>
      <c r="Q1"/>
      <c r="R1"/>
    </row>
    <row r="2" spans="1:18" x14ac:dyDescent="0.25">
      <c r="A2" s="171">
        <v>37.25</v>
      </c>
      <c r="B2" s="171">
        <v>0.47</v>
      </c>
      <c r="C2" s="171">
        <v>20.440000000000001</v>
      </c>
      <c r="D2" s="8">
        <v>42771</v>
      </c>
      <c r="E2" s="171">
        <v>0.5</v>
      </c>
      <c r="F2" s="171" t="s">
        <v>272</v>
      </c>
      <c r="G2" s="171">
        <v>316.88</v>
      </c>
      <c r="H2" s="171">
        <v>0</v>
      </c>
      <c r="I2" s="171">
        <v>0</v>
      </c>
      <c r="J2" s="171">
        <v>1016.46</v>
      </c>
      <c r="K2" s="171" t="s">
        <v>274</v>
      </c>
      <c r="L2" s="171">
        <v>37.25</v>
      </c>
      <c r="M2" s="171">
        <v>1486278000</v>
      </c>
      <c r="N2" s="171">
        <v>4.12</v>
      </c>
      <c r="O2" s="171">
        <v>189</v>
      </c>
      <c r="P2" s="171">
        <v>1.99</v>
      </c>
      <c r="Q2"/>
      <c r="R2"/>
    </row>
    <row r="3" spans="1:18" x14ac:dyDescent="0.25">
      <c r="A3" s="171">
        <v>37.159999999999997</v>
      </c>
      <c r="B3" s="171">
        <v>0.51</v>
      </c>
      <c r="C3" s="171">
        <v>20.82</v>
      </c>
      <c r="D3" s="8">
        <v>42771.041666666664</v>
      </c>
      <c r="E3" s="171">
        <v>0.51</v>
      </c>
      <c r="F3" s="171" t="s">
        <v>272</v>
      </c>
      <c r="G3" s="171">
        <v>315.26</v>
      </c>
      <c r="H3" s="171">
        <v>0</v>
      </c>
      <c r="I3" s="171">
        <v>0</v>
      </c>
      <c r="J3" s="171">
        <v>1017.44</v>
      </c>
      <c r="K3" s="171" t="s">
        <v>274</v>
      </c>
      <c r="L3" s="171">
        <v>37.159999999999997</v>
      </c>
      <c r="M3" s="171">
        <v>1486281600</v>
      </c>
      <c r="N3" s="171">
        <v>4.2300000000000004</v>
      </c>
      <c r="O3" s="171">
        <v>228</v>
      </c>
      <c r="P3" s="171">
        <v>1.75</v>
      </c>
      <c r="Q3"/>
      <c r="R3"/>
    </row>
    <row r="4" spans="1:18" x14ac:dyDescent="0.25">
      <c r="A4" s="171">
        <v>35.19</v>
      </c>
      <c r="B4" s="171">
        <v>0.49</v>
      </c>
      <c r="C4" s="171">
        <v>21.13</v>
      </c>
      <c r="D4" s="8">
        <v>42771.083333333336</v>
      </c>
      <c r="E4" s="171">
        <v>0.56000000000000005</v>
      </c>
      <c r="F4" s="171" t="s">
        <v>272</v>
      </c>
      <c r="G4" s="171">
        <v>313.64</v>
      </c>
      <c r="H4" s="171">
        <v>0</v>
      </c>
      <c r="I4" s="171">
        <v>0</v>
      </c>
      <c r="J4" s="171">
        <v>1018.37</v>
      </c>
      <c r="K4" s="171" t="s">
        <v>274</v>
      </c>
      <c r="L4" s="171">
        <v>35.19</v>
      </c>
      <c r="M4" s="171">
        <v>1486285200</v>
      </c>
      <c r="N4" s="171">
        <v>3.62</v>
      </c>
      <c r="O4" s="171">
        <v>218</v>
      </c>
      <c r="P4" s="171">
        <v>2.7</v>
      </c>
      <c r="Q4"/>
      <c r="R4"/>
    </row>
    <row r="5" spans="1:18" x14ac:dyDescent="0.25">
      <c r="A5" s="171">
        <v>33.46</v>
      </c>
      <c r="B5" s="171">
        <v>0.54</v>
      </c>
      <c r="C5" s="171">
        <v>20.12</v>
      </c>
      <c r="D5" s="8">
        <v>42771.125</v>
      </c>
      <c r="E5" s="171">
        <v>0.57999999999999996</v>
      </c>
      <c r="F5" s="171" t="s">
        <v>272</v>
      </c>
      <c r="G5" s="171">
        <v>312.74</v>
      </c>
      <c r="H5" s="171">
        <v>0</v>
      </c>
      <c r="I5" s="171">
        <v>0</v>
      </c>
      <c r="J5" s="171">
        <v>1017.86</v>
      </c>
      <c r="K5" s="171" t="s">
        <v>274</v>
      </c>
      <c r="L5" s="171">
        <v>33.46</v>
      </c>
      <c r="M5" s="171">
        <v>1486288800</v>
      </c>
      <c r="N5" s="171">
        <v>3.26</v>
      </c>
      <c r="O5" s="171">
        <v>231</v>
      </c>
      <c r="P5" s="171">
        <v>2.4900000000000002</v>
      </c>
      <c r="Q5"/>
      <c r="R5"/>
    </row>
    <row r="6" spans="1:18" x14ac:dyDescent="0.25">
      <c r="A6" s="171">
        <v>29.81</v>
      </c>
      <c r="B6" s="171">
        <v>0.65</v>
      </c>
      <c r="C6" s="171">
        <v>19.87</v>
      </c>
      <c r="D6" s="8">
        <v>42771.166666666664</v>
      </c>
      <c r="E6" s="171">
        <v>0.57999999999999996</v>
      </c>
      <c r="F6" s="171" t="s">
        <v>272</v>
      </c>
      <c r="G6" s="171">
        <v>312.22000000000003</v>
      </c>
      <c r="H6" s="171">
        <v>0</v>
      </c>
      <c r="I6" s="171">
        <v>0</v>
      </c>
      <c r="J6" s="171">
        <v>1016.77</v>
      </c>
      <c r="K6" s="171" t="s">
        <v>317</v>
      </c>
      <c r="L6" s="171">
        <v>33.07</v>
      </c>
      <c r="M6" s="171">
        <v>1486292400</v>
      </c>
      <c r="N6" s="171">
        <v>3.37</v>
      </c>
      <c r="O6" s="171">
        <v>234</v>
      </c>
      <c r="P6" s="171">
        <v>3.57</v>
      </c>
      <c r="Q6"/>
      <c r="R6"/>
    </row>
    <row r="7" spans="1:18" x14ac:dyDescent="0.25">
      <c r="A7" s="171">
        <v>32.979999999999997</v>
      </c>
      <c r="B7" s="171">
        <v>0.7</v>
      </c>
      <c r="C7" s="171">
        <v>19.22</v>
      </c>
      <c r="D7" s="8">
        <v>42771.208333333336</v>
      </c>
      <c r="E7" s="171">
        <v>0.56000000000000005</v>
      </c>
      <c r="F7" s="171" t="s">
        <v>272</v>
      </c>
      <c r="G7" s="171">
        <v>312.18</v>
      </c>
      <c r="H7" s="171">
        <v>0</v>
      </c>
      <c r="I7" s="171">
        <v>0</v>
      </c>
      <c r="J7" s="171">
        <v>1015.98</v>
      </c>
      <c r="K7" s="171" t="s">
        <v>317</v>
      </c>
      <c r="L7" s="171">
        <v>32.979999999999997</v>
      </c>
      <c r="M7" s="171">
        <v>1486296000</v>
      </c>
      <c r="N7" s="171">
        <v>4.3099999999999996</v>
      </c>
      <c r="O7" s="171">
        <v>224</v>
      </c>
      <c r="P7" s="171">
        <v>2</v>
      </c>
      <c r="Q7"/>
      <c r="R7"/>
    </row>
    <row r="8" spans="1:18" x14ac:dyDescent="0.25">
      <c r="A8" s="171">
        <v>32.92</v>
      </c>
      <c r="B8" s="171">
        <v>0.63</v>
      </c>
      <c r="C8" s="171">
        <v>19.38</v>
      </c>
      <c r="D8" s="8">
        <v>42771.25</v>
      </c>
      <c r="E8" s="171">
        <v>0.56999999999999995</v>
      </c>
      <c r="F8" s="171" t="s">
        <v>272</v>
      </c>
      <c r="G8" s="171">
        <v>313.12</v>
      </c>
      <c r="H8" s="171">
        <v>0</v>
      </c>
      <c r="I8" s="171">
        <v>0</v>
      </c>
      <c r="J8" s="171">
        <v>1016.2</v>
      </c>
      <c r="K8" s="171" t="s">
        <v>317</v>
      </c>
      <c r="L8" s="171">
        <v>32.92</v>
      </c>
      <c r="M8" s="171">
        <v>1486299600</v>
      </c>
      <c r="N8" s="171">
        <v>4.71</v>
      </c>
      <c r="O8" s="171">
        <v>223</v>
      </c>
      <c r="P8" s="171">
        <v>2.87</v>
      </c>
      <c r="Q8"/>
      <c r="R8"/>
    </row>
    <row r="9" spans="1:18" x14ac:dyDescent="0.25">
      <c r="A9" s="171">
        <v>31.73</v>
      </c>
      <c r="B9" s="171">
        <v>0.48</v>
      </c>
      <c r="C9" s="171">
        <v>19.72</v>
      </c>
      <c r="D9" s="8">
        <v>42771.291666666664</v>
      </c>
      <c r="E9" s="171">
        <v>0.61</v>
      </c>
      <c r="F9" s="171" t="s">
        <v>272</v>
      </c>
      <c r="G9" s="171">
        <v>314.54000000000002</v>
      </c>
      <c r="H9" s="171">
        <v>0</v>
      </c>
      <c r="I9" s="171">
        <v>0</v>
      </c>
      <c r="J9" s="171">
        <v>1016.78</v>
      </c>
      <c r="K9" s="171" t="s">
        <v>274</v>
      </c>
      <c r="L9" s="171">
        <v>31.73</v>
      </c>
      <c r="M9" s="171">
        <v>1486303200</v>
      </c>
      <c r="N9" s="171">
        <v>3.71</v>
      </c>
      <c r="O9" s="171">
        <v>261</v>
      </c>
      <c r="P9" s="171">
        <v>2.91</v>
      </c>
      <c r="Q9"/>
      <c r="R9"/>
    </row>
    <row r="10" spans="1:18" x14ac:dyDescent="0.25">
      <c r="A10" s="171">
        <v>32.520000000000003</v>
      </c>
      <c r="B10" s="171">
        <v>0.41</v>
      </c>
      <c r="C10" s="171">
        <v>20.32</v>
      </c>
      <c r="D10" s="8">
        <v>42771.333333333336</v>
      </c>
      <c r="E10" s="171">
        <v>0.6</v>
      </c>
      <c r="F10" s="171" t="s">
        <v>273</v>
      </c>
      <c r="G10" s="171">
        <v>315.08</v>
      </c>
      <c r="H10" s="171">
        <v>0</v>
      </c>
      <c r="I10" s="171">
        <v>0</v>
      </c>
      <c r="J10" s="171">
        <v>1016.78</v>
      </c>
      <c r="K10" s="171" t="s">
        <v>274</v>
      </c>
      <c r="L10" s="171">
        <v>32.520000000000003</v>
      </c>
      <c r="M10" s="171">
        <v>1486306800</v>
      </c>
      <c r="N10" s="171">
        <v>3.23</v>
      </c>
      <c r="O10" s="171">
        <v>289</v>
      </c>
      <c r="P10" s="171">
        <v>1.28</v>
      </c>
      <c r="Q10"/>
      <c r="R10"/>
    </row>
    <row r="11" spans="1:18" x14ac:dyDescent="0.25">
      <c r="A11" s="171">
        <v>36.51</v>
      </c>
      <c r="B11" s="171">
        <v>0.46</v>
      </c>
      <c r="C11" s="171">
        <v>21.07</v>
      </c>
      <c r="D11" s="8">
        <v>42771.375</v>
      </c>
      <c r="E11" s="171">
        <v>0.53</v>
      </c>
      <c r="F11" s="171" t="s">
        <v>273</v>
      </c>
      <c r="G11" s="171">
        <v>314.13</v>
      </c>
      <c r="H11" s="171">
        <v>0</v>
      </c>
      <c r="I11" s="171">
        <v>0</v>
      </c>
      <c r="J11" s="171">
        <v>1015.64</v>
      </c>
      <c r="K11" s="171" t="s">
        <v>274</v>
      </c>
      <c r="L11" s="171">
        <v>36.51</v>
      </c>
      <c r="M11" s="171">
        <v>1486310400</v>
      </c>
      <c r="N11" s="171">
        <v>3.14</v>
      </c>
      <c r="O11" s="171">
        <v>251</v>
      </c>
      <c r="P11" s="171">
        <v>1.76</v>
      </c>
      <c r="Q11"/>
      <c r="R11"/>
    </row>
    <row r="12" spans="1:18" x14ac:dyDescent="0.25">
      <c r="A12" s="171">
        <v>41.44</v>
      </c>
      <c r="B12" s="171">
        <v>0.6</v>
      </c>
      <c r="C12" s="171">
        <v>21.18</v>
      </c>
      <c r="D12" s="8">
        <v>42771.416666666664</v>
      </c>
      <c r="E12" s="171">
        <v>0.44</v>
      </c>
      <c r="F12" s="171" t="s">
        <v>273</v>
      </c>
      <c r="G12" s="171">
        <v>312.29000000000002</v>
      </c>
      <c r="H12" s="171">
        <v>0</v>
      </c>
      <c r="I12" s="171">
        <v>0</v>
      </c>
      <c r="J12" s="171">
        <v>1013.92</v>
      </c>
      <c r="K12" s="171" t="s">
        <v>317</v>
      </c>
      <c r="L12" s="171">
        <v>41.44</v>
      </c>
      <c r="M12" s="171">
        <v>1486314000</v>
      </c>
      <c r="N12" s="171">
        <v>3.03</v>
      </c>
      <c r="O12" s="171">
        <v>302</v>
      </c>
      <c r="P12" s="171">
        <v>1.08</v>
      </c>
      <c r="Q12"/>
      <c r="R12"/>
    </row>
    <row r="13" spans="1:18" x14ac:dyDescent="0.25">
      <c r="A13" s="171">
        <v>48.2</v>
      </c>
      <c r="B13" s="171">
        <v>0.65</v>
      </c>
      <c r="C13" s="171">
        <v>21.94</v>
      </c>
      <c r="D13" s="8">
        <v>42771.458333333336</v>
      </c>
      <c r="E13" s="171">
        <v>0.35</v>
      </c>
      <c r="F13" s="171" t="s">
        <v>273</v>
      </c>
      <c r="G13" s="171">
        <v>310.08999999999997</v>
      </c>
      <c r="H13" s="171">
        <v>0</v>
      </c>
      <c r="I13" s="171">
        <v>0</v>
      </c>
      <c r="J13" s="171">
        <v>1012.54</v>
      </c>
      <c r="K13" s="171" t="s">
        <v>317</v>
      </c>
      <c r="L13" s="171">
        <v>48.2</v>
      </c>
      <c r="M13" s="171">
        <v>1486317600</v>
      </c>
      <c r="N13" s="171">
        <v>3.02</v>
      </c>
      <c r="O13" s="171">
        <v>331</v>
      </c>
      <c r="P13" s="171">
        <v>1.75</v>
      </c>
      <c r="Q13"/>
      <c r="R13"/>
    </row>
    <row r="14" spans="1:18" x14ac:dyDescent="0.25">
      <c r="A14" s="171">
        <v>51.78</v>
      </c>
      <c r="B14" s="171">
        <v>0.57999999999999996</v>
      </c>
      <c r="C14" s="171">
        <v>23.25</v>
      </c>
      <c r="D14" s="8">
        <v>42771.5</v>
      </c>
      <c r="E14" s="171">
        <v>0.33</v>
      </c>
      <c r="F14" s="171" t="s">
        <v>273</v>
      </c>
      <c r="G14" s="171">
        <v>307.64</v>
      </c>
      <c r="H14" s="171">
        <v>0</v>
      </c>
      <c r="I14" s="171">
        <v>0</v>
      </c>
      <c r="J14" s="171">
        <v>1011.7</v>
      </c>
      <c r="K14" s="171" t="s">
        <v>274</v>
      </c>
      <c r="L14" s="171">
        <v>51.78</v>
      </c>
      <c r="M14" s="171">
        <v>1486321200</v>
      </c>
      <c r="N14" s="171">
        <v>3.02</v>
      </c>
      <c r="O14" s="171">
        <v>356</v>
      </c>
      <c r="P14" s="171">
        <v>3.47</v>
      </c>
      <c r="Q14"/>
      <c r="R14"/>
    </row>
    <row r="15" spans="1:18" x14ac:dyDescent="0.25">
      <c r="A15" s="171">
        <v>53.63</v>
      </c>
      <c r="B15" s="171">
        <v>0.44</v>
      </c>
      <c r="C15" s="171">
        <v>21.29</v>
      </c>
      <c r="D15" s="8">
        <v>42771.541666666664</v>
      </c>
      <c r="E15" s="171">
        <v>0.28000000000000003</v>
      </c>
      <c r="F15" s="171" t="s">
        <v>273</v>
      </c>
      <c r="G15" s="171">
        <v>304.83</v>
      </c>
      <c r="H15" s="171">
        <v>0</v>
      </c>
      <c r="I15" s="171">
        <v>0</v>
      </c>
      <c r="J15" s="171">
        <v>1011.08</v>
      </c>
      <c r="K15" s="171" t="s">
        <v>274</v>
      </c>
      <c r="L15" s="171">
        <v>53.63</v>
      </c>
      <c r="M15" s="171">
        <v>1486324800</v>
      </c>
      <c r="N15" s="171">
        <v>3.02</v>
      </c>
      <c r="O15" s="171">
        <v>351</v>
      </c>
      <c r="P15" s="171">
        <v>4.2300000000000004</v>
      </c>
      <c r="Q15"/>
      <c r="R15"/>
    </row>
    <row r="16" spans="1:18" x14ac:dyDescent="0.25">
      <c r="A16" s="171">
        <v>56.59</v>
      </c>
      <c r="B16" s="171">
        <v>0.36</v>
      </c>
      <c r="C16" s="171">
        <v>23.92</v>
      </c>
      <c r="D16" s="8">
        <v>42771.583333333336</v>
      </c>
      <c r="E16" s="171">
        <v>0.28000000000000003</v>
      </c>
      <c r="F16" s="171" t="s">
        <v>273</v>
      </c>
      <c r="G16" s="171">
        <v>301.77</v>
      </c>
      <c r="H16" s="171">
        <v>0</v>
      </c>
      <c r="I16" s="171">
        <v>0</v>
      </c>
      <c r="J16" s="171">
        <v>1010.59</v>
      </c>
      <c r="K16" s="171" t="s">
        <v>274</v>
      </c>
      <c r="L16" s="171">
        <v>56.59</v>
      </c>
      <c r="M16" s="171">
        <v>1486328400</v>
      </c>
      <c r="N16" s="171">
        <v>3.03</v>
      </c>
      <c r="O16" s="171">
        <v>4</v>
      </c>
      <c r="P16" s="171">
        <v>4.09</v>
      </c>
      <c r="Q16"/>
      <c r="R16"/>
    </row>
    <row r="17" spans="1:18" x14ac:dyDescent="0.25">
      <c r="A17" s="171">
        <v>57.42</v>
      </c>
      <c r="B17" s="171">
        <v>0.35</v>
      </c>
      <c r="C17" s="171">
        <v>21.63</v>
      </c>
      <c r="D17" s="8">
        <v>42771.625</v>
      </c>
      <c r="E17" s="171">
        <v>0.25</v>
      </c>
      <c r="F17" s="171" t="s">
        <v>273</v>
      </c>
      <c r="G17" s="171">
        <v>298.2</v>
      </c>
      <c r="H17" s="171">
        <v>0</v>
      </c>
      <c r="I17" s="171">
        <v>0</v>
      </c>
      <c r="J17" s="171">
        <v>1010.14</v>
      </c>
      <c r="K17" s="171" t="s">
        <v>274</v>
      </c>
      <c r="L17" s="171">
        <v>57.42</v>
      </c>
      <c r="M17" s="171">
        <v>1486332000</v>
      </c>
      <c r="N17" s="171">
        <v>3.09</v>
      </c>
      <c r="O17" s="171">
        <v>24</v>
      </c>
      <c r="P17" s="171">
        <v>3.75</v>
      </c>
      <c r="Q17"/>
      <c r="R17"/>
    </row>
    <row r="18" spans="1:18" x14ac:dyDescent="0.25">
      <c r="A18" s="171">
        <v>55.43</v>
      </c>
      <c r="B18" s="171">
        <v>0.35</v>
      </c>
      <c r="C18" s="171">
        <v>19.79</v>
      </c>
      <c r="D18" s="8">
        <v>42771.666666666664</v>
      </c>
      <c r="E18" s="171">
        <v>0.25</v>
      </c>
      <c r="F18" s="171" t="s">
        <v>273</v>
      </c>
      <c r="G18" s="171">
        <v>294.39999999999998</v>
      </c>
      <c r="H18" s="171">
        <v>0</v>
      </c>
      <c r="I18" s="171">
        <v>0</v>
      </c>
      <c r="J18" s="171">
        <v>1009.84</v>
      </c>
      <c r="K18" s="171" t="s">
        <v>274</v>
      </c>
      <c r="L18" s="171">
        <v>55.43</v>
      </c>
      <c r="M18" s="171">
        <v>1486335600</v>
      </c>
      <c r="N18" s="171">
        <v>5.55</v>
      </c>
      <c r="O18" s="171">
        <v>52</v>
      </c>
      <c r="P18" s="171">
        <v>2.62</v>
      </c>
      <c r="Q18"/>
      <c r="R18"/>
    </row>
    <row r="19" spans="1:18" x14ac:dyDescent="0.25">
      <c r="A19" s="171">
        <v>54.64</v>
      </c>
      <c r="B19" s="171">
        <v>0.22</v>
      </c>
      <c r="C19" s="171">
        <v>19.23</v>
      </c>
      <c r="D19" s="8">
        <v>42771.708333333336</v>
      </c>
      <c r="E19" s="171">
        <v>0.25</v>
      </c>
      <c r="F19" s="171" t="s">
        <v>739</v>
      </c>
      <c r="G19" s="171">
        <v>291.26</v>
      </c>
      <c r="H19" s="171">
        <v>0</v>
      </c>
      <c r="I19" s="171">
        <v>0</v>
      </c>
      <c r="J19" s="171">
        <v>1009.83</v>
      </c>
      <c r="K19" s="171" t="s">
        <v>740</v>
      </c>
      <c r="L19" s="171">
        <v>54.64</v>
      </c>
      <c r="M19" s="171">
        <v>1486339200</v>
      </c>
      <c r="N19" s="171">
        <v>6.01</v>
      </c>
      <c r="O19" s="171">
        <v>73</v>
      </c>
      <c r="P19" s="171">
        <v>2.14</v>
      </c>
      <c r="Q19"/>
      <c r="R19"/>
    </row>
    <row r="20" spans="1:18" x14ac:dyDescent="0.25">
      <c r="A20" s="171">
        <v>49.49</v>
      </c>
      <c r="B20" s="171">
        <v>0.2</v>
      </c>
      <c r="C20" s="171">
        <v>16.8</v>
      </c>
      <c r="D20" s="8">
        <v>42771.75</v>
      </c>
      <c r="E20" s="171">
        <v>0.27</v>
      </c>
      <c r="F20" s="171" t="s">
        <v>741</v>
      </c>
      <c r="G20" s="171">
        <v>289.14999999999998</v>
      </c>
      <c r="H20" s="171">
        <v>0</v>
      </c>
      <c r="I20" s="171">
        <v>0</v>
      </c>
      <c r="J20" s="171">
        <v>1010.08</v>
      </c>
      <c r="K20" s="171" t="s">
        <v>740</v>
      </c>
      <c r="L20" s="171">
        <v>49.49</v>
      </c>
      <c r="M20" s="171">
        <v>1486342800</v>
      </c>
      <c r="N20" s="171">
        <v>6.84</v>
      </c>
      <c r="O20" s="171">
        <v>133</v>
      </c>
      <c r="P20" s="171">
        <v>1.1299999999999999</v>
      </c>
      <c r="Q20"/>
      <c r="R20"/>
    </row>
    <row r="21" spans="1:18" x14ac:dyDescent="0.25">
      <c r="A21" s="171">
        <v>46.3</v>
      </c>
      <c r="B21" s="171">
        <v>0.21</v>
      </c>
      <c r="C21" s="171">
        <v>19.54</v>
      </c>
      <c r="D21" s="8">
        <v>42771.791666666664</v>
      </c>
      <c r="E21" s="171">
        <v>0.34</v>
      </c>
      <c r="F21" s="171" t="s">
        <v>741</v>
      </c>
      <c r="G21" s="171">
        <v>287.72000000000003</v>
      </c>
      <c r="H21" s="171">
        <v>0</v>
      </c>
      <c r="I21" s="171">
        <v>0</v>
      </c>
      <c r="J21" s="171">
        <v>1010.86</v>
      </c>
      <c r="K21" s="171" t="s">
        <v>740</v>
      </c>
      <c r="L21" s="171">
        <v>46.3</v>
      </c>
      <c r="M21" s="171">
        <v>1486346400</v>
      </c>
      <c r="N21" s="171">
        <v>7.31</v>
      </c>
      <c r="O21" s="171">
        <v>187</v>
      </c>
      <c r="P21" s="171">
        <v>1.48</v>
      </c>
      <c r="Q21"/>
      <c r="R21"/>
    </row>
    <row r="22" spans="1:18" x14ac:dyDescent="0.25">
      <c r="A22" s="171">
        <v>43.57</v>
      </c>
      <c r="B22" s="171">
        <v>0.22</v>
      </c>
      <c r="C22" s="171">
        <v>19.05</v>
      </c>
      <c r="D22" s="8">
        <v>42771.833333333336</v>
      </c>
      <c r="E22" s="171">
        <v>0.37</v>
      </c>
      <c r="F22" s="171" t="s">
        <v>741</v>
      </c>
      <c r="G22" s="171">
        <v>286.79000000000002</v>
      </c>
      <c r="H22" s="171">
        <v>0</v>
      </c>
      <c r="I22" s="171">
        <v>0</v>
      </c>
      <c r="J22" s="171">
        <v>1011.46</v>
      </c>
      <c r="K22" s="171" t="s">
        <v>740</v>
      </c>
      <c r="L22" s="171">
        <v>43.57</v>
      </c>
      <c r="M22" s="171">
        <v>1486350000</v>
      </c>
      <c r="N22" s="171">
        <v>6.41</v>
      </c>
      <c r="O22" s="171">
        <v>208</v>
      </c>
      <c r="P22" s="171">
        <v>2.02</v>
      </c>
      <c r="Q22"/>
      <c r="R22"/>
    </row>
    <row r="23" spans="1:18" x14ac:dyDescent="0.25">
      <c r="A23" s="171">
        <v>41.67</v>
      </c>
      <c r="B23" s="171">
        <v>0.37</v>
      </c>
      <c r="C23" s="171">
        <v>19.61</v>
      </c>
      <c r="D23" s="8">
        <v>42771.875</v>
      </c>
      <c r="E23" s="171">
        <v>0.41</v>
      </c>
      <c r="F23" s="171" t="s">
        <v>272</v>
      </c>
      <c r="G23" s="171">
        <v>286.44</v>
      </c>
      <c r="H23" s="171">
        <v>0</v>
      </c>
      <c r="I23" s="171">
        <v>0</v>
      </c>
      <c r="J23" s="171">
        <v>1011.5</v>
      </c>
      <c r="K23" s="171" t="s">
        <v>274</v>
      </c>
      <c r="L23" s="171">
        <v>41.67</v>
      </c>
      <c r="M23" s="171">
        <v>1486353600</v>
      </c>
      <c r="N23" s="171">
        <v>5.63</v>
      </c>
      <c r="O23" s="171">
        <v>208</v>
      </c>
      <c r="P23" s="171">
        <v>2.78</v>
      </c>
      <c r="Q23"/>
      <c r="R23"/>
    </row>
    <row r="24" spans="1:18" x14ac:dyDescent="0.25">
      <c r="A24" s="171">
        <v>37.380000000000003</v>
      </c>
      <c r="B24" s="171">
        <v>0.5</v>
      </c>
      <c r="C24" s="171">
        <v>19.38</v>
      </c>
      <c r="D24" s="8">
        <v>42771.916666666664</v>
      </c>
      <c r="E24" s="171">
        <v>0.44</v>
      </c>
      <c r="F24" s="171" t="s">
        <v>272</v>
      </c>
      <c r="G24" s="171">
        <v>286.60000000000002</v>
      </c>
      <c r="H24" s="171">
        <v>0</v>
      </c>
      <c r="I24" s="171">
        <v>0</v>
      </c>
      <c r="J24" s="171">
        <v>1011.21</v>
      </c>
      <c r="K24" s="171" t="s">
        <v>274</v>
      </c>
      <c r="L24" s="171">
        <v>39.369999999999997</v>
      </c>
      <c r="M24" s="171">
        <v>1486357200</v>
      </c>
      <c r="N24" s="171">
        <v>5.69</v>
      </c>
      <c r="O24" s="171">
        <v>207</v>
      </c>
      <c r="P24" s="171">
        <v>3.24</v>
      </c>
      <c r="Q24"/>
      <c r="R24"/>
    </row>
    <row r="25" spans="1:18" x14ac:dyDescent="0.25">
      <c r="A25" s="171">
        <v>36.020000000000003</v>
      </c>
      <c r="B25" s="171">
        <v>0.65</v>
      </c>
      <c r="C25" s="171">
        <v>19.920000000000002</v>
      </c>
      <c r="D25" s="8">
        <v>42771.958333333336</v>
      </c>
      <c r="E25" s="171">
        <v>0.47</v>
      </c>
      <c r="F25" s="171" t="s">
        <v>272</v>
      </c>
      <c r="G25" s="171">
        <v>286.93</v>
      </c>
      <c r="H25" s="171">
        <v>0</v>
      </c>
      <c r="I25" s="171">
        <v>0</v>
      </c>
      <c r="J25" s="171">
        <v>1010.83</v>
      </c>
      <c r="K25" s="171" t="s">
        <v>317</v>
      </c>
      <c r="L25" s="171">
        <v>38.369999999999997</v>
      </c>
      <c r="M25" s="171">
        <v>1486360800</v>
      </c>
      <c r="N25" s="171">
        <v>6.06</v>
      </c>
      <c r="O25" s="171">
        <v>199</v>
      </c>
      <c r="P25" s="171">
        <v>3.44</v>
      </c>
      <c r="Q25"/>
      <c r="R25"/>
    </row>
    <row r="26" spans="1:18" x14ac:dyDescent="0.25">
      <c r="A26" s="171">
        <v>34.840000000000003</v>
      </c>
      <c r="B26" s="171">
        <v>0.76</v>
      </c>
      <c r="C26" s="171">
        <v>18.53</v>
      </c>
      <c r="D26" s="8">
        <v>42772</v>
      </c>
      <c r="E26" s="171">
        <v>0.45</v>
      </c>
      <c r="F26" s="171" t="s">
        <v>272</v>
      </c>
      <c r="G26" s="171">
        <v>287.48</v>
      </c>
      <c r="H26" s="171">
        <v>0</v>
      </c>
      <c r="I26" s="171">
        <v>0</v>
      </c>
      <c r="J26" s="171">
        <v>1010.43</v>
      </c>
      <c r="K26" s="171" t="s">
        <v>317</v>
      </c>
      <c r="L26" s="171">
        <v>37.74</v>
      </c>
      <c r="M26" s="171">
        <v>1486364400</v>
      </c>
      <c r="N26" s="171">
        <v>5.84</v>
      </c>
      <c r="O26" s="171">
        <v>204</v>
      </c>
      <c r="P26" s="171">
        <v>3.86</v>
      </c>
      <c r="Q26"/>
      <c r="R26"/>
    </row>
    <row r="27" spans="1:18" x14ac:dyDescent="0.25">
      <c r="A27" s="171">
        <v>38.61</v>
      </c>
      <c r="B27" s="171">
        <v>0.8</v>
      </c>
      <c r="C27" s="171">
        <v>20.66</v>
      </c>
      <c r="D27" s="8">
        <v>42772.041666666664</v>
      </c>
      <c r="E27" s="171">
        <v>0.48</v>
      </c>
      <c r="F27" s="171" t="s">
        <v>272</v>
      </c>
      <c r="G27" s="171">
        <v>288.02</v>
      </c>
      <c r="H27" s="171">
        <v>0</v>
      </c>
      <c r="I27" s="171">
        <v>0</v>
      </c>
      <c r="J27" s="171">
        <v>1010.04</v>
      </c>
      <c r="K27" s="171" t="s">
        <v>317</v>
      </c>
      <c r="L27" s="171">
        <v>38.61</v>
      </c>
      <c r="M27" s="171">
        <v>1486368000</v>
      </c>
      <c r="N27" s="171">
        <v>5.66</v>
      </c>
      <c r="O27" s="171">
        <v>224</v>
      </c>
      <c r="P27" s="171">
        <v>2.5099999999999998</v>
      </c>
      <c r="Q27"/>
      <c r="R27"/>
    </row>
    <row r="28" spans="1:18" x14ac:dyDescent="0.25">
      <c r="A28" s="171">
        <v>38.14</v>
      </c>
      <c r="B28" s="171">
        <v>0.84</v>
      </c>
      <c r="C28" s="171">
        <v>20.55</v>
      </c>
      <c r="D28" s="8">
        <v>42772.083333333336</v>
      </c>
      <c r="E28" s="171">
        <v>0.49</v>
      </c>
      <c r="F28" s="171" t="s">
        <v>272</v>
      </c>
      <c r="G28" s="171">
        <v>288.57</v>
      </c>
      <c r="H28" s="171">
        <v>0</v>
      </c>
      <c r="I28" s="171">
        <v>0</v>
      </c>
      <c r="J28" s="171">
        <v>1009.65</v>
      </c>
      <c r="K28" s="171" t="s">
        <v>317</v>
      </c>
      <c r="L28" s="171">
        <v>38.14</v>
      </c>
      <c r="M28" s="171">
        <v>1486371600</v>
      </c>
      <c r="N28" s="171">
        <v>3.91</v>
      </c>
      <c r="O28" s="171">
        <v>225</v>
      </c>
      <c r="P28" s="171">
        <v>2.46</v>
      </c>
      <c r="Q28"/>
      <c r="R28"/>
    </row>
    <row r="29" spans="1:18" x14ac:dyDescent="0.25">
      <c r="A29" s="171">
        <v>34.270000000000003</v>
      </c>
      <c r="B29" s="171">
        <v>0.86</v>
      </c>
      <c r="C29" s="171">
        <v>19.760000000000002</v>
      </c>
      <c r="D29" s="8">
        <v>42772.125</v>
      </c>
      <c r="E29" s="171">
        <v>0.49</v>
      </c>
      <c r="F29" s="171" t="s">
        <v>272</v>
      </c>
      <c r="G29" s="171">
        <v>288.83</v>
      </c>
      <c r="H29" s="171">
        <v>0</v>
      </c>
      <c r="I29" s="171">
        <v>0</v>
      </c>
      <c r="J29" s="171">
        <v>1009.51</v>
      </c>
      <c r="K29" s="171" t="s">
        <v>317</v>
      </c>
      <c r="L29" s="171">
        <v>37.28</v>
      </c>
      <c r="M29" s="171">
        <v>1486375200</v>
      </c>
      <c r="N29" s="171">
        <v>6.46</v>
      </c>
      <c r="O29" s="171">
        <v>215</v>
      </c>
      <c r="P29" s="171">
        <v>3.91</v>
      </c>
      <c r="Q29"/>
      <c r="R29"/>
    </row>
    <row r="30" spans="1:18" x14ac:dyDescent="0.25">
      <c r="A30" s="152"/>
      <c r="B30" s="152"/>
      <c r="C30" s="152"/>
      <c r="D30" s="8"/>
      <c r="E30" s="152"/>
      <c r="F30" s="152"/>
      <c r="G30" s="152"/>
      <c r="H30" s="152"/>
      <c r="I30" s="152"/>
      <c r="J30" s="152"/>
      <c r="K30" s="152"/>
      <c r="L30" s="152"/>
      <c r="M30" s="152"/>
      <c r="N30" s="152"/>
      <c r="O30" s="152"/>
      <c r="P30" s="152"/>
    </row>
    <row r="31" spans="1:18" x14ac:dyDescent="0.25">
      <c r="A31" s="153" t="s">
        <v>190</v>
      </c>
    </row>
    <row r="33" spans="1:1" x14ac:dyDescent="0.25">
      <c r="A33" s="153" t="s">
        <v>179</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tabColor theme="0"/>
  </sheetPr>
  <dimension ref="A1:Q37"/>
  <sheetViews>
    <sheetView workbookViewId="0">
      <selection activeCell="I16" sqref="I16"/>
    </sheetView>
  </sheetViews>
  <sheetFormatPr defaultRowHeight="15" x14ac:dyDescent="0.25"/>
  <cols>
    <col min="1" max="1" width="32.140625" customWidth="1"/>
    <col min="3" max="3" width="24" customWidth="1"/>
    <col min="4" max="4" width="19.140625" style="64" customWidth="1"/>
    <col min="10" max="10" width="24.28515625" style="152" bestFit="1" customWidth="1"/>
    <col min="11" max="11" width="15.28515625" style="152" hidden="1" customWidth="1"/>
    <col min="12" max="12" width="13.5703125" style="152" hidden="1" customWidth="1"/>
    <col min="13" max="13" width="9" style="152" bestFit="1" customWidth="1"/>
    <col min="14" max="17" width="9.140625" style="152"/>
  </cols>
  <sheetData>
    <row r="1" spans="1:16" ht="45.75" x14ac:dyDescent="0.3">
      <c r="A1" s="11" t="s">
        <v>25</v>
      </c>
      <c r="C1" s="131" t="s">
        <v>99</v>
      </c>
      <c r="D1" s="132" t="s">
        <v>100</v>
      </c>
      <c r="J1" s="162" t="s">
        <v>101</v>
      </c>
      <c r="K1" s="162" t="s">
        <v>66</v>
      </c>
      <c r="L1" s="162" t="s">
        <v>67</v>
      </c>
      <c r="O1" s="163" t="s">
        <v>102</v>
      </c>
    </row>
    <row r="2" spans="1:16" ht="15.75" thickBot="1" x14ac:dyDescent="0.3">
      <c r="A2" s="12">
        <v>42771</v>
      </c>
      <c r="B2" s="4"/>
      <c r="C2" s="133">
        <v>50</v>
      </c>
      <c r="D2" s="134">
        <v>25</v>
      </c>
      <c r="F2" t="s">
        <v>113</v>
      </c>
      <c r="J2" s="162"/>
      <c r="K2" s="162" t="s">
        <v>66</v>
      </c>
      <c r="L2" s="162" t="s">
        <v>67</v>
      </c>
    </row>
    <row r="3" spans="1:16" x14ac:dyDescent="0.25">
      <c r="C3" s="64"/>
      <c r="F3" t="s">
        <v>52</v>
      </c>
      <c r="J3" s="164" t="s">
        <v>68</v>
      </c>
      <c r="K3" s="165">
        <v>2.7052</v>
      </c>
      <c r="L3" s="165">
        <v>2.7349999999999999</v>
      </c>
      <c r="M3" s="152">
        <f t="shared" ref="M3:M14" si="0">AVERAGE(K3:L3)</f>
        <v>2.7201</v>
      </c>
      <c r="O3" s="152" t="s">
        <v>103</v>
      </c>
      <c r="P3" s="152">
        <f>AVERAGE(1.0714,1.1016)</f>
        <v>1.0865</v>
      </c>
    </row>
    <row r="4" spans="1:16" ht="45" x14ac:dyDescent="0.25">
      <c r="C4" s="131" t="s">
        <v>99</v>
      </c>
      <c r="D4" s="132" t="s">
        <v>100</v>
      </c>
      <c r="F4" t="s">
        <v>53</v>
      </c>
      <c r="J4" s="164" t="s">
        <v>69</v>
      </c>
      <c r="K4" s="165">
        <v>3.0830000000000002</v>
      </c>
      <c r="L4" s="165">
        <v>3.097</v>
      </c>
      <c r="M4" s="152">
        <f t="shared" si="0"/>
        <v>3.09</v>
      </c>
    </row>
    <row r="5" spans="1:16" x14ac:dyDescent="0.25">
      <c r="C5" s="64">
        <v>30</v>
      </c>
      <c r="D5" s="64">
        <v>9</v>
      </c>
      <c r="J5" s="164" t="s">
        <v>70</v>
      </c>
      <c r="K5" s="165">
        <v>3.3136000000000001</v>
      </c>
      <c r="L5" s="165">
        <v>3.3256999999999999</v>
      </c>
      <c r="M5" s="152">
        <f t="shared" si="0"/>
        <v>3.3196500000000002</v>
      </c>
    </row>
    <row r="6" spans="1:16" x14ac:dyDescent="0.25">
      <c r="C6" s="64"/>
      <c r="F6" t="s">
        <v>114</v>
      </c>
      <c r="J6" s="164" t="s">
        <v>71</v>
      </c>
      <c r="K6" s="165">
        <v>4.2778999999999998</v>
      </c>
      <c r="L6" s="165">
        <v>4.2961</v>
      </c>
      <c r="M6" s="152">
        <f t="shared" si="0"/>
        <v>4.2869999999999999</v>
      </c>
    </row>
    <row r="7" spans="1:16" x14ac:dyDescent="0.25">
      <c r="C7" s="64"/>
      <c r="F7" t="s">
        <v>115</v>
      </c>
      <c r="J7" s="164" t="s">
        <v>72</v>
      </c>
      <c r="K7" s="165">
        <v>4.7865000000000002</v>
      </c>
      <c r="L7" s="165">
        <v>4.8048000000000002</v>
      </c>
      <c r="M7" s="152">
        <f t="shared" si="0"/>
        <v>4.7956500000000002</v>
      </c>
    </row>
    <row r="8" spans="1:16" x14ac:dyDescent="0.25">
      <c r="C8" s="64"/>
      <c r="F8" t="s">
        <v>116</v>
      </c>
      <c r="J8" s="164" t="s">
        <v>73</v>
      </c>
      <c r="K8" s="165">
        <v>5.3155000000000001</v>
      </c>
      <c r="L8" s="165">
        <v>5.3277000000000001</v>
      </c>
      <c r="M8" s="152">
        <f t="shared" si="0"/>
        <v>5.3216000000000001</v>
      </c>
    </row>
    <row r="9" spans="1:16" x14ac:dyDescent="0.25">
      <c r="C9" s="64"/>
      <c r="J9" s="164" t="s">
        <v>74</v>
      </c>
      <c r="K9" s="165">
        <v>5.8117000000000001</v>
      </c>
      <c r="L9" s="165">
        <v>5.8300999999999998</v>
      </c>
      <c r="M9" s="152">
        <f t="shared" si="0"/>
        <v>5.8209</v>
      </c>
    </row>
    <row r="10" spans="1:16" x14ac:dyDescent="0.25">
      <c r="C10" s="64"/>
      <c r="J10" s="164" t="s">
        <v>75</v>
      </c>
      <c r="K10" s="165">
        <v>5.8783000000000003</v>
      </c>
      <c r="L10" s="165">
        <v>5.8903999999999996</v>
      </c>
      <c r="M10" s="152">
        <f t="shared" si="0"/>
        <v>5.8843499999999995</v>
      </c>
    </row>
    <row r="11" spans="1:16" x14ac:dyDescent="0.25">
      <c r="C11" s="64"/>
      <c r="J11" s="164" t="s">
        <v>76</v>
      </c>
      <c r="K11" s="165">
        <v>6.3068</v>
      </c>
      <c r="L11" s="165">
        <v>6.3308999999999997</v>
      </c>
      <c r="M11" s="152">
        <f t="shared" si="0"/>
        <v>6.3188499999999994</v>
      </c>
    </row>
    <row r="12" spans="1:16" x14ac:dyDescent="0.25">
      <c r="C12" s="64"/>
      <c r="J12" s="164" t="s">
        <v>77</v>
      </c>
      <c r="K12" s="165">
        <v>7.8349000000000002</v>
      </c>
      <c r="L12" s="165">
        <v>7.8468999999999998</v>
      </c>
      <c r="M12" s="152">
        <f t="shared" si="0"/>
        <v>7.8408999999999995</v>
      </c>
    </row>
    <row r="13" spans="1:16" x14ac:dyDescent="0.25">
      <c r="C13" s="64"/>
      <c r="J13" s="164" t="s">
        <v>78</v>
      </c>
      <c r="K13" s="165">
        <v>10.373799999999999</v>
      </c>
      <c r="L13" s="165">
        <v>10.38</v>
      </c>
      <c r="M13" s="152">
        <f t="shared" si="0"/>
        <v>10.376899999999999</v>
      </c>
    </row>
    <row r="14" spans="1:16" x14ac:dyDescent="0.25">
      <c r="C14" s="64"/>
      <c r="J14" s="164" t="s">
        <v>79</v>
      </c>
      <c r="K14" s="165">
        <v>10.8954</v>
      </c>
      <c r="L14" s="165">
        <v>10.913500000000001</v>
      </c>
      <c r="M14" s="152">
        <f t="shared" si="0"/>
        <v>10.904450000000001</v>
      </c>
    </row>
    <row r="15" spans="1:16" x14ac:dyDescent="0.25">
      <c r="C15" s="64"/>
      <c r="J15" s="164"/>
      <c r="K15" s="165"/>
      <c r="L15" s="165"/>
    </row>
    <row r="16" spans="1:16" x14ac:dyDescent="0.25">
      <c r="C16" s="64"/>
      <c r="J16" s="164"/>
      <c r="K16" s="165"/>
      <c r="L16" s="165"/>
    </row>
    <row r="17" spans="3:13" x14ac:dyDescent="0.25">
      <c r="C17" s="149" t="s">
        <v>191</v>
      </c>
      <c r="J17" s="164"/>
      <c r="K17" s="165"/>
      <c r="L17" s="165"/>
    </row>
    <row r="18" spans="3:13" x14ac:dyDescent="0.25">
      <c r="C18" t="s">
        <v>883</v>
      </c>
      <c r="J18" s="164" t="s">
        <v>85</v>
      </c>
      <c r="K18" s="165"/>
      <c r="L18" s="165"/>
      <c r="M18" s="152" t="str">
        <f>"""C:\Program Files (x86)\AstroGrep\AstroGrep.exe"""</f>
        <v>"C:\Program Files (x86)\AstroGrep\AstroGrep.exe"</v>
      </c>
    </row>
    <row r="19" spans="3:13" x14ac:dyDescent="0.25">
      <c r="C19" t="s">
        <v>884</v>
      </c>
      <c r="J19" s="164" t="s">
        <v>86</v>
      </c>
      <c r="K19" s="165"/>
      <c r="L19" s="165"/>
      <c r="M19" s="152" t="s">
        <v>112</v>
      </c>
    </row>
    <row r="20" spans="3:13" x14ac:dyDescent="0.25">
      <c r="C20" t="s">
        <v>885</v>
      </c>
      <c r="J20" s="152" t="s">
        <v>87</v>
      </c>
      <c r="M20" s="152" t="s">
        <v>218</v>
      </c>
    </row>
    <row r="21" spans="3:13" x14ac:dyDescent="0.25">
      <c r="C21" t="s">
        <v>886</v>
      </c>
      <c r="J21" s="152" t="s">
        <v>90</v>
      </c>
      <c r="K21" s="152" t="s">
        <v>91</v>
      </c>
      <c r="M21" s="152" t="s">
        <v>178</v>
      </c>
    </row>
    <row r="22" spans="3:13" x14ac:dyDescent="0.25">
      <c r="C22" t="s">
        <v>887</v>
      </c>
      <c r="J22" s="152" t="s">
        <v>92</v>
      </c>
      <c r="K22" s="152" t="s">
        <v>93</v>
      </c>
      <c r="M22" s="152" t="s">
        <v>111</v>
      </c>
    </row>
    <row r="23" spans="3:13" x14ac:dyDescent="0.25">
      <c r="C23" t="s">
        <v>888</v>
      </c>
      <c r="J23" s="166" t="s">
        <v>95</v>
      </c>
      <c r="M23" s="152" t="str">
        <f>"-07"</f>
        <v>-07</v>
      </c>
    </row>
    <row r="24" spans="3:13" x14ac:dyDescent="0.25">
      <c r="C24" t="s">
        <v>889</v>
      </c>
      <c r="J24" s="152" t="s">
        <v>108</v>
      </c>
      <c r="M24" s="152" t="s">
        <v>110</v>
      </c>
    </row>
    <row r="25" spans="3:13" x14ac:dyDescent="0.25">
      <c r="C25" t="s">
        <v>890</v>
      </c>
      <c r="J25" s="152" t="s">
        <v>150</v>
      </c>
      <c r="M25" s="152" t="b">
        <v>1</v>
      </c>
    </row>
    <row r="26" spans="3:13" x14ac:dyDescent="0.25">
      <c r="C26" t="s">
        <v>891</v>
      </c>
      <c r="J26" s="152" t="s">
        <v>151</v>
      </c>
      <c r="M26" s="152" t="str">
        <f>"C:\Users\stu\Documents\GitHub\eaglep3-reporting\EC\"&amp;TEXT(A2,"yyyy-mm-dd")&amp;"-refined-times.txt"</f>
        <v>C:\Users\stu\Documents\GitHub\eaglep3-reporting\EC\2017-02-05-refined-times.txt</v>
      </c>
    </row>
    <row r="27" spans="3:13" x14ac:dyDescent="0.25">
      <c r="C27" t="s">
        <v>892</v>
      </c>
      <c r="J27" s="152" t="s">
        <v>180</v>
      </c>
      <c r="M27" s="152" t="str">
        <f>"C:\Users\stu\Documents\GitHub\eaglep3-reporting\EC\"&amp;TEXT(A2,"YYYY-MM-DD")&amp;"-Enforcements.txt"</f>
        <v>C:\Users\stu\Documents\GitHub\eaglep3-reporting\EC\2017-02-05-Enforcements.txt</v>
      </c>
    </row>
    <row r="28" spans="3:13" x14ac:dyDescent="0.25">
      <c r="C28" t="s">
        <v>893</v>
      </c>
      <c r="J28" s="152" t="s">
        <v>181</v>
      </c>
      <c r="M28" s="152" t="str">
        <f>"C:\Users\stu\Documents\GitHub\eaglep3-reporting\EC\"&amp;TEXT(A2,"YYYY-MM-DD")&amp;"-Runs-refined.txt"</f>
        <v>C:\Users\stu\Documents\GitHub\eaglep3-reporting\EC\2017-02-05-Runs-refined.txt</v>
      </c>
    </row>
    <row r="29" spans="3:13" x14ac:dyDescent="0.25">
      <c r="C29" t="s">
        <v>894</v>
      </c>
      <c r="J29" s="152" t="s">
        <v>182</v>
      </c>
      <c r="M29" s="152" t="str">
        <f>"C:\Users\stu\Documents\GitHub\eaglep3-reporting\EC\"&amp;TEXT(A2,"YYYY-MM-DD")&amp;"-Trips.txt"</f>
        <v>C:\Users\stu\Documents\GitHub\eaglep3-reporting\EC\2017-02-05-Trips.txt</v>
      </c>
    </row>
    <row r="30" spans="3:13" x14ac:dyDescent="0.25">
      <c r="C30" t="s">
        <v>895</v>
      </c>
      <c r="J30" s="152" t="s">
        <v>183</v>
      </c>
      <c r="M30" s="152" t="str">
        <f>"C:\Users\stu\Documents\GitHub\eaglep3-reporting\EC\"&amp;TEXT(A2,"YYYY-MM-DD")&amp;"-Weather.txt"</f>
        <v>C:\Users\stu\Documents\GitHub\eaglep3-reporting\EC\2017-02-05-Weather.txt</v>
      </c>
    </row>
    <row r="31" spans="3:13" x14ac:dyDescent="0.25">
      <c r="C31" t="s">
        <v>896</v>
      </c>
      <c r="J31" s="152" t="s">
        <v>216</v>
      </c>
      <c r="M31" s="152" t="s">
        <v>217</v>
      </c>
    </row>
    <row r="32" spans="3:13" x14ac:dyDescent="0.25">
      <c r="C32" t="s">
        <v>897</v>
      </c>
    </row>
    <row r="33" spans="3:3" x14ac:dyDescent="0.25">
      <c r="C33" t="s">
        <v>898</v>
      </c>
    </row>
    <row r="34" spans="3:3" x14ac:dyDescent="0.25">
      <c r="C34" t="s">
        <v>899</v>
      </c>
    </row>
    <row r="35" spans="3:3" x14ac:dyDescent="0.25">
      <c r="C35" t="s">
        <v>900</v>
      </c>
    </row>
    <row r="36" spans="3:3" x14ac:dyDescent="0.25">
      <c r="C36" t="s">
        <v>901</v>
      </c>
    </row>
    <row r="37" spans="3:3" x14ac:dyDescent="0.25">
      <c r="C37" t="s">
        <v>902</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145" r:id="rId4" name="Button 1">
              <controlPr defaultSize="0" print="0" autoFill="0" autoPict="0" macro="[2]!Mail_workbook_Outlook">
                <anchor moveWithCells="1" sizeWithCells="1">
                  <from>
                    <xdr:col>0</xdr:col>
                    <xdr:colOff>295275</xdr:colOff>
                    <xdr:row>5</xdr:row>
                    <xdr:rowOff>47625</xdr:rowOff>
                  </from>
                  <to>
                    <xdr:col>0</xdr:col>
                    <xdr:colOff>1628775</xdr:colOff>
                    <xdr:row>8</xdr:row>
                    <xdr:rowOff>66675</xdr:rowOff>
                  </to>
                </anchor>
              </controlPr>
            </control>
          </mc:Choice>
        </mc:AlternateContent>
        <mc:AlternateContent xmlns:mc="http://schemas.openxmlformats.org/markup-compatibility/2006">
          <mc:Choice Requires="x14">
            <control shapeId="6146" r:id="rId5" name="Button 2">
              <controlPr defaultSize="0" print="0" autoFill="0" autoPict="0" macro="[2]!ImportRawText">
                <anchor moveWithCells="1" sizeWithCells="1">
                  <from>
                    <xdr:col>0</xdr:col>
                    <xdr:colOff>304800</xdr:colOff>
                    <xdr:row>9</xdr:row>
                    <xdr:rowOff>85725</xdr:rowOff>
                  </from>
                  <to>
                    <xdr:col>0</xdr:col>
                    <xdr:colOff>1552575</xdr:colOff>
                    <xdr:row>12</xdr:row>
                    <xdr:rowOff>38100</xdr:rowOff>
                  </to>
                </anchor>
              </controlPr>
            </control>
          </mc:Choice>
        </mc:AlternateContent>
        <mc:AlternateContent xmlns:mc="http://schemas.openxmlformats.org/markup-compatibility/2006">
          <mc:Choice Requires="x14">
            <control shapeId="6147" r:id="rId6" name="Button 3">
              <controlPr defaultSize="0" print="0" autoFill="0" autoPict="0" macro="[2]!SetTodaysDate">
                <anchor moveWithCells="1" sizeWithCells="1">
                  <from>
                    <xdr:col>0</xdr:col>
                    <xdr:colOff>295275</xdr:colOff>
                    <xdr:row>12</xdr:row>
                    <xdr:rowOff>142875</xdr:rowOff>
                  </from>
                  <to>
                    <xdr:col>0</xdr:col>
                    <xdr:colOff>1543050</xdr:colOff>
                    <xdr:row>15</xdr:row>
                    <xdr:rowOff>95250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theme="0"/>
  </sheetPr>
  <dimension ref="A1:K15"/>
  <sheetViews>
    <sheetView workbookViewId="0"/>
  </sheetViews>
  <sheetFormatPr defaultRowHeight="15" x14ac:dyDescent="0.25"/>
  <cols>
    <col min="1" max="1" width="32.85546875" style="102" bestFit="1" customWidth="1"/>
    <col min="2" max="7" width="9.140625" style="102"/>
    <col min="8" max="8" width="17.7109375" style="102" bestFit="1" customWidth="1"/>
    <col min="9" max="9" width="9.140625" style="104"/>
    <col min="10" max="16384" width="9.140625" style="102"/>
  </cols>
  <sheetData>
    <row r="1" spans="1:11" x14ac:dyDescent="0.25">
      <c r="A1" s="101" t="s">
        <v>121</v>
      </c>
      <c r="B1" s="101" t="s">
        <v>122</v>
      </c>
      <c r="C1" s="102" t="s">
        <v>123</v>
      </c>
      <c r="H1" t="s">
        <v>117</v>
      </c>
      <c r="I1" s="103" t="s">
        <v>119</v>
      </c>
      <c r="J1"/>
    </row>
    <row r="2" spans="1:11" x14ac:dyDescent="0.25">
      <c r="A2" s="102" t="s">
        <v>124</v>
      </c>
      <c r="B2" s="102" t="s">
        <v>125</v>
      </c>
      <c r="C2" s="102" t="s">
        <v>126</v>
      </c>
      <c r="H2" t="s">
        <v>118</v>
      </c>
      <c r="I2" s="95" t="s">
        <v>120</v>
      </c>
      <c r="J2"/>
    </row>
    <row r="3" spans="1:11" x14ac:dyDescent="0.25">
      <c r="A3" s="102" t="s">
        <v>127</v>
      </c>
      <c r="B3" s="102" t="s">
        <v>128</v>
      </c>
      <c r="C3" s="102" t="s">
        <v>129</v>
      </c>
      <c r="H3" t="s">
        <v>143</v>
      </c>
      <c r="I3" s="95">
        <v>1</v>
      </c>
      <c r="J3"/>
      <c r="K3" s="63"/>
    </row>
    <row r="4" spans="1:11" x14ac:dyDescent="0.25">
      <c r="A4" s="102" t="s">
        <v>130</v>
      </c>
      <c r="C4" s="102" t="s">
        <v>131</v>
      </c>
      <c r="H4" t="s">
        <v>144</v>
      </c>
      <c r="I4" s="95">
        <v>2</v>
      </c>
      <c r="J4"/>
      <c r="K4" s="63"/>
    </row>
    <row r="5" spans="1:11" x14ac:dyDescent="0.25">
      <c r="A5" s="102" t="s">
        <v>132</v>
      </c>
      <c r="C5" s="102" t="s">
        <v>133</v>
      </c>
      <c r="H5" t="s">
        <v>145</v>
      </c>
      <c r="I5" s="95">
        <v>23</v>
      </c>
      <c r="J5"/>
      <c r="K5" s="63"/>
    </row>
    <row r="6" spans="1:11" x14ac:dyDescent="0.25">
      <c r="A6" s="102" t="s">
        <v>134</v>
      </c>
      <c r="C6" s="102" t="s">
        <v>135</v>
      </c>
      <c r="H6" s="105" t="s">
        <v>146</v>
      </c>
      <c r="I6" s="106" t="s">
        <v>125</v>
      </c>
    </row>
    <row r="7" spans="1:11" x14ac:dyDescent="0.25">
      <c r="A7" s="102" t="s">
        <v>136</v>
      </c>
      <c r="C7" s="102" t="s">
        <v>137</v>
      </c>
    </row>
    <row r="8" spans="1:11" x14ac:dyDescent="0.25">
      <c r="C8" s="102" t="s">
        <v>138</v>
      </c>
    </row>
    <row r="9" spans="1:11" x14ac:dyDescent="0.25">
      <c r="C9" s="105" t="s">
        <v>171</v>
      </c>
    </row>
    <row r="10" spans="1:11" x14ac:dyDescent="0.25">
      <c r="C10" s="102" t="s">
        <v>139</v>
      </c>
    </row>
    <row r="11" spans="1:11" x14ac:dyDescent="0.25">
      <c r="C11" s="102" t="s">
        <v>140</v>
      </c>
    </row>
    <row r="12" spans="1:11" x14ac:dyDescent="0.25">
      <c r="C12" s="102" t="s">
        <v>141</v>
      </c>
    </row>
    <row r="13" spans="1:11" x14ac:dyDescent="0.25">
      <c r="C13" s="102" t="s">
        <v>142</v>
      </c>
    </row>
    <row r="14" spans="1:11" x14ac:dyDescent="0.25">
      <c r="C14" s="105" t="s">
        <v>172</v>
      </c>
    </row>
    <row r="15" spans="1:11" x14ac:dyDescent="0.25">
      <c r="C15" s="105" t="s">
        <v>194</v>
      </c>
    </row>
  </sheetData>
  <pageMargins left="0.7" right="0.7" top="0.75" bottom="0.75" header="0.3" footer="0.3"/>
  <pageSetup orientation="portrait" verticalDpi="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C281"/>
  <sheetViews>
    <sheetView workbookViewId="0"/>
  </sheetViews>
  <sheetFormatPr defaultRowHeight="15" x14ac:dyDescent="0.25"/>
  <cols>
    <col min="2" max="2" width="22.28515625" bestFit="1" customWidth="1"/>
    <col min="3" max="3" width="9.7109375" customWidth="1"/>
  </cols>
  <sheetData>
    <row r="1" spans="1:3" x14ac:dyDescent="0.25">
      <c r="A1" t="s">
        <v>424</v>
      </c>
      <c r="B1" t="str">
        <f t="shared" ref="B1:B30" si="0">MID(A1,6,23)</f>
        <v>2017/02/02 13:23:38.347</v>
      </c>
      <c r="C1" t="e">
        <f>ABS(B1-#REF!)</f>
        <v>#REF!</v>
      </c>
    </row>
    <row r="2" spans="1:3" x14ac:dyDescent="0.25">
      <c r="A2" t="s">
        <v>425</v>
      </c>
      <c r="B2" s="20" t="str">
        <f t="shared" si="0"/>
        <v>2017/02/02 13:23:38.509</v>
      </c>
      <c r="C2">
        <f>ABS(B2-B1)</f>
        <v>1.8749997252598405E-6</v>
      </c>
    </row>
    <row r="3" spans="1:3" x14ac:dyDescent="0.25">
      <c r="A3" t="s">
        <v>426</v>
      </c>
      <c r="B3" s="20" t="str">
        <f t="shared" si="0"/>
        <v>2017/02/02 14:04:28.693</v>
      </c>
      <c r="C3" s="20">
        <f t="shared" ref="C3:C30" si="1">ABS(B3-B2)</f>
        <v>2.8358611110888887E-2</v>
      </c>
    </row>
    <row r="4" spans="1:3" x14ac:dyDescent="0.25">
      <c r="A4" t="s">
        <v>427</v>
      </c>
      <c r="B4" s="20" t="str">
        <f t="shared" si="0"/>
        <v>2017/02/02 14:04:28.994</v>
      </c>
      <c r="C4" s="20">
        <f t="shared" si="1"/>
        <v>3.483793989289552E-6</v>
      </c>
    </row>
    <row r="5" spans="1:3" x14ac:dyDescent="0.25">
      <c r="A5" t="s">
        <v>428</v>
      </c>
      <c r="B5" s="20" t="str">
        <f t="shared" si="0"/>
        <v>2017/02/02 14:04:29.154</v>
      </c>
      <c r="C5" s="20">
        <f t="shared" si="1"/>
        <v>1.851854904089123E-6</v>
      </c>
    </row>
    <row r="6" spans="1:3" x14ac:dyDescent="0.25">
      <c r="A6" t="s">
        <v>429</v>
      </c>
      <c r="B6" s="20" t="str">
        <f t="shared" si="0"/>
        <v>2017/02/02 14:21:42.185</v>
      </c>
      <c r="C6" s="20">
        <f t="shared" si="1"/>
        <v>1.1956377311435062E-2</v>
      </c>
    </row>
    <row r="7" spans="1:3" x14ac:dyDescent="0.25">
      <c r="A7" t="s">
        <v>430</v>
      </c>
      <c r="B7" s="20" t="str">
        <f t="shared" si="0"/>
        <v>2017/02/02 14:21:42.222</v>
      </c>
      <c r="C7" s="20">
        <f t="shared" si="1"/>
        <v>4.282410372979939E-7</v>
      </c>
    </row>
    <row r="8" spans="1:3" x14ac:dyDescent="0.25">
      <c r="A8" t="s">
        <v>431</v>
      </c>
      <c r="B8" s="20" t="str">
        <f t="shared" si="0"/>
        <v>2017/02/02 14:21:42.756</v>
      </c>
      <c r="C8" s="20">
        <f t="shared" si="1"/>
        <v>6.180554919410497E-6</v>
      </c>
    </row>
    <row r="9" spans="1:3" x14ac:dyDescent="0.25">
      <c r="A9" t="s">
        <v>432</v>
      </c>
      <c r="B9" s="20" t="str">
        <f t="shared" si="0"/>
        <v>2017/02/02 14:48:20.986</v>
      </c>
      <c r="C9" s="20">
        <f t="shared" si="1"/>
        <v>1.8498032412026078E-2</v>
      </c>
    </row>
    <row r="10" spans="1:3" x14ac:dyDescent="0.25">
      <c r="A10" t="s">
        <v>433</v>
      </c>
      <c r="B10" s="20" t="str">
        <f t="shared" si="0"/>
        <v>2017/02/02 14:48:21.182</v>
      </c>
      <c r="C10" s="20">
        <f t="shared" si="1"/>
        <v>2.2685198928229511E-6</v>
      </c>
    </row>
    <row r="11" spans="1:3" x14ac:dyDescent="0.25">
      <c r="A11" t="s">
        <v>434</v>
      </c>
      <c r="B11" s="20" t="str">
        <f t="shared" si="0"/>
        <v>2017/02/02 14:48:21.752</v>
      </c>
      <c r="C11" s="20">
        <f t="shared" si="1"/>
        <v>6.597219908144325E-6</v>
      </c>
    </row>
    <row r="12" spans="1:3" x14ac:dyDescent="0.25">
      <c r="A12" t="s">
        <v>435</v>
      </c>
      <c r="B12" s="20" t="str">
        <f t="shared" si="0"/>
        <v>2017/02/02 15:26:15.951</v>
      </c>
      <c r="C12" s="20">
        <f t="shared" si="1"/>
        <v>2.6321747682231944E-2</v>
      </c>
    </row>
    <row r="13" spans="1:3" x14ac:dyDescent="0.25">
      <c r="A13" t="s">
        <v>436</v>
      </c>
      <c r="B13" s="20" t="str">
        <f t="shared" si="0"/>
        <v>2017/02/02 15:26:15.964</v>
      </c>
      <c r="C13" s="20">
        <f t="shared" si="1"/>
        <v>1.5046680346131325E-7</v>
      </c>
    </row>
    <row r="14" spans="1:3" x14ac:dyDescent="0.25">
      <c r="A14" t="s">
        <v>437</v>
      </c>
      <c r="B14" s="20" t="str">
        <f t="shared" si="0"/>
        <v>2017/02/02 15:26:16.086</v>
      </c>
      <c r="C14" s="20">
        <f t="shared" si="1"/>
        <v>1.4120378182269633E-6</v>
      </c>
    </row>
    <row r="15" spans="1:3" x14ac:dyDescent="0.25">
      <c r="A15" t="s">
        <v>438</v>
      </c>
      <c r="B15" s="20" t="str">
        <f t="shared" si="0"/>
        <v>2017/02/02 15:36:15.778</v>
      </c>
      <c r="C15" s="20">
        <f t="shared" si="1"/>
        <v>6.9408796261996031E-3</v>
      </c>
    </row>
    <row r="16" spans="1:3" x14ac:dyDescent="0.25">
      <c r="A16" t="s">
        <v>439</v>
      </c>
      <c r="B16" s="20" t="str">
        <f t="shared" si="0"/>
        <v>2017/02/02 15:36:16.920</v>
      </c>
      <c r="C16" s="20">
        <f t="shared" si="1"/>
        <v>1.3217591913416982E-5</v>
      </c>
    </row>
    <row r="17" spans="1:3" x14ac:dyDescent="0.25">
      <c r="A17" t="s">
        <v>440</v>
      </c>
      <c r="B17" s="20" t="str">
        <f t="shared" si="0"/>
        <v>2017/02/02 15:36:17.400</v>
      </c>
      <c r="C17" s="20">
        <f t="shared" si="1"/>
        <v>5.5555574363097548E-6</v>
      </c>
    </row>
    <row r="18" spans="1:3" x14ac:dyDescent="0.25">
      <c r="A18" t="s">
        <v>441</v>
      </c>
      <c r="B18" s="20" t="str">
        <f t="shared" si="0"/>
        <v>2017/02/02 16:51:30.559</v>
      </c>
      <c r="C18" s="20">
        <f t="shared" si="1"/>
        <v>5.223563657636987E-2</v>
      </c>
    </row>
    <row r="19" spans="1:3" x14ac:dyDescent="0.25">
      <c r="A19" t="s">
        <v>442</v>
      </c>
      <c r="B19" s="20" t="str">
        <f t="shared" si="0"/>
        <v>2017/02/02 16:51:30.912</v>
      </c>
      <c r="C19" s="20">
        <f t="shared" si="1"/>
        <v>4.0856466512195766E-6</v>
      </c>
    </row>
    <row r="20" spans="1:3" x14ac:dyDescent="0.25">
      <c r="A20" t="s">
        <v>443</v>
      </c>
      <c r="B20" s="20" t="str">
        <f t="shared" si="0"/>
        <v>2017/02/02 16:51:31.380</v>
      </c>
      <c r="C20" s="20">
        <f t="shared" si="1"/>
        <v>5.4166666814126074E-6</v>
      </c>
    </row>
    <row r="21" spans="1:3" x14ac:dyDescent="0.25">
      <c r="A21" t="s">
        <v>444</v>
      </c>
      <c r="B21" s="20" t="str">
        <f t="shared" si="0"/>
        <v>2017/02/02 16:52:05.919</v>
      </c>
      <c r="C21" s="20">
        <f t="shared" si="1"/>
        <v>3.9975694380700588E-4</v>
      </c>
    </row>
    <row r="22" spans="1:3" x14ac:dyDescent="0.25">
      <c r="A22" t="s">
        <v>445</v>
      </c>
      <c r="B22" s="20" t="str">
        <f t="shared" si="0"/>
        <v>2017/02/02 16:52:06.371</v>
      </c>
      <c r="C22" s="20">
        <f t="shared" si="1"/>
        <v>5.2314790082164109E-6</v>
      </c>
    </row>
    <row r="23" spans="1:3" x14ac:dyDescent="0.25">
      <c r="A23" t="s">
        <v>446</v>
      </c>
      <c r="B23" s="20" t="str">
        <f t="shared" si="0"/>
        <v>2017/02/02 16:52:08.554</v>
      </c>
      <c r="C23" s="20">
        <f t="shared" si="1"/>
        <v>2.5266206648666412E-5</v>
      </c>
    </row>
    <row r="24" spans="1:3" x14ac:dyDescent="0.25">
      <c r="A24" t="s">
        <v>447</v>
      </c>
      <c r="B24" s="20" t="str">
        <f t="shared" si="0"/>
        <v>2017/02/02 16:55:07.476</v>
      </c>
      <c r="C24" s="20">
        <f t="shared" si="1"/>
        <v>2.0708564770757221E-3</v>
      </c>
    </row>
    <row r="25" spans="1:3" x14ac:dyDescent="0.25">
      <c r="A25" t="s">
        <v>448</v>
      </c>
      <c r="B25" s="20" t="str">
        <f t="shared" si="0"/>
        <v>2017/02/02 16:55:07.641</v>
      </c>
      <c r="C25" s="20">
        <f t="shared" si="1"/>
        <v>1.909727870952338E-6</v>
      </c>
    </row>
    <row r="26" spans="1:3" x14ac:dyDescent="0.25">
      <c r="A26" t="s">
        <v>449</v>
      </c>
      <c r="B26" s="20" t="str">
        <f t="shared" si="0"/>
        <v>2017/02/02 17:23:18.412</v>
      </c>
      <c r="C26" s="20">
        <f t="shared" si="1"/>
        <v>1.9569108793803025E-2</v>
      </c>
    </row>
    <row r="27" spans="1:3" x14ac:dyDescent="0.25">
      <c r="A27" t="s">
        <v>450</v>
      </c>
      <c r="B27" s="20" t="str">
        <f t="shared" si="0"/>
        <v>2017/02/02 17:47:02.206</v>
      </c>
      <c r="C27" s="20">
        <f t="shared" si="1"/>
        <v>1.6479097219416872E-2</v>
      </c>
    </row>
    <row r="28" spans="1:3" x14ac:dyDescent="0.25">
      <c r="A28" t="s">
        <v>451</v>
      </c>
      <c r="B28" s="20" t="str">
        <f t="shared" si="0"/>
        <v>2017/02/02 17:51:41.353</v>
      </c>
      <c r="C28" s="20">
        <f t="shared" si="1"/>
        <v>3.2308680602000095E-3</v>
      </c>
    </row>
    <row r="29" spans="1:3" x14ac:dyDescent="0.25">
      <c r="A29" t="s">
        <v>452</v>
      </c>
      <c r="B29" s="20" t="str">
        <f t="shared" si="0"/>
        <v>2017/02/02 17:52:57.736</v>
      </c>
      <c r="C29" s="20">
        <f t="shared" si="1"/>
        <v>8.8406250142725185E-4</v>
      </c>
    </row>
    <row r="30" spans="1:3" x14ac:dyDescent="0.25">
      <c r="A30" t="s">
        <v>453</v>
      </c>
      <c r="B30" s="20" t="str">
        <f t="shared" si="0"/>
        <v>2017/02/02 17:52:57.779</v>
      </c>
      <c r="C30" s="20">
        <f t="shared" si="1"/>
        <v>4.9768277676776052E-7</v>
      </c>
    </row>
    <row r="31" spans="1:3" x14ac:dyDescent="0.25">
      <c r="A31" t="s">
        <v>454</v>
      </c>
      <c r="B31" s="20" t="str">
        <f t="shared" ref="B31:B32" si="2">MID(A31,6,23)</f>
        <v>2017/02/02 18:17:02.566</v>
      </c>
      <c r="C31" s="20">
        <f t="shared" ref="C31:C32" si="3">ABS(B31-B30)</f>
        <v>1.6722071755793877E-2</v>
      </c>
    </row>
    <row r="32" spans="1:3" x14ac:dyDescent="0.25">
      <c r="A32" t="s">
        <v>455</v>
      </c>
      <c r="B32" s="20" t="str">
        <f t="shared" si="2"/>
        <v>2017/02/02 18:17:03.367</v>
      </c>
      <c r="C32" s="20">
        <f t="shared" si="3"/>
        <v>9.2708360170945525E-6</v>
      </c>
    </row>
    <row r="33" spans="1:3" x14ac:dyDescent="0.25">
      <c r="A33" t="s">
        <v>456</v>
      </c>
      <c r="B33" s="20" t="str">
        <f t="shared" ref="B33:B49" si="4">MID(A33,6,23)</f>
        <v>2017/02/02 18:36:23.340</v>
      </c>
      <c r="C33" s="20">
        <f t="shared" ref="C33:C49" si="5">ABS(B33-B32)</f>
        <v>1.3425613426079508E-2</v>
      </c>
    </row>
    <row r="34" spans="1:3" x14ac:dyDescent="0.25">
      <c r="A34" t="s">
        <v>457</v>
      </c>
      <c r="B34" s="20" t="str">
        <f t="shared" si="4"/>
        <v>2017/02/02 18:36:23.507</v>
      </c>
      <c r="C34" s="20">
        <f t="shared" si="5"/>
        <v>1.9328726921230555E-6</v>
      </c>
    </row>
    <row r="35" spans="1:3" x14ac:dyDescent="0.25">
      <c r="A35" t="s">
        <v>458</v>
      </c>
      <c r="B35" s="20" t="str">
        <f t="shared" si="4"/>
        <v>2017/02/02 18:36:23.897</v>
      </c>
      <c r="C35" s="20">
        <f t="shared" si="5"/>
        <v>4.5138876885175705E-6</v>
      </c>
    </row>
    <row r="36" spans="1:3" x14ac:dyDescent="0.25">
      <c r="A36" t="s">
        <v>459</v>
      </c>
      <c r="B36" s="20" t="str">
        <f t="shared" si="4"/>
        <v>2017/02/02 19:53:50.567</v>
      </c>
      <c r="C36" s="20">
        <f t="shared" si="5"/>
        <v>5.3780902773723938E-2</v>
      </c>
    </row>
    <row r="37" spans="1:3" x14ac:dyDescent="0.25">
      <c r="A37" t="s">
        <v>460</v>
      </c>
      <c r="B37" s="20" t="str">
        <f t="shared" si="4"/>
        <v>2017/02/02 19:53:51.381</v>
      </c>
      <c r="C37" s="20">
        <f t="shared" si="5"/>
        <v>9.4212955445982516E-6</v>
      </c>
    </row>
    <row r="38" spans="1:3" x14ac:dyDescent="0.25">
      <c r="A38" t="s">
        <v>461</v>
      </c>
      <c r="B38" s="20" t="str">
        <f t="shared" si="4"/>
        <v>2017/02/02 19:54:47.379</v>
      </c>
      <c r="C38" s="20">
        <f t="shared" si="5"/>
        <v>6.4812500204425305E-4</v>
      </c>
    </row>
    <row r="39" spans="1:3" x14ac:dyDescent="0.25">
      <c r="A39" t="s">
        <v>462</v>
      </c>
      <c r="B39" s="20" t="str">
        <f t="shared" si="4"/>
        <v>2017/02/02 20:35:40.453</v>
      </c>
      <c r="C39" s="20">
        <f t="shared" si="5"/>
        <v>2.8392060186888557E-2</v>
      </c>
    </row>
    <row r="40" spans="1:3" x14ac:dyDescent="0.25">
      <c r="A40" t="s">
        <v>463</v>
      </c>
      <c r="B40" s="20" t="str">
        <f t="shared" si="4"/>
        <v>2017/02/02 22:43:32.781</v>
      </c>
      <c r="C40" s="20">
        <f t="shared" si="5"/>
        <v>8.8800092591554858E-2</v>
      </c>
    </row>
    <row r="41" spans="1:3" x14ac:dyDescent="0.25">
      <c r="A41" t="s">
        <v>464</v>
      </c>
      <c r="B41" s="20" t="str">
        <f t="shared" si="4"/>
        <v>2017/02/02 22:43:34.398</v>
      </c>
      <c r="C41" s="20">
        <f t="shared" si="5"/>
        <v>1.8715276382863522E-5</v>
      </c>
    </row>
    <row r="42" spans="1:3" x14ac:dyDescent="0.25">
      <c r="A42" t="s">
        <v>465</v>
      </c>
      <c r="B42" s="20" t="str">
        <f t="shared" si="4"/>
        <v>2017/02/03 00:27:13.281</v>
      </c>
      <c r="C42" s="20">
        <f t="shared" si="5"/>
        <v>7.1977812505792826E-2</v>
      </c>
    </row>
    <row r="43" spans="1:3" x14ac:dyDescent="0.25">
      <c r="A43" t="s">
        <v>466</v>
      </c>
      <c r="B43" s="20" t="str">
        <f t="shared" si="4"/>
        <v>2017/02/03 00:27:13.461</v>
      </c>
      <c r="C43" s="20">
        <f t="shared" si="5"/>
        <v>2.0833322196267545E-6</v>
      </c>
    </row>
    <row r="44" spans="1:3" x14ac:dyDescent="0.25">
      <c r="A44" t="s">
        <v>467</v>
      </c>
      <c r="B44" s="20" t="str">
        <f t="shared" si="4"/>
        <v>2017/02/03 00:27:14.083</v>
      </c>
      <c r="C44" s="20">
        <f t="shared" si="5"/>
        <v>7.1990725700743496E-6</v>
      </c>
    </row>
    <row r="45" spans="1:3" x14ac:dyDescent="0.25">
      <c r="A45" t="s">
        <v>468</v>
      </c>
      <c r="B45" s="20" t="str">
        <f t="shared" si="4"/>
        <v>2017/02/03 01:27:26.085</v>
      </c>
      <c r="C45" s="20">
        <f t="shared" si="5"/>
        <v>4.1805578701314516E-2</v>
      </c>
    </row>
    <row r="46" spans="1:3" x14ac:dyDescent="0.25">
      <c r="A46" t="s">
        <v>469</v>
      </c>
      <c r="B46" s="20" t="str">
        <f t="shared" si="4"/>
        <v>2017/02/03 01:27:26.460</v>
      </c>
      <c r="C46" s="20">
        <f t="shared" si="5"/>
        <v>4.3402760638855398E-6</v>
      </c>
    </row>
    <row r="47" spans="1:3" x14ac:dyDescent="0.25">
      <c r="A47" t="s">
        <v>470</v>
      </c>
      <c r="B47" s="20" t="str">
        <f t="shared" si="4"/>
        <v>2017/02/03 01:27:27.274</v>
      </c>
      <c r="C47" s="20">
        <f t="shared" si="5"/>
        <v>9.4213028205558658E-6</v>
      </c>
    </row>
    <row r="48" spans="1:3" x14ac:dyDescent="0.25">
      <c r="A48" t="s">
        <v>471</v>
      </c>
      <c r="B48" s="20" t="str">
        <f t="shared" si="4"/>
        <v>2017/02/03 01:36:14.411</v>
      </c>
      <c r="C48" s="20">
        <f t="shared" si="5"/>
        <v>6.1011226789560169E-3</v>
      </c>
    </row>
    <row r="49" spans="1:3" x14ac:dyDescent="0.25">
      <c r="A49" t="s">
        <v>472</v>
      </c>
      <c r="B49" s="20" t="str">
        <f t="shared" si="4"/>
        <v>2017/02/03 01:36:14.993</v>
      </c>
      <c r="C49" s="20">
        <f t="shared" si="5"/>
        <v>6.7361106630414724E-6</v>
      </c>
    </row>
    <row r="50" spans="1:3" x14ac:dyDescent="0.25">
      <c r="A50" t="s">
        <v>473</v>
      </c>
      <c r="B50" s="20" t="str">
        <f t="shared" ref="B50:B54" si="6">MID(A50,6,23)</f>
        <v>2017/02/03 01:36:15.019</v>
      </c>
      <c r="C50" s="20">
        <f t="shared" ref="C50:C54" si="7">ABS(B50-B49)</f>
        <v>3.0092633096501231E-7</v>
      </c>
    </row>
    <row r="51" spans="1:3" x14ac:dyDescent="0.25">
      <c r="A51" t="s">
        <v>474</v>
      </c>
      <c r="B51" s="20" t="str">
        <f t="shared" si="6"/>
        <v>2017/02/03 02:28:20.686</v>
      </c>
      <c r="C51" s="20">
        <f t="shared" si="7"/>
        <v>3.6176701389194932E-2</v>
      </c>
    </row>
    <row r="52" spans="1:3" x14ac:dyDescent="0.25">
      <c r="A52" t="s">
        <v>475</v>
      </c>
      <c r="B52" s="20" t="str">
        <f t="shared" si="6"/>
        <v>2017/02/03 02:28:21.331</v>
      </c>
      <c r="C52" s="20">
        <f t="shared" si="7"/>
        <v>7.4652780313044786E-6</v>
      </c>
    </row>
    <row r="53" spans="1:3" x14ac:dyDescent="0.25">
      <c r="A53" t="s">
        <v>476</v>
      </c>
      <c r="B53" s="20" t="str">
        <f t="shared" si="6"/>
        <v>2017/02/03 02:28:21.373</v>
      </c>
      <c r="C53" s="20">
        <f t="shared" si="7"/>
        <v>4.8611400416120887E-7</v>
      </c>
    </row>
    <row r="54" spans="1:3" x14ac:dyDescent="0.25">
      <c r="A54" t="s">
        <v>477</v>
      </c>
      <c r="B54" s="20" t="str">
        <f t="shared" si="6"/>
        <v>2017/02/03 02:35:37.922</v>
      </c>
      <c r="C54" s="20">
        <f t="shared" si="7"/>
        <v>5.0526504637673497E-3</v>
      </c>
    </row>
    <row r="55" spans="1:3" x14ac:dyDescent="0.25">
      <c r="A55" t="s">
        <v>478</v>
      </c>
      <c r="B55" s="20" t="str">
        <f t="shared" ref="B55:B74" si="8">MID(A55,6,23)</f>
        <v>2017/02/03 02:35:37.943</v>
      </c>
      <c r="C55" s="20">
        <f t="shared" ref="C55:C74" si="9">ABS(B55-B54)</f>
        <v>2.4305336410179734E-7</v>
      </c>
    </row>
    <row r="56" spans="1:3" x14ac:dyDescent="0.25">
      <c r="A56" t="s">
        <v>479</v>
      </c>
      <c r="B56" s="20" t="str">
        <f t="shared" si="8"/>
        <v>2017/02/03 03:08:06.796</v>
      </c>
      <c r="C56" s="20">
        <f t="shared" si="9"/>
        <v>2.2556168980372604E-2</v>
      </c>
    </row>
    <row r="57" spans="1:3" x14ac:dyDescent="0.25">
      <c r="A57" t="s">
        <v>480</v>
      </c>
      <c r="B57" s="20" t="str">
        <f t="shared" si="8"/>
        <v>2017/02/03 03:08:06.975</v>
      </c>
      <c r="C57" s="20">
        <f t="shared" si="9"/>
        <v>2.0717634470202029E-6</v>
      </c>
    </row>
    <row r="58" spans="1:3" x14ac:dyDescent="0.25">
      <c r="A58" t="s">
        <v>481</v>
      </c>
      <c r="B58" s="20" t="str">
        <f t="shared" si="8"/>
        <v>2017/02/03 03:08:07.140</v>
      </c>
      <c r="C58" s="20">
        <f t="shared" si="9"/>
        <v>1.9097205949947238E-6</v>
      </c>
    </row>
    <row r="59" spans="1:3" x14ac:dyDescent="0.25">
      <c r="A59" t="s">
        <v>482</v>
      </c>
      <c r="B59" s="20" t="str">
        <f t="shared" si="8"/>
        <v>2017/02/03 03:36:46.408</v>
      </c>
      <c r="C59" s="20">
        <f t="shared" si="9"/>
        <v>1.9898935184755828E-2</v>
      </c>
    </row>
    <row r="60" spans="1:3" x14ac:dyDescent="0.25">
      <c r="A60" t="s">
        <v>483</v>
      </c>
      <c r="B60" s="20" t="str">
        <f t="shared" si="8"/>
        <v>2017/02/03 03:36:46.999</v>
      </c>
      <c r="C60" s="20">
        <f t="shared" si="9"/>
        <v>6.8402805482037365E-6</v>
      </c>
    </row>
    <row r="61" spans="1:3" x14ac:dyDescent="0.25">
      <c r="A61" t="s">
        <v>484</v>
      </c>
      <c r="B61" s="20" t="str">
        <f t="shared" si="8"/>
        <v>2017/02/03 03:36:47.034</v>
      </c>
      <c r="C61" s="20">
        <f t="shared" si="9"/>
        <v>4.0508894016966224E-7</v>
      </c>
    </row>
    <row r="62" spans="1:3" x14ac:dyDescent="0.25">
      <c r="A62" t="s">
        <v>485</v>
      </c>
      <c r="B62" s="20" t="str">
        <f t="shared" si="8"/>
        <v>2017/02/03 04:55:49.662</v>
      </c>
      <c r="C62" s="20">
        <f t="shared" si="9"/>
        <v>5.4891527775907889E-2</v>
      </c>
    </row>
    <row r="63" spans="1:3" x14ac:dyDescent="0.25">
      <c r="A63" t="s">
        <v>486</v>
      </c>
      <c r="B63" s="20" t="str">
        <f t="shared" si="8"/>
        <v>2017/02/03 04:55:50.376</v>
      </c>
      <c r="C63" s="20">
        <f t="shared" si="9"/>
        <v>8.2638944149948657E-6</v>
      </c>
    </row>
    <row r="64" spans="1:3" x14ac:dyDescent="0.25">
      <c r="A64" t="s">
        <v>487</v>
      </c>
      <c r="B64" s="20" t="str">
        <f t="shared" si="8"/>
        <v>2017/02/03 05:03:14.671</v>
      </c>
      <c r="C64" s="20">
        <f t="shared" si="9"/>
        <v>5.1423032346065156E-3</v>
      </c>
    </row>
    <row r="65" spans="1:3" x14ac:dyDescent="0.25">
      <c r="A65" t="s">
        <v>488</v>
      </c>
      <c r="B65" s="20" t="str">
        <f t="shared" si="8"/>
        <v>2017/02/03 05:03:16.315</v>
      </c>
      <c r="C65" s="20">
        <f t="shared" si="9"/>
        <v>1.90277787623927E-5</v>
      </c>
    </row>
    <row r="66" spans="1:3" x14ac:dyDescent="0.25">
      <c r="A66" t="s">
        <v>489</v>
      </c>
      <c r="B66" s="20" t="str">
        <f t="shared" si="8"/>
        <v>2017/02/03 05:03:16.362</v>
      </c>
      <c r="C66" s="20">
        <f t="shared" si="9"/>
        <v>5.4398697102442384E-7</v>
      </c>
    </row>
    <row r="67" spans="1:3" x14ac:dyDescent="0.25">
      <c r="A67" t="s">
        <v>490</v>
      </c>
      <c r="B67" s="20" t="str">
        <f t="shared" si="8"/>
        <v>2017/02/03 06:51:53.709</v>
      </c>
      <c r="C67" s="20">
        <f t="shared" si="9"/>
        <v>7.5432256940985098E-2</v>
      </c>
    </row>
    <row r="68" spans="1:3" x14ac:dyDescent="0.25">
      <c r="A68" t="s">
        <v>491</v>
      </c>
      <c r="B68" s="20" t="str">
        <f t="shared" si="8"/>
        <v>2017/02/03 07:03:32.365</v>
      </c>
      <c r="C68" s="20">
        <f t="shared" si="9"/>
        <v>8.0862962931860238E-3</v>
      </c>
    </row>
    <row r="69" spans="1:3" x14ac:dyDescent="0.25">
      <c r="A69" t="s">
        <v>492</v>
      </c>
      <c r="B69" s="20" t="str">
        <f t="shared" si="8"/>
        <v>2017/02/03 07:03:32.827</v>
      </c>
      <c r="C69" s="20">
        <f t="shared" si="9"/>
        <v>5.3472249419428408E-6</v>
      </c>
    </row>
    <row r="70" spans="1:3" x14ac:dyDescent="0.25">
      <c r="A70" t="s">
        <v>493</v>
      </c>
      <c r="B70" s="20" t="str">
        <f t="shared" si="8"/>
        <v>2017/02/03 08:03:54.498</v>
      </c>
      <c r="C70" s="20">
        <f t="shared" si="9"/>
        <v>4.1917488430044614E-2</v>
      </c>
    </row>
    <row r="71" spans="1:3" x14ac:dyDescent="0.25">
      <c r="A71" t="s">
        <v>494</v>
      </c>
      <c r="B71" s="20" t="str">
        <f t="shared" si="8"/>
        <v>2017/02/03 08:03:54.854</v>
      </c>
      <c r="C71" s="20">
        <f t="shared" si="9"/>
        <v>4.1203675209544599E-6</v>
      </c>
    </row>
    <row r="72" spans="1:3" x14ac:dyDescent="0.25">
      <c r="A72" t="s">
        <v>495</v>
      </c>
      <c r="B72" s="20" t="str">
        <f t="shared" si="8"/>
        <v>2017/02/03 08:04:07.975</v>
      </c>
      <c r="C72" s="20">
        <f t="shared" si="9"/>
        <v>1.5186342352535576E-4</v>
      </c>
    </row>
    <row r="73" spans="1:3" x14ac:dyDescent="0.25">
      <c r="A73" t="s">
        <v>496</v>
      </c>
      <c r="B73" s="20" t="str">
        <f t="shared" si="8"/>
        <v>2017/02/03 08:04:08.013</v>
      </c>
      <c r="C73" s="20">
        <f t="shared" si="9"/>
        <v>4.3981708586215973E-7</v>
      </c>
    </row>
    <row r="74" spans="1:3" x14ac:dyDescent="0.25">
      <c r="A74" t="s">
        <v>497</v>
      </c>
      <c r="B74" s="20" t="str">
        <f t="shared" si="8"/>
        <v>2017/02/03 08:04:08.394</v>
      </c>
      <c r="C74" s="20">
        <f t="shared" si="9"/>
        <v>4.4097250793129206E-6</v>
      </c>
    </row>
    <row r="75" spans="1:3" x14ac:dyDescent="0.25">
      <c r="B75" s="20"/>
      <c r="C75" s="20"/>
    </row>
    <row r="76" spans="1:3" x14ac:dyDescent="0.25">
      <c r="B76" s="20"/>
      <c r="C76" s="20"/>
    </row>
    <row r="77" spans="1:3" x14ac:dyDescent="0.25">
      <c r="B77" s="20"/>
      <c r="C77" s="20"/>
    </row>
    <row r="78" spans="1:3" x14ac:dyDescent="0.25">
      <c r="B78" s="20"/>
      <c r="C78" s="20"/>
    </row>
    <row r="79" spans="1:3" x14ac:dyDescent="0.25">
      <c r="B79" s="20"/>
      <c r="C79" s="20"/>
    </row>
    <row r="80" spans="1:3" x14ac:dyDescent="0.25">
      <c r="B80" s="20"/>
      <c r="C80" s="20"/>
    </row>
    <row r="81" spans="2:3" x14ac:dyDescent="0.25">
      <c r="B81" s="20"/>
      <c r="C81" s="20"/>
    </row>
    <row r="82" spans="2:3" x14ac:dyDescent="0.25">
      <c r="B82" s="20"/>
      <c r="C82" s="20"/>
    </row>
    <row r="83" spans="2:3" x14ac:dyDescent="0.25">
      <c r="B83" s="20"/>
      <c r="C83" s="20"/>
    </row>
    <row r="84" spans="2:3" x14ac:dyDescent="0.25">
      <c r="B84" s="20"/>
      <c r="C84" s="20"/>
    </row>
    <row r="85" spans="2:3" x14ac:dyDescent="0.25">
      <c r="B85" s="20"/>
      <c r="C85" s="20"/>
    </row>
    <row r="86" spans="2:3" x14ac:dyDescent="0.25">
      <c r="B86" s="20"/>
      <c r="C86" s="20"/>
    </row>
    <row r="87" spans="2:3" x14ac:dyDescent="0.25">
      <c r="B87" s="20"/>
      <c r="C87" s="20"/>
    </row>
    <row r="88" spans="2:3" x14ac:dyDescent="0.25">
      <c r="B88" s="20"/>
      <c r="C88" s="20"/>
    </row>
    <row r="89" spans="2:3" x14ac:dyDescent="0.25">
      <c r="B89" s="20"/>
      <c r="C89" s="20"/>
    </row>
    <row r="90" spans="2:3" x14ac:dyDescent="0.25">
      <c r="B90" s="20"/>
      <c r="C90" s="20"/>
    </row>
    <row r="91" spans="2:3" x14ac:dyDescent="0.25">
      <c r="B91" s="20"/>
      <c r="C91" s="20"/>
    </row>
    <row r="92" spans="2:3" x14ac:dyDescent="0.25">
      <c r="B92" s="20"/>
      <c r="C92" s="20"/>
    </row>
    <row r="93" spans="2:3" x14ac:dyDescent="0.25">
      <c r="B93" s="20"/>
      <c r="C93" s="20"/>
    </row>
    <row r="94" spans="2:3" x14ac:dyDescent="0.25">
      <c r="B94" s="20"/>
      <c r="C94" s="20"/>
    </row>
    <row r="95" spans="2:3" x14ac:dyDescent="0.25">
      <c r="B95" s="20"/>
      <c r="C95" s="20"/>
    </row>
    <row r="96" spans="2:3" x14ac:dyDescent="0.25">
      <c r="B96" s="20"/>
      <c r="C96" s="20"/>
    </row>
    <row r="97" spans="2:3" x14ac:dyDescent="0.25">
      <c r="B97" s="20"/>
      <c r="C97" s="20"/>
    </row>
    <row r="98" spans="2:3" x14ac:dyDescent="0.25">
      <c r="B98" s="20"/>
      <c r="C98" s="20"/>
    </row>
    <row r="99" spans="2:3" x14ac:dyDescent="0.25">
      <c r="B99" s="20"/>
      <c r="C99" s="20"/>
    </row>
    <row r="100" spans="2:3" x14ac:dyDescent="0.25">
      <c r="B100" s="20"/>
      <c r="C100" s="20"/>
    </row>
    <row r="101" spans="2:3" x14ac:dyDescent="0.25">
      <c r="B101" s="20"/>
      <c r="C101" s="20"/>
    </row>
    <row r="102" spans="2:3" x14ac:dyDescent="0.25">
      <c r="B102" s="20"/>
      <c r="C102" s="20"/>
    </row>
    <row r="103" spans="2:3" x14ac:dyDescent="0.25">
      <c r="B103" s="20"/>
      <c r="C103" s="20"/>
    </row>
    <row r="104" spans="2:3" x14ac:dyDescent="0.25">
      <c r="B104" s="20"/>
      <c r="C104" s="20"/>
    </row>
    <row r="105" spans="2:3" x14ac:dyDescent="0.25">
      <c r="B105" s="20"/>
      <c r="C105" s="20"/>
    </row>
    <row r="106" spans="2:3" x14ac:dyDescent="0.25">
      <c r="B106" s="20"/>
      <c r="C106" s="20"/>
    </row>
    <row r="107" spans="2:3" x14ac:dyDescent="0.25">
      <c r="B107" s="20"/>
      <c r="C107" s="20"/>
    </row>
    <row r="108" spans="2:3" x14ac:dyDescent="0.25">
      <c r="B108" s="20"/>
      <c r="C108" s="20"/>
    </row>
    <row r="109" spans="2:3" x14ac:dyDescent="0.25">
      <c r="B109" s="20"/>
      <c r="C109" s="20"/>
    </row>
    <row r="110" spans="2:3" x14ac:dyDescent="0.25">
      <c r="B110" s="20"/>
      <c r="C110" s="20"/>
    </row>
    <row r="111" spans="2:3" x14ac:dyDescent="0.25">
      <c r="B111" s="20"/>
      <c r="C111" s="20"/>
    </row>
    <row r="112" spans="2:3" x14ac:dyDescent="0.25">
      <c r="B112" s="20"/>
      <c r="C112" s="20"/>
    </row>
    <row r="113" spans="2:3" x14ac:dyDescent="0.25">
      <c r="B113" s="20"/>
      <c r="C113" s="20"/>
    </row>
    <row r="114" spans="2:3" x14ac:dyDescent="0.25">
      <c r="B114" s="20"/>
      <c r="C114" s="20"/>
    </row>
    <row r="115" spans="2:3" x14ac:dyDescent="0.25">
      <c r="B115" s="20"/>
      <c r="C115" s="20"/>
    </row>
    <row r="116" spans="2:3" x14ac:dyDescent="0.25">
      <c r="B116" s="20"/>
      <c r="C116" s="20"/>
    </row>
    <row r="117" spans="2:3" x14ac:dyDescent="0.25">
      <c r="B117" s="20"/>
      <c r="C117" s="20"/>
    </row>
    <row r="118" spans="2:3" x14ac:dyDescent="0.25">
      <c r="B118" s="20"/>
      <c r="C118" s="20"/>
    </row>
    <row r="119" spans="2:3" x14ac:dyDescent="0.25">
      <c r="B119" s="20"/>
      <c r="C119" s="20"/>
    </row>
    <row r="120" spans="2:3" x14ac:dyDescent="0.25">
      <c r="B120" s="20"/>
      <c r="C120" s="20"/>
    </row>
    <row r="121" spans="2:3" x14ac:dyDescent="0.25">
      <c r="B121" s="20"/>
      <c r="C121" s="20"/>
    </row>
    <row r="122" spans="2:3" x14ac:dyDescent="0.25">
      <c r="B122" s="20"/>
      <c r="C122" s="20"/>
    </row>
    <row r="123" spans="2:3" x14ac:dyDescent="0.25">
      <c r="B123" s="20"/>
      <c r="C123" s="20"/>
    </row>
    <row r="124" spans="2:3" x14ac:dyDescent="0.25">
      <c r="B124" s="20"/>
      <c r="C124" s="20"/>
    </row>
    <row r="125" spans="2:3" x14ac:dyDescent="0.25">
      <c r="B125" s="20"/>
      <c r="C125" s="20"/>
    </row>
    <row r="126" spans="2:3" x14ac:dyDescent="0.25">
      <c r="B126" s="20"/>
      <c r="C126" s="20"/>
    </row>
    <row r="127" spans="2:3" x14ac:dyDescent="0.25">
      <c r="B127" s="20"/>
      <c r="C127" s="20"/>
    </row>
    <row r="128" spans="2:3" x14ac:dyDescent="0.25">
      <c r="B128" s="20"/>
      <c r="C128" s="20"/>
    </row>
    <row r="129" spans="2:3" x14ac:dyDescent="0.25">
      <c r="B129" s="20"/>
      <c r="C129" s="20"/>
    </row>
    <row r="130" spans="2:3" x14ac:dyDescent="0.25">
      <c r="B130" s="20"/>
      <c r="C130" s="20"/>
    </row>
    <row r="131" spans="2:3" x14ac:dyDescent="0.25">
      <c r="B131" s="20"/>
      <c r="C131" s="20"/>
    </row>
    <row r="132" spans="2:3" x14ac:dyDescent="0.25">
      <c r="B132" s="20"/>
      <c r="C132" s="20"/>
    </row>
    <row r="133" spans="2:3" x14ac:dyDescent="0.25">
      <c r="B133" s="20"/>
      <c r="C133" s="20"/>
    </row>
    <row r="134" spans="2:3" x14ac:dyDescent="0.25">
      <c r="B134" s="20"/>
      <c r="C134" s="20"/>
    </row>
    <row r="135" spans="2:3" x14ac:dyDescent="0.25">
      <c r="B135" s="20"/>
      <c r="C135" s="20"/>
    </row>
    <row r="136" spans="2:3" x14ac:dyDescent="0.25">
      <c r="B136" s="20"/>
      <c r="C136" s="20"/>
    </row>
    <row r="137" spans="2:3" x14ac:dyDescent="0.25">
      <c r="B137" s="20"/>
      <c r="C137" s="20"/>
    </row>
    <row r="138" spans="2:3" x14ac:dyDescent="0.25">
      <c r="B138" s="20"/>
      <c r="C138" s="20"/>
    </row>
    <row r="139" spans="2:3" x14ac:dyDescent="0.25">
      <c r="B139" s="20"/>
      <c r="C139" s="20"/>
    </row>
    <row r="140" spans="2:3" x14ac:dyDescent="0.25">
      <c r="B140" s="20"/>
      <c r="C140" s="20"/>
    </row>
    <row r="141" spans="2:3" x14ac:dyDescent="0.25">
      <c r="B141" s="20"/>
      <c r="C141" s="20"/>
    </row>
    <row r="142" spans="2:3" x14ac:dyDescent="0.25">
      <c r="B142" s="20"/>
      <c r="C142" s="20"/>
    </row>
    <row r="143" spans="2:3" x14ac:dyDescent="0.25">
      <c r="B143" s="20"/>
      <c r="C143" s="20"/>
    </row>
    <row r="144" spans="2:3" x14ac:dyDescent="0.25">
      <c r="B144" s="20"/>
      <c r="C144" s="20"/>
    </row>
    <row r="145" spans="2:3" x14ac:dyDescent="0.25">
      <c r="B145" s="20"/>
      <c r="C145" s="20"/>
    </row>
    <row r="146" spans="2:3" x14ac:dyDescent="0.25">
      <c r="B146" s="20"/>
      <c r="C146" s="20"/>
    </row>
    <row r="147" spans="2:3" x14ac:dyDescent="0.25">
      <c r="B147" s="20"/>
      <c r="C147" s="20"/>
    </row>
    <row r="148" spans="2:3" x14ac:dyDescent="0.25">
      <c r="B148" s="20"/>
      <c r="C148" s="20"/>
    </row>
    <row r="149" spans="2:3" x14ac:dyDescent="0.25">
      <c r="B149" s="20"/>
      <c r="C149" s="20"/>
    </row>
    <row r="150" spans="2:3" x14ac:dyDescent="0.25">
      <c r="B150" s="20"/>
      <c r="C150" s="20"/>
    </row>
    <row r="151" spans="2:3" x14ac:dyDescent="0.25">
      <c r="B151" s="20"/>
      <c r="C151" s="20"/>
    </row>
    <row r="152" spans="2:3" x14ac:dyDescent="0.25">
      <c r="B152" s="20"/>
      <c r="C152" s="20"/>
    </row>
    <row r="153" spans="2:3" x14ac:dyDescent="0.25">
      <c r="B153" s="20"/>
      <c r="C153" s="20"/>
    </row>
    <row r="154" spans="2:3" x14ac:dyDescent="0.25">
      <c r="B154" s="20"/>
      <c r="C154" s="20"/>
    </row>
    <row r="155" spans="2:3" x14ac:dyDescent="0.25">
      <c r="B155" s="20"/>
      <c r="C155" s="20"/>
    </row>
    <row r="156" spans="2:3" x14ac:dyDescent="0.25">
      <c r="B156" s="20"/>
      <c r="C156" s="20"/>
    </row>
    <row r="157" spans="2:3" x14ac:dyDescent="0.25">
      <c r="B157" s="20"/>
      <c r="C157" s="20"/>
    </row>
    <row r="158" spans="2:3" x14ac:dyDescent="0.25">
      <c r="B158" s="20"/>
      <c r="C158" s="20"/>
    </row>
    <row r="159" spans="2:3" x14ac:dyDescent="0.25">
      <c r="B159" s="20"/>
      <c r="C159" s="20"/>
    </row>
    <row r="160" spans="2:3" x14ac:dyDescent="0.25">
      <c r="B160" s="20"/>
      <c r="C160" s="20"/>
    </row>
    <row r="161" spans="2:3" x14ac:dyDescent="0.25">
      <c r="B161" s="20"/>
      <c r="C161" s="20"/>
    </row>
    <row r="162" spans="2:3" x14ac:dyDescent="0.25">
      <c r="B162" s="20"/>
      <c r="C162" s="20"/>
    </row>
    <row r="163" spans="2:3" x14ac:dyDescent="0.25">
      <c r="B163" s="20"/>
      <c r="C163" s="20"/>
    </row>
    <row r="164" spans="2:3" x14ac:dyDescent="0.25">
      <c r="B164" s="20"/>
      <c r="C164" s="20"/>
    </row>
    <row r="165" spans="2:3" x14ac:dyDescent="0.25">
      <c r="B165" s="20"/>
      <c r="C165" s="20"/>
    </row>
    <row r="166" spans="2:3" x14ac:dyDescent="0.25">
      <c r="B166" s="20"/>
      <c r="C166" s="20"/>
    </row>
    <row r="167" spans="2:3" x14ac:dyDescent="0.25">
      <c r="B167" s="20"/>
      <c r="C167" s="20"/>
    </row>
    <row r="168" spans="2:3" x14ac:dyDescent="0.25">
      <c r="B168" s="20"/>
      <c r="C168" s="20"/>
    </row>
    <row r="169" spans="2:3" x14ac:dyDescent="0.25">
      <c r="B169" s="20"/>
      <c r="C169" s="20"/>
    </row>
    <row r="170" spans="2:3" x14ac:dyDescent="0.25">
      <c r="B170" s="20"/>
      <c r="C170" s="20"/>
    </row>
    <row r="171" spans="2:3" x14ac:dyDescent="0.25">
      <c r="B171" s="20"/>
      <c r="C171" s="20"/>
    </row>
    <row r="172" spans="2:3" x14ac:dyDescent="0.25">
      <c r="B172" s="20"/>
      <c r="C172" s="20"/>
    </row>
    <row r="173" spans="2:3" x14ac:dyDescent="0.25">
      <c r="B173" s="20"/>
      <c r="C173" s="20"/>
    </row>
    <row r="174" spans="2:3" x14ac:dyDescent="0.25">
      <c r="B174" s="20"/>
      <c r="C174" s="20"/>
    </row>
    <row r="175" spans="2:3" x14ac:dyDescent="0.25">
      <c r="B175" s="20"/>
      <c r="C175" s="20"/>
    </row>
    <row r="176" spans="2:3" x14ac:dyDescent="0.25">
      <c r="B176" s="20"/>
      <c r="C176" s="20"/>
    </row>
    <row r="177" spans="2:3" x14ac:dyDescent="0.25">
      <c r="B177" s="20"/>
      <c r="C177" s="20"/>
    </row>
    <row r="178" spans="2:3" x14ac:dyDescent="0.25">
      <c r="B178" s="20"/>
      <c r="C178" s="20"/>
    </row>
    <row r="179" spans="2:3" x14ac:dyDescent="0.25">
      <c r="B179" s="20"/>
      <c r="C179" s="20"/>
    </row>
    <row r="180" spans="2:3" x14ac:dyDescent="0.25">
      <c r="B180" s="20"/>
      <c r="C180" s="20"/>
    </row>
    <row r="181" spans="2:3" x14ac:dyDescent="0.25">
      <c r="B181" s="20"/>
      <c r="C181" s="20"/>
    </row>
    <row r="182" spans="2:3" x14ac:dyDescent="0.25">
      <c r="B182" s="20"/>
      <c r="C182" s="20"/>
    </row>
    <row r="183" spans="2:3" x14ac:dyDescent="0.25">
      <c r="B183" s="20"/>
      <c r="C183" s="20"/>
    </row>
    <row r="184" spans="2:3" x14ac:dyDescent="0.25">
      <c r="B184" s="20"/>
      <c r="C184" s="20"/>
    </row>
    <row r="185" spans="2:3" x14ac:dyDescent="0.25">
      <c r="B185" s="20"/>
      <c r="C185" s="20"/>
    </row>
    <row r="186" spans="2:3" x14ac:dyDescent="0.25">
      <c r="B186" s="20"/>
      <c r="C186" s="20"/>
    </row>
    <row r="187" spans="2:3" x14ac:dyDescent="0.25">
      <c r="B187" s="20"/>
      <c r="C187" s="20"/>
    </row>
    <row r="188" spans="2:3" x14ac:dyDescent="0.25">
      <c r="B188" s="20"/>
      <c r="C188" s="20"/>
    </row>
    <row r="189" spans="2:3" x14ac:dyDescent="0.25">
      <c r="B189" s="20"/>
      <c r="C189" s="20"/>
    </row>
    <row r="190" spans="2:3" x14ac:dyDescent="0.25">
      <c r="B190" s="20"/>
      <c r="C190" s="20"/>
    </row>
    <row r="191" spans="2:3" x14ac:dyDescent="0.25">
      <c r="B191" s="20"/>
      <c r="C191" s="20"/>
    </row>
    <row r="192" spans="2:3" x14ac:dyDescent="0.25">
      <c r="B192" s="20"/>
      <c r="C192" s="20"/>
    </row>
    <row r="193" spans="2:3" x14ac:dyDescent="0.25">
      <c r="B193" s="20"/>
      <c r="C193" s="20"/>
    </row>
    <row r="194" spans="2:3" x14ac:dyDescent="0.25">
      <c r="B194" s="20"/>
      <c r="C194" s="20"/>
    </row>
    <row r="195" spans="2:3" x14ac:dyDescent="0.25">
      <c r="B195" s="20"/>
      <c r="C195" s="20"/>
    </row>
    <row r="196" spans="2:3" x14ac:dyDescent="0.25">
      <c r="B196" s="20"/>
      <c r="C196" s="20"/>
    </row>
    <row r="197" spans="2:3" x14ac:dyDescent="0.25">
      <c r="B197" s="20"/>
      <c r="C197" s="20"/>
    </row>
    <row r="198" spans="2:3" x14ac:dyDescent="0.25">
      <c r="B198" s="20"/>
      <c r="C198" s="20"/>
    </row>
    <row r="199" spans="2:3" x14ac:dyDescent="0.25">
      <c r="B199" s="20"/>
      <c r="C199" s="20"/>
    </row>
    <row r="200" spans="2:3" x14ac:dyDescent="0.25">
      <c r="B200" s="20"/>
      <c r="C200" s="20"/>
    </row>
    <row r="201" spans="2:3" x14ac:dyDescent="0.25">
      <c r="B201" s="20"/>
      <c r="C201" s="20"/>
    </row>
    <row r="202" spans="2:3" x14ac:dyDescent="0.25">
      <c r="B202" s="20"/>
      <c r="C202" s="20"/>
    </row>
    <row r="203" spans="2:3" x14ac:dyDescent="0.25">
      <c r="B203" s="20"/>
      <c r="C203" s="20"/>
    </row>
    <row r="204" spans="2:3" x14ac:dyDescent="0.25">
      <c r="B204" s="20"/>
      <c r="C204" s="20"/>
    </row>
    <row r="205" spans="2:3" x14ac:dyDescent="0.25">
      <c r="B205" s="20"/>
      <c r="C205" s="20"/>
    </row>
    <row r="206" spans="2:3" x14ac:dyDescent="0.25">
      <c r="B206" s="20"/>
      <c r="C206" s="20"/>
    </row>
    <row r="207" spans="2:3" x14ac:dyDescent="0.25">
      <c r="B207" s="20"/>
      <c r="C207" s="20"/>
    </row>
    <row r="208" spans="2:3" x14ac:dyDescent="0.25">
      <c r="B208" s="20"/>
      <c r="C208" s="20"/>
    </row>
    <row r="209" spans="2:3" x14ac:dyDescent="0.25">
      <c r="B209" s="20"/>
      <c r="C209" s="20"/>
    </row>
    <row r="210" spans="2:3" x14ac:dyDescent="0.25">
      <c r="B210" s="20"/>
      <c r="C210" s="20"/>
    </row>
    <row r="211" spans="2:3" x14ac:dyDescent="0.25">
      <c r="B211" s="20"/>
      <c r="C211" s="20"/>
    </row>
    <row r="212" spans="2:3" x14ac:dyDescent="0.25">
      <c r="B212" s="20"/>
      <c r="C212" s="20"/>
    </row>
    <row r="213" spans="2:3" x14ac:dyDescent="0.25">
      <c r="B213" s="20"/>
      <c r="C213" s="20"/>
    </row>
    <row r="214" spans="2:3" x14ac:dyDescent="0.25">
      <c r="B214" s="20"/>
      <c r="C214" s="20"/>
    </row>
    <row r="215" spans="2:3" x14ac:dyDescent="0.25">
      <c r="B215" s="20"/>
      <c r="C215" s="20"/>
    </row>
    <row r="216" spans="2:3" x14ac:dyDescent="0.25">
      <c r="B216" s="20"/>
      <c r="C216" s="20"/>
    </row>
    <row r="217" spans="2:3" x14ac:dyDescent="0.25">
      <c r="B217" s="20"/>
      <c r="C217" s="20"/>
    </row>
    <row r="218" spans="2:3" x14ac:dyDescent="0.25">
      <c r="B218" s="20"/>
      <c r="C218" s="20"/>
    </row>
    <row r="219" spans="2:3" x14ac:dyDescent="0.25">
      <c r="B219" s="20"/>
      <c r="C219" s="20"/>
    </row>
    <row r="220" spans="2:3" x14ac:dyDescent="0.25">
      <c r="B220" s="20"/>
      <c r="C220" s="20"/>
    </row>
    <row r="221" spans="2:3" x14ac:dyDescent="0.25">
      <c r="B221" s="20"/>
      <c r="C221" s="20"/>
    </row>
    <row r="222" spans="2:3" x14ac:dyDescent="0.25">
      <c r="B222" s="20"/>
      <c r="C222" s="20"/>
    </row>
    <row r="223" spans="2:3" x14ac:dyDescent="0.25">
      <c r="B223" s="20"/>
      <c r="C223" s="20"/>
    </row>
    <row r="224" spans="2:3" x14ac:dyDescent="0.25">
      <c r="B224" s="20"/>
      <c r="C224" s="20"/>
    </row>
    <row r="225" spans="2:3" x14ac:dyDescent="0.25">
      <c r="B225" s="20"/>
      <c r="C225" s="20"/>
    </row>
    <row r="226" spans="2:3" x14ac:dyDescent="0.25">
      <c r="B226" s="20"/>
      <c r="C226" s="20"/>
    </row>
    <row r="227" spans="2:3" x14ac:dyDescent="0.25">
      <c r="B227" s="20"/>
      <c r="C227" s="20"/>
    </row>
    <row r="228" spans="2:3" x14ac:dyDescent="0.25">
      <c r="B228" s="20"/>
      <c r="C228" s="20"/>
    </row>
    <row r="229" spans="2:3" x14ac:dyDescent="0.25">
      <c r="B229" s="20"/>
      <c r="C229" s="20"/>
    </row>
    <row r="230" spans="2:3" x14ac:dyDescent="0.25">
      <c r="B230" s="20"/>
      <c r="C230" s="20"/>
    </row>
    <row r="231" spans="2:3" x14ac:dyDescent="0.25">
      <c r="B231" s="20"/>
      <c r="C231" s="20"/>
    </row>
    <row r="232" spans="2:3" x14ac:dyDescent="0.25">
      <c r="B232" s="20"/>
      <c r="C232" s="20"/>
    </row>
    <row r="233" spans="2:3" x14ac:dyDescent="0.25">
      <c r="B233" s="20"/>
      <c r="C233" s="20"/>
    </row>
    <row r="234" spans="2:3" x14ac:dyDescent="0.25">
      <c r="B234" s="20"/>
      <c r="C234" s="20"/>
    </row>
    <row r="235" spans="2:3" x14ac:dyDescent="0.25">
      <c r="B235" s="20"/>
      <c r="C235" s="20"/>
    </row>
    <row r="236" spans="2:3" x14ac:dyDescent="0.25">
      <c r="B236" s="20"/>
      <c r="C236" s="20"/>
    </row>
    <row r="237" spans="2:3" x14ac:dyDescent="0.25">
      <c r="B237" s="20"/>
      <c r="C237" s="20"/>
    </row>
    <row r="238" spans="2:3" x14ac:dyDescent="0.25">
      <c r="B238" s="20"/>
      <c r="C238" s="20"/>
    </row>
    <row r="239" spans="2:3" x14ac:dyDescent="0.25">
      <c r="B239" s="20"/>
      <c r="C239" s="20"/>
    </row>
    <row r="240" spans="2:3" x14ac:dyDescent="0.25">
      <c r="B240" s="20"/>
      <c r="C240" s="20"/>
    </row>
    <row r="241" spans="2:3" x14ac:dyDescent="0.25">
      <c r="B241" s="20"/>
      <c r="C241" s="20"/>
    </row>
    <row r="242" spans="2:3" x14ac:dyDescent="0.25">
      <c r="B242" s="20"/>
      <c r="C242" s="20"/>
    </row>
    <row r="243" spans="2:3" x14ac:dyDescent="0.25">
      <c r="B243" s="20"/>
      <c r="C243" s="20"/>
    </row>
    <row r="244" spans="2:3" x14ac:dyDescent="0.25">
      <c r="B244" s="20"/>
      <c r="C244" s="20"/>
    </row>
    <row r="245" spans="2:3" x14ac:dyDescent="0.25">
      <c r="B245" s="20"/>
      <c r="C245" s="20"/>
    </row>
    <row r="246" spans="2:3" x14ac:dyDescent="0.25">
      <c r="B246" s="20"/>
      <c r="C246" s="20"/>
    </row>
    <row r="247" spans="2:3" x14ac:dyDescent="0.25">
      <c r="B247" s="20"/>
      <c r="C247" s="20"/>
    </row>
    <row r="248" spans="2:3" x14ac:dyDescent="0.25">
      <c r="B248" s="20"/>
      <c r="C248" s="20"/>
    </row>
    <row r="249" spans="2:3" x14ac:dyDescent="0.25">
      <c r="B249" s="20"/>
      <c r="C249" s="20"/>
    </row>
    <row r="250" spans="2:3" x14ac:dyDescent="0.25">
      <c r="B250" s="20"/>
      <c r="C250" s="20"/>
    </row>
    <row r="251" spans="2:3" x14ac:dyDescent="0.25">
      <c r="B251" s="20"/>
      <c r="C251" s="20"/>
    </row>
    <row r="252" spans="2:3" x14ac:dyDescent="0.25">
      <c r="B252" s="20"/>
      <c r="C252" s="20"/>
    </row>
    <row r="253" spans="2:3" x14ac:dyDescent="0.25">
      <c r="B253" s="20"/>
      <c r="C253" s="20"/>
    </row>
    <row r="254" spans="2:3" x14ac:dyDescent="0.25">
      <c r="B254" s="20"/>
      <c r="C254" s="20"/>
    </row>
    <row r="255" spans="2:3" x14ac:dyDescent="0.25">
      <c r="B255" s="20"/>
      <c r="C255" s="20"/>
    </row>
    <row r="256" spans="2:3" x14ac:dyDescent="0.25">
      <c r="B256" s="20"/>
      <c r="C256" s="20"/>
    </row>
    <row r="257" spans="2:3" x14ac:dyDescent="0.25">
      <c r="B257" s="20"/>
      <c r="C257" s="20"/>
    </row>
    <row r="258" spans="2:3" x14ac:dyDescent="0.25">
      <c r="B258" s="20"/>
      <c r="C258" s="20"/>
    </row>
    <row r="259" spans="2:3" x14ac:dyDescent="0.25">
      <c r="B259" s="20"/>
      <c r="C259" s="20"/>
    </row>
    <row r="260" spans="2:3" x14ac:dyDescent="0.25">
      <c r="B260" s="20"/>
      <c r="C260" s="20"/>
    </row>
    <row r="261" spans="2:3" x14ac:dyDescent="0.25">
      <c r="B261" s="20"/>
      <c r="C261" s="20"/>
    </row>
    <row r="262" spans="2:3" x14ac:dyDescent="0.25">
      <c r="B262" s="20"/>
      <c r="C262" s="20"/>
    </row>
    <row r="263" spans="2:3" x14ac:dyDescent="0.25">
      <c r="B263" s="20"/>
      <c r="C263" s="20"/>
    </row>
    <row r="264" spans="2:3" x14ac:dyDescent="0.25">
      <c r="B264" s="20"/>
      <c r="C264" s="20"/>
    </row>
    <row r="265" spans="2:3" x14ac:dyDescent="0.25">
      <c r="B265" s="20"/>
      <c r="C265" s="20"/>
    </row>
    <row r="266" spans="2:3" x14ac:dyDescent="0.25">
      <c r="B266" s="20"/>
      <c r="C266" s="20"/>
    </row>
    <row r="267" spans="2:3" x14ac:dyDescent="0.25">
      <c r="B267" s="20"/>
      <c r="C267" s="20"/>
    </row>
    <row r="268" spans="2:3" x14ac:dyDescent="0.25">
      <c r="B268" s="20"/>
      <c r="C268" s="20"/>
    </row>
    <row r="269" spans="2:3" x14ac:dyDescent="0.25">
      <c r="B269" s="20"/>
      <c r="C269" s="20"/>
    </row>
    <row r="270" spans="2:3" x14ac:dyDescent="0.25">
      <c r="B270" s="20"/>
      <c r="C270" s="20"/>
    </row>
    <row r="271" spans="2:3" x14ac:dyDescent="0.25">
      <c r="B271" s="20"/>
      <c r="C271" s="20"/>
    </row>
    <row r="272" spans="2:3" x14ac:dyDescent="0.25">
      <c r="B272" s="20"/>
      <c r="C272" s="20"/>
    </row>
    <row r="273" spans="2:3" x14ac:dyDescent="0.25">
      <c r="B273" s="20"/>
      <c r="C273" s="20"/>
    </row>
    <row r="274" spans="2:3" x14ac:dyDescent="0.25">
      <c r="B274" s="20"/>
      <c r="C274" s="20"/>
    </row>
    <row r="275" spans="2:3" x14ac:dyDescent="0.25">
      <c r="B275" s="20"/>
      <c r="C275" s="20"/>
    </row>
    <row r="276" spans="2:3" x14ac:dyDescent="0.25">
      <c r="B276" s="20"/>
      <c r="C276" s="20"/>
    </row>
    <row r="277" spans="2:3" x14ac:dyDescent="0.25">
      <c r="B277" s="20"/>
      <c r="C277" s="20"/>
    </row>
    <row r="278" spans="2:3" x14ac:dyDescent="0.25">
      <c r="B278" s="20"/>
      <c r="C278" s="20"/>
    </row>
    <row r="279" spans="2:3" x14ac:dyDescent="0.25">
      <c r="B279" s="20"/>
      <c r="C279" s="20"/>
    </row>
    <row r="280" spans="2:3" x14ac:dyDescent="0.25">
      <c r="B280" s="20"/>
      <c r="C280" s="20"/>
    </row>
    <row r="281" spans="2:3" x14ac:dyDescent="0.25">
      <c r="B281" s="20"/>
      <c r="C281" s="20"/>
    </row>
  </sheetData>
  <sortState ref="A1:A281">
    <sortCondition ref="A1:A281"/>
  </sortState>
  <conditionalFormatting sqref="C1:C1048576">
    <cfRule type="cellIs" dxfId="0" priority="1" operator="greaterThan">
      <formula>0.000115740740740741</formula>
    </cfRule>
  </conditionalFormatting>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21</vt:i4>
      </vt:variant>
    </vt:vector>
  </HeadingPairs>
  <TitlesOfParts>
    <vt:vector size="29" baseType="lpstr">
      <vt:lpstr>Train Runs</vt:lpstr>
      <vt:lpstr>Enforcements</vt:lpstr>
      <vt:lpstr>Missing Trips</vt:lpstr>
      <vt:lpstr>Trips&amp;Operators</vt:lpstr>
      <vt:lpstr>Weather</vt:lpstr>
      <vt:lpstr>Variables</vt:lpstr>
      <vt:lpstr>Redmine List Values</vt:lpstr>
      <vt:lpstr>Slice Disagreement Check</vt:lpstr>
      <vt:lpstr>astrogrep_path</vt:lpstr>
      <vt:lpstr>'Train Runs'!Denver_Train_Runs_04122016</vt:lpstr>
      <vt:lpstr>dls3logs</vt:lpstr>
      <vt:lpstr>enforcements_txt</vt:lpstr>
      <vt:lpstr>outputrefinedruntimes</vt:lpstr>
      <vt:lpstr>redmine_api</vt:lpstr>
      <vt:lpstr>redmine_assignee</vt:lpstr>
      <vt:lpstr>redmine_op_impact</vt:lpstr>
      <vt:lpstr>redmine_priority</vt:lpstr>
      <vt:lpstr>redmine_status</vt:lpstr>
      <vt:lpstr>redmine_url</vt:lpstr>
      <vt:lpstr>RefinedRTDCRunTimesOutputFile</vt:lpstr>
      <vt:lpstr>refinertdcruntimes</vt:lpstr>
      <vt:lpstr>runsrefined_txt</vt:lpstr>
      <vt:lpstr>s3_bucket</vt:lpstr>
      <vt:lpstr>search_path</vt:lpstr>
      <vt:lpstr>search_regexp</vt:lpstr>
      <vt:lpstr>trips_txt</vt:lpstr>
      <vt:lpstr>utc_offset</vt:lpstr>
      <vt:lpstr>walkandungz</vt:lpstr>
      <vt:lpstr>weather_txt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Whitlock, Robert;Tu, Steve</dc:creator>
  <cp:lastModifiedBy>Steve Tu</cp:lastModifiedBy>
  <dcterms:created xsi:type="dcterms:W3CDTF">2016-04-12T13:52:23Z</dcterms:created>
  <dcterms:modified xsi:type="dcterms:W3CDTF">2017-02-06T19:54:21Z</dcterms:modified>
</cp:coreProperties>
</file>