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Runs'!$A$12:$AG$503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R11" i="3" s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R16" i="3" s="1"/>
  <c r="AF37" i="1"/>
  <c r="AH37" i="1"/>
  <c r="AM37" i="1"/>
  <c r="AN37" i="1"/>
  <c r="AO37" i="1"/>
  <c r="K38" i="1"/>
  <c r="L38" i="1"/>
  <c r="M38" i="1"/>
  <c r="N38" i="1" s="1"/>
  <c r="V38" i="1"/>
  <c r="S14" i="3" s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S10" i="3" s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12" i="3" s="1"/>
  <c r="Y52" i="1"/>
  <c r="Z52" i="1"/>
  <c r="AB52" i="1"/>
  <c r="AC52" i="1"/>
  <c r="AD52" i="1"/>
  <c r="AE52" i="1"/>
  <c r="R12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7" i="3" s="1"/>
  <c r="Y86" i="1"/>
  <c r="Z86" i="1"/>
  <c r="AB86" i="1"/>
  <c r="AC86" i="1"/>
  <c r="AD86" i="1"/>
  <c r="AE86" i="1"/>
  <c r="R7" i="3" s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159" i="1"/>
  <c r="L159" i="1"/>
  <c r="M159" i="1"/>
  <c r="N159" i="1" s="1"/>
  <c r="V159" i="1"/>
  <c r="Y159" i="1"/>
  <c r="Z159" i="1"/>
  <c r="AB159" i="1"/>
  <c r="AC159" i="1"/>
  <c r="AD159" i="1"/>
  <c r="AE159" i="1"/>
  <c r="R18" i="3" s="1"/>
  <c r="AF159" i="1"/>
  <c r="AH93" i="1"/>
  <c r="AM93" i="1"/>
  <c r="AN93" i="1"/>
  <c r="AO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R20" i="3" s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AM105" i="1"/>
  <c r="AN105" i="1"/>
  <c r="AO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AO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S17" i="3" s="1"/>
  <c r="Y175" i="1"/>
  <c r="Z175" i="1"/>
  <c r="AB175" i="1"/>
  <c r="AC175" i="1"/>
  <c r="AD175" i="1"/>
  <c r="AE175" i="1"/>
  <c r="R17" i="3" s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AO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AO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6" i="1"/>
  <c r="AM116" i="1"/>
  <c r="AN116" i="1"/>
  <c r="AO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AO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AO118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119" i="1"/>
  <c r="AM119" i="1"/>
  <c r="AN119" i="1"/>
  <c r="AO119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120" i="1"/>
  <c r="AM120" i="1"/>
  <c r="AN120" i="1"/>
  <c r="AO1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1" i="1"/>
  <c r="AM121" i="1"/>
  <c r="AN121" i="1"/>
  <c r="AO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AO12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5" i="1"/>
  <c r="AM125" i="1"/>
  <c r="AN125" i="1"/>
  <c r="AO1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6" i="1"/>
  <c r="AM126" i="1"/>
  <c r="AN126" i="1"/>
  <c r="AO126" i="1"/>
  <c r="K190" i="1"/>
  <c r="L190" i="1"/>
  <c r="M190" i="1"/>
  <c r="N190" i="1" s="1"/>
  <c r="V190" i="1"/>
  <c r="S19" i="3" s="1"/>
  <c r="Y190" i="1"/>
  <c r="Z190" i="1"/>
  <c r="AB190" i="1"/>
  <c r="AC190" i="1"/>
  <c r="AD190" i="1"/>
  <c r="T190" i="1" s="1"/>
  <c r="AE190" i="1"/>
  <c r="AF190" i="1"/>
  <c r="AH127" i="1"/>
  <c r="AM127" i="1"/>
  <c r="AN127" i="1"/>
  <c r="AO127" i="1"/>
  <c r="K191" i="1"/>
  <c r="L191" i="1"/>
  <c r="M191" i="1"/>
  <c r="N191" i="1" s="1"/>
  <c r="V191" i="1"/>
  <c r="Y191" i="1"/>
  <c r="Z191" i="1"/>
  <c r="AB191" i="1"/>
  <c r="AC191" i="1"/>
  <c r="AD191" i="1"/>
  <c r="AE191" i="1"/>
  <c r="R21" i="3" s="1"/>
  <c r="AF191" i="1"/>
  <c r="AH128" i="1"/>
  <c r="AM128" i="1"/>
  <c r="AN128" i="1"/>
  <c r="AO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AO12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0" i="1"/>
  <c r="AM130" i="1"/>
  <c r="AN130" i="1"/>
  <c r="AO13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1" i="1"/>
  <c r="AM131" i="1"/>
  <c r="AN131" i="1"/>
  <c r="AO131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5" i="1"/>
  <c r="AM135" i="1"/>
  <c r="AN135" i="1"/>
  <c r="AO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7" i="1"/>
  <c r="AM137" i="1"/>
  <c r="AN137" i="1"/>
  <c r="AO137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8" i="1"/>
  <c r="AM138" i="1"/>
  <c r="AN138" i="1"/>
  <c r="AO13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9" i="1"/>
  <c r="AM139" i="1"/>
  <c r="AN139" i="1"/>
  <c r="AO13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40" i="1"/>
  <c r="AM140" i="1"/>
  <c r="AN140" i="1"/>
  <c r="AO140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1" i="1"/>
  <c r="AM141" i="1"/>
  <c r="AN141" i="1"/>
  <c r="AO141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2" i="1"/>
  <c r="AM142" i="1"/>
  <c r="AN142" i="1"/>
  <c r="AO142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3" i="1"/>
  <c r="AM143" i="1"/>
  <c r="AN143" i="1"/>
  <c r="AO143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4" i="1"/>
  <c r="AM144" i="1"/>
  <c r="AN144" i="1"/>
  <c r="AO144" i="1"/>
  <c r="K107" i="1"/>
  <c r="L107" i="1"/>
  <c r="M107" i="1"/>
  <c r="P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AO145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6" i="1"/>
  <c r="AM146" i="1"/>
  <c r="AN146" i="1"/>
  <c r="AO146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7" i="1"/>
  <c r="AM147" i="1"/>
  <c r="AN147" i="1"/>
  <c r="AO147" i="1"/>
  <c r="K110" i="1"/>
  <c r="L110" i="1"/>
  <c r="M110" i="1"/>
  <c r="N110" i="1" s="1"/>
  <c r="V110" i="1"/>
  <c r="S15" i="3" s="1"/>
  <c r="Y110" i="1"/>
  <c r="Z110" i="1"/>
  <c r="AB110" i="1"/>
  <c r="AC110" i="1"/>
  <c r="AD110" i="1"/>
  <c r="AE110" i="1"/>
  <c r="R15" i="3" s="1"/>
  <c r="AF110" i="1"/>
  <c r="AH148" i="1"/>
  <c r="AM148" i="1"/>
  <c r="AN148" i="1"/>
  <c r="AO148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9" i="1"/>
  <c r="AM149" i="1"/>
  <c r="AN149" i="1"/>
  <c r="AO149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6" i="1"/>
  <c r="AM156" i="1"/>
  <c r="AN156" i="1"/>
  <c r="AO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AO157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8" i="1"/>
  <c r="AM158" i="1"/>
  <c r="AN158" i="1"/>
  <c r="AO158" i="1"/>
  <c r="K121" i="1"/>
  <c r="L121" i="1"/>
  <c r="M121" i="1"/>
  <c r="P121" i="1" s="1"/>
  <c r="V121" i="1"/>
  <c r="Y121" i="1"/>
  <c r="Z121" i="1"/>
  <c r="AB121" i="1"/>
  <c r="AC121" i="1"/>
  <c r="AD121" i="1"/>
  <c r="AE121" i="1"/>
  <c r="AF121" i="1"/>
  <c r="AH159" i="1"/>
  <c r="AM159" i="1"/>
  <c r="AN159" i="1"/>
  <c r="AO15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2" i="1"/>
  <c r="AM162" i="1"/>
  <c r="AN162" i="1"/>
  <c r="AO162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3" i="1"/>
  <c r="AM163" i="1"/>
  <c r="AN163" i="1"/>
  <c r="AO163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4" i="1"/>
  <c r="AM164" i="1"/>
  <c r="AN164" i="1"/>
  <c r="AO164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5" i="1"/>
  <c r="AM165" i="1"/>
  <c r="AN165" i="1"/>
  <c r="AO165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6" i="1"/>
  <c r="AM166" i="1"/>
  <c r="AN166" i="1"/>
  <c r="AO166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7" i="1"/>
  <c r="AM167" i="1"/>
  <c r="AN167" i="1"/>
  <c r="AO167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8" i="1"/>
  <c r="AM168" i="1"/>
  <c r="AN168" i="1"/>
  <c r="AO168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1" i="1"/>
  <c r="AM171" i="1"/>
  <c r="AN171" i="1"/>
  <c r="AO171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2" i="1"/>
  <c r="AM172" i="1"/>
  <c r="AN172" i="1"/>
  <c r="AO172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4" i="1"/>
  <c r="AM174" i="1"/>
  <c r="AN174" i="1"/>
  <c r="AO174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5" i="1"/>
  <c r="AM175" i="1"/>
  <c r="AN175" i="1"/>
  <c r="AO175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6" i="1"/>
  <c r="AM176" i="1"/>
  <c r="AN176" i="1"/>
  <c r="AO176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7" i="1"/>
  <c r="AM177" i="1"/>
  <c r="AN177" i="1"/>
  <c r="AO177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9" i="1"/>
  <c r="AM179" i="1"/>
  <c r="AN179" i="1"/>
  <c r="AO179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0" i="1"/>
  <c r="AM180" i="1"/>
  <c r="AN180" i="1"/>
  <c r="AO180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3" i="1"/>
  <c r="AM183" i="1"/>
  <c r="AN183" i="1"/>
  <c r="AO183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6" i="1"/>
  <c r="AM186" i="1"/>
  <c r="AN186" i="1"/>
  <c r="AO186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8" i="1"/>
  <c r="AM188" i="1"/>
  <c r="AN188" i="1"/>
  <c r="AO188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9" i="1"/>
  <c r="AM189" i="1"/>
  <c r="AN189" i="1"/>
  <c r="AO189" i="1"/>
  <c r="K152" i="1"/>
  <c r="L152" i="1"/>
  <c r="M152" i="1"/>
  <c r="N152" i="1" s="1"/>
  <c r="V152" i="1"/>
  <c r="S8" i="3" s="1"/>
  <c r="Y152" i="1"/>
  <c r="Z152" i="1"/>
  <c r="AB152" i="1"/>
  <c r="AC152" i="1"/>
  <c r="AD152" i="1"/>
  <c r="AE152" i="1"/>
  <c r="R8" i="3" s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3" i="1"/>
  <c r="AM193" i="1"/>
  <c r="AN193" i="1"/>
  <c r="AO193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4" i="1"/>
  <c r="AM194" i="1"/>
  <c r="AN194" i="1"/>
  <c r="AO194" i="1"/>
  <c r="K157" i="1"/>
  <c r="L157" i="1"/>
  <c r="M157" i="1"/>
  <c r="N157" i="1" s="1"/>
  <c r="V157" i="1"/>
  <c r="S13" i="3" s="1"/>
  <c r="Y157" i="1"/>
  <c r="Z157" i="1"/>
  <c r="AB157" i="1"/>
  <c r="AC157" i="1"/>
  <c r="AD157" i="1"/>
  <c r="AE157" i="1"/>
  <c r="R13" i="3" s="1"/>
  <c r="AF157" i="1"/>
  <c r="AH195" i="1"/>
  <c r="AM195" i="1"/>
  <c r="AN195" i="1"/>
  <c r="AO195" i="1"/>
  <c r="K158" i="1"/>
  <c r="L158" i="1"/>
  <c r="M158" i="1"/>
  <c r="P158" i="1" s="1"/>
  <c r="V158" i="1"/>
  <c r="Y158" i="1"/>
  <c r="Z158" i="1"/>
  <c r="AB158" i="1"/>
  <c r="AC158" i="1"/>
  <c r="AD158" i="1"/>
  <c r="AE158" i="1"/>
  <c r="AF158" i="1"/>
  <c r="AH196" i="1"/>
  <c r="AM196" i="1"/>
  <c r="AN196" i="1"/>
  <c r="AO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M18" i="3"/>
  <c r="S18" i="3"/>
  <c r="U18" i="3"/>
  <c r="T18" i="3" s="1"/>
  <c r="V18" i="3"/>
  <c r="X18" i="3"/>
  <c r="M16" i="3"/>
  <c r="S16" i="3"/>
  <c r="U16" i="3"/>
  <c r="AC16" i="3" s="1"/>
  <c r="V16" i="3"/>
  <c r="X16" i="3"/>
  <c r="M11" i="3"/>
  <c r="S11" i="3"/>
  <c r="U11" i="3"/>
  <c r="AC11" i="3" s="1"/>
  <c r="V11" i="3"/>
  <c r="X11" i="3"/>
  <c r="M14" i="3"/>
  <c r="R14" i="3"/>
  <c r="U14" i="3"/>
  <c r="T14" i="3" s="1"/>
  <c r="V14" i="3"/>
  <c r="X14" i="3"/>
  <c r="M9" i="3"/>
  <c r="R9" i="3"/>
  <c r="S9" i="3"/>
  <c r="U9" i="3"/>
  <c r="AC9" i="3" s="1"/>
  <c r="V9" i="3"/>
  <c r="X9" i="3"/>
  <c r="M10" i="3"/>
  <c r="R10" i="3"/>
  <c r="U10" i="3"/>
  <c r="AC10" i="3" s="1"/>
  <c r="V10" i="3"/>
  <c r="X10" i="3"/>
  <c r="M12" i="3"/>
  <c r="U12" i="3"/>
  <c r="AC12" i="3" s="1"/>
  <c r="V12" i="3"/>
  <c r="X12" i="3"/>
  <c r="M20" i="3"/>
  <c r="S20" i="3"/>
  <c r="U20" i="3"/>
  <c r="T20" i="3" s="1"/>
  <c r="V20" i="3"/>
  <c r="X20" i="3"/>
  <c r="AD18" i="3"/>
  <c r="M17" i="3"/>
  <c r="U17" i="3"/>
  <c r="T17" i="3" s="1"/>
  <c r="V17" i="3"/>
  <c r="X17" i="3"/>
  <c r="M7" i="3"/>
  <c r="U7" i="3"/>
  <c r="V7" i="3"/>
  <c r="X7" i="3"/>
  <c r="M15" i="3"/>
  <c r="U15" i="3"/>
  <c r="AC15" i="3" s="1"/>
  <c r="V15" i="3"/>
  <c r="X15" i="3"/>
  <c r="M19" i="3"/>
  <c r="R19" i="3"/>
  <c r="U19" i="3"/>
  <c r="AC19" i="3" s="1"/>
  <c r="V19" i="3"/>
  <c r="X19" i="3"/>
  <c r="M21" i="3"/>
  <c r="S21" i="3"/>
  <c r="U21" i="3"/>
  <c r="T21" i="3" s="1"/>
  <c r="V21" i="3"/>
  <c r="X21" i="3"/>
  <c r="M8" i="3"/>
  <c r="U8" i="3"/>
  <c r="V8" i="3"/>
  <c r="X8" i="3"/>
  <c r="M13" i="3"/>
  <c r="U13" i="3"/>
  <c r="AC13" i="3" s="1"/>
  <c r="V13" i="3"/>
  <c r="X13" i="3"/>
  <c r="W9" i="3"/>
  <c r="W16" i="3"/>
  <c r="W7" i="3"/>
  <c r="W8" i="3"/>
  <c r="W15" i="3"/>
  <c r="W13" i="3"/>
  <c r="W10" i="3"/>
  <c r="W20" i="3"/>
  <c r="W14" i="3"/>
  <c r="W17" i="3"/>
  <c r="W19" i="3"/>
  <c r="W18" i="3"/>
  <c r="W11" i="3"/>
  <c r="W21" i="3"/>
  <c r="W12" i="3"/>
  <c r="AG39" i="1"/>
  <c r="AG166" i="1"/>
  <c r="AG132" i="1"/>
  <c r="AG32" i="1"/>
  <c r="AG121" i="1"/>
  <c r="AG169" i="1"/>
  <c r="AG65" i="1"/>
  <c r="AG42" i="1"/>
  <c r="AG172" i="1"/>
  <c r="AG135" i="1"/>
  <c r="AG157" i="1"/>
  <c r="AG174" i="1"/>
  <c r="AG173" i="1"/>
  <c r="AG59" i="1"/>
  <c r="AG190" i="1"/>
  <c r="AG152" i="1"/>
  <c r="AG81" i="1"/>
  <c r="AG211" i="1"/>
  <c r="AG117" i="1"/>
  <c r="AG192" i="1"/>
  <c r="AG62" i="1"/>
  <c r="AG193" i="1"/>
  <c r="AG155" i="1"/>
  <c r="AG25" i="1"/>
  <c r="AG103" i="1"/>
  <c r="AG114" i="1"/>
  <c r="AG63" i="1"/>
  <c r="AG194" i="1"/>
  <c r="AG156" i="1"/>
  <c r="AG163" i="1"/>
  <c r="AG144" i="1"/>
  <c r="AG160" i="1"/>
  <c r="AG38" i="1"/>
  <c r="AG131" i="1"/>
  <c r="AG88" i="1"/>
  <c r="AG70" i="1"/>
  <c r="AG215" i="1"/>
  <c r="AG69" i="1"/>
  <c r="AG213" i="1"/>
  <c r="AG206" i="1"/>
  <c r="AG19" i="1"/>
  <c r="AG184" i="1"/>
  <c r="AG29" i="1"/>
  <c r="AG74" i="1"/>
  <c r="AG217" i="1"/>
  <c r="AG126" i="1"/>
  <c r="AG35" i="1"/>
  <c r="AG209" i="1"/>
  <c r="AG64" i="1"/>
  <c r="AG164" i="1"/>
  <c r="AG137" i="1"/>
  <c r="AG212" i="1"/>
  <c r="AG79" i="1"/>
  <c r="AG208" i="1"/>
  <c r="AG200" i="1"/>
  <c r="AG86" i="1"/>
  <c r="AG40" i="1"/>
  <c r="AG149" i="1"/>
  <c r="AG118" i="1"/>
  <c r="AG85" i="1"/>
  <c r="AG104" i="1"/>
  <c r="AG203" i="1"/>
  <c r="AG41" i="1"/>
  <c r="AG138" i="1"/>
  <c r="AG27" i="1"/>
  <c r="AG84" i="1"/>
  <c r="AG120" i="1"/>
  <c r="AG93" i="1"/>
  <c r="AG100" i="1"/>
  <c r="AG89" i="1"/>
  <c r="AG30" i="1"/>
  <c r="AG90" i="1"/>
  <c r="AG123" i="1"/>
  <c r="AG109" i="1"/>
  <c r="AG91" i="1"/>
  <c r="AG31" i="1"/>
  <c r="AG124" i="1"/>
  <c r="AG51" i="1"/>
  <c r="AG83" i="1"/>
  <c r="AG145" i="1"/>
  <c r="AG99" i="1"/>
  <c r="AG18" i="1"/>
  <c r="AG57" i="1"/>
  <c r="AG60" i="1"/>
  <c r="AG115" i="1"/>
  <c r="AG128" i="1"/>
  <c r="AG34" i="1"/>
  <c r="AG72" i="1"/>
  <c r="AG168" i="1"/>
  <c r="AG205" i="1"/>
  <c r="AG179" i="1"/>
  <c r="AG183" i="1"/>
  <c r="AG107" i="1"/>
  <c r="AG37" i="1"/>
  <c r="AG196" i="1"/>
  <c r="AG50" i="1"/>
  <c r="AG181" i="1"/>
  <c r="AG96" i="1"/>
  <c r="AG147" i="1"/>
  <c r="AG24" i="1"/>
  <c r="AG68" i="1"/>
  <c r="AG110" i="1"/>
  <c r="AG55" i="1"/>
  <c r="AG187" i="1"/>
  <c r="AG148" i="1"/>
  <c r="AG67" i="1"/>
  <c r="AG197" i="1"/>
  <c r="AG106" i="1"/>
  <c r="AG185" i="1"/>
  <c r="AG58" i="1"/>
  <c r="AG189" i="1"/>
  <c r="AG151" i="1"/>
  <c r="AG21" i="1"/>
  <c r="AG97" i="1"/>
  <c r="AG216" i="1"/>
  <c r="AG87" i="1"/>
  <c r="AG105" i="1"/>
  <c r="AG204" i="1"/>
  <c r="AG170" i="1"/>
  <c r="AG48" i="1"/>
  <c r="AG201" i="1"/>
  <c r="AG14" i="1"/>
  <c r="AG159" i="1"/>
  <c r="AG108" i="1"/>
  <c r="AG207" i="1"/>
  <c r="AG49" i="1"/>
  <c r="AG154" i="1"/>
  <c r="AG15" i="1"/>
  <c r="AG161" i="1"/>
  <c r="AG175" i="1"/>
  <c r="AG210" i="1"/>
  <c r="AG177" i="1"/>
  <c r="AG56" i="1"/>
  <c r="AG133" i="1"/>
  <c r="AG77" i="1"/>
  <c r="AG199" i="1"/>
  <c r="AG122" i="1"/>
  <c r="AG71" i="1"/>
  <c r="AG141" i="1"/>
  <c r="AG162" i="1"/>
  <c r="AG182" i="1"/>
  <c r="AG219" i="1"/>
  <c r="AG146" i="1"/>
  <c r="AG66" i="1"/>
  <c r="AG153" i="1"/>
  <c r="AG178" i="1"/>
  <c r="AG186" i="1"/>
  <c r="AG17" i="1"/>
  <c r="AG198" i="1"/>
  <c r="AG167" i="1"/>
  <c r="AG20" i="1"/>
  <c r="AG101" i="1"/>
  <c r="AG98" i="1"/>
  <c r="AG33" i="1"/>
  <c r="AG202" i="1"/>
  <c r="AG23" i="1"/>
  <c r="AG76" i="1"/>
  <c r="AG116" i="1"/>
  <c r="AG218" i="1"/>
  <c r="AG191" i="1"/>
  <c r="AG73" i="1"/>
  <c r="AG45" i="1"/>
  <c r="AG26" i="1"/>
  <c r="AG82" i="1"/>
  <c r="AG119" i="1"/>
  <c r="AG165" i="1"/>
  <c r="AG75" i="1"/>
  <c r="AG142" i="1"/>
  <c r="AG43" i="1"/>
  <c r="AG136" i="1"/>
  <c r="AG36" i="1"/>
  <c r="AG129" i="1"/>
  <c r="AG180" i="1"/>
  <c r="AG80" i="1"/>
  <c r="AG46" i="1"/>
  <c r="AG94" i="1"/>
  <c r="AG139" i="1"/>
  <c r="AG171" i="1"/>
  <c r="AG130" i="1"/>
  <c r="AG47" i="1"/>
  <c r="AG140" i="1"/>
  <c r="AG44" i="1"/>
  <c r="AG28" i="1"/>
  <c r="AG102" i="1"/>
  <c r="AG134" i="1"/>
  <c r="AG188" i="1"/>
  <c r="AG143" i="1"/>
  <c r="AG214" i="1"/>
  <c r="AG54" i="1"/>
  <c r="AG95" i="1"/>
  <c r="AG125" i="1"/>
  <c r="AG195" i="1"/>
  <c r="AG53" i="1"/>
  <c r="AG158" i="1"/>
  <c r="AG92" i="1"/>
  <c r="AG16" i="1"/>
  <c r="AG113" i="1"/>
  <c r="AG176" i="1"/>
  <c r="AG150" i="1"/>
  <c r="AG52" i="1"/>
  <c r="AG111" i="1"/>
  <c r="AG112" i="1"/>
  <c r="AG22" i="1"/>
  <c r="AG61" i="1"/>
  <c r="AG78" i="1"/>
  <c r="AG127" i="1"/>
  <c r="AA147" i="1" l="1"/>
  <c r="X106" i="1"/>
  <c r="X96" i="1"/>
  <c r="AA187" i="1"/>
  <c r="T184" i="1"/>
  <c r="T183" i="1"/>
  <c r="X180" i="1"/>
  <c r="AA210" i="1"/>
  <c r="AA200" i="1"/>
  <c r="AA156" i="1"/>
  <c r="AA184" i="1"/>
  <c r="AA183" i="1"/>
  <c r="AA46" i="1"/>
  <c r="AA42" i="1"/>
  <c r="AA173" i="1"/>
  <c r="AA103" i="1"/>
  <c r="X191" i="1"/>
  <c r="X210" i="1"/>
  <c r="AA102" i="1"/>
  <c r="W102" i="1" s="1"/>
  <c r="X95" i="1"/>
  <c r="AA213" i="1"/>
  <c r="W213" i="1" s="1"/>
  <c r="AA206" i="1"/>
  <c r="AA202" i="1"/>
  <c r="W202" i="1" s="1"/>
  <c r="AA158" i="1"/>
  <c r="AA145" i="1"/>
  <c r="W145" i="1" s="1"/>
  <c r="AA141" i="1"/>
  <c r="AA137" i="1"/>
  <c r="W137" i="1" s="1"/>
  <c r="T106" i="1"/>
  <c r="AA209" i="1"/>
  <c r="W209" i="1" s="1"/>
  <c r="X185" i="1"/>
  <c r="T180" i="1"/>
  <c r="X178" i="1"/>
  <c r="AA174" i="1"/>
  <c r="AA57" i="1"/>
  <c r="AA149" i="1"/>
  <c r="AA217" i="1"/>
  <c r="AA155" i="1"/>
  <c r="T191" i="1"/>
  <c r="AA67" i="1"/>
  <c r="X62" i="1"/>
  <c r="AA38" i="1"/>
  <c r="W38" i="1" s="1"/>
  <c r="AD16" i="3"/>
  <c r="AA218" i="1"/>
  <c r="AA197" i="1"/>
  <c r="AA143" i="1"/>
  <c r="W143" i="1" s="1"/>
  <c r="AA139" i="1"/>
  <c r="AA135" i="1"/>
  <c r="AA107" i="1"/>
  <c r="AA104" i="1"/>
  <c r="X100" i="1"/>
  <c r="AA97" i="1"/>
  <c r="W97" i="1" s="1"/>
  <c r="AA48" i="1"/>
  <c r="AA108" i="1"/>
  <c r="AA192" i="1"/>
  <c r="AA62" i="1"/>
  <c r="AA60" i="1"/>
  <c r="AA54" i="1"/>
  <c r="W54" i="1" s="1"/>
  <c r="T96" i="1"/>
  <c r="AE18" i="3"/>
  <c r="AC18" i="3"/>
  <c r="AA219" i="1"/>
  <c r="W219" i="1" s="1"/>
  <c r="AA203" i="1"/>
  <c r="X202" i="1"/>
  <c r="X201" i="1"/>
  <c r="AA199" i="1"/>
  <c r="W199" i="1" s="1"/>
  <c r="AA157" i="1"/>
  <c r="AA134" i="1"/>
  <c r="W134" i="1" s="1"/>
  <c r="AA130" i="1"/>
  <c r="AA126" i="1"/>
  <c r="W126" i="1" s="1"/>
  <c r="AA122" i="1"/>
  <c r="AA118" i="1"/>
  <c r="W118" i="1" s="1"/>
  <c r="AA114" i="1"/>
  <c r="AA110" i="1"/>
  <c r="W110" i="1" s="1"/>
  <c r="X102" i="1"/>
  <c r="AA100" i="1"/>
  <c r="W100" i="1" s="1"/>
  <c r="X181" i="1"/>
  <c r="X179" i="1"/>
  <c r="AA172" i="1"/>
  <c r="AA168" i="1"/>
  <c r="AA52" i="1"/>
  <c r="X219" i="1"/>
  <c r="AA205" i="1"/>
  <c r="AA204" i="1"/>
  <c r="W204" i="1" s="1"/>
  <c r="AA201" i="1"/>
  <c r="AA153" i="1"/>
  <c r="W153" i="1" s="1"/>
  <c r="AA136" i="1"/>
  <c r="AA132" i="1"/>
  <c r="W132" i="1" s="1"/>
  <c r="AA128" i="1"/>
  <c r="AA124" i="1"/>
  <c r="W124" i="1" s="1"/>
  <c r="AA120" i="1"/>
  <c r="AA116" i="1"/>
  <c r="W116" i="1" s="1"/>
  <c r="AA112" i="1"/>
  <c r="X209" i="1"/>
  <c r="AA190" i="1"/>
  <c r="AA95" i="1"/>
  <c r="W95" i="1" s="1"/>
  <c r="AA180" i="1"/>
  <c r="AA179" i="1"/>
  <c r="W179" i="1" s="1"/>
  <c r="AA167" i="1"/>
  <c r="AA68" i="1"/>
  <c r="W68" i="1" s="1"/>
  <c r="AA59" i="1"/>
  <c r="AA50" i="1"/>
  <c r="AA44" i="1"/>
  <c r="AA40" i="1"/>
  <c r="AA34" i="1"/>
  <c r="AA30" i="1"/>
  <c r="W30" i="1" s="1"/>
  <c r="AA26" i="1"/>
  <c r="AA18" i="1"/>
  <c r="W18" i="1" s="1"/>
  <c r="AD20" i="3"/>
  <c r="X211" i="1"/>
  <c r="AA207" i="1"/>
  <c r="X205" i="1"/>
  <c r="X200" i="1"/>
  <c r="AA198" i="1"/>
  <c r="W198" i="1" s="1"/>
  <c r="AA196" i="1"/>
  <c r="AA195" i="1"/>
  <c r="AA148" i="1"/>
  <c r="AA144" i="1"/>
  <c r="AA140" i="1"/>
  <c r="AA133" i="1"/>
  <c r="AA129" i="1"/>
  <c r="AA125" i="1"/>
  <c r="W125" i="1" s="1"/>
  <c r="AA121" i="1"/>
  <c r="AA117" i="1"/>
  <c r="W117" i="1" s="1"/>
  <c r="AA113" i="1"/>
  <c r="AA109" i="1"/>
  <c r="W109" i="1" s="1"/>
  <c r="X108" i="1"/>
  <c r="AA208" i="1"/>
  <c r="T100" i="1"/>
  <c r="AA185" i="1"/>
  <c r="W185" i="1" s="1"/>
  <c r="T185" i="1"/>
  <c r="AA181" i="1"/>
  <c r="T181" i="1"/>
  <c r="AA178" i="1"/>
  <c r="W178" i="1" s="1"/>
  <c r="T178" i="1"/>
  <c r="AA176" i="1"/>
  <c r="W176" i="1" s="1"/>
  <c r="AA171" i="1"/>
  <c r="AA47" i="1"/>
  <c r="AA45" i="1"/>
  <c r="AA32" i="1"/>
  <c r="AA28" i="1"/>
  <c r="AA24" i="1"/>
  <c r="W24" i="1" s="1"/>
  <c r="AA20" i="1"/>
  <c r="AA16" i="1"/>
  <c r="AA101" i="1"/>
  <c r="X182" i="1"/>
  <c r="X94" i="1"/>
  <c r="AA163" i="1"/>
  <c r="W163" i="1" s="1"/>
  <c r="AA159" i="1"/>
  <c r="AA89" i="1"/>
  <c r="W89" i="1" s="1"/>
  <c r="AA85" i="1"/>
  <c r="AA81" i="1"/>
  <c r="W81" i="1" s="1"/>
  <c r="AA77" i="1"/>
  <c r="AA73" i="1"/>
  <c r="W73" i="1" s="1"/>
  <c r="AA51" i="1"/>
  <c r="AA49" i="1"/>
  <c r="AA35" i="1"/>
  <c r="AA33" i="1"/>
  <c r="W33" i="1" s="1"/>
  <c r="AA29" i="1"/>
  <c r="AA25" i="1"/>
  <c r="W25" i="1" s="1"/>
  <c r="AA21" i="1"/>
  <c r="AA17" i="1"/>
  <c r="W17" i="1" s="1"/>
  <c r="X218" i="1"/>
  <c r="AA216" i="1"/>
  <c r="W216" i="1" s="1"/>
  <c r="AA215" i="1"/>
  <c r="AA214" i="1"/>
  <c r="AA212" i="1"/>
  <c r="AA211" i="1"/>
  <c r="T210" i="1"/>
  <c r="AA154" i="1"/>
  <c r="W154" i="1" s="1"/>
  <c r="AA152" i="1"/>
  <c r="AA151" i="1"/>
  <c r="W151" i="1" s="1"/>
  <c r="AA142" i="1"/>
  <c r="AA138" i="1"/>
  <c r="AA131" i="1"/>
  <c r="AA127" i="1"/>
  <c r="W127" i="1" s="1"/>
  <c r="AA123" i="1"/>
  <c r="AA119" i="1"/>
  <c r="AA115" i="1"/>
  <c r="AA111" i="1"/>
  <c r="W111" i="1" s="1"/>
  <c r="AA106" i="1"/>
  <c r="AA105" i="1"/>
  <c r="W105" i="1" s="1"/>
  <c r="X104" i="1"/>
  <c r="T209" i="1"/>
  <c r="AA99" i="1"/>
  <c r="X98" i="1"/>
  <c r="AA194" i="1"/>
  <c r="X193" i="1"/>
  <c r="AA70" i="1"/>
  <c r="AA65" i="1"/>
  <c r="W65" i="1" s="1"/>
  <c r="AA55" i="1"/>
  <c r="AA53" i="1"/>
  <c r="W53" i="1" s="1"/>
  <c r="AA39" i="1"/>
  <c r="AA37" i="1"/>
  <c r="W37" i="1" s="1"/>
  <c r="AA36" i="1"/>
  <c r="AA22" i="1"/>
  <c r="W22" i="1" s="1"/>
  <c r="AA14" i="1"/>
  <c r="AA182" i="1"/>
  <c r="AA94" i="1"/>
  <c r="AA170" i="1"/>
  <c r="AA169" i="1"/>
  <c r="AA165" i="1"/>
  <c r="W165" i="1" s="1"/>
  <c r="AA161" i="1"/>
  <c r="AA91" i="1"/>
  <c r="W91" i="1" s="1"/>
  <c r="AA87" i="1"/>
  <c r="AA83" i="1"/>
  <c r="W83" i="1" s="1"/>
  <c r="AA79" i="1"/>
  <c r="AA75" i="1"/>
  <c r="W75" i="1" s="1"/>
  <c r="X59" i="1"/>
  <c r="X57" i="1"/>
  <c r="AA43" i="1"/>
  <c r="AA41" i="1"/>
  <c r="W41" i="1" s="1"/>
  <c r="AA31" i="1"/>
  <c r="AA27" i="1"/>
  <c r="AA23" i="1"/>
  <c r="AA19" i="1"/>
  <c r="W19" i="1" s="1"/>
  <c r="AA15" i="1"/>
  <c r="X216" i="1"/>
  <c r="X215" i="1"/>
  <c r="X206" i="1"/>
  <c r="X214" i="1"/>
  <c r="X213" i="1"/>
  <c r="T212" i="1"/>
  <c r="X204" i="1"/>
  <c r="X203" i="1"/>
  <c r="T202" i="1"/>
  <c r="U202" i="1" s="1"/>
  <c r="S202" i="1" s="1"/>
  <c r="AA150" i="1"/>
  <c r="T205" i="1"/>
  <c r="X217" i="1"/>
  <c r="T216" i="1"/>
  <c r="U216" i="1" s="1"/>
  <c r="S216" i="1" s="1"/>
  <c r="X207" i="1"/>
  <c r="T206" i="1"/>
  <c r="U206" i="1" s="1"/>
  <c r="S206" i="1" s="1"/>
  <c r="AA146" i="1"/>
  <c r="AA96" i="1"/>
  <c r="W96" i="1" s="1"/>
  <c r="AA191" i="1"/>
  <c r="X189" i="1"/>
  <c r="AA188" i="1"/>
  <c r="X186" i="1"/>
  <c r="AA177" i="1"/>
  <c r="AA175" i="1"/>
  <c r="W175" i="1" s="1"/>
  <c r="AA166" i="1"/>
  <c r="AA162" i="1"/>
  <c r="W162" i="1" s="1"/>
  <c r="AA92" i="1"/>
  <c r="AA88" i="1"/>
  <c r="W88" i="1" s="1"/>
  <c r="AA84" i="1"/>
  <c r="AA80" i="1"/>
  <c r="W80" i="1" s="1"/>
  <c r="AA76" i="1"/>
  <c r="AA72" i="1"/>
  <c r="W72" i="1" s="1"/>
  <c r="AA71" i="1"/>
  <c r="AA66" i="1"/>
  <c r="AA63" i="1"/>
  <c r="X61" i="1"/>
  <c r="AA58" i="1"/>
  <c r="T98" i="1"/>
  <c r="U98" i="1" s="1"/>
  <c r="S98" i="1" s="1"/>
  <c r="T193" i="1"/>
  <c r="X107" i="1"/>
  <c r="X105" i="1"/>
  <c r="X103" i="1"/>
  <c r="X208" i="1"/>
  <c r="X101" i="1"/>
  <c r="AA98" i="1"/>
  <c r="AA193" i="1"/>
  <c r="X190" i="1"/>
  <c r="AA189" i="1"/>
  <c r="W189" i="1" s="1"/>
  <c r="T95" i="1"/>
  <c r="X188" i="1"/>
  <c r="X187" i="1"/>
  <c r="AA186" i="1"/>
  <c r="W186" i="1" s="1"/>
  <c r="X177" i="1"/>
  <c r="AA93" i="1"/>
  <c r="W93" i="1" s="1"/>
  <c r="AA164" i="1"/>
  <c r="AA160" i="1"/>
  <c r="W160" i="1" s="1"/>
  <c r="AA90" i="1"/>
  <c r="AA86" i="1"/>
  <c r="W86" i="1" s="1"/>
  <c r="AA82" i="1"/>
  <c r="AA78" i="1"/>
  <c r="W78" i="1" s="1"/>
  <c r="AA74" i="1"/>
  <c r="AA69" i="1"/>
  <c r="W69" i="1" s="1"/>
  <c r="AA64" i="1"/>
  <c r="X63" i="1"/>
  <c r="AA61" i="1"/>
  <c r="X58" i="1"/>
  <c r="AA56" i="1"/>
  <c r="AI103" i="1"/>
  <c r="AI99" i="1"/>
  <c r="AI108" i="1"/>
  <c r="U219" i="1"/>
  <c r="S219" i="1" s="1"/>
  <c r="AI219" i="1"/>
  <c r="U218" i="1"/>
  <c r="S218" i="1" s="1"/>
  <c r="AI218" i="1"/>
  <c r="U217" i="1"/>
  <c r="S217" i="1" s="1"/>
  <c r="AI217" i="1"/>
  <c r="AI216" i="1"/>
  <c r="U215" i="1"/>
  <c r="S215" i="1" s="1"/>
  <c r="AI215" i="1"/>
  <c r="U214" i="1"/>
  <c r="S214" i="1" s="1"/>
  <c r="AI214" i="1"/>
  <c r="U213" i="1"/>
  <c r="S213" i="1" s="1"/>
  <c r="AI213" i="1"/>
  <c r="U212" i="1"/>
  <c r="S212" i="1" s="1"/>
  <c r="AI212" i="1"/>
  <c r="U211" i="1"/>
  <c r="S211" i="1" s="1"/>
  <c r="AI211" i="1"/>
  <c r="U210" i="1"/>
  <c r="S210" i="1" s="1"/>
  <c r="AI210" i="1"/>
  <c r="U207" i="1"/>
  <c r="S207" i="1" s="1"/>
  <c r="AI209" i="1"/>
  <c r="AI208" i="1"/>
  <c r="U205" i="1"/>
  <c r="S205" i="1" s="1"/>
  <c r="AI207" i="1"/>
  <c r="U204" i="1"/>
  <c r="S204" i="1" s="1"/>
  <c r="AI206" i="1"/>
  <c r="U203" i="1"/>
  <c r="S203" i="1" s="1"/>
  <c r="AI205" i="1"/>
  <c r="AI204" i="1"/>
  <c r="U201" i="1"/>
  <c r="S201" i="1" s="1"/>
  <c r="AI203" i="1"/>
  <c r="U200" i="1"/>
  <c r="S200" i="1" s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W144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10" i="1"/>
  <c r="U108" i="1"/>
  <c r="S108" i="1" s="1"/>
  <c r="AI146" i="1"/>
  <c r="U107" i="1"/>
  <c r="S107" i="1" s="1"/>
  <c r="AI145" i="1"/>
  <c r="U106" i="1"/>
  <c r="S106" i="1" s="1"/>
  <c r="AI144" i="1"/>
  <c r="U105" i="1"/>
  <c r="S105" i="1" s="1"/>
  <c r="AI143" i="1"/>
  <c r="U104" i="1"/>
  <c r="S104" i="1" s="1"/>
  <c r="AI142" i="1"/>
  <c r="U103" i="1"/>
  <c r="S103" i="1" s="1"/>
  <c r="AI141" i="1"/>
  <c r="U209" i="1"/>
  <c r="S209" i="1" s="1"/>
  <c r="AI140" i="1"/>
  <c r="U208" i="1"/>
  <c r="S208" i="1" s="1"/>
  <c r="AI139" i="1"/>
  <c r="W208" i="1"/>
  <c r="U102" i="1"/>
  <c r="S102" i="1" s="1"/>
  <c r="AI138" i="1"/>
  <c r="U101" i="1"/>
  <c r="S101" i="1" s="1"/>
  <c r="AI137" i="1"/>
  <c r="U100" i="1"/>
  <c r="S100" i="1" s="1"/>
  <c r="AI136" i="1"/>
  <c r="U99" i="1"/>
  <c r="S99" i="1" s="1"/>
  <c r="AI135" i="1"/>
  <c r="W99" i="1"/>
  <c r="AI134" i="1"/>
  <c r="U97" i="1"/>
  <c r="S97" i="1" s="1"/>
  <c r="AI133" i="1"/>
  <c r="U96" i="1"/>
  <c r="S96" i="1" s="1"/>
  <c r="AI132" i="1"/>
  <c r="U194" i="1"/>
  <c r="S194" i="1" s="1"/>
  <c r="AI131" i="1"/>
  <c r="W194" i="1"/>
  <c r="U193" i="1"/>
  <c r="S193" i="1" s="1"/>
  <c r="AI130" i="1"/>
  <c r="U192" i="1"/>
  <c r="S192" i="1" s="1"/>
  <c r="AI129" i="1"/>
  <c r="U191" i="1"/>
  <c r="S191" i="1" s="1"/>
  <c r="AI128" i="1"/>
  <c r="U190" i="1"/>
  <c r="S190" i="1" s="1"/>
  <c r="AI127" i="1"/>
  <c r="AI126" i="1"/>
  <c r="U189" i="1"/>
  <c r="S189" i="1" s="1"/>
  <c r="AI125" i="1"/>
  <c r="U95" i="1"/>
  <c r="S95" i="1" s="1"/>
  <c r="AI124" i="1"/>
  <c r="U188" i="1"/>
  <c r="S188" i="1" s="1"/>
  <c r="AI123" i="1"/>
  <c r="U187" i="1"/>
  <c r="S187" i="1" s="1"/>
  <c r="AI122" i="1"/>
  <c r="U186" i="1"/>
  <c r="S186" i="1" s="1"/>
  <c r="AI121" i="1"/>
  <c r="U185" i="1"/>
  <c r="S185" i="1" s="1"/>
  <c r="AI120" i="1"/>
  <c r="U184" i="1"/>
  <c r="S184" i="1" s="1"/>
  <c r="AI119" i="1"/>
  <c r="U183" i="1"/>
  <c r="S183" i="1" s="1"/>
  <c r="AI118" i="1"/>
  <c r="U182" i="1"/>
  <c r="S182" i="1" s="1"/>
  <c r="AI117" i="1"/>
  <c r="U181" i="1"/>
  <c r="S181" i="1" s="1"/>
  <c r="AI116" i="1"/>
  <c r="U180" i="1"/>
  <c r="S180" i="1" s="1"/>
  <c r="AI115" i="1"/>
  <c r="U179" i="1"/>
  <c r="S179" i="1" s="1"/>
  <c r="AI114" i="1"/>
  <c r="U94" i="1"/>
  <c r="S94" i="1" s="1"/>
  <c r="AI113" i="1"/>
  <c r="U178" i="1"/>
  <c r="S178" i="1" s="1"/>
  <c r="AI112" i="1"/>
  <c r="U177" i="1"/>
  <c r="S177" i="1" s="1"/>
  <c r="AI102" i="1"/>
  <c r="AI107" i="1"/>
  <c r="AI106" i="1"/>
  <c r="AI104" i="1"/>
  <c r="AI100" i="1"/>
  <c r="AI111" i="1"/>
  <c r="AI109" i="1"/>
  <c r="AI105" i="1"/>
  <c r="AI101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2" i="1"/>
  <c r="U70" i="1"/>
  <c r="S70" i="1" s="1"/>
  <c r="AI70" i="1"/>
  <c r="U66" i="1"/>
  <c r="S66" i="1" s="1"/>
  <c r="AI66" i="1"/>
  <c r="AI69" i="1"/>
  <c r="U69" i="1"/>
  <c r="S69" i="1" s="1"/>
  <c r="AI65" i="1"/>
  <c r="U65" i="1"/>
  <c r="S65" i="1" s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AI71" i="1"/>
  <c r="U68" i="1"/>
  <c r="S68" i="1" s="1"/>
  <c r="AI68" i="1"/>
  <c r="U64" i="1"/>
  <c r="S64" i="1" s="1"/>
  <c r="AI64" i="1"/>
  <c r="U67" i="1"/>
  <c r="S67" i="1" s="1"/>
  <c r="AI67" i="1"/>
  <c r="W67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58" i="1"/>
  <c r="W150" i="1"/>
  <c r="W146" i="1"/>
  <c r="W215" i="1"/>
  <c r="W212" i="1"/>
  <c r="W205" i="1"/>
  <c r="W218" i="1"/>
  <c r="W210" i="1"/>
  <c r="W203" i="1"/>
  <c r="W200" i="1"/>
  <c r="W197" i="1"/>
  <c r="W157" i="1"/>
  <c r="W149" i="1"/>
  <c r="W107" i="1"/>
  <c r="W103" i="1"/>
  <c r="W101" i="1"/>
  <c r="W206" i="1"/>
  <c r="W201" i="1"/>
  <c r="W152" i="1"/>
  <c r="W148" i="1"/>
  <c r="W211" i="1"/>
  <c r="W196" i="1"/>
  <c r="W156" i="1"/>
  <c r="W217" i="1"/>
  <c r="W214" i="1"/>
  <c r="W207" i="1"/>
  <c r="W195" i="1"/>
  <c r="W155" i="1"/>
  <c r="W147" i="1"/>
  <c r="W192" i="1"/>
  <c r="W193" i="1"/>
  <c r="W190" i="1"/>
  <c r="W187" i="1"/>
  <c r="W142" i="1"/>
  <c r="W141" i="1"/>
  <c r="W140" i="1"/>
  <c r="W139" i="1"/>
  <c r="W138" i="1"/>
  <c r="W136" i="1"/>
  <c r="W135" i="1"/>
  <c r="W133" i="1"/>
  <c r="W131" i="1"/>
  <c r="W130" i="1"/>
  <c r="W129" i="1"/>
  <c r="W128" i="1"/>
  <c r="W123" i="1"/>
  <c r="W122" i="1"/>
  <c r="W121" i="1"/>
  <c r="W120" i="1"/>
  <c r="W119" i="1"/>
  <c r="W115" i="1"/>
  <c r="W114" i="1"/>
  <c r="W113" i="1"/>
  <c r="W112" i="1"/>
  <c r="W108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W106" i="1"/>
  <c r="W98" i="1"/>
  <c r="W183" i="1"/>
  <c r="W181" i="1"/>
  <c r="W104" i="1"/>
  <c r="W191" i="1"/>
  <c r="X99" i="1"/>
  <c r="X97" i="1"/>
  <c r="X194" i="1"/>
  <c r="X192" i="1"/>
  <c r="T172" i="1"/>
  <c r="U172" i="1" s="1"/>
  <c r="S172" i="1" s="1"/>
  <c r="X172" i="1"/>
  <c r="W170" i="1"/>
  <c r="W167" i="1"/>
  <c r="W159" i="1"/>
  <c r="W85" i="1"/>
  <c r="W77" i="1"/>
  <c r="W177" i="1"/>
  <c r="W174" i="1"/>
  <c r="W168" i="1"/>
  <c r="W188" i="1"/>
  <c r="W184" i="1"/>
  <c r="W182" i="1"/>
  <c r="W180" i="1"/>
  <c r="W94" i="1"/>
  <c r="W173" i="1"/>
  <c r="W172" i="1"/>
  <c r="W171" i="1"/>
  <c r="W169" i="1"/>
  <c r="W166" i="1"/>
  <c r="T175" i="1"/>
  <c r="U175" i="1" s="1"/>
  <c r="S175" i="1" s="1"/>
  <c r="X175" i="1"/>
  <c r="T173" i="1"/>
  <c r="U173" i="1" s="1"/>
  <c r="S173" i="1" s="1"/>
  <c r="X173" i="1"/>
  <c r="W92" i="1"/>
  <c r="W84" i="1"/>
  <c r="W76" i="1"/>
  <c r="W71" i="1"/>
  <c r="W66" i="1"/>
  <c r="T176" i="1"/>
  <c r="U176" i="1" s="1"/>
  <c r="S176" i="1" s="1"/>
  <c r="X176" i="1"/>
  <c r="T174" i="1"/>
  <c r="U174" i="1" s="1"/>
  <c r="S174" i="1" s="1"/>
  <c r="X174" i="1"/>
  <c r="W164" i="1"/>
  <c r="W90" i="1"/>
  <c r="W82" i="1"/>
  <c r="W74" i="1"/>
  <c r="W64" i="1"/>
  <c r="W161" i="1"/>
  <c r="W87" i="1"/>
  <c r="W79" i="1"/>
  <c r="W70" i="1"/>
  <c r="W63" i="1"/>
  <c r="W59" i="1"/>
  <c r="W49" i="1"/>
  <c r="W45" i="1"/>
  <c r="T170" i="1"/>
  <c r="U170" i="1" s="1"/>
  <c r="S170" i="1" s="1"/>
  <c r="X170" i="1"/>
  <c r="T93" i="1"/>
  <c r="U93" i="1" s="1"/>
  <c r="S93" i="1" s="1"/>
  <c r="X93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W60" i="1"/>
  <c r="W56" i="1"/>
  <c r="W52" i="1"/>
  <c r="W48" i="1"/>
  <c r="W44" i="1"/>
  <c r="W40" i="1"/>
  <c r="W61" i="1"/>
  <c r="W57" i="1"/>
  <c r="W55" i="1"/>
  <c r="W51" i="1"/>
  <c r="W47" i="1"/>
  <c r="W43" i="1"/>
  <c r="W39" i="1"/>
  <c r="T171" i="1"/>
  <c r="U171" i="1" s="1"/>
  <c r="S171" i="1" s="1"/>
  <c r="X171" i="1"/>
  <c r="T169" i="1"/>
  <c r="U169" i="1" s="1"/>
  <c r="S169" i="1" s="1"/>
  <c r="X169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W62" i="1"/>
  <c r="X60" i="1"/>
  <c r="W58" i="1"/>
  <c r="X56" i="1"/>
  <c r="W50" i="1"/>
  <c r="W46" i="1"/>
  <c r="W42" i="1"/>
  <c r="W32" i="1"/>
  <c r="W31" i="1"/>
  <c r="W29" i="1"/>
  <c r="W28" i="1"/>
  <c r="W27" i="1"/>
  <c r="W26" i="1"/>
  <c r="W23" i="1"/>
  <c r="W21" i="1"/>
  <c r="W20" i="1"/>
  <c r="W16" i="1"/>
  <c r="W15" i="1"/>
  <c r="W14" i="1"/>
  <c r="X70" i="1"/>
  <c r="X69" i="1"/>
  <c r="X68" i="1"/>
  <c r="X67" i="1"/>
  <c r="X66" i="1"/>
  <c r="X65" i="1"/>
  <c r="X6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C7" i="3"/>
  <c r="T12" i="3"/>
  <c r="AD12" i="3"/>
  <c r="AD11" i="3"/>
  <c r="T11" i="3"/>
  <c r="AE11" i="3"/>
  <c r="AD15" i="3"/>
  <c r="AE15" i="3"/>
  <c r="AD13" i="3"/>
  <c r="AD9" i="3"/>
  <c r="AC8" i="3"/>
  <c r="T19" i="3"/>
  <c r="AD19" i="3"/>
  <c r="AD8" i="3"/>
  <c r="AC21" i="3"/>
  <c r="AC20" i="3"/>
  <c r="AC17" i="3"/>
  <c r="AC14" i="3"/>
  <c r="Y14" i="3"/>
  <c r="Y18" i="3"/>
  <c r="Y12" i="3"/>
  <c r="Y11" i="3"/>
  <c r="Y21" i="3"/>
  <c r="Y17" i="3"/>
  <c r="Y20" i="3"/>
  <c r="Y19" i="3"/>
  <c r="Y13" i="3"/>
  <c r="Y15" i="3"/>
  <c r="Y10" i="3"/>
  <c r="Y16" i="3"/>
  <c r="Y8" i="3"/>
  <c r="Y7" i="3"/>
  <c r="Y9" i="3"/>
  <c r="AE21" i="3"/>
  <c r="T15" i="3"/>
  <c r="AE14" i="3"/>
  <c r="T10" i="3"/>
  <c r="AE10" i="3"/>
  <c r="T16" i="3"/>
  <c r="AE17" i="3"/>
  <c r="T8" i="3"/>
  <c r="AD21" i="3"/>
  <c r="AE20" i="3"/>
  <c r="T7" i="3"/>
  <c r="AD17" i="3"/>
  <c r="AE16" i="3"/>
  <c r="AD14" i="3"/>
  <c r="AE13" i="3"/>
  <c r="T9" i="3"/>
  <c r="AD10" i="3"/>
  <c r="AE9" i="3"/>
  <c r="T13" i="3"/>
  <c r="AE19" i="3"/>
  <c r="AE12" i="3"/>
  <c r="AE8" i="3"/>
  <c r="S22" i="3"/>
  <c r="R22" i="3"/>
  <c r="M22" i="3"/>
  <c r="U22" i="3"/>
  <c r="AC22" i="3" s="1"/>
  <c r="V22" i="3"/>
  <c r="X22" i="3"/>
  <c r="AE22" i="3" l="1"/>
  <c r="AD22" i="3"/>
  <c r="W22" i="3"/>
  <c r="T22" i="3" l="1"/>
  <c r="Y22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18" i="3" s="1"/>
  <c r="G35" i="4"/>
  <c r="G36" i="4"/>
  <c r="G37" i="4"/>
  <c r="G38" i="4"/>
  <c r="G39" i="4"/>
  <c r="G40" i="4"/>
  <c r="G41" i="4"/>
  <c r="G42" i="4"/>
  <c r="G43" i="4"/>
  <c r="G44" i="4"/>
  <c r="N16" i="3" s="1"/>
  <c r="G45" i="4"/>
  <c r="G46" i="4"/>
  <c r="G47" i="4"/>
  <c r="G48" i="4"/>
  <c r="G49" i="4"/>
  <c r="N11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10" i="3" s="1"/>
  <c r="G65" i="4"/>
  <c r="G66" i="4"/>
  <c r="G67" i="4"/>
  <c r="G68" i="4"/>
  <c r="G69" i="4"/>
  <c r="G70" i="4"/>
  <c r="G71" i="4"/>
  <c r="N12" i="3" s="1"/>
  <c r="G72" i="4"/>
  <c r="N20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17" i="3" s="1"/>
  <c r="G117" i="4"/>
  <c r="N7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15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22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N19" i="3" s="1"/>
  <c r="G193" i="4"/>
  <c r="G194" i="4"/>
  <c r="G195" i="4"/>
  <c r="N21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8" i="3" s="1"/>
  <c r="G211" i="4"/>
  <c r="G212" i="4"/>
  <c r="G213" i="4"/>
  <c r="N13" i="3" s="1"/>
  <c r="G214" i="4"/>
  <c r="G215" i="4"/>
  <c r="G216" i="4"/>
  <c r="G217" i="4"/>
  <c r="G218" i="4"/>
  <c r="G219" i="4"/>
  <c r="G220" i="4"/>
  <c r="G221" i="4"/>
  <c r="G222" i="4"/>
  <c r="G223" i="4"/>
  <c r="G2" i="4"/>
  <c r="N14" i="3" l="1"/>
  <c r="N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<sst xmlns="http://schemas.openxmlformats.org/spreadsheetml/2006/main" count="2656" uniqueCount="1074">
  <si>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</si>
  <si>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</si>
  <si>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</si>
  <si>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</si>
  <si>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</si>
  <si>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</si>
  <si>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</si>
  <si>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</si>
  <si>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</si>
  <si>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</si>
  <si>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</si>
  <si>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</si>
  <si>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</si>
  <si>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</si>
  <si>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</si>
  <si>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</si>
  <si>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</si>
  <si>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</si>
  <si>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</si>
  <si>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</si>
  <si>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</si>
  <si>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</si>
  <si>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</si>
  <si>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</si>
  <si>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</si>
  <si>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</si>
  <si>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</si>
  <si>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</si>
  <si>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</si>
  <si>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</si>
  <si>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</si>
  <si>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</si>
  <si>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</si>
  <si>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</si>
  <si>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</si>
  <si>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</si>
  <si>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</si>
  <si>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</si>
  <si>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</si>
  <si>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</si>
  <si>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</si>
  <si>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</si>
  <si>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</si>
  <si>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</si>
  <si>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</si>
  <si>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</si>
  <si>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</si>
  <si>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</si>
  <si>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</si>
  <si>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</si>
  <si>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</si>
  <si>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</si>
  <si>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</si>
  <si>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</si>
  <si>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</si>
  <si>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</si>
  <si>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</si>
  <si>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</si>
  <si>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</si>
  <si>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</si>
  <si>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</si>
  <si>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</si>
  <si>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</si>
  <si>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</si>
  <si>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</si>
  <si>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</si>
  <si>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</si>
  <si>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</si>
  <si>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</si>
  <si>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</si>
  <si>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</si>
  <si>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</si>
  <si>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</si>
  <si>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</si>
  <si>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</si>
  <si>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</si>
  <si>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</si>
  <si>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</si>
  <si>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</si>
  <si>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</si>
  <si>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</si>
  <si>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</si>
  <si>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</si>
  <si>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</si>
  <si>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</si>
  <si>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</si>
  <si>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</si>
  <si>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</si>
  <si>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</si>
  <si>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</si>
  <si>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</si>
  <si>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</si>
  <si>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</si>
  <si>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</si>
  <si>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</si>
  <si>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</si>
  <si>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</si>
  <si>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</si>
  <si>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</si>
  <si>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</si>
  <si>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</si>
  <si>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</si>
  <si>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</si>
  <si>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</si>
  <si>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</si>
  <si>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</si>
  <si>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</si>
  <si>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</si>
  <si>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</si>
  <si>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</si>
  <si>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</si>
  <si>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</si>
  <si>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</si>
  <si>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</si>
  <si>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</si>
  <si>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</si>
  <si>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</si>
  <si>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</si>
  <si>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</si>
  <si>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</si>
  <si>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</si>
  <si>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</si>
  <si>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</si>
  <si>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</si>
  <si>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</si>
  <si>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</si>
  <si>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</si>
  <si>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</si>
  <si>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</si>
  <si>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</si>
  <si>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</si>
  <si>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</si>
  <si>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</si>
  <si>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</si>
  <si>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</si>
  <si>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</si>
  <si>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</si>
  <si>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</si>
  <si>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</si>
  <si>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</si>
  <si>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</si>
  <si>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</si>
  <si>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</si>
  <si>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</si>
  <si>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</si>
  <si>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</si>
  <si>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</si>
  <si>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</si>
  <si>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</si>
  <si>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</si>
  <si>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</si>
  <si>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</si>
  <si>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</si>
  <si>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</si>
  <si>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</si>
  <si>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</si>
  <si>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</si>
  <si>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</si>
  <si>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</si>
  <si>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</si>
  <si>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</si>
  <si>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</si>
  <si>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</si>
  <si>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</si>
  <si>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</si>
  <si>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</si>
  <si>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</si>
  <si>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</si>
  <si>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</si>
  <si>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</si>
  <si>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</si>
  <si>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</si>
  <si>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</si>
  <si>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</si>
  <si>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</si>
  <si>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</si>
  <si>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</si>
  <si>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</si>
  <si>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</si>
  <si>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</si>
  <si>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</si>
  <si>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</si>
  <si>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</si>
  <si>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</si>
  <si>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</si>
  <si>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</si>
  <si>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</si>
  <si>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</si>
  <si>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</si>
  <si>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</si>
  <si>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</si>
  <si>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</si>
  <si>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</si>
  <si>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</si>
  <si>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</si>
  <si>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</si>
  <si>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</si>
  <si>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</si>
  <si>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</si>
  <si>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</si>
  <si>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</si>
  <si>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</si>
  <si>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</si>
  <si>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</si>
  <si>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</si>
  <si>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</si>
  <si>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</si>
  <si>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</si>
  <si>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</si>
  <si>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</si>
  <si>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</si>
  <si>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</si>
  <si>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</si>
  <si>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</si>
  <si>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</si>
  <si>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</si>
  <si>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</si>
  <si>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</si>
  <si>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</si>
  <si>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</si>
  <si>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</si>
  <si>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</si>
  <si>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</si>
  <si>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</si>
  <si>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</si>
  <si>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</si>
  <si>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</si>
  <si>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</si>
  <si>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</si>
  <si>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</si>
  <si>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</si>
  <si>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</si>
  <si>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</si>
  <si>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</si>
  <si>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</si>
  <si>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</si>
  <si>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</si>
  <si>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</si>
  <si>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</si>
  <si>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</si>
  <si>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</si>
  <si>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</si>
  <si>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</si>
  <si>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</si>
  <si>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</si>
  <si>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</si>
  <si>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</si>
  <si>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</si>
  <si>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</si>
  <si>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</si>
  <si>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</si>
  <si>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</si>
  <si>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</si>
  <si>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</si>
  <si>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</si>
  <si>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</si>
  <si>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</si>
  <si>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</si>
  <si>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</si>
  <si>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</si>
  <si>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</si>
  <si>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</si>
  <si>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</si>
  <si>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</si>
  <si>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</si>
  <si>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</si>
  <si>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</si>
  <si>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</si>
  <si>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</si>
  <si>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</si>
  <si>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</si>
  <si>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</si>
  <si>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</si>
  <si>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</si>
  <si>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</si>
  <si>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</si>
  <si>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</si>
  <si>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</si>
  <si>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</si>
  <si>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</si>
  <si>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</si>
  <si>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</si>
  <si>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</si>
  <si>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</si>
  <si>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</si>
  <si>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</si>
  <si>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</si>
  <si>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</si>
  <si>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</si>
  <si>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</si>
  <si>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</si>
  <si>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</si>
  <si>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</si>
  <si>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</si>
  <si>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</si>
  <si>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</si>
  <si>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</si>
  <si>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</si>
  <si>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</si>
  <si>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</si>
  <si>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</si>
  <si>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</si>
  <si>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</si>
  <si>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</si>
  <si>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</si>
  <si>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</si>
  <si>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</si>
  <si>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</si>
  <si>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</si>
  <si>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</si>
  <si>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</si>
  <si>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</si>
  <si>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</si>
  <si>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</si>
  <si>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</si>
  <si>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</si>
  <si>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</si>
  <si>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</si>
  <si>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</si>
  <si>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</si>
  <si>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</si>
  <si>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</si>
  <si>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</si>
  <si>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</si>
  <si>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</si>
  <si>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</si>
  <si>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</si>
  <si>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</si>
  <si>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</si>
  <si>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</si>
  <si>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</si>
  <si>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</si>
  <si>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</si>
  <si>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</si>
  <si>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</si>
  <si>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</si>
  <si>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</si>
  <si>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</si>
  <si>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</si>
  <si>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</si>
  <si>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</si>
  <si>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</si>
  <si>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</si>
  <si>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</si>
  <si>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</si>
  <si>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</si>
  <si>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</si>
  <si>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</si>
  <si>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</si>
  <si>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</si>
  <si>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</si>
  <si>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</si>
  <si>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</si>
  <si>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</si>
  <si>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</si>
  <si>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</si>
  <si>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</si>
  <si>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</si>
  <si>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</si>
  <si>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</si>
  <si>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</si>
  <si>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</si>
  <si>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</si>
  <si>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</si>
  <si>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</si>
  <si>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</si>
  <si>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</si>
  <si>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</si>
  <si>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</si>
  <si>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</si>
  <si>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</si>
  <si>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</si>
  <si>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</si>
  <si>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</si>
  <si>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</si>
  <si>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</si>
  <si>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</si>
  <si>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</si>
  <si>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</si>
  <si>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</si>
  <si>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</si>
  <si>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</si>
  <si>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</si>
  <si>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</si>
  <si>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</si>
  <si>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</si>
  <si>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</si>
  <si>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</si>
  <si>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</si>
  <si>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</si>
  <si>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</si>
  <si>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</si>
  <si>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</si>
  <si>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</si>
  <si>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</si>
  <si>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</si>
  <si>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</si>
  <si>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</si>
  <si>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</si>
  <si>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</si>
  <si>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</si>
  <si>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</si>
  <si>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</si>
  <si>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</si>
  <si>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</si>
  <si>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</si>
  <si>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</si>
  <si>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</si>
  <si>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</si>
  <si>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</si>
  <si>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</si>
  <si>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</si>
  <si>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</si>
  <si>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</si>
  <si>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</si>
  <si>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</si>
  <si>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</si>
  <si>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</si>
  <si>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</si>
  <si>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</si>
  <si>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</si>
  <si>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</si>
  <si>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</si>
  <si>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</si>
  <si>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</si>
  <si>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</si>
  <si>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</si>
  <si>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</si>
  <si>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</si>
  <si>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</si>
  <si>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</si>
  <si>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</si>
  <si>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</si>
  <si>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</si>
  <si>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</si>
  <si>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</si>
  <si>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</si>
  <si>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</si>
  <si>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</si>
  <si>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</si>
  <si>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</si>
  <si>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</si>
  <si>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</si>
  <si>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</si>
  <si>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</si>
  <si>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204:537</t>
  </si>
  <si>
    <t>rtdc.l.rtdc.4049:itc</t>
  </si>
  <si>
    <t>rtdc.l.rtdc.4050:itc</t>
  </si>
  <si>
    <t>AUSTIN</t>
  </si>
  <si>
    <t>204:528</t>
  </si>
  <si>
    <t>rtdc.l.rtdc.4042:itc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</si>
  <si>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</si>
  <si>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</si>
  <si>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</si>
  <si>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</si>
  <si>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</si>
  <si>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</si>
  <si>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</si>
  <si>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</si>
  <si>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</si>
  <si>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</si>
  <si>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</si>
  <si>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</si>
  <si>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</si>
  <si>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</si>
  <si>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</si>
  <si>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</si>
  <si>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</si>
  <si>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</si>
  <si>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204:524</t>
  </si>
  <si>
    <t>ELBAUM</t>
  </si>
  <si>
    <t>MIKE</t>
  </si>
  <si>
    <t>DAVID</t>
  </si>
  <si>
    <t>204:522</t>
  </si>
  <si>
    <t>204:497</t>
  </si>
  <si>
    <t>DAVIDSON</t>
  </si>
  <si>
    <t>204:211</t>
  </si>
  <si>
    <t>204:196</t>
  </si>
  <si>
    <t>204:212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</si>
  <si>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</si>
  <si>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</si>
  <si>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</si>
  <si>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</si>
  <si>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</si>
  <si>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</si>
  <si>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</si>
  <si>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</si>
  <si>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204:203</t>
  </si>
  <si>
    <t>204:515</t>
  </si>
  <si>
    <t>rtdc.l.rtdc.4056:itc</t>
  </si>
  <si>
    <t>rtdc.l.rtdc.4054:itc</t>
  </si>
  <si>
    <t>rtdc.l.rtdc.4053:itc</t>
  </si>
  <si>
    <t>204:509</t>
  </si>
  <si>
    <t>rtdc.l.rtdc.4014:itc</t>
  </si>
  <si>
    <t>rtdc.l.rtdc.4013:itc</t>
  </si>
  <si>
    <t>311-21</t>
  </si>
  <si>
    <t>BRUDER</t>
  </si>
  <si>
    <t>RICHARD</t>
  </si>
  <si>
    <t>DE LA ROSA</t>
  </si>
  <si>
    <t>ALEX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</si>
  <si>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</si>
  <si>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</si>
  <si>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</si>
  <si>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</si>
  <si>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</si>
  <si>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</si>
  <si>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</si>
  <si>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</si>
  <si>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204:546</t>
  </si>
  <si>
    <t>204:225</t>
  </si>
  <si>
    <t>204:233264</t>
  </si>
  <si>
    <t>rtdc.l.rtdc.4023:itc</t>
  </si>
  <si>
    <t>rtdc.l.rtdc.4015:itc</t>
  </si>
  <si>
    <t>rtdc.l.rtdc.4001:itc</t>
  </si>
  <si>
    <t>rtdc.l.rtdc.4006:itc</t>
  </si>
  <si>
    <t>rtdc.l.rtdc.4016:itc</t>
  </si>
  <si>
    <t>241-22</t>
  </si>
  <si>
    <t>240-22</t>
  </si>
  <si>
    <t>rtdc.l.rtdc.4002:itc</t>
  </si>
  <si>
    <t>rtdc.l.rtdc.4005:itc</t>
  </si>
  <si>
    <t>rtdc.l.rtdc.4024:itc</t>
  </si>
  <si>
    <t>232-22</t>
  </si>
  <si>
    <t>88-22</t>
  </si>
  <si>
    <t>237-22</t>
  </si>
  <si>
    <t>234-22</t>
  </si>
  <si>
    <t>89-22</t>
  </si>
  <si>
    <t>236-22</t>
  </si>
  <si>
    <t>239-22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</si>
  <si>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</si>
  <si>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</si>
  <si>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</si>
  <si>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</si>
  <si>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</si>
  <si>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</si>
  <si>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</si>
  <si>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</si>
  <si>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</si>
  <si>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</si>
  <si>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204:262</t>
  </si>
  <si>
    <t>204:231</t>
  </si>
  <si>
    <t>204:265</t>
  </si>
  <si>
    <t>rtdc.l.rtdc.4032:itc</t>
  </si>
  <si>
    <t>rtdc.l.rtdc.4021:itc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</si>
  <si>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</si>
  <si>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</si>
  <si>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</si>
  <si>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</si>
  <si>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</si>
  <si>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</si>
  <si>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</si>
  <si>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</si>
  <si>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204:169</t>
  </si>
  <si>
    <t>204:192</t>
  </si>
  <si>
    <t>204:442</t>
  </si>
  <si>
    <t>204:233270</t>
  </si>
  <si>
    <t>204:191</t>
  </si>
  <si>
    <t>204:232943</t>
  </si>
  <si>
    <t>204:233253</t>
  </si>
  <si>
    <t>204:233247</t>
  </si>
  <si>
    <t>204:233192</t>
  </si>
  <si>
    <t>204:559</t>
  </si>
  <si>
    <t>204:189</t>
  </si>
  <si>
    <t>rtdc.l.rtdc.4009:itc</t>
  </si>
  <si>
    <t>LESTER</t>
  </si>
  <si>
    <t>GEBRETEKLE</t>
  </si>
  <si>
    <t>DAGNEW</t>
  </si>
  <si>
    <t>MACDONALD</t>
  </si>
  <si>
    <t>THOMAS</t>
  </si>
  <si>
    <t>LAMAR</t>
  </si>
  <si>
    <t>NEKESHA</t>
  </si>
  <si>
    <t>HOLCOMB</t>
  </si>
  <si>
    <t>KAMDEN</t>
  </si>
  <si>
    <t>DELGADO</t>
  </si>
  <si>
    <t>DIANAH</t>
  </si>
  <si>
    <t>204:506</t>
  </si>
  <si>
    <t>204:233297</t>
  </si>
  <si>
    <t>204:233000</t>
  </si>
  <si>
    <t>204:209</t>
  </si>
  <si>
    <t>204:535</t>
  </si>
  <si>
    <t>204:233295</t>
  </si>
  <si>
    <t>204:232915</t>
  </si>
  <si>
    <t>204:201</t>
  </si>
  <si>
    <t>204:218</t>
  </si>
  <si>
    <t>204:500</t>
  </si>
  <si>
    <t>204:233236</t>
  </si>
  <si>
    <t>204:233218</t>
  </si>
  <si>
    <t>300:58673</t>
  </si>
  <si>
    <t>204:511</t>
  </si>
  <si>
    <t>204:233255</t>
  </si>
  <si>
    <t>204:232930</t>
  </si>
  <si>
    <t>204:233259</t>
  </si>
  <si>
    <t>204:508</t>
  </si>
  <si>
    <t>204:232932</t>
  </si>
  <si>
    <t>204:233184</t>
  </si>
  <si>
    <t>204:542</t>
  </si>
  <si>
    <t>204:158</t>
  </si>
  <si>
    <t>Poor GPS under Wewatta St. overpass</t>
  </si>
  <si>
    <t>TRACK WARRANT AUTHORITY</t>
  </si>
  <si>
    <t>Form based authority (4)</t>
  </si>
  <si>
    <t>rtdc.l.rtdc.4044:itc</t>
  </si>
  <si>
    <t>rtdc.l.rtdc.4027:itc</t>
  </si>
  <si>
    <t>PAGE</t>
  </si>
  <si>
    <t>MARCUS</t>
  </si>
  <si>
    <t>rtdc.l.rtdc.4058:itc</t>
  </si>
  <si>
    <t>rtdc.l.rtdc.4057:itc</t>
  </si>
  <si>
    <t>GONZALEZ</t>
  </si>
  <si>
    <t>ARMANDO</t>
  </si>
  <si>
    <t>309-02</t>
  </si>
  <si>
    <t>246-02</t>
  </si>
  <si>
    <t>311-02</t>
  </si>
  <si>
    <t>313-02</t>
  </si>
  <si>
    <t>precipType</t>
  </si>
  <si>
    <t>rain</t>
  </si>
  <si>
    <t>204:783</t>
  </si>
  <si>
    <t>204:232896</t>
  </si>
  <si>
    <t>204:200</t>
  </si>
  <si>
    <t>204:478</t>
  </si>
  <si>
    <t>204:232860</t>
  </si>
  <si>
    <t>204:232865</t>
  </si>
  <si>
    <t>204:232888</t>
  </si>
  <si>
    <t>204:205</t>
  </si>
  <si>
    <t>204:233257</t>
  </si>
  <si>
    <t>204:232978</t>
  </si>
  <si>
    <t>204:232881</t>
  </si>
  <si>
    <t>204:498</t>
  </si>
  <si>
    <t>204:548</t>
  </si>
  <si>
    <t>204:238</t>
  </si>
  <si>
    <t>204:233213</t>
  </si>
  <si>
    <t>204:220</t>
  </si>
  <si>
    <t>204:160</t>
  </si>
  <si>
    <t>204:232945</t>
  </si>
  <si>
    <t>204:232890</t>
  </si>
  <si>
    <t>204:227</t>
  </si>
  <si>
    <t>204:531</t>
  </si>
  <si>
    <t>204:232898</t>
  </si>
  <si>
    <t>204:233216</t>
  </si>
  <si>
    <t>204:233220</t>
  </si>
  <si>
    <t>204:551</t>
  </si>
  <si>
    <t>300:58986</t>
  </si>
  <si>
    <t>300:58670</t>
  </si>
  <si>
    <t>204:455</t>
  </si>
  <si>
    <t>204:164</t>
  </si>
  <si>
    <t>204:466</t>
  </si>
  <si>
    <t>300:58967</t>
  </si>
  <si>
    <t>300:58651</t>
  </si>
  <si>
    <t>204:216</t>
  </si>
  <si>
    <t>300:58958</t>
  </si>
  <si>
    <t>300:58647</t>
  </si>
  <si>
    <t>204:468</t>
  </si>
  <si>
    <t>204:146</t>
  </si>
  <si>
    <t>204:448</t>
  </si>
  <si>
    <t>300:58623</t>
  </si>
  <si>
    <t>204:151</t>
  </si>
  <si>
    <t>204:142</t>
  </si>
  <si>
    <t>204:444</t>
  </si>
  <si>
    <t>204:433</t>
  </si>
  <si>
    <t>204:149</t>
  </si>
  <si>
    <t>300:58643</t>
  </si>
  <si>
    <t>204:148</t>
  </si>
  <si>
    <t>204:233274</t>
  </si>
  <si>
    <t>204:194</t>
  </si>
  <si>
    <t>300:58995</t>
  </si>
  <si>
    <t>204:233223</t>
  </si>
  <si>
    <t>204:232909</t>
  </si>
  <si>
    <t>204:233193</t>
  </si>
  <si>
    <t>204:566</t>
  </si>
  <si>
    <t>204:251</t>
  </si>
  <si>
    <t>204:232882</t>
  </si>
  <si>
    <t>204:529</t>
  </si>
  <si>
    <t>204:562</t>
  </si>
  <si>
    <t>204:539</t>
  </si>
  <si>
    <t>204:242</t>
  </si>
  <si>
    <t>204:233182</t>
  </si>
  <si>
    <t>204:232996</t>
  </si>
  <si>
    <t>204:232936</t>
  </si>
  <si>
    <t>300:23301</t>
  </si>
  <si>
    <t>204:526</t>
  </si>
  <si>
    <t>300:23310</t>
  </si>
  <si>
    <t>Onboard en route failure</t>
  </si>
  <si>
    <t>rtdc.l.rtdc.4003:itc</t>
  </si>
  <si>
    <t>300-09</t>
  </si>
  <si>
    <t>1800-09</t>
  </si>
  <si>
    <t>112-09</t>
  </si>
  <si>
    <t>125-09</t>
  </si>
  <si>
    <t>124-09</t>
  </si>
  <si>
    <t>126-09</t>
  </si>
  <si>
    <t>134-09</t>
  </si>
  <si>
    <t>140-09</t>
  </si>
  <si>
    <t>1808-09</t>
  </si>
  <si>
    <t>1809-09</t>
  </si>
  <si>
    <t>1813-09</t>
  </si>
  <si>
    <t>1815-09</t>
  </si>
  <si>
    <t>1816-09</t>
  </si>
  <si>
    <t>174-09</t>
  </si>
  <si>
    <t>198-09</t>
  </si>
  <si>
    <t>1831-09</t>
  </si>
  <si>
    <t>1832-09</t>
  </si>
  <si>
    <t>240-09</t>
  </si>
  <si>
    <t>245-09</t>
  </si>
  <si>
    <t>Early Arrival</t>
  </si>
  <si>
    <t>rtdc.l.rtdc.4063:itc</t>
  </si>
  <si>
    <t>rtdc.l.rtdc.4064:itc</t>
  </si>
  <si>
    <t>246-08</t>
  </si>
  <si>
    <t>101-09</t>
  </si>
  <si>
    <t>302-09</t>
  </si>
  <si>
    <t>rtdc.l.rtdc.4004:itc</t>
  </si>
  <si>
    <t>51-09</t>
  </si>
  <si>
    <t>52-09</t>
  </si>
  <si>
    <t>103-09</t>
  </si>
  <si>
    <t>304-09</t>
  </si>
  <si>
    <t>306-09</t>
  </si>
  <si>
    <t>105-09</t>
  </si>
  <si>
    <t>102-09</t>
  </si>
  <si>
    <t>308-09</t>
  </si>
  <si>
    <t>107-09</t>
  </si>
  <si>
    <t>104-09</t>
  </si>
  <si>
    <t>109-09</t>
  </si>
  <si>
    <t>310-09</t>
  </si>
  <si>
    <t>111-09</t>
  </si>
  <si>
    <t>106-09</t>
  </si>
  <si>
    <t>108-09</t>
  </si>
  <si>
    <t>312-09</t>
  </si>
  <si>
    <t>113-09</t>
  </si>
  <si>
    <t>1901-09</t>
  </si>
  <si>
    <t>110-09</t>
  </si>
  <si>
    <t>115-09</t>
  </si>
  <si>
    <t>117-09</t>
  </si>
  <si>
    <t>119-09</t>
  </si>
  <si>
    <t>1801-09</t>
  </si>
  <si>
    <t>114-09</t>
  </si>
  <si>
    <t>121-09</t>
  </si>
  <si>
    <t>116-09</t>
  </si>
  <si>
    <t>1802-09</t>
  </si>
  <si>
    <t>123-09</t>
  </si>
  <si>
    <t>118-09</t>
  </si>
  <si>
    <t>120-09</t>
  </si>
  <si>
    <t>122-09</t>
  </si>
  <si>
    <t>1803-09</t>
  </si>
  <si>
    <t>127-09</t>
  </si>
  <si>
    <t>129-09</t>
  </si>
  <si>
    <t>131-09</t>
  </si>
  <si>
    <t>1804-09</t>
  </si>
  <si>
    <t>133-09</t>
  </si>
  <si>
    <t>128-09</t>
  </si>
  <si>
    <t>135-09</t>
  </si>
  <si>
    <t>130-09</t>
  </si>
  <si>
    <t>1805-09</t>
  </si>
  <si>
    <t>137-09</t>
  </si>
  <si>
    <t>132-09</t>
  </si>
  <si>
    <t>1806-09</t>
  </si>
  <si>
    <t>139-09</t>
  </si>
  <si>
    <t>136-09</t>
  </si>
  <si>
    <t>141-09</t>
  </si>
  <si>
    <t>138-09</t>
  </si>
  <si>
    <t>143-09</t>
  </si>
  <si>
    <t>1807-09</t>
  </si>
  <si>
    <t>145-09</t>
  </si>
  <si>
    <t>147-09</t>
  </si>
  <si>
    <t>149-09</t>
  </si>
  <si>
    <t>142-09</t>
  </si>
  <si>
    <t>144-09</t>
  </si>
  <si>
    <t>151-09</t>
  </si>
  <si>
    <t>153-09</t>
  </si>
  <si>
    <t>146-09</t>
  </si>
  <si>
    <t>148-09</t>
  </si>
  <si>
    <t>150-09</t>
  </si>
  <si>
    <t>1810-09</t>
  </si>
  <si>
    <t>155-09</t>
  </si>
  <si>
    <t>152-09</t>
  </si>
  <si>
    <t>157-09</t>
  </si>
  <si>
    <t>159-09</t>
  </si>
  <si>
    <t>1811-09</t>
  </si>
  <si>
    <t>154-09</t>
  </si>
  <si>
    <t>161-09</t>
  </si>
  <si>
    <t>DAVIS</t>
  </si>
  <si>
    <t>163-09</t>
  </si>
  <si>
    <t>156-09</t>
  </si>
  <si>
    <t>1812-09</t>
  </si>
  <si>
    <t>165-09</t>
  </si>
  <si>
    <t>158-09</t>
  </si>
  <si>
    <t>160-09</t>
  </si>
  <si>
    <t>167-09</t>
  </si>
  <si>
    <t>169-09</t>
  </si>
  <si>
    <t>162-09</t>
  </si>
  <si>
    <t>164-09</t>
  </si>
  <si>
    <t>1814-09</t>
  </si>
  <si>
    <t>171-09</t>
  </si>
  <si>
    <t>166-09</t>
  </si>
  <si>
    <t>173-09</t>
  </si>
  <si>
    <t>53-09</t>
  </si>
  <si>
    <t>168-09</t>
  </si>
  <si>
    <t>175-09</t>
  </si>
  <si>
    <t>170-09</t>
  </si>
  <si>
    <t>177-09</t>
  </si>
  <si>
    <t>68-09</t>
  </si>
  <si>
    <t>172-09</t>
  </si>
  <si>
    <t>179-09</t>
  </si>
  <si>
    <t>181-09</t>
  </si>
  <si>
    <t>183-09</t>
  </si>
  <si>
    <t>178-09</t>
  </si>
  <si>
    <t>176-09</t>
  </si>
  <si>
    <t>1817-09</t>
  </si>
  <si>
    <t>185-09</t>
  </si>
  <si>
    <t>180-09</t>
  </si>
  <si>
    <t>187-09</t>
  </si>
  <si>
    <t>1818-09</t>
  </si>
  <si>
    <t>182-09</t>
  </si>
  <si>
    <t>189-09</t>
  </si>
  <si>
    <t>184-09</t>
  </si>
  <si>
    <t>191-09</t>
  </si>
  <si>
    <t>1819-09</t>
  </si>
  <si>
    <t>186-09</t>
  </si>
  <si>
    <t>193-09</t>
  </si>
  <si>
    <t>188-09</t>
  </si>
  <si>
    <t>195-09</t>
  </si>
  <si>
    <t>1820-09</t>
  </si>
  <si>
    <t>197-09</t>
  </si>
  <si>
    <t>192-09</t>
  </si>
  <si>
    <t>190-09</t>
  </si>
  <si>
    <t>194-09</t>
  </si>
  <si>
    <t>199-09</t>
  </si>
  <si>
    <t>1821-09</t>
  </si>
  <si>
    <t>201-09</t>
  </si>
  <si>
    <t>196-09</t>
  </si>
  <si>
    <t>1822-09</t>
  </si>
  <si>
    <t>203-09</t>
  </si>
  <si>
    <t>205-09</t>
  </si>
  <si>
    <t>50-09</t>
  </si>
  <si>
    <t>200-09</t>
  </si>
  <si>
    <t>207-09</t>
  </si>
  <si>
    <t>1823-09</t>
  </si>
  <si>
    <t>202-09</t>
  </si>
  <si>
    <t>209-09</t>
  </si>
  <si>
    <t>211-09</t>
  </si>
  <si>
    <t>204-09</t>
  </si>
  <si>
    <t>206-09</t>
  </si>
  <si>
    <t>1824-09</t>
  </si>
  <si>
    <t>213-09</t>
  </si>
  <si>
    <t>208-09</t>
  </si>
  <si>
    <t>rtdc.l.rtdc.4065:itc</t>
  </si>
  <si>
    <t>80-09</t>
  </si>
  <si>
    <t>WEST</t>
  </si>
  <si>
    <t>BRYAN</t>
  </si>
  <si>
    <t>215-09</t>
  </si>
  <si>
    <t>1825-09</t>
  </si>
  <si>
    <t>210-09</t>
  </si>
  <si>
    <t>217-09</t>
  </si>
  <si>
    <t>212-09</t>
  </si>
  <si>
    <t>219-09</t>
  </si>
  <si>
    <t>214-09</t>
  </si>
  <si>
    <t>1826-09</t>
  </si>
  <si>
    <t>301-09</t>
  </si>
  <si>
    <t>218-09</t>
  </si>
  <si>
    <t>216-09</t>
  </si>
  <si>
    <t>221-09</t>
  </si>
  <si>
    <t>1827-09</t>
  </si>
  <si>
    <t>303-09</t>
  </si>
  <si>
    <t>220-09</t>
  </si>
  <si>
    <t>223-09</t>
  </si>
  <si>
    <t>1828-09</t>
  </si>
  <si>
    <t>305-09</t>
  </si>
  <si>
    <t>222-09</t>
  </si>
  <si>
    <t>225-09</t>
  </si>
  <si>
    <t>1829-09</t>
  </si>
  <si>
    <t>227-09</t>
  </si>
  <si>
    <t>224-09</t>
  </si>
  <si>
    <t>1830-09</t>
  </si>
  <si>
    <t>226-09</t>
  </si>
  <si>
    <t>229-09</t>
  </si>
  <si>
    <t>231-09</t>
  </si>
  <si>
    <t>228-09</t>
  </si>
  <si>
    <t>233-09</t>
  </si>
  <si>
    <t>230-09</t>
  </si>
  <si>
    <t>1833-09</t>
  </si>
  <si>
    <t>232-09</t>
  </si>
  <si>
    <t>235-09</t>
  </si>
  <si>
    <t>1834-09</t>
  </si>
  <si>
    <t>234-09</t>
  </si>
  <si>
    <t>237-09</t>
  </si>
  <si>
    <t>1835-09</t>
  </si>
  <si>
    <t>239-09</t>
  </si>
  <si>
    <t>236-09</t>
  </si>
  <si>
    <t>1902-09</t>
  </si>
  <si>
    <t>241-09</t>
  </si>
  <si>
    <t>238-09</t>
  </si>
  <si>
    <t>243-09</t>
  </si>
  <si>
    <t>242-09</t>
  </si>
  <si>
    <t>307-09</t>
  </si>
  <si>
    <t>244-09</t>
  </si>
  <si>
    <t>309-09</t>
  </si>
  <si>
    <t>246-09</t>
  </si>
  <si>
    <t>311-09</t>
  </si>
  <si>
    <t>300-10</t>
  </si>
  <si>
    <t>204:921</t>
  </si>
  <si>
    <t>204:232957</t>
  </si>
  <si>
    <t>204:233312</t>
  </si>
  <si>
    <t>204:232988</t>
  </si>
  <si>
    <t>204:181</t>
  </si>
  <si>
    <t>204:233190</t>
  </si>
  <si>
    <t>204:232884</t>
  </si>
  <si>
    <t>204:467</t>
  </si>
  <si>
    <t>204:232981</t>
  </si>
  <si>
    <t>204:163</t>
  </si>
  <si>
    <t>204:233001</t>
  </si>
  <si>
    <t>204:139</t>
  </si>
  <si>
    <t>204:247</t>
  </si>
  <si>
    <t>204:233240</t>
  </si>
  <si>
    <t>204:486</t>
  </si>
  <si>
    <t>204:233310</t>
  </si>
  <si>
    <t>204:198</t>
  </si>
  <si>
    <t>204:517</t>
  </si>
  <si>
    <t>204:232970</t>
  </si>
  <si>
    <t>204:233305</t>
  </si>
  <si>
    <t>204:232982</t>
  </si>
  <si>
    <t>204:464</t>
  </si>
  <si>
    <t>204:233321</t>
  </si>
  <si>
    <t>204:232993</t>
  </si>
  <si>
    <t>204:147</t>
  </si>
  <si>
    <t>204:234</t>
  </si>
  <si>
    <t>204:233289</t>
  </si>
  <si>
    <t>204:233219</t>
  </si>
  <si>
    <t>204:187</t>
  </si>
  <si>
    <t>204:233201</t>
  </si>
  <si>
    <t>204:457</t>
  </si>
  <si>
    <t>204:223</t>
  </si>
  <si>
    <t>204:440</t>
  </si>
  <si>
    <t>204:233301</t>
  </si>
  <si>
    <t>204:232926</t>
  </si>
  <si>
    <t>204:1162</t>
  </si>
  <si>
    <t>204:233300</t>
  </si>
  <si>
    <t>204:232994</t>
  </si>
  <si>
    <t>204:233251</t>
  </si>
  <si>
    <t>204:233195</t>
  </si>
  <si>
    <t>204:232952</t>
  </si>
  <si>
    <t>204:233298</t>
  </si>
  <si>
    <t>204:462</t>
  </si>
  <si>
    <t>204:232953</t>
  </si>
  <si>
    <t>204:233287</t>
  </si>
  <si>
    <t>204:232966</t>
  </si>
  <si>
    <t>204:233207</t>
  </si>
  <si>
    <t>204:232892</t>
  </si>
  <si>
    <t>204:221</t>
  </si>
  <si>
    <t>204:233328</t>
  </si>
  <si>
    <t>204:449</t>
  </si>
  <si>
    <t>204:176</t>
  </si>
  <si>
    <t>204:232959</t>
  </si>
  <si>
    <t>204:233266</t>
  </si>
  <si>
    <t>204:232960</t>
  </si>
  <si>
    <t>204:260</t>
  </si>
  <si>
    <t>204:232969</t>
  </si>
  <si>
    <t>204:178</t>
  </si>
  <si>
    <t>204:1471</t>
  </si>
  <si>
    <t>204:233211</t>
  </si>
  <si>
    <t>204:174</t>
  </si>
  <si>
    <t>204:233302</t>
  </si>
  <si>
    <t>204:232977</t>
  </si>
  <si>
    <t>204:233263</t>
  </si>
  <si>
    <t>204:232934</t>
  </si>
  <si>
    <t>204:495</t>
  </si>
  <si>
    <t>300:58675</t>
  </si>
  <si>
    <t>300:58984</t>
  </si>
  <si>
    <t>300:58666</t>
  </si>
  <si>
    <t>204:439</t>
  </si>
  <si>
    <t>300:58980</t>
  </si>
  <si>
    <t>300:58664</t>
  </si>
  <si>
    <t>204:167</t>
  </si>
  <si>
    <t>204:453</t>
  </si>
  <si>
    <t>300:58660</t>
  </si>
  <si>
    <t>204:4582</t>
  </si>
  <si>
    <t>300:58978</t>
  </si>
  <si>
    <t>300:58952</t>
  </si>
  <si>
    <t>204:157</t>
  </si>
  <si>
    <t>300:58992</t>
  </si>
  <si>
    <t>300:58677</t>
  </si>
  <si>
    <t>204:175</t>
  </si>
  <si>
    <t>300:58630</t>
  </si>
  <si>
    <t>204:232938</t>
  </si>
  <si>
    <t>300:58658</t>
  </si>
  <si>
    <t>204:441</t>
  </si>
  <si>
    <t>300:58973</t>
  </si>
  <si>
    <t>300:58653</t>
  </si>
  <si>
    <t>300:58935</t>
  </si>
  <si>
    <t>300:58632</t>
  </si>
  <si>
    <t>300:58946</t>
  </si>
  <si>
    <t>300:58628</t>
  </si>
  <si>
    <t>204:144</t>
  </si>
  <si>
    <t>204:435</t>
  </si>
  <si>
    <t>300:58982</t>
  </si>
  <si>
    <t>204:233304</t>
  </si>
  <si>
    <t>204:446</t>
  </si>
  <si>
    <t>300:58954</t>
  </si>
  <si>
    <t>204:4673</t>
  </si>
  <si>
    <t>204:138</t>
  </si>
  <si>
    <t>300:58965</t>
  </si>
  <si>
    <t>204:484</t>
  </si>
  <si>
    <t>204:233227</t>
  </si>
  <si>
    <t>204:232908</t>
  </si>
  <si>
    <t>204:233286</t>
  </si>
  <si>
    <t>300:30199</t>
  </si>
  <si>
    <t>300:58990</t>
  </si>
  <si>
    <t>300:58645</t>
  </si>
  <si>
    <t>300:28761</t>
  </si>
  <si>
    <t>204:232961</t>
  </si>
  <si>
    <t>204:178738</t>
  </si>
  <si>
    <t>204:1165</t>
  </si>
  <si>
    <t>204:233314</t>
  </si>
  <si>
    <t>204:232990</t>
  </si>
  <si>
    <t>204:232900</t>
  </si>
  <si>
    <t>204:232856</t>
  </si>
  <si>
    <t>204:64684</t>
  </si>
  <si>
    <t>204:544</t>
  </si>
  <si>
    <t>204:233167</t>
  </si>
  <si>
    <t>204:233179</t>
  </si>
  <si>
    <t>204:232855</t>
  </si>
  <si>
    <t>204:493</t>
  </si>
  <si>
    <t>204:233181</t>
  </si>
  <si>
    <t>204:540</t>
  </si>
  <si>
    <t>204:232863</t>
  </si>
  <si>
    <t>204:263</t>
  </si>
  <si>
    <t>204:233186</t>
  </si>
  <si>
    <t>204:232861</t>
  </si>
  <si>
    <t>204:232965</t>
  </si>
  <si>
    <t>204:232867</t>
  </si>
  <si>
    <t>204:577</t>
  </si>
  <si>
    <t>204:233303</t>
  </si>
  <si>
    <t>204:232975</t>
  </si>
  <si>
    <t>204:233176</t>
  </si>
  <si>
    <t>204:232955</t>
  </si>
  <si>
    <t>204:14261</t>
  </si>
  <si>
    <t>300:23591</t>
  </si>
  <si>
    <t>204:584</t>
  </si>
  <si>
    <t>300:23302</t>
  </si>
  <si>
    <t>300:19517</t>
  </si>
  <si>
    <t>204:488</t>
  </si>
  <si>
    <t>300:23306</t>
  </si>
  <si>
    <t>300:23444</t>
  </si>
  <si>
    <t>300:23291</t>
  </si>
  <si>
    <t>300:23277</t>
  </si>
  <si>
    <t>300:22159</t>
  </si>
  <si>
    <t>300:23624</t>
  </si>
  <si>
    <t>300:23312</t>
  </si>
  <si>
    <t>300:23654</t>
  </si>
  <si>
    <t>204:3302</t>
  </si>
  <si>
    <t>204:3546</t>
  </si>
  <si>
    <t>204:1462</t>
  </si>
  <si>
    <t>204:3513</t>
  </si>
  <si>
    <t>204:1473</t>
  </si>
  <si>
    <t>204:3593</t>
  </si>
  <si>
    <t>204:1143</t>
  </si>
  <si>
    <t>300:23308</t>
  </si>
  <si>
    <t>204:3231</t>
  </si>
  <si>
    <t>204:1167</t>
  </si>
  <si>
    <t>204:3197</t>
  </si>
  <si>
    <t>204:134</t>
  </si>
  <si>
    <t>300:22252</t>
  </si>
  <si>
    <t>300:23588</t>
  </si>
  <si>
    <t>204:1418</t>
  </si>
  <si>
    <t>start /low /b %USERPROFILE%\Documents\GitHub\eaglep3\Utilities\DownloadLogsFromS3.py --loco 4004 --day 2017-12-09</t>
  </si>
  <si>
    <t>start /low /b %USERPROFILE%\Documents\GitHub\eaglep3\Utilities\DownloadLogsFromS3.py --loco 4006 --day 2017-12-09</t>
  </si>
  <si>
    <t>start /low /b %USERPROFILE%\Documents\GitHub\eaglep3\Utilities\DownloadLogsFromS3.py --loco 4005 --day 2017-12-10</t>
  </si>
  <si>
    <t>start /low /b %USERPROFILE%\Documents\GitHub\eaglep3\Utilities\DownloadLogsFromS3.py --loco 4029 --day 2017-12-09</t>
  </si>
  <si>
    <t>start /low /b %USERPROFILE%\Documents\GitHub\eaglep3\Utilities\DownloadLogsFromS3.py --loco 4059 --day 2017-12-09</t>
  </si>
  <si>
    <t>start /low /b %USERPROFILE%\Documents\GitHub\eaglep3\Utilities\DownloadLogsFromS3.py --loco 4013 --day 2017-12-10</t>
  </si>
  <si>
    <t>start /low /b %USERPROFILE%\Documents\GitHub\eaglep3\Utilities\DownloadLogsFromS3.py --loco 4027 --day 2017-12-09</t>
  </si>
  <si>
    <t>start /low /b %USERPROFILE%\Documents\GitHub\eaglep3\Utilities\DownloadLogsFromS3.py --loco 4057 --day 2017-12-09</t>
  </si>
  <si>
    <t>start /low /b %USERPROFILE%\Documents\GitHub\eaglep3\Utilities\DownloadLogsFromS3.py --loco 4006 --day 2017-12-10</t>
  </si>
  <si>
    <t>start /low /b %USERPROFILE%\Documents\GitHub\eaglep3\Utilities\DownloadLogsFromS3.py --loco 4035 --day 2017-12-10</t>
  </si>
  <si>
    <t>start /low /b %USERPROFILE%\Documents\GitHub\eaglep3\Utilities\DownloadLogsFromS3.py --loco 4060 --day 2017-12-09</t>
  </si>
  <si>
    <t>start /low /b %USERPROFILE%\Documents\GitHub\eaglep3\Utilities\DownloadLogsFromS3.py --loco 4030 --day 2017-12-10</t>
  </si>
  <si>
    <t>start /low /b %USERPROFILE%\Documents\GitHub\eaglep3\Utilities\DownloadLogsFromS3.py --loco 4029 --day 2017-12-10</t>
  </si>
  <si>
    <t>False occupancy caused 4S CP Bright to drop in front of train</t>
  </si>
  <si>
    <t>Operator reported overspeed penalty, no PTC issues observed</t>
  </si>
  <si>
    <t>CCROC/crew/equipment mismatch</t>
  </si>
  <si>
    <t>Minor onboard en route failure caused signal unknown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</si>
</sst>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</cellStyleXfs>
  <cellXfs count="252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0" xfId="0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0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1" fillId="0" borderId="0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0" fillId="0" borderId="0" xfId="3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/>
    <xf numFmtId="0" fontId="14" fillId="6" borderId="5" xfId="0" applyFont="1" applyFill="1" applyBorder="1" applyAlignment="1">
      <alignment horizontal="center" vertical="center" wrapText="1"/>
    </xf>
    <xf numFmtId="0" fontId="14" fillId="8" borderId="5" xfId="0" applyFont="1" applyFill="1" applyBorder="1" applyAlignment="1">
      <alignment horizontal="center" vertical="center" wrapText="1"/>
    </xf>
    <xf numFmtId="0" fontId="14" fillId="5" borderId="5" xfId="0" applyFont="1" applyFill="1" applyBorder="1"/>
    <xf numFmtId="0" fontId="12" fillId="0" borderId="5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12" fillId="0" borderId="5" xfId="0" applyNumberFormat="1" applyFont="1" applyFill="1" applyBorder="1" applyAlignment="1">
      <alignment horizontal="center" vertical="center" wrapText="1"/>
    </xf>
    <xf numFmtId="0" fontId="16" fillId="6" borderId="0" xfId="0" applyFont="1" applyFill="1"/>
    <xf numFmtId="0" fontId="17" fillId="0" borderId="0" xfId="0" applyFont="1" applyFill="1"/>
    <xf numFmtId="0" fontId="17" fillId="0" borderId="0" xfId="0" applyFont="1" applyFill="1" applyAlignment="1">
      <alignment horizontal="center" vertical="center"/>
    </xf>
    <xf numFmtId="0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0" fontId="0" fillId="0" borderId="17" xfId="0" applyFill="1" applyBorder="1" applyAlignment="1">
      <alignment horizontal="left" vertical="center"/>
    </xf>
    <xf numFmtId="0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6" fillId="0" borderId="0" xfId="0" applyFont="1"/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0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0" fontId="0" fillId="0" borderId="0" xfId="0" applyNumberFormat="1"/>
    <xf numFmtId="0" fontId="0" fillId="0" borderId="5" xfId="0" applyNumberFormat="1" applyBorder="1"/>
    <xf numFmtId="0" fontId="1" fillId="0" borderId="5" xfId="0" applyNumberFormat="1" applyFont="1" applyBorder="1"/>
    <xf numFmtId="0" fontId="0" fillId="0" borderId="0" xfId="0" applyAlignment="1"/>
    <xf numFmtId="0" fontId="15" fillId="0" borderId="0" xfId="0" applyFont="1" applyBorder="1" applyAlignment="1">
      <alignment horizontal="center" vertical="center"/>
    </xf>
    <xf numFmtId="0" fontId="9" fillId="0" borderId="0" xfId="0" applyFont="1" applyFill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1" xfId="0" applyNumberFormat="1" applyBorder="1" applyAlignment="1">
      <alignment vertical="center"/>
    </xf>
    <xf numFmtId="0" fontId="0" fillId="0" borderId="3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2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0" fontId="0" fillId="0" borderId="0" xfId="0" applyNumberFormat="1" applyFill="1"/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1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0" fontId="0" fillId="2" borderId="0" xfId="0" applyFill="1"/>
    <xf numFmtId="0" fontId="0" fillId="2" borderId="0" xfId="0" applyFill="1" applyBorder="1"/>
    <xf numFmtId="0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0" fontId="0" fillId="0" borderId="0" xfId="0" applyNumberFormat="1"/>
    <xf numFmtId="0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0" fontId="9" fillId="5" borderId="0" xfId="0" applyFont="1" applyFill="1"/>
    <xf numFmtId="0" fontId="9" fillId="6" borderId="0" xfId="0" applyFont="1" applyFill="1"/>
    <xf numFmtId="0" fontId="9" fillId="7" borderId="0" xfId="0" applyFont="1" applyFill="1"/>
    <xf numFmtId="0" fontId="0" fillId="0" borderId="17" xfId="0" applyFill="1" applyBorder="1" applyAlignment="1">
      <alignment horizontal="left"/>
    </xf>
    <xf numFmtId="0" fontId="9" fillId="9" borderId="0" xfId="0" applyFont="1" applyFill="1"/>
    <xf numFmtId="0" fontId="0" fillId="0" borderId="5" xfId="0" applyFill="1" applyBorder="1" applyAlignment="1">
      <alignment vertical="center"/>
    </xf>
    <xf numFmtId="0" fontId="6" fillId="0" borderId="0" xfId="0" applyFont="1"/>
    <xf numFmtId="0" fontId="9" fillId="0" borderId="0" xfId="0" applyFont="1"/>
    <xf numFmtId="0" fontId="0" fillId="0" borderId="5" xfId="0" applyNumberFormat="1" applyFill="1" applyBorder="1"/>
    <xf numFmtId="1" fontId="9" fillId="0" borderId="0" xfId="0" applyNumberFormat="1" applyFont="1" applyFill="1"/>
    <xf numFmtId="0" fontId="0" fillId="0" borderId="0" xfId="0" applyNumberFormat="1" applyFill="1"/>
    <xf numFmtId="0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8"/>
  <sheetViews>
    <sheetView topLeftCell="A91" zoomScaleNormal="100" workbookViewId="0">
      <selection activeCell="A110" sqref="A11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43078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43078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COUNTIFS($N$13:$N$9551,"&gt;0",$AG$13:$AG$9551,I1)</f>
        <v>143</v>
      </c>
      <c r="K5" s="39"/>
      <c r="L5" s="171"/>
      <c r="M5" s="40">
        <f>AVERAGEIFS($N$13:$N$9551,$AG$13:$AG$9551,I1)</f>
        <v>36.588811188898788</v>
      </c>
      <c r="N5" s="38">
        <f t="array" ref="N5">MIN(IF($AG$13:$AG$9551=I1,IF(ISNUMBER($N$13:$N$9551),IF($N$13:$N$9551&gt;0,$N$13:$N$9551))))</f>
        <v>32.999999992316589</v>
      </c>
      <c r="O5" s="3">
        <f t="array" ref="O5">MAX(IF($AG$13:$AG$9551=I1,IF(ISNUMBER($N$13:$N$9551),IF($N$13:$N$9551&gt;0,$N$13:$N$9551))))</f>
        <v>41.749999994644895</v>
      </c>
      <c r="P5" s="2"/>
      <c r="R5" s="162" t="s">
        <v>17</v>
      </c>
      <c r="S5" s="206">
        <f>COUNTIFS($N$13:$N$9551,"&gt;0",$AG$13:$AG$9551,R1)</f>
        <v>36</v>
      </c>
      <c r="T5" s="171"/>
      <c r="U5" s="194"/>
      <c r="V5" s="210">
        <f>AVERAGEIFS($N$13:$N$9551,$AG$13:$AG$9551,R1)</f>
        <v>13.36620370275341</v>
      </c>
      <c r="W5" s="211">
        <f t="array" ref="W5">MIN(IF($AG$13:$AG$9551=R1,IF(ISNUMBER($N$13:$N$9551),IF($N$13:$N$9551&gt;0,$N$13:$N$9551))))</f>
        <v>11.616666668560356</v>
      </c>
      <c r="X5" s="199">
        <f t="array" ref="X5">MAX(IF($AG$13:$AG$9551=R1,IF(ISNUMBER($N$13:$N$9551),IF($N$13:$N$9551&gt;0,$N$13:$N$9551))))</f>
        <v>15.499999998137355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COUNT($O$13:$O$309)</f>
        <v>0</v>
      </c>
      <c r="K6" s="39"/>
      <c r="L6" s="171"/>
      <c r="M6" s="40">
        <f>IFERROR(AVERAGE($O$13:$O$309),0)</f>
        <v>0</v>
      </c>
      <c r="N6" s="38">
        <f>MIN($O$13:$O$309)</f>
        <v>0</v>
      </c>
      <c r="O6" s="3">
        <f>MAX($O$13:$O$309)</f>
        <v>0</v>
      </c>
      <c r="P6" s="2"/>
      <c r="R6" s="163" t="s">
        <v>43</v>
      </c>
      <c r="S6" s="206">
        <f>COUNT($O$13:$O$309)</f>
        <v>0</v>
      </c>
      <c r="T6" s="171"/>
      <c r="U6" s="194"/>
      <c r="V6" s="210">
        <f>IFERROR(AVERAGE($O$13:$O$309),0)</f>
        <v>0</v>
      </c>
      <c r="W6" s="211">
        <f>MIN($O$13:$O$309)</f>
        <v>0</v>
      </c>
      <c r="X6" s="199">
        <f>MAX($O$13:$O$309)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COUNTIFS($P$13:$P$9551,"&gt;0",$AG$13:$AG$9551,I1)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COUNTIFS($P$13:$P$9551,"&gt;0",$AG$13:$AG$9551,R1)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1"/>
      <c r="M8" s="40">
        <f>M5</f>
        <v>36.588811188898788</v>
      </c>
      <c r="N8" s="38">
        <f>N5</f>
        <v>32.999999992316589</v>
      </c>
      <c r="O8" s="3">
        <f>O5</f>
        <v>41.749999994644895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13.36620370275341</v>
      </c>
      <c r="W8" s="211">
        <f>W5</f>
        <v>11.616666668560356</v>
      </c>
      <c r="X8" s="199">
        <f>X5</f>
        <v>15.499999998137355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0.97945205479452058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- 2017-12-09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AVERAGE(S13:S128)</f>
        <v>0.99353448275862066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703</v>
      </c>
      <c r="B13" s="7">
        <v>4060</v>
      </c>
      <c r="C13" s="21" t="s">
        <v>192</v>
      </c>
      <c r="D13" s="21" t="s">
        <v>893</v>
      </c>
      <c r="E13" s="13">
        <v>43078.131203703706</v>
      </c>
      <c r="F13" s="13">
        <v>43078.135613425926</v>
      </c>
      <c r="G13" s="7">
        <v>67</v>
      </c>
      <c r="H13" s="21" t="s">
        <v>554</v>
      </c>
      <c r="I13" s="13">
        <v>43078.160555555558</v>
      </c>
      <c r="J13" s="7">
        <v>0</v>
      </c>
      <c r="K13" s="89" t="str">
        <f t="shared" ref="K13:K76" si="0">IF(ISEVEN(B13),(B13-1)&amp;"/"&amp;B13,B13&amp;"/"&amp;(B13+1))</f>
        <v>4059/4060</v>
      </c>
      <c r="L13" s="184" t="str">
        <f>VLOOKUP(A13,'Trips&amp;Operators'!$C$1:$G$99911,5,FALSE)</f>
        <v>THOMPSON LESTER</v>
      </c>
      <c r="M13" s="6">
        <f t="shared" ref="M13:M76" si="1">I13-F13</f>
        <v>2.4942129632108845E-2</v>
      </c>
      <c r="N13" s="7">
        <f t="shared" ref="N13:N44" si="2">24*60*SUM($M13:$M13)</f>
        <v>35.916666670236737</v>
      </c>
      <c r="O13" s="7"/>
      <c r="P13" s="7"/>
      <c r="Q13" s="22"/>
      <c r="R13" s="166"/>
      <c r="S13" s="249">
        <f t="shared" ref="S13:S76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-09T02:08:56-0700',mode:absolute,to:'2017-12-09T04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3" t="str">
        <f>IF(AA13&lt;VLOOKUP(AG13,Variables!$AC$3:$AD$8,2,FALSE),"Y","N")</f>
        <v>N</v>
      </c>
      <c r="X13" s="203" t="e">
        <f t="shared" ref="X13:X76" si="6">VALUE(LEFT(AD13,4))-VALUE(LEFT(AD12,4))</f>
        <v>#VALUE!</v>
      </c>
      <c r="Y13" s="203">
        <f t="shared" ref="Y13:Y76" si="7">RIGHT(D13,LEN(D13)-4)/10000</f>
        <v>9.2100000000000001E-2</v>
      </c>
      <c r="Z13" s="203">
        <f t="shared" ref="Z13:Z76" si="8">RIGHT(H13,LEN(H13)-4)/10000</f>
        <v>23.327000000000002</v>
      </c>
      <c r="AA13" s="203">
        <f t="shared" ref="AA13:AA76" si="9">ABS(Z13-Y13)</f>
        <v>23.234900000000003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/stypes="app*4060*20171209*"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4060 --swversion DE.1.0.9.0 --startMP 204:921 --initTime 2017-12-09T03:08:56 --startdatetime 2017-12-09T03:15:17 --delay 67 --endMP 204:233270 --enddatetime 2017-12-09T03:51:12 --enforcementcount 0 &gt;&gt;%USERPROFILE%\Documents\GitHub\eaglep3-reporting\EC\2017-12-09-refined-times.txt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{"issue":{"subject":"","project_id":79,"tracker_id":40,"status_id":1,"priority_id":2,"assigned_to_id":338,"start_date":"2017-12-09","description":"","custom_fields":[{"id":1,"name":"Subdivision","value":"EC"},{"id":4,"name":"Milepost","value":"23.327"},{"id":17,"name":"Train ID","value":"101-09"},{"id":16,"name":"Locomotive ID","value":"4060"},{"id":130,"name":"Impact","value":""},{"id":150,"name":"Time of Event (Mountain Time)","value":"03:51:12"},{"id":151,"name":"Denver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4060 --day 2017-12-09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-09T02:08:56-0700',mode:absolute,to:'2017-12-09T04:51:12-0700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712</v>
      </c>
      <c r="B14" s="225">
        <v>4059</v>
      </c>
      <c r="C14" s="227" t="s">
        <v>192</v>
      </c>
      <c r="D14" s="227" t="s">
        <v>894</v>
      </c>
      <c r="E14" s="226">
        <v>43078.173738425925</v>
      </c>
      <c r="F14" s="226">
        <v>43078.17527777778</v>
      </c>
      <c r="G14" s="225">
        <v>66</v>
      </c>
      <c r="H14" s="227" t="s">
        <v>645</v>
      </c>
      <c r="I14" s="226">
        <v>43078.202164351853</v>
      </c>
      <c r="J14" s="225">
        <v>0</v>
      </c>
      <c r="K14" s="237" t="str">
        <f t="shared" si="0"/>
        <v>4059/4060</v>
      </c>
      <c r="L14" s="245" t="str">
        <f>VLOOKUP(A14,'Trips&amp;Operators'!$C$1:$G$99911,5,FALSE)</f>
        <v>THOMPSON LESTER</v>
      </c>
      <c r="M14" s="224">
        <f t="shared" si="1"/>
        <v>2.6886574072705116E-2</v>
      </c>
      <c r="N14" s="225">
        <f t="shared" si="2"/>
        <v>38.716666664695367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-09T03:10:11-0700',mode:absolute,to:'2017-12-09T05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23.2957</v>
      </c>
      <c r="Z14" s="247">
        <f t="shared" si="8"/>
        <v>2.1600000000000001E-2</v>
      </c>
      <c r="AA14" s="247">
        <f t="shared" si="9"/>
        <v>23.274100000000001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14" s="234" t="str">
        <f t="shared" si="12"/>
        <v>"C:\Program Files (x86)\AstroGrep\AstroGrep.exe" /e /r /s /spath="%USERPROFILE%\AppData\Local\Temp\OnboardLogs" /stypes="app*4059*20171209*"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4059 --swversion DE.1.0.9.0 --startMP 204:232957 --initTime 2017-12-09T04:10:11 --startdatetime 2017-12-09T04:12:24 --delay 66 --endMP 204:216 --enddatetime 2017-12-09T04:51:07 --enforcementcount 0 &gt;&gt;%USERPROFILE%\Documents\GitHub\eaglep3-reporting\EC\2017-12-09-refined-times.txt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{"issue":{"subject":"","project_id":79,"tracker_id":40,"status_id":1,"priority_id":2,"assigned_to_id":338,"start_date":"2017-12-09","description":"","custom_fields":[{"id":1,"name":"Subdivision","value":"EC"},{"id":4,"name":"Milepost","value":"0.0216"},{"id":17,"name":"Train ID","value":"102-09"},{"id":16,"name":"Locomotive ID","value":"4059"},{"id":130,"name":"Impact","value":""},{"id":150,"name":"Time of Event (Mountain Time)","value":"04:51:07"},{"id":151,"name":"Denver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4059 --day 2017-12-09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-09T03:10:11-0700',mode:absolute,to:'2017-12-09T05:51:07-0700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708</v>
      </c>
      <c r="B15" s="225">
        <v>4014</v>
      </c>
      <c r="C15" s="227" t="s">
        <v>192</v>
      </c>
      <c r="D15" s="227" t="s">
        <v>473</v>
      </c>
      <c r="E15" s="226">
        <v>43078.146620370368</v>
      </c>
      <c r="F15" s="226">
        <v>43078.152962962966</v>
      </c>
      <c r="G15" s="225">
        <v>62</v>
      </c>
      <c r="H15" s="227" t="s">
        <v>895</v>
      </c>
      <c r="I15" s="226">
        <v>43078.180856481478</v>
      </c>
      <c r="J15" s="225">
        <v>0</v>
      </c>
      <c r="K15" s="237" t="str">
        <f t="shared" si="0"/>
        <v>4013/4014</v>
      </c>
      <c r="L15" s="245" t="str">
        <f>VLOOKUP(A15,'Trips&amp;Operators'!$C$1:$G$99911,5,FALSE)</f>
        <v>MAELZER KURT</v>
      </c>
      <c r="M15" s="224">
        <f t="shared" si="1"/>
        <v>2.7893518512428273E-2</v>
      </c>
      <c r="N15" s="225">
        <f t="shared" si="2"/>
        <v>40.166666657896712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-09T02:31:08-0700',mode:absolute,to:'2017-12-09T05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5.2200000000000003E-2</v>
      </c>
      <c r="Z15" s="247">
        <f t="shared" si="8"/>
        <v>23.331199999999999</v>
      </c>
      <c r="AA15" s="247">
        <f t="shared" si="9"/>
        <v>23.279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5" s="234" t="str">
        <f t="shared" si="12"/>
        <v>"C:\Program Files (x86)\AstroGrep\AstroGrep.exe" /e /r /s /spath="%USERPROFILE%\AppData\Local\Temp\OnboardLogs" /stypes="app*4014*20171209*"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103-09 --locoid 4014 --swversion DE.1.0.9.0 --startMP 204:522 --initTime 2017-12-09T03:31:08 --startdatetime 2017-12-09T03:40:16 --delay 62 --endMP 204:233312 --enddatetime 2017-12-09T04:20:26 --enforcementcount 0 &gt;&gt;%USERPROFILE%\Documents\GitHub\eaglep3-reporting\EC\2017-12-09-refined-times.txt</v>
      </c>
      <c r="AI1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{"issue":{"subject":"","project_id":79,"tracker_id":40,"status_id":1,"priority_id":2,"assigned_to_id":338,"start_date":"2017-12-09","description":"","custom_fields":[{"id":1,"name":"Subdivision","value":"EC"},{"id":4,"name":"Milepost","value":"23.3312"},{"id":17,"name":"Train ID","value":"103-09"},{"id":16,"name":"Locomotive ID","value":"4014"},{"id":130,"name":"Impact","value":""},{"id":150,"name":"Time of Event (Mountain Time)","value":"04:20:26"},{"id":151,"name":"Denver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4014 --day 2017-12-09</v>
      </c>
      <c r="AN1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-09T02:31:08-0700',mode:absolute,to:'2017-12-09T05:20:26-0700'))&amp;_a=(columns:!('Message%20ID',Summary),filters:!(),index:'emp_*',interval:auto,query:(query_string:(analyze_wildcard:!t,query:'%22rtdc.l.rtdc.4014%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715</v>
      </c>
      <c r="B16" s="225">
        <v>4013</v>
      </c>
      <c r="C16" s="227" t="s">
        <v>192</v>
      </c>
      <c r="D16" s="227" t="s">
        <v>896</v>
      </c>
      <c r="E16" s="226">
        <v>43078.189259259256</v>
      </c>
      <c r="F16" s="226">
        <v>43078.196006944447</v>
      </c>
      <c r="G16" s="225">
        <v>58</v>
      </c>
      <c r="H16" s="227" t="s">
        <v>897</v>
      </c>
      <c r="I16" s="226">
        <v>43078.221909722219</v>
      </c>
      <c r="J16" s="225">
        <v>0</v>
      </c>
      <c r="K16" s="237" t="str">
        <f t="shared" si="0"/>
        <v>4013/4014</v>
      </c>
      <c r="L16" s="245" t="str">
        <f>VLOOKUP(A16,'Trips&amp;Operators'!$C$1:$G$99911,5,FALSE)</f>
        <v>MAELZER KURT</v>
      </c>
      <c r="M16" s="224">
        <f t="shared" si="1"/>
        <v>2.5902777771989349E-2</v>
      </c>
      <c r="N16" s="225">
        <f t="shared" si="2"/>
        <v>37.299999991664663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-09T03:32:32-0700',mode:absolute,to:'2017-12-09T06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23.2988</v>
      </c>
      <c r="Z16" s="247">
        <f t="shared" si="8"/>
        <v>1.8100000000000002E-2</v>
      </c>
      <c r="AA16" s="247">
        <f t="shared" si="9"/>
        <v>23.2807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6" s="234" t="str">
        <f t="shared" si="12"/>
        <v>"C:\Program Files (x86)\AstroGrep\AstroGrep.exe" /e /r /s /spath="%USERPROFILE%\AppData\Local\Temp\OnboardLogs" /stypes="app*4013*20171209*"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104-09 --locoid 4013 --swversion DE.1.0.9.0 --startMP 204:232988 --initTime 2017-12-09T04:32:32 --startdatetime 2017-12-09T04:42:15 --delay 58 --endMP 204:181 --enddatetime 2017-12-09T05:19:33 --enforcementcount 0 &gt;&gt;%USERPROFILE%\Documents\GitHub\eaglep3-reporting\EC\2017-12-09-refined-times.txt</v>
      </c>
      <c r="AI1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{"issue":{"subject":"","project_id":79,"tracker_id":40,"status_id":1,"priority_id":2,"assigned_to_id":338,"start_date":"2017-12-09","description":"","custom_fields":[{"id":1,"name":"Subdivision","value":"EC"},{"id":4,"name":"Milepost","value":"0.0181"},{"id":17,"name":"Train ID","value":"104-09"},{"id":16,"name":"Locomotive ID","value":"4013"},{"id":130,"name":"Impact","value":""},{"id":150,"name":"Time of Event (Mountain Time)","value":"05:19:33"},{"id":151,"name":"Denver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4013 --day 2017-12-09</v>
      </c>
      <c r="AN1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-09T03:32:32-0700',mode:absolute,to:'2017-12-09T06:19:33-0700'))&amp;_a=(columns:!('Message%20ID',Summary),filters:!(),index:'emp_*',interval:auto,query:(query_string:(analyze_wildcard:!t,query:'%22rtdc.l.rtdc.4013%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711</v>
      </c>
      <c r="B17" s="225">
        <v>4028</v>
      </c>
      <c r="C17" s="227" t="s">
        <v>192</v>
      </c>
      <c r="D17" s="227" t="s">
        <v>633</v>
      </c>
      <c r="E17" s="226">
        <v>43078.171956018516</v>
      </c>
      <c r="F17" s="226">
        <v>43078.177256944444</v>
      </c>
      <c r="G17" s="225">
        <v>65</v>
      </c>
      <c r="H17" s="227" t="s">
        <v>898</v>
      </c>
      <c r="I17" s="226">
        <v>43078.201203703706</v>
      </c>
      <c r="J17" s="225">
        <v>0</v>
      </c>
      <c r="K17" s="237" t="str">
        <f t="shared" si="0"/>
        <v>4027/4028</v>
      </c>
      <c r="L17" s="245" t="str">
        <f>VLOOKUP(A17,'Trips&amp;Operators'!$C$1:$G$99911,5,FALSE)</f>
        <v>LOPES KIMBERLY</v>
      </c>
      <c r="M17" s="224">
        <f t="shared" si="1"/>
        <v>2.3946759261889383E-2</v>
      </c>
      <c r="N17" s="225">
        <f t="shared" si="2"/>
        <v>34.483333337120712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-09T03:07:37-0700',mode:absolute,to:'2017-12-09T05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5.3100000000000001E-2</v>
      </c>
      <c r="Z17" s="247">
        <f t="shared" si="8"/>
        <v>23.318999999999999</v>
      </c>
      <c r="AA17" s="247">
        <f t="shared" si="9"/>
        <v>23.265899999999998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7" s="234" t="str">
        <f t="shared" si="12"/>
        <v>"C:\Program Files (x86)\AstroGrep\AstroGrep.exe" /e /r /s /spath="%USERPROFILE%\AppData\Local\Temp\OnboardLogs" /stypes="app*4028*20171209*"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105-09 --locoid 4028 --swversion DE.1.0.9.0 --startMP 204:531 --initTime 2017-12-09T04:07:37 --startdatetime 2017-12-09T04:15:15 --delay 65 --endMP 204:233190 --enddatetime 2017-12-09T04:49:44 --enforcementcount 0 &gt;&gt;%USERPROFILE%\Documents\GitHub\eaglep3-reporting\EC\2017-12-09-refined-times.txt</v>
      </c>
      <c r="AI1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{"issue":{"subject":"","project_id":79,"tracker_id":40,"status_id":1,"priority_id":2,"assigned_to_id":338,"start_date":"2017-12-09","description":"","custom_fields":[{"id":1,"name":"Subdivision","value":"EC"},{"id":4,"name":"Milepost","value":"23.319"},{"id":17,"name":"Train ID","value":"105-09"},{"id":16,"name":"Locomotive ID","value":"4028"},{"id":130,"name":"Impact","value":""},{"id":150,"name":"Time of Event (Mountain Time)","value":"04:49:44"},{"id":151,"name":"Denver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4028 --day 2017-12-09</v>
      </c>
      <c r="AN1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-09T03:07:37-0700',mode:absolute,to:'2017-12-09T05:49:44-0700'))&amp;_a=(columns:!('Message%20ID',Summary),filters:!(),index:'emp_*',interval:auto,query:(query_string:(analyze_wildcard:!t,query:'%22rtdc.l.rtdc.4028%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719</v>
      </c>
      <c r="B18" s="225">
        <v>4027</v>
      </c>
      <c r="C18" s="227" t="s">
        <v>192</v>
      </c>
      <c r="D18" s="227" t="s">
        <v>899</v>
      </c>
      <c r="E18" s="226">
        <v>43078.207650462966</v>
      </c>
      <c r="F18" s="226">
        <v>43078.216840277775</v>
      </c>
      <c r="G18" s="225">
        <v>57</v>
      </c>
      <c r="H18" s="227" t="s">
        <v>476</v>
      </c>
      <c r="I18" s="226">
        <v>43078.242523148147</v>
      </c>
      <c r="J18" s="225">
        <v>0</v>
      </c>
      <c r="K18" s="237" t="str">
        <f t="shared" si="0"/>
        <v>4027/4028</v>
      </c>
      <c r="L18" s="245" t="str">
        <f>VLOOKUP(A18,'Trips&amp;Operators'!$C$1:$G$99911,5,FALSE)</f>
        <v>LOPES KIMBERLY</v>
      </c>
      <c r="M18" s="224">
        <f t="shared" si="1"/>
        <v>2.5682870371383615E-2</v>
      </c>
      <c r="N18" s="225">
        <f t="shared" si="2"/>
        <v>36.983333334792405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-09T03:59:01-0700',mode:absolute,to:'2017-12-09T06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23.288399999999999</v>
      </c>
      <c r="Z18" s="247">
        <f t="shared" si="8"/>
        <v>2.1100000000000001E-2</v>
      </c>
      <c r="AA18" s="247">
        <f t="shared" si="9"/>
        <v>23.267299999999999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8" s="234" t="str">
        <f t="shared" si="12"/>
        <v>"C:\Program Files (x86)\AstroGrep\AstroGrep.exe" /e /r /s /spath="%USERPROFILE%\AppData\Local\Temp\OnboardLogs" /stypes="app*4027*20171209*"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106-09 --locoid 4027 --swversion DE.1.0.9.0 --startMP 204:232884 --initTime 2017-12-09T04:59:01 --startdatetime 2017-12-09T05:12:15 --delay 57 --endMP 204:211 --enddatetime 2017-12-09T05:49:14 --enforcementcount 0 &gt;&gt;%USERPROFILE%\Documents\GitHub\eaglep3-reporting\EC\2017-12-09-refined-times.txt</v>
      </c>
      <c r="AI1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{"issue":{"subject":"","project_id":79,"tracker_id":40,"status_id":1,"priority_id":2,"assigned_to_id":338,"start_date":"2017-12-09","description":"","custom_fields":[{"id":1,"name":"Subdivision","value":"EC"},{"id":4,"name":"Milepost","value":"0.0211"},{"id":17,"name":"Train ID","value":"106-09"},{"id":16,"name":"Locomotive ID","value":"4027"},{"id":130,"name":"Impact","value":""},{"id":150,"name":"Time of Event (Mountain Time)","value":"05:49:14"},{"id":151,"name":"Denver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4027 --day 2017-12-09</v>
      </c>
      <c r="AN1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-09T03:59:01-0700',mode:absolute,to:'2017-12-09T06:49:14-0700'))&amp;_a=(columns:!('Message%20ID',Summary),filters:!(),index:'emp_*',interval:auto,query:(query_string:(analyze_wildcard:!t,query:'%22rtdc.l.rtdc.4027%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714</v>
      </c>
      <c r="B19" s="225">
        <v>4008</v>
      </c>
      <c r="C19" s="227" t="s">
        <v>192</v>
      </c>
      <c r="D19" s="227" t="s">
        <v>900</v>
      </c>
      <c r="E19" s="226">
        <v>43078.184074074074</v>
      </c>
      <c r="F19" s="226">
        <v>43078.187754629631</v>
      </c>
      <c r="G19" s="225">
        <v>72</v>
      </c>
      <c r="H19" s="227" t="s">
        <v>579</v>
      </c>
      <c r="I19" s="226">
        <v>43078.211759259262</v>
      </c>
      <c r="J19" s="225">
        <v>0</v>
      </c>
      <c r="K19" s="237" t="str">
        <f t="shared" si="0"/>
        <v>4007/4008</v>
      </c>
      <c r="L19" s="245" t="str">
        <f>VLOOKUP(A19,'Trips&amp;Operators'!$C$1:$G$99911,5,FALSE)</f>
        <v>GEBRETEKLE DAGNEW</v>
      </c>
      <c r="M19" s="224">
        <f t="shared" si="1"/>
        <v>2.400462963123573E-2</v>
      </c>
      <c r="N19" s="225">
        <f t="shared" si="2"/>
        <v>34.566666668979451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-09T03:25:04-0700',mode:absolute,to:'2017-12-09T06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4.6699999999999998E-2</v>
      </c>
      <c r="Z19" s="247">
        <f t="shared" si="8"/>
        <v>23.329499999999999</v>
      </c>
      <c r="AA19" s="247">
        <f t="shared" si="9"/>
        <v>23.282799999999998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9" s="234" t="str">
        <f t="shared" si="12"/>
        <v>"C:\Program Files (x86)\AstroGrep\AstroGrep.exe" /e /r /s /spath="%USERPROFILE%\AppData\Local\Temp\OnboardLogs" /stypes="app*4008*20171209*"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107-09 --locoid 4008 --swversion DE.1.0.9.0 --startMP 204:467 --initTime 2017-12-09T04:25:04 --startdatetime 2017-12-09T04:30:22 --delay 72 --endMP 204:233295 --enddatetime 2017-12-09T05:04:56 --enforcementcount 0 &gt;&gt;%USERPROFILE%\Documents\GitHub\eaglep3-reporting\EC\2017-12-09-refined-times.txt</v>
      </c>
      <c r="AI1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{"issue":{"subject":"","project_id":79,"tracker_id":40,"status_id":1,"priority_id":2,"assigned_to_id":338,"start_date":"2017-12-09","description":"","custom_fields":[{"id":1,"name":"Subdivision","value":"EC"},{"id":4,"name":"Milepost","value":"23.3295"},{"id":17,"name":"Train ID","value":"107-09"},{"id":16,"name":"Locomotive ID","value":"4008"},{"id":130,"name":"Impact","value":""},{"id":150,"name":"Time of Event (Mountain Time)","value":"05:04:56"},{"id":151,"name":"Denver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4008 --day 2017-12-09</v>
      </c>
      <c r="AN1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-09T03:25:04-0700',mode:absolute,to:'2017-12-09T06:04:56-0700'))&amp;_a=(columns:!('Message%20ID',Summary),filters:!(),index:'emp_*',interval:auto,query:(query_string:(analyze_wildcard:!t,query:'%22rtdc.l.rtdc.4008%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720</v>
      </c>
      <c r="B20" s="225">
        <v>4007</v>
      </c>
      <c r="C20" s="227" t="s">
        <v>192</v>
      </c>
      <c r="D20" s="227" t="s">
        <v>901</v>
      </c>
      <c r="E20" s="226">
        <v>43078.21298611111</v>
      </c>
      <c r="F20" s="226">
        <v>43078.227453703701</v>
      </c>
      <c r="G20" s="225">
        <v>53</v>
      </c>
      <c r="H20" s="227" t="s">
        <v>902</v>
      </c>
      <c r="I20" s="226">
        <v>43078.252766203703</v>
      </c>
      <c r="J20" s="225">
        <v>0</v>
      </c>
      <c r="K20" s="237" t="str">
        <f t="shared" si="0"/>
        <v>4007/4008</v>
      </c>
      <c r="L20" s="245" t="str">
        <f>VLOOKUP(A20,'Trips&amp;Operators'!$C$1:$G$99911,5,FALSE)</f>
        <v>GEBRETEKLE DAGNEW</v>
      </c>
      <c r="M20" s="224">
        <f t="shared" si="1"/>
        <v>2.531250000174623E-2</v>
      </c>
      <c r="N20" s="225">
        <f t="shared" si="2"/>
        <v>36.450000002514571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-09T04:06:42-0700',mode:absolute,to:'2017-12-09T07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23.298100000000002</v>
      </c>
      <c r="Z20" s="247">
        <f t="shared" si="8"/>
        <v>1.6299999999999999E-2</v>
      </c>
      <c r="AA20" s="247">
        <f t="shared" si="9"/>
        <v>23.2818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20" s="234" t="str">
        <f t="shared" si="12"/>
        <v>"C:\Program Files (x86)\AstroGrep\AstroGrep.exe" /e /r /s /spath="%USERPROFILE%\AppData\Local\Temp\OnboardLogs" /stypes="app*4007*20171209*"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108-09 --locoid 4007 --swversion DE.1.0.9.0 --startMP 204:232981 --initTime 2017-12-09T05:06:42 --startdatetime 2017-12-09T05:27:32 --delay 53 --endMP 204:163 --enddatetime 2017-12-09T06:03:59 --enforcementcount 0 &gt;&gt;%USERPROFILE%\Documents\GitHub\eaglep3-reporting\EC\2017-12-09-refined-times.txt</v>
      </c>
      <c r="AI2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{"issue":{"subject":"","project_id":79,"tracker_id":40,"status_id":1,"priority_id":2,"assigned_to_id":338,"start_date":"2017-12-09","description":"","custom_fields":[{"id":1,"name":"Subdivision","value":"EC"},{"id":4,"name":"Milepost","value":"0.0163"},{"id":17,"name":"Train ID","value":"108-09"},{"id":16,"name":"Locomotive ID","value":"4007"},{"id":130,"name":"Impact","value":""},{"id":150,"name":"Time of Event (Mountain Time)","value":"06:03:59"},{"id":151,"name":"Denver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4007 --day 2017-12-09</v>
      </c>
      <c r="AN2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-09T04:06:42-0700',mode:absolute,to:'2017-12-09T07:03:59-0700'))&amp;_a=(columns:!('Message%20ID',Summary),filters:!(),index:'emp_*',interval:auto,query:(query_string:(analyze_wildcard:!t,query:'%22rtdc.l.rtdc.4007%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716</v>
      </c>
      <c r="B21" s="225">
        <v>4058</v>
      </c>
      <c r="C21" s="227" t="s">
        <v>192</v>
      </c>
      <c r="D21" s="227" t="s">
        <v>640</v>
      </c>
      <c r="E21" s="226">
        <v>43078.192418981482</v>
      </c>
      <c r="F21" s="226">
        <v>43078.198368055557</v>
      </c>
      <c r="G21" s="225">
        <v>77</v>
      </c>
      <c r="H21" s="227" t="s">
        <v>895</v>
      </c>
      <c r="I21" s="226">
        <v>43078.222118055557</v>
      </c>
      <c r="J21" s="225">
        <v>0</v>
      </c>
      <c r="K21" s="237" t="str">
        <f t="shared" si="0"/>
        <v>4057/4058</v>
      </c>
      <c r="L21" s="245" t="str">
        <f>VLOOKUP(A21,'Trips&amp;Operators'!$C$1:$G$99911,5,FALSE)</f>
        <v>DELGADO DIANAH</v>
      </c>
      <c r="M21" s="224">
        <f t="shared" si="1"/>
        <v>2.3750000000291038E-2</v>
      </c>
      <c r="N21" s="225">
        <f t="shared" si="2"/>
        <v>34.200000000419095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-09T03:37:05-0700',mode:absolute,to:'2017-12-09T06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4.5499999999999999E-2</v>
      </c>
      <c r="Z21" s="247">
        <f t="shared" si="8"/>
        <v>23.331199999999999</v>
      </c>
      <c r="AA21" s="247">
        <f t="shared" si="9"/>
        <v>23.285699999999999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21" s="234" t="str">
        <f t="shared" si="12"/>
        <v>"C:\Program Files (x86)\AstroGrep\AstroGrep.exe" /e /r /s /spath="%USERPROFILE%\AppData\Local\Temp\OnboardLogs" /stypes="app*4058*20171209*"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109-09 --locoid 4058 --swversion DE.1.0.9.0 --startMP 204:455 --initTime 2017-12-09T04:37:05 --startdatetime 2017-12-09T04:45:39 --delay 77 --endMP 204:233312 --enddatetime 2017-12-09T05:19:51 --enforcementcount 0 &gt;&gt;%USERPROFILE%\Documents\GitHub\eaglep3-reporting\EC\2017-12-09-refined-times.txt</v>
      </c>
      <c r="AI2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{"issue":{"subject":"","project_id":79,"tracker_id":40,"status_id":1,"priority_id":2,"assigned_to_id":338,"start_date":"2017-12-09","description":"","custom_fields":[{"id":1,"name":"Subdivision","value":"EC"},{"id":4,"name":"Milepost","value":"23.3312"},{"id":17,"name":"Train ID","value":"109-09"},{"id":16,"name":"Locomotive ID","value":"4058"},{"id":130,"name":"Impact","value":""},{"id":150,"name":"Time of Event (Mountain Time)","value":"05:19:51"},{"id":151,"name":"Denver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4058 --day 2017-12-09</v>
      </c>
      <c r="AN2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-09T03:37:05-0700',mode:absolute,to:'2017-12-09T06:19:51-0700'))&amp;_a=(columns:!('Message%20ID',Summary),filters:!(),index:'emp_*',interval:auto,query:(query_string:(analyze_wildcard:!t,query:'%22rtdc.l.rtdc.4058%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724</v>
      </c>
      <c r="B22" s="225">
        <v>4057</v>
      </c>
      <c r="C22" s="227" t="s">
        <v>192</v>
      </c>
      <c r="D22" s="227" t="s">
        <v>903</v>
      </c>
      <c r="E22" s="226">
        <v>43078.223749999997</v>
      </c>
      <c r="F22" s="226">
        <v>43078.237800925926</v>
      </c>
      <c r="G22" s="225">
        <v>64</v>
      </c>
      <c r="H22" s="227" t="s">
        <v>904</v>
      </c>
      <c r="I22" s="226">
        <v>43078.263333333336</v>
      </c>
      <c r="J22" s="225">
        <v>0</v>
      </c>
      <c r="K22" s="237" t="str">
        <f t="shared" si="0"/>
        <v>4057/4058</v>
      </c>
      <c r="L22" s="245" t="str">
        <f>VLOOKUP(A22,'Trips&amp;Operators'!$C$1:$G$99911,5,FALSE)</f>
        <v>DELGADO DIANAH</v>
      </c>
      <c r="M22" s="224">
        <f t="shared" si="1"/>
        <v>2.5532407409627922E-2</v>
      </c>
      <c r="N22" s="225">
        <f t="shared" si="2"/>
        <v>36.766666669864208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-09T04:22:12-0700',mode:absolute,to:'2017-12-09T07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23.3001</v>
      </c>
      <c r="Z22" s="247">
        <f t="shared" si="8"/>
        <v>1.3899999999999999E-2</v>
      </c>
      <c r="AA22" s="247">
        <f t="shared" si="9"/>
        <v>23.286200000000001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22" s="234" t="str">
        <f t="shared" si="12"/>
        <v>"C:\Program Files (x86)\AstroGrep\AstroGrep.exe" /e /r /s /spath="%USERPROFILE%\AppData\Local\Temp\OnboardLogs" /stypes="app*4057*20171209*"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110-09 --locoid 4057 --swversion DE.1.0.9.0 --startMP 204:233001 --initTime 2017-12-09T05:22:12 --startdatetime 2017-12-09T05:42:26 --delay 64 --endMP 204:139 --enddatetime 2017-12-09T06:19:12 --enforcementcount 0 &gt;&gt;%USERPROFILE%\Documents\GitHub\eaglep3-reporting\EC\2017-12-09-refined-times.txt</v>
      </c>
      <c r="AI2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{"issue":{"subject":"","project_id":79,"tracker_id":40,"status_id":1,"priority_id":2,"assigned_to_id":338,"start_date":"2017-12-09","description":"","custom_fields":[{"id":1,"name":"Subdivision","value":"EC"},{"id":4,"name":"Milepost","value":"0.0139"},{"id":17,"name":"Train ID","value":"110-09"},{"id":16,"name":"Locomotive ID","value":"4057"},{"id":130,"name":"Impact","value":""},{"id":150,"name":"Time of Event (Mountain Time)","value":"06:19:12"},{"id":151,"name":"Denver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4057 --day 2017-12-09</v>
      </c>
      <c r="AN2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-09T04:22:12-0700',mode:absolute,to:'2017-12-09T07:19:12-0700'))&amp;_a=(columns:!('Message%20ID',Summary),filters:!(),index:'emp_*',interval:auto,query:(query_string:(analyze_wildcard:!t,query:'%22rtdc.l.rtdc.4057%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718</v>
      </c>
      <c r="B23" s="225">
        <v>4060</v>
      </c>
      <c r="C23" s="227" t="s">
        <v>192</v>
      </c>
      <c r="D23" s="227" t="s">
        <v>668</v>
      </c>
      <c r="E23" s="226">
        <v>43078.206574074073</v>
      </c>
      <c r="F23" s="226">
        <v>43078.208599537036</v>
      </c>
      <c r="G23" s="225">
        <v>53</v>
      </c>
      <c r="H23" s="227" t="s">
        <v>557</v>
      </c>
      <c r="I23" s="226">
        <v>43078.234629629631</v>
      </c>
      <c r="J23" s="225">
        <v>0</v>
      </c>
      <c r="K23" s="237" t="str">
        <f t="shared" si="0"/>
        <v>4059/4060</v>
      </c>
      <c r="L23" s="245" t="str">
        <f>VLOOKUP(A23,'Trips&amp;Operators'!$C$1:$G$99911,5,FALSE)</f>
        <v>THOMPSON LESTER</v>
      </c>
      <c r="M23" s="224">
        <f t="shared" si="1"/>
        <v>2.6030092594737653E-2</v>
      </c>
      <c r="N23" s="225">
        <f t="shared" si="2"/>
        <v>37.48333333642222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-09T03:57:28-0700',mode:absolute,to:'2017-12-09T06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5.2900000000000003E-2</v>
      </c>
      <c r="Z23" s="247">
        <f t="shared" si="8"/>
        <v>23.325299999999999</v>
      </c>
      <c r="AA23" s="247">
        <f t="shared" si="9"/>
        <v>23.272399999999998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23" s="234" t="str">
        <f t="shared" si="12"/>
        <v>"C:\Program Files (x86)\AstroGrep\AstroGrep.exe" /e /r /s /spath="%USERPROFILE%\AppData\Local\Temp\OnboardLogs" /stypes="app*4060*20171209*"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111-09 --locoid 4060 --swversion DE.1.0.9.0 --startMP 204:529 --initTime 2017-12-09T04:57:28 --startdatetime 2017-12-09T05:00:23 --delay 53 --endMP 204:233253 --enddatetime 2017-12-09T05:37:52 --enforcementcount 0 &gt;&gt;%USERPROFILE%\Documents\GitHub\eaglep3-reporting\EC\2017-12-09-refined-times.txt</v>
      </c>
      <c r="AI2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{"issue":{"subject":"","project_id":79,"tracker_id":40,"status_id":1,"priority_id":2,"assigned_to_id":338,"start_date":"2017-12-09","description":"","custom_fields":[{"id":1,"name":"Subdivision","value":"EC"},{"id":4,"name":"Milepost","value":"23.3253"},{"id":17,"name":"Train ID","value":"111-09"},{"id":16,"name":"Locomotive ID","value":"4060"},{"id":130,"name":"Impact","value":""},{"id":150,"name":"Time of Event (Mountain Time)","value":"05:37:52"},{"id":151,"name":"Denver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4060 --day 2017-12-09</v>
      </c>
      <c r="AN2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-09T03:57:28-0700',mode:absolute,to:'2017-12-09T06:37:52-0700'))&amp;_a=(columns:!('Message%20ID',Summary),filters:!(),index:'emp_*',interval:auto,query:(query_string:(analyze_wildcard:!t,query:'%22rtdc.l.rtdc.4060%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682</v>
      </c>
      <c r="B24" s="225">
        <v>4059</v>
      </c>
      <c r="C24" s="227" t="s">
        <v>192</v>
      </c>
      <c r="D24" s="227" t="s">
        <v>674</v>
      </c>
      <c r="E24" s="226">
        <v>43078.24560185185</v>
      </c>
      <c r="F24" s="226">
        <v>43078.248148148145</v>
      </c>
      <c r="G24" s="225">
        <v>63</v>
      </c>
      <c r="H24" s="227" t="s">
        <v>905</v>
      </c>
      <c r="I24" s="226">
        <v>43078.274525462963</v>
      </c>
      <c r="J24" s="225">
        <v>0</v>
      </c>
      <c r="K24" s="237" t="str">
        <f t="shared" si="0"/>
        <v>4059/4060</v>
      </c>
      <c r="L24" s="245" t="str">
        <f>VLOOKUP(A24,'Trips&amp;Operators'!$C$1:$G$99911,5,FALSE)</f>
        <v>THOMPSON LESTER</v>
      </c>
      <c r="M24" s="224">
        <f t="shared" si="1"/>
        <v>2.6377314818091691E-2</v>
      </c>
      <c r="N24" s="225">
        <f t="shared" si="2"/>
        <v>37.983333338052034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-09T04:53:40-0700',mode:absolute,to:'2017-12-09T07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23.293600000000001</v>
      </c>
      <c r="Z24" s="247">
        <f t="shared" si="8"/>
        <v>2.47E-2</v>
      </c>
      <c r="AA24" s="247">
        <f t="shared" si="9"/>
        <v>23.268900000000002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24" s="234" t="str">
        <f t="shared" si="12"/>
        <v>"C:\Program Files (x86)\AstroGrep\AstroGrep.exe" /e /r /s /spath="%USERPROFILE%\AppData\Local\Temp\OnboardLogs" /stypes="app*4059*20171209*"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112-09 --locoid 4059 --swversion DE.1.0.9.0 --startMP 204:232936 --initTime 2017-12-09T05:53:40 --startdatetime 2017-12-09T05:57:20 --delay 63 --endMP 204:247 --enddatetime 2017-12-09T06:35:19 --enforcementcount 0 &gt;&gt;%USERPROFILE%\Documents\GitHub\eaglep3-reporting\EC\2017-12-09-refined-times.txt</v>
      </c>
      <c r="AI2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{"issue":{"subject":"","project_id":79,"tracker_id":40,"status_id":1,"priority_id":2,"assigned_to_id":338,"start_date":"2017-12-09","description":"","custom_fields":[{"id":1,"name":"Subdivision","value":"EC"},{"id":4,"name":"Milepost","value":"0.0247"},{"id":17,"name":"Train ID","value":"112-09"},{"id":16,"name":"Locomotive ID","value":"4059"},{"id":130,"name":"Impact","value":""},{"id":150,"name":"Time of Event (Mountain Time)","value":"06:35:19"},{"id":151,"name":"Denver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4059 --day 2017-12-09</v>
      </c>
      <c r="AN2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-09T04:53:40-0700',mode:absolute,to:'2017-12-09T07:35:19-0700'))&amp;_a=(columns:!('Message%20ID',Summary),filters:!(),index:'emp_*',interval:auto,query:(query_string:(analyze_wildcard:!t,query:'%22rtdc.l.rtdc.4059%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722</v>
      </c>
      <c r="B25" s="225">
        <v>4036</v>
      </c>
      <c r="C25" s="227" t="s">
        <v>192</v>
      </c>
      <c r="D25" s="227" t="s">
        <v>668</v>
      </c>
      <c r="E25" s="226">
        <v>43078.209421296298</v>
      </c>
      <c r="F25" s="226">
        <v>43078.218981481485</v>
      </c>
      <c r="G25" s="225">
        <v>646</v>
      </c>
      <c r="H25" s="227" t="s">
        <v>906</v>
      </c>
      <c r="I25" s="226">
        <v>43078.243043981478</v>
      </c>
      <c r="J25" s="225">
        <v>0</v>
      </c>
      <c r="K25" s="237" t="str">
        <f t="shared" si="0"/>
        <v>4035/4036</v>
      </c>
      <c r="L25" s="245" t="str">
        <f>VLOOKUP(A25,'Trips&amp;Operators'!$C$1:$G$99911,5,FALSE)</f>
        <v>MACDONALD THOMAS</v>
      </c>
      <c r="M25" s="224">
        <f t="shared" si="1"/>
        <v>2.4062499993306119E-2</v>
      </c>
      <c r="N25" s="225">
        <f t="shared" si="2"/>
        <v>34.649999990360811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-09T04:01:34-0700',mode:absolute,to:'2017-12-09T06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5.2900000000000003E-2</v>
      </c>
      <c r="Z25" s="247">
        <f t="shared" si="8"/>
        <v>23.324000000000002</v>
      </c>
      <c r="AA25" s="247">
        <f t="shared" si="9"/>
        <v>23.271100000000001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25" s="234" t="str">
        <f t="shared" si="12"/>
        <v>"C:\Program Files (x86)\AstroGrep\AstroGrep.exe" /e /r /s /spath="%USERPROFILE%\AppData\Local\Temp\OnboardLogs" /stypes="app*4036*20171209*"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113-09 --locoid 4036 --swversion DE.1.0.9.0 --startMP 204:529 --initTime 2017-12-09T05:01:34 --startdatetime 2017-12-09T05:15:20 --delay 646 --endMP 204:233240 --enddatetime 2017-12-09T05:49:59 --enforcementcount 0 &gt;&gt;%USERPROFILE%\Documents\GitHub\eaglep3-reporting\EC\2017-12-09-refined-times.txt</v>
      </c>
      <c r="AI2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{"issue":{"subject":"","project_id":79,"tracker_id":40,"status_id":1,"priority_id":2,"assigned_to_id":338,"start_date":"2017-12-09","description":"","custom_fields":[{"id":1,"name":"Subdivision","value":"EC"},{"id":4,"name":"Milepost","value":"23.324"},{"id":17,"name":"Train ID","value":"113-09"},{"id":16,"name":"Locomotive ID","value":"4036"},{"id":130,"name":"Impact","value":""},{"id":150,"name":"Time of Event (Mountain Time)","value":"05:49:59"},{"id":151,"name":"Denver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4036 --day 2017-12-09</v>
      </c>
      <c r="AN2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-09T04:01:34-0700',mode:absolute,to:'2017-12-09T06:49:59-0700'))&amp;_a=(columns:!('Message%20ID',Summary),filters:!(),index:'emp_*',interval:auto,query:(query_string:(analyze_wildcard:!t,query:'%22rtdc.l.rtdc.4036%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729</v>
      </c>
      <c r="B26" s="225">
        <v>4035</v>
      </c>
      <c r="C26" s="227" t="s">
        <v>192</v>
      </c>
      <c r="D26" s="227" t="s">
        <v>589</v>
      </c>
      <c r="E26" s="226">
        <v>43078.249606481484</v>
      </c>
      <c r="F26" s="226">
        <v>43078.258645833332</v>
      </c>
      <c r="G26" s="225">
        <v>130</v>
      </c>
      <c r="H26" s="227" t="s">
        <v>561</v>
      </c>
      <c r="I26" s="226">
        <v>43078.28528935185</v>
      </c>
      <c r="J26" s="225">
        <v>0</v>
      </c>
      <c r="K26" s="237" t="str">
        <f t="shared" si="0"/>
        <v>4035/4036</v>
      </c>
      <c r="L26" s="245" t="str">
        <f>VLOOKUP(A26,'Trips&amp;Operators'!$C$1:$G$99911,5,FALSE)</f>
        <v>MACDONALD THOMAS</v>
      </c>
      <c r="M26" s="224">
        <f t="shared" si="1"/>
        <v>2.6643518518540077E-2</v>
      </c>
      <c r="N26" s="225">
        <f t="shared" si="2"/>
        <v>38.366666666697711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-09T04:59:26-0700',mode:absolute,to:'2017-12-09T07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23.292999999999999</v>
      </c>
      <c r="Z26" s="247">
        <f t="shared" si="8"/>
        <v>1.89E-2</v>
      </c>
      <c r="AA26" s="247">
        <f t="shared" si="9"/>
        <v>23.274100000000001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26" s="234" t="str">
        <f t="shared" si="12"/>
        <v>"C:\Program Files (x86)\AstroGrep\AstroGrep.exe" /e /r /s /spath="%USERPROFILE%\AppData\Local\Temp\OnboardLogs" /stypes="app*4035*20171209*"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114-09 --locoid 4035 --swversion DE.1.0.9.0 --startMP 204:232930 --initTime 2017-12-09T05:59:26 --startdatetime 2017-12-09T06:12:27 --delay 130 --endMP 204:189 --enddatetime 2017-12-09T06:50:49 --enforcementcount 0 &gt;&gt;%USERPROFILE%\Documents\GitHub\eaglep3-reporting\EC\2017-12-09-refined-times.txt</v>
      </c>
      <c r="AI2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{"issue":{"subject":"","project_id":79,"tracker_id":40,"status_id":1,"priority_id":2,"assigned_to_id":338,"start_date":"2017-12-09","description":"","custom_fields":[{"id":1,"name":"Subdivision","value":"EC"},{"id":4,"name":"Milepost","value":"0.0189"},{"id":17,"name":"Train ID","value":"114-09"},{"id":16,"name":"Locomotive ID","value":"4035"},{"id":130,"name":"Impact","value":""},{"id":150,"name":"Time of Event (Mountain Time)","value":"06:50:49"},{"id":151,"name":"Denver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4035 --day 2017-12-09</v>
      </c>
      <c r="AN2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-09T04:59:26-0700',mode:absolute,to:'2017-12-09T07:50:49-0700'))&amp;_a=(columns:!('Message%20ID',Summary),filters:!(),index:'emp_*',interval:auto,query:(query_string:(analyze_wildcard:!t,query:'%22rtdc.l.rtdc.4035%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725</v>
      </c>
      <c r="B27" s="225">
        <v>4014</v>
      </c>
      <c r="C27" s="227" t="s">
        <v>192</v>
      </c>
      <c r="D27" s="227" t="s">
        <v>907</v>
      </c>
      <c r="E27" s="226">
        <v>43078.226759259262</v>
      </c>
      <c r="F27" s="226">
        <v>43078.229479166665</v>
      </c>
      <c r="G27" s="225">
        <v>67</v>
      </c>
      <c r="H27" s="227" t="s">
        <v>908</v>
      </c>
      <c r="I27" s="226">
        <v>43078.25472222222</v>
      </c>
      <c r="J27" s="225">
        <v>0</v>
      </c>
      <c r="K27" s="237" t="str">
        <f t="shared" si="0"/>
        <v>4013/4014</v>
      </c>
      <c r="L27" s="245" t="str">
        <f>VLOOKUP(A27,'Trips&amp;Operators'!$C$1:$G$99911,5,FALSE)</f>
        <v>MAELZER KURT</v>
      </c>
      <c r="M27" s="224">
        <f t="shared" si="1"/>
        <v>2.5243055555620231E-2</v>
      </c>
      <c r="N27" s="225">
        <f t="shared" si="2"/>
        <v>36.350000000093132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-09T04:26:32-0700',mode:absolute,to:'2017-12-09T07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4.8599999999999997E-2</v>
      </c>
      <c r="Z27" s="247">
        <f t="shared" si="8"/>
        <v>23.331</v>
      </c>
      <c r="AA27" s="247">
        <f t="shared" si="9"/>
        <v>23.282399999999999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27" s="234" t="str">
        <f t="shared" si="12"/>
        <v>"C:\Program Files (x86)\AstroGrep\AstroGrep.exe" /e /r /s /spath="%USERPROFILE%\AppData\Local\Temp\OnboardLogs" /stypes="app*4014*20171209*"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115-09 --locoid 4014 --swversion DE.1.0.9.0 --startMP 204:486 --initTime 2017-12-09T05:26:32 --startdatetime 2017-12-09T05:30:27 --delay 67 --endMP 204:233310 --enddatetime 2017-12-09T06:06:48 --enforcementcount 0 &gt;&gt;%USERPROFILE%\Documents\GitHub\eaglep3-reporting\EC\2017-12-09-refined-times.txt</v>
      </c>
      <c r="AI2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{"issue":{"subject":"","project_id":79,"tracker_id":40,"status_id":1,"priority_id":2,"assigned_to_id":338,"start_date":"2017-12-09","description":"","custom_fields":[{"id":1,"name":"Subdivision","value":"EC"},{"id":4,"name":"Milepost","value":"23.331"},{"id":17,"name":"Train ID","value":"115-09"},{"id":16,"name":"Locomotive ID","value":"4014"},{"id":130,"name":"Impact","value":""},{"id":150,"name":"Time of Event (Mountain Time)","value":"06:06:48"},{"id":151,"name":"Denver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4014 --day 2017-12-09</v>
      </c>
      <c r="AN2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-09T04:26:32-0700',mode:absolute,to:'2017-12-09T07:06:48-0700'))&amp;_a=(columns:!('Message%20ID',Summary),filters:!(),index:'emp_*',interval:auto,query:(query_string:(analyze_wildcard:!t,query:'%22rtdc.l.rtdc.4014%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731</v>
      </c>
      <c r="B28" s="225">
        <v>4013</v>
      </c>
      <c r="C28" s="227" t="s">
        <v>192</v>
      </c>
      <c r="D28" s="227" t="s">
        <v>901</v>
      </c>
      <c r="E28" s="226">
        <v>43078.263680555552</v>
      </c>
      <c r="F28" s="226">
        <v>43078.268958333334</v>
      </c>
      <c r="G28" s="225">
        <v>49</v>
      </c>
      <c r="H28" s="227" t="s">
        <v>909</v>
      </c>
      <c r="I28" s="226">
        <v>43078.294641203705</v>
      </c>
      <c r="J28" s="225">
        <v>0</v>
      </c>
      <c r="K28" s="237" t="str">
        <f t="shared" si="0"/>
        <v>4013/4014</v>
      </c>
      <c r="L28" s="245" t="str">
        <f>VLOOKUP(A28,'Trips&amp;Operators'!$C$1:$G$99911,5,FALSE)</f>
        <v>MAELZER KURT</v>
      </c>
      <c r="M28" s="224">
        <f t="shared" si="1"/>
        <v>2.5682870371383615E-2</v>
      </c>
      <c r="N28" s="225">
        <f t="shared" si="2"/>
        <v>36.983333334792405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-09T05:19:42-0700',mode:absolute,to:'2017-12-09T08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23.298100000000002</v>
      </c>
      <c r="Z28" s="247">
        <f t="shared" si="8"/>
        <v>1.9800000000000002E-2</v>
      </c>
      <c r="AA28" s="247">
        <f t="shared" si="9"/>
        <v>23.278300000000002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28" s="234" t="str">
        <f t="shared" si="12"/>
        <v>"C:\Program Files (x86)\AstroGrep\AstroGrep.exe" /e /r /s /spath="%USERPROFILE%\AppData\Local\Temp\OnboardLogs" /stypes="app*4013*20171209*"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116-09 --locoid 4013 --swversion DE.1.0.9.0 --startMP 204:232981 --initTime 2017-12-09T06:19:42 --startdatetime 2017-12-09T06:27:18 --delay 49 --endMP 204:198 --enddatetime 2017-12-09T07:04:17 --enforcementcount 0 &gt;&gt;%USERPROFILE%\Documents\GitHub\eaglep3-reporting\EC\2017-12-09-refined-times.txt</v>
      </c>
      <c r="AI2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{"issue":{"subject":"","project_id":79,"tracker_id":40,"status_id":1,"priority_id":2,"assigned_to_id":338,"start_date":"2017-12-09","description":"","custom_fields":[{"id":1,"name":"Subdivision","value":"EC"},{"id":4,"name":"Milepost","value":"0.0198"},{"id":17,"name":"Train ID","value":"116-09"},{"id":16,"name":"Locomotive ID","value":"4013"},{"id":130,"name":"Impact","value":""},{"id":150,"name":"Time of Event (Mountain Time)","value":"07:04:17"},{"id":151,"name":"Denver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4013 --day 2017-12-09</v>
      </c>
      <c r="AN2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-09T05:19:42-0700',mode:absolute,to:'2017-12-09T08:04:17-0700'))&amp;_a=(columns:!('Message%20ID',Summary),filters:!(),index:'emp_*',interval:auto,query:(query_string:(analyze_wildcard:!t,query:'%22rtdc.l.rtdc.4013%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726</v>
      </c>
      <c r="B29" s="225">
        <v>4022</v>
      </c>
      <c r="C29" s="227" t="s">
        <v>192</v>
      </c>
      <c r="D29" s="227" t="s">
        <v>474</v>
      </c>
      <c r="E29" s="226">
        <v>43078.231828703705</v>
      </c>
      <c r="F29" s="226">
        <v>43078.239768518521</v>
      </c>
      <c r="G29" s="225">
        <v>102</v>
      </c>
      <c r="H29" s="227" t="s">
        <v>585</v>
      </c>
      <c r="I29" s="226">
        <v>43078.264826388891</v>
      </c>
      <c r="J29" s="225">
        <v>0</v>
      </c>
      <c r="K29" s="237" t="str">
        <f t="shared" si="0"/>
        <v>4021/4022</v>
      </c>
      <c r="L29" s="245" t="str">
        <f>VLOOKUP(A29,'Trips&amp;Operators'!$C$1:$G$99911,5,FALSE)</f>
        <v>WILLIAMS DONTE</v>
      </c>
      <c r="M29" s="224">
        <f t="shared" si="1"/>
        <v>2.5057870370801538E-2</v>
      </c>
      <c r="N29" s="225">
        <f t="shared" si="2"/>
        <v>36.083333333954215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-09T04:33:50-0700',mode:absolute,to:'2017-12-09T07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4.9700000000000001E-2</v>
      </c>
      <c r="Z29" s="247">
        <f t="shared" si="8"/>
        <v>23.3218</v>
      </c>
      <c r="AA29" s="247">
        <f t="shared" si="9"/>
        <v>23.272099999999998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29" s="234" t="str">
        <f t="shared" si="12"/>
        <v>"C:\Program Files (x86)\AstroGrep\AstroGrep.exe" /e /r /s /spath="%USERPROFILE%\AppData\Local\Temp\OnboardLogs" /stypes="app*4022*20171209*"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117-09 --locoid 4022 --swversion DE.1.0.9.0 --startMP 204:497 --initTime 2017-12-09T05:33:50 --startdatetime 2017-12-09T05:45:16 --delay 102 --endMP 204:233218 --enddatetime 2017-12-09T06:21:21 --enforcementcount 0 &gt;&gt;%USERPROFILE%\Documents\GitHub\eaglep3-reporting\EC\2017-12-09-refined-times.txt</v>
      </c>
      <c r="AI2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{"issue":{"subject":"","project_id":79,"tracker_id":40,"status_id":1,"priority_id":2,"assigned_to_id":338,"start_date":"2017-12-09","description":"","custom_fields":[{"id":1,"name":"Subdivision","value":"EC"},{"id":4,"name":"Milepost","value":"23.3218"},{"id":17,"name":"Train ID","value":"117-09"},{"id":16,"name":"Locomotive ID","value":"4022"},{"id":130,"name":"Impact","value":""},{"id":150,"name":"Time of Event (Mountain Time)","value":"06:21:21"},{"id":151,"name":"Denver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4022 --day 2017-12-09</v>
      </c>
      <c r="AN2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-09T04:33:50-0700',mode:absolute,to:'2017-12-09T07:21:21-0700'))&amp;_a=(columns:!('Message%20ID',Summary),filters:!(),index:'emp_*',interval:auto,query:(query_string:(analyze_wildcard:!t,query:'%22rtdc.l.rtdc.4022%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734</v>
      </c>
      <c r="B30" s="225">
        <v>4021</v>
      </c>
      <c r="C30" s="227" t="s">
        <v>192</v>
      </c>
      <c r="D30" s="227" t="s">
        <v>631</v>
      </c>
      <c r="E30" s="226">
        <v>43078.275960648149</v>
      </c>
      <c r="F30" s="226">
        <v>43078.279421296298</v>
      </c>
      <c r="G30" s="225">
        <v>58</v>
      </c>
      <c r="H30" s="227" t="s">
        <v>487</v>
      </c>
      <c r="I30" s="226">
        <v>43078.306180555555</v>
      </c>
      <c r="J30" s="225">
        <v>0</v>
      </c>
      <c r="K30" s="237" t="str">
        <f t="shared" si="0"/>
        <v>4021/4022</v>
      </c>
      <c r="L30" s="245" t="str">
        <f>VLOOKUP(A30,'Trips&amp;Operators'!$C$1:$G$99911,5,FALSE)</f>
        <v>WILLIAMS DONTE</v>
      </c>
      <c r="M30" s="224">
        <f t="shared" si="1"/>
        <v>2.675925925723277E-2</v>
      </c>
      <c r="N30" s="225">
        <f t="shared" si="2"/>
        <v>38.533333330415189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-09T05:37:23-0700',mode:absolute,to:'2017-12-09T08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23.289000000000001</v>
      </c>
      <c r="Z30" s="247">
        <f t="shared" si="8"/>
        <v>2.0299999999999999E-2</v>
      </c>
      <c r="AA30" s="247">
        <f t="shared" si="9"/>
        <v>23.268700000000003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30" s="234" t="str">
        <f t="shared" si="12"/>
        <v>"C:\Program Files (x86)\AstroGrep\AstroGrep.exe" /e /r /s /spath="%USERPROFILE%\AppData\Local\Temp\OnboardLogs" /stypes="app*4021*20171209*"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118-09 --locoid 4021 --swversion DE.1.0.9.0 --startMP 204:232890 --initTime 2017-12-09T06:37:23 --startdatetime 2017-12-09T06:42:22 --delay 58 --endMP 204:203 --enddatetime 2017-12-09T07:20:54 --enforcementcount 0 &gt;&gt;%USERPROFILE%\Documents\GitHub\eaglep3-reporting\EC\2017-12-09-refined-times.txt</v>
      </c>
      <c r="AI3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{"issue":{"subject":"","project_id":79,"tracker_id":40,"status_id":1,"priority_id":2,"assigned_to_id":338,"start_date":"2017-12-09","description":"","custom_fields":[{"id":1,"name":"Subdivision","value":"EC"},{"id":4,"name":"Milepost","value":"0.0203"},{"id":17,"name":"Train ID","value":"118-09"},{"id":16,"name":"Locomotive ID","value":"4021"},{"id":130,"name":"Impact","value":""},{"id":150,"name":"Time of Event (Mountain Time)","value":"07:20:54"},{"id":151,"name":"Denver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4021 --day 2017-12-09</v>
      </c>
      <c r="AN3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-09T05:37:23-0700',mode:absolute,to:'2017-12-09T08:20:54-0700'))&amp;_a=(columns:!('Message%20ID',Summary),filters:!(),index:'emp_*',interval:auto,query:(query_string:(analyze_wildcard:!t,query:'%22rtdc.l.rtdc.4021%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727</v>
      </c>
      <c r="B31" s="225">
        <v>4028</v>
      </c>
      <c r="C31" s="227" t="s">
        <v>192</v>
      </c>
      <c r="D31" s="227" t="s">
        <v>910</v>
      </c>
      <c r="E31" s="226">
        <v>43078.244525462964</v>
      </c>
      <c r="F31" s="226">
        <v>43078.250173611108</v>
      </c>
      <c r="G31" s="225">
        <v>73</v>
      </c>
      <c r="H31" s="227" t="s">
        <v>579</v>
      </c>
      <c r="I31" s="226">
        <v>43078.274872685186</v>
      </c>
      <c r="J31" s="225">
        <v>0</v>
      </c>
      <c r="K31" s="237" t="str">
        <f t="shared" si="0"/>
        <v>4027/4028</v>
      </c>
      <c r="L31" s="245" t="str">
        <f>VLOOKUP(A31,'Trips&amp;Operators'!$C$1:$G$99911,5,FALSE)</f>
        <v>LOPES KIMBERLY</v>
      </c>
      <c r="M31" s="224">
        <f t="shared" si="1"/>
        <v>2.4699074077943806E-2</v>
      </c>
      <c r="N31" s="225">
        <f t="shared" si="2"/>
        <v>35.56666667223908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-09T04:52:07-0700',mode:absolute,to:'2017-12-09T07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5.1700000000000003E-2</v>
      </c>
      <c r="Z31" s="247">
        <f t="shared" si="8"/>
        <v>23.329499999999999</v>
      </c>
      <c r="AA31" s="247">
        <f t="shared" si="9"/>
        <v>23.277799999999999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31" s="234" t="str">
        <f t="shared" si="12"/>
        <v>"C:\Program Files (x86)\AstroGrep\AstroGrep.exe" /e /r /s /spath="%USERPROFILE%\AppData\Local\Temp\OnboardLogs" /stypes="app*4028*20171209*"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119-09 --locoid 4028 --swversion DE.1.0.9.0 --startMP 204:517 --initTime 2017-12-09T05:52:07 --startdatetime 2017-12-09T06:00:15 --delay 73 --endMP 204:233295 --enddatetime 2017-12-09T06:35:49 --enforcementcount 0 &gt;&gt;%USERPROFILE%\Documents\GitHub\eaglep3-reporting\EC\2017-12-09-refined-times.txt</v>
      </c>
      <c r="AI3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{"issue":{"subject":"","project_id":79,"tracker_id":40,"status_id":1,"priority_id":2,"assigned_to_id":338,"start_date":"2017-12-09","description":"","custom_fields":[{"id":1,"name":"Subdivision","value":"EC"},{"id":4,"name":"Milepost","value":"23.3295"},{"id":17,"name":"Train ID","value":"119-09"},{"id":16,"name":"Locomotive ID","value":"4028"},{"id":130,"name":"Impact","value":""},{"id":150,"name":"Time of Event (Mountain Time)","value":"06:35:49"},{"id":151,"name":"Denver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4028 --day 2017-12-09</v>
      </c>
      <c r="AN3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-09T04:52:07-0700',mode:absolute,to:'2017-12-09T07:35:49-0700'))&amp;_a=(columns:!('Message%20ID',Summary),filters:!(),index:'emp_*',interval:auto,query:(query_string:(analyze_wildcard:!t,query:'%22rtdc.l.rtdc.4028%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735</v>
      </c>
      <c r="B32" s="225">
        <v>4027</v>
      </c>
      <c r="C32" s="227" t="s">
        <v>192</v>
      </c>
      <c r="D32" s="227" t="s">
        <v>911</v>
      </c>
      <c r="E32" s="226">
        <v>43078.285046296296</v>
      </c>
      <c r="F32" s="226">
        <v>43078.289768518516</v>
      </c>
      <c r="G32" s="225">
        <v>71</v>
      </c>
      <c r="H32" s="227" t="s">
        <v>645</v>
      </c>
      <c r="I32" s="226">
        <v>43078.314884259256</v>
      </c>
      <c r="J32" s="225">
        <v>0</v>
      </c>
      <c r="K32" s="237" t="str">
        <f t="shared" si="0"/>
        <v>4027/4028</v>
      </c>
      <c r="L32" s="245" t="str">
        <f>VLOOKUP(A32,'Trips&amp;Operators'!$C$1:$G$99911,5,FALSE)</f>
        <v>LOPES KIMBERLY</v>
      </c>
      <c r="M32" s="224">
        <f t="shared" si="1"/>
        <v>2.5115740740147885E-2</v>
      </c>
      <c r="N32" s="225">
        <f t="shared" si="2"/>
        <v>36.166666665812954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-09T05:50:28-0700',mode:absolute,to:'2017-12-09T08:33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23.297000000000001</v>
      </c>
      <c r="Z32" s="247">
        <f t="shared" si="8"/>
        <v>2.1600000000000001E-2</v>
      </c>
      <c r="AA32" s="247">
        <f t="shared" si="9"/>
        <v>23.275400000000001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32" s="234" t="str">
        <f t="shared" si="12"/>
        <v>"C:\Program Files (x86)\AstroGrep\AstroGrep.exe" /e /r /s /spath="%USERPROFILE%\AppData\Local\Temp\OnboardLogs" /stypes="app*4027*20171209*"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120-09 --locoid 4027 --swversion DE.1.0.9.0 --startMP 204:232970 --initTime 2017-12-09T06:50:28 --startdatetime 2017-12-09T06:57:16 --delay 71 --endMP 204:216 --enddatetime 2017-12-09T07:33:26 --enforcementcount 0 &gt;&gt;%USERPROFILE%\Documents\GitHub\eaglep3-reporting\EC\2017-12-09-refined-times.txt</v>
      </c>
      <c r="AI3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{"issue":{"subject":"","project_id":79,"tracker_id":40,"status_id":1,"priority_id":2,"assigned_to_id":338,"start_date":"2017-12-09","description":"","custom_fields":[{"id":1,"name":"Subdivision","value":"EC"},{"id":4,"name":"Milepost","value":"0.0216"},{"id":17,"name":"Train ID","value":"120-09"},{"id":16,"name":"Locomotive ID","value":"4027"},{"id":130,"name":"Impact","value":""},{"id":150,"name":"Time of Event (Mountain Time)","value":"07:33:26"},{"id":151,"name":"Denver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4027 --day 2017-12-09</v>
      </c>
      <c r="AN3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-09T05:50:28-0700',mode:absolute,to:'2017-12-09T08:33:26-0700'))&amp;_a=(columns:!('Message%20ID',Summary),filters:!(),index:'emp_*',interval:auto,query:(query_string:(analyze_wildcard:!t,query:'%22rtdc.l.rtdc.4027%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730</v>
      </c>
      <c r="B33" s="225">
        <v>4008</v>
      </c>
      <c r="C33" s="227" t="s">
        <v>192</v>
      </c>
      <c r="D33" s="227" t="s">
        <v>642</v>
      </c>
      <c r="E33" s="226">
        <v>43078.254814814813</v>
      </c>
      <c r="F33" s="226">
        <v>43078.260706018518</v>
      </c>
      <c r="G33" s="225">
        <v>58</v>
      </c>
      <c r="H33" s="227" t="s">
        <v>912</v>
      </c>
      <c r="I33" s="226">
        <v>43078.284571759257</v>
      </c>
      <c r="J33" s="225">
        <v>0</v>
      </c>
      <c r="K33" s="237" t="str">
        <f t="shared" si="0"/>
        <v>4007/4008</v>
      </c>
      <c r="L33" s="245" t="str">
        <f>VLOOKUP(A33,'Trips&amp;Operators'!$C$1:$G$99911,5,FALSE)</f>
        <v>GEBRETEKLE DAGNEW</v>
      </c>
      <c r="M33" s="224">
        <f t="shared" si="1"/>
        <v>2.3865740738983732E-2</v>
      </c>
      <c r="N33" s="225">
        <f t="shared" si="2"/>
        <v>34.366666664136574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-09T05:06:56-0700',mode:absolute,to:'2017-12-09T07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4.6600000000000003E-2</v>
      </c>
      <c r="Z33" s="247">
        <f t="shared" si="8"/>
        <v>23.330500000000001</v>
      </c>
      <c r="AA33" s="247">
        <f t="shared" si="9"/>
        <v>23.283899999999999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33" s="234" t="str">
        <f t="shared" si="12"/>
        <v>"C:\Program Files (x86)\AstroGrep\AstroGrep.exe" /e /r /s /spath="%USERPROFILE%\AppData\Local\Temp\OnboardLogs" /stypes="app*4008*20171209*"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121-09 --locoid 4008 --swversion DE.1.0.9.0 --startMP 204:466 --initTime 2017-12-09T06:06:56 --startdatetime 2017-12-09T06:15:25 --delay 58 --endMP 204:233305 --enddatetime 2017-12-09T06:49:47 --enforcementcount 0 &gt;&gt;%USERPROFILE%\Documents\GitHub\eaglep3-reporting\EC\2017-12-09-refined-times.txt</v>
      </c>
      <c r="AI3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{"issue":{"subject":"","project_id":79,"tracker_id":40,"status_id":1,"priority_id":2,"assigned_to_id":338,"start_date":"2017-12-09","description":"","custom_fields":[{"id":1,"name":"Subdivision","value":"EC"},{"id":4,"name":"Milepost","value":"23.3305"},{"id":17,"name":"Train ID","value":"121-09"},{"id":16,"name":"Locomotive ID","value":"4008"},{"id":130,"name":"Impact","value":""},{"id":150,"name":"Time of Event (Mountain Time)","value":"06:49:47"},{"id":151,"name":"Denver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4008 --day 2017-12-09</v>
      </c>
      <c r="AN3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-09T05:06:56-0700',mode:absolute,to:'2017-12-09T07:49:47-0700'))&amp;_a=(columns:!('Message%20ID',Summary),filters:!(),index:'emp_*',interval:auto,query:(query_string:(analyze_wildcard:!t,query:'%22rtdc.l.rtdc.4008%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736</v>
      </c>
      <c r="B34" s="225">
        <v>4007</v>
      </c>
      <c r="C34" s="227" t="s">
        <v>192</v>
      </c>
      <c r="D34" s="227" t="s">
        <v>913</v>
      </c>
      <c r="E34" s="226">
        <v>43078.285775462966</v>
      </c>
      <c r="F34" s="226">
        <v>43078.300208333334</v>
      </c>
      <c r="G34" s="225">
        <v>51</v>
      </c>
      <c r="H34" s="227" t="s">
        <v>902</v>
      </c>
      <c r="I34" s="226">
        <v>43078.32603009259</v>
      </c>
      <c r="J34" s="225">
        <v>0</v>
      </c>
      <c r="K34" s="237" t="str">
        <f t="shared" si="0"/>
        <v>4007/4008</v>
      </c>
      <c r="L34" s="245" t="str">
        <f>VLOOKUP(A34,'Trips&amp;Operators'!$C$1:$G$99911,5,FALSE)</f>
        <v>GEBRETEKLE DAGNEW</v>
      </c>
      <c r="M34" s="224">
        <f t="shared" si="1"/>
        <v>2.5821759256359655E-2</v>
      </c>
      <c r="N34" s="225">
        <f t="shared" si="2"/>
        <v>37.183333329157904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-09T05:51:31-0700',mode:absolute,to:'2017-12-09T08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23.298200000000001</v>
      </c>
      <c r="Z34" s="247">
        <f t="shared" si="8"/>
        <v>1.6299999999999999E-2</v>
      </c>
      <c r="AA34" s="247">
        <f t="shared" si="9"/>
        <v>23.2819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34" s="234" t="str">
        <f t="shared" si="12"/>
        <v>"C:\Program Files (x86)\AstroGrep\AstroGrep.exe" /e /r /s /spath="%USERPROFILE%\AppData\Local\Temp\OnboardLogs" /stypes="app*4007*20171209*"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122-09 --locoid 4007 --swversion DE.1.0.9.0 --startMP 204:232982 --initTime 2017-12-09T06:51:31 --startdatetime 2017-12-09T07:12:18 --delay 51 --endMP 204:163 --enddatetime 2017-12-09T07:49:29 --enforcementcount 0 &gt;&gt;%USERPROFILE%\Documents\GitHub\eaglep3-reporting\EC\2017-12-09-refined-times.txt</v>
      </c>
      <c r="AI3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{"issue":{"subject":"","project_id":79,"tracker_id":40,"status_id":1,"priority_id":2,"assigned_to_id":338,"start_date":"2017-12-09","description":"","custom_fields":[{"id":1,"name":"Subdivision","value":"EC"},{"id":4,"name":"Milepost","value":"0.0163"},{"id":17,"name":"Train ID","value":"122-09"},{"id":16,"name":"Locomotive ID","value":"4007"},{"id":130,"name":"Impact","value":""},{"id":150,"name":"Time of Event (Mountain Time)","value":"07:49:29"},{"id":151,"name":"Denver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4007 --day 2017-12-09</v>
      </c>
      <c r="AN3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-09T05:51:31-0700',mode:absolute,to:'2017-12-09T08:49:29-0700'))&amp;_a=(columns:!('Message%20ID',Summary),filters:!(),index:'emp_*',interval:auto,query:(query_string:(analyze_wildcard:!t,query:'%22rtdc.l.rtdc.4007%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733</v>
      </c>
      <c r="B35" s="225">
        <v>4058</v>
      </c>
      <c r="C35" s="227" t="s">
        <v>192</v>
      </c>
      <c r="D35" s="227" t="s">
        <v>914</v>
      </c>
      <c r="E35" s="226">
        <v>43078.266180555554</v>
      </c>
      <c r="F35" s="226">
        <v>43078.27171296296</v>
      </c>
      <c r="G35" s="225">
        <v>133</v>
      </c>
      <c r="H35" s="227" t="s">
        <v>915</v>
      </c>
      <c r="I35" s="226">
        <v>43078.295138888891</v>
      </c>
      <c r="J35" s="225">
        <v>0</v>
      </c>
      <c r="K35" s="237" t="str">
        <f t="shared" si="0"/>
        <v>4057/4058</v>
      </c>
      <c r="L35" s="245" t="str">
        <f>VLOOKUP(A35,'Trips&amp;Operators'!$C$1:$G$99911,5,FALSE)</f>
        <v>DELGADO DIANAH</v>
      </c>
      <c r="M35" s="224">
        <f t="shared" si="1"/>
        <v>2.3425925930496305E-2</v>
      </c>
      <c r="N35" s="225">
        <f t="shared" si="2"/>
        <v>33.73333333991468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-09T05:23:18-0700',mode:absolute,to:'2017-12-09T08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4.6399999999999997E-2</v>
      </c>
      <c r="Z35" s="247">
        <f t="shared" si="8"/>
        <v>23.332100000000001</v>
      </c>
      <c r="AA35" s="247">
        <f t="shared" si="9"/>
        <v>23.285700000000002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35" s="234" t="str">
        <f t="shared" si="12"/>
        <v>"C:\Program Files (x86)\AstroGrep\AstroGrep.exe" /e /r /s /spath="%USERPROFILE%\AppData\Local\Temp\OnboardLogs" /stypes="app*4058*20171209*"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123-09 --locoid 4058 --swversion DE.1.0.9.0 --startMP 204:464 --initTime 2017-12-09T06:23:18 --startdatetime 2017-12-09T06:31:16 --delay 133 --endMP 204:233321 --enddatetime 2017-12-09T07:05:00 --enforcementcount 0 &gt;&gt;%USERPROFILE%\Documents\GitHub\eaglep3-reporting\EC\2017-12-09-refined-times.txt</v>
      </c>
      <c r="AI3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{"issue":{"subject":"","project_id":79,"tracker_id":40,"status_id":1,"priority_id":2,"assigned_to_id":338,"start_date":"2017-12-09","description":"","custom_fields":[{"id":1,"name":"Subdivision","value":"EC"},{"id":4,"name":"Milepost","value":"23.3321"},{"id":17,"name":"Train ID","value":"123-09"},{"id":16,"name":"Locomotive ID","value":"4058"},{"id":130,"name":"Impact","value":""},{"id":150,"name":"Time of Event (Mountain Time)","value":"07:05:00"},{"id":151,"name":"Denver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4058 --day 2017-12-09</v>
      </c>
      <c r="AN3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-09T05:23:18-0700',mode:absolute,to:'2017-12-09T08:05:00-0700'))&amp;_a=(columns:!('Message%20ID',Summary),filters:!(),index:'emp_*',interval:auto,query:(query_string:(analyze_wildcard:!t,query:'%22rtdc.l.rtdc.4058%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684</v>
      </c>
      <c r="B36" s="225">
        <v>4057</v>
      </c>
      <c r="C36" s="227" t="s">
        <v>192</v>
      </c>
      <c r="D36" s="227" t="s">
        <v>916</v>
      </c>
      <c r="E36" s="226">
        <v>43078.296365740738</v>
      </c>
      <c r="F36" s="226">
        <v>43078.310613425929</v>
      </c>
      <c r="G36" s="225">
        <v>47</v>
      </c>
      <c r="H36" s="227" t="s">
        <v>917</v>
      </c>
      <c r="I36" s="226">
        <v>43078.3359837963</v>
      </c>
      <c r="J36" s="225">
        <v>0</v>
      </c>
      <c r="K36" s="237" t="str">
        <f t="shared" si="0"/>
        <v>4057/4058</v>
      </c>
      <c r="L36" s="245" t="str">
        <f>VLOOKUP(A36,'Trips&amp;Operators'!$C$1:$G$99911,5,FALSE)</f>
        <v>DELGADO DIANAH</v>
      </c>
      <c r="M36" s="224">
        <f t="shared" si="1"/>
        <v>2.5370370371092577E-2</v>
      </c>
      <c r="N36" s="225">
        <f t="shared" si="2"/>
        <v>36.53333333437331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-09T06:06:46-0700',mode:absolute,to:'2017-12-09T09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23.299299999999999</v>
      </c>
      <c r="Z36" s="247">
        <f t="shared" si="8"/>
        <v>1.47E-2</v>
      </c>
      <c r="AA36" s="247">
        <f t="shared" si="9"/>
        <v>23.284599999999998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36" s="234" t="str">
        <f t="shared" si="12"/>
        <v>"C:\Program Files (x86)\AstroGrep\AstroGrep.exe" /e /r /s /spath="%USERPROFILE%\AppData\Local\Temp\OnboardLogs" /stypes="app*4057*20171209*"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124-09 --locoid 4057 --swversion DE.1.0.9.0 --startMP 204:232993 --initTime 2017-12-09T07:06:46 --startdatetime 2017-12-09T07:27:17 --delay 47 --endMP 204:147 --enddatetime 2017-12-09T08:03:49 --enforcementcount 0 &gt;&gt;%USERPROFILE%\Documents\GitHub\eaglep3-reporting\EC\2017-12-09-refined-times.txt</v>
      </c>
      <c r="AI3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{"issue":{"subject":"","project_id":79,"tracker_id":40,"status_id":1,"priority_id":2,"assigned_to_id":338,"start_date":"2017-12-09","description":"","custom_fields":[{"id":1,"name":"Subdivision","value":"EC"},{"id":4,"name":"Milepost","value":"0.0147"},{"id":17,"name":"Train ID","value":"124-09"},{"id":16,"name":"Locomotive ID","value":"4057"},{"id":130,"name":"Impact","value":""},{"id":150,"name":"Time of Event (Mountain Time)","value":"08:03:49"},{"id":151,"name":"Denver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4057 --day 2017-12-09</v>
      </c>
      <c r="AN3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-09T06:06:46-0700',mode:absolute,to:'2017-12-09T09:03:49-0700'))&amp;_a=(columns:!('Message%20ID',Summary),filters:!(),index:'emp_*',interval:auto,query:(query_string:(analyze_wildcard:!t,query:'%22rtdc.l.rtdc.4057%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683</v>
      </c>
      <c r="B37" s="225">
        <v>4060</v>
      </c>
      <c r="C37" s="227" t="s">
        <v>192</v>
      </c>
      <c r="D37" s="227" t="s">
        <v>508</v>
      </c>
      <c r="E37" s="226">
        <v>43078.27789351852</v>
      </c>
      <c r="F37" s="226">
        <v>43078.281493055554</v>
      </c>
      <c r="G37" s="225">
        <v>49</v>
      </c>
      <c r="H37" s="227" t="s">
        <v>635</v>
      </c>
      <c r="I37" s="226">
        <v>43078.305891203701</v>
      </c>
      <c r="J37" s="225">
        <v>0</v>
      </c>
      <c r="K37" s="237" t="str">
        <f t="shared" si="0"/>
        <v>4059/4060</v>
      </c>
      <c r="L37" s="245" t="str">
        <f>VLOOKUP(A37,'Trips&amp;Operators'!$C$1:$G$99911,5,FALSE)</f>
        <v>THOMPSON LESTER</v>
      </c>
      <c r="M37" s="224">
        <f t="shared" si="1"/>
        <v>2.4398148147156462E-2</v>
      </c>
      <c r="N37" s="225">
        <f t="shared" si="2"/>
        <v>35.133333331905305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-09T05:40:10-0700',mode:absolute,to:'2017-12-09T08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5.4600000000000003E-2</v>
      </c>
      <c r="Z37" s="247">
        <f t="shared" si="8"/>
        <v>23.3216</v>
      </c>
      <c r="AA37" s="247">
        <f t="shared" si="9"/>
        <v>23.266999999999999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37" s="234" t="str">
        <f t="shared" si="12"/>
        <v>"C:\Program Files (x86)\AstroGrep\AstroGrep.exe" /e /r /s /spath="%USERPROFILE%\AppData\Local\Temp\OnboardLogs" /stypes="app*4060*20171209*"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125-09 --locoid 4060 --swversion DE.1.0.9.0 --startMP 204:546 --initTime 2017-12-09T06:40:10 --startdatetime 2017-12-09T06:45:21 --delay 49 --endMP 204:233216 --enddatetime 2017-12-09T07:20:29 --enforcementcount 0 &gt;&gt;%USERPROFILE%\Documents\GitHub\eaglep3-reporting\EC\2017-12-09-refined-times.txt</v>
      </c>
      <c r="AI3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{"issue":{"subject":"","project_id":79,"tracker_id":40,"status_id":1,"priority_id":2,"assigned_to_id":338,"start_date":"2017-12-09","description":"","custom_fields":[{"id":1,"name":"Subdivision","value":"EC"},{"id":4,"name":"Milepost","value":"23.3216"},{"id":17,"name":"Train ID","value":"125-09"},{"id":16,"name":"Locomotive ID","value":"4060"},{"id":130,"name":"Impact","value":""},{"id":150,"name":"Time of Event (Mountain Time)","value":"07:20:29"},{"id":151,"name":"Denver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4060 --day 2017-12-09</v>
      </c>
      <c r="AN3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-09T05:40:10-0700',mode:absolute,to:'2017-12-09T08:20:29-0700'))&amp;_a=(columns:!('Message%20ID',Summary),filters:!(),index:'emp_*',interval:auto,query:(query_string:(analyze_wildcard:!t,query:'%22rtdc.l.rtdc.4060%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685</v>
      </c>
      <c r="B38" s="225">
        <v>4059</v>
      </c>
      <c r="C38" s="227" t="s">
        <v>192</v>
      </c>
      <c r="D38" s="227" t="s">
        <v>623</v>
      </c>
      <c r="E38" s="226">
        <v>43078.318182870367</v>
      </c>
      <c r="F38" s="226">
        <v>43078.321111111109</v>
      </c>
      <c r="G38" s="225">
        <v>52</v>
      </c>
      <c r="H38" s="227" t="s">
        <v>487</v>
      </c>
      <c r="I38" s="226">
        <v>43078.349189814813</v>
      </c>
      <c r="J38" s="225">
        <v>0</v>
      </c>
      <c r="K38" s="237" t="str">
        <f t="shared" si="0"/>
        <v>4059/4060</v>
      </c>
      <c r="L38" s="245" t="str">
        <f>VLOOKUP(A38,'Trips&amp;Operators'!$C$1:$G$99911,5,FALSE)</f>
        <v>THOMPSON LESTER</v>
      </c>
      <c r="M38" s="224">
        <f t="shared" si="1"/>
        <v>2.8078703704522923E-2</v>
      </c>
      <c r="N38" s="225">
        <f t="shared" si="2"/>
        <v>40.433333334513009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-09T06:38:11-0700',mode:absolute,to:'2017-12-09T09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23.2881</v>
      </c>
      <c r="Z38" s="247">
        <f t="shared" si="8"/>
        <v>2.0299999999999999E-2</v>
      </c>
      <c r="AA38" s="247">
        <f t="shared" si="9"/>
        <v>23.267800000000001</v>
      </c>
      <c r="AB38" s="233" t="str">
        <f>VLOOKUP(A38,Enforcements!$C$7:$K$9,8,0)</f>
        <v>Bulletin (2)</v>
      </c>
      <c r="AC38" s="232" t="str">
        <f>VLOOKUP(A38,Enforcements!$C$7:$E$9,3,0)</f>
        <v>GRADE CROSSING</v>
      </c>
      <c r="AD38" s="243">
        <f t="shared" si="10"/>
        <v>126</v>
      </c>
      <c r="AE38" s="235" t="str">
        <f t="shared" si="11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38" s="234" t="str">
        <f t="shared" si="12"/>
        <v>"C:\Program Files (x86)\AstroGrep\AstroGrep.exe" /e /r /s /spath="%USERPROFILE%\AppData\Local\Temp\OnboardLogs" /stypes="app*4059*20171209*"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126-09 --locoid 4059 --swversion DE.1.0.9.0 --startMP 204:232881 --initTime 2017-12-09T07:38:11 --startdatetime 2017-12-09T07:42:24 --delay 52 --endMP 204:203 --enddatetime 2017-12-09T08:22:50 --enforcementcount 0 &gt;&gt;%USERPROFILE%\Documents\GitHub\eaglep3-reporting\EC\2017-12-09-refined-times.txt</v>
      </c>
      <c r="AI3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{"issue":{"subject":"","project_id":79,"tracker_id":40,"status_id":1,"priority_id":2,"assigned_to_id":338,"start_date":"2017-12-09","description":"","custom_fields":[{"id":1,"name":"Subdivision","value":"EC"},{"id":4,"name":"Milepost","value":"0.0203"},{"id":17,"name":"Train ID","value":"126-09"},{"id":16,"name":"Locomotive ID","value":"4059"},{"id":130,"name":"Impact","value":""},{"id":150,"name":"Time of Event (Mountain Time)","value":"08:22:50"},{"id":151,"name":"Denver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4059 --day 2017-12-09</v>
      </c>
      <c r="AN3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-09T06:38:11-0700',mode:absolute,to:'2017-12-09T09:22:50-0700'))&amp;_a=(columns:!('Message%20ID',Summary),filters:!(),index:'emp_*',interval:auto,query:(query_string:(analyze_wildcard:!t,query:'%22rtdc.l.rtdc.4059%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738</v>
      </c>
      <c r="B39" s="225">
        <v>4036</v>
      </c>
      <c r="C39" s="227" t="s">
        <v>192</v>
      </c>
      <c r="D39" s="227" t="s">
        <v>591</v>
      </c>
      <c r="E39" s="226">
        <v>43078.289814814816</v>
      </c>
      <c r="F39" s="226">
        <v>43078.291875000003</v>
      </c>
      <c r="G39" s="225">
        <v>66</v>
      </c>
      <c r="H39" s="227" t="s">
        <v>588</v>
      </c>
      <c r="I39" s="226">
        <v>43078.316527777781</v>
      </c>
      <c r="J39" s="225">
        <v>0</v>
      </c>
      <c r="K39" s="237" t="str">
        <f t="shared" si="0"/>
        <v>4035/4036</v>
      </c>
      <c r="L39" s="245" t="str">
        <f>VLOOKUP(A39,'Trips&amp;Operators'!$C$1:$G$99911,5,FALSE)</f>
        <v>MACDONALD THOMAS</v>
      </c>
      <c r="M39" s="224">
        <f t="shared" si="1"/>
        <v>2.4652777778101154E-2</v>
      </c>
      <c r="N39" s="225">
        <f t="shared" si="2"/>
        <v>35.500000000465661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-09T05:57:20-0700',mode:absolute,to:'2017-12-09T08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5.0799999999999998E-2</v>
      </c>
      <c r="Z39" s="247">
        <f t="shared" si="8"/>
        <v>23.325500000000002</v>
      </c>
      <c r="AA39" s="247">
        <f t="shared" si="9"/>
        <v>23.274700000000003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39" s="234" t="str">
        <f t="shared" si="12"/>
        <v>"C:\Program Files (x86)\AstroGrep\AstroGrep.exe" /e /r /s /spath="%USERPROFILE%\AppData\Local\Temp\OnboardLogs" /stypes="app*4036*20171209*"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127-09 --locoid 4036 --swversion DE.1.0.9.0 --startMP 204:508 --initTime 2017-12-09T06:57:20 --startdatetime 2017-12-09T07:00:18 --delay 66 --endMP 204:233255 --enddatetime 2017-12-09T07:35:48 --enforcementcount 0 &gt;&gt;%USERPROFILE%\Documents\GitHub\eaglep3-reporting\EC\2017-12-09-refined-times.txt</v>
      </c>
      <c r="AI3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{"issue":{"subject":"","project_id":79,"tracker_id":40,"status_id":1,"priority_id":2,"assigned_to_id":338,"start_date":"2017-12-09","description":"","custom_fields":[{"id":1,"name":"Subdivision","value":"EC"},{"id":4,"name":"Milepost","value":"23.3255"},{"id":17,"name":"Train ID","value":"127-09"},{"id":16,"name":"Locomotive ID","value":"4036"},{"id":130,"name":"Impact","value":""},{"id":150,"name":"Time of Event (Mountain Time)","value":"07:35:48"},{"id":151,"name":"Denver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4036 --day 2017-12-09</v>
      </c>
      <c r="AN3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-09T05:57:20-0700',mode:absolute,to:'2017-12-09T08:35:48-0700'))&amp;_a=(columns:!('Message%20ID',Summary),filters:!(),index:'emp_*',interval:auto,query:(query_string:(analyze_wildcard:!t,query:'%22rtdc.l.rtdc.4036%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743</v>
      </c>
      <c r="B40" s="225">
        <v>4035</v>
      </c>
      <c r="C40" s="227" t="s">
        <v>192</v>
      </c>
      <c r="D40" s="227" t="s">
        <v>556</v>
      </c>
      <c r="E40" s="226">
        <v>43078.325937499998</v>
      </c>
      <c r="F40" s="226">
        <v>43078.331701388888</v>
      </c>
      <c r="G40" s="225">
        <v>92</v>
      </c>
      <c r="H40" s="227" t="s">
        <v>918</v>
      </c>
      <c r="I40" s="226">
        <v>43078.357430555552</v>
      </c>
      <c r="J40" s="225">
        <v>0</v>
      </c>
      <c r="K40" s="237" t="str">
        <f t="shared" si="0"/>
        <v>4035/4036</v>
      </c>
      <c r="L40" s="245" t="str">
        <f>VLOOKUP(A40,'Trips&amp;Operators'!$C$1:$G$99911,5,FALSE)</f>
        <v>MACDONALD THOMAS</v>
      </c>
      <c r="M40" s="224">
        <f t="shared" si="1"/>
        <v>2.5729166663950309E-2</v>
      </c>
      <c r="N40" s="225">
        <f t="shared" si="2"/>
        <v>37.049999996088445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-09T06:49:21-0700',mode:absolute,to:'2017-12-09T09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23.2943</v>
      </c>
      <c r="Z40" s="247">
        <f t="shared" si="8"/>
        <v>2.3400000000000001E-2</v>
      </c>
      <c r="AA40" s="247">
        <f t="shared" si="9"/>
        <v>23.270900000000001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40" s="234" t="str">
        <f t="shared" si="12"/>
        <v>"C:\Program Files (x86)\AstroGrep\AstroGrep.exe" /e /r /s /spath="%USERPROFILE%\AppData\Local\Temp\OnboardLogs" /stypes="app*4035*20171209*"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128-09 --locoid 4035 --swversion DE.1.0.9.0 --startMP 204:232943 --initTime 2017-12-09T07:49:21 --startdatetime 2017-12-09T07:57:39 --delay 92 --endMP 204:234 --enddatetime 2017-12-09T08:34:42 --enforcementcount 0 &gt;&gt;%USERPROFILE%\Documents\GitHub\eaglep3-reporting\EC\2017-12-09-refined-times.txt</v>
      </c>
      <c r="AI4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{"issue":{"subject":"","project_id":79,"tracker_id":40,"status_id":1,"priority_id":2,"assigned_to_id":338,"start_date":"2017-12-09","description":"","custom_fields":[{"id":1,"name":"Subdivision","value":"EC"},{"id":4,"name":"Milepost","value":"0.0234"},{"id":17,"name":"Train ID","value":"128-09"},{"id":16,"name":"Locomotive ID","value":"4035"},{"id":130,"name":"Impact","value":""},{"id":150,"name":"Time of Event (Mountain Time)","value":"08:34:42"},{"id":151,"name":"Denver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4035 --day 2017-12-09</v>
      </c>
      <c r="AN4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-09T06:49:21-0700',mode:absolute,to:'2017-12-09T09:34:42-0700'))&amp;_a=(columns:!('Message%20ID',Summary),filters:!(),index:'emp_*',interval:auto,query:(query_string:(analyze_wildcard:!t,query:'%22rtdc.l.rtdc.4035%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739</v>
      </c>
      <c r="B41" s="225">
        <v>4014</v>
      </c>
      <c r="C41" s="227" t="s">
        <v>192</v>
      </c>
      <c r="D41" s="227" t="s">
        <v>907</v>
      </c>
      <c r="E41" s="226">
        <v>43078.297037037039</v>
      </c>
      <c r="F41" s="226">
        <v>43078.30228009259</v>
      </c>
      <c r="G41" s="225">
        <v>48</v>
      </c>
      <c r="H41" s="227" t="s">
        <v>919</v>
      </c>
      <c r="I41" s="226">
        <v>43078.326550925929</v>
      </c>
      <c r="J41" s="225">
        <v>0</v>
      </c>
      <c r="K41" s="237" t="str">
        <f t="shared" si="0"/>
        <v>4013/4014</v>
      </c>
      <c r="L41" s="245" t="str">
        <f>VLOOKUP(A41,'Trips&amp;Operators'!$C$1:$G$99911,5,FALSE)</f>
        <v>MAELZER KURT</v>
      </c>
      <c r="M41" s="224">
        <f t="shared" si="1"/>
        <v>2.4270833338960074E-2</v>
      </c>
      <c r="N41" s="225">
        <f t="shared" si="2"/>
        <v>34.950000008102506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-09T06:07:44-0700',mode:absolute,to:'2017-12-09T08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4.8599999999999997E-2</v>
      </c>
      <c r="Z41" s="247">
        <f t="shared" si="8"/>
        <v>23.328900000000001</v>
      </c>
      <c r="AA41" s="247">
        <f t="shared" si="9"/>
        <v>23.2803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41" s="234" t="str">
        <f t="shared" si="12"/>
        <v>"C:\Program Files (x86)\AstroGrep\AstroGrep.exe" /e /r /s /spath="%USERPROFILE%\AppData\Local\Temp\OnboardLogs" /stypes="app*4014*20171209*"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129-09 --locoid 4014 --swversion DE.1.0.9.0 --startMP 204:486 --initTime 2017-12-09T07:07:44 --startdatetime 2017-12-09T07:15:17 --delay 48 --endMP 204:233289 --enddatetime 2017-12-09T07:50:14 --enforcementcount 0 &gt;&gt;%USERPROFILE%\Documents\GitHub\eaglep3-reporting\EC\2017-12-09-refined-times.txt</v>
      </c>
      <c r="AI4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{"issue":{"subject":"","project_id":79,"tracker_id":40,"status_id":1,"priority_id":2,"assigned_to_id":338,"start_date":"2017-12-09","description":"","custom_fields":[{"id":1,"name":"Subdivision","value":"EC"},{"id":4,"name":"Milepost","value":"23.3289"},{"id":17,"name":"Train ID","value":"129-09"},{"id":16,"name":"Locomotive ID","value":"4014"},{"id":130,"name":"Impact","value":""},{"id":150,"name":"Time of Event (Mountain Time)","value":"07:50:14"},{"id":151,"name":"Denver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4014 --day 2017-12-09</v>
      </c>
      <c r="AN4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-09T06:07:44-0700',mode:absolute,to:'2017-12-09T08:50:14-0700'))&amp;_a=(columns:!('Message%20ID',Summary),filters:!(),index:'emp_*',interval:auto,query:(query_string:(analyze_wildcard:!t,query:'%22rtdc.l.rtdc.4014%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745</v>
      </c>
      <c r="B42" s="225">
        <v>4013</v>
      </c>
      <c r="C42" s="227" t="s">
        <v>192</v>
      </c>
      <c r="D42" s="227" t="s">
        <v>913</v>
      </c>
      <c r="E42" s="226">
        <v>43078.331076388888</v>
      </c>
      <c r="F42" s="226">
        <v>43078.341840277775</v>
      </c>
      <c r="G42" s="225">
        <v>44</v>
      </c>
      <c r="H42" s="227" t="s">
        <v>561</v>
      </c>
      <c r="I42" s="226">
        <v>43078.36824074074</v>
      </c>
      <c r="J42" s="225">
        <v>0</v>
      </c>
      <c r="K42" s="237" t="str">
        <f t="shared" si="0"/>
        <v>4013/4014</v>
      </c>
      <c r="L42" s="245" t="str">
        <f>VLOOKUP(A42,'Trips&amp;Operators'!$C$1:$G$99911,5,FALSE)</f>
        <v>MAELZER KURT</v>
      </c>
      <c r="M42" s="224">
        <f t="shared" si="1"/>
        <v>2.6400462964375038E-2</v>
      </c>
      <c r="N42" s="225">
        <f t="shared" si="2"/>
        <v>38.016666668700054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-09T06:56:45-0700',mode:absolute,to:'2017-12-09T09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23.298200000000001</v>
      </c>
      <c r="Z42" s="247">
        <f t="shared" si="8"/>
        <v>1.89E-2</v>
      </c>
      <c r="AA42" s="247">
        <f t="shared" si="9"/>
        <v>23.279300000000003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42" s="234" t="str">
        <f t="shared" si="12"/>
        <v>"C:\Program Files (x86)\AstroGrep\AstroGrep.exe" /e /r /s /spath="%USERPROFILE%\AppData\Local\Temp\OnboardLogs" /stypes="app*4013*20171209*"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130-09 --locoid 4013 --swversion DE.1.0.9.0 --startMP 204:232982 --initTime 2017-12-09T07:56:45 --startdatetime 2017-12-09T08:12:15 --delay 44 --endMP 204:189 --enddatetime 2017-12-09T08:50:16 --enforcementcount 0 &gt;&gt;%USERPROFILE%\Documents\GitHub\eaglep3-reporting\EC\2017-12-09-refined-times.txt</v>
      </c>
      <c r="AI4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{"issue":{"subject":"","project_id":79,"tracker_id":40,"status_id":1,"priority_id":2,"assigned_to_id":338,"start_date":"2017-12-09","description":"","custom_fields":[{"id":1,"name":"Subdivision","value":"EC"},{"id":4,"name":"Milepost","value":"0.0189"},{"id":17,"name":"Train ID","value":"130-09"},{"id":16,"name":"Locomotive ID","value":"4013"},{"id":130,"name":"Impact","value":""},{"id":150,"name":"Time of Event (Mountain Time)","value":"08:50:16"},{"id":151,"name":"Denver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4013 --day 2017-12-09</v>
      </c>
      <c r="AN4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-09T06:56:45-0700',mode:absolute,to:'2017-12-09T09:50:16-0700'))&amp;_a=(columns:!('Message%20ID',Summary),filters:!(),index:'emp_*',interval:auto,query:(query_string:(analyze_wildcard:!t,query:'%22rtdc.l.rtdc.4013%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740</v>
      </c>
      <c r="B43" s="225">
        <v>4022</v>
      </c>
      <c r="C43" s="227" t="s">
        <v>192</v>
      </c>
      <c r="D43" s="227" t="s">
        <v>676</v>
      </c>
      <c r="E43" s="226">
        <v>43078.307291666664</v>
      </c>
      <c r="F43" s="226">
        <v>43078.312731481485</v>
      </c>
      <c r="G43" s="225">
        <v>54</v>
      </c>
      <c r="H43" s="227" t="s">
        <v>920</v>
      </c>
      <c r="I43" s="226">
        <v>43078.337511574071</v>
      </c>
      <c r="J43" s="225">
        <v>0</v>
      </c>
      <c r="K43" s="237" t="str">
        <f t="shared" si="0"/>
        <v>4021/4022</v>
      </c>
      <c r="L43" s="245" t="str">
        <f>VLOOKUP(A43,'Trips&amp;Operators'!$C$1:$G$99911,5,FALSE)</f>
        <v>WILLIAMS DONTE</v>
      </c>
      <c r="M43" s="224">
        <f t="shared" si="1"/>
        <v>2.4780092586297542E-2</v>
      </c>
      <c r="N43" s="225">
        <f t="shared" si="2"/>
        <v>35.68333332426846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-09T06:22:30-0700',mode:absolute,to:'2017-12-09T09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5.2600000000000001E-2</v>
      </c>
      <c r="Z43" s="247">
        <f t="shared" si="8"/>
        <v>23.321899999999999</v>
      </c>
      <c r="AA43" s="247">
        <f t="shared" si="9"/>
        <v>23.269299999999998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43" s="234" t="str">
        <f t="shared" si="12"/>
        <v>"C:\Program Files (x86)\AstroGrep\AstroGrep.exe" /e /r /s /spath="%USERPROFILE%\AppData\Local\Temp\OnboardLogs" /stypes="app*4022*20171209*"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131-09 --locoid 4022 --swversion DE.1.0.9.0 --startMP 204:526 --initTime 2017-12-09T07:22:30 --startdatetime 2017-12-09T07:30:20 --delay 54 --endMP 204:233219 --enddatetime 2017-12-09T08:06:01 --enforcementcount 0 &gt;&gt;%USERPROFILE%\Documents\GitHub\eaglep3-reporting\EC\2017-12-09-refined-times.txt</v>
      </c>
      <c r="AI4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{"issue":{"subject":"","project_id":79,"tracker_id":40,"status_id":1,"priority_id":2,"assigned_to_id":338,"start_date":"2017-12-09","description":"","custom_fields":[{"id":1,"name":"Subdivision","value":"EC"},{"id":4,"name":"Milepost","value":"23.3219"},{"id":17,"name":"Train ID","value":"131-09"},{"id":16,"name":"Locomotive ID","value":"4022"},{"id":130,"name":"Impact","value":""},{"id":150,"name":"Time of Event (Mountain Time)","value":"08:06:01"},{"id":151,"name":"Denver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4022 --day 2017-12-09</v>
      </c>
      <c r="AN4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-09T06:22:30-0700',mode:absolute,to:'2017-12-09T09:06:01-0700'))&amp;_a=(columns:!('Message%20ID',Summary),filters:!(),index:'emp_*',interval:auto,query:(query_string:(analyze_wildcard:!t,query:'%22rtdc.l.rtdc.4022%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748</v>
      </c>
      <c r="B44" s="225">
        <v>4021</v>
      </c>
      <c r="C44" s="227" t="s">
        <v>192</v>
      </c>
      <c r="D44" s="227" t="s">
        <v>614</v>
      </c>
      <c r="E44" s="226">
        <v>43078.347361111111</v>
      </c>
      <c r="F44" s="226">
        <v>43078.352465277778</v>
      </c>
      <c r="G44" s="225">
        <v>51</v>
      </c>
      <c r="H44" s="227" t="s">
        <v>921</v>
      </c>
      <c r="I44" s="226">
        <v>43078.378194444442</v>
      </c>
      <c r="J44" s="225">
        <v>0</v>
      </c>
      <c r="K44" s="237" t="str">
        <f t="shared" si="0"/>
        <v>4021/4022</v>
      </c>
      <c r="L44" s="245" t="str">
        <f>VLOOKUP(A44,'Trips&amp;Operators'!$C$1:$G$99911,5,FALSE)</f>
        <v>WILLIAMS DONTE</v>
      </c>
      <c r="M44" s="224">
        <f t="shared" si="1"/>
        <v>2.5729166663950309E-2</v>
      </c>
      <c r="N44" s="225">
        <f t="shared" si="2"/>
        <v>37.049999996088445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-09T07:20:12-0700',mode:absolute,to:'2017-12-09T10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23.2896</v>
      </c>
      <c r="Z44" s="247">
        <f t="shared" si="8"/>
        <v>1.8700000000000001E-2</v>
      </c>
      <c r="AA44" s="247">
        <f t="shared" si="9"/>
        <v>23.270900000000001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44" s="234" t="str">
        <f t="shared" si="12"/>
        <v>"C:\Program Files (x86)\AstroGrep\AstroGrep.exe" /e /r /s /spath="%USERPROFILE%\AppData\Local\Temp\OnboardLogs" /stypes="app*4021*20171209*"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132-09 --locoid 4021 --swversion DE.1.0.9.0 --startMP 204:232896 --initTime 2017-12-09T08:20:12 --startdatetime 2017-12-09T08:27:33 --delay 51 --endMP 204:187 --enddatetime 2017-12-09T09:04:36 --enforcementcount 0 &gt;&gt;%USERPROFILE%\Documents\GitHub\eaglep3-reporting\EC\2017-12-09-refined-times.txt</v>
      </c>
      <c r="AI4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{"issue":{"subject":"","project_id":79,"tracker_id":40,"status_id":1,"priority_id":2,"assigned_to_id":338,"start_date":"2017-12-09","description":"","custom_fields":[{"id":1,"name":"Subdivision","value":"EC"},{"id":4,"name":"Milepost","value":"0.0187"},{"id":17,"name":"Train ID","value":"132-09"},{"id":16,"name":"Locomotive ID","value":"4021"},{"id":130,"name":"Impact","value":""},{"id":150,"name":"Time of Event (Mountain Time)","value":"09:04:36"},{"id":151,"name":"Denver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4021 --day 2017-12-09</v>
      </c>
      <c r="AN4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-09T07:20:12-0700',mode:absolute,to:'2017-12-09T10:04:36-0700'))&amp;_a=(columns:!('Message%20ID',Summary),filters:!(),index:'emp_*',interval:auto,query:(query_string:(analyze_wildcard:!t,query:'%22rtdc.l.rtdc.4021%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742</v>
      </c>
      <c r="B45" s="225">
        <v>4028</v>
      </c>
      <c r="C45" s="227" t="s">
        <v>192</v>
      </c>
      <c r="D45" s="227" t="s">
        <v>910</v>
      </c>
      <c r="E45" s="226">
        <v>43078.315937500003</v>
      </c>
      <c r="F45" s="226">
        <v>43078.32309027778</v>
      </c>
      <c r="G45" s="225">
        <v>54</v>
      </c>
      <c r="H45" s="227" t="s">
        <v>922</v>
      </c>
      <c r="I45" s="226">
        <v>43078.346886574072</v>
      </c>
      <c r="J45" s="225">
        <v>0</v>
      </c>
      <c r="K45" s="237" t="str">
        <f t="shared" si="0"/>
        <v>4027/4028</v>
      </c>
      <c r="L45" s="245" t="str">
        <f>VLOOKUP(A45,'Trips&amp;Operators'!$C$1:$G$99911,5,FALSE)</f>
        <v>LOPES KIMBERLY</v>
      </c>
      <c r="M45" s="224">
        <f t="shared" si="1"/>
        <v>2.3796296292857733E-2</v>
      </c>
      <c r="N45" s="225">
        <f t="shared" ref="N45:N76" si="24">24*60*SUM($M45:$M45)</f>
        <v>34.266666661715135</v>
      </c>
      <c r="O45" s="225"/>
      <c r="P45" s="225"/>
      <c r="Q45" s="228"/>
      <c r="R45" s="242"/>
      <c r="S45" s="249">
        <f t="shared" si="3"/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-09T06:34:57-0700',mode:absolute,to:'2017-12-09T09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247" t="str">
        <f>IF(AA45&lt;VLOOKUP(AG45,Variables!$AC$3:$AD$8,2,FALSE),"Y","N")</f>
        <v>N</v>
      </c>
      <c r="X45" s="247">
        <f t="shared" si="6"/>
        <v>1</v>
      </c>
      <c r="Y45" s="247">
        <f t="shared" si="7"/>
        <v>5.1700000000000003E-2</v>
      </c>
      <c r="Z45" s="247">
        <f t="shared" si="8"/>
        <v>23.3201</v>
      </c>
      <c r="AA45" s="247">
        <f t="shared" si="9"/>
        <v>23.2684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45" s="234" t="str">
        <f t="shared" si="12"/>
        <v>"C:\Program Files (x86)\AstroGrep\AstroGrep.exe" /e /r /s /spath="%USERPROFILE%\AppData\Local\Temp\OnboardLogs" /stypes="app*4028*20171209*"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133-09 --locoid 4028 --swversion DE.1.0.9.0 --startMP 204:517 --initTime 2017-12-09T07:34:57 --startdatetime 2017-12-09T07:45:15 --delay 54 --endMP 204:233201 --enddatetime 2017-12-09T08:19:31 --enforcementcount 0 &gt;&gt;%USERPROFILE%\Documents\GitHub\eaglep3-reporting\EC\2017-12-09-refined-times.txt</v>
      </c>
      <c r="AI4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{"issue":{"subject":"","project_id":79,"tracker_id":40,"status_id":1,"priority_id":2,"assigned_to_id":338,"start_date":"2017-12-09","description":"","custom_fields":[{"id":1,"name":"Subdivision","value":"EC"},{"id":4,"name":"Milepost","value":"23.3201"},{"id":17,"name":"Train ID","value":"133-09"},{"id":16,"name":"Locomotive ID","value":"4028"},{"id":130,"name":"Impact","value":""},{"id":150,"name":"Time of Event (Mountain Time)","value":"08:19:31"},{"id":151,"name":"Denver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4028 --day 2017-12-09</v>
      </c>
      <c r="AN4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-09T06:34:57-0700',mode:absolute,to:'2017-12-09T09:19:31-0700'))&amp;_a=(columns:!('Message%20ID',Summary),filters:!(),index:'emp_*',interval:auto,query:(query_string:(analyze_wildcard:!t,query:'%22rtdc.l.rtdc.4028%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686</v>
      </c>
      <c r="B46" s="225">
        <v>4027</v>
      </c>
      <c r="C46" s="227" t="s">
        <v>192</v>
      </c>
      <c r="D46" s="227" t="s">
        <v>899</v>
      </c>
      <c r="E46" s="226">
        <v>43078.359224537038</v>
      </c>
      <c r="F46" s="226">
        <v>43078.362719907411</v>
      </c>
      <c r="G46" s="225">
        <v>66</v>
      </c>
      <c r="H46" s="227" t="s">
        <v>620</v>
      </c>
      <c r="I46" s="226">
        <v>43078.388668981483</v>
      </c>
      <c r="J46" s="225">
        <v>0</v>
      </c>
      <c r="K46" s="237" t="str">
        <f t="shared" si="0"/>
        <v>4027/4028</v>
      </c>
      <c r="L46" s="245" t="str">
        <f>VLOOKUP(A46,'Trips&amp;Operators'!$C$1:$G$99911,5,FALSE)</f>
        <v>LOPES KIMBERLY</v>
      </c>
      <c r="M46" s="224">
        <f t="shared" si="1"/>
        <v>2.5949074071832001E-2</v>
      </c>
      <c r="N46" s="225">
        <f t="shared" si="24"/>
        <v>37.366666663438082</v>
      </c>
      <c r="O46" s="225"/>
      <c r="P46" s="225"/>
      <c r="Q46" s="228"/>
      <c r="R46" s="242"/>
      <c r="S46" s="249">
        <f t="shared" si="3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-09T07:37:17-0700',mode:absolute,to:'2017-12-09T10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247" t="str">
        <f>IF(AA46&lt;VLOOKUP(AG46,Variables!$AC$3:$AD$8,2,FALSE),"Y","N")</f>
        <v>N</v>
      </c>
      <c r="X46" s="247">
        <f t="shared" si="6"/>
        <v>1</v>
      </c>
      <c r="Y46" s="247">
        <f t="shared" si="7"/>
        <v>23.288399999999999</v>
      </c>
      <c r="Z46" s="247">
        <f t="shared" si="8"/>
        <v>2.0500000000000001E-2</v>
      </c>
      <c r="AA46" s="247">
        <f t="shared" si="9"/>
        <v>23.267900000000001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46" s="234" t="str">
        <f t="shared" si="12"/>
        <v>"C:\Program Files (x86)\AstroGrep\AstroGrep.exe" /e /r /s /spath="%USERPROFILE%\AppData\Local\Temp\OnboardLogs" /stypes="app*4027*20171209*"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134-09 --locoid 4027 --swversion DE.1.0.9.0 --startMP 204:232884 --initTime 2017-12-09T08:37:17 --startdatetime 2017-12-09T08:42:19 --delay 66 --endMP 204:205 --enddatetime 2017-12-09T09:19:41 --enforcementcount 0 &gt;&gt;%USERPROFILE%\Documents\GitHub\eaglep3-reporting\EC\2017-12-09-refined-times.txt</v>
      </c>
      <c r="AI4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{"issue":{"subject":"","project_id":79,"tracker_id":40,"status_id":1,"priority_id":2,"assigned_to_id":338,"start_date":"2017-12-09","description":"","custom_fields":[{"id":1,"name":"Subdivision","value":"EC"},{"id":4,"name":"Milepost","value":"0.0205"},{"id":17,"name":"Train ID","value":"134-09"},{"id":16,"name":"Locomotive ID","value":"4027"},{"id":130,"name":"Impact","value":""},{"id":150,"name":"Time of Event (Mountain Time)","value":"09:19:41"},{"id":151,"name":"Denver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4027 --day 2017-12-09</v>
      </c>
      <c r="AN4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-09T07:37:17-0700',mode:absolute,to:'2017-12-09T10:19:41-0700'))&amp;_a=(columns:!('Message%20ID',Summary),filters:!(),index:'emp_*',interval:auto,query:(query_string:(analyze_wildcard:!t,query:'%22rtdc.l.rtdc.4027%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744</v>
      </c>
      <c r="B47" s="225">
        <v>4008</v>
      </c>
      <c r="C47" s="227" t="s">
        <v>192</v>
      </c>
      <c r="D47" s="227" t="s">
        <v>923</v>
      </c>
      <c r="E47" s="226">
        <v>43078.327280092592</v>
      </c>
      <c r="F47" s="226">
        <v>43078.333506944444</v>
      </c>
      <c r="G47" s="225">
        <v>101</v>
      </c>
      <c r="H47" s="227" t="s">
        <v>557</v>
      </c>
      <c r="I47" s="226">
        <v>43078.35796296296</v>
      </c>
      <c r="J47" s="225">
        <v>0</v>
      </c>
      <c r="K47" s="237" t="str">
        <f t="shared" si="0"/>
        <v>4007/4008</v>
      </c>
      <c r="L47" s="245" t="str">
        <f>VLOOKUP(A47,'Trips&amp;Operators'!$C$1:$G$99911,5,FALSE)</f>
        <v>PAGE MARCUS</v>
      </c>
      <c r="M47" s="224">
        <f t="shared" si="1"/>
        <v>2.4456018516502809E-2</v>
      </c>
      <c r="N47" s="225">
        <f t="shared" si="24"/>
        <v>35.216666663764045</v>
      </c>
      <c r="O47" s="225"/>
      <c r="P47" s="225"/>
      <c r="Q47" s="228"/>
      <c r="R47" s="242"/>
      <c r="S47" s="249">
        <f t="shared" si="3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-09T06:51:17-0700',mode:absolute,to:'2017-12-09T09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247" t="str">
        <f>IF(AA47&lt;VLOOKUP(AG47,Variables!$AC$3:$AD$8,2,FALSE),"Y","N")</f>
        <v>N</v>
      </c>
      <c r="X47" s="247">
        <f t="shared" si="6"/>
        <v>1</v>
      </c>
      <c r="Y47" s="247">
        <f t="shared" si="7"/>
        <v>4.5699999999999998E-2</v>
      </c>
      <c r="Z47" s="247">
        <f t="shared" si="8"/>
        <v>23.325299999999999</v>
      </c>
      <c r="AA47" s="247">
        <f t="shared" si="9"/>
        <v>23.279599999999999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47" s="234" t="str">
        <f t="shared" si="12"/>
        <v>"C:\Program Files (x86)\AstroGrep\AstroGrep.exe" /e /r /s /spath="%USERPROFILE%\AppData\Local\Temp\OnboardLogs" /stypes="app*4008*20171209*"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135-09 --locoid 4008 --swversion DE.1.0.9.0 --startMP 204:457 --initTime 2017-12-09T07:51:17 --startdatetime 2017-12-09T08:00:15 --delay 101 --endMP 204:233253 --enddatetime 2017-12-09T08:35:28 --enforcementcount 0 &gt;&gt;%USERPROFILE%\Documents\GitHub\eaglep3-reporting\EC\2017-12-09-refined-times.txt</v>
      </c>
      <c r="AI4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{"issue":{"subject":"","project_id":79,"tracker_id":40,"status_id":1,"priority_id":2,"assigned_to_id":338,"start_date":"2017-12-09","description":"","custom_fields":[{"id":1,"name":"Subdivision","value":"EC"},{"id":4,"name":"Milepost","value":"23.3253"},{"id":17,"name":"Train ID","value":"135-09"},{"id":16,"name":"Locomotive ID","value":"4008"},{"id":130,"name":"Impact","value":""},{"id":150,"name":"Time of Event (Mountain Time)","value":"08:35:28"},{"id":151,"name":"Denver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4008 --day 2017-12-09</v>
      </c>
      <c r="AN4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-09T06:51:17-0700',mode:absolute,to:'2017-12-09T09:35:28-0700'))&amp;_a=(columns:!('Message%20ID',Summary),filters:!(),index:'emp_*',interval:auto,query:(query_string:(analyze_wildcard:!t,query:'%22rtdc.l.rtdc.4008%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751</v>
      </c>
      <c r="B48" s="225">
        <v>4007</v>
      </c>
      <c r="C48" s="227" t="s">
        <v>192</v>
      </c>
      <c r="D48" s="227" t="s">
        <v>630</v>
      </c>
      <c r="E48" s="226">
        <v>43078.359027777777</v>
      </c>
      <c r="F48" s="226">
        <v>43078.373078703706</v>
      </c>
      <c r="G48" s="225">
        <v>69</v>
      </c>
      <c r="H48" s="227" t="s">
        <v>924</v>
      </c>
      <c r="I48" s="226">
        <v>43078.398506944446</v>
      </c>
      <c r="J48" s="225">
        <v>0</v>
      </c>
      <c r="K48" s="237" t="str">
        <f t="shared" si="0"/>
        <v>4007/4008</v>
      </c>
      <c r="L48" s="245" t="str">
        <f>VLOOKUP(A48,'Trips&amp;Operators'!$C$1:$G$99911,5,FALSE)</f>
        <v>PAGE MARCUS</v>
      </c>
      <c r="M48" s="224">
        <f t="shared" si="1"/>
        <v>2.5428240740438923E-2</v>
      </c>
      <c r="N48" s="225">
        <f t="shared" si="24"/>
        <v>36.616666666232049</v>
      </c>
      <c r="O48" s="225"/>
      <c r="P48" s="225"/>
      <c r="Q48" s="228"/>
      <c r="R48" s="242"/>
      <c r="S48" s="249">
        <f t="shared" si="3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-09T07:37:00-0700',mode:absolute,to:'2017-12-09T10:33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247" t="str">
        <f>IF(AA48&lt;VLOOKUP(AG48,Variables!$AC$3:$AD$8,2,FALSE),"Y","N")</f>
        <v>N</v>
      </c>
      <c r="X48" s="247">
        <f t="shared" si="6"/>
        <v>1</v>
      </c>
      <c r="Y48" s="247">
        <f t="shared" si="7"/>
        <v>23.294499999999999</v>
      </c>
      <c r="Z48" s="247">
        <f t="shared" si="8"/>
        <v>2.23E-2</v>
      </c>
      <c r="AA48" s="247">
        <f t="shared" si="9"/>
        <v>23.272199999999998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48" s="234" t="str">
        <f t="shared" si="12"/>
        <v>"C:\Program Files (x86)\AstroGrep\AstroGrep.exe" /e /r /s /spath="%USERPROFILE%\AppData\Local\Temp\OnboardLogs" /stypes="app*4007*20171209*"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136-09 --locoid 4007 --swversion DE.1.0.9.0 --startMP 204:232945 --initTime 2017-12-09T08:37:00 --startdatetime 2017-12-09T08:57:14 --delay 69 --endMP 204:223 --enddatetime 2017-12-09T09:33:51 --enforcementcount 0 &gt;&gt;%USERPROFILE%\Documents\GitHub\eaglep3-reporting\EC\2017-12-09-refined-times.txt</v>
      </c>
      <c r="AI4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{"issue":{"subject":"","project_id":79,"tracker_id":40,"status_id":1,"priority_id":2,"assigned_to_id":338,"start_date":"2017-12-09","description":"","custom_fields":[{"id":1,"name":"Subdivision","value":"EC"},{"id":4,"name":"Milepost","value":"0.0223"},{"id":17,"name":"Train ID","value":"136-09"},{"id":16,"name":"Locomotive ID","value":"4007"},{"id":130,"name":"Impact","value":""},{"id":150,"name":"Time of Event (Mountain Time)","value":"09:33:51"},{"id":151,"name":"Denver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4007 --day 2017-12-09</v>
      </c>
      <c r="AN4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-09T07:37:00-0700',mode:absolute,to:'2017-12-09T10:33:51-0700'))&amp;_a=(columns:!('Message%20ID',Summary),filters:!(),index:'emp_*',interval:auto,query:(query_string:(analyze_wildcard:!t,query:'%22rtdc.l.rtdc.4007%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747</v>
      </c>
      <c r="B49" s="225">
        <v>4058</v>
      </c>
      <c r="C49" s="227" t="s">
        <v>192</v>
      </c>
      <c r="D49" s="227" t="s">
        <v>925</v>
      </c>
      <c r="E49" s="226">
        <v>43078.338460648149</v>
      </c>
      <c r="F49" s="226">
        <v>43078.343935185185</v>
      </c>
      <c r="G49" s="225">
        <v>292</v>
      </c>
      <c r="H49" s="227" t="s">
        <v>926</v>
      </c>
      <c r="I49" s="226">
        <v>43078.367638888885</v>
      </c>
      <c r="J49" s="225">
        <v>0</v>
      </c>
      <c r="K49" s="237" t="str">
        <f t="shared" si="0"/>
        <v>4057/4058</v>
      </c>
      <c r="L49" s="245" t="str">
        <f>VLOOKUP(A49,'Trips&amp;Operators'!$C$1:$G$99911,5,FALSE)</f>
        <v>DELGADO DIANAH</v>
      </c>
      <c r="M49" s="224">
        <f t="shared" si="1"/>
        <v>2.3703703700448386E-2</v>
      </c>
      <c r="N49" s="225">
        <f t="shared" si="24"/>
        <v>34.133333328645676</v>
      </c>
      <c r="O49" s="225"/>
      <c r="P49" s="225"/>
      <c r="Q49" s="228"/>
      <c r="R49" s="242"/>
      <c r="S49" s="249">
        <f t="shared" si="3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-09T07:07:23-0700',mode:absolute,to:'2017-12-09T09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247" t="str">
        <f>IF(AA49&lt;VLOOKUP(AG49,Variables!$AC$3:$AD$8,2,FALSE),"Y","N")</f>
        <v>N</v>
      </c>
      <c r="X49" s="247">
        <f t="shared" si="6"/>
        <v>1</v>
      </c>
      <c r="Y49" s="247">
        <f t="shared" si="7"/>
        <v>4.3999999999999997E-2</v>
      </c>
      <c r="Z49" s="247">
        <f t="shared" si="8"/>
        <v>23.330100000000002</v>
      </c>
      <c r="AA49" s="247">
        <f t="shared" si="9"/>
        <v>23.286100000000001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49" s="234" t="str">
        <f t="shared" si="12"/>
        <v>"C:\Program Files (x86)\AstroGrep\AstroGrep.exe" /e /r /s /spath="%USERPROFILE%\AppData\Local\Temp\OnboardLogs" /stypes="app*4058*20171209*"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137-09 --locoid 4058 --swversion DE.1.0.9.0 --startMP 204:440 --initTime 2017-12-09T08:07:23 --startdatetime 2017-12-09T08:15:16 --delay 292 --endMP 204:233301 --enddatetime 2017-12-09T08:49:24 --enforcementcount 0 &gt;&gt;%USERPROFILE%\Documents\GitHub\eaglep3-reporting\EC\2017-12-09-refined-times.txt</v>
      </c>
      <c r="AI4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{"issue":{"subject":"","project_id":79,"tracker_id":40,"status_id":1,"priority_id":2,"assigned_to_id":338,"start_date":"2017-12-09","description":"","custom_fields":[{"id":1,"name":"Subdivision","value":"EC"},{"id":4,"name":"Milepost","value":"23.3301"},{"id":17,"name":"Train ID","value":"137-09"},{"id":16,"name":"Locomotive ID","value":"4058"},{"id":130,"name":"Impact","value":""},{"id":150,"name":"Time of Event (Mountain Time)","value":"08:49:24"},{"id":151,"name":"Denver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4058 --day 2017-12-09</v>
      </c>
      <c r="AN4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-09T07:07:23-0700',mode:absolute,to:'2017-12-09T09:49:24-0700'))&amp;_a=(columns:!('Message%20ID',Summary),filters:!(),index:'emp_*',interval:auto,query:(query_string:(analyze_wildcard:!t,query:'%22rtdc.l.rtdc.4058%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753</v>
      </c>
      <c r="B50" s="225">
        <v>4057</v>
      </c>
      <c r="C50" s="227" t="s">
        <v>192</v>
      </c>
      <c r="D50" s="227" t="s">
        <v>903</v>
      </c>
      <c r="E50" s="226">
        <v>43078.371701388889</v>
      </c>
      <c r="F50" s="226">
        <v>43078.383530092593</v>
      </c>
      <c r="G50" s="225">
        <v>714</v>
      </c>
      <c r="H50" s="227" t="s">
        <v>917</v>
      </c>
      <c r="I50" s="226">
        <v>43078.408761574072</v>
      </c>
      <c r="J50" s="225">
        <v>0</v>
      </c>
      <c r="K50" s="237" t="str">
        <f t="shared" si="0"/>
        <v>4057/4058</v>
      </c>
      <c r="L50" s="245" t="str">
        <f>VLOOKUP(A50,'Trips&amp;Operators'!$C$1:$G$99911,5,FALSE)</f>
        <v>DELGADO DIANAH</v>
      </c>
      <c r="M50" s="224">
        <f t="shared" si="1"/>
        <v>2.5231481478840578E-2</v>
      </c>
      <c r="N50" s="225">
        <f t="shared" si="24"/>
        <v>36.333333329530433</v>
      </c>
      <c r="O50" s="225"/>
      <c r="P50" s="225"/>
      <c r="Q50" s="228"/>
      <c r="R50" s="242"/>
      <c r="S50" s="249">
        <f t="shared" si="3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-09T07:55:15-0700',mode:absolute,to:'2017-12-09T10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247" t="str">
        <f>IF(AA50&lt;VLOOKUP(AG50,Variables!$AC$3:$AD$8,2,FALSE),"Y","N")</f>
        <v>N</v>
      </c>
      <c r="X50" s="247">
        <f t="shared" si="6"/>
        <v>1</v>
      </c>
      <c r="Y50" s="247">
        <f t="shared" si="7"/>
        <v>23.3001</v>
      </c>
      <c r="Z50" s="247">
        <f t="shared" si="8"/>
        <v>1.47E-2</v>
      </c>
      <c r="AA50" s="247">
        <f t="shared" si="9"/>
        <v>23.285399999999999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50" s="234" t="str">
        <f t="shared" si="12"/>
        <v>"C:\Program Files (x86)\AstroGrep\AstroGrep.exe" /e /r /s /spath="%USERPROFILE%\AppData\Local\Temp\OnboardLogs" /stypes="app*4057*20171209*"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138-09 --locoid 4057 --swversion DE.1.0.9.0 --startMP 204:233001 --initTime 2017-12-09T08:55:15 --startdatetime 2017-12-09T09:12:17 --delay 714 --endMP 204:147 --enddatetime 2017-12-09T09:48:37 --enforcementcount 0 &gt;&gt;%USERPROFILE%\Documents\GitHub\eaglep3-reporting\EC\2017-12-09-refined-times.txt</v>
      </c>
      <c r="AI5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{"issue":{"subject":"","project_id":79,"tracker_id":40,"status_id":1,"priority_id":2,"assigned_to_id":338,"start_date":"2017-12-09","description":"","custom_fields":[{"id":1,"name":"Subdivision","value":"EC"},{"id":4,"name":"Milepost","value":"0.0147"},{"id":17,"name":"Train ID","value":"138-09"},{"id":16,"name":"Locomotive ID","value":"4057"},{"id":130,"name":"Impact","value":""},{"id":150,"name":"Time of Event (Mountain Time)","value":"09:48:37"},{"id":151,"name":"Denver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4057 --day 2017-12-09</v>
      </c>
      <c r="AN5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-09T07:55:15-0700',mode:absolute,to:'2017-12-09T10:48:37-0700'))&amp;_a=(columns:!('Message%20ID',Summary),filters:!(),index:'emp_*',interval:auto,query:(query_string:(analyze_wildcard:!t,query:'%22rtdc.l.rtdc.4057%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750</v>
      </c>
      <c r="B51" s="225">
        <v>4060</v>
      </c>
      <c r="C51" s="227" t="s">
        <v>192</v>
      </c>
      <c r="D51" s="227" t="s">
        <v>537</v>
      </c>
      <c r="E51" s="226">
        <v>43078.352465277778</v>
      </c>
      <c r="F51" s="226">
        <v>43078.354513888888</v>
      </c>
      <c r="G51" s="225">
        <v>54</v>
      </c>
      <c r="H51" s="227" t="s">
        <v>557</v>
      </c>
      <c r="I51" s="226">
        <v>43078.379513888889</v>
      </c>
      <c r="J51" s="225">
        <v>0</v>
      </c>
      <c r="K51" s="237" t="str">
        <f t="shared" si="0"/>
        <v>4059/4060</v>
      </c>
      <c r="L51" s="245" t="str">
        <f>VLOOKUP(A51,'Trips&amp;Operators'!$C$1:$G$99911,5,FALSE)</f>
        <v>THOMPSON LESTER</v>
      </c>
      <c r="M51" s="224">
        <f t="shared" si="1"/>
        <v>2.5000000001455192E-2</v>
      </c>
      <c r="N51" s="225">
        <f t="shared" si="24"/>
        <v>36.000000002095476</v>
      </c>
      <c r="O51" s="225"/>
      <c r="P51" s="225"/>
      <c r="Q51" s="228"/>
      <c r="R51" s="242"/>
      <c r="S51" s="249">
        <f t="shared" si="3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-09T07:27:33-0700',mode:absolute,to:'2017-12-09T10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47" t="str">
        <f>IF(AA51&lt;VLOOKUP(AG51,Variables!$AC$3:$AD$8,2,FALSE),"Y","N")</f>
        <v>N</v>
      </c>
      <c r="X51" s="247">
        <f t="shared" si="6"/>
        <v>1</v>
      </c>
      <c r="Y51" s="247">
        <f t="shared" si="7"/>
        <v>5.1299999999999998E-2</v>
      </c>
      <c r="Z51" s="247">
        <f t="shared" si="8"/>
        <v>23.325299999999999</v>
      </c>
      <c r="AA51" s="247">
        <f t="shared" si="9"/>
        <v>23.273999999999997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51" s="234" t="str">
        <f t="shared" si="12"/>
        <v>"C:\Program Files (x86)\AstroGrep\AstroGrep.exe" /e /r /s /spath="%USERPROFILE%\AppData\Local\Temp\OnboardLogs" /stypes="app*4060*20171209*"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139-09 --locoid 4060 --swversion DE.1.0.9.0 --startMP 204:513 --initTime 2017-12-09T08:27:33 --startdatetime 2017-12-09T08:30:30 --delay 54 --endMP 204:233253 --enddatetime 2017-12-09T09:06:30 --enforcementcount 0 &gt;&gt;%USERPROFILE%\Documents\GitHub\eaglep3-reporting\EC\2017-12-09-refined-times.txt</v>
      </c>
      <c r="AI5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{"issue":{"subject":"","project_id":79,"tracker_id":40,"status_id":1,"priority_id":2,"assigned_to_id":338,"start_date":"2017-12-09","description":"","custom_fields":[{"id":1,"name":"Subdivision","value":"EC"},{"id":4,"name":"Milepost","value":"23.3253"},{"id":17,"name":"Train ID","value":"139-09"},{"id":16,"name":"Locomotive ID","value":"4060"},{"id":130,"name":"Impact","value":""},{"id":150,"name":"Time of Event (Mountain Time)","value":"09:06:30"},{"id":151,"name":"Denver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4060 --day 2017-12-09</v>
      </c>
      <c r="AN5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-09T07:27:33-0700',mode:absolute,to:'2017-12-09T10:06:30-0700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687</v>
      </c>
      <c r="B52" s="225">
        <v>4059</v>
      </c>
      <c r="C52" s="227" t="s">
        <v>192</v>
      </c>
      <c r="D52" s="227" t="s">
        <v>927</v>
      </c>
      <c r="E52" s="226">
        <v>43078.392233796294</v>
      </c>
      <c r="F52" s="226">
        <v>43078.394270833334</v>
      </c>
      <c r="G52" s="225">
        <v>53</v>
      </c>
      <c r="H52" s="227" t="s">
        <v>928</v>
      </c>
      <c r="I52" s="226">
        <v>43078.421712962961</v>
      </c>
      <c r="J52" s="225">
        <v>0</v>
      </c>
      <c r="K52" s="237" t="str">
        <f t="shared" si="0"/>
        <v>4059/4060</v>
      </c>
      <c r="L52" s="245" t="str">
        <f>VLOOKUP(A52,'Trips&amp;Operators'!$C$1:$G$99911,5,FALSE)</f>
        <v>THOMPSON LESTER</v>
      </c>
      <c r="M52" s="224">
        <f t="shared" si="1"/>
        <v>2.7442129627161194E-2</v>
      </c>
      <c r="N52" s="225">
        <f t="shared" si="24"/>
        <v>39.516666663112119</v>
      </c>
      <c r="O52" s="225"/>
      <c r="P52" s="225"/>
      <c r="Q52" s="228"/>
      <c r="R52" s="242"/>
      <c r="S52" s="249">
        <f t="shared" si="3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-09T08:24:49-0700',mode:absolute,to:'2017-12-09T11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47" t="str">
        <f>IF(AA52&lt;VLOOKUP(AG52,Variables!$AC$3:$AD$8,2,FALSE),"Y","N")</f>
        <v>N</v>
      </c>
      <c r="X52" s="247">
        <f t="shared" si="6"/>
        <v>1</v>
      </c>
      <c r="Y52" s="247">
        <f t="shared" si="7"/>
        <v>23.2926</v>
      </c>
      <c r="Z52" s="247">
        <f t="shared" si="8"/>
        <v>0.1162</v>
      </c>
      <c r="AA52" s="247">
        <f t="shared" si="9"/>
        <v>23.176400000000001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52" s="234" t="str">
        <f t="shared" si="12"/>
        <v>"C:\Program Files (x86)\AstroGrep\AstroGrep.exe" /e /r /s /spath="%USERPROFILE%\AppData\Local\Temp\OnboardLogs" /stypes="app*4059*20171209*"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140-09 --locoid 4059 --swversion DE.1.0.9.0 --startMP 204:232926 --initTime 2017-12-09T09:24:49 --startdatetime 2017-12-09T09:27:45 --delay 53 --endMP 204:1162 --enddatetime 2017-12-09T10:07:16 --enforcementcount 0 &gt;&gt;%USERPROFILE%\Documents\GitHub\eaglep3-reporting\EC\2017-12-09-refined-times.txt</v>
      </c>
      <c r="AI5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{"issue":{"subject":"","project_id":79,"tracker_id":40,"status_id":1,"priority_id":2,"assigned_to_id":338,"start_date":"2017-12-09","description":"","custom_fields":[{"id":1,"name":"Subdivision","value":"EC"},{"id":4,"name":"Milepost","value":"0.1162"},{"id":17,"name":"Train ID","value":"140-09"},{"id":16,"name":"Locomotive ID","value":"4059"},{"id":130,"name":"Impact","value":""},{"id":150,"name":"Time of Event (Mountain Time)","value":"10:07:16"},{"id":151,"name":"Denver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4059 --day 2017-12-09</v>
      </c>
      <c r="AN5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-09T08:24:49-0700',mode:absolute,to:'2017-12-09T11:07:16-0700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752</v>
      </c>
      <c r="B53" s="225">
        <v>4036</v>
      </c>
      <c r="C53" s="227" t="s">
        <v>192</v>
      </c>
      <c r="D53" s="227" t="s">
        <v>578</v>
      </c>
      <c r="E53" s="226">
        <v>43078.362164351849</v>
      </c>
      <c r="F53" s="226">
        <v>43078.364849537036</v>
      </c>
      <c r="G53" s="225">
        <v>44</v>
      </c>
      <c r="H53" s="227" t="s">
        <v>636</v>
      </c>
      <c r="I53" s="226">
        <v>43078.388657407406</v>
      </c>
      <c r="J53" s="225">
        <v>0</v>
      </c>
      <c r="K53" s="237" t="str">
        <f t="shared" si="0"/>
        <v>4035/4036</v>
      </c>
      <c r="L53" s="245" t="str">
        <f>VLOOKUP(A53,'Trips&amp;Operators'!$C$1:$G$99911,5,FALSE)</f>
        <v>MACDONALD THOMAS</v>
      </c>
      <c r="M53" s="224">
        <f t="shared" si="1"/>
        <v>2.3807870369637385E-2</v>
      </c>
      <c r="N53" s="225">
        <f t="shared" si="24"/>
        <v>34.283333332277834</v>
      </c>
      <c r="O53" s="225"/>
      <c r="P53" s="225"/>
      <c r="Q53" s="228"/>
      <c r="R53" s="242"/>
      <c r="S53" s="249">
        <f t="shared" si="3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-09T07:41:31-0700',mode:absolute,to:'2017-12-09T10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3" s="247" t="str">
        <f>IF(AA53&lt;VLOOKUP(AG53,Variables!$AC$3:$AD$8,2,FALSE),"Y","N")</f>
        <v>N</v>
      </c>
      <c r="X53" s="247">
        <f t="shared" si="6"/>
        <v>1</v>
      </c>
      <c r="Y53" s="247">
        <f t="shared" si="7"/>
        <v>5.3499999999999999E-2</v>
      </c>
      <c r="Z53" s="247">
        <f t="shared" si="8"/>
        <v>23.321999999999999</v>
      </c>
      <c r="AA53" s="247">
        <f t="shared" si="9"/>
        <v>23.2685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53" s="234" t="str">
        <f t="shared" si="12"/>
        <v>"C:\Program Files (x86)\AstroGrep\AstroGrep.exe" /e /r /s /spath="%USERPROFILE%\AppData\Local\Temp\OnboardLogs" /stypes="app*4036*20171209*"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141-09 --locoid 4036 --swversion DE.1.0.9.0 --startMP 204:535 --initTime 2017-12-09T08:41:31 --startdatetime 2017-12-09T08:45:23 --delay 44 --endMP 204:233220 --enddatetime 2017-12-09T09:19:40 --enforcementcount 0 &gt;&gt;%USERPROFILE%\Documents\GitHub\eaglep3-reporting\EC\2017-12-09-refined-times.txt</v>
      </c>
      <c r="AI5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{"issue":{"subject":"","project_id":79,"tracker_id":40,"status_id":1,"priority_id":2,"assigned_to_id":338,"start_date":"2017-12-09","description":"","custom_fields":[{"id":1,"name":"Subdivision","value":"EC"},{"id":4,"name":"Milepost","value":"23.322"},{"id":17,"name":"Train ID","value":"141-09"},{"id":16,"name":"Locomotive ID","value":"4036"},{"id":130,"name":"Impact","value":""},{"id":150,"name":"Time of Event (Mountain Time)","value":"09:19:40"},{"id":151,"name":"Denver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4036 --day 2017-12-09</v>
      </c>
      <c r="AN5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-09T07:41:31-0700',mode:absolute,to:'2017-12-09T10:19:40-0700'))&amp;_a=(columns:!('Message%20ID',Summary),filters:!(),index:'emp_*',interval:auto,query:(query_string:(analyze_wildcard:!t,query:'%22rtdc.l.rtdc.4036%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759</v>
      </c>
      <c r="B54" s="225">
        <v>4035</v>
      </c>
      <c r="C54" s="227" t="s">
        <v>192</v>
      </c>
      <c r="D54" s="227" t="s">
        <v>631</v>
      </c>
      <c r="E54" s="226">
        <v>43078.403449074074</v>
      </c>
      <c r="F54" s="226">
        <v>43078.404930555553</v>
      </c>
      <c r="G54" s="225">
        <v>67</v>
      </c>
      <c r="H54" s="227" t="s">
        <v>551</v>
      </c>
      <c r="I54" s="226">
        <v>43078.431145833332</v>
      </c>
      <c r="J54" s="225">
        <v>0</v>
      </c>
      <c r="K54" s="237" t="str">
        <f t="shared" si="0"/>
        <v>4035/4036</v>
      </c>
      <c r="L54" s="245" t="str">
        <f>VLOOKUP(A54,'Trips&amp;Operators'!$C$1:$G$99911,5,FALSE)</f>
        <v>MACDONALD THOMAS</v>
      </c>
      <c r="M54" s="224">
        <f t="shared" si="1"/>
        <v>2.6215277779556345E-2</v>
      </c>
      <c r="N54" s="225">
        <f t="shared" si="24"/>
        <v>37.750000002561137</v>
      </c>
      <c r="O54" s="225"/>
      <c r="P54" s="225"/>
      <c r="Q54" s="228"/>
      <c r="R54" s="242"/>
      <c r="S54" s="249">
        <f t="shared" si="3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-09T08:40:58-0700',mode:absolute,to:'2017-12-09T11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4" s="247" t="str">
        <f>IF(AA54&lt;VLOOKUP(AG54,Variables!$AC$3:$AD$8,2,FALSE),"Y","N")</f>
        <v>N</v>
      </c>
      <c r="X54" s="247">
        <f t="shared" si="6"/>
        <v>1</v>
      </c>
      <c r="Y54" s="247">
        <f t="shared" si="7"/>
        <v>23.289000000000001</v>
      </c>
      <c r="Z54" s="247">
        <f t="shared" si="8"/>
        <v>1.6899999999999998E-2</v>
      </c>
      <c r="AA54" s="247">
        <f t="shared" si="9"/>
        <v>23.272100000000002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54" s="234" t="str">
        <f t="shared" si="12"/>
        <v>"C:\Program Files (x86)\AstroGrep\AstroGrep.exe" /e /r /s /spath="%USERPROFILE%\AppData\Local\Temp\OnboardLogs" /stypes="app*4035*20171209*"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142-09 --locoid 4035 --swversion DE.1.0.9.0 --startMP 204:232890 --initTime 2017-12-09T09:40:58 --startdatetime 2017-12-09T09:43:06 --delay 67 --endMP 204:169 --enddatetime 2017-12-09T10:20:51 --enforcementcount 0 &gt;&gt;%USERPROFILE%\Documents\GitHub\eaglep3-reporting\EC\2017-12-09-refined-times.txt</v>
      </c>
      <c r="AI5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{"issue":{"subject":"","project_id":79,"tracker_id":40,"status_id":1,"priority_id":2,"assigned_to_id":338,"start_date":"2017-12-09","description":"","custom_fields":[{"id":1,"name":"Subdivision","value":"EC"},{"id":4,"name":"Milepost","value":"0.0169"},{"id":17,"name":"Train ID","value":"142-09"},{"id":16,"name":"Locomotive ID","value":"4035"},{"id":130,"name":"Impact","value":""},{"id":150,"name":"Time of Event (Mountain Time)","value":"10:20:51"},{"id":151,"name":"Denver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4035 --day 2017-12-09</v>
      </c>
      <c r="AN5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-09T08:40:58-0700',mode:absolute,to:'2017-12-09T11:20:51-0700'))&amp;_a=(columns:!('Message%20ID',Summary),filters:!(),index:'emp_*',interval:auto,query:(query_string:(analyze_wildcard:!t,query:'%22rtdc.l.rtdc.4035%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754</v>
      </c>
      <c r="B55" s="225">
        <v>4014</v>
      </c>
      <c r="C55" s="227" t="s">
        <v>192</v>
      </c>
      <c r="D55" s="227" t="s">
        <v>583</v>
      </c>
      <c r="E55" s="226">
        <v>43078.372071759259</v>
      </c>
      <c r="F55" s="226">
        <v>43078.375486111108</v>
      </c>
      <c r="G55" s="225">
        <v>44</v>
      </c>
      <c r="H55" s="227" t="s">
        <v>929</v>
      </c>
      <c r="I55" s="226">
        <v>43078.400787037041</v>
      </c>
      <c r="J55" s="225">
        <v>0</v>
      </c>
      <c r="K55" s="237" t="str">
        <f t="shared" si="0"/>
        <v>4013/4014</v>
      </c>
      <c r="L55" s="245" t="str">
        <f>VLOOKUP(A55,'Trips&amp;Operators'!$C$1:$G$99911,5,FALSE)</f>
        <v>MAELZER KURT</v>
      </c>
      <c r="M55" s="224">
        <f t="shared" si="1"/>
        <v>2.5300925932242535E-2</v>
      </c>
      <c r="N55" s="225">
        <f t="shared" si="24"/>
        <v>36.43333334242925</v>
      </c>
      <c r="O55" s="225"/>
      <c r="P55" s="225"/>
      <c r="Q55" s="228"/>
      <c r="R55" s="242"/>
      <c r="S55" s="249">
        <f t="shared" si="3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-09T07:55:47-0700',mode:absolute,to:'2017-12-09T10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247" t="str">
        <f>IF(AA55&lt;VLOOKUP(AG55,Variables!$AC$3:$AD$8,2,FALSE),"Y","N")</f>
        <v>N</v>
      </c>
      <c r="X55" s="247">
        <f t="shared" si="6"/>
        <v>1</v>
      </c>
      <c r="Y55" s="247">
        <f t="shared" si="7"/>
        <v>0.05</v>
      </c>
      <c r="Z55" s="247">
        <f t="shared" si="8"/>
        <v>23.33</v>
      </c>
      <c r="AA55" s="247">
        <f t="shared" si="9"/>
        <v>23.279999999999998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55" s="234" t="str">
        <f t="shared" si="12"/>
        <v>"C:\Program Files (x86)\AstroGrep\AstroGrep.exe" /e /r /s /spath="%USERPROFILE%\AppData\Local\Temp\OnboardLogs" /stypes="app*4014*20171209*"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143-09 --locoid 4014 --swversion DE.1.0.9.0 --startMP 204:500 --initTime 2017-12-09T08:55:47 --startdatetime 2017-12-09T09:00:42 --delay 44 --endMP 204:233300 --enddatetime 2017-12-09T09:37:08 --enforcementcount 0 &gt;&gt;%USERPROFILE%\Documents\GitHub\eaglep3-reporting\EC\2017-12-09-refined-times.txt</v>
      </c>
      <c r="AI5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{"issue":{"subject":"","project_id":79,"tracker_id":40,"status_id":1,"priority_id":2,"assigned_to_id":338,"start_date":"2017-12-09","description":"","custom_fields":[{"id":1,"name":"Subdivision","value":"EC"},{"id":4,"name":"Milepost","value":"23.33"},{"id":17,"name":"Train ID","value":"143-09"},{"id":16,"name":"Locomotive ID","value":"4014"},{"id":130,"name":"Impact","value":""},{"id":150,"name":"Time of Event (Mountain Time)","value":"09:37:08"},{"id":151,"name":"Denver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4014 --day 2017-12-09</v>
      </c>
      <c r="AN5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-09T07:55:47-0700',mode:absolute,to:'2017-12-09T10:37:08-0700'))&amp;_a=(columns:!('Message%20ID',Summary),filters:!(),index:'emp_*',interval:auto,query:(query_string:(analyze_wildcard:!t,query:'%22rtdc.l.rtdc.4014%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760</v>
      </c>
      <c r="B56" s="225">
        <v>4013</v>
      </c>
      <c r="C56" s="227" t="s">
        <v>192</v>
      </c>
      <c r="D56" s="227" t="s">
        <v>930</v>
      </c>
      <c r="E56" s="226">
        <v>43078.407476851855</v>
      </c>
      <c r="F56" s="226">
        <v>43078.414849537039</v>
      </c>
      <c r="G56" s="225">
        <v>53</v>
      </c>
      <c r="H56" s="227" t="s">
        <v>561</v>
      </c>
      <c r="I56" s="226">
        <v>43078.441111111111</v>
      </c>
      <c r="J56" s="225">
        <v>0</v>
      </c>
      <c r="K56" s="237" t="str">
        <f t="shared" si="0"/>
        <v>4013/4014</v>
      </c>
      <c r="L56" s="245" t="str">
        <f>VLOOKUP(A56,'Trips&amp;Operators'!$C$1:$G$99911,5,FALSE)</f>
        <v>MAELZER KURT</v>
      </c>
      <c r="M56" s="224">
        <f t="shared" si="1"/>
        <v>2.626157407212304E-2</v>
      </c>
      <c r="N56" s="225">
        <f t="shared" si="24"/>
        <v>37.816666663857177</v>
      </c>
      <c r="O56" s="225"/>
      <c r="P56" s="225"/>
      <c r="Q56" s="228"/>
      <c r="R56" s="242"/>
      <c r="S56" s="249">
        <f t="shared" si="3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-09T08:46:46-0700',mode:absolute,to:'2017-12-09T11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247" t="str">
        <f>IF(AA56&lt;VLOOKUP(AG56,Variables!$AC$3:$AD$8,2,FALSE),"Y","N")</f>
        <v>N</v>
      </c>
      <c r="X56" s="247">
        <f t="shared" si="6"/>
        <v>1</v>
      </c>
      <c r="Y56" s="247">
        <f t="shared" si="7"/>
        <v>23.299399999999999</v>
      </c>
      <c r="Z56" s="247">
        <f t="shared" si="8"/>
        <v>1.89E-2</v>
      </c>
      <c r="AA56" s="247">
        <f t="shared" si="9"/>
        <v>23.2805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56" s="234" t="str">
        <f t="shared" si="12"/>
        <v>"C:\Program Files (x86)\AstroGrep\AstroGrep.exe" /e /r /s /spath="%USERPROFILE%\AppData\Local\Temp\OnboardLogs" /stypes="app*4013*20171209*"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144-09 --locoid 4013 --swversion DE.1.0.9.0 --startMP 204:232994 --initTime 2017-12-09T09:46:46 --startdatetime 2017-12-09T09:57:23 --delay 53 --endMP 204:189 --enddatetime 2017-12-09T10:35:12 --enforcementcount 0 &gt;&gt;%USERPROFILE%\Documents\GitHub\eaglep3-reporting\EC\2017-12-09-refined-times.txt</v>
      </c>
      <c r="AI5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{"issue":{"subject":"","project_id":79,"tracker_id":40,"status_id":1,"priority_id":2,"assigned_to_id":338,"start_date":"2017-12-09","description":"","custom_fields":[{"id":1,"name":"Subdivision","value":"EC"},{"id":4,"name":"Milepost","value":"0.0189"},{"id":17,"name":"Train ID","value":"144-09"},{"id":16,"name":"Locomotive ID","value":"4013"},{"id":130,"name":"Impact","value":""},{"id":150,"name":"Time of Event (Mountain Time)","value":"10:35:12"},{"id":151,"name":"Denver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4013 --day 2017-12-09</v>
      </c>
      <c r="AN5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-09T08:46:46-0700',mode:absolute,to:'2017-12-09T11:35:12-0700'))&amp;_a=(columns:!('Message%20ID',Summary),filters:!(),index:'emp_*',interval:auto,query:(query_string:(analyze_wildcard:!t,query:'%22rtdc.l.rtdc.4013%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756</v>
      </c>
      <c r="B57" s="225">
        <v>4022</v>
      </c>
      <c r="C57" s="227" t="s">
        <v>192</v>
      </c>
      <c r="D57" s="227" t="s">
        <v>587</v>
      </c>
      <c r="E57" s="226">
        <v>43078.381608796299</v>
      </c>
      <c r="F57" s="226">
        <v>43078.385567129626</v>
      </c>
      <c r="G57" s="225">
        <v>76</v>
      </c>
      <c r="H57" s="227" t="s">
        <v>931</v>
      </c>
      <c r="I57" s="226">
        <v>43078.409733796296</v>
      </c>
      <c r="J57" s="225">
        <v>0</v>
      </c>
      <c r="K57" s="237" t="str">
        <f t="shared" si="0"/>
        <v>4021/4022</v>
      </c>
      <c r="L57" s="245" t="str">
        <f>VLOOKUP(A57,'Trips&amp;Operators'!$C$1:$G$99911,5,FALSE)</f>
        <v>WILLIAMS DONTE</v>
      </c>
      <c r="M57" s="224">
        <f t="shared" si="1"/>
        <v>2.4166666669771075E-2</v>
      </c>
      <c r="N57" s="225">
        <f t="shared" si="24"/>
        <v>34.800000004470348</v>
      </c>
      <c r="O57" s="225"/>
      <c r="P57" s="225"/>
      <c r="Q57" s="228"/>
      <c r="R57" s="242"/>
      <c r="S57" s="249">
        <f t="shared" si="3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-09T08:09:31-0700',mode:absolute,to:'2017-12-09T10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7" s="247" t="str">
        <f>IF(AA57&lt;VLOOKUP(AG57,Variables!$AC$3:$AD$8,2,FALSE),"Y","N")</f>
        <v>N</v>
      </c>
      <c r="X57" s="247">
        <f t="shared" si="6"/>
        <v>1</v>
      </c>
      <c r="Y57" s="247">
        <f t="shared" si="7"/>
        <v>5.11E-2</v>
      </c>
      <c r="Z57" s="247">
        <f t="shared" si="8"/>
        <v>23.325099999999999</v>
      </c>
      <c r="AA57" s="247">
        <f t="shared" si="9"/>
        <v>23.273999999999997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57" s="234" t="str">
        <f t="shared" si="12"/>
        <v>"C:\Program Files (x86)\AstroGrep\AstroGrep.exe" /e /r /s /spath="%USERPROFILE%\AppData\Local\Temp\OnboardLogs" /stypes="app*4022*20171209*"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145-09 --locoid 4022 --swversion DE.1.0.9.0 --startMP 204:511 --initTime 2017-12-09T09:09:31 --startdatetime 2017-12-09T09:15:13 --delay 76 --endMP 204:233251 --enddatetime 2017-12-09T09:50:01 --enforcementcount 0 &gt;&gt;%USERPROFILE%\Documents\GitHub\eaglep3-reporting\EC\2017-12-09-refined-times.txt</v>
      </c>
      <c r="AI5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{"issue":{"subject":"","project_id":79,"tracker_id":40,"status_id":1,"priority_id":2,"assigned_to_id":338,"start_date":"2017-12-09","description":"","custom_fields":[{"id":1,"name":"Subdivision","value":"EC"},{"id":4,"name":"Milepost","value":"23.3251"},{"id":17,"name":"Train ID","value":"145-09"},{"id":16,"name":"Locomotive ID","value":"4022"},{"id":130,"name":"Impact","value":""},{"id":150,"name":"Time of Event (Mountain Time)","value":"09:50:01"},{"id":151,"name":"Denver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4022 --day 2017-12-09</v>
      </c>
      <c r="AN5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-09T08:09:31-0700',mode:absolute,to:'2017-12-09T10:50:01-0700'))&amp;_a=(columns:!('Message%20ID',Summary),filters:!(),index:'emp_*',interval:auto,query:(query_string:(analyze_wildcard:!t,query:'%22rtdc.l.rtdc.4022%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763</v>
      </c>
      <c r="B58" s="225">
        <v>4021</v>
      </c>
      <c r="C58" s="227" t="s">
        <v>192</v>
      </c>
      <c r="D58" s="227" t="s">
        <v>674</v>
      </c>
      <c r="E58" s="226">
        <v>43078.420856481483</v>
      </c>
      <c r="F58" s="226">
        <v>43078.425243055557</v>
      </c>
      <c r="G58" s="225">
        <v>120</v>
      </c>
      <c r="H58" s="227" t="s">
        <v>478</v>
      </c>
      <c r="I58" s="226">
        <v>43078.451192129629</v>
      </c>
      <c r="J58" s="225">
        <v>0</v>
      </c>
      <c r="K58" s="237" t="str">
        <f t="shared" si="0"/>
        <v>4021/4022</v>
      </c>
      <c r="L58" s="245" t="str">
        <f>VLOOKUP(A58,'Trips&amp;Operators'!$C$1:$G$99911,5,FALSE)</f>
        <v>WILLIAMS DONTE</v>
      </c>
      <c r="M58" s="224">
        <f t="shared" si="1"/>
        <v>2.5949074071832001E-2</v>
      </c>
      <c r="N58" s="225">
        <f t="shared" si="24"/>
        <v>37.366666663438082</v>
      </c>
      <c r="O58" s="225"/>
      <c r="P58" s="225"/>
      <c r="Q58" s="228"/>
      <c r="R58" s="242"/>
      <c r="S58" s="249">
        <f t="shared" si="3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-09T09:06:02-0700',mode:absolute,to:'2017-12-09T11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8" s="247" t="str">
        <f>IF(AA58&lt;VLOOKUP(AG58,Variables!$AC$3:$AD$8,2,FALSE),"Y","N")</f>
        <v>N</v>
      </c>
      <c r="X58" s="247">
        <f t="shared" si="6"/>
        <v>1</v>
      </c>
      <c r="Y58" s="247">
        <f t="shared" si="7"/>
        <v>23.293600000000001</v>
      </c>
      <c r="Z58" s="247">
        <f t="shared" si="8"/>
        <v>2.12E-2</v>
      </c>
      <c r="AA58" s="247">
        <f t="shared" si="9"/>
        <v>23.272400000000001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58" s="234" t="str">
        <f t="shared" si="12"/>
        <v>"C:\Program Files (x86)\AstroGrep\AstroGrep.exe" /e /r /s /spath="%USERPROFILE%\AppData\Local\Temp\OnboardLogs" /stypes="app*4021*20171209*"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146-09 --locoid 4021 --swversion DE.1.0.9.0 --startMP 204:232936 --initTime 2017-12-09T10:06:02 --startdatetime 2017-12-09T10:12:21 --delay 120 --endMP 204:212 --enddatetime 2017-12-09T10:49:43 --enforcementcount 0 &gt;&gt;%USERPROFILE%\Documents\GitHub\eaglep3-reporting\EC\2017-12-09-refined-times.txt</v>
      </c>
      <c r="AI5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{"issue":{"subject":"","project_id":79,"tracker_id":40,"status_id":1,"priority_id":2,"assigned_to_id":338,"start_date":"2017-12-09","description":"","custom_fields":[{"id":1,"name":"Subdivision","value":"EC"},{"id":4,"name":"Milepost","value":"0.0212"},{"id":17,"name":"Train ID","value":"146-09"},{"id":16,"name":"Locomotive ID","value":"4021"},{"id":130,"name":"Impact","value":""},{"id":150,"name":"Time of Event (Mountain Time)","value":"10:49:43"},{"id":151,"name":"Denver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4021 --day 2017-12-09</v>
      </c>
      <c r="AN5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-09T09:06:02-0700',mode:absolute,to:'2017-12-09T11:49:43-0700'))&amp;_a=(columns:!('Message%20ID',Summary),filters:!(),index:'emp_*',interval:auto,query:(query_string:(analyze_wildcard:!t,query:'%22rtdc.l.rtdc.4021%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757</v>
      </c>
      <c r="B59" s="225">
        <v>4028</v>
      </c>
      <c r="C59" s="227" t="s">
        <v>192</v>
      </c>
      <c r="D59" s="227" t="s">
        <v>676</v>
      </c>
      <c r="E59" s="226">
        <v>43078.389849537038</v>
      </c>
      <c r="F59" s="226">
        <v>43078.395995370367</v>
      </c>
      <c r="G59" s="225">
        <v>65</v>
      </c>
      <c r="H59" s="227" t="s">
        <v>932</v>
      </c>
      <c r="I59" s="226">
        <v>43078.420532407406</v>
      </c>
      <c r="J59" s="225">
        <v>0</v>
      </c>
      <c r="K59" s="237" t="str">
        <f t="shared" si="0"/>
        <v>4027/4028</v>
      </c>
      <c r="L59" s="245" t="str">
        <f>VLOOKUP(A59,'Trips&amp;Operators'!$C$1:$G$99911,5,FALSE)</f>
        <v>LOPES KIMBERLY</v>
      </c>
      <c r="M59" s="224">
        <f t="shared" si="1"/>
        <v>2.453703703940846E-2</v>
      </c>
      <c r="N59" s="225">
        <f t="shared" si="24"/>
        <v>35.333333336748183</v>
      </c>
      <c r="O59" s="225"/>
      <c r="P59" s="225"/>
      <c r="Q59" s="228"/>
      <c r="R59" s="242"/>
      <c r="S59" s="249">
        <f t="shared" si="3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-09T08:21:23-0700',mode:absolute,to:'2017-12-09T11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247" t="str">
        <f>IF(AA59&lt;VLOOKUP(AG59,Variables!$AC$3:$AD$8,2,FALSE),"Y","N")</f>
        <v>N</v>
      </c>
      <c r="X59" s="247">
        <f t="shared" si="6"/>
        <v>1</v>
      </c>
      <c r="Y59" s="247">
        <f t="shared" si="7"/>
        <v>5.2600000000000001E-2</v>
      </c>
      <c r="Z59" s="247">
        <f t="shared" si="8"/>
        <v>23.319500000000001</v>
      </c>
      <c r="AA59" s="247">
        <f t="shared" si="9"/>
        <v>23.2669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59" s="234" t="str">
        <f t="shared" si="12"/>
        <v>"C:\Program Files (x86)\AstroGrep\AstroGrep.exe" /e /r /s /spath="%USERPROFILE%\AppData\Local\Temp\OnboardLogs" /stypes="app*4028*20171209*"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147-09 --locoid 4028 --swversion DE.1.0.9.0 --startMP 204:526 --initTime 2017-12-09T09:21:23 --startdatetime 2017-12-09T09:30:14 --delay 65 --endMP 204:233195 --enddatetime 2017-12-09T10:05:34 --enforcementcount 0 &gt;&gt;%USERPROFILE%\Documents\GitHub\eaglep3-reporting\EC\2017-12-09-refined-times.txt</v>
      </c>
      <c r="AI5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{"issue":{"subject":"","project_id":79,"tracker_id":40,"status_id":1,"priority_id":2,"assigned_to_id":338,"start_date":"2017-12-09","description":"","custom_fields":[{"id":1,"name":"Subdivision","value":"EC"},{"id":4,"name":"Milepost","value":"23.3195"},{"id":17,"name":"Train ID","value":"147-09"},{"id":16,"name":"Locomotive ID","value":"4028"},{"id":130,"name":"Impact","value":""},{"id":150,"name":"Time of Event (Mountain Time)","value":"10:05:34"},{"id":151,"name":"Denver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4028 --day 2017-12-09</v>
      </c>
      <c r="AN5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-09T08:21:23-0700',mode:absolute,to:'2017-12-09T11:05:34-0700'))&amp;_a=(columns:!('Message%20ID',Summary),filters:!(),index:'emp_*',interval:auto,query:(query_string:(analyze_wildcard:!t,query:'%22rtdc.l.rtdc.4028%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764</v>
      </c>
      <c r="B60" s="225">
        <v>4027</v>
      </c>
      <c r="C60" s="227" t="s">
        <v>192</v>
      </c>
      <c r="D60" s="227" t="s">
        <v>623</v>
      </c>
      <c r="E60" s="226">
        <v>43078.42900462963</v>
      </c>
      <c r="F60" s="226">
        <v>43078.435624999998</v>
      </c>
      <c r="G60" s="225">
        <v>75</v>
      </c>
      <c r="H60" s="227" t="s">
        <v>615</v>
      </c>
      <c r="I60" s="226">
        <v>43078.460775462961</v>
      </c>
      <c r="J60" s="225">
        <v>0</v>
      </c>
      <c r="K60" s="237" t="str">
        <f t="shared" si="0"/>
        <v>4027/4028</v>
      </c>
      <c r="L60" s="245" t="str">
        <f>VLOOKUP(A60,'Trips&amp;Operators'!$C$1:$G$99911,5,FALSE)</f>
        <v>LOPES KIMBERLY</v>
      </c>
      <c r="M60" s="224">
        <f t="shared" si="1"/>
        <v>2.5150462963210884E-2</v>
      </c>
      <c r="N60" s="225">
        <f t="shared" si="24"/>
        <v>36.216666667023674</v>
      </c>
      <c r="O60" s="225"/>
      <c r="P60" s="225"/>
      <c r="Q60" s="228"/>
      <c r="R60" s="242"/>
      <c r="S60" s="249">
        <f t="shared" si="3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-09T09:17:46-0700',mode:absolute,to:'2017-12-09T12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247" t="str">
        <f>IF(AA60&lt;VLOOKUP(AG60,Variables!$AC$3:$AD$8,2,FALSE),"Y","N")</f>
        <v>N</v>
      </c>
      <c r="X60" s="247">
        <f t="shared" si="6"/>
        <v>1</v>
      </c>
      <c r="Y60" s="247">
        <f t="shared" si="7"/>
        <v>23.2881</v>
      </c>
      <c r="Z60" s="247">
        <f t="shared" si="8"/>
        <v>0.02</v>
      </c>
      <c r="AA60" s="247">
        <f t="shared" si="9"/>
        <v>23.2681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60" s="234" t="str">
        <f t="shared" si="12"/>
        <v>"C:\Program Files (x86)\AstroGrep\AstroGrep.exe" /e /r /s /spath="%USERPROFILE%\AppData\Local\Temp\OnboardLogs" /stypes="app*4027*20171209*"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148-09 --locoid 4027 --swversion DE.1.0.9.0 --startMP 204:232881 --initTime 2017-12-09T10:17:46 --startdatetime 2017-12-09T10:27:18 --delay 75 --endMP 204:200 --enddatetime 2017-12-09T11:03:31 --enforcementcount 0 &gt;&gt;%USERPROFILE%\Documents\GitHub\eaglep3-reporting\EC\2017-12-09-refined-times.txt</v>
      </c>
      <c r="AI6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{"issue":{"subject":"","project_id":79,"tracker_id":40,"status_id":1,"priority_id":2,"assigned_to_id":338,"start_date":"2017-12-09","description":"","custom_fields":[{"id":1,"name":"Subdivision","value":"EC"},{"id":4,"name":"Milepost","value":"0.02"},{"id":17,"name":"Train ID","value":"148-09"},{"id":16,"name":"Locomotive ID","value":"4027"},{"id":130,"name":"Impact","value":""},{"id":150,"name":"Time of Event (Mountain Time)","value":"11:03:31"},{"id":151,"name":"Denver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4027 --day 2017-12-09</v>
      </c>
      <c r="AN6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-09T09:17:46-0700',mode:absolute,to:'2017-12-09T12:03:31-0700'))&amp;_a=(columns:!('Message%20ID',Summary),filters:!(),index:'emp_*',interval:auto,query:(query_string:(analyze_wildcard:!t,query:'%22rtdc.l.rtdc.4027%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758</v>
      </c>
      <c r="B61" s="225">
        <v>4008</v>
      </c>
      <c r="C61" s="227" t="s">
        <v>192</v>
      </c>
      <c r="D61" s="227" t="s">
        <v>587</v>
      </c>
      <c r="E61" s="226">
        <v>43078.400613425925</v>
      </c>
      <c r="F61" s="226">
        <v>43078.406446759262</v>
      </c>
      <c r="G61" s="225">
        <v>95</v>
      </c>
      <c r="H61" s="227" t="s">
        <v>906</v>
      </c>
      <c r="I61" s="226">
        <v>43078.430162037039</v>
      </c>
      <c r="J61" s="225">
        <v>0</v>
      </c>
      <c r="K61" s="237" t="str">
        <f t="shared" si="0"/>
        <v>4007/4008</v>
      </c>
      <c r="L61" s="245" t="str">
        <f>VLOOKUP(A61,'Trips&amp;Operators'!$C$1:$G$99911,5,FALSE)</f>
        <v>GEBRETEKLE DAGNEW</v>
      </c>
      <c r="M61" s="224">
        <f t="shared" si="1"/>
        <v>2.3715277777228039E-2</v>
      </c>
      <c r="N61" s="225">
        <f t="shared" si="24"/>
        <v>34.149999999208376</v>
      </c>
      <c r="O61" s="225"/>
      <c r="P61" s="225"/>
      <c r="Q61" s="228"/>
      <c r="R61" s="242"/>
      <c r="S61" s="249">
        <f t="shared" si="3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-09T08:36:53-0700',mode:absolute,to:'2017-12-09T11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247" t="str">
        <f>IF(AA61&lt;VLOOKUP(AG61,Variables!$AC$3:$AD$8,2,FALSE),"Y","N")</f>
        <v>N</v>
      </c>
      <c r="X61" s="247">
        <f t="shared" si="6"/>
        <v>1</v>
      </c>
      <c r="Y61" s="247">
        <f t="shared" si="7"/>
        <v>5.11E-2</v>
      </c>
      <c r="Z61" s="247">
        <f t="shared" si="8"/>
        <v>23.324000000000002</v>
      </c>
      <c r="AA61" s="247">
        <f t="shared" si="9"/>
        <v>23.2729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61" s="234" t="str">
        <f t="shared" si="12"/>
        <v>"C:\Program Files (x86)\AstroGrep\AstroGrep.exe" /e /r /s /spath="%USERPROFILE%\AppData\Local\Temp\OnboardLogs" /stypes="app*4008*20171209*"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149-09 --locoid 4008 --swversion DE.1.0.9.0 --startMP 204:511 --initTime 2017-12-09T09:36:53 --startdatetime 2017-12-09T09:45:17 --delay 95 --endMP 204:233240 --enddatetime 2017-12-09T10:19:26 --enforcementcount 0 &gt;&gt;%USERPROFILE%\Documents\GitHub\eaglep3-reporting\EC\2017-12-09-refined-times.txt</v>
      </c>
      <c r="AI6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{"issue":{"subject":"","project_id":79,"tracker_id":40,"status_id":1,"priority_id":2,"assigned_to_id":338,"start_date":"2017-12-09","description":"","custom_fields":[{"id":1,"name":"Subdivision","value":"EC"},{"id":4,"name":"Milepost","value":"23.324"},{"id":17,"name":"Train ID","value":"149-09"},{"id":16,"name":"Locomotive ID","value":"4008"},{"id":130,"name":"Impact","value":""},{"id":150,"name":"Time of Event (Mountain Time)","value":"10:19:26"},{"id":151,"name":"Denver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4008 --day 2017-12-09</v>
      </c>
      <c r="AN6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-09T08:36:53-0700',mode:absolute,to:'2017-12-09T11:19:26-0700'))&amp;_a=(columns:!('Message%20ID',Summary),filters:!(),index:'emp_*',interval:auto,query:(query_string:(analyze_wildcard:!t,query:'%22rtdc.l.rtdc.4008%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765</v>
      </c>
      <c r="B62" s="225">
        <v>4007</v>
      </c>
      <c r="C62" s="227" t="s">
        <v>192</v>
      </c>
      <c r="D62" s="227" t="s">
        <v>933</v>
      </c>
      <c r="E62" s="226">
        <v>43078.431446759256</v>
      </c>
      <c r="F62" s="226">
        <v>43078.446157407408</v>
      </c>
      <c r="G62" s="225">
        <v>73</v>
      </c>
      <c r="H62" s="227" t="s">
        <v>902</v>
      </c>
      <c r="I62" s="226">
        <v>43078.471689814818</v>
      </c>
      <c r="J62" s="225">
        <v>0</v>
      </c>
      <c r="K62" s="237" t="str">
        <f t="shared" si="0"/>
        <v>4007/4008</v>
      </c>
      <c r="L62" s="245" t="str">
        <f>VLOOKUP(A62,'Trips&amp;Operators'!$C$1:$G$99911,5,FALSE)</f>
        <v>GEBRETEKLE DAGNEW</v>
      </c>
      <c r="M62" s="224">
        <f t="shared" si="1"/>
        <v>2.5532407409627922E-2</v>
      </c>
      <c r="N62" s="225">
        <f t="shared" si="24"/>
        <v>36.766666669864208</v>
      </c>
      <c r="O62" s="225"/>
      <c r="P62" s="225"/>
      <c r="Q62" s="228"/>
      <c r="R62" s="242"/>
      <c r="S62" s="249">
        <f t="shared" si="3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-09T09:21:17-0700',mode:absolute,to:'2017-12-09T12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247" t="str">
        <f>IF(AA62&lt;VLOOKUP(AG62,Variables!$AC$3:$AD$8,2,FALSE),"Y","N")</f>
        <v>N</v>
      </c>
      <c r="X62" s="247">
        <f t="shared" si="6"/>
        <v>1</v>
      </c>
      <c r="Y62" s="247">
        <f t="shared" si="7"/>
        <v>23.295200000000001</v>
      </c>
      <c r="Z62" s="247">
        <f t="shared" si="8"/>
        <v>1.6299999999999999E-2</v>
      </c>
      <c r="AA62" s="247">
        <f t="shared" si="9"/>
        <v>23.2789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62" s="234" t="str">
        <f t="shared" si="12"/>
        <v>"C:\Program Files (x86)\AstroGrep\AstroGrep.exe" /e /r /s /spath="%USERPROFILE%\AppData\Local\Temp\OnboardLogs" /stypes="app*4007*20171209*"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150-09 --locoid 4007 --swversion DE.1.0.9.0 --startMP 204:232952 --initTime 2017-12-09T10:21:17 --startdatetime 2017-12-09T10:42:28 --delay 73 --endMP 204:163 --enddatetime 2017-12-09T11:19:14 --enforcementcount 0 &gt;&gt;%USERPROFILE%\Documents\GitHub\eaglep3-reporting\EC\2017-12-09-refined-times.txt</v>
      </c>
      <c r="AI6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{"issue":{"subject":"","project_id":79,"tracker_id":40,"status_id":1,"priority_id":2,"assigned_to_id":338,"start_date":"2017-12-09","description":"","custom_fields":[{"id":1,"name":"Subdivision","value":"EC"},{"id":4,"name":"Milepost","value":"0.0163"},{"id":17,"name":"Train ID","value":"150-09"},{"id":16,"name":"Locomotive ID","value":"4007"},{"id":130,"name":"Impact","value":""},{"id":150,"name":"Time of Event (Mountain Time)","value":"11:19:14"},{"id":151,"name":"Denver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4007 --day 2017-12-09</v>
      </c>
      <c r="AN6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-09T09:21:17-0700',mode:absolute,to:'2017-12-09T12:19:14-0700'))&amp;_a=(columns:!('Message%20ID',Summary),filters:!(),index:'emp_*',interval:auto,query:(query_string:(analyze_wildcard:!t,query:'%22rtdc.l.rtdc.4007%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761</v>
      </c>
      <c r="B63" s="225">
        <v>4058</v>
      </c>
      <c r="C63" s="227" t="s">
        <v>192</v>
      </c>
      <c r="D63" s="227" t="s">
        <v>654</v>
      </c>
      <c r="E63" s="226">
        <v>43078.413101851853</v>
      </c>
      <c r="F63" s="226">
        <v>43078.41684027778</v>
      </c>
      <c r="G63" s="225">
        <v>60</v>
      </c>
      <c r="H63" s="227" t="s">
        <v>934</v>
      </c>
      <c r="I63" s="226">
        <v>43078.441006944442</v>
      </c>
      <c r="J63" s="225">
        <v>0</v>
      </c>
      <c r="K63" s="237" t="str">
        <f t="shared" si="0"/>
        <v>4057/4058</v>
      </c>
      <c r="L63" s="245" t="str">
        <f>VLOOKUP(A63,'Trips&amp;Operators'!$C$1:$G$99911,5,FALSE)</f>
        <v>DELGADO DIANAH</v>
      </c>
      <c r="M63" s="224">
        <f t="shared" si="1"/>
        <v>2.4166666662495118E-2</v>
      </c>
      <c r="N63" s="225">
        <f t="shared" si="24"/>
        <v>34.799999993992969</v>
      </c>
      <c r="O63" s="225"/>
      <c r="P63" s="225"/>
      <c r="Q63" s="228"/>
      <c r="R63" s="242"/>
      <c r="S63" s="249">
        <f t="shared" si="3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-09T08:54:52-0700',mode:absolute,to:'2017-12-09T11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247" t="str">
        <f>IF(AA63&lt;VLOOKUP(AG63,Variables!$AC$3:$AD$8,2,FALSE),"Y","N")</f>
        <v>N</v>
      </c>
      <c r="X63" s="247">
        <f t="shared" si="6"/>
        <v>1</v>
      </c>
      <c r="Y63" s="247">
        <f t="shared" si="7"/>
        <v>4.4400000000000002E-2</v>
      </c>
      <c r="Z63" s="247">
        <f t="shared" si="8"/>
        <v>23.329799999999999</v>
      </c>
      <c r="AA63" s="247">
        <f t="shared" si="9"/>
        <v>23.285399999999999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63" s="234" t="str">
        <f t="shared" si="12"/>
        <v>"C:\Program Files (x86)\AstroGrep\AstroGrep.exe" /e /r /s /spath="%USERPROFILE%\AppData\Local\Temp\OnboardLogs" /stypes="app*4058*20171209*"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151-09 --locoid 4058 --swversion DE.1.0.9.0 --startMP 204:444 --initTime 2017-12-09T09:54:52 --startdatetime 2017-12-09T10:00:15 --delay 60 --endMP 204:233298 --enddatetime 2017-12-09T10:35:03 --enforcementcount 0 &gt;&gt;%USERPROFILE%\Documents\GitHub\eaglep3-reporting\EC\2017-12-09-refined-times.txt</v>
      </c>
      <c r="AI6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{"issue":{"subject":"","project_id":79,"tracker_id":40,"status_id":1,"priority_id":2,"assigned_to_id":338,"start_date":"2017-12-09","description":"","custom_fields":[{"id":1,"name":"Subdivision","value":"EC"},{"id":4,"name":"Milepost","value":"23.3298"},{"id":17,"name":"Train ID","value":"151-09"},{"id":16,"name":"Locomotive ID","value":"4058"},{"id":130,"name":"Impact","value":""},{"id":150,"name":"Time of Event (Mountain Time)","value":"10:35:03"},{"id":151,"name":"Denver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4058 --day 2017-12-09</v>
      </c>
      <c r="AN6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-09T08:54:52-0700',mode:absolute,to:'2017-12-09T11:35:03-0700'))&amp;_a=(columns:!('Message%20ID',Summary),filters:!(),index:'emp_*',interval:auto,query:(query_string:(analyze_wildcard:!t,query:'%22rtdc.l.rtdc.4058%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768</v>
      </c>
      <c r="B64" s="225">
        <v>4057</v>
      </c>
      <c r="C64" s="227" t="s">
        <v>192</v>
      </c>
      <c r="D64" s="227" t="s">
        <v>930</v>
      </c>
      <c r="E64" s="226">
        <v>43078.445115740738</v>
      </c>
      <c r="F64" s="226">
        <v>43078.456446759257</v>
      </c>
      <c r="G64" s="225">
        <v>518</v>
      </c>
      <c r="H64" s="227" t="s">
        <v>656</v>
      </c>
      <c r="I64" s="226">
        <v>43078.481493055559</v>
      </c>
      <c r="J64" s="225">
        <v>0</v>
      </c>
      <c r="K64" s="237" t="str">
        <f t="shared" si="0"/>
        <v>4057/4058</v>
      </c>
      <c r="L64" s="245" t="str">
        <f>VLOOKUP(A64,'Trips&amp;Operators'!$C$1:$G$99911,5,FALSE)</f>
        <v>DELGADO DIANAH</v>
      </c>
      <c r="M64" s="224">
        <f t="shared" si="1"/>
        <v>2.5046296301297843E-2</v>
      </c>
      <c r="N64" s="225">
        <f t="shared" si="24"/>
        <v>36.066666673868895</v>
      </c>
      <c r="O64" s="225"/>
      <c r="P64" s="225"/>
      <c r="Q64" s="228"/>
      <c r="R64" s="242" t="s">
        <v>1071</v>
      </c>
      <c r="S64" s="249">
        <f t="shared" si="3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-09T09:40:58-0700',mode:absolute,to:'2017-12-09T12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247" t="str">
        <f>IF(AA64&lt;VLOOKUP(AG64,Variables!$AC$3:$AD$8,2,FALSE),"Y","N")</f>
        <v>N</v>
      </c>
      <c r="X64" s="247">
        <f t="shared" si="6"/>
        <v>1</v>
      </c>
      <c r="Y64" s="247">
        <f t="shared" si="7"/>
        <v>23.299399999999999</v>
      </c>
      <c r="Z64" s="247">
        <f t="shared" si="8"/>
        <v>1.49E-2</v>
      </c>
      <c r="AA64" s="247">
        <f t="shared" si="9"/>
        <v>23.284499999999998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64" s="234" t="str">
        <f t="shared" si="12"/>
        <v>"C:\Program Files (x86)\AstroGrep\AstroGrep.exe" /e /r /s /spath="%USERPROFILE%\AppData\Local\Temp\OnboardLogs" /stypes="app*4057*20171209*"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152-09 --locoid 4057 --swversion DE.1.0.9.0 --startMP 204:232994 --initTime 2017-12-09T10:40:58 --startdatetime 2017-12-09T10:57:17 --delay 518 --endMP 204:149 --enddatetime 2017-12-09T11:33:21 --enforcementcount 0 &gt;&gt;%USERPROFILE%\Documents\GitHub\eaglep3-reporting\EC\2017-12-09-refined-times.txt</v>
      </c>
      <c r="AI64" s="238" t="str">
        <f t="shared" si="20"/>
        <v>echo {"issue":{"subject":"Operator reported overspeed penalty, no PTC issues observed","project_id":79,"tracker_id":40,"status_id":1,"priority_id":2,"assigned_to_id":338,"start_date":"2017-12-09","description":"","custom_fields":[{"id":1,"name":"Subdivision","value":"EC"},{"id":4,"name":"Milepost","value":"0.0149"},{"id":17,"name":"Train ID","value":"152-09"},{"id":16,"name":"Locomotive ID","value":"4057"},{"id":130,"name":"Impact","value":""},{"id":150,"name":"Time of Event (Mountain Time)","value":"11:33:21"},{"id":151,"name":"Denver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4057 --day 2017-12-09</v>
      </c>
      <c r="AN64" s="241" t="str">
        <f t="shared" si="22"/>
        <v>echo {"issue":{"subject":"Operator reported overspeed penalty, no PTC issues observed","project_id":30,"tracker_id":4,"status_id":1,"priority_id":1,"assigned_to_id":10,"start_date":"2017-12-09","description":"","custom_fields":[{"id":30,"name":"Category","value":"Issue"},{"id":3,"name":"Functional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-09T09:40:58-0700',mode:absolute,to:'2017-12-09T12:33:21-0700'))&amp;_a=(columns:!('Message%20ID',Summary),filters:!(),index:'emp_*',interval:auto,query:(query_string:(analyze_wildcard:!t,query:'%22rtdc.l.rtdc.4057%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762</v>
      </c>
      <c r="B65" s="225">
        <v>4004</v>
      </c>
      <c r="C65" s="227" t="s">
        <v>192</v>
      </c>
      <c r="D65" s="227" t="s">
        <v>935</v>
      </c>
      <c r="E65" s="226">
        <v>43078.41883101852</v>
      </c>
      <c r="F65" s="226">
        <v>43078.427256944444</v>
      </c>
      <c r="G65" s="225">
        <v>78</v>
      </c>
      <c r="H65" s="227" t="s">
        <v>659</v>
      </c>
      <c r="I65" s="226">
        <v>43078.452384259261</v>
      </c>
      <c r="J65" s="225">
        <v>0</v>
      </c>
      <c r="K65" s="237" t="str">
        <f t="shared" si="0"/>
        <v>4003/4004</v>
      </c>
      <c r="L65" s="245" t="str">
        <f>VLOOKUP(A65,'Trips&amp;Operators'!$C$1:$G$99911,5,FALSE)</f>
        <v>BADERTSCHER DIANE</v>
      </c>
      <c r="M65" s="224">
        <f t="shared" si="1"/>
        <v>2.5127314816927537E-2</v>
      </c>
      <c r="N65" s="225">
        <f t="shared" si="24"/>
        <v>36.183333336375654</v>
      </c>
      <c r="O65" s="225"/>
      <c r="P65" s="225"/>
      <c r="Q65" s="228"/>
      <c r="R65" s="242"/>
      <c r="S65" s="249">
        <f t="shared" si="3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-09T09:03:07-0700',mode:absolute,to:'2017-12-09T11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5" s="247" t="str">
        <f>IF(AA65&lt;VLOOKUP(AG65,Variables!$AC$3:$AD$8,2,FALSE),"Y","N")</f>
        <v>N</v>
      </c>
      <c r="X65" s="247">
        <f t="shared" si="6"/>
        <v>1</v>
      </c>
      <c r="Y65" s="247">
        <f t="shared" si="7"/>
        <v>4.6199999999999998E-2</v>
      </c>
      <c r="Z65" s="247">
        <f t="shared" si="8"/>
        <v>23.327400000000001</v>
      </c>
      <c r="AA65" s="247">
        <f t="shared" si="9"/>
        <v>23.281200000000002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65" s="234" t="str">
        <f t="shared" si="12"/>
        <v>"C:\Program Files (x86)\AstroGrep\AstroGrep.exe" /e /r /s /spath="%USERPROFILE%\AppData\Local\Temp\OnboardLogs" /stypes="app*4004*20171209*"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153-09 --locoid 4004 --swversion DE.1.0.9.0 --startMP 204:462 --initTime 2017-12-09T10:03:07 --startdatetime 2017-12-09T10:15:15 --delay 78 --endMP 204:233274 --enddatetime 2017-12-09T10:51:26 --enforcementcount 0 &gt;&gt;%USERPROFILE%\Documents\GitHub\eaglep3-reporting\EC\2017-12-09-refined-times.txt</v>
      </c>
      <c r="AI6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{"issue":{"subject":"","project_id":79,"tracker_id":40,"status_id":1,"priority_id":2,"assigned_to_id":338,"start_date":"2017-12-09","description":"","custom_fields":[{"id":1,"name":"Subdivision","value":"EC"},{"id":4,"name":"Milepost","value":"23.3274"},{"id":17,"name":"Train ID","value":"153-09"},{"id":16,"name":"Locomotive ID","value":"4004"},{"id":130,"name":"Impact","value":""},{"id":150,"name":"Time of Event (Mountain Time)","value":"10:51:26"},{"id":151,"name":"Denver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4004 --day 2017-12-09</v>
      </c>
      <c r="AN6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-09T09:03:07-0700',mode:absolute,to:'2017-12-09T11:51:26-0700'))&amp;_a=(columns:!('Message%20ID',Summary),filters:!(),index:'emp_*',interval:auto,query:(query_string:(analyze_wildcard:!t,query:'%22rtdc.l.rtdc.4004%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772</v>
      </c>
      <c r="B66" s="225">
        <v>4003</v>
      </c>
      <c r="C66" s="227" t="s">
        <v>192</v>
      </c>
      <c r="D66" s="227" t="s">
        <v>936</v>
      </c>
      <c r="E66" s="226">
        <v>43078.461921296293</v>
      </c>
      <c r="F66" s="226">
        <v>43078.466840277775</v>
      </c>
      <c r="G66" s="225">
        <v>84</v>
      </c>
      <c r="H66" s="227" t="s">
        <v>577</v>
      </c>
      <c r="I66" s="226">
        <v>43078.494432870371</v>
      </c>
      <c r="J66" s="225">
        <v>0</v>
      </c>
      <c r="K66" s="237" t="str">
        <f t="shared" si="0"/>
        <v>4003/4004</v>
      </c>
      <c r="L66" s="245" t="str">
        <f>VLOOKUP(A66,'Trips&amp;Operators'!$C$1:$G$99911,5,FALSE)</f>
        <v>BADERTSCHER DIANE</v>
      </c>
      <c r="M66" s="224">
        <f t="shared" si="1"/>
        <v>2.7592592596192844E-2</v>
      </c>
      <c r="N66" s="225">
        <f t="shared" si="24"/>
        <v>39.733333338517696</v>
      </c>
      <c r="O66" s="225"/>
      <c r="P66" s="225"/>
      <c r="Q66" s="228"/>
      <c r="R66" s="242"/>
      <c r="S66" s="249">
        <f t="shared" si="3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-09T10:05:10-0700',mode:absolute,to:'2017-12-09T12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247" t="str">
        <f>IF(AA66&lt;VLOOKUP(AG66,Variables!$AC$3:$AD$8,2,FALSE),"Y","N")</f>
        <v>N</v>
      </c>
      <c r="X66" s="247">
        <f t="shared" si="6"/>
        <v>1</v>
      </c>
      <c r="Y66" s="247">
        <f t="shared" si="7"/>
        <v>23.295300000000001</v>
      </c>
      <c r="Z66" s="247">
        <f t="shared" si="8"/>
        <v>2.0899999999999998E-2</v>
      </c>
      <c r="AA66" s="247">
        <f t="shared" si="9"/>
        <v>23.2744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66" s="234" t="str">
        <f t="shared" si="12"/>
        <v>"C:\Program Files (x86)\AstroGrep\AstroGrep.exe" /e /r /s /spath="%USERPROFILE%\AppData\Local\Temp\OnboardLogs" /stypes="app*4003*20171209*"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154-09 --locoid 4003 --swversion DE.1.0.9.0 --startMP 204:232953 --initTime 2017-12-09T11:05:10 --startdatetime 2017-12-09T11:12:15 --delay 84 --endMP 204:209 --enddatetime 2017-12-09T11:51:59 --enforcementcount 0 &gt;&gt;%USERPROFILE%\Documents\GitHub\eaglep3-reporting\EC\2017-12-09-refined-times.txt</v>
      </c>
      <c r="AI6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{"issue":{"subject":"","project_id":79,"tracker_id":40,"status_id":1,"priority_id":2,"assigned_to_id":338,"start_date":"2017-12-09","description":"","custom_fields":[{"id":1,"name":"Subdivision","value":"EC"},{"id":4,"name":"Milepost","value":"0.0209"},{"id":17,"name":"Train ID","value":"154-09"},{"id":16,"name":"Locomotive ID","value":"4003"},{"id":130,"name":"Impact","value":""},{"id":150,"name":"Time of Event (Mountain Time)","value":"11:51:59"},{"id":151,"name":"Denver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4003 --day 2017-12-09</v>
      </c>
      <c r="AN6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-09T10:05:10-0700',mode:absolute,to:'2017-12-09T12:51:59-0700'))&amp;_a=(columns:!('Message%20ID',Summary),filters:!(),index:'emp_*',interval:auto,query:(query_string:(analyze_wildcard:!t,query:'%22rtdc.l.rtdc.4003%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767</v>
      </c>
      <c r="B67" s="225">
        <v>4036</v>
      </c>
      <c r="C67" s="227" t="s">
        <v>192</v>
      </c>
      <c r="D67" s="227" t="s">
        <v>935</v>
      </c>
      <c r="E67" s="226">
        <v>43078.436111111114</v>
      </c>
      <c r="F67" s="226">
        <v>43078.437708333331</v>
      </c>
      <c r="G67" s="225">
        <v>45</v>
      </c>
      <c r="H67" s="227" t="s">
        <v>937</v>
      </c>
      <c r="I67" s="226">
        <v>43078.462384259263</v>
      </c>
      <c r="J67" s="225">
        <v>0</v>
      </c>
      <c r="K67" s="237" t="str">
        <f t="shared" si="0"/>
        <v>4035/4036</v>
      </c>
      <c r="L67" s="245" t="str">
        <f>VLOOKUP(A67,'Trips&amp;Operators'!$C$1:$G$99911,5,FALSE)</f>
        <v>MACDONALD THOMAS</v>
      </c>
      <c r="M67" s="224">
        <f t="shared" si="1"/>
        <v>2.4675925931660458E-2</v>
      </c>
      <c r="N67" s="225">
        <f t="shared" si="24"/>
        <v>35.53333334159106</v>
      </c>
      <c r="O67" s="225"/>
      <c r="P67" s="225"/>
      <c r="Q67" s="228"/>
      <c r="R67" s="242"/>
      <c r="S67" s="249">
        <f t="shared" si="3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-09T09:28:00-0700',mode:absolute,to:'2017-12-09T12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7" s="247" t="str">
        <f>IF(AA67&lt;VLOOKUP(AG67,Variables!$AC$3:$AD$8,2,FALSE),"Y","N")</f>
        <v>N</v>
      </c>
      <c r="X67" s="247">
        <f t="shared" si="6"/>
        <v>1</v>
      </c>
      <c r="Y67" s="247">
        <f t="shared" si="7"/>
        <v>4.6199999999999998E-2</v>
      </c>
      <c r="Z67" s="247">
        <f t="shared" si="8"/>
        <v>23.328700000000001</v>
      </c>
      <c r="AA67" s="247">
        <f t="shared" si="9"/>
        <v>23.282500000000002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67" s="234" t="str">
        <f t="shared" si="12"/>
        <v>"C:\Program Files (x86)\AstroGrep\AstroGrep.exe" /e /r /s /spath="%USERPROFILE%\AppData\Local\Temp\OnboardLogs" /stypes="app*4036*20171209*"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155-09 --locoid 4036 --swversion DE.1.0.9.0 --startMP 204:462 --initTime 2017-12-09T10:28:00 --startdatetime 2017-12-09T10:30:18 --delay 45 --endMP 204:233287 --enddatetime 2017-12-09T11:05:50 --enforcementcount 0 &gt;&gt;%USERPROFILE%\Documents\GitHub\eaglep3-reporting\EC\2017-12-09-refined-times.txt</v>
      </c>
      <c r="AI6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{"issue":{"subject":"","project_id":79,"tracker_id":40,"status_id":1,"priority_id":2,"assigned_to_id":338,"start_date":"2017-12-09","description":"","custom_fields":[{"id":1,"name":"Subdivision","value":"EC"},{"id":4,"name":"Milepost","value":"23.3287"},{"id":17,"name":"Train ID","value":"155-09"},{"id":16,"name":"Locomotive ID","value":"4036"},{"id":130,"name":"Impact","value":""},{"id":150,"name":"Time of Event (Mountain Time)","value":"11:05:50"},{"id":151,"name":"Denver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4036 --day 2017-12-09</v>
      </c>
      <c r="AN6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-09T09:28:00-0700',mode:absolute,to:'2017-12-09T12:05:50-0700'))&amp;_a=(columns:!('Message%20ID',Summary),filters:!(),index:'emp_*',interval:auto,query:(query_string:(analyze_wildcard:!t,query:'%22rtdc.l.rtdc.4036%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776</v>
      </c>
      <c r="B68" s="225">
        <v>4035</v>
      </c>
      <c r="C68" s="227" t="s">
        <v>192</v>
      </c>
      <c r="D68" s="227" t="s">
        <v>938</v>
      </c>
      <c r="E68" s="226">
        <v>43078.474942129629</v>
      </c>
      <c r="F68" s="226">
        <v>43078.477303240739</v>
      </c>
      <c r="G68" s="225">
        <v>44</v>
      </c>
      <c r="H68" s="227" t="s">
        <v>671</v>
      </c>
      <c r="I68" s="226">
        <v>43078.503078703703</v>
      </c>
      <c r="J68" s="225">
        <v>0</v>
      </c>
      <c r="K68" s="237" t="str">
        <f t="shared" si="0"/>
        <v>4035/4036</v>
      </c>
      <c r="L68" s="245" t="str">
        <f>VLOOKUP(A68,'Trips&amp;Operators'!$C$1:$G$99911,5,FALSE)</f>
        <v>MACDONALD THOMAS</v>
      </c>
      <c r="M68" s="224">
        <f t="shared" si="1"/>
        <v>2.5775462963792961E-2</v>
      </c>
      <c r="N68" s="225">
        <f t="shared" si="24"/>
        <v>37.116666667861864</v>
      </c>
      <c r="O68" s="225"/>
      <c r="P68" s="225"/>
      <c r="Q68" s="228"/>
      <c r="R68" s="242"/>
      <c r="S68" s="249">
        <f t="shared" si="3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-09T10:23:55-0700',mode:absolute,to:'2017-12-09T13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8" s="247" t="str">
        <f>IF(AA68&lt;VLOOKUP(AG68,Variables!$AC$3:$AD$8,2,FALSE),"Y","N")</f>
        <v>N</v>
      </c>
      <c r="X68" s="247">
        <f t="shared" si="6"/>
        <v>1</v>
      </c>
      <c r="Y68" s="247">
        <f t="shared" si="7"/>
        <v>23.296600000000002</v>
      </c>
      <c r="Z68" s="247">
        <f t="shared" si="8"/>
        <v>2.4199999999999999E-2</v>
      </c>
      <c r="AA68" s="247">
        <f t="shared" si="9"/>
        <v>23.272400000000001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68" s="234" t="str">
        <f t="shared" si="12"/>
        <v>"C:\Program Files (x86)\AstroGrep\AstroGrep.exe" /e /r /s /spath="%USERPROFILE%\AppData\Local\Temp\OnboardLogs" /stypes="app*4035*20171209*" /stext=" 19:.+((SYSTEM_STATE.+slice.+state.+changed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156-09 --locoid 4035 --swversion DE.1.0.9.0 --startMP 204:232966 --initTime 2017-12-09T11:23:55 --startdatetime 2017-12-09T11:27:19 --delay 44 --endMP 204:242 --enddatetime 2017-12-09T12:04:26 --enforcementcount 0 &gt;&gt;%USERPROFILE%\Documents\GitHub\eaglep3-reporting\EC\2017-12-09-refined-times.txt</v>
      </c>
      <c r="AI6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{"issue":{"subject":"","project_id":79,"tracker_id":40,"status_id":1,"priority_id":2,"assigned_to_id":338,"start_date":"2017-12-09","description":"","custom_fields":[{"id":1,"name":"Subdivision","value":"EC"},{"id":4,"name":"Milepost","value":"0.0242"},{"id":17,"name":"Train ID","value":"156-09"},{"id":16,"name":"Locomotive ID","value":"4035"},{"id":130,"name":"Impact","value":""},{"id":150,"name":"Time of Event (Mountain Time)","value":"12:04:26"},{"id":151,"name":"Denver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4035 --day 2017-12-09</v>
      </c>
      <c r="AN6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-09T10:23:55-0700',mode:absolute,to:'2017-12-09T13:04:26-0700'))&amp;_a=(columns:!('Message%20ID',Summary),filters:!(),index:'emp_*',interval:auto,query:(query_string:(analyze_wildcard:!t,query:'%22rtdc.l.rtdc.4035%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769</v>
      </c>
      <c r="B69" s="225">
        <v>4014</v>
      </c>
      <c r="C69" s="227" t="s">
        <v>192</v>
      </c>
      <c r="D69" s="227" t="s">
        <v>574</v>
      </c>
      <c r="E69" s="226">
        <v>43078.4450462963</v>
      </c>
      <c r="F69" s="226">
        <v>43078.448113425926</v>
      </c>
      <c r="G69" s="225">
        <v>86</v>
      </c>
      <c r="H69" s="227" t="s">
        <v>939</v>
      </c>
      <c r="I69" s="226">
        <v>43078.471944444442</v>
      </c>
      <c r="J69" s="225">
        <v>0</v>
      </c>
      <c r="K69" s="237" t="str">
        <f t="shared" si="0"/>
        <v>4013/4014</v>
      </c>
      <c r="L69" s="245" t="str">
        <f>VLOOKUP(A69,'Trips&amp;Operators'!$C$1:$G$99911,5,FALSE)</f>
        <v>BRUDER RICHARD</v>
      </c>
      <c r="M69" s="224">
        <f t="shared" si="1"/>
        <v>2.3831018515920732E-2</v>
      </c>
      <c r="N69" s="225">
        <f t="shared" si="24"/>
        <v>34.316666662925854</v>
      </c>
      <c r="O69" s="225"/>
      <c r="P69" s="225"/>
      <c r="Q69" s="228"/>
      <c r="R69" s="242"/>
      <c r="S69" s="249">
        <f t="shared" si="3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-09T09:40:52-0700',mode:absolute,to:'2017-12-09T12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247" t="str">
        <f>IF(AA69&lt;VLOOKUP(AG69,Variables!$AC$3:$AD$8,2,FALSE),"Y","N")</f>
        <v>N</v>
      </c>
      <c r="X69" s="247">
        <f t="shared" si="6"/>
        <v>1</v>
      </c>
      <c r="Y69" s="247">
        <f t="shared" si="7"/>
        <v>5.0599999999999999E-2</v>
      </c>
      <c r="Z69" s="247">
        <f t="shared" si="8"/>
        <v>23.320699999999999</v>
      </c>
      <c r="AA69" s="247">
        <f t="shared" si="9"/>
        <v>23.270099999999999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69" s="234" t="str">
        <f t="shared" si="12"/>
        <v>"C:\Program Files (x86)\AstroGrep\AstroGrep.exe" /e /r /s /spath="%USERPROFILE%\AppData\Local\Temp\OnboardLogs" /stypes="app*4014*20171209*"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157-09 --locoid 4014 --swversion DE.1.0.9.0 --startMP 204:506 --initTime 2017-12-09T10:40:52 --startdatetime 2017-12-09T10:45:17 --delay 86 --endMP 204:233207 --enddatetime 2017-12-09T11:19:36 --enforcementcount 0 &gt;&gt;%USERPROFILE%\Documents\GitHub\eaglep3-reporting\EC\2017-12-09-refined-times.txt</v>
      </c>
      <c r="AI6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{"issue":{"subject":"","project_id":79,"tracker_id":40,"status_id":1,"priority_id":2,"assigned_to_id":338,"start_date":"2017-12-09","description":"","custom_fields":[{"id":1,"name":"Subdivision","value":"EC"},{"id":4,"name":"Milepost","value":"23.3207"},{"id":17,"name":"Train ID","value":"157-09"},{"id":16,"name":"Locomotive ID","value":"4014"},{"id":130,"name":"Impact","value":""},{"id":150,"name":"Time of Event (Mountain Time)","value":"11:19:36"},{"id":151,"name":"Denver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4014 --day 2017-12-09</v>
      </c>
      <c r="AN6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-09T09:40:52-0700',mode:absolute,to:'2017-12-09T12:19:36-0700'))&amp;_a=(columns:!('Message%20ID',Summary),filters:!(),index:'emp_*',interval:auto,query:(query_string:(analyze_wildcard:!t,query:'%22rtdc.l.rtdc.4014%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779</v>
      </c>
      <c r="B70" s="225">
        <v>4013</v>
      </c>
      <c r="C70" s="227" t="s">
        <v>192</v>
      </c>
      <c r="D70" s="227" t="s">
        <v>940</v>
      </c>
      <c r="E70" s="226">
        <v>43078.484907407408</v>
      </c>
      <c r="F70" s="226">
        <v>43078.487685185188</v>
      </c>
      <c r="G70" s="225">
        <v>65</v>
      </c>
      <c r="H70" s="227" t="s">
        <v>941</v>
      </c>
      <c r="I70" s="226">
        <v>43078.513472222221</v>
      </c>
      <c r="J70" s="225">
        <v>0</v>
      </c>
      <c r="K70" s="237" t="str">
        <f t="shared" si="0"/>
        <v>4013/4014</v>
      </c>
      <c r="L70" s="245" t="str">
        <f>VLOOKUP(A70,'Trips&amp;Operators'!$C$1:$G$99911,5,FALSE)</f>
        <v>BRUDER RICHARD</v>
      </c>
      <c r="M70" s="224">
        <f t="shared" si="1"/>
        <v>2.5787037033296656E-2</v>
      </c>
      <c r="N70" s="225">
        <f t="shared" si="24"/>
        <v>37.133333327947184</v>
      </c>
      <c r="O70" s="225"/>
      <c r="P70" s="225"/>
      <c r="Q70" s="228"/>
      <c r="R70" s="242"/>
      <c r="S70" s="249">
        <f t="shared" si="3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-09T10:38:16-0700',mode:absolute,to:'2017-12-09T13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247" t="str">
        <f>IF(AA70&lt;VLOOKUP(AG70,Variables!$AC$3:$AD$8,2,FALSE),"Y","N")</f>
        <v>N</v>
      </c>
      <c r="X70" s="247">
        <f t="shared" si="6"/>
        <v>1</v>
      </c>
      <c r="Y70" s="247">
        <f t="shared" si="7"/>
        <v>23.289200000000001</v>
      </c>
      <c r="Z70" s="247">
        <f t="shared" si="8"/>
        <v>2.2100000000000002E-2</v>
      </c>
      <c r="AA70" s="247">
        <f t="shared" si="9"/>
        <v>23.267100000000003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70" s="234" t="str">
        <f t="shared" si="12"/>
        <v>"C:\Program Files (x86)\AstroGrep\AstroGrep.exe" /e /r /s /spath="%USERPROFILE%\AppData\Local\Temp\OnboardLogs" /stypes="app*4013*20171209*"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158-09 --locoid 4013 --swversion DE.1.0.9.0 --startMP 204:232892 --initTime 2017-12-09T11:38:16 --startdatetime 2017-12-09T11:42:16 --delay 65 --endMP 204:221 --enddatetime 2017-12-09T12:19:24 --enforcementcount 0 &gt;&gt;%USERPROFILE%\Documents\GitHub\eaglep3-reporting\EC\2017-12-09-refined-times.txt</v>
      </c>
      <c r="AI7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{"issue":{"subject":"","project_id":79,"tracker_id":40,"status_id":1,"priority_id":2,"assigned_to_id":338,"start_date":"2017-12-09","description":"","custom_fields":[{"id":1,"name":"Subdivision","value":"EC"},{"id":4,"name":"Milepost","value":"0.0221"},{"id":17,"name":"Train ID","value":"158-09"},{"id":16,"name":"Locomotive ID","value":"4013"},{"id":130,"name":"Impact","value":""},{"id":150,"name":"Time of Event (Mountain Time)","value":"12:19:24"},{"id":151,"name":"Denver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4013 --day 2017-12-09</v>
      </c>
      <c r="AN7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-09T10:38:16-0700',mode:absolute,to:'2017-12-09T13:19:24-0700'))&amp;_a=(columns:!('Message%20ID',Summary),filters:!(),index:'emp_*',interval:auto,query:(query_string:(analyze_wildcard:!t,query:'%22rtdc.l.rtdc.4013%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770</v>
      </c>
      <c r="B71" s="225">
        <v>4022</v>
      </c>
      <c r="C71" s="227" t="s">
        <v>192</v>
      </c>
      <c r="D71" s="227" t="s">
        <v>473</v>
      </c>
      <c r="E71" s="226">
        <v>43078.453645833331</v>
      </c>
      <c r="F71" s="226">
        <v>43078.458564814813</v>
      </c>
      <c r="G71" s="225">
        <v>107</v>
      </c>
      <c r="H71" s="227" t="s">
        <v>584</v>
      </c>
      <c r="I71" s="226">
        <v>43078.483726851853</v>
      </c>
      <c r="J71" s="225">
        <v>0</v>
      </c>
      <c r="K71" s="237" t="str">
        <f t="shared" si="0"/>
        <v>4021/4022</v>
      </c>
      <c r="L71" s="245" t="str">
        <f>VLOOKUP(A71,'Trips&amp;Operators'!$C$1:$G$99911,5,FALSE)</f>
        <v>WILLIAMS DONTE</v>
      </c>
      <c r="M71" s="224">
        <f t="shared" si="1"/>
        <v>2.5162037039990537E-2</v>
      </c>
      <c r="N71" s="225">
        <f t="shared" si="24"/>
        <v>36.233333337586373</v>
      </c>
      <c r="O71" s="225"/>
      <c r="P71" s="225"/>
      <c r="Q71" s="228"/>
      <c r="R71" s="242"/>
      <c r="S71" s="249">
        <f t="shared" si="3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-09T09:53:15-0700',mode:absolute,to:'2017-12-09T12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1" s="247" t="str">
        <f>IF(AA71&lt;VLOOKUP(AG71,Variables!$AC$3:$AD$8,2,FALSE),"Y","N")</f>
        <v>N</v>
      </c>
      <c r="X71" s="247">
        <f t="shared" si="6"/>
        <v>1</v>
      </c>
      <c r="Y71" s="247">
        <f t="shared" si="7"/>
        <v>5.2200000000000003E-2</v>
      </c>
      <c r="Z71" s="247">
        <f t="shared" si="8"/>
        <v>23.323599999999999</v>
      </c>
      <c r="AA71" s="247">
        <f t="shared" si="9"/>
        <v>23.2714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71" s="234" t="str">
        <f t="shared" si="12"/>
        <v>"C:\Program Files (x86)\AstroGrep\AstroGrep.exe" /e /r /s /spath="%USERPROFILE%\AppData\Local\Temp\OnboardLogs" /stypes="app*4022*20171209*"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159-09 --locoid 4022 --swversion DE.1.0.9.0 --startMP 204:522 --initTime 2017-12-09T10:53:15 --startdatetime 2017-12-09T11:00:20 --delay 107 --endMP 204:233236 --enddatetime 2017-12-09T11:36:34 --enforcementcount 0 &gt;&gt;%USERPROFILE%\Documents\GitHub\eaglep3-reporting\EC\2017-12-09-refined-times.txt</v>
      </c>
      <c r="AI7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{"issue":{"subject":"","project_id":79,"tracker_id":40,"status_id":1,"priority_id":2,"assigned_to_id":338,"start_date":"2017-12-09","description":"","custom_fields":[{"id":1,"name":"Subdivision","value":"EC"},{"id":4,"name":"Milepost","value":"23.3236"},{"id":17,"name":"Train ID","value":"159-09"},{"id":16,"name":"Locomotive ID","value":"4022"},{"id":130,"name":"Impact","value":""},{"id":150,"name":"Time of Event (Mountain Time)","value":"11:36:34"},{"id":151,"name":"Denver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4022 --day 2017-12-09</v>
      </c>
      <c r="AN7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-09T09:53:15-0700',mode:absolute,to:'2017-12-09T12:36:34-0700'))&amp;_a=(columns:!('Message%20ID',Summary),filters:!(),index:'emp_*',interval:auto,query:(query_string:(analyze_wildcard:!t,query:'%22rtdc.l.rtdc.4022%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780</v>
      </c>
      <c r="B72" s="225">
        <v>4021</v>
      </c>
      <c r="C72" s="227" t="s">
        <v>192</v>
      </c>
      <c r="D72" s="227" t="s">
        <v>663</v>
      </c>
      <c r="E72" s="226">
        <v>43078.494062500002</v>
      </c>
      <c r="F72" s="226">
        <v>43078.49827546296</v>
      </c>
      <c r="G72" s="225">
        <v>68</v>
      </c>
      <c r="H72" s="227" t="s">
        <v>478</v>
      </c>
      <c r="I72" s="226">
        <v>43078.523726851854</v>
      </c>
      <c r="J72" s="225">
        <v>0</v>
      </c>
      <c r="K72" s="237" t="str">
        <f t="shared" si="0"/>
        <v>4021/4022</v>
      </c>
      <c r="L72" s="245" t="str">
        <f>VLOOKUP(A72,'Trips&amp;Operators'!$C$1:$G$99911,5,FALSE)</f>
        <v>WILLIAMS DONTE</v>
      </c>
      <c r="M72" s="224">
        <f t="shared" si="1"/>
        <v>2.5451388893998228E-2</v>
      </c>
      <c r="N72" s="225">
        <f t="shared" si="24"/>
        <v>36.650000007357448</v>
      </c>
      <c r="O72" s="225"/>
      <c r="P72" s="225"/>
      <c r="Q72" s="228"/>
      <c r="R72" s="242"/>
      <c r="S72" s="249">
        <f t="shared" si="3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-09T10:51:27-0700',mode:absolute,to:'2017-12-09T13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2" s="247" t="str">
        <f>IF(AA72&lt;VLOOKUP(AG72,Variables!$AC$3:$AD$8,2,FALSE),"Y","N")</f>
        <v>N</v>
      </c>
      <c r="X72" s="247">
        <f t="shared" si="6"/>
        <v>1</v>
      </c>
      <c r="Y72" s="247">
        <f t="shared" si="7"/>
        <v>23.290900000000001</v>
      </c>
      <c r="Z72" s="247">
        <f t="shared" si="8"/>
        <v>2.12E-2</v>
      </c>
      <c r="AA72" s="247">
        <f t="shared" si="9"/>
        <v>23.2697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72" s="234" t="str">
        <f t="shared" si="12"/>
        <v>"C:\Program Files (x86)\AstroGrep\AstroGrep.exe" /e /r /s /spath="%USERPROFILE%\AppData\Local\Temp\OnboardLogs" /stypes="app*4021*20171209*"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160-09 --locoid 4021 --swversion DE.1.0.9.0 --startMP 204:232909 --initTime 2017-12-09T11:51:27 --startdatetime 2017-12-09T11:57:31 --delay 68 --endMP 204:212 --enddatetime 2017-12-09T12:34:10 --enforcementcount 0 &gt;&gt;%USERPROFILE%\Documents\GitHub\eaglep3-reporting\EC\2017-12-09-refined-times.txt</v>
      </c>
      <c r="AI7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{"issue":{"subject":"","project_id":79,"tracker_id":40,"status_id":1,"priority_id":2,"assigned_to_id":338,"start_date":"2017-12-09","description":"","custom_fields":[{"id":1,"name":"Subdivision","value":"EC"},{"id":4,"name":"Milepost","value":"0.0212"},{"id":17,"name":"Train ID","value":"160-09"},{"id":16,"name":"Locomotive ID","value":"4021"},{"id":130,"name":"Impact","value":""},{"id":150,"name":"Time of Event (Mountain Time)","value":"12:34:10"},{"id":151,"name":"Denver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4021 --day 2017-12-09</v>
      </c>
      <c r="AN7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-09T10:51:27-0700',mode:absolute,to:'2017-12-09T13:34:10-0700'))&amp;_a=(columns:!('Message%20ID',Summary),filters:!(),index:'emp_*',interval:auto,query:(query_string:(analyze_wildcard:!t,query:'%22rtdc.l.rtdc.4021%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773</v>
      </c>
      <c r="B73" s="225">
        <v>4028</v>
      </c>
      <c r="C73" s="227" t="s">
        <v>192</v>
      </c>
      <c r="D73" s="227" t="s">
        <v>488</v>
      </c>
      <c r="E73" s="226">
        <v>43078.464039351849</v>
      </c>
      <c r="F73" s="226">
        <v>43078.469004629631</v>
      </c>
      <c r="G73" s="225">
        <v>122</v>
      </c>
      <c r="H73" s="227" t="s">
        <v>942</v>
      </c>
      <c r="I73" s="226">
        <v>43078.494166666664</v>
      </c>
      <c r="J73" s="225">
        <v>0</v>
      </c>
      <c r="K73" s="237" t="str">
        <f t="shared" si="0"/>
        <v>4027/4028</v>
      </c>
      <c r="L73" s="245" t="str">
        <f>VLOOKUP(A73,'Trips&amp;Operators'!$C$1:$G$99911,5,FALSE)</f>
        <v>DAVIS MICHAEL</v>
      </c>
      <c r="M73" s="224">
        <f t="shared" si="1"/>
        <v>2.5162037032714579E-2</v>
      </c>
      <c r="N73" s="225">
        <f t="shared" si="24"/>
        <v>36.233333327108994</v>
      </c>
      <c r="O73" s="225"/>
      <c r="P73" s="225"/>
      <c r="Q73" s="228"/>
      <c r="R73" s="242"/>
      <c r="S73" s="249">
        <f t="shared" si="3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-09T10:08:13-0700',mode:absolute,to:'2017-12-09T12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247" t="str">
        <f>IF(AA73&lt;VLOOKUP(AG73,Variables!$AC$3:$AD$8,2,FALSE),"Y","N")</f>
        <v>N</v>
      </c>
      <c r="X73" s="247">
        <f t="shared" si="6"/>
        <v>1</v>
      </c>
      <c r="Y73" s="247">
        <f t="shared" si="7"/>
        <v>5.1499999999999997E-2</v>
      </c>
      <c r="Z73" s="247">
        <f t="shared" si="8"/>
        <v>23.332799999999999</v>
      </c>
      <c r="AA73" s="247">
        <f t="shared" si="9"/>
        <v>23.281299999999998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73" s="234" t="str">
        <f t="shared" si="12"/>
        <v>"C:\Program Files (x86)\AstroGrep\AstroGrep.exe" /e /r /s /spath="%USERPROFILE%\AppData\Local\Temp\OnboardLogs" /stypes="app*4028*20171209*"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161-09 --locoid 4028 --swversion DE.1.0.9.0 --startMP 204:515 --initTime 2017-12-09T11:08:13 --startdatetime 2017-12-09T11:15:22 --delay 122 --endMP 204:233328 --enddatetime 2017-12-09T11:51:36 --enforcementcount 0 &gt;&gt;%USERPROFILE%\Documents\GitHub\eaglep3-reporting\EC\2017-12-09-refined-times.txt</v>
      </c>
      <c r="AI7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{"issue":{"subject":"","project_id":79,"tracker_id":40,"status_id":1,"priority_id":2,"assigned_to_id":338,"start_date":"2017-12-09","description":"","custom_fields":[{"id":1,"name":"Subdivision","value":"EC"},{"id":4,"name":"Milepost","value":"23.3328"},{"id":17,"name":"Train ID","value":"161-09"},{"id":16,"name":"Locomotive ID","value":"4028"},{"id":130,"name":"Impact","value":""},{"id":150,"name":"Time of Event (Mountain Time)","value":"11:51:36"},{"id":151,"name":"Denver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4028 --day 2017-12-09</v>
      </c>
      <c r="AN7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-09T10:08:13-0700',mode:absolute,to:'2017-12-09T12:51:36-0700'))&amp;_a=(columns:!('Message%20ID',Summary),filters:!(),index:'emp_*',interval:auto,query:(query_string:(analyze_wildcard:!t,query:'%22rtdc.l.rtdc.4028%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783</v>
      </c>
      <c r="B74" s="225">
        <v>4027</v>
      </c>
      <c r="C74" s="227" t="s">
        <v>192</v>
      </c>
      <c r="D74" s="227" t="s">
        <v>622</v>
      </c>
      <c r="E74" s="226">
        <v>43078.506064814814</v>
      </c>
      <c r="F74" s="226">
        <v>43078.508796296293</v>
      </c>
      <c r="G74" s="225">
        <v>68</v>
      </c>
      <c r="H74" s="227" t="s">
        <v>620</v>
      </c>
      <c r="I74" s="226">
        <v>43078.536678240744</v>
      </c>
      <c r="J74" s="225">
        <v>0</v>
      </c>
      <c r="K74" s="237" t="str">
        <f t="shared" si="0"/>
        <v>4027/4028</v>
      </c>
      <c r="L74" s="245" t="str">
        <f>VLOOKUP(A74,'Trips&amp;Operators'!$C$1:$G$99911,5,FALSE)</f>
        <v>DAVIS MICHAEL</v>
      </c>
      <c r="M74" s="224">
        <f t="shared" si="1"/>
        <v>2.7881944450200535E-2</v>
      </c>
      <c r="N74" s="225">
        <f t="shared" si="24"/>
        <v>40.150000008288771</v>
      </c>
      <c r="O74" s="225"/>
      <c r="P74" s="225"/>
      <c r="Q74" s="228"/>
      <c r="R74" s="242"/>
      <c r="S74" s="249">
        <f t="shared" si="3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-09T11:08:44-0700',mode:absolute,to:'2017-12-09T13:52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247" t="str">
        <f>IF(AA74&lt;VLOOKUP(AG74,Variables!$AC$3:$AD$8,2,FALSE),"Y","N")</f>
        <v>N</v>
      </c>
      <c r="X74" s="247">
        <f t="shared" si="6"/>
        <v>1</v>
      </c>
      <c r="Y74" s="247">
        <f t="shared" si="7"/>
        <v>23.297799999999999</v>
      </c>
      <c r="Z74" s="247">
        <f t="shared" si="8"/>
        <v>2.0500000000000001E-2</v>
      </c>
      <c r="AA74" s="247">
        <f t="shared" si="9"/>
        <v>23.2773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74" s="234" t="str">
        <f t="shared" si="12"/>
        <v>"C:\Program Files (x86)\AstroGrep\AstroGrep.exe" /e /r /s /spath="%USERPROFILE%\AppData\Local\Temp\OnboardLogs" /stypes="app*4027*20171209*"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162-09 --locoid 4027 --swversion DE.1.0.9.0 --startMP 204:232978 --initTime 2017-12-09T12:08:44 --startdatetime 2017-12-09T12:12:40 --delay 68 --endMP 204:205 --enddatetime 2017-12-09T12:52:49 --enforcementcount 0 &gt;&gt;%USERPROFILE%\Documents\GitHub\eaglep3-reporting\EC\2017-12-09-refined-times.txt</v>
      </c>
      <c r="AI7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{"issue":{"subject":"","project_id":79,"tracker_id":40,"status_id":1,"priority_id":2,"assigned_to_id":338,"start_date":"2017-12-09","description":"","custom_fields":[{"id":1,"name":"Subdivision","value":"EC"},{"id":4,"name":"Milepost","value":"0.0205"},{"id":17,"name":"Train ID","value":"162-09"},{"id":16,"name":"Locomotive ID","value":"4027"},{"id":130,"name":"Impact","value":""},{"id":150,"name":"Time of Event (Mountain Time)","value":"12:52:49"},{"id":151,"name":"Denver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4027 --day 2017-12-09</v>
      </c>
      <c r="AN7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-09T11:08:44-0700',mode:absolute,to:'2017-12-09T13:52:49-0700'))&amp;_a=(columns:!('Message%20ID',Summary),filters:!(),index:'emp_*',interval:auto,query:(query_string:(analyze_wildcard:!t,query:'%22rtdc.l.rtdc.4027%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775</v>
      </c>
      <c r="B75" s="225">
        <v>4008</v>
      </c>
      <c r="C75" s="227" t="s">
        <v>192</v>
      </c>
      <c r="D75" s="227" t="s">
        <v>943</v>
      </c>
      <c r="E75" s="226">
        <v>43078.474212962959</v>
      </c>
      <c r="F75" s="226">
        <v>43078.479351851849</v>
      </c>
      <c r="G75" s="225">
        <v>98</v>
      </c>
      <c r="H75" s="227" t="s">
        <v>558</v>
      </c>
      <c r="I75" s="226">
        <v>43078.503923611112</v>
      </c>
      <c r="J75" s="225">
        <v>0</v>
      </c>
      <c r="K75" s="237" t="str">
        <f t="shared" si="0"/>
        <v>4007/4008</v>
      </c>
      <c r="L75" s="245" t="str">
        <f>VLOOKUP(A75,'Trips&amp;Operators'!$C$1:$G$99911,5,FALSE)</f>
        <v>SAFIEF AEIMEN</v>
      </c>
      <c r="M75" s="224">
        <f t="shared" si="1"/>
        <v>2.457175926247146E-2</v>
      </c>
      <c r="N75" s="225">
        <f t="shared" si="24"/>
        <v>35.383333337958902</v>
      </c>
      <c r="O75" s="225"/>
      <c r="P75" s="225"/>
      <c r="Q75" s="228"/>
      <c r="R75" s="242"/>
      <c r="S75" s="249">
        <f t="shared" si="3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-09T10:22:52-0700',mode:absolute,to:'2017-12-09T13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247" t="str">
        <f>IF(AA75&lt;VLOOKUP(AG75,Variables!$AC$3:$AD$8,2,FALSE),"Y","N")</f>
        <v>N</v>
      </c>
      <c r="X75" s="247">
        <f t="shared" si="6"/>
        <v>1</v>
      </c>
      <c r="Y75" s="247">
        <f t="shared" si="7"/>
        <v>4.4900000000000002E-2</v>
      </c>
      <c r="Z75" s="247">
        <f t="shared" si="8"/>
        <v>23.3247</v>
      </c>
      <c r="AA75" s="247">
        <f t="shared" si="9"/>
        <v>23.279800000000002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75" s="234" t="str">
        <f t="shared" si="12"/>
        <v>"C:\Program Files (x86)\AstroGrep\AstroGrep.exe" /e /r /s /spath="%USERPROFILE%\AppData\Local\Temp\OnboardLogs" /stypes="app*4008*20171209*"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163-09 --locoid 4008 --swversion DE.1.0.9.0 --startMP 204:449 --initTime 2017-12-09T11:22:52 --startdatetime 2017-12-09T11:30:16 --delay 98 --endMP 204:233247 --enddatetime 2017-12-09T12:05:39 --enforcementcount 0 &gt;&gt;%USERPROFILE%\Documents\GitHub\eaglep3-reporting\EC\2017-12-09-refined-times.txt</v>
      </c>
      <c r="AI7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{"issue":{"subject":"","project_id":79,"tracker_id":40,"status_id":1,"priority_id":2,"assigned_to_id":338,"start_date":"2017-12-09","description":"","custom_fields":[{"id":1,"name":"Subdivision","value":"EC"},{"id":4,"name":"Milepost","value":"23.3247"},{"id":17,"name":"Train ID","value":"163-09"},{"id":16,"name":"Locomotive ID","value":"4008"},{"id":130,"name":"Impact","value":""},{"id":150,"name":"Time of Event (Mountain Time)","value":"12:05:39"},{"id":151,"name":"Denver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4008 --day 2017-12-09</v>
      </c>
      <c r="AN7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-09T10:22:52-0700',mode:absolute,to:'2017-12-09T13:05:39-0700'))&amp;_a=(columns:!('Message%20ID',Summary),filters:!(),index:'emp_*',interval:auto,query:(query_string:(analyze_wildcard:!t,query:'%22rtdc.l.rtdc.4008%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784</v>
      </c>
      <c r="B76" s="225">
        <v>4007</v>
      </c>
      <c r="C76" s="227" t="s">
        <v>192</v>
      </c>
      <c r="D76" s="227" t="s">
        <v>556</v>
      </c>
      <c r="E76" s="226">
        <v>43078.506840277776</v>
      </c>
      <c r="F76" s="226">
        <v>43078.518923611111</v>
      </c>
      <c r="G76" s="225">
        <v>92</v>
      </c>
      <c r="H76" s="227" t="s">
        <v>944</v>
      </c>
      <c r="I76" s="226">
        <v>43078.54482638889</v>
      </c>
      <c r="J76" s="225">
        <v>0</v>
      </c>
      <c r="K76" s="237" t="str">
        <f t="shared" si="0"/>
        <v>4007/4008</v>
      </c>
      <c r="L76" s="245" t="str">
        <f>VLOOKUP(A76,'Trips&amp;Operators'!$C$1:$G$99911,5,FALSE)</f>
        <v>SAFIEF AEIMEN</v>
      </c>
      <c r="M76" s="224">
        <f t="shared" si="1"/>
        <v>2.5902777779265307E-2</v>
      </c>
      <c r="N76" s="225">
        <f t="shared" si="24"/>
        <v>37.300000002142042</v>
      </c>
      <c r="O76" s="225"/>
      <c r="P76" s="225"/>
      <c r="Q76" s="228"/>
      <c r="R76" s="242"/>
      <c r="S76" s="249">
        <f t="shared" si="3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-09T11:09:51-0700',mode:absolute,to:'2017-12-09T14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247" t="str">
        <f>IF(AA76&lt;VLOOKUP(AG76,Variables!$AC$3:$AD$8,2,FALSE),"Y","N")</f>
        <v>N</v>
      </c>
      <c r="X76" s="247">
        <f t="shared" si="6"/>
        <v>1</v>
      </c>
      <c r="Y76" s="247">
        <f t="shared" si="7"/>
        <v>23.2943</v>
      </c>
      <c r="Z76" s="247">
        <f t="shared" si="8"/>
        <v>1.7600000000000001E-2</v>
      </c>
      <c r="AA76" s="247">
        <f t="shared" si="9"/>
        <v>23.276699999999998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164</v>
      </c>
      <c r="AE76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76" s="234" t="str">
        <f t="shared" si="12"/>
        <v>"C:\Program Files (x86)\AstroGrep\AstroGrep.exe" /e /r /s /spath="%USERPROFILE%\AppData\Local\Temp\OnboardLogs" /stypes="app*4007*20171209*" /stext=" 20:.+((SYSTEM_STATE.+slice.+state.+changed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164-09 --locoid 4007 --swversion DE.1.0.9.0 --startMP 204:232943 --initTime 2017-12-09T12:09:51 --startdatetime 2017-12-09T12:27:15 --delay 92 --endMP 204:176 --enddatetime 2017-12-09T13:04:33 --enforcementcount 0 &gt;&gt;%USERPROFILE%\Documents\GitHub\eaglep3-reporting\EC\2017-12-09-refined-times.txt</v>
      </c>
      <c r="AI7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{"issue":{"subject":"","project_id":79,"tracker_id":40,"status_id":1,"priority_id":2,"assigned_to_id":338,"start_date":"2017-12-09","description":"","custom_fields":[{"id":1,"name":"Subdivision","value":"EC"},{"id":4,"name":"Milepost","value":"0.0176"},{"id":17,"name":"Train ID","value":"164-09"},{"id":16,"name":"Locomotive ID","value":"4007"},{"id":130,"name":"Impact","value":""},{"id":150,"name":"Time of Event (Mountain Time)","value":"13:04:33"},{"id":151,"name":"Denver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4007 --day 2017-12-09</v>
      </c>
      <c r="AN7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-09T11:09:51-0700',mode:absolute,to:'2017-12-09T14:04:33-0700'))&amp;_a=(columns:!('Message%20ID',Summary),filters:!(),index:'emp_*',interval:auto,query:(query_string:(analyze_wildcard:!t,query:'%22rtdc.l.rtdc.4007%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778</v>
      </c>
      <c r="B77" s="225">
        <v>4058</v>
      </c>
      <c r="C77" s="227" t="s">
        <v>192</v>
      </c>
      <c r="D77" s="227" t="s">
        <v>935</v>
      </c>
      <c r="E77" s="226">
        <v>43078.48332175926</v>
      </c>
      <c r="F77" s="226">
        <v>43078.489745370367</v>
      </c>
      <c r="G77" s="225">
        <v>70</v>
      </c>
      <c r="H77" s="227" t="s">
        <v>659</v>
      </c>
      <c r="I77" s="226">
        <v>43078.513657407406</v>
      </c>
      <c r="J77" s="225">
        <v>0</v>
      </c>
      <c r="K77" s="237" t="str">
        <f t="shared" ref="K77:K140" si="25">IF(ISEVEN(B77),(B77-1)&amp;"/"&amp;B77,B77&amp;"/"&amp;(B77+1))</f>
        <v>4057/4058</v>
      </c>
      <c r="L77" s="245" t="str">
        <f>VLOOKUP(A77,'Trips&amp;Operators'!$C$1:$G$99911,5,FALSE)</f>
        <v>GUZMAN DANNY</v>
      </c>
      <c r="M77" s="224">
        <f t="shared" ref="M77:M140" si="26">I77-F77</f>
        <v>2.3912037038826384E-2</v>
      </c>
      <c r="N77" s="225">
        <f t="shared" ref="N77:N106" si="27">24*60*SUM($M77:$M77)</f>
        <v>34.433333335909992</v>
      </c>
      <c r="O77" s="225"/>
      <c r="P77" s="225"/>
      <c r="Q77" s="228"/>
      <c r="R77" s="242"/>
      <c r="S77" s="249">
        <f t="shared" ref="S77:S140" si="28">1/IF(AG77="EC",12,1)*SUM(U77:U77)</f>
        <v>1</v>
      </c>
      <c r="T77" s="242" t="str">
        <f t="shared" ref="T77:T140" si="29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-09T10:35:59-0700',mode:absolute,to:'2017-12-09T13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247" t="str">
        <f>IF(AA77&lt;VLOOKUP(AG77,Variables!$AC$3:$AD$8,2,FALSE),"Y","N")</f>
        <v>N</v>
      </c>
      <c r="X77" s="247">
        <f t="shared" ref="X77:X140" si="31">VALUE(LEFT(AD77,4))-VALUE(LEFT(AD76,4))</f>
        <v>1</v>
      </c>
      <c r="Y77" s="247">
        <f t="shared" ref="Y77:Y140" si="32">RIGHT(D77,LEN(D77)-4)/10000</f>
        <v>4.6199999999999998E-2</v>
      </c>
      <c r="Z77" s="247">
        <f t="shared" ref="Z77:Z140" si="33">RIGHT(H77,LEN(H77)-4)/10000</f>
        <v>23.327400000000001</v>
      </c>
      <c r="AA77" s="247">
        <f t="shared" ref="AA77:AA140" si="34">ABS(Z77-Y77)</f>
        <v>23.281200000000002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5">VALUE(LEFT(A77,LEN(A77)-3))</f>
        <v>165</v>
      </c>
      <c r="AE77" s="23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77" s="23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/stypes="app*4058*20171209*"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38">DetSubdiv(A77)</f>
        <v>EC</v>
      </c>
      <c r="AH77" s="236" t="str">
        <f t="shared" si="19"/>
        <v>"%USERPROFILE%\Documents\GitHub\eaglep3\Utilities\RefineRTDCRunTimes.py" --tripid 165-09 --locoid 4058 --swversion DE.1.0.9.0 --startMP 204:462 --initTime 2017-12-09T11:35:59 --startdatetime 2017-12-09T11:45:14 --delay 70 --endMP 204:233274 --enddatetime 2017-12-09T12:19:40 --enforcementcount 0 &gt;&gt;%USERPROFILE%\Documents\GitHub\eaglep3-reporting\EC\2017-12-09-refined-times.txt</v>
      </c>
      <c r="AI7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{"issue":{"subject":"","project_id":79,"tracker_id":40,"status_id":1,"priority_id":2,"assigned_to_id":338,"start_date":"2017-12-09","description":"","custom_fields":[{"id":1,"name":"Subdivision","value":"EC"},{"id":4,"name":"Milepost","value":"23.3274"},{"id":17,"name":"Train ID","value":"165-09"},{"id":16,"name":"Locomotive ID","value":"4058"},{"id":130,"name":"Impact","value":""},{"id":150,"name":"Time of Event (Mountain Time)","value":"12:19:40"},{"id":151,"name":"Denver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4058 --day 2017-12-09</v>
      </c>
      <c r="AN7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2017-12-09T10:35:59-0700',mode:absolute,to:'2017-12-09T13:19:40-0700'))&amp;_a=(columns:!('Message%20ID',Summary),filters:!(),index:'emp_*',interval:auto,query:(query_string:(analyze_wildcard:!t,query:'%22rtdc.l.rtdc.4058%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787</v>
      </c>
      <c r="B78" s="225">
        <v>4057</v>
      </c>
      <c r="C78" s="227" t="s">
        <v>192</v>
      </c>
      <c r="D78" s="227" t="s">
        <v>945</v>
      </c>
      <c r="E78" s="226">
        <v>43078.519270833334</v>
      </c>
      <c r="F78" s="226">
        <v>43078.529351851852</v>
      </c>
      <c r="G78" s="225">
        <v>94</v>
      </c>
      <c r="H78" s="227" t="s">
        <v>577</v>
      </c>
      <c r="I78" s="226">
        <v>43078.555173611108</v>
      </c>
      <c r="J78" s="225">
        <v>0</v>
      </c>
      <c r="K78" s="237" t="str">
        <f t="shared" si="25"/>
        <v>4057/4058</v>
      </c>
      <c r="L78" s="245" t="str">
        <f>VLOOKUP(A78,'Trips&amp;Operators'!$C$1:$G$99911,5,FALSE)</f>
        <v>GUZMAN DANNY</v>
      </c>
      <c r="M78" s="224">
        <f t="shared" si="26"/>
        <v>2.5821759256359655E-2</v>
      </c>
      <c r="N78" s="225">
        <f t="shared" si="27"/>
        <v>37.183333329157904</v>
      </c>
      <c r="O78" s="225"/>
      <c r="P78" s="225"/>
      <c r="Q78" s="228"/>
      <c r="R78" s="242"/>
      <c r="S78" s="249">
        <f t="shared" si="28"/>
        <v>1</v>
      </c>
      <c r="T78" s="242" t="str">
        <f t="shared" si="29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0"/>
        <v>https://d0f6bd738d7f1b3e5a7ca70fe4ff75f0.us-east-1.aws.found.io/app/kibana#/discover/Steve-Slow-Train-Analysis-(2080s-and-2083s)?_g=(refreshInterval:(display:Off,pause:!f,section:0,value:0),time:(from:'2017-12-09T11:27:45-0700',mode:absolute,to:'2017-12-09T14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247" t="str">
        <f>IF(AA78&lt;VLOOKUP(AG78,Variables!$AC$3:$AD$8,2,FALSE),"Y","N")</f>
        <v>N</v>
      </c>
      <c r="X78" s="247">
        <f t="shared" si="31"/>
        <v>1</v>
      </c>
      <c r="Y78" s="247">
        <f t="shared" si="32"/>
        <v>23.2959</v>
      </c>
      <c r="Z78" s="247">
        <f t="shared" si="33"/>
        <v>2.0899999999999998E-2</v>
      </c>
      <c r="AA78" s="247">
        <f t="shared" si="34"/>
        <v>23.274999999999999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5"/>
        <v>166</v>
      </c>
      <c r="AE78" s="235" t="str">
        <f t="shared" si="3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78" s="234" t="str">
        <f t="shared" si="37"/>
        <v>"C:\Program Files (x86)\AstroGrep\AstroGrep.exe" /e /r /s /spath="%USERPROFILE%\AppData\Local\Temp\OnboardLogs" /stypes="app*4057*20171209*" /stext=" 20:.+((SYSTEM_STATE.+slice.+state.+changed )|(ment ac)|(multiple cpu faults)|(system.+state.+changed )|(\[timeout)|(PRM\|1\|D)|(kpr)|(kdp)|(train st.+moving)|(\|lc)|(penalty))"</v>
      </c>
      <c r="AG78" s="244" t="str">
        <f t="shared" si="38"/>
        <v>EC</v>
      </c>
      <c r="AH78" s="236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166-09 --locoid 4057 --swversion DE.1.0.9.0 --startMP 204:232959 --initTime 2017-12-09T12:27:45 --startdatetime 2017-12-09T12:42:16 --delay 94 --endMP 204:209 --enddatetime 2017-12-09T13:19:27 --enforcementcount 0 &gt;&gt;%USERPROFILE%\Documents\GitHub\eaglep3-reporting\EC\2017-12-09-refined-times.txt</v>
      </c>
      <c r="AI78" s="238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{"issue":{"subject":"","project_id":79,"tracker_id":40,"status_id":1,"priority_id":2,"assigned_to_id":338,"start_date":"2017-12-09","description":"","custom_fields":[{"id":1,"name":"Subdivision","value":"EC"},{"id":4,"name":"Milepost","value":"0.0209"},{"id":17,"name":"Train ID","value":"166-09"},{"id":16,"name":"Locomotive ID","value":"4057"},{"id":130,"name":"Impact","value":""},{"id":150,"name":"Time of Event (Mountain Time)","value":"13:19:27"},{"id":151,"name":"Denver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1" si="41">"start /low /b "&amp;dls3logs&amp;" --loco "&amp;B78&amp;" --day "&amp;TEXT(F78,"YYYY-MM-DD")</f>
        <v>start /low /b %USERPROFILE%\Documents\GitHub\eaglep3\Utilities\DownloadLogsFromS3.py --loco 4057 --day 2017-12-09</v>
      </c>
      <c r="AN78" s="24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1" si="43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-09T11:27:45-0700',mode:absolute,to:'2017-12-09T14:19:27-0700'))&amp;_a=(columns:!('Message%20ID',Summary),filters:!(),index:'emp_*',interval:auto,query:(query_string:(analyze_wildcard:!t,query:'%22rtdc.l.rtdc.4057%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781</v>
      </c>
      <c r="B79" s="225">
        <v>4004</v>
      </c>
      <c r="C79" s="227" t="s">
        <v>192</v>
      </c>
      <c r="D79" s="227" t="s">
        <v>488</v>
      </c>
      <c r="E79" s="226">
        <v>43078.49628472222</v>
      </c>
      <c r="F79" s="226">
        <v>43078.500173611108</v>
      </c>
      <c r="G79" s="225">
        <v>70</v>
      </c>
      <c r="H79" s="227" t="s">
        <v>946</v>
      </c>
      <c r="I79" s="226">
        <v>43078.525381944448</v>
      </c>
      <c r="J79" s="225">
        <v>0</v>
      </c>
      <c r="K79" s="237" t="str">
        <f t="shared" si="25"/>
        <v>4003/4004</v>
      </c>
      <c r="L79" s="245" t="str">
        <f>VLOOKUP(A79,'Trips&amp;Operators'!$C$1:$G$99911,5,FALSE)</f>
        <v>BADERTSCHER DIANE</v>
      </c>
      <c r="M79" s="224">
        <f t="shared" si="26"/>
        <v>2.5208333339833189E-2</v>
      </c>
      <c r="N79" s="225">
        <f t="shared" si="27"/>
        <v>36.300000009359792</v>
      </c>
      <c r="O79" s="225"/>
      <c r="P79" s="225"/>
      <c r="Q79" s="228"/>
      <c r="R79" s="242"/>
      <c r="S79" s="249">
        <f t="shared" si="28"/>
        <v>1</v>
      </c>
      <c r="T79" s="242" t="str">
        <f t="shared" si="29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0"/>
        <v>https://d0f6bd738d7f1b3e5a7ca70fe4ff75f0.us-east-1.aws.found.io/app/kibana#/discover/Steve-Slow-Train-Analysis-(2080s-and-2083s)?_g=(refreshInterval:(display:Off,pause:!f,section:0,value:0),time:(from:'2017-12-09T10:54:39-0700',mode:absolute,to:'2017-12-09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9" s="247" t="str">
        <f>IF(AA79&lt;VLOOKUP(AG79,Variables!$AC$3:$AD$8,2,FALSE),"Y","N")</f>
        <v>N</v>
      </c>
      <c r="X79" s="247">
        <f t="shared" si="31"/>
        <v>1</v>
      </c>
      <c r="Y79" s="247">
        <f t="shared" si="32"/>
        <v>5.1499999999999997E-2</v>
      </c>
      <c r="Z79" s="247">
        <f t="shared" si="33"/>
        <v>23.326599999999999</v>
      </c>
      <c r="AA79" s="247">
        <f t="shared" si="34"/>
        <v>23.275099999999998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5"/>
        <v>167</v>
      </c>
      <c r="AE79" s="235" t="str">
        <f t="shared" si="3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79" s="234" t="str">
        <f t="shared" si="37"/>
        <v>"C:\Program Files (x86)\AstroGrep\AstroGrep.exe" /e /r /s /spath="%USERPROFILE%\AppData\Local\Temp\OnboardLogs" /stypes="app*4004*20171209*" /stext=" 19:.+((SYSTEM_STATE.+slice.+state.+changed )|(ment ac)|(multiple cpu faults)|(system.+state.+changed )|(\[timeout)|(PRM\|1\|D)|(kpr)|(kdp)|(train st.+moving)|(\|lc)|(penalty))"</v>
      </c>
      <c r="AG79" s="244" t="str">
        <f t="shared" si="38"/>
        <v>EC</v>
      </c>
      <c r="AH79" s="236" t="str">
        <f t="shared" si="39"/>
        <v>"%USERPROFILE%\Documents\GitHub\eaglep3\Utilities\RefineRTDCRunTimes.py" --tripid 167-09 --locoid 4004 --swversion DE.1.0.9.0 --startMP 204:515 --initTime 2017-12-09T11:54:39 --startdatetime 2017-12-09T12:00:15 --delay 70 --endMP 204:233266 --enddatetime 2017-12-09T12:36:33 --enforcementcount 0 &gt;&gt;%USERPROFILE%\Documents\GitHub\eaglep3-reporting\EC\2017-12-09-refined-times.txt</v>
      </c>
      <c r="AI7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{"issue":{"subject":"","project_id":79,"tracker_id":40,"status_id":1,"priority_id":2,"assigned_to_id":338,"start_date":"2017-12-09","description":"","custom_fields":[{"id":1,"name":"Subdivision","value":"EC"},{"id":4,"name":"Milepost","value":"23.3266"},{"id":17,"name":"Train ID","value":"167-09"},{"id":16,"name":"Locomotive ID","value":"4004"},{"id":130,"name":"Impact","value":""},{"id":150,"name":"Time of Event (Mountain Time)","value":"12:36:33"},{"id":151,"name":"Denver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1"/>
        <v>start /low /b %USERPROFILE%\Documents\GitHub\eaglep3\Utilities\DownloadLogsFromS3.py --loco 4004 --day 2017-12-09</v>
      </c>
      <c r="AN79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3"/>
        <v>https://d0f6bd738d7f1b3e5a7ca70fe4ff75f0.us-east-1.aws.found.io/app/kibana#/discover/Steve-Slow-Train-Analysis-(2080s-and-2083s)?_g=(refreshInterval:(display:Off,pause:!f,section:0,value:0),time:(from:'2017-12-09T10:54:39-0700',mode:absolute,to:'2017-12-09T13:36:33-0700'))&amp;_a=(columns:!('Message%20ID',Summary),filters:!(),index:'emp_*',interval:auto,query:(query_string:(analyze_wildcard:!t,query:'%22rtdc.l.rtdc.4004%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790</v>
      </c>
      <c r="B80" s="225">
        <v>4003</v>
      </c>
      <c r="C80" s="227" t="s">
        <v>192</v>
      </c>
      <c r="D80" s="227" t="s">
        <v>947</v>
      </c>
      <c r="E80" s="226">
        <v>43078.536944444444</v>
      </c>
      <c r="F80" s="226">
        <v>43078.539814814816</v>
      </c>
      <c r="G80" s="225">
        <v>63</v>
      </c>
      <c r="H80" s="227" t="s">
        <v>948</v>
      </c>
      <c r="I80" s="226">
        <v>43078.566689814812</v>
      </c>
      <c r="J80" s="225">
        <v>0</v>
      </c>
      <c r="K80" s="237" t="str">
        <f t="shared" si="25"/>
        <v>4003/4004</v>
      </c>
      <c r="L80" s="245" t="str">
        <f>VLOOKUP(A80,'Trips&amp;Operators'!$C$1:$G$99911,5,FALSE)</f>
        <v>BADERTSCHER DIANE</v>
      </c>
      <c r="M80" s="224">
        <f t="shared" si="26"/>
        <v>2.6874999995925464E-2</v>
      </c>
      <c r="N80" s="225">
        <f t="shared" si="27"/>
        <v>38.699999994132668</v>
      </c>
      <c r="O80" s="225"/>
      <c r="P80" s="225"/>
      <c r="Q80" s="228"/>
      <c r="R80" s="242"/>
      <c r="S80" s="249">
        <f t="shared" si="28"/>
        <v>1</v>
      </c>
      <c r="T80" s="242" t="str">
        <f t="shared" si="29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0"/>
        <v>https://d0f6bd738d7f1b3e5a7ca70fe4ff75f0.us-east-1.aws.found.io/app/kibana#/discover/Steve-Slow-Train-Analysis-(2080s-and-2083s)?_g=(refreshInterval:(display:Off,pause:!f,section:0,value:0),time:(from:'2017-12-09T11:53:12-0700',mode:absolute,to:'2017-12-09T14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247" t="str">
        <f>IF(AA80&lt;VLOOKUP(AG80,Variables!$AC$3:$AD$8,2,FALSE),"Y","N")</f>
        <v>N</v>
      </c>
      <c r="X80" s="247">
        <f t="shared" si="31"/>
        <v>1</v>
      </c>
      <c r="Y80" s="247">
        <f t="shared" si="32"/>
        <v>23.295999999999999</v>
      </c>
      <c r="Z80" s="247">
        <f t="shared" si="33"/>
        <v>2.5999999999999999E-2</v>
      </c>
      <c r="AA80" s="247">
        <f t="shared" si="34"/>
        <v>23.27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5"/>
        <v>168</v>
      </c>
      <c r="AE80" s="235" t="str">
        <f t="shared" si="3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80" s="234" t="str">
        <f t="shared" si="37"/>
        <v>"C:\Program Files (x86)\AstroGrep\AstroGrep.exe" /e /r /s /spath="%USERPROFILE%\AppData\Local\Temp\OnboardLogs" /stypes="app*4003*20171209*" /stext=" 20:.+((SYSTEM_STATE.+slice.+state.+changed )|(ment ac)|(multiple cpu faults)|(system.+state.+changed )|(\[timeout)|(PRM\|1\|D)|(kpr)|(kdp)|(train st.+moving)|(\|lc)|(penalty))"</v>
      </c>
      <c r="AG80" s="244" t="str">
        <f t="shared" si="38"/>
        <v>EC</v>
      </c>
      <c r="AH80" s="236" t="str">
        <f t="shared" si="39"/>
        <v>"%USERPROFILE%\Documents\GitHub\eaglep3\Utilities\RefineRTDCRunTimes.py" --tripid 168-09 --locoid 4003 --swversion DE.1.0.9.0 --startMP 204:232960 --initTime 2017-12-09T12:53:12 --startdatetime 2017-12-09T12:57:20 --delay 63 --endMP 204:260 --enddatetime 2017-12-09T13:36:02 --enforcementcount 0 &gt;&gt;%USERPROFILE%\Documents\GitHub\eaglep3-reporting\EC\2017-12-09-refined-times.txt</v>
      </c>
      <c r="AI8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{"issue":{"subject":"","project_id":79,"tracker_id":40,"status_id":1,"priority_id":2,"assigned_to_id":338,"start_date":"2017-12-09","description":"","custom_fields":[{"id":1,"name":"Subdivision","value":"EC"},{"id":4,"name":"Milepost","value":"0.026"},{"id":17,"name":"Train ID","value":"168-09"},{"id":16,"name":"Locomotive ID","value":"4003"},{"id":130,"name":"Impact","value":""},{"id":150,"name":"Time of Event (Mountain Time)","value":"13:36:02"},{"id":151,"name":"Denver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1"/>
        <v>start /low /b %USERPROFILE%\Documents\GitHub\eaglep3\Utilities\DownloadLogsFromS3.py --loco 4003 --day 2017-12-09</v>
      </c>
      <c r="AN80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3"/>
        <v>https://d0f6bd738d7f1b3e5a7ca70fe4ff75f0.us-east-1.aws.found.io/app/kibana#/discover/Steve-Slow-Train-Analysis-(2080s-and-2083s)?_g=(refreshInterval:(display:Off,pause:!f,section:0,value:0),time:(from:'2017-12-09T11:53:12-0700',mode:absolute,to:'2017-12-09T14:36:02-0700'))&amp;_a=(columns:!('Message%20ID',Summary),filters:!(),index:'emp_*',interval:auto,query:(query_string:(analyze_wildcard:!t,query:'%22rtdc.l.rtdc.4003%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782</v>
      </c>
      <c r="B81" s="225">
        <v>4036</v>
      </c>
      <c r="C81" s="227" t="s">
        <v>192</v>
      </c>
      <c r="D81" s="227" t="s">
        <v>594</v>
      </c>
      <c r="E81" s="226">
        <v>43078.504988425928</v>
      </c>
      <c r="F81" s="226">
        <v>43078.510601851849</v>
      </c>
      <c r="G81" s="225">
        <v>78</v>
      </c>
      <c r="H81" s="227" t="s">
        <v>926</v>
      </c>
      <c r="I81" s="226">
        <v>43078.534328703703</v>
      </c>
      <c r="J81" s="225">
        <v>0</v>
      </c>
      <c r="K81" s="237" t="str">
        <f t="shared" si="25"/>
        <v>4035/4036</v>
      </c>
      <c r="L81" s="245" t="str">
        <f>VLOOKUP(A81,'Trips&amp;Operators'!$C$1:$G$99911,5,FALSE)</f>
        <v>GONZALEZ ARMANDO</v>
      </c>
      <c r="M81" s="224">
        <f t="shared" si="26"/>
        <v>2.3726851854007691E-2</v>
      </c>
      <c r="N81" s="225">
        <f t="shared" si="27"/>
        <v>34.166666669771075</v>
      </c>
      <c r="O81" s="225"/>
      <c r="P81" s="225"/>
      <c r="Q81" s="228"/>
      <c r="R81" s="242"/>
      <c r="S81" s="249">
        <f t="shared" si="28"/>
        <v>1</v>
      </c>
      <c r="T81" s="242" t="str">
        <f t="shared" si="29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0"/>
        <v>https://d0f6bd738d7f1b3e5a7ca70fe4ff75f0.us-east-1.aws.found.io/app/kibana#/discover/Steve-Slow-Train-Analysis-(2080s-and-2083s)?_g=(refreshInterval:(display:Off,pause:!f,section:0,value:0),time:(from:'2017-12-09T11:07:11-0700',mode:absolute,to:'2017-12-09T13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1" s="247" t="str">
        <f>IF(AA81&lt;VLOOKUP(AG81,Variables!$AC$3:$AD$8,2,FALSE),"Y","N")</f>
        <v>N</v>
      </c>
      <c r="X81" s="247">
        <f t="shared" si="31"/>
        <v>1</v>
      </c>
      <c r="Y81" s="247">
        <f t="shared" si="32"/>
        <v>5.4199999999999998E-2</v>
      </c>
      <c r="Z81" s="247">
        <f t="shared" si="33"/>
        <v>23.330100000000002</v>
      </c>
      <c r="AA81" s="247">
        <f t="shared" si="34"/>
        <v>23.2759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5"/>
        <v>169</v>
      </c>
      <c r="AE81" s="235" t="str">
        <f t="shared" si="3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81" s="234" t="str">
        <f t="shared" si="37"/>
        <v>"C:\Program Files (x86)\AstroGrep\AstroGrep.exe" /e /r /s /spath="%USERPROFILE%\AppData\Local\Temp\OnboardLogs" /stypes="app*4036*20171209*" /stext=" 19:.+((SYSTEM_STATE.+slice.+state.+changed )|(ment ac)|(multiple cpu faults)|(system.+state.+changed )|(\[timeout)|(PRM\|1\|D)|(kpr)|(kdp)|(train st.+moving)|(\|lc)|(penalty))"</v>
      </c>
      <c r="AG81" s="244" t="str">
        <f t="shared" si="38"/>
        <v>EC</v>
      </c>
      <c r="AH81" s="236" t="str">
        <f t="shared" si="39"/>
        <v>"%USERPROFILE%\Documents\GitHub\eaglep3\Utilities\RefineRTDCRunTimes.py" --tripid 169-09 --locoid 4036 --swversion DE.1.0.9.0 --startMP 204:542 --initTime 2017-12-09T12:07:11 --startdatetime 2017-12-09T12:15:16 --delay 78 --endMP 204:233301 --enddatetime 2017-12-09T12:49:26 --enforcementcount 0 &gt;&gt;%USERPROFILE%\Documents\GitHub\eaglep3-reporting\EC\2017-12-09-refined-times.txt</v>
      </c>
      <c r="AI8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{"issue":{"subject":"","project_id":79,"tracker_id":40,"status_id":1,"priority_id":2,"assigned_to_id":338,"start_date":"2017-12-09","description":"","custom_fields":[{"id":1,"name":"Subdivision","value":"EC"},{"id":4,"name":"Milepost","value":"23.3301"},{"id":17,"name":"Train ID","value":"169-09"},{"id":16,"name":"Locomotive ID","value":"4036"},{"id":130,"name":"Impact","value":""},{"id":150,"name":"Time of Event (Mountain Time)","value":"12:49:26"},{"id":151,"name":"Denver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1"/>
        <v>start /low /b %USERPROFILE%\Documents\GitHub\eaglep3\Utilities\DownloadLogsFromS3.py --loco 4036 --day 2017-12-09</v>
      </c>
      <c r="AN81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3"/>
        <v>https://d0f6bd738d7f1b3e5a7ca70fe4ff75f0.us-east-1.aws.found.io/app/kibana#/discover/Steve-Slow-Train-Analysis-(2080s-and-2083s)?_g=(refreshInterval:(display:Off,pause:!f,section:0,value:0),time:(from:'2017-12-09T11:07:11-0700',mode:absolute,to:'2017-12-09T13:49:26-0700'))&amp;_a=(columns:!('Message%20ID',Summary),filters:!(),index:'emp_*',interval:auto,query:(query_string:(analyze_wildcard:!t,query:'%22rtdc.l.rtdc.4036%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792</v>
      </c>
      <c r="B82" s="225">
        <v>4035</v>
      </c>
      <c r="C82" s="227" t="s">
        <v>192</v>
      </c>
      <c r="D82" s="227" t="s">
        <v>949</v>
      </c>
      <c r="E82" s="226">
        <v>43078.543761574074</v>
      </c>
      <c r="F82" s="226">
        <v>43078.550162037034</v>
      </c>
      <c r="G82" s="225">
        <v>130</v>
      </c>
      <c r="H82" s="227" t="s">
        <v>950</v>
      </c>
      <c r="I82" s="226">
        <v>43078.57603009259</v>
      </c>
      <c r="J82" s="225">
        <v>0</v>
      </c>
      <c r="K82" s="237" t="str">
        <f t="shared" si="25"/>
        <v>4035/4036</v>
      </c>
      <c r="L82" s="245" t="str">
        <f>VLOOKUP(A82,'Trips&amp;Operators'!$C$1:$G$99911,5,FALSE)</f>
        <v>GONZALEZ ARMANDO</v>
      </c>
      <c r="M82" s="224">
        <f t="shared" si="26"/>
        <v>2.5868055556202307E-2</v>
      </c>
      <c r="N82" s="225">
        <f t="shared" si="27"/>
        <v>37.250000000931323</v>
      </c>
      <c r="O82" s="225"/>
      <c r="P82" s="225"/>
      <c r="Q82" s="228"/>
      <c r="R82" s="242"/>
      <c r="S82" s="249">
        <f t="shared" si="28"/>
        <v>1</v>
      </c>
      <c r="T82" s="242" t="str">
        <f t="shared" si="29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0"/>
        <v>https://d0f6bd738d7f1b3e5a7ca70fe4ff75f0.us-east-1.aws.found.io/app/kibana#/discover/Steve-Slow-Train-Analysis-(2080s-and-2083s)?_g=(refreshInterval:(display:Off,pause:!f,section:0,value:0),time:(from:'2017-12-09T12:03:01-0700',mode:absolute,to:'2017-12-09T14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2" s="247" t="str">
        <f>IF(AA82&lt;VLOOKUP(AG82,Variables!$AC$3:$AD$8,2,FALSE),"Y","N")</f>
        <v>N</v>
      </c>
      <c r="X82" s="247">
        <f t="shared" si="31"/>
        <v>1</v>
      </c>
      <c r="Y82" s="247">
        <f t="shared" si="32"/>
        <v>23.296900000000001</v>
      </c>
      <c r="Z82" s="247">
        <f t="shared" si="33"/>
        <v>1.78E-2</v>
      </c>
      <c r="AA82" s="247">
        <f t="shared" si="34"/>
        <v>23.2791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5"/>
        <v>170</v>
      </c>
      <c r="AE82" s="235" t="str">
        <f t="shared" si="36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82" s="234" t="str">
        <f t="shared" si="37"/>
        <v>"C:\Program Files (x86)\AstroGrep\AstroGrep.exe" /e /r /s /spath="%USERPROFILE%\AppData\Local\Temp\OnboardLogs" /stypes="app*4035*20171209*" /stext=" 20:.+((SYSTEM_STATE.+slice.+state.+changed )|(ment ac)|(multiple cpu faults)|(system.+state.+changed )|(\[timeout)|(PRM\|1\|D)|(kpr)|(kdp)|(train st.+moving)|(\|lc)|(penalty))"</v>
      </c>
      <c r="AG82" s="244" t="str">
        <f t="shared" si="38"/>
        <v>EC</v>
      </c>
      <c r="AH82" s="236" t="str">
        <f t="shared" si="39"/>
        <v>"%USERPROFILE%\Documents\GitHub\eaglep3\Utilities\RefineRTDCRunTimes.py" --tripid 170-09 --locoid 4035 --swversion DE.1.0.9.0 --startMP 204:232969 --initTime 2017-12-09T13:03:01 --startdatetime 2017-12-09T13:12:14 --delay 130 --endMP 204:178 --enddatetime 2017-12-09T13:49:29 --enforcementcount 0 &gt;&gt;%USERPROFILE%\Documents\GitHub\eaglep3-reporting\EC\2017-12-09-refined-times.txt</v>
      </c>
      <c r="AI8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{"issue":{"subject":"","project_id":79,"tracker_id":40,"status_id":1,"priority_id":2,"assigned_to_id":338,"start_date":"2017-12-09","description":"","custom_fields":[{"id":1,"name":"Subdivision","value":"EC"},{"id":4,"name":"Milepost","value":"0.0178"},{"id":17,"name":"Train ID","value":"170-09"},{"id":16,"name":"Locomotive ID","value":"4035"},{"id":130,"name":"Impact","value":""},{"id":150,"name":"Time of Event (Mountain Time)","value":"13:49:29"},{"id":151,"name":"Denver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1"/>
        <v>start /low /b %USERPROFILE%\Documents\GitHub\eaglep3\Utilities\DownloadLogsFromS3.py --loco 4035 --day 2017-12-09</v>
      </c>
      <c r="AN82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3"/>
        <v>https://d0f6bd738d7f1b3e5a7ca70fe4ff75f0.us-east-1.aws.found.io/app/kibana#/discover/Steve-Slow-Train-Analysis-(2080s-and-2083s)?_g=(refreshInterval:(display:Off,pause:!f,section:0,value:0),time:(from:'2017-12-09T12:03:01-0700',mode:absolute,to:'2017-12-09T14:49:29-0700'))&amp;_a=(columns:!('Message%20ID',Summary),filters:!(),index:'emp_*',interval:auto,query:(query_string:(analyze_wildcard:!t,query:'%22rtdc.l.rtdc.4035%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786</v>
      </c>
      <c r="B83" s="225">
        <v>4014</v>
      </c>
      <c r="C83" s="227" t="s">
        <v>192</v>
      </c>
      <c r="D83" s="227" t="s">
        <v>624</v>
      </c>
      <c r="E83" s="226">
        <v>43078.517766203702</v>
      </c>
      <c r="F83" s="226">
        <v>43078.521226851852</v>
      </c>
      <c r="G83" s="225">
        <v>72</v>
      </c>
      <c r="H83" s="227" t="s">
        <v>627</v>
      </c>
      <c r="I83" s="226">
        <v>43078.545567129629</v>
      </c>
      <c r="J83" s="225">
        <v>0</v>
      </c>
      <c r="K83" s="237" t="str">
        <f t="shared" si="25"/>
        <v>4013/4014</v>
      </c>
      <c r="L83" s="245" t="str">
        <f>VLOOKUP(A83,'Trips&amp;Operators'!$C$1:$G$99911,5,FALSE)</f>
        <v>BRUDER RICHARD</v>
      </c>
      <c r="M83" s="224">
        <f t="shared" si="26"/>
        <v>2.4340277777810115E-2</v>
      </c>
      <c r="N83" s="225">
        <f t="shared" si="27"/>
        <v>35.050000000046566</v>
      </c>
      <c r="O83" s="225"/>
      <c r="P83" s="225"/>
      <c r="Q83" s="228"/>
      <c r="R83" s="242"/>
      <c r="S83" s="249">
        <f t="shared" si="28"/>
        <v>1</v>
      </c>
      <c r="T83" s="242" t="str">
        <f t="shared" si="29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0"/>
        <v>https://d0f6bd738d7f1b3e5a7ca70fe4ff75f0.us-east-1.aws.found.io/app/kibana#/discover/Steve-Slow-Train-Analysis-(2080s-and-2083s)?_g=(refreshInterval:(display:Off,pause:!f,section:0,value:0),time:(from:'2017-12-09T11:25:35-0700',mode:absolute,to:'2017-12-09T14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247" t="str">
        <f>IF(AA83&lt;VLOOKUP(AG83,Variables!$AC$3:$AD$8,2,FALSE),"Y","N")</f>
        <v>N</v>
      </c>
      <c r="X83" s="247">
        <f t="shared" si="31"/>
        <v>1</v>
      </c>
      <c r="Y83" s="247">
        <f t="shared" si="32"/>
        <v>4.9799999999999997E-2</v>
      </c>
      <c r="Z83" s="247">
        <f t="shared" si="33"/>
        <v>23.321300000000001</v>
      </c>
      <c r="AA83" s="247">
        <f t="shared" si="34"/>
        <v>23.2715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5"/>
        <v>171</v>
      </c>
      <c r="AE83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83" s="234" t="str">
        <f t="shared" si="37"/>
        <v>"C:\Program Files (x86)\AstroGrep\AstroGrep.exe" /e /r /s /spath="%USERPROFILE%\AppData\Local\Temp\OnboardLogs" /stypes="app*4014*20171209*" /stext=" 20:.+((SYSTEM_STATE.+slice.+state.+changed )|(ment ac)|(multiple cpu faults)|(system.+state.+changed )|(\[timeout)|(PRM\|1\|D)|(kpr)|(kdp)|(train st.+moving)|(\|lc)|(penalty))"</v>
      </c>
      <c r="AG83" s="244" t="str">
        <f t="shared" si="38"/>
        <v>EC</v>
      </c>
      <c r="AH83" s="236" t="str">
        <f t="shared" si="39"/>
        <v>"%USERPROFILE%\Documents\GitHub\eaglep3\Utilities\RefineRTDCRunTimes.py" --tripid 171-09 --locoid 4014 --swversion DE.1.0.9.0 --startMP 204:498 --initTime 2017-12-09T12:25:35 --startdatetime 2017-12-09T12:30:34 --delay 72 --endMP 204:233213 --enddatetime 2017-12-09T13:05:37 --enforcementcount 0 &gt;&gt;%USERPROFILE%\Documents\GitHub\eaglep3-reporting\EC\2017-12-09-refined-times.txt</v>
      </c>
      <c r="AI8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{"issue":{"subject":"","project_id":79,"tracker_id":40,"status_id":1,"priority_id":2,"assigned_to_id":338,"start_date":"2017-12-09","description":"","custom_fields":[{"id":1,"name":"Subdivision","value":"EC"},{"id":4,"name":"Milepost","value":"23.3213"},{"id":17,"name":"Train ID","value":"171-09"},{"id":16,"name":"Locomotive ID","value":"4014"},{"id":130,"name":"Impact","value":""},{"id":150,"name":"Time of Event (Mountain Time)","value":"13:05:37"},{"id":151,"name":"Denver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1"/>
        <v>start /low /b %USERPROFILE%\Documents\GitHub\eaglep3\Utilities\DownloadLogsFromS3.py --loco 4014 --day 2017-12-09</v>
      </c>
      <c r="AN83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3"/>
        <v>https://d0f6bd738d7f1b3e5a7ca70fe4ff75f0.us-east-1.aws.found.io/app/kibana#/discover/Steve-Slow-Train-Analysis-(2080s-and-2083s)?_g=(refreshInterval:(display:Off,pause:!f,section:0,value:0),time:(from:'2017-12-09T11:25:35-0700',mode:absolute,to:'2017-12-09T14:05:37-0700'))&amp;_a=(columns:!('Message%20ID',Summary),filters:!(),index:'emp_*',interval:auto,query:(query_string:(analyze_wildcard:!t,query:'%22rtdc.l.rtdc.4014%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795</v>
      </c>
      <c r="B84" s="225">
        <v>4013</v>
      </c>
      <c r="C84" s="227" t="s">
        <v>192</v>
      </c>
      <c r="D84" s="227" t="s">
        <v>940</v>
      </c>
      <c r="E84" s="226">
        <v>43078.557592592595</v>
      </c>
      <c r="F84" s="226">
        <v>43078.560601851852</v>
      </c>
      <c r="G84" s="225">
        <v>72</v>
      </c>
      <c r="H84" s="227" t="s">
        <v>442</v>
      </c>
      <c r="I84" s="226">
        <v>43078.586226851854</v>
      </c>
      <c r="J84" s="225">
        <v>0</v>
      </c>
      <c r="K84" s="237" t="str">
        <f t="shared" si="25"/>
        <v>4013/4014</v>
      </c>
      <c r="L84" s="245" t="str">
        <f>VLOOKUP(A84,'Trips&amp;Operators'!$C$1:$G$99911,5,FALSE)</f>
        <v>BRUDER RICHARD</v>
      </c>
      <c r="M84" s="224">
        <f t="shared" si="26"/>
        <v>2.5625000002037268E-2</v>
      </c>
      <c r="N84" s="225">
        <f t="shared" si="27"/>
        <v>36.900000002933666</v>
      </c>
      <c r="O84" s="225"/>
      <c r="P84" s="225"/>
      <c r="Q84" s="228"/>
      <c r="R84" s="242"/>
      <c r="S84" s="249">
        <f t="shared" si="28"/>
        <v>1</v>
      </c>
      <c r="T84" s="242" t="str">
        <f t="shared" si="29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0"/>
        <v>https://d0f6bd738d7f1b3e5a7ca70fe4ff75f0.us-east-1.aws.found.io/app/kibana#/discover/Steve-Slow-Train-Analysis-(2080s-and-2083s)?_g=(refreshInterval:(display:Off,pause:!f,section:0,value:0),time:(from:'2017-12-09T12:22:56-0700',mode:absolute,to:'2017-12-09T15:04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247" t="str">
        <f>IF(AA84&lt;VLOOKUP(AG84,Variables!$AC$3:$AD$8,2,FALSE),"Y","N")</f>
        <v>N</v>
      </c>
      <c r="X84" s="247">
        <f t="shared" si="31"/>
        <v>1</v>
      </c>
      <c r="Y84" s="247">
        <f t="shared" si="32"/>
        <v>23.289200000000001</v>
      </c>
      <c r="Z84" s="247">
        <f t="shared" si="33"/>
        <v>2.1399999999999999E-2</v>
      </c>
      <c r="AA84" s="247">
        <f t="shared" si="34"/>
        <v>23.267800000000001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5"/>
        <v>172</v>
      </c>
      <c r="AE84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84" s="234" t="str">
        <f t="shared" si="37"/>
        <v>"C:\Program Files (x86)\AstroGrep\AstroGrep.exe" /e /r /s /spath="%USERPROFILE%\AppData\Local\Temp\OnboardLogs" /stypes="app*4013*20171209*" /stext=" 21:.+((SYSTEM_STATE.+slice.+state.+changed )|(ment ac)|(multiple cpu faults)|(system.+state.+changed )|(\[timeout)|(PRM\|1\|D)|(kpr)|(kdp)|(train st.+moving)|(\|lc)|(penalty))"</v>
      </c>
      <c r="AG84" s="244" t="str">
        <f t="shared" si="38"/>
        <v>EC</v>
      </c>
      <c r="AH84" s="236" t="str">
        <f t="shared" si="39"/>
        <v>"%USERPROFILE%\Documents\GitHub\eaglep3\Utilities\RefineRTDCRunTimes.py" --tripid 172-09 --locoid 4013 --swversion DE.1.0.9.0 --startMP 204:232892 --initTime 2017-12-09T13:22:56 --startdatetime 2017-12-09T13:27:16 --delay 72 --endMP 204:214 --enddatetime 2017-12-09T14:04:10 --enforcementcount 0 &gt;&gt;%USERPROFILE%\Documents\GitHub\eaglep3-reporting\EC\2017-12-09-refined-times.txt</v>
      </c>
      <c r="AI8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{"issue":{"subject":"","project_id":79,"tracker_id":40,"status_id":1,"priority_id":2,"assigned_to_id":338,"start_date":"2017-12-09","description":"","custom_fields":[{"id":1,"name":"Subdivision","value":"EC"},{"id":4,"name":"Milepost","value":"0.0214"},{"id":17,"name":"Train ID","value":"172-09"},{"id":16,"name":"Locomotive ID","value":"4013"},{"id":130,"name":"Impact","value":""},{"id":150,"name":"Time of Event (Mountain Time)","value":"14:04:10"},{"id":151,"name":"Denver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1"/>
        <v>start /low /b %USERPROFILE%\Documents\GitHub\eaglep3\Utilities\DownloadLogsFromS3.py --loco 4013 --day 2017-12-09</v>
      </c>
      <c r="AN84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3"/>
        <v>https://d0f6bd738d7f1b3e5a7ca70fe4ff75f0.us-east-1.aws.found.io/app/kibana#/discover/Steve-Slow-Train-Analysis-(2080s-and-2083s)?_g=(refreshInterval:(display:Off,pause:!f,section:0,value:0),time:(from:'2017-12-09T12:22:56-0700',mode:absolute,to:'2017-12-09T15:04:10-0700'))&amp;_a=(columns:!('Message%20ID',Summary),filters:!(),index:'emp_*',interval:auto,query:(query_string:(analyze_wildcard:!t,query:'%22rtdc.l.rtdc.4013%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788</v>
      </c>
      <c r="B85" s="225">
        <v>4060</v>
      </c>
      <c r="C85" s="227" t="s">
        <v>192</v>
      </c>
      <c r="D85" s="227" t="s">
        <v>951</v>
      </c>
      <c r="E85" s="226">
        <v>43078.530995370369</v>
      </c>
      <c r="F85" s="226">
        <v>43078.532696759263</v>
      </c>
      <c r="G85" s="225">
        <v>71</v>
      </c>
      <c r="H85" s="227" t="s">
        <v>952</v>
      </c>
      <c r="I85" s="226">
        <v>43078.555613425924</v>
      </c>
      <c r="J85" s="225">
        <v>0</v>
      </c>
      <c r="K85" s="237" t="str">
        <f t="shared" si="25"/>
        <v>4059/4060</v>
      </c>
      <c r="L85" s="245" t="str">
        <f>VLOOKUP(A85,'Trips&amp;Operators'!$C$1:$G$99911,5,FALSE)</f>
        <v>HOLCOMB KAMDEN</v>
      </c>
      <c r="M85" s="224">
        <f t="shared" si="26"/>
        <v>2.2916666661330964E-2</v>
      </c>
      <c r="N85" s="225">
        <f t="shared" si="27"/>
        <v>32.999999992316589</v>
      </c>
      <c r="O85" s="225"/>
      <c r="P85" s="225"/>
      <c r="Q85" s="228"/>
      <c r="R85" s="242"/>
      <c r="S85" s="249">
        <f t="shared" si="28"/>
        <v>1</v>
      </c>
      <c r="T85" s="242" t="str">
        <f t="shared" si="29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0"/>
        <v>https://d0f6bd738d7f1b3e5a7ca70fe4ff75f0.us-east-1.aws.found.io/app/kibana#/discover/Steve-Slow-Train-Analysis-(2080s-and-2083s)?_g=(refreshInterval:(display:Off,pause:!f,section:0,value:0),time:(from:'2017-12-09T11:44:38-0700',mode:absolute,to:'2017-12-09T14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5" s="247" t="str">
        <f>IF(AA85&lt;VLOOKUP(AG85,Variables!$AC$3:$AD$8,2,FALSE),"Y","N")</f>
        <v>N</v>
      </c>
      <c r="X85" s="247">
        <f t="shared" si="31"/>
        <v>1</v>
      </c>
      <c r="Y85" s="247">
        <f t="shared" si="32"/>
        <v>0.14710000000000001</v>
      </c>
      <c r="Z85" s="247">
        <f t="shared" si="33"/>
        <v>23.321100000000001</v>
      </c>
      <c r="AA85" s="247">
        <f t="shared" si="34"/>
        <v>23.173999999999999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5"/>
        <v>173</v>
      </c>
      <c r="AE85" s="235" t="str">
        <f t="shared" si="3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85" s="234" t="str">
        <f t="shared" si="37"/>
        <v>"C:\Program Files (x86)\AstroGrep\AstroGrep.exe" /e /r /s /spath="%USERPROFILE%\AppData\Local\Temp\OnboardLogs" /stypes="app*4060*20171209*" /stext=" 20:.+((SYSTEM_STATE.+slice.+state.+changed )|(ment ac)|(multiple cpu faults)|(system.+state.+changed )|(\[timeout)|(PRM\|1\|D)|(kpr)|(kdp)|(train st.+moving)|(\|lc)|(penalty))"</v>
      </c>
      <c r="AG85" s="244" t="str">
        <f t="shared" si="38"/>
        <v>EC</v>
      </c>
      <c r="AH85" s="236" t="str">
        <f t="shared" si="39"/>
        <v>"%USERPROFILE%\Documents\GitHub\eaglep3\Utilities\RefineRTDCRunTimes.py" --tripid 173-09 --locoid 4060 --swversion DE.1.0.9.0 --startMP 204:1471 --initTime 2017-12-09T12:44:38 --startdatetime 2017-12-09T12:47:05 --delay 71 --endMP 204:233211 --enddatetime 2017-12-09T13:20:05 --enforcementcount 0 &gt;&gt;%USERPROFILE%\Documents\GitHub\eaglep3-reporting\EC\2017-12-09-refined-times.txt</v>
      </c>
      <c r="AI8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{"issue":{"subject":"","project_id":79,"tracker_id":40,"status_id":1,"priority_id":2,"assigned_to_id":338,"start_date":"2017-12-09","description":"","custom_fields":[{"id":1,"name":"Subdivision","value":"EC"},{"id":4,"name":"Milepost","value":"23.3211"},{"id":17,"name":"Train ID","value":"173-09"},{"id":16,"name":"Locomotive ID","value":"4060"},{"id":130,"name":"Impact","value":""},{"id":150,"name":"Time of Event (Mountain Time)","value":"13:20:05"},{"id":151,"name":"Denver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1"/>
        <v>start /low /b %USERPROFILE%\Documents\GitHub\eaglep3\Utilities\DownloadLogsFromS3.py --loco 4060 --day 2017-12-09</v>
      </c>
      <c r="AN85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3"/>
        <v>https://d0f6bd738d7f1b3e5a7ca70fe4ff75f0.us-east-1.aws.found.io/app/kibana#/discover/Steve-Slow-Train-Analysis-(2080s-and-2083s)?_g=(refreshInterval:(display:Off,pause:!f,section:0,value:0),time:(from:'2017-12-09T11:44:38-0700',mode:absolute,to:'2017-12-09T14:20:05-0700'))&amp;_a=(columns:!('Message%20ID',Summary),filters:!(),index:'emp_*',interval:auto,query:(query_string:(analyze_wildcard:!t,query:'%22rtdc.l.rtdc.4060%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693</v>
      </c>
      <c r="B86" s="225">
        <v>4059</v>
      </c>
      <c r="C86" s="227" t="s">
        <v>192</v>
      </c>
      <c r="D86" s="227" t="s">
        <v>619</v>
      </c>
      <c r="E86" s="226">
        <v>43078.567511574074</v>
      </c>
      <c r="F86" s="226">
        <v>43078.571076388886</v>
      </c>
      <c r="G86" s="225">
        <v>66</v>
      </c>
      <c r="H86" s="227" t="s">
        <v>953</v>
      </c>
      <c r="I86" s="226">
        <v>43078.596701388888</v>
      </c>
      <c r="J86" s="225">
        <v>0</v>
      </c>
      <c r="K86" s="237" t="str">
        <f t="shared" si="25"/>
        <v>4059/4060</v>
      </c>
      <c r="L86" s="245" t="str">
        <f>VLOOKUP(A86,'Trips&amp;Operators'!$C$1:$G$99911,5,FALSE)</f>
        <v>HOLCOMB KAMDEN</v>
      </c>
      <c r="M86" s="224">
        <f t="shared" si="26"/>
        <v>2.5625000002037268E-2</v>
      </c>
      <c r="N86" s="225">
        <f t="shared" si="27"/>
        <v>36.900000002933666</v>
      </c>
      <c r="O86" s="225"/>
      <c r="P86" s="225"/>
      <c r="Q86" s="228"/>
      <c r="R86" s="242"/>
      <c r="S86" s="249">
        <f t="shared" si="28"/>
        <v>1</v>
      </c>
      <c r="T86" s="242" t="str">
        <f t="shared" si="29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0"/>
        <v>https://d0f6bd738d7f1b3e5a7ca70fe4ff75f0.us-east-1.aws.found.io/app/kibana#/discover/Steve-Slow-Train-Analysis-(2080s-and-2083s)?_g=(refreshInterval:(display:Off,pause:!f,section:0,value:0),time:(from:'2017-12-09T12:37:13-0700',mode:absolute,to:'2017-12-09T15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6" s="247" t="str">
        <f>IF(AA86&lt;VLOOKUP(AG86,Variables!$AC$3:$AD$8,2,FALSE),"Y","N")</f>
        <v>N</v>
      </c>
      <c r="X86" s="247">
        <f t="shared" si="31"/>
        <v>1</v>
      </c>
      <c r="Y86" s="247">
        <f t="shared" si="32"/>
        <v>23.288799999999998</v>
      </c>
      <c r="Z86" s="247">
        <f t="shared" si="33"/>
        <v>1.7399999999999999E-2</v>
      </c>
      <c r="AA86" s="247">
        <f t="shared" si="34"/>
        <v>23.2714</v>
      </c>
      <c r="AB86" s="233" t="str">
        <f>VLOOKUP(A86,Enforcements!$C$7:$K$9,8,0)</f>
        <v>Bulletin (2)</v>
      </c>
      <c r="AC86" s="232" t="str">
        <f>VLOOKUP(A86,Enforcements!$C$7:$E$9,3,0)</f>
        <v>GRADE CROSSING</v>
      </c>
      <c r="AD86" s="243">
        <f t="shared" si="35"/>
        <v>174</v>
      </c>
      <c r="AE86" s="235" t="str">
        <f t="shared" si="36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86" s="234" t="str">
        <f t="shared" si="37"/>
        <v>"C:\Program Files (x86)\AstroGrep\AstroGrep.exe" /e /r /s /spath="%USERPROFILE%\AppData\Local\Temp\OnboardLogs" /stypes="app*4059*20171209*" /stext=" 21:.+((SYSTEM_STATE.+slice.+state.+changed )|(ment ac)|(multiple cpu faults)|(system.+state.+changed )|(\[timeout)|(PRM\|1\|D)|(kpr)|(kdp)|(train st.+moving)|(\|lc)|(penalty))"</v>
      </c>
      <c r="AG86" s="244" t="str">
        <f t="shared" si="38"/>
        <v>EC</v>
      </c>
      <c r="AH86" s="236" t="str">
        <f t="shared" si="39"/>
        <v>"%USERPROFILE%\Documents\GitHub\eaglep3\Utilities\RefineRTDCRunTimes.py" --tripid 174-09 --locoid 4059 --swversion DE.1.0.9.0 --startMP 204:232888 --initTime 2017-12-09T13:37:13 --startdatetime 2017-12-09T13:42:21 --delay 66 --endMP 204:174 --enddatetime 2017-12-09T14:19:15 --enforcementcount 0 &gt;&gt;%USERPROFILE%\Documents\GitHub\eaglep3-reporting\EC\2017-12-09-refined-times.txt</v>
      </c>
      <c r="AI8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{"issue":{"subject":"","project_id":79,"tracker_id":40,"status_id":1,"priority_id":2,"assigned_to_id":338,"start_date":"2017-12-09","description":"","custom_fields":[{"id":1,"name":"Subdivision","value":"EC"},{"id":4,"name":"Milepost","value":"0.0174"},{"id":17,"name":"Train ID","value":"174-09"},{"id":16,"name":"Locomotive ID","value":"4059"},{"id":130,"name":"Impact","value":""},{"id":150,"name":"Time of Event (Mountain Time)","value":"14:19:15"},{"id":151,"name":"Denver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1"/>
        <v>start /low /b %USERPROFILE%\Documents\GitHub\eaglep3\Utilities\DownloadLogsFromS3.py --loco 4059 --day 2017-12-09</v>
      </c>
      <c r="AN86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3"/>
        <v>https://d0f6bd738d7f1b3e5a7ca70fe4ff75f0.us-east-1.aws.found.io/app/kibana#/discover/Steve-Slow-Train-Analysis-(2080s-and-2083s)?_g=(refreshInterval:(display:Off,pause:!f,section:0,value:0),time:(from:'2017-12-09T12:37:13-0700',mode:absolute,to:'2017-12-09T15:19:15-0700'))&amp;_a=(columns:!('Message%20ID',Summary),filters:!(),index:'emp_*',interval:auto,query:(query_string:(analyze_wildcard:!t,query:'%22rtdc.l.rtdc.4059%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791</v>
      </c>
      <c r="B87" s="225">
        <v>4028</v>
      </c>
      <c r="C87" s="227" t="s">
        <v>192</v>
      </c>
      <c r="D87" s="227" t="s">
        <v>473</v>
      </c>
      <c r="E87" s="226">
        <v>43078.538831018515</v>
      </c>
      <c r="F87" s="226">
        <v>43078.542025462964</v>
      </c>
      <c r="G87" s="225">
        <v>72</v>
      </c>
      <c r="H87" s="227" t="s">
        <v>954</v>
      </c>
      <c r="I87" s="226">
        <v>43078.568009259259</v>
      </c>
      <c r="J87" s="225">
        <v>0</v>
      </c>
      <c r="K87" s="237" t="str">
        <f t="shared" si="25"/>
        <v>4027/4028</v>
      </c>
      <c r="L87" s="245" t="str">
        <f>VLOOKUP(A87,'Trips&amp;Operators'!$C$1:$G$99911,5,FALSE)</f>
        <v>DAVIS MICHAEL</v>
      </c>
      <c r="M87" s="224">
        <f t="shared" si="26"/>
        <v>2.5983796294895001E-2</v>
      </c>
      <c r="N87" s="225">
        <f t="shared" si="27"/>
        <v>37.416666664648801</v>
      </c>
      <c r="O87" s="225"/>
      <c r="P87" s="225"/>
      <c r="Q87" s="228"/>
      <c r="R87" s="242"/>
      <c r="S87" s="249">
        <f t="shared" si="28"/>
        <v>1</v>
      </c>
      <c r="T87" s="242" t="str">
        <f t="shared" si="29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0"/>
        <v>https://d0f6bd738d7f1b3e5a7ca70fe4ff75f0.us-east-1.aws.found.io/app/kibana#/discover/Steve-Slow-Train-Analysis-(2080s-and-2083s)?_g=(refreshInterval:(display:Off,pause:!f,section:0,value:0),time:(from:'2017-12-09T11:55:55-0700',mode:absolute,to:'2017-12-09T14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247" t="str">
        <f>IF(AA87&lt;VLOOKUP(AG87,Variables!$AC$3:$AD$8,2,FALSE),"Y","N")</f>
        <v>N</v>
      </c>
      <c r="X87" s="247">
        <f t="shared" si="31"/>
        <v>1</v>
      </c>
      <c r="Y87" s="247">
        <f t="shared" si="32"/>
        <v>5.2200000000000003E-2</v>
      </c>
      <c r="Z87" s="247">
        <f t="shared" si="33"/>
        <v>23.330200000000001</v>
      </c>
      <c r="AA87" s="247">
        <f t="shared" si="34"/>
        <v>23.278000000000002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5"/>
        <v>175</v>
      </c>
      <c r="AE87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87" s="234" t="str">
        <f t="shared" si="37"/>
        <v>"C:\Program Files (x86)\AstroGrep\AstroGrep.exe" /e /r /s /spath="%USERPROFILE%\AppData\Local\Temp\OnboardLogs" /stypes="app*4028*20171209*" /stext=" 20:.+((SYSTEM_STATE.+slice.+state.+changed )|(ment ac)|(multiple cpu faults)|(system.+state.+changed )|(\[timeout)|(PRM\|1\|D)|(kpr)|(kdp)|(train st.+moving)|(\|lc)|(penalty))"</v>
      </c>
      <c r="AG87" s="244" t="str">
        <f t="shared" si="38"/>
        <v>EC</v>
      </c>
      <c r="AH87" s="236" t="str">
        <f t="shared" si="39"/>
        <v>"%USERPROFILE%\Documents\GitHub\eaglep3\Utilities\RefineRTDCRunTimes.py" --tripid 175-09 --locoid 4028 --swversion DE.1.0.9.0 --startMP 204:522 --initTime 2017-12-09T12:55:55 --startdatetime 2017-12-09T13:00:31 --delay 72 --endMP 204:233302 --enddatetime 2017-12-09T13:37:56 --enforcementcount 0 &gt;&gt;%USERPROFILE%\Documents\GitHub\eaglep3-reporting\EC\2017-12-09-refined-times.txt</v>
      </c>
      <c r="AI8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{"issue":{"subject":"","project_id":79,"tracker_id":40,"status_id":1,"priority_id":2,"assigned_to_id":338,"start_date":"2017-12-09","description":"","custom_fields":[{"id":1,"name":"Subdivision","value":"EC"},{"id":4,"name":"Milepost","value":"23.3302"},{"id":17,"name":"Train ID","value":"175-09"},{"id":16,"name":"Locomotive ID","value":"4028"},{"id":130,"name":"Impact","value":""},{"id":150,"name":"Time of Event (Mountain Time)","value":"13:37:56"},{"id":151,"name":"Denver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1"/>
        <v>start /low /b %USERPROFILE%\Documents\GitHub\eaglep3\Utilities\DownloadLogsFromS3.py --loco 4028 --day 2017-12-09</v>
      </c>
      <c r="AN87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3"/>
        <v>https://d0f6bd738d7f1b3e5a7ca70fe4ff75f0.us-east-1.aws.found.io/app/kibana#/discover/Steve-Slow-Train-Analysis-(2080s-and-2083s)?_g=(refreshInterval:(display:Off,pause:!f,section:0,value:0),time:(from:'2017-12-09T11:55:55-0700',mode:absolute,to:'2017-12-09T14:37:56-0700'))&amp;_a=(columns:!('Message%20ID',Summary),filters:!(),index:'emp_*',interval:auto,query:(query_string:(analyze_wildcard:!t,query:'%22rtdc.l.rtdc.4028%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800</v>
      </c>
      <c r="B88" s="225">
        <v>4027</v>
      </c>
      <c r="C88" s="227" t="s">
        <v>192</v>
      </c>
      <c r="D88" s="227" t="s">
        <v>955</v>
      </c>
      <c r="E88" s="226">
        <v>43078.57917824074</v>
      </c>
      <c r="F88" s="226">
        <v>43078.581678240742</v>
      </c>
      <c r="G88" s="225">
        <v>60</v>
      </c>
      <c r="H88" s="227" t="s">
        <v>477</v>
      </c>
      <c r="I88" s="226">
        <v>43078.609444444446</v>
      </c>
      <c r="J88" s="225">
        <v>0</v>
      </c>
      <c r="K88" s="237" t="str">
        <f t="shared" si="25"/>
        <v>4027/4028</v>
      </c>
      <c r="L88" s="245" t="str">
        <f>VLOOKUP(A88,'Trips&amp;Operators'!$C$1:$G$99911,5,FALSE)</f>
        <v>DAVIS MICHAEL</v>
      </c>
      <c r="M88" s="224">
        <f t="shared" si="26"/>
        <v>2.7766203704231884E-2</v>
      </c>
      <c r="N88" s="225">
        <f t="shared" si="27"/>
        <v>39.983333334093913</v>
      </c>
      <c r="O88" s="225"/>
      <c r="P88" s="225"/>
      <c r="Q88" s="228"/>
      <c r="R88" s="242"/>
      <c r="S88" s="249">
        <f t="shared" si="28"/>
        <v>1</v>
      </c>
      <c r="T88" s="242" t="str">
        <f t="shared" si="29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0"/>
        <v>https://d0f6bd738d7f1b3e5a7ca70fe4ff75f0.us-east-1.aws.found.io/app/kibana#/discover/Steve-Slow-Train-Analysis-(2080s-and-2083s)?_g=(refreshInterval:(display:Off,pause:!f,section:0,value:0),time:(from:'2017-12-09T12:54:01-0700',mode:absolute,to:'2017-12-09T15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247" t="str">
        <f>IF(AA88&lt;VLOOKUP(AG88,Variables!$AC$3:$AD$8,2,FALSE),"Y","N")</f>
        <v>N</v>
      </c>
      <c r="X88" s="247">
        <f t="shared" si="31"/>
        <v>1</v>
      </c>
      <c r="Y88" s="247">
        <f t="shared" si="32"/>
        <v>23.297699999999999</v>
      </c>
      <c r="Z88" s="247">
        <f t="shared" si="33"/>
        <v>1.9599999999999999E-2</v>
      </c>
      <c r="AA88" s="247">
        <f t="shared" si="34"/>
        <v>23.278099999999998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5"/>
        <v>176</v>
      </c>
      <c r="AE88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88" s="234" t="str">
        <f t="shared" si="37"/>
        <v>"C:\Program Files (x86)\AstroGrep\AstroGrep.exe" /e /r /s /spath="%USERPROFILE%\AppData\Local\Temp\OnboardLogs" /stypes="app*4027*20171209*" /stext=" 21:.+((SYSTEM_STATE.+slice.+state.+changed )|(ment ac)|(multiple cpu faults)|(system.+state.+changed )|(\[timeout)|(PRM\|1\|D)|(kpr)|(kdp)|(train st.+moving)|(\|lc)|(penalty))"</v>
      </c>
      <c r="AG88" s="244" t="str">
        <f t="shared" si="38"/>
        <v>EC</v>
      </c>
      <c r="AH88" s="236" t="str">
        <f t="shared" si="39"/>
        <v>"%USERPROFILE%\Documents\GitHub\eaglep3\Utilities\RefineRTDCRunTimes.py" --tripid 176-09 --locoid 4027 --swversion DE.1.0.9.0 --startMP 204:232977 --initTime 2017-12-09T13:54:01 --startdatetime 2017-12-09T13:57:37 --delay 60 --endMP 204:196 --enddatetime 2017-12-09T14:37:36 --enforcementcount 0 &gt;&gt;%USERPROFILE%\Documents\GitHub\eaglep3-reporting\EC\2017-12-09-refined-times.txt</v>
      </c>
      <c r="AI8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{"issue":{"subject":"","project_id":79,"tracker_id":40,"status_id":1,"priority_id":2,"assigned_to_id":338,"start_date":"2017-12-09","description":"","custom_fields":[{"id":1,"name":"Subdivision","value":"EC"},{"id":4,"name":"Milepost","value":"0.0196"},{"id":17,"name":"Train ID","value":"176-09"},{"id":16,"name":"Locomotive ID","value":"4027"},{"id":130,"name":"Impact","value":""},{"id":150,"name":"Time of Event (Mountain Time)","value":"14:37:36"},{"id":151,"name":"Denver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1"/>
        <v>start /low /b %USERPROFILE%\Documents\GitHub\eaglep3\Utilities\DownloadLogsFromS3.py --loco 4027 --day 2017-12-09</v>
      </c>
      <c r="AN88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3"/>
        <v>https://d0f6bd738d7f1b3e5a7ca70fe4ff75f0.us-east-1.aws.found.io/app/kibana#/discover/Steve-Slow-Train-Analysis-(2080s-and-2083s)?_g=(refreshInterval:(display:Off,pause:!f,section:0,value:0),time:(from:'2017-12-09T12:54:01-0700',mode:absolute,to:'2017-12-09T15:37:36-0700'))&amp;_a=(columns:!('Message%20ID',Summary),filters:!(),index:'emp_*',interval:auto,query:(query_string:(analyze_wildcard:!t,query:'%22rtdc.l.rtdc.4027%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793</v>
      </c>
      <c r="B89" s="225">
        <v>4008</v>
      </c>
      <c r="C89" s="227" t="s">
        <v>192</v>
      </c>
      <c r="D89" s="227" t="s">
        <v>474</v>
      </c>
      <c r="E89" s="226">
        <v>43078.548541666663</v>
      </c>
      <c r="F89" s="226">
        <v>43078.552430555559</v>
      </c>
      <c r="G89" s="225">
        <v>106</v>
      </c>
      <c r="H89" s="227" t="s">
        <v>956</v>
      </c>
      <c r="I89" s="226">
        <v>43078.576840277776</v>
      </c>
      <c r="J89" s="225">
        <v>0</v>
      </c>
      <c r="K89" s="237" t="str">
        <f t="shared" si="25"/>
        <v>4007/4008</v>
      </c>
      <c r="L89" s="245" t="str">
        <f>VLOOKUP(A89,'Trips&amp;Operators'!$C$1:$G$99911,5,FALSE)</f>
        <v>SAFIEF AEIMEN</v>
      </c>
      <c r="M89" s="224">
        <f t="shared" si="26"/>
        <v>2.4409722216660157E-2</v>
      </c>
      <c r="N89" s="225">
        <f t="shared" si="27"/>
        <v>35.149999991990626</v>
      </c>
      <c r="O89" s="225"/>
      <c r="P89" s="225"/>
      <c r="Q89" s="228"/>
      <c r="R89" s="242"/>
      <c r="S89" s="249">
        <f t="shared" si="28"/>
        <v>1</v>
      </c>
      <c r="T89" s="242" t="str">
        <f t="shared" si="29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0"/>
        <v>https://d0f6bd738d7f1b3e5a7ca70fe4ff75f0.us-east-1.aws.found.io/app/kibana#/discover/Steve-Slow-Train-Analysis-(2080s-and-2083s)?_g=(refreshInterval:(display:Off,pause:!f,section:0,value:0),time:(from:'2017-12-09T12:09:54-0700',mode:absolute,to:'2017-12-09T14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247" t="str">
        <f>IF(AA89&lt;VLOOKUP(AG89,Variables!$AC$3:$AD$8,2,FALSE),"Y","N")</f>
        <v>N</v>
      </c>
      <c r="X89" s="247">
        <f t="shared" si="31"/>
        <v>1</v>
      </c>
      <c r="Y89" s="247">
        <f t="shared" si="32"/>
        <v>4.9700000000000001E-2</v>
      </c>
      <c r="Z89" s="247">
        <f t="shared" si="33"/>
        <v>23.3263</v>
      </c>
      <c r="AA89" s="247">
        <f t="shared" si="34"/>
        <v>23.276599999999998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5"/>
        <v>177</v>
      </c>
      <c r="AE89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89" s="234" t="str">
        <f t="shared" si="37"/>
        <v>"C:\Program Files (x86)\AstroGrep\AstroGrep.exe" /e /r /s /spath="%USERPROFILE%\AppData\Local\Temp\OnboardLogs" /stypes="app*4008*20171209*" /stext=" 20:.+((SYSTEM_STATE.+slice.+state.+changed )|(ment ac)|(multiple cpu faults)|(system.+state.+changed )|(\[timeout)|(PRM\|1\|D)|(kpr)|(kdp)|(train st.+moving)|(\|lc)|(penalty))"</v>
      </c>
      <c r="AG89" s="244" t="str">
        <f t="shared" si="38"/>
        <v>EC</v>
      </c>
      <c r="AH89" s="236" t="str">
        <f t="shared" si="39"/>
        <v>"%USERPROFILE%\Documents\GitHub\eaglep3\Utilities\RefineRTDCRunTimes.py" --tripid 177-09 --locoid 4008 --swversion DE.1.0.9.0 --startMP 204:497 --initTime 2017-12-09T13:09:54 --startdatetime 2017-12-09T13:15:30 --delay 106 --endMP 204:233263 --enddatetime 2017-12-09T13:50:39 --enforcementcount 0 &gt;&gt;%USERPROFILE%\Documents\GitHub\eaglep3-reporting\EC\2017-12-09-refined-times.txt</v>
      </c>
      <c r="AI8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{"issue":{"subject":"","project_id":79,"tracker_id":40,"status_id":1,"priority_id":2,"assigned_to_id":338,"start_date":"2017-12-09","description":"","custom_fields":[{"id":1,"name":"Subdivision","value":"EC"},{"id":4,"name":"Milepost","value":"23.3263"},{"id":17,"name":"Train ID","value":"177-09"},{"id":16,"name":"Locomotive ID","value":"4008"},{"id":130,"name":"Impact","value":""},{"id":150,"name":"Time of Event (Mountain Time)","value":"13:50:39"},{"id":151,"name":"Denver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1"/>
        <v>start /low /b %USERPROFILE%\Documents\GitHub\eaglep3\Utilities\DownloadLogsFromS3.py --loco 4008 --day 2017-12-09</v>
      </c>
      <c r="AN89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3"/>
        <v>https://d0f6bd738d7f1b3e5a7ca70fe4ff75f0.us-east-1.aws.found.io/app/kibana#/discover/Steve-Slow-Train-Analysis-(2080s-and-2083s)?_g=(refreshInterval:(display:Off,pause:!f,section:0,value:0),time:(from:'2017-12-09T12:09:54-0700',mode:absolute,to:'2017-12-09T14:50:39-0700'))&amp;_a=(columns:!('Message%20ID',Summary),filters:!(),index:'emp_*',interval:auto,query:(query_string:(analyze_wildcard:!t,query:'%22rtdc.l.rtdc.4008%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799</v>
      </c>
      <c r="B90" s="225">
        <v>4007</v>
      </c>
      <c r="C90" s="227" t="s">
        <v>192</v>
      </c>
      <c r="D90" s="227" t="s">
        <v>957</v>
      </c>
      <c r="E90" s="226">
        <v>43078.578923611109</v>
      </c>
      <c r="F90" s="226">
        <v>43078.591840277775</v>
      </c>
      <c r="G90" s="225">
        <v>61</v>
      </c>
      <c r="H90" s="227" t="s">
        <v>660</v>
      </c>
      <c r="I90" s="226">
        <v>43078.617986111109</v>
      </c>
      <c r="J90" s="225">
        <v>0</v>
      </c>
      <c r="K90" s="237" t="str">
        <f t="shared" si="25"/>
        <v>4007/4008</v>
      </c>
      <c r="L90" s="245" t="str">
        <f>VLOOKUP(A90,'Trips&amp;Operators'!$C$1:$G$99911,5,FALSE)</f>
        <v>SAFIEF AEIMEN</v>
      </c>
      <c r="M90" s="224">
        <f t="shared" si="26"/>
        <v>2.6145833333430346E-2</v>
      </c>
      <c r="N90" s="225">
        <f t="shared" si="27"/>
        <v>37.650000000139698</v>
      </c>
      <c r="O90" s="225"/>
      <c r="P90" s="225"/>
      <c r="Q90" s="228"/>
      <c r="R90" s="242"/>
      <c r="S90" s="249">
        <f t="shared" si="28"/>
        <v>1</v>
      </c>
      <c r="T90" s="242" t="str">
        <f t="shared" si="29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0"/>
        <v>https://d0f6bd738d7f1b3e5a7ca70fe4ff75f0.us-east-1.aws.found.io/app/kibana#/discover/Steve-Slow-Train-Analysis-(2080s-and-2083s)?_g=(refreshInterval:(display:Off,pause:!f,section:0,value:0),time:(from:'2017-12-09T12:53:39-0700',mode:absolute,to:'2017-12-09T15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247" t="str">
        <f>IF(AA90&lt;VLOOKUP(AG90,Variables!$AC$3:$AD$8,2,FALSE),"Y","N")</f>
        <v>N</v>
      </c>
      <c r="X90" s="247">
        <f t="shared" si="31"/>
        <v>1</v>
      </c>
      <c r="Y90" s="247">
        <f t="shared" si="32"/>
        <v>23.293399999999998</v>
      </c>
      <c r="Z90" s="247">
        <f t="shared" si="33"/>
        <v>1.9400000000000001E-2</v>
      </c>
      <c r="AA90" s="247">
        <f t="shared" si="34"/>
        <v>23.273999999999997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5"/>
        <v>178</v>
      </c>
      <c r="AE90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90" s="234" t="str">
        <f t="shared" si="37"/>
        <v>"C:\Program Files (x86)\AstroGrep\AstroGrep.exe" /e /r /s /spath="%USERPROFILE%\AppData\Local\Temp\OnboardLogs" /stypes="app*4007*20171209*" /stext=" 21:.+((SYSTEM_STATE.+slice.+state.+changed )|(ment ac)|(multiple cpu faults)|(system.+state.+changed )|(\[timeout)|(PRM\|1\|D)|(kpr)|(kdp)|(train st.+moving)|(\|lc)|(penalty))"</v>
      </c>
      <c r="AG90" s="244" t="str">
        <f t="shared" si="38"/>
        <v>EC</v>
      </c>
      <c r="AH90" s="236" t="str">
        <f t="shared" si="39"/>
        <v>"%USERPROFILE%\Documents\GitHub\eaglep3\Utilities\RefineRTDCRunTimes.py" --tripid 178-09 --locoid 4007 --swversion DE.1.0.9.0 --startMP 204:232934 --initTime 2017-12-09T13:53:39 --startdatetime 2017-12-09T14:12:15 --delay 61 --endMP 204:194 --enddatetime 2017-12-09T14:49:54 --enforcementcount 0 &gt;&gt;%USERPROFILE%\Documents\GitHub\eaglep3-reporting\EC\2017-12-09-refined-times.txt</v>
      </c>
      <c r="AI9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{"issue":{"subject":"","project_id":79,"tracker_id":40,"status_id":1,"priority_id":2,"assigned_to_id":338,"start_date":"2017-12-09","description":"","custom_fields":[{"id":1,"name":"Subdivision","value":"EC"},{"id":4,"name":"Milepost","value":"0.0194"},{"id":17,"name":"Train ID","value":"178-09"},{"id":16,"name":"Locomotive ID","value":"4007"},{"id":130,"name":"Impact","value":""},{"id":150,"name":"Time of Event (Mountain Time)","value":"14:49:54"},{"id":151,"name":"Denver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1"/>
        <v>start /low /b %USERPROFILE%\Documents\GitHub\eaglep3\Utilities\DownloadLogsFromS3.py --loco 4007 --day 2017-12-09</v>
      </c>
      <c r="AN90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3"/>
        <v>https://d0f6bd738d7f1b3e5a7ca70fe4ff75f0.us-east-1.aws.found.io/app/kibana#/discover/Steve-Slow-Train-Analysis-(2080s-and-2083s)?_g=(refreshInterval:(display:Off,pause:!f,section:0,value:0),time:(from:'2017-12-09T12:53:39-0700',mode:absolute,to:'2017-12-09T15:49:54-0700'))&amp;_a=(columns:!('Message%20ID',Summary),filters:!(),index:'emp_*',interval:auto,query:(query_string:(analyze_wildcard:!t,query:'%22rtdc.l.rtdc.4007%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796</v>
      </c>
      <c r="B91" s="225">
        <v>4058</v>
      </c>
      <c r="C91" s="227" t="s">
        <v>192</v>
      </c>
      <c r="D91" s="227" t="s">
        <v>958</v>
      </c>
      <c r="E91" s="226">
        <v>43078.558217592596</v>
      </c>
      <c r="F91" s="226">
        <v>43078.562673611108</v>
      </c>
      <c r="G91" s="225">
        <v>55</v>
      </c>
      <c r="H91" s="227" t="s">
        <v>929</v>
      </c>
      <c r="I91" s="226">
        <v>43078.587800925925</v>
      </c>
      <c r="J91" s="225">
        <v>0</v>
      </c>
      <c r="K91" s="237" t="str">
        <f t="shared" si="25"/>
        <v>4057/4058</v>
      </c>
      <c r="L91" s="245" t="str">
        <f>VLOOKUP(A91,'Trips&amp;Operators'!$C$1:$G$99911,5,FALSE)</f>
        <v>GUZMAN DANNY</v>
      </c>
      <c r="M91" s="224">
        <f t="shared" si="26"/>
        <v>2.5127314816927537E-2</v>
      </c>
      <c r="N91" s="225">
        <f t="shared" si="27"/>
        <v>36.183333336375654</v>
      </c>
      <c r="O91" s="225"/>
      <c r="P91" s="225"/>
      <c r="Q91" s="228"/>
      <c r="R91" s="242"/>
      <c r="S91" s="249">
        <f t="shared" si="28"/>
        <v>1</v>
      </c>
      <c r="T91" s="242" t="str">
        <f t="shared" si="29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0"/>
        <v>https://d0f6bd738d7f1b3e5a7ca70fe4ff75f0.us-east-1.aws.found.io/app/kibana#/discover/Steve-Slow-Train-Analysis-(2080s-and-2083s)?_g=(refreshInterval:(display:Off,pause:!f,section:0,value:0),time:(from:'2017-12-09T12:23:50-0700',mode:absolute,to:'2017-12-09T15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247" t="str">
        <f>IF(AA91&lt;VLOOKUP(AG91,Variables!$AC$3:$AD$8,2,FALSE),"Y","N")</f>
        <v>N</v>
      </c>
      <c r="X91" s="247">
        <f t="shared" si="31"/>
        <v>1</v>
      </c>
      <c r="Y91" s="247">
        <f t="shared" si="32"/>
        <v>4.9500000000000002E-2</v>
      </c>
      <c r="Z91" s="247">
        <f t="shared" si="33"/>
        <v>23.33</v>
      </c>
      <c r="AA91" s="247">
        <f t="shared" si="34"/>
        <v>23.2805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5"/>
        <v>179</v>
      </c>
      <c r="AE91" s="235" t="str">
        <f t="shared" si="36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91" s="234" t="str">
        <f t="shared" si="37"/>
        <v>"C:\Program Files (x86)\AstroGrep\AstroGrep.exe" /e /r /s /spath="%USERPROFILE%\AppData\Local\Temp\OnboardLogs" /stypes="app*4058*20171209*" /stext=" 21:.+((SYSTEM_STATE.+slice.+state.+changed )|(ment ac)|(multiple cpu faults)|(system.+state.+changed )|(\[timeout)|(PRM\|1\|D)|(kpr)|(kdp)|(train st.+moving)|(\|lc)|(penalty))"</v>
      </c>
      <c r="AG91" s="244" t="str">
        <f t="shared" si="38"/>
        <v>EC</v>
      </c>
      <c r="AH91" s="236" t="str">
        <f t="shared" si="39"/>
        <v>"%USERPROFILE%\Documents\GitHub\eaglep3\Utilities\RefineRTDCRunTimes.py" --tripid 179-09 --locoid 4058 --swversion DE.1.0.9.0 --startMP 204:495 --initTime 2017-12-09T13:23:50 --startdatetime 2017-12-09T13:30:15 --delay 55 --endMP 204:233300 --enddatetime 2017-12-09T14:06:26 --enforcementcount 0 &gt;&gt;%USERPROFILE%\Documents\GitHub\eaglep3-reporting\EC\2017-12-09-refined-times.txt</v>
      </c>
      <c r="AI9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{"issue":{"subject":"","project_id":79,"tracker_id":40,"status_id":1,"priority_id":2,"assigned_to_id":338,"start_date":"2017-12-09","description":"","custom_fields":[{"id":1,"name":"Subdivision","value":"EC"},{"id":4,"name":"Milepost","value":"23.33"},{"id":17,"name":"Train ID","value":"179-09"},{"id":16,"name":"Locomotive ID","value":"4058"},{"id":130,"name":"Impact","value":""},{"id":150,"name":"Time of Event (Mountain Time)","value":"14:06:26"},{"id":151,"name":"Denver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1"/>
        <v>start /low /b %USERPROFILE%\Documents\GitHub\eaglep3\Utilities\DownloadLogsFromS3.py --loco 4058 --day 2017-12-09</v>
      </c>
      <c r="AN91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3"/>
        <v>https://d0f6bd738d7f1b3e5a7ca70fe4ff75f0.us-east-1.aws.found.io/app/kibana#/discover/Steve-Slow-Train-Analysis-(2080s-and-2083s)?_g=(refreshInterval:(display:Off,pause:!f,section:0,value:0),time:(from:'2017-12-09T12:23:50-0700',mode:absolute,to:'2017-12-09T15:06:26-0700'))&amp;_a=(columns:!('Message%20ID',Summary),filters:!(),index:'emp_*',interval:auto,query:(query_string:(analyze_wildcard:!t,query:'%22rtdc.l.rtdc.4058%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803</v>
      </c>
      <c r="B92" s="225">
        <v>4057</v>
      </c>
      <c r="C92" s="227" t="s">
        <v>192</v>
      </c>
      <c r="D92" s="227" t="s">
        <v>911</v>
      </c>
      <c r="E92" s="226">
        <v>43078.591736111113</v>
      </c>
      <c r="F92" s="226">
        <v>43078.60229166667</v>
      </c>
      <c r="G92" s="225">
        <v>54</v>
      </c>
      <c r="H92" s="227" t="s">
        <v>582</v>
      </c>
      <c r="I92" s="226">
        <v>43078.627789351849</v>
      </c>
      <c r="J92" s="225">
        <v>0</v>
      </c>
      <c r="K92" s="237" t="str">
        <f t="shared" si="25"/>
        <v>4057/4058</v>
      </c>
      <c r="L92" s="245" t="str">
        <f>VLOOKUP(A92,'Trips&amp;Operators'!$C$1:$G$99911,5,FALSE)</f>
        <v>GUZMAN DANNY</v>
      </c>
      <c r="M92" s="224">
        <f t="shared" si="26"/>
        <v>2.5497685179288965E-2</v>
      </c>
      <c r="N92" s="225">
        <f t="shared" si="27"/>
        <v>36.716666658176109</v>
      </c>
      <c r="O92" s="225"/>
      <c r="P92" s="225"/>
      <c r="Q92" s="228"/>
      <c r="R92" s="242"/>
      <c r="S92" s="249">
        <f t="shared" si="28"/>
        <v>1</v>
      </c>
      <c r="T92" s="242" t="str">
        <f t="shared" si="29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0"/>
        <v>https://d0f6bd738d7f1b3e5a7ca70fe4ff75f0.us-east-1.aws.found.io/app/kibana#/discover/Steve-Slow-Train-Analysis-(2080s-and-2083s)?_g=(refreshInterval:(display:Off,pause:!f,section:0,value:0),time:(from:'2017-12-09T13:12:06-0700',mode:absolute,to:'2017-12-09T16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247" t="str">
        <f>IF(AA92&lt;VLOOKUP(AG92,Variables!$AC$3:$AD$8,2,FALSE),"Y","N")</f>
        <v>N</v>
      </c>
      <c r="X92" s="247">
        <f t="shared" si="31"/>
        <v>1</v>
      </c>
      <c r="Y92" s="247">
        <f t="shared" si="32"/>
        <v>23.297000000000001</v>
      </c>
      <c r="Z92" s="247">
        <f t="shared" si="33"/>
        <v>2.18E-2</v>
      </c>
      <c r="AA92" s="247">
        <f t="shared" si="34"/>
        <v>23.275200000000002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5"/>
        <v>180</v>
      </c>
      <c r="AE92" s="235" t="str">
        <f t="shared" si="3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92" s="234" t="str">
        <f t="shared" si="37"/>
        <v>"C:\Program Files (x86)\AstroGrep\AstroGrep.exe" /e /r /s /spath="%USERPROFILE%\AppData\Local\Temp\OnboardLogs" /stypes="app*4057*20171209*" /stext=" 22:.+((SYSTEM_STATE.+slice.+state.+changed )|(ment ac)|(multiple cpu faults)|(system.+state.+changed )|(\[timeout)|(PRM\|1\|D)|(kpr)|(kdp)|(train st.+moving)|(\|lc)|(penalty))"</v>
      </c>
      <c r="AG92" s="244" t="str">
        <f t="shared" si="38"/>
        <v>EC</v>
      </c>
      <c r="AH92" s="236" t="str">
        <f t="shared" si="39"/>
        <v>"%USERPROFILE%\Documents\GitHub\eaglep3\Utilities\RefineRTDCRunTimes.py" --tripid 180-09 --locoid 4057 --swversion DE.1.0.9.0 --startMP 204:232970 --initTime 2017-12-09T14:12:06 --startdatetime 2017-12-09T14:27:18 --delay 54 --endMP 204:218 --enddatetime 2017-12-09T15:04:01 --enforcementcount 0 &gt;&gt;%USERPROFILE%\Documents\GitHub\eaglep3-reporting\EC\2017-12-09-refined-times.txt</v>
      </c>
      <c r="AI9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{"issue":{"subject":"","project_id":79,"tracker_id":40,"status_id":1,"priority_id":2,"assigned_to_id":338,"start_date":"2017-12-09","description":"","custom_fields":[{"id":1,"name":"Subdivision","value":"EC"},{"id":4,"name":"Milepost","value":"0.0218"},{"id":17,"name":"Train ID","value":"180-09"},{"id":16,"name":"Locomotive ID","value":"4057"},{"id":130,"name":"Impact","value":""},{"id":150,"name":"Time of Event (Mountain Time)","value":"15:04:01"},{"id":151,"name":"Denver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1"/>
        <v>start /low /b %USERPROFILE%\Documents\GitHub\eaglep3\Utilities\DownloadLogsFromS3.py --loco 4057 --day 2017-12-09</v>
      </c>
      <c r="AN92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3"/>
        <v>https://d0f6bd738d7f1b3e5a7ca70fe4ff75f0.us-east-1.aws.found.io/app/kibana#/discover/Steve-Slow-Train-Analysis-(2080s-and-2083s)?_g=(refreshInterval:(display:Off,pause:!f,section:0,value:0),time:(from:'2017-12-09T13:12:06-0700',mode:absolute,to:'2017-12-09T16:04:01-0700'))&amp;_a=(columns:!('Message%20ID',Summary),filters:!(),index:'emp_*',interval:auto,query:(query_string:(analyze_wildcard:!t,query:'%22rtdc.l.rtdc.4057%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797</v>
      </c>
      <c r="B93" s="225">
        <v>4004</v>
      </c>
      <c r="C93" s="227" t="s">
        <v>192</v>
      </c>
      <c r="D93" s="227" t="s">
        <v>665</v>
      </c>
      <c r="E93" s="226">
        <v>43078.568564814814</v>
      </c>
      <c r="F93" s="226">
        <v>43078.573078703703</v>
      </c>
      <c r="G93" s="225">
        <v>64</v>
      </c>
      <c r="H93" s="227" t="s">
        <v>621</v>
      </c>
      <c r="I93" s="226">
        <v>43078.597824074073</v>
      </c>
      <c r="J93" s="225">
        <v>0</v>
      </c>
      <c r="K93" s="237" t="str">
        <f t="shared" si="25"/>
        <v>4003/4004</v>
      </c>
      <c r="L93" s="245" t="str">
        <f>VLOOKUP(A93,'Trips&amp;Operators'!$C$1:$G$99911,5,FALSE)</f>
        <v>BADERTSCHER DIANE</v>
      </c>
      <c r="M93" s="224">
        <f t="shared" si="26"/>
        <v>2.47453703705105E-2</v>
      </c>
      <c r="N93" s="225">
        <f t="shared" si="27"/>
        <v>35.63333333353512</v>
      </c>
      <c r="O93" s="225"/>
      <c r="P93" s="225"/>
      <c r="Q93" s="228"/>
      <c r="R93" s="242"/>
      <c r="S93" s="249">
        <f t="shared" si="28"/>
        <v>1</v>
      </c>
      <c r="T93" s="242" t="str">
        <f t="shared" si="29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0"/>
        <v>https://d0f6bd738d7f1b3e5a7ca70fe4ff75f0.us-east-1.aws.found.io/app/kibana#/discover/Steve-Slow-Train-Analysis-(2080s-and-2083s)?_g=(refreshInterval:(display:Off,pause:!f,section:0,value:0),time:(from:'2017-12-09T12:38:44-0700',mode:absolute,to:'2017-12-09T15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3" s="247" t="str">
        <f>IF(AA93&lt;VLOOKUP(AG93,Variables!$AC$3:$AD$8,2,FALSE),"Y","N")</f>
        <v>N</v>
      </c>
      <c r="X93" s="247">
        <f t="shared" si="31"/>
        <v>1</v>
      </c>
      <c r="Y93" s="247">
        <f t="shared" si="32"/>
        <v>5.6599999999999998E-2</v>
      </c>
      <c r="Z93" s="247">
        <f t="shared" si="33"/>
        <v>23.325700000000001</v>
      </c>
      <c r="AA93" s="247">
        <f t="shared" si="34"/>
        <v>23.269100000000002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5"/>
        <v>181</v>
      </c>
      <c r="AE93" s="235" t="str">
        <f t="shared" si="3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93" s="234" t="str">
        <f t="shared" si="37"/>
        <v>"C:\Program Files (x86)\AstroGrep\AstroGrep.exe" /e /r /s /spath="%USERPROFILE%\AppData\Local\Temp\OnboardLogs" /stypes="app*4004*20171209*" /stext=" 21:.+((SYSTEM_STATE.+slice.+state.+changed )|(ment ac)|(multiple cpu faults)|(system.+state.+changed )|(\[timeout)|(PRM\|1\|D)|(kpr)|(kdp)|(train st.+moving)|(\|lc)|(penalty))"</v>
      </c>
      <c r="AG93" s="244" t="str">
        <f t="shared" si="38"/>
        <v>EC</v>
      </c>
      <c r="AH93" s="236" t="str">
        <f t="shared" si="39"/>
        <v>"%USERPROFILE%\Documents\GitHub\eaglep3\Utilities\RefineRTDCRunTimes.py" --tripid 181-09 --locoid 4004 --swversion DE.1.0.9.0 --startMP 204:566 --initTime 2017-12-09T13:38:44 --startdatetime 2017-12-09T13:45:14 --delay 64 --endMP 204:233257 --enddatetime 2017-12-09T14:20:52 --enforcementcount 0 &gt;&gt;%USERPROFILE%\Documents\GitHub\eaglep3-reporting\EC\2017-12-09-refined-times.txt</v>
      </c>
      <c r="AI9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{"issue":{"subject":"","project_id":79,"tracker_id":40,"status_id":1,"priority_id":2,"assigned_to_id":338,"start_date":"2017-12-09","description":"","custom_fields":[{"id":1,"name":"Subdivision","value":"EC"},{"id":4,"name":"Milepost","value":"23.3257"},{"id":17,"name":"Train ID","value":"181-09"},{"id":16,"name":"Locomotive ID","value":"4004"},{"id":130,"name":"Impact","value":""},{"id":150,"name":"Time of Event (Mountain Time)","value":"14:20:52"},{"id":151,"name":"Denver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1"/>
        <v>start /low /b %USERPROFILE%\Documents\GitHub\eaglep3\Utilities\DownloadLogsFromS3.py --loco 4004 --day 2017-12-09</v>
      </c>
      <c r="AN93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3"/>
        <v>https://d0f6bd738d7f1b3e5a7ca70fe4ff75f0.us-east-1.aws.found.io/app/kibana#/discover/Steve-Slow-Train-Analysis-(2080s-and-2083s)?_g=(refreshInterval:(display:Off,pause:!f,section:0,value:0),time:(from:'2017-12-09T12:38:44-0700',mode:absolute,to:'2017-12-09T15:20:52-0700'))&amp;_a=(columns:!('Message%20ID',Summary),filters:!(),index:'emp_*',interval:auto,query:(query_string:(analyze_wildcard:!t,query:'%22rtdc.l.rtdc.4004%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806</v>
      </c>
      <c r="B94" s="225">
        <v>4003</v>
      </c>
      <c r="C94" s="227" t="s">
        <v>192</v>
      </c>
      <c r="D94" s="227" t="s">
        <v>976</v>
      </c>
      <c r="E94" s="226">
        <v>43078.606134259258</v>
      </c>
      <c r="F94" s="226">
        <v>43078.612708333334</v>
      </c>
      <c r="G94" s="225">
        <v>72</v>
      </c>
      <c r="H94" s="227" t="s">
        <v>442</v>
      </c>
      <c r="I94" s="226">
        <v>43078.639780092592</v>
      </c>
      <c r="J94" s="225">
        <v>0</v>
      </c>
      <c r="K94" s="237" t="str">
        <f t="shared" si="25"/>
        <v>4003/4004</v>
      </c>
      <c r="L94" s="245" t="str">
        <f>VLOOKUP(A94,'Trips&amp;Operators'!$C$1:$G$99911,5,FALSE)</f>
        <v>BADERTSCHER DIANE</v>
      </c>
      <c r="M94" s="224">
        <f t="shared" si="26"/>
        <v>2.7071759257523809E-2</v>
      </c>
      <c r="N94" s="225">
        <f t="shared" si="27"/>
        <v>38.983333330834284</v>
      </c>
      <c r="O94" s="225"/>
      <c r="P94" s="225"/>
      <c r="Q94" s="228"/>
      <c r="R94" s="242"/>
      <c r="S94" s="249">
        <f t="shared" si="28"/>
        <v>1</v>
      </c>
      <c r="T94" s="242" t="str">
        <f t="shared" si="29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0"/>
        <v>https://d0f6bd738d7f1b3e5a7ca70fe4ff75f0.us-east-1.aws.found.io/app/kibana#/discover/Steve-Slow-Train-Analysis-(2080s-and-2083s)?_g=(refreshInterval:(display:Off,pause:!f,section:0,value:0),time:(from:'2017-12-09T13:32:50-0700',mode:absolute,to:'2017-12-09T16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247" t="str">
        <f>IF(AA94&lt;VLOOKUP(AG94,Variables!$AC$3:$AD$8,2,FALSE),"Y","N")</f>
        <v>N</v>
      </c>
      <c r="X94" s="247">
        <f t="shared" si="31"/>
        <v>1</v>
      </c>
      <c r="Y94" s="247">
        <f t="shared" si="32"/>
        <v>23.293800000000001</v>
      </c>
      <c r="Z94" s="247">
        <f t="shared" si="33"/>
        <v>2.1399999999999999E-2</v>
      </c>
      <c r="AA94" s="247">
        <f t="shared" si="34"/>
        <v>23.272400000000001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5"/>
        <v>182</v>
      </c>
      <c r="AE94" s="235" t="str">
        <f t="shared" si="3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94" s="234" t="str">
        <f t="shared" si="37"/>
        <v>"C:\Program Files (x86)\AstroGrep\AstroGrep.exe" /e /r /s /spath="%USERPROFILE%\AppData\Local\Temp\OnboardLogs" /stypes="app*4003*20171209*" /stext=" 22:.+((SYSTEM_STATE.+slice.+state.+changed )|(ment ac)|(multiple cpu faults)|(system.+state.+changed )|(\[timeout)|(PRM\|1\|D)|(kpr)|(kdp)|(train st.+moving)|(\|lc)|(penalty))"</v>
      </c>
      <c r="AG94" s="244" t="str">
        <f t="shared" si="38"/>
        <v>EC</v>
      </c>
      <c r="AH94" s="236" t="str">
        <f t="shared" si="39"/>
        <v>"%USERPROFILE%\Documents\GitHub\eaglep3\Utilities\RefineRTDCRunTimes.py" --tripid 182-09 --locoid 4003 --swversion DE.1.0.9.0 --startMP 204:232938 --initTime 2017-12-09T14:32:50 --startdatetime 2017-12-09T14:42:18 --delay 72 --endMP 204:214 --enddatetime 2017-12-09T15:21:17 --enforcementcount 0 &gt;&gt;%USERPROFILE%\Documents\GitHub\eaglep3-reporting\EC\2017-12-09-refined-times.txt</v>
      </c>
      <c r="AI9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{"issue":{"subject":"","project_id":79,"tracker_id":40,"status_id":1,"priority_id":2,"assigned_to_id":338,"start_date":"2017-12-09","description":"","custom_fields":[{"id":1,"name":"Subdivision","value":"EC"},{"id":4,"name":"Milepost","value":"0.0214"},{"id":17,"name":"Train ID","value":"182-09"},{"id":16,"name":"Locomotive ID","value":"4003"},{"id":130,"name":"Impact","value":""},{"id":150,"name":"Time of Event (Mountain Time)","value":"15:21:17"},{"id":151,"name":"Denver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1"/>
        <v>start /low /b %USERPROFILE%\Documents\GitHub\eaglep3\Utilities\DownloadLogsFromS3.py --loco 4003 --day 2017-12-09</v>
      </c>
      <c r="AN94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3"/>
        <v>https://d0f6bd738d7f1b3e5a7ca70fe4ff75f0.us-east-1.aws.found.io/app/kibana#/discover/Steve-Slow-Train-Analysis-(2080s-and-2083s)?_g=(refreshInterval:(display:Off,pause:!f,section:0,value:0),time:(from:'2017-12-09T13:32:50-0700',mode:absolute,to:'2017-12-09T16:21:17-0700'))&amp;_a=(columns:!('Message%20ID',Summary),filters:!(),index:'emp_*',interval:auto,query:(query_string:(analyze_wildcard:!t,query:'%22rtdc.l.rtdc.4003%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798</v>
      </c>
      <c r="B95" s="225">
        <v>4036</v>
      </c>
      <c r="C95" s="227" t="s">
        <v>192</v>
      </c>
      <c r="D95" s="227" t="s">
        <v>907</v>
      </c>
      <c r="E95" s="226">
        <v>43078.578032407408</v>
      </c>
      <c r="F95" s="226">
        <v>43078.583506944444</v>
      </c>
      <c r="G95" s="225">
        <v>57</v>
      </c>
      <c r="H95" s="227" t="s">
        <v>988</v>
      </c>
      <c r="I95" s="226">
        <v>43078.607939814814</v>
      </c>
      <c r="J95" s="225">
        <v>0</v>
      </c>
      <c r="K95" s="237" t="str">
        <f t="shared" si="25"/>
        <v>4035/4036</v>
      </c>
      <c r="L95" s="245" t="str">
        <f>VLOOKUP(A95,'Trips&amp;Operators'!$C$1:$G$99911,5,FALSE)</f>
        <v>GONZALEZ ARMANDO</v>
      </c>
      <c r="M95" s="224">
        <f t="shared" si="26"/>
        <v>2.4432870370219462E-2</v>
      </c>
      <c r="N95" s="225">
        <f t="shared" si="27"/>
        <v>35.183333333116025</v>
      </c>
      <c r="O95" s="225"/>
      <c r="P95" s="225"/>
      <c r="Q95" s="228"/>
      <c r="R95" s="242"/>
      <c r="S95" s="249">
        <f t="shared" si="28"/>
        <v>1</v>
      </c>
      <c r="T95" s="242" t="str">
        <f t="shared" si="29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0"/>
        <v>https://d0f6bd738d7f1b3e5a7ca70fe4ff75f0.us-east-1.aws.found.io/app/kibana#/discover/Steve-Slow-Train-Analysis-(2080s-and-2083s)?_g=(refreshInterval:(display:Off,pause:!f,section:0,value:0),time:(from:'2017-12-09T12:52:22-0700',mode:absolute,to:'2017-12-09T15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5" s="247" t="str">
        <f>IF(AA95&lt;VLOOKUP(AG95,Variables!$AC$3:$AD$8,2,FALSE),"Y","N")</f>
        <v>N</v>
      </c>
      <c r="X95" s="247">
        <f t="shared" si="31"/>
        <v>1</v>
      </c>
      <c r="Y95" s="247">
        <f t="shared" si="32"/>
        <v>4.8599999999999997E-2</v>
      </c>
      <c r="Z95" s="247">
        <f t="shared" si="33"/>
        <v>23.330400000000001</v>
      </c>
      <c r="AA95" s="247">
        <f t="shared" si="34"/>
        <v>23.2818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5"/>
        <v>183</v>
      </c>
      <c r="AE95" s="235" t="str">
        <f t="shared" si="3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95" s="234" t="str">
        <f t="shared" si="37"/>
        <v>"C:\Program Files (x86)\AstroGrep\AstroGrep.exe" /e /r /s /spath="%USERPROFILE%\AppData\Local\Temp\OnboardLogs" /stypes="app*4036*20171209*" /stext=" 21:.+((SYSTEM_STATE.+slice.+state.+changed )|(ment ac)|(multiple cpu faults)|(system.+state.+changed )|(\[timeout)|(PRM\|1\|D)|(kpr)|(kdp)|(train st.+moving)|(\|lc)|(penalty))"</v>
      </c>
      <c r="AG95" s="244" t="str">
        <f t="shared" si="38"/>
        <v>EC</v>
      </c>
      <c r="AH95" s="236" t="str">
        <f t="shared" si="39"/>
        <v>"%USERPROFILE%\Documents\GitHub\eaglep3\Utilities\RefineRTDCRunTimes.py" --tripid 183-09 --locoid 4036 --swversion DE.1.0.9.0 --startMP 204:486 --initTime 2017-12-09T13:52:22 --startdatetime 2017-12-09T14:00:15 --delay 57 --endMP 204:233304 --enddatetime 2017-12-09T14:35:26 --enforcementcount 0 &gt;&gt;%USERPROFILE%\Documents\GitHub\eaglep3-reporting\EC\2017-12-09-refined-times.txt</v>
      </c>
      <c r="AI9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{"issue":{"subject":"","project_id":79,"tracker_id":40,"status_id":1,"priority_id":2,"assigned_to_id":338,"start_date":"2017-12-09","description":"","custom_fields":[{"id":1,"name":"Subdivision","value":"EC"},{"id":4,"name":"Milepost","value":"23.3304"},{"id":17,"name":"Train ID","value":"183-09"},{"id":16,"name":"Locomotive ID","value":"4036"},{"id":130,"name":"Impact","value":""},{"id":150,"name":"Time of Event (Mountain Time)","value":"14:35:26"},{"id":151,"name":"Denver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1"/>
        <v>start /low /b %USERPROFILE%\Documents\GitHub\eaglep3\Utilities\DownloadLogsFromS3.py --loco 4036 --day 2017-12-09</v>
      </c>
      <c r="AN95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3"/>
        <v>https://d0f6bd738d7f1b3e5a7ca70fe4ff75f0.us-east-1.aws.found.io/app/kibana#/discover/Steve-Slow-Train-Analysis-(2080s-and-2083s)?_g=(refreshInterval:(display:Off,pause:!f,section:0,value:0),time:(from:'2017-12-09T12:52:22-0700',mode:absolute,to:'2017-12-09T15:35:26-0700'))&amp;_a=(columns:!('Message%20ID',Summary),filters:!(),index:'emp_*',interval:auto,query:(query_string:(analyze_wildcard:!t,query:'%22rtdc.l.rtdc.4036%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808</v>
      </c>
      <c r="B96" s="225">
        <v>4035</v>
      </c>
      <c r="C96" s="227" t="s">
        <v>192</v>
      </c>
      <c r="D96" s="227" t="s">
        <v>930</v>
      </c>
      <c r="E96" s="226">
        <v>43078.616666666669</v>
      </c>
      <c r="F96" s="226">
        <v>43078.623206018521</v>
      </c>
      <c r="G96" s="225">
        <v>49</v>
      </c>
      <c r="H96" s="227" t="s">
        <v>555</v>
      </c>
      <c r="I96" s="226">
        <v>43078.648900462962</v>
      </c>
      <c r="J96" s="225">
        <v>0</v>
      </c>
      <c r="K96" s="237" t="str">
        <f t="shared" si="25"/>
        <v>4035/4036</v>
      </c>
      <c r="L96" s="245" t="str">
        <f>VLOOKUP(A96,'Trips&amp;Operators'!$C$1:$G$99911,5,FALSE)</f>
        <v>GONZALEZ ARMANDO</v>
      </c>
      <c r="M96" s="224">
        <f t="shared" si="26"/>
        <v>2.569444444088731E-2</v>
      </c>
      <c r="N96" s="225">
        <f t="shared" si="27"/>
        <v>36.999999994877726</v>
      </c>
      <c r="O96" s="225"/>
      <c r="P96" s="225"/>
      <c r="Q96" s="228"/>
      <c r="R96" s="242"/>
      <c r="S96" s="249">
        <f t="shared" si="28"/>
        <v>1</v>
      </c>
      <c r="T96" s="242" t="str">
        <f t="shared" si="29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0"/>
        <v>https://d0f6bd738d7f1b3e5a7ca70fe4ff75f0.us-east-1.aws.found.io/app/kibana#/discover/Steve-Slow-Train-Analysis-(2080s-and-2083s)?_g=(refreshInterval:(display:Off,pause:!f,section:0,value:0),time:(from:'2017-12-09T13:48:00-0700',mode:absolute,to:'2017-12-09T16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6" s="247" t="str">
        <f>IF(AA96&lt;VLOOKUP(AG96,Variables!$AC$3:$AD$8,2,FALSE),"Y","N")</f>
        <v>N</v>
      </c>
      <c r="X96" s="247">
        <f t="shared" si="31"/>
        <v>1</v>
      </c>
      <c r="Y96" s="247">
        <f t="shared" si="32"/>
        <v>23.299399999999999</v>
      </c>
      <c r="Z96" s="247">
        <f t="shared" si="33"/>
        <v>1.9099999999999999E-2</v>
      </c>
      <c r="AA96" s="247">
        <f t="shared" si="34"/>
        <v>23.280299999999997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5"/>
        <v>184</v>
      </c>
      <c r="AE96" s="235" t="str">
        <f t="shared" si="36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96" s="234" t="str">
        <f t="shared" si="37"/>
        <v>"C:\Program Files (x86)\AstroGrep\AstroGrep.exe" /e /r /s /spath="%USERPROFILE%\AppData\Local\Temp\OnboardLogs" /stypes="app*4035*20171209*" /stext=" 22:.+((SYSTEM_STATE.+slice.+state.+changed )|(ment ac)|(multiple cpu faults)|(system.+state.+changed )|(\[timeout)|(PRM\|1\|D)|(kpr)|(kdp)|(train st.+moving)|(\|lc)|(penalty))"</v>
      </c>
      <c r="AG96" s="244" t="str">
        <f t="shared" si="38"/>
        <v>EC</v>
      </c>
      <c r="AH96" s="236" t="str">
        <f t="shared" si="39"/>
        <v>"%USERPROFILE%\Documents\GitHub\eaglep3\Utilities\RefineRTDCRunTimes.py" --tripid 184-09 --locoid 4035 --swversion DE.1.0.9.0 --startMP 204:232994 --initTime 2017-12-09T14:48:00 --startdatetime 2017-12-09T14:57:25 --delay 49 --endMP 204:191 --enddatetime 2017-12-09T15:34:25 --enforcementcount 0 &gt;&gt;%USERPROFILE%\Documents\GitHub\eaglep3-reporting\EC\2017-12-09-refined-times.txt</v>
      </c>
      <c r="AI9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{"issue":{"subject":"","project_id":79,"tracker_id":40,"status_id":1,"priority_id":2,"assigned_to_id":338,"start_date":"2017-12-09","description":"","custom_fields":[{"id":1,"name":"Subdivision","value":"EC"},{"id":4,"name":"Milepost","value":"0.0191"},{"id":17,"name":"Train ID","value":"184-09"},{"id":16,"name":"Locomotive ID","value":"4035"},{"id":130,"name":"Impact","value":""},{"id":150,"name":"Time of Event (Mountain Time)","value":"15:34:25"},{"id":151,"name":"Denver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1"/>
        <v>start /low /b %USERPROFILE%\Documents\GitHub\eaglep3\Utilities\DownloadLogsFromS3.py --loco 4035 --day 2017-12-09</v>
      </c>
      <c r="AN96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3"/>
        <v>https://d0f6bd738d7f1b3e5a7ca70fe4ff75f0.us-east-1.aws.found.io/app/kibana#/discover/Steve-Slow-Train-Analysis-(2080s-and-2083s)?_g=(refreshInterval:(display:Off,pause:!f,section:0,value:0),time:(from:'2017-12-09T13:48:00-0700',mode:absolute,to:'2017-12-09T16:34:25-0700'))&amp;_a=(columns:!('Message%20ID',Summary),filters:!(),index:'emp_*',interval:auto,query:(query_string:(analyze_wildcard:!t,query:'%22rtdc.l.rtdc.4035%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802</v>
      </c>
      <c r="B97" s="225">
        <v>4014</v>
      </c>
      <c r="C97" s="227" t="s">
        <v>192</v>
      </c>
      <c r="D97" s="227" t="s">
        <v>670</v>
      </c>
      <c r="E97" s="226">
        <v>43078.590474537035</v>
      </c>
      <c r="F97" s="226">
        <v>43078.593993055554</v>
      </c>
      <c r="G97" s="225">
        <v>85</v>
      </c>
      <c r="H97" s="227" t="s">
        <v>636</v>
      </c>
      <c r="I97" s="226">
        <v>43078.617395833331</v>
      </c>
      <c r="J97" s="225">
        <v>0</v>
      </c>
      <c r="K97" s="237" t="str">
        <f t="shared" si="25"/>
        <v>4013/4014</v>
      </c>
      <c r="L97" s="245" t="str">
        <f>VLOOKUP(A97,'Trips&amp;Operators'!$C$1:$G$99911,5,FALSE)</f>
        <v>BRUDER RICHARD</v>
      </c>
      <c r="M97" s="224">
        <f t="shared" si="26"/>
        <v>2.3402777776937E-2</v>
      </c>
      <c r="N97" s="225">
        <f t="shared" si="27"/>
        <v>33.699999998789281</v>
      </c>
      <c r="O97" s="225"/>
      <c r="P97" s="225"/>
      <c r="Q97" s="228"/>
      <c r="R97" s="242"/>
      <c r="S97" s="249">
        <f t="shared" si="28"/>
        <v>1</v>
      </c>
      <c r="T97" s="242" t="str">
        <f t="shared" si="29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0"/>
        <v>https://d0f6bd738d7f1b3e5a7ca70fe4ff75f0.us-east-1.aws.found.io/app/kibana#/discover/Steve-Slow-Train-Analysis-(2080s-and-2083s)?_g=(refreshInterval:(display:Off,pause:!f,section:0,value:0),time:(from:'2017-12-09T13:10:17-0700',mode:absolute,to:'2017-12-09T15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247" t="str">
        <f>IF(AA97&lt;VLOOKUP(AG97,Variables!$AC$3:$AD$8,2,FALSE),"Y","N")</f>
        <v>N</v>
      </c>
      <c r="X97" s="247">
        <f t="shared" si="31"/>
        <v>1</v>
      </c>
      <c r="Y97" s="247">
        <f t="shared" si="32"/>
        <v>5.3900000000000003E-2</v>
      </c>
      <c r="Z97" s="247">
        <f t="shared" si="33"/>
        <v>23.321999999999999</v>
      </c>
      <c r="AA97" s="247">
        <f t="shared" si="34"/>
        <v>23.2681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5"/>
        <v>185</v>
      </c>
      <c r="AE97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97" s="234" t="str">
        <f t="shared" si="37"/>
        <v>"C:\Program Files (x86)\AstroGrep\AstroGrep.exe" /e /r /s /spath="%USERPROFILE%\AppData\Local\Temp\OnboardLogs" /stypes="app*4014*20171209*" /stext=" 21:.+((SYSTEM_STATE.+slice.+state.+changed )|(ment ac)|(multiple cpu faults)|(system.+state.+changed )|(\[timeout)|(PRM\|1\|D)|(kpr)|(kdp)|(train st.+moving)|(\|lc)|(penalty))"</v>
      </c>
      <c r="AG97" s="244" t="str">
        <f t="shared" si="38"/>
        <v>EC</v>
      </c>
      <c r="AH97" s="236" t="str">
        <f t="shared" si="39"/>
        <v>"%USERPROFILE%\Documents\GitHub\eaglep3\Utilities\RefineRTDCRunTimes.py" --tripid 185-09 --locoid 4014 --swversion DE.1.0.9.0 --startMP 204:539 --initTime 2017-12-09T14:10:17 --startdatetime 2017-12-09T14:15:21 --delay 85 --endMP 204:233220 --enddatetime 2017-12-09T14:49:03 --enforcementcount 0 &gt;&gt;%USERPROFILE%\Documents\GitHub\eaglep3-reporting\EC\2017-12-09-refined-times.txt</v>
      </c>
      <c r="AI9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{"issue":{"subject":"","project_id":79,"tracker_id":40,"status_id":1,"priority_id":2,"assigned_to_id":338,"start_date":"2017-12-09","description":"","custom_fields":[{"id":1,"name":"Subdivision","value":"EC"},{"id":4,"name":"Milepost","value":"23.322"},{"id":17,"name":"Train ID","value":"185-09"},{"id":16,"name":"Locomotive ID","value":"4014"},{"id":130,"name":"Impact","value":""},{"id":150,"name":"Time of Event (Mountain Time)","value":"14:49:03"},{"id":151,"name":"Denver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1"/>
        <v>start /low /b %USERPROFILE%\Documents\GitHub\eaglep3\Utilities\DownloadLogsFromS3.py --loco 4014 --day 2017-12-09</v>
      </c>
      <c r="AN97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3"/>
        <v>https://d0f6bd738d7f1b3e5a7ca70fe4ff75f0.us-east-1.aws.found.io/app/kibana#/discover/Steve-Slow-Train-Analysis-(2080s-and-2083s)?_g=(refreshInterval:(display:Off,pause:!f,section:0,value:0),time:(from:'2017-12-09T13:10:17-0700',mode:absolute,to:'2017-12-09T15:49:03-0700'))&amp;_a=(columns:!('Message%20ID',Summary),filters:!(),index:'emp_*',interval:auto,query:(query_string:(analyze_wildcard:!t,query:'%22rtdc.l.rtdc.4014%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811</v>
      </c>
      <c r="B98" s="225">
        <v>4013</v>
      </c>
      <c r="C98" s="227" t="s">
        <v>192</v>
      </c>
      <c r="D98" s="227" t="s">
        <v>634</v>
      </c>
      <c r="E98" s="226">
        <v>43078.63013888889</v>
      </c>
      <c r="F98" s="226">
        <v>43078.633506944447</v>
      </c>
      <c r="G98" s="225">
        <v>60</v>
      </c>
      <c r="H98" s="227" t="s">
        <v>509</v>
      </c>
      <c r="I98" s="226">
        <v>43078.659305555557</v>
      </c>
      <c r="J98" s="225">
        <v>0</v>
      </c>
      <c r="K98" s="237" t="str">
        <f t="shared" si="25"/>
        <v>4013/4014</v>
      </c>
      <c r="L98" s="245" t="str">
        <f>VLOOKUP(A98,'Trips&amp;Operators'!$C$1:$G$99911,5,FALSE)</f>
        <v>BRUDER RICHARD</v>
      </c>
      <c r="M98" s="224">
        <f t="shared" si="26"/>
        <v>2.5798611110076308E-2</v>
      </c>
      <c r="N98" s="225">
        <f t="shared" si="27"/>
        <v>37.149999998509884</v>
      </c>
      <c r="O98" s="225"/>
      <c r="P98" s="225"/>
      <c r="Q98" s="228"/>
      <c r="R98" s="242"/>
      <c r="S98" s="249">
        <f t="shared" si="28"/>
        <v>1</v>
      </c>
      <c r="T98" s="242" t="str">
        <f t="shared" si="29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0"/>
        <v>https://d0f6bd738d7f1b3e5a7ca70fe4ff75f0.us-east-1.aws.found.io/app/kibana#/discover/Steve-Slow-Train-Analysis-(2080s-and-2083s)?_g=(refreshInterval:(display:Off,pause:!f,section:0,value:0),time:(from:'2017-12-09T14:07:24-0700',mode:absolute,to:'2017-12-09T16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247" t="str">
        <f>IF(AA98&lt;VLOOKUP(AG98,Variables!$AC$3:$AD$8,2,FALSE),"Y","N")</f>
        <v>N</v>
      </c>
      <c r="X98" s="247">
        <f t="shared" si="31"/>
        <v>1</v>
      </c>
      <c r="Y98" s="247">
        <f t="shared" si="32"/>
        <v>23.2898</v>
      </c>
      <c r="Z98" s="247">
        <f t="shared" si="33"/>
        <v>2.2499999999999999E-2</v>
      </c>
      <c r="AA98" s="247">
        <f t="shared" si="34"/>
        <v>23.267299999999999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5"/>
        <v>186</v>
      </c>
      <c r="AE98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98" s="234" t="str">
        <f t="shared" si="37"/>
        <v>"C:\Program Files (x86)\AstroGrep\AstroGrep.exe" /e /r /s /spath="%USERPROFILE%\AppData\Local\Temp\OnboardLogs" /stypes="app*4013*20171209*" /stext=" 22:.+((SYSTEM_STATE.+slice.+state.+changed )|(ment ac)|(multiple cpu faults)|(system.+state.+changed )|(\[timeout)|(PRM\|1\|D)|(kpr)|(kdp)|(train st.+moving)|(\|lc)|(penalty))"</v>
      </c>
      <c r="AG98" s="244" t="str">
        <f t="shared" si="38"/>
        <v>EC</v>
      </c>
      <c r="AH98" s="236" t="str">
        <f t="shared" si="39"/>
        <v>"%USERPROFILE%\Documents\GitHub\eaglep3\Utilities\RefineRTDCRunTimes.py" --tripid 186-09 --locoid 4013 --swversion DE.1.0.9.0 --startMP 204:232898 --initTime 2017-12-09T15:07:24 --startdatetime 2017-12-09T15:12:15 --delay 60 --endMP 204:225 --enddatetime 2017-12-09T15:49:24 --enforcementcount 0 &gt;&gt;%USERPROFILE%\Documents\GitHub\eaglep3-reporting\EC\2017-12-09-refined-times.txt</v>
      </c>
      <c r="AI9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{"issue":{"subject":"","project_id":79,"tracker_id":40,"status_id":1,"priority_id":2,"assigned_to_id":338,"start_date":"2017-12-09","description":"","custom_fields":[{"id":1,"name":"Subdivision","value":"EC"},{"id":4,"name":"Milepost","value":"0.0225"},{"id":17,"name":"Train ID","value":"186-09"},{"id":16,"name":"Locomotive ID","value":"4013"},{"id":130,"name":"Impact","value":""},{"id":150,"name":"Time of Event (Mountain Time)","value":"15:49:24"},{"id":151,"name":"Denver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1"/>
        <v>start /low /b %USERPROFILE%\Documents\GitHub\eaglep3\Utilities\DownloadLogsFromS3.py --loco 4013 --day 2017-12-09</v>
      </c>
      <c r="AN98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3"/>
        <v>https://d0f6bd738d7f1b3e5a7ca70fe4ff75f0.us-east-1.aws.found.io/app/kibana#/discover/Steve-Slow-Train-Analysis-(2080s-and-2083s)?_g=(refreshInterval:(display:Off,pause:!f,section:0,value:0),time:(from:'2017-12-09T14:07:24-0700',mode:absolute,to:'2017-12-09T16:49:24-0700'))&amp;_a=(columns:!('Message%20ID',Summary),filters:!(),index:'emp_*',interval:auto,query:(query_string:(analyze_wildcard:!t,query:'%22rtdc.l.rtdc.4013%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804</v>
      </c>
      <c r="B99" s="225">
        <v>4060</v>
      </c>
      <c r="C99" s="227" t="s">
        <v>192</v>
      </c>
      <c r="D99" s="227" t="s">
        <v>994</v>
      </c>
      <c r="E99" s="226">
        <v>43078.601006944446</v>
      </c>
      <c r="F99" s="226">
        <v>43078.604409722226</v>
      </c>
      <c r="G99" s="225">
        <v>60</v>
      </c>
      <c r="H99" s="227" t="s">
        <v>995</v>
      </c>
      <c r="I99" s="226">
        <v>43078.628668981481</v>
      </c>
      <c r="J99" s="225">
        <v>0</v>
      </c>
      <c r="K99" s="237" t="str">
        <f t="shared" si="25"/>
        <v>4059/4060</v>
      </c>
      <c r="L99" s="245" t="str">
        <f>VLOOKUP(A99,'Trips&amp;Operators'!$C$1:$G$99911,5,FALSE)</f>
        <v>HOLCOMB KAMDEN</v>
      </c>
      <c r="M99" s="224">
        <f t="shared" si="26"/>
        <v>2.4259259254904464E-2</v>
      </c>
      <c r="N99" s="225">
        <f t="shared" si="27"/>
        <v>34.933333327062428</v>
      </c>
      <c r="O99" s="225"/>
      <c r="P99" s="225"/>
      <c r="Q99" s="228"/>
      <c r="R99" s="242"/>
      <c r="S99" s="249">
        <f t="shared" si="28"/>
        <v>1</v>
      </c>
      <c r="T99" s="242" t="str">
        <f t="shared" si="29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0"/>
        <v>https://d0f6bd738d7f1b3e5a7ca70fe4ff75f0.us-east-1.aws.found.io/app/kibana#/discover/Steve-Slow-Train-Analysis-(2080s-and-2083s)?_g=(refreshInterval:(display:Off,pause:!f,section:0,value:0),time:(from:'2017-12-09T13:25:27-0700',mode:absolute,to:'2017-12-09T16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9" s="247" t="str">
        <f>IF(AA99&lt;VLOOKUP(AG99,Variables!$AC$3:$AD$8,2,FALSE),"Y","N")</f>
        <v>N</v>
      </c>
      <c r="X99" s="247">
        <f t="shared" si="31"/>
        <v>1</v>
      </c>
      <c r="Y99" s="247">
        <f t="shared" si="32"/>
        <v>4.8399999999999999E-2</v>
      </c>
      <c r="Z99" s="247">
        <f t="shared" si="33"/>
        <v>23.322700000000001</v>
      </c>
      <c r="AA99" s="247">
        <f t="shared" si="34"/>
        <v>23.2743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5"/>
        <v>187</v>
      </c>
      <c r="AE99" s="235" t="str">
        <f t="shared" si="3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99" s="234" t="str">
        <f t="shared" si="37"/>
        <v>"C:\Program Files (x86)\AstroGrep\AstroGrep.exe" /e /r /s /spath="%USERPROFILE%\AppData\Local\Temp\OnboardLogs" /stypes="app*4060*20171209*" /stext=" 22:.+((SYSTEM_STATE.+slice.+state.+changed )|(ment ac)|(multiple cpu faults)|(system.+state.+changed )|(\[timeout)|(PRM\|1\|D)|(kpr)|(kdp)|(train st.+moving)|(\|lc)|(penalty))"</v>
      </c>
      <c r="AG99" s="244" t="str">
        <f t="shared" si="38"/>
        <v>EC</v>
      </c>
      <c r="AH99" s="236" t="str">
        <f t="shared" si="39"/>
        <v>"%USERPROFILE%\Documents\GitHub\eaglep3\Utilities\RefineRTDCRunTimes.py" --tripid 187-09 --locoid 4060 --swversion DE.1.0.9.0 --startMP 204:484 --initTime 2017-12-09T14:25:27 --startdatetime 2017-12-09T14:30:21 --delay 60 --endMP 204:233227 --enddatetime 2017-12-09T15:05:17 --enforcementcount 0 &gt;&gt;%USERPROFILE%\Documents\GitHub\eaglep3-reporting\EC\2017-12-09-refined-times.txt</v>
      </c>
      <c r="AI9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{"issue":{"subject":"","project_id":79,"tracker_id":40,"status_id":1,"priority_id":2,"assigned_to_id":338,"start_date":"2017-12-09","description":"","custom_fields":[{"id":1,"name":"Subdivision","value":"EC"},{"id":4,"name":"Milepost","value":"23.3227"},{"id":17,"name":"Train ID","value":"187-09"},{"id":16,"name":"Locomotive ID","value":"4060"},{"id":130,"name":"Impact","value":""},{"id":150,"name":"Time of Event (Mountain Time)","value":"15:05:17"},{"id":151,"name":"Denver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1"/>
        <v>start /low /b %USERPROFILE%\Documents\GitHub\eaglep3\Utilities\DownloadLogsFromS3.py --loco 4060 --day 2017-12-09</v>
      </c>
      <c r="AN99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3"/>
        <v>https://d0f6bd738d7f1b3e5a7ca70fe4ff75f0.us-east-1.aws.found.io/app/kibana#/discover/Steve-Slow-Train-Analysis-(2080s-and-2083s)?_g=(refreshInterval:(display:Off,pause:!f,section:0,value:0),time:(from:'2017-12-09T13:25:27-0700',mode:absolute,to:'2017-12-09T16:05:17-0700'))&amp;_a=(columns:!('Message%20ID',Summary),filters:!(),index:'emp_*',interval:auto,query:(query_string:(analyze_wildcard:!t,query:'%22rtdc.l.rtdc.4060%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813</v>
      </c>
      <c r="B100" s="225">
        <v>4059</v>
      </c>
      <c r="C100" s="227" t="s">
        <v>192</v>
      </c>
      <c r="D100" s="227" t="s">
        <v>996</v>
      </c>
      <c r="E100" s="226">
        <v>43078.641493055555</v>
      </c>
      <c r="F100" s="226">
        <v>43078.644108796296</v>
      </c>
      <c r="G100" s="225">
        <v>51</v>
      </c>
      <c r="H100" s="227" t="s">
        <v>615</v>
      </c>
      <c r="I100" s="226">
        <v>43078.668981481482</v>
      </c>
      <c r="J100" s="225">
        <v>0</v>
      </c>
      <c r="K100" s="237" t="str">
        <f t="shared" si="25"/>
        <v>4059/4060</v>
      </c>
      <c r="L100" s="245" t="str">
        <f>VLOOKUP(A100,'Trips&amp;Operators'!$C$1:$G$99911,5,FALSE)</f>
        <v>HOLCOMB KAMDEN</v>
      </c>
      <c r="M100" s="224">
        <f t="shared" si="26"/>
        <v>2.4872685185982846E-2</v>
      </c>
      <c r="N100" s="225">
        <f t="shared" si="27"/>
        <v>35.816666667815298</v>
      </c>
      <c r="O100" s="225"/>
      <c r="P100" s="225"/>
      <c r="Q100" s="228"/>
      <c r="R100" s="242"/>
      <c r="S100" s="249">
        <f t="shared" si="28"/>
        <v>1</v>
      </c>
      <c r="T100" s="242" t="str">
        <f t="shared" si="29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0"/>
        <v>https://d0f6bd738d7f1b3e5a7ca70fe4ff75f0.us-east-1.aws.found.io/app/kibana#/discover/Steve-Slow-Train-Analysis-(2080s-and-2083s)?_g=(refreshInterval:(display:Off,pause:!f,section:0,value:0),time:(from:'2017-12-09T14:23:45-0700',mode:absolute,to:'2017-12-09T17:03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0" s="247" t="str">
        <f>IF(AA100&lt;VLOOKUP(AG100,Variables!$AC$3:$AD$8,2,FALSE),"Y","N")</f>
        <v>N</v>
      </c>
      <c r="X100" s="247">
        <f t="shared" si="31"/>
        <v>1</v>
      </c>
      <c r="Y100" s="247">
        <f t="shared" si="32"/>
        <v>23.290800000000001</v>
      </c>
      <c r="Z100" s="247">
        <f t="shared" si="33"/>
        <v>0.02</v>
      </c>
      <c r="AA100" s="247">
        <f t="shared" si="34"/>
        <v>23.270800000000001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5"/>
        <v>188</v>
      </c>
      <c r="AE100" s="235" t="str">
        <f t="shared" si="36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100" s="234" t="str">
        <f t="shared" si="37"/>
        <v>"C:\Program Files (x86)\AstroGrep\AstroGrep.exe" /e /r /s /spath="%USERPROFILE%\AppData\Local\Temp\OnboardLogs" /stypes="app*4059*20171209*" /stext=" 23:.+((SYSTEM_STATE.+slice.+state.+changed )|(ment ac)|(multiple cpu faults)|(system.+state.+changed )|(\[timeout)|(PRM\|1\|D)|(kpr)|(kdp)|(train st.+moving)|(\|lc)|(penalty))"</v>
      </c>
      <c r="AG100" s="244" t="str">
        <f t="shared" si="38"/>
        <v>EC</v>
      </c>
      <c r="AH100" s="236" t="str">
        <f t="shared" si="39"/>
        <v>"%USERPROFILE%\Documents\GitHub\eaglep3\Utilities\RefineRTDCRunTimes.py" --tripid 188-09 --locoid 4059 --swversion DE.1.0.9.0 --startMP 204:232908 --initTime 2017-12-09T15:23:45 --startdatetime 2017-12-09T15:27:31 --delay 51 --endMP 204:200 --enddatetime 2017-12-09T16:03:20 --enforcementcount 0 &gt;&gt;%USERPROFILE%\Documents\GitHub\eaglep3-reporting\EC\2017-12-09-refined-times.txt</v>
      </c>
      <c r="AI10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{"issue":{"subject":"","project_id":79,"tracker_id":40,"status_id":1,"priority_id":2,"assigned_to_id":338,"start_date":"2017-12-09","description":"","custom_fields":[{"id":1,"name":"Subdivision","value":"EC"},{"id":4,"name":"Milepost","value":"0.02"},{"id":17,"name":"Train ID","value":"188-09"},{"id":16,"name":"Locomotive ID","value":"4059"},{"id":130,"name":"Impact","value":""},{"id":150,"name":"Time of Event (Mountain Time)","value":"16:03:20"},{"id":151,"name":"Denver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1"/>
        <v>start /low /b %USERPROFILE%\Documents\GitHub\eaglep3\Utilities\DownloadLogsFromS3.py --loco 4059 --day 2017-12-09</v>
      </c>
      <c r="AN100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23:03:20"},{"id":29,"name":"Sharepoint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3"/>
        <v>https://d0f6bd738d7f1b3e5a7ca70fe4ff75f0.us-east-1.aws.found.io/app/kibana#/discover/Steve-Slow-Train-Analysis-(2080s-and-2083s)?_g=(refreshInterval:(display:Off,pause:!f,section:0,value:0),time:(from:'2017-12-09T14:23:45-0700',mode:absolute,to:'2017-12-09T17:03:20-0700'))&amp;_a=(columns:!('Message%20ID',Summary),filters:!(),index:'emp_*',interval:auto,query:(query_string:(analyze_wildcard:!t,query:'%22rtdc.l.rtdc.4059%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807</v>
      </c>
      <c r="B101" s="225">
        <v>4028</v>
      </c>
      <c r="C101" s="227" t="s">
        <v>192</v>
      </c>
      <c r="D101" s="227" t="s">
        <v>670</v>
      </c>
      <c r="E101" s="226">
        <v>43078.61178240741</v>
      </c>
      <c r="F101" s="226">
        <v>43078.614988425928</v>
      </c>
      <c r="G101" s="225">
        <v>53</v>
      </c>
      <c r="H101" s="227" t="s">
        <v>997</v>
      </c>
      <c r="I101" s="226">
        <v>43078.640405092592</v>
      </c>
      <c r="J101" s="225">
        <v>0</v>
      </c>
      <c r="K101" s="237" t="str">
        <f t="shared" si="25"/>
        <v>4027/4028</v>
      </c>
      <c r="L101" s="245" t="str">
        <f>VLOOKUP(A101,'Trips&amp;Operators'!$C$1:$G$99911,5,FALSE)</f>
        <v>DAVIS MICHAEL</v>
      </c>
      <c r="M101" s="224">
        <f t="shared" si="26"/>
        <v>2.5416666663659271E-2</v>
      </c>
      <c r="N101" s="225">
        <f t="shared" si="27"/>
        <v>36.59999999566935</v>
      </c>
      <c r="O101" s="225"/>
      <c r="P101" s="225"/>
      <c r="Q101" s="228"/>
      <c r="R101" s="242"/>
      <c r="S101" s="249">
        <f t="shared" si="28"/>
        <v>1</v>
      </c>
      <c r="T101" s="242" t="str">
        <f t="shared" si="29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0"/>
        <v>https://d0f6bd738d7f1b3e5a7ca70fe4ff75f0.us-east-1.aws.found.io/app/kibana#/discover/Steve-Slow-Train-Analysis-(2080s-and-2083s)?_g=(refreshInterval:(display:Off,pause:!f,section:0,value:0),time:(from:'2017-12-09T13:40:58-0700',mode:absolute,to:'2017-12-09T16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247" t="str">
        <f>IF(AA101&lt;VLOOKUP(AG101,Variables!$AC$3:$AD$8,2,FALSE),"Y","N")</f>
        <v>N</v>
      </c>
      <c r="X101" s="247">
        <f t="shared" si="31"/>
        <v>1</v>
      </c>
      <c r="Y101" s="247">
        <f t="shared" si="32"/>
        <v>5.3900000000000003E-2</v>
      </c>
      <c r="Z101" s="247">
        <f t="shared" si="33"/>
        <v>23.328600000000002</v>
      </c>
      <c r="AA101" s="247">
        <f t="shared" si="34"/>
        <v>23.274700000000003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5"/>
        <v>189</v>
      </c>
      <c r="AE101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01" s="234" t="str">
        <f t="shared" si="37"/>
        <v>"C:\Program Files (x86)\AstroGrep\AstroGrep.exe" /e /r /s /spath="%USERPROFILE%\AppData\Local\Temp\OnboardLogs" /stypes="app*4028*20171209*" /stext=" 22:.+((SYSTEM_STATE.+slice.+state.+changed )|(ment ac)|(multiple cpu faults)|(system.+state.+changed )|(\[timeout)|(PRM\|1\|D)|(kpr)|(kdp)|(train st.+moving)|(\|lc)|(penalty))"</v>
      </c>
      <c r="AG101" s="244" t="str">
        <f t="shared" si="38"/>
        <v>EC</v>
      </c>
      <c r="AH101" s="236" t="str">
        <f t="shared" si="39"/>
        <v>"%USERPROFILE%\Documents\GitHub\eaglep3\Utilities\RefineRTDCRunTimes.py" --tripid 189-09 --locoid 4028 --swversion DE.1.0.9.0 --startMP 204:539 --initTime 2017-12-09T14:40:58 --startdatetime 2017-12-09T14:45:35 --delay 53 --endMP 204:233286 --enddatetime 2017-12-09T15:22:11 --enforcementcount 0 &gt;&gt;%USERPROFILE%\Documents\GitHub\eaglep3-reporting\EC\2017-12-09-refined-times.txt</v>
      </c>
      <c r="AI10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{"issue":{"subject":"","project_id":79,"tracker_id":40,"status_id":1,"priority_id":2,"assigned_to_id":338,"start_date":"2017-12-09","description":"","custom_fields":[{"id":1,"name":"Subdivision","value":"EC"},{"id":4,"name":"Milepost","value":"23.3286"},{"id":17,"name":"Train ID","value":"189-09"},{"id":16,"name":"Locomotive ID","value":"4028"},{"id":130,"name":"Impact","value":""},{"id":150,"name":"Time of Event (Mountain Time)","value":"15:22:11"},{"id":151,"name":"Denver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1"/>
        <v>start /low /b %USERPROFILE%\Documents\GitHub\eaglep3\Utilities\DownloadLogsFromS3.py --loco 4028 --day 2017-12-09</v>
      </c>
      <c r="AN101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3"/>
        <v>https://d0f6bd738d7f1b3e5a7ca70fe4ff75f0.us-east-1.aws.found.io/app/kibana#/discover/Steve-Slow-Train-Analysis-(2080s-and-2083s)?_g=(refreshInterval:(display:Off,pause:!f,section:0,value:0),time:(from:'2017-12-09T13:40:58-0700',mode:absolute,to:'2017-12-09T16:22:11-0700'))&amp;_a=(columns:!('Message%20ID',Summary),filters:!(),index:'emp_*',interval:auto,query:(query_string:(analyze_wildcard:!t,query:'%22rtdc.l.rtdc.4028%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818</v>
      </c>
      <c r="B102" s="225">
        <v>4027</v>
      </c>
      <c r="C102" s="227" t="s">
        <v>192</v>
      </c>
      <c r="D102" s="227" t="s">
        <v>622</v>
      </c>
      <c r="E102" s="226">
        <v>43078.652812499997</v>
      </c>
      <c r="F102" s="226">
        <v>43078.654664351852</v>
      </c>
      <c r="G102" s="225">
        <v>68</v>
      </c>
      <c r="H102" s="227" t="s">
        <v>476</v>
      </c>
      <c r="I102" s="226">
        <v>43078.682743055557</v>
      </c>
      <c r="J102" s="225">
        <v>0</v>
      </c>
      <c r="K102" s="237" t="str">
        <f t="shared" si="25"/>
        <v>4027/4028</v>
      </c>
      <c r="L102" s="245" t="str">
        <f>VLOOKUP(A102,'Trips&amp;Operators'!$C$1:$G$99911,5,FALSE)</f>
        <v>DAVIS MICHAEL</v>
      </c>
      <c r="M102" s="224">
        <f t="shared" si="26"/>
        <v>2.8078703704522923E-2</v>
      </c>
      <c r="N102" s="225">
        <f t="shared" si="27"/>
        <v>40.433333334513009</v>
      </c>
      <c r="O102" s="225"/>
      <c r="P102" s="225"/>
      <c r="Q102" s="228"/>
      <c r="R102" s="242"/>
      <c r="S102" s="249">
        <f t="shared" si="28"/>
        <v>1</v>
      </c>
      <c r="T102" s="242" t="str">
        <f t="shared" si="29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0"/>
        <v>https://d0f6bd738d7f1b3e5a7ca70fe4ff75f0.us-east-1.aws.found.io/app/kibana#/discover/Steve-Slow-Train-Analysis-(2080s-and-2083s)?_g=(refreshInterval:(display:Off,pause:!f,section:0,value:0),time:(from:'2017-12-09T14:40:03-0700',mode:absolute,to:'2017-12-09T17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247" t="str">
        <f>IF(AA102&lt;VLOOKUP(AG102,Variables!$AC$3:$AD$8,2,FALSE),"Y","N")</f>
        <v>N</v>
      </c>
      <c r="X102" s="247">
        <f t="shared" si="31"/>
        <v>1</v>
      </c>
      <c r="Y102" s="247">
        <f t="shared" si="32"/>
        <v>23.297799999999999</v>
      </c>
      <c r="Z102" s="247">
        <f t="shared" si="33"/>
        <v>2.1100000000000001E-2</v>
      </c>
      <c r="AA102" s="247">
        <f t="shared" si="34"/>
        <v>23.276699999999998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5"/>
        <v>190</v>
      </c>
      <c r="AE102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02" s="234" t="str">
        <f t="shared" si="37"/>
        <v>"C:\Program Files (x86)\AstroGrep\AstroGrep.exe" /e /r /s /spath="%USERPROFILE%\AppData\Local\Temp\OnboardLogs" /stypes="app*4027*20171209*" /stext=" 23:.+((SYSTEM_STATE.+slice.+state.+changed )|(ment ac)|(multiple cpu faults)|(system.+state.+changed )|(\[timeout)|(PRM\|1\|D)|(kpr)|(kdp)|(train st.+moving)|(\|lc)|(penalty))"</v>
      </c>
      <c r="AG102" s="244" t="str">
        <f t="shared" si="38"/>
        <v>EC</v>
      </c>
      <c r="AH102" s="236" t="str">
        <f t="shared" si="39"/>
        <v>"%USERPROFILE%\Documents\GitHub\eaglep3\Utilities\RefineRTDCRunTimes.py" --tripid 190-09 --locoid 4027 --swversion DE.1.0.9.0 --startMP 204:232978 --initTime 2017-12-09T15:40:03 --startdatetime 2017-12-09T15:42:43 --delay 68 --endMP 204:211 --enddatetime 2017-12-09T16:23:09 --enforcementcount 0 &gt;&gt;%USERPROFILE%\Documents\GitHub\eaglep3-reporting\EC\2017-12-09-refined-times.txt</v>
      </c>
      <c r="AI10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{"issue":{"subject":"","project_id":79,"tracker_id":40,"status_id":1,"priority_id":2,"assigned_to_id":338,"start_date":"2017-12-09","description":"","custom_fields":[{"id":1,"name":"Subdivision","value":"EC"},{"id":4,"name":"Milepost","value":"0.0211"},{"id":17,"name":"Train ID","value":"190-09"},{"id":16,"name":"Locomotive ID","value":"4027"},{"id":130,"name":"Impact","value":""},{"id":150,"name":"Time of Event (Mountain Time)","value":"16:23:09"},{"id":151,"name":"Denver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1"/>
        <v>start /low /b %USERPROFILE%\Documents\GitHub\eaglep3\Utilities\DownloadLogsFromS3.py --loco 4027 --day 2017-12-09</v>
      </c>
      <c r="AN102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3"/>
        <v>https://d0f6bd738d7f1b3e5a7ca70fe4ff75f0.us-east-1.aws.found.io/app/kibana#/discover/Steve-Slow-Train-Analysis-(2080s-and-2083s)?_g=(refreshInterval:(display:Off,pause:!f,section:0,value:0),time:(from:'2017-12-09T14:40:03-0700',mode:absolute,to:'2017-12-09T17:23:09-0700'))&amp;_a=(columns:!('Message%20ID',Summary),filters:!(),index:'emp_*',interval:auto,query:(query_string:(analyze_wildcard:!t,query:'%22rtdc.l.rtdc.4027%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809</v>
      </c>
      <c r="B103" s="225">
        <v>4008</v>
      </c>
      <c r="C103" s="227" t="s">
        <v>192</v>
      </c>
      <c r="D103" s="227" t="s">
        <v>473</v>
      </c>
      <c r="E103" s="226">
        <v>43078.62060185185</v>
      </c>
      <c r="F103" s="226">
        <v>43078.625277777777</v>
      </c>
      <c r="G103" s="225">
        <v>102</v>
      </c>
      <c r="H103" s="227" t="s">
        <v>931</v>
      </c>
      <c r="I103" s="226">
        <v>43078.649837962963</v>
      </c>
      <c r="J103" s="225">
        <v>0</v>
      </c>
      <c r="K103" s="237" t="str">
        <f t="shared" si="25"/>
        <v>4007/4008</v>
      </c>
      <c r="L103" s="245" t="str">
        <f>VLOOKUP(A103,'Trips&amp;Operators'!$C$1:$G$99911,5,FALSE)</f>
        <v>SAFIEF AEIMEN</v>
      </c>
      <c r="M103" s="224">
        <f t="shared" si="26"/>
        <v>2.4560185185691807E-2</v>
      </c>
      <c r="N103" s="225">
        <f t="shared" si="27"/>
        <v>35.366666667396203</v>
      </c>
      <c r="O103" s="225"/>
      <c r="P103" s="225"/>
      <c r="Q103" s="228"/>
      <c r="R103" s="242"/>
      <c r="S103" s="249">
        <f t="shared" si="28"/>
        <v>1</v>
      </c>
      <c r="T103" s="242" t="str">
        <f t="shared" si="29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0"/>
        <v>https://d0f6bd738d7f1b3e5a7ca70fe4ff75f0.us-east-1.aws.found.io/app/kibana#/discover/Steve-Slow-Train-Analysis-(2080s-and-2083s)?_g=(refreshInterval:(display:Off,pause:!f,section:0,value:0),time:(from:'2017-12-09T13:53:40-0700',mode:absolute,to:'2017-12-09T16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247" t="str">
        <f>IF(AA103&lt;VLOOKUP(AG103,Variables!$AC$3:$AD$8,2,FALSE),"Y","N")</f>
        <v>N</v>
      </c>
      <c r="X103" s="247">
        <f t="shared" si="31"/>
        <v>1</v>
      </c>
      <c r="Y103" s="247">
        <f t="shared" si="32"/>
        <v>5.2200000000000003E-2</v>
      </c>
      <c r="Z103" s="247">
        <f t="shared" si="33"/>
        <v>23.325099999999999</v>
      </c>
      <c r="AA103" s="247">
        <f t="shared" si="34"/>
        <v>23.2729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5"/>
        <v>191</v>
      </c>
      <c r="AE103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03" s="234" t="str">
        <f t="shared" si="37"/>
        <v>"C:\Program Files (x86)\AstroGrep\AstroGrep.exe" /e /r /s /spath="%USERPROFILE%\AppData\Local\Temp\OnboardLogs" /stypes="app*4008*20171209*" /stext=" 22:.+((SYSTEM_STATE.+slice.+state.+changed )|(ment ac)|(multiple cpu faults)|(system.+state.+changed )|(\[timeout)|(PRM\|1\|D)|(kpr)|(kdp)|(train st.+moving)|(\|lc)|(penalty))"</v>
      </c>
      <c r="AG103" s="244" t="str">
        <f t="shared" si="38"/>
        <v>EC</v>
      </c>
      <c r="AH103" s="236" t="str">
        <f t="shared" si="39"/>
        <v>"%USERPROFILE%\Documents\GitHub\eaglep3\Utilities\RefineRTDCRunTimes.py" --tripid 191-09 --locoid 4008 --swversion DE.1.0.9.0 --startMP 204:522 --initTime 2017-12-09T14:53:40 --startdatetime 2017-12-09T15:00:24 --delay 102 --endMP 204:233251 --enddatetime 2017-12-09T15:35:46 --enforcementcount 0 &gt;&gt;%USERPROFILE%\Documents\GitHub\eaglep3-reporting\EC\2017-12-09-refined-times.txt</v>
      </c>
      <c r="AI10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{"issue":{"subject":"","project_id":79,"tracker_id":40,"status_id":1,"priority_id":2,"assigned_to_id":338,"start_date":"2017-12-09","description":"","custom_fields":[{"id":1,"name":"Subdivision","value":"EC"},{"id":4,"name":"Milepost","value":"23.3251"},{"id":17,"name":"Train ID","value":"191-09"},{"id":16,"name":"Locomotive ID","value":"4008"},{"id":130,"name":"Impact","value":""},{"id":150,"name":"Time of Event (Mountain Time)","value":"15:35:46"},{"id":151,"name":"Denver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1"/>
        <v>start /low /b %USERPROFILE%\Documents\GitHub\eaglep3\Utilities\DownloadLogsFromS3.py --loco 4008 --day 2017-12-09</v>
      </c>
      <c r="AN103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3"/>
        <v>https://d0f6bd738d7f1b3e5a7ca70fe4ff75f0.us-east-1.aws.found.io/app/kibana#/discover/Steve-Slow-Train-Analysis-(2080s-and-2083s)?_g=(refreshInterval:(display:Off,pause:!f,section:0,value:0),time:(from:'2017-12-09T13:53:40-0700',mode:absolute,to:'2017-12-09T16:35:46-0700'))&amp;_a=(columns:!('Message%20ID',Summary),filters:!(),index:'emp_*',interval:auto,query:(query_string:(analyze_wildcard:!t,query:'%22rtdc.l.rtdc.4008%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817</v>
      </c>
      <c r="B104" s="225">
        <v>4007</v>
      </c>
      <c r="C104" s="227" t="s">
        <v>192</v>
      </c>
      <c r="D104" s="227" t="s">
        <v>580</v>
      </c>
      <c r="E104" s="226">
        <v>43078.651921296296</v>
      </c>
      <c r="F104" s="226">
        <v>43078.664780092593</v>
      </c>
      <c r="G104" s="225">
        <v>59</v>
      </c>
      <c r="H104" s="227" t="s">
        <v>921</v>
      </c>
      <c r="I104" s="226">
        <v>43078.693773148145</v>
      </c>
      <c r="J104" s="225">
        <v>0</v>
      </c>
      <c r="K104" s="237" t="str">
        <f t="shared" si="25"/>
        <v>4007/4008</v>
      </c>
      <c r="L104" s="245" t="str">
        <f>VLOOKUP(A104,'Trips&amp;Operators'!$C$1:$G$99911,5,FALSE)</f>
        <v>SAFIEF AEIMEN</v>
      </c>
      <c r="M104" s="224">
        <f t="shared" si="26"/>
        <v>2.8993055551836733E-2</v>
      </c>
      <c r="N104" s="225">
        <f t="shared" si="27"/>
        <v>41.749999994644895</v>
      </c>
      <c r="O104" s="225"/>
      <c r="P104" s="225"/>
      <c r="Q104" s="228"/>
      <c r="R104" s="242"/>
      <c r="S104" s="249">
        <f t="shared" si="28"/>
        <v>1</v>
      </c>
      <c r="T104" s="242" t="str">
        <f t="shared" si="29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0"/>
        <v>https://d0f6bd738d7f1b3e5a7ca70fe4ff75f0.us-east-1.aws.found.io/app/kibana#/discover/Steve-Slow-Train-Analysis-(2080s-and-2083s)?_g=(refreshInterval:(display:Off,pause:!f,section:0,value:0),time:(from:'2017-12-09T14:38:46-0700',mode:absolute,to:'2017-12-09T17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247" t="str">
        <f>IF(AA104&lt;VLOOKUP(AG104,Variables!$AC$3:$AD$8,2,FALSE),"Y","N")</f>
        <v>N</v>
      </c>
      <c r="X104" s="247">
        <f t="shared" si="31"/>
        <v>1</v>
      </c>
      <c r="Y104" s="247">
        <f t="shared" si="32"/>
        <v>23.291499999999999</v>
      </c>
      <c r="Z104" s="247">
        <f t="shared" si="33"/>
        <v>1.8700000000000001E-2</v>
      </c>
      <c r="AA104" s="247">
        <f t="shared" si="34"/>
        <v>23.2728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5"/>
        <v>192</v>
      </c>
      <c r="AE104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04" s="234" t="str">
        <f t="shared" si="37"/>
        <v>"C:\Program Files (x86)\AstroGrep\AstroGrep.exe" /e /r /s /spath="%USERPROFILE%\AppData\Local\Temp\OnboardLogs" /stypes="app*4007*20171209*" /stext=" 23:.+((SYSTEM_STATE.+slice.+state.+changed )|(ment ac)|(multiple cpu faults)|(system.+state.+changed )|(\[timeout)|(PRM\|1\|D)|(kpr)|(kdp)|(train st.+moving)|(\|lc)|(penalty))"</v>
      </c>
      <c r="AG104" s="244" t="str">
        <f t="shared" si="38"/>
        <v>EC</v>
      </c>
      <c r="AH104" s="236" t="str">
        <f t="shared" si="39"/>
        <v>"%USERPROFILE%\Documents\GitHub\eaglep3\Utilities\RefineRTDCRunTimes.py" --tripid 192-09 --locoid 4007 --swversion DE.1.0.9.0 --startMP 204:232915 --initTime 2017-12-09T15:38:46 --startdatetime 2017-12-09T15:57:17 --delay 59 --endMP 204:187 --enddatetime 2017-12-09T16:39:02 --enforcementcount 0 &gt;&gt;%USERPROFILE%\Documents\GitHub\eaglep3-reporting\EC\2017-12-09-refined-times.txt</v>
      </c>
      <c r="AI10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{"issue":{"subject":"","project_id":79,"tracker_id":40,"status_id":1,"priority_id":2,"assigned_to_id":338,"start_date":"2017-12-09","description":"","custom_fields":[{"id":1,"name":"Subdivision","value":"EC"},{"id":4,"name":"Milepost","value":"0.0187"},{"id":17,"name":"Train ID","value":"192-09"},{"id":16,"name":"Locomotive ID","value":"4007"},{"id":130,"name":"Impact","value":""},{"id":150,"name":"Time of Event (Mountain Time)","value":"16:39:02"},{"id":151,"name":"Denver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1"/>
        <v>start /low /b %USERPROFILE%\Documents\GitHub\eaglep3\Utilities\DownloadLogsFromS3.py --loco 4007 --day 2017-12-09</v>
      </c>
      <c r="AN104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3"/>
        <v>https://d0f6bd738d7f1b3e5a7ca70fe4ff75f0.us-east-1.aws.found.io/app/kibana#/discover/Steve-Slow-Train-Analysis-(2080s-and-2083s)?_g=(refreshInterval:(display:Off,pause:!f,section:0,value:0),time:(from:'2017-12-09T14:38:46-0700',mode:absolute,to:'2017-12-09T17:39:02-0700'))&amp;_a=(columns:!('Message%20ID',Summary),filters:!(),index:'emp_*',interval:auto,query:(query_string:(analyze_wildcard:!t,query:'%22rtdc.l.rtdc.4007%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812</v>
      </c>
      <c r="B105" s="225">
        <v>4058</v>
      </c>
      <c r="C105" s="227" t="s">
        <v>192</v>
      </c>
      <c r="D105" s="227" t="s">
        <v>449</v>
      </c>
      <c r="E105" s="226">
        <v>43078.631585648145</v>
      </c>
      <c r="F105" s="226">
        <v>43078.635578703703</v>
      </c>
      <c r="G105" s="225">
        <v>51</v>
      </c>
      <c r="H105" s="227" t="s">
        <v>590</v>
      </c>
      <c r="I105" s="226">
        <v>43078.659502314818</v>
      </c>
      <c r="J105" s="225">
        <v>0</v>
      </c>
      <c r="K105" s="237" t="str">
        <f t="shared" si="25"/>
        <v>4057/4058</v>
      </c>
      <c r="L105" s="245" t="str">
        <f>VLOOKUP(A105,'Trips&amp;Operators'!$C$1:$G$99911,5,FALSE)</f>
        <v>GUZMAN DANNY</v>
      </c>
      <c r="M105" s="224">
        <f t="shared" si="26"/>
        <v>2.3923611115606036E-2</v>
      </c>
      <c r="N105" s="225">
        <f t="shared" si="27"/>
        <v>34.450000006472692</v>
      </c>
      <c r="O105" s="225"/>
      <c r="P105" s="225"/>
      <c r="Q105" s="228"/>
      <c r="R105" s="242"/>
      <c r="S105" s="249">
        <f t="shared" si="28"/>
        <v>1</v>
      </c>
      <c r="T105" s="242" t="str">
        <f t="shared" si="29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0"/>
        <v>https://d0f6bd738d7f1b3e5a7ca70fe4ff75f0.us-east-1.aws.found.io/app/kibana#/discover/Steve-Slow-Train-Analysis-(2080s-and-2083s)?_g=(refreshInterval:(display:Off,pause:!f,section:0,value:0),time:(from:'2017-12-09T14:09:29-0700',mode:absolute,to:'2017-12-09T16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247" t="str">
        <f>IF(AA105&lt;VLOOKUP(AG105,Variables!$AC$3:$AD$8,2,FALSE),"Y","N")</f>
        <v>N</v>
      </c>
      <c r="X105" s="247">
        <f t="shared" si="31"/>
        <v>1</v>
      </c>
      <c r="Y105" s="247">
        <f t="shared" si="32"/>
        <v>5.28E-2</v>
      </c>
      <c r="Z105" s="247">
        <f t="shared" si="33"/>
        <v>23.325900000000001</v>
      </c>
      <c r="AA105" s="247">
        <f t="shared" si="34"/>
        <v>23.273099999999999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5"/>
        <v>193</v>
      </c>
      <c r="AE105" s="235" t="str">
        <f t="shared" si="36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105" s="234" t="str">
        <f t="shared" si="37"/>
        <v>"C:\Program Files (x86)\AstroGrep\AstroGrep.exe" /e /r /s /spath="%USERPROFILE%\AppData\Local\Temp\OnboardLogs" /stypes="app*4058*20171209*" /stext=" 22:.+((SYSTEM_STATE.+slice.+state.+changed )|(ment ac)|(multiple cpu faults)|(system.+state.+changed )|(\[timeout)|(PRM\|1\|D)|(kpr)|(kdp)|(train st.+moving)|(\|lc)|(penalty))"</v>
      </c>
      <c r="AG105" s="244" t="str">
        <f t="shared" si="38"/>
        <v>EC</v>
      </c>
      <c r="AH105" s="236" t="str">
        <f t="shared" si="39"/>
        <v>"%USERPROFILE%\Documents\GitHub\eaglep3\Utilities\RefineRTDCRunTimes.py" --tripid 193-09 --locoid 4058 --swversion DE.1.0.9.0 --startMP 204:528 --initTime 2017-12-09T15:09:29 --startdatetime 2017-12-09T15:15:14 --delay 51 --endMP 204:233259 --enddatetime 2017-12-09T15:49:41 --enforcementcount 0 &gt;&gt;%USERPROFILE%\Documents\GitHub\eaglep3-reporting\EC\2017-12-09-refined-times.txt</v>
      </c>
      <c r="AI10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{"issue":{"subject":"","project_id":79,"tracker_id":40,"status_id":1,"priority_id":2,"assigned_to_id":338,"start_date":"2017-12-09","description":"","custom_fields":[{"id":1,"name":"Subdivision","value":"EC"},{"id":4,"name":"Milepost","value":"23.3259"},{"id":17,"name":"Train ID","value":"193-09"},{"id":16,"name":"Locomotive ID","value":"4058"},{"id":130,"name":"Impact","value":""},{"id":150,"name":"Time of Event (Mountain Time)","value":"15:49:41"},{"id":151,"name":"Denver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1"/>
        <v>start /low /b %USERPROFILE%\Documents\GitHub\eaglep3\Utilities\DownloadLogsFromS3.py --loco 4058 --day 2017-12-09</v>
      </c>
      <c r="AN105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3"/>
        <v>https://d0f6bd738d7f1b3e5a7ca70fe4ff75f0.us-east-1.aws.found.io/app/kibana#/discover/Steve-Slow-Train-Analysis-(2080s-and-2083s)?_g=(refreshInterval:(display:Off,pause:!f,section:0,value:0),time:(from:'2017-12-09T14:09:29-0700',mode:absolute,to:'2017-12-09T16:49:41-0700'))&amp;_a=(columns:!('Message%20ID',Summary),filters:!(),index:'emp_*',interval:auto,query:(query_string:(analyze_wildcard:!t,query:'%22rtdc.l.rtdc.4058%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819</v>
      </c>
      <c r="B106" s="225">
        <v>4057</v>
      </c>
      <c r="C106" s="227" t="s">
        <v>192</v>
      </c>
      <c r="D106" s="227" t="s">
        <v>1002</v>
      </c>
      <c r="E106" s="226">
        <v>43078.662245370368</v>
      </c>
      <c r="F106" s="226">
        <v>43078.675173611111</v>
      </c>
      <c r="G106" s="225">
        <v>49</v>
      </c>
      <c r="H106" s="227" t="s">
        <v>539</v>
      </c>
      <c r="I106" s="226">
        <v>43078.701099537036</v>
      </c>
      <c r="J106" s="225">
        <v>0</v>
      </c>
      <c r="K106" s="237" t="str">
        <f t="shared" si="25"/>
        <v>4057/4058</v>
      </c>
      <c r="L106" s="245" t="str">
        <f>VLOOKUP(A106,'Trips&amp;Operators'!$C$1:$G$99911,5,FALSE)</f>
        <v>GUZMAN DANNY</v>
      </c>
      <c r="M106" s="224">
        <f t="shared" si="26"/>
        <v>2.5925925925548654E-2</v>
      </c>
      <c r="N106" s="225">
        <f t="shared" si="27"/>
        <v>37.333333332790062</v>
      </c>
      <c r="O106" s="225"/>
      <c r="P106" s="225"/>
      <c r="Q106" s="228"/>
      <c r="R106" s="242"/>
      <c r="S106" s="249">
        <f t="shared" si="28"/>
        <v>1</v>
      </c>
      <c r="T106" s="242" t="str">
        <f t="shared" si="29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0"/>
        <v>https://d0f6bd738d7f1b3e5a7ca70fe4ff75f0.us-east-1.aws.found.io/app/kibana#/discover/Steve-Slow-Train-Analysis-(2080s-and-2083s)?_g=(refreshInterval:(display:Off,pause:!f,section:0,value:0),time:(from:'2017-12-09T14:53:38-0700',mode:absolute,to:'2017-12-09T17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247" t="str">
        <f>IF(AA106&lt;VLOOKUP(AG106,Variables!$AC$3:$AD$8,2,FALSE),"Y","N")</f>
        <v>N</v>
      </c>
      <c r="X106" s="247">
        <f t="shared" si="31"/>
        <v>1</v>
      </c>
      <c r="Y106" s="247">
        <f t="shared" si="32"/>
        <v>23.296099999999999</v>
      </c>
      <c r="Z106" s="247">
        <f t="shared" si="33"/>
        <v>2.3099999999999999E-2</v>
      </c>
      <c r="AA106" s="247">
        <f t="shared" si="34"/>
        <v>23.273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5"/>
        <v>194</v>
      </c>
      <c r="AE106" s="235" t="str">
        <f t="shared" si="3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106" s="234" t="str">
        <f t="shared" si="37"/>
        <v>"C:\Program Files (x86)\AstroGrep\AstroGrep.exe" /e /r /s /spath="%USERPROFILE%\AppData\Local\Temp\OnboardLogs" /stypes="app*4057*20171209*" /stext=" 23:.+((SYSTEM_STATE.+slice.+state.+changed )|(ment ac)|(multiple cpu faults)|(system.+state.+changed )|(\[timeout)|(PRM\|1\|D)|(kpr)|(kdp)|(train st.+moving)|(\|lc)|(penalty))"</v>
      </c>
      <c r="AG106" s="244" t="str">
        <f t="shared" si="38"/>
        <v>EC</v>
      </c>
      <c r="AH106" s="236" t="str">
        <f t="shared" si="39"/>
        <v>"%USERPROFILE%\Documents\GitHub\eaglep3\Utilities\RefineRTDCRunTimes.py" --tripid 194-09 --locoid 4057 --swversion DE.1.0.9.0 --startMP 204:232961 --initTime 2017-12-09T15:53:38 --startdatetime 2017-12-09T16:12:15 --delay 49 --endMP 204:231 --enddatetime 2017-12-09T16:49:35 --enforcementcount 0 &gt;&gt;%USERPROFILE%\Documents\GitHub\eaglep3-reporting\EC\2017-12-09-refined-times.txt</v>
      </c>
      <c r="AI10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{"issue":{"subject":"","project_id":79,"tracker_id":40,"status_id":1,"priority_id":2,"assigned_to_id":338,"start_date":"2017-12-09","description":"","custom_fields":[{"id":1,"name":"Subdivision","value":"EC"},{"id":4,"name":"Milepost","value":"0.0231"},{"id":17,"name":"Train ID","value":"194-09"},{"id":16,"name":"Locomotive ID","value":"4057"},{"id":130,"name":"Impact","value":""},{"id":150,"name":"Time of Event (Mountain Time)","value":"16:49:35"},{"id":151,"name":"Denver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1"/>
        <v>start /low /b %USERPROFILE%\Documents\GitHub\eaglep3\Utilities\DownloadLogsFromS3.py --loco 4057 --day 2017-12-09</v>
      </c>
      <c r="AN106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3"/>
        <v>https://d0f6bd738d7f1b3e5a7ca70fe4ff75f0.us-east-1.aws.found.io/app/kibana#/discover/Steve-Slow-Train-Analysis-(2080s-and-2083s)?_g=(refreshInterval:(display:Off,pause:!f,section:0,value:0),time:(from:'2017-12-09T14:53:38-0700',mode:absolute,to:'2017-12-09T17:49:35-0700'))&amp;_a=(columns:!('Message%20ID',Summary),filters:!(),index:'emp_*',interval:auto,query:(query_string:(analyze_wildcard:!t,query:'%22rtdc.l.rtdc.4057%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814</v>
      </c>
      <c r="B107" s="225">
        <v>4004</v>
      </c>
      <c r="C107" s="227" t="s">
        <v>192</v>
      </c>
      <c r="D107" s="227" t="s">
        <v>492</v>
      </c>
      <c r="E107" s="226">
        <v>43078.641712962963</v>
      </c>
      <c r="F107" s="226">
        <v>43078.646018518521</v>
      </c>
      <c r="G107" s="225">
        <v>87</v>
      </c>
      <c r="H107" s="227" t="s">
        <v>1003</v>
      </c>
      <c r="I107" s="226">
        <v>43078.666145833333</v>
      </c>
      <c r="J107" s="225">
        <v>0</v>
      </c>
      <c r="K107" s="237" t="str">
        <f t="shared" si="25"/>
        <v>4003/4004</v>
      </c>
      <c r="L107" s="245" t="str">
        <f>VLOOKUP(A107,'Trips&amp;Operators'!$C$1:$G$99911,5,FALSE)</f>
        <v>MCREYNOLDS KYLE</v>
      </c>
      <c r="M107" s="224">
        <f t="shared" si="26"/>
        <v>2.0127314812270924E-2</v>
      </c>
      <c r="N107" s="225"/>
      <c r="O107" s="225"/>
      <c r="P107" s="225">
        <f>24*60*SUM($M107:$M107)</f>
        <v>28.983333329670131</v>
      </c>
      <c r="Q107" s="228"/>
      <c r="R107" s="242" t="s">
        <v>678</v>
      </c>
      <c r="S107" s="249">
        <f t="shared" si="28"/>
        <v>1</v>
      </c>
      <c r="T107" s="242" t="str">
        <f t="shared" si="29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0"/>
        <v>https://d0f6bd738d7f1b3e5a7ca70fe4ff75f0.us-east-1.aws.found.io/app/kibana#/discover/Steve-Slow-Train-Analysis-(2080s-and-2083s)?_g=(refreshInterval:(display:Off,pause:!f,section:0,value:0),time:(from:'2017-12-09T14:24:04-0700',mode:absolute,to:'2017-12-09T16:59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7" s="247" t="str">
        <f>IF(AA107&lt;VLOOKUP(AG107,Variables!$AC$3:$AD$8,2,FALSE),"Y","N")</f>
        <v>Y</v>
      </c>
      <c r="X107" s="247">
        <f t="shared" si="31"/>
        <v>1</v>
      </c>
      <c r="Y107" s="247">
        <f t="shared" si="32"/>
        <v>5.0900000000000001E-2</v>
      </c>
      <c r="Z107" s="247">
        <f t="shared" si="33"/>
        <v>17.873799999999999</v>
      </c>
      <c r="AA107" s="247">
        <f t="shared" si="34"/>
        <v>17.822900000000001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5"/>
        <v>195</v>
      </c>
      <c r="AE107" s="235" t="str">
        <f t="shared" si="3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107" s="234" t="str">
        <f t="shared" si="37"/>
        <v>"C:\Program Files (x86)\AstroGrep\AstroGrep.exe" /e /r /s /spath="%USERPROFILE%\AppData\Local\Temp\OnboardLogs" /stypes="app*4004*20171209*" /stext=" 22:.+((SYSTEM_STATE.+slice.+state.+changed )|(ment ac)|(multiple cpu faults)|(system.+state.+changed )|(\[timeout)|(PRM\|1\|D)|(kpr)|(kdp)|(train st.+moving)|(\|lc)|(penalty))"</v>
      </c>
      <c r="AG107" s="244" t="str">
        <f t="shared" si="38"/>
        <v>EC</v>
      </c>
      <c r="AH107" s="236" t="str">
        <f t="shared" si="39"/>
        <v>"%USERPROFILE%\Documents\GitHub\eaglep3\Utilities\RefineRTDCRunTimes.py" --tripid 195-09 --locoid 4004 --swversion DE.1.0.9.0 --startMP 204:509 --initTime 2017-12-09T15:24:04 --startdatetime 2017-12-09T15:30:16 --delay 87 --endMP 204:178738 --enddatetime 2017-12-09T15:59:15 --enforcementcount 0 &gt;&gt;%USERPROFILE%\Documents\GitHub\eaglep3-reporting\EC\2017-12-09-refined-times.txt</v>
      </c>
      <c r="AI107" s="238" t="str">
        <f t="shared" si="40"/>
        <v>echo {"issue":{"subject":"Onboard en route failure","project_id":79,"tracker_id":40,"status_id":1,"priority_id":2,"assigned_to_id":338,"start_date":"2017-12-09","description":"","custom_fields":[{"id":1,"name":"Subdivision","value":"EC"},{"id":4,"name":"Milepost","value":"17.8738"},{"id":17,"name":"Train ID","value":"195-09"},{"id":16,"name":"Locomotive ID","value":"4004"},{"id":130,"name":"Impact","value":""},{"id":150,"name":"Time of Event (Mountain Time)","value":"15:59:15"},{"id":151,"name":"Denver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1"/>
        <v>start /low /b %USERPROFILE%\Documents\GitHub\eaglep3\Utilities\DownloadLogsFromS3.py --loco 4004 --day 2017-12-09</v>
      </c>
      <c r="AN107" s="241" t="str">
        <f t="shared" si="42"/>
        <v>echo {"issue":{"subject":"Onboard en route failure","project_id":30,"tracker_id":4,"status_id":1,"priority_id":1,"assigned_to_id":10,"start_date":"2017-12-09","description":"","custom_fields":[{"id":30,"name":"Category","value":"Issue"},{"id":3,"name":"Functional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22:59:15"},{"id":29,"name":"Sharepoint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3"/>
        <v>https://d0f6bd738d7f1b3e5a7ca70fe4ff75f0.us-east-1.aws.found.io/app/kibana#/discover/Steve-Slow-Train-Analysis-(2080s-and-2083s)?_g=(refreshInterval:(display:Off,pause:!f,section:0,value:0),time:(from:'2017-12-09T14:24:04-0700',mode:absolute,to:'2017-12-09T16:59:15-0700'))&amp;_a=(columns:!('Message%20ID',Summary),filters:!(),index:'emp_*',interval:auto,query:(query_string:(analyze_wildcard:!t,query:'%22rtdc.l.rtdc.4004%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823</v>
      </c>
      <c r="B108" s="225">
        <v>4003</v>
      </c>
      <c r="C108" s="227" t="s">
        <v>192</v>
      </c>
      <c r="D108" s="227" t="s">
        <v>673</v>
      </c>
      <c r="E108" s="226">
        <v>43078.679201388892</v>
      </c>
      <c r="F108" s="226">
        <v>43078.685659722221</v>
      </c>
      <c r="G108" s="225">
        <v>62</v>
      </c>
      <c r="H108" s="227" t="s">
        <v>1004</v>
      </c>
      <c r="I108" s="226">
        <v>43078.71292824074</v>
      </c>
      <c r="J108" s="225">
        <v>0</v>
      </c>
      <c r="K108" s="237" t="str">
        <f t="shared" si="25"/>
        <v>4003/4004</v>
      </c>
      <c r="L108" s="245" t="str">
        <f>VLOOKUP(A108,'Trips&amp;Operators'!$C$1:$G$99911,5,FALSE)</f>
        <v>MCREYNOLDS KYLE</v>
      </c>
      <c r="M108" s="224">
        <f t="shared" si="26"/>
        <v>2.7268518519122154E-2</v>
      </c>
      <c r="N108" s="225">
        <f t="shared" ref="N108:N120" si="44">24*60*SUM($M108:$M108)</f>
        <v>39.266666667535901</v>
      </c>
      <c r="O108" s="225"/>
      <c r="P108" s="225"/>
      <c r="Q108" s="228"/>
      <c r="R108" s="242"/>
      <c r="S108" s="249">
        <f t="shared" si="28"/>
        <v>1</v>
      </c>
      <c r="T108" s="242" t="str">
        <f t="shared" si="29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0"/>
        <v>https://d0f6bd738d7f1b3e5a7ca70fe4ff75f0.us-east-1.aws.found.io/app/kibana#/discover/Steve-Slow-Train-Analysis-(2080s-and-2083s)?_g=(refreshInterval:(display:Off,pause:!f,section:0,value:0),time:(from:'2017-12-09T15:18:03-0700',mode:absolute,to:'2017-12-09T18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247" t="str">
        <f>IF(AA108&lt;VLOOKUP(AG108,Variables!$AC$3:$AD$8,2,FALSE),"Y","N")</f>
        <v>N</v>
      </c>
      <c r="X108" s="247">
        <f t="shared" si="31"/>
        <v>1</v>
      </c>
      <c r="Y108" s="247">
        <f t="shared" si="32"/>
        <v>23.299600000000002</v>
      </c>
      <c r="Z108" s="247">
        <f t="shared" si="33"/>
        <v>0.11650000000000001</v>
      </c>
      <c r="AA108" s="247">
        <f t="shared" si="34"/>
        <v>23.183100000000003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5"/>
        <v>196</v>
      </c>
      <c r="AE108" s="235" t="str">
        <f t="shared" si="3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108" s="234" t="str">
        <f t="shared" si="37"/>
        <v>"C:\Program Files (x86)\AstroGrep\AstroGrep.exe" /e /r /s /spath="%USERPROFILE%\AppData\Local\Temp\OnboardLogs" /stypes="app*4003*20171210*" /stext=" 00:.+((SYSTEM_STATE.+slice.+state.+changed )|(ment ac)|(multiple cpu faults)|(system.+state.+changed )|(\[timeout)|(PRM\|1\|D)|(kpr)|(kdp)|(train st.+moving)|(\|lc)|(penalty))"</v>
      </c>
      <c r="AG108" s="244" t="str">
        <f t="shared" si="38"/>
        <v>EC</v>
      </c>
      <c r="AH108" s="236" t="str">
        <f t="shared" si="39"/>
        <v>"%USERPROFILE%\Documents\GitHub\eaglep3\Utilities\RefineRTDCRunTimes.py" --tripid 196-09 --locoid 4003 --swversion DE.1.0.9.0 --startMP 204:232996 --initTime 2017-12-09T16:18:03 --startdatetime 2017-12-09T16:27:21 --delay 62 --endMP 204:1165 --enddatetime 2017-12-09T17:06:37 --enforcementcount 0 &gt;&gt;%USERPROFILE%\Documents\GitHub\eaglep3-reporting\EC\2017-12-09-refined-times.txt</v>
      </c>
      <c r="AI10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{"issue":{"subject":"","project_id":79,"tracker_id":40,"status_id":1,"priority_id":2,"assigned_to_id":338,"start_date":"2017-12-09","description":"","custom_fields":[{"id":1,"name":"Subdivision","value":"EC"},{"id":4,"name":"Milepost","value":"0.1165"},{"id":17,"name":"Train ID","value":"196-09"},{"id":16,"name":"Locomotive ID","value":"4003"},{"id":130,"name":"Impact","value":""},{"id":150,"name":"Time of Event (Mountain Time)","value":"17:06:37"},{"id":151,"name":"Denver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1"/>
        <v>start /low /b %USERPROFILE%\Documents\GitHub\eaglep3\Utilities\DownloadLogsFromS3.py --loco 4003 --day 2017-12-09</v>
      </c>
      <c r="AN108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3"/>
        <v>https://d0f6bd738d7f1b3e5a7ca70fe4ff75f0.us-east-1.aws.found.io/app/kibana#/discover/Steve-Slow-Train-Analysis-(2080s-and-2083s)?_g=(refreshInterval:(display:Off,pause:!f,section:0,value:0),time:(from:'2017-12-09T15:18:03-0700',mode:absolute,to:'2017-12-09T18:06:37-0700'))&amp;_a=(columns:!('Message%20ID',Summary),filters:!(),index:'emp_*',interval:auto,query:(query_string:(analyze_wildcard:!t,query:'%22rtdc.l.rtdc.4003%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816</v>
      </c>
      <c r="B109" s="225">
        <v>4036</v>
      </c>
      <c r="C109" s="227" t="s">
        <v>192</v>
      </c>
      <c r="D109" s="227" t="s">
        <v>616</v>
      </c>
      <c r="E109" s="226">
        <v>43078.650405092594</v>
      </c>
      <c r="F109" s="226">
        <v>43078.656423611108</v>
      </c>
      <c r="G109" s="225">
        <v>75</v>
      </c>
      <c r="H109" s="227" t="s">
        <v>1005</v>
      </c>
      <c r="I109" s="226">
        <v>43078.681192129632</v>
      </c>
      <c r="J109" s="225">
        <v>0</v>
      </c>
      <c r="K109" s="237" t="str">
        <f t="shared" si="25"/>
        <v>4035/4036</v>
      </c>
      <c r="L109" s="245" t="str">
        <f>VLOOKUP(A109,'Trips&amp;Operators'!$C$1:$G$99911,5,FALSE)</f>
        <v>GONZALEZ ARMANDO</v>
      </c>
      <c r="M109" s="224">
        <f t="shared" si="26"/>
        <v>2.4768518524069805E-2</v>
      </c>
      <c r="N109" s="225">
        <f t="shared" si="44"/>
        <v>35.666666674660519</v>
      </c>
      <c r="O109" s="225"/>
      <c r="P109" s="225"/>
      <c r="Q109" s="228"/>
      <c r="R109" s="242"/>
      <c r="S109" s="249">
        <f t="shared" si="28"/>
        <v>1</v>
      </c>
      <c r="T109" s="242" t="str">
        <f t="shared" si="29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0"/>
        <v>https://d0f6bd738d7f1b3e5a7ca70fe4ff75f0.us-east-1.aws.found.io/app/kibana#/discover/Steve-Slow-Train-Analysis-(2080s-and-2083s)?_g=(refreshInterval:(display:Off,pause:!f,section:0,value:0),time:(from:'2017-12-09T14:36:35-0700',mode:absolute,to:'2017-12-09T17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9" s="247" t="str">
        <f>IF(AA109&lt;VLOOKUP(AG109,Variables!$AC$3:$AD$8,2,FALSE),"Y","N")</f>
        <v>N</v>
      </c>
      <c r="X109" s="247">
        <f t="shared" si="31"/>
        <v>1</v>
      </c>
      <c r="Y109" s="247">
        <f t="shared" si="32"/>
        <v>4.7800000000000002E-2</v>
      </c>
      <c r="Z109" s="247">
        <f t="shared" si="33"/>
        <v>23.331399999999999</v>
      </c>
      <c r="AA109" s="247">
        <f t="shared" si="34"/>
        <v>23.2836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5"/>
        <v>197</v>
      </c>
      <c r="AE109" s="235" t="str">
        <f t="shared" si="3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109" s="234" t="str">
        <f t="shared" si="37"/>
        <v>"C:\Program Files (x86)\AstroGrep\AstroGrep.exe" /e /r /s /spath="%USERPROFILE%\AppData\Local\Temp\OnboardLogs" /stypes="app*4036*20171209*" /stext=" 23:.+((SYSTEM_STATE.+slice.+state.+changed )|(ment ac)|(multiple cpu faults)|(system.+state.+changed )|(\[timeout)|(PRM\|1\|D)|(kpr)|(kdp)|(train st.+moving)|(\|lc)|(penalty))"</v>
      </c>
      <c r="AG109" s="244" t="str">
        <f t="shared" si="38"/>
        <v>EC</v>
      </c>
      <c r="AH109" s="236" t="str">
        <f t="shared" si="39"/>
        <v>"%USERPROFILE%\Documents\GitHub\eaglep3\Utilities\RefineRTDCRunTimes.py" --tripid 197-09 --locoid 4036 --swversion DE.1.0.9.0 --startMP 204:478 --initTime 2017-12-09T15:36:35 --startdatetime 2017-12-09T15:45:15 --delay 75 --endMP 204:233314 --enddatetime 2017-12-09T16:20:55 --enforcementcount 0 &gt;&gt;%USERPROFILE%\Documents\GitHub\eaglep3-reporting\EC\2017-12-09-refined-times.txt</v>
      </c>
      <c r="AI10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{"issue":{"subject":"","project_id":79,"tracker_id":40,"status_id":1,"priority_id":2,"assigned_to_id":338,"start_date":"2017-12-09","description":"","custom_fields":[{"id":1,"name":"Subdivision","value":"EC"},{"id":4,"name":"Milepost","value":"23.3314"},{"id":17,"name":"Train ID","value":"197-09"},{"id":16,"name":"Locomotive ID","value":"4036"},{"id":130,"name":"Impact","value":""},{"id":150,"name":"Time of Event (Mountain Time)","value":"16:20:55"},{"id":151,"name":"Denver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1"/>
        <v>start /low /b %USERPROFILE%\Documents\GitHub\eaglep3\Utilities\DownloadLogsFromS3.py --loco 4036 --day 2017-12-09</v>
      </c>
      <c r="AN109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3"/>
        <v>https://d0f6bd738d7f1b3e5a7ca70fe4ff75f0.us-east-1.aws.found.io/app/kibana#/discover/Steve-Slow-Train-Analysis-(2080s-and-2083s)?_g=(refreshInterval:(display:Off,pause:!f,section:0,value:0),time:(from:'2017-12-09T14:36:35-0700',mode:absolute,to:'2017-12-09T17:20:55-0700'))&amp;_a=(columns:!('Message%20ID',Summary),filters:!(),index:'emp_*',interval:auto,query:(query_string:(analyze_wildcard:!t,query:'%22rtdc.l.rtdc.4036%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694</v>
      </c>
      <c r="B110" s="225">
        <v>4035</v>
      </c>
      <c r="C110" s="227" t="s">
        <v>192</v>
      </c>
      <c r="D110" s="227" t="s">
        <v>1006</v>
      </c>
      <c r="E110" s="226">
        <v>43078.690752314818</v>
      </c>
      <c r="F110" s="226">
        <v>43078.696018518516</v>
      </c>
      <c r="G110" s="225">
        <v>54</v>
      </c>
      <c r="H110" s="227" t="s">
        <v>629</v>
      </c>
      <c r="I110" s="226">
        <v>43078.722384259258</v>
      </c>
      <c r="J110" s="225">
        <v>0</v>
      </c>
      <c r="K110" s="237" t="str">
        <f t="shared" si="25"/>
        <v>4035/4036</v>
      </c>
      <c r="L110" s="245" t="str">
        <f>VLOOKUP(A110,'Trips&amp;Operators'!$C$1:$G$99911,5,FALSE)</f>
        <v>GONZALEZ ARMANDO</v>
      </c>
      <c r="M110" s="224">
        <f t="shared" si="26"/>
        <v>2.6365740741312038E-2</v>
      </c>
      <c r="N110" s="225">
        <f t="shared" si="44"/>
        <v>37.966666667489335</v>
      </c>
      <c r="O110" s="225"/>
      <c r="P110" s="225"/>
      <c r="Q110" s="228"/>
      <c r="R110" s="242"/>
      <c r="S110" s="249">
        <f t="shared" si="28"/>
        <v>1</v>
      </c>
      <c r="T110" s="242" t="str">
        <f t="shared" si="29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0"/>
        <v>https://d0f6bd738d7f1b3e5a7ca70fe4ff75f0.us-east-1.aws.found.io/app/kibana#/discover/Steve-Slow-Train-Analysis-(2080s-and-2083s)?_g=(refreshInterval:(display:Off,pause:!f,section:0,value:0),time:(from:'2017-12-09T15:34:41-0700',mode:absolute,to:'2017-12-09T18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0" s="247" t="str">
        <f>IF(AA110&lt;VLOOKUP(AG110,Variables!$AC$3:$AD$8,2,FALSE),"Y","N")</f>
        <v>N</v>
      </c>
      <c r="X110" s="247">
        <f t="shared" si="31"/>
        <v>1</v>
      </c>
      <c r="Y110" s="247">
        <f t="shared" si="32"/>
        <v>23.298999999999999</v>
      </c>
      <c r="Z110" s="247">
        <f t="shared" si="33"/>
        <v>1.6E-2</v>
      </c>
      <c r="AA110" s="247">
        <f t="shared" si="34"/>
        <v>23.283000000000001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5"/>
        <v>198</v>
      </c>
      <c r="AE110" s="235" t="str">
        <f t="shared" si="36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110" s="234" t="str">
        <f t="shared" si="37"/>
        <v>"C:\Program Files (x86)\AstroGrep\AstroGrep.exe" /e /r /s /spath="%USERPROFILE%\AppData\Local\Temp\OnboardLogs" /stypes="app*4035*20171210*" /stext=" 00:.+((SYSTEM_STATE.+slice.+state.+changed )|(ment ac)|(multiple cpu faults)|(system.+state.+changed )|(\[timeout)|(PRM\|1\|D)|(kpr)|(kdp)|(train st.+moving)|(\|lc)|(penalty))"</v>
      </c>
      <c r="AG110" s="244" t="str">
        <f t="shared" si="38"/>
        <v>EC</v>
      </c>
      <c r="AH110" s="236" t="str">
        <f t="shared" si="39"/>
        <v>"%USERPROFILE%\Documents\GitHub\eaglep3\Utilities\RefineRTDCRunTimes.py" --tripid 198-09 --locoid 4035 --swversion DE.1.0.9.0 --startMP 204:232990 --initTime 2017-12-09T16:34:41 --startdatetime 2017-12-09T16:42:16 --delay 54 --endMP 204:160 --enddatetime 2017-12-09T17:20:14 --enforcementcount 0 &gt;&gt;%USERPROFILE%\Documents\GitHub\eaglep3-reporting\EC\2017-12-09-refined-times.txt</v>
      </c>
      <c r="AI11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{"issue":{"subject":"","project_id":79,"tracker_id":40,"status_id":1,"priority_id":2,"assigned_to_id":338,"start_date":"2017-12-09","description":"","custom_fields":[{"id":1,"name":"Subdivision","value":"EC"},{"id":4,"name":"Milepost","value":"0.016"},{"id":17,"name":"Train ID","value":"198-09"},{"id":16,"name":"Locomotive ID","value":"4035"},{"id":130,"name":"Impact","value":""},{"id":150,"name":"Time of Event (Mountain Time)","value":"17:20:14"},{"id":151,"name":"Denver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1"/>
        <v>start /low /b %USERPROFILE%\Documents\GitHub\eaglep3\Utilities\DownloadLogsFromS3.py --loco 4035 --day 2017-12-09</v>
      </c>
      <c r="AN110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3"/>
        <v>https://d0f6bd738d7f1b3e5a7ca70fe4ff75f0.us-east-1.aws.found.io/app/kibana#/discover/Steve-Slow-Train-Analysis-(2080s-and-2083s)?_g=(refreshInterval:(display:Off,pause:!f,section:0,value:0),time:(from:'2017-12-09T15:34:41-0700',mode:absolute,to:'2017-12-09T18:20:14-0700'))&amp;_a=(columns:!('Message%20ID',Summary),filters:!(),index:'emp_*',interval:auto,query:(query_string:(analyze_wildcard:!t,query:'%22rtdc.l.rtdc.4035%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820</v>
      </c>
      <c r="B111" s="225">
        <v>4014</v>
      </c>
      <c r="C111" s="227" t="s">
        <v>192</v>
      </c>
      <c r="D111" s="227" t="s">
        <v>445</v>
      </c>
      <c r="E111" s="226">
        <v>43078.663287037038</v>
      </c>
      <c r="F111" s="226">
        <v>43078.667025462964</v>
      </c>
      <c r="G111" s="225">
        <v>66</v>
      </c>
      <c r="H111" s="227" t="s">
        <v>662</v>
      </c>
      <c r="I111" s="226">
        <v>43078.693298611113</v>
      </c>
      <c r="J111" s="225">
        <v>0</v>
      </c>
      <c r="K111" s="237" t="str">
        <f t="shared" si="25"/>
        <v>4013/4014</v>
      </c>
      <c r="L111" s="245" t="str">
        <f>VLOOKUP(A111,'Trips&amp;Operators'!$C$1:$G$99911,5,FALSE)</f>
        <v>BRUDER RICHARD</v>
      </c>
      <c r="M111" s="224">
        <f t="shared" si="26"/>
        <v>2.6273148148902692E-2</v>
      </c>
      <c r="N111" s="225">
        <f t="shared" si="44"/>
        <v>37.833333334419876</v>
      </c>
      <c r="O111" s="225"/>
      <c r="P111" s="225"/>
      <c r="Q111" s="228"/>
      <c r="R111" s="242"/>
      <c r="S111" s="249">
        <f t="shared" si="28"/>
        <v>1</v>
      </c>
      <c r="T111" s="242" t="str">
        <f t="shared" si="29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0"/>
        <v>https://d0f6bd738d7f1b3e5a7ca70fe4ff75f0.us-east-1.aws.found.io/app/kibana#/discover/Steve-Slow-Train-Analysis-(2080s-and-2083s)?_g=(refreshInterval:(display:Off,pause:!f,section:0,value:0),time:(from:'2017-12-09T14:55:08-0700',mode:absolute,to:'2017-12-09T17:38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247" t="str">
        <f>IF(AA111&lt;VLOOKUP(AG111,Variables!$AC$3:$AD$8,2,FALSE),"Y","N")</f>
        <v>N</v>
      </c>
      <c r="X111" s="247">
        <f t="shared" si="31"/>
        <v>1</v>
      </c>
      <c r="Y111" s="247">
        <f t="shared" si="32"/>
        <v>5.3699999999999998E-2</v>
      </c>
      <c r="Z111" s="247">
        <f t="shared" si="33"/>
        <v>23.322299999999998</v>
      </c>
      <c r="AA111" s="247">
        <f t="shared" si="34"/>
        <v>23.268599999999999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5"/>
        <v>199</v>
      </c>
      <c r="AE111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11" s="234" t="str">
        <f t="shared" si="37"/>
        <v>"C:\Program Files (x86)\AstroGrep\AstroGrep.exe" /e /r /s /spath="%USERPROFILE%\AppData\Local\Temp\OnboardLogs" /stypes="app*4014*20171209*" /stext=" 23:.+((SYSTEM_STATE.+slice.+state.+changed )|(ment ac)|(multiple cpu faults)|(system.+state.+changed )|(\[timeout)|(PRM\|1\|D)|(kpr)|(kdp)|(train st.+moving)|(\|lc)|(penalty))"</v>
      </c>
      <c r="AG111" s="244" t="str">
        <f t="shared" si="38"/>
        <v>EC</v>
      </c>
      <c r="AH111" s="236" t="str">
        <f t="shared" si="39"/>
        <v>"%USERPROFILE%\Documents\GitHub\eaglep3\Utilities\RefineRTDCRunTimes.py" --tripid 199-09 --locoid 4014 --swversion DE.1.0.9.0 --startMP 204:537 --initTime 2017-12-09T15:55:08 --startdatetime 2017-12-09T16:00:31 --delay 66 --endMP 204:233223 --enddatetime 2017-12-09T16:38:21 --enforcementcount 0 &gt;&gt;%USERPROFILE%\Documents\GitHub\eaglep3-reporting\EC\2017-12-09-refined-times.txt</v>
      </c>
      <c r="AI11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{"issue":{"subject":"","project_id":79,"tracker_id":40,"status_id":1,"priority_id":2,"assigned_to_id":338,"start_date":"2017-12-09","description":"","custom_fields":[{"id":1,"name":"Subdivision","value":"EC"},{"id":4,"name":"Milepost","value":"23.3223"},{"id":17,"name":"Train ID","value":"199-09"},{"id":16,"name":"Locomotive ID","value":"4014"},{"id":130,"name":"Impact","value":""},{"id":150,"name":"Time of Event (Mountain Time)","value":"16:38:21"},{"id":151,"name":"Denver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1"/>
        <v>start /low /b %USERPROFILE%\Documents\GitHub\eaglep3\Utilities\DownloadLogsFromS3.py --loco 4014 --day 2017-12-09</v>
      </c>
      <c r="AN111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3"/>
        <v>https://d0f6bd738d7f1b3e5a7ca70fe4ff75f0.us-east-1.aws.found.io/app/kibana#/discover/Steve-Slow-Train-Analysis-(2080s-and-2083s)?_g=(refreshInterval:(display:Off,pause:!f,section:0,value:0),time:(from:'2017-12-09T14:55:08-0700',mode:absolute,to:'2017-12-09T17:38:21-0700'))&amp;_a=(columns:!('Message%20ID',Summary),filters:!(),index:'emp_*',interval:auto,query:(query_string:(analyze_wildcard:!t,query:'%22rtdc.l.rtdc.4014%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828</v>
      </c>
      <c r="B112" s="225">
        <v>4013</v>
      </c>
      <c r="C112" s="227" t="s">
        <v>192</v>
      </c>
      <c r="D112" s="227" t="s">
        <v>1007</v>
      </c>
      <c r="E112" s="226">
        <v>43078.702928240738</v>
      </c>
      <c r="F112" s="226">
        <v>43078.706493055557</v>
      </c>
      <c r="G112" s="225">
        <v>59</v>
      </c>
      <c r="H112" s="227" t="s">
        <v>443</v>
      </c>
      <c r="I112" s="226">
        <v>43078.732430555552</v>
      </c>
      <c r="J112" s="225">
        <v>0</v>
      </c>
      <c r="K112" s="237" t="str">
        <f t="shared" si="25"/>
        <v>4013/4014</v>
      </c>
      <c r="L112" s="245" t="str">
        <f>VLOOKUP(A112,'Trips&amp;Operators'!$C$1:$G$99911,5,FALSE)</f>
        <v>BRUDER RICHARD</v>
      </c>
      <c r="M112" s="224">
        <f t="shared" si="26"/>
        <v>2.5937499995052349E-2</v>
      </c>
      <c r="N112" s="225">
        <f t="shared" si="44"/>
        <v>37.349999992875382</v>
      </c>
      <c r="O112" s="225"/>
      <c r="P112" s="225"/>
      <c r="Q112" s="228"/>
      <c r="R112" s="242"/>
      <c r="S112" s="249">
        <f t="shared" si="28"/>
        <v>1</v>
      </c>
      <c r="T112" s="242" t="str">
        <f t="shared" si="29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0"/>
        <v>https://d0f6bd738d7f1b3e5a7ca70fe4ff75f0.us-east-1.aws.found.io/app/kibana#/discover/Steve-Slow-Train-Analysis-(2080s-and-2083s)?_g=(refreshInterval:(display:Off,pause:!f,section:0,value:0),time:(from:'2017-12-09T15:52:13-0700',mode:absolute,to:'2017-12-09T18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247" t="str">
        <f>IF(AA112&lt;VLOOKUP(AG112,Variables!$AC$3:$AD$8,2,FALSE),"Y","N")</f>
        <v>N</v>
      </c>
      <c r="X112" s="247">
        <f t="shared" si="31"/>
        <v>1</v>
      </c>
      <c r="Y112" s="247">
        <f t="shared" si="32"/>
        <v>23.29</v>
      </c>
      <c r="Z112" s="247">
        <f t="shared" si="33"/>
        <v>2.07E-2</v>
      </c>
      <c r="AA112" s="247">
        <f t="shared" si="34"/>
        <v>23.269299999999998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5"/>
        <v>200</v>
      </c>
      <c r="AE112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12" s="234" t="str">
        <f t="shared" si="37"/>
        <v>"C:\Program Files (x86)\AstroGrep\AstroGrep.exe" /e /r /s /spath="%USERPROFILE%\AppData\Local\Temp\OnboardLogs" /stypes="app*4013*20171210*" /stext=" 00:.+((SYSTEM_STATE.+slice.+state.+changed )|(ment ac)|(multiple cpu faults)|(system.+state.+changed )|(\[timeout)|(PRM\|1\|D)|(kpr)|(kdp)|(train st.+moving)|(\|lc)|(penalty))"</v>
      </c>
      <c r="AG112" s="244" t="str">
        <f t="shared" si="38"/>
        <v>EC</v>
      </c>
      <c r="AH112" s="236" t="str">
        <f t="shared" si="39"/>
        <v>"%USERPROFILE%\Documents\GitHub\eaglep3\Utilities\RefineRTDCRunTimes.py" --tripid 200-09 --locoid 4013 --swversion DE.1.0.9.0 --startMP 204:232900 --initTime 2017-12-09T16:52:13 --startdatetime 2017-12-09T16:57:21 --delay 59 --endMP 204:207 --enddatetime 2017-12-09T17:34:42 --enforcementcount 0 &gt;&gt;%USERPROFILE%\Documents\GitHub\eaglep3-reporting\EC\2017-12-09-refined-times.txt</v>
      </c>
      <c r="AI11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{"issue":{"subject":"","project_id":79,"tracker_id":40,"status_id":1,"priority_id":2,"assigned_to_id":338,"start_date":"2017-12-09","description":"","custom_fields":[{"id":1,"name":"Subdivision","value":"EC"},{"id":4,"name":"Milepost","value":"0.0207"},{"id":17,"name":"Train ID","value":"200-09"},{"id":16,"name":"Locomotive ID","value":"4013"},{"id":130,"name":"Impact","value":""},{"id":150,"name":"Time of Event (Mountain Time)","value":"17:34:42"},{"id":151,"name":"Denver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1"/>
        <v>start /low /b %USERPROFILE%\Documents\GitHub\eaglep3\Utilities\DownloadLogsFromS3.py --loco 4013 --day 2017-12-09</v>
      </c>
      <c r="AN112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3"/>
        <v>https://d0f6bd738d7f1b3e5a7ca70fe4ff75f0.us-east-1.aws.found.io/app/kibana#/discover/Steve-Slow-Train-Analysis-(2080s-and-2083s)?_g=(refreshInterval:(display:Off,pause:!f,section:0,value:0),time:(from:'2017-12-09T15:52:13-0700',mode:absolute,to:'2017-12-09T18:34:42-0700'))&amp;_a=(columns:!('Message%20ID',Summary),filters:!(),index:'emp_*',interval:auto,query:(query_string:(analyze_wildcard:!t,query:'%22rtdc.l.rtdc.4013%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822</v>
      </c>
      <c r="B113" s="225">
        <v>4060</v>
      </c>
      <c r="C113" s="227" t="s">
        <v>192</v>
      </c>
      <c r="D113" s="227" t="s">
        <v>958</v>
      </c>
      <c r="E113" s="226">
        <v>43078.672731481478</v>
      </c>
      <c r="F113" s="226">
        <v>43078.67728009259</v>
      </c>
      <c r="G113" s="225">
        <v>55</v>
      </c>
      <c r="H113" s="227" t="s">
        <v>593</v>
      </c>
      <c r="I113" s="226">
        <v>43078.701342592591</v>
      </c>
      <c r="J113" s="225">
        <v>0</v>
      </c>
      <c r="K113" s="237" t="str">
        <f t="shared" si="25"/>
        <v>4059/4060</v>
      </c>
      <c r="L113" s="245" t="str">
        <f>VLOOKUP(A113,'Trips&amp;Operators'!$C$1:$G$99911,5,FALSE)</f>
        <v>HOLCOMB KAMDEN</v>
      </c>
      <c r="M113" s="224">
        <f t="shared" si="26"/>
        <v>2.4062500000582077E-2</v>
      </c>
      <c r="N113" s="225">
        <f t="shared" si="44"/>
        <v>34.65000000083819</v>
      </c>
      <c r="O113" s="225"/>
      <c r="P113" s="225"/>
      <c r="Q113" s="228"/>
      <c r="R113" s="242"/>
      <c r="S113" s="249">
        <f t="shared" si="28"/>
        <v>1</v>
      </c>
      <c r="T113" s="242" t="str">
        <f t="shared" si="29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0"/>
        <v>https://d0f6bd738d7f1b3e5a7ca70fe4ff75f0.us-east-1.aws.found.io/app/kibana#/discover/Steve-Slow-Train-Analysis-(2080s-and-2083s)?_g=(refreshInterval:(display:Off,pause:!f,section:0,value:0),time:(from:'2017-12-09T15:08:44-0700',mode:absolute,to:'2017-12-09T17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3" s="247" t="str">
        <f>IF(AA113&lt;VLOOKUP(AG113,Variables!$AC$3:$AD$8,2,FALSE),"Y","N")</f>
        <v>N</v>
      </c>
      <c r="X113" s="247">
        <f t="shared" si="31"/>
        <v>1</v>
      </c>
      <c r="Y113" s="247">
        <f t="shared" si="32"/>
        <v>4.9500000000000002E-2</v>
      </c>
      <c r="Z113" s="247">
        <f t="shared" si="33"/>
        <v>23.3184</v>
      </c>
      <c r="AA113" s="247">
        <f t="shared" si="34"/>
        <v>23.268900000000002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5"/>
        <v>201</v>
      </c>
      <c r="AE113" s="235" t="str">
        <f t="shared" si="3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113" s="234" t="str">
        <f t="shared" si="37"/>
        <v>"C:\Program Files (x86)\AstroGrep\AstroGrep.exe" /e /r /s /spath="%USERPROFILE%\AppData\Local\Temp\OnboardLogs" /stypes="app*4060*20171209*" /stext=" 23:.+((SYSTEM_STATE.+slice.+state.+changed )|(ment ac)|(multiple cpu faults)|(system.+state.+changed )|(\[timeout)|(PRM\|1\|D)|(kpr)|(kdp)|(train st.+moving)|(\|lc)|(penalty))"</v>
      </c>
      <c r="AG113" s="244" t="str">
        <f t="shared" si="38"/>
        <v>EC</v>
      </c>
      <c r="AH113" s="236" t="str">
        <f t="shared" si="39"/>
        <v>"%USERPROFILE%\Documents\GitHub\eaglep3\Utilities\RefineRTDCRunTimes.py" --tripid 201-09 --locoid 4060 --swversion DE.1.0.9.0 --startMP 204:495 --initTime 2017-12-09T16:08:44 --startdatetime 2017-12-09T16:15:17 --delay 55 --endMP 204:233184 --enddatetime 2017-12-09T16:49:56 --enforcementcount 0 &gt;&gt;%USERPROFILE%\Documents\GitHub\eaglep3-reporting\EC\2017-12-09-refined-times.txt</v>
      </c>
      <c r="AI11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{"issue":{"subject":"","project_id":79,"tracker_id":40,"status_id":1,"priority_id":2,"assigned_to_id":338,"start_date":"2017-12-09","description":"","custom_fields":[{"id":1,"name":"Subdivision","value":"EC"},{"id":4,"name":"Milepost","value":"23.3184"},{"id":17,"name":"Train ID","value":"201-09"},{"id":16,"name":"Locomotive ID","value":"4060"},{"id":130,"name":"Impact","value":""},{"id":150,"name":"Time of Event (Mountain Time)","value":"16:49:56"},{"id":151,"name":"Denver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1"/>
        <v>start /low /b %USERPROFILE%\Documents\GitHub\eaglep3\Utilities\DownloadLogsFromS3.py --loco 4060 --day 2017-12-09</v>
      </c>
      <c r="AN113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3"/>
        <v>https://d0f6bd738d7f1b3e5a7ca70fe4ff75f0.us-east-1.aws.found.io/app/kibana#/discover/Steve-Slow-Train-Analysis-(2080s-and-2083s)?_g=(refreshInterval:(display:Off,pause:!f,section:0,value:0),time:(from:'2017-12-09T15:08:44-0700',mode:absolute,to:'2017-12-09T17:49:56-0700'))&amp;_a=(columns:!('Message%20ID',Summary),filters:!(),index:'emp_*',interval:auto,query:(query_string:(analyze_wildcard:!t,query:'%22rtdc.l.rtdc.4060%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831</v>
      </c>
      <c r="B114" s="225">
        <v>4059</v>
      </c>
      <c r="C114" s="227" t="s">
        <v>192</v>
      </c>
      <c r="D114" s="227" t="s">
        <v>1008</v>
      </c>
      <c r="E114" s="226">
        <v>43078.713101851848</v>
      </c>
      <c r="F114" s="226">
        <v>43078.716874999998</v>
      </c>
      <c r="G114" s="225">
        <v>63</v>
      </c>
      <c r="H114" s="227" t="s">
        <v>909</v>
      </c>
      <c r="I114" s="226">
        <v>43078.742430555554</v>
      </c>
      <c r="J114" s="225">
        <v>0</v>
      </c>
      <c r="K114" s="237" t="str">
        <f t="shared" si="25"/>
        <v>4059/4060</v>
      </c>
      <c r="L114" s="245" t="str">
        <f>VLOOKUP(A114,'Trips&amp;Operators'!$C$1:$G$99911,5,FALSE)</f>
        <v>HOLCOMB KAMDEN</v>
      </c>
      <c r="M114" s="224">
        <f t="shared" si="26"/>
        <v>2.5555555555911269E-2</v>
      </c>
      <c r="N114" s="225">
        <f t="shared" si="44"/>
        <v>36.800000000512227</v>
      </c>
      <c r="O114" s="225"/>
      <c r="P114" s="225"/>
      <c r="Q114" s="228"/>
      <c r="R114" s="242"/>
      <c r="S114" s="249">
        <f t="shared" si="28"/>
        <v>1</v>
      </c>
      <c r="T114" s="242" t="str">
        <f t="shared" si="29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0"/>
        <v>https://d0f6bd738d7f1b3e5a7ca70fe4ff75f0.us-east-1.aws.found.io/app/kibana#/discover/Steve-Slow-Train-Analysis-(2080s-and-2083s)?_g=(refreshInterval:(display:Off,pause:!f,section:0,value:0),time:(from:'2017-12-09T16:06:52-0700',mode:absolute,to:'2017-12-09T18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4" s="247" t="str">
        <f>IF(AA114&lt;VLOOKUP(AG114,Variables!$AC$3:$AD$8,2,FALSE),"Y","N")</f>
        <v>N</v>
      </c>
      <c r="X114" s="247">
        <f t="shared" si="31"/>
        <v>1</v>
      </c>
      <c r="Y114" s="247">
        <f t="shared" si="32"/>
        <v>23.285599999999999</v>
      </c>
      <c r="Z114" s="247">
        <f t="shared" si="33"/>
        <v>1.9800000000000002E-2</v>
      </c>
      <c r="AA114" s="247">
        <f t="shared" si="34"/>
        <v>23.265799999999999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5"/>
        <v>202</v>
      </c>
      <c r="AE114" s="235" t="str">
        <f t="shared" si="36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114" s="234" t="str">
        <f t="shared" si="37"/>
        <v>"C:\Program Files (x86)\AstroGrep\AstroGrep.exe" /e /r /s /spath="%USERPROFILE%\AppData\Local\Temp\OnboardLogs" /stypes="app*4059*20171210*" /stext=" 00:.+((SYSTEM_STATE.+slice.+state.+changed )|(ment ac)|(multiple cpu faults)|(system.+state.+changed )|(\[timeout)|(PRM\|1\|D)|(kpr)|(kdp)|(train st.+moving)|(\|lc)|(penalty))"</v>
      </c>
      <c r="AG114" s="244" t="str">
        <f t="shared" si="38"/>
        <v>EC</v>
      </c>
      <c r="AH114" s="236" t="str">
        <f t="shared" si="39"/>
        <v>"%USERPROFILE%\Documents\GitHub\eaglep3\Utilities\RefineRTDCRunTimes.py" --tripid 202-09 --locoid 4059 --swversion DE.1.0.9.0 --startMP 204:232856 --initTime 2017-12-09T17:06:52 --startdatetime 2017-12-09T17:12:18 --delay 63 --endMP 204:198 --enddatetime 2017-12-09T17:49:06 --enforcementcount 0 &gt;&gt;%USERPROFILE%\Documents\GitHub\eaglep3-reporting\EC\2017-12-09-refined-times.txt</v>
      </c>
      <c r="AI11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{"issue":{"subject":"","project_id":79,"tracker_id":40,"status_id":1,"priority_id":2,"assigned_to_id":338,"start_date":"2017-12-09","description":"","custom_fields":[{"id":1,"name":"Subdivision","value":"EC"},{"id":4,"name":"Milepost","value":"0.0198"},{"id":17,"name":"Train ID","value":"202-09"},{"id":16,"name":"Locomotive ID","value":"4059"},{"id":130,"name":"Impact","value":""},{"id":150,"name":"Time of Event (Mountain Time)","value":"17:49:06"},{"id":151,"name":"Denver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1"/>
        <v>start /low /b %USERPROFILE%\Documents\GitHub\eaglep3\Utilities\DownloadLogsFromS3.py --loco 4059 --day 2017-12-09</v>
      </c>
      <c r="AN114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3"/>
        <v>https://d0f6bd738d7f1b3e5a7ca70fe4ff75f0.us-east-1.aws.found.io/app/kibana#/discover/Steve-Slow-Train-Analysis-(2080s-and-2083s)?_g=(refreshInterval:(display:Off,pause:!f,section:0,value:0),time:(from:'2017-12-09T16:06:52-0700',mode:absolute,to:'2017-12-09T18:49:06-0700'))&amp;_a=(columns:!('Message%20ID',Summary),filters:!(),index:'emp_*',interval:auto,query:(query_string:(analyze_wildcard:!t,query:'%22rtdc.l.rtdc.4059%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825</v>
      </c>
      <c r="B115" s="225">
        <v>4028</v>
      </c>
      <c r="C115" s="227" t="s">
        <v>192</v>
      </c>
      <c r="D115" s="227" t="s">
        <v>676</v>
      </c>
      <c r="E115" s="226">
        <v>43078.685636574075</v>
      </c>
      <c r="F115" s="226">
        <v>43078.687835648147</v>
      </c>
      <c r="G115" s="225">
        <v>77</v>
      </c>
      <c r="H115" s="227" t="s">
        <v>895</v>
      </c>
      <c r="I115" s="226">
        <v>43078.713842592595</v>
      </c>
      <c r="J115" s="225">
        <v>0</v>
      </c>
      <c r="K115" s="237" t="str">
        <f t="shared" si="25"/>
        <v>4027/4028</v>
      </c>
      <c r="L115" s="245" t="str">
        <f>VLOOKUP(A115,'Trips&amp;Operators'!$C$1:$G$99911,5,FALSE)</f>
        <v>DAVIS MICHAEL</v>
      </c>
      <c r="M115" s="224">
        <f t="shared" si="26"/>
        <v>2.6006944448454306E-2</v>
      </c>
      <c r="N115" s="225">
        <f t="shared" si="44"/>
        <v>37.4500000057742</v>
      </c>
      <c r="O115" s="225"/>
      <c r="P115" s="225"/>
      <c r="Q115" s="228"/>
      <c r="R115" s="242"/>
      <c r="S115" s="249">
        <f t="shared" si="28"/>
        <v>1</v>
      </c>
      <c r="T115" s="242" t="str">
        <f t="shared" si="29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0"/>
        <v>https://d0f6bd738d7f1b3e5a7ca70fe4ff75f0.us-east-1.aws.found.io/app/kibana#/discover/Steve-Slow-Train-Analysis-(2080s-and-2083s)?_g=(refreshInterval:(display:Off,pause:!f,section:0,value:0),time:(from:'2017-12-09T15:27:19-0700',mode:absolute,to:'2017-12-09T18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247" t="str">
        <f>IF(AA115&lt;VLOOKUP(AG115,Variables!$AC$3:$AD$8,2,FALSE),"Y","N")</f>
        <v>N</v>
      </c>
      <c r="X115" s="247">
        <f t="shared" si="31"/>
        <v>1</v>
      </c>
      <c r="Y115" s="247">
        <f t="shared" si="32"/>
        <v>5.2600000000000001E-2</v>
      </c>
      <c r="Z115" s="247">
        <f t="shared" si="33"/>
        <v>23.331199999999999</v>
      </c>
      <c r="AA115" s="247">
        <f t="shared" si="34"/>
        <v>23.278599999999997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5"/>
        <v>203</v>
      </c>
      <c r="AE115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15" s="234" t="str">
        <f t="shared" si="37"/>
        <v>"C:\Program Files (x86)\AstroGrep\AstroGrep.exe" /e /r /s /spath="%USERPROFILE%\AppData\Local\Temp\OnboardLogs" /stypes="app*4028*20171210*" /stext=" 00:.+((SYSTEM_STATE.+slice.+state.+changed )|(ment ac)|(multiple cpu faults)|(system.+state.+changed )|(\[timeout)|(PRM\|1\|D)|(kpr)|(kdp)|(train st.+moving)|(\|lc)|(penalty))"</v>
      </c>
      <c r="AG115" s="244" t="str">
        <f t="shared" si="38"/>
        <v>EC</v>
      </c>
      <c r="AH115" s="236" t="str">
        <f t="shared" si="39"/>
        <v>"%USERPROFILE%\Documents\GitHub\eaglep3\Utilities\RefineRTDCRunTimes.py" --tripid 203-09 --locoid 4028 --swversion DE.1.0.9.0 --startMP 204:526 --initTime 2017-12-09T16:27:19 --startdatetime 2017-12-09T16:30:29 --delay 77 --endMP 204:233312 --enddatetime 2017-12-09T17:07:56 --enforcementcount 0 &gt;&gt;%USERPROFILE%\Documents\GitHub\eaglep3-reporting\EC\2017-12-09-refined-times.txt</v>
      </c>
      <c r="AI11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{"issue":{"subject":"","project_id":79,"tracker_id":40,"status_id":1,"priority_id":2,"assigned_to_id":338,"start_date":"2017-12-09","description":"","custom_fields":[{"id":1,"name":"Subdivision","value":"EC"},{"id":4,"name":"Milepost","value":"23.3312"},{"id":17,"name":"Train ID","value":"203-09"},{"id":16,"name":"Locomotive ID","value":"4028"},{"id":130,"name":"Impact","value":""},{"id":150,"name":"Time of Event (Mountain Time)","value":"17:07:56"},{"id":151,"name":"Denver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1"/>
        <v>start /low /b %USERPROFILE%\Documents\GitHub\eaglep3\Utilities\DownloadLogsFromS3.py --loco 4028 --day 2017-12-09</v>
      </c>
      <c r="AN115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3"/>
        <v>https://d0f6bd738d7f1b3e5a7ca70fe4ff75f0.us-east-1.aws.found.io/app/kibana#/discover/Steve-Slow-Train-Analysis-(2080s-and-2083s)?_g=(refreshInterval:(display:Off,pause:!f,section:0,value:0),time:(from:'2017-12-09T15:27:19-0700',mode:absolute,to:'2017-12-09T18:07:56-0700'))&amp;_a=(columns:!('Message%20ID',Summary),filters:!(),index:'emp_*',interval:auto,query:(query_string:(analyze_wildcard:!t,query:'%22rtdc.l.rtdc.4028%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834</v>
      </c>
      <c r="B116" s="225">
        <v>4027</v>
      </c>
      <c r="C116" s="227" t="s">
        <v>192</v>
      </c>
      <c r="D116" s="227" t="s">
        <v>576</v>
      </c>
      <c r="E116" s="226">
        <v>43078.724988425929</v>
      </c>
      <c r="F116" s="226">
        <v>43078.72755787037</v>
      </c>
      <c r="G116" s="225">
        <v>63</v>
      </c>
      <c r="H116" s="227" t="s">
        <v>539</v>
      </c>
      <c r="I116" s="226">
        <v>43078.755509259259</v>
      </c>
      <c r="J116" s="225">
        <v>0</v>
      </c>
      <c r="K116" s="237" t="str">
        <f t="shared" si="25"/>
        <v>4027/4028</v>
      </c>
      <c r="L116" s="245" t="str">
        <f>VLOOKUP(A116,'Trips&amp;Operators'!$C$1:$G$99911,5,FALSE)</f>
        <v>DAVIS MICHAEL</v>
      </c>
      <c r="M116" s="224">
        <f t="shared" si="26"/>
        <v>2.7951388889050577E-2</v>
      </c>
      <c r="N116" s="225">
        <f t="shared" si="44"/>
        <v>40.250000000232831</v>
      </c>
      <c r="O116" s="225"/>
      <c r="P116" s="225"/>
      <c r="Q116" s="228"/>
      <c r="R116" s="242"/>
      <c r="S116" s="249">
        <f t="shared" si="28"/>
        <v>1</v>
      </c>
      <c r="T116" s="242" t="str">
        <f t="shared" si="29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0"/>
        <v>https://d0f6bd738d7f1b3e5a7ca70fe4ff75f0.us-east-1.aws.found.io/app/kibana#/discover/Steve-Slow-Train-Analysis-(2080s-and-2083s)?_g=(refreshInterval:(display:Off,pause:!f,section:0,value:0),time:(from:'2017-12-09T16:23:59-0700',mode:absolute,to:'2017-12-09T19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247" t="str">
        <f>IF(AA116&lt;VLOOKUP(AG116,Variables!$AC$3:$AD$8,2,FALSE),"Y","N")</f>
        <v>N</v>
      </c>
      <c r="X116" s="247">
        <f t="shared" si="31"/>
        <v>1</v>
      </c>
      <c r="Y116" s="247">
        <f t="shared" si="32"/>
        <v>23.3</v>
      </c>
      <c r="Z116" s="247">
        <f t="shared" si="33"/>
        <v>2.3099999999999999E-2</v>
      </c>
      <c r="AA116" s="247">
        <f t="shared" si="34"/>
        <v>23.276900000000001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5"/>
        <v>204</v>
      </c>
      <c r="AE116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16" s="234" t="str">
        <f t="shared" si="37"/>
        <v>"C:\Program Files (x86)\AstroGrep\AstroGrep.exe" /e /r /s /spath="%USERPROFILE%\AppData\Local\Temp\OnboardLogs" /stypes="app*4027*20171210*" /stext=" 01:.+((SYSTEM_STATE.+slice.+state.+changed )|(ment ac)|(multiple cpu faults)|(system.+state.+changed )|(\[timeout)|(PRM\|1\|D)|(kpr)|(kdp)|(train st.+moving)|(\|lc)|(penalty))"</v>
      </c>
      <c r="AG116" s="244" t="str">
        <f t="shared" si="38"/>
        <v>EC</v>
      </c>
      <c r="AH116" s="236" t="str">
        <f t="shared" si="39"/>
        <v>"%USERPROFILE%\Documents\GitHub\eaglep3\Utilities\RefineRTDCRunTimes.py" --tripid 204-09 --locoid 4027 --swversion DE.1.0.9.0 --startMP 204:233000 --initTime 2017-12-09T17:23:59 --startdatetime 2017-12-09T17:27:41 --delay 63 --endMP 204:231 --enddatetime 2017-12-09T18:07:56 --enforcementcount 0 &gt;&gt;%USERPROFILE%\Documents\GitHub\eaglep3-reporting\EC\2017-12-09-refined-times.txt</v>
      </c>
      <c r="AI11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{"issue":{"subject":"","project_id":79,"tracker_id":40,"status_id":1,"priority_id":2,"assigned_to_id":338,"start_date":"2017-12-09","description":"","custom_fields":[{"id":1,"name":"Subdivision","value":"EC"},{"id":4,"name":"Milepost","value":"0.0231"},{"id":17,"name":"Train ID","value":"204-09"},{"id":16,"name":"Locomotive ID","value":"4027"},{"id":130,"name":"Impact","value":""},{"id":150,"name":"Time of Event (Mountain Time)","value":"18:07:56"},{"id":151,"name":"Denver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1"/>
        <v>start /low /b %USERPROFILE%\Documents\GitHub\eaglep3\Utilities\DownloadLogsFromS3.py --loco 4027 --day 2017-12-09</v>
      </c>
      <c r="AN116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3"/>
        <v>https://d0f6bd738d7f1b3e5a7ca70fe4ff75f0.us-east-1.aws.found.io/app/kibana#/discover/Steve-Slow-Train-Analysis-(2080s-and-2083s)?_g=(refreshInterval:(display:Off,pause:!f,section:0,value:0),time:(from:'2017-12-09T16:23:59-0700',mode:absolute,to:'2017-12-09T19:07:56-0700'))&amp;_a=(columns:!('Message%20ID',Summary),filters:!(),index:'emp_*',interval:auto,query:(query_string:(analyze_wildcard:!t,query:'%22rtdc.l.rtdc.4027%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25">
      <c r="A117" s="229" t="s">
        <v>826</v>
      </c>
      <c r="B117" s="225">
        <v>4008</v>
      </c>
      <c r="C117" s="227" t="s">
        <v>192</v>
      </c>
      <c r="D117" s="227" t="s">
        <v>587</v>
      </c>
      <c r="E117" s="226">
        <v>43078.695474537039</v>
      </c>
      <c r="F117" s="226">
        <v>43078.698159722226</v>
      </c>
      <c r="G117" s="225">
        <v>51</v>
      </c>
      <c r="H117" s="227" t="s">
        <v>558</v>
      </c>
      <c r="I117" s="226">
        <v>43078.72215277778</v>
      </c>
      <c r="J117" s="225">
        <v>0</v>
      </c>
      <c r="K117" s="237" t="str">
        <f t="shared" si="25"/>
        <v>4007/4008</v>
      </c>
      <c r="L117" s="245" t="str">
        <f>VLOOKUP(A117,'Trips&amp;Operators'!$C$1:$G$99911,5,FALSE)</f>
        <v>SAFIEF AEIMEN</v>
      </c>
      <c r="M117" s="224">
        <f t="shared" si="26"/>
        <v>2.3993055554456078E-2</v>
      </c>
      <c r="N117" s="225">
        <f t="shared" si="44"/>
        <v>34.549999998416752</v>
      </c>
      <c r="O117" s="225"/>
      <c r="P117" s="225"/>
      <c r="Q117" s="228"/>
      <c r="R117" s="242"/>
      <c r="S117" s="249">
        <f t="shared" si="28"/>
        <v>1</v>
      </c>
      <c r="T117" s="242" t="str">
        <f t="shared" si="29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0"/>
        <v>https://d0f6bd738d7f1b3e5a7ca70fe4ff75f0.us-east-1.aws.found.io/app/kibana#/discover/Steve-Slow-Train-Analysis-(2080s-and-2083s)?_g=(refreshInterval:(display:Off,pause:!f,section:0,value:0),time:(from:'2017-12-09T15:41:29-0700',mode:absolute,to:'2017-12-09T18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247" t="str">
        <f>IF(AA117&lt;VLOOKUP(AG117,Variables!$AC$3:$AD$8,2,FALSE),"Y","N")</f>
        <v>N</v>
      </c>
      <c r="X117" s="247">
        <f t="shared" si="31"/>
        <v>1</v>
      </c>
      <c r="Y117" s="247">
        <f t="shared" si="32"/>
        <v>5.11E-2</v>
      </c>
      <c r="Z117" s="247">
        <f t="shared" si="33"/>
        <v>23.3247</v>
      </c>
      <c r="AA117" s="247">
        <f t="shared" si="34"/>
        <v>23.273599999999998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5"/>
        <v>205</v>
      </c>
      <c r="AE117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17" s="234" t="str">
        <f t="shared" si="37"/>
        <v>"C:\Program Files (x86)\AstroGrep\AstroGrep.exe" /e /r /s /spath="%USERPROFILE%\AppData\Local\Temp\OnboardLogs" /stypes="app*4008*20171210*" /stext=" 00:.+((SYSTEM_STATE.+slice.+state.+changed )|(ment ac)|(multiple cpu faults)|(system.+state.+changed )|(\[timeout)|(PRM\|1\|D)|(kpr)|(kdp)|(train st.+moving)|(\|lc)|(penalty))"</v>
      </c>
      <c r="AG117" s="244" t="str">
        <f t="shared" si="38"/>
        <v>EC</v>
      </c>
      <c r="AH117" s="236" t="str">
        <f t="shared" si="39"/>
        <v>"%USERPROFILE%\Documents\GitHub\eaglep3\Utilities\RefineRTDCRunTimes.py" --tripid 205-09 --locoid 4008 --swversion DE.1.0.9.0 --startMP 204:511 --initTime 2017-12-09T16:41:29 --startdatetime 2017-12-09T16:45:21 --delay 51 --endMP 204:233247 --enddatetime 2017-12-09T17:19:54 --enforcementcount 0 &gt;&gt;%USERPROFILE%\Documents\GitHub\eaglep3-reporting\EC\2017-12-09-refined-times.txt</v>
      </c>
      <c r="AI11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{"issue":{"subject":"","project_id":79,"tracker_id":40,"status_id":1,"priority_id":2,"assigned_to_id":338,"start_date":"2017-12-09","description":"","custom_fields":[{"id":1,"name":"Subdivision","value":"EC"},{"id":4,"name":"Milepost","value":"23.3247"},{"id":17,"name":"Train ID","value":"205-09"},{"id":16,"name":"Locomotive ID","value":"4008"},{"id":130,"name":"Impact","value":""},{"id":150,"name":"Time of Event (Mountain Time)","value":"17:19:54"},{"id":151,"name":"Denver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1"/>
        <v>start /low /b %USERPROFILE%\Documents\GitHub\eaglep3\Utilities\DownloadLogsFromS3.py --loco 4008 --day 2017-12-09</v>
      </c>
      <c r="AN117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3"/>
        <v>https://d0f6bd738d7f1b3e5a7ca70fe4ff75f0.us-east-1.aws.found.io/app/kibana#/discover/Steve-Slow-Train-Analysis-(2080s-and-2083s)?_g=(refreshInterval:(display:Off,pause:!f,section:0,value:0),time:(from:'2017-12-09T15:41:29-0700',mode:absolute,to:'2017-12-09T18:19:54-0700'))&amp;_a=(columns:!('Message%20ID',Summary),filters:!(),index:'emp_*',interval:auto,query:(query_string:(analyze_wildcard:!t,query:'%22rtdc.l.rtdc.4008%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25">
      <c r="A118" s="229" t="s">
        <v>835</v>
      </c>
      <c r="B118" s="225">
        <v>4007</v>
      </c>
      <c r="C118" s="227" t="s">
        <v>192</v>
      </c>
      <c r="D118" s="227" t="s">
        <v>957</v>
      </c>
      <c r="E118" s="226">
        <v>43078.725289351853</v>
      </c>
      <c r="F118" s="226">
        <v>43078.737662037034</v>
      </c>
      <c r="G118" s="225">
        <v>96</v>
      </c>
      <c r="H118" s="227" t="s">
        <v>552</v>
      </c>
      <c r="I118" s="226">
        <v>43078.764467592591</v>
      </c>
      <c r="J118" s="225">
        <v>0</v>
      </c>
      <c r="K118" s="237" t="str">
        <f t="shared" si="25"/>
        <v>4007/4008</v>
      </c>
      <c r="L118" s="245" t="str">
        <f>VLOOKUP(A118,'Trips&amp;Operators'!$C$1:$G$99911,5,FALSE)</f>
        <v>SAFIEF AEIMEN</v>
      </c>
      <c r="M118" s="224">
        <f t="shared" si="26"/>
        <v>2.6805555557075422E-2</v>
      </c>
      <c r="N118" s="225">
        <f t="shared" si="44"/>
        <v>38.600000002188608</v>
      </c>
      <c r="O118" s="225"/>
      <c r="P118" s="225"/>
      <c r="Q118" s="228"/>
      <c r="R118" s="242"/>
      <c r="S118" s="249">
        <f t="shared" si="28"/>
        <v>1</v>
      </c>
      <c r="T118" s="242" t="str">
        <f t="shared" si="29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0"/>
        <v>https://d0f6bd738d7f1b3e5a7ca70fe4ff75f0.us-east-1.aws.found.io/app/kibana#/discover/Steve-Slow-Train-Analysis-(2080s-and-2083s)?_g=(refreshInterval:(display:Off,pause:!f,section:0,value:0),time:(from:'2017-12-09T16:24:25-0700',mode:absolute,to:'2017-12-09T19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247" t="str">
        <f>IF(AA118&lt;VLOOKUP(AG118,Variables!$AC$3:$AD$8,2,FALSE),"Y","N")</f>
        <v>N</v>
      </c>
      <c r="X118" s="247">
        <f t="shared" si="31"/>
        <v>1</v>
      </c>
      <c r="Y118" s="247">
        <f t="shared" si="32"/>
        <v>23.293399999999998</v>
      </c>
      <c r="Z118" s="247">
        <f t="shared" si="33"/>
        <v>1.9199999999999998E-2</v>
      </c>
      <c r="AA118" s="247">
        <f t="shared" si="34"/>
        <v>23.274199999999997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5"/>
        <v>206</v>
      </c>
      <c r="AE118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18" s="234" t="str">
        <f t="shared" si="37"/>
        <v>"C:\Program Files (x86)\AstroGrep\AstroGrep.exe" /e /r /s /spath="%USERPROFILE%\AppData\Local\Temp\OnboardLogs" /stypes="app*4007*20171210*" /stext=" 01:.+((SYSTEM_STATE.+slice.+state.+changed )|(ment ac)|(multiple cpu faults)|(system.+state.+changed )|(\[timeout)|(PRM\|1\|D)|(kpr)|(kdp)|(train st.+moving)|(\|lc)|(penalty))"</v>
      </c>
      <c r="AG118" s="244" t="str">
        <f t="shared" si="38"/>
        <v>EC</v>
      </c>
      <c r="AH118" s="236" t="str">
        <f t="shared" si="39"/>
        <v>"%USERPROFILE%\Documents\GitHub\eaglep3\Utilities\RefineRTDCRunTimes.py" --tripid 206-09 --locoid 4007 --swversion DE.1.0.9.0 --startMP 204:232934 --initTime 2017-12-09T17:24:25 --startdatetime 2017-12-09T17:42:14 --delay 96 --endMP 204:192 --enddatetime 2017-12-09T18:20:50 --enforcementcount 0 &gt;&gt;%USERPROFILE%\Documents\GitHub\eaglep3-reporting\EC\2017-12-09-refined-times.txt</v>
      </c>
      <c r="AI11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{"issue":{"subject":"","project_id":79,"tracker_id":40,"status_id":1,"priority_id":2,"assigned_to_id":338,"start_date":"2017-12-09","description":"","custom_fields":[{"id":1,"name":"Subdivision","value":"EC"},{"id":4,"name":"Milepost","value":"0.0192"},{"id":17,"name":"Train ID","value":"206-09"},{"id":16,"name":"Locomotive ID","value":"4007"},{"id":130,"name":"Impact","value":""},{"id":150,"name":"Time of Event (Mountain Time)","value":"18:20:50"},{"id":151,"name":"Denver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41"/>
        <v>start /low /b %USERPROFILE%\Documents\GitHub\eaglep3\Utilities\DownloadLogsFromS3.py --loco 4007 --day 2017-12-09</v>
      </c>
      <c r="AN118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3"/>
        <v>https://d0f6bd738d7f1b3e5a7ca70fe4ff75f0.us-east-1.aws.found.io/app/kibana#/discover/Steve-Slow-Train-Analysis-(2080s-and-2083s)?_g=(refreshInterval:(display:Off,pause:!f,section:0,value:0),time:(from:'2017-12-09T16:24:25-0700',mode:absolute,to:'2017-12-09T19:20:50-0700'))&amp;_a=(columns:!('Message%20ID',Summary),filters:!(),index:'emp_*',interval:auto,query:(query_string:(analyze_wildcard:!t,query:'%22rtdc.l.rtdc.4007%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829</v>
      </c>
      <c r="B119" s="225">
        <v>4058</v>
      </c>
      <c r="C119" s="227" t="s">
        <v>192</v>
      </c>
      <c r="D119" s="227" t="s">
        <v>508</v>
      </c>
      <c r="E119" s="226">
        <v>43078.704097222224</v>
      </c>
      <c r="F119" s="226">
        <v>43078.708495370367</v>
      </c>
      <c r="G119" s="225">
        <v>66</v>
      </c>
      <c r="H119" s="227" t="s">
        <v>956</v>
      </c>
      <c r="I119" s="226">
        <v>43078.733483796299</v>
      </c>
      <c r="J119" s="225">
        <v>0</v>
      </c>
      <c r="K119" s="237" t="str">
        <f t="shared" si="25"/>
        <v>4057/4058</v>
      </c>
      <c r="L119" s="245" t="str">
        <f>VLOOKUP(A119,'Trips&amp;Operators'!$C$1:$G$99911,5,FALSE)</f>
        <v>GUZMAN DANNY</v>
      </c>
      <c r="M119" s="224">
        <f t="shared" si="26"/>
        <v>2.4988425931951497E-2</v>
      </c>
      <c r="N119" s="225">
        <f t="shared" si="44"/>
        <v>35.983333342010155</v>
      </c>
      <c r="O119" s="225"/>
      <c r="P119" s="225"/>
      <c r="Q119" s="228"/>
      <c r="R119" s="242"/>
      <c r="S119" s="249">
        <f t="shared" si="28"/>
        <v>1</v>
      </c>
      <c r="T119" s="242" t="str">
        <f t="shared" si="29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0"/>
        <v>https://d0f6bd738d7f1b3e5a7ca70fe4ff75f0.us-east-1.aws.found.io/app/kibana#/discover/Steve-Slow-Train-Analysis-(2080s-and-2083s)?_g=(refreshInterval:(display:Off,pause:!f,section:0,value:0),time:(from:'2017-12-09T15:53:54-0700',mode:absolute,to:'2017-12-09T18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9" s="247" t="str">
        <f>IF(AA119&lt;VLOOKUP(AG119,Variables!$AC$3:$AD$8,2,FALSE),"Y","N")</f>
        <v>N</v>
      </c>
      <c r="X119" s="247">
        <f t="shared" si="31"/>
        <v>1</v>
      </c>
      <c r="Y119" s="247">
        <f t="shared" si="32"/>
        <v>5.4600000000000003E-2</v>
      </c>
      <c r="Z119" s="247">
        <f t="shared" si="33"/>
        <v>23.3263</v>
      </c>
      <c r="AA119" s="247">
        <f t="shared" si="34"/>
        <v>23.271699999999999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5"/>
        <v>207</v>
      </c>
      <c r="AE119" s="235" t="str">
        <f t="shared" si="36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119" s="234" t="str">
        <f t="shared" si="37"/>
        <v>"C:\Program Files (x86)\AstroGrep\AstroGrep.exe" /e /r /s /spath="%USERPROFILE%\AppData\Local\Temp\OnboardLogs" /stypes="app*4058*20171210*" /stext=" 00:.+((SYSTEM_STATE.+slice.+state.+changed )|(ment ac)|(multiple cpu faults)|(system.+state.+changed )|(\[timeout)|(PRM\|1\|D)|(kpr)|(kdp)|(train st.+moving)|(\|lc)|(penalty))"</v>
      </c>
      <c r="AG119" s="244" t="str">
        <f t="shared" si="38"/>
        <v>EC</v>
      </c>
      <c r="AH119" s="236" t="str">
        <f t="shared" si="39"/>
        <v>"%USERPROFILE%\Documents\GitHub\eaglep3\Utilities\RefineRTDCRunTimes.py" --tripid 207-09 --locoid 4058 --swversion DE.1.0.9.0 --startMP 204:546 --initTime 2017-12-09T16:53:54 --startdatetime 2017-12-09T17:00:14 --delay 66 --endMP 204:233263 --enddatetime 2017-12-09T17:36:13 --enforcementcount 0 &gt;&gt;%USERPROFILE%\Documents\GitHub\eaglep3-reporting\EC\2017-12-09-refined-times.txt</v>
      </c>
      <c r="AI11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{"issue":{"subject":"","project_id":79,"tracker_id":40,"status_id":1,"priority_id":2,"assigned_to_id":338,"start_date":"2017-12-09","description":"","custom_fields":[{"id":1,"name":"Subdivision","value":"EC"},{"id":4,"name":"Milepost","value":"23.3263"},{"id":17,"name":"Train ID","value":"207-09"},{"id":16,"name":"Locomotive ID","value":"4058"},{"id":130,"name":"Impact","value":""},{"id":150,"name":"Time of Event (Mountain Time)","value":"17:36:13"},{"id":151,"name":"Denver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1"/>
        <v>start /low /b %USERPROFILE%\Documents\GitHub\eaglep3\Utilities\DownloadLogsFromS3.py --loco 4058 --day 2017-12-09</v>
      </c>
      <c r="AN119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3"/>
        <v>https://d0f6bd738d7f1b3e5a7ca70fe4ff75f0.us-east-1.aws.found.io/app/kibana#/discover/Steve-Slow-Train-Analysis-(2080s-and-2083s)?_g=(refreshInterval:(display:Off,pause:!f,section:0,value:0),time:(from:'2017-12-09T15:53:54-0700',mode:absolute,to:'2017-12-09T18:36:13-0700'))&amp;_a=(columns:!('Message%20ID',Summary),filters:!(),index:'emp_*',interval:auto,query:(query_string:(analyze_wildcard:!t,query:'%22rtdc.l.rtdc.4058%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838</v>
      </c>
      <c r="B120" s="225">
        <v>4057</v>
      </c>
      <c r="C120" s="227" t="s">
        <v>192</v>
      </c>
      <c r="D120" s="227" t="s">
        <v>894</v>
      </c>
      <c r="E120" s="226">
        <v>43078.73474537037</v>
      </c>
      <c r="F120" s="226">
        <v>43078.748090277775</v>
      </c>
      <c r="G120" s="225">
        <v>62</v>
      </c>
      <c r="H120" s="227" t="s">
        <v>538</v>
      </c>
      <c r="I120" s="226">
        <v>43078.773958333331</v>
      </c>
      <c r="J120" s="225">
        <v>0</v>
      </c>
      <c r="K120" s="237" t="str">
        <f t="shared" si="25"/>
        <v>4057/4058</v>
      </c>
      <c r="L120" s="245" t="str">
        <f>VLOOKUP(A120,'Trips&amp;Operators'!$C$1:$G$99911,5,FALSE)</f>
        <v>GUZMAN DANNY</v>
      </c>
      <c r="M120" s="224">
        <f t="shared" si="26"/>
        <v>2.5868055556202307E-2</v>
      </c>
      <c r="N120" s="225">
        <f t="shared" si="44"/>
        <v>37.250000000931323</v>
      </c>
      <c r="O120" s="225"/>
      <c r="P120" s="225"/>
      <c r="Q120" s="228"/>
      <c r="R120" s="242"/>
      <c r="S120" s="249">
        <f t="shared" si="28"/>
        <v>1</v>
      </c>
      <c r="T120" s="242" t="str">
        <f t="shared" si="29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0"/>
        <v>https://d0f6bd738d7f1b3e5a7ca70fe4ff75f0.us-east-1.aws.found.io/app/kibana#/discover/Steve-Slow-Train-Analysis-(2080s-and-2083s)?_g=(refreshInterval:(display:Off,pause:!f,section:0,value:0),time:(from:'2017-12-09T16:38:02-0700',mode:absolute,to:'2017-12-09T19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0" s="247" t="str">
        <f>IF(AA120&lt;VLOOKUP(AG120,Variables!$AC$3:$AD$8,2,FALSE),"Y","N")</f>
        <v>N</v>
      </c>
      <c r="X120" s="247">
        <f t="shared" si="31"/>
        <v>1</v>
      </c>
      <c r="Y120" s="247">
        <f t="shared" si="32"/>
        <v>23.2957</v>
      </c>
      <c r="Z120" s="247">
        <f t="shared" si="33"/>
        <v>2.6200000000000001E-2</v>
      </c>
      <c r="AA120" s="247">
        <f t="shared" si="34"/>
        <v>23.269500000000001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5"/>
        <v>208</v>
      </c>
      <c r="AE120" s="235" t="str">
        <f t="shared" si="3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120" s="234" t="str">
        <f t="shared" si="37"/>
        <v>"C:\Program Files (x86)\AstroGrep\AstroGrep.exe" /e /r /s /spath="%USERPROFILE%\AppData\Local\Temp\OnboardLogs" /stypes="app*4057*20171210*" /stext=" 01:.+((SYSTEM_STATE.+slice.+state.+changed )|(ment ac)|(multiple cpu faults)|(system.+state.+changed )|(\[timeout)|(PRM\|1\|D)|(kpr)|(kdp)|(train st.+moving)|(\|lc)|(penalty))"</v>
      </c>
      <c r="AG120" s="244" t="str">
        <f t="shared" si="38"/>
        <v>EC</v>
      </c>
      <c r="AH120" s="236" t="str">
        <f t="shared" si="39"/>
        <v>"%USERPROFILE%\Documents\GitHub\eaglep3\Utilities\RefineRTDCRunTimes.py" --tripid 208-09 --locoid 4057 --swversion DE.1.0.9.0 --startMP 204:232957 --initTime 2017-12-09T17:38:02 --startdatetime 2017-12-09T17:57:15 --delay 62 --endMP 204:262 --enddatetime 2017-12-09T18:34:30 --enforcementcount 0 &gt;&gt;%USERPROFILE%\Documents\GitHub\eaglep3-reporting\EC\2017-12-09-refined-times.txt</v>
      </c>
      <c r="AI12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{"issue":{"subject":"","project_id":79,"tracker_id":40,"status_id":1,"priority_id":2,"assigned_to_id":338,"start_date":"2017-12-09","description":"","custom_fields":[{"id":1,"name":"Subdivision","value":"EC"},{"id":4,"name":"Milepost","value":"0.0262"},{"id":17,"name":"Train ID","value":"208-09"},{"id":16,"name":"Locomotive ID","value":"4057"},{"id":130,"name":"Impact","value":""},{"id":150,"name":"Time of Event (Mountain Time)","value":"18:34:30"},{"id":151,"name":"Denver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1"/>
        <v>start /low /b %USERPROFILE%\Documents\GitHub\eaglep3\Utilities\DownloadLogsFromS3.py --loco 4057 --day 2017-12-09</v>
      </c>
      <c r="AN120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3"/>
        <v>https://d0f6bd738d7f1b3e5a7ca70fe4ff75f0.us-east-1.aws.found.io/app/kibana#/discover/Steve-Slow-Train-Analysis-(2080s-and-2083s)?_g=(refreshInterval:(display:Off,pause:!f,section:0,value:0),time:(from:'2017-12-09T16:38:02-0700',mode:absolute,to:'2017-12-09T19:34:30-0700'))&amp;_a=(columns:!('Message%20ID',Summary),filters:!(),index:'emp_*',interval:auto,query:(query_string:(analyze_wildcard:!t,query:'%22rtdc.l.rtdc.4057%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29" t="s">
        <v>832</v>
      </c>
      <c r="B121" s="225">
        <v>4006</v>
      </c>
      <c r="C121" s="227" t="s">
        <v>192</v>
      </c>
      <c r="D121" s="227" t="s">
        <v>1009</v>
      </c>
      <c r="E121" s="226">
        <v>43078.728159722225</v>
      </c>
      <c r="F121" s="226">
        <v>43078.72929398148</v>
      </c>
      <c r="G121" s="225">
        <v>52</v>
      </c>
      <c r="H121" s="227" t="s">
        <v>664</v>
      </c>
      <c r="I121" s="226">
        <v>43078.744525462964</v>
      </c>
      <c r="J121" s="225">
        <v>0</v>
      </c>
      <c r="K121" s="237" t="str">
        <f t="shared" si="25"/>
        <v>4005/4006</v>
      </c>
      <c r="L121" s="245" t="str">
        <f>VLOOKUP(A121,'Trips&amp;Operators'!$C$1:$G$99911,5,FALSE)</f>
        <v>MCREYNOLDS KYLE</v>
      </c>
      <c r="M121" s="224">
        <f t="shared" si="26"/>
        <v>1.5231481484079268E-2</v>
      </c>
      <c r="N121" s="225"/>
      <c r="O121" s="225"/>
      <c r="P121" s="225">
        <f>24*60*SUM($M121:$M121)</f>
        <v>21.933333337074146</v>
      </c>
      <c r="Q121" s="228"/>
      <c r="R121" s="242" t="s">
        <v>1072</v>
      </c>
      <c r="S121" s="249">
        <f t="shared" si="28"/>
        <v>0.25</v>
      </c>
      <c r="T121" s="242" t="str">
        <f t="shared" si="29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3</v>
      </c>
      <c r="V121" s="248" t="str">
        <f t="shared" si="30"/>
        <v>https://d0f6bd738d7f1b3e5a7ca70fe4ff75f0.us-east-1.aws.found.io/app/kibana#/discover/Steve-Slow-Train-Analysis-(2080s-and-2083s)?_g=(refreshInterval:(display:Off,pause:!f,section:0,value:0),time:(from:'2017-12-09T16:28:33-0700',mode:absolute,to:'2017-12-09T18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1" s="247" t="str">
        <f>IF(AA121&lt;VLOOKUP(AG121,Variables!$AC$3:$AD$8,2,FALSE),"Y","N")</f>
        <v>Y</v>
      </c>
      <c r="X121" s="247">
        <f t="shared" si="31"/>
        <v>1</v>
      </c>
      <c r="Y121" s="247">
        <f t="shared" si="32"/>
        <v>6.4683999999999999</v>
      </c>
      <c r="Z121" s="247">
        <f t="shared" si="33"/>
        <v>23.319299999999998</v>
      </c>
      <c r="AA121" s="247">
        <f t="shared" si="34"/>
        <v>16.850899999999999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5"/>
        <v>209</v>
      </c>
      <c r="AE121" s="235" t="str">
        <f t="shared" si="36"/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121" s="234" t="str">
        <f t="shared" si="37"/>
        <v>"C:\Program Files (x86)\AstroGrep\AstroGrep.exe" /e /r /s /spath="%USERPROFILE%\AppData\Local\Temp\OnboardLogs" /stypes="app*4006*20171210*" /stext=" 00:.+((SYSTEM_STATE.+slice.+state.+changed )|(ment ac)|(multiple cpu faults)|(system.+state.+changed )|(\[timeout)|(PRM\|1\|D)|(kpr)|(kdp)|(train st.+moving)|(\|lc)|(penalty))"</v>
      </c>
      <c r="AG121" s="244" t="str">
        <f t="shared" si="38"/>
        <v>EC</v>
      </c>
      <c r="AH121" s="236" t="str">
        <f t="shared" si="39"/>
        <v>"%USERPROFILE%\Documents\GitHub\eaglep3\Utilities\RefineRTDCRunTimes.py" --tripid 209-09 --locoid 4006 --swversion DE.1.0.9.0 --startMP 204:64684 --initTime 2017-12-09T17:28:33 --startdatetime 2017-12-09T17:30:11 --delay 52 --endMP 204:233193 --enddatetime 2017-12-09T17:52:07 --enforcementcount 0 &gt;&gt;%USERPROFILE%\Documents\GitHub\eaglep3-reporting\EC\2017-12-09-refined-times.txt</v>
      </c>
      <c r="AI121" s="238" t="str">
        <f t="shared" si="40"/>
        <v>echo {"issue":{"subject":"CCROC/crew/equipment mismatch","project_id":79,"tracker_id":40,"status_id":1,"priority_id":2,"assigned_to_id":338,"start_date":"2017-12-09","description":"","custom_fields":[{"id":1,"name":"Subdivision","value":"EC"},{"id":4,"name":"Milepost","value":"23.3193"},{"id":17,"name":"Train ID","value":"209-09"},{"id":16,"name":"Locomotive ID","value":"4006"},{"id":130,"name":"Impact","value":""},{"id":150,"name":"Time of Event (Mountain Time)","value":"17:52:07"},{"id":151,"name":"Denver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41"/>
        <v>start /low /b %USERPROFILE%\Documents\GitHub\eaglep3\Utilities\DownloadLogsFromS3.py --loco 4006 --day 2017-12-09</v>
      </c>
      <c r="AN121" s="241" t="str">
        <f t="shared" si="42"/>
        <v>echo {"issue":{"subject":"CCROC/crew/equipment mismatch","project_id":30,"tracker_id":4,"status_id":1,"priority_id":1,"assigned_to_id":10,"start_date":"2017-12-10","description":"","custom_fields":[{"id":30,"name":"Category","value":"Issue"},{"id":3,"name":"Functional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3"/>
        <v>https://d0f6bd738d7f1b3e5a7ca70fe4ff75f0.us-east-1.aws.found.io/app/kibana#/discover/Steve-Slow-Train-Analysis-(2080s-and-2083s)?_g=(refreshInterval:(display:Off,pause:!f,section:0,value:0),time:(from:'2017-12-09T16:28:33-0700',mode:absolute,to:'2017-12-09T18:52:07-0700'))&amp;_a=(columns:!('Message%20ID',Summary),filters:!(),index:'emp_*',interval:auto,query:(query_string:(analyze_wildcard:!t,query:'%22rtdc.l.rtdc.4006%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845</v>
      </c>
      <c r="B122" s="225">
        <v>4005</v>
      </c>
      <c r="C122" s="227" t="s">
        <v>192</v>
      </c>
      <c r="D122" s="227" t="s">
        <v>667</v>
      </c>
      <c r="E122" s="226">
        <v>43078.751967592594</v>
      </c>
      <c r="F122" s="226">
        <v>43078.758518518516</v>
      </c>
      <c r="G122" s="225">
        <v>57</v>
      </c>
      <c r="H122" s="227" t="s">
        <v>626</v>
      </c>
      <c r="I122" s="226">
        <v>43078.784479166665</v>
      </c>
      <c r="J122" s="225">
        <v>0</v>
      </c>
      <c r="K122" s="237" t="str">
        <f t="shared" si="25"/>
        <v>4005/4006</v>
      </c>
      <c r="L122" s="245" t="str">
        <f>VLOOKUP(A122,'Trips&amp;Operators'!$C$1:$G$99911,5,FALSE)</f>
        <v>MCREYNOLDS KYLE</v>
      </c>
      <c r="M122" s="224">
        <f t="shared" si="26"/>
        <v>2.5960648148611654E-2</v>
      </c>
      <c r="N122" s="225">
        <f t="shared" ref="N122:N157" si="45">24*60*SUM($M122:$M122)</f>
        <v>37.383333334000781</v>
      </c>
      <c r="O122" s="225"/>
      <c r="P122" s="225"/>
      <c r="Q122" s="228"/>
      <c r="R122" s="242"/>
      <c r="S122" s="249">
        <f t="shared" si="28"/>
        <v>1</v>
      </c>
      <c r="T122" s="242" t="str">
        <f t="shared" si="29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0"/>
        <v>https://d0f6bd738d7f1b3e5a7ca70fe4ff75f0.us-east-1.aws.found.io/app/kibana#/discover/Steve-Slow-Train-Analysis-(2080s-and-2083s)?_g=(refreshInterval:(display:Off,pause:!f,section:0,value:0),time:(from:'2017-12-09T17:02:50-0700',mode:absolute,to:'2017-12-09T19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2" s="247" t="str">
        <f>IF(AA122&lt;VLOOKUP(AG122,Variables!$AC$3:$AD$8,2,FALSE),"Y","N")</f>
        <v>N</v>
      </c>
      <c r="X122" s="247">
        <f t="shared" si="31"/>
        <v>1</v>
      </c>
      <c r="Y122" s="247">
        <f t="shared" si="32"/>
        <v>23.2882</v>
      </c>
      <c r="Z122" s="247">
        <f t="shared" si="33"/>
        <v>2.3800000000000002E-2</v>
      </c>
      <c r="AA122" s="247">
        <f t="shared" si="34"/>
        <v>23.264399999999998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5"/>
        <v>210</v>
      </c>
      <c r="AE122" s="235" t="str">
        <f t="shared" si="3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122" s="234" t="str">
        <f t="shared" si="37"/>
        <v>"C:\Program Files (x86)\AstroGrep\AstroGrep.exe" /e /r /s /spath="%USERPROFILE%\AppData\Local\Temp\OnboardLogs" /stypes="app*4005*20171210*" /stext=" 01:.+((SYSTEM_STATE.+slice.+state.+changed )|(ment ac)|(multiple cpu faults)|(system.+state.+changed )|(\[timeout)|(PRM\|1\|D)|(kpr)|(kdp)|(train st.+moving)|(\|lc)|(penalty))"</v>
      </c>
      <c r="AG122" s="244" t="str">
        <f t="shared" si="38"/>
        <v>EC</v>
      </c>
      <c r="AH122" s="236" t="str">
        <f t="shared" si="39"/>
        <v>"%USERPROFILE%\Documents\GitHub\eaglep3\Utilities\RefineRTDCRunTimes.py" --tripid 210-09 --locoid 4005 --swversion DE.1.0.9.0 --startMP 204:232882 --initTime 2017-12-09T18:02:50 --startdatetime 2017-12-09T18:12:16 --delay 57 --endMP 204:238 --enddatetime 2017-12-09T18:49:39 --enforcementcount 0 &gt;&gt;%USERPROFILE%\Documents\GitHub\eaglep3-reporting\EC\2017-12-09-refined-times.txt</v>
      </c>
      <c r="AI12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{"issue":{"subject":"","project_id":79,"tracker_id":40,"status_id":1,"priority_id":2,"assigned_to_id":338,"start_date":"2017-12-09","description":"","custom_fields":[{"id":1,"name":"Subdivision","value":"EC"},{"id":4,"name":"Milepost","value":"0.0238"},{"id":17,"name":"Train ID","value":"210-09"},{"id":16,"name":"Locomotive ID","value":"4005"},{"id":130,"name":"Impact","value":""},{"id":150,"name":"Time of Event (Mountain Time)","value":"18:49:39"},{"id":151,"name":"Denver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1"/>
        <v>start /low /b %USERPROFILE%\Documents\GitHub\eaglep3\Utilities\DownloadLogsFromS3.py --loco 4005 --day 2017-12-09</v>
      </c>
      <c r="AN122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3"/>
        <v>https://d0f6bd738d7f1b3e5a7ca70fe4ff75f0.us-east-1.aws.found.io/app/kibana#/discover/Steve-Slow-Train-Analysis-(2080s-and-2083s)?_g=(refreshInterval:(display:Off,pause:!f,section:0,value:0),time:(from:'2017-12-09T17:02:50-0700',mode:absolute,to:'2017-12-09T19:49:39-0700'))&amp;_a=(columns:!('Message%20ID',Summary),filters:!(),index:'emp_*',interval:auto,query:(query_string:(analyze_wildcard:!t,query:'%22rtdc.l.rtdc.4005%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833</v>
      </c>
      <c r="B123" s="225">
        <v>4036</v>
      </c>
      <c r="C123" s="227" t="s">
        <v>192</v>
      </c>
      <c r="D123" s="227" t="s">
        <v>900</v>
      </c>
      <c r="E123" s="226">
        <v>43078.723854166667</v>
      </c>
      <c r="F123" s="226">
        <v>43078.72934027778</v>
      </c>
      <c r="G123" s="225">
        <v>80</v>
      </c>
      <c r="H123" s="227" t="s">
        <v>988</v>
      </c>
      <c r="I123" s="226">
        <v>43078.753842592596</v>
      </c>
      <c r="J123" s="225">
        <v>0</v>
      </c>
      <c r="K123" s="237" t="str">
        <f t="shared" si="25"/>
        <v>4035/4036</v>
      </c>
      <c r="L123" s="245" t="str">
        <f>VLOOKUP(A123,'Trips&amp;Operators'!$C$1:$G$99911,5,FALSE)</f>
        <v>GONZALEZ ARMANDO</v>
      </c>
      <c r="M123" s="224">
        <f t="shared" si="26"/>
        <v>2.4502314816345461E-2</v>
      </c>
      <c r="N123" s="225">
        <f t="shared" si="45"/>
        <v>35.283333335537463</v>
      </c>
      <c r="O123" s="225"/>
      <c r="P123" s="225"/>
      <c r="Q123" s="228"/>
      <c r="R123" s="242"/>
      <c r="S123" s="249">
        <f t="shared" si="28"/>
        <v>1</v>
      </c>
      <c r="T123" s="242" t="str">
        <f t="shared" si="29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0"/>
        <v>https://d0f6bd738d7f1b3e5a7ca70fe4ff75f0.us-east-1.aws.found.io/app/kibana#/discover/Steve-Slow-Train-Analysis-(2080s-and-2083s)?_g=(refreshInterval:(display:Off,pause:!f,section:0,value:0),time:(from:'2017-12-09T16:22:21-0700',mode:absolute,to:'2017-12-09T19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3" s="247" t="str">
        <f>IF(AA123&lt;VLOOKUP(AG123,Variables!$AC$3:$AD$8,2,FALSE),"Y","N")</f>
        <v>N</v>
      </c>
      <c r="X123" s="247">
        <f t="shared" si="31"/>
        <v>1</v>
      </c>
      <c r="Y123" s="247">
        <f t="shared" si="32"/>
        <v>4.6699999999999998E-2</v>
      </c>
      <c r="Z123" s="247">
        <f t="shared" si="33"/>
        <v>23.330400000000001</v>
      </c>
      <c r="AA123" s="247">
        <f t="shared" si="34"/>
        <v>23.2837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5"/>
        <v>211</v>
      </c>
      <c r="AE123" s="235" t="str">
        <f t="shared" si="3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123" s="234" t="str">
        <f t="shared" si="37"/>
        <v>"C:\Program Files (x86)\AstroGrep\AstroGrep.exe" /e /r /s /spath="%USERPROFILE%\AppData\Local\Temp\OnboardLogs" /stypes="app*4036*20171210*" /stext=" 01:.+((SYSTEM_STATE.+slice.+state.+changed )|(ment ac)|(multiple cpu faults)|(system.+state.+changed )|(\[timeout)|(PRM\|1\|D)|(kpr)|(kdp)|(train st.+moving)|(\|lc)|(penalty))"</v>
      </c>
      <c r="AG123" s="244" t="str">
        <f t="shared" si="38"/>
        <v>EC</v>
      </c>
      <c r="AH123" s="236" t="str">
        <f t="shared" si="39"/>
        <v>"%USERPROFILE%\Documents\GitHub\eaglep3\Utilities\RefineRTDCRunTimes.py" --tripid 211-09 --locoid 4036 --swversion DE.1.0.9.0 --startMP 204:467 --initTime 2017-12-09T17:22:21 --startdatetime 2017-12-09T17:30:15 --delay 80 --endMP 204:233304 --enddatetime 2017-12-09T18:05:32 --enforcementcount 0 &gt;&gt;%USERPROFILE%\Documents\GitHub\eaglep3-reporting\EC\2017-12-09-refined-times.txt</v>
      </c>
      <c r="AI12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{"issue":{"subject":"","project_id":79,"tracker_id":40,"status_id":1,"priority_id":2,"assigned_to_id":338,"start_date":"2017-12-09","description":"","custom_fields":[{"id":1,"name":"Subdivision","value":"EC"},{"id":4,"name":"Milepost","value":"23.3304"},{"id":17,"name":"Train ID","value":"211-09"},{"id":16,"name":"Locomotive ID","value":"4036"},{"id":130,"name":"Impact","value":""},{"id":150,"name":"Time of Event (Mountain Time)","value":"18:05:32"},{"id":151,"name":"Denver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1"/>
        <v>start /low /b %USERPROFILE%\Documents\GitHub\eaglep3\Utilities\DownloadLogsFromS3.py --loco 4036 --day 2017-12-09</v>
      </c>
      <c r="AN123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3"/>
        <v>https://d0f6bd738d7f1b3e5a7ca70fe4ff75f0.us-east-1.aws.found.io/app/kibana#/discover/Steve-Slow-Train-Analysis-(2080s-and-2083s)?_g=(refreshInterval:(display:Off,pause:!f,section:0,value:0),time:(from:'2017-12-09T16:22:21-0700',mode:absolute,to:'2017-12-09T19:05:32-0700'))&amp;_a=(columns:!('Message%20ID',Summary),filters:!(),index:'emp_*',interval:auto,query:(query_string:(analyze_wildcard:!t,query:'%22rtdc.l.rtdc.4036%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29" t="s">
        <v>847</v>
      </c>
      <c r="B124" s="225">
        <v>4035</v>
      </c>
      <c r="C124" s="227" t="s">
        <v>192</v>
      </c>
      <c r="D124" s="227" t="s">
        <v>901</v>
      </c>
      <c r="E124" s="226">
        <v>43078.762245370373</v>
      </c>
      <c r="F124" s="226">
        <v>43078.768912037034</v>
      </c>
      <c r="G124" s="225">
        <v>66</v>
      </c>
      <c r="H124" s="227" t="s">
        <v>561</v>
      </c>
      <c r="I124" s="226">
        <v>43078.79446759259</v>
      </c>
      <c r="J124" s="225">
        <v>0</v>
      </c>
      <c r="K124" s="237" t="str">
        <f t="shared" si="25"/>
        <v>4035/4036</v>
      </c>
      <c r="L124" s="245" t="str">
        <f>VLOOKUP(A124,'Trips&amp;Operators'!$C$1:$G$99911,5,FALSE)</f>
        <v>GONZALEZ ARMANDO</v>
      </c>
      <c r="M124" s="224">
        <f t="shared" si="26"/>
        <v>2.5555555555911269E-2</v>
      </c>
      <c r="N124" s="225">
        <f t="shared" si="45"/>
        <v>36.800000000512227</v>
      </c>
      <c r="O124" s="225"/>
      <c r="P124" s="225"/>
      <c r="Q124" s="228"/>
      <c r="R124" s="242"/>
      <c r="S124" s="249">
        <f t="shared" si="28"/>
        <v>1</v>
      </c>
      <c r="T124" s="242" t="str">
        <f t="shared" si="29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0"/>
        <v>https://d0f6bd738d7f1b3e5a7ca70fe4ff75f0.us-east-1.aws.found.io/app/kibana#/discover/Steve-Slow-Train-Analysis-(2080s-and-2083s)?_g=(refreshInterval:(display:Off,pause:!f,section:0,value:0),time:(from:'2017-12-09T17:17:38-0700',mode:absolute,to:'2017-12-09T20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4" s="247" t="str">
        <f>IF(AA124&lt;VLOOKUP(AG124,Variables!$AC$3:$AD$8,2,FALSE),"Y","N")</f>
        <v>N</v>
      </c>
      <c r="X124" s="247">
        <f t="shared" si="31"/>
        <v>1</v>
      </c>
      <c r="Y124" s="247">
        <f t="shared" si="32"/>
        <v>23.298100000000002</v>
      </c>
      <c r="Z124" s="247">
        <f t="shared" si="33"/>
        <v>1.89E-2</v>
      </c>
      <c r="AA124" s="247">
        <f t="shared" si="34"/>
        <v>23.279200000000003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5"/>
        <v>212</v>
      </c>
      <c r="AE124" s="235" t="str">
        <f t="shared" si="36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124" s="234" t="str">
        <f t="shared" si="37"/>
        <v>"C:\Program Files (x86)\AstroGrep\AstroGrep.exe" /e /r /s /spath="%USERPROFILE%\AppData\Local\Temp\OnboardLogs" /stypes="app*4035*20171210*" /stext=" 02:.+((SYSTEM_STATE.+slice.+state.+changed )|(ment ac)|(multiple cpu faults)|(system.+state.+changed )|(\[timeout)|(PRM\|1\|D)|(kpr)|(kdp)|(train st.+moving)|(\|lc)|(penalty))"</v>
      </c>
      <c r="AG124" s="244" t="str">
        <f t="shared" si="38"/>
        <v>EC</v>
      </c>
      <c r="AH124" s="236" t="str">
        <f t="shared" si="39"/>
        <v>"%USERPROFILE%\Documents\GitHub\eaglep3\Utilities\RefineRTDCRunTimes.py" --tripid 212-09 --locoid 4035 --swversion DE.1.0.9.0 --startMP 204:232981 --initTime 2017-12-09T18:17:38 --startdatetime 2017-12-09T18:27:14 --delay 66 --endMP 204:189 --enddatetime 2017-12-09T19:04:02 --enforcementcount 0 &gt;&gt;%USERPROFILE%\Documents\GitHub\eaglep3-reporting\EC\2017-12-09-refined-times.txt</v>
      </c>
      <c r="AI12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{"issue":{"subject":"","project_id":79,"tracker_id":40,"status_id":1,"priority_id":2,"assigned_to_id":338,"start_date":"2017-12-09","description":"","custom_fields":[{"id":1,"name":"Subdivision","value":"EC"},{"id":4,"name":"Milepost","value":"0.0189"},{"id":17,"name":"Train ID","value":"212-09"},{"id":16,"name":"Locomotive ID","value":"4035"},{"id":130,"name":"Impact","value":""},{"id":150,"name":"Time of Event (Mountain Time)","value":"19:04:02"},{"id":151,"name":"Denver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41"/>
        <v>start /low /b %USERPROFILE%\Documents\GitHub\eaglep3\Utilities\DownloadLogsFromS3.py --loco 4035 --day 2017-12-09</v>
      </c>
      <c r="AN124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3"/>
        <v>https://d0f6bd738d7f1b3e5a7ca70fe4ff75f0.us-east-1.aws.found.io/app/kibana#/discover/Steve-Slow-Train-Analysis-(2080s-and-2083s)?_g=(refreshInterval:(display:Off,pause:!f,section:0,value:0),time:(from:'2017-12-09T17:17:38-0700',mode:absolute,to:'2017-12-09T20:04:02-0700'))&amp;_a=(columns:!('Message%20ID',Summary),filters:!(),index:'emp_*',interval:auto,query:(query_string:(analyze_wildcard:!t,query:'%22rtdc.l.rtdc.4035%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837</v>
      </c>
      <c r="B125" s="225">
        <v>4014</v>
      </c>
      <c r="C125" s="227" t="s">
        <v>192</v>
      </c>
      <c r="D125" s="227" t="s">
        <v>1010</v>
      </c>
      <c r="E125" s="226">
        <v>43078.734456018516</v>
      </c>
      <c r="F125" s="226">
        <v>43078.739733796298</v>
      </c>
      <c r="G125" s="225">
        <v>65</v>
      </c>
      <c r="H125" s="227" t="s">
        <v>1011</v>
      </c>
      <c r="I125" s="226">
        <v>43078.764131944445</v>
      </c>
      <c r="J125" s="225">
        <v>0</v>
      </c>
      <c r="K125" s="237" t="str">
        <f t="shared" si="25"/>
        <v>4013/4014</v>
      </c>
      <c r="L125" s="245" t="str">
        <f>VLOOKUP(A125,'Trips&amp;Operators'!$C$1:$G$99911,5,FALSE)</f>
        <v>FORTUNATO FRANK</v>
      </c>
      <c r="M125" s="224">
        <f t="shared" si="26"/>
        <v>2.4398148147156462E-2</v>
      </c>
      <c r="N125" s="225">
        <f t="shared" si="45"/>
        <v>35.133333331905305</v>
      </c>
      <c r="O125" s="225"/>
      <c r="P125" s="225"/>
      <c r="Q125" s="228"/>
      <c r="R125" s="242"/>
      <c r="S125" s="249">
        <f t="shared" si="28"/>
        <v>1</v>
      </c>
      <c r="T125" s="242" t="str">
        <f t="shared" si="29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0"/>
        <v>https://d0f6bd738d7f1b3e5a7ca70fe4ff75f0.us-east-1.aws.found.io/app/kibana#/discover/Steve-Slow-Train-Analysis-(2080s-and-2083s)?_g=(refreshInterval:(display:Off,pause:!f,section:0,value:0),time:(from:'2017-12-09T16:37:37-0700',mode:absolute,to:'2017-12-09T19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247" t="str">
        <f>IF(AA125&lt;VLOOKUP(AG125,Variables!$AC$3:$AD$8,2,FALSE),"Y","N")</f>
        <v>N</v>
      </c>
      <c r="X125" s="247">
        <f t="shared" si="31"/>
        <v>1</v>
      </c>
      <c r="Y125" s="247">
        <f t="shared" si="32"/>
        <v>5.4399999999999997E-2</v>
      </c>
      <c r="Z125" s="247">
        <f t="shared" si="33"/>
        <v>23.316700000000001</v>
      </c>
      <c r="AA125" s="247">
        <f t="shared" si="34"/>
        <v>23.2623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5"/>
        <v>213</v>
      </c>
      <c r="AE125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25" s="234" t="str">
        <f t="shared" si="37"/>
        <v>"C:\Program Files (x86)\AstroGrep\AstroGrep.exe" /e /r /s /spath="%USERPROFILE%\AppData\Local\Temp\OnboardLogs" /stypes="app*4014*20171210*" /stext=" 01:.+((SYSTEM_STATE.+slice.+state.+changed )|(ment ac)|(multiple cpu faults)|(system.+state.+changed )|(\[timeout)|(PRM\|1\|D)|(kpr)|(kdp)|(train st.+moving)|(\|lc)|(penalty))"</v>
      </c>
      <c r="AG125" s="244" t="str">
        <f t="shared" si="38"/>
        <v>EC</v>
      </c>
      <c r="AH125" s="236" t="str">
        <f t="shared" si="39"/>
        <v>"%USERPROFILE%\Documents\GitHub\eaglep3\Utilities\RefineRTDCRunTimes.py" --tripid 213-09 --locoid 4014 --swversion DE.1.0.9.0 --startMP 204:544 --initTime 2017-12-09T17:37:37 --startdatetime 2017-12-09T17:45:13 --delay 65 --endMP 204:233167 --enddatetime 2017-12-09T18:20:21 --enforcementcount 0 &gt;&gt;%USERPROFILE%\Documents\GitHub\eaglep3-reporting\EC\2017-12-09-refined-times.txt</v>
      </c>
      <c r="AI12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{"issue":{"subject":"","project_id":79,"tracker_id":40,"status_id":1,"priority_id":2,"assigned_to_id":338,"start_date":"2017-12-09","description":"","custom_fields":[{"id":1,"name":"Subdivision","value":"EC"},{"id":4,"name":"Milepost","value":"23.3167"},{"id":17,"name":"Train ID","value":"213-09"},{"id":16,"name":"Locomotive ID","value":"4014"},{"id":130,"name":"Impact","value":""},{"id":150,"name":"Time of Event (Mountain Time)","value":"18:20:21"},{"id":151,"name":"Denver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41"/>
        <v>start /low /b %USERPROFILE%\Documents\GitHub\eaglep3\Utilities\DownloadLogsFromS3.py --loco 4014 --day 2017-12-09</v>
      </c>
      <c r="AN125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3"/>
        <v>https://d0f6bd738d7f1b3e5a7ca70fe4ff75f0.us-east-1.aws.found.io/app/kibana#/discover/Steve-Slow-Train-Analysis-(2080s-and-2083s)?_g=(refreshInterval:(display:Off,pause:!f,section:0,value:0),time:(from:'2017-12-09T16:37:37-0700',mode:absolute,to:'2017-12-09T19:20:21-0700'))&amp;_a=(columns:!('Message%20ID',Summary),filters:!(),index:'emp_*',interval:auto,query:(query_string:(analyze_wildcard:!t,query:'%22rtdc.l.rtdc.4014%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849</v>
      </c>
      <c r="B126" s="225">
        <v>4013</v>
      </c>
      <c r="C126" s="227" t="s">
        <v>192</v>
      </c>
      <c r="D126" s="227" t="s">
        <v>1008</v>
      </c>
      <c r="E126" s="226">
        <v>43078.767465277779</v>
      </c>
      <c r="F126" s="226">
        <v>43078.779328703706</v>
      </c>
      <c r="G126" s="225">
        <v>61</v>
      </c>
      <c r="H126" s="227" t="s">
        <v>620</v>
      </c>
      <c r="I126" s="226">
        <v>43078.806446759256</v>
      </c>
      <c r="J126" s="225">
        <v>0</v>
      </c>
      <c r="K126" s="237" t="str">
        <f t="shared" si="25"/>
        <v>4013/4014</v>
      </c>
      <c r="L126" s="245" t="str">
        <f>VLOOKUP(A126,'Trips&amp;Operators'!$C$1:$G$99911,5,FALSE)</f>
        <v>FORTUNATO FRANK</v>
      </c>
      <c r="M126" s="224">
        <f t="shared" si="26"/>
        <v>2.7118055550090503E-2</v>
      </c>
      <c r="N126" s="225">
        <f t="shared" si="45"/>
        <v>39.049999992130324</v>
      </c>
      <c r="O126" s="225"/>
      <c r="P126" s="225"/>
      <c r="Q126" s="228"/>
      <c r="R126" s="242"/>
      <c r="S126" s="249">
        <f t="shared" si="28"/>
        <v>1</v>
      </c>
      <c r="T126" s="242" t="str">
        <f t="shared" si="29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0"/>
        <v>https://d0f6bd738d7f1b3e5a7ca70fe4ff75f0.us-east-1.aws.found.io/app/kibana#/discover/Steve-Slow-Train-Analysis-(2080s-and-2083s)?_g=(refreshInterval:(display:Off,pause:!f,section:0,value:0),time:(from:'2017-12-09T17:25:09-0700',mode:absolute,to:'2017-12-09T20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247" t="str">
        <f>IF(AA126&lt;VLOOKUP(AG126,Variables!$AC$3:$AD$8,2,FALSE),"Y","N")</f>
        <v>N</v>
      </c>
      <c r="X126" s="247">
        <f t="shared" si="31"/>
        <v>1</v>
      </c>
      <c r="Y126" s="247">
        <f t="shared" si="32"/>
        <v>23.285599999999999</v>
      </c>
      <c r="Z126" s="247">
        <f t="shared" si="33"/>
        <v>2.0500000000000001E-2</v>
      </c>
      <c r="AA126" s="247">
        <f t="shared" si="34"/>
        <v>23.2651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5"/>
        <v>214</v>
      </c>
      <c r="AE126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26" s="234" t="str">
        <f t="shared" si="37"/>
        <v>"C:\Program Files (x86)\AstroGrep\AstroGrep.exe" /e /r /s /spath="%USERPROFILE%\AppData\Local\Temp\OnboardLogs" /stypes="app*4013*20171210*" /stext=" 02:.+((SYSTEM_STATE.+slice.+state.+changed )|(ment ac)|(multiple cpu faults)|(system.+state.+changed )|(\[timeout)|(PRM\|1\|D)|(kpr)|(kdp)|(train st.+moving)|(\|lc)|(penalty))"</v>
      </c>
      <c r="AG126" s="244" t="str">
        <f t="shared" si="38"/>
        <v>EC</v>
      </c>
      <c r="AH126" s="236" t="str">
        <f t="shared" si="39"/>
        <v>"%USERPROFILE%\Documents\GitHub\eaglep3\Utilities\RefineRTDCRunTimes.py" --tripid 214-09 --locoid 4013 --swversion DE.1.0.9.0 --startMP 204:232856 --initTime 2017-12-09T18:25:09 --startdatetime 2017-12-09T18:42:14 --delay 61 --endMP 204:205 --enddatetime 2017-12-09T19:21:17 --enforcementcount 0 &gt;&gt;%USERPROFILE%\Documents\GitHub\eaglep3-reporting\EC\2017-12-09-refined-times.txt</v>
      </c>
      <c r="AI12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{"issue":{"subject":"","project_id":79,"tracker_id":40,"status_id":1,"priority_id":2,"assigned_to_id":338,"start_date":"2017-12-09","description":"","custom_fields":[{"id":1,"name":"Subdivision","value":"EC"},{"id":4,"name":"Milepost","value":"0.0205"},{"id":17,"name":"Train ID","value":"214-09"},{"id":16,"name":"Locomotive ID","value":"4013"},{"id":130,"name":"Impact","value":""},{"id":150,"name":"Time of Event (Mountain Time)","value":"19:21:17"},{"id":151,"name":"Denver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1"/>
        <v>start /low /b %USERPROFILE%\Documents\GitHub\eaglep3\Utilities\DownloadLogsFromS3.py --loco 4013 --day 2017-12-09</v>
      </c>
      <c r="AN126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3"/>
        <v>https://d0f6bd738d7f1b3e5a7ca70fe4ff75f0.us-east-1.aws.found.io/app/kibana#/discover/Steve-Slow-Train-Analysis-(2080s-and-2083s)?_g=(refreshInterval:(display:Off,pause:!f,section:0,value:0),time:(from:'2017-12-09T17:25:09-0700',mode:absolute,to:'2017-12-09T20:21:17-0700'))&amp;_a=(columns:!('Message%20ID',Summary),filters:!(),index:'emp_*',interval:auto,query:(query_string:(analyze_wildcard:!t,query:'%22rtdc.l.rtdc.4013%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843</v>
      </c>
      <c r="B127" s="225">
        <v>4060</v>
      </c>
      <c r="C127" s="227" t="s">
        <v>192</v>
      </c>
      <c r="D127" s="227" t="s">
        <v>591</v>
      </c>
      <c r="E127" s="226">
        <v>43078.744803240741</v>
      </c>
      <c r="F127" s="226">
        <v>43078.750335648147</v>
      </c>
      <c r="G127" s="225">
        <v>53</v>
      </c>
      <c r="H127" s="227" t="s">
        <v>1012</v>
      </c>
      <c r="I127" s="226">
        <v>43078.774583333332</v>
      </c>
      <c r="J127" s="225">
        <v>0</v>
      </c>
      <c r="K127" s="237" t="str">
        <f t="shared" si="25"/>
        <v>4059/4060</v>
      </c>
      <c r="L127" s="245" t="str">
        <f>VLOOKUP(A127,'Trips&amp;Operators'!$C$1:$G$99911,5,FALSE)</f>
        <v>HOLCOMB KAMDEN</v>
      </c>
      <c r="M127" s="224">
        <f t="shared" si="26"/>
        <v>2.4247685185400769E-2</v>
      </c>
      <c r="N127" s="225">
        <f t="shared" si="45"/>
        <v>34.916666666977108</v>
      </c>
      <c r="O127" s="225"/>
      <c r="P127" s="225"/>
      <c r="Q127" s="228"/>
      <c r="R127" s="242"/>
      <c r="S127" s="249">
        <f t="shared" si="28"/>
        <v>1</v>
      </c>
      <c r="T127" s="242" t="str">
        <f t="shared" si="29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0"/>
        <v>https://d0f6bd738d7f1b3e5a7ca70fe4ff75f0.us-east-1.aws.found.io/app/kibana#/discover/Steve-Slow-Train-Analysis-(2080s-and-2083s)?_g=(refreshInterval:(display:Off,pause:!f,section:0,value:0),time:(from:'2017-12-09T16:52:31-0700',mode:absolute,to:'2017-12-09T19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7" s="247" t="str">
        <f>IF(AA127&lt;VLOOKUP(AG127,Variables!$AC$3:$AD$8,2,FALSE),"Y","N")</f>
        <v>N</v>
      </c>
      <c r="X127" s="247">
        <f t="shared" si="31"/>
        <v>1</v>
      </c>
      <c r="Y127" s="247">
        <f t="shared" si="32"/>
        <v>5.0799999999999998E-2</v>
      </c>
      <c r="Z127" s="247">
        <f t="shared" si="33"/>
        <v>23.317900000000002</v>
      </c>
      <c r="AA127" s="247">
        <f t="shared" si="34"/>
        <v>23.267100000000003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5"/>
        <v>215</v>
      </c>
      <c r="AE127" s="235" t="str">
        <f t="shared" si="3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127" s="234" t="str">
        <f t="shared" si="37"/>
        <v>"C:\Program Files (x86)\AstroGrep\AstroGrep.exe" /e /r /s /spath="%USERPROFILE%\AppData\Local\Temp\OnboardLogs" /stypes="app*4060*20171210*" /stext=" 01:.+((SYSTEM_STATE.+slice.+state.+changed )|(ment ac)|(multiple cpu faults)|(system.+state.+changed )|(\[timeout)|(PRM\|1\|D)|(kpr)|(kdp)|(train st.+moving)|(\|lc)|(penalty))"</v>
      </c>
      <c r="AG127" s="244" t="str">
        <f t="shared" si="38"/>
        <v>EC</v>
      </c>
      <c r="AH127" s="236" t="str">
        <f t="shared" si="39"/>
        <v>"%USERPROFILE%\Documents\GitHub\eaglep3\Utilities\RefineRTDCRunTimes.py" --tripid 215-09 --locoid 4060 --swversion DE.1.0.9.0 --startMP 204:508 --initTime 2017-12-09T17:52:31 --startdatetime 2017-12-09T18:00:29 --delay 53 --endMP 204:233179 --enddatetime 2017-12-09T18:35:24 --enforcementcount 0 &gt;&gt;%USERPROFILE%\Documents\GitHub\eaglep3-reporting\EC\2017-12-09-refined-times.txt</v>
      </c>
      <c r="AI12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{"issue":{"subject":"","project_id":79,"tracker_id":40,"status_id":1,"priority_id":2,"assigned_to_id":338,"start_date":"2017-12-09","description":"","custom_fields":[{"id":1,"name":"Subdivision","value":"EC"},{"id":4,"name":"Milepost","value":"23.3179"},{"id":17,"name":"Train ID","value":"215-09"},{"id":16,"name":"Locomotive ID","value":"4060"},{"id":130,"name":"Impact","value":""},{"id":150,"name":"Time of Event (Mountain Time)","value":"18:35:24"},{"id":151,"name":"Denver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1"/>
        <v>start /low /b %USERPROFILE%\Documents\GitHub\eaglep3\Utilities\DownloadLogsFromS3.py --loco 4060 --day 2017-12-09</v>
      </c>
      <c r="AN127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3"/>
        <v>https://d0f6bd738d7f1b3e5a7ca70fe4ff75f0.us-east-1.aws.found.io/app/kibana#/discover/Steve-Slow-Train-Analysis-(2080s-and-2083s)?_g=(refreshInterval:(display:Off,pause:!f,section:0,value:0),time:(from:'2017-12-09T16:52:31-0700',mode:absolute,to:'2017-12-09T19:35:24-0700'))&amp;_a=(columns:!('Message%20ID',Summary),filters:!(),index:'emp_*',interval:auto,query:(query_string:(analyze_wildcard:!t,query:'%22rtdc.l.rtdc.4060%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853</v>
      </c>
      <c r="B128" s="225">
        <v>4059</v>
      </c>
      <c r="C128" s="227" t="s">
        <v>192</v>
      </c>
      <c r="D128" s="227" t="s">
        <v>1013</v>
      </c>
      <c r="E128" s="226">
        <v>43078.787627314814</v>
      </c>
      <c r="F128" s="226">
        <v>43078.789965277778</v>
      </c>
      <c r="G128" s="225">
        <v>45</v>
      </c>
      <c r="H128" s="227" t="s">
        <v>909</v>
      </c>
      <c r="I128" s="226">
        <v>43078.815185185187</v>
      </c>
      <c r="J128" s="225">
        <v>0</v>
      </c>
      <c r="K128" s="237" t="str">
        <f t="shared" si="25"/>
        <v>4059/4060</v>
      </c>
      <c r="L128" s="245" t="str">
        <f>VLOOKUP(A128,'Trips&amp;Operators'!$C$1:$G$99911,5,FALSE)</f>
        <v>HOLCOMB KAMDEN</v>
      </c>
      <c r="M128" s="224">
        <f t="shared" si="26"/>
        <v>2.5219907409336884E-2</v>
      </c>
      <c r="N128" s="225">
        <f t="shared" si="45"/>
        <v>36.316666669445112</v>
      </c>
      <c r="O128" s="225"/>
      <c r="P128" s="225"/>
      <c r="Q128" s="228"/>
      <c r="R128" s="242"/>
      <c r="S128" s="249">
        <f t="shared" si="28"/>
        <v>1</v>
      </c>
      <c r="T128" s="242" t="str">
        <f t="shared" si="29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0"/>
        <v>https://d0f6bd738d7f1b3e5a7ca70fe4ff75f0.us-east-1.aws.found.io/app/kibana#/discover/Steve-Slow-Train-Analysis-(2080s-and-2083s)?_g=(refreshInterval:(display:Off,pause:!f,section:0,value:0),time:(from:'2017-12-09T17:54:11-0700',mode:absolute,to:'2017-12-09T20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8" s="247" t="str">
        <f>IF(AA128&lt;VLOOKUP(AG128,Variables!$AC$3:$AD$8,2,FALSE),"Y","N")</f>
        <v>N</v>
      </c>
      <c r="X128" s="247">
        <f t="shared" si="31"/>
        <v>1</v>
      </c>
      <c r="Y128" s="247">
        <f t="shared" si="32"/>
        <v>23.285499999999999</v>
      </c>
      <c r="Z128" s="247">
        <f t="shared" si="33"/>
        <v>1.9800000000000002E-2</v>
      </c>
      <c r="AA128" s="247">
        <f t="shared" si="34"/>
        <v>23.265699999999999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5"/>
        <v>216</v>
      </c>
      <c r="AE128" s="235" t="str">
        <f t="shared" si="36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128" s="234" t="str">
        <f t="shared" si="37"/>
        <v>"C:\Program Files (x86)\AstroGrep\AstroGrep.exe" /e /r /s /spath="%USERPROFILE%\AppData\Local\Temp\OnboardLogs" /stypes="app*4059*20171210*" /stext=" 02:.+((SYSTEM_STATE.+slice.+state.+changed )|(ment ac)|(multiple cpu faults)|(system.+state.+changed )|(\[timeout)|(PRM\|1\|D)|(kpr)|(kdp)|(train st.+moving)|(\|lc)|(penalty))"</v>
      </c>
      <c r="AG128" s="244" t="str">
        <f t="shared" si="38"/>
        <v>EC</v>
      </c>
      <c r="AH128" s="236" t="str">
        <f t="shared" si="39"/>
        <v>"%USERPROFILE%\Documents\GitHub\eaglep3\Utilities\RefineRTDCRunTimes.py" --tripid 216-09 --locoid 4059 --swversion DE.1.0.9.0 --startMP 204:232855 --initTime 2017-12-09T18:54:11 --startdatetime 2017-12-09T18:57:33 --delay 45 --endMP 204:198 --enddatetime 2017-12-09T19:33:52 --enforcementcount 0 &gt;&gt;%USERPROFILE%\Documents\GitHub\eaglep3-reporting\EC\2017-12-09-refined-times.txt</v>
      </c>
      <c r="AI12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{"issue":{"subject":"","project_id":79,"tracker_id":40,"status_id":1,"priority_id":2,"assigned_to_id":338,"start_date":"2017-12-09","description":"","custom_fields":[{"id":1,"name":"Subdivision","value":"EC"},{"id":4,"name":"Milepost","value":"0.0198"},{"id":17,"name":"Train ID","value":"216-09"},{"id":16,"name":"Locomotive ID","value":"4059"},{"id":130,"name":"Impact","value":""},{"id":150,"name":"Time of Event (Mountain Time)","value":"19:33:52"},{"id":151,"name":"Denver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1"/>
        <v>start /low /b %USERPROFILE%\Documents\GitHub\eaglep3\Utilities\DownloadLogsFromS3.py --loco 4059 --day 2017-12-09</v>
      </c>
      <c r="AN128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3"/>
        <v>https://d0f6bd738d7f1b3e5a7ca70fe4ff75f0.us-east-1.aws.found.io/app/kibana#/discover/Steve-Slow-Train-Analysis-(2080s-and-2083s)?_g=(refreshInterval:(display:Off,pause:!f,section:0,value:0),time:(from:'2017-12-09T17:54:11-0700',mode:absolute,to:'2017-12-09T20:33:52-0700'))&amp;_a=(columns:!('Message%20ID',Summary),filters:!(),index:'emp_*',interval:auto,query:(query_string:(analyze_wildcard:!t,query:'%22rtdc.l.rtdc.4059%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29" t="s">
        <v>846</v>
      </c>
      <c r="B129" s="225">
        <v>4028</v>
      </c>
      <c r="C129" s="227" t="s">
        <v>192</v>
      </c>
      <c r="D129" s="227" t="s">
        <v>591</v>
      </c>
      <c r="E129" s="226">
        <v>43078.757187499999</v>
      </c>
      <c r="F129" s="226">
        <v>43078.760555555556</v>
      </c>
      <c r="G129" s="225">
        <v>86</v>
      </c>
      <c r="H129" s="227" t="s">
        <v>510</v>
      </c>
      <c r="I129" s="226">
        <v>43078.784351851849</v>
      </c>
      <c r="J129" s="225">
        <v>0</v>
      </c>
      <c r="K129" s="237" t="str">
        <f t="shared" si="25"/>
        <v>4027/4028</v>
      </c>
      <c r="L129" s="245" t="str">
        <f>VLOOKUP(A129,'Trips&amp;Operators'!$C$1:$G$99911,5,FALSE)</f>
        <v>ELBAUM MIKE</v>
      </c>
      <c r="M129" s="224">
        <f t="shared" si="26"/>
        <v>2.3796296292857733E-2</v>
      </c>
      <c r="N129" s="225">
        <f t="shared" si="45"/>
        <v>34.266666661715135</v>
      </c>
      <c r="O129" s="225"/>
      <c r="P129" s="225"/>
      <c r="Q129" s="228"/>
      <c r="R129" s="242"/>
      <c r="S129" s="249">
        <f t="shared" si="28"/>
        <v>1</v>
      </c>
      <c r="T129" s="242" t="str">
        <f t="shared" si="29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0"/>
        <v>https://d0f6bd738d7f1b3e5a7ca70fe4ff75f0.us-east-1.aws.found.io/app/kibana#/discover/Steve-Slow-Train-Analysis-(2080s-and-2083s)?_g=(refreshInterval:(display:Off,pause:!f,section:0,value:0),time:(from:'2017-12-09T17:10:21-0700',mode:absolute,to:'2017-12-09T19:49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247" t="str">
        <f>IF(AA129&lt;VLOOKUP(AG129,Variables!$AC$3:$AD$8,2,FALSE),"Y","N")</f>
        <v>N</v>
      </c>
      <c r="X129" s="247">
        <f t="shared" si="31"/>
        <v>1</v>
      </c>
      <c r="Y129" s="247">
        <f t="shared" si="32"/>
        <v>5.0799999999999998E-2</v>
      </c>
      <c r="Z129" s="247">
        <f t="shared" si="33"/>
        <v>23.3264</v>
      </c>
      <c r="AA129" s="247">
        <f t="shared" si="34"/>
        <v>23.275600000000001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5"/>
        <v>217</v>
      </c>
      <c r="AE129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29" s="234" t="str">
        <f t="shared" si="37"/>
        <v>"C:\Program Files (x86)\AstroGrep\AstroGrep.exe" /e /r /s /spath="%USERPROFILE%\AppData\Local\Temp\OnboardLogs" /stypes="app*4028*20171210*" /stext=" 01:.+((SYSTEM_STATE.+slice.+state.+changed )|(ment ac)|(multiple cpu faults)|(system.+state.+changed )|(\[timeout)|(PRM\|1\|D)|(kpr)|(kdp)|(train st.+moving)|(\|lc)|(penalty))"</v>
      </c>
      <c r="AG129" s="244" t="str">
        <f t="shared" si="38"/>
        <v>EC</v>
      </c>
      <c r="AH129" s="236" t="str">
        <f t="shared" si="39"/>
        <v>"%USERPROFILE%\Documents\GitHub\eaglep3\Utilities\RefineRTDCRunTimes.py" --tripid 217-09 --locoid 4028 --swversion DE.1.0.9.0 --startMP 204:508 --initTime 2017-12-09T18:10:21 --startdatetime 2017-12-09T18:15:12 --delay 86 --endMP 204:233264 --enddatetime 2017-12-09T18:49:28 --enforcementcount 0 &gt;&gt;%USERPROFILE%\Documents\GitHub\eaglep3-reporting\EC\2017-12-09-refined-times.txt</v>
      </c>
      <c r="AI12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{"issue":{"subject":"","project_id":79,"tracker_id":40,"status_id":1,"priority_id":2,"assigned_to_id":338,"start_date":"2017-12-09","description":"","custom_fields":[{"id":1,"name":"Subdivision","value":"EC"},{"id":4,"name":"Milepost","value":"23.3264"},{"id":17,"name":"Train ID","value":"217-09"},{"id":16,"name":"Locomotive ID","value":"4028"},{"id":130,"name":"Impact","value":""},{"id":150,"name":"Time of Event (Mountain Time)","value":"18:49:28"},{"id":151,"name":"Denver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1"/>
        <v>start /low /b %USERPROFILE%\Documents\GitHub\eaglep3\Utilities\DownloadLogsFromS3.py --loco 4028 --day 2017-12-09</v>
      </c>
      <c r="AN129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3"/>
        <v>https://d0f6bd738d7f1b3e5a7ca70fe4ff75f0.us-east-1.aws.found.io/app/kibana#/discover/Steve-Slow-Train-Analysis-(2080s-and-2083s)?_g=(refreshInterval:(display:Off,pause:!f,section:0,value:0),time:(from:'2017-12-09T17:10:21-0700',mode:absolute,to:'2017-12-09T19:49:28-0700'))&amp;_a=(columns:!('Message%20ID',Summary),filters:!(),index:'emp_*',interval:auto,query:(query_string:(analyze_wildcard:!t,query:'%22rtdc.l.rtdc.4028%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852</v>
      </c>
      <c r="B130" s="225">
        <v>4027</v>
      </c>
      <c r="C130" s="227" t="s">
        <v>192</v>
      </c>
      <c r="D130" s="227" t="s">
        <v>592</v>
      </c>
      <c r="E130" s="226">
        <v>43078.786157407405</v>
      </c>
      <c r="F130" s="226">
        <v>43078.800150462965</v>
      </c>
      <c r="G130" s="225">
        <v>64</v>
      </c>
      <c r="H130" s="227" t="s">
        <v>540</v>
      </c>
      <c r="I130" s="226">
        <v>43078.825740740744</v>
      </c>
      <c r="J130" s="225">
        <v>0</v>
      </c>
      <c r="K130" s="237" t="str">
        <f t="shared" si="25"/>
        <v>4027/4028</v>
      </c>
      <c r="L130" s="245" t="str">
        <f>VLOOKUP(A130,'Trips&amp;Operators'!$C$1:$G$99911,5,FALSE)</f>
        <v>ELBAUM MIKE</v>
      </c>
      <c r="M130" s="224">
        <f t="shared" si="26"/>
        <v>2.5590277778974269E-2</v>
      </c>
      <c r="N130" s="225">
        <f t="shared" si="45"/>
        <v>36.850000001722947</v>
      </c>
      <c r="O130" s="225"/>
      <c r="P130" s="225"/>
      <c r="Q130" s="228"/>
      <c r="R130" s="242"/>
      <c r="S130" s="249">
        <f t="shared" si="28"/>
        <v>1</v>
      </c>
      <c r="T130" s="242" t="str">
        <f t="shared" si="29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0"/>
        <v>https://d0f6bd738d7f1b3e5a7ca70fe4ff75f0.us-east-1.aws.found.io/app/kibana#/discover/Steve-Slow-Train-Analysis-(2080s-and-2083s)?_g=(refreshInterval:(display:Off,pause:!f,section:0,value:0),time:(from:'2017-12-09T17:52:04-0700',mode:absolute,to:'2017-12-09T20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247" t="str">
        <f>IF(AA130&lt;VLOOKUP(AG130,Variables!$AC$3:$AD$8,2,FALSE),"Y","N")</f>
        <v>N</v>
      </c>
      <c r="X130" s="247">
        <f t="shared" si="31"/>
        <v>1</v>
      </c>
      <c r="Y130" s="247">
        <f t="shared" si="32"/>
        <v>23.293199999999999</v>
      </c>
      <c r="Z130" s="247">
        <f t="shared" si="33"/>
        <v>2.6499999999999999E-2</v>
      </c>
      <c r="AA130" s="247">
        <f t="shared" si="34"/>
        <v>23.2667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5"/>
        <v>218</v>
      </c>
      <c r="AE130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30" s="234" t="str">
        <f t="shared" si="37"/>
        <v>"C:\Program Files (x86)\AstroGrep\AstroGrep.exe" /e /r /s /spath="%USERPROFILE%\AppData\Local\Temp\OnboardLogs" /stypes="app*4027*20171210*" /stext=" 02:.+((SYSTEM_STATE.+slice.+state.+changed )|(ment ac)|(multiple cpu faults)|(system.+state.+changed )|(\[timeout)|(PRM\|1\|D)|(kpr)|(kdp)|(train st.+moving)|(\|lc)|(penalty))"</v>
      </c>
      <c r="AG130" s="244" t="str">
        <f t="shared" si="38"/>
        <v>EC</v>
      </c>
      <c r="AH130" s="236" t="str">
        <f t="shared" si="39"/>
        <v>"%USERPROFILE%\Documents\GitHub\eaglep3\Utilities\RefineRTDCRunTimes.py" --tripid 218-09 --locoid 4027 --swversion DE.1.0.9.0 --startMP 204:232932 --initTime 2017-12-09T18:52:04 --startdatetime 2017-12-09T19:12:13 --delay 64 --endMP 204:265 --enddatetime 2017-12-09T19:49:04 --enforcementcount 0 &gt;&gt;%USERPROFILE%\Documents\GitHub\eaglep3-reporting\EC\2017-12-09-refined-times.txt</v>
      </c>
      <c r="AI13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{"issue":{"subject":"","project_id":79,"tracker_id":40,"status_id":1,"priority_id":2,"assigned_to_id":338,"start_date":"2017-12-09","description":"","custom_fields":[{"id":1,"name":"Subdivision","value":"EC"},{"id":4,"name":"Milepost","value":"0.0265"},{"id":17,"name":"Train ID","value":"218-09"},{"id":16,"name":"Locomotive ID","value":"4027"},{"id":130,"name":"Impact","value":""},{"id":150,"name":"Time of Event (Mountain Time)","value":"19:49:04"},{"id":151,"name":"Denver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1"/>
        <v>start /low /b %USERPROFILE%\Documents\GitHub\eaglep3\Utilities\DownloadLogsFromS3.py --loco 4027 --day 2017-12-09</v>
      </c>
      <c r="AN130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3"/>
        <v>https://d0f6bd738d7f1b3e5a7ca70fe4ff75f0.us-east-1.aws.found.io/app/kibana#/discover/Steve-Slow-Train-Analysis-(2080s-and-2083s)?_g=(refreshInterval:(display:Off,pause:!f,section:0,value:0),time:(from:'2017-12-09T17:52:04-0700',mode:absolute,to:'2017-12-09T20:49:04-0700'))&amp;_a=(columns:!('Message%20ID',Summary),filters:!(),index:'emp_*',interval:auto,query:(query_string:(analyze_wildcard:!t,query:'%22rtdc.l.rtdc.4027%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25">
      <c r="A131" s="229" t="s">
        <v>848</v>
      </c>
      <c r="B131" s="225">
        <v>4008</v>
      </c>
      <c r="C131" s="227" t="s">
        <v>192</v>
      </c>
      <c r="D131" s="227" t="s">
        <v>1014</v>
      </c>
      <c r="E131" s="226">
        <v>43078.767025462963</v>
      </c>
      <c r="F131" s="226">
        <v>43078.77138888889</v>
      </c>
      <c r="G131" s="225">
        <v>86</v>
      </c>
      <c r="H131" s="227" t="s">
        <v>1015</v>
      </c>
      <c r="I131" s="226">
        <v>43078.796284722222</v>
      </c>
      <c r="J131" s="225">
        <v>0</v>
      </c>
      <c r="K131" s="237" t="str">
        <f t="shared" si="25"/>
        <v>4007/4008</v>
      </c>
      <c r="L131" s="245" t="str">
        <f>VLOOKUP(A131,'Trips&amp;Operators'!$C$1:$G$99911,5,FALSE)</f>
        <v>NICHOLSON WESLEY</v>
      </c>
      <c r="M131" s="224">
        <f t="shared" si="26"/>
        <v>2.4895833332266193E-2</v>
      </c>
      <c r="N131" s="225">
        <f t="shared" si="45"/>
        <v>35.849999998463318</v>
      </c>
      <c r="O131" s="225"/>
      <c r="P131" s="225"/>
      <c r="Q131" s="228"/>
      <c r="R131" s="242"/>
      <c r="S131" s="249">
        <f t="shared" si="28"/>
        <v>1</v>
      </c>
      <c r="T131" s="242" t="str">
        <f t="shared" si="29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0"/>
        <v>https://d0f6bd738d7f1b3e5a7ca70fe4ff75f0.us-east-1.aws.found.io/app/kibana#/discover/Steve-Slow-Train-Analysis-(2080s-and-2083s)?_g=(refreshInterval:(display:Off,pause:!f,section:0,value:0),time:(from:'2017-12-09T17:24:31-0700',mode:absolute,to:'2017-12-09T20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247" t="str">
        <f>IF(AA131&lt;VLOOKUP(AG131,Variables!$AC$3:$AD$8,2,FALSE),"Y","N")</f>
        <v>N</v>
      </c>
      <c r="X131" s="247">
        <f t="shared" si="31"/>
        <v>1</v>
      </c>
      <c r="Y131" s="247">
        <f t="shared" si="32"/>
        <v>4.9299999999999997E-2</v>
      </c>
      <c r="Z131" s="247">
        <f t="shared" si="33"/>
        <v>23.318100000000001</v>
      </c>
      <c r="AA131" s="247">
        <f t="shared" si="34"/>
        <v>23.268800000000002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5"/>
        <v>219</v>
      </c>
      <c r="AE131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31" s="234" t="str">
        <f t="shared" si="37"/>
        <v>"C:\Program Files (x86)\AstroGrep\AstroGrep.exe" /e /r /s /spath="%USERPROFILE%\AppData\Local\Temp\OnboardLogs" /stypes="app*4008*20171210*" /stext=" 02:.+((SYSTEM_STATE.+slice.+state.+changed )|(ment ac)|(multiple cpu faults)|(system.+state.+changed )|(\[timeout)|(PRM\|1\|D)|(kpr)|(kdp)|(train st.+moving)|(\|lc)|(penalty))"</v>
      </c>
      <c r="AG131" s="244" t="str">
        <f t="shared" si="38"/>
        <v>EC</v>
      </c>
      <c r="AH131" s="236" t="str">
        <f t="shared" si="39"/>
        <v>"%USERPROFILE%\Documents\GitHub\eaglep3\Utilities\RefineRTDCRunTimes.py" --tripid 219-09 --locoid 4008 --swversion DE.1.0.9.0 --startMP 204:493 --initTime 2017-12-09T18:24:31 --startdatetime 2017-12-09T18:30:48 --delay 86 --endMP 204:233181 --enddatetime 2017-12-09T19:06:39 --enforcementcount 0 &gt;&gt;%USERPROFILE%\Documents\GitHub\eaglep3-reporting\EC\2017-12-09-refined-times.txt</v>
      </c>
      <c r="AI13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{"issue":{"subject":"","project_id":79,"tracker_id":40,"status_id":1,"priority_id":2,"assigned_to_id":338,"start_date":"2017-12-09","description":"","custom_fields":[{"id":1,"name":"Subdivision","value":"EC"},{"id":4,"name":"Milepost","value":"23.3181"},{"id":17,"name":"Train ID","value":"219-09"},{"id":16,"name":"Locomotive ID","value":"4008"},{"id":130,"name":"Impact","value":""},{"id":150,"name":"Time of Event (Mountain Time)","value":"19:06:39"},{"id":151,"name":"Denver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1"/>
        <v>start /low /b %USERPROFILE%\Documents\GitHub\eaglep3\Utilities\DownloadLogsFromS3.py --loco 4008 --day 2017-12-09</v>
      </c>
      <c r="AN131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3"/>
        <v>https://d0f6bd738d7f1b3e5a7ca70fe4ff75f0.us-east-1.aws.found.io/app/kibana#/discover/Steve-Slow-Train-Analysis-(2080s-and-2083s)?_g=(refreshInterval:(display:Off,pause:!f,section:0,value:0),time:(from:'2017-12-09T17:24:31-0700',mode:absolute,to:'2017-12-09T20:06:39-0700'))&amp;_a=(columns:!('Message%20ID',Summary),filters:!(),index:'emp_*',interval:auto,query:(query_string:(analyze_wildcard:!t,query:'%22rtdc.l.rtdc.4008%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25">
      <c r="A132" s="229" t="s">
        <v>857</v>
      </c>
      <c r="B132" s="225">
        <v>4007</v>
      </c>
      <c r="C132" s="227" t="s">
        <v>192</v>
      </c>
      <c r="D132" s="227" t="s">
        <v>617</v>
      </c>
      <c r="E132" s="226">
        <v>43078.802511574075</v>
      </c>
      <c r="F132" s="226">
        <v>43078.810740740744</v>
      </c>
      <c r="G132" s="225">
        <v>96</v>
      </c>
      <c r="H132" s="227" t="s">
        <v>671</v>
      </c>
      <c r="I132" s="226">
        <v>43078.837395833332</v>
      </c>
      <c r="J132" s="225">
        <v>0</v>
      </c>
      <c r="K132" s="237" t="str">
        <f t="shared" si="25"/>
        <v>4007/4008</v>
      </c>
      <c r="L132" s="245" t="str">
        <f>VLOOKUP(A132,'Trips&amp;Operators'!$C$1:$G$99911,5,FALSE)</f>
        <v>NICHOLSON WESLEY</v>
      </c>
      <c r="M132" s="224">
        <f t="shared" si="26"/>
        <v>2.6655092588043772E-2</v>
      </c>
      <c r="N132" s="225">
        <f t="shared" si="45"/>
        <v>38.383333326783031</v>
      </c>
      <c r="O132" s="225"/>
      <c r="P132" s="225"/>
      <c r="Q132" s="228"/>
      <c r="R132" s="242"/>
      <c r="S132" s="249">
        <f t="shared" si="28"/>
        <v>1</v>
      </c>
      <c r="T132" s="242" t="str">
        <f t="shared" si="29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0"/>
        <v>https://d0f6bd738d7f1b3e5a7ca70fe4ff75f0.us-east-1.aws.found.io/app/kibana#/discover/Steve-Slow-Train-Analysis-(2080s-and-2083s)?_g=(refreshInterval:(display:Off,pause:!f,section:0,value:0),time:(from:'2017-12-09T18:15:37-0700',mode:absolute,to:'2017-12-09T21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247" t="str">
        <f>IF(AA132&lt;VLOOKUP(AG132,Variables!$AC$3:$AD$8,2,FALSE),"Y","N")</f>
        <v>N</v>
      </c>
      <c r="X132" s="247">
        <f t="shared" si="31"/>
        <v>1</v>
      </c>
      <c r="Y132" s="247">
        <f t="shared" si="32"/>
        <v>23.286000000000001</v>
      </c>
      <c r="Z132" s="247">
        <f t="shared" si="33"/>
        <v>2.4199999999999999E-2</v>
      </c>
      <c r="AA132" s="247">
        <f t="shared" si="34"/>
        <v>23.261800000000001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5"/>
        <v>220</v>
      </c>
      <c r="AE132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32" s="234" t="str">
        <f t="shared" si="37"/>
        <v>"C:\Program Files (x86)\AstroGrep\AstroGrep.exe" /e /r /s /spath="%USERPROFILE%\AppData\Local\Temp\OnboardLogs" /stypes="app*4007*20171210*" /stext=" 03:.+((SYSTEM_STATE.+slice.+state.+changed )|(ment ac)|(multiple cpu faults)|(system.+state.+changed )|(\[timeout)|(PRM\|1\|D)|(kpr)|(kdp)|(train st.+moving)|(\|lc)|(penalty))"</v>
      </c>
      <c r="AG132" s="244" t="str">
        <f t="shared" si="38"/>
        <v>EC</v>
      </c>
      <c r="AH132" s="236" t="str">
        <f t="shared" si="39"/>
        <v>"%USERPROFILE%\Documents\GitHub\eaglep3\Utilities\RefineRTDCRunTimes.py" --tripid 220-09 --locoid 4007 --swversion DE.1.0.9.0 --startMP 204:232860 --initTime 2017-12-09T19:15:37 --startdatetime 2017-12-09T19:27:28 --delay 96 --endMP 204:242 --enddatetime 2017-12-09T20:05:51 --enforcementcount 0 &gt;&gt;%USERPROFILE%\Documents\GitHub\eaglep3-reporting\EC\2017-12-09-refined-times.txt</v>
      </c>
      <c r="AI13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{"issue":{"subject":"","project_id":79,"tracker_id":40,"status_id":1,"priority_id":2,"assigned_to_id":338,"start_date":"2017-12-09","description":"","custom_fields":[{"id":1,"name":"Subdivision","value":"EC"},{"id":4,"name":"Milepost","value":"0.0242"},{"id":17,"name":"Train ID","value":"220-09"},{"id":16,"name":"Locomotive ID","value":"4007"},{"id":130,"name":"Impact","value":""},{"id":150,"name":"Time of Event (Mountain Time)","value":"20:05:51"},{"id":151,"name":"Denver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1"/>
        <v>start /low /b %USERPROFILE%\Documents\GitHub\eaglep3\Utilities\DownloadLogsFromS3.py --loco 4007 --day 2017-12-09</v>
      </c>
      <c r="AN132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3"/>
        <v>https://d0f6bd738d7f1b3e5a7ca70fe4ff75f0.us-east-1.aws.found.io/app/kibana#/discover/Steve-Slow-Train-Analysis-(2080s-and-2083s)?_g=(refreshInterval:(display:Off,pause:!f,section:0,value:0),time:(from:'2017-12-09T18:15:37-0700',mode:absolute,to:'2017-12-09T21:05:51-0700'))&amp;_a=(columns:!('Message%20ID',Summary),filters:!(),index:'emp_*',interval:auto,query:(query_string:(analyze_wildcard:!t,query:'%22rtdc.l.rtdc.4007%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854</v>
      </c>
      <c r="B133" s="225">
        <v>4006</v>
      </c>
      <c r="C133" s="227" t="s">
        <v>192</v>
      </c>
      <c r="D133" s="227" t="s">
        <v>594</v>
      </c>
      <c r="E133" s="226">
        <v>43078.787777777776</v>
      </c>
      <c r="F133" s="226">
        <v>43078.791956018518</v>
      </c>
      <c r="G133" s="225">
        <v>68</v>
      </c>
      <c r="H133" s="227" t="s">
        <v>575</v>
      </c>
      <c r="I133" s="226">
        <v>43078.816747685189</v>
      </c>
      <c r="J133" s="225">
        <v>0</v>
      </c>
      <c r="K133" s="237" t="str">
        <f t="shared" si="25"/>
        <v>4005/4006</v>
      </c>
      <c r="L133" s="245" t="str">
        <f>VLOOKUP(A133,'Trips&amp;Operators'!$C$1:$G$99911,5,FALSE)</f>
        <v>ANDERS STEVEN</v>
      </c>
      <c r="M133" s="224">
        <f t="shared" si="26"/>
        <v>2.4791666670353152E-2</v>
      </c>
      <c r="N133" s="225">
        <f t="shared" si="45"/>
        <v>35.700000005308539</v>
      </c>
      <c r="O133" s="225"/>
      <c r="P133" s="225"/>
      <c r="Q133" s="228"/>
      <c r="R133" s="242"/>
      <c r="S133" s="249">
        <f t="shared" si="28"/>
        <v>1</v>
      </c>
      <c r="T133" s="242" t="str">
        <f t="shared" si="29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0"/>
        <v>https://d0f6bd738d7f1b3e5a7ca70fe4ff75f0.us-east-1.aws.found.io/app/kibana#/discover/Steve-Slow-Train-Analysis-(2080s-and-2083s)?_g=(refreshInterval:(display:Off,pause:!f,section:0,value:0),time:(from:'2017-12-09T17:54:24-0700',mode:absolute,to:'2017-12-09T20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247" t="str">
        <f>IF(AA133&lt;VLOOKUP(AG133,Variables!$AC$3:$AD$8,2,FALSE),"Y","N")</f>
        <v>N</v>
      </c>
      <c r="X133" s="247">
        <f t="shared" si="31"/>
        <v>1</v>
      </c>
      <c r="Y133" s="247">
        <f t="shared" si="32"/>
        <v>5.4199999999999998E-2</v>
      </c>
      <c r="Z133" s="247">
        <f t="shared" si="33"/>
        <v>23.329699999999999</v>
      </c>
      <c r="AA133" s="247">
        <f t="shared" si="34"/>
        <v>23.275499999999997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5"/>
        <v>221</v>
      </c>
      <c r="AE133" s="235" t="str">
        <f t="shared" si="36"/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133" s="234" t="str">
        <f t="shared" si="37"/>
        <v>"C:\Program Files (x86)\AstroGrep\AstroGrep.exe" /e /r /s /spath="%USERPROFILE%\AppData\Local\Temp\OnboardLogs" /stypes="app*4006*20171210*" /stext=" 02:.+((SYSTEM_STATE.+slice.+state.+changed )|(ment ac)|(multiple cpu faults)|(system.+state.+changed )|(\[timeout)|(PRM\|1\|D)|(kpr)|(kdp)|(train st.+moving)|(\|lc)|(penalty))"</v>
      </c>
      <c r="AG133" s="244" t="str">
        <f t="shared" si="38"/>
        <v>EC</v>
      </c>
      <c r="AH133" s="236" t="str">
        <f t="shared" si="39"/>
        <v>"%USERPROFILE%\Documents\GitHub\eaglep3\Utilities\RefineRTDCRunTimes.py" --tripid 221-09 --locoid 4006 --swversion DE.1.0.9.0 --startMP 204:542 --initTime 2017-12-09T18:54:24 --startdatetime 2017-12-09T19:00:25 --delay 68 --endMP 204:233297 --enddatetime 2017-12-09T19:36:07 --enforcementcount 0 &gt;&gt;%USERPROFILE%\Documents\GitHub\eaglep3-reporting\EC\2017-12-09-refined-times.txt</v>
      </c>
      <c r="AI13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{"issue":{"subject":"","project_id":79,"tracker_id":40,"status_id":1,"priority_id":2,"assigned_to_id":338,"start_date":"2017-12-09","description":"","custom_fields":[{"id":1,"name":"Subdivision","value":"EC"},{"id":4,"name":"Milepost","value":"23.3297"},{"id":17,"name":"Train ID","value":"221-09"},{"id":16,"name":"Locomotive ID","value":"4006"},{"id":130,"name":"Impact","value":""},{"id":150,"name":"Time of Event (Mountain Time)","value":"19:36:07"},{"id":151,"name":"Denver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1"/>
        <v>start /low /b %USERPROFILE%\Documents\GitHub\eaglep3\Utilities\DownloadLogsFromS3.py --loco 4006 --day 2017-12-09</v>
      </c>
      <c r="AN133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3"/>
        <v>https://d0f6bd738d7f1b3e5a7ca70fe4ff75f0.us-east-1.aws.found.io/app/kibana#/discover/Steve-Slow-Train-Analysis-(2080s-and-2083s)?_g=(refreshInterval:(display:Off,pause:!f,section:0,value:0),time:(from:'2017-12-09T17:54:24-0700',mode:absolute,to:'2017-12-09T20:36:07-0700'))&amp;_a=(columns:!('Message%20ID',Summary),filters:!(),index:'emp_*',interval:auto,query:(query_string:(analyze_wildcard:!t,query:'%22rtdc.l.rtdc.4006%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861</v>
      </c>
      <c r="B134" s="225">
        <v>4005</v>
      </c>
      <c r="C134" s="227" t="s">
        <v>192</v>
      </c>
      <c r="D134" s="227" t="s">
        <v>957</v>
      </c>
      <c r="E134" s="226">
        <v>43078.819884259261</v>
      </c>
      <c r="F134" s="226">
        <v>43078.83153935185</v>
      </c>
      <c r="G134" s="225">
        <v>63</v>
      </c>
      <c r="H134" s="227" t="s">
        <v>539</v>
      </c>
      <c r="I134" s="226">
        <v>43078.858252314814</v>
      </c>
      <c r="J134" s="225">
        <v>0</v>
      </c>
      <c r="K134" s="237" t="str">
        <f t="shared" si="25"/>
        <v>4005/4006</v>
      </c>
      <c r="L134" s="245" t="str">
        <f>VLOOKUP(A134,'Trips&amp;Operators'!$C$1:$G$99911,5,FALSE)</f>
        <v>ANDERS STEVEN</v>
      </c>
      <c r="M134" s="224">
        <f t="shared" si="26"/>
        <v>2.6712962964666076E-2</v>
      </c>
      <c r="N134" s="225">
        <f t="shared" si="45"/>
        <v>38.466666669119149</v>
      </c>
      <c r="O134" s="225"/>
      <c r="P134" s="225"/>
      <c r="Q134" s="228"/>
      <c r="R134" s="242"/>
      <c r="S134" s="249">
        <f t="shared" si="28"/>
        <v>1</v>
      </c>
      <c r="T134" s="242" t="str">
        <f t="shared" si="29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0"/>
        <v>https://d0f6bd738d7f1b3e5a7ca70fe4ff75f0.us-east-1.aws.found.io/app/kibana#/discover/Steve-Slow-Train-Analysis-(2080s-and-2083s)?_g=(refreshInterval:(display:Off,pause:!f,section:0,value:0),time:(from:'2017-12-09T18:40:38-0700',mode:absolute,to:'2017-12-09T21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247" t="str">
        <f>IF(AA134&lt;VLOOKUP(AG134,Variables!$AC$3:$AD$8,2,FALSE),"Y","N")</f>
        <v>N</v>
      </c>
      <c r="X134" s="247">
        <f t="shared" si="31"/>
        <v>1</v>
      </c>
      <c r="Y134" s="247">
        <f t="shared" si="32"/>
        <v>23.293399999999998</v>
      </c>
      <c r="Z134" s="247">
        <f t="shared" si="33"/>
        <v>2.3099999999999999E-2</v>
      </c>
      <c r="AA134" s="247">
        <f t="shared" si="34"/>
        <v>23.270299999999999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5"/>
        <v>222</v>
      </c>
      <c r="AE134" s="235" t="str">
        <f t="shared" si="3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134" s="234" t="str">
        <f t="shared" si="37"/>
        <v>"C:\Program Files (x86)\AstroGrep\AstroGrep.exe" /e /r /s /spath="%USERPROFILE%\AppData\Local\Temp\OnboardLogs" /stypes="app*4005*20171210*" /stext=" 03:.+((SYSTEM_STATE.+slice.+state.+changed )|(ment ac)|(multiple cpu faults)|(system.+state.+changed )|(\[timeout)|(PRM\|1\|D)|(kpr)|(kdp)|(train st.+moving)|(\|lc)|(penalty))"</v>
      </c>
      <c r="AG134" s="244" t="str">
        <f t="shared" si="38"/>
        <v>EC</v>
      </c>
      <c r="AH134" s="236" t="str">
        <f t="shared" si="39"/>
        <v>"%USERPROFILE%\Documents\GitHub\eaglep3\Utilities\RefineRTDCRunTimes.py" --tripid 222-09 --locoid 4005 --swversion DE.1.0.9.0 --startMP 204:232934 --initTime 2017-12-09T19:40:38 --startdatetime 2017-12-09T19:57:25 --delay 63 --endMP 204:231 --enddatetime 2017-12-09T20:35:53 --enforcementcount 0 &gt;&gt;%USERPROFILE%\Documents\GitHub\eaglep3-reporting\EC\2017-12-09-refined-times.txt</v>
      </c>
      <c r="AI13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{"issue":{"subject":"","project_id":79,"tracker_id":40,"status_id":1,"priority_id":2,"assigned_to_id":338,"start_date":"2017-12-09","description":"","custom_fields":[{"id":1,"name":"Subdivision","value":"EC"},{"id":4,"name":"Milepost","value":"0.0231"},{"id":17,"name":"Train ID","value":"222-09"},{"id":16,"name":"Locomotive ID","value":"4005"},{"id":130,"name":"Impact","value":""},{"id":150,"name":"Time of Event (Mountain Time)","value":"20:35:53"},{"id":151,"name":"Denver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1"/>
        <v>start /low /b %USERPROFILE%\Documents\GitHub\eaglep3\Utilities\DownloadLogsFromS3.py --loco 4005 --day 2017-12-09</v>
      </c>
      <c r="AN134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3"/>
        <v>https://d0f6bd738d7f1b3e5a7ca70fe4ff75f0.us-east-1.aws.found.io/app/kibana#/discover/Steve-Slow-Train-Analysis-(2080s-and-2083s)?_g=(refreshInterval:(display:Off,pause:!f,section:0,value:0),time:(from:'2017-12-09T18:40:38-0700',mode:absolute,to:'2017-12-09T21:35:53-0700'))&amp;_a=(columns:!('Message%20ID',Summary),filters:!(),index:'emp_*',interval:auto,query:(query_string:(analyze_wildcard:!t,query:'%22rtdc.l.rtdc.4005%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858</v>
      </c>
      <c r="B135" s="225">
        <v>4014</v>
      </c>
      <c r="C135" s="227" t="s">
        <v>192</v>
      </c>
      <c r="D135" s="227" t="s">
        <v>488</v>
      </c>
      <c r="E135" s="226">
        <v>43078.807569444441</v>
      </c>
      <c r="F135" s="226">
        <v>43078.812800925924</v>
      </c>
      <c r="G135" s="225">
        <v>51</v>
      </c>
      <c r="H135" s="227" t="s">
        <v>559</v>
      </c>
      <c r="I135" s="226">
        <v>43078.837141203701</v>
      </c>
      <c r="J135" s="225">
        <v>0</v>
      </c>
      <c r="K135" s="237" t="str">
        <f t="shared" si="25"/>
        <v>4013/4014</v>
      </c>
      <c r="L135" s="245" t="str">
        <f>VLOOKUP(A135,'Trips&amp;Operators'!$C$1:$G$99911,5,FALSE)</f>
        <v>FORTUNATO FRANK</v>
      </c>
      <c r="M135" s="224">
        <f t="shared" si="26"/>
        <v>2.4340277777810115E-2</v>
      </c>
      <c r="N135" s="225">
        <f t="shared" si="45"/>
        <v>35.050000000046566</v>
      </c>
      <c r="O135" s="225"/>
      <c r="P135" s="225"/>
      <c r="Q135" s="228"/>
      <c r="R135" s="242"/>
      <c r="S135" s="249">
        <f t="shared" si="28"/>
        <v>1</v>
      </c>
      <c r="T135" s="242" t="str">
        <f t="shared" si="29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0"/>
        <v>https://d0f6bd738d7f1b3e5a7ca70fe4ff75f0.us-east-1.aws.found.io/app/kibana#/discover/Steve-Slow-Train-Analysis-(2080s-and-2083s)?_g=(refreshInterval:(display:Off,pause:!f,section:0,value:0),time:(from:'2017-12-09T18:22:54-0700',mode:absolute,to:'2017-12-09T21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247" t="str">
        <f>IF(AA135&lt;VLOOKUP(AG135,Variables!$AC$3:$AD$8,2,FALSE),"Y","N")</f>
        <v>N</v>
      </c>
      <c r="X135" s="247">
        <f t="shared" si="31"/>
        <v>1</v>
      </c>
      <c r="Y135" s="247">
        <f t="shared" si="32"/>
        <v>5.1499999999999997E-2</v>
      </c>
      <c r="Z135" s="247">
        <f t="shared" si="33"/>
        <v>23.319199999999999</v>
      </c>
      <c r="AA135" s="247">
        <f t="shared" si="34"/>
        <v>23.267699999999998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5"/>
        <v>223</v>
      </c>
      <c r="AE135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35" s="234" t="str">
        <f t="shared" si="37"/>
        <v>"C:\Program Files (x86)\AstroGrep\AstroGrep.exe" /e /r /s /spath="%USERPROFILE%\AppData\Local\Temp\OnboardLogs" /stypes="app*4014*20171210*" /stext=" 03:.+((SYSTEM_STATE.+slice.+state.+changed )|(ment ac)|(multiple cpu faults)|(system.+state.+changed )|(\[timeout)|(PRM\|1\|D)|(kpr)|(kdp)|(train st.+moving)|(\|lc)|(penalty))"</v>
      </c>
      <c r="AG135" s="244" t="str">
        <f t="shared" si="38"/>
        <v>EC</v>
      </c>
      <c r="AH135" s="236" t="str">
        <f t="shared" si="39"/>
        <v>"%USERPROFILE%\Documents\GitHub\eaglep3\Utilities\RefineRTDCRunTimes.py" --tripid 223-09 --locoid 4014 --swversion DE.1.0.9.0 --startMP 204:515 --initTime 2017-12-09T19:22:54 --startdatetime 2017-12-09T19:30:26 --delay 51 --endMP 204:233192 --enddatetime 2017-12-09T20:05:29 --enforcementcount 0 &gt;&gt;%USERPROFILE%\Documents\GitHub\eaglep3-reporting\EC\2017-12-09-refined-times.txt</v>
      </c>
      <c r="AI13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{"issue":{"subject":"","project_id":79,"tracker_id":40,"status_id":1,"priority_id":2,"assigned_to_id":338,"start_date":"2017-12-09","description":"","custom_fields":[{"id":1,"name":"Subdivision","value":"EC"},{"id":4,"name":"Milepost","value":"23.3192"},{"id":17,"name":"Train ID","value":"223-09"},{"id":16,"name":"Locomotive ID","value":"4014"},{"id":130,"name":"Impact","value":""},{"id":150,"name":"Time of Event (Mountain Time)","value":"20:05:29"},{"id":151,"name":"Denver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1"/>
        <v>start /low /b %USERPROFILE%\Documents\GitHub\eaglep3\Utilities\DownloadLogsFromS3.py --loco 4014 --day 2017-12-09</v>
      </c>
      <c r="AN135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3"/>
        <v>https://d0f6bd738d7f1b3e5a7ca70fe4ff75f0.us-east-1.aws.found.io/app/kibana#/discover/Steve-Slow-Train-Analysis-(2080s-and-2083s)?_g=(refreshInterval:(display:Off,pause:!f,section:0,value:0),time:(from:'2017-12-09T18:22:54-0700',mode:absolute,to:'2017-12-09T21:05:29-0700'))&amp;_a=(columns:!('Message%20ID',Summary),filters:!(),index:'emp_*',interval:auto,query:(query_string:(analyze_wildcard:!t,query:'%22rtdc.l.rtdc.4014%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865</v>
      </c>
      <c r="B136" s="225">
        <v>4013</v>
      </c>
      <c r="C136" s="227" t="s">
        <v>192</v>
      </c>
      <c r="D136" s="227" t="s">
        <v>618</v>
      </c>
      <c r="E136" s="226">
        <v>43078.845312500001</v>
      </c>
      <c r="F136" s="226">
        <v>43078.852268518516</v>
      </c>
      <c r="G136" s="225">
        <v>102</v>
      </c>
      <c r="H136" s="227" t="s">
        <v>487</v>
      </c>
      <c r="I136" s="226">
        <v>43078.879074074073</v>
      </c>
      <c r="J136" s="225">
        <v>0</v>
      </c>
      <c r="K136" s="237" t="str">
        <f t="shared" si="25"/>
        <v>4013/4014</v>
      </c>
      <c r="L136" s="245" t="str">
        <f>VLOOKUP(A136,'Trips&amp;Operators'!$C$1:$G$99911,5,FALSE)</f>
        <v>FORTUNATO FRANK</v>
      </c>
      <c r="M136" s="224">
        <f t="shared" si="26"/>
        <v>2.6805555557075422E-2</v>
      </c>
      <c r="N136" s="225">
        <f t="shared" si="45"/>
        <v>38.600000002188608</v>
      </c>
      <c r="O136" s="225"/>
      <c r="P136" s="225"/>
      <c r="Q136" s="228"/>
      <c r="R136" s="242"/>
      <c r="S136" s="249">
        <f t="shared" si="28"/>
        <v>1</v>
      </c>
      <c r="T136" s="242" t="str">
        <f t="shared" si="29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0"/>
        <v>https://d0f6bd738d7f1b3e5a7ca70fe4ff75f0.us-east-1.aws.found.io/app/kibana#/discover/Steve-Slow-Train-Analysis-(2080s-and-2083s)?_g=(refreshInterval:(display:Off,pause:!f,section:0,value:0),time:(from:'2017-12-09T19:17:15-0700',mode:absolute,to:'2017-12-09T22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247" t="str">
        <f>IF(AA136&lt;VLOOKUP(AG136,Variables!$AC$3:$AD$8,2,FALSE),"Y","N")</f>
        <v>N</v>
      </c>
      <c r="X136" s="247">
        <f t="shared" si="31"/>
        <v>1</v>
      </c>
      <c r="Y136" s="247">
        <f t="shared" si="32"/>
        <v>23.2865</v>
      </c>
      <c r="Z136" s="247">
        <f t="shared" si="33"/>
        <v>2.0299999999999999E-2</v>
      </c>
      <c r="AA136" s="247">
        <f t="shared" si="34"/>
        <v>23.266200000000001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5"/>
        <v>224</v>
      </c>
      <c r="AE136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36" s="234" t="str">
        <f t="shared" si="37"/>
        <v>"C:\Program Files (x86)\AstroGrep\AstroGrep.exe" /e /r /s /spath="%USERPROFILE%\AppData\Local\Temp\OnboardLogs" /stypes="app*4013*20171210*" /stext=" 04:.+((SYSTEM_STATE.+slice.+state.+changed )|(ment ac)|(multiple cpu faults)|(system.+state.+changed )|(\[timeout)|(PRM\|1\|D)|(kpr)|(kdp)|(train st.+moving)|(\|lc)|(penalty))"</v>
      </c>
      <c r="AG136" s="244" t="str">
        <f t="shared" si="38"/>
        <v>EC</v>
      </c>
      <c r="AH136" s="236" t="str">
        <f t="shared" si="39"/>
        <v>"%USERPROFILE%\Documents\GitHub\eaglep3\Utilities\RefineRTDCRunTimes.py" --tripid 224-09 --locoid 4013 --swversion DE.1.0.9.0 --startMP 204:232865 --initTime 2017-12-09T20:17:15 --startdatetime 2017-12-09T20:27:16 --delay 102 --endMP 204:203 --enddatetime 2017-12-09T21:05:52 --enforcementcount 0 &gt;&gt;%USERPROFILE%\Documents\GitHub\eaglep3-reporting\EC\2017-12-09-refined-times.txt</v>
      </c>
      <c r="AI13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{"issue":{"subject":"","project_id":79,"tracker_id":40,"status_id":1,"priority_id":2,"assigned_to_id":338,"start_date":"2017-12-09","description":"","custom_fields":[{"id":1,"name":"Subdivision","value":"EC"},{"id":4,"name":"Milepost","value":"0.0203"},{"id":17,"name":"Train ID","value":"224-09"},{"id":16,"name":"Locomotive ID","value":"4013"},{"id":130,"name":"Impact","value":""},{"id":150,"name":"Time of Event (Mountain Time)","value":"21:05:52"},{"id":151,"name":"Denver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1"/>
        <v>start /low /b %USERPROFILE%\Documents\GitHub\eaglep3\Utilities\DownloadLogsFromS3.py --loco 4013 --day 2017-12-09</v>
      </c>
      <c r="AN136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3"/>
        <v>https://d0f6bd738d7f1b3e5a7ca70fe4ff75f0.us-east-1.aws.found.io/app/kibana#/discover/Steve-Slow-Train-Analysis-(2080s-and-2083s)?_g=(refreshInterval:(display:Off,pause:!f,section:0,value:0),time:(from:'2017-12-09T19:17:15-0700',mode:absolute,to:'2017-12-09T22:05:52-0700'))&amp;_a=(columns:!('Message%20ID',Summary),filters:!(),index:'emp_*',interval:auto,query:(query_string:(analyze_wildcard:!t,query:'%22rtdc.l.rtdc.4013%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862</v>
      </c>
      <c r="B137" s="225">
        <v>4028</v>
      </c>
      <c r="C137" s="227" t="s">
        <v>192</v>
      </c>
      <c r="D137" s="227" t="s">
        <v>560</v>
      </c>
      <c r="E137" s="226">
        <v>43078.83053240741</v>
      </c>
      <c r="F137" s="226">
        <v>43078.833483796298</v>
      </c>
      <c r="G137" s="225">
        <v>52</v>
      </c>
      <c r="H137" s="227" t="s">
        <v>621</v>
      </c>
      <c r="I137" s="226">
        <v>43078.857361111113</v>
      </c>
      <c r="J137" s="225">
        <v>0</v>
      </c>
      <c r="K137" s="237" t="str">
        <f t="shared" si="25"/>
        <v>4027/4028</v>
      </c>
      <c r="L137" s="245" t="str">
        <f>VLOOKUP(A137,'Trips&amp;Operators'!$C$1:$G$99911,5,FALSE)</f>
        <v>ELBAUM MIKE</v>
      </c>
      <c r="M137" s="224">
        <f t="shared" si="26"/>
        <v>2.3877314815763384E-2</v>
      </c>
      <c r="N137" s="225">
        <f t="shared" si="45"/>
        <v>34.383333334699273</v>
      </c>
      <c r="O137" s="225"/>
      <c r="P137" s="225"/>
      <c r="Q137" s="228"/>
      <c r="R137" s="242"/>
      <c r="S137" s="249">
        <f t="shared" si="28"/>
        <v>1</v>
      </c>
      <c r="T137" s="242" t="str">
        <f t="shared" si="29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0"/>
        <v>https://d0f6bd738d7f1b3e5a7ca70fe4ff75f0.us-east-1.aws.found.io/app/kibana#/discover/Steve-Slow-Train-Analysis-(2080s-and-2083s)?_g=(refreshInterval:(display:Off,pause:!f,section:0,value:0),time:(from:'2017-12-09T18:55:58-0700',mode:absolute,to:'2017-12-09T21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247" t="str">
        <f>IF(AA137&lt;VLOOKUP(AG137,Variables!$AC$3:$AD$8,2,FALSE),"Y","N")</f>
        <v>N</v>
      </c>
      <c r="X137" s="247">
        <f t="shared" si="31"/>
        <v>1</v>
      </c>
      <c r="Y137" s="247">
        <f t="shared" si="32"/>
        <v>5.5899999999999998E-2</v>
      </c>
      <c r="Z137" s="247">
        <f t="shared" si="33"/>
        <v>23.325700000000001</v>
      </c>
      <c r="AA137" s="247">
        <f t="shared" si="34"/>
        <v>23.2698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5"/>
        <v>225</v>
      </c>
      <c r="AE137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37" s="234" t="str">
        <f t="shared" si="37"/>
        <v>"C:\Program Files (x86)\AstroGrep\AstroGrep.exe" /e /r /s /spath="%USERPROFILE%\AppData\Local\Temp\OnboardLogs" /stypes="app*4028*20171210*" /stext=" 03:.+((SYSTEM_STATE.+slice.+state.+changed )|(ment ac)|(multiple cpu faults)|(system.+state.+changed )|(\[timeout)|(PRM\|1\|D)|(kpr)|(kdp)|(train st.+moving)|(\|lc)|(penalty))"</v>
      </c>
      <c r="AG137" s="244" t="str">
        <f t="shared" si="38"/>
        <v>EC</v>
      </c>
      <c r="AH137" s="236" t="str">
        <f t="shared" si="39"/>
        <v>"%USERPROFILE%\Documents\GitHub\eaglep3\Utilities\RefineRTDCRunTimes.py" --tripid 225-09 --locoid 4028 --swversion DE.1.0.9.0 --startMP 204:559 --initTime 2017-12-09T19:55:58 --startdatetime 2017-12-09T20:00:13 --delay 52 --endMP 204:233257 --enddatetime 2017-12-09T20:34:36 --enforcementcount 0 &gt;&gt;%USERPROFILE%\Documents\GitHub\eaglep3-reporting\EC\2017-12-09-refined-times.txt</v>
      </c>
      <c r="AI13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{"issue":{"subject":"","project_id":79,"tracker_id":40,"status_id":1,"priority_id":2,"assigned_to_id":338,"start_date":"2017-12-09","description":"","custom_fields":[{"id":1,"name":"Subdivision","value":"EC"},{"id":4,"name":"Milepost","value":"23.3257"},{"id":17,"name":"Train ID","value":"225-09"},{"id":16,"name":"Locomotive ID","value":"4028"},{"id":130,"name":"Impact","value":""},{"id":150,"name":"Time of Event (Mountain Time)","value":"20:34:36"},{"id":151,"name":"Denver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1"/>
        <v>start /low /b %USERPROFILE%\Documents\GitHub\eaglep3\Utilities\DownloadLogsFromS3.py --loco 4028 --day 2017-12-09</v>
      </c>
      <c r="AN137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3"/>
        <v>https://d0f6bd738d7f1b3e5a7ca70fe4ff75f0.us-east-1.aws.found.io/app/kibana#/discover/Steve-Slow-Train-Analysis-(2080s-and-2083s)?_g=(refreshInterval:(display:Off,pause:!f,section:0,value:0),time:(from:'2017-12-09T18:55:58-0700',mode:absolute,to:'2017-12-09T21:34:36-0700'))&amp;_a=(columns:!('Message%20ID',Summary),filters:!(),index:'emp_*',interval:auto,query:(query_string:(analyze_wildcard:!t,query:'%22rtdc.l.rtdc.4028%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867</v>
      </c>
      <c r="B138" s="225">
        <v>4027</v>
      </c>
      <c r="C138" s="227" t="s">
        <v>192</v>
      </c>
      <c r="D138" s="227" t="s">
        <v>976</v>
      </c>
      <c r="E138" s="226">
        <v>43078.858495370368</v>
      </c>
      <c r="F138" s="226">
        <v>43078.873067129629</v>
      </c>
      <c r="G138" s="225">
        <v>50</v>
      </c>
      <c r="H138" s="227" t="s">
        <v>948</v>
      </c>
      <c r="I138" s="226">
        <v>43078.898379629631</v>
      </c>
      <c r="J138" s="225">
        <v>0</v>
      </c>
      <c r="K138" s="237" t="str">
        <f t="shared" si="25"/>
        <v>4027/4028</v>
      </c>
      <c r="L138" s="245" t="str">
        <f>VLOOKUP(A138,'Trips&amp;Operators'!$C$1:$G$99911,5,FALSE)</f>
        <v>ELBAUM MIKE</v>
      </c>
      <c r="M138" s="224">
        <f t="shared" si="26"/>
        <v>2.531250000174623E-2</v>
      </c>
      <c r="N138" s="225">
        <f t="shared" si="45"/>
        <v>36.450000002514571</v>
      </c>
      <c r="O138" s="225"/>
      <c r="P138" s="225"/>
      <c r="Q138" s="228"/>
      <c r="R138" s="242"/>
      <c r="S138" s="249">
        <f t="shared" si="28"/>
        <v>1</v>
      </c>
      <c r="T138" s="242" t="str">
        <f t="shared" si="29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0"/>
        <v>https://d0f6bd738d7f1b3e5a7ca70fe4ff75f0.us-east-1.aws.found.io/app/kibana#/discover/Steve-Slow-Train-Analysis-(2080s-and-2083s)?_g=(refreshInterval:(display:Off,pause:!f,section:0,value:0),time:(from:'2017-12-09T19:36:14-0700',mode:absolute,to:'2017-12-09T22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247" t="str">
        <f>IF(AA138&lt;VLOOKUP(AG138,Variables!$AC$3:$AD$8,2,FALSE),"Y","N")</f>
        <v>N</v>
      </c>
      <c r="X138" s="247">
        <f t="shared" si="31"/>
        <v>1</v>
      </c>
      <c r="Y138" s="247">
        <f t="shared" si="32"/>
        <v>23.293800000000001</v>
      </c>
      <c r="Z138" s="247">
        <f t="shared" si="33"/>
        <v>2.5999999999999999E-2</v>
      </c>
      <c r="AA138" s="247">
        <f t="shared" si="34"/>
        <v>23.267800000000001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5"/>
        <v>226</v>
      </c>
      <c r="AE138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38" s="234" t="str">
        <f t="shared" si="37"/>
        <v>"C:\Program Files (x86)\AstroGrep\AstroGrep.exe" /e /r /s /spath="%USERPROFILE%\AppData\Local\Temp\OnboardLogs" /stypes="app*4027*20171210*" /stext=" 04:.+((SYSTEM_STATE.+slice.+state.+changed )|(ment ac)|(multiple cpu faults)|(system.+state.+changed )|(\[timeout)|(PRM\|1\|D)|(kpr)|(kdp)|(train st.+moving)|(\|lc)|(penalty))"</v>
      </c>
      <c r="AG138" s="244" t="str">
        <f t="shared" si="38"/>
        <v>EC</v>
      </c>
      <c r="AH138" s="236" t="str">
        <f t="shared" si="39"/>
        <v>"%USERPROFILE%\Documents\GitHub\eaglep3\Utilities\RefineRTDCRunTimes.py" --tripid 226-09 --locoid 4027 --swversion DE.1.0.9.0 --startMP 204:232938 --initTime 2017-12-09T20:36:14 --startdatetime 2017-12-09T20:57:13 --delay 50 --endMP 204:260 --enddatetime 2017-12-09T21:33:40 --enforcementcount 0 &gt;&gt;%USERPROFILE%\Documents\GitHub\eaglep3-reporting\EC\2017-12-09-refined-times.txt</v>
      </c>
      <c r="AI13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{"issue":{"subject":"","project_id":79,"tracker_id":40,"status_id":1,"priority_id":2,"assigned_to_id":338,"start_date":"2017-12-09","description":"","custom_fields":[{"id":1,"name":"Subdivision","value":"EC"},{"id":4,"name":"Milepost","value":"0.026"},{"id":17,"name":"Train ID","value":"226-09"},{"id":16,"name":"Locomotive ID","value":"4027"},{"id":130,"name":"Impact","value":""},{"id":150,"name":"Time of Event (Mountain Time)","value":"21:33:40"},{"id":151,"name":"Denver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1"/>
        <v>start /low /b %USERPROFILE%\Documents\GitHub\eaglep3\Utilities\DownloadLogsFromS3.py --loco 4027 --day 2017-12-09</v>
      </c>
      <c r="AN138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3"/>
        <v>https://d0f6bd738d7f1b3e5a7ca70fe4ff75f0.us-east-1.aws.found.io/app/kibana#/discover/Steve-Slow-Train-Analysis-(2080s-and-2083s)?_g=(refreshInterval:(display:Off,pause:!f,section:0,value:0),time:(from:'2017-12-09T19:36:14-0700',mode:absolute,to:'2017-12-09T22:33:40-0700'))&amp;_a=(columns:!('Message%20ID',Summary),filters:!(),index:'emp_*',interval:auto,query:(query_string:(analyze_wildcard:!t,query:'%22rtdc.l.rtdc.4027%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864</v>
      </c>
      <c r="B139" s="225">
        <v>4008</v>
      </c>
      <c r="C139" s="227" t="s">
        <v>192</v>
      </c>
      <c r="D139" s="227" t="s">
        <v>637</v>
      </c>
      <c r="E139" s="226">
        <v>43078.840081018519</v>
      </c>
      <c r="F139" s="226">
        <v>43078.854386574072</v>
      </c>
      <c r="G139" s="225">
        <v>68</v>
      </c>
      <c r="H139" s="227" t="s">
        <v>559</v>
      </c>
      <c r="I139" s="226">
        <v>43078.879201388889</v>
      </c>
      <c r="J139" s="225">
        <v>0</v>
      </c>
      <c r="K139" s="237" t="str">
        <f t="shared" si="25"/>
        <v>4007/4008</v>
      </c>
      <c r="L139" s="245" t="str">
        <f>VLOOKUP(A139,'Trips&amp;Operators'!$C$1:$G$99911,5,FALSE)</f>
        <v>NICHOLSON WESLEY</v>
      </c>
      <c r="M139" s="224">
        <f t="shared" si="26"/>
        <v>2.4814814816636499E-2</v>
      </c>
      <c r="N139" s="225">
        <f t="shared" si="45"/>
        <v>35.733333335956559</v>
      </c>
      <c r="O139" s="225"/>
      <c r="P139" s="225"/>
      <c r="Q139" s="228"/>
      <c r="R139" s="242"/>
      <c r="S139" s="249">
        <f t="shared" si="28"/>
        <v>1</v>
      </c>
      <c r="T139" s="242" t="str">
        <f t="shared" si="29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0"/>
        <v>https://d0f6bd738d7f1b3e5a7ca70fe4ff75f0.us-east-1.aws.found.io/app/kibana#/discover/Steve-Slow-Train-Analysis-(2080s-and-2083s)?_g=(refreshInterval:(display:Off,pause:!f,section:0,value:0),time:(from:'2017-12-09T19:09:43-0700',mode:absolute,to:'2017-12-09T22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247" t="str">
        <f>IF(AA139&lt;VLOOKUP(AG139,Variables!$AC$3:$AD$8,2,FALSE),"Y","N")</f>
        <v>N</v>
      </c>
      <c r="X139" s="247">
        <f t="shared" si="31"/>
        <v>1</v>
      </c>
      <c r="Y139" s="247">
        <f t="shared" si="32"/>
        <v>5.5100000000000003E-2</v>
      </c>
      <c r="Z139" s="247">
        <f t="shared" si="33"/>
        <v>23.319199999999999</v>
      </c>
      <c r="AA139" s="247">
        <f t="shared" si="34"/>
        <v>23.264099999999999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5"/>
        <v>227</v>
      </c>
      <c r="AE139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39" s="234" t="str">
        <f t="shared" si="37"/>
        <v>"C:\Program Files (x86)\AstroGrep\AstroGrep.exe" /e /r /s /spath="%USERPROFILE%\AppData\Local\Temp\OnboardLogs" /stypes="app*4008*20171210*" /stext=" 04:.+((SYSTEM_STATE.+slice.+state.+changed )|(ment ac)|(multiple cpu faults)|(system.+state.+changed )|(\[timeout)|(PRM\|1\|D)|(kpr)|(kdp)|(train st.+moving)|(\|lc)|(penalty))"</v>
      </c>
      <c r="AG139" s="244" t="str">
        <f t="shared" si="38"/>
        <v>EC</v>
      </c>
      <c r="AH139" s="236" t="str">
        <f t="shared" si="39"/>
        <v>"%USERPROFILE%\Documents\GitHub\eaglep3\Utilities\RefineRTDCRunTimes.py" --tripid 227-09 --locoid 4008 --swversion DE.1.0.9.0 --startMP 204:551 --initTime 2017-12-09T20:09:43 --startdatetime 2017-12-09T20:30:19 --delay 68 --endMP 204:233192 --enddatetime 2017-12-09T21:06:03 --enforcementcount 0 &gt;&gt;%USERPROFILE%\Documents\GitHub\eaglep3-reporting\EC\2017-12-09-refined-times.txt</v>
      </c>
      <c r="AI13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{"issue":{"subject":"","project_id":79,"tracker_id":40,"status_id":1,"priority_id":2,"assigned_to_id":338,"start_date":"2017-12-09","description":"","custom_fields":[{"id":1,"name":"Subdivision","value":"EC"},{"id":4,"name":"Milepost","value":"23.3192"},{"id":17,"name":"Train ID","value":"227-09"},{"id":16,"name":"Locomotive ID","value":"4008"},{"id":130,"name":"Impact","value":""},{"id":150,"name":"Time of Event (Mountain Time)","value":"21:06:03"},{"id":151,"name":"Denver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41"/>
        <v>start /low /b %USERPROFILE%\Documents\GitHub\eaglep3\Utilities\DownloadLogsFromS3.py --loco 4008 --day 2017-12-09</v>
      </c>
      <c r="AN139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3"/>
        <v>https://d0f6bd738d7f1b3e5a7ca70fe4ff75f0.us-east-1.aws.found.io/app/kibana#/discover/Steve-Slow-Train-Analysis-(2080s-and-2083s)?_g=(refreshInterval:(display:Off,pause:!f,section:0,value:0),time:(from:'2017-12-09T19:09:43-0700',mode:absolute,to:'2017-12-09T22:06:03-0700'))&amp;_a=(columns:!('Message%20ID',Summary),filters:!(),index:'emp_*',interval:auto,query:(query_string:(analyze_wildcard:!t,query:'%22rtdc.l.rtdc.4008%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9" t="s">
        <v>870</v>
      </c>
      <c r="B140" s="225">
        <v>4007</v>
      </c>
      <c r="C140" s="227" t="s">
        <v>192</v>
      </c>
      <c r="D140" s="227" t="s">
        <v>618</v>
      </c>
      <c r="E140" s="226">
        <v>43078.889398148145</v>
      </c>
      <c r="F140" s="226">
        <v>43078.893993055557</v>
      </c>
      <c r="G140" s="225">
        <v>64</v>
      </c>
      <c r="H140" s="227" t="s">
        <v>539</v>
      </c>
      <c r="I140" s="226">
        <v>43078.921296296299</v>
      </c>
      <c r="J140" s="225">
        <v>0</v>
      </c>
      <c r="K140" s="237" t="str">
        <f t="shared" si="25"/>
        <v>4007/4008</v>
      </c>
      <c r="L140" s="245" t="str">
        <f>VLOOKUP(A140,'Trips&amp;Operators'!$C$1:$G$99911,5,FALSE)</f>
        <v>NICHOLSON WESLEY</v>
      </c>
      <c r="M140" s="224">
        <f t="shared" si="26"/>
        <v>2.7303240742185153E-2</v>
      </c>
      <c r="N140" s="225">
        <f t="shared" si="45"/>
        <v>39.31666666874662</v>
      </c>
      <c r="O140" s="225"/>
      <c r="P140" s="225"/>
      <c r="Q140" s="228"/>
      <c r="R140" s="242"/>
      <c r="S140" s="249">
        <f t="shared" si="28"/>
        <v>1</v>
      </c>
      <c r="T140" s="242" t="str">
        <f t="shared" si="29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0"/>
        <v>https://d0f6bd738d7f1b3e5a7ca70fe4ff75f0.us-east-1.aws.found.io/app/kibana#/discover/Steve-Slow-Train-Analysis-(2080s-and-2083s)?_g=(refreshInterval:(display:Off,pause:!f,section:0,value:0),time:(from:'2017-12-09T20:20:44-0700',mode:absolute,to:'2017-12-09T23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247" t="str">
        <f>IF(AA140&lt;VLOOKUP(AG140,Variables!$AC$3:$AD$8,2,FALSE),"Y","N")</f>
        <v>N</v>
      </c>
      <c r="X140" s="247">
        <f t="shared" si="31"/>
        <v>1</v>
      </c>
      <c r="Y140" s="247">
        <f t="shared" si="32"/>
        <v>23.2865</v>
      </c>
      <c r="Z140" s="247">
        <f t="shared" si="33"/>
        <v>2.3099999999999999E-2</v>
      </c>
      <c r="AA140" s="247">
        <f t="shared" si="34"/>
        <v>23.263400000000001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5"/>
        <v>228</v>
      </c>
      <c r="AE140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40" s="234" t="str">
        <f t="shared" si="37"/>
        <v>"C:\Program Files (x86)\AstroGrep\AstroGrep.exe" /e /r /s /spath="%USERPROFILE%\AppData\Local\Temp\OnboardLogs" /stypes="app*4007*20171210*" /stext=" 05:.+((SYSTEM_STATE.+slice.+state.+changed )|(ment ac)|(multiple cpu faults)|(system.+state.+changed )|(\[timeout)|(PRM\|1\|D)|(kpr)|(kdp)|(train st.+moving)|(\|lc)|(penalty))"</v>
      </c>
      <c r="AG140" s="244" t="str">
        <f t="shared" si="38"/>
        <v>EC</v>
      </c>
      <c r="AH140" s="236" t="str">
        <f t="shared" si="39"/>
        <v>"%USERPROFILE%\Documents\GitHub\eaglep3\Utilities\RefineRTDCRunTimes.py" --tripid 228-09 --locoid 4007 --swversion DE.1.0.9.0 --startMP 204:232865 --initTime 2017-12-09T21:20:44 --startdatetime 2017-12-09T21:27:21 --delay 64 --endMP 204:231 --enddatetime 2017-12-09T22:06:40 --enforcementcount 0 &gt;&gt;%USERPROFILE%\Documents\GitHub\eaglep3-reporting\EC\2017-12-09-refined-times.txt</v>
      </c>
      <c r="AI14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{"issue":{"subject":"","project_id":79,"tracker_id":40,"status_id":1,"priority_id":2,"assigned_to_id":338,"start_date":"2017-12-09","description":"","custom_fields":[{"id":1,"name":"Subdivision","value":"EC"},{"id":4,"name":"Milepost","value":"0.0231"},{"id":17,"name":"Train ID","value":"228-09"},{"id":16,"name":"Locomotive ID","value":"4007"},{"id":130,"name":"Impact","value":""},{"id":150,"name":"Time of Event (Mountain Time)","value":"22:06:40"},{"id":151,"name":"Denver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1"/>
        <v>start /low /b %USERPROFILE%\Documents\GitHub\eaglep3\Utilities\DownloadLogsFromS3.py --loco 4007 --day 2017-12-09</v>
      </c>
      <c r="AN140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3"/>
        <v>https://d0f6bd738d7f1b3e5a7ca70fe4ff75f0.us-east-1.aws.found.io/app/kibana#/discover/Steve-Slow-Train-Analysis-(2080s-and-2083s)?_g=(refreshInterval:(display:Off,pause:!f,section:0,value:0),time:(from:'2017-12-09T20:20:44-0700',mode:absolute,to:'2017-12-09T23:06:40-0700'))&amp;_a=(columns:!('Message%20ID',Summary),filters:!(),index:'emp_*',interval:auto,query:(query_string:(analyze_wildcard:!t,query:'%22rtdc.l.rtdc.4007%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868</v>
      </c>
      <c r="B141" s="225">
        <v>4006</v>
      </c>
      <c r="C141" s="227" t="s">
        <v>192</v>
      </c>
      <c r="D141" s="227" t="s">
        <v>1016</v>
      </c>
      <c r="E141" s="226">
        <v>43078.873888888891</v>
      </c>
      <c r="F141" s="226">
        <v>43078.875324074077</v>
      </c>
      <c r="G141" s="225">
        <v>52</v>
      </c>
      <c r="H141" s="227" t="s">
        <v>550</v>
      </c>
      <c r="I141" s="226">
        <v>43078.90011574074</v>
      </c>
      <c r="J141" s="225">
        <v>0</v>
      </c>
      <c r="K141" s="237" t="str">
        <f t="shared" ref="K141:K204" si="46">IF(ISEVEN(B141),(B141-1)&amp;"/"&amp;B141,B141&amp;"/"&amp;(B141+1))</f>
        <v>4005/4006</v>
      </c>
      <c r="L141" s="245" t="str">
        <f>VLOOKUP(A141,'Trips&amp;Operators'!$C$1:$G$99911,5,FALSE)</f>
        <v>ANDERS STEVEN</v>
      </c>
      <c r="M141" s="224">
        <f t="shared" ref="M141:M204" si="47">I141-F141</f>
        <v>2.4791666663077194E-2</v>
      </c>
      <c r="N141" s="225">
        <f t="shared" si="45"/>
        <v>35.69999999483116</v>
      </c>
      <c r="O141" s="225"/>
      <c r="P141" s="225"/>
      <c r="Q141" s="228"/>
      <c r="R141" s="242"/>
      <c r="S141" s="249">
        <f t="shared" ref="S141:S204" si="48">1/IF(AG141="EC",12,1)*SUM(U141:U141)</f>
        <v>1</v>
      </c>
      <c r="T141" s="242" t="str">
        <f t="shared" ref="T141:T204" si="49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-09T19:58:24-0700',mode:absolute,to:'2017-12-09T22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247" t="str">
        <f>IF(AA141&lt;VLOOKUP(AG141,Variables!$AC$3:$AD$8,2,FALSE),"Y","N")</f>
        <v>N</v>
      </c>
      <c r="X141" s="247">
        <f t="shared" ref="X141:X204" si="51">VALUE(LEFT(AD141,4))-VALUE(LEFT(AD140,4))</f>
        <v>1</v>
      </c>
      <c r="Y141" s="247">
        <f t="shared" ref="Y141:Y204" si="52">RIGHT(D141,LEN(D141)-4)/10000</f>
        <v>5.3999999999999999E-2</v>
      </c>
      <c r="Z141" s="247">
        <f t="shared" ref="Z141:Z204" si="53">RIGHT(H141,LEN(H141)-4)/10000</f>
        <v>23.3276</v>
      </c>
      <c r="AA141" s="247">
        <f t="shared" ref="AA141:AA204" si="54">ABS(Z141-Y141)</f>
        <v>23.273600000000002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55">VALUE(LEFT(A141,LEN(A141)-3))</f>
        <v>229</v>
      </c>
      <c r="AE141" s="235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141" s="234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/stypes="app*4006*20171210*"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58">DetSubdiv(A141)</f>
        <v>EC</v>
      </c>
      <c r="AH141" s="236" t="str">
        <f t="shared" si="39"/>
        <v>"%USERPROFILE%\Documents\GitHub\eaglep3\Utilities\RefineRTDCRunTimes.py" --tripid 229-09 --locoid 4006 --swversion DE.1.0.9.0 --startMP 204:540 --initTime 2017-12-09T20:58:24 --startdatetime 2017-12-09T21:00:28 --delay 52 --endMP 204:233276 --enddatetime 2017-12-09T21:36:10 --enforcementcount 0 &gt;&gt;%USERPROFILE%\Documents\GitHub\eaglep3-reporting\EC\2017-12-09-refined-times.txt</v>
      </c>
      <c r="AI14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{"issue":{"subject":"","project_id":79,"tracker_id":40,"status_id":1,"priority_id":2,"assigned_to_id":338,"start_date":"2017-12-09","description":"","custom_fields":[{"id":1,"name":"Subdivision","value":"EC"},{"id":4,"name":"Milepost","value":"23.3276"},{"id":17,"name":"Train ID","value":"229-09"},{"id":16,"name":"Locomotive ID","value":"4006"},{"id":130,"name":"Impact","value":""},{"id":150,"name":"Time of Event (Mountain Time)","value":"21:36:10"},{"id":151,"name":"Denver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41"/>
        <v>start /low /b %USERPROFILE%\Documents\GitHub\eaglep3\Utilities\DownloadLogsFromS3.py --loco 4006 --day 2017-12-09</v>
      </c>
      <c r="AN141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3"/>
        <v>https://d0f6bd738d7f1b3e5a7ca70fe4ff75f0.us-east-1.aws.found.io/app/kibana#/discover/Steve-Slow-Train-Analysis-(2080s-and-2083s)?_g=(refreshInterval:(display:Off,pause:!f,section:0,value:0),time:(from:'2017-12-09T19:58:24-0700',mode:absolute,to:'2017-12-09T22:36:10-0700'))&amp;_a=(columns:!('Message%20ID',Summary),filters:!(),index:'emp_*',interval:auto,query:(query_string:(analyze_wildcard:!t,query:'%22rtdc.l.rtdc.4006%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872</v>
      </c>
      <c r="B142" s="225">
        <v>4005</v>
      </c>
      <c r="C142" s="227" t="s">
        <v>192</v>
      </c>
      <c r="D142" s="227" t="s">
        <v>936</v>
      </c>
      <c r="E142" s="226">
        <v>43078.901516203703</v>
      </c>
      <c r="F142" s="226">
        <v>43078.914837962962</v>
      </c>
      <c r="G142" s="225">
        <v>53</v>
      </c>
      <c r="H142" s="227" t="s">
        <v>581</v>
      </c>
      <c r="I142" s="226">
        <v>43078.941631944443</v>
      </c>
      <c r="J142" s="225">
        <v>0</v>
      </c>
      <c r="K142" s="237" t="str">
        <f t="shared" si="46"/>
        <v>4005/4006</v>
      </c>
      <c r="L142" s="245" t="str">
        <f>VLOOKUP(A142,'Trips&amp;Operators'!$C$1:$G$99911,5,FALSE)</f>
        <v>ANDERS STEVEN</v>
      </c>
      <c r="M142" s="224">
        <f t="shared" si="47"/>
        <v>2.679398148029577E-2</v>
      </c>
      <c r="N142" s="225">
        <f t="shared" si="45"/>
        <v>38.583333331625909</v>
      </c>
      <c r="O142" s="225"/>
      <c r="P142" s="225"/>
      <c r="Q142" s="228"/>
      <c r="R142" s="242"/>
      <c r="S142" s="249">
        <f t="shared" si="48"/>
        <v>1</v>
      </c>
      <c r="T142" s="242" t="str">
        <f t="shared" si="49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50"/>
        <v>https://d0f6bd738d7f1b3e5a7ca70fe4ff75f0.us-east-1.aws.found.io/app/kibana#/discover/Steve-Slow-Train-Analysis-(2080s-and-2083s)?_g=(refreshInterval:(display:Off,pause:!f,section:0,value:0),time:(from:'2017-12-09T20:38:11-0700',mode:absolute,to:'2017-12-09T23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247" t="str">
        <f>IF(AA142&lt;VLOOKUP(AG142,Variables!$AC$3:$AD$8,2,FALSE),"Y","N")</f>
        <v>N</v>
      </c>
      <c r="X142" s="247">
        <f t="shared" si="51"/>
        <v>1</v>
      </c>
      <c r="Y142" s="247">
        <f t="shared" si="52"/>
        <v>23.295300000000001</v>
      </c>
      <c r="Z142" s="247">
        <f t="shared" si="53"/>
        <v>2.01E-2</v>
      </c>
      <c r="AA142" s="247">
        <f t="shared" si="54"/>
        <v>23.275200000000002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55"/>
        <v>230</v>
      </c>
      <c r="AE142" s="235" t="str">
        <f t="shared" si="5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142" s="234" t="str">
        <f t="shared" si="57"/>
        <v>"C:\Program Files (x86)\AstroGrep\AstroGrep.exe" /e /r /s /spath="%USERPROFILE%\AppData\Local\Temp\OnboardLogs" /stypes="app*4005*20171210*" /stext=" 05:.+((SYSTEM_STATE.+slice.+state.+changed )|(ment ac)|(multiple cpu faults)|(system.+state.+changed )|(\[timeout)|(PRM\|1\|D)|(kpr)|(kdp)|(train st.+moving)|(\|lc)|(penalty))"</v>
      </c>
      <c r="AG142" s="244" t="str">
        <f t="shared" si="58"/>
        <v>EC</v>
      </c>
      <c r="AH142" s="236" t="str">
        <f t="shared" ref="AH142:AH205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230-09 --locoid 4005 --swversion DE.1.0.9.0 --startMP 204:232953 --initTime 2017-12-09T21:38:11 --startdatetime 2017-12-09T21:57:22 --delay 53 --endMP 204:201 --enddatetime 2017-12-09T22:35:57 --enforcementcount 0 &gt;&gt;%USERPROFILE%\Documents\GitHub\eaglep3-reporting\EC\2017-12-09-refined-times.txt</v>
      </c>
      <c r="AI142" s="238" t="str">
        <f t="shared" ref="AI142:AI205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{"issue":{"subject":"","project_id":79,"tracker_id":40,"status_id":1,"priority_id":2,"assigned_to_id":338,"start_date":"2017-12-09","description":"","custom_fields":[{"id":1,"name":"Subdivision","value":"EC"},{"id":4,"name":"Milepost","value":"0.0201"},{"id":17,"name":"Train ID","value":"230-09"},{"id":16,"name":"Locomotive ID","value":"4005"},{"id":130,"name":"Impact","value":""},{"id":150,"name":"Time of Event (Mountain Time)","value":"22:35:57"},{"id":151,"name":"Denver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ref="AM142:AM205" si="61">"start /low /b "&amp;dls3logs&amp;" --loco "&amp;B142&amp;" --day "&amp;TEXT(F142,"YYYY-MM-DD")</f>
        <v>start /low /b %USERPROFILE%\Documents\GitHub\eaglep3\Utilities\DownloadLogsFromS3.py --loco 4005 --day 2017-12-09</v>
      </c>
      <c r="AN142" s="241" t="str">
        <f t="shared" ref="AN142:AN205" si="6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:AO205" si="63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-09T20:38:11-0700',mode:absolute,to:'2017-12-09T23:35:57-0700'))&amp;_a=(columns:!('Message%20ID',Summary),filters:!(),index:'emp_*',interval:auto,query:(query_string:(analyze_wildcard:!t,query:'%22rtdc.l.rtdc.4005%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25">
      <c r="A143" s="229" t="s">
        <v>869</v>
      </c>
      <c r="B143" s="225">
        <v>4014</v>
      </c>
      <c r="C143" s="227" t="s">
        <v>192</v>
      </c>
      <c r="D143" s="227" t="s">
        <v>488</v>
      </c>
      <c r="E143" s="226">
        <v>43078.880648148152</v>
      </c>
      <c r="F143" s="226">
        <v>43078.897430555553</v>
      </c>
      <c r="G143" s="225">
        <v>48</v>
      </c>
      <c r="H143" s="227" t="s">
        <v>672</v>
      </c>
      <c r="I143" s="226">
        <v>43078.921701388892</v>
      </c>
      <c r="J143" s="225">
        <v>0</v>
      </c>
      <c r="K143" s="237" t="str">
        <f t="shared" si="46"/>
        <v>4013/4014</v>
      </c>
      <c r="L143" s="245" t="str">
        <f>VLOOKUP(A143,'Trips&amp;Operators'!$C$1:$G$99911,5,FALSE)</f>
        <v>FORTUNATO FRANK</v>
      </c>
      <c r="M143" s="224">
        <f t="shared" si="47"/>
        <v>2.4270833338960074E-2</v>
      </c>
      <c r="N143" s="225">
        <f t="shared" si="45"/>
        <v>34.950000008102506</v>
      </c>
      <c r="O143" s="225"/>
      <c r="P143" s="225"/>
      <c r="Q143" s="228"/>
      <c r="R143" s="242"/>
      <c r="S143" s="249">
        <f t="shared" si="48"/>
        <v>1</v>
      </c>
      <c r="T143" s="242" t="str">
        <f t="shared" si="49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50"/>
        <v>https://d0f6bd738d7f1b3e5a7ca70fe4ff75f0.us-east-1.aws.found.io/app/kibana#/discover/Steve-Slow-Train-Analysis-(2080s-and-2083s)?_g=(refreshInterval:(display:Off,pause:!f,section:0,value:0),time:(from:'2017-12-09T20:08:08-0700',mode:absolute,to:'2017-12-09T23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247" t="str">
        <f>IF(AA143&lt;VLOOKUP(AG143,Variables!$AC$3:$AD$8,2,FALSE),"Y","N")</f>
        <v>N</v>
      </c>
      <c r="X143" s="247">
        <f t="shared" si="51"/>
        <v>1</v>
      </c>
      <c r="Y143" s="247">
        <f t="shared" si="52"/>
        <v>5.1499999999999997E-2</v>
      </c>
      <c r="Z143" s="247">
        <f t="shared" si="53"/>
        <v>23.318200000000001</v>
      </c>
      <c r="AA143" s="247">
        <f t="shared" si="54"/>
        <v>23.2667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55"/>
        <v>231</v>
      </c>
      <c r="AE143" s="235" t="str">
        <f t="shared" si="5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43" s="234" t="str">
        <f t="shared" si="57"/>
        <v>"C:\Program Files (x86)\AstroGrep\AstroGrep.exe" /e /r /s /spath="%USERPROFILE%\AppData\Local\Temp\OnboardLogs" /stypes="app*4014*20171210*" /stext=" 05:.+((SYSTEM_STATE.+slice.+state.+changed )|(ment ac)|(multiple cpu faults)|(system.+state.+changed )|(\[timeout)|(PRM\|1\|D)|(kpr)|(kdp)|(train st.+moving)|(\|lc)|(penalty))"</v>
      </c>
      <c r="AG143" s="244" t="str">
        <f t="shared" si="58"/>
        <v>EC</v>
      </c>
      <c r="AH143" s="236" t="str">
        <f t="shared" si="59"/>
        <v>"%USERPROFILE%\Documents\GitHub\eaglep3\Utilities\RefineRTDCRunTimes.py" --tripid 231-09 --locoid 4014 --swversion DE.1.0.9.0 --startMP 204:515 --initTime 2017-12-09T21:08:08 --startdatetime 2017-12-09T21:32:18 --delay 48 --endMP 204:233182 --enddatetime 2017-12-09T22:07:15 --enforcementcount 0 &gt;&gt;%USERPROFILE%\Documents\GitHub\eaglep3-reporting\EC\2017-12-09-refined-times.txt</v>
      </c>
      <c r="AI143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{"issue":{"subject":"","project_id":79,"tracker_id":40,"status_id":1,"priority_id":2,"assigned_to_id":338,"start_date":"2017-12-09","description":"","custom_fields":[{"id":1,"name":"Subdivision","value":"EC"},{"id":4,"name":"Milepost","value":"23.3182"},{"id":17,"name":"Train ID","value":"231-09"},{"id":16,"name":"Locomotive ID","value":"4014"},{"id":130,"name":"Impact","value":""},{"id":150,"name":"Time of Event (Mountain Time)","value":"22:07:15"},{"id":151,"name":"Denver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61"/>
        <v>start /low /b %USERPROFILE%\Documents\GitHub\eaglep3\Utilities\DownloadLogsFromS3.py --loco 4014 --day 2017-12-09</v>
      </c>
      <c r="AN143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63"/>
        <v>https://d0f6bd738d7f1b3e5a7ca70fe4ff75f0.us-east-1.aws.found.io/app/kibana#/discover/Steve-Slow-Train-Analysis-(2080s-and-2083s)?_g=(refreshInterval:(display:Off,pause:!f,section:0,value:0),time:(from:'2017-12-09T20:08:08-0700',mode:absolute,to:'2017-12-09T23:07:15-0700'))&amp;_a=(columns:!('Message%20ID',Summary),filters:!(),index:'emp_*',interval:auto,query:(query_string:(analyze_wildcard:!t,query:'%22rtdc.l.rtdc.4014%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25">
      <c r="A144" s="229" t="s">
        <v>874</v>
      </c>
      <c r="B144" s="225">
        <v>4013</v>
      </c>
      <c r="C144" s="227" t="s">
        <v>192</v>
      </c>
      <c r="D144" s="227" t="s">
        <v>1017</v>
      </c>
      <c r="E144" s="226">
        <v>43078.923148148147</v>
      </c>
      <c r="F144" s="226">
        <v>43078.935578703706</v>
      </c>
      <c r="G144" s="225">
        <v>54</v>
      </c>
      <c r="H144" s="227" t="s">
        <v>509</v>
      </c>
      <c r="I144" s="226">
        <v>43078.96193287037</v>
      </c>
      <c r="J144" s="225">
        <v>0</v>
      </c>
      <c r="K144" s="237" t="str">
        <f t="shared" si="46"/>
        <v>4013/4014</v>
      </c>
      <c r="L144" s="245" t="str">
        <f>VLOOKUP(A144,'Trips&amp;Operators'!$C$1:$G$99911,5,FALSE)</f>
        <v>FORTUNATO FRANK</v>
      </c>
      <c r="M144" s="224">
        <f t="shared" si="47"/>
        <v>2.6354166664532386E-2</v>
      </c>
      <c r="N144" s="225">
        <f t="shared" si="45"/>
        <v>37.949999996926636</v>
      </c>
      <c r="O144" s="225"/>
      <c r="P144" s="225"/>
      <c r="Q144" s="228"/>
      <c r="R144" s="242"/>
      <c r="S144" s="249">
        <f t="shared" si="48"/>
        <v>1</v>
      </c>
      <c r="T144" s="242" t="str">
        <f t="shared" si="49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50"/>
        <v>https://d0f6bd738d7f1b3e5a7ca70fe4ff75f0.us-east-1.aws.found.io/app/kibana#/discover/Steve-Slow-Train-Analysis-(2080s-and-2083s)?_g=(refreshInterval:(display:Off,pause:!f,section:0,value:0),time:(from:'2017-12-09T21:09:20-0700',mode:absolute,to:'2017-12-10T00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4" s="247" t="str">
        <f>IF(AA144&lt;VLOOKUP(AG144,Variables!$AC$3:$AD$8,2,FALSE),"Y","N")</f>
        <v>N</v>
      </c>
      <c r="X144" s="247">
        <f t="shared" si="51"/>
        <v>1</v>
      </c>
      <c r="Y144" s="247">
        <f t="shared" si="52"/>
        <v>23.286300000000001</v>
      </c>
      <c r="Z144" s="247">
        <f t="shared" si="53"/>
        <v>2.2499999999999999E-2</v>
      </c>
      <c r="AA144" s="247">
        <f t="shared" si="54"/>
        <v>23.2638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55"/>
        <v>232</v>
      </c>
      <c r="AE144" s="235" t="str">
        <f t="shared" si="5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44" s="234" t="str">
        <f t="shared" si="57"/>
        <v>"C:\Program Files (x86)\AstroGrep\AstroGrep.exe" /e /r /s /spath="%USERPROFILE%\AppData\Local\Temp\OnboardLogs" /stypes="app*4013*20171210*" /stext=" 06:.+((SYSTEM_STATE.+slice.+state.+changed )|(ment ac)|(multiple cpu faults)|(system.+state.+changed )|(\[timeout)|(PRM\|1\|D)|(kpr)|(kdp)|(train st.+moving)|(\|lc)|(penalty))"</v>
      </c>
      <c r="AG144" s="244" t="str">
        <f t="shared" si="58"/>
        <v>EC</v>
      </c>
      <c r="AH144" s="236" t="str">
        <f t="shared" si="59"/>
        <v>"%USERPROFILE%\Documents\GitHub\eaglep3\Utilities\RefineRTDCRunTimes.py" --tripid 232-09 --locoid 4013 --swversion DE.1.0.9.0 --startMP 204:232863 --initTime 2017-12-09T22:09:20 --startdatetime 2017-12-09T22:27:14 --delay 54 --endMP 204:225 --enddatetime 2017-12-09T23:05:11 --enforcementcount 0 &gt;&gt;%USERPROFILE%\Documents\GitHub\eaglep3-reporting\EC\2017-12-09-refined-times.txt</v>
      </c>
      <c r="AI144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{"issue":{"subject":"","project_id":79,"tracker_id":40,"status_id":1,"priority_id":2,"assigned_to_id":338,"start_date":"2017-12-09","description":"","custom_fields":[{"id":1,"name":"Subdivision","value":"EC"},{"id":4,"name":"Milepost","value":"0.0225"},{"id":17,"name":"Train ID","value":"232-09"},{"id":16,"name":"Locomotive ID","value":"4013"},{"id":130,"name":"Impact","value":""},{"id":150,"name":"Time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61"/>
        <v>start /low /b %USERPROFILE%\Documents\GitHub\eaglep3\Utilities\DownloadLogsFromS3.py --loco 4013 --day 2017-12-09</v>
      </c>
      <c r="AN14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63"/>
        <v>https://d0f6bd738d7f1b3e5a7ca70fe4ff75f0.us-east-1.aws.found.io/app/kibana#/discover/Steve-Slow-Train-Analysis-(2080s-and-2083s)?_g=(refreshInterval:(display:Off,pause:!f,section:0,value:0),time:(from:'2017-12-09T21:09:20-0700',mode:absolute,to:'2017-12-10T00:05:11-0700'))&amp;_a=(columns:!('Message%20ID',Summary),filters:!(),index:'emp_*',interval:auto,query:(query_string:(analyze_wildcard:!t,query:'%22rtdc.l.rtdc.4013%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871</v>
      </c>
      <c r="B145" s="225">
        <v>4028</v>
      </c>
      <c r="C145" s="227" t="s">
        <v>192</v>
      </c>
      <c r="D145" s="227" t="s">
        <v>669</v>
      </c>
      <c r="E145" s="226">
        <v>43078.899965277778</v>
      </c>
      <c r="F145" s="226">
        <v>43078.917118055557</v>
      </c>
      <c r="G145" s="225">
        <v>83</v>
      </c>
      <c r="H145" s="227" t="s">
        <v>590</v>
      </c>
      <c r="I145" s="226">
        <v>43078.941493055558</v>
      </c>
      <c r="J145" s="225">
        <v>0</v>
      </c>
      <c r="K145" s="237" t="str">
        <f t="shared" si="46"/>
        <v>4027/4028</v>
      </c>
      <c r="L145" s="245" t="str">
        <f>VLOOKUP(A145,'Trips&amp;Operators'!$C$1:$G$99911,5,FALSE)</f>
        <v>ELBAUM MIKE</v>
      </c>
      <c r="M145" s="224">
        <f t="shared" si="47"/>
        <v>2.4375000000873115E-2</v>
      </c>
      <c r="N145" s="225">
        <f t="shared" si="45"/>
        <v>35.100000001257285</v>
      </c>
      <c r="O145" s="225"/>
      <c r="P145" s="225"/>
      <c r="Q145" s="228"/>
      <c r="R145" s="242"/>
      <c r="S145" s="249">
        <f t="shared" si="48"/>
        <v>1</v>
      </c>
      <c r="T145" s="242" t="str">
        <f t="shared" si="49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50"/>
        <v>https://d0f6bd738d7f1b3e5a7ca70fe4ff75f0.us-east-1.aws.found.io/app/kibana#/discover/Steve-Slow-Train-Analysis-(2080s-and-2083s)?_g=(refreshInterval:(display:Off,pause:!f,section:0,value:0),time:(from:'2017-12-09T20:35:57-0700',mode:absolute,to:'2017-12-09T23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247" t="str">
        <f>IF(AA145&lt;VLOOKUP(AG145,Variables!$AC$3:$AD$8,2,FALSE),"Y","N")</f>
        <v>N</v>
      </c>
      <c r="X145" s="247">
        <f t="shared" si="51"/>
        <v>1</v>
      </c>
      <c r="Y145" s="247">
        <f t="shared" si="52"/>
        <v>5.62E-2</v>
      </c>
      <c r="Z145" s="247">
        <f t="shared" si="53"/>
        <v>23.325900000000001</v>
      </c>
      <c r="AA145" s="247">
        <f t="shared" si="54"/>
        <v>23.2697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55"/>
        <v>233</v>
      </c>
      <c r="AE145" s="235" t="str">
        <f t="shared" si="5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45" s="234" t="str">
        <f t="shared" si="57"/>
        <v>"C:\Program Files (x86)\AstroGrep\AstroGrep.exe" /e /r /s /spath="%USERPROFILE%\AppData\Local\Temp\OnboardLogs" /stypes="app*4028*20171210*" /stext=" 05:.+((SYSTEM_STATE.+slice.+state.+changed )|(ment ac)|(multiple cpu faults)|(system.+state.+changed )|(\[timeout)|(PRM\|1\|D)|(kpr)|(kdp)|(train st.+moving)|(\|lc)|(penalty))"</v>
      </c>
      <c r="AG145" s="244" t="str">
        <f t="shared" si="58"/>
        <v>EC</v>
      </c>
      <c r="AH145" s="236" t="str">
        <f t="shared" si="59"/>
        <v>"%USERPROFILE%\Documents\GitHub\eaglep3\Utilities\RefineRTDCRunTimes.py" --tripid 233-09 --locoid 4028 --swversion DE.1.0.9.0 --startMP 204:562 --initTime 2017-12-09T21:35:57 --startdatetime 2017-12-09T22:00:39 --delay 83 --endMP 204:233259 --enddatetime 2017-12-09T22:35:45 --enforcementcount 0 &gt;&gt;%USERPROFILE%\Documents\GitHub\eaglep3-reporting\EC\2017-12-09-refined-times.txt</v>
      </c>
      <c r="AI145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{"issue":{"subject":"","project_id":79,"tracker_id":40,"status_id":1,"priority_id":2,"assigned_to_id":338,"start_date":"2017-12-09","description":"","custom_fields":[{"id":1,"name":"Subdivision","value":"EC"},{"id":4,"name":"Milepost","value":"23.3259"},{"id":17,"name":"Train ID","value":"233-09"},{"id":16,"name":"Locomotive ID","value":"4028"},{"id":130,"name":"Impact","value":""},{"id":150,"name":"Time of Event (Mountain Time)","value":"22:35:45"},{"id":151,"name":"Denver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61"/>
        <v>start /low /b %USERPROFILE%\Documents\GitHub\eaglep3\Utilities\DownloadLogsFromS3.py --loco 4028 --day 2017-12-09</v>
      </c>
      <c r="AN145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63"/>
        <v>https://d0f6bd738d7f1b3e5a7ca70fe4ff75f0.us-east-1.aws.found.io/app/kibana#/discover/Steve-Slow-Train-Analysis-(2080s-and-2083s)?_g=(refreshInterval:(display:Off,pause:!f,section:0,value:0),time:(from:'2017-12-09T20:35:57-0700',mode:absolute,to:'2017-12-09T23:35:45-0700'))&amp;_a=(columns:!('Message%20ID',Summary),filters:!(),index:'emp_*',interval:auto,query:(query_string:(analyze_wildcard:!t,query:'%22rtdc.l.rtdc.4028%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9" t="s">
        <v>877</v>
      </c>
      <c r="B146" s="225">
        <v>4027</v>
      </c>
      <c r="C146" s="227" t="s">
        <v>192</v>
      </c>
      <c r="D146" s="227" t="s">
        <v>674</v>
      </c>
      <c r="E146" s="226">
        <v>43078.945300925923</v>
      </c>
      <c r="F146" s="226">
        <v>43078.956400462965</v>
      </c>
      <c r="G146" s="225">
        <v>49</v>
      </c>
      <c r="H146" s="227" t="s">
        <v>1018</v>
      </c>
      <c r="I146" s="226">
        <v>43078.981724537036</v>
      </c>
      <c r="J146" s="225">
        <v>0</v>
      </c>
      <c r="K146" s="237" t="str">
        <f t="shared" si="46"/>
        <v>4027/4028</v>
      </c>
      <c r="L146" s="245" t="str">
        <f>VLOOKUP(A146,'Trips&amp;Operators'!$C$1:$G$99911,5,FALSE)</f>
        <v>ELBAUM MIKE</v>
      </c>
      <c r="M146" s="224">
        <f t="shared" si="47"/>
        <v>2.5324074071249925E-2</v>
      </c>
      <c r="N146" s="225">
        <f t="shared" si="45"/>
        <v>36.466666662599891</v>
      </c>
      <c r="O146" s="225"/>
      <c r="P146" s="225"/>
      <c r="Q146" s="228"/>
      <c r="R146" s="242"/>
      <c r="S146" s="249">
        <f t="shared" si="48"/>
        <v>1</v>
      </c>
      <c r="T146" s="242" t="str">
        <f t="shared" si="49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50"/>
        <v>https://d0f6bd738d7f1b3e5a7ca70fe4ff75f0.us-east-1.aws.found.io/app/kibana#/discover/Steve-Slow-Train-Analysis-(2080s-and-2083s)?_g=(refreshInterval:(display:Off,pause:!f,section:0,value:0),time:(from:'2017-12-09T21:41:14-0700',mode:absolute,to:'2017-12-10T00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247" t="str">
        <f>IF(AA146&lt;VLOOKUP(AG146,Variables!$AC$3:$AD$8,2,FALSE),"Y","N")</f>
        <v>N</v>
      </c>
      <c r="X146" s="247">
        <f t="shared" si="51"/>
        <v>1</v>
      </c>
      <c r="Y146" s="247">
        <f t="shared" si="52"/>
        <v>23.293600000000001</v>
      </c>
      <c r="Z146" s="247">
        <f t="shared" si="53"/>
        <v>2.63E-2</v>
      </c>
      <c r="AA146" s="247">
        <f t="shared" si="54"/>
        <v>23.267300000000002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55"/>
        <v>234</v>
      </c>
      <c r="AE146" s="235" t="str">
        <f t="shared" si="5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46" s="234" t="str">
        <f t="shared" si="57"/>
        <v>"C:\Program Files (x86)\AstroGrep\AstroGrep.exe" /e /r /s /spath="%USERPROFILE%\AppData\Local\Temp\OnboardLogs" /stypes="app*4027*20171210*" /stext=" 06:.+((SYSTEM_STATE.+slice.+state.+changed )|(ment ac)|(multiple cpu faults)|(system.+state.+changed )|(\[timeout)|(PRM\|1\|D)|(kpr)|(kdp)|(train st.+moving)|(\|lc)|(penalty))"</v>
      </c>
      <c r="AG146" s="244" t="str">
        <f t="shared" si="58"/>
        <v>EC</v>
      </c>
      <c r="AH146" s="236" t="str">
        <f t="shared" si="59"/>
        <v>"%USERPROFILE%\Documents\GitHub\eaglep3\Utilities\RefineRTDCRunTimes.py" --tripid 234-09 --locoid 4027 --swversion DE.1.0.9.0 --startMP 204:232936 --initTime 2017-12-09T22:41:14 --startdatetime 2017-12-09T22:57:13 --delay 49 --endMP 204:263 --enddatetime 2017-12-09T23:33:41 --enforcementcount 0 &gt;&gt;%USERPROFILE%\Documents\GitHub\eaglep3-reporting\EC\2017-12-09-refined-times.txt</v>
      </c>
      <c r="AI146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{"issue":{"subject":"","project_id":79,"tracker_id":40,"status_id":1,"priority_id":2,"assigned_to_id":338,"start_date":"2017-12-09","description":"","custom_fields":[{"id":1,"name":"Subdivision","value":"EC"},{"id":4,"name":"Milepost","value":"0.0263"},{"id":17,"name":"Train ID","value":"234-09"},{"id":16,"name":"Locomotive ID","value":"4027"},{"id":130,"name":"Impact","value":""},{"id":150,"name":"Time of Event (Mountain Time)","value":"23:33:41"},{"id":151,"name":"Denver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61"/>
        <v>start /low /b %USERPROFILE%\Documents\GitHub\eaglep3\Utilities\DownloadLogsFromS3.py --loco 4027 --day 2017-12-09</v>
      </c>
      <c r="AN146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63"/>
        <v>https://d0f6bd738d7f1b3e5a7ca70fe4ff75f0.us-east-1.aws.found.io/app/kibana#/discover/Steve-Slow-Train-Analysis-(2080s-and-2083s)?_g=(refreshInterval:(display:Off,pause:!f,section:0,value:0),time:(from:'2017-12-09T21:41:14-0700',mode:absolute,to:'2017-12-10T00:33:41-0700'))&amp;_a=(columns:!('Message%20ID',Summary),filters:!(),index:'emp_*',interval:auto,query:(query_string:(analyze_wildcard:!t,query:'%22rtdc.l.rtdc.4027%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875</v>
      </c>
      <c r="B147" s="225">
        <v>4008</v>
      </c>
      <c r="C147" s="227" t="s">
        <v>192</v>
      </c>
      <c r="D147" s="227" t="s">
        <v>625</v>
      </c>
      <c r="E147" s="226">
        <v>43078.926944444444</v>
      </c>
      <c r="F147" s="226">
        <v>43078.937708333331</v>
      </c>
      <c r="G147" s="225">
        <v>83</v>
      </c>
      <c r="H147" s="227" t="s">
        <v>1019</v>
      </c>
      <c r="I147" s="226">
        <v>43078.963807870372</v>
      </c>
      <c r="J147" s="225">
        <v>0</v>
      </c>
      <c r="K147" s="237" t="str">
        <f t="shared" si="46"/>
        <v>4007/4008</v>
      </c>
      <c r="L147" s="245" t="str">
        <f>VLOOKUP(A147,'Trips&amp;Operators'!$C$1:$G$99911,5,FALSE)</f>
        <v>NICHOLSON WESLEY</v>
      </c>
      <c r="M147" s="224">
        <f t="shared" si="47"/>
        <v>2.6099537040863652E-2</v>
      </c>
      <c r="N147" s="225">
        <f t="shared" si="45"/>
        <v>37.583333338843659</v>
      </c>
      <c r="O147" s="225"/>
      <c r="P147" s="225"/>
      <c r="Q147" s="228"/>
      <c r="R147" s="242"/>
      <c r="S147" s="249">
        <f t="shared" si="48"/>
        <v>1</v>
      </c>
      <c r="T147" s="242" t="str">
        <f t="shared" si="49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50"/>
        <v>https://d0f6bd738d7f1b3e5a7ca70fe4ff75f0.us-east-1.aws.found.io/app/kibana#/discover/Steve-Slow-Train-Analysis-(2080s-and-2083s)?_g=(refreshInterval:(display:Off,pause:!f,section:0,value:0),time:(from:'2017-12-09T21:14:48-0700',mode:absolute,to:'2017-12-10T00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247" t="str">
        <f>IF(AA147&lt;VLOOKUP(AG147,Variables!$AC$3:$AD$8,2,FALSE),"Y","N")</f>
        <v>N</v>
      </c>
      <c r="X147" s="247">
        <f t="shared" si="51"/>
        <v>1</v>
      </c>
      <c r="Y147" s="247">
        <f t="shared" si="52"/>
        <v>5.4800000000000001E-2</v>
      </c>
      <c r="Z147" s="247">
        <f t="shared" si="53"/>
        <v>23.3186</v>
      </c>
      <c r="AA147" s="247">
        <f t="shared" si="54"/>
        <v>23.2638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55"/>
        <v>235</v>
      </c>
      <c r="AE147" s="235" t="str">
        <f t="shared" si="5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47" s="234" t="str">
        <f t="shared" si="57"/>
        <v>"C:\Program Files (x86)\AstroGrep\AstroGrep.exe" /e /r /s /spath="%USERPROFILE%\AppData\Local\Temp\OnboardLogs" /stypes="app*4008*20171210*" /stext=" 06:.+((SYSTEM_STATE.+slice.+state.+changed )|(ment ac)|(multiple cpu faults)|(system.+state.+changed )|(\[timeout)|(PRM\|1\|D)|(kpr)|(kdp)|(train st.+moving)|(\|lc)|(penalty))"</v>
      </c>
      <c r="AG147" s="244" t="str">
        <f t="shared" si="58"/>
        <v>EC</v>
      </c>
      <c r="AH147" s="236" t="str">
        <f t="shared" si="59"/>
        <v>"%USERPROFILE%\Documents\GitHub\eaglep3\Utilities\RefineRTDCRunTimes.py" --tripid 235-09 --locoid 4008 --swversion DE.1.0.9.0 --startMP 204:548 --initTime 2017-12-09T22:14:48 --startdatetime 2017-12-09T22:30:18 --delay 83 --endMP 204:233186 --enddatetime 2017-12-09T23:07:53 --enforcementcount 0 &gt;&gt;%USERPROFILE%\Documents\GitHub\eaglep3-reporting\EC\2017-12-09-refined-times.txt</v>
      </c>
      <c r="AI147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{"issue":{"subject":"","project_id":79,"tracker_id":40,"status_id":1,"priority_id":2,"assigned_to_id":338,"start_date":"2017-12-09","description":"","custom_fields":[{"id":1,"name":"Subdivision","value":"EC"},{"id":4,"name":"Milepost","value":"23.3186"},{"id":17,"name":"Train ID","value":"235-09"},{"id":16,"name":"Locomotive ID","value":"4008"},{"id":130,"name":"Impact","value":""},{"id":150,"name":"Time of Event (Mountain Time)","value":"23:07:53"},{"id":151,"name":"Denver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61"/>
        <v>start /low /b %USERPROFILE%\Documents\GitHub\eaglep3\Utilities\DownloadLogsFromS3.py --loco 4008 --day 2017-12-09</v>
      </c>
      <c r="AN147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63"/>
        <v>https://d0f6bd738d7f1b3e5a7ca70fe4ff75f0.us-east-1.aws.found.io/app/kibana#/discover/Steve-Slow-Train-Analysis-(2080s-and-2083s)?_g=(refreshInterval:(display:Off,pause:!f,section:0,value:0),time:(from:'2017-12-09T21:14:48-0700',mode:absolute,to:'2017-12-10T00:07:53-0700'))&amp;_a=(columns:!('Message%20ID',Summary),filters:!(),index:'emp_*',interval:auto,query:(query_string:(analyze_wildcard:!t,query:'%22rtdc.l.rtdc.4008%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25">
      <c r="A148" s="229" t="s">
        <v>881</v>
      </c>
      <c r="B148" s="225">
        <v>4007</v>
      </c>
      <c r="C148" s="227" t="s">
        <v>192</v>
      </c>
      <c r="D148" s="227" t="s">
        <v>1020</v>
      </c>
      <c r="E148" s="226">
        <v>43078.973668981482</v>
      </c>
      <c r="F148" s="226">
        <v>43078.977280092593</v>
      </c>
      <c r="G148" s="225">
        <v>58</v>
      </c>
      <c r="H148" s="227" t="s">
        <v>918</v>
      </c>
      <c r="I148" s="226">
        <v>43079.004664351851</v>
      </c>
      <c r="J148" s="225">
        <v>0</v>
      </c>
      <c r="K148" s="237" t="str">
        <f t="shared" si="46"/>
        <v>4007/4008</v>
      </c>
      <c r="L148" s="245" t="str">
        <f>VLOOKUP(A148,'Trips&amp;Operators'!$C$1:$G$99911,5,FALSE)</f>
        <v>NICHOLSON WESLEY</v>
      </c>
      <c r="M148" s="224">
        <f t="shared" si="47"/>
        <v>2.7384259257814847E-2</v>
      </c>
      <c r="N148" s="225">
        <f t="shared" si="45"/>
        <v>39.43333333125338</v>
      </c>
      <c r="O148" s="225"/>
      <c r="P148" s="225"/>
      <c r="Q148" s="228"/>
      <c r="R148" s="242"/>
      <c r="S148" s="249">
        <f t="shared" si="48"/>
        <v>1</v>
      </c>
      <c r="T148" s="242" t="str">
        <f t="shared" si="49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50"/>
        <v>https://d0f6bd738d7f1b3e5a7ca70fe4ff75f0.us-east-1.aws.found.io/app/kibana#/discover/Steve-Slow-Train-Analysis-(2080s-and-2083s)?_g=(refreshInterval:(display:Off,pause:!f,section:0,value:0),time:(from:'2017-12-09T22:22:05-0700',mode:absolute,to:'2017-12-10T01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247" t="str">
        <f>IF(AA148&lt;VLOOKUP(AG148,Variables!$AC$3:$AD$8,2,FALSE),"Y","N")</f>
        <v>N</v>
      </c>
      <c r="X148" s="247">
        <f t="shared" si="51"/>
        <v>1</v>
      </c>
      <c r="Y148" s="247">
        <f t="shared" si="52"/>
        <v>23.286100000000001</v>
      </c>
      <c r="Z148" s="247">
        <f t="shared" si="53"/>
        <v>2.3400000000000001E-2</v>
      </c>
      <c r="AA148" s="247">
        <f t="shared" si="54"/>
        <v>23.262700000000002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55"/>
        <v>236</v>
      </c>
      <c r="AE148" s="235" t="str">
        <f t="shared" si="5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48" s="234" t="str">
        <f t="shared" si="57"/>
        <v>"C:\Program Files (x86)\AstroGrep\AstroGrep.exe" /e /r /s /spath="%USERPROFILE%\AppData\Local\Temp\OnboardLogs" /stypes="app*4007*20171210*" /stext=" 07:.+((SYSTEM_STATE.+slice.+state.+changed )|(ment ac)|(multiple cpu faults)|(system.+state.+changed )|(\[timeout)|(PRM\|1\|D)|(kpr)|(kdp)|(train st.+moving)|(\|lc)|(penalty))"</v>
      </c>
      <c r="AG148" s="244" t="str">
        <f t="shared" si="58"/>
        <v>EC</v>
      </c>
      <c r="AH148" s="236" t="str">
        <f t="shared" si="59"/>
        <v>"%USERPROFILE%\Documents\GitHub\eaglep3\Utilities\RefineRTDCRunTimes.py" --tripid 236-09 --locoid 4007 --swversion DE.1.0.9.0 --startMP 204:232861 --initTime 2017-12-09T23:22:05 --startdatetime 2017-12-09T23:27:17 --delay 58 --endMP 204:234 --enddatetime 2017-12-10T00:06:43 --enforcementcount 0 &gt;&gt;%USERPROFILE%\Documents\GitHub\eaglep3-reporting\EC\2017-12-09-refined-times.txt</v>
      </c>
      <c r="AI148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{"issue":{"subject":"","project_id":79,"tracker_id":40,"status_id":1,"priority_id":2,"assigned_to_id":338,"start_date":"2017-12-10","description":"","custom_fields":[{"id":1,"name":"Subdivision","value":"EC"},{"id":4,"name":"Milepost","value":"0.0234"},{"id":17,"name":"Train ID","value":"236-09"},{"id":16,"name":"Locomotive ID","value":"4007"},{"id":130,"name":"Impact","value":""},{"id":150,"name":"Time of Event (Mountain Time)","value":"00:06:43"},{"id":151,"name":"Denver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61"/>
        <v>start /low /b %USERPROFILE%\Documents\GitHub\eaglep3\Utilities\DownloadLogsFromS3.py --loco 4007 --day 2017-12-09</v>
      </c>
      <c r="AN148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07:06:43"},{"id":29,"name":"Sharepoint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63"/>
        <v>https://d0f6bd738d7f1b3e5a7ca70fe4ff75f0.us-east-1.aws.found.io/app/kibana#/discover/Steve-Slow-Train-Analysis-(2080s-and-2083s)?_g=(refreshInterval:(display:Off,pause:!f,section:0,value:0),time:(from:'2017-12-09T22:22:05-0700',mode:absolute,to:'2017-12-10T01:06:43-0700'))&amp;_a=(columns:!('Message%20ID',Summary),filters:!(),index:'emp_*',interval:auto,query:(query_string:(analyze_wildcard:!t,query:'%22rtdc.l.rtdc.4007%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878</v>
      </c>
      <c r="B149" s="225">
        <v>4006</v>
      </c>
      <c r="C149" s="227" t="s">
        <v>192</v>
      </c>
      <c r="D149" s="227" t="s">
        <v>1016</v>
      </c>
      <c r="E149" s="226">
        <v>43078.94871527778</v>
      </c>
      <c r="F149" s="226">
        <v>43078.958564814813</v>
      </c>
      <c r="G149" s="225">
        <v>49</v>
      </c>
      <c r="H149" s="227" t="s">
        <v>946</v>
      </c>
      <c r="I149" s="226">
        <v>43078.983368055553</v>
      </c>
      <c r="J149" s="225">
        <v>0</v>
      </c>
      <c r="K149" s="237" t="str">
        <f t="shared" si="46"/>
        <v>4005/4006</v>
      </c>
      <c r="L149" s="245" t="str">
        <f>VLOOKUP(A149,'Trips&amp;Operators'!$C$1:$G$99911,5,FALSE)</f>
        <v>ANDERS STEVEN</v>
      </c>
      <c r="M149" s="224">
        <f t="shared" si="47"/>
        <v>2.4803240739856847E-2</v>
      </c>
      <c r="N149" s="225">
        <f t="shared" si="45"/>
        <v>35.716666665393859</v>
      </c>
      <c r="O149" s="225"/>
      <c r="P149" s="225"/>
      <c r="Q149" s="228"/>
      <c r="R149" s="242"/>
      <c r="S149" s="249">
        <f t="shared" si="48"/>
        <v>1</v>
      </c>
      <c r="T149" s="242" t="str">
        <f t="shared" si="49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50"/>
        <v>https://d0f6bd738d7f1b3e5a7ca70fe4ff75f0.us-east-1.aws.found.io/app/kibana#/discover/Steve-Slow-Train-Analysis-(2080s-and-2083s)?_g=(refreshInterval:(display:Off,pause:!f,section:0,value:0),time:(from:'2017-12-09T21:46:09-0700',mode:absolute,to:'2017-12-10T00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247" t="str">
        <f>IF(AA149&lt;VLOOKUP(AG149,Variables!$AC$3:$AD$8,2,FALSE),"Y","N")</f>
        <v>N</v>
      </c>
      <c r="X149" s="247">
        <f t="shared" si="51"/>
        <v>1</v>
      </c>
      <c r="Y149" s="247">
        <f t="shared" si="52"/>
        <v>5.3999999999999999E-2</v>
      </c>
      <c r="Z149" s="247">
        <f t="shared" si="53"/>
        <v>23.326599999999999</v>
      </c>
      <c r="AA149" s="247">
        <f t="shared" si="54"/>
        <v>23.272600000000001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55"/>
        <v>237</v>
      </c>
      <c r="AE149" s="235" t="str">
        <f t="shared" si="56"/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149" s="234" t="str">
        <f t="shared" si="57"/>
        <v>"C:\Program Files (x86)\AstroGrep\AstroGrep.exe" /e /r /s /spath="%USERPROFILE%\AppData\Local\Temp\OnboardLogs" /stypes="app*4006*20171210*" /stext=" 06:.+((SYSTEM_STATE.+slice.+state.+changed )|(ment ac)|(multiple cpu faults)|(system.+state.+changed )|(\[timeout)|(PRM\|1\|D)|(kpr)|(kdp)|(train st.+moving)|(\|lc)|(penalty))"</v>
      </c>
      <c r="AG149" s="244" t="str">
        <f t="shared" si="58"/>
        <v>EC</v>
      </c>
      <c r="AH149" s="236" t="str">
        <f t="shared" si="59"/>
        <v>"%USERPROFILE%\Documents\GitHub\eaglep3\Utilities\RefineRTDCRunTimes.py" --tripid 237-09 --locoid 4006 --swversion DE.1.0.9.0 --startMP 204:540 --initTime 2017-12-09T22:46:09 --startdatetime 2017-12-09T23:00:20 --delay 49 --endMP 204:233266 --enddatetime 2017-12-09T23:36:03 --enforcementcount 0 &gt;&gt;%USERPROFILE%\Documents\GitHub\eaglep3-reporting\EC\2017-12-09-refined-times.txt</v>
      </c>
      <c r="AI149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{"issue":{"subject":"","project_id":79,"tracker_id":40,"status_id":1,"priority_id":2,"assigned_to_id":338,"start_date":"2017-12-09","description":"","custom_fields":[{"id":1,"name":"Subdivision","value":"EC"},{"id":4,"name":"Milepost","value":"23.3266"},{"id":17,"name":"Train ID","value":"237-09"},{"id":16,"name":"Locomotive ID","value":"4006"},{"id":130,"name":"Impact","value":""},{"id":150,"name":"Time of Event (Mountain Time)","value":"23:36:03"},{"id":151,"name":"Denver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61"/>
        <v>start /low /b %USERPROFILE%\Documents\GitHub\eaglep3\Utilities\DownloadLogsFromS3.py --loco 4006 --day 2017-12-09</v>
      </c>
      <c r="AN149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63"/>
        <v>https://d0f6bd738d7f1b3e5a7ca70fe4ff75f0.us-east-1.aws.found.io/app/kibana#/discover/Steve-Slow-Train-Analysis-(2080s-and-2083s)?_g=(refreshInterval:(display:Off,pause:!f,section:0,value:0),time:(from:'2017-12-09T21:46:09-0700',mode:absolute,to:'2017-12-10T00:36:03-0700'))&amp;_a=(columns:!('Message%20ID',Summary),filters:!(),index:'emp_*',interval:auto,query:(query_string:(analyze_wildcard:!t,query:'%22rtdc.l.rtdc.4006%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25">
      <c r="A150" s="229" t="s">
        <v>884</v>
      </c>
      <c r="B150" s="225">
        <v>4005</v>
      </c>
      <c r="C150" s="227" t="s">
        <v>192</v>
      </c>
      <c r="D150" s="227" t="s">
        <v>1021</v>
      </c>
      <c r="E150" s="226">
        <v>43078.995625000003</v>
      </c>
      <c r="F150" s="226">
        <v>43078.998136574075</v>
      </c>
      <c r="G150" s="225">
        <v>56</v>
      </c>
      <c r="H150" s="227" t="s">
        <v>905</v>
      </c>
      <c r="I150" s="226">
        <v>43079.024780092594</v>
      </c>
      <c r="J150" s="225">
        <v>0</v>
      </c>
      <c r="K150" s="237" t="str">
        <f t="shared" si="46"/>
        <v>4005/4006</v>
      </c>
      <c r="L150" s="245" t="str">
        <f>VLOOKUP(A150,'Trips&amp;Operators'!$C$1:$G$99911,5,FALSE)</f>
        <v>ANDERS STEVEN</v>
      </c>
      <c r="M150" s="224">
        <f t="shared" si="47"/>
        <v>2.6643518518540077E-2</v>
      </c>
      <c r="N150" s="225">
        <f t="shared" si="45"/>
        <v>38.366666666697711</v>
      </c>
      <c r="O150" s="225"/>
      <c r="P150" s="225"/>
      <c r="Q150" s="228"/>
      <c r="R150" s="242"/>
      <c r="S150" s="249">
        <f t="shared" si="48"/>
        <v>1</v>
      </c>
      <c r="T150" s="242" t="str">
        <f t="shared" si="49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50"/>
        <v>https://d0f6bd738d7f1b3e5a7ca70fe4ff75f0.us-east-1.aws.found.io/app/kibana#/discover/Steve-Slow-Train-Analysis-(2080s-and-2083s)?_g=(refreshInterval:(display:Off,pause:!f,section:0,value:0),time:(from:'2017-12-09T22:53:42-0700',mode:absolute,to:'2017-12-10T01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247" t="str">
        <f>IF(AA150&lt;VLOOKUP(AG150,Variables!$AC$3:$AD$8,2,FALSE),"Y","N")</f>
        <v>N</v>
      </c>
      <c r="X150" s="247">
        <f t="shared" si="51"/>
        <v>1</v>
      </c>
      <c r="Y150" s="247">
        <f t="shared" si="52"/>
        <v>23.296500000000002</v>
      </c>
      <c r="Z150" s="247">
        <f t="shared" si="53"/>
        <v>2.47E-2</v>
      </c>
      <c r="AA150" s="247">
        <f t="shared" si="54"/>
        <v>23.271800000000002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55"/>
        <v>238</v>
      </c>
      <c r="AE150" s="235" t="str">
        <f t="shared" si="5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150" s="234" t="str">
        <f t="shared" si="57"/>
        <v>"C:\Program Files (x86)\AstroGrep\AstroGrep.exe" /e /r /s /spath="%USERPROFILE%\AppData\Local\Temp\OnboardLogs" /stypes="app*4005*20171210*" /stext=" 07:.+((SYSTEM_STATE.+slice.+state.+changed )|(ment ac)|(multiple cpu faults)|(system.+state.+changed )|(\[timeout)|(PRM\|1\|D)|(kpr)|(kdp)|(train st.+moving)|(\|lc)|(penalty))"</v>
      </c>
      <c r="AG150" s="244" t="str">
        <f t="shared" si="58"/>
        <v>EC</v>
      </c>
      <c r="AH150" s="236" t="str">
        <f t="shared" si="59"/>
        <v>"%USERPROFILE%\Documents\GitHub\eaglep3\Utilities\RefineRTDCRunTimes.py" --tripid 238-09 --locoid 4005 --swversion DE.1.0.9.0 --startMP 204:232965 --initTime 2017-12-09T23:53:42 --startdatetime 2017-12-09T23:57:19 --delay 56 --endMP 204:247 --enddatetime 2017-12-10T00:35:41 --enforcementcount 0 &gt;&gt;%USERPROFILE%\Documents\GitHub\eaglep3-reporting\EC\2017-12-09-refined-times.txt</v>
      </c>
      <c r="AI150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{"issue":{"subject":"","project_id":79,"tracker_id":40,"status_id":1,"priority_id":2,"assigned_to_id":338,"start_date":"2017-12-10","description":"","custom_fields":[{"id":1,"name":"Subdivision","value":"EC"},{"id":4,"name":"Milepost","value":"0.0247"},{"id":17,"name":"Train ID","value":"238-09"},{"id":16,"name":"Locomotive ID","value":"4005"},{"id":130,"name":"Impact","value":""},{"id":150,"name":"Time of Event (Mountain Time)","value":"00:35:41"},{"id":151,"name":"Denver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61"/>
        <v>start /low /b %USERPROFILE%\Documents\GitHub\eaglep3\Utilities\DownloadLogsFromS3.py --loco 4005 --day 2017-12-09</v>
      </c>
      <c r="AN150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63"/>
        <v>https://d0f6bd738d7f1b3e5a7ca70fe4ff75f0.us-east-1.aws.found.io/app/kibana#/discover/Steve-Slow-Train-Analysis-(2080s-and-2083s)?_g=(refreshInterval:(display:Off,pause:!f,section:0,value:0),time:(from:'2017-12-09T22:53:42-0700',mode:absolute,to:'2017-12-10T01:35:41-0700'))&amp;_a=(columns:!('Message%20ID',Summary),filters:!(),index:'emp_*',interval:auto,query:(query_string:(analyze_wildcard:!t,query:'%22rtdc.l.rtdc.4005%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29" t="s">
        <v>880</v>
      </c>
      <c r="B151" s="225">
        <v>4014</v>
      </c>
      <c r="C151" s="227" t="s">
        <v>192</v>
      </c>
      <c r="D151" s="227" t="s">
        <v>469</v>
      </c>
      <c r="E151" s="226">
        <v>43078.963877314818</v>
      </c>
      <c r="F151" s="226">
        <v>43078.979502314818</v>
      </c>
      <c r="G151" s="225">
        <v>51</v>
      </c>
      <c r="H151" s="227" t="s">
        <v>1019</v>
      </c>
      <c r="I151" s="226">
        <v>43079.003946759258</v>
      </c>
      <c r="J151" s="225">
        <v>0</v>
      </c>
      <c r="K151" s="237" t="str">
        <f t="shared" si="46"/>
        <v>4013/4014</v>
      </c>
      <c r="L151" s="245" t="str">
        <f>VLOOKUP(A151,'Trips&amp;Operators'!$C$1:$G$99911,5,FALSE)</f>
        <v>FORTUNATO FRANK</v>
      </c>
      <c r="M151" s="224">
        <f t="shared" si="47"/>
        <v>2.4444444439723156E-2</v>
      </c>
      <c r="N151" s="225">
        <f t="shared" si="45"/>
        <v>35.199999993201345</v>
      </c>
      <c r="O151" s="225"/>
      <c r="P151" s="225"/>
      <c r="Q151" s="228"/>
      <c r="R151" s="242"/>
      <c r="S151" s="249">
        <f t="shared" si="48"/>
        <v>1</v>
      </c>
      <c r="T151" s="242" t="str">
        <f t="shared" si="49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50"/>
        <v>https://d0f6bd738d7f1b3e5a7ca70fe4ff75f0.us-east-1.aws.found.io/app/kibana#/discover/Steve-Slow-Train-Analysis-(2080s-and-2083s)?_g=(refreshInterval:(display:Off,pause:!f,section:0,value:0),time:(from:'2017-12-09T22:07:59-0700',mode:absolute,to:'2017-12-10T01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1" s="247" t="str">
        <f>IF(AA151&lt;VLOOKUP(AG151,Variables!$AC$3:$AD$8,2,FALSE),"Y","N")</f>
        <v>N</v>
      </c>
      <c r="X151" s="247">
        <f t="shared" si="51"/>
        <v>1</v>
      </c>
      <c r="Y151" s="247">
        <f t="shared" si="52"/>
        <v>5.2400000000000002E-2</v>
      </c>
      <c r="Z151" s="247">
        <f t="shared" si="53"/>
        <v>23.3186</v>
      </c>
      <c r="AA151" s="247">
        <f t="shared" si="54"/>
        <v>23.266200000000001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55"/>
        <v>239</v>
      </c>
      <c r="AE151" s="235" t="str">
        <f t="shared" si="5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51" s="234" t="str">
        <f t="shared" si="57"/>
        <v>"C:\Program Files (x86)\AstroGrep\AstroGrep.exe" /e /r /s /spath="%USERPROFILE%\AppData\Local\Temp\OnboardLogs" /stypes="app*4014*20171210*" /stext=" 07:.+((SYSTEM_STATE.+slice.+state.+changed )|(ment ac)|(multiple cpu faults)|(system.+state.+changed )|(\[timeout)|(PRM\|1\|D)|(kpr)|(kdp)|(train st.+moving)|(\|lc)|(penalty))"</v>
      </c>
      <c r="AG151" s="244" t="str">
        <f t="shared" si="58"/>
        <v>EC</v>
      </c>
      <c r="AH151" s="236" t="str">
        <f t="shared" si="59"/>
        <v>"%USERPROFILE%\Documents\GitHub\eaglep3\Utilities\RefineRTDCRunTimes.py" --tripid 239-09 --locoid 4014 --swversion DE.1.0.9.0 --startMP 204:524 --initTime 2017-12-09T23:07:59 --startdatetime 2017-12-09T23:30:29 --delay 51 --endMP 204:233186 --enddatetime 2017-12-10T00:05:41 --enforcementcount 0 &gt;&gt;%USERPROFILE%\Documents\GitHub\eaglep3-reporting\EC\2017-12-09-refined-times.txt</v>
      </c>
      <c r="AI151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{"issue":{"subject":"","project_id":79,"tracker_id":40,"status_id":1,"priority_id":2,"assigned_to_id":338,"start_date":"2017-12-10","description":"","custom_fields":[{"id":1,"name":"Subdivision","value":"EC"},{"id":4,"name":"Milepost","value":"23.3186"},{"id":17,"name":"Train ID","value":"239-09"},{"id":16,"name":"Locomotive ID","value":"4014"},{"id":130,"name":"Impact","value":""},{"id":150,"name":"Time of Event (Mountain Time)","value":"00:05:41"},{"id":151,"name":"Denver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61"/>
        <v>start /low /b %USERPROFILE%\Documents\GitHub\eaglep3\Utilities\DownloadLogsFromS3.py --loco 4014 --day 2017-12-09</v>
      </c>
      <c r="AN151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07:05:41"},{"id":29,"name":"Sharepoint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63"/>
        <v>https://d0f6bd738d7f1b3e5a7ca70fe4ff75f0.us-east-1.aws.found.io/app/kibana#/discover/Steve-Slow-Train-Analysis-(2080s-and-2083s)?_g=(refreshInterval:(display:Off,pause:!f,section:0,value:0),time:(from:'2017-12-09T22:07:59-0700',mode:absolute,to:'2017-12-10T01:05:41-0700'))&amp;_a=(columns:!('Message%20ID',Summary),filters:!(),index:'emp_*',interval:auto,query:(query_string:(analyze_wildcard:!t,query:'%22rtdc.l.rtdc.4014%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9" t="s">
        <v>697</v>
      </c>
      <c r="B152" s="225">
        <v>4013</v>
      </c>
      <c r="C152" s="227" t="s">
        <v>192</v>
      </c>
      <c r="D152" s="227" t="s">
        <v>1022</v>
      </c>
      <c r="E152" s="226">
        <v>43079.005358796298</v>
      </c>
      <c r="F152" s="226">
        <v>43079.018912037034</v>
      </c>
      <c r="G152" s="225">
        <v>47</v>
      </c>
      <c r="H152" s="227" t="s">
        <v>632</v>
      </c>
      <c r="I152" s="226">
        <v>43079.045682870368</v>
      </c>
      <c r="J152" s="225">
        <v>0</v>
      </c>
      <c r="K152" s="237" t="str">
        <f t="shared" si="46"/>
        <v>4013/4014</v>
      </c>
      <c r="L152" s="245" t="str">
        <f>VLOOKUP(A152,'Trips&amp;Operators'!$C$1:$G$99911,5,FALSE)</f>
        <v>FORTUNATO FRANK</v>
      </c>
      <c r="M152" s="224">
        <f t="shared" si="47"/>
        <v>2.6770833334012423E-2</v>
      </c>
      <c r="N152" s="225">
        <f t="shared" si="45"/>
        <v>38.550000000977889</v>
      </c>
      <c r="O152" s="225"/>
      <c r="P152" s="225"/>
      <c r="Q152" s="228"/>
      <c r="R152" s="242"/>
      <c r="S152" s="249">
        <f t="shared" si="48"/>
        <v>1</v>
      </c>
      <c r="T152" s="242" t="str">
        <f t="shared" si="49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50"/>
        <v>https://d0f6bd738d7f1b3e5a7ca70fe4ff75f0.us-east-1.aws.found.io/app/kibana#/discover/Steve-Slow-Train-Analysis-(2080s-and-2083s)?_g=(refreshInterval:(display:Off,pause:!f,section:0,value:0),time:(from:'2017-12-09T23:07:43-0700',mode:absolute,to:'2017-12-10T02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2" s="247" t="str">
        <f>IF(AA152&lt;VLOOKUP(AG152,Variables!$AC$3:$AD$8,2,FALSE),"Y","N")</f>
        <v>N</v>
      </c>
      <c r="X152" s="247">
        <f t="shared" si="51"/>
        <v>1</v>
      </c>
      <c r="Y152" s="247">
        <f t="shared" si="52"/>
        <v>23.2867</v>
      </c>
      <c r="Z152" s="247">
        <f t="shared" si="53"/>
        <v>2.2700000000000001E-2</v>
      </c>
      <c r="AA152" s="247">
        <f t="shared" si="54"/>
        <v>23.263999999999999</v>
      </c>
      <c r="AB152" s="233" t="str">
        <f>VLOOKUP(A152,Enforcements!$C$7:$K$9,8,0)</f>
        <v>Bulletin (2)</v>
      </c>
      <c r="AC152" s="232" t="str">
        <f>VLOOKUP(A152,Enforcements!$C$7:$E$9,3,0)</f>
        <v>GRADE CROSSING</v>
      </c>
      <c r="AD152" s="243">
        <f t="shared" si="55"/>
        <v>240</v>
      </c>
      <c r="AE152" s="235" t="str">
        <f t="shared" si="56"/>
        <v>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 &amp; 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</v>
      </c>
      <c r="AF152" s="234" t="str">
        <f t="shared" si="57"/>
        <v>"C:\Program Files (x86)\AstroGrep\AstroGrep.exe" /e /r /s /spath="%USERPROFILE%\AppData\Local\Temp\OnboardLogs" /stypes="app*4013*20171210*" /stext=" 08:.+((SYSTEM_STATE.+slice.+state.+changed )|(ment ac)|(multiple cpu faults)|(system.+state.+changed )|(\[timeout)|(PRM\|1\|D)|(kpr)|(kdp)|(train st.+moving)|(\|lc)|(penalty))"</v>
      </c>
      <c r="AG152" s="244" t="str">
        <f t="shared" si="58"/>
        <v>EC</v>
      </c>
      <c r="AH152" s="236" t="str">
        <f t="shared" si="59"/>
        <v>"%USERPROFILE%\Documents\GitHub\eaglep3\Utilities\RefineRTDCRunTimes.py" --tripid 240-09 --locoid 4013 --swversion DE.1.0.9.0 --startMP 204:232867 --initTime 2017-12-10T00:07:43 --startdatetime 2017-12-10T00:27:14 --delay 47 --endMP 204:227 --enddatetime 2017-12-10T01:05:47 --enforcementcount 0 &gt;&gt;%USERPROFILE%\Documents\GitHub\eaglep3-reporting\EC\2017-12-09-refined-times.txt</v>
      </c>
      <c r="AI152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{"issue":{"subject":"","project_id":79,"tracker_id":40,"status_id":1,"priority_id":2,"assigned_to_id":338,"start_date":"2017-12-10","description":"","custom_fields":[{"id":1,"name":"Subdivision","value":"EC"},{"id":4,"name":"Milepost","value":"0.0227"},{"id":17,"name":"Train ID","value":"240-09"},{"id":16,"name":"Locomotive ID","value":"4013"},{"id":130,"name":"Impact","value":""},{"id":150,"name":"Time of Event (Mountain Time)","value":"01:05:47"},{"id":151,"name":"Denver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61"/>
        <v>start /low /b %USERPROFILE%\Documents\GitHub\eaglep3\Utilities\DownloadLogsFromS3.py --loco 4013 --day 2017-12-10</v>
      </c>
      <c r="AN152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63"/>
        <v>https://d0f6bd738d7f1b3e5a7ca70fe4ff75f0.us-east-1.aws.found.io/app/kibana#/discover/Steve-Slow-Train-Analysis-(2080s-and-2083s)?_g=(refreshInterval:(display:Off,pause:!f,section:0,value:0),time:(from:'2017-12-09T23:07:43-0700',mode:absolute,to:'2017-12-10T02:05:47-0700'))&amp;_a=(columns:!('Message%20ID',Summary),filters:!(),index:'emp_*',interval:auto,query:(query_string:(analyze_wildcard:!t,query:'%22rtdc.l.rtdc.4013%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29" t="s">
        <v>883</v>
      </c>
      <c r="B153" s="225">
        <v>4028</v>
      </c>
      <c r="C153" s="227" t="s">
        <v>192</v>
      </c>
      <c r="D153" s="227" t="s">
        <v>1023</v>
      </c>
      <c r="E153" s="226">
        <v>43078.985300925924</v>
      </c>
      <c r="F153" s="226">
        <v>43079.000150462962</v>
      </c>
      <c r="G153" s="225">
        <v>55</v>
      </c>
      <c r="H153" s="227" t="s">
        <v>1024</v>
      </c>
      <c r="I153" s="226">
        <v>43079.023935185185</v>
      </c>
      <c r="J153" s="225">
        <v>0</v>
      </c>
      <c r="K153" s="237" t="str">
        <f t="shared" si="46"/>
        <v>4027/4028</v>
      </c>
      <c r="L153" s="245" t="str">
        <f>VLOOKUP(A153,'Trips&amp;Operators'!$C$1:$G$99911,5,FALSE)</f>
        <v>ELBAUM MIKE</v>
      </c>
      <c r="M153" s="224">
        <f t="shared" si="47"/>
        <v>2.3784722223354038E-2</v>
      </c>
      <c r="N153" s="225">
        <f t="shared" si="45"/>
        <v>34.250000001629815</v>
      </c>
      <c r="O153" s="225"/>
      <c r="P153" s="225"/>
      <c r="Q153" s="228"/>
      <c r="R153" s="242"/>
      <c r="S153" s="249">
        <f t="shared" si="48"/>
        <v>1</v>
      </c>
      <c r="T153" s="242" t="str">
        <f t="shared" si="49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50"/>
        <v>https://d0f6bd738d7f1b3e5a7ca70fe4ff75f0.us-east-1.aws.found.io/app/kibana#/discover/Steve-Slow-Train-Analysis-(2080s-and-2083s)?_g=(refreshInterval:(display:Off,pause:!f,section:0,value:0),time:(from:'2017-12-09T22:38:50-0700',mode:absolute,to:'2017-12-10T01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247" t="str">
        <f>IF(AA153&lt;VLOOKUP(AG153,Variables!$AC$3:$AD$8,2,FALSE),"Y","N")</f>
        <v>N</v>
      </c>
      <c r="X153" s="247">
        <f t="shared" si="51"/>
        <v>1</v>
      </c>
      <c r="Y153" s="247">
        <f t="shared" si="52"/>
        <v>5.7700000000000001E-2</v>
      </c>
      <c r="Z153" s="247">
        <f t="shared" si="53"/>
        <v>23.330300000000001</v>
      </c>
      <c r="AA153" s="247">
        <f t="shared" si="54"/>
        <v>23.272600000000001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55"/>
        <v>241</v>
      </c>
      <c r="AE153" s="235" t="str">
        <f t="shared" si="56"/>
        <v>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 &amp; aws s3 cp s3://rtdc.mdm.uploadarchive.raw/RTDC4028/ "%USERPROFILE%\AppData\Local\Temp\OnboardLogs"\RTDC4028\2017-12-11 --exclude "*" --recursive --include "*20171211*" &amp; "%USERPROFILE%\Documents\GitHub\mrs-test-scripts\Headless Mode &amp; Sideloading\WalkAndUnGZ.bat" "%USERPROFILE%\AppData\Local\Temp\OnboardLogs"\RTDC4028\2017-12-11</v>
      </c>
      <c r="AF153" s="234" t="str">
        <f t="shared" si="57"/>
        <v>"C:\Program Files (x86)\AstroGrep\AstroGrep.exe" /e /r /s /spath="%USERPROFILE%\AppData\Local\Temp\OnboardLogs" /stypes="app*4028*20171210*" /stext=" 07:.+((SYSTEM_STATE.+slice.+state.+changed )|(ment ac)|(multiple cpu faults)|(system.+state.+changed )|(\[timeout)|(PRM\|1\|D)|(kpr)|(kdp)|(train st.+moving)|(\|lc)|(penalty))"</v>
      </c>
      <c r="AG153" s="244" t="str">
        <f t="shared" si="58"/>
        <v>EC</v>
      </c>
      <c r="AH153" s="236" t="str">
        <f t="shared" si="59"/>
        <v>"%USERPROFILE%\Documents\GitHub\eaglep3\Utilities\RefineRTDCRunTimes.py" --tripid 241-09 --locoid 4028 --swversion DE.1.0.9.0 --startMP 204:577 --initTime 2017-12-09T23:38:50 --startdatetime 2017-12-10T00:00:13 --delay 55 --endMP 204:233303 --enddatetime 2017-12-10T00:34:28 --enforcementcount 0 &gt;&gt;%USERPROFILE%\Documents\GitHub\eaglep3-reporting\EC\2017-12-09-refined-times.txt</v>
      </c>
      <c r="AI153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{"issue":{"subject":"","project_id":79,"tracker_id":40,"status_id":1,"priority_id":2,"assigned_to_id":338,"start_date":"2017-12-10","description":"","custom_fields":[{"id":1,"name":"Subdivision","value":"EC"},{"id":4,"name":"Milepost","value":"23.3303"},{"id":17,"name":"Train ID","value":"241-09"},{"id":16,"name":"Locomotive ID","value":"4028"},{"id":130,"name":"Impact","value":""},{"id":150,"name":"Time of Event (Mountain Time)","value":"00:34:28"},{"id":151,"name":"Denver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61"/>
        <v>start /low /b %USERPROFILE%\Documents\GitHub\eaglep3\Utilities\DownloadLogsFromS3.py --loco 4028 --day 2017-12-10</v>
      </c>
      <c r="AN153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07:34:28"},{"id":29,"name":"Sharepoint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63"/>
        <v>https://d0f6bd738d7f1b3e5a7ca70fe4ff75f0.us-east-1.aws.found.io/app/kibana#/discover/Steve-Slow-Train-Analysis-(2080s-and-2083s)?_g=(refreshInterval:(display:Off,pause:!f,section:0,value:0),time:(from:'2017-12-09T22:38:50-0700',mode:absolute,to:'2017-12-10T01:34:28-0700'))&amp;_a=(columns:!('Message%20ID',Summary),filters:!(),index:'emp_*',interval:auto,query:(query_string:(analyze_wildcard:!t,query:'%22rtdc.l.rtdc.4028%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25">
      <c r="A154" s="229" t="s">
        <v>886</v>
      </c>
      <c r="B154" s="225">
        <v>4027</v>
      </c>
      <c r="C154" s="227" t="s">
        <v>192</v>
      </c>
      <c r="D154" s="227" t="s">
        <v>1025</v>
      </c>
      <c r="E154" s="226">
        <v>43079.025706018518</v>
      </c>
      <c r="F154" s="226">
        <v>43079.03974537037</v>
      </c>
      <c r="G154" s="225">
        <v>53</v>
      </c>
      <c r="H154" s="227" t="s">
        <v>666</v>
      </c>
      <c r="I154" s="226">
        <v>43079.064525462964</v>
      </c>
      <c r="J154" s="225">
        <v>0</v>
      </c>
      <c r="K154" s="237" t="str">
        <f t="shared" si="46"/>
        <v>4027/4028</v>
      </c>
      <c r="L154" s="245" t="str">
        <f>VLOOKUP(A154,'Trips&amp;Operators'!$C$1:$G$99911,5,FALSE)</f>
        <v>ELBAUM MIKE</v>
      </c>
      <c r="M154" s="224">
        <f t="shared" si="47"/>
        <v>2.4780092593573499E-2</v>
      </c>
      <c r="N154" s="225">
        <f t="shared" si="45"/>
        <v>35.683333334745839</v>
      </c>
      <c r="O154" s="225"/>
      <c r="P154" s="225"/>
      <c r="Q154" s="228"/>
      <c r="R154" s="242"/>
      <c r="S154" s="249">
        <f t="shared" si="48"/>
        <v>1</v>
      </c>
      <c r="T154" s="242" t="str">
        <f t="shared" si="49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50"/>
        <v>https://d0f6bd738d7f1b3e5a7ca70fe4ff75f0.us-east-1.aws.found.io/app/kibana#/discover/Steve-Slow-Train-Analysis-(2080s-and-2083s)?_g=(refreshInterval:(display:Off,pause:!f,section:0,value:0),time:(from:'2017-12-09T23:37:01-0700',mode:absolute,to:'2017-12-10T02:32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247" t="str">
        <f>IF(AA154&lt;VLOOKUP(AG154,Variables!$AC$3:$AD$8,2,FALSE),"Y","N")</f>
        <v>N</v>
      </c>
      <c r="X154" s="247">
        <f t="shared" si="51"/>
        <v>1</v>
      </c>
      <c r="Y154" s="247">
        <f t="shared" si="52"/>
        <v>23.297499999999999</v>
      </c>
      <c r="Z154" s="247">
        <f t="shared" si="53"/>
        <v>2.5100000000000001E-2</v>
      </c>
      <c r="AA154" s="247">
        <f t="shared" si="54"/>
        <v>23.272400000000001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55"/>
        <v>242</v>
      </c>
      <c r="AE154" s="235" t="str">
        <f t="shared" si="56"/>
        <v>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 &amp; aws s3 cp s3://rtdc.mdm.uploadarchive.raw/RTDC4027/ "%USERPROFILE%\AppData\Local\Temp\OnboardLogs"\RTDC4027\2017-12-11 --exclude "*" --recursive --include "*20171211*" &amp; "%USERPROFILE%\Documents\GitHub\mrs-test-scripts\Headless Mode &amp; Sideloading\WalkAndUnGZ.bat" "%USERPROFILE%\AppData\Local\Temp\OnboardLogs"\RTDC4027\2017-12-11</v>
      </c>
      <c r="AF154" s="234" t="str">
        <f t="shared" si="57"/>
        <v>"C:\Program Files (x86)\AstroGrep\AstroGrep.exe" /e /r /s /spath="%USERPROFILE%\AppData\Local\Temp\OnboardLogs" /stypes="app*4027*20171210*" /stext=" 08:.+((SYSTEM_STATE.+slice.+state.+changed )|(ment ac)|(multiple cpu faults)|(system.+state.+changed )|(\[timeout)|(PRM\|1\|D)|(kpr)|(kdp)|(train st.+moving)|(\|lc)|(penalty))"</v>
      </c>
      <c r="AG154" s="244" t="str">
        <f t="shared" si="58"/>
        <v>EC</v>
      </c>
      <c r="AH154" s="236" t="str">
        <f t="shared" si="59"/>
        <v>"%USERPROFILE%\Documents\GitHub\eaglep3\Utilities\RefineRTDCRunTimes.py" --tripid 242-09 --locoid 4027 --swversion DE.1.0.9.0 --startMP 204:232975 --initTime 2017-12-10T00:37:01 --startdatetime 2017-12-10T00:57:14 --delay 53 --endMP 204:251 --enddatetime 2017-12-10T01:32:55 --enforcementcount 0 &gt;&gt;%USERPROFILE%\Documents\GitHub\eaglep3-reporting\EC\2017-12-09-refined-times.txt</v>
      </c>
      <c r="AI154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{"issue":{"subject":"","project_id":79,"tracker_id":40,"status_id":1,"priority_id":2,"assigned_to_id":338,"start_date":"2017-12-10","description":"","custom_fields":[{"id":1,"name":"Subdivision","value":"EC"},{"id":4,"name":"Milepost","value":"0.0251"},{"id":17,"name":"Train ID","value":"242-09"},{"id":16,"name":"Locomotive ID","value":"4027"},{"id":130,"name":"Impact","value":""},{"id":150,"name":"Time of Event (Mountain Time)","value":"01:32:55"},{"id":151,"name":"Denver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61"/>
        <v>start /low /b %USERPROFILE%\Documents\GitHub\eaglep3\Utilities\DownloadLogsFromS3.py --loco 4027 --day 2017-12-10</v>
      </c>
      <c r="AN15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08:32:55"},{"id":29,"name":"Sharepoint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63"/>
        <v>https://d0f6bd738d7f1b3e5a7ca70fe4ff75f0.us-east-1.aws.found.io/app/kibana#/discover/Steve-Slow-Train-Analysis-(2080s-and-2083s)?_g=(refreshInterval:(display:Off,pause:!f,section:0,value:0),time:(from:'2017-12-09T23:37:01-0700',mode:absolute,to:'2017-12-10T02:32:55-0700'))&amp;_a=(columns:!('Message%20ID',Summary),filters:!(),index:'emp_*',interval:auto,query:(query_string:(analyze_wildcard:!t,query:'%22rtdc.l.rtdc.4027%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885</v>
      </c>
      <c r="B155" s="225">
        <v>4008</v>
      </c>
      <c r="C155" s="227" t="s">
        <v>192</v>
      </c>
      <c r="D155" s="227" t="s">
        <v>676</v>
      </c>
      <c r="E155" s="226">
        <v>43079.011018518519</v>
      </c>
      <c r="F155" s="226">
        <v>43079.021134259259</v>
      </c>
      <c r="G155" s="225">
        <v>102</v>
      </c>
      <c r="H155" s="227" t="s">
        <v>1026</v>
      </c>
      <c r="I155" s="226">
        <v>43079.045798611114</v>
      </c>
      <c r="J155" s="225">
        <v>0</v>
      </c>
      <c r="K155" s="237" t="str">
        <f t="shared" si="46"/>
        <v>4007/4008</v>
      </c>
      <c r="L155" s="245" t="str">
        <f>VLOOKUP(A155,'Trips&amp;Operators'!$C$1:$G$99911,5,FALSE)</f>
        <v>NICHOLSON WESLEY</v>
      </c>
      <c r="M155" s="224">
        <f t="shared" si="47"/>
        <v>2.4664351854880806E-2</v>
      </c>
      <c r="N155" s="225">
        <f t="shared" si="45"/>
        <v>35.516666671028361</v>
      </c>
      <c r="O155" s="225"/>
      <c r="P155" s="225"/>
      <c r="Q155" s="228"/>
      <c r="R155" s="242"/>
      <c r="S155" s="249">
        <f t="shared" si="48"/>
        <v>1</v>
      </c>
      <c r="T155" s="242" t="str">
        <f t="shared" si="49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50"/>
        <v>https://d0f6bd738d7f1b3e5a7ca70fe4ff75f0.us-east-1.aws.found.io/app/kibana#/discover/Steve-Slow-Train-Analysis-(2080s-and-2083s)?_g=(refreshInterval:(display:Off,pause:!f,section:0,value:0),time:(from:'2017-12-09T23:15:52-0700',mode:absolute,to:'2017-12-10T02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247" t="str">
        <f>IF(AA155&lt;VLOOKUP(AG155,Variables!$AC$3:$AD$8,2,FALSE),"Y","N")</f>
        <v>N</v>
      </c>
      <c r="X155" s="247">
        <f t="shared" si="51"/>
        <v>1</v>
      </c>
      <c r="Y155" s="247">
        <f t="shared" si="52"/>
        <v>5.2600000000000001E-2</v>
      </c>
      <c r="Z155" s="247">
        <f t="shared" si="53"/>
        <v>23.317599999999999</v>
      </c>
      <c r="AA155" s="247">
        <f t="shared" si="54"/>
        <v>23.264999999999997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55"/>
        <v>243</v>
      </c>
      <c r="AE155" s="235" t="str">
        <f t="shared" si="56"/>
        <v>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 &amp; 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</v>
      </c>
      <c r="AF155" s="234" t="str">
        <f t="shared" si="57"/>
        <v>"C:\Program Files (x86)\AstroGrep\AstroGrep.exe" /e /r /s /spath="%USERPROFILE%\AppData\Local\Temp\OnboardLogs" /stypes="app*4008*20171210*" /stext=" 08:.+((SYSTEM_STATE.+slice.+state.+changed )|(ment ac)|(multiple cpu faults)|(system.+state.+changed )|(\[timeout)|(PRM\|1\|D)|(kpr)|(kdp)|(train st.+moving)|(\|lc)|(penalty))"</v>
      </c>
      <c r="AG155" s="244" t="str">
        <f t="shared" si="58"/>
        <v>EC</v>
      </c>
      <c r="AH155" s="236" t="str">
        <f t="shared" si="59"/>
        <v>"%USERPROFILE%\Documents\GitHub\eaglep3\Utilities\RefineRTDCRunTimes.py" --tripid 243-09 --locoid 4008 --swversion DE.1.0.9.0 --startMP 204:526 --initTime 2017-12-10T00:15:52 --startdatetime 2017-12-10T00:30:26 --delay 102 --endMP 204:233176 --enddatetime 2017-12-10T01:05:57 --enforcementcount 0 &gt;&gt;%USERPROFILE%\Documents\GitHub\eaglep3-reporting\EC\2017-12-09-refined-times.txt</v>
      </c>
      <c r="AI155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{"issue":{"subject":"","project_id":79,"tracker_id":40,"status_id":1,"priority_id":2,"assigned_to_id":338,"start_date":"2017-12-10","description":"","custom_fields":[{"id":1,"name":"Subdivision","value":"EC"},{"id":4,"name":"Milepost","value":"23.3176"},{"id":17,"name":"Train ID","value":"243-09"},{"id":16,"name":"Locomotive ID","value":"4008"},{"id":130,"name":"Impact","value":""},{"id":150,"name":"Time of Event (Mountain Time)","value":"01:05:57"},{"id":151,"name":"Denver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61"/>
        <v>start /low /b %USERPROFILE%\Documents\GitHub\eaglep3\Utilities\DownloadLogsFromS3.py --loco 4008 --day 2017-12-10</v>
      </c>
      <c r="AN155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63"/>
        <v>https://d0f6bd738d7f1b3e5a7ca70fe4ff75f0.us-east-1.aws.found.io/app/kibana#/discover/Steve-Slow-Train-Analysis-(2080s-and-2083s)?_g=(refreshInterval:(display:Off,pause:!f,section:0,value:0),time:(from:'2017-12-09T23:15:52-0700',mode:absolute,to:'2017-12-10T02:05:57-0700'))&amp;_a=(columns:!('Message%20ID',Summary),filters:!(),index:'emp_*',interval:auto,query:(query_string:(analyze_wildcard:!t,query:'%22rtdc.l.rtdc.4008%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25">
      <c r="A156" s="229" t="s">
        <v>888</v>
      </c>
      <c r="B156" s="225">
        <v>4007</v>
      </c>
      <c r="C156" s="227" t="s">
        <v>192</v>
      </c>
      <c r="D156" s="227" t="s">
        <v>1020</v>
      </c>
      <c r="E156" s="226">
        <v>43079.056435185186</v>
      </c>
      <c r="F156" s="226">
        <v>43079.060613425929</v>
      </c>
      <c r="G156" s="225">
        <v>92</v>
      </c>
      <c r="H156" s="227" t="s">
        <v>628</v>
      </c>
      <c r="I156" s="226">
        <v>43079.088090277779</v>
      </c>
      <c r="J156" s="225">
        <v>0</v>
      </c>
      <c r="K156" s="237" t="str">
        <f t="shared" si="46"/>
        <v>4007/4008</v>
      </c>
      <c r="L156" s="245" t="str">
        <f>VLOOKUP(A156,'Trips&amp;Operators'!$C$1:$G$99911,5,FALSE)</f>
        <v>NICHOLSON WESLEY</v>
      </c>
      <c r="M156" s="224">
        <f t="shared" si="47"/>
        <v>2.7476851850224193E-2</v>
      </c>
      <c r="N156" s="225">
        <f t="shared" si="45"/>
        <v>39.566666664322838</v>
      </c>
      <c r="O156" s="225"/>
      <c r="P156" s="225"/>
      <c r="Q156" s="228"/>
      <c r="R156" s="242"/>
      <c r="S156" s="249">
        <f t="shared" si="48"/>
        <v>1</v>
      </c>
      <c r="T156" s="242" t="str">
        <f t="shared" si="49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50"/>
        <v>https://d0f6bd738d7f1b3e5a7ca70fe4ff75f0.us-east-1.aws.found.io/app/kibana#/discover/Steve-Slow-Train-Analysis-(2080s-and-2083s)?_g=(refreshInterval:(display:Off,pause:!f,section:0,value:0),time:(from:'2017-12-10T00:21:16-0700',mode:absolute,to:'2017-12-10T03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247" t="str">
        <f>IF(AA156&lt;VLOOKUP(AG156,Variables!$AC$3:$AD$8,2,FALSE),"Y","N")</f>
        <v>N</v>
      </c>
      <c r="X156" s="247">
        <f t="shared" si="51"/>
        <v>1</v>
      </c>
      <c r="Y156" s="247">
        <f t="shared" si="52"/>
        <v>23.286100000000001</v>
      </c>
      <c r="Z156" s="247">
        <f t="shared" si="53"/>
        <v>2.1999999999999999E-2</v>
      </c>
      <c r="AA156" s="247">
        <f t="shared" si="54"/>
        <v>23.264100000000003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55"/>
        <v>244</v>
      </c>
      <c r="AE156" s="235" t="str">
        <f t="shared" si="56"/>
        <v>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 &amp; 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</v>
      </c>
      <c r="AF156" s="234" t="str">
        <f t="shared" si="57"/>
        <v>"C:\Program Files (x86)\AstroGrep\AstroGrep.exe" /e /r /s /spath="%USERPROFILE%\AppData\Local\Temp\OnboardLogs" /stypes="app*4007*20171210*" /stext=" 09:.+((SYSTEM_STATE.+slice.+state.+changed )|(ment ac)|(multiple cpu faults)|(system.+state.+changed )|(\[timeout)|(PRM\|1\|D)|(kpr)|(kdp)|(train st.+moving)|(\|lc)|(penalty))"</v>
      </c>
      <c r="AG156" s="244" t="str">
        <f t="shared" si="58"/>
        <v>EC</v>
      </c>
      <c r="AH156" s="236" t="str">
        <f t="shared" si="59"/>
        <v>"%USERPROFILE%\Documents\GitHub\eaglep3\Utilities\RefineRTDCRunTimes.py" --tripid 244-09 --locoid 4007 --swversion DE.1.0.9.0 --startMP 204:232861 --initTime 2017-12-10T01:21:16 --startdatetime 2017-12-10T01:27:17 --delay 92 --endMP 204:220 --enddatetime 2017-12-10T02:06:51 --enforcementcount 0 &gt;&gt;%USERPROFILE%\Documents\GitHub\eaglep3-reporting\EC\2017-12-09-refined-times.txt</v>
      </c>
      <c r="AI156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{"issue":{"subject":"","project_id":79,"tracker_id":40,"status_id":1,"priority_id":2,"assigned_to_id":338,"start_date":"2017-12-10","description":"","custom_fields":[{"id":1,"name":"Subdivision","value":"EC"},{"id":4,"name":"Milepost","value":"0.022"},{"id":17,"name":"Train ID","value":"244-09"},{"id":16,"name":"Locomotive ID","value":"4007"},{"id":130,"name":"Impact","value":""},{"id":150,"name":"Time of Event (Mountain Time)","value":"02:06:51"},{"id":151,"name":"Denver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61"/>
        <v>start /low /b %USERPROFILE%\Documents\GitHub\eaglep3\Utilities\DownloadLogsFromS3.py --loco 4007 --day 2017-12-10</v>
      </c>
      <c r="AN156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09:06:51"},{"id":29,"name":"Sharepoint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63"/>
        <v>https://d0f6bd738d7f1b3e5a7ca70fe4ff75f0.us-east-1.aws.found.io/app/kibana#/discover/Steve-Slow-Train-Analysis-(2080s-and-2083s)?_g=(refreshInterval:(display:Off,pause:!f,section:0,value:0),time:(from:'2017-12-10T00:21:16-0700',mode:absolute,to:'2017-12-10T03:06:51-0700'))&amp;_a=(columns:!('Message%20ID',Summary),filters:!(),index:'emp_*',interval:auto,query:(query_string:(analyze_wildcard:!t,query:'%22rtdc.l.rtdc.4007%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9" t="s">
        <v>698</v>
      </c>
      <c r="B157" s="225">
        <v>4006</v>
      </c>
      <c r="C157" s="227" t="s">
        <v>192</v>
      </c>
      <c r="D157" s="227" t="s">
        <v>449</v>
      </c>
      <c r="E157" s="226">
        <v>43079.031388888892</v>
      </c>
      <c r="F157" s="226">
        <v>43079.041863425926</v>
      </c>
      <c r="G157" s="225">
        <v>50</v>
      </c>
      <c r="H157" s="227" t="s">
        <v>550</v>
      </c>
      <c r="I157" s="226">
        <v>43079.066979166666</v>
      </c>
      <c r="J157" s="225">
        <v>0</v>
      </c>
      <c r="K157" s="237" t="str">
        <f t="shared" si="46"/>
        <v>4005/4006</v>
      </c>
      <c r="L157" s="245" t="str">
        <f>VLOOKUP(A157,'Trips&amp;Operators'!$C$1:$G$99911,5,FALSE)</f>
        <v>ANDERS STEVEN</v>
      </c>
      <c r="M157" s="224">
        <f t="shared" si="47"/>
        <v>2.5115740740147885E-2</v>
      </c>
      <c r="N157" s="225">
        <f t="shared" si="45"/>
        <v>36.166666665812954</v>
      </c>
      <c r="O157" s="225"/>
      <c r="P157" s="225"/>
      <c r="Q157" s="228"/>
      <c r="R157" s="242"/>
      <c r="S157" s="249">
        <f t="shared" si="48"/>
        <v>1</v>
      </c>
      <c r="T157" s="242" t="str">
        <f t="shared" si="49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50"/>
        <v>https://d0f6bd738d7f1b3e5a7ca70fe4ff75f0.us-east-1.aws.found.io/app/kibana#/discover/Steve-Slow-Train-Analysis-(2080s-and-2083s)?_g=(refreshInterval:(display:Off,pause:!f,section:0,value:0),time:(from:'2017-12-09T23:45:12-0700',mode:absolute,to:'2017-12-10T02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247" t="str">
        <f>IF(AA157&lt;VLOOKUP(AG157,Variables!$AC$3:$AD$8,2,FALSE),"Y","N")</f>
        <v>N</v>
      </c>
      <c r="X157" s="247">
        <f t="shared" si="51"/>
        <v>1</v>
      </c>
      <c r="Y157" s="247">
        <f t="shared" si="52"/>
        <v>5.28E-2</v>
      </c>
      <c r="Z157" s="247">
        <f t="shared" si="53"/>
        <v>23.3276</v>
      </c>
      <c r="AA157" s="247">
        <f t="shared" si="54"/>
        <v>23.274799999999999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55"/>
        <v>245</v>
      </c>
      <c r="AE157" s="235" t="str">
        <f t="shared" si="56"/>
        <v>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 &amp; aws s3 cp s3://rtdc.mdm.uploadarchive.raw/RTDC4006/ "%USERPROFILE%\AppData\Local\Temp\OnboardLogs"\RTDC4006\2017-12-11 --exclude "*" --recursive --include "*20171211*" &amp; "%USERPROFILE%\Documents\GitHub\mrs-test-scripts\Headless Mode &amp; Sideloading\WalkAndUnGZ.bat" "%USERPROFILE%\AppData\Local\Temp\OnboardLogs"\RTDC4006\2017-12-11</v>
      </c>
      <c r="AF157" s="234" t="str">
        <f t="shared" si="57"/>
        <v>"C:\Program Files (x86)\AstroGrep\AstroGrep.exe" /e /r /s /spath="%USERPROFILE%\AppData\Local\Temp\OnboardLogs" /stypes="app*4006*20171210*" /stext=" 08:.+((SYSTEM_STATE.+slice.+state.+changed )|(ment ac)|(multiple cpu faults)|(system.+state.+changed )|(\[timeout)|(PRM\|1\|D)|(kpr)|(kdp)|(train st.+moving)|(\|lc)|(penalty))"</v>
      </c>
      <c r="AG157" s="244" t="str">
        <f t="shared" si="58"/>
        <v>EC</v>
      </c>
      <c r="AH157" s="236" t="str">
        <f t="shared" si="59"/>
        <v>"%USERPROFILE%\Documents\GitHub\eaglep3\Utilities\RefineRTDCRunTimes.py" --tripid 245-09 --locoid 4006 --swversion DE.1.0.9.0 --startMP 204:528 --initTime 2017-12-10T00:45:12 --startdatetime 2017-12-10T01:00:17 --delay 50 --endMP 204:233276 --enddatetime 2017-12-10T01:36:27 --enforcementcount 0 &gt;&gt;%USERPROFILE%\Documents\GitHub\eaglep3-reporting\EC\2017-12-09-refined-times.txt</v>
      </c>
      <c r="AI157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{"issue":{"subject":"","project_id":79,"tracker_id":40,"status_id":1,"priority_id":2,"assigned_to_id":338,"start_date":"2017-12-10","description":"","custom_fields":[{"id":1,"name":"Subdivision","value":"EC"},{"id":4,"name":"Milepost","value":"23.3276"},{"id":17,"name":"Train ID","value":"245-09"},{"id":16,"name":"Locomotive ID","value":"4006"},{"id":130,"name":"Impact","value":""},{"id":150,"name":"Time of Event (Mountain Time)","value":"01:36:27"},{"id":151,"name":"Denver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61"/>
        <v>start /low /b %USERPROFILE%\Documents\GitHub\eaglep3\Utilities\DownloadLogsFromS3.py --loco 4006 --day 2017-12-10</v>
      </c>
      <c r="AN157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63"/>
        <v>https://d0f6bd738d7f1b3e5a7ca70fe4ff75f0.us-east-1.aws.found.io/app/kibana#/discover/Steve-Slow-Train-Analysis-(2080s-and-2083s)?_g=(refreshInterval:(display:Off,pause:!f,section:0,value:0),time:(from:'2017-12-09T23:45:12-0700',mode:absolute,to:'2017-12-10T02:36:27-0700'))&amp;_a=(columns:!('Message%20ID',Summary),filters:!(),index:'emp_*',interval:auto,query:(query_string:(analyze_wildcard:!t,query:'%22rtdc.l.rtdc.4006%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29" t="s">
        <v>890</v>
      </c>
      <c r="B158" s="225">
        <v>4005</v>
      </c>
      <c r="C158" s="227" t="s">
        <v>192</v>
      </c>
      <c r="D158" s="227" t="s">
        <v>1027</v>
      </c>
      <c r="E158" s="226">
        <v>43079.078645833331</v>
      </c>
      <c r="F158" s="226">
        <v>43079.081678240742</v>
      </c>
      <c r="G158" s="225">
        <v>51</v>
      </c>
      <c r="H158" s="227" t="s">
        <v>1028</v>
      </c>
      <c r="I158" s="226">
        <v>43079.104583333334</v>
      </c>
      <c r="J158" s="225">
        <v>0</v>
      </c>
      <c r="K158" s="237" t="str">
        <f t="shared" si="46"/>
        <v>4005/4006</v>
      </c>
      <c r="L158" s="245" t="str">
        <f>VLOOKUP(A158,'Trips&amp;Operators'!$C$1:$G$99911,5,FALSE)</f>
        <v>ANDERS STEVEN</v>
      </c>
      <c r="M158" s="224">
        <f t="shared" si="47"/>
        <v>2.290509259182727E-2</v>
      </c>
      <c r="N158" s="225"/>
      <c r="O158" s="225"/>
      <c r="P158" s="225">
        <f>24*60*SUM($M158:$M158)</f>
        <v>32.983333332231268</v>
      </c>
      <c r="Q158" s="228"/>
      <c r="R158" s="242" t="s">
        <v>1070</v>
      </c>
      <c r="S158" s="249">
        <f t="shared" si="48"/>
        <v>1</v>
      </c>
      <c r="T158" s="242" t="str">
        <f t="shared" si="49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50"/>
        <v>https://d0f6bd738d7f1b3e5a7ca70fe4ff75f0.us-east-1.aws.found.io/app/kibana#/discover/Steve-Slow-Train-Analysis-(2080s-and-2083s)?_g=(refreshInterval:(display:Off,pause:!f,section:0,value:0),time:(from:'2017-12-10T00:53:15-0700',mode:absolute,to:'2017-12-10T03:30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247" t="str">
        <f>IF(AA158&lt;VLOOKUP(AG158,Variables!$AC$3:$AD$8,2,FALSE),"Y","N")</f>
        <v>Y</v>
      </c>
      <c r="X158" s="247">
        <f t="shared" si="51"/>
        <v>1</v>
      </c>
      <c r="Y158" s="247">
        <f t="shared" si="52"/>
        <v>23.295500000000001</v>
      </c>
      <c r="Z158" s="247">
        <f t="shared" si="53"/>
        <v>1.4260999999999999</v>
      </c>
      <c r="AA158" s="247">
        <f t="shared" si="54"/>
        <v>21.869399999999999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55"/>
        <v>246</v>
      </c>
      <c r="AE158" s="235" t="str">
        <f t="shared" si="56"/>
        <v>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 &amp; aws s3 cp s3://rtdc.mdm.uploadarchive.raw/RTDC4005/ "%USERPROFILE%\AppData\Local\Temp\OnboardLogs"\RTDC4005\2017-12-11 --exclude "*" --recursive --include "*20171211*" &amp; "%USERPROFILE%\Documents\GitHub\mrs-test-scripts\Headless Mode &amp; Sideloading\WalkAndUnGZ.bat" "%USERPROFILE%\AppData\Local\Temp\OnboardLogs"\RTDC4005\2017-12-11</v>
      </c>
      <c r="AF158" s="234" t="str">
        <f t="shared" si="57"/>
        <v>"C:\Program Files (x86)\AstroGrep\AstroGrep.exe" /e /r /s /spath="%USERPROFILE%\AppData\Local\Temp\OnboardLogs" /stypes="app*4005*20171210*" /stext=" 09:.+((SYSTEM_STATE.+slice.+state.+changed )|(ment ac)|(multiple cpu faults)|(system.+state.+changed )|(\[timeout)|(PRM\|1\|D)|(kpr)|(kdp)|(train st.+moving)|(\|lc)|(penalty))"</v>
      </c>
      <c r="AG158" s="244" t="str">
        <f t="shared" si="58"/>
        <v>EC</v>
      </c>
      <c r="AH158" s="236" t="str">
        <f t="shared" si="59"/>
        <v>"%USERPROFILE%\Documents\GitHub\eaglep3\Utilities\RefineRTDCRunTimes.py" --tripid 246-09 --locoid 4005 --swversion DE.1.0.9.0 --startMP 204:232955 --initTime 2017-12-10T01:53:15 --startdatetime 2017-12-10T01:57:37 --delay 51 --endMP 204:14261 --enddatetime 2017-12-10T02:30:36 --enforcementcount 0 &gt;&gt;%USERPROFILE%\Documents\GitHub\eaglep3-reporting\EC\2017-12-09-refined-times.txt</v>
      </c>
      <c r="AI158" s="238" t="str">
        <f t="shared" si="60"/>
        <v>echo {"issue":{"subject":"False occupancy caused 4S CP Bright to drop in front of train","project_id":79,"tracker_id":40,"status_id":1,"priority_id":2,"assigned_to_id":338,"start_date":"2017-12-10","description":"","custom_fields":[{"id":1,"name":"Subdivision","value":"EC"},{"id":4,"name":"Milepost","value":"1.4261"},{"id":17,"name":"Train ID","value":"246-09"},{"id":16,"name":"Locomotive ID","value":"4005"},{"id":130,"name":"Impact","value":""},{"id":150,"name":"Time of Event (Mountain Time)","value":"02:30:36"},{"id":151,"name":"Denver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61"/>
        <v>start /low /b %USERPROFILE%\Documents\GitHub\eaglep3\Utilities\DownloadLogsFromS3.py --loco 4005 --day 2017-12-10</v>
      </c>
      <c r="AN158" s="241" t="str">
        <f t="shared" si="62"/>
        <v>echo {"issue":{"subject":"False occupancy caused 4S CP Bright to drop in front of train","project_id":30,"tracker_id":4,"status_id":1,"priority_id":1,"assigned_to_id":10,"start_date":"2017-12-10","description":"","custom_fields":[{"id":30,"name":"Category","value":"Issue"},{"id":3,"name":"Functional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09:30:36"},{"id":29,"name":"Sharepoint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63"/>
        <v>https://d0f6bd738d7f1b3e5a7ca70fe4ff75f0.us-east-1.aws.found.io/app/kibana#/discover/Steve-Slow-Train-Analysis-(2080s-and-2083s)?_g=(refreshInterval:(display:Off,pause:!f,section:0,value:0),time:(from:'2017-12-10T00:53:15-0700',mode:absolute,to:'2017-12-10T03:30:36-0700'))&amp;_a=(columns:!('Message%20ID',Summary),filters:!(),index:'emp_*',interval:auto,query:(query_string:(analyze_wildcard:!t,query:'%22rtdc.l.rtdc.4005%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25">
      <c r="A159" s="229" t="s">
        <v>681</v>
      </c>
      <c r="B159" s="225">
        <v>4029</v>
      </c>
      <c r="C159" s="227" t="s">
        <v>192</v>
      </c>
      <c r="D159" s="227" t="s">
        <v>959</v>
      </c>
      <c r="E159" s="226">
        <v>43078.234629629631</v>
      </c>
      <c r="F159" s="226">
        <v>43078.23636574074</v>
      </c>
      <c r="G159" s="225">
        <v>70</v>
      </c>
      <c r="H159" s="227" t="s">
        <v>595</v>
      </c>
      <c r="I159" s="226">
        <v>43078.246979166666</v>
      </c>
      <c r="J159" s="225">
        <v>0</v>
      </c>
      <c r="K159" s="237" t="str">
        <f t="shared" si="46"/>
        <v>4029/4030</v>
      </c>
      <c r="L159" s="245" t="str">
        <f>VLOOKUP(A159,'Trips&amp;Operators'!$C$1:$G$99911,5,FALSE)</f>
        <v>LAMAR NEKESHA</v>
      </c>
      <c r="M159" s="224">
        <f t="shared" si="47"/>
        <v>1.0613425925839692E-2</v>
      </c>
      <c r="N159" s="225">
        <f t="shared" ref="N159:N190" si="64">24*60*SUM($M159:$M159)</f>
        <v>15.283333333209157</v>
      </c>
      <c r="O159" s="225"/>
      <c r="P159" s="225"/>
      <c r="Q159" s="228"/>
      <c r="R159" s="242"/>
      <c r="S159" s="249">
        <f t="shared" si="48"/>
        <v>1</v>
      </c>
      <c r="T159" s="242" t="str">
        <f t="shared" si="49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50"/>
        <v>https://d0f6bd738d7f1b3e5a7ca70fe4ff75f0.us-east-1.aws.found.io/app/kibana#/discover/Steve-Slow-Train-Analysis-(2080s-and-2083s)?_g=(refreshInterval:(display:Off,pause:!f,section:0,value:0),time:(from:'2017-12-09T04:37:52-0700',mode:absolute,to:'2017-12-09T06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247" t="str">
        <f>IF(AA159&lt;VLOOKUP(AG159,Variables!$AC$3:$AD$8,2,FALSE),"Y","N")</f>
        <v>N</v>
      </c>
      <c r="X159" s="247">
        <f t="shared" si="51"/>
        <v>1554</v>
      </c>
      <c r="Y159" s="247">
        <f t="shared" si="52"/>
        <v>5.8674999999999997</v>
      </c>
      <c r="Z159" s="247">
        <f t="shared" si="53"/>
        <v>1.5800000000000002E-2</v>
      </c>
      <c r="AA159" s="247">
        <f t="shared" si="54"/>
        <v>5.8517000000000001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55"/>
        <v>1800</v>
      </c>
      <c r="AE159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59" s="234" t="str">
        <f t="shared" si="57"/>
        <v>"C:\Program Files (x86)\AstroGrep\AstroGrep.exe" /e /r /s /spath="%USERPROFILE%\AppData\Local\Temp\OnboardLogs" /stypes="app*4029*20171209*" /stext=" 12:.+((SYSTEM_STATE.+slice.+state.+changed )|(ment ac)|(multiple cpu faults)|(system.+state.+changed )|(\[timeout)|(PRM\|1\|D)|(kpr)|(kdp)|(train st.+moving)|(\|lc)|(penalty))"</v>
      </c>
      <c r="AG159" s="244" t="str">
        <f t="shared" si="58"/>
        <v>NW</v>
      </c>
      <c r="AH159" s="236" t="str">
        <f t="shared" si="59"/>
        <v>"%USERPROFILE%\Documents\GitHub\eaglep3\Utilities\RefineRTDCRunTimes.py" --tripid 1800-09 --locoid 4029 --swversion DE.1.0.9.0 --startMP 300:58675 --initTime 2017-12-09T05:37:52 --startdatetime 2017-12-09T05:40:22 --delay 70 --endMP 204:158 --enddatetime 2017-12-09T05:55:39 --enforcementcount 0 &gt;&gt;%USERPROFILE%\Documents\GitHub\eaglep3-reporting\EC\2017-12-09-refined-times.txt</v>
      </c>
      <c r="AI159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{"issue":{"subject":"","project_id":79,"tracker_id":40,"status_id":1,"priority_id":2,"assigned_to_id":338,"start_date":"2017-12-09","description":"","custom_fields":[{"id":1,"name":"Subdivision","value":"NW"},{"id":4,"name":"Milepost","value":"0.0158"},{"id":17,"name":"Train ID","value":"1800-09"},{"id":16,"name":"Locomotive ID","value":"4029"},{"id":130,"name":"Impact","value":""},{"id":150,"name":"Time of Event (Mountain Time)","value":"05:55:39"},{"id":151,"name":"Denver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61"/>
        <v>start /low /b %USERPROFILE%\Documents\GitHub\eaglep3\Utilities\DownloadLogsFromS3.py --loco 4029 --day 2017-12-09</v>
      </c>
      <c r="AN159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63"/>
        <v>https://d0f6bd738d7f1b3e5a7ca70fe4ff75f0.us-east-1.aws.found.io/app/kibana#/discover/Steve-Slow-Train-Analysis-(2080s-and-2083s)?_g=(refreshInterval:(display:Off,pause:!f,section:0,value:0),time:(from:'2017-12-09T04:37:52-0700',mode:absolute,to:'2017-12-09T06:55:39-0700'))&amp;_a=(columns:!('Message%20ID',Summary),filters:!(),index:'emp_*',interval:auto,query:(query_string:(analyze_wildcard:!t,query:'%22rtdc.l.rtdc.4029%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29" t="s">
        <v>728</v>
      </c>
      <c r="B160" s="225">
        <v>4030</v>
      </c>
      <c r="C160" s="227" t="s">
        <v>192</v>
      </c>
      <c r="D160" s="227" t="s">
        <v>650</v>
      </c>
      <c r="E160" s="226">
        <v>43078.24927083333</v>
      </c>
      <c r="F160" s="226">
        <v>43078.256469907406</v>
      </c>
      <c r="G160" s="225">
        <v>61</v>
      </c>
      <c r="H160" s="227" t="s">
        <v>960</v>
      </c>
      <c r="I160" s="226">
        <v>43078.265347222223</v>
      </c>
      <c r="J160" s="225">
        <v>0</v>
      </c>
      <c r="K160" s="237" t="str">
        <f t="shared" si="46"/>
        <v>4029/4030</v>
      </c>
      <c r="L160" s="245" t="str">
        <f>VLOOKUP(A160,'Trips&amp;Operators'!$C$1:$G$99911,5,FALSE)</f>
        <v>LAMAR NEKESHA</v>
      </c>
      <c r="M160" s="224">
        <f t="shared" si="47"/>
        <v>8.8773148163454607E-3</v>
      </c>
      <c r="N160" s="225">
        <f t="shared" si="64"/>
        <v>12.783333335537463</v>
      </c>
      <c r="O160" s="225"/>
      <c r="P160" s="225"/>
      <c r="Q160" s="228"/>
      <c r="R160" s="242"/>
      <c r="S160" s="249">
        <f t="shared" si="48"/>
        <v>1</v>
      </c>
      <c r="T160" s="242" t="str">
        <f t="shared" si="49"/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50"/>
        <v>https://d0f6bd738d7f1b3e5a7ca70fe4ff75f0.us-east-1.aws.found.io/app/kibana#/discover/Steve-Slow-Train-Analysis-(2080s-and-2083s)?_g=(refreshInterval:(display:Off,pause:!f,section:0,value:0),time:(from:'2017-12-09T04:58:57-0700',mode:absolute,to:'2017-12-09T07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247" t="str">
        <f>IF(AA160&lt;VLOOKUP(AG160,Variables!$AC$3:$AD$8,2,FALSE),"Y","N")</f>
        <v>N</v>
      </c>
      <c r="X160" s="247">
        <f t="shared" si="51"/>
        <v>1</v>
      </c>
      <c r="Y160" s="247">
        <f t="shared" si="52"/>
        <v>4.48E-2</v>
      </c>
      <c r="Z160" s="247">
        <f t="shared" si="53"/>
        <v>5.8983999999999996</v>
      </c>
      <c r="AA160" s="247">
        <f t="shared" si="54"/>
        <v>5.8535999999999992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55"/>
        <v>1801</v>
      </c>
      <c r="AE160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0" s="234" t="str">
        <f t="shared" si="57"/>
        <v>"C:\Program Files (x86)\AstroGrep\AstroGrep.exe" /e /r /s /spath="%USERPROFILE%\AppData\Local\Temp\OnboardLogs" /stypes="app*4030*20171209*" /stext=" 13:.+((SYSTEM_STATE.+slice.+state.+changed )|(ment ac)|(multiple cpu faults)|(system.+state.+changed )|(\[timeout)|(PRM\|1\|D)|(kpr)|(kdp)|(train st.+moving)|(\|lc)|(penalty))"</v>
      </c>
      <c r="AG160" s="244" t="str">
        <f t="shared" si="58"/>
        <v>NW</v>
      </c>
      <c r="AH160" s="236" t="str">
        <f t="shared" si="59"/>
        <v>"%USERPROFILE%\Documents\GitHub\eaglep3\Utilities\RefineRTDCRunTimes.py" --tripid 1801-09 --locoid 4030 --swversion DE.1.0.9.0 --startMP 204:448 --initTime 2017-12-09T05:58:57 --startdatetime 2017-12-09T06:09:19 --delay 61 --endMP 300:58984 --enddatetime 2017-12-09T06:22:06 --enforcementcount 0 &gt;&gt;%USERPROFILE%\Documents\GitHub\eaglep3-reporting\EC\2017-12-09-refined-times.txt</v>
      </c>
      <c r="AI160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{"issue":{"subject":"","project_id":79,"tracker_id":40,"status_id":1,"priority_id":2,"assigned_to_id":338,"start_date":"2017-12-09","description":"","custom_fields":[{"id":1,"name":"Subdivision","value":"NW"},{"id":4,"name":"Milepost","value":"5.8984"},{"id":17,"name":"Train ID","value":"1801-09"},{"id":16,"name":"Locomotive ID","value":"4030"},{"id":130,"name":"Impact","value":""},{"id":150,"name":"Time of Event (Mountain Time)","value":"06:22:06"},{"id":151,"name":"Denver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61"/>
        <v>start /low /b %USERPROFILE%\Documents\GitHub\eaglep3\Utilities\DownloadLogsFromS3.py --loco 4030 --day 2017-12-09</v>
      </c>
      <c r="AN160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63"/>
        <v>https://d0f6bd738d7f1b3e5a7ca70fe4ff75f0.us-east-1.aws.found.io/app/kibana#/discover/Steve-Slow-Train-Analysis-(2080s-and-2083s)?_g=(refreshInterval:(display:Off,pause:!f,section:0,value:0),time:(from:'2017-12-09T04:58:57-0700',mode:absolute,to:'2017-12-09T07:22:06-0700'))&amp;_a=(columns:!('Message%20ID',Summary),filters:!(),index:'emp_*',interval:auto,query:(query_string:(analyze_wildcard:!t,query:'%22rtdc.l.rtdc.4030%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25">
      <c r="A161" s="229" t="s">
        <v>732</v>
      </c>
      <c r="B161" s="225">
        <v>4029</v>
      </c>
      <c r="C161" s="227" t="s">
        <v>192</v>
      </c>
      <c r="D161" s="227" t="s">
        <v>961</v>
      </c>
      <c r="E161" s="226">
        <v>43078.266736111109</v>
      </c>
      <c r="F161" s="226">
        <v>43078.279768518521</v>
      </c>
      <c r="G161" s="225">
        <v>54</v>
      </c>
      <c r="H161" s="227" t="s">
        <v>595</v>
      </c>
      <c r="I161" s="226">
        <v>43078.288263888891</v>
      </c>
      <c r="J161" s="225">
        <v>0</v>
      </c>
      <c r="K161" s="237" t="str">
        <f t="shared" si="46"/>
        <v>4029/4030</v>
      </c>
      <c r="L161" s="245" t="str">
        <f>VLOOKUP(A161,'Trips&amp;Operators'!$C$1:$G$99911,5,FALSE)</f>
        <v>LAMAR NEKESHA</v>
      </c>
      <c r="M161" s="224">
        <f t="shared" si="47"/>
        <v>8.4953703699284233E-3</v>
      </c>
      <c r="N161" s="225">
        <f t="shared" si="64"/>
        <v>12.23333333269693</v>
      </c>
      <c r="O161" s="225"/>
      <c r="P161" s="225"/>
      <c r="Q161" s="228"/>
      <c r="R161" s="242"/>
      <c r="S161" s="249">
        <f t="shared" si="48"/>
        <v>1</v>
      </c>
      <c r="T161" s="242" t="str">
        <f t="shared" si="49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50"/>
        <v>https://d0f6bd738d7f1b3e5a7ca70fe4ff75f0.us-east-1.aws.found.io/app/kibana#/discover/Steve-Slow-Train-Analysis-(2080s-and-2083s)?_g=(refreshInterval:(display:Off,pause:!f,section:0,value:0),time:(from:'2017-12-09T05:24:06-0700',mode:absolute,to:'2017-12-09T07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247" t="str">
        <f>IF(AA161&lt;VLOOKUP(AG161,Variables!$AC$3:$AD$8,2,FALSE),"Y","N")</f>
        <v>N</v>
      </c>
      <c r="X161" s="247">
        <f t="shared" si="51"/>
        <v>1</v>
      </c>
      <c r="Y161" s="247">
        <f t="shared" si="52"/>
        <v>5.8666</v>
      </c>
      <c r="Z161" s="247">
        <f t="shared" si="53"/>
        <v>1.5800000000000002E-2</v>
      </c>
      <c r="AA161" s="247">
        <f t="shared" si="54"/>
        <v>5.8508000000000004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55"/>
        <v>1802</v>
      </c>
      <c r="AE161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1" s="234" t="str">
        <f t="shared" si="57"/>
        <v>"C:\Program Files (x86)\AstroGrep\AstroGrep.exe" /e /r /s /spath="%USERPROFILE%\AppData\Local\Temp\OnboardLogs" /stypes="app*4029*20171209*" /stext=" 13:.+((SYSTEM_STATE.+slice.+state.+changed )|(ment ac)|(multiple cpu faults)|(system.+state.+changed )|(\[timeout)|(PRM\|1\|D)|(kpr)|(kdp)|(train st.+moving)|(\|lc)|(penalty))"</v>
      </c>
      <c r="AG161" s="244" t="str">
        <f t="shared" si="58"/>
        <v>NW</v>
      </c>
      <c r="AH161" s="236" t="str">
        <f t="shared" si="59"/>
        <v>"%USERPROFILE%\Documents\GitHub\eaglep3\Utilities\RefineRTDCRunTimes.py" --tripid 1802-09 --locoid 4029 --swversion DE.1.0.9.0 --startMP 300:58666 --initTime 2017-12-09T06:24:06 --startdatetime 2017-12-09T06:42:52 --delay 54 --endMP 204:158 --enddatetime 2017-12-09T06:55:06 --enforcementcount 0 &gt;&gt;%USERPROFILE%\Documents\GitHub\eaglep3-reporting\EC\2017-12-09-refined-times.txt</v>
      </c>
      <c r="AI161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{"issue":{"subject":"","project_id":79,"tracker_id":40,"status_id":1,"priority_id":2,"assigned_to_id":338,"start_date":"2017-12-09","description":"","custom_fields":[{"id":1,"name":"Subdivision","value":"NW"},{"id":4,"name":"Milepost","value":"0.0158"},{"id":17,"name":"Train ID","value":"1802-09"},{"id":16,"name":"Locomotive ID","value":"4029"},{"id":130,"name":"Impact","value":""},{"id":150,"name":"Time of Event (Mountain Time)","value":"06:55:06"},{"id":151,"name":"Denver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61"/>
        <v>start /low /b %USERPROFILE%\Documents\GitHub\eaglep3\Utilities\DownloadLogsFromS3.py --loco 4029 --day 2017-12-09</v>
      </c>
      <c r="AN161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63"/>
        <v>https://d0f6bd738d7f1b3e5a7ca70fe4ff75f0.us-east-1.aws.found.io/app/kibana#/discover/Steve-Slow-Train-Analysis-(2080s-and-2083s)?_g=(refreshInterval:(display:Off,pause:!f,section:0,value:0),time:(from:'2017-12-09T05:24:06-0700',mode:absolute,to:'2017-12-09T07:55:06-0700'))&amp;_a=(columns:!('Message%20ID',Summary),filters:!(),index:'emp_*',interval:auto,query:(query_string:(analyze_wildcard:!t,query:'%22rtdc.l.rtdc.4029%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737</v>
      </c>
      <c r="B162" s="225">
        <v>4030</v>
      </c>
      <c r="C162" s="227" t="s">
        <v>192</v>
      </c>
      <c r="D162" s="227" t="s">
        <v>962</v>
      </c>
      <c r="E162" s="226">
        <v>43078.289606481485</v>
      </c>
      <c r="F162" s="226">
        <v>43078.298113425924</v>
      </c>
      <c r="G162" s="225">
        <v>54</v>
      </c>
      <c r="H162" s="227" t="s">
        <v>960</v>
      </c>
      <c r="I162" s="226">
        <v>43078.307037037041</v>
      </c>
      <c r="J162" s="225">
        <v>0</v>
      </c>
      <c r="K162" s="237" t="str">
        <f t="shared" si="46"/>
        <v>4029/4030</v>
      </c>
      <c r="L162" s="245" t="str">
        <f>VLOOKUP(A162,'Trips&amp;Operators'!$C$1:$G$99911,5,FALSE)</f>
        <v>LAMAR NEKESHA</v>
      </c>
      <c r="M162" s="224">
        <f t="shared" si="47"/>
        <v>8.9236111161881126E-3</v>
      </c>
      <c r="N162" s="225">
        <f t="shared" si="64"/>
        <v>12.850000007310882</v>
      </c>
      <c r="O162" s="225"/>
      <c r="P162" s="225"/>
      <c r="Q162" s="228"/>
      <c r="R162" s="242"/>
      <c r="S162" s="249">
        <f t="shared" si="48"/>
        <v>1</v>
      </c>
      <c r="T162" s="242" t="str">
        <f t="shared" si="49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50"/>
        <v>https://d0f6bd738d7f1b3e5a7ca70fe4ff75f0.us-east-1.aws.found.io/app/kibana#/discover/Steve-Slow-Train-Analysis-(2080s-and-2083s)?_g=(refreshInterval:(display:Off,pause:!f,section:0,value:0),time:(from:'2017-12-09T05:57:02-0700',mode:absolute,to:'2017-12-09T08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247" t="str">
        <f>IF(AA162&lt;VLOOKUP(AG162,Variables!$AC$3:$AD$8,2,FALSE),"Y","N")</f>
        <v>N</v>
      </c>
      <c r="X162" s="247">
        <f t="shared" si="51"/>
        <v>1</v>
      </c>
      <c r="Y162" s="247">
        <f t="shared" si="52"/>
        <v>4.3900000000000002E-2</v>
      </c>
      <c r="Z162" s="247">
        <f t="shared" si="53"/>
        <v>5.8983999999999996</v>
      </c>
      <c r="AA162" s="247">
        <f t="shared" si="54"/>
        <v>5.8544999999999998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55"/>
        <v>1803</v>
      </c>
      <c r="AE162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2" s="234" t="str">
        <f t="shared" si="57"/>
        <v>"C:\Program Files (x86)\AstroGrep\AstroGrep.exe" /e /r /s /spath="%USERPROFILE%\AppData\Local\Temp\OnboardLogs" /stypes="app*4030*20171209*" /stext=" 14:.+((SYSTEM_STATE.+slice.+state.+changed )|(ment ac)|(multiple cpu faults)|(system.+state.+changed )|(\[timeout)|(PRM\|1\|D)|(kpr)|(kdp)|(train st.+moving)|(\|lc)|(penalty))"</v>
      </c>
      <c r="AG162" s="244" t="str">
        <f t="shared" si="58"/>
        <v>NW</v>
      </c>
      <c r="AH162" s="236" t="str">
        <f t="shared" si="59"/>
        <v>"%USERPROFILE%\Documents\GitHub\eaglep3\Utilities\RefineRTDCRunTimes.py" --tripid 1803-09 --locoid 4030 --swversion DE.1.0.9.0 --startMP 204:439 --initTime 2017-12-09T06:57:02 --startdatetime 2017-12-09T07:09:17 --delay 54 --endMP 300:58984 --enddatetime 2017-12-09T07:22:08 --enforcementcount 0 &gt;&gt;%USERPROFILE%\Documents\GitHub\eaglep3-reporting\EC\2017-12-09-refined-times.txt</v>
      </c>
      <c r="AI162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{"issue":{"subject":"","project_id":79,"tracker_id":40,"status_id":1,"priority_id":2,"assigned_to_id":338,"start_date":"2017-12-09","description":"","custom_fields":[{"id":1,"name":"Subdivision","value":"NW"},{"id":4,"name":"Milepost","value":"5.8984"},{"id":17,"name":"Train ID","value":"1803-09"},{"id":16,"name":"Locomotive ID","value":"4030"},{"id":130,"name":"Impact","value":""},{"id":150,"name":"Time of Event (Mountain Time)","value":"07:22:08"},{"id":151,"name":"Denver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61"/>
        <v>start /low /b %USERPROFILE%\Documents\GitHub\eaglep3\Utilities\DownloadLogsFromS3.py --loco 4030 --day 2017-12-09</v>
      </c>
      <c r="AN162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63"/>
        <v>https://d0f6bd738d7f1b3e5a7ca70fe4ff75f0.us-east-1.aws.found.io/app/kibana#/discover/Steve-Slow-Train-Analysis-(2080s-and-2083s)?_g=(refreshInterval:(display:Off,pause:!f,section:0,value:0),time:(from:'2017-12-09T05:57:02-0700',mode:absolute,to:'2017-12-09T08:22:08-0700'))&amp;_a=(columns:!('Message%20ID',Summary),filters:!(),index:'emp_*',interval:auto,query:(query_string:(analyze_wildcard:!t,query:'%22rtdc.l.rtdc.4030%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741</v>
      </c>
      <c r="B163" s="225">
        <v>4029</v>
      </c>
      <c r="C163" s="227" t="s">
        <v>192</v>
      </c>
      <c r="D163" s="227" t="s">
        <v>639</v>
      </c>
      <c r="E163" s="226">
        <v>43078.308483796296</v>
      </c>
      <c r="F163" s="226">
        <v>43078.321597222224</v>
      </c>
      <c r="G163" s="225">
        <v>69</v>
      </c>
      <c r="H163" s="227" t="s">
        <v>649</v>
      </c>
      <c r="I163" s="226">
        <v>43078.329918981479</v>
      </c>
      <c r="J163" s="225">
        <v>0</v>
      </c>
      <c r="K163" s="237" t="str">
        <f t="shared" si="46"/>
        <v>4029/4030</v>
      </c>
      <c r="L163" s="245" t="str">
        <f>VLOOKUP(A163,'Trips&amp;Operators'!$C$1:$G$99911,5,FALSE)</f>
        <v>LAMAR NEKESHA</v>
      </c>
      <c r="M163" s="224">
        <f t="shared" si="47"/>
        <v>8.3217592546134256E-3</v>
      </c>
      <c r="N163" s="225">
        <f t="shared" si="64"/>
        <v>11.983333326643333</v>
      </c>
      <c r="O163" s="225"/>
      <c r="P163" s="225"/>
      <c r="Q163" s="228"/>
      <c r="R163" s="242"/>
      <c r="S163" s="249">
        <f t="shared" si="48"/>
        <v>1</v>
      </c>
      <c r="T163" s="242" t="str">
        <f t="shared" si="49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50"/>
        <v>https://d0f6bd738d7f1b3e5a7ca70fe4ff75f0.us-east-1.aws.found.io/app/kibana#/discover/Steve-Slow-Train-Analysis-(2080s-and-2083s)?_g=(refreshInterval:(display:Off,pause:!f,section:0,value:0),time:(from:'2017-12-09T06:24:13-0700',mode:absolute,to:'2017-12-09T08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247" t="str">
        <f>IF(AA163&lt;VLOOKUP(AG163,Variables!$AC$3:$AD$8,2,FALSE),"Y","N")</f>
        <v>N</v>
      </c>
      <c r="X163" s="247">
        <f t="shared" si="51"/>
        <v>1</v>
      </c>
      <c r="Y163" s="247">
        <f t="shared" si="52"/>
        <v>5.867</v>
      </c>
      <c r="Z163" s="247">
        <f t="shared" si="53"/>
        <v>1.46E-2</v>
      </c>
      <c r="AA163" s="247">
        <f t="shared" si="54"/>
        <v>5.8524000000000003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55"/>
        <v>1804</v>
      </c>
      <c r="AE163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3" s="234" t="str">
        <f t="shared" si="57"/>
        <v>"C:\Program Files (x86)\AstroGrep\AstroGrep.exe" /e /r /s /spath="%USERPROFILE%\AppData\Local\Temp\OnboardLogs" /stypes="app*4029*20171209*" /stext=" 14:.+((SYSTEM_STATE.+slice.+state.+changed )|(ment ac)|(multiple cpu faults)|(system.+state.+changed )|(\[timeout)|(PRM\|1\|D)|(kpr)|(kdp)|(train st.+moving)|(\|lc)|(penalty))"</v>
      </c>
      <c r="AG163" s="244" t="str">
        <f t="shared" si="58"/>
        <v>NW</v>
      </c>
      <c r="AH163" s="236" t="str">
        <f t="shared" si="59"/>
        <v>"%USERPROFILE%\Documents\GitHub\eaglep3\Utilities\RefineRTDCRunTimes.py" --tripid 1804-09 --locoid 4029 --swversion DE.1.0.9.0 --startMP 300:58670 --initTime 2017-12-09T07:24:13 --startdatetime 2017-12-09T07:43:06 --delay 69 --endMP 204:146 --enddatetime 2017-12-09T07:55:05 --enforcementcount 0 &gt;&gt;%USERPROFILE%\Documents\GitHub\eaglep3-reporting\EC\2017-12-09-refined-times.txt</v>
      </c>
      <c r="AI163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{"issue":{"subject":"","project_id":79,"tracker_id":40,"status_id":1,"priority_id":2,"assigned_to_id":338,"start_date":"2017-12-09","description":"","custom_fields":[{"id":1,"name":"Subdivision","value":"NW"},{"id":4,"name":"Milepost","value":"0.0146"},{"id":17,"name":"Train ID","value":"1804-09"},{"id":16,"name":"Locomotive ID","value":"4029"},{"id":130,"name":"Impact","value":""},{"id":150,"name":"Time of Event (Mountain Time)","value":"07:55:05"},{"id":151,"name":"Denver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61"/>
        <v>start /low /b %USERPROFILE%\Documents\GitHub\eaglep3\Utilities\DownloadLogsFromS3.py --loco 4029 --day 2017-12-09</v>
      </c>
      <c r="AN163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63"/>
        <v>https://d0f6bd738d7f1b3e5a7ca70fe4ff75f0.us-east-1.aws.found.io/app/kibana#/discover/Steve-Slow-Train-Analysis-(2080s-and-2083s)?_g=(refreshInterval:(display:Off,pause:!f,section:0,value:0),time:(from:'2017-12-09T06:24:13-0700',mode:absolute,to:'2017-12-09T08:55:05-0700'))&amp;_a=(columns:!('Message%20ID',Summary),filters:!(),index:'emp_*',interval:auto,query:(query_string:(analyze_wildcard:!t,query:'%22rtdc.l.rtdc.4029%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746</v>
      </c>
      <c r="B164" s="225">
        <v>4030</v>
      </c>
      <c r="C164" s="227" t="s">
        <v>192</v>
      </c>
      <c r="D164" s="227" t="s">
        <v>650</v>
      </c>
      <c r="E164" s="226">
        <v>43078.331932870373</v>
      </c>
      <c r="F164" s="226">
        <v>43078.339791666665</v>
      </c>
      <c r="G164" s="225">
        <v>49</v>
      </c>
      <c r="H164" s="227" t="s">
        <v>963</v>
      </c>
      <c r="I164" s="226">
        <v>43078.34883101852</v>
      </c>
      <c r="J164" s="225">
        <v>0</v>
      </c>
      <c r="K164" s="237" t="str">
        <f t="shared" si="46"/>
        <v>4029/4030</v>
      </c>
      <c r="L164" s="245" t="str">
        <f>VLOOKUP(A164,'Trips&amp;Operators'!$C$1:$G$99911,5,FALSE)</f>
        <v>LAMAR NEKESHA</v>
      </c>
      <c r="M164" s="224">
        <f t="shared" si="47"/>
        <v>9.0393518548808061E-3</v>
      </c>
      <c r="N164" s="225">
        <f t="shared" si="64"/>
        <v>13.016666671028361</v>
      </c>
      <c r="O164" s="225"/>
      <c r="P164" s="225"/>
      <c r="Q164" s="228"/>
      <c r="R164" s="242"/>
      <c r="S164" s="249">
        <f t="shared" si="48"/>
        <v>1</v>
      </c>
      <c r="T164" s="242" t="str">
        <f t="shared" si="49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50"/>
        <v>https://d0f6bd738d7f1b3e5a7ca70fe4ff75f0.us-east-1.aws.found.io/app/kibana#/discover/Steve-Slow-Train-Analysis-(2080s-and-2083s)?_g=(refreshInterval:(display:Off,pause:!f,section:0,value:0),time:(from:'2017-12-09T06:57:59-0700',mode:absolute,to:'2017-12-09T09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247" t="str">
        <f>IF(AA164&lt;VLOOKUP(AG164,Variables!$AC$3:$AD$8,2,FALSE),"Y","N")</f>
        <v>N</v>
      </c>
      <c r="X164" s="247">
        <f t="shared" si="51"/>
        <v>1</v>
      </c>
      <c r="Y164" s="247">
        <f t="shared" si="52"/>
        <v>4.48E-2</v>
      </c>
      <c r="Z164" s="247">
        <f t="shared" si="53"/>
        <v>5.8979999999999997</v>
      </c>
      <c r="AA164" s="247">
        <f t="shared" si="54"/>
        <v>5.8531999999999993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55"/>
        <v>1805</v>
      </c>
      <c r="AE164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4" s="234" t="str">
        <f t="shared" si="57"/>
        <v>"C:\Program Files (x86)\AstroGrep\AstroGrep.exe" /e /r /s /spath="%USERPROFILE%\AppData\Local\Temp\OnboardLogs" /stypes="app*4030*20171209*" /stext=" 15:.+((SYSTEM_STATE.+slice.+state.+changed )|(ment ac)|(multiple cpu faults)|(system.+state.+changed )|(\[timeout)|(PRM\|1\|D)|(kpr)|(kdp)|(train st.+moving)|(\|lc)|(penalty))"</v>
      </c>
      <c r="AG164" s="244" t="str">
        <f t="shared" si="58"/>
        <v>NW</v>
      </c>
      <c r="AH164" s="236" t="str">
        <f t="shared" si="59"/>
        <v>"%USERPROFILE%\Documents\GitHub\eaglep3\Utilities\RefineRTDCRunTimes.py" --tripid 1805-09 --locoid 4030 --swversion DE.1.0.9.0 --startMP 204:448 --initTime 2017-12-09T07:57:59 --startdatetime 2017-12-09T08:09:18 --delay 49 --endMP 300:58980 --enddatetime 2017-12-09T08:22:19 --enforcementcount 0 &gt;&gt;%USERPROFILE%\Documents\GitHub\eaglep3-reporting\EC\2017-12-09-refined-times.txt</v>
      </c>
      <c r="AI164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{"issue":{"subject":"","project_id":79,"tracker_id":40,"status_id":1,"priority_id":2,"assigned_to_id":338,"start_date":"2017-12-09","description":"","custom_fields":[{"id":1,"name":"Subdivision","value":"NW"},{"id":4,"name":"Milepost","value":"5.898"},{"id":17,"name":"Train ID","value":"1805-09"},{"id":16,"name":"Locomotive ID","value":"4030"},{"id":130,"name":"Impact","value":""},{"id":150,"name":"Time of Event (Mountain Time)","value":"08:22:19"},{"id":151,"name":"Denver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61"/>
        <v>start /low /b %USERPROFILE%\Documents\GitHub\eaglep3\Utilities\DownloadLogsFromS3.py --loco 4030 --day 2017-12-09</v>
      </c>
      <c r="AN164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63"/>
        <v>https://d0f6bd738d7f1b3e5a7ca70fe4ff75f0.us-east-1.aws.found.io/app/kibana#/discover/Steve-Slow-Train-Analysis-(2080s-and-2083s)?_g=(refreshInterval:(display:Off,pause:!f,section:0,value:0),time:(from:'2017-12-09T06:57:59-0700',mode:absolute,to:'2017-12-09T09:22:19-0700'))&amp;_a=(columns:!('Message%20ID',Summary),filters:!(),index:'emp_*',interval:auto,query:(query_string:(analyze_wildcard:!t,query:'%22rtdc.l.rtdc.4030%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749</v>
      </c>
      <c r="B165" s="225">
        <v>4029</v>
      </c>
      <c r="C165" s="227" t="s">
        <v>192</v>
      </c>
      <c r="D165" s="227" t="s">
        <v>964</v>
      </c>
      <c r="E165" s="226">
        <v>43078.350578703707</v>
      </c>
      <c r="F165" s="226">
        <v>43078.362025462964</v>
      </c>
      <c r="G165" s="225">
        <v>57</v>
      </c>
      <c r="H165" s="227" t="s">
        <v>965</v>
      </c>
      <c r="I165" s="226">
        <v>43078.371562499997</v>
      </c>
      <c r="J165" s="225">
        <v>0</v>
      </c>
      <c r="K165" s="237" t="str">
        <f t="shared" si="46"/>
        <v>4029/4030</v>
      </c>
      <c r="L165" s="245" t="str">
        <f>VLOOKUP(A165,'Trips&amp;Operators'!$C$1:$G$99911,5,FALSE)</f>
        <v>LAMAR NEKESHA</v>
      </c>
      <c r="M165" s="224">
        <f t="shared" si="47"/>
        <v>9.5370370327145793E-3</v>
      </c>
      <c r="N165" s="225">
        <f t="shared" si="64"/>
        <v>13.733333327108994</v>
      </c>
      <c r="O165" s="225"/>
      <c r="P165" s="225"/>
      <c r="Q165" s="228"/>
      <c r="R165" s="242"/>
      <c r="S165" s="249">
        <f t="shared" si="48"/>
        <v>1</v>
      </c>
      <c r="T165" s="242" t="str">
        <f t="shared" si="49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50"/>
        <v>https://d0f6bd738d7f1b3e5a7ca70fe4ff75f0.us-east-1.aws.found.io/app/kibana#/discover/Steve-Slow-Train-Analysis-(2080s-and-2083s)?_g=(refreshInterval:(display:Off,pause:!f,section:0,value:0),time:(from:'2017-12-09T07:24:50-0700',mode:absolute,to:'2017-12-09T09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247" t="str">
        <f>IF(AA165&lt;VLOOKUP(AG165,Variables!$AC$3:$AD$8,2,FALSE),"Y","N")</f>
        <v>N</v>
      </c>
      <c r="X165" s="247">
        <f t="shared" si="51"/>
        <v>1</v>
      </c>
      <c r="Y165" s="247">
        <f t="shared" si="52"/>
        <v>5.8663999999999996</v>
      </c>
      <c r="Z165" s="247">
        <f t="shared" si="53"/>
        <v>1.67E-2</v>
      </c>
      <c r="AA165" s="247">
        <f t="shared" si="54"/>
        <v>5.8496999999999995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55"/>
        <v>1806</v>
      </c>
      <c r="AE165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5" s="234" t="str">
        <f t="shared" si="57"/>
        <v>"C:\Program Files (x86)\AstroGrep\AstroGrep.exe" /e /r /s /spath="%USERPROFILE%\AppData\Local\Temp\OnboardLogs" /stypes="app*4029*20171209*" /stext=" 15:.+((SYSTEM_STATE.+slice.+state.+changed )|(ment ac)|(multiple cpu faults)|(system.+state.+changed )|(\[timeout)|(PRM\|1\|D)|(kpr)|(kdp)|(train st.+moving)|(\|lc)|(penalty))"</v>
      </c>
      <c r="AG165" s="244" t="str">
        <f t="shared" si="58"/>
        <v>NW</v>
      </c>
      <c r="AH165" s="236" t="str">
        <f t="shared" si="59"/>
        <v>"%USERPROFILE%\Documents\GitHub\eaglep3\Utilities\RefineRTDCRunTimes.py" --tripid 1806-09 --locoid 4029 --swversion DE.1.0.9.0 --startMP 300:58664 --initTime 2017-12-09T08:24:50 --startdatetime 2017-12-09T08:41:19 --delay 57 --endMP 204:167 --enddatetime 2017-12-09T08:55:03 --enforcementcount 0 &gt;&gt;%USERPROFILE%\Documents\GitHub\eaglep3-reporting\EC\2017-12-09-refined-times.txt</v>
      </c>
      <c r="AI165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{"issue":{"subject":"","project_id":79,"tracker_id":40,"status_id":1,"priority_id":2,"assigned_to_id":338,"start_date":"2017-12-09","description":"","custom_fields":[{"id":1,"name":"Subdivision","value":"NW"},{"id":4,"name":"Milepost","value":"0.0167"},{"id":17,"name":"Train ID","value":"1806-09"},{"id":16,"name":"Locomotive ID","value":"4029"},{"id":130,"name":"Impact","value":""},{"id":150,"name":"Time of Event (Mountain Time)","value":"08:55:03"},{"id":151,"name":"Denver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61"/>
        <v>start /low /b %USERPROFILE%\Documents\GitHub\eaglep3\Utilities\DownloadLogsFromS3.py --loco 4029 --day 2017-12-09</v>
      </c>
      <c r="AN165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63"/>
        <v>https://d0f6bd738d7f1b3e5a7ca70fe4ff75f0.us-east-1.aws.found.io/app/kibana#/discover/Steve-Slow-Train-Analysis-(2080s-and-2083s)?_g=(refreshInterval:(display:Off,pause:!f,section:0,value:0),time:(from:'2017-12-09T07:24:50-0700',mode:absolute,to:'2017-12-09T09:55:03-0700'))&amp;_a=(columns:!('Message%20ID',Summary),filters:!(),index:'emp_*',interval:auto,query:(query_string:(analyze_wildcard:!t,query:'%22rtdc.l.rtdc.4029%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25">
      <c r="A166" s="229" t="s">
        <v>755</v>
      </c>
      <c r="B166" s="225">
        <v>4030</v>
      </c>
      <c r="C166" s="227" t="s">
        <v>192</v>
      </c>
      <c r="D166" s="227" t="s">
        <v>966</v>
      </c>
      <c r="E166" s="226">
        <v>43078.374120370368</v>
      </c>
      <c r="F166" s="226">
        <v>43078.381423611114</v>
      </c>
      <c r="G166" s="225">
        <v>70</v>
      </c>
      <c r="H166" s="227" t="s">
        <v>963</v>
      </c>
      <c r="I166" s="226">
        <v>43078.390520833331</v>
      </c>
      <c r="J166" s="225">
        <v>0</v>
      </c>
      <c r="K166" s="237" t="str">
        <f t="shared" si="46"/>
        <v>4029/4030</v>
      </c>
      <c r="L166" s="245" t="str">
        <f>VLOOKUP(A166,'Trips&amp;Operators'!$C$1:$G$99911,5,FALSE)</f>
        <v>LAMAR NEKESHA</v>
      </c>
      <c r="M166" s="224">
        <f t="shared" si="47"/>
        <v>9.0972222169511952E-3</v>
      </c>
      <c r="N166" s="225">
        <f t="shared" si="64"/>
        <v>13.099999992409721</v>
      </c>
      <c r="O166" s="225"/>
      <c r="P166" s="225"/>
      <c r="Q166" s="228"/>
      <c r="R166" s="242"/>
      <c r="S166" s="249">
        <f t="shared" si="48"/>
        <v>1</v>
      </c>
      <c r="T166" s="242" t="str">
        <f t="shared" si="49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50"/>
        <v>https://d0f6bd738d7f1b3e5a7ca70fe4ff75f0.us-east-1.aws.found.io/app/kibana#/discover/Steve-Slow-Train-Analysis-(2080s-and-2083s)?_g=(refreshInterval:(display:Off,pause:!f,section:0,value:0),time:(from:'2017-12-09T07:58:44-0700',mode:absolute,to:'2017-12-09T10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6" s="247" t="str">
        <f>IF(AA166&lt;VLOOKUP(AG166,Variables!$AC$3:$AD$8,2,FALSE),"Y","N")</f>
        <v>N</v>
      </c>
      <c r="X166" s="247">
        <f t="shared" si="51"/>
        <v>1</v>
      </c>
      <c r="Y166" s="247">
        <f t="shared" si="52"/>
        <v>4.53E-2</v>
      </c>
      <c r="Z166" s="247">
        <f t="shared" si="53"/>
        <v>5.8979999999999997</v>
      </c>
      <c r="AA166" s="247">
        <f t="shared" si="54"/>
        <v>5.8526999999999996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55"/>
        <v>1807</v>
      </c>
      <c r="AE166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6" s="234" t="str">
        <f t="shared" si="57"/>
        <v>"C:\Program Files (x86)\AstroGrep\AstroGrep.exe" /e /r /s /spath="%USERPROFILE%\AppData\Local\Temp\OnboardLogs" /stypes="app*4030*20171209*" /stext=" 16:.+((SYSTEM_STATE.+slice.+state.+changed )|(ment ac)|(multiple cpu faults)|(system.+state.+changed )|(\[timeout)|(PRM\|1\|D)|(kpr)|(kdp)|(train st.+moving)|(\|lc)|(penalty))"</v>
      </c>
      <c r="AG166" s="244" t="str">
        <f t="shared" si="58"/>
        <v>NW</v>
      </c>
      <c r="AH166" s="236" t="str">
        <f t="shared" si="59"/>
        <v>"%USERPROFILE%\Documents\GitHub\eaglep3\Utilities\RefineRTDCRunTimes.py" --tripid 1807-09 --locoid 4030 --swversion DE.1.0.9.0 --startMP 204:453 --initTime 2017-12-09T08:58:44 --startdatetime 2017-12-09T09:09:15 --delay 70 --endMP 300:58980 --enddatetime 2017-12-09T09:22:21 --enforcementcount 0 &gt;&gt;%USERPROFILE%\Documents\GitHub\eaglep3-reporting\EC\2017-12-09-refined-times.txt</v>
      </c>
      <c r="AI166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{"issue":{"subject":"","project_id":79,"tracker_id":40,"status_id":1,"priority_id":2,"assigned_to_id":338,"start_date":"2017-12-09","description":"","custom_fields":[{"id":1,"name":"Subdivision","value":"NW"},{"id":4,"name":"Milepost","value":"5.898"},{"id":17,"name":"Train ID","value":"1807-09"},{"id":16,"name":"Locomotive ID","value":"4030"},{"id":130,"name":"Impact","value":""},{"id":150,"name":"Time of Event (Mountain Time)","value":"09:22:21"},{"id":151,"name":"Denver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61"/>
        <v>start /low /b %USERPROFILE%\Documents\GitHub\eaglep3\Utilities\DownloadLogsFromS3.py --loco 4030 --day 2017-12-09</v>
      </c>
      <c r="AN166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63"/>
        <v>https://d0f6bd738d7f1b3e5a7ca70fe4ff75f0.us-east-1.aws.found.io/app/kibana#/discover/Steve-Slow-Train-Analysis-(2080s-and-2083s)?_g=(refreshInterval:(display:Off,pause:!f,section:0,value:0),time:(from:'2017-12-09T07:58:44-0700',mode:absolute,to:'2017-12-09T10:22:21-0700'))&amp;_a=(columns:!('Message%20ID',Summary),filters:!(),index:'emp_*',interval:auto,query:(query_string:(analyze_wildcard:!t,query:'%22rtdc.l.rtdc.4030%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688</v>
      </c>
      <c r="B167" s="225">
        <v>4029</v>
      </c>
      <c r="C167" s="227" t="s">
        <v>192</v>
      </c>
      <c r="D167" s="227" t="s">
        <v>967</v>
      </c>
      <c r="E167" s="226">
        <v>43078.392488425925</v>
      </c>
      <c r="F167" s="226">
        <v>43078.40420138889</v>
      </c>
      <c r="G167" s="225">
        <v>52</v>
      </c>
      <c r="H167" s="227" t="s">
        <v>968</v>
      </c>
      <c r="I167" s="226">
        <v>43078.412268518521</v>
      </c>
      <c r="J167" s="225">
        <v>0</v>
      </c>
      <c r="K167" s="237" t="str">
        <f t="shared" si="46"/>
        <v>4029/4030</v>
      </c>
      <c r="L167" s="245" t="str">
        <f>VLOOKUP(A167,'Trips&amp;Operators'!$C$1:$G$99911,5,FALSE)</f>
        <v>LAMAR NEKESHA</v>
      </c>
      <c r="M167" s="224">
        <f t="shared" si="47"/>
        <v>8.0671296309446916E-3</v>
      </c>
      <c r="N167" s="225">
        <f t="shared" si="64"/>
        <v>11.616666668560356</v>
      </c>
      <c r="O167" s="225"/>
      <c r="P167" s="225"/>
      <c r="Q167" s="228"/>
      <c r="R167" s="242"/>
      <c r="S167" s="249">
        <f t="shared" si="48"/>
        <v>1</v>
      </c>
      <c r="T167" s="242" t="str">
        <f t="shared" si="49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50"/>
        <v>https://d0f6bd738d7f1b3e5a7ca70fe4ff75f0.us-east-1.aws.found.io/app/kibana#/discover/Steve-Slow-Train-Analysis-(2080s-and-2083s)?_g=(refreshInterval:(display:Off,pause:!f,section:0,value:0),time:(from:'2017-12-09T08:25:11-0700',mode:absolute,to:'2017-12-09T10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247" t="str">
        <f>IF(AA167&lt;VLOOKUP(AG167,Variables!$AC$3:$AD$8,2,FALSE),"Y","N")</f>
        <v>Y</v>
      </c>
      <c r="X167" s="247">
        <f t="shared" si="51"/>
        <v>1</v>
      </c>
      <c r="Y167" s="247">
        <f t="shared" si="52"/>
        <v>5.8659999999999997</v>
      </c>
      <c r="Z167" s="247">
        <f t="shared" si="53"/>
        <v>0.4582</v>
      </c>
      <c r="AA167" s="247">
        <f t="shared" si="54"/>
        <v>5.4077999999999999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55"/>
        <v>1808</v>
      </c>
      <c r="AE167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7" s="234" t="str">
        <f t="shared" si="57"/>
        <v>"C:\Program Files (x86)\AstroGrep\AstroGrep.exe" /e /r /s /spath="%USERPROFILE%\AppData\Local\Temp\OnboardLogs" /stypes="app*4029*20171209*" /stext=" 16:.+((SYSTEM_STATE.+slice.+state.+changed )|(ment ac)|(multiple cpu faults)|(system.+state.+changed )|(\[timeout)|(PRM\|1\|D)|(kpr)|(kdp)|(train st.+moving)|(\|lc)|(penalty))"</v>
      </c>
      <c r="AG167" s="244" t="str">
        <f t="shared" si="58"/>
        <v>NW</v>
      </c>
      <c r="AH167" s="236" t="str">
        <f t="shared" si="59"/>
        <v>"%USERPROFILE%\Documents\GitHub\eaglep3\Utilities\RefineRTDCRunTimes.py" --tripid 1808-09 --locoid 4029 --swversion DE.1.0.9.0 --startMP 300:58660 --initTime 2017-12-09T09:25:11 --startdatetime 2017-12-09T09:42:03 --delay 52 --endMP 204:4582 --enddatetime 2017-12-09T09:53:40 --enforcementcount 0 &gt;&gt;%USERPROFILE%\Documents\GitHub\eaglep3-reporting\EC\2017-12-09-refined-times.txt</v>
      </c>
      <c r="AI167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{"issue":{"subject":"","project_id":79,"tracker_id":40,"status_id":1,"priority_id":2,"assigned_to_id":338,"start_date":"2017-12-09","description":"","custom_fields":[{"id":1,"name":"Subdivision","value":"NW"},{"id":4,"name":"Milepost","value":"0.4582"},{"id":17,"name":"Train ID","value":"1808-09"},{"id":16,"name":"Locomotive ID","value":"4029"},{"id":130,"name":"Impact","value":""},{"id":150,"name":"Time of Event (Mountain Time)","value":"09:53:40"},{"id":151,"name":"Denver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61"/>
        <v>start /low /b %USERPROFILE%\Documents\GitHub\eaglep3\Utilities\DownloadLogsFromS3.py --loco 4029 --day 2017-12-09</v>
      </c>
      <c r="AN167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63"/>
        <v>https://d0f6bd738d7f1b3e5a7ca70fe4ff75f0.us-east-1.aws.found.io/app/kibana#/discover/Steve-Slow-Train-Analysis-(2080s-and-2083s)?_g=(refreshInterval:(display:Off,pause:!f,section:0,value:0),time:(from:'2017-12-09T08:25:11-0700',mode:absolute,to:'2017-12-09T10:53:40-0700'))&amp;_a=(columns:!('Message%20ID',Summary),filters:!(),index:'emp_*',interval:auto,query:(query_string:(analyze_wildcard:!t,query:'%22rtdc.l.rtdc.4029%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29" t="s">
        <v>689</v>
      </c>
      <c r="B168" s="225">
        <v>4030</v>
      </c>
      <c r="C168" s="227" t="s">
        <v>192</v>
      </c>
      <c r="D168" s="227" t="s">
        <v>962</v>
      </c>
      <c r="E168" s="226">
        <v>43078.415625000001</v>
      </c>
      <c r="F168" s="226">
        <v>43078.423078703701</v>
      </c>
      <c r="G168" s="225">
        <v>53</v>
      </c>
      <c r="H168" s="227" t="s">
        <v>661</v>
      </c>
      <c r="I168" s="226">
        <v>43078.432268518518</v>
      </c>
      <c r="J168" s="225">
        <v>0</v>
      </c>
      <c r="K168" s="237" t="str">
        <f t="shared" si="46"/>
        <v>4029/4030</v>
      </c>
      <c r="L168" s="245" t="str">
        <f>VLOOKUP(A168,'Trips&amp;Operators'!$C$1:$G$99911,5,FALSE)</f>
        <v>LAMAR NEKESHA</v>
      </c>
      <c r="M168" s="224">
        <f t="shared" si="47"/>
        <v>9.189814816636499E-3</v>
      </c>
      <c r="N168" s="225">
        <f t="shared" si="64"/>
        <v>13.233333335956559</v>
      </c>
      <c r="O168" s="225"/>
      <c r="P168" s="225"/>
      <c r="Q168" s="228"/>
      <c r="R168" s="242"/>
      <c r="S168" s="249">
        <f t="shared" si="48"/>
        <v>1</v>
      </c>
      <c r="T168" s="242" t="str">
        <f t="shared" si="49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50"/>
        <v>https://d0f6bd738d7f1b3e5a7ca70fe4ff75f0.us-east-1.aws.found.io/app/kibana#/discover/Steve-Slow-Train-Analysis-(2080s-and-2083s)?_g=(refreshInterval:(display:Off,pause:!f,section:0,value:0),time:(from:'2017-12-09T08:58:30-0700',mode:absolute,to:'2017-12-09T11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247" t="str">
        <f>IF(AA168&lt;VLOOKUP(AG168,Variables!$AC$3:$AD$8,2,FALSE),"Y","N")</f>
        <v>N</v>
      </c>
      <c r="X168" s="247">
        <f t="shared" si="51"/>
        <v>1</v>
      </c>
      <c r="Y168" s="247">
        <f t="shared" si="52"/>
        <v>4.3900000000000002E-2</v>
      </c>
      <c r="Z168" s="247">
        <f t="shared" si="53"/>
        <v>5.8994999999999997</v>
      </c>
      <c r="AA168" s="247">
        <f t="shared" si="54"/>
        <v>5.8555999999999999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55"/>
        <v>1809</v>
      </c>
      <c r="AE168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8" s="234" t="str">
        <f t="shared" si="57"/>
        <v>"C:\Program Files (x86)\AstroGrep\AstroGrep.exe" /e /r /s /spath="%USERPROFILE%\AppData\Local\Temp\OnboardLogs" /stypes="app*4030*20171209*" /stext=" 17:.+((SYSTEM_STATE.+slice.+state.+changed )|(ment ac)|(multiple cpu faults)|(system.+state.+changed )|(\[timeout)|(PRM\|1\|D)|(kpr)|(kdp)|(train st.+moving)|(\|lc)|(penalty))"</v>
      </c>
      <c r="AG168" s="244" t="str">
        <f t="shared" si="58"/>
        <v>NW</v>
      </c>
      <c r="AH168" s="236" t="str">
        <f t="shared" si="59"/>
        <v>"%USERPROFILE%\Documents\GitHub\eaglep3\Utilities\RefineRTDCRunTimes.py" --tripid 1809-09 --locoid 4030 --swversion DE.1.0.9.0 --startMP 204:439 --initTime 2017-12-09T09:58:30 --startdatetime 2017-12-09T10:09:14 --delay 53 --endMP 300:58995 --enddatetime 2017-12-09T10:22:28 --enforcementcount 0 &gt;&gt;%USERPROFILE%\Documents\GitHub\eaglep3-reporting\EC\2017-12-09-refined-times.txt</v>
      </c>
      <c r="AI168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{"issue":{"subject":"","project_id":79,"tracker_id":40,"status_id":1,"priority_id":2,"assigned_to_id":338,"start_date":"2017-12-09","description":"","custom_fields":[{"id":1,"name":"Subdivision","value":"NW"},{"id":4,"name":"Milepost","value":"5.8995"},{"id":17,"name":"Train ID","value":"1809-09"},{"id":16,"name":"Locomotive ID","value":"4030"},{"id":130,"name":"Impact","value":""},{"id":150,"name":"Time of Event (Mountain Time)","value":"10:22:28"},{"id":151,"name":"Denver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61"/>
        <v>start /low /b %USERPROFILE%\Documents\GitHub\eaglep3\Utilities\DownloadLogsFromS3.py --loco 4030 --day 2017-12-09</v>
      </c>
      <c r="AN168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63"/>
        <v>https://d0f6bd738d7f1b3e5a7ca70fe4ff75f0.us-east-1.aws.found.io/app/kibana#/discover/Steve-Slow-Train-Analysis-(2080s-and-2083s)?_g=(refreshInterval:(display:Off,pause:!f,section:0,value:0),time:(from:'2017-12-09T08:58:30-0700',mode:absolute,to:'2017-12-09T11:22:28-0700'))&amp;_a=(columns:!('Message%20ID',Summary),filters:!(),index:'emp_*',interval:auto,query:(query_string:(analyze_wildcard:!t,query:'%22rtdc.l.rtdc.4030%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29" t="s">
        <v>766</v>
      </c>
      <c r="B169" s="225">
        <v>4029</v>
      </c>
      <c r="C169" s="227" t="s">
        <v>192</v>
      </c>
      <c r="D169" s="227" t="s">
        <v>639</v>
      </c>
      <c r="E169" s="226">
        <v>43078.433298611111</v>
      </c>
      <c r="F169" s="226">
        <v>43078.446597222224</v>
      </c>
      <c r="G169" s="225">
        <v>57</v>
      </c>
      <c r="H169" s="227" t="s">
        <v>595</v>
      </c>
      <c r="I169" s="226">
        <v>43078.455034722225</v>
      </c>
      <c r="J169" s="225">
        <v>0</v>
      </c>
      <c r="K169" s="237" t="str">
        <f t="shared" si="46"/>
        <v>4029/4030</v>
      </c>
      <c r="L169" s="245" t="str">
        <f>VLOOKUP(A169,'Trips&amp;Operators'!$C$1:$G$99911,5,FALSE)</f>
        <v>LAMAR NEKESHA</v>
      </c>
      <c r="M169" s="224">
        <f t="shared" si="47"/>
        <v>8.4375000005820766E-3</v>
      </c>
      <c r="N169" s="225">
        <f t="shared" si="64"/>
        <v>12.15000000083819</v>
      </c>
      <c r="O169" s="225"/>
      <c r="P169" s="225"/>
      <c r="Q169" s="228"/>
      <c r="R169" s="242"/>
      <c r="S169" s="249">
        <f t="shared" si="48"/>
        <v>1</v>
      </c>
      <c r="T169" s="242" t="str">
        <f t="shared" si="49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50"/>
        <v>https://d0f6bd738d7f1b3e5a7ca70fe4ff75f0.us-east-1.aws.found.io/app/kibana#/discover/Steve-Slow-Train-Analysis-(2080s-and-2083s)?_g=(refreshInterval:(display:Off,pause:!f,section:0,value:0),time:(from:'2017-12-09T09:23:57-0700',mode:absolute,to:'2017-12-09T11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247" t="str">
        <f>IF(AA169&lt;VLOOKUP(AG169,Variables!$AC$3:$AD$8,2,FALSE),"Y","N")</f>
        <v>N</v>
      </c>
      <c r="X169" s="247">
        <f t="shared" si="51"/>
        <v>1</v>
      </c>
      <c r="Y169" s="247">
        <f t="shared" si="52"/>
        <v>5.867</v>
      </c>
      <c r="Z169" s="247">
        <f t="shared" si="53"/>
        <v>1.5800000000000002E-2</v>
      </c>
      <c r="AA169" s="247">
        <f t="shared" si="54"/>
        <v>5.8512000000000004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55"/>
        <v>1810</v>
      </c>
      <c r="AE169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9" s="234" t="str">
        <f t="shared" si="57"/>
        <v>"C:\Program Files (x86)\AstroGrep\AstroGrep.exe" /e /r /s /spath="%USERPROFILE%\AppData\Local\Temp\OnboardLogs" /stypes="app*4029*20171209*" /stext=" 17:.+((SYSTEM_STATE.+slice.+state.+changed )|(ment ac)|(multiple cpu faults)|(system.+state.+changed )|(\[timeout)|(PRM\|1\|D)|(kpr)|(kdp)|(train st.+moving)|(\|lc)|(penalty))"</v>
      </c>
      <c r="AG169" s="244" t="str">
        <f t="shared" si="58"/>
        <v>NW</v>
      </c>
      <c r="AH169" s="236" t="str">
        <f t="shared" si="59"/>
        <v>"%USERPROFILE%\Documents\GitHub\eaglep3\Utilities\RefineRTDCRunTimes.py" --tripid 1810-09 --locoid 4029 --swversion DE.1.0.9.0 --startMP 300:58670 --initTime 2017-12-09T10:23:57 --startdatetime 2017-12-09T10:43:06 --delay 57 --endMP 204:158 --enddatetime 2017-12-09T10:55:15 --enforcementcount 0 &gt;&gt;%USERPROFILE%\Documents\GitHub\eaglep3-reporting\EC\2017-12-09-refined-times.txt</v>
      </c>
      <c r="AI169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{"issue":{"subject":"","project_id":79,"tracker_id":40,"status_id":1,"priority_id":2,"assigned_to_id":338,"start_date":"2017-12-09","description":"","custom_fields":[{"id":1,"name":"Subdivision","value":"NW"},{"id":4,"name":"Milepost","value":"0.0158"},{"id":17,"name":"Train ID","value":"1810-09"},{"id":16,"name":"Locomotive ID","value":"4029"},{"id":130,"name":"Impact","value":""},{"id":150,"name":"Time of Event (Mountain Time)","value":"10:55:15"},{"id":151,"name":"Denver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61"/>
        <v>start /low /b %USERPROFILE%\Documents\GitHub\eaglep3\Utilities\DownloadLogsFromS3.py --loco 4029 --day 2017-12-09</v>
      </c>
      <c r="AN169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63"/>
        <v>https://d0f6bd738d7f1b3e5a7ca70fe4ff75f0.us-east-1.aws.found.io/app/kibana#/discover/Steve-Slow-Train-Analysis-(2080s-and-2083s)?_g=(refreshInterval:(display:Off,pause:!f,section:0,value:0),time:(from:'2017-12-09T09:23:57-0700',mode:absolute,to:'2017-12-09T11:55:15-0700'))&amp;_a=(columns:!('Message%20ID',Summary),filters:!(),index:'emp_*',interval:auto,query:(query_string:(analyze_wildcard:!t,query:'%22rtdc.l.rtdc.4029%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9" t="s">
        <v>771</v>
      </c>
      <c r="B170" s="225">
        <v>4030</v>
      </c>
      <c r="C170" s="227" t="s">
        <v>192</v>
      </c>
      <c r="D170" s="227" t="s">
        <v>935</v>
      </c>
      <c r="E170" s="226">
        <v>43078.456446759257</v>
      </c>
      <c r="F170" s="226">
        <v>43078.464745370373</v>
      </c>
      <c r="G170" s="225">
        <v>73</v>
      </c>
      <c r="H170" s="227" t="s">
        <v>969</v>
      </c>
      <c r="I170" s="226">
        <v>43078.474409722221</v>
      </c>
      <c r="J170" s="225">
        <v>0</v>
      </c>
      <c r="K170" s="237" t="str">
        <f t="shared" si="46"/>
        <v>4029/4030</v>
      </c>
      <c r="L170" s="245" t="str">
        <f>VLOOKUP(A170,'Trips&amp;Operators'!$C$1:$G$99911,5,FALSE)</f>
        <v>LAMAR NEKESHA</v>
      </c>
      <c r="M170" s="224">
        <f t="shared" si="47"/>
        <v>9.6643518481869251E-3</v>
      </c>
      <c r="N170" s="225">
        <f t="shared" si="64"/>
        <v>13.916666661389172</v>
      </c>
      <c r="O170" s="225"/>
      <c r="P170" s="225"/>
      <c r="Q170" s="228"/>
      <c r="R170" s="242"/>
      <c r="S170" s="249">
        <f t="shared" si="48"/>
        <v>1</v>
      </c>
      <c r="T170" s="242" t="str">
        <f t="shared" si="49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50"/>
        <v>https://d0f6bd738d7f1b3e5a7ca70fe4ff75f0.us-east-1.aws.found.io/app/kibana#/discover/Steve-Slow-Train-Analysis-(2080s-and-2083s)?_g=(refreshInterval:(display:Off,pause:!f,section:0,value:0),time:(from:'2017-12-09T09:57:17-0700',mode:absolute,to:'2017-12-09T12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0" s="247" t="str">
        <f>IF(AA170&lt;VLOOKUP(AG170,Variables!$AC$3:$AD$8,2,FALSE),"Y","N")</f>
        <v>N</v>
      </c>
      <c r="X170" s="247">
        <f t="shared" si="51"/>
        <v>1</v>
      </c>
      <c r="Y170" s="247">
        <f t="shared" si="52"/>
        <v>4.6199999999999998E-2</v>
      </c>
      <c r="Z170" s="247">
        <f t="shared" si="53"/>
        <v>5.8978000000000002</v>
      </c>
      <c r="AA170" s="247">
        <f t="shared" si="54"/>
        <v>5.8516000000000004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55"/>
        <v>1811</v>
      </c>
      <c r="AE170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0" s="234" t="str">
        <f t="shared" si="57"/>
        <v>"C:\Program Files (x86)\AstroGrep\AstroGrep.exe" /e /r /s /spath="%USERPROFILE%\AppData\Local\Temp\OnboardLogs" /stypes="app*4030*20171209*" /stext=" 18:.+((SYSTEM_STATE.+slice.+state.+changed )|(ment ac)|(multiple cpu faults)|(system.+state.+changed )|(\[timeout)|(PRM\|1\|D)|(kpr)|(kdp)|(train st.+moving)|(\|lc)|(penalty))"</v>
      </c>
      <c r="AG170" s="244" t="str">
        <f t="shared" si="58"/>
        <v>NW</v>
      </c>
      <c r="AH170" s="236" t="str">
        <f t="shared" si="59"/>
        <v>"%USERPROFILE%\Documents\GitHub\eaglep3\Utilities\RefineRTDCRunTimes.py" --tripid 1811-09 --locoid 4030 --swversion DE.1.0.9.0 --startMP 204:462 --initTime 2017-12-09T10:57:17 --startdatetime 2017-12-09T11:09:14 --delay 73 --endMP 300:58978 --enddatetime 2017-12-09T11:23:09 --enforcementcount 0 &gt;&gt;%USERPROFILE%\Documents\GitHub\eaglep3-reporting\EC\2017-12-09-refined-times.txt</v>
      </c>
      <c r="AI170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{"issue":{"subject":"","project_id":79,"tracker_id":40,"status_id":1,"priority_id":2,"assigned_to_id":338,"start_date":"2017-12-09","description":"","custom_fields":[{"id":1,"name":"Subdivision","value":"NW"},{"id":4,"name":"Milepost","value":"5.8978"},{"id":17,"name":"Train ID","value":"1811-09"},{"id":16,"name":"Locomotive ID","value":"4030"},{"id":130,"name":"Impact","value":""},{"id":150,"name":"Time of Event (Mountain Time)","value":"11:23:09"},{"id":151,"name":"Denver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61"/>
        <v>start /low /b %USERPROFILE%\Documents\GitHub\eaglep3\Utilities\DownloadLogsFromS3.py --loco 4030 --day 2017-12-09</v>
      </c>
      <c r="AN170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63"/>
        <v>https://d0f6bd738d7f1b3e5a7ca70fe4ff75f0.us-east-1.aws.found.io/app/kibana#/discover/Steve-Slow-Train-Analysis-(2080s-and-2083s)?_g=(refreshInterval:(display:Off,pause:!f,section:0,value:0),time:(from:'2017-12-09T09:57:17-0700',mode:absolute,to:'2017-12-09T12:23:09-0700'))&amp;_a=(columns:!('Message%20ID',Summary),filters:!(),index:'emp_*',interval:auto,query:(query_string:(analyze_wildcard:!t,query:'%22rtdc.l.rtdc.4030%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9" t="s">
        <v>777</v>
      </c>
      <c r="B171" s="225">
        <v>4029</v>
      </c>
      <c r="C171" s="227" t="s">
        <v>192</v>
      </c>
      <c r="D171" s="227" t="s">
        <v>644</v>
      </c>
      <c r="E171" s="226">
        <v>43078.475648148145</v>
      </c>
      <c r="F171" s="226">
        <v>43078.486990740741</v>
      </c>
      <c r="G171" s="225">
        <v>52</v>
      </c>
      <c r="H171" s="227" t="s">
        <v>641</v>
      </c>
      <c r="I171" s="226">
        <v>43078.496793981481</v>
      </c>
      <c r="J171" s="225">
        <v>0</v>
      </c>
      <c r="K171" s="237" t="str">
        <f t="shared" si="46"/>
        <v>4029/4030</v>
      </c>
      <c r="L171" s="245" t="str">
        <f>VLOOKUP(A171,'Trips&amp;Operators'!$C$1:$G$99911,5,FALSE)</f>
        <v>LAMAR NEKESHA</v>
      </c>
      <c r="M171" s="224">
        <f t="shared" si="47"/>
        <v>9.8032407404389232E-3</v>
      </c>
      <c r="N171" s="225">
        <f t="shared" si="64"/>
        <v>14.116666666232049</v>
      </c>
      <c r="O171" s="225"/>
      <c r="P171" s="225"/>
      <c r="Q171" s="228"/>
      <c r="R171" s="242"/>
      <c r="S171" s="249">
        <f t="shared" si="48"/>
        <v>1</v>
      </c>
      <c r="T171" s="242" t="str">
        <f t="shared" si="49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50"/>
        <v>https://d0f6bd738d7f1b3e5a7ca70fe4ff75f0.us-east-1.aws.found.io/app/kibana#/discover/Steve-Slow-Train-Analysis-(2080s-and-2083s)?_g=(refreshInterval:(display:Off,pause:!f,section:0,value:0),time:(from:'2017-12-09T10:24:56-0700',mode:absolute,to:'2017-12-09T12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1" s="247" t="str">
        <f>IF(AA171&lt;VLOOKUP(AG171,Variables!$AC$3:$AD$8,2,FALSE),"Y","N")</f>
        <v>N</v>
      </c>
      <c r="X171" s="247">
        <f t="shared" si="51"/>
        <v>1</v>
      </c>
      <c r="Y171" s="247">
        <f t="shared" si="52"/>
        <v>5.8651</v>
      </c>
      <c r="Z171" s="247">
        <f t="shared" si="53"/>
        <v>1.6400000000000001E-2</v>
      </c>
      <c r="AA171" s="247">
        <f t="shared" si="54"/>
        <v>5.8487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55"/>
        <v>1812</v>
      </c>
      <c r="AE171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1" s="234" t="str">
        <f t="shared" si="57"/>
        <v>"C:\Program Files (x86)\AstroGrep\AstroGrep.exe" /e /r /s /spath="%USERPROFILE%\AppData\Local\Temp\OnboardLogs" /stypes="app*4029*20171209*" /stext=" 18:.+((SYSTEM_STATE.+slice.+state.+changed )|(ment ac)|(multiple cpu faults)|(system.+state.+changed )|(\[timeout)|(PRM\|1\|D)|(kpr)|(kdp)|(train st.+moving)|(\|lc)|(penalty))"</v>
      </c>
      <c r="AG171" s="244" t="str">
        <f t="shared" si="58"/>
        <v>NW</v>
      </c>
      <c r="AH171" s="236" t="str">
        <f t="shared" si="59"/>
        <v>"%USERPROFILE%\Documents\GitHub\eaglep3\Utilities\RefineRTDCRunTimes.py" --tripid 1812-09 --locoid 4029 --swversion DE.1.0.9.0 --startMP 300:58651 --initTime 2017-12-09T11:24:56 --startdatetime 2017-12-09T11:41:16 --delay 52 --endMP 204:164 --enddatetime 2017-12-09T11:55:23 --enforcementcount 0 &gt;&gt;%USERPROFILE%\Documents\GitHub\eaglep3-reporting\EC\2017-12-09-refined-times.txt</v>
      </c>
      <c r="AI171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{"issue":{"subject":"","project_id":79,"tracker_id":40,"status_id":1,"priority_id":2,"assigned_to_id":338,"start_date":"2017-12-09","description":"","custom_fields":[{"id":1,"name":"Subdivision","value":"NW"},{"id":4,"name":"Milepost","value":"0.0164"},{"id":17,"name":"Train ID","value":"1812-09"},{"id":16,"name":"Locomotive ID","value":"4029"},{"id":130,"name":"Impact","value":""},{"id":150,"name":"Time of Event (Mountain Time)","value":"11:55:23"},{"id":151,"name":"Denver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61"/>
        <v>start /low /b %USERPROFILE%\Documents\GitHub\eaglep3\Utilities\DownloadLogsFromS3.py --loco 4029 --day 2017-12-09</v>
      </c>
      <c r="AN171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63"/>
        <v>https://d0f6bd738d7f1b3e5a7ca70fe4ff75f0.us-east-1.aws.found.io/app/kibana#/discover/Steve-Slow-Train-Analysis-(2080s-and-2083s)?_g=(refreshInterval:(display:Off,pause:!f,section:0,value:0),time:(from:'2017-12-09T10:24:56-0700',mode:absolute,to:'2017-12-09T12:55:23-0700'))&amp;_a=(columns:!('Message%20ID',Summary),filters:!(),index:'emp_*',interval:auto,query:(query_string:(analyze_wildcard:!t,query:'%22rtdc.l.rtdc.4029%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690</v>
      </c>
      <c r="B172" s="225">
        <v>4030</v>
      </c>
      <c r="C172" s="227" t="s">
        <v>192</v>
      </c>
      <c r="D172" s="227" t="s">
        <v>648</v>
      </c>
      <c r="E172" s="226">
        <v>43078.498402777775</v>
      </c>
      <c r="F172" s="226">
        <v>43078.506493055553</v>
      </c>
      <c r="G172" s="225">
        <v>54</v>
      </c>
      <c r="H172" s="227" t="s">
        <v>970</v>
      </c>
      <c r="I172" s="226">
        <v>43078.5158912037</v>
      </c>
      <c r="J172" s="225">
        <v>0</v>
      </c>
      <c r="K172" s="237" t="str">
        <f t="shared" si="46"/>
        <v>4029/4030</v>
      </c>
      <c r="L172" s="245" t="str">
        <f>VLOOKUP(A172,'Trips&amp;Operators'!$C$1:$G$99911,5,FALSE)</f>
        <v>LAMAR NEKESHA</v>
      </c>
      <c r="M172" s="224">
        <f t="shared" si="47"/>
        <v>9.3981481477385387E-3</v>
      </c>
      <c r="N172" s="225">
        <f t="shared" si="64"/>
        <v>13.533333332743496</v>
      </c>
      <c r="O172" s="225"/>
      <c r="P172" s="225"/>
      <c r="Q172" s="228"/>
      <c r="R172" s="242"/>
      <c r="S172" s="249">
        <f t="shared" si="48"/>
        <v>1</v>
      </c>
      <c r="T172" s="242" t="str">
        <f t="shared" si="49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50"/>
        <v>https://d0f6bd738d7f1b3e5a7ca70fe4ff75f0.us-east-1.aws.found.io/app/kibana#/discover/Steve-Slow-Train-Analysis-(2080s-and-2083s)?_g=(refreshInterval:(display:Off,pause:!f,section:0,value:0),time:(from:'2017-12-09T10:57:42-0700',mode:absolute,to:'2017-12-09T13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2" s="247" t="str">
        <f>IF(AA172&lt;VLOOKUP(AG172,Variables!$AC$3:$AD$8,2,FALSE),"Y","N")</f>
        <v>N</v>
      </c>
      <c r="X172" s="247">
        <f t="shared" si="51"/>
        <v>1</v>
      </c>
      <c r="Y172" s="247">
        <f t="shared" si="52"/>
        <v>4.6800000000000001E-2</v>
      </c>
      <c r="Z172" s="247">
        <f t="shared" si="53"/>
        <v>5.8952</v>
      </c>
      <c r="AA172" s="247">
        <f t="shared" si="54"/>
        <v>5.8483999999999998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55"/>
        <v>1813</v>
      </c>
      <c r="AE172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2" s="234" t="str">
        <f t="shared" si="57"/>
        <v>"C:\Program Files (x86)\AstroGrep\AstroGrep.exe" /e /r /s /spath="%USERPROFILE%\AppData\Local\Temp\OnboardLogs" /stypes="app*4030*20171209*" /stext=" 19:.+((SYSTEM_STATE.+slice.+state.+changed )|(ment ac)|(multiple cpu faults)|(system.+state.+changed )|(\[timeout)|(PRM\|1\|D)|(kpr)|(kdp)|(train st.+moving)|(\|lc)|(penalty))"</v>
      </c>
      <c r="AG172" s="244" t="str">
        <f t="shared" si="58"/>
        <v>NW</v>
      </c>
      <c r="AH172" s="236" t="str">
        <f t="shared" si="59"/>
        <v>"%USERPROFILE%\Documents\GitHub\eaglep3\Utilities\RefineRTDCRunTimes.py" --tripid 1813-09 --locoid 4030 --swversion DE.1.0.9.0 --startMP 204:468 --initTime 2017-12-09T11:57:42 --startdatetime 2017-12-09T12:09:21 --delay 54 --endMP 300:58952 --enddatetime 2017-12-09T12:22:53 --enforcementcount 0 &gt;&gt;%USERPROFILE%\Documents\GitHub\eaglep3-reporting\EC\2017-12-09-refined-times.txt</v>
      </c>
      <c r="AI172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{"issue":{"subject":"","project_id":79,"tracker_id":40,"status_id":1,"priority_id":2,"assigned_to_id":338,"start_date":"2017-12-09","description":"","custom_fields":[{"id":1,"name":"Subdivision","value":"NW"},{"id":4,"name":"Milepost","value":"5.8952"},{"id":17,"name":"Train ID","value":"1813-09"},{"id":16,"name":"Locomotive ID","value":"4030"},{"id":130,"name":"Impact","value":""},{"id":150,"name":"Time of Event (Mountain Time)","value":"12:22:53"},{"id":151,"name":"Denver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61"/>
        <v>start /low /b %USERPROFILE%\Documents\GitHub\eaglep3\Utilities\DownloadLogsFromS3.py --loco 4030 --day 2017-12-09</v>
      </c>
      <c r="AN172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63"/>
        <v>https://d0f6bd738d7f1b3e5a7ca70fe4ff75f0.us-east-1.aws.found.io/app/kibana#/discover/Steve-Slow-Train-Analysis-(2080s-and-2083s)?_g=(refreshInterval:(display:Off,pause:!f,section:0,value:0),time:(from:'2017-12-09T10:57:42-0700',mode:absolute,to:'2017-12-09T13:22:53-0700'))&amp;_a=(columns:!('Message%20ID',Summary),filters:!(),index:'emp_*',interval:auto,query:(query_string:(analyze_wildcard:!t,query:'%22rtdc.l.rtdc.4030%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785</v>
      </c>
      <c r="B173" s="225">
        <v>4029</v>
      </c>
      <c r="C173" s="227" t="s">
        <v>192</v>
      </c>
      <c r="D173" s="227" t="s">
        <v>657</v>
      </c>
      <c r="E173" s="226">
        <v>43078.51703703704</v>
      </c>
      <c r="F173" s="226">
        <v>43078.529942129629</v>
      </c>
      <c r="G173" s="225">
        <v>56</v>
      </c>
      <c r="H173" s="227" t="s">
        <v>971</v>
      </c>
      <c r="I173" s="226">
        <v>43078.538449074076</v>
      </c>
      <c r="J173" s="225">
        <v>0</v>
      </c>
      <c r="K173" s="237" t="str">
        <f t="shared" si="46"/>
        <v>4029/4030</v>
      </c>
      <c r="L173" s="245" t="str">
        <f>VLOOKUP(A173,'Trips&amp;Operators'!$C$1:$G$99911,5,FALSE)</f>
        <v>LAMAR NEKESHA</v>
      </c>
      <c r="M173" s="224">
        <f t="shared" si="47"/>
        <v>8.5069444467080757E-3</v>
      </c>
      <c r="N173" s="225">
        <f t="shared" si="64"/>
        <v>12.250000003259629</v>
      </c>
      <c r="O173" s="225"/>
      <c r="P173" s="225"/>
      <c r="Q173" s="228"/>
      <c r="R173" s="242"/>
      <c r="S173" s="249">
        <f t="shared" si="48"/>
        <v>1</v>
      </c>
      <c r="T173" s="242" t="str">
        <f t="shared" si="49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50"/>
        <v>https://d0f6bd738d7f1b3e5a7ca70fe4ff75f0.us-east-1.aws.found.io/app/kibana#/discover/Steve-Slow-Train-Analysis-(2080s-and-2083s)?_g=(refreshInterval:(display:Off,pause:!f,section:0,value:0),time:(from:'2017-12-09T11:24:32-0700',mode:absolute,to:'2017-12-09T13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3" s="247" t="str">
        <f>IF(AA173&lt;VLOOKUP(AG173,Variables!$AC$3:$AD$8,2,FALSE),"Y","N")</f>
        <v>N</v>
      </c>
      <c r="X173" s="247">
        <f t="shared" si="51"/>
        <v>1</v>
      </c>
      <c r="Y173" s="247">
        <f t="shared" si="52"/>
        <v>5.8643000000000001</v>
      </c>
      <c r="Z173" s="247">
        <f t="shared" si="53"/>
        <v>1.5699999999999999E-2</v>
      </c>
      <c r="AA173" s="247">
        <f t="shared" si="54"/>
        <v>5.8486000000000002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55"/>
        <v>1814</v>
      </c>
      <c r="AE173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3" s="234" t="str">
        <f t="shared" si="57"/>
        <v>"C:\Program Files (x86)\AstroGrep\AstroGrep.exe" /e /r /s /spath="%USERPROFILE%\AppData\Local\Temp\OnboardLogs" /stypes="app*4029*20171209*" /stext=" 19:.+((SYSTEM_STATE.+slice.+state.+changed )|(ment ac)|(multiple cpu faults)|(system.+state.+changed )|(\[timeout)|(PRM\|1\|D)|(kpr)|(kdp)|(train st.+moving)|(\|lc)|(penalty))"</v>
      </c>
      <c r="AG173" s="244" t="str">
        <f t="shared" si="58"/>
        <v>NW</v>
      </c>
      <c r="AH173" s="236" t="str">
        <f t="shared" si="59"/>
        <v>"%USERPROFILE%\Documents\GitHub\eaglep3\Utilities\RefineRTDCRunTimes.py" --tripid 1814-09 --locoid 4029 --swversion DE.1.0.9.0 --startMP 300:58643 --initTime 2017-12-09T12:24:32 --startdatetime 2017-12-09T12:43:07 --delay 56 --endMP 204:157 --enddatetime 2017-12-09T12:55:22 --enforcementcount 0 &gt;&gt;%USERPROFILE%\Documents\GitHub\eaglep3-reporting\EC\2017-12-09-refined-times.txt</v>
      </c>
      <c r="AI173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{"issue":{"subject":"","project_id":79,"tracker_id":40,"status_id":1,"priority_id":2,"assigned_to_id":338,"start_date":"2017-12-09","description":"","custom_fields":[{"id":1,"name":"Subdivision","value":"NW"},{"id":4,"name":"Milepost","value":"0.0157"},{"id":17,"name":"Train ID","value":"1814-09"},{"id":16,"name":"Locomotive ID","value":"4029"},{"id":130,"name":"Impact","value":""},{"id":150,"name":"Time of Event (Mountain Time)","value":"12:55:22"},{"id":151,"name":"Denver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61"/>
        <v>start /low /b %USERPROFILE%\Documents\GitHub\eaglep3\Utilities\DownloadLogsFromS3.py --loco 4029 --day 2017-12-09</v>
      </c>
      <c r="AN173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63"/>
        <v>https://d0f6bd738d7f1b3e5a7ca70fe4ff75f0.us-east-1.aws.found.io/app/kibana#/discover/Steve-Slow-Train-Analysis-(2080s-and-2083s)?_g=(refreshInterval:(display:Off,pause:!f,section:0,value:0),time:(from:'2017-12-09T11:24:32-0700',mode:absolute,to:'2017-12-09T13:55:22-0700'))&amp;_a=(columns:!('Message%20ID',Summary),filters:!(),index:'emp_*',interval:auto,query:(query_string:(analyze_wildcard:!t,query:'%22rtdc.l.rtdc.4029%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691</v>
      </c>
      <c r="B174" s="225">
        <v>4030</v>
      </c>
      <c r="C174" s="227" t="s">
        <v>192</v>
      </c>
      <c r="D174" s="227" t="s">
        <v>553</v>
      </c>
      <c r="E174" s="226">
        <v>43078.5466087963</v>
      </c>
      <c r="F174" s="226">
        <v>43078.548078703701</v>
      </c>
      <c r="G174" s="225">
        <v>50</v>
      </c>
      <c r="H174" s="227" t="s">
        <v>972</v>
      </c>
      <c r="I174" s="226">
        <v>43078.557754629626</v>
      </c>
      <c r="J174" s="225">
        <v>0</v>
      </c>
      <c r="K174" s="237" t="str">
        <f t="shared" si="46"/>
        <v>4029/4030</v>
      </c>
      <c r="L174" s="245" t="str">
        <f>VLOOKUP(A174,'Trips&amp;Operators'!$C$1:$G$99911,5,FALSE)</f>
        <v>LAMAR NEKESHA</v>
      </c>
      <c r="M174" s="224">
        <f t="shared" si="47"/>
        <v>9.6759259249665774E-3</v>
      </c>
      <c r="N174" s="225">
        <f t="shared" si="64"/>
        <v>13.933333331951872</v>
      </c>
      <c r="O174" s="225"/>
      <c r="P174" s="225"/>
      <c r="Q174" s="228"/>
      <c r="R174" s="242"/>
      <c r="S174" s="249">
        <f t="shared" si="48"/>
        <v>1</v>
      </c>
      <c r="T174" s="242" t="str">
        <f t="shared" si="49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50"/>
        <v>https://d0f6bd738d7f1b3e5a7ca70fe4ff75f0.us-east-1.aws.found.io/app/kibana#/discover/Steve-Slow-Train-Analysis-(2080s-and-2083s)?_g=(refreshInterval:(display:Off,pause:!f,section:0,value:0),time:(from:'2017-12-09T12:07:07-0700',mode:absolute,to:'2017-12-09T14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4" s="247" t="str">
        <f>IF(AA174&lt;VLOOKUP(AG174,Variables!$AC$3:$AD$8,2,FALSE),"Y","N")</f>
        <v>N</v>
      </c>
      <c r="X174" s="247">
        <f t="shared" si="51"/>
        <v>1</v>
      </c>
      <c r="Y174" s="247">
        <f t="shared" si="52"/>
        <v>4.4200000000000003E-2</v>
      </c>
      <c r="Z174" s="247">
        <f t="shared" si="53"/>
        <v>5.8992000000000004</v>
      </c>
      <c r="AA174" s="247">
        <f t="shared" si="54"/>
        <v>5.8550000000000004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55"/>
        <v>1815</v>
      </c>
      <c r="AE174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4" s="234" t="str">
        <f t="shared" si="57"/>
        <v>"C:\Program Files (x86)\AstroGrep\AstroGrep.exe" /e /r /s /spath="%USERPROFILE%\AppData\Local\Temp\OnboardLogs" /stypes="app*4030*20171209*" /stext=" 20:.+((SYSTEM_STATE.+slice.+state.+changed )|(ment ac)|(multiple cpu faults)|(system.+state.+changed )|(\[timeout)|(PRM\|1\|D)|(kpr)|(kdp)|(train st.+moving)|(\|lc)|(penalty))"</v>
      </c>
      <c r="AG174" s="244" t="str">
        <f t="shared" si="58"/>
        <v>NW</v>
      </c>
      <c r="AH174" s="236" t="str">
        <f t="shared" si="59"/>
        <v>"%USERPROFILE%\Documents\GitHub\eaglep3\Utilities\RefineRTDCRunTimes.py" --tripid 1815-09 --locoid 4030 --swversion DE.1.0.9.0 --startMP 204:442 --initTime 2017-12-09T13:07:07 --startdatetime 2017-12-09T13:09:14 --delay 50 --endMP 300:58992 --enddatetime 2017-12-09T13:23:10 --enforcementcount 0 &gt;&gt;%USERPROFILE%\Documents\GitHub\eaglep3-reporting\EC\2017-12-09-refined-times.txt</v>
      </c>
      <c r="AI174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{"issue":{"subject":"","project_id":79,"tracker_id":40,"status_id":1,"priority_id":2,"assigned_to_id":338,"start_date":"2017-12-09","description":"","custom_fields":[{"id":1,"name":"Subdivision","value":"NW"},{"id":4,"name":"Milepost","value":"5.8992"},{"id":17,"name":"Train ID","value":"1815-09"},{"id":16,"name":"Locomotive ID","value":"4030"},{"id":130,"name":"Impact","value":""},{"id":150,"name":"Time of Event (Mountain Time)","value":"13:23:10"},{"id":151,"name":"Denver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61"/>
        <v>start /low /b %USERPROFILE%\Documents\GitHub\eaglep3\Utilities\DownloadLogsFromS3.py --loco 4030 --day 2017-12-09</v>
      </c>
      <c r="AN174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63"/>
        <v>https://d0f6bd738d7f1b3e5a7ca70fe4ff75f0.us-east-1.aws.found.io/app/kibana#/discover/Steve-Slow-Train-Analysis-(2080s-and-2083s)?_g=(refreshInterval:(display:Off,pause:!f,section:0,value:0),time:(from:'2017-12-09T12:07:07-0700',mode:absolute,to:'2017-12-09T14:23:10-0700'))&amp;_a=(columns:!('Message%20ID',Summary),filters:!(),index:'emp_*',interval:auto,query:(query_string:(analyze_wildcard:!t,query:'%22rtdc.l.rtdc.4030%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692</v>
      </c>
      <c r="B175" s="225">
        <v>4029</v>
      </c>
      <c r="C175" s="227" t="s">
        <v>192</v>
      </c>
      <c r="D175" s="227" t="s">
        <v>973</v>
      </c>
      <c r="E175" s="226">
        <v>43078.558865740742</v>
      </c>
      <c r="F175" s="226">
        <v>43078.571747685186</v>
      </c>
      <c r="G175" s="225">
        <v>52</v>
      </c>
      <c r="H175" s="227" t="s">
        <v>974</v>
      </c>
      <c r="I175" s="226">
        <v>43078.580578703702</v>
      </c>
      <c r="J175" s="225">
        <v>0</v>
      </c>
      <c r="K175" s="237" t="str">
        <f t="shared" si="46"/>
        <v>4029/4030</v>
      </c>
      <c r="L175" s="245" t="str">
        <f>VLOOKUP(A175,'Trips&amp;Operators'!$C$1:$G$99911,5,FALSE)</f>
        <v>LAMAR NEKESHA</v>
      </c>
      <c r="M175" s="224">
        <f t="shared" si="47"/>
        <v>8.8310185165028088E-3</v>
      </c>
      <c r="N175" s="225">
        <f t="shared" si="64"/>
        <v>12.716666663764045</v>
      </c>
      <c r="O175" s="225"/>
      <c r="P175" s="225"/>
      <c r="Q175" s="228"/>
      <c r="R175" s="242"/>
      <c r="S175" s="249">
        <f t="shared" si="48"/>
        <v>1</v>
      </c>
      <c r="T175" s="242" t="str">
        <f t="shared" si="49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50"/>
        <v>https://d0f6bd738d7f1b3e5a7ca70fe4ff75f0.us-east-1.aws.found.io/app/kibana#/discover/Steve-Slow-Train-Analysis-(2080s-and-2083s)?_g=(refreshInterval:(display:Off,pause:!f,section:0,value:0),time:(from:'2017-12-09T12:24:46-0700',mode:absolute,to:'2017-12-09T14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5" s="247" t="str">
        <f>IF(AA175&lt;VLOOKUP(AG175,Variables!$AC$3:$AD$8,2,FALSE),"Y","N")</f>
        <v>N</v>
      </c>
      <c r="X175" s="247">
        <f t="shared" si="51"/>
        <v>1</v>
      </c>
      <c r="Y175" s="247">
        <f t="shared" si="52"/>
        <v>5.8677000000000001</v>
      </c>
      <c r="Z175" s="247">
        <f t="shared" si="53"/>
        <v>1.7500000000000002E-2</v>
      </c>
      <c r="AA175" s="247">
        <f t="shared" si="54"/>
        <v>5.8502000000000001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55"/>
        <v>1816</v>
      </c>
      <c r="AE175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5" s="234" t="str">
        <f t="shared" si="57"/>
        <v>"C:\Program Files (x86)\AstroGrep\AstroGrep.exe" /e /r /s /spath="%USERPROFILE%\AppData\Local\Temp\OnboardLogs" /stypes="app*4029*20171209*" /stext=" 20:.+((SYSTEM_STATE.+slice.+state.+changed )|(ment ac)|(multiple cpu faults)|(system.+state.+changed )|(\[timeout)|(PRM\|1\|D)|(kpr)|(kdp)|(train st.+moving)|(\|lc)|(penalty))"</v>
      </c>
      <c r="AG175" s="244" t="str">
        <f t="shared" si="58"/>
        <v>NW</v>
      </c>
      <c r="AH175" s="236" t="str">
        <f t="shared" si="59"/>
        <v>"%USERPROFILE%\Documents\GitHub\eaglep3\Utilities\RefineRTDCRunTimes.py" --tripid 1816-09 --locoid 4029 --swversion DE.1.0.9.0 --startMP 300:58677 --initTime 2017-12-09T13:24:46 --startdatetime 2017-12-09T13:43:19 --delay 52 --endMP 204:175 --enddatetime 2017-12-09T13:56:02 --enforcementcount 0 &gt;&gt;%USERPROFILE%\Documents\GitHub\eaglep3-reporting\EC\2017-12-09-refined-times.txt</v>
      </c>
      <c r="AI175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{"issue":{"subject":"","project_id":79,"tracker_id":40,"status_id":1,"priority_id":2,"assigned_to_id":338,"start_date":"2017-12-09","description":"","custom_fields":[{"id":1,"name":"Subdivision","value":"NW"},{"id":4,"name":"Milepost","value":"0.0175"},{"id":17,"name":"Train ID","value":"1816-09"},{"id":16,"name":"Locomotive ID","value":"4029"},{"id":130,"name":"Impact","value":""},{"id":150,"name":"Time of Event (Mountain Time)","value":"13:56:02"},{"id":151,"name":"Denver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61"/>
        <v>start /low /b %USERPROFILE%\Documents\GitHub\eaglep3\Utilities\DownloadLogsFromS3.py --loco 4029 --day 2017-12-09</v>
      </c>
      <c r="AN175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63"/>
        <v>https://d0f6bd738d7f1b3e5a7ca70fe4ff75f0.us-east-1.aws.found.io/app/kibana#/discover/Steve-Slow-Train-Analysis-(2080s-and-2083s)?_g=(refreshInterval:(display:Off,pause:!f,section:0,value:0),time:(from:'2017-12-09T12:24:46-0700',mode:absolute,to:'2017-12-09T14:56:02-0700'))&amp;_a=(columns:!('Message%20ID',Summary),filters:!(),index:'emp_*',interval:auto,query:(query_string:(analyze_wildcard:!t,query:'%22rtdc.l.rtdc.4029%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801</v>
      </c>
      <c r="B176" s="225">
        <v>4030</v>
      </c>
      <c r="C176" s="227" t="s">
        <v>192</v>
      </c>
      <c r="D176" s="227" t="s">
        <v>648</v>
      </c>
      <c r="E176" s="226">
        <v>43078.583993055552</v>
      </c>
      <c r="F176" s="226">
        <v>43078.589756944442</v>
      </c>
      <c r="G176" s="225">
        <v>80</v>
      </c>
      <c r="H176" s="227" t="s">
        <v>646</v>
      </c>
      <c r="I176" s="226">
        <v>43078.599340277775</v>
      </c>
      <c r="J176" s="225">
        <v>0</v>
      </c>
      <c r="K176" s="237" t="str">
        <f t="shared" si="46"/>
        <v>4029/4030</v>
      </c>
      <c r="L176" s="245" t="str">
        <f>VLOOKUP(A176,'Trips&amp;Operators'!$C$1:$G$99911,5,FALSE)</f>
        <v>SMITH MICHAEL</v>
      </c>
      <c r="M176" s="224">
        <f t="shared" si="47"/>
        <v>9.5833333325572312E-3</v>
      </c>
      <c r="N176" s="225">
        <f t="shared" si="64"/>
        <v>13.799999998882413</v>
      </c>
      <c r="O176" s="225"/>
      <c r="P176" s="225"/>
      <c r="Q176" s="228"/>
      <c r="R176" s="242"/>
      <c r="S176" s="249">
        <f t="shared" si="48"/>
        <v>1</v>
      </c>
      <c r="T176" s="242" t="str">
        <f t="shared" si="49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50"/>
        <v>https://d0f6bd738d7f1b3e5a7ca70fe4ff75f0.us-east-1.aws.found.io/app/kibana#/discover/Steve-Slow-Train-Analysis-(2080s-and-2083s)?_g=(refreshInterval:(display:Off,pause:!f,section:0,value:0),time:(from:'2017-12-09T13:00:57-0700',mode:absolute,to:'2017-12-09T15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6" s="247" t="str">
        <f>IF(AA176&lt;VLOOKUP(AG176,Variables!$AC$3:$AD$8,2,FALSE),"Y","N")</f>
        <v>N</v>
      </c>
      <c r="X176" s="247">
        <f t="shared" si="51"/>
        <v>1</v>
      </c>
      <c r="Y176" s="247">
        <f t="shared" si="52"/>
        <v>4.6800000000000001E-2</v>
      </c>
      <c r="Z176" s="247">
        <f t="shared" si="53"/>
        <v>5.8958000000000004</v>
      </c>
      <c r="AA176" s="247">
        <f t="shared" si="54"/>
        <v>5.8490000000000002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55"/>
        <v>1817</v>
      </c>
      <c r="AE176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6" s="234" t="str">
        <f t="shared" si="57"/>
        <v>"C:\Program Files (x86)\AstroGrep\AstroGrep.exe" /e /r /s /spath="%USERPROFILE%\AppData\Local\Temp\OnboardLogs" /stypes="app*4030*20171209*" /stext=" 21:.+((SYSTEM_STATE.+slice.+state.+changed )|(ment ac)|(multiple cpu faults)|(system.+state.+changed )|(\[timeout)|(PRM\|1\|D)|(kpr)|(kdp)|(train st.+moving)|(\|lc)|(penalty))"</v>
      </c>
      <c r="AG176" s="244" t="str">
        <f t="shared" si="58"/>
        <v>NW</v>
      </c>
      <c r="AH176" s="236" t="str">
        <f t="shared" si="59"/>
        <v>"%USERPROFILE%\Documents\GitHub\eaglep3\Utilities\RefineRTDCRunTimes.py" --tripid 1817-09 --locoid 4030 --swversion DE.1.0.9.0 --startMP 204:468 --initTime 2017-12-09T14:00:57 --startdatetime 2017-12-09T14:09:15 --delay 80 --endMP 300:58958 --enddatetime 2017-12-09T14:23:03 --enforcementcount 0 &gt;&gt;%USERPROFILE%\Documents\GitHub\eaglep3-reporting\EC\2017-12-09-refined-times.txt</v>
      </c>
      <c r="AI176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{"issue":{"subject":"","project_id":79,"tracker_id":40,"status_id":1,"priority_id":2,"assigned_to_id":338,"start_date":"2017-12-09","description":"","custom_fields":[{"id":1,"name":"Subdivision","value":"NW"},{"id":4,"name":"Milepost","value":"5.8958"},{"id":17,"name":"Train ID","value":"1817-09"},{"id":16,"name":"Locomotive ID","value":"4030"},{"id":130,"name":"Impact","value":""},{"id":150,"name":"Time of Event (Mountain Time)","value":"14:23:03"},{"id":151,"name":"Denver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61"/>
        <v>start /low /b %USERPROFILE%\Documents\GitHub\eaglep3\Utilities\DownloadLogsFromS3.py --loco 4030 --day 2017-12-09</v>
      </c>
      <c r="AN176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63"/>
        <v>https://d0f6bd738d7f1b3e5a7ca70fe4ff75f0.us-east-1.aws.found.io/app/kibana#/discover/Steve-Slow-Train-Analysis-(2080s-and-2083s)?_g=(refreshInterval:(display:Off,pause:!f,section:0,value:0),time:(from:'2017-12-09T13:00:57-0700',mode:absolute,to:'2017-12-09T15:23:03-0700'))&amp;_a=(columns:!('Message%20ID',Summary),filters:!(),index:'emp_*',interval:auto,query:(query_string:(analyze_wildcard:!t,query:'%22rtdc.l.rtdc.4030%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805</v>
      </c>
      <c r="B177" s="225">
        <v>4029</v>
      </c>
      <c r="C177" s="227" t="s">
        <v>192</v>
      </c>
      <c r="D177" s="227" t="s">
        <v>975</v>
      </c>
      <c r="E177" s="226">
        <v>43078.603229166663</v>
      </c>
      <c r="F177" s="226">
        <v>43078.612546296295</v>
      </c>
      <c r="G177" s="225">
        <v>65</v>
      </c>
      <c r="H177" s="227" t="s">
        <v>652</v>
      </c>
      <c r="I177" s="226">
        <v>43078.622013888889</v>
      </c>
      <c r="J177" s="225">
        <v>0</v>
      </c>
      <c r="K177" s="237" t="str">
        <f t="shared" si="46"/>
        <v>4029/4030</v>
      </c>
      <c r="L177" s="245" t="str">
        <f>VLOOKUP(A177,'Trips&amp;Operators'!$C$1:$G$99911,5,FALSE)</f>
        <v>SMITH MICHAEL</v>
      </c>
      <c r="M177" s="224">
        <f t="shared" si="47"/>
        <v>9.4675925938645378E-3</v>
      </c>
      <c r="N177" s="225">
        <f t="shared" si="64"/>
        <v>13.633333335164934</v>
      </c>
      <c r="O177" s="225"/>
      <c r="P177" s="225"/>
      <c r="Q177" s="228"/>
      <c r="R177" s="242"/>
      <c r="S177" s="249">
        <f t="shared" si="48"/>
        <v>1</v>
      </c>
      <c r="T177" s="242" t="str">
        <f t="shared" si="49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50"/>
        <v>https://d0f6bd738d7f1b3e5a7ca70fe4ff75f0.us-east-1.aws.found.io/app/kibana#/discover/Steve-Slow-Train-Analysis-(2080s-and-2083s)?_g=(refreshInterval:(display:Off,pause:!f,section:0,value:0),time:(from:'2017-12-09T13:28:39-0700',mode:absolute,to:'2017-12-09T15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7" s="247" t="str">
        <f>IF(AA177&lt;VLOOKUP(AG177,Variables!$AC$3:$AD$8,2,FALSE),"Y","N")</f>
        <v>N</v>
      </c>
      <c r="X177" s="247">
        <f t="shared" si="51"/>
        <v>1</v>
      </c>
      <c r="Y177" s="247">
        <f t="shared" si="52"/>
        <v>5.8630000000000004</v>
      </c>
      <c r="Z177" s="247">
        <f t="shared" si="53"/>
        <v>1.5100000000000001E-2</v>
      </c>
      <c r="AA177" s="247">
        <f t="shared" si="54"/>
        <v>5.8479000000000001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55"/>
        <v>1818</v>
      </c>
      <c r="AE177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7" s="234" t="str">
        <f t="shared" si="57"/>
        <v>"C:\Program Files (x86)\AstroGrep\AstroGrep.exe" /e /r /s /spath="%USERPROFILE%\AppData\Local\Temp\OnboardLogs" /stypes="app*4029*20171209*" /stext=" 21:.+((SYSTEM_STATE.+slice.+state.+changed )|(ment ac)|(multiple cpu faults)|(system.+state.+changed )|(\[timeout)|(PRM\|1\|D)|(kpr)|(kdp)|(train st.+moving)|(\|lc)|(penalty))"</v>
      </c>
      <c r="AG177" s="244" t="str">
        <f t="shared" si="58"/>
        <v>NW</v>
      </c>
      <c r="AH177" s="236" t="str">
        <f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1818-09 --locoid 4029 --swversion DE.1.0.9.0 --startMP 300:58630 --initTime 2017-12-09T14:28:39 --startdatetime 2017-12-09T14:42:04 --delay 65 --endMP 204:151 --enddatetime 2017-12-09T14:55:42 --enforcementcount 0 &gt;&gt;%USERPROFILE%\Documents\GitHub\eaglep3-reporting\EC\2017-12-09-refined-times.txt</v>
      </c>
      <c r="AI177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{"issue":{"subject":"","project_id":79,"tracker_id":40,"status_id":1,"priority_id":2,"assigned_to_id":338,"start_date":"2017-12-09","description":"","custom_fields":[{"id":1,"name":"Subdivision","value":"NW"},{"id":4,"name":"Milepost","value":"0.0151"},{"id":17,"name":"Train ID","value":"1818-09"},{"id":16,"name":"Locomotive ID","value":"4029"},{"id":130,"name":"Impact","value":""},{"id":150,"name":"Time of Event (Mountain Time)","value":"14:55:42"},{"id":151,"name":"Denver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>"start /low /b "&amp;dls3logs&amp;" --loco "&amp;B177&amp;" --day "&amp;TEXT(F177,"YYYY-MM-DD")</f>
        <v>start /low /b %USERPROFILE%\Documents\GitHub\eaglep3\Utilities\DownloadLogsFromS3.py --loco 4029 --day 2017-12-09</v>
      </c>
      <c r="AN177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63"/>
        <v>https://d0f6bd738d7f1b3e5a7ca70fe4ff75f0.us-east-1.aws.found.io/app/kibana#/discover/Steve-Slow-Train-Analysis-(2080s-and-2083s)?_g=(refreshInterval:(display:Off,pause:!f,section:0,value:0),time:(from:'2017-12-09T13:28:39-0700',mode:absolute,to:'2017-12-09T15:55:42-0700'))&amp;_a=(columns:!('Message%20ID',Summary),filters:!(),index:'emp_*',interval:auto,query:(query_string:(analyze_wildcard:!t,query:'%22rtdc.l.rtdc.4029%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810</v>
      </c>
      <c r="B178" s="225">
        <v>4030</v>
      </c>
      <c r="C178" s="227" t="s">
        <v>192</v>
      </c>
      <c r="D178" s="227" t="s">
        <v>966</v>
      </c>
      <c r="E178" s="226">
        <v>43078.626539351855</v>
      </c>
      <c r="F178" s="226">
        <v>43078.631469907406</v>
      </c>
      <c r="G178" s="225">
        <v>64</v>
      </c>
      <c r="H178" s="227" t="s">
        <v>638</v>
      </c>
      <c r="I178" s="226">
        <v>43078.640844907408</v>
      </c>
      <c r="J178" s="225">
        <v>0</v>
      </c>
      <c r="K178" s="237" t="str">
        <f t="shared" si="46"/>
        <v>4029/4030</v>
      </c>
      <c r="L178" s="245" t="str">
        <f>VLOOKUP(A178,'Trips&amp;Operators'!$C$1:$G$99911,5,FALSE)</f>
        <v>SMITH MICHAEL</v>
      </c>
      <c r="M178" s="224">
        <f t="shared" si="47"/>
        <v>9.3750000014551915E-3</v>
      </c>
      <c r="N178" s="225">
        <f t="shared" si="64"/>
        <v>13.500000002095476</v>
      </c>
      <c r="O178" s="225"/>
      <c r="P178" s="225"/>
      <c r="Q178" s="228"/>
      <c r="R178" s="242"/>
      <c r="S178" s="249">
        <f t="shared" si="48"/>
        <v>1</v>
      </c>
      <c r="T178" s="242" t="str">
        <f t="shared" si="49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50"/>
        <v>https://d0f6bd738d7f1b3e5a7ca70fe4ff75f0.us-east-1.aws.found.io/app/kibana#/discover/Steve-Slow-Train-Analysis-(2080s-and-2083s)?_g=(refreshInterval:(display:Off,pause:!f,section:0,value:0),time:(from:'2017-12-09T14:02:13-0700',mode:absolute,to:'2017-12-09T16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8" s="247" t="str">
        <f>IF(AA178&lt;VLOOKUP(AG178,Variables!$AC$3:$AD$8,2,FALSE),"Y","N")</f>
        <v>N</v>
      </c>
      <c r="X178" s="247">
        <f t="shared" si="51"/>
        <v>1</v>
      </c>
      <c r="Y178" s="247">
        <f t="shared" si="52"/>
        <v>4.53E-2</v>
      </c>
      <c r="Z178" s="247">
        <f t="shared" si="53"/>
        <v>5.8986000000000001</v>
      </c>
      <c r="AA178" s="247">
        <f t="shared" si="54"/>
        <v>5.8532999999999999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55"/>
        <v>1819</v>
      </c>
      <c r="AE178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8" s="234" t="str">
        <f t="shared" si="57"/>
        <v>"C:\Program Files (x86)\AstroGrep\AstroGrep.exe" /e /r /s /spath="%USERPROFILE%\AppData\Local\Temp\OnboardLogs" /stypes="app*4030*20171209*" /stext=" 22:.+((SYSTEM_STATE.+slice.+state.+changed )|(ment ac)|(multiple cpu faults)|(system.+state.+changed )|(\[timeout)|(PRM\|1\|D)|(kpr)|(kdp)|(train st.+moving)|(\|lc)|(penalty))"</v>
      </c>
      <c r="AG178" s="244" t="str">
        <f t="shared" si="58"/>
        <v>NW</v>
      </c>
      <c r="AH178" s="236" t="str">
        <f t="shared" si="59"/>
        <v>"%USERPROFILE%\Documents\GitHub\eaglep3\Utilities\RefineRTDCRunTimes.py" --tripid 1819-09 --locoid 4030 --swversion DE.1.0.9.0 --startMP 204:453 --initTime 2017-12-09T15:02:13 --startdatetime 2017-12-09T15:09:19 --delay 64 --endMP 300:58986 --enddatetime 2017-12-09T15:22:49 --enforcementcount 0 &gt;&gt;%USERPROFILE%\Documents\GitHub\eaglep3-reporting\EC\2017-12-09-refined-times.txt</v>
      </c>
      <c r="AI178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{"issue":{"subject":"","project_id":79,"tracker_id":40,"status_id":1,"priority_id":2,"assigned_to_id":338,"start_date":"2017-12-09","description":"","custom_fields":[{"id":1,"name":"Subdivision","value":"NW"},{"id":4,"name":"Milepost","value":"5.8986"},{"id":17,"name":"Train ID","value":"1819-09"},{"id":16,"name":"Locomotive ID","value":"4030"},{"id":130,"name":"Impact","value":""},{"id":150,"name":"Time of Event (Mountain Time)","value":"15:22:49"},{"id":151,"name":"Denver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61"/>
        <v>start /low /b %USERPROFILE%\Documents\GitHub\eaglep3\Utilities\DownloadLogsFromS3.py --loco 4030 --day 2017-12-09</v>
      </c>
      <c r="AN178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63"/>
        <v>https://d0f6bd738d7f1b3e5a7ca70fe4ff75f0.us-east-1.aws.found.io/app/kibana#/discover/Steve-Slow-Train-Analysis-(2080s-and-2083s)?_g=(refreshInterval:(display:Off,pause:!f,section:0,value:0),time:(from:'2017-12-09T14:02:13-0700',mode:absolute,to:'2017-12-09T16:22:49-0700'))&amp;_a=(columns:!('Message%20ID',Summary),filters:!(),index:'emp_*',interval:auto,query:(query_string:(analyze_wildcard:!t,query:'%22rtdc.l.rtdc.4030%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815</v>
      </c>
      <c r="B179" s="225">
        <v>4029</v>
      </c>
      <c r="C179" s="227" t="s">
        <v>192</v>
      </c>
      <c r="D179" s="227" t="s">
        <v>977</v>
      </c>
      <c r="E179" s="226">
        <v>43078.64230324074</v>
      </c>
      <c r="F179" s="226">
        <v>43078.654849537037</v>
      </c>
      <c r="G179" s="225">
        <v>81</v>
      </c>
      <c r="H179" s="227" t="s">
        <v>656</v>
      </c>
      <c r="I179" s="226">
        <v>43078.663541666669</v>
      </c>
      <c r="J179" s="225">
        <v>0</v>
      </c>
      <c r="K179" s="237" t="str">
        <f t="shared" si="46"/>
        <v>4029/4030</v>
      </c>
      <c r="L179" s="245" t="str">
        <f>VLOOKUP(A179,'Trips&amp;Operators'!$C$1:$G$99911,5,FALSE)</f>
        <v>SMITH MICHAEL</v>
      </c>
      <c r="M179" s="224">
        <f t="shared" si="47"/>
        <v>8.6921296315267682E-3</v>
      </c>
      <c r="N179" s="225">
        <f t="shared" si="64"/>
        <v>12.516666669398546</v>
      </c>
      <c r="O179" s="225"/>
      <c r="P179" s="225"/>
      <c r="Q179" s="228"/>
      <c r="R179" s="242"/>
      <c r="S179" s="249">
        <f t="shared" si="48"/>
        <v>1</v>
      </c>
      <c r="T179" s="242" t="str">
        <f t="shared" si="49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50"/>
        <v>https://d0f6bd738d7f1b3e5a7ca70fe4ff75f0.us-east-1.aws.found.io/app/kibana#/discover/Steve-Slow-Train-Analysis-(2080s-and-2083s)?_g=(refreshInterval:(display:Off,pause:!f,section:0,value:0),time:(from:'2017-12-09T14:24:55-0700',mode:absolute,to:'2017-12-09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9" s="247" t="str">
        <f>IF(AA179&lt;VLOOKUP(AG179,Variables!$AC$3:$AD$8,2,FALSE),"Y","N")</f>
        <v>N</v>
      </c>
      <c r="X179" s="247">
        <f t="shared" si="51"/>
        <v>1</v>
      </c>
      <c r="Y179" s="247">
        <f t="shared" si="52"/>
        <v>5.8658000000000001</v>
      </c>
      <c r="Z179" s="247">
        <f t="shared" si="53"/>
        <v>1.49E-2</v>
      </c>
      <c r="AA179" s="247">
        <f t="shared" si="54"/>
        <v>5.8509000000000002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55"/>
        <v>1820</v>
      </c>
      <c r="AE179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9" s="234" t="str">
        <f t="shared" si="57"/>
        <v>"C:\Program Files (x86)\AstroGrep\AstroGrep.exe" /e /r /s /spath="%USERPROFILE%\AppData\Local\Temp\OnboardLogs" /stypes="app*4029*20171209*" /stext=" 22:.+((SYSTEM_STATE.+slice.+state.+changed )|(ment ac)|(multiple cpu faults)|(system.+state.+changed )|(\[timeout)|(PRM\|1\|D)|(kpr)|(kdp)|(train st.+moving)|(\|lc)|(penalty))"</v>
      </c>
      <c r="AG179" s="244" t="str">
        <f t="shared" si="58"/>
        <v>NW</v>
      </c>
      <c r="AH179" s="236" t="str">
        <f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1820-09 --locoid 4029 --swversion DE.1.0.9.0 --startMP 300:58658 --initTime 2017-12-09T15:24:55 --startdatetime 2017-12-09T15:42:59 --delay 81 --endMP 204:149 --enddatetime 2017-12-09T15:55:30 --enforcementcount 0 &gt;&gt;%USERPROFILE%\Documents\GitHub\eaglep3-reporting\EC\2017-12-09-refined-times.txt</v>
      </c>
      <c r="AI179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{"issue":{"subject":"","project_id":79,"tracker_id":40,"status_id":1,"priority_id":2,"assigned_to_id":338,"start_date":"2017-12-09","description":"","custom_fields":[{"id":1,"name":"Subdivision","value":"NW"},{"id":4,"name":"Milepost","value":"0.0149"},{"id":17,"name":"Train ID","value":"1820-09"},{"id":16,"name":"Locomotive ID","value":"4029"},{"id":130,"name":"Impact","value":""},{"id":150,"name":"Time of Event (Mountain Time)","value":"15:55:30"},{"id":151,"name":"Denver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>"start /low /b "&amp;dls3logs&amp;" --loco "&amp;B179&amp;" --day "&amp;TEXT(F179,"YYYY-MM-DD")</f>
        <v>start /low /b %USERPROFILE%\Documents\GitHub\eaglep3\Utilities\DownloadLogsFromS3.py --loco 4029 --day 2017-12-09</v>
      </c>
      <c r="AN179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63"/>
        <v>https://d0f6bd738d7f1b3e5a7ca70fe4ff75f0.us-east-1.aws.found.io/app/kibana#/discover/Steve-Slow-Train-Analysis-(2080s-and-2083s)?_g=(refreshInterval:(display:Off,pause:!f,section:0,value:0),time:(from:'2017-12-09T14:24:55-0700',mode:absolute,to:'2017-12-09T16:55:30-0700'))&amp;_a=(columns:!('Message%20ID',Summary),filters:!(),index:'emp_*',interval:auto,query:(query_string:(analyze_wildcard:!t,query:'%22rtdc.l.rtdc.4029%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821</v>
      </c>
      <c r="B180" s="225">
        <v>4030</v>
      </c>
      <c r="C180" s="227" t="s">
        <v>192</v>
      </c>
      <c r="D180" s="227" t="s">
        <v>978</v>
      </c>
      <c r="E180" s="226">
        <v>43078.665960648148</v>
      </c>
      <c r="F180" s="226">
        <v>43078.673101851855</v>
      </c>
      <c r="G180" s="225">
        <v>103</v>
      </c>
      <c r="H180" s="227" t="s">
        <v>979</v>
      </c>
      <c r="I180" s="226">
        <v>43078.682569444441</v>
      </c>
      <c r="J180" s="225">
        <v>0</v>
      </c>
      <c r="K180" s="237" t="str">
        <f t="shared" si="46"/>
        <v>4029/4030</v>
      </c>
      <c r="L180" s="245" t="str">
        <f>VLOOKUP(A180,'Trips&amp;Operators'!$C$1:$G$99911,5,FALSE)</f>
        <v>SMITH MICHAEL</v>
      </c>
      <c r="M180" s="224">
        <f t="shared" si="47"/>
        <v>9.4675925865885802E-3</v>
      </c>
      <c r="N180" s="225">
        <f t="shared" si="64"/>
        <v>13.633333324687555</v>
      </c>
      <c r="O180" s="225"/>
      <c r="P180" s="225"/>
      <c r="Q180" s="228"/>
      <c r="R180" s="242"/>
      <c r="S180" s="249">
        <f t="shared" si="48"/>
        <v>1</v>
      </c>
      <c r="T180" s="242" t="str">
        <f t="shared" si="49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50"/>
        <v>https://d0f6bd738d7f1b3e5a7ca70fe4ff75f0.us-east-1.aws.found.io/app/kibana#/discover/Steve-Slow-Train-Analysis-(2080s-and-2083s)?_g=(refreshInterval:(display:Off,pause:!f,section:0,value:0),time:(from:'2017-12-09T14:58:59-0700',mode:absolute,to:'2017-12-09T17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0" s="247" t="str">
        <f>IF(AA180&lt;VLOOKUP(AG180,Variables!$AC$3:$AD$8,2,FALSE),"Y","N")</f>
        <v>N</v>
      </c>
      <c r="X180" s="247">
        <f t="shared" si="51"/>
        <v>1</v>
      </c>
      <c r="Y180" s="247">
        <f t="shared" si="52"/>
        <v>4.41E-2</v>
      </c>
      <c r="Z180" s="247">
        <f t="shared" si="53"/>
        <v>5.8973000000000004</v>
      </c>
      <c r="AA180" s="247">
        <f t="shared" si="54"/>
        <v>5.8532000000000002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55"/>
        <v>1821</v>
      </c>
      <c r="AE180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0" s="234" t="str">
        <f t="shared" si="57"/>
        <v>"C:\Program Files (x86)\AstroGrep\AstroGrep.exe" /e /r /s /spath="%USERPROFILE%\AppData\Local\Temp\OnboardLogs" /stypes="app*4030*20171209*" /stext=" 23:.+((SYSTEM_STATE.+slice.+state.+changed )|(ment ac)|(multiple cpu faults)|(system.+state.+changed )|(\[timeout)|(PRM\|1\|D)|(kpr)|(kdp)|(train st.+moving)|(\|lc)|(penalty))"</v>
      </c>
      <c r="AG180" s="244" t="str">
        <f t="shared" si="58"/>
        <v>NW</v>
      </c>
      <c r="AH180" s="236" t="str">
        <f t="shared" si="59"/>
        <v>"%USERPROFILE%\Documents\GitHub\eaglep3\Utilities\RefineRTDCRunTimes.py" --tripid 1821-09 --locoid 4030 --swversion DE.1.0.9.0 --startMP 204:441 --initTime 2017-12-09T15:58:59 --startdatetime 2017-12-09T16:09:16 --delay 103 --endMP 300:58973 --enddatetime 2017-12-09T16:22:54 --enforcementcount 0 &gt;&gt;%USERPROFILE%\Documents\GitHub\eaglep3-reporting\EC\2017-12-09-refined-times.txt</v>
      </c>
      <c r="AI180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{"issue":{"subject":"","project_id":79,"tracker_id":40,"status_id":1,"priority_id":2,"assigned_to_id":338,"start_date":"2017-12-09","description":"","custom_fields":[{"id":1,"name":"Subdivision","value":"NW"},{"id":4,"name":"Milepost","value":"5.8973"},{"id":17,"name":"Train ID","value":"1821-09"},{"id":16,"name":"Locomotive ID","value":"4030"},{"id":130,"name":"Impact","value":""},{"id":150,"name":"Time of Event (Mountain Time)","value":"16:22:54"},{"id":151,"name":"Denver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61"/>
        <v>start /low /b %USERPROFILE%\Documents\GitHub\eaglep3\Utilities\DownloadLogsFromS3.py --loco 4030 --day 2017-12-09</v>
      </c>
      <c r="AN180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63"/>
        <v>https://d0f6bd738d7f1b3e5a7ca70fe4ff75f0.us-east-1.aws.found.io/app/kibana#/discover/Steve-Slow-Train-Analysis-(2080s-and-2083s)?_g=(refreshInterval:(display:Off,pause:!f,section:0,value:0),time:(from:'2017-12-09T14:58:59-0700',mode:absolute,to:'2017-12-09T17:22:54-0700'))&amp;_a=(columns:!('Message%20ID',Summary),filters:!(),index:'emp_*',interval:auto,query:(query_string:(analyze_wildcard:!t,query:'%22rtdc.l.rtdc.4030%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824</v>
      </c>
      <c r="B181" s="225">
        <v>4029</v>
      </c>
      <c r="C181" s="227" t="s">
        <v>192</v>
      </c>
      <c r="D181" s="227" t="s">
        <v>964</v>
      </c>
      <c r="E181" s="226">
        <v>43078.683611111112</v>
      </c>
      <c r="F181" s="226">
        <v>43078.696782407409</v>
      </c>
      <c r="G181" s="225">
        <v>65</v>
      </c>
      <c r="H181" s="227" t="s">
        <v>658</v>
      </c>
      <c r="I181" s="226">
        <v>43078.705613425926</v>
      </c>
      <c r="J181" s="225">
        <v>0</v>
      </c>
      <c r="K181" s="237" t="str">
        <f t="shared" si="46"/>
        <v>4029/4030</v>
      </c>
      <c r="L181" s="245" t="str">
        <f>VLOOKUP(A181,'Trips&amp;Operators'!$C$1:$G$99911,5,FALSE)</f>
        <v>SMITH MICHAEL</v>
      </c>
      <c r="M181" s="224">
        <f t="shared" si="47"/>
        <v>8.8310185165028088E-3</v>
      </c>
      <c r="N181" s="225">
        <f t="shared" si="64"/>
        <v>12.716666663764045</v>
      </c>
      <c r="O181" s="225"/>
      <c r="P181" s="225"/>
      <c r="Q181" s="228"/>
      <c r="R181" s="242"/>
      <c r="S181" s="249">
        <f t="shared" si="48"/>
        <v>1</v>
      </c>
      <c r="T181" s="242" t="str">
        <f t="shared" si="49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50"/>
        <v>https://d0f6bd738d7f1b3e5a7ca70fe4ff75f0.us-east-1.aws.found.io/app/kibana#/discover/Steve-Slow-Train-Analysis-(2080s-and-2083s)?_g=(refreshInterval:(display:Off,pause:!f,section:0,value:0),time:(from:'2017-12-09T15:24:24-0700',mode:absolute,to:'2017-12-09T17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1" s="247" t="str">
        <f>IF(AA181&lt;VLOOKUP(AG181,Variables!$AC$3:$AD$8,2,FALSE),"Y","N")</f>
        <v>N</v>
      </c>
      <c r="X181" s="247">
        <f t="shared" si="51"/>
        <v>1</v>
      </c>
      <c r="Y181" s="247">
        <f t="shared" si="52"/>
        <v>5.8663999999999996</v>
      </c>
      <c r="Z181" s="247">
        <f t="shared" si="53"/>
        <v>1.4800000000000001E-2</v>
      </c>
      <c r="AA181" s="247">
        <f t="shared" si="54"/>
        <v>5.8515999999999995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55"/>
        <v>1822</v>
      </c>
      <c r="AE181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1" s="234" t="str">
        <f t="shared" si="57"/>
        <v>"C:\Program Files (x86)\AstroGrep\AstroGrep.exe" /e /r /s /spath="%USERPROFILE%\AppData\Local\Temp\OnboardLogs" /stypes="app*4029*20171209*" /stext=" 23:.+((SYSTEM_STATE.+slice.+state.+changed )|(ment ac)|(multiple cpu faults)|(system.+state.+changed )|(\[timeout)|(PRM\|1\|D)|(kpr)|(kdp)|(train st.+moving)|(\|lc)|(penalty))"</v>
      </c>
      <c r="AG181" s="244" t="str">
        <f t="shared" si="58"/>
        <v>NW</v>
      </c>
      <c r="AH181" s="236" t="str">
        <f t="shared" si="59"/>
        <v>"%USERPROFILE%\Documents\GitHub\eaglep3\Utilities\RefineRTDCRunTimes.py" --tripid 1822-09 --locoid 4029 --swversion DE.1.0.9.0 --startMP 300:58664 --initTime 2017-12-09T16:24:24 --startdatetime 2017-12-09T16:43:22 --delay 65 --endMP 204:148 --enddatetime 2017-12-09T16:56:05 --enforcementcount 0 &gt;&gt;%USERPROFILE%\Documents\GitHub\eaglep3-reporting\EC\2017-12-09-refined-times.txt</v>
      </c>
      <c r="AI181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{"issue":{"subject":"","project_id":79,"tracker_id":40,"status_id":1,"priority_id":2,"assigned_to_id":338,"start_date":"2017-12-09","description":"","custom_fields":[{"id":1,"name":"Subdivision","value":"NW"},{"id":4,"name":"Milepost","value":"0.0148"},{"id":17,"name":"Train ID","value":"1822-09"},{"id":16,"name":"Locomotive ID","value":"4029"},{"id":130,"name":"Impact","value":""},{"id":150,"name":"Time of Event (Mountain Time)","value":"16:56:05"},{"id":151,"name":"Denver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61"/>
        <v>start /low /b %USERPROFILE%\Documents\GitHub\eaglep3\Utilities\DownloadLogsFromS3.py --loco 4029 --day 2017-12-09</v>
      </c>
      <c r="AN181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63"/>
        <v>https://d0f6bd738d7f1b3e5a7ca70fe4ff75f0.us-east-1.aws.found.io/app/kibana#/discover/Steve-Slow-Train-Analysis-(2080s-and-2083s)?_g=(refreshInterval:(display:Off,pause:!f,section:0,value:0),time:(from:'2017-12-09T15:24:24-0700',mode:absolute,to:'2017-12-09T17:56:05-0700'))&amp;_a=(columns:!('Message%20ID',Summary),filters:!(),index:'emp_*',interval:auto,query:(query_string:(analyze_wildcard:!t,query:'%22rtdc.l.rtdc.4029%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830</v>
      </c>
      <c r="B182" s="225">
        <v>4030</v>
      </c>
      <c r="C182" s="227" t="s">
        <v>192</v>
      </c>
      <c r="D182" s="227" t="s">
        <v>966</v>
      </c>
      <c r="E182" s="226">
        <v>43078.707557870373</v>
      </c>
      <c r="F182" s="226">
        <v>43078.715613425928</v>
      </c>
      <c r="G182" s="225">
        <v>67</v>
      </c>
      <c r="H182" s="227" t="s">
        <v>643</v>
      </c>
      <c r="I182" s="226">
        <v>43078.724976851852</v>
      </c>
      <c r="J182" s="225">
        <v>0</v>
      </c>
      <c r="K182" s="237" t="str">
        <f t="shared" si="46"/>
        <v>4029/4030</v>
      </c>
      <c r="L182" s="245" t="str">
        <f>VLOOKUP(A182,'Trips&amp;Operators'!$C$1:$G$99911,5,FALSE)</f>
        <v>SMITH MICHAEL</v>
      </c>
      <c r="M182" s="224">
        <f t="shared" si="47"/>
        <v>9.3634259246755391E-3</v>
      </c>
      <c r="N182" s="225">
        <f t="shared" si="64"/>
        <v>13.483333331532776</v>
      </c>
      <c r="O182" s="225"/>
      <c r="P182" s="225"/>
      <c r="Q182" s="228"/>
      <c r="R182" s="242"/>
      <c r="S182" s="249">
        <f t="shared" si="48"/>
        <v>1</v>
      </c>
      <c r="T182" s="242" t="str">
        <f t="shared" si="49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50"/>
        <v>https://d0f6bd738d7f1b3e5a7ca70fe4ff75f0.us-east-1.aws.found.io/app/kibana#/discover/Steve-Slow-Train-Analysis-(2080s-and-2083s)?_g=(refreshInterval:(display:Off,pause:!f,section:0,value:0),time:(from:'2017-12-09T15:58:53-0700',mode:absolute,to:'2017-12-09T18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2" s="247" t="str">
        <f>IF(AA182&lt;VLOOKUP(AG182,Variables!$AC$3:$AD$8,2,FALSE),"Y","N")</f>
        <v>N</v>
      </c>
      <c r="X182" s="247">
        <f t="shared" si="51"/>
        <v>1</v>
      </c>
      <c r="Y182" s="247">
        <f t="shared" si="52"/>
        <v>4.53E-2</v>
      </c>
      <c r="Z182" s="247">
        <f t="shared" si="53"/>
        <v>5.8967000000000001</v>
      </c>
      <c r="AA182" s="247">
        <f t="shared" si="54"/>
        <v>5.8513999999999999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55"/>
        <v>1823</v>
      </c>
      <c r="AE182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2" s="234" t="str">
        <f t="shared" si="57"/>
        <v>"C:\Program Files (x86)\AstroGrep\AstroGrep.exe" /e /r /s /spath="%USERPROFILE%\AppData\Local\Temp\OnboardLogs" /stypes="app*4030*20171210*" /stext=" 00:.+((SYSTEM_STATE.+slice.+state.+changed )|(ment ac)|(multiple cpu faults)|(system.+state.+changed )|(\[timeout)|(PRM\|1\|D)|(kpr)|(kdp)|(train st.+moving)|(\|lc)|(penalty))"</v>
      </c>
      <c r="AG182" s="244" t="str">
        <f t="shared" si="58"/>
        <v>NW</v>
      </c>
      <c r="AH182" s="236" t="str">
        <f t="shared" si="59"/>
        <v>"%USERPROFILE%\Documents\GitHub\eaglep3\Utilities\RefineRTDCRunTimes.py" --tripid 1823-09 --locoid 4030 --swversion DE.1.0.9.0 --startMP 204:453 --initTime 2017-12-09T16:58:53 --startdatetime 2017-12-09T17:10:29 --delay 67 --endMP 300:58967 --enddatetime 2017-12-09T17:23:58 --enforcementcount 0 &gt;&gt;%USERPROFILE%\Documents\GitHub\eaglep3-reporting\EC\2017-12-09-refined-times.txt</v>
      </c>
      <c r="AI182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{"issue":{"subject":"","project_id":79,"tracker_id":40,"status_id":1,"priority_id":2,"assigned_to_id":338,"start_date":"2017-12-09","description":"","custom_fields":[{"id":1,"name":"Subdivision","value":"NW"},{"id":4,"name":"Milepost","value":"5.8967"},{"id":17,"name":"Train ID","value":"1823-09"},{"id":16,"name":"Locomotive ID","value":"4030"},{"id":130,"name":"Impact","value":""},{"id":150,"name":"Time of Event (Mountain Time)","value":"17:23:58"},{"id":151,"name":"Denver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61"/>
        <v>start /low /b %USERPROFILE%\Documents\GitHub\eaglep3\Utilities\DownloadLogsFromS3.py --loco 4030 --day 2017-12-09</v>
      </c>
      <c r="AN182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63"/>
        <v>https://d0f6bd738d7f1b3e5a7ca70fe4ff75f0.us-east-1.aws.found.io/app/kibana#/discover/Steve-Slow-Train-Analysis-(2080s-and-2083s)?_g=(refreshInterval:(display:Off,pause:!f,section:0,value:0),time:(from:'2017-12-09T15:58:53-0700',mode:absolute,to:'2017-12-09T18:23:58-0700'))&amp;_a=(columns:!('Message%20ID',Summary),filters:!(),index:'emp_*',interval:auto,query:(query_string:(analyze_wildcard:!t,query:'%22rtdc.l.rtdc.4030%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836</v>
      </c>
      <c r="B183" s="225">
        <v>4029</v>
      </c>
      <c r="C183" s="227" t="s">
        <v>192</v>
      </c>
      <c r="D183" s="227" t="s">
        <v>980</v>
      </c>
      <c r="E183" s="226">
        <v>43078.726064814815</v>
      </c>
      <c r="F183" s="226">
        <v>43078.737256944441</v>
      </c>
      <c r="G183" s="225">
        <v>68</v>
      </c>
      <c r="H183" s="227" t="s">
        <v>653</v>
      </c>
      <c r="I183" s="226">
        <v>43078.747083333335</v>
      </c>
      <c r="J183" s="225">
        <v>0</v>
      </c>
      <c r="K183" s="237" t="str">
        <f t="shared" si="46"/>
        <v>4029/4030</v>
      </c>
      <c r="L183" s="245" t="str">
        <f>VLOOKUP(A183,'Trips&amp;Operators'!$C$1:$G$99911,5,FALSE)</f>
        <v>SMITH MICHAEL</v>
      </c>
      <c r="M183" s="224">
        <f t="shared" si="47"/>
        <v>9.826388893998228E-3</v>
      </c>
      <c r="N183" s="225">
        <f t="shared" si="64"/>
        <v>14.150000007357448</v>
      </c>
      <c r="O183" s="225"/>
      <c r="P183" s="225"/>
      <c r="Q183" s="228"/>
      <c r="R183" s="242"/>
      <c r="S183" s="249">
        <f t="shared" si="48"/>
        <v>1</v>
      </c>
      <c r="T183" s="242" t="str">
        <f t="shared" si="49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50"/>
        <v>https://d0f6bd738d7f1b3e5a7ca70fe4ff75f0.us-east-1.aws.found.io/app/kibana#/discover/Steve-Slow-Train-Analysis-(2080s-and-2083s)?_g=(refreshInterval:(display:Off,pause:!f,section:0,value:0),time:(from:'2017-12-09T16:25:32-0700',mode:absolute,to:'2017-12-09T18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3" s="247" t="str">
        <f>IF(AA183&lt;VLOOKUP(AG183,Variables!$AC$3:$AD$8,2,FALSE),"Y","N")</f>
        <v>N</v>
      </c>
      <c r="X183" s="247">
        <f t="shared" si="51"/>
        <v>1</v>
      </c>
      <c r="Y183" s="247">
        <f t="shared" si="52"/>
        <v>5.8653000000000004</v>
      </c>
      <c r="Z183" s="247">
        <f t="shared" si="53"/>
        <v>1.4200000000000001E-2</v>
      </c>
      <c r="AA183" s="247">
        <f t="shared" si="54"/>
        <v>5.8511000000000006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55"/>
        <v>1824</v>
      </c>
      <c r="AE183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3" s="234" t="str">
        <f t="shared" si="57"/>
        <v>"C:\Program Files (x86)\AstroGrep\AstroGrep.exe" /e /r /s /spath="%USERPROFILE%\AppData\Local\Temp\OnboardLogs" /stypes="app*4029*20171210*" /stext=" 00:.+((SYSTEM_STATE.+slice.+state.+changed )|(ment ac)|(multiple cpu faults)|(system.+state.+changed )|(\[timeout)|(PRM\|1\|D)|(kpr)|(kdp)|(train st.+moving)|(\|lc)|(penalty))"</v>
      </c>
      <c r="AG183" s="244" t="str">
        <f t="shared" si="58"/>
        <v>NW</v>
      </c>
      <c r="AH183" s="236" t="str">
        <f t="shared" si="59"/>
        <v>"%USERPROFILE%\Documents\GitHub\eaglep3\Utilities\RefineRTDCRunTimes.py" --tripid 1824-09 --locoid 4029 --swversion DE.1.0.9.0 --startMP 300:58653 --initTime 2017-12-09T17:25:32 --startdatetime 2017-12-09T17:41:39 --delay 68 --endMP 204:142 --enddatetime 2017-12-09T17:55:48 --enforcementcount 0 &gt;&gt;%USERPROFILE%\Documents\GitHub\eaglep3-reporting\EC\2017-12-09-refined-times.txt</v>
      </c>
      <c r="AI183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{"issue":{"subject":"","project_id":79,"tracker_id":40,"status_id":1,"priority_id":2,"assigned_to_id":338,"start_date":"2017-12-09","description":"","custom_fields":[{"id":1,"name":"Subdivision","value":"NW"},{"id":4,"name":"Milepost","value":"0.0142"},{"id":17,"name":"Train ID","value":"1824-09"},{"id":16,"name":"Locomotive ID","value":"4029"},{"id":130,"name":"Impact","value":""},{"id":150,"name":"Time of Event (Mountain Time)","value":"17:55:48"},{"id":151,"name":"Denver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61"/>
        <v>start /low /b %USERPROFILE%\Documents\GitHub\eaglep3\Utilities\DownloadLogsFromS3.py --loco 4029 --day 2017-12-09</v>
      </c>
      <c r="AN183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63"/>
        <v>https://d0f6bd738d7f1b3e5a7ca70fe4ff75f0.us-east-1.aws.found.io/app/kibana#/discover/Steve-Slow-Train-Analysis-(2080s-and-2083s)?_g=(refreshInterval:(display:Off,pause:!f,section:0,value:0),time:(from:'2017-12-09T16:25:32-0700',mode:absolute,to:'2017-12-09T18:55:48-0700'))&amp;_a=(columns:!('Message%20ID',Summary),filters:!(),index:'emp_*',interval:auto,query:(query_string:(analyze_wildcard:!t,query:'%22rtdc.l.rtdc.4029%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844</v>
      </c>
      <c r="B184" s="225">
        <v>4030</v>
      </c>
      <c r="C184" s="227" t="s">
        <v>192</v>
      </c>
      <c r="D184" s="227" t="s">
        <v>650</v>
      </c>
      <c r="E184" s="226">
        <v>43078.749826388892</v>
      </c>
      <c r="F184" s="226">
        <v>43078.756458333337</v>
      </c>
      <c r="G184" s="225">
        <v>139</v>
      </c>
      <c r="H184" s="227" t="s">
        <v>981</v>
      </c>
      <c r="I184" s="226">
        <v>43078.766423611109</v>
      </c>
      <c r="J184" s="225">
        <v>0</v>
      </c>
      <c r="K184" s="237" t="str">
        <f t="shared" si="46"/>
        <v>4029/4030</v>
      </c>
      <c r="L184" s="245" t="str">
        <f>VLOOKUP(A184,'Trips&amp;Operators'!$C$1:$G$99911,5,FALSE)</f>
        <v>SMITH MICHAEL</v>
      </c>
      <c r="M184" s="224">
        <f t="shared" si="47"/>
        <v>9.965277771698311E-3</v>
      </c>
      <c r="N184" s="225">
        <f t="shared" si="64"/>
        <v>14.349999991245568</v>
      </c>
      <c r="O184" s="225"/>
      <c r="P184" s="225"/>
      <c r="Q184" s="228"/>
      <c r="R184" s="242"/>
      <c r="S184" s="249">
        <f t="shared" si="48"/>
        <v>1</v>
      </c>
      <c r="T184" s="242" t="str">
        <f t="shared" si="49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50"/>
        <v>https://d0f6bd738d7f1b3e5a7ca70fe4ff75f0.us-east-1.aws.found.io/app/kibana#/discover/Steve-Slow-Train-Analysis-(2080s-and-2083s)?_g=(refreshInterval:(display:Off,pause:!f,section:0,value:0),time:(from:'2017-12-09T16:59:45-0700',mode:absolute,to:'2017-12-09T19:23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4" s="247" t="str">
        <f>IF(AA184&lt;VLOOKUP(AG184,Variables!$AC$3:$AD$8,2,FALSE),"Y","N")</f>
        <v>N</v>
      </c>
      <c r="X184" s="247">
        <f t="shared" si="51"/>
        <v>1</v>
      </c>
      <c r="Y184" s="247">
        <f t="shared" si="52"/>
        <v>4.48E-2</v>
      </c>
      <c r="Z184" s="247">
        <f t="shared" si="53"/>
        <v>5.8935000000000004</v>
      </c>
      <c r="AA184" s="247">
        <f t="shared" si="54"/>
        <v>5.8487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55"/>
        <v>1825</v>
      </c>
      <c r="AE184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4" s="234" t="str">
        <f t="shared" si="57"/>
        <v>"C:\Program Files (x86)\AstroGrep\AstroGrep.exe" /e /r /s /spath="%USERPROFILE%\AppData\Local\Temp\OnboardLogs" /stypes="app*4030*20171210*" /stext=" 01:.+((SYSTEM_STATE.+slice.+state.+changed )|(ment ac)|(multiple cpu faults)|(system.+state.+changed )|(\[timeout)|(PRM\|1\|D)|(kpr)|(kdp)|(train st.+moving)|(\|lc)|(penalty))"</v>
      </c>
      <c r="AG184" s="244" t="str">
        <f t="shared" si="58"/>
        <v>NW</v>
      </c>
      <c r="AH184" s="236" t="str">
        <f t="shared" si="59"/>
        <v>"%USERPROFILE%\Documents\GitHub\eaglep3\Utilities\RefineRTDCRunTimes.py" --tripid 1825-09 --locoid 4030 --swversion DE.1.0.9.0 --startMP 204:448 --initTime 2017-12-09T17:59:45 --startdatetime 2017-12-09T18:09:18 --delay 139 --endMP 300:58935 --enddatetime 2017-12-09T18:23:39 --enforcementcount 0 &gt;&gt;%USERPROFILE%\Documents\GitHub\eaglep3-reporting\EC\2017-12-09-refined-times.txt</v>
      </c>
      <c r="AI184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{"issue":{"subject":"","project_id":79,"tracker_id":40,"status_id":1,"priority_id":2,"assigned_to_id":338,"start_date":"2017-12-09","description":"","custom_fields":[{"id":1,"name":"Subdivision","value":"NW"},{"id":4,"name":"Milepost","value":"5.8935"},{"id":17,"name":"Train ID","value":"1825-09"},{"id":16,"name":"Locomotive ID","value":"4030"},{"id":130,"name":"Impact","value":""},{"id":150,"name":"Time of Event (Mountain Time)","value":"18:23:39"},{"id":151,"name":"Denver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61"/>
        <v>start /low /b %USERPROFILE%\Documents\GitHub\eaglep3\Utilities\DownloadLogsFromS3.py --loco 4030 --day 2017-12-09</v>
      </c>
      <c r="AN18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63"/>
        <v>https://d0f6bd738d7f1b3e5a7ca70fe4ff75f0.us-east-1.aws.found.io/app/kibana#/discover/Steve-Slow-Train-Analysis-(2080s-and-2083s)?_g=(refreshInterval:(display:Off,pause:!f,section:0,value:0),time:(from:'2017-12-09T16:59:45-0700',mode:absolute,to:'2017-12-09T19:23:39-0700'))&amp;_a=(columns:!('Message%20ID',Summary),filters:!(),index:'emp_*',interval:auto,query:(query_string:(analyze_wildcard:!t,query:'%22rtdc.l.rtdc.4030%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850</v>
      </c>
      <c r="B185" s="225">
        <v>4029</v>
      </c>
      <c r="C185" s="227" t="s">
        <v>192</v>
      </c>
      <c r="D185" s="227" t="s">
        <v>982</v>
      </c>
      <c r="E185" s="226">
        <v>43078.76771990741</v>
      </c>
      <c r="F185" s="226">
        <v>43078.778993055559</v>
      </c>
      <c r="G185" s="225">
        <v>75</v>
      </c>
      <c r="H185" s="227" t="s">
        <v>595</v>
      </c>
      <c r="I185" s="226">
        <v>43078.788773148146</v>
      </c>
      <c r="J185" s="225">
        <v>0</v>
      </c>
      <c r="K185" s="237" t="str">
        <f t="shared" si="46"/>
        <v>4029/4030</v>
      </c>
      <c r="L185" s="245" t="str">
        <f>VLOOKUP(A185,'Trips&amp;Operators'!$C$1:$G$99911,5,FALSE)</f>
        <v>SMITH MICHAEL</v>
      </c>
      <c r="M185" s="224">
        <f t="shared" si="47"/>
        <v>9.7800925868796185E-3</v>
      </c>
      <c r="N185" s="225">
        <f t="shared" si="64"/>
        <v>14.083333325106651</v>
      </c>
      <c r="O185" s="225"/>
      <c r="P185" s="225"/>
      <c r="Q185" s="228"/>
      <c r="R185" s="242"/>
      <c r="S185" s="249">
        <f t="shared" si="48"/>
        <v>1</v>
      </c>
      <c r="T185" s="242" t="str">
        <f t="shared" si="49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50"/>
        <v>https://d0f6bd738d7f1b3e5a7ca70fe4ff75f0.us-east-1.aws.found.io/app/kibana#/discover/Steve-Slow-Train-Analysis-(2080s-and-2083s)?_g=(refreshInterval:(display:Off,pause:!f,section:0,value:0),time:(from:'2017-12-09T17:25:31-0700',mode:absolute,to:'2017-12-09T19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5" s="247" t="str">
        <f>IF(AA185&lt;VLOOKUP(AG185,Variables!$AC$3:$AD$8,2,FALSE),"Y","N")</f>
        <v>N</v>
      </c>
      <c r="X185" s="247">
        <f t="shared" si="51"/>
        <v>1</v>
      </c>
      <c r="Y185" s="247">
        <f t="shared" si="52"/>
        <v>5.8632</v>
      </c>
      <c r="Z185" s="247">
        <f t="shared" si="53"/>
        <v>1.5800000000000002E-2</v>
      </c>
      <c r="AA185" s="247">
        <f t="shared" si="54"/>
        <v>5.8474000000000004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55"/>
        <v>1826</v>
      </c>
      <c r="AE185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5" s="234" t="str">
        <f t="shared" si="57"/>
        <v>"C:\Program Files (x86)\AstroGrep\AstroGrep.exe" /e /r /s /spath="%USERPROFILE%\AppData\Local\Temp\OnboardLogs" /stypes="app*4029*20171210*" /stext=" 01:.+((SYSTEM_STATE.+slice.+state.+changed )|(ment ac)|(multiple cpu faults)|(system.+state.+changed )|(\[timeout)|(PRM\|1\|D)|(kpr)|(kdp)|(train st.+moving)|(\|lc)|(penalty))"</v>
      </c>
      <c r="AG185" s="244" t="str">
        <f t="shared" si="58"/>
        <v>NW</v>
      </c>
      <c r="AH185" s="236" t="str">
        <f t="shared" si="59"/>
        <v>"%USERPROFILE%\Documents\GitHub\eaglep3\Utilities\RefineRTDCRunTimes.py" --tripid 1826-09 --locoid 4029 --swversion DE.1.0.9.0 --startMP 300:58632 --initTime 2017-12-09T18:25:31 --startdatetime 2017-12-09T18:41:45 --delay 75 --endMP 204:158 --enddatetime 2017-12-09T18:55:50 --enforcementcount 0 &gt;&gt;%USERPROFILE%\Documents\GitHub\eaglep3-reporting\EC\2017-12-09-refined-times.txt</v>
      </c>
      <c r="AI185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{"issue":{"subject":"","project_id":79,"tracker_id":40,"status_id":1,"priority_id":2,"assigned_to_id":338,"start_date":"2017-12-09","description":"","custom_fields":[{"id":1,"name":"Subdivision","value":"NW"},{"id":4,"name":"Milepost","value":"0.0158"},{"id":17,"name":"Train ID","value":"1826-09"},{"id":16,"name":"Locomotive ID","value":"4029"},{"id":130,"name":"Impact","value":""},{"id":150,"name":"Time of Event (Mountain Time)","value":"18:55:50"},{"id":151,"name":"Denver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61"/>
        <v>start /low /b %USERPROFILE%\Documents\GitHub\eaglep3\Utilities\DownloadLogsFromS3.py --loco 4029 --day 2017-12-09</v>
      </c>
      <c r="AN185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63"/>
        <v>https://d0f6bd738d7f1b3e5a7ca70fe4ff75f0.us-east-1.aws.found.io/app/kibana#/discover/Steve-Slow-Train-Analysis-(2080s-and-2083s)?_g=(refreshInterval:(display:Off,pause:!f,section:0,value:0),time:(from:'2017-12-09T17:25:31-0700',mode:absolute,to:'2017-12-09T19:55:50-0700'))&amp;_a=(columns:!('Message%20ID',Summary),filters:!(),index:'emp_*',interval:auto,query:(query_string:(analyze_wildcard:!t,query:'%22rtdc.l.rtdc.4029%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855</v>
      </c>
      <c r="B186" s="225">
        <v>4030</v>
      </c>
      <c r="C186" s="227" t="s">
        <v>192</v>
      </c>
      <c r="D186" s="227" t="s">
        <v>923</v>
      </c>
      <c r="E186" s="226">
        <v>43078.790717592594</v>
      </c>
      <c r="F186" s="226">
        <v>43078.798194444447</v>
      </c>
      <c r="G186" s="225">
        <v>66</v>
      </c>
      <c r="H186" s="227" t="s">
        <v>983</v>
      </c>
      <c r="I186" s="226">
        <v>43078.808229166665</v>
      </c>
      <c r="J186" s="225">
        <v>0</v>
      </c>
      <c r="K186" s="237" t="str">
        <f t="shared" si="46"/>
        <v>4029/4030</v>
      </c>
      <c r="L186" s="245" t="str">
        <f>VLOOKUP(A186,'Trips&amp;Operators'!$C$1:$G$99911,5,FALSE)</f>
        <v>SMITH MICHAEL</v>
      </c>
      <c r="M186" s="224">
        <f t="shared" si="47"/>
        <v>1.003472221782431E-2</v>
      </c>
      <c r="N186" s="225">
        <f t="shared" si="64"/>
        <v>14.449999993667006</v>
      </c>
      <c r="O186" s="225"/>
      <c r="P186" s="225"/>
      <c r="Q186" s="228"/>
      <c r="R186" s="242"/>
      <c r="S186" s="249">
        <f t="shared" si="48"/>
        <v>1</v>
      </c>
      <c r="T186" s="242" t="str">
        <f t="shared" si="49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50"/>
        <v>https://d0f6bd738d7f1b3e5a7ca70fe4ff75f0.us-east-1.aws.found.io/app/kibana#/discover/Steve-Slow-Train-Analysis-(2080s-and-2083s)?_g=(refreshInterval:(display:Off,pause:!f,section:0,value:0),time:(from:'2017-12-09T17:58:38-0700',mode:absolute,to:'2017-12-09T20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247" t="str">
        <f>IF(AA186&lt;VLOOKUP(AG186,Variables!$AC$3:$AD$8,2,FALSE),"Y","N")</f>
        <v>N</v>
      </c>
      <c r="X186" s="247">
        <f t="shared" si="51"/>
        <v>1</v>
      </c>
      <c r="Y186" s="247">
        <f t="shared" si="52"/>
        <v>4.5699999999999998E-2</v>
      </c>
      <c r="Z186" s="247">
        <f t="shared" si="53"/>
        <v>5.8945999999999996</v>
      </c>
      <c r="AA186" s="247">
        <f t="shared" si="54"/>
        <v>5.8488999999999995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55"/>
        <v>1827</v>
      </c>
      <c r="AE186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6" s="234" t="str">
        <f t="shared" si="57"/>
        <v>"C:\Program Files (x86)\AstroGrep\AstroGrep.exe" /e /r /s /spath="%USERPROFILE%\AppData\Local\Temp\OnboardLogs" /stypes="app*4030*20171210*" /stext=" 02:.+((SYSTEM_STATE.+slice.+state.+changed )|(ment ac)|(multiple cpu faults)|(system.+state.+changed )|(\[timeout)|(PRM\|1\|D)|(kpr)|(kdp)|(train st.+moving)|(\|lc)|(penalty))"</v>
      </c>
      <c r="AG186" s="244" t="str">
        <f t="shared" si="58"/>
        <v>NW</v>
      </c>
      <c r="AH186" s="236" t="str">
        <f t="shared" si="59"/>
        <v>"%USERPROFILE%\Documents\GitHub\eaglep3\Utilities\RefineRTDCRunTimes.py" --tripid 1827-09 --locoid 4030 --swversion DE.1.0.9.0 --startMP 204:457 --initTime 2017-12-09T18:58:38 --startdatetime 2017-12-09T19:09:24 --delay 66 --endMP 300:58946 --enddatetime 2017-12-09T19:23:51 --enforcementcount 0 &gt;&gt;%USERPROFILE%\Documents\GitHub\eaglep3-reporting\EC\2017-12-09-refined-times.txt</v>
      </c>
      <c r="AI186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{"issue":{"subject":"","project_id":79,"tracker_id":40,"status_id":1,"priority_id":2,"assigned_to_id":338,"start_date":"2017-12-09","description":"","custom_fields":[{"id":1,"name":"Subdivision","value":"NW"},{"id":4,"name":"Milepost","value":"5.8946"},{"id":17,"name":"Train ID","value":"1827-09"},{"id":16,"name":"Locomotive ID","value":"4030"},{"id":130,"name":"Impact","value":""},{"id":150,"name":"Time of Event (Mountain Time)","value":"19:23:51"},{"id":151,"name":"Denver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61"/>
        <v>start /low /b %USERPROFILE%\Documents\GitHub\eaglep3\Utilities\DownloadLogsFromS3.py --loco 4030 --day 2017-12-09</v>
      </c>
      <c r="AN186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63"/>
        <v>https://d0f6bd738d7f1b3e5a7ca70fe4ff75f0.us-east-1.aws.found.io/app/kibana#/discover/Steve-Slow-Train-Analysis-(2080s-and-2083s)?_g=(refreshInterval:(display:Off,pause:!f,section:0,value:0),time:(from:'2017-12-09T17:58:38-0700',mode:absolute,to:'2017-12-09T20:23:51-0700'))&amp;_a=(columns:!('Message%20ID',Summary),filters:!(),index:'emp_*',interval:auto,query:(query_string:(analyze_wildcard:!t,query:'%22rtdc.l.rtdc.4030%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859</v>
      </c>
      <c r="B187" s="225">
        <v>4029</v>
      </c>
      <c r="C187" s="227" t="s">
        <v>192</v>
      </c>
      <c r="D187" s="227" t="s">
        <v>984</v>
      </c>
      <c r="E187" s="226">
        <v>43078.809282407405</v>
      </c>
      <c r="F187" s="226">
        <v>43078.82167824074</v>
      </c>
      <c r="G187" s="225">
        <v>67</v>
      </c>
      <c r="H187" s="227" t="s">
        <v>985</v>
      </c>
      <c r="I187" s="226">
        <v>43078.830324074072</v>
      </c>
      <c r="J187" s="225">
        <v>0</v>
      </c>
      <c r="K187" s="237" t="str">
        <f t="shared" si="46"/>
        <v>4029/4030</v>
      </c>
      <c r="L187" s="245" t="str">
        <f>VLOOKUP(A187,'Trips&amp;Operators'!$C$1:$G$99911,5,FALSE)</f>
        <v>SMITH MICHAEL</v>
      </c>
      <c r="M187" s="224">
        <f t="shared" si="47"/>
        <v>8.6458333316841163E-3</v>
      </c>
      <c r="N187" s="225">
        <f t="shared" si="64"/>
        <v>12.449999997625127</v>
      </c>
      <c r="O187" s="225"/>
      <c r="P187" s="225"/>
      <c r="Q187" s="228"/>
      <c r="R187" s="242"/>
      <c r="S187" s="249">
        <f t="shared" si="48"/>
        <v>1</v>
      </c>
      <c r="T187" s="242" t="str">
        <f t="shared" si="49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50"/>
        <v>https://d0f6bd738d7f1b3e5a7ca70fe4ff75f0.us-east-1.aws.found.io/app/kibana#/discover/Steve-Slow-Train-Analysis-(2080s-and-2083s)?_g=(refreshInterval:(display:Off,pause:!f,section:0,value:0),time:(from:'2017-12-09T18:25:22-0700',mode:absolute,to:'2017-12-09T20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247" t="str">
        <f>IF(AA187&lt;VLOOKUP(AG187,Variables!$AC$3:$AD$8,2,FALSE),"Y","N")</f>
        <v>N</v>
      </c>
      <c r="X187" s="247">
        <f t="shared" si="51"/>
        <v>1</v>
      </c>
      <c r="Y187" s="247">
        <f t="shared" si="52"/>
        <v>5.8628</v>
      </c>
      <c r="Z187" s="247">
        <f t="shared" si="53"/>
        <v>1.44E-2</v>
      </c>
      <c r="AA187" s="247">
        <f t="shared" si="54"/>
        <v>5.8483999999999998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55"/>
        <v>1828</v>
      </c>
      <c r="AE187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7" s="234" t="str">
        <f t="shared" si="57"/>
        <v>"C:\Program Files (x86)\AstroGrep\AstroGrep.exe" /e /r /s /spath="%USERPROFILE%\AppData\Local\Temp\OnboardLogs" /stypes="app*4029*20171210*" /stext=" 02:.+((SYSTEM_STATE.+slice.+state.+changed )|(ment ac)|(multiple cpu faults)|(system.+state.+changed )|(\[timeout)|(PRM\|1\|D)|(kpr)|(kdp)|(train st.+moving)|(\|lc)|(penalty))"</v>
      </c>
      <c r="AG187" s="244" t="str">
        <f t="shared" si="58"/>
        <v>NW</v>
      </c>
      <c r="AH187" s="236" t="str">
        <f t="shared" si="59"/>
        <v>"%USERPROFILE%\Documents\GitHub\eaglep3\Utilities\RefineRTDCRunTimes.py" --tripid 1828-09 --locoid 4029 --swversion DE.1.0.9.0 --startMP 300:58628 --initTime 2017-12-09T19:25:22 --startdatetime 2017-12-09T19:43:13 --delay 67 --endMP 204:144 --enddatetime 2017-12-09T19:55:40 --enforcementcount 0 &gt;&gt;%USERPROFILE%\Documents\GitHub\eaglep3-reporting\EC\2017-12-09-refined-times.txt</v>
      </c>
      <c r="AI187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{"issue":{"subject":"","project_id":79,"tracker_id":40,"status_id":1,"priority_id":2,"assigned_to_id":338,"start_date":"2017-12-09","description":"","custom_fields":[{"id":1,"name":"Subdivision","value":"NW"},{"id":4,"name":"Milepost","value":"0.0144"},{"id":17,"name":"Train ID","value":"1828-09"},{"id":16,"name":"Locomotive ID","value":"4029"},{"id":130,"name":"Impact","value":""},{"id":150,"name":"Time of Event (Mountain Time)","value":"19:55:40"},{"id":151,"name":"Denver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61"/>
        <v>start /low /b %USERPROFILE%\Documents\GitHub\eaglep3\Utilities\DownloadLogsFromS3.py --loco 4029 --day 2017-12-09</v>
      </c>
      <c r="AN187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63"/>
        <v>https://d0f6bd738d7f1b3e5a7ca70fe4ff75f0.us-east-1.aws.found.io/app/kibana#/discover/Steve-Slow-Train-Analysis-(2080s-and-2083s)?_g=(refreshInterval:(display:Off,pause:!f,section:0,value:0),time:(from:'2017-12-09T18:25:22-0700',mode:absolute,to:'2017-12-09T20:55:40-0700'))&amp;_a=(columns:!('Message%20ID',Summary),filters:!(),index:'emp_*',interval:auto,query:(query_string:(analyze_wildcard:!t,query:'%22rtdc.l.rtdc.4029%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863</v>
      </c>
      <c r="B188" s="225">
        <v>4030</v>
      </c>
      <c r="C188" s="227" t="s">
        <v>192</v>
      </c>
      <c r="D188" s="227" t="s">
        <v>986</v>
      </c>
      <c r="E188" s="226">
        <v>43078.835393518515</v>
      </c>
      <c r="F188" s="226">
        <v>43078.839780092596</v>
      </c>
      <c r="G188" s="225">
        <v>62</v>
      </c>
      <c r="H188" s="227" t="s">
        <v>987</v>
      </c>
      <c r="I188" s="226">
        <v>43078.850543981483</v>
      </c>
      <c r="J188" s="225">
        <v>0</v>
      </c>
      <c r="K188" s="237" t="str">
        <f t="shared" si="46"/>
        <v>4029/4030</v>
      </c>
      <c r="L188" s="245" t="str">
        <f>VLOOKUP(A188,'Trips&amp;Operators'!$C$1:$G$99911,5,FALSE)</f>
        <v>SMITH MICHAEL</v>
      </c>
      <c r="M188" s="224">
        <f t="shared" si="47"/>
        <v>1.0763888887595385E-2</v>
      </c>
      <c r="N188" s="225">
        <f t="shared" si="64"/>
        <v>15.499999998137355</v>
      </c>
      <c r="O188" s="225"/>
      <c r="P188" s="225"/>
      <c r="Q188" s="228"/>
      <c r="R188" s="242"/>
      <c r="S188" s="249">
        <f t="shared" si="48"/>
        <v>1</v>
      </c>
      <c r="T188" s="242" t="str">
        <f t="shared" si="49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50"/>
        <v>https://d0f6bd738d7f1b3e5a7ca70fe4ff75f0.us-east-1.aws.found.io/app/kibana#/discover/Steve-Slow-Train-Analysis-(2080s-and-2083s)?_g=(refreshInterval:(display:Off,pause:!f,section:0,value:0),time:(from:'2017-12-09T19:02:58-0700',mode:absolute,to:'2017-12-09T21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8" s="247" t="str">
        <f>IF(AA188&lt;VLOOKUP(AG188,Variables!$AC$3:$AD$8,2,FALSE),"Y","N")</f>
        <v>N</v>
      </c>
      <c r="X188" s="247">
        <f t="shared" si="51"/>
        <v>1</v>
      </c>
      <c r="Y188" s="247">
        <f t="shared" si="52"/>
        <v>4.3499999999999997E-2</v>
      </c>
      <c r="Z188" s="247">
        <f t="shared" si="53"/>
        <v>5.8982000000000001</v>
      </c>
      <c r="AA188" s="247">
        <f t="shared" si="54"/>
        <v>5.8547000000000002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55"/>
        <v>1829</v>
      </c>
      <c r="AE188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8" s="234" t="str">
        <f t="shared" si="57"/>
        <v>"C:\Program Files (x86)\AstroGrep\AstroGrep.exe" /e /r /s /spath="%USERPROFILE%\AppData\Local\Temp\OnboardLogs" /stypes="app*4030*20171210*" /stext=" 03:.+((SYSTEM_STATE.+slice.+state.+changed )|(ment ac)|(multiple cpu faults)|(system.+state.+changed )|(\[timeout)|(PRM\|1\|D)|(kpr)|(kdp)|(train st.+moving)|(\|lc)|(penalty))"</v>
      </c>
      <c r="AG188" s="244" t="str">
        <f t="shared" si="58"/>
        <v>NW</v>
      </c>
      <c r="AH188" s="236" t="str">
        <f t="shared" si="59"/>
        <v>"%USERPROFILE%\Documents\GitHub\eaglep3\Utilities\RefineRTDCRunTimes.py" --tripid 1829-09 --locoid 4030 --swversion DE.1.0.9.0 --startMP 204:435 --initTime 2017-12-09T20:02:58 --startdatetime 2017-12-09T20:09:17 --delay 62 --endMP 300:58982 --enddatetime 2017-12-09T20:24:47 --enforcementcount 0 &gt;&gt;%USERPROFILE%\Documents\GitHub\eaglep3-reporting\EC\2017-12-09-refined-times.txt</v>
      </c>
      <c r="AI188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{"issue":{"subject":"","project_id":79,"tracker_id":40,"status_id":1,"priority_id":2,"assigned_to_id":338,"start_date":"2017-12-09","description":"","custom_fields":[{"id":1,"name":"Subdivision","value":"NW"},{"id":4,"name":"Milepost","value":"5.8982"},{"id":17,"name":"Train ID","value":"1829-09"},{"id":16,"name":"Locomotive ID","value":"4030"},{"id":130,"name":"Impact","value":""},{"id":150,"name":"Time of Event (Mountain Time)","value":"20:24:47"},{"id":151,"name":"Denver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61"/>
        <v>start /low /b %USERPROFILE%\Documents\GitHub\eaglep3\Utilities\DownloadLogsFromS3.py --loco 4030 --day 2017-12-09</v>
      </c>
      <c r="AN188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63"/>
        <v>https://d0f6bd738d7f1b3e5a7ca70fe4ff75f0.us-east-1.aws.found.io/app/kibana#/discover/Steve-Slow-Train-Analysis-(2080s-and-2083s)?_g=(refreshInterval:(display:Off,pause:!f,section:0,value:0),time:(from:'2017-12-09T19:02:58-0700',mode:absolute,to:'2017-12-09T21:24:47-0700'))&amp;_a=(columns:!('Message%20ID',Summary),filters:!(),index:'emp_*',interval:auto,query:(query_string:(analyze_wildcard:!t,query:'%22rtdc.l.rtdc.4030%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866</v>
      </c>
      <c r="B189" s="225">
        <v>4029</v>
      </c>
      <c r="C189" s="227" t="s">
        <v>192</v>
      </c>
      <c r="D189" s="227" t="s">
        <v>586</v>
      </c>
      <c r="E189" s="226">
        <v>43078.851689814815</v>
      </c>
      <c r="F189" s="226">
        <v>43078.863657407404</v>
      </c>
      <c r="G189" s="225">
        <v>72</v>
      </c>
      <c r="H189" s="227" t="s">
        <v>971</v>
      </c>
      <c r="I189" s="226">
        <v>43078.873344907406</v>
      </c>
      <c r="J189" s="225">
        <v>0</v>
      </c>
      <c r="K189" s="237" t="str">
        <f t="shared" si="46"/>
        <v>4029/4030</v>
      </c>
      <c r="L189" s="245" t="str">
        <f>VLOOKUP(A189,'Trips&amp;Operators'!$C$1:$G$99911,5,FALSE)</f>
        <v>SMITH MICHAEL</v>
      </c>
      <c r="M189" s="224">
        <f t="shared" si="47"/>
        <v>9.6875000017462298E-3</v>
      </c>
      <c r="N189" s="225">
        <f t="shared" si="64"/>
        <v>13.950000002514571</v>
      </c>
      <c r="O189" s="225"/>
      <c r="P189" s="225"/>
      <c r="Q189" s="228"/>
      <c r="R189" s="242"/>
      <c r="S189" s="249">
        <f t="shared" si="48"/>
        <v>1</v>
      </c>
      <c r="T189" s="242" t="str">
        <f t="shared" si="49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50"/>
        <v>https://d0f6bd738d7f1b3e5a7ca70fe4ff75f0.us-east-1.aws.found.io/app/kibana#/discover/Steve-Slow-Train-Analysis-(2080s-and-2083s)?_g=(refreshInterval:(display:Off,pause:!f,section:0,value:0),time:(from:'2017-12-09T19:26:26-0700',mode:absolute,to:'2017-12-09T21:57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9" s="247" t="str">
        <f>IF(AA189&lt;VLOOKUP(AG189,Variables!$AC$3:$AD$8,2,FALSE),"Y","N")</f>
        <v>N</v>
      </c>
      <c r="X189" s="247">
        <f t="shared" si="51"/>
        <v>1</v>
      </c>
      <c r="Y189" s="247">
        <f t="shared" si="52"/>
        <v>5.8673000000000002</v>
      </c>
      <c r="Z189" s="247">
        <f t="shared" si="53"/>
        <v>1.5699999999999999E-2</v>
      </c>
      <c r="AA189" s="247">
        <f t="shared" si="54"/>
        <v>5.8516000000000004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55"/>
        <v>1830</v>
      </c>
      <c r="AE189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9" s="234" t="str">
        <f t="shared" si="57"/>
        <v>"C:\Program Files (x86)\AstroGrep\AstroGrep.exe" /e /r /s /spath="%USERPROFILE%\AppData\Local\Temp\OnboardLogs" /stypes="app*4029*20171210*" /stext=" 03:.+((SYSTEM_STATE.+slice.+state.+changed )|(ment ac)|(multiple cpu faults)|(system.+state.+changed )|(\[timeout)|(PRM\|1\|D)|(kpr)|(kdp)|(train st.+moving)|(\|lc)|(penalty))"</v>
      </c>
      <c r="AG189" s="244" t="str">
        <f t="shared" si="58"/>
        <v>NW</v>
      </c>
      <c r="AH189" s="236" t="str">
        <f t="shared" si="59"/>
        <v>"%USERPROFILE%\Documents\GitHub\eaglep3\Utilities\RefineRTDCRunTimes.py" --tripid 1830-09 --locoid 4029 --swversion DE.1.0.9.0 --startMP 300:58673 --initTime 2017-12-09T20:26:26 --startdatetime 2017-12-09T20:43:40 --delay 72 --endMP 204:157 --enddatetime 2017-12-09T20:57:37 --enforcementcount 0 &gt;&gt;%USERPROFILE%\Documents\GitHub\eaglep3-reporting\EC\2017-12-09-refined-times.txt</v>
      </c>
      <c r="AI189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{"issue":{"subject":"","project_id":79,"tracker_id":40,"status_id":1,"priority_id":2,"assigned_to_id":338,"start_date":"2017-12-09","description":"","custom_fields":[{"id":1,"name":"Subdivision","value":"NW"},{"id":4,"name":"Milepost","value":"0.0157"},{"id":17,"name":"Train ID","value":"1830-09"},{"id":16,"name":"Locomotive ID","value":"4029"},{"id":130,"name":"Impact","value":""},{"id":150,"name":"Time of Event (Mountain Time)","value":"20:57:37"},{"id":151,"name":"Denver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61"/>
        <v>start /low /b %USERPROFILE%\Documents\GitHub\eaglep3\Utilities\DownloadLogsFromS3.py --loco 4029 --day 2017-12-09</v>
      </c>
      <c r="AN189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03:57:37"},{"id":29,"name":"Sharepoint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63"/>
        <v>https://d0f6bd738d7f1b3e5a7ca70fe4ff75f0.us-east-1.aws.found.io/app/kibana#/discover/Steve-Slow-Train-Analysis-(2080s-and-2083s)?_g=(refreshInterval:(display:Off,pause:!f,section:0,value:0),time:(from:'2017-12-09T19:26:26-0700',mode:absolute,to:'2017-12-09T21:57:37-0700'))&amp;_a=(columns:!('Message%20ID',Summary),filters:!(),index:'emp_*',interval:auto,query:(query_string:(analyze_wildcard:!t,query:'%22rtdc.l.rtdc.4029%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695</v>
      </c>
      <c r="B190" s="225">
        <v>4030</v>
      </c>
      <c r="C190" s="227" t="s">
        <v>192</v>
      </c>
      <c r="D190" s="227" t="s">
        <v>989</v>
      </c>
      <c r="E190" s="226">
        <v>43078.87537037037</v>
      </c>
      <c r="F190" s="226">
        <v>43078.88144675926</v>
      </c>
      <c r="G190" s="225">
        <v>63</v>
      </c>
      <c r="H190" s="227" t="s">
        <v>990</v>
      </c>
      <c r="I190" s="226">
        <v>43078.891215277778</v>
      </c>
      <c r="J190" s="225">
        <v>0</v>
      </c>
      <c r="K190" s="237" t="str">
        <f t="shared" si="46"/>
        <v>4029/4030</v>
      </c>
      <c r="L190" s="245" t="str">
        <f>VLOOKUP(A190,'Trips&amp;Operators'!$C$1:$G$99911,5,FALSE)</f>
        <v>SMITH MICHAEL</v>
      </c>
      <c r="M190" s="224">
        <f t="shared" si="47"/>
        <v>9.7685185173759237E-3</v>
      </c>
      <c r="N190" s="225">
        <f t="shared" si="64"/>
        <v>14.06666666502133</v>
      </c>
      <c r="O190" s="225"/>
      <c r="P190" s="225"/>
      <c r="Q190" s="228"/>
      <c r="R190" s="242"/>
      <c r="S190" s="249">
        <f t="shared" si="48"/>
        <v>1</v>
      </c>
      <c r="T190" s="242" t="str">
        <f t="shared" si="49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50"/>
        <v>https://d0f6bd738d7f1b3e5a7ca70fe4ff75f0.us-east-1.aws.found.io/app/kibana#/discover/Steve-Slow-Train-Analysis-(2080s-and-2083s)?_g=(refreshInterval:(display:Off,pause:!f,section:0,value:0),time:(from:'2017-12-09T20:00:32-0700',mode:absolute,to:'2017-12-09T22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247" t="str">
        <f>IF(AA190&lt;VLOOKUP(AG190,Variables!$AC$3:$AD$8,2,FALSE),"Y","N")</f>
        <v>N</v>
      </c>
      <c r="X190" s="247">
        <f t="shared" si="51"/>
        <v>1</v>
      </c>
      <c r="Y190" s="247">
        <f t="shared" si="52"/>
        <v>4.4600000000000001E-2</v>
      </c>
      <c r="Z190" s="247">
        <f t="shared" si="53"/>
        <v>5.8954000000000004</v>
      </c>
      <c r="AA190" s="247">
        <f t="shared" si="54"/>
        <v>5.8508000000000004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55"/>
        <v>1831</v>
      </c>
      <c r="AE190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90" s="234" t="str">
        <f t="shared" si="57"/>
        <v>"C:\Program Files (x86)\AstroGrep\AstroGrep.exe" /e /r /s /spath="%USERPROFILE%\AppData\Local\Temp\OnboardLogs" /stypes="app*4030*20171210*" /stext=" 04:.+((SYSTEM_STATE.+slice.+state.+changed )|(ment ac)|(multiple cpu faults)|(system.+state.+changed )|(\[timeout)|(PRM\|1\|D)|(kpr)|(kdp)|(train st.+moving)|(\|lc)|(penalty))"</v>
      </c>
      <c r="AG190" s="244" t="str">
        <f t="shared" si="58"/>
        <v>NW</v>
      </c>
      <c r="AH190" s="236" t="str">
        <f t="shared" si="59"/>
        <v>"%USERPROFILE%\Documents\GitHub\eaglep3\Utilities\RefineRTDCRunTimes.py" --tripid 1831-09 --locoid 4030 --swversion DE.1.0.9.0 --startMP 204:446 --initTime 2017-12-09T21:00:32 --startdatetime 2017-12-09T21:09:17 --delay 63 --endMP 300:58954 --enddatetime 2017-12-09T21:23:21 --enforcementcount 0 &gt;&gt;%USERPROFILE%\Documents\GitHub\eaglep3-reporting\EC\2017-12-09-refined-times.txt</v>
      </c>
      <c r="AI190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{"issue":{"subject":"","project_id":79,"tracker_id":40,"status_id":1,"priority_id":2,"assigned_to_id":338,"start_date":"2017-12-09","description":"","custom_fields":[{"id":1,"name":"Subdivision","value":"NW"},{"id":4,"name":"Milepost","value":"5.8954"},{"id":17,"name":"Train ID","value":"1831-09"},{"id":16,"name":"Locomotive ID","value":"4030"},{"id":130,"name":"Impact","value":""},{"id":150,"name":"Time of Event (Mountain Time)","value":"21:23:21"},{"id":151,"name":"Denver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61"/>
        <v>start /low /b %USERPROFILE%\Documents\GitHub\eaglep3\Utilities\DownloadLogsFromS3.py --loco 4030 --day 2017-12-09</v>
      </c>
      <c r="AN190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63"/>
        <v>https://d0f6bd738d7f1b3e5a7ca70fe4ff75f0.us-east-1.aws.found.io/app/kibana#/discover/Steve-Slow-Train-Analysis-(2080s-and-2083s)?_g=(refreshInterval:(display:Off,pause:!f,section:0,value:0),time:(from:'2017-12-09T20:00:32-0700',mode:absolute,to:'2017-12-09T22:23:21-0700'))&amp;_a=(columns:!('Message%20ID',Summary),filters:!(),index:'emp_*',interval:auto,query:(query_string:(analyze_wildcard:!t,query:'%22rtdc.l.rtdc.4030%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25">
      <c r="A191" s="229" t="s">
        <v>696</v>
      </c>
      <c r="B191" s="225">
        <v>4029</v>
      </c>
      <c r="C191" s="227" t="s">
        <v>192</v>
      </c>
      <c r="D191" s="227" t="s">
        <v>647</v>
      </c>
      <c r="E191" s="226">
        <v>43078.892430555556</v>
      </c>
      <c r="F191" s="226">
        <v>43078.904340277775</v>
      </c>
      <c r="G191" s="225">
        <v>71</v>
      </c>
      <c r="H191" s="227" t="s">
        <v>991</v>
      </c>
      <c r="I191" s="226">
        <v>43078.912615740737</v>
      </c>
      <c r="J191" s="225">
        <v>0</v>
      </c>
      <c r="K191" s="237" t="str">
        <f t="shared" si="46"/>
        <v>4029/4030</v>
      </c>
      <c r="L191" s="245" t="str">
        <f>VLOOKUP(A191,'Trips&amp;Operators'!$C$1:$G$99911,5,FALSE)</f>
        <v>SMITH MICHAEL</v>
      </c>
      <c r="M191" s="224">
        <f t="shared" si="47"/>
        <v>8.2754629620467313E-3</v>
      </c>
      <c r="N191" s="225">
        <f t="shared" ref="N191:N219" si="65">24*60*SUM($M191:$M191)</f>
        <v>11.916666665347293</v>
      </c>
      <c r="O191" s="225"/>
      <c r="P191" s="225"/>
      <c r="Q191" s="228"/>
      <c r="R191" s="242"/>
      <c r="S191" s="249">
        <f t="shared" si="48"/>
        <v>1</v>
      </c>
      <c r="T191" s="242" t="str">
        <f t="shared" si="49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50"/>
        <v>https://d0f6bd738d7f1b3e5a7ca70fe4ff75f0.us-east-1.aws.found.io/app/kibana#/discover/Steve-Slow-Train-Analysis-(2080s-and-2083s)?_g=(refreshInterval:(display:Off,pause:!f,section:0,value:0),time:(from:'2017-12-09T20:25:06-0700',mode:absolute,to:'2017-12-09T22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247" t="str">
        <f>IF(AA191&lt;VLOOKUP(AG191,Variables!$AC$3:$AD$8,2,FALSE),"Y","N")</f>
        <v>Y</v>
      </c>
      <c r="X191" s="247">
        <f t="shared" si="51"/>
        <v>1</v>
      </c>
      <c r="Y191" s="247">
        <f t="shared" si="52"/>
        <v>5.8647</v>
      </c>
      <c r="Z191" s="247">
        <f t="shared" si="53"/>
        <v>0.46729999999999999</v>
      </c>
      <c r="AA191" s="247">
        <f t="shared" si="54"/>
        <v>5.3974000000000002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55"/>
        <v>1832</v>
      </c>
      <c r="AE191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91" s="234" t="str">
        <f t="shared" si="57"/>
        <v>"C:\Program Files (x86)\AstroGrep\AstroGrep.exe" /e /r /s /spath="%USERPROFILE%\AppData\Local\Temp\OnboardLogs" /stypes="app*4029*20171210*" /stext=" 04:.+((SYSTEM_STATE.+slice.+state.+changed )|(ment ac)|(multiple cpu faults)|(system.+state.+changed )|(\[timeout)|(PRM\|1\|D)|(kpr)|(kdp)|(train st.+moving)|(\|lc)|(penalty))"</v>
      </c>
      <c r="AG191" s="244" t="str">
        <f t="shared" si="58"/>
        <v>NW</v>
      </c>
      <c r="AH191" s="236" t="str">
        <f t="shared" si="59"/>
        <v>"%USERPROFILE%\Documents\GitHub\eaglep3\Utilities\RefineRTDCRunTimes.py" --tripid 1832-09 --locoid 4029 --swversion DE.1.0.9.0 --startMP 300:58647 --initTime 2017-12-09T21:25:06 --startdatetime 2017-12-09T21:42:15 --delay 71 --endMP 204:4673 --enddatetime 2017-12-09T21:54:10 --enforcementcount 0 &gt;&gt;%USERPROFILE%\Documents\GitHub\eaglep3-reporting\EC\2017-12-09-refined-times.txt</v>
      </c>
      <c r="AI191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{"issue":{"subject":"","project_id":79,"tracker_id":40,"status_id":1,"priority_id":2,"assigned_to_id":338,"start_date":"2017-12-09","description":"","custom_fields":[{"id":1,"name":"Subdivision","value":"NW"},{"id":4,"name":"Milepost","value":"0.4673"},{"id":17,"name":"Train ID","value":"1832-09"},{"id":16,"name":"Locomotive ID","value":"4029"},{"id":130,"name":"Impact","value":""},{"id":150,"name":"Time of Event (Mountain Time)","value":"21:54:10"},{"id":151,"name":"Denver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61"/>
        <v>start /low /b %USERPROFILE%\Documents\GitHub\eaglep3\Utilities\DownloadLogsFromS3.py --loco 4029 --day 2017-12-09</v>
      </c>
      <c r="AN191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63"/>
        <v>https://d0f6bd738d7f1b3e5a7ca70fe4ff75f0.us-east-1.aws.found.io/app/kibana#/discover/Steve-Slow-Train-Analysis-(2080s-and-2083s)?_g=(refreshInterval:(display:Off,pause:!f,section:0,value:0),time:(from:'2017-12-09T20:25:06-0700',mode:absolute,to:'2017-12-09T22:54:10-0700'))&amp;_a=(columns:!('Message%20ID',Summary),filters:!(),index:'emp_*',interval:auto,query:(query_string:(analyze_wildcard:!t,query:'%22rtdc.l.rtdc.4029%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873</v>
      </c>
      <c r="B192" s="225">
        <v>4030</v>
      </c>
      <c r="C192" s="227" t="s">
        <v>192</v>
      </c>
      <c r="D192" s="227" t="s">
        <v>978</v>
      </c>
      <c r="E192" s="226">
        <v>43078.917048611111</v>
      </c>
      <c r="F192" s="226">
        <v>43078.923113425924</v>
      </c>
      <c r="G192" s="225">
        <v>72</v>
      </c>
      <c r="H192" s="227" t="s">
        <v>983</v>
      </c>
      <c r="I192" s="226">
        <v>43078.933333333334</v>
      </c>
      <c r="J192" s="225">
        <v>0</v>
      </c>
      <c r="K192" s="237" t="str">
        <f t="shared" si="46"/>
        <v>4029/4030</v>
      </c>
      <c r="L192" s="245" t="str">
        <f>VLOOKUP(A192,'Trips&amp;Operators'!$C$1:$G$99911,5,FALSE)</f>
        <v>SMITH MICHAEL</v>
      </c>
      <c r="M192" s="224">
        <f t="shared" si="47"/>
        <v>1.021990740991896E-2</v>
      </c>
      <c r="N192" s="225">
        <f t="shared" si="65"/>
        <v>14.716666670283303</v>
      </c>
      <c r="O192" s="225"/>
      <c r="P192" s="225"/>
      <c r="Q192" s="228"/>
      <c r="R192" s="242"/>
      <c r="S192" s="249">
        <f t="shared" si="48"/>
        <v>1</v>
      </c>
      <c r="T192" s="242" t="str">
        <f t="shared" si="49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50"/>
        <v>https://d0f6bd738d7f1b3e5a7ca70fe4ff75f0.us-east-1.aws.found.io/app/kibana#/discover/Steve-Slow-Train-Analysis-(2080s-and-2083s)?_g=(refreshInterval:(display:Off,pause:!f,section:0,value:0),time:(from:'2017-12-09T21:00:33-0700',mode:absolute,to:'2017-12-09T23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2" s="247" t="str">
        <f>IF(AA192&lt;VLOOKUP(AG192,Variables!$AC$3:$AD$8,2,FALSE),"Y","N")</f>
        <v>N</v>
      </c>
      <c r="X192" s="247">
        <f t="shared" si="51"/>
        <v>1</v>
      </c>
      <c r="Y192" s="247">
        <f t="shared" si="52"/>
        <v>4.41E-2</v>
      </c>
      <c r="Z192" s="247">
        <f t="shared" si="53"/>
        <v>5.8945999999999996</v>
      </c>
      <c r="AA192" s="247">
        <f t="shared" si="54"/>
        <v>5.8504999999999994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55"/>
        <v>1833</v>
      </c>
      <c r="AE192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92" s="234" t="str">
        <f t="shared" si="57"/>
        <v>"C:\Program Files (x86)\AstroGrep\AstroGrep.exe" /e /r /s /spath="%USERPROFILE%\AppData\Local\Temp\OnboardLogs" /stypes="app*4030*20171210*" /stext=" 05:.+((SYSTEM_STATE.+slice.+state.+changed )|(ment ac)|(multiple cpu faults)|(system.+state.+changed )|(\[timeout)|(PRM\|1\|D)|(kpr)|(kdp)|(train st.+moving)|(\|lc)|(penalty))"</v>
      </c>
      <c r="AG192" s="244" t="str">
        <f t="shared" si="58"/>
        <v>NW</v>
      </c>
      <c r="AH192" s="236" t="str">
        <f t="shared" si="59"/>
        <v>"%USERPROFILE%\Documents\GitHub\eaglep3\Utilities\RefineRTDCRunTimes.py" --tripid 1833-09 --locoid 4030 --swversion DE.1.0.9.0 --startMP 204:441 --initTime 2017-12-09T22:00:33 --startdatetime 2017-12-09T22:09:17 --delay 72 --endMP 300:58946 --enddatetime 2017-12-09T22:24:00 --enforcementcount 0 &gt;&gt;%USERPROFILE%\Documents\GitHub\eaglep3-reporting\EC\2017-12-09-refined-times.txt</v>
      </c>
      <c r="AI192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{"issue":{"subject":"","project_id":79,"tracker_id":40,"status_id":1,"priority_id":2,"assigned_to_id":338,"start_date":"2017-12-09","description":"","custom_fields":[{"id":1,"name":"Subdivision","value":"NW"},{"id":4,"name":"Milepost","value":"5.8946"},{"id":17,"name":"Train ID","value":"1833-09"},{"id":16,"name":"Locomotive ID","value":"4030"},{"id":130,"name":"Impact","value":""},{"id":150,"name":"Time of Event (Mountain Time)","value":"22:24:00"},{"id":151,"name":"Denver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61"/>
        <v>start /low /b %USERPROFILE%\Documents\GitHub\eaglep3\Utilities\DownloadLogsFromS3.py --loco 4030 --day 2017-12-09</v>
      </c>
      <c r="AN192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63"/>
        <v>https://d0f6bd738d7f1b3e5a7ca70fe4ff75f0.us-east-1.aws.found.io/app/kibana#/discover/Steve-Slow-Train-Analysis-(2080s-and-2083s)?_g=(refreshInterval:(display:Off,pause:!f,section:0,value:0),time:(from:'2017-12-09T21:00:33-0700',mode:absolute,to:'2017-12-09T23:24:00-0700'))&amp;_a=(columns:!('Message%20ID',Summary),filters:!(),index:'emp_*',interval:auto,query:(query_string:(analyze_wildcard:!t,query:'%22rtdc.l.rtdc.4030%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25">
      <c r="A193" s="229" t="s">
        <v>876</v>
      </c>
      <c r="B193" s="225">
        <v>4029</v>
      </c>
      <c r="C193" s="227" t="s">
        <v>192</v>
      </c>
      <c r="D193" s="227" t="s">
        <v>651</v>
      </c>
      <c r="E193" s="226">
        <v>43078.93445601852</v>
      </c>
      <c r="F193" s="226">
        <v>43078.94672453704</v>
      </c>
      <c r="G193" s="225">
        <v>66</v>
      </c>
      <c r="H193" s="227" t="s">
        <v>992</v>
      </c>
      <c r="I193" s="226">
        <v>43078.95521990741</v>
      </c>
      <c r="J193" s="225">
        <v>0</v>
      </c>
      <c r="K193" s="237" t="str">
        <f t="shared" si="46"/>
        <v>4029/4030</v>
      </c>
      <c r="L193" s="245" t="str">
        <f>VLOOKUP(A193,'Trips&amp;Operators'!$C$1:$G$99911,5,FALSE)</f>
        <v>SMITH MICHAEL</v>
      </c>
      <c r="M193" s="224">
        <f t="shared" si="47"/>
        <v>8.4953703699284233E-3</v>
      </c>
      <c r="N193" s="225">
        <f t="shared" si="65"/>
        <v>12.23333333269693</v>
      </c>
      <c r="O193" s="225"/>
      <c r="P193" s="225"/>
      <c r="Q193" s="228"/>
      <c r="R193" s="242"/>
      <c r="S193" s="249">
        <f t="shared" si="48"/>
        <v>1</v>
      </c>
      <c r="T193" s="242" t="str">
        <f t="shared" si="49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50"/>
        <v>https://d0f6bd738d7f1b3e5a7ca70fe4ff75f0.us-east-1.aws.found.io/app/kibana#/discover/Steve-Slow-Train-Analysis-(2080s-and-2083s)?_g=(refreshInterval:(display:Off,pause:!f,section:0,value:0),time:(from:'2017-12-09T21:25:37-0700',mode:absolute,to:'2017-12-09T23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247" t="str">
        <f>IF(AA193&lt;VLOOKUP(AG193,Variables!$AC$3:$AD$8,2,FALSE),"Y","N")</f>
        <v>N</v>
      </c>
      <c r="X193" s="247">
        <f t="shared" si="51"/>
        <v>1</v>
      </c>
      <c r="Y193" s="247">
        <f t="shared" si="52"/>
        <v>5.8623000000000003</v>
      </c>
      <c r="Z193" s="247">
        <f t="shared" si="53"/>
        <v>1.38E-2</v>
      </c>
      <c r="AA193" s="247">
        <f t="shared" si="54"/>
        <v>5.8485000000000005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55"/>
        <v>1834</v>
      </c>
      <c r="AE193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93" s="234" t="str">
        <f t="shared" si="57"/>
        <v>"C:\Program Files (x86)\AstroGrep\AstroGrep.exe" /e /r /s /spath="%USERPROFILE%\AppData\Local\Temp\OnboardLogs" /stypes="app*4029*20171210*" /stext=" 05:.+((SYSTEM_STATE.+slice.+state.+changed )|(ment ac)|(multiple cpu faults)|(system.+state.+changed )|(\[timeout)|(PRM\|1\|D)|(kpr)|(kdp)|(train st.+moving)|(\|lc)|(penalty))"</v>
      </c>
      <c r="AG193" s="244" t="str">
        <f t="shared" si="58"/>
        <v>NW</v>
      </c>
      <c r="AH193" s="236" t="str">
        <f t="shared" si="59"/>
        <v>"%USERPROFILE%\Documents\GitHub\eaglep3\Utilities\RefineRTDCRunTimes.py" --tripid 1834-09 --locoid 4029 --swversion DE.1.0.9.0 --startMP 300:58623 --initTime 2017-12-09T22:25:37 --startdatetime 2017-12-09T22:43:17 --delay 66 --endMP 204:138 --enddatetime 2017-12-09T22:55:31 --enforcementcount 0 &gt;&gt;%USERPROFILE%\Documents\GitHub\eaglep3-reporting\EC\2017-12-09-refined-times.txt</v>
      </c>
      <c r="AI193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{"issue":{"subject":"","project_id":79,"tracker_id":40,"status_id":1,"priority_id":2,"assigned_to_id":338,"start_date":"2017-12-09","description":"","custom_fields":[{"id":1,"name":"Subdivision","value":"NW"},{"id":4,"name":"Milepost","value":"0.0138"},{"id":17,"name":"Train ID","value":"1834-09"},{"id":16,"name":"Locomotive ID","value":"4029"},{"id":130,"name":"Impact","value":""},{"id":150,"name":"Time of Event (Mountain Time)","value":"22:55:31"},{"id":151,"name":"Denver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61"/>
        <v>start /low /b %USERPROFILE%\Documents\GitHub\eaglep3\Utilities\DownloadLogsFromS3.py --loco 4029 --day 2017-12-09</v>
      </c>
      <c r="AN193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63"/>
        <v>https://d0f6bd738d7f1b3e5a7ca70fe4ff75f0.us-east-1.aws.found.io/app/kibana#/discover/Steve-Slow-Train-Analysis-(2080s-and-2083s)?_g=(refreshInterval:(display:Off,pause:!f,section:0,value:0),time:(from:'2017-12-09T21:25:37-0700',mode:absolute,to:'2017-12-09T23:55:31-0700'))&amp;_a=(columns:!('Message%20ID',Summary),filters:!(),index:'emp_*',interval:auto,query:(query_string:(analyze_wildcard:!t,query:'%22rtdc.l.rtdc.4029%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879</v>
      </c>
      <c r="B194" s="225">
        <v>4030</v>
      </c>
      <c r="C194" s="227" t="s">
        <v>192</v>
      </c>
      <c r="D194" s="227" t="s">
        <v>655</v>
      </c>
      <c r="E194" s="226">
        <v>43078.957152777781</v>
      </c>
      <c r="F194" s="226">
        <v>43078.964791666665</v>
      </c>
      <c r="G194" s="225">
        <v>85</v>
      </c>
      <c r="H194" s="227" t="s">
        <v>993</v>
      </c>
      <c r="I194" s="226">
        <v>43078.974224537036</v>
      </c>
      <c r="J194" s="225">
        <v>0</v>
      </c>
      <c r="K194" s="237" t="str">
        <f t="shared" si="46"/>
        <v>4029/4030</v>
      </c>
      <c r="L194" s="245" t="str">
        <f>VLOOKUP(A194,'Trips&amp;Operators'!$C$1:$G$99911,5,FALSE)</f>
        <v>SMITH MICHAEL</v>
      </c>
      <c r="M194" s="224">
        <f t="shared" si="47"/>
        <v>9.4328703708015382E-3</v>
      </c>
      <c r="N194" s="225">
        <f t="shared" si="65"/>
        <v>13.583333333954215</v>
      </c>
      <c r="O194" s="225"/>
      <c r="P194" s="225"/>
      <c r="Q194" s="228"/>
      <c r="R194" s="242"/>
      <c r="S194" s="249">
        <f t="shared" si="48"/>
        <v>1</v>
      </c>
      <c r="T194" s="242" t="str">
        <f t="shared" si="49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50"/>
        <v>https://d0f6bd738d7f1b3e5a7ca70fe4ff75f0.us-east-1.aws.found.io/app/kibana#/discover/Steve-Slow-Train-Analysis-(2080s-and-2083s)?_g=(refreshInterval:(display:Off,pause:!f,section:0,value:0),time:(from:'2017-12-09T21:58:18-0700',mode:absolute,to:'2017-12-10T00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247" t="str">
        <f>IF(AA194&lt;VLOOKUP(AG194,Variables!$AC$3:$AD$8,2,FALSE),"Y","N")</f>
        <v>N</v>
      </c>
      <c r="X194" s="247">
        <f t="shared" si="51"/>
        <v>1</v>
      </c>
      <c r="Y194" s="247">
        <f t="shared" si="52"/>
        <v>4.3299999999999998E-2</v>
      </c>
      <c r="Z194" s="247">
        <f t="shared" si="53"/>
        <v>5.8964999999999996</v>
      </c>
      <c r="AA194" s="247">
        <f t="shared" si="54"/>
        <v>5.8531999999999993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55"/>
        <v>1835</v>
      </c>
      <c r="AE194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94" s="234" t="str">
        <f t="shared" si="57"/>
        <v>"C:\Program Files (x86)\AstroGrep\AstroGrep.exe" /e /r /s /spath="%USERPROFILE%\AppData\Local\Temp\OnboardLogs" /stypes="app*4030*20171210*" /stext=" 06:.+((SYSTEM_STATE.+slice.+state.+changed )|(ment ac)|(multiple cpu faults)|(system.+state.+changed )|(\[timeout)|(PRM\|1\|D)|(kpr)|(kdp)|(train st.+moving)|(\|lc)|(penalty))"</v>
      </c>
      <c r="AG194" s="244" t="str">
        <f t="shared" si="58"/>
        <v>NW</v>
      </c>
      <c r="AH194" s="236" t="str">
        <f t="shared" si="59"/>
        <v>"%USERPROFILE%\Documents\GitHub\eaglep3\Utilities\RefineRTDCRunTimes.py" --tripid 1835-09 --locoid 4030 --swversion DE.1.0.9.0 --startMP 204:433 --initTime 2017-12-09T22:58:18 --startdatetime 2017-12-09T23:09:18 --delay 85 --endMP 300:58965 --enddatetime 2017-12-09T23:22:53 --enforcementcount 0 &gt;&gt;%USERPROFILE%\Documents\GitHub\eaglep3-reporting\EC\2017-12-09-refined-times.txt</v>
      </c>
      <c r="AI194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{"issue":{"subject":"","project_id":79,"tracker_id":40,"status_id":1,"priority_id":2,"assigned_to_id":338,"start_date":"2017-12-09","description":"","custom_fields":[{"id":1,"name":"Subdivision","value":"NW"},{"id":4,"name":"Milepost","value":"5.8965"},{"id":17,"name":"Train ID","value":"1835-09"},{"id":16,"name":"Locomotive ID","value":"4030"},{"id":130,"name":"Impact","value":""},{"id":150,"name":"Time of Event (Mountain Time)","value":"23:22:53"},{"id":151,"name":"Denver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61"/>
        <v>start /low /b %USERPROFILE%\Documents\GitHub\eaglep3\Utilities\DownloadLogsFromS3.py --loco 4030 --day 2017-12-09</v>
      </c>
      <c r="AN19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63"/>
        <v>https://d0f6bd738d7f1b3e5a7ca70fe4ff75f0.us-east-1.aws.found.io/app/kibana#/discover/Steve-Slow-Train-Analysis-(2080s-and-2083s)?_g=(refreshInterval:(display:Off,pause:!f,section:0,value:0),time:(from:'2017-12-09T21:58:18-0700',mode:absolute,to:'2017-12-10T00:22:53-0700'))&amp;_a=(columns:!('Message%20ID',Summary),filters:!(),index:'emp_*',interval:auto,query:(query_string:(analyze_wildcard:!t,query:'%22rtdc.l.rtdc.4030%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680</v>
      </c>
      <c r="B195" s="225">
        <v>4003</v>
      </c>
      <c r="C195" s="227" t="s">
        <v>192</v>
      </c>
      <c r="D195" s="227" t="s">
        <v>1029</v>
      </c>
      <c r="E195" s="226">
        <v>43078.116747685184</v>
      </c>
      <c r="F195" s="226">
        <v>43078.120567129627</v>
      </c>
      <c r="G195" s="225">
        <v>74</v>
      </c>
      <c r="H195" s="227" t="s">
        <v>577</v>
      </c>
      <c r="I195" s="226">
        <v>43078.127222222225</v>
      </c>
      <c r="J195" s="225">
        <v>0</v>
      </c>
      <c r="K195" s="237" t="str">
        <f t="shared" si="46"/>
        <v>4003/4004</v>
      </c>
      <c r="L195" s="245" t="str">
        <f>VLOOKUP(A195,'Trips&amp;Operators'!$C$1:$G$99911,5,FALSE)</f>
        <v>THOMPSON LESTER</v>
      </c>
      <c r="M195" s="224">
        <f t="shared" si="47"/>
        <v>6.6550925985211506E-3</v>
      </c>
      <c r="N195" s="225">
        <f t="shared" si="65"/>
        <v>9.5833333418704569</v>
      </c>
      <c r="O195" s="225"/>
      <c r="P195" s="225"/>
      <c r="Q195" s="228"/>
      <c r="R195" s="242"/>
      <c r="S195" s="249">
        <f t="shared" si="48"/>
        <v>1</v>
      </c>
      <c r="T195" s="242" t="str">
        <f t="shared" si="49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50"/>
        <v>https://d0f6bd738d7f1b3e5a7ca70fe4ff75f0.us-east-1.aws.found.io/app/kibana#/discover/Steve-Slow-Train-Analysis-(2080s-and-2083s)?_g=(refreshInterval:(display:Off,pause:!f,section:0,value:0),time:(from:'2017-12-09T01:48:07-0700',mode:absolute,to:'2017-12-09T04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5" s="247" t="str">
        <f>IF(AA195&lt;VLOOKUP(AG195,Variables!$AC$3:$AD$8,2,FALSE),"Y","N")</f>
        <v>Y</v>
      </c>
      <c r="X195" s="247">
        <f t="shared" si="51"/>
        <v>-1535</v>
      </c>
      <c r="Y195" s="247">
        <f t="shared" si="52"/>
        <v>2.3591000000000002</v>
      </c>
      <c r="Z195" s="247">
        <f t="shared" si="53"/>
        <v>2.0899999999999998E-2</v>
      </c>
      <c r="AA195" s="247">
        <f t="shared" si="54"/>
        <v>2.3382000000000001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55"/>
        <v>300</v>
      </c>
      <c r="AE195" s="235" t="str">
        <f t="shared" si="5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195" s="234" t="str">
        <f t="shared" si="57"/>
        <v>"C:\Program Files (x86)\AstroGrep\AstroGrep.exe" /e /r /s /spath="%USERPROFILE%\AppData\Local\Temp\OnboardLogs" /stypes="app*4003*20171209*" /stext=" 10:.+((SYSTEM_STATE.+slice.+state.+changed )|(ment ac)|(multiple cpu faults)|(system.+state.+changed )|(\[timeout)|(PRM\|1\|D)|(kpr)|(kdp)|(train st.+moving)|(\|lc)|(penalty))"</v>
      </c>
      <c r="AG195" s="244" t="str">
        <f t="shared" si="58"/>
        <v>Other</v>
      </c>
      <c r="AH195" s="236" t="str">
        <f t="shared" si="59"/>
        <v>"%USERPROFILE%\Documents\GitHub\eaglep3\Utilities\RefineRTDCRunTimes.py" --tripid 300-09 --locoid 4003 --swversion DE.1.0.9.0 --startMP 300:23591 --initTime 2017-12-09T02:48:07 --startdatetime 2017-12-09T02:53:37 --delay 74 --endMP 204:209 --enddatetime 2017-12-09T03:03:12 --enforcementcount 0 &gt;&gt;%USERPROFILE%\Documents\GitHub\eaglep3-reporting\EC\2017-12-09-refined-times.txt</v>
      </c>
      <c r="AI195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{"issue":{"subject":"","project_id":79,"tracker_id":40,"status_id":1,"priority_id":2,"assigned_to_id":338,"start_date":"2017-12-09","description":"","custom_fields":[{"id":1,"name":"Subdivision","value":"Other"},{"id":4,"name":"Milepost","value":"0.0209"},{"id":17,"name":"Train ID","value":"300-09"},{"id":16,"name":"Locomotive ID","value":"4003"},{"id":130,"name":"Impact","value":""},{"id":150,"name":"Time of Event (Mountain Time)","value":"03:03:12"},{"id":151,"name":"Denver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61"/>
        <v>start /low /b %USERPROFILE%\Documents\GitHub\eaglep3\Utilities\DownloadLogsFromS3.py --loco 4003 --day 2017-12-09</v>
      </c>
      <c r="AN195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10:03:12"},{"id":29,"name":"Sharepoint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63"/>
        <v>https://d0f6bd738d7f1b3e5a7ca70fe4ff75f0.us-east-1.aws.found.io/app/kibana#/discover/Steve-Slow-Train-Analysis-(2080s-and-2083s)?_g=(refreshInterval:(display:Off,pause:!f,section:0,value:0),time:(from:'2017-12-09T01:48:07-0700',mode:absolute,to:'2017-12-09T04:03:12-0700'))&amp;_a=(columns:!('Message%20ID',Summary),filters:!(),index:'emp_*',interval:auto,query:(query_string:(analyze_wildcard:!t,query:'%22rtdc.l.rtdc.4003%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851</v>
      </c>
      <c r="B196" s="225">
        <v>4058</v>
      </c>
      <c r="C196" s="227" t="s">
        <v>192</v>
      </c>
      <c r="D196" s="227" t="s">
        <v>1030</v>
      </c>
      <c r="E196" s="226">
        <v>43078.775324074071</v>
      </c>
      <c r="F196" s="226">
        <v>43078.776990740742</v>
      </c>
      <c r="G196" s="225">
        <v>68</v>
      </c>
      <c r="H196" s="227" t="s">
        <v>1031</v>
      </c>
      <c r="I196" s="226">
        <v>43078.783506944441</v>
      </c>
      <c r="J196" s="225">
        <v>0</v>
      </c>
      <c r="K196" s="237" t="str">
        <f t="shared" si="46"/>
        <v>4057/4058</v>
      </c>
      <c r="L196" s="245" t="str">
        <f>VLOOKUP(A196,'Trips&amp;Operators'!$C$1:$G$99911,5,FALSE)</f>
        <v>GUZMAN DANNY</v>
      </c>
      <c r="M196" s="224">
        <f t="shared" si="47"/>
        <v>6.5162036989931948E-3</v>
      </c>
      <c r="N196" s="225">
        <f t="shared" si="65"/>
        <v>9.3833333265502006</v>
      </c>
      <c r="O196" s="225"/>
      <c r="P196" s="225"/>
      <c r="Q196" s="228"/>
      <c r="R196" s="242"/>
      <c r="S196" s="249">
        <f t="shared" si="48"/>
        <v>1</v>
      </c>
      <c r="T196" s="242" t="str">
        <f t="shared" si="49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50"/>
        <v>https://d0f6bd738d7f1b3e5a7ca70fe4ff75f0.us-east-1.aws.found.io/app/kibana#/discover/Steve-Slow-Train-Analysis-(2080s-and-2083s)?_g=(refreshInterval:(display:Off,pause:!f,section:0,value:0),time:(from:'2017-12-09T17:36:28-0700',mode:absolute,to:'2017-12-09T19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6" s="247" t="str">
        <f>IF(AA196&lt;VLOOKUP(AG196,Variables!$AC$3:$AD$8,2,FALSE),"Y","N")</f>
        <v>Y</v>
      </c>
      <c r="X196" s="247">
        <f t="shared" si="51"/>
        <v>1</v>
      </c>
      <c r="Y196" s="247">
        <f t="shared" si="52"/>
        <v>5.8400000000000001E-2</v>
      </c>
      <c r="Z196" s="247">
        <f t="shared" si="53"/>
        <v>2.3302</v>
      </c>
      <c r="AA196" s="247">
        <f t="shared" si="54"/>
        <v>2.2718000000000003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55"/>
        <v>301</v>
      </c>
      <c r="AE196" s="235" t="str">
        <f t="shared" si="56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196" s="234" t="str">
        <f t="shared" si="57"/>
        <v>"C:\Program Files (x86)\AstroGrep\AstroGrep.exe" /e /r /s /spath="%USERPROFILE%\AppData\Local\Temp\OnboardLogs" /stypes="app*4058*20171210*" /stext=" 01:.+((SYSTEM_STATE.+slice.+state.+changed )|(ment ac)|(multiple cpu faults)|(system.+state.+changed )|(\[timeout)|(PRM\|1\|D)|(kpr)|(kdp)|(train st.+moving)|(\|lc)|(penalty))"</v>
      </c>
      <c r="AG196" s="244" t="str">
        <f t="shared" si="58"/>
        <v>Other</v>
      </c>
      <c r="AH196" s="236" t="str">
        <f t="shared" si="59"/>
        <v>"%USERPROFILE%\Documents\GitHub\eaglep3\Utilities\RefineRTDCRunTimes.py" --tripid 301-09 --locoid 4058 --swversion DE.1.0.9.0 --startMP 204:584 --initTime 2017-12-09T18:36:28 --startdatetime 2017-12-09T18:38:52 --delay 68 --endMP 300:23302 --enddatetime 2017-12-09T18:48:15 --enforcementcount 0 &gt;&gt;%USERPROFILE%\Documents\GitHub\eaglep3-reporting\EC\2017-12-09-refined-times.txt</v>
      </c>
      <c r="AI196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{"issue":{"subject":"","project_id":79,"tracker_id":40,"status_id":1,"priority_id":2,"assigned_to_id":338,"start_date":"2017-12-09","description":"","custom_fields":[{"id":1,"name":"Subdivision","value":"Other"},{"id":4,"name":"Milepost","value":"2.3302"},{"id":17,"name":"Train ID","value":"301-09"},{"id":16,"name":"Locomotive ID","value":"4058"},{"id":130,"name":"Impact","value":""},{"id":150,"name":"Time of Event (Mountain Time)","value":"18:48:15"},{"id":151,"name":"Denver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61"/>
        <v>start /low /b %USERPROFILE%\Documents\GitHub\eaglep3\Utilities\DownloadLogsFromS3.py --loco 4058 --day 2017-12-09</v>
      </c>
      <c r="AN196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63"/>
        <v>https://d0f6bd738d7f1b3e5a7ca70fe4ff75f0.us-east-1.aws.found.io/app/kibana#/discover/Steve-Slow-Train-Analysis-(2080s-and-2083s)?_g=(refreshInterval:(display:Off,pause:!f,section:0,value:0),time:(from:'2017-12-09T17:36:28-0700',mode:absolute,to:'2017-12-09T19:48:15-0700'))&amp;_a=(columns:!('Message%20ID',Summary),filters:!(),index:'emp_*',interval:auto,query:(query_string:(analyze_wildcard:!t,query:'%22rtdc.l.rtdc.4058%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704</v>
      </c>
      <c r="B197" s="225">
        <v>4013</v>
      </c>
      <c r="C197" s="227" t="s">
        <v>192</v>
      </c>
      <c r="D197" s="227" t="s">
        <v>1032</v>
      </c>
      <c r="E197" s="226">
        <v>43078.133344907408</v>
      </c>
      <c r="F197" s="226">
        <v>43078.139120370368</v>
      </c>
      <c r="G197" s="225">
        <v>71</v>
      </c>
      <c r="H197" s="227" t="s">
        <v>552</v>
      </c>
      <c r="I197" s="226">
        <v>43078.14402777778</v>
      </c>
      <c r="J197" s="225">
        <v>0</v>
      </c>
      <c r="K197" s="237" t="str">
        <f t="shared" si="46"/>
        <v>4013/4014</v>
      </c>
      <c r="L197" s="245" t="str">
        <f>VLOOKUP(A197,'Trips&amp;Operators'!$C$1:$G$99911,5,FALSE)</f>
        <v>MAELZER KURT</v>
      </c>
      <c r="M197" s="224">
        <f t="shared" si="47"/>
        <v>4.9074074122472666E-3</v>
      </c>
      <c r="N197" s="225">
        <f t="shared" si="65"/>
        <v>7.0666666736360639</v>
      </c>
      <c r="O197" s="225"/>
      <c r="P197" s="225"/>
      <c r="Q197" s="228"/>
      <c r="R197" s="242"/>
      <c r="S197" s="249">
        <f t="shared" si="48"/>
        <v>1</v>
      </c>
      <c r="T197" s="242" t="str">
        <f t="shared" si="49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50"/>
        <v>https://d0f6bd738d7f1b3e5a7ca70fe4ff75f0.us-east-1.aws.found.io/app/kibana#/discover/Steve-Slow-Train-Analysis-(2080s-and-2083s)?_g=(refreshInterval:(display:Off,pause:!f,section:0,value:0),time:(from:'2017-12-09T02:12:01-0700',mode:absolute,to:'2017-12-09T04:27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247" t="str">
        <f>IF(AA197&lt;VLOOKUP(AG197,Variables!$AC$3:$AD$8,2,FALSE),"Y","N")</f>
        <v>Y</v>
      </c>
      <c r="X197" s="247">
        <f t="shared" si="51"/>
        <v>1</v>
      </c>
      <c r="Y197" s="247">
        <f t="shared" si="52"/>
        <v>1.9517</v>
      </c>
      <c r="Z197" s="247">
        <f t="shared" si="53"/>
        <v>1.9199999999999998E-2</v>
      </c>
      <c r="AA197" s="247">
        <f t="shared" si="54"/>
        <v>1.9324999999999999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55"/>
        <v>302</v>
      </c>
      <c r="AE197" s="235" t="str">
        <f t="shared" si="5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97" s="234" t="str">
        <f t="shared" si="57"/>
        <v>"C:\Program Files (x86)\AstroGrep\AstroGrep.exe" /e /r /s /spath="%USERPROFILE%\AppData\Local\Temp\OnboardLogs" /stypes="app*4013*20171209*" /stext=" 10:.+((SYSTEM_STATE.+slice.+state.+changed )|(ment ac)|(multiple cpu faults)|(system.+state.+changed )|(\[timeout)|(PRM\|1\|D)|(kpr)|(kdp)|(train st.+moving)|(\|lc)|(penalty))"</v>
      </c>
      <c r="AG197" s="244" t="str">
        <f t="shared" si="58"/>
        <v>Other</v>
      </c>
      <c r="AH197" s="236" t="str">
        <f t="shared" si="59"/>
        <v>"%USERPROFILE%\Documents\GitHub\eaglep3\Utilities\RefineRTDCRunTimes.py" --tripid 302-09 --locoid 4013 --swversion DE.1.0.9.0 --startMP 300:19517 --initTime 2017-12-09T03:12:01 --startdatetime 2017-12-09T03:20:20 --delay 71 --endMP 204:192 --enddatetime 2017-12-09T03:27:24 --enforcementcount 0 &gt;&gt;%USERPROFILE%\Documents\GitHub\eaglep3-reporting\EC\2017-12-09-refined-times.txt</v>
      </c>
      <c r="AI197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{"issue":{"subject":"","project_id":79,"tracker_id":40,"status_id":1,"priority_id":2,"assigned_to_id":338,"start_date":"2017-12-09","description":"","custom_fields":[{"id":1,"name":"Subdivision","value":"Other"},{"id":4,"name":"Milepost","value":"0.0192"},{"id":17,"name":"Train ID","value":"302-09"},{"id":16,"name":"Locomotive ID","value":"4013"},{"id":130,"name":"Impact","value":""},{"id":150,"name":"Time of Event (Mountain Time)","value":"03:27:24"},{"id":151,"name":"Denver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61"/>
        <v>start /low /b %USERPROFILE%\Documents\GitHub\eaglep3\Utilities\DownloadLogsFromS3.py --loco 4013 --day 2017-12-09</v>
      </c>
      <c r="AN197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10:27:24"},{"id":29,"name":"Sharepoint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63"/>
        <v>https://d0f6bd738d7f1b3e5a7ca70fe4ff75f0.us-east-1.aws.found.io/app/kibana#/discover/Steve-Slow-Train-Analysis-(2080s-and-2083s)?_g=(refreshInterval:(display:Off,pause:!f,section:0,value:0),time:(from:'2017-12-09T02:12:01-0700',mode:absolute,to:'2017-12-09T04:27:24-0700'))&amp;_a=(columns:!('Message%20ID',Summary),filters:!(),index:'emp_*',interval:auto,query:(query_string:(analyze_wildcard:!t,query:'%22rtdc.l.rtdc.4013%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9" t="s">
        <v>856</v>
      </c>
      <c r="B198" s="225">
        <v>4036</v>
      </c>
      <c r="C198" s="227" t="s">
        <v>192</v>
      </c>
      <c r="D198" s="227" t="s">
        <v>1033</v>
      </c>
      <c r="E198" s="226">
        <v>43078.796747685185</v>
      </c>
      <c r="F198" s="226">
        <v>43078.806701388887</v>
      </c>
      <c r="G198" s="225">
        <v>61</v>
      </c>
      <c r="H198" s="227" t="s">
        <v>1034</v>
      </c>
      <c r="I198" s="226">
        <v>43078.812928240739</v>
      </c>
      <c r="J198" s="225">
        <v>0</v>
      </c>
      <c r="K198" s="237" t="str">
        <f t="shared" si="46"/>
        <v>4035/4036</v>
      </c>
      <c r="L198" s="245" t="str">
        <f>VLOOKUP(A198,'Trips&amp;Operators'!$C$1:$G$99911,5,FALSE)</f>
        <v>GONZALEZ ARMANDO</v>
      </c>
      <c r="M198" s="224">
        <f t="shared" si="47"/>
        <v>6.2268518522614613E-3</v>
      </c>
      <c r="N198" s="225">
        <f t="shared" si="65"/>
        <v>8.9666666672565043</v>
      </c>
      <c r="O198" s="225"/>
      <c r="P198" s="225"/>
      <c r="Q198" s="228"/>
      <c r="R198" s="242"/>
      <c r="S198" s="249">
        <f t="shared" si="48"/>
        <v>1</v>
      </c>
      <c r="T198" s="242" t="str">
        <f t="shared" si="49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50"/>
        <v>https://d0f6bd738d7f1b3e5a7ca70fe4ff75f0.us-east-1.aws.found.io/app/kibana#/discover/Steve-Slow-Train-Analysis-(2080s-and-2083s)?_g=(refreshInterval:(display:Off,pause:!f,section:0,value:0),time:(from:'2017-12-09T18:07:19-0700',mode:absolute,to:'2017-12-09T20:30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8" s="247" t="str">
        <f>IF(AA198&lt;VLOOKUP(AG198,Variables!$AC$3:$AD$8,2,FALSE),"Y","N")</f>
        <v>Y</v>
      </c>
      <c r="X198" s="247">
        <f t="shared" si="51"/>
        <v>1</v>
      </c>
      <c r="Y198" s="247">
        <f t="shared" si="52"/>
        <v>4.8800000000000003E-2</v>
      </c>
      <c r="Z198" s="247">
        <f t="shared" si="53"/>
        <v>2.3306</v>
      </c>
      <c r="AA198" s="247">
        <f t="shared" si="54"/>
        <v>2.2818000000000001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55"/>
        <v>303</v>
      </c>
      <c r="AE198" s="235" t="str">
        <f t="shared" si="5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198" s="234" t="str">
        <f t="shared" si="57"/>
        <v>"C:\Program Files (x86)\AstroGrep\AstroGrep.exe" /e /r /s /spath="%USERPROFILE%\AppData\Local\Temp\OnboardLogs" /stypes="app*4036*20171210*" /stext=" 02:.+((SYSTEM_STATE.+slice.+state.+changed )|(ment ac)|(multiple cpu faults)|(system.+state.+changed )|(\[timeout)|(PRM\|1\|D)|(kpr)|(kdp)|(train st.+moving)|(\|lc)|(penalty))"</v>
      </c>
      <c r="AG198" s="244" t="str">
        <f t="shared" si="58"/>
        <v>Other</v>
      </c>
      <c r="AH198" s="236" t="str">
        <f t="shared" si="59"/>
        <v>"%USERPROFILE%\Documents\GitHub\eaglep3\Utilities\RefineRTDCRunTimes.py" --tripid 303-09 --locoid 4036 --swversion DE.1.0.9.0 --startMP 204:488 --initTime 2017-12-09T19:07:19 --startdatetime 2017-12-09T19:21:39 --delay 61 --endMP 300:23306 --enddatetime 2017-12-09T19:30:37 --enforcementcount 0 &gt;&gt;%USERPROFILE%\Documents\GitHub\eaglep3-reporting\EC\2017-12-09-refined-times.txt</v>
      </c>
      <c r="AI198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{"issue":{"subject":"","project_id":79,"tracker_id":40,"status_id":1,"priority_id":2,"assigned_to_id":338,"start_date":"2017-12-09","description":"","custom_fields":[{"id":1,"name":"Subdivision","value":"Other"},{"id":4,"name":"Milepost","value":"2.3306"},{"id":17,"name":"Train ID","value":"303-09"},{"id":16,"name":"Locomotive ID","value":"4036"},{"id":130,"name":"Impact","value":""},{"id":150,"name":"Time of Event (Mountain Time)","value":"19:30:37"},{"id":151,"name":"Denver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61"/>
        <v>start /low /b %USERPROFILE%\Documents\GitHub\eaglep3\Utilities\DownloadLogsFromS3.py --loco 4036 --day 2017-12-09</v>
      </c>
      <c r="AN198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02:30:37"},{"id":29,"name":"Sharepoint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63"/>
        <v>https://d0f6bd738d7f1b3e5a7ca70fe4ff75f0.us-east-1.aws.found.io/app/kibana#/discover/Steve-Slow-Train-Analysis-(2080s-and-2083s)?_g=(refreshInterval:(display:Off,pause:!f,section:0,value:0),time:(from:'2017-12-09T18:07:19-0700',mode:absolute,to:'2017-12-09T20:30:37-0700'))&amp;_a=(columns:!('Message%20ID',Summary),filters:!(),index:'emp_*',interval:auto,query:(query_string:(analyze_wildcard:!t,query:'%22rtdc.l.rtdc.4036%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709</v>
      </c>
      <c r="B199" s="225">
        <v>4027</v>
      </c>
      <c r="C199" s="227" t="s">
        <v>192</v>
      </c>
      <c r="D199" s="227" t="s">
        <v>1035</v>
      </c>
      <c r="E199" s="226">
        <v>43078.156226851854</v>
      </c>
      <c r="F199" s="226">
        <v>43078.159942129627</v>
      </c>
      <c r="G199" s="225">
        <v>82</v>
      </c>
      <c r="H199" s="227" t="s">
        <v>628</v>
      </c>
      <c r="I199" s="226">
        <v>43078.165625000001</v>
      </c>
      <c r="J199" s="225">
        <v>0</v>
      </c>
      <c r="K199" s="237" t="str">
        <f t="shared" si="46"/>
        <v>4027/4028</v>
      </c>
      <c r="L199" s="245" t="str">
        <f>VLOOKUP(A199,'Trips&amp;Operators'!$C$1:$G$99911,5,FALSE)</f>
        <v>LOPES KIMBERLY</v>
      </c>
      <c r="M199" s="224">
        <f t="shared" si="47"/>
        <v>5.6828703745850362E-3</v>
      </c>
      <c r="N199" s="225">
        <f t="shared" si="65"/>
        <v>8.1833333394024521</v>
      </c>
      <c r="O199" s="225"/>
      <c r="P199" s="225"/>
      <c r="Q199" s="228"/>
      <c r="R199" s="242"/>
      <c r="S199" s="249">
        <f t="shared" si="48"/>
        <v>1</v>
      </c>
      <c r="T199" s="242" t="str">
        <f t="shared" si="49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50"/>
        <v>https://d0f6bd738d7f1b3e5a7ca70fe4ff75f0.us-east-1.aws.found.io/app/kibana#/discover/Steve-Slow-Train-Analysis-(2080s-and-2083s)?_g=(refreshInterval:(display:Off,pause:!f,section:0,value:0),time:(from:'2017-12-09T02:44:58-0700',mode:absolute,to:'2017-12-09T04:58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247" t="str">
        <f>IF(AA199&lt;VLOOKUP(AG199,Variables!$AC$3:$AD$8,2,FALSE),"Y","N")</f>
        <v>Y</v>
      </c>
      <c r="X199" s="247">
        <f t="shared" si="51"/>
        <v>1</v>
      </c>
      <c r="Y199" s="247">
        <f t="shared" si="52"/>
        <v>2.3443999999999998</v>
      </c>
      <c r="Z199" s="247">
        <f t="shared" si="53"/>
        <v>2.1999999999999999E-2</v>
      </c>
      <c r="AA199" s="247">
        <f t="shared" si="54"/>
        <v>2.3224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55"/>
        <v>304</v>
      </c>
      <c r="AE199" s="235" t="str">
        <f t="shared" si="5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99" s="234" t="str">
        <f t="shared" si="57"/>
        <v>"C:\Program Files (x86)\AstroGrep\AstroGrep.exe" /e /r /s /spath="%USERPROFILE%\AppData\Local\Temp\OnboardLogs" /stypes="app*4027*20171209*" /stext=" 10:.+((SYSTEM_STATE.+slice.+state.+changed )|(ment ac)|(multiple cpu faults)|(system.+state.+changed )|(\[timeout)|(PRM\|1\|D)|(kpr)|(kdp)|(train st.+moving)|(\|lc)|(penalty))"</v>
      </c>
      <c r="AG199" s="244" t="str">
        <f t="shared" si="58"/>
        <v>Other</v>
      </c>
      <c r="AH199" s="236" t="str">
        <f t="shared" si="59"/>
        <v>"%USERPROFILE%\Documents\GitHub\eaglep3\Utilities\RefineRTDCRunTimes.py" --tripid 304-09 --locoid 4027 --swversion DE.1.0.9.0 --startMP 300:23444 --initTime 2017-12-09T03:44:58 --startdatetime 2017-12-09T03:50:19 --delay 82 --endMP 204:220 --enddatetime 2017-12-09T03:58:30 --enforcementcount 0 &gt;&gt;%USERPROFILE%\Documents\GitHub\eaglep3-reporting\EC\2017-12-09-refined-times.txt</v>
      </c>
      <c r="AI199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{"issue":{"subject":"","project_id":79,"tracker_id":40,"status_id":1,"priority_id":2,"assigned_to_id":338,"start_date":"2017-12-09","description":"","custom_fields":[{"id":1,"name":"Subdivision","value":"Other"},{"id":4,"name":"Milepost","value":"0.022"},{"id":17,"name":"Train ID","value":"304-09"},{"id":16,"name":"Locomotive ID","value":"4027"},{"id":130,"name":"Impact","value":""},{"id":150,"name":"Time of Event (Mountain Time)","value":"03:58:30"},{"id":151,"name":"Denver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61"/>
        <v>start /low /b %USERPROFILE%\Documents\GitHub\eaglep3\Utilities\DownloadLogsFromS3.py --loco 4027 --day 2017-12-09</v>
      </c>
      <c r="AN199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63"/>
        <v>https://d0f6bd738d7f1b3e5a7ca70fe4ff75f0.us-east-1.aws.found.io/app/kibana#/discover/Steve-Slow-Train-Analysis-(2080s-and-2083s)?_g=(refreshInterval:(display:Off,pause:!f,section:0,value:0),time:(from:'2017-12-09T02:44:58-0700',mode:absolute,to:'2017-12-09T04:58:30-0700'))&amp;_a=(columns:!('Message%20ID',Summary),filters:!(),index:'emp_*',interval:auto,query:(query_string:(analyze_wildcard:!t,query:'%22rtdc.l.rtdc.4027%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860</v>
      </c>
      <c r="B200" s="225">
        <v>4060</v>
      </c>
      <c r="C200" s="227" t="s">
        <v>192</v>
      </c>
      <c r="D200" s="227" t="s">
        <v>449</v>
      </c>
      <c r="E200" s="226">
        <v>43078.817789351851</v>
      </c>
      <c r="F200" s="226">
        <v>43078.819247685184</v>
      </c>
      <c r="G200" s="225">
        <v>59</v>
      </c>
      <c r="H200" s="227" t="s">
        <v>1036</v>
      </c>
      <c r="I200" s="226">
        <v>43078.825324074074</v>
      </c>
      <c r="J200" s="225">
        <v>0</v>
      </c>
      <c r="K200" s="237" t="str">
        <f t="shared" si="46"/>
        <v>4059/4060</v>
      </c>
      <c r="L200" s="245" t="str">
        <f>VLOOKUP(A200,'Trips&amp;Operators'!$C$1:$G$99911,5,FALSE)</f>
        <v>HOLCOMB KAMDEN</v>
      </c>
      <c r="M200" s="224">
        <f t="shared" si="47"/>
        <v>6.0763888905057684E-3</v>
      </c>
      <c r="N200" s="225">
        <f t="shared" si="65"/>
        <v>8.7500000023283064</v>
      </c>
      <c r="O200" s="225"/>
      <c r="P200" s="225"/>
      <c r="Q200" s="228"/>
      <c r="R200" s="242"/>
      <c r="S200" s="249">
        <f t="shared" si="48"/>
        <v>1</v>
      </c>
      <c r="T200" s="242" t="str">
        <f t="shared" si="49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50"/>
        <v>https://d0f6bd738d7f1b3e5a7ca70fe4ff75f0.us-east-1.aws.found.io/app/kibana#/discover/Steve-Slow-Train-Analysis-(2080s-and-2083s)?_g=(refreshInterval:(display:Off,pause:!f,section:0,value:0),time:(from:'2017-12-09T18:37:37-0700',mode:absolute,to:'2017-12-09T20:48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0" s="247" t="str">
        <f>IF(AA200&lt;VLOOKUP(AG200,Variables!$AC$3:$AD$8,2,FALSE),"Y","N")</f>
        <v>Y</v>
      </c>
      <c r="X200" s="247">
        <f t="shared" si="51"/>
        <v>1</v>
      </c>
      <c r="Y200" s="247">
        <f t="shared" si="52"/>
        <v>5.28E-2</v>
      </c>
      <c r="Z200" s="247">
        <f t="shared" si="53"/>
        <v>2.3290999999999999</v>
      </c>
      <c r="AA200" s="247">
        <f t="shared" si="54"/>
        <v>2.2763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55"/>
        <v>305</v>
      </c>
      <c r="AE200" s="235" t="str">
        <f t="shared" si="5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200" s="234" t="str">
        <f t="shared" si="57"/>
        <v>"C:\Program Files (x86)\AstroGrep\AstroGrep.exe" /e /r /s /spath="%USERPROFILE%\AppData\Local\Temp\OnboardLogs" /stypes="app*4060*20171210*" /stext=" 02:.+((SYSTEM_STATE.+slice.+state.+changed )|(ment ac)|(multiple cpu faults)|(system.+state.+changed )|(\[timeout)|(PRM\|1\|D)|(kpr)|(kdp)|(train st.+moving)|(\|lc)|(penalty))"</v>
      </c>
      <c r="AG200" s="244" t="str">
        <f t="shared" si="58"/>
        <v>Other</v>
      </c>
      <c r="AH200" s="236" t="str">
        <f t="shared" si="59"/>
        <v>"%USERPROFILE%\Documents\GitHub\eaglep3\Utilities\RefineRTDCRunTimes.py" --tripid 305-09 --locoid 4060 --swversion DE.1.0.9.0 --startMP 204:528 --initTime 2017-12-09T19:37:37 --startdatetime 2017-12-09T19:39:43 --delay 59 --endMP 300:23291 --enddatetime 2017-12-09T19:48:28 --enforcementcount 0 &gt;&gt;%USERPROFILE%\Documents\GitHub\eaglep3-reporting\EC\2017-12-09-refined-times.txt</v>
      </c>
      <c r="AI200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{"issue":{"subject":"","project_id":79,"tracker_id":40,"status_id":1,"priority_id":2,"assigned_to_id":338,"start_date":"2017-12-09","description":"","custom_fields":[{"id":1,"name":"Subdivision","value":"Other"},{"id":4,"name":"Milepost","value":"2.3291"},{"id":17,"name":"Train ID","value":"305-09"},{"id":16,"name":"Locomotive ID","value":"4060"},{"id":130,"name":"Impact","value":""},{"id":150,"name":"Time of Event (Mountain Time)","value":"19:48:28"},{"id":151,"name":"Denver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61"/>
        <v>start /low /b %USERPROFILE%\Documents\GitHub\eaglep3\Utilities\DownloadLogsFromS3.py --loco 4060 --day 2017-12-09</v>
      </c>
      <c r="AN200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63"/>
        <v>https://d0f6bd738d7f1b3e5a7ca70fe4ff75f0.us-east-1.aws.found.io/app/kibana#/discover/Steve-Slow-Train-Analysis-(2080s-and-2083s)?_g=(refreshInterval:(display:Off,pause:!f,section:0,value:0),time:(from:'2017-12-09T18:37:37-0700',mode:absolute,to:'2017-12-09T20:48:28-0700'))&amp;_a=(columns:!('Message%20ID',Summary),filters:!(),index:'emp_*',interval:auto,query:(query_string:(analyze_wildcard:!t,query:'%22rtdc.l.rtdc.4060%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710</v>
      </c>
      <c r="B201" s="225">
        <v>4007</v>
      </c>
      <c r="C201" s="227" t="s">
        <v>192</v>
      </c>
      <c r="D201" s="227" t="s">
        <v>1037</v>
      </c>
      <c r="E201" s="226">
        <v>43078.170844907407</v>
      </c>
      <c r="F201" s="226">
        <v>43078.175451388888</v>
      </c>
      <c r="G201" s="225">
        <v>70</v>
      </c>
      <c r="H201" s="227" t="s">
        <v>551</v>
      </c>
      <c r="I201" s="226">
        <v>43078.181192129632</v>
      </c>
      <c r="J201" s="225">
        <v>0</v>
      </c>
      <c r="K201" s="237" t="str">
        <f t="shared" si="46"/>
        <v>4007/4008</v>
      </c>
      <c r="L201" s="245" t="str">
        <f>VLOOKUP(A201,'Trips&amp;Operators'!$C$1:$G$99911,5,FALSE)</f>
        <v>GEBRETEKLE DAGNEW</v>
      </c>
      <c r="M201" s="224">
        <f t="shared" si="47"/>
        <v>5.7407407439313829E-3</v>
      </c>
      <c r="N201" s="225">
        <f t="shared" si="65"/>
        <v>8.2666666712611914</v>
      </c>
      <c r="O201" s="225"/>
      <c r="P201" s="225"/>
      <c r="Q201" s="228"/>
      <c r="R201" s="242"/>
      <c r="S201" s="249">
        <f t="shared" si="48"/>
        <v>1</v>
      </c>
      <c r="T201" s="242" t="str">
        <f t="shared" si="49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50"/>
        <v>https://d0f6bd738d7f1b3e5a7ca70fe4ff75f0.us-east-1.aws.found.io/app/kibana#/discover/Steve-Slow-Train-Analysis-(2080s-and-2083s)?_g=(refreshInterval:(display:Off,pause:!f,section:0,value:0),time:(from:'2017-12-09T03:06:01-0700',mode:absolute,to:'2017-12-09T05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247" t="str">
        <f>IF(AA201&lt;VLOOKUP(AG201,Variables!$AC$3:$AD$8,2,FALSE),"Y","N")</f>
        <v>Y</v>
      </c>
      <c r="X201" s="247">
        <f t="shared" si="51"/>
        <v>1</v>
      </c>
      <c r="Y201" s="247">
        <f t="shared" si="52"/>
        <v>2.3277000000000001</v>
      </c>
      <c r="Z201" s="247">
        <f t="shared" si="53"/>
        <v>1.6899999999999998E-2</v>
      </c>
      <c r="AA201" s="247">
        <f t="shared" si="54"/>
        <v>2.3108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55"/>
        <v>306</v>
      </c>
      <c r="AE201" s="235" t="str">
        <f t="shared" si="5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201" s="234" t="str">
        <f t="shared" si="57"/>
        <v>"C:\Program Files (x86)\AstroGrep\AstroGrep.exe" /e /r /s /spath="%USERPROFILE%\AppData\Local\Temp\OnboardLogs" /stypes="app*4007*20171209*" /stext=" 11:.+((SYSTEM_STATE.+slice.+state.+changed )|(ment ac)|(multiple cpu faults)|(system.+state.+changed )|(\[timeout)|(PRM\|1\|D)|(kpr)|(kdp)|(train st.+moving)|(\|lc)|(penalty))"</v>
      </c>
      <c r="AG201" s="244" t="str">
        <f t="shared" si="58"/>
        <v>Other</v>
      </c>
      <c r="AH201" s="236" t="str">
        <f t="shared" si="59"/>
        <v>"%USERPROFILE%\Documents\GitHub\eaglep3\Utilities\RefineRTDCRunTimes.py" --tripid 306-09 --locoid 4007 --swversion DE.1.0.9.0 --startMP 300:23277 --initTime 2017-12-09T04:06:01 --startdatetime 2017-12-09T04:12:39 --delay 70 --endMP 204:169 --enddatetime 2017-12-09T04:20:55 --enforcementcount 0 &gt;&gt;%USERPROFILE%\Documents\GitHub\eaglep3-reporting\EC\2017-12-09-refined-times.txt</v>
      </c>
      <c r="AI201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{"issue":{"subject":"","project_id":79,"tracker_id":40,"status_id":1,"priority_id":2,"assigned_to_id":338,"start_date":"2017-12-09","description":"","custom_fields":[{"id":1,"name":"Subdivision","value":"Other"},{"id":4,"name":"Milepost","value":"0.0169"},{"id":17,"name":"Train ID","value":"306-09"},{"id":16,"name":"Locomotive ID","value":"4007"},{"id":130,"name":"Impact","value":""},{"id":150,"name":"Time of Event (Mountain Time)","value":"04:20:55"},{"id":151,"name":"Denver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61"/>
        <v>start /low /b %USERPROFILE%\Documents\GitHub\eaglep3\Utilities\DownloadLogsFromS3.py --loco 4007 --day 2017-12-09</v>
      </c>
      <c r="AN201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63"/>
        <v>https://d0f6bd738d7f1b3e5a7ca70fe4ff75f0.us-east-1.aws.found.io/app/kibana#/discover/Steve-Slow-Train-Analysis-(2080s-and-2083s)?_g=(refreshInterval:(display:Off,pause:!f,section:0,value:0),time:(from:'2017-12-09T03:06:01-0700',mode:absolute,to:'2017-12-09T05:20:55-0700'))&amp;_a=(columns:!('Message%20ID',Summary),filters:!(),index:'emp_*',interval:auto,query:(query_string:(analyze_wildcard:!t,query:'%22rtdc.l.rtdc.4007%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887</v>
      </c>
      <c r="B202" s="225">
        <v>4014</v>
      </c>
      <c r="C202" s="227" t="s">
        <v>192</v>
      </c>
      <c r="D202" s="227" t="s">
        <v>1010</v>
      </c>
      <c r="E202" s="226">
        <v>43079.047789351855</v>
      </c>
      <c r="F202" s="226">
        <v>43079.051724537036</v>
      </c>
      <c r="G202" s="225">
        <v>92</v>
      </c>
      <c r="H202" s="227" t="s">
        <v>613</v>
      </c>
      <c r="I202" s="226">
        <v>43079.051840277774</v>
      </c>
      <c r="J202" s="225">
        <v>0</v>
      </c>
      <c r="K202" s="237" t="str">
        <f t="shared" si="46"/>
        <v>4013/4014</v>
      </c>
      <c r="L202" s="245" t="str">
        <f>VLOOKUP(A202,'Trips&amp;Operators'!$C$1:$G$99911,5,FALSE)</f>
        <v>FORTUNATO FRANK</v>
      </c>
      <c r="M202" s="224">
        <f t="shared" si="47"/>
        <v>1.1574073869269341E-4</v>
      </c>
      <c r="N202" s="225">
        <f t="shared" si="65"/>
        <v>0.16666666371747851</v>
      </c>
      <c r="O202" s="225"/>
      <c r="P202" s="225"/>
      <c r="Q202" s="228"/>
      <c r="R202" s="242"/>
      <c r="S202" s="249">
        <f t="shared" si="48"/>
        <v>0</v>
      </c>
      <c r="T202" s="242" t="str">
        <f t="shared" si="49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248" t="str">
        <f t="shared" si="50"/>
        <v>https://d0f6bd738d7f1b3e5a7ca70fe4ff75f0.us-east-1.aws.found.io/app/kibana#/discover/Steve-Slow-Train-Analysis-(2080s-and-2083s)?_g=(refreshInterval:(display:Off,pause:!f,section:0,value:0),time:(from:'2017-12-10T00:08:49-0700',mode:absolute,to:'2017-12-10T02:14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247" t="str">
        <f>IF(AA202&lt;VLOOKUP(AG202,Variables!$AC$3:$AD$8,2,FALSE),"Y","N")</f>
        <v>Y</v>
      </c>
      <c r="X202" s="247">
        <f t="shared" si="51"/>
        <v>1</v>
      </c>
      <c r="Y202" s="247">
        <f t="shared" si="52"/>
        <v>5.4399999999999997E-2</v>
      </c>
      <c r="Z202" s="247">
        <f t="shared" si="53"/>
        <v>7.8299999999999995E-2</v>
      </c>
      <c r="AA202" s="247">
        <f t="shared" si="54"/>
        <v>2.3899999999999998E-2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55"/>
        <v>307</v>
      </c>
      <c r="AE202" s="235" t="str">
        <f t="shared" si="56"/>
        <v>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 &amp; 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</v>
      </c>
      <c r="AF202" s="234" t="str">
        <f t="shared" si="57"/>
        <v>"C:\Program Files (x86)\AstroGrep\AstroGrep.exe" /e /r /s /spath="%USERPROFILE%\AppData\Local\Temp\OnboardLogs" /stypes="app*4014*20171210*" /stext=" 08:.+((SYSTEM_STATE.+slice.+state.+changed )|(ment ac)|(multiple cpu faults)|(system.+state.+changed )|(\[timeout)|(PRM\|1\|D)|(kpr)|(kdp)|(train st.+moving)|(\|lc)|(penalty))"</v>
      </c>
      <c r="AG202" s="244" t="str">
        <f t="shared" si="58"/>
        <v>Other</v>
      </c>
      <c r="AH202" s="236" t="str">
        <f t="shared" si="59"/>
        <v>"%USERPROFILE%\Documents\GitHub\eaglep3\Utilities\RefineRTDCRunTimes.py" --tripid 307-09 --locoid 4014 --swversion DE.1.0.9.0 --startMP 204:544 --initTime 2017-12-10T01:08:49 --startdatetime 2017-12-10T01:14:29 --delay 92 --endMP 204:783 --enddatetime 2017-12-10T01:14:39 --enforcementcount 0 &gt;&gt;%USERPROFILE%\Documents\GitHub\eaglep3-reporting\EC\2017-12-09-refined-times.txt</v>
      </c>
      <c r="AI202" s="238" t="str">
        <f t="shared" si="60"/>
        <v>echo {"issue":{"subject":"","project_id":79,"tracker_id":40,"status_id":1,"priority_id":2,"assigned_to_id":338,"start_date":"2017-12-10","description":"","custom_fields":[{"id":1,"name":"Subdivision","value":"Other"},{"id":4,"name":"Milepost","value":"0.0783"},{"id":17,"name":"Train ID","value":"307-09"},{"id":16,"name":"Locomotive ID","value":"4014"},{"id":130,"name":"Impact","value":""},{"id":150,"name":"Time of Event (Mountain Time)","value":"01:14:39"},{"id":151,"name":"Denver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61"/>
        <v>start /low /b %USERPROFILE%\Documents\GitHub\eaglep3\Utilities\DownloadLogsFromS3.py --loco 4014 --day 2017-12-10</v>
      </c>
      <c r="AN202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08:14:39"},{"id":29,"name":"Sharepoint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63"/>
        <v>https://d0f6bd738d7f1b3e5a7ca70fe4ff75f0.us-east-1.aws.found.io/app/kibana#/discover/Steve-Slow-Train-Analysis-(2080s-and-2083s)?_g=(refreshInterval:(display:Off,pause:!f,section:0,value:0),time:(from:'2017-12-10T00:08:49-0700',mode:absolute,to:'2017-12-10T02:14:39-0700'))&amp;_a=(columns:!('Message%20ID',Summary),filters:!(),index:'emp_*',interval:auto,query:(query_string:(analyze_wildcard:!t,query:'%22rtdc.l.rtdc.4014%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713</v>
      </c>
      <c r="B203" s="225">
        <v>4057</v>
      </c>
      <c r="C203" s="227" t="s">
        <v>192</v>
      </c>
      <c r="D203" s="227" t="s">
        <v>1038</v>
      </c>
      <c r="E203" s="226">
        <v>43078.179560185185</v>
      </c>
      <c r="F203" s="226">
        <v>43078.182986111111</v>
      </c>
      <c r="G203" s="225">
        <v>120</v>
      </c>
      <c r="H203" s="227" t="s">
        <v>486</v>
      </c>
      <c r="I203" s="226">
        <v>43078.190949074073</v>
      </c>
      <c r="J203" s="225">
        <v>0</v>
      </c>
      <c r="K203" s="237" t="str">
        <f t="shared" si="46"/>
        <v>4057/4058</v>
      </c>
      <c r="L203" s="245" t="str">
        <f>VLOOKUP(A203,'Trips&amp;Operators'!$C$1:$G$99911,5,FALSE)</f>
        <v>DELGADO DIANAH</v>
      </c>
      <c r="M203" s="224">
        <f t="shared" si="47"/>
        <v>7.962962961755693E-3</v>
      </c>
      <c r="N203" s="225">
        <f t="shared" si="65"/>
        <v>11.466666664928198</v>
      </c>
      <c r="O203" s="225"/>
      <c r="P203" s="225"/>
      <c r="Q203" s="228"/>
      <c r="R203" s="242"/>
      <c r="S203" s="249">
        <f t="shared" si="48"/>
        <v>1</v>
      </c>
      <c r="T203" s="242" t="str">
        <f t="shared" si="49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50"/>
        <v>https://d0f6bd738d7f1b3e5a7ca70fe4ff75f0.us-east-1.aws.found.io/app/kibana#/discover/Steve-Slow-Train-Analysis-(2080s-and-2083s)?_g=(refreshInterval:(display:Off,pause:!f,section:0,value:0),time:(from:'2017-12-09T03:18:34-0700',mode:absolute,to:'2017-12-09T05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3" s="247" t="str">
        <f>IF(AA203&lt;VLOOKUP(AG203,Variables!$AC$3:$AD$8,2,FALSE),"Y","N")</f>
        <v>Y</v>
      </c>
      <c r="X203" s="247">
        <f t="shared" si="51"/>
        <v>1</v>
      </c>
      <c r="Y203" s="247">
        <f t="shared" si="52"/>
        <v>2.2159</v>
      </c>
      <c r="Z203" s="247">
        <f t="shared" si="53"/>
        <v>1.54E-2</v>
      </c>
      <c r="AA203" s="247">
        <f t="shared" si="54"/>
        <v>2.2004999999999999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55"/>
        <v>308</v>
      </c>
      <c r="AE203" s="235" t="str">
        <f t="shared" si="5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203" s="234" t="str">
        <f t="shared" si="57"/>
        <v>"C:\Program Files (x86)\AstroGrep\AstroGrep.exe" /e /r /s /spath="%USERPROFILE%\AppData\Local\Temp\OnboardLogs" /stypes="app*4057*20171209*" /stext=" 11:.+((SYSTEM_STATE.+slice.+state.+changed )|(ment ac)|(multiple cpu faults)|(system.+state.+changed )|(\[timeout)|(PRM\|1\|D)|(kpr)|(kdp)|(train st.+moving)|(\|lc)|(penalty))"</v>
      </c>
      <c r="AG203" s="244" t="str">
        <f t="shared" si="58"/>
        <v>Other</v>
      </c>
      <c r="AH203" s="236" t="str">
        <f t="shared" si="59"/>
        <v>"%USERPROFILE%\Documents\GitHub\eaglep3\Utilities\RefineRTDCRunTimes.py" --tripid 308-09 --locoid 4057 --swversion DE.1.0.9.0 --startMP 300:22159 --initTime 2017-12-09T04:18:34 --startdatetime 2017-12-09T04:23:30 --delay 120 --endMP 204:154 --enddatetime 2017-12-09T04:34:58 --enforcementcount 0 &gt;&gt;%USERPROFILE%\Documents\GitHub\eaglep3-reporting\EC\2017-12-09-refined-times.txt</v>
      </c>
      <c r="AI203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{"issue":{"subject":"","project_id":79,"tracker_id":40,"status_id":1,"priority_id":2,"assigned_to_id":338,"start_date":"2017-12-09","description":"","custom_fields":[{"id":1,"name":"Subdivision","value":"Other"},{"id":4,"name":"Milepost","value":"0.0154"},{"id":17,"name":"Train ID","value":"308-09"},{"id":16,"name":"Locomotive ID","value":"4057"},{"id":130,"name":"Impact","value":""},{"id":150,"name":"Time of Event (Mountain Time)","value":"04:34:58"},{"id":151,"name":"Denver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61"/>
        <v>start /low /b %USERPROFILE%\Documents\GitHub\eaglep3\Utilities\DownloadLogsFromS3.py --loco 4057 --day 2017-12-09</v>
      </c>
      <c r="AN203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63"/>
        <v>https://d0f6bd738d7f1b3e5a7ca70fe4ff75f0.us-east-1.aws.found.io/app/kibana#/discover/Steve-Slow-Train-Analysis-(2080s-and-2083s)?_g=(refreshInterval:(display:Off,pause:!f,section:0,value:0),time:(from:'2017-12-09T03:18:34-0700',mode:absolute,to:'2017-12-09T05:34:58-0700'))&amp;_a=(columns:!('Message%20ID',Summary),filters:!(),index:'emp_*',interval:auto,query:(query_string:(analyze_wildcard:!t,query:'%22rtdc.l.rtdc.4057%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889</v>
      </c>
      <c r="B204" s="225">
        <v>4028</v>
      </c>
      <c r="C204" s="227" t="s">
        <v>192</v>
      </c>
      <c r="D204" s="227" t="s">
        <v>665</v>
      </c>
      <c r="E204" s="226">
        <v>43079.065555555557</v>
      </c>
      <c r="F204" s="226">
        <v>43079.067118055558</v>
      </c>
      <c r="G204" s="225">
        <v>85</v>
      </c>
      <c r="H204" s="227" t="s">
        <v>677</v>
      </c>
      <c r="I204" s="226">
        <v>43079.074745370373</v>
      </c>
      <c r="J204" s="225">
        <v>0</v>
      </c>
      <c r="K204" s="237" t="str">
        <f t="shared" si="46"/>
        <v>4027/4028</v>
      </c>
      <c r="L204" s="245" t="str">
        <f>VLOOKUP(A204,'Trips&amp;Operators'!$C$1:$G$99911,5,FALSE)</f>
        <v>ELBAUM MIKE</v>
      </c>
      <c r="M204" s="224">
        <f t="shared" si="47"/>
        <v>7.6273148151813075E-3</v>
      </c>
      <c r="N204" s="225">
        <f t="shared" si="65"/>
        <v>10.983333333861083</v>
      </c>
      <c r="O204" s="225"/>
      <c r="P204" s="225"/>
      <c r="Q204" s="228"/>
      <c r="R204" s="242"/>
      <c r="S204" s="249">
        <f t="shared" si="48"/>
        <v>1</v>
      </c>
      <c r="T204" s="242" t="str">
        <f t="shared" si="49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50"/>
        <v>https://d0f6bd738d7f1b3e5a7ca70fe4ff75f0.us-east-1.aws.found.io/app/kibana#/discover/Steve-Slow-Train-Analysis-(2080s-and-2083s)?_g=(refreshInterval:(display:Off,pause:!f,section:0,value:0),time:(from:'2017-12-10T00:34:24-0700',mode:absolute,to:'2017-12-10T02:47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247" t="str">
        <f>IF(AA204&lt;VLOOKUP(AG204,Variables!$AC$3:$AD$8,2,FALSE),"Y","N")</f>
        <v>Y</v>
      </c>
      <c r="X204" s="247">
        <f t="shared" si="51"/>
        <v>1</v>
      </c>
      <c r="Y204" s="247">
        <f t="shared" si="52"/>
        <v>5.6599999999999998E-2</v>
      </c>
      <c r="Z204" s="247">
        <f t="shared" si="53"/>
        <v>2.331</v>
      </c>
      <c r="AA204" s="247">
        <f t="shared" si="54"/>
        <v>2.2744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55"/>
        <v>309</v>
      </c>
      <c r="AE204" s="235" t="str">
        <f t="shared" si="56"/>
        <v>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 &amp; aws s3 cp s3://rtdc.mdm.uploadarchive.raw/RTDC4028/ "%USERPROFILE%\AppData\Local\Temp\OnboardLogs"\RTDC4028\2017-12-11 --exclude "*" --recursive --include "*20171211*" &amp; "%USERPROFILE%\Documents\GitHub\mrs-test-scripts\Headless Mode &amp; Sideloading\WalkAndUnGZ.bat" "%USERPROFILE%\AppData\Local\Temp\OnboardLogs"\RTDC4028\2017-12-11</v>
      </c>
      <c r="AF204" s="234" t="str">
        <f t="shared" si="57"/>
        <v>"C:\Program Files (x86)\AstroGrep\AstroGrep.exe" /e /r /s /spath="%USERPROFILE%\AppData\Local\Temp\OnboardLogs" /stypes="app*4028*20171210*" /stext=" 08:.+((SYSTEM_STATE.+slice.+state.+changed )|(ment ac)|(multiple cpu faults)|(system.+state.+changed )|(\[timeout)|(PRM\|1\|D)|(kpr)|(kdp)|(train st.+moving)|(\|lc)|(penalty))"</v>
      </c>
      <c r="AG204" s="244" t="str">
        <f t="shared" si="58"/>
        <v>Other</v>
      </c>
      <c r="AH204" s="236" t="str">
        <f t="shared" si="59"/>
        <v>"%USERPROFILE%\Documents\GitHub\eaglep3\Utilities\RefineRTDCRunTimes.py" --tripid 309-09 --locoid 4028 --swversion DE.1.0.9.0 --startMP 204:566 --initTime 2017-12-10T01:34:24 --startdatetime 2017-12-10T01:36:39 --delay 85 --endMP 300:23310 --enddatetime 2017-12-10T01:47:38 --enforcementcount 0 &gt;&gt;%USERPROFILE%\Documents\GitHub\eaglep3-reporting\EC\2017-12-09-refined-times.txt</v>
      </c>
      <c r="AI204" s="238" t="str">
        <f t="shared" si="60"/>
        <v>echo {"issue":{"subject":"","project_id":79,"tracker_id":40,"status_id":1,"priority_id":2,"assigned_to_id":338,"start_date":"2017-12-10","description":"","custom_fields":[{"id":1,"name":"Subdivision","value":"Other"},{"id":4,"name":"Milepost","value":"2.331"},{"id":17,"name":"Train ID","value":"309-09"},{"id":16,"name":"Locomotive ID","value":"4028"},{"id":130,"name":"Impact","value":""},{"id":150,"name":"Time of Event (Mountain Time)","value":"01:47:38"},{"id":151,"name":"Denver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61"/>
        <v>start /low /b %USERPROFILE%\Documents\GitHub\eaglep3\Utilities\DownloadLogsFromS3.py --loco 4028 --day 2017-12-10</v>
      </c>
      <c r="AN20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08:47:38"},{"id":29,"name":"Sharepoint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63"/>
        <v>https://d0f6bd738d7f1b3e5a7ca70fe4ff75f0.us-east-1.aws.found.io/app/kibana#/discover/Steve-Slow-Train-Analysis-(2080s-and-2083s)?_g=(refreshInterval:(display:Off,pause:!f,section:0,value:0),time:(from:'2017-12-10T00:34:24-0700',mode:absolute,to:'2017-12-10T02:47:38-0700'))&amp;_a=(columns:!('Message%20ID',Summary),filters:!(),index:'emp_*',interval:auto,query:(query_string:(analyze_wildcard:!t,query:'%22rtdc.l.rtdc.4028%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717</v>
      </c>
      <c r="B205" s="225">
        <v>4035</v>
      </c>
      <c r="C205" s="227" t="s">
        <v>192</v>
      </c>
      <c r="D205" s="227" t="s">
        <v>1039</v>
      </c>
      <c r="E205" s="226">
        <v>43078.198935185188</v>
      </c>
      <c r="F205" s="226">
        <v>43078.201261574075</v>
      </c>
      <c r="G205" s="225">
        <v>61</v>
      </c>
      <c r="H205" s="227" t="s">
        <v>941</v>
      </c>
      <c r="I205" s="226">
        <v>43078.207152777781</v>
      </c>
      <c r="J205" s="225">
        <v>0</v>
      </c>
      <c r="K205" s="237" t="str">
        <f t="shared" ref="K205:K219" si="66">IF(ISEVEN(B205),(B205-1)&amp;"/"&amp;B205,B205&amp;"/"&amp;(B205+1))</f>
        <v>4035/4036</v>
      </c>
      <c r="L205" s="245" t="str">
        <f>VLOOKUP(A205,'Trips&amp;Operators'!$C$1:$G$99911,5,FALSE)</f>
        <v>MACDONALD THOMAS</v>
      </c>
      <c r="M205" s="224">
        <f t="shared" ref="M205:M219" si="67">I205-F205</f>
        <v>5.8912037056870759E-3</v>
      </c>
      <c r="N205" s="225">
        <f t="shared" si="65"/>
        <v>8.4833333361893892</v>
      </c>
      <c r="O205" s="225"/>
      <c r="P205" s="225"/>
      <c r="Q205" s="228"/>
      <c r="R205" s="242"/>
      <c r="S205" s="249">
        <f t="shared" ref="S205:S219" si="68">1/IF(AG205="EC",12,1)*SUM(U205:U205)</f>
        <v>1</v>
      </c>
      <c r="T205" s="242" t="str">
        <f t="shared" ref="T205:T219" si="69"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19" si="7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-09T03:46:28-0700',mode:absolute,to:'2017-12-09T05:58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5" s="247" t="str">
        <f>IF(AA205&lt;VLOOKUP(AG205,Variables!$AC$3:$AD$8,2,FALSE),"Y","N")</f>
        <v>Y</v>
      </c>
      <c r="X205" s="247">
        <f t="shared" ref="X205:X219" si="71">VALUE(LEFT(AD205,4))-VALUE(LEFT(AD204,4))</f>
        <v>1</v>
      </c>
      <c r="Y205" s="247">
        <f t="shared" ref="Y205:Y219" si="72">RIGHT(D205,LEN(D205)-4)/10000</f>
        <v>2.3624000000000001</v>
      </c>
      <c r="Z205" s="247">
        <f t="shared" ref="Z205:Z219" si="73">RIGHT(H205,LEN(H205)-4)/10000</f>
        <v>2.2100000000000002E-2</v>
      </c>
      <c r="AA205" s="247">
        <f t="shared" ref="AA205:AA219" si="74">ABS(Z205-Y205)</f>
        <v>2.3403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19" si="75">VALUE(LEFT(A205,LEN(A205)-3))</f>
        <v>310</v>
      </c>
      <c r="AE205" s="235" t="str">
        <f t="shared" ref="AE205:AE219" si="7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205" s="234" t="str">
        <f t="shared" ref="AF205:AF219" si="7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/stypes="app*4035*20171209*" /stext=" 11:.+((SYSTEM_STATE.+slice.+state.+changed )|(ment ac)|(multiple cpu faults)|(system.+state.+changed )|(\[timeout)|(PRM\|1\|D)|(kpr)|(kdp)|(train st.+moving)|(\|lc)|(penalty))"</v>
      </c>
      <c r="AG205" s="244" t="str">
        <f t="shared" ref="AG205:AG219" si="78">DetSubdiv(A205)</f>
        <v>Other</v>
      </c>
      <c r="AH205" s="236" t="str">
        <f t="shared" si="59"/>
        <v>"%USERPROFILE%\Documents\GitHub\eaglep3\Utilities\RefineRTDCRunTimes.py" --tripid 310-09 --locoid 4035 --swversion DE.1.0.9.0 --startMP 300:23624 --initTime 2017-12-09T04:46:28 --startdatetime 2017-12-09T04:49:49 --delay 61 --endMP 204:221 --enddatetime 2017-12-09T04:58:18 --enforcementcount 0 &gt;&gt;%USERPROFILE%\Documents\GitHub\eaglep3-reporting\EC\2017-12-09-refined-times.txt</v>
      </c>
      <c r="AI205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{"issue":{"subject":"","project_id":79,"tracker_id":40,"status_id":1,"priority_id":2,"assigned_to_id":338,"start_date":"2017-12-09","description":"","custom_fields":[{"id":1,"name":"Subdivision","value":"Other"},{"id":4,"name":"Milepost","value":"0.0221"},{"id":17,"name":"Train ID","value":"310-09"},{"id":16,"name":"Locomotive ID","value":"4035"},{"id":130,"name":"Impact","value":""},{"id":150,"name":"Time of Event (Mountain Time)","value":"04:58:18"},{"id":151,"name":"Denver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61"/>
        <v>start /low /b %USERPROFILE%\Documents\GitHub\eaglep3\Utilities\DownloadLogsFromS3.py --loco 4035 --day 2017-12-09</v>
      </c>
      <c r="AN205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63"/>
        <v>https://d0f6bd738d7f1b3e5a7ca70fe4ff75f0.us-east-1.aws.found.io/app/kibana#/discover/Steve-Slow-Train-Analysis-(2080s-and-2083s)?_g=(refreshInterval:(display:Off,pause:!f,section:0,value:0),time:(from:'2017-12-09T03:46:28-0700',mode:absolute,to:'2017-12-09T05:58:18-0700'))&amp;_a=(columns:!('Message%20ID',Summary),filters:!(),index:'emp_*',interval:auto,query:(query_string:(analyze_wildcard:!t,query:'%22rtdc.l.rtdc.4035%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891</v>
      </c>
      <c r="B206" s="225">
        <v>4008</v>
      </c>
      <c r="C206" s="227" t="s">
        <v>192</v>
      </c>
      <c r="D206" s="227" t="s">
        <v>625</v>
      </c>
      <c r="E206" s="226">
        <v>43079.090925925928</v>
      </c>
      <c r="F206" s="226">
        <v>43079.092523148145</v>
      </c>
      <c r="G206" s="225">
        <v>60</v>
      </c>
      <c r="H206" s="227" t="s">
        <v>1040</v>
      </c>
      <c r="I206" s="226">
        <v>43079.102546296293</v>
      </c>
      <c r="J206" s="225">
        <v>0</v>
      </c>
      <c r="K206" s="237" t="str">
        <f t="shared" si="66"/>
        <v>4007/4008</v>
      </c>
      <c r="L206" s="245" t="str">
        <f>VLOOKUP(A206,'Trips&amp;Operators'!$C$1:$G$99911,5,FALSE)</f>
        <v>NICHOLSON WESLEY</v>
      </c>
      <c r="M206" s="224">
        <f t="shared" si="67"/>
        <v>1.0023148148320615E-2</v>
      </c>
      <c r="N206" s="225">
        <f t="shared" si="65"/>
        <v>14.433333333581686</v>
      </c>
      <c r="O206" s="225"/>
      <c r="P206" s="225"/>
      <c r="Q206" s="228"/>
      <c r="R206" s="242"/>
      <c r="S206" s="249">
        <f t="shared" si="68"/>
        <v>1</v>
      </c>
      <c r="T206" s="242" t="str">
        <f t="shared" si="69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70"/>
        <v>https://d0f6bd738d7f1b3e5a7ca70fe4ff75f0.us-east-1.aws.found.io/app/kibana#/discover/Steve-Slow-Train-Analysis-(2080s-and-2083s)?_g=(refreshInterval:(display:Off,pause:!f,section:0,value:0),time:(from:'2017-12-10T01:10:56-0700',mode:absolute,to:'2017-12-10T03:27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247" t="str">
        <f>IF(AA206&lt;VLOOKUP(AG206,Variables!$AC$3:$AD$8,2,FALSE),"Y","N")</f>
        <v>Y</v>
      </c>
      <c r="X206" s="247">
        <f t="shared" si="71"/>
        <v>1</v>
      </c>
      <c r="Y206" s="247">
        <f t="shared" si="72"/>
        <v>5.4800000000000001E-2</v>
      </c>
      <c r="Z206" s="247">
        <f t="shared" si="73"/>
        <v>2.3311999999999999</v>
      </c>
      <c r="AA206" s="247">
        <f t="shared" si="74"/>
        <v>2.2763999999999998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75"/>
        <v>311</v>
      </c>
      <c r="AE206" s="235" t="str">
        <f t="shared" si="76"/>
        <v>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 &amp; 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</v>
      </c>
      <c r="AF206" s="234" t="str">
        <f t="shared" si="77"/>
        <v>"C:\Program Files (x86)\AstroGrep\AstroGrep.exe" /e /r /s /spath="%USERPROFILE%\AppData\Local\Temp\OnboardLogs" /stypes="app*4008*20171210*" /stext=" 09:.+((SYSTEM_STATE.+slice.+state.+changed )|(ment ac)|(multiple cpu faults)|(system.+state.+changed )|(\[timeout)|(PRM\|1\|D)|(kpr)|(kdp)|(train st.+moving)|(\|lc)|(penalty))"</v>
      </c>
      <c r="AG206" s="244" t="str">
        <f t="shared" si="78"/>
        <v>Other</v>
      </c>
      <c r="AH206" s="236" t="str">
        <f t="shared" ref="AH206:AH219" si="7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311-09 --locoid 4008 --swversion DE.1.0.9.0 --startMP 204:548 --initTime 2017-12-10T02:10:56 --startdatetime 2017-12-10T02:13:14 --delay 60 --endMP 300:23312 --enddatetime 2017-12-10T02:27:40 --enforcementcount 0 &gt;&gt;%USERPROFILE%\Documents\GitHub\eaglep3-reporting\EC\2017-12-09-refined-times.txt</v>
      </c>
      <c r="AI206" s="238" t="str">
        <f t="shared" ref="AI206:AI219" si="8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{"issue":{"subject":"","project_id":79,"tracker_id":40,"status_id":1,"priority_id":2,"assigned_to_id":338,"start_date":"2017-12-10","description":"","custom_fields":[{"id":1,"name":"Subdivision","value":"Other"},{"id":4,"name":"Milepost","value":"2.3312"},{"id":17,"name":"Train ID","value":"311-09"},{"id":16,"name":"Locomotive ID","value":"4008"},{"id":130,"name":"Impact","value":""},{"id":150,"name":"Time of Event (Mountain Time)","value":"02:27:40"},{"id":151,"name":"Denver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ref="AM206:AM219" si="81">"start /low /b "&amp;dls3logs&amp;" --loco "&amp;B206&amp;" --day "&amp;TEXT(F206,"YYYY-MM-DD")</f>
        <v>start /low /b %USERPROFILE%\Documents\GitHub\eaglep3\Utilities\DownloadLogsFromS3.py --loco 4008 --day 2017-12-10</v>
      </c>
      <c r="AN206" s="241" t="str">
        <f t="shared" ref="AN206:AN219" si="82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09:27:40"},{"id":29,"name":"Sharepoint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ref="AO206:AO219" si="83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-10T01:10:56-0700',mode:absolute,to:'2017-12-10T03:27:40-0700'))&amp;_a=(columns:!('Message%20ID',Summary),filters:!(),index:'emp_*',interval:auto,query:(query_string:(analyze_wildcard:!t,query:'%22rtdc.l.rtdc.4008%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721</v>
      </c>
      <c r="B207" s="225">
        <v>4021</v>
      </c>
      <c r="C207" s="227" t="s">
        <v>192</v>
      </c>
      <c r="D207" s="227" t="s">
        <v>1041</v>
      </c>
      <c r="E207" s="226">
        <v>43078.213240740741</v>
      </c>
      <c r="F207" s="226">
        <v>43078.217986111114</v>
      </c>
      <c r="G207" s="225">
        <v>106</v>
      </c>
      <c r="H207" s="227" t="s">
        <v>950</v>
      </c>
      <c r="I207" s="226">
        <v>43078.22420138889</v>
      </c>
      <c r="J207" s="225">
        <v>0</v>
      </c>
      <c r="K207" s="237" t="str">
        <f t="shared" si="66"/>
        <v>4021/4022</v>
      </c>
      <c r="L207" s="245" t="str">
        <f>VLOOKUP(A207,'Trips&amp;Operators'!$C$1:$G$99911,5,FALSE)</f>
        <v>WILLIAMS DONTE</v>
      </c>
      <c r="M207" s="224">
        <f t="shared" si="67"/>
        <v>6.2152777754818089E-3</v>
      </c>
      <c r="N207" s="225">
        <f t="shared" si="65"/>
        <v>8.9499999966938049</v>
      </c>
      <c r="O207" s="225"/>
      <c r="P207" s="225"/>
      <c r="Q207" s="228"/>
      <c r="R207" s="242"/>
      <c r="S207" s="249">
        <f t="shared" si="68"/>
        <v>1</v>
      </c>
      <c r="T207" s="242" t="str">
        <f t="shared" si="69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70"/>
        <v>https://d0f6bd738d7f1b3e5a7ca70fe4ff75f0.us-east-1.aws.found.io/app/kibana#/discover/Steve-Slow-Train-Analysis-(2080s-and-2083s)?_g=(refreshInterval:(display:Off,pause:!f,section:0,value:0),time:(from:'2017-12-09T04:07:04-0700',mode:absolute,to:'2017-12-09T06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247" t="str">
        <f>IF(AA207&lt;VLOOKUP(AG207,Variables!$AC$3:$AD$8,2,FALSE),"Y","N")</f>
        <v>Y</v>
      </c>
      <c r="X207" s="247">
        <f t="shared" si="71"/>
        <v>1</v>
      </c>
      <c r="Y207" s="247">
        <f t="shared" si="72"/>
        <v>2.3654000000000002</v>
      </c>
      <c r="Z207" s="247">
        <f t="shared" si="73"/>
        <v>1.78E-2</v>
      </c>
      <c r="AA207" s="247">
        <f t="shared" si="74"/>
        <v>2.3476000000000004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75"/>
        <v>312</v>
      </c>
      <c r="AE207" s="235" t="str">
        <f t="shared" si="76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207" s="234" t="str">
        <f t="shared" si="77"/>
        <v>"C:\Program Files (x86)\AstroGrep\AstroGrep.exe" /e /r /s /spath="%USERPROFILE%\AppData\Local\Temp\OnboardLogs" /stypes="app*4021*20171209*" /stext=" 12:.+((SYSTEM_STATE.+slice.+state.+changed )|(ment ac)|(multiple cpu faults)|(system.+state.+changed )|(\[timeout)|(PRM\|1\|D)|(kpr)|(kdp)|(train st.+moving)|(\|lc)|(penalty))"</v>
      </c>
      <c r="AG207" s="244" t="str">
        <f t="shared" si="78"/>
        <v>Other</v>
      </c>
      <c r="AH207" s="236" t="str">
        <f t="shared" si="79"/>
        <v>"%USERPROFILE%\Documents\GitHub\eaglep3\Utilities\RefineRTDCRunTimes.py" --tripid 312-09 --locoid 4021 --swversion DE.1.0.9.0 --startMP 300:23654 --initTime 2017-12-09T05:07:04 --startdatetime 2017-12-09T05:13:54 --delay 106 --endMP 204:178 --enddatetime 2017-12-09T05:22:51 --enforcementcount 0 &gt;&gt;%USERPROFILE%\Documents\GitHub\eaglep3-reporting\EC\2017-12-09-refined-times.txt</v>
      </c>
      <c r="AI207" s="238" t="str">
        <f t="shared" si="80"/>
        <v>echo {"issue":{"subject":"","project_id":79,"tracker_id":40,"status_id":1,"priority_id":2,"assigned_to_id":338,"start_date":"2017-12-09","description":"","custom_fields":[{"id":1,"name":"Subdivision","value":"Other"},{"id":4,"name":"Milepost","value":"0.0178"},{"id":17,"name":"Train ID","value":"312-09"},{"id":16,"name":"Locomotive ID","value":"4021"},{"id":130,"name":"Impact","value":""},{"id":150,"name":"Time of Event (Mountain Time)","value":"05:22:51"},{"id":151,"name":"Denver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81"/>
        <v>start /low /b %USERPROFILE%\Documents\GitHub\eaglep3\Utilities\DownloadLogsFromS3.py --loco 4021 --day 2017-12-09</v>
      </c>
      <c r="AN207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83"/>
        <v>https://d0f6bd738d7f1b3e5a7ca70fe4ff75f0.us-east-1.aws.found.io/app/kibana#/discover/Steve-Slow-Train-Analysis-(2080s-and-2083s)?_g=(refreshInterval:(display:Off,pause:!f,section:0,value:0),time:(from:'2017-12-09T04:07:04-0700',mode:absolute,to:'2017-12-09T06:22:51-0700'))&amp;_a=(columns:!('Message%20ID',Summary),filters:!(),index:'emp_*',interval:auto,query:(query_string:(analyze_wildcard:!t,query:'%22rtdc.l.rtdc.4021%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723</v>
      </c>
      <c r="B208" s="225">
        <v>4030</v>
      </c>
      <c r="C208" s="227" t="s">
        <v>192</v>
      </c>
      <c r="D208" s="227" t="s">
        <v>998</v>
      </c>
      <c r="E208" s="226">
        <v>43078.222766203704</v>
      </c>
      <c r="F208" s="226">
        <v>43078.227881944447</v>
      </c>
      <c r="G208" s="225">
        <v>138</v>
      </c>
      <c r="H208" s="227" t="s">
        <v>999</v>
      </c>
      <c r="I208" s="226">
        <v>43078.232905092591</v>
      </c>
      <c r="J208" s="225">
        <v>0</v>
      </c>
      <c r="K208" s="237" t="str">
        <f t="shared" si="66"/>
        <v>4029/4030</v>
      </c>
      <c r="L208" s="245" t="str">
        <f>VLOOKUP(A208,'Trips&amp;Operators'!$C$1:$G$99911,5,FALSE)</f>
        <v>LAMAR NEKESHA</v>
      </c>
      <c r="M208" s="224">
        <f t="shared" si="67"/>
        <v>5.0231481436640024E-3</v>
      </c>
      <c r="N208" s="225">
        <f t="shared" si="65"/>
        <v>7.2333333268761635</v>
      </c>
      <c r="O208" s="225"/>
      <c r="P208" s="225"/>
      <c r="Q208" s="228"/>
      <c r="R208" s="242"/>
      <c r="S208" s="249">
        <f t="shared" si="68"/>
        <v>0</v>
      </c>
      <c r="T208" s="242" t="str">
        <f t="shared" si="69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 t="shared" si="70"/>
        <v>https://d0f6bd738d7f1b3e5a7ca70fe4ff75f0.us-east-1.aws.found.io/app/kibana#/discover/Steve-Slow-Train-Analysis-(2080s-and-2083s)?_g=(refreshInterval:(display:Off,pause:!f,section:0,value:0),time:(from:'2017-12-09T04:20:47-0700',mode:absolute,to:'2017-12-09T06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8" s="247" t="str">
        <f>IF(AA208&lt;VLOOKUP(AG208,Variables!$AC$3:$AD$8,2,FALSE),"Y","N")</f>
        <v>Y</v>
      </c>
      <c r="X208" s="247">
        <f t="shared" si="71"/>
        <v>1589</v>
      </c>
      <c r="Y208" s="247">
        <f t="shared" si="72"/>
        <v>3.0198999999999998</v>
      </c>
      <c r="Z208" s="247">
        <f t="shared" si="73"/>
        <v>5.899</v>
      </c>
      <c r="AA208" s="247">
        <f t="shared" si="74"/>
        <v>2.8791000000000002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75"/>
        <v>1901</v>
      </c>
      <c r="AE208" s="235" t="str">
        <f t="shared" si="7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208" s="234" t="str">
        <f t="shared" si="77"/>
        <v>"C:\Program Files (x86)\AstroGrep\AstroGrep.exe" /e /r /s /spath="%USERPROFILE%\AppData\Local\Temp\OnboardLogs" /stypes="app*4030*20171209*" /stext=" 12:.+((SYSTEM_STATE.+slice.+state.+changed )|(ment ac)|(multiple cpu faults)|(system.+state.+changed )|(\[timeout)|(PRM\|1\|D)|(kpr)|(kdp)|(train st.+moving)|(\|lc)|(penalty))"</v>
      </c>
      <c r="AG208" s="244" t="str">
        <f t="shared" si="78"/>
        <v>Other</v>
      </c>
      <c r="AH208" s="236" t="str">
        <f t="shared" si="79"/>
        <v>"%USERPROFILE%\Documents\GitHub\eaglep3\Utilities\RefineRTDCRunTimes.py" --tripid 1901-09 --locoid 4030 --swversion DE.1.0.9.0 --startMP 300:30199 --initTime 2017-12-09T05:20:47 --startdatetime 2017-12-09T05:28:09 --delay 138 --endMP 300:58990 --enddatetime 2017-12-09T05:35:23 --enforcementcount 0 &gt;&gt;%USERPROFILE%\Documents\GitHub\eaglep3-reporting\EC\2017-12-09-refined-times.txt</v>
      </c>
      <c r="AI208" s="238" t="str">
        <f t="shared" si="80"/>
        <v>echo {"issue":{"subject":"","project_id":79,"tracker_id":40,"status_id":1,"priority_id":2,"assigned_to_id":338,"start_date":"2017-12-09","description":"","custom_fields":[{"id":1,"name":"Subdivision","value":"Other"},{"id":4,"name":"Milepost","value":"5.899"},{"id":17,"name":"Train ID","value":"1901-09"},{"id":16,"name":"Locomotive ID","value":"4030"},{"id":130,"name":"Impact","value":""},{"id":150,"name":"Time of Event (Mountain Time)","value":"05:35:23"},{"id":151,"name":"Denver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81"/>
        <v>start /low /b %USERPROFILE%\Documents\GitHub\eaglep3\Utilities\DownloadLogsFromS3.py --loco 4030 --day 2017-12-09</v>
      </c>
      <c r="AN208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83"/>
        <v>https://d0f6bd738d7f1b3e5a7ca70fe4ff75f0.us-east-1.aws.found.io/app/kibana#/discover/Steve-Slow-Train-Analysis-(2080s-and-2083s)?_g=(refreshInterval:(display:Off,pause:!f,section:0,value:0),time:(from:'2017-12-09T04:20:47-0700',mode:absolute,to:'2017-12-09T06:35:23-0700'))&amp;_a=(columns:!('Message%20ID',Summary),filters:!(),index:'emp_*',interval:auto,query:(query_string:(analyze_wildcard:!t,query:'%22rtdc.l.rtdc.4030%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9" t="s">
        <v>882</v>
      </c>
      <c r="B209" s="225">
        <v>4029</v>
      </c>
      <c r="C209" s="227" t="s">
        <v>192</v>
      </c>
      <c r="D209" s="227" t="s">
        <v>1000</v>
      </c>
      <c r="E209" s="226">
        <v>43078.975937499999</v>
      </c>
      <c r="F209" s="226">
        <v>43078.977731481478</v>
      </c>
      <c r="G209" s="225">
        <v>58</v>
      </c>
      <c r="H209" s="227" t="s">
        <v>1001</v>
      </c>
      <c r="I209" s="226">
        <v>43078.987766203703</v>
      </c>
      <c r="J209" s="225">
        <v>0</v>
      </c>
      <c r="K209" s="237" t="str">
        <f t="shared" si="66"/>
        <v>4029/4030</v>
      </c>
      <c r="L209" s="245" t="str">
        <f>VLOOKUP(A209,'Trips&amp;Operators'!$C$1:$G$99911,5,FALSE)</f>
        <v>SMITH MICHAEL</v>
      </c>
      <c r="M209" s="224">
        <f t="shared" si="67"/>
        <v>1.0034722225100268E-2</v>
      </c>
      <c r="N209" s="225">
        <f t="shared" si="65"/>
        <v>14.450000004144385</v>
      </c>
      <c r="O209" s="225"/>
      <c r="P209" s="225"/>
      <c r="Q209" s="228"/>
      <c r="R209" s="242"/>
      <c r="S209" s="249">
        <f t="shared" si="68"/>
        <v>0</v>
      </c>
      <c r="T209" s="242" t="str">
        <f t="shared" si="69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 t="shared" si="70"/>
        <v>https://d0f6bd738d7f1b3e5a7ca70fe4ff75f0.us-east-1.aws.found.io/app/kibana#/discover/Steve-Slow-Train-Analysis-(2080s-and-2083s)?_g=(refreshInterval:(display:Off,pause:!f,section:0,value:0),time:(from:'2017-12-09T22:25:21-0700',mode:absolute,to:'2017-12-10T00:42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247" t="str">
        <f>IF(AA209&lt;VLOOKUP(AG209,Variables!$AC$3:$AD$8,2,FALSE),"Y","N")</f>
        <v>Y</v>
      </c>
      <c r="X209" s="247">
        <f t="shared" si="71"/>
        <v>1</v>
      </c>
      <c r="Y209" s="247">
        <f t="shared" si="72"/>
        <v>5.8644999999999996</v>
      </c>
      <c r="Z209" s="247">
        <f t="shared" si="73"/>
        <v>2.8761000000000001</v>
      </c>
      <c r="AA209" s="247">
        <f t="shared" si="74"/>
        <v>2.9883999999999995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75"/>
        <v>1902</v>
      </c>
      <c r="AE209" s="235" t="str">
        <f t="shared" si="7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209" s="234" t="str">
        <f t="shared" si="77"/>
        <v>"C:\Program Files (x86)\AstroGrep\AstroGrep.exe" /e /r /s /spath="%USERPROFILE%\AppData\Local\Temp\OnboardLogs" /stypes="app*4029*20171210*" /stext=" 06:.+((SYSTEM_STATE.+slice.+state.+changed )|(ment ac)|(multiple cpu faults)|(system.+state.+changed )|(\[timeout)|(PRM\|1\|D)|(kpr)|(kdp)|(train st.+moving)|(\|lc)|(penalty))"</v>
      </c>
      <c r="AG209" s="244" t="str">
        <f t="shared" si="78"/>
        <v>Other</v>
      </c>
      <c r="AH209" s="236" t="str">
        <f t="shared" si="79"/>
        <v>"%USERPROFILE%\Documents\GitHub\eaglep3\Utilities\RefineRTDCRunTimes.py" --tripid 1902-09 --locoid 4029 --swversion DE.1.0.9.0 --startMP 300:58645 --initTime 2017-12-09T23:25:21 --startdatetime 2017-12-09T23:27:56 --delay 58 --endMP 300:28761 --enddatetime 2017-12-09T23:42:23 --enforcementcount 0 &gt;&gt;%USERPROFILE%\Documents\GitHub\eaglep3-reporting\EC\2017-12-09-refined-times.txt</v>
      </c>
      <c r="AI209" s="238" t="str">
        <f t="shared" si="80"/>
        <v>echo {"issue":{"subject":"","project_id":79,"tracker_id":40,"status_id":1,"priority_id":2,"assigned_to_id":338,"start_date":"2017-12-09","description":"","custom_fields":[{"id":1,"name":"Subdivision","value":"Other"},{"id":4,"name":"Milepost","value":"2.8761"},{"id":17,"name":"Train ID","value":"1902-09"},{"id":16,"name":"Locomotive ID","value":"4029"},{"id":130,"name":"Impact","value":""},{"id":150,"name":"Time of Event (Mountain Time)","value":"23:42:23"},{"id":151,"name":"Denver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81"/>
        <v>start /low /b %USERPROFILE%\Documents\GitHub\eaglep3\Utilities\DownloadLogsFromS3.py --loco 4029 --day 2017-12-09</v>
      </c>
      <c r="AN209" s="241" t="str">
        <f t="shared" si="8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06:42:23"},{"id":29,"name":"Sharepoint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83"/>
        <v>https://d0f6bd738d7f1b3e5a7ca70fe4ff75f0.us-east-1.aws.found.io/app/kibana#/discover/Steve-Slow-Train-Analysis-(2080s-and-2083s)?_g=(refreshInterval:(display:Off,pause:!f,section:0,value:0),time:(from:'2017-12-09T22:25:21-0700',mode:absolute,to:'2017-12-10T00:42:23-0700'))&amp;_a=(columns:!('Message%20ID',Summary),filters:!(),index:'emp_*',interval:auto,query:(query_string:(analyze_wildcard:!t,query:'%22rtdc.l.rtdc.4029%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827</v>
      </c>
      <c r="B210" s="225">
        <v>4005</v>
      </c>
      <c r="C210" s="227" t="s">
        <v>192</v>
      </c>
      <c r="D210" s="227" t="s">
        <v>1042</v>
      </c>
      <c r="E210" s="226">
        <v>43078.70275462963</v>
      </c>
      <c r="F210" s="226">
        <v>43078.704259259262</v>
      </c>
      <c r="G210" s="225">
        <v>66</v>
      </c>
      <c r="H210" s="227" t="s">
        <v>1018</v>
      </c>
      <c r="I210" s="226">
        <v>43078.705590277779</v>
      </c>
      <c r="J210" s="225">
        <v>0</v>
      </c>
      <c r="K210" s="237" t="str">
        <f t="shared" si="66"/>
        <v>4005/4006</v>
      </c>
      <c r="L210" s="245" t="str">
        <f>VLOOKUP(A210,'Trips&amp;Operators'!$C$1:$G$99911,5,FALSE)</f>
        <v>MOSES BRADLEY</v>
      </c>
      <c r="M210" s="224">
        <f t="shared" si="67"/>
        <v>1.3310185167938471E-3</v>
      </c>
      <c r="N210" s="225">
        <f t="shared" si="65"/>
        <v>1.9166666641831398</v>
      </c>
      <c r="O210" s="225"/>
      <c r="P210" s="225"/>
      <c r="Q210" s="228"/>
      <c r="R210" s="242"/>
      <c r="S210" s="249">
        <f t="shared" si="68"/>
        <v>0</v>
      </c>
      <c r="T210" s="242" t="str">
        <f t="shared" si="69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70"/>
        <v>https://d0f6bd738d7f1b3e5a7ca70fe4ff75f0.us-east-1.aws.found.io/app/kibana#/discover/Steve-Slow-Train-Analysis-(2080s-and-2083s)?_g=(refreshInterval:(display:Off,pause:!f,section:0,value:0),time:(from:'2017-12-09T15:51:58-0700',mode:absolute,to:'2017-12-09T17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247" t="str">
        <f>IF(AA210&lt;VLOOKUP(AG210,Variables!$AC$3:$AD$8,2,FALSE),"Y","N")</f>
        <v>Y</v>
      </c>
      <c r="X210" s="247">
        <f t="shared" si="71"/>
        <v>-1852</v>
      </c>
      <c r="Y210" s="247">
        <f t="shared" si="72"/>
        <v>0.33019999999999999</v>
      </c>
      <c r="Z210" s="247">
        <f t="shared" si="73"/>
        <v>2.63E-2</v>
      </c>
      <c r="AA210" s="247">
        <f t="shared" si="74"/>
        <v>0.3039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75"/>
        <v>50</v>
      </c>
      <c r="AE210" s="235" t="str">
        <f t="shared" si="7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210" s="234" t="str">
        <f t="shared" si="77"/>
        <v>"C:\Program Files (x86)\AstroGrep\AstroGrep.exe" /e /r /s /spath="%USERPROFILE%\AppData\Local\Temp\OnboardLogs" /stypes="app*4005*20171209*" /stext=" 23:.+((SYSTEM_STATE.+slice.+state.+changed )|(ment ac)|(multiple cpu faults)|(system.+state.+changed )|(\[timeout)|(PRM\|1\|D)|(kpr)|(kdp)|(train st.+moving)|(\|lc)|(penalty))"</v>
      </c>
      <c r="AG210" s="244" t="str">
        <f t="shared" si="78"/>
        <v>Shuttle/Test</v>
      </c>
      <c r="AH210" s="236" t="str">
        <f t="shared" si="79"/>
        <v>"%USERPROFILE%\Documents\GitHub\eaglep3\Utilities\RefineRTDCRunTimes.py" --tripid 50-09 --locoid 4005 --swversion DE.1.0.9.0 --startMP 204:3302 --initTime 2017-12-09T16:51:58 --startdatetime 2017-12-09T16:54:08 --delay 66 --endMP 204:263 --enddatetime 2017-12-09T16:56:03 --enforcementcount 0 &gt;&gt;%USERPROFILE%\Documents\GitHub\eaglep3-reporting\EC\2017-12-09-refined-times.txt</v>
      </c>
      <c r="AI210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0.0263"},{"id":17,"name":"Train ID","value":"50-09"},{"id":16,"name":"Locomotive ID","value":"4005"},{"id":130,"name":"Impact","value":""},{"id":150,"name":"Time of Event (Mountain Time)","value":"16:56:03"},{"id":151,"name":"Denver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81"/>
        <v>start /low /b %USERPROFILE%\Documents\GitHub\eaglep3\Utilities\DownloadLogsFromS3.py --loco 4005 --day 2017-12-09</v>
      </c>
      <c r="AN210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83"/>
        <v>https://d0f6bd738d7f1b3e5a7ca70fe4ff75f0.us-east-1.aws.found.io/app/kibana#/discover/Steve-Slow-Train-Analysis-(2080s-and-2083s)?_g=(refreshInterval:(display:Off,pause:!f,section:0,value:0),time:(from:'2017-12-09T15:51:58-0700',mode:absolute,to:'2017-12-09T17:56:03-0700'))&amp;_a=(columns:!('Message%20ID',Summary),filters:!(),index:'emp_*',interval:auto,query:(query_string:(analyze_wildcard:!t,query:'%22rtdc.l.rtdc.4005%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706</v>
      </c>
      <c r="B211" s="225">
        <v>4004</v>
      </c>
      <c r="C211" s="227" t="s">
        <v>192</v>
      </c>
      <c r="D211" s="227" t="s">
        <v>624</v>
      </c>
      <c r="E211" s="226">
        <v>43078.134317129632</v>
      </c>
      <c r="F211" s="226">
        <v>43078.136365740742</v>
      </c>
      <c r="G211" s="225">
        <v>65</v>
      </c>
      <c r="H211" s="227" t="s">
        <v>1043</v>
      </c>
      <c r="I211" s="226">
        <v>43078.138136574074</v>
      </c>
      <c r="J211" s="225">
        <v>0</v>
      </c>
      <c r="K211" s="237" t="str">
        <f t="shared" si="66"/>
        <v>4003/4004</v>
      </c>
      <c r="L211" s="245" t="str">
        <f>VLOOKUP(A211,'Trips&amp;Operators'!$C$1:$G$99911,5,FALSE)</f>
        <v>DE LA ROSA ALEX</v>
      </c>
      <c r="M211" s="224">
        <f t="shared" si="67"/>
        <v>1.7708333325572312E-3</v>
      </c>
      <c r="N211" s="225">
        <f t="shared" si="65"/>
        <v>2.5499999988824129</v>
      </c>
      <c r="O211" s="225"/>
      <c r="P211" s="225"/>
      <c r="Q211" s="228"/>
      <c r="R211" s="242"/>
      <c r="S211" s="249">
        <f t="shared" si="68"/>
        <v>0</v>
      </c>
      <c r="T211" s="242" t="str">
        <f t="shared" si="69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70"/>
        <v>https://d0f6bd738d7f1b3e5a7ca70fe4ff75f0.us-east-1.aws.found.io/app/kibana#/discover/Steve-Slow-Train-Analysis-(2080s-and-2083s)?_g=(refreshInterval:(display:Off,pause:!f,section:0,value:0),time:(from:'2017-12-09T02:13:25-0700',mode:absolute,to:'2017-12-09T04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1" s="247" t="str">
        <f>IF(AA211&lt;VLOOKUP(AG211,Variables!$AC$3:$AD$8,2,FALSE),"Y","N")</f>
        <v>Y</v>
      </c>
      <c r="X211" s="247">
        <f t="shared" si="71"/>
        <v>1</v>
      </c>
      <c r="Y211" s="247">
        <f t="shared" si="72"/>
        <v>4.9799999999999997E-2</v>
      </c>
      <c r="Z211" s="247">
        <f t="shared" si="73"/>
        <v>0.35460000000000003</v>
      </c>
      <c r="AA211" s="247">
        <f t="shared" si="74"/>
        <v>0.30480000000000002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75"/>
        <v>51</v>
      </c>
      <c r="AE211" s="235" t="str">
        <f t="shared" si="7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211" s="234" t="str">
        <f t="shared" si="77"/>
        <v>"C:\Program Files (x86)\AstroGrep\AstroGrep.exe" /e /r /s /spath="%USERPROFILE%\AppData\Local\Temp\OnboardLogs" /stypes="app*4004*20171209*" /stext=" 10:.+((SYSTEM_STATE.+slice.+state.+changed )|(ment ac)|(multiple cpu faults)|(system.+state.+changed )|(\[timeout)|(PRM\|1\|D)|(kpr)|(kdp)|(train st.+moving)|(\|lc)|(penalty))"</v>
      </c>
      <c r="AG211" s="244" t="str">
        <f t="shared" si="78"/>
        <v>Shuttle/Test</v>
      </c>
      <c r="AH211" s="236" t="str">
        <f t="shared" si="79"/>
        <v>"%USERPROFILE%\Documents\GitHub\eaglep3\Utilities\RefineRTDCRunTimes.py" --tripid 51-09 --locoid 4004 --swversion DE.1.0.9.0 --startMP 204:498 --initTime 2017-12-09T03:13:25 --startdatetime 2017-12-09T03:16:22 --delay 65 --endMP 204:3546 --enddatetime 2017-12-09T03:18:55 --enforcementcount 0 &gt;&gt;%USERPROFILE%\Documents\GitHub\eaglep3-reporting\EC\2017-12-09-refined-times.txt</v>
      </c>
      <c r="AI211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0.3546"},{"id":17,"name":"Train ID","value":"51-09"},{"id":16,"name":"Locomotive ID","value":"4004"},{"id":130,"name":"Impact","value":""},{"id":150,"name":"Time of Event (Mountain Time)","value":"03:18:55"},{"id":151,"name":"Denver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81"/>
        <v>start /low /b %USERPROFILE%\Documents\GitHub\eaglep3\Utilities\DownloadLogsFromS3.py --loco 4004 --day 2017-12-09</v>
      </c>
      <c r="AN211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83"/>
        <v>https://d0f6bd738d7f1b3e5a7ca70fe4ff75f0.us-east-1.aws.found.io/app/kibana#/discover/Steve-Slow-Train-Analysis-(2080s-and-2083s)?_g=(refreshInterval:(display:Off,pause:!f,section:0,value:0),time:(from:'2017-12-09T02:13:25-0700',mode:absolute,to:'2017-12-09T04:18:55-0700'))&amp;_a=(columns:!('Message%20ID',Summary),filters:!(),index:'emp_*',interval:auto,query:(query_string:(analyze_wildcard:!t,query:'%22rtdc.l.rtdc.4004%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706</v>
      </c>
      <c r="B212" s="225">
        <v>4004</v>
      </c>
      <c r="C212" s="227" t="s">
        <v>192</v>
      </c>
      <c r="D212" s="227" t="s">
        <v>1044</v>
      </c>
      <c r="E212" s="226">
        <v>43078.407881944448</v>
      </c>
      <c r="F212" s="226">
        <v>43078.40929398148</v>
      </c>
      <c r="G212" s="225">
        <v>62</v>
      </c>
      <c r="H212" s="227" t="s">
        <v>1045</v>
      </c>
      <c r="I212" s="226">
        <v>43078.41002314815</v>
      </c>
      <c r="J212" s="225">
        <v>0</v>
      </c>
      <c r="K212" s="237" t="str">
        <f t="shared" si="66"/>
        <v>4003/4004</v>
      </c>
      <c r="L212" s="245" t="str">
        <f>VLOOKUP(A212,'Trips&amp;Operators'!$C$1:$G$99911,5,FALSE)</f>
        <v>DE LA ROSA ALEX</v>
      </c>
      <c r="M212" s="224">
        <f t="shared" si="67"/>
        <v>7.2916666977107525E-4</v>
      </c>
      <c r="N212" s="225">
        <f t="shared" si="65"/>
        <v>1.0500000044703484</v>
      </c>
      <c r="O212" s="225"/>
      <c r="P212" s="225"/>
      <c r="Q212" s="228"/>
      <c r="R212" s="242"/>
      <c r="S212" s="249">
        <f t="shared" si="68"/>
        <v>0</v>
      </c>
      <c r="T212" s="242" t="str">
        <f t="shared" si="69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70"/>
        <v>https://d0f6bd738d7f1b3e5a7ca70fe4ff75f0.us-east-1.aws.found.io/app/kibana#/discover/Steve-Slow-Train-Analysis-(2080s-and-2083s)?_g=(refreshInterval:(display:Off,pause:!f,section:0,value:0),time:(from:'2017-12-09T08:47:21-0700',mode:absolute,to:'2017-12-09T10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247" t="str">
        <f>IF(AA212&lt;VLOOKUP(AG212,Variables!$AC$3:$AD$8,2,FALSE),"Y","N")</f>
        <v>Y</v>
      </c>
      <c r="X212" s="247">
        <f t="shared" si="71"/>
        <v>0</v>
      </c>
      <c r="Y212" s="247">
        <f t="shared" si="72"/>
        <v>0.1462</v>
      </c>
      <c r="Z212" s="247">
        <f t="shared" si="73"/>
        <v>0.3513</v>
      </c>
      <c r="AA212" s="247">
        <f t="shared" si="74"/>
        <v>0.2051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75"/>
        <v>51</v>
      </c>
      <c r="AE212" s="235" t="str">
        <f t="shared" si="7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212" s="234" t="str">
        <f t="shared" si="77"/>
        <v>"C:\Program Files (x86)\AstroGrep\AstroGrep.exe" /e /r /s /spath="%USERPROFILE%\AppData\Local\Temp\OnboardLogs" /stypes="app*4004*20171209*" /stext=" 16:.+((SYSTEM_STATE.+slice.+state.+changed )|(ment ac)|(multiple cpu faults)|(system.+state.+changed )|(\[timeout)|(PRM\|1\|D)|(kpr)|(kdp)|(train st.+moving)|(\|lc)|(penalty))"</v>
      </c>
      <c r="AG212" s="244" t="str">
        <f t="shared" si="78"/>
        <v>Shuttle/Test</v>
      </c>
      <c r="AH212" s="236" t="str">
        <f t="shared" si="79"/>
        <v>"%USERPROFILE%\Documents\GitHub\eaglep3\Utilities\RefineRTDCRunTimes.py" --tripid 51-09 --locoid 4004 --swversion DE.1.0.9.0 --startMP 204:1462 --initTime 2017-12-09T09:47:21 --startdatetime 2017-12-09T09:49:23 --delay 62 --endMP 204:3513 --enddatetime 2017-12-09T09:50:26 --enforcementcount 0 &gt;&gt;%USERPROFILE%\Documents\GitHub\eaglep3-reporting\EC\2017-12-09-refined-times.txt</v>
      </c>
      <c r="AI212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0.3513"},{"id":17,"name":"Train ID","value":"51-09"},{"id":16,"name":"Locomotive ID","value":"4004"},{"id":130,"name":"Impact","value":""},{"id":150,"name":"Time of Event (Mountain Time)","value":"09:50:26"},{"id":151,"name":"Denver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81"/>
        <v>start /low /b %USERPROFILE%\Documents\GitHub\eaglep3\Utilities\DownloadLogsFromS3.py --loco 4004 --day 2017-12-09</v>
      </c>
      <c r="AN212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83"/>
        <v>https://d0f6bd738d7f1b3e5a7ca70fe4ff75f0.us-east-1.aws.found.io/app/kibana#/discover/Steve-Slow-Train-Analysis-(2080s-and-2083s)?_g=(refreshInterval:(display:Off,pause:!f,section:0,value:0),time:(from:'2017-12-09T08:47:21-0700',mode:absolute,to:'2017-12-09T10:50:26-0700'))&amp;_a=(columns:!('Message%20ID',Summary),filters:!(),index:'emp_*',interval:auto,query:(query_string:(analyze_wildcard:!t,query:'%22rtdc.l.rtdc.4004%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706</v>
      </c>
      <c r="B213" s="225">
        <v>4006</v>
      </c>
      <c r="C213" s="227" t="s">
        <v>192</v>
      </c>
      <c r="D213" s="227" t="s">
        <v>1046</v>
      </c>
      <c r="E213" s="226">
        <v>43078.697395833333</v>
      </c>
      <c r="F213" s="226">
        <v>43078.701284722221</v>
      </c>
      <c r="G213" s="225">
        <v>60</v>
      </c>
      <c r="H213" s="227" t="s">
        <v>1047</v>
      </c>
      <c r="I213" s="226">
        <v>43078.702025462961</v>
      </c>
      <c r="J213" s="225">
        <v>0</v>
      </c>
      <c r="K213" s="237" t="str">
        <f t="shared" si="66"/>
        <v>4005/4006</v>
      </c>
      <c r="L213" s="245" t="str">
        <f>VLOOKUP(A213,'Trips&amp;Operators'!$C$1:$G$99911,5,FALSE)</f>
        <v>DE LA ROSA ALEX</v>
      </c>
      <c r="M213" s="224">
        <f t="shared" si="67"/>
        <v>7.4074073927477002E-4</v>
      </c>
      <c r="N213" s="225">
        <f t="shared" si="65"/>
        <v>1.0666666645556688</v>
      </c>
      <c r="O213" s="225"/>
      <c r="P213" s="225"/>
      <c r="Q213" s="228"/>
      <c r="R213" s="242"/>
      <c r="S213" s="249">
        <f t="shared" si="68"/>
        <v>0</v>
      </c>
      <c r="T213" s="242" t="str">
        <f t="shared" si="69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70"/>
        <v>https://d0f6bd738d7f1b3e5a7ca70fe4ff75f0.us-east-1.aws.found.io/app/kibana#/discover/Steve-Slow-Train-Analysis-(2080s-and-2083s)?_g=(refreshInterval:(display:Off,pause:!f,section:0,value:0),time:(from:'2017-12-09T15:44:15-0700',mode:absolute,to:'2017-12-09T17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3" s="247" t="str">
        <f>IF(AA213&lt;VLOOKUP(AG213,Variables!$AC$3:$AD$8,2,FALSE),"Y","N")</f>
        <v>Y</v>
      </c>
      <c r="X213" s="247">
        <f t="shared" si="71"/>
        <v>0</v>
      </c>
      <c r="Y213" s="247">
        <f t="shared" si="72"/>
        <v>0.14729999999999999</v>
      </c>
      <c r="Z213" s="247">
        <f t="shared" si="73"/>
        <v>0.35930000000000001</v>
      </c>
      <c r="AA213" s="247">
        <f t="shared" si="74"/>
        <v>0.21200000000000002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75"/>
        <v>51</v>
      </c>
      <c r="AE213" s="235" t="str">
        <f t="shared" si="76"/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213" s="234" t="str">
        <f t="shared" si="77"/>
        <v>"C:\Program Files (x86)\AstroGrep\AstroGrep.exe" /e /r /s /spath="%USERPROFILE%\AppData\Local\Temp\OnboardLogs" /stypes="app*4006*20171209*" /stext=" 23:.+((SYSTEM_STATE.+slice.+state.+changed )|(ment ac)|(multiple cpu faults)|(system.+state.+changed )|(\[timeout)|(PRM\|1\|D)|(kpr)|(kdp)|(train st.+moving)|(\|lc)|(penalty))"</v>
      </c>
      <c r="AG213" s="244" t="str">
        <f t="shared" si="78"/>
        <v>Shuttle/Test</v>
      </c>
      <c r="AH213" s="236" t="str">
        <f t="shared" si="79"/>
        <v>"%USERPROFILE%\Documents\GitHub\eaglep3\Utilities\RefineRTDCRunTimes.py" --tripid 51-09 --locoid 4006 --swversion DE.1.0.9.0 --startMP 204:1473 --initTime 2017-12-09T16:44:15 --startdatetime 2017-12-09T16:49:51 --delay 60 --endMP 204:3593 --enddatetime 2017-12-09T16:50:55 --enforcementcount 0 &gt;&gt;%USERPROFILE%\Documents\GitHub\eaglep3-reporting\EC\2017-12-09-refined-times.txt</v>
      </c>
      <c r="AI213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0.3593"},{"id":17,"name":"Train ID","value":"51-09"},{"id":16,"name":"Locomotive ID","value":"4006"},{"id":130,"name":"Impact","value":""},{"id":150,"name":"Time of Event (Mountain Time)","value":"16:50:55"},{"id":151,"name":"Denver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81"/>
        <v>start /low /b %USERPROFILE%\Documents\GitHub\eaglep3\Utilities\DownloadLogsFromS3.py --loco 4006 --day 2017-12-09</v>
      </c>
      <c r="AN213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83"/>
        <v>https://d0f6bd738d7f1b3e5a7ca70fe4ff75f0.us-east-1.aws.found.io/app/kibana#/discover/Steve-Slow-Train-Analysis-(2080s-and-2083s)?_g=(refreshInterval:(display:Off,pause:!f,section:0,value:0),time:(from:'2017-12-09T15:44:15-0700',mode:absolute,to:'2017-12-09T17:50:55-0700'))&amp;_a=(columns:!('Message%20ID',Summary),filters:!(),index:'emp_*',interval:auto,query:(query_string:(analyze_wildcard:!t,query:'%22rtdc.l.rtdc.4006%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706</v>
      </c>
      <c r="B214" s="225">
        <v>4044</v>
      </c>
      <c r="C214" s="227" t="s">
        <v>192</v>
      </c>
      <c r="D214" s="227" t="s">
        <v>1048</v>
      </c>
      <c r="E214" s="226">
        <v>43078.724965277775</v>
      </c>
      <c r="F214" s="226">
        <v>43078.731724537036</v>
      </c>
      <c r="G214" s="225">
        <v>314</v>
      </c>
      <c r="H214" s="227" t="s">
        <v>1049</v>
      </c>
      <c r="I214" s="226">
        <v>43078.738495370373</v>
      </c>
      <c r="J214" s="225">
        <v>0</v>
      </c>
      <c r="K214" s="237" t="str">
        <f t="shared" si="66"/>
        <v>4043/4044</v>
      </c>
      <c r="L214" s="245" t="str">
        <f>VLOOKUP(A214,'Trips&amp;Operators'!$C$1:$G$99911,5,FALSE)</f>
        <v>DE LA ROSA ALEX</v>
      </c>
      <c r="M214" s="224">
        <f t="shared" si="67"/>
        <v>6.7708333372138441E-3</v>
      </c>
      <c r="N214" s="225">
        <f t="shared" si="65"/>
        <v>9.7500000055879354</v>
      </c>
      <c r="O214" s="225"/>
      <c r="P214" s="225"/>
      <c r="Q214" s="228"/>
      <c r="R214" s="242"/>
      <c r="S214" s="249">
        <f t="shared" si="68"/>
        <v>1</v>
      </c>
      <c r="T214" s="242" t="str">
        <f t="shared" si="69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70"/>
        <v>https://d0f6bd738d7f1b3e5a7ca70fe4ff75f0.us-east-1.aws.found.io/app/kibana#/discover/Steve-Slow-Train-Analysis-(2080s-and-2083s)?_g=(refreshInterval:(display:Off,pause:!f,section:0,value:0),time:(from:'2017-12-09T16:23:57-0700',mode:absolute,to:'2017-12-09T18:43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247" t="str">
        <f>IF(AA214&lt;VLOOKUP(AG214,Variables!$AC$3:$AD$8,2,FALSE),"Y","N")</f>
        <v>Y</v>
      </c>
      <c r="X214" s="247">
        <f t="shared" si="71"/>
        <v>0</v>
      </c>
      <c r="Y214" s="247">
        <f t="shared" si="72"/>
        <v>0.1143</v>
      </c>
      <c r="Z214" s="247">
        <f t="shared" si="73"/>
        <v>2.3308</v>
      </c>
      <c r="AA214" s="247">
        <f t="shared" si="74"/>
        <v>2.2164999999999999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75"/>
        <v>51</v>
      </c>
      <c r="AE214" s="235" t="str">
        <f t="shared" si="76"/>
        <v>aws s3 cp s3://rtdc.mdm.uploadarchive.raw/RTDC4044/ "%USERPROFILE%\AppData\Local\Temp\OnboardLogs"\RTDC4044\2017-12-09 --exclude "*" --recursive --include "*20171209*" &amp; "%USERPROFILE%\Documents\GitHub\mrs-test-scripts\Headless Mode &amp; Sideloading\WalkAndUnGZ.bat" "%USERPROFILE%\AppData\Local\Temp\OnboardLogs"\RTDC4044\2017-12-09 &amp; aws s3 cp s3://rtdc.mdm.uploadarchive.raw/RTDC4044/ "%USERPROFILE%\AppData\Local\Temp\OnboardLogs"\RTDC4044\2017-12-10 --exclude "*" --recursive --include "*20171210*" &amp; "%USERPROFILE%\Documents\GitHub\mrs-test-scripts\Headless Mode &amp; Sideloading\WalkAndUnGZ.bat" "%USERPROFILE%\AppData\Local\Temp\OnboardLogs"\RTDC4044\2017-12-10</v>
      </c>
      <c r="AF214" s="234" t="str">
        <f t="shared" si="77"/>
        <v>"C:\Program Files (x86)\AstroGrep\AstroGrep.exe" /e /r /s /spath="%USERPROFILE%\AppData\Local\Temp\OnboardLogs" /stypes="app*4044*20171210*" /stext=" 00:.+((SYSTEM_STATE.+slice.+state.+changed )|(ment ac)|(multiple cpu faults)|(system.+state.+changed )|(\[timeout)|(PRM\|1\|D)|(kpr)|(kdp)|(train st.+moving)|(\|lc)|(penalty))"</v>
      </c>
      <c r="AG214" s="244" t="str">
        <f t="shared" si="78"/>
        <v>Shuttle/Test</v>
      </c>
      <c r="AH214" s="236" t="str">
        <f t="shared" si="79"/>
        <v>"%USERPROFILE%\Documents\GitHub\eaglep3\Utilities\RefineRTDCRunTimes.py" --tripid 51-09 --locoid 4044 --swversion DE.1.0.9.0 --startMP 204:1143 --initTime 2017-12-09T17:23:57 --startdatetime 2017-12-09T17:33:41 --delay 314 --endMP 300:23308 --enddatetime 2017-12-09T17:43:26 --enforcementcount 0 &gt;&gt;%USERPROFILE%\Documents\GitHub\eaglep3-reporting\EC\2017-12-09-refined-times.txt</v>
      </c>
      <c r="AI214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2.3308"},{"id":17,"name":"Train ID","value":"51-09"},{"id":16,"name":"Locomotive ID","value":"4044"},{"id":130,"name":"Impact","value":""},{"id":150,"name":"Time of Event (Mountain Time)","value":"17:43:26"},{"id":151,"name":"Denver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81"/>
        <v>start /low /b %USERPROFILE%\Documents\GitHub\eaglep3\Utilities\DownloadLogsFromS3.py --loco 4044 --day 2017-12-09</v>
      </c>
      <c r="AN214" s="241" t="str">
        <f t="shared" si="8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00:43:26"},{"id":29,"name":"Sharepoint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83"/>
        <v>https://d0f6bd738d7f1b3e5a7ca70fe4ff75f0.us-east-1.aws.found.io/app/kibana#/discover/Steve-Slow-Train-Analysis-(2080s-and-2083s)?_g=(refreshInterval:(display:Off,pause:!f,section:0,value:0),time:(from:'2017-12-09T16:23:57-0700',mode:absolute,to:'2017-12-09T18:43:26-0700'))&amp;_a=(columns:!('Message%20ID',Summary),filters:!(),index:'emp_*',interval:auto,query:(query_string:(analyze_wildcard:!t,query:'%22rtdc.l.rtdc.4044%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707</v>
      </c>
      <c r="B215" s="225">
        <v>4003</v>
      </c>
      <c r="C215" s="227" t="s">
        <v>192</v>
      </c>
      <c r="D215" s="227" t="s">
        <v>1050</v>
      </c>
      <c r="E215" s="226">
        <v>43078.138657407406</v>
      </c>
      <c r="F215" s="226">
        <v>43078.140208333331</v>
      </c>
      <c r="G215" s="225">
        <v>64</v>
      </c>
      <c r="H215" s="227" t="s">
        <v>1051</v>
      </c>
      <c r="I215" s="226">
        <v>43078.141377314816</v>
      </c>
      <c r="J215" s="225">
        <v>0</v>
      </c>
      <c r="K215" s="237" t="str">
        <f t="shared" si="66"/>
        <v>4003/4004</v>
      </c>
      <c r="L215" s="245" t="str">
        <f>VLOOKUP(A215,'Trips&amp;Operators'!$C$1:$G$99911,5,FALSE)</f>
        <v>DE LA ROSA ALEX</v>
      </c>
      <c r="M215" s="224">
        <f t="shared" si="67"/>
        <v>1.1689814855344594E-3</v>
      </c>
      <c r="N215" s="225">
        <f t="shared" si="65"/>
        <v>1.6833333391696215</v>
      </c>
      <c r="O215" s="225"/>
      <c r="P215" s="225"/>
      <c r="Q215" s="228"/>
      <c r="R215" s="242"/>
      <c r="S215" s="249">
        <f t="shared" si="68"/>
        <v>0</v>
      </c>
      <c r="T215" s="242" t="str">
        <f t="shared" si="69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70"/>
        <v>https://d0f6bd738d7f1b3e5a7ca70fe4ff75f0.us-east-1.aws.found.io/app/kibana#/discover/Steve-Slow-Train-Analysis-(2080s-and-2083s)?_g=(refreshInterval:(display:Off,pause:!f,section:0,value:0),time:(from:'2017-12-09T02:19:40-0700',mode:absolute,to:'2017-12-09T04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5" s="247" t="str">
        <f>IF(AA215&lt;VLOOKUP(AG215,Variables!$AC$3:$AD$8,2,FALSE),"Y","N")</f>
        <v>Y</v>
      </c>
      <c r="X215" s="247">
        <f t="shared" si="71"/>
        <v>1</v>
      </c>
      <c r="Y215" s="247">
        <f t="shared" si="72"/>
        <v>0.3231</v>
      </c>
      <c r="Z215" s="247">
        <f t="shared" si="73"/>
        <v>0.1167</v>
      </c>
      <c r="AA215" s="247">
        <f t="shared" si="74"/>
        <v>0.2064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75"/>
        <v>52</v>
      </c>
      <c r="AE215" s="235" t="str">
        <f t="shared" si="7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215" s="234" t="str">
        <f t="shared" si="77"/>
        <v>"C:\Program Files (x86)\AstroGrep\AstroGrep.exe" /e /r /s /spath="%USERPROFILE%\AppData\Local\Temp\OnboardLogs" /stypes="app*4003*20171209*" /stext=" 10:.+((SYSTEM_STATE.+slice.+state.+changed )|(ment ac)|(multiple cpu faults)|(system.+state.+changed )|(\[timeout)|(PRM\|1\|D)|(kpr)|(kdp)|(train st.+moving)|(\|lc)|(penalty))"</v>
      </c>
      <c r="AG215" s="244" t="str">
        <f t="shared" si="78"/>
        <v>Shuttle/Test</v>
      </c>
      <c r="AH215" s="236" t="str">
        <f t="shared" si="79"/>
        <v>"%USERPROFILE%\Documents\GitHub\eaglep3\Utilities\RefineRTDCRunTimes.py" --tripid 52-09 --locoid 4003 --swversion DE.1.0.9.0 --startMP 204:3231 --initTime 2017-12-09T03:19:40 --startdatetime 2017-12-09T03:21:54 --delay 64 --endMP 204:1167 --enddatetime 2017-12-09T03:23:35 --enforcementcount 0 &gt;&gt;%USERPROFILE%\Documents\GitHub\eaglep3-reporting\EC\2017-12-09-refined-times.txt</v>
      </c>
      <c r="AI215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0.1167"},{"id":17,"name":"Train ID","value":"52-09"},{"id":16,"name":"Locomotive ID","value":"4003"},{"id":130,"name":"Impact","value":""},{"id":150,"name":"Time of Event (Mountain Time)","value":"03:23:35"},{"id":151,"name":"Denver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81"/>
        <v>start /low /b %USERPROFILE%\Documents\GitHub\eaglep3\Utilities\DownloadLogsFromS3.py --loco 4003 --day 2017-12-09</v>
      </c>
      <c r="AN215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83"/>
        <v>https://d0f6bd738d7f1b3e5a7ca70fe4ff75f0.us-east-1.aws.found.io/app/kibana#/discover/Steve-Slow-Train-Analysis-(2080s-and-2083s)?_g=(refreshInterval:(display:Off,pause:!f,section:0,value:0),time:(from:'2017-12-09T02:19:40-0700',mode:absolute,to:'2017-12-09T04:23:35-0700'))&amp;_a=(columns:!('Message%20ID',Summary),filters:!(),index:'emp_*',interval:auto,query:(query_string:(analyze_wildcard:!t,query:'%22rtdc.l.rtdc.4003%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707</v>
      </c>
      <c r="B216" s="225">
        <v>4003</v>
      </c>
      <c r="C216" s="227" t="s">
        <v>192</v>
      </c>
      <c r="D216" s="227" t="s">
        <v>1052</v>
      </c>
      <c r="E216" s="226">
        <v>43078.410543981481</v>
      </c>
      <c r="F216" s="226">
        <v>43078.411886574075</v>
      </c>
      <c r="G216" s="225">
        <v>56</v>
      </c>
      <c r="H216" s="227" t="s">
        <v>1053</v>
      </c>
      <c r="I216" s="226">
        <v>43078.413472222222</v>
      </c>
      <c r="J216" s="225">
        <v>0</v>
      </c>
      <c r="K216" s="237" t="str">
        <f t="shared" si="66"/>
        <v>4003/4004</v>
      </c>
      <c r="L216" s="245" t="str">
        <f>VLOOKUP(A216,'Trips&amp;Operators'!$C$1:$G$99911,5,FALSE)</f>
        <v>DE LA ROSA ALEX</v>
      </c>
      <c r="M216" s="224">
        <f t="shared" si="67"/>
        <v>1.5856481477385387E-3</v>
      </c>
      <c r="N216" s="225">
        <f t="shared" si="65"/>
        <v>2.2833333327434957</v>
      </c>
      <c r="O216" s="225"/>
      <c r="P216" s="225"/>
      <c r="Q216" s="228"/>
      <c r="R216" s="242"/>
      <c r="S216" s="249">
        <f t="shared" si="68"/>
        <v>0</v>
      </c>
      <c r="T216" s="242" t="str">
        <f t="shared" si="69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 t="shared" si="70"/>
        <v>https://d0f6bd738d7f1b3e5a7ca70fe4ff75f0.us-east-1.aws.found.io/app/kibana#/discover/Steve-Slow-Train-Analysis-(2080s-and-2083s)?_g=(refreshInterval:(display:Off,pause:!f,section:0,value:0),time:(from:'2017-12-09T08:51:11-0700',mode:absolute,to:'2017-12-09T10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247" t="str">
        <f>IF(AA216&lt;VLOOKUP(AG216,Variables!$AC$3:$AD$8,2,FALSE),"Y","N")</f>
        <v>Y</v>
      </c>
      <c r="X216" s="247">
        <f t="shared" si="71"/>
        <v>0</v>
      </c>
      <c r="Y216" s="247">
        <f t="shared" si="72"/>
        <v>0.31969999999999998</v>
      </c>
      <c r="Z216" s="247">
        <f t="shared" si="73"/>
        <v>1.34E-2</v>
      </c>
      <c r="AA216" s="247">
        <f t="shared" si="74"/>
        <v>0.30629999999999996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75"/>
        <v>52</v>
      </c>
      <c r="AE216" s="235" t="str">
        <f t="shared" si="7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216" s="234" t="str">
        <f t="shared" si="77"/>
        <v>"C:\Program Files (x86)\AstroGrep\AstroGrep.exe" /e /r /s /spath="%USERPROFILE%\AppData\Local\Temp\OnboardLogs" /stypes="app*4003*20171209*" /stext=" 16:.+((SYSTEM_STATE.+slice.+state.+changed )|(ment ac)|(multiple cpu faults)|(system.+state.+changed )|(\[timeout)|(PRM\|1\|D)|(kpr)|(kdp)|(train st.+moving)|(\|lc)|(penalty))"</v>
      </c>
      <c r="AG216" s="244" t="str">
        <f t="shared" si="78"/>
        <v>Shuttle/Test</v>
      </c>
      <c r="AH216" s="236" t="str">
        <f t="shared" si="79"/>
        <v>"%USERPROFILE%\Documents\GitHub\eaglep3\Utilities\RefineRTDCRunTimes.py" --tripid 52-09 --locoid 4003 --swversion DE.1.0.9.0 --startMP 204:3197 --initTime 2017-12-09T09:51:11 --startdatetime 2017-12-09T09:53:07 --delay 56 --endMP 204:134 --enddatetime 2017-12-09T09:55:24 --enforcementcount 0 &gt;&gt;%USERPROFILE%\Documents\GitHub\eaglep3-reporting\EC\2017-12-09-refined-times.txt</v>
      </c>
      <c r="AI216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0.0134"},{"id":17,"name":"Train ID","value":"52-09"},{"id":16,"name":"Locomotive ID","value":"4003"},{"id":130,"name":"Impact","value":""},{"id":150,"name":"Time of Event (Mountain Time)","value":"09:55:24"},{"id":151,"name":"Denver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81"/>
        <v>start /low /b %USERPROFILE%\Documents\GitHub\eaglep3\Utilities\DownloadLogsFromS3.py --loco 4003 --day 2017-12-09</v>
      </c>
      <c r="AN216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83"/>
        <v>https://d0f6bd738d7f1b3e5a7ca70fe4ff75f0.us-east-1.aws.found.io/app/kibana#/discover/Steve-Slow-Train-Analysis-(2080s-and-2083s)?_g=(refreshInterval:(display:Off,pause:!f,section:0,value:0),time:(from:'2017-12-09T08:51:11-0700',mode:absolute,to:'2017-12-09T10:55:24-0700'))&amp;_a=(columns:!('Message%20ID',Summary),filters:!(),index:'emp_*',interval:auto,query:(query_string:(analyze_wildcard:!t,query:'%22rtdc.l.rtdc.4003%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789</v>
      </c>
      <c r="B217" s="225">
        <v>4022</v>
      </c>
      <c r="C217" s="227" t="s">
        <v>192</v>
      </c>
      <c r="D217" s="227" t="s">
        <v>624</v>
      </c>
      <c r="E217" s="226">
        <v>43078.535115740742</v>
      </c>
      <c r="F217" s="226">
        <v>43078.538449074076</v>
      </c>
      <c r="G217" s="225">
        <v>64</v>
      </c>
      <c r="H217" s="227" t="s">
        <v>675</v>
      </c>
      <c r="I217" s="226">
        <v>43078.544861111113</v>
      </c>
      <c r="J217" s="225">
        <v>0</v>
      </c>
      <c r="K217" s="237" t="str">
        <f t="shared" si="66"/>
        <v>4021/4022</v>
      </c>
      <c r="L217" s="245" t="str">
        <f>VLOOKUP(A217,'Trips&amp;Operators'!$C$1:$G$99911,5,FALSE)</f>
        <v>MOSES BRADLEY</v>
      </c>
      <c r="M217" s="224">
        <f t="shared" si="67"/>
        <v>6.4120370370801538E-3</v>
      </c>
      <c r="N217" s="225">
        <f t="shared" si="65"/>
        <v>9.2333333333954215</v>
      </c>
      <c r="O217" s="225"/>
      <c r="P217" s="225"/>
      <c r="Q217" s="228"/>
      <c r="R217" s="242"/>
      <c r="S217" s="249">
        <f t="shared" si="68"/>
        <v>1</v>
      </c>
      <c r="T217" s="242" t="str">
        <f t="shared" si="69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70"/>
        <v>https://d0f6bd738d7f1b3e5a7ca70fe4ff75f0.us-east-1.aws.found.io/app/kibana#/discover/Steve-Slow-Train-Analysis-(2080s-and-2083s)?_g=(refreshInterval:(display:Off,pause:!f,section:0,value:0),time:(from:'2017-12-09T11:50:34-0700',mode:absolute,to:'2017-12-09T14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247" t="str">
        <f>IF(AA217&lt;VLOOKUP(AG217,Variables!$AC$3:$AD$8,2,FALSE),"Y","N")</f>
        <v>Y</v>
      </c>
      <c r="X217" s="247">
        <f t="shared" si="71"/>
        <v>1</v>
      </c>
      <c r="Y217" s="247">
        <f t="shared" si="72"/>
        <v>4.9799999999999997E-2</v>
      </c>
      <c r="Z217" s="247">
        <f t="shared" si="73"/>
        <v>2.3300999999999998</v>
      </c>
      <c r="AA217" s="247">
        <f t="shared" si="74"/>
        <v>2.2803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75"/>
        <v>53</v>
      </c>
      <c r="AE217" s="235" t="str">
        <f t="shared" si="76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217" s="234" t="str">
        <f t="shared" si="77"/>
        <v>"C:\Program Files (x86)\AstroGrep\AstroGrep.exe" /e /r /s /spath="%USERPROFILE%\AppData\Local\Temp\OnboardLogs" /stypes="app*4022*20171209*" /stext=" 20:.+((SYSTEM_STATE.+slice.+state.+changed )|(ment ac)|(multiple cpu faults)|(system.+state.+changed )|(\[timeout)|(PRM\|1\|D)|(kpr)|(kdp)|(train st.+moving)|(\|lc)|(penalty))"</v>
      </c>
      <c r="AG217" s="244" t="str">
        <f t="shared" si="78"/>
        <v>Shuttle/Test</v>
      </c>
      <c r="AH217" s="236" t="str">
        <f t="shared" si="79"/>
        <v>"%USERPROFILE%\Documents\GitHub\eaglep3\Utilities\RefineRTDCRunTimes.py" --tripid 53-09 --locoid 4022 --swversion DE.1.0.9.0 --startMP 204:498 --initTime 2017-12-09T12:50:34 --startdatetime 2017-12-09T12:55:22 --delay 64 --endMP 300:23301 --enddatetime 2017-12-09T13:04:36 --enforcementcount 0 &gt;&gt;%USERPROFILE%\Documents\GitHub\eaglep3-reporting\EC\2017-12-09-refined-times.txt</v>
      </c>
      <c r="AI217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2.3301"},{"id":17,"name":"Train ID","value":"53-09"},{"id":16,"name":"Locomotive ID","value":"4022"},{"id":130,"name":"Impact","value":""},{"id":150,"name":"Time of Event (Mountain Time)","value":"13:04:36"},{"id":151,"name":"Denver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81"/>
        <v>start /low /b %USERPROFILE%\Documents\GitHub\eaglep3\Utilities\DownloadLogsFromS3.py --loco 4022 --day 2017-12-09</v>
      </c>
      <c r="AN217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83"/>
        <v>https://d0f6bd738d7f1b3e5a7ca70fe4ff75f0.us-east-1.aws.found.io/app/kibana#/discover/Steve-Slow-Train-Analysis-(2080s-and-2083s)?_g=(refreshInterval:(display:Off,pause:!f,section:0,value:0),time:(from:'2017-12-09T11:50:34-0700',mode:absolute,to:'2017-12-09T14:04:36-0700'))&amp;_a=(columns:!('Message%20ID',Summary),filters:!(),index:'emp_*',interval:auto,query:(query_string:(analyze_wildcard:!t,query:'%22rtdc.l.rtdc.4022%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794</v>
      </c>
      <c r="B218" s="225">
        <v>4005</v>
      </c>
      <c r="C218" s="227" t="s">
        <v>192</v>
      </c>
      <c r="D218" s="227" t="s">
        <v>1054</v>
      </c>
      <c r="E218" s="226">
        <v>43078.556215277778</v>
      </c>
      <c r="F218" s="226">
        <v>43078.562002314815</v>
      </c>
      <c r="G218" s="225">
        <v>95</v>
      </c>
      <c r="H218" s="227" t="s">
        <v>1051</v>
      </c>
      <c r="I218" s="226">
        <v>43078.567187499997</v>
      </c>
      <c r="J218" s="225">
        <v>0</v>
      </c>
      <c r="K218" s="237" t="str">
        <f t="shared" si="66"/>
        <v>4005/4006</v>
      </c>
      <c r="L218" s="245" t="str">
        <f>VLOOKUP(A218,'Trips&amp;Operators'!$C$1:$G$99911,5,FALSE)</f>
        <v>MOSES BRADLEY</v>
      </c>
      <c r="M218" s="224">
        <f t="shared" si="67"/>
        <v>5.1851851821993478E-3</v>
      </c>
      <c r="N218" s="225">
        <f t="shared" si="65"/>
        <v>7.4666666623670608</v>
      </c>
      <c r="O218" s="225"/>
      <c r="P218" s="225"/>
      <c r="Q218" s="228"/>
      <c r="R218" s="242"/>
      <c r="S218" s="249">
        <f t="shared" si="68"/>
        <v>1</v>
      </c>
      <c r="T218" s="242" t="str">
        <f t="shared" si="69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70"/>
        <v>https://d0f6bd738d7f1b3e5a7ca70fe4ff75f0.us-east-1.aws.found.io/app/kibana#/discover/Steve-Slow-Train-Analysis-(2080s-and-2083s)?_g=(refreshInterval:(display:Off,pause:!f,section:0,value:0),time:(from:'2017-12-09T12:20:57-0700',mode:absolute,to:'2017-12-09T14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247" t="str">
        <f>IF(AA218&lt;VLOOKUP(AG218,Variables!$AC$3:$AD$8,2,FALSE),"Y","N")</f>
        <v>Y</v>
      </c>
      <c r="X218" s="247">
        <f t="shared" si="71"/>
        <v>15</v>
      </c>
      <c r="Y218" s="247">
        <f t="shared" si="72"/>
        <v>2.2252000000000001</v>
      </c>
      <c r="Z218" s="247">
        <f t="shared" si="73"/>
        <v>0.1167</v>
      </c>
      <c r="AA218" s="247">
        <f t="shared" si="74"/>
        <v>2.1085000000000003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75"/>
        <v>68</v>
      </c>
      <c r="AE218" s="235" t="str">
        <f t="shared" si="7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218" s="234" t="str">
        <f t="shared" si="77"/>
        <v>"C:\Program Files (x86)\AstroGrep\AstroGrep.exe" /e /r /s /spath="%USERPROFILE%\AppData\Local\Temp\OnboardLogs" /stypes="app*4005*20171209*" /stext=" 20:.+((SYSTEM_STATE.+slice.+state.+changed )|(ment ac)|(multiple cpu faults)|(system.+state.+changed )|(\[timeout)|(PRM\|1\|D)|(kpr)|(kdp)|(train st.+moving)|(\|lc)|(penalty))"</v>
      </c>
      <c r="AG218" s="244" t="str">
        <f t="shared" si="78"/>
        <v>Shuttle/Test</v>
      </c>
      <c r="AH218" s="236" t="str">
        <f t="shared" si="79"/>
        <v>"%USERPROFILE%\Documents\GitHub\eaglep3\Utilities\RefineRTDCRunTimes.py" --tripid 68-09 --locoid 4005 --swversion DE.1.0.9.0 --startMP 300:22252 --initTime 2017-12-09T13:20:57 --startdatetime 2017-12-09T13:29:17 --delay 95 --endMP 204:1167 --enddatetime 2017-12-09T13:36:45 --enforcementcount 0 &gt;&gt;%USERPROFILE%\Documents\GitHub\eaglep3-reporting\EC\2017-12-09-refined-times.txt</v>
      </c>
      <c r="AI218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0.1167"},{"id":17,"name":"Train ID","value":"68-09"},{"id":16,"name":"Locomotive ID","value":"4005"},{"id":130,"name":"Impact","value":""},{"id":150,"name":"Time of Event (Mountain Time)","value":"13:36:45"},{"id":151,"name":"Denver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81"/>
        <v>start /low /b %USERPROFILE%\Documents\GitHub\eaglep3\Utilities\DownloadLogsFromS3.py --loco 4005 --day 2017-12-09</v>
      </c>
      <c r="AN218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83"/>
        <v>https://d0f6bd738d7f1b3e5a7ca70fe4ff75f0.us-east-1.aws.found.io/app/kibana#/discover/Steve-Slow-Train-Analysis-(2080s-and-2083s)?_g=(refreshInterval:(display:Off,pause:!f,section:0,value:0),time:(from:'2017-12-09T12:20:57-0700',mode:absolute,to:'2017-12-09T14:36:45-0700'))&amp;_a=(columns:!('Message%20ID',Summary),filters:!(),index:'emp_*',interval:auto,query:(query_string:(analyze_wildcard:!t,query:'%22rtdc.l.rtdc.4005%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840</v>
      </c>
      <c r="B219" s="225">
        <v>4065</v>
      </c>
      <c r="C219" s="227" t="s">
        <v>192</v>
      </c>
      <c r="D219" s="227" t="s">
        <v>1055</v>
      </c>
      <c r="E219" s="226">
        <v>43078.744490740741</v>
      </c>
      <c r="F219" s="226">
        <v>43078.747013888889</v>
      </c>
      <c r="G219" s="225">
        <v>83</v>
      </c>
      <c r="H219" s="227" t="s">
        <v>1056</v>
      </c>
      <c r="I219" s="226">
        <v>43078.757048611114</v>
      </c>
      <c r="J219" s="225">
        <v>0</v>
      </c>
      <c r="K219" s="237" t="str">
        <f t="shared" si="66"/>
        <v>4065/4066</v>
      </c>
      <c r="L219" s="245" t="str">
        <f>VLOOKUP(A219,'Trips&amp;Operators'!$C$1:$G$99911,5,FALSE)</f>
        <v>WEST BRYAN</v>
      </c>
      <c r="M219" s="224">
        <f t="shared" si="67"/>
        <v>1.0034722225100268E-2</v>
      </c>
      <c r="N219" s="225">
        <f t="shared" si="65"/>
        <v>14.450000004144385</v>
      </c>
      <c r="O219" s="225"/>
      <c r="P219" s="225"/>
      <c r="Q219" s="228"/>
      <c r="R219" s="242"/>
      <c r="S219" s="249">
        <f t="shared" si="68"/>
        <v>1</v>
      </c>
      <c r="T219" s="242" t="str">
        <f t="shared" si="69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70"/>
        <v>https://d0f6bd738d7f1b3e5a7ca70fe4ff75f0.us-east-1.aws.found.io/app/kibana#/discover/Steve-Slow-Train-Analysis-(2080s-and-2083s)?_g=(refreshInterval:(display:Off,pause:!f,section:0,value:0),time:(from:'2017-12-09T16:52:04-0700',mode:absolute,to:'2017-12-09T19:10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9" s="247" t="str">
        <f>IF(AA219&lt;VLOOKUP(AG219,Variables!$AC$3:$AD$8,2,FALSE),"Y","N")</f>
        <v>Y</v>
      </c>
      <c r="X219" s="247">
        <f t="shared" si="71"/>
        <v>12</v>
      </c>
      <c r="Y219" s="247">
        <f t="shared" si="72"/>
        <v>2.3588</v>
      </c>
      <c r="Z219" s="247">
        <f t="shared" si="73"/>
        <v>0.14180000000000001</v>
      </c>
      <c r="AA219" s="247">
        <f t="shared" si="74"/>
        <v>2.2170000000000001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75"/>
        <v>80</v>
      </c>
      <c r="AE219" s="235" t="str">
        <f t="shared" si="76"/>
        <v>aws s3 cp s3://rtdc.mdm.uploadarchive.raw/RTDC4065/ "%USERPROFILE%\AppData\Local\Temp\OnboardLogs"\RTDC4065\2017-12-09 --exclude "*" --recursive --include "*20171209*" &amp; "%USERPROFILE%\Documents\GitHub\mrs-test-scripts\Headless Mode &amp; Sideloading\WalkAndUnGZ.bat" "%USERPROFILE%\AppData\Local\Temp\OnboardLogs"\RTDC4065\2017-12-09 &amp; aws s3 cp s3://rtdc.mdm.uploadarchive.raw/RTDC4065/ "%USERPROFILE%\AppData\Local\Temp\OnboardLogs"\RTDC4065\2017-12-10 --exclude "*" --recursive --include "*20171210*" &amp; "%USERPROFILE%\Documents\GitHub\mrs-test-scripts\Headless Mode &amp; Sideloading\WalkAndUnGZ.bat" "%USERPROFILE%\AppData\Local\Temp\OnboardLogs"\RTDC4065\2017-12-10</v>
      </c>
      <c r="AF219" s="234" t="str">
        <f t="shared" si="77"/>
        <v>"C:\Program Files (x86)\AstroGrep\AstroGrep.exe" /e /r /s /spath="%USERPROFILE%\AppData\Local\Temp\OnboardLogs" /stypes="app*4065*20171210*" /stext=" 01:.+((SYSTEM_STATE.+slice.+state.+changed )|(ment ac)|(multiple cpu faults)|(system.+state.+changed )|(\[timeout)|(PRM\|1\|D)|(kpr)|(kdp)|(train st.+moving)|(\|lc)|(penalty))"</v>
      </c>
      <c r="AG219" s="244" t="str">
        <f t="shared" si="78"/>
        <v>Shuttle/Test</v>
      </c>
      <c r="AH219" s="236" t="str">
        <f t="shared" si="79"/>
        <v>"%USERPROFILE%\Documents\GitHub\eaglep3\Utilities\RefineRTDCRunTimes.py" --tripid 80-09 --locoid 4065 --swversion DE.1.0.9.0 --startMP 300:23588 --initTime 2017-12-09T17:52:04 --startdatetime 2017-12-09T17:55:42 --delay 83 --endMP 204:1418 --enddatetime 2017-12-09T18:10:09 --enforcementcount 0 &gt;&gt;%USERPROFILE%\Documents\GitHub\eaglep3-reporting\EC\2017-12-09-refined-times.txt</v>
      </c>
      <c r="AI219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0.1418"},{"id":17,"name":"Train ID","value":"80-09"},{"id":16,"name":"Locomotive ID","value":"4065"},{"id":130,"name":"Impact","value":""},{"id":150,"name":"Time of Event (Mountain Time)","value":"18:10:09"},{"id":151,"name":"Denver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81"/>
        <v>start /low /b %USERPROFILE%\Documents\GitHub\eaglep3\Utilities\DownloadLogsFromS3.py --loco 4065 --day 2017-12-09</v>
      </c>
      <c r="AN219" s="241" t="str">
        <f t="shared" si="8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83"/>
        <v>https://d0f6bd738d7f1b3e5a7ca70fe4ff75f0.us-east-1.aws.found.io/app/kibana#/discover/Steve-Slow-Train-Analysis-(2080s-and-2083s)?_g=(refreshInterval:(display:Off,pause:!f,section:0,value:0),time:(from:'2017-12-09T16:52:04-0700',mode:absolute,to:'2017-12-09T19:10:09-0700'))&amp;_a=(columns:!('Message%20ID',Summary),filters:!(),index:'emp_*',interval:auto,query:(query_string:(analyze_wildcard:!t,query:'%22rtdc.l.rtdc.4065%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</sheetData>
  <autoFilter ref="A12:AG503"/>
  <sortState ref="A13:AN408">
    <sortCondition ref="AG13:AG408"/>
    <sortCondition ref="AD13:AD408"/>
  </sortState>
  <mergeCells count="1">
    <mergeCell ref="A11:P11"/>
  </mergeCells>
  <conditionalFormatting sqref="W11:W12 W509:X1048576 W13:X219">
    <cfRule type="cellIs" dxfId="10" priority="465" operator="equal">
      <formula>"Y"</formula>
    </cfRule>
  </conditionalFormatting>
  <conditionalFormatting sqref="X509:X1048576 X13:X219">
    <cfRule type="cellIs" dxfId="9" priority="448" operator="greaterThan">
      <formula>1</formula>
    </cfRule>
  </conditionalFormatting>
  <conditionalFormatting sqref="X509:X1048576 X12:X219">
    <cfRule type="cellIs" dxfId="8" priority="445" operator="equal">
      <formula>0</formula>
    </cfRule>
  </conditionalFormatting>
  <conditionalFormatting sqref="A13:S219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2"/>
  <sheetViews>
    <sheetView tabSelected="1" topLeftCell="A2" zoomScaleNormal="100" workbookViewId="0">
      <selection activeCell="P15" sqref="P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COUNTIF($O$7:$O$176,"=Y")</f>
        <v>3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COUNTA($O$7:$O$176)-O2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- 2017-12-09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43078.590983796297</v>
      </c>
      <c r="B7" s="30" t="s">
        <v>390</v>
      </c>
      <c r="C7" s="30" t="s">
        <v>693</v>
      </c>
      <c r="D7" s="30" t="s">
        <v>49</v>
      </c>
      <c r="E7" s="30" t="s">
        <v>183</v>
      </c>
      <c r="F7" s="42">
        <v>0</v>
      </c>
      <c r="G7" s="42">
        <v>245</v>
      </c>
      <c r="H7" s="42">
        <v>31181</v>
      </c>
      <c r="I7" s="42">
        <v>30815</v>
      </c>
      <c r="J7" s="30" t="s">
        <v>184</v>
      </c>
      <c r="K7" s="42">
        <v>30970</v>
      </c>
      <c r="L7" s="131" t="s">
        <v>51</v>
      </c>
      <c r="M7" s="132">
        <f t="shared" ref="M7:M22" si="0">CONVERT((I7-K7)/10000,"mi","ft")*IF(L7="Increasing Mileposts (1)",-1,1)</f>
        <v>-81.84</v>
      </c>
      <c r="N7" s="133" t="str">
        <f>VLOOKUP(C7,'Trips&amp;Operators'!$C$1:$G$99911,5,FALSE)</f>
        <v>HOLCOMB KAMDEN</v>
      </c>
      <c r="O7" s="175" t="s">
        <v>178</v>
      </c>
      <c r="P7" s="239" t="s">
        <v>699</v>
      </c>
      <c r="Q7" s="30"/>
      <c r="R7" s="81" t="str">
        <f>VLOOKUP(C7,'Train Runs'!$A$13:$AE$10162,31,0)</f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S7" s="84" t="str">
        <f>VLOOKUP(C7,'Train Runs'!$A$13:$AE$10162,22,0)</f>
        <v>https://d0f6bd738d7f1b3e5a7ca70fe4ff75f0.us-east-1.aws.found.io/app/kibana#/discover/Steve-Slow-Train-Analysis-(2080s-and-2083s)?_g=(refreshInterval:(display:Off,pause:!f,section:0,value:0),time:(from:'2017-12-09T12:37:13-0700',mode:absolute,to:'2017-12-09T15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7" s="86" t="str">
        <f t="shared" ref="T7:T2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/stypes="*4059*201712092*" /stext=" 21:.+((SYSTEM_STATE.+slice.+state.+changed )|(ment ac)|(multiple cpu faults)|(system.+state.+changed )|(\[timeout)|(PRM\|1\|D)|(kpr)|(kdp)|(train st.+moving)|(\|lc)|(penalty))"</v>
      </c>
      <c r="U7" s="9" t="str">
        <f t="shared" ref="U7:U22" si="2">MID(B7,13,4)</f>
        <v>4059</v>
      </c>
      <c r="V7" s="31">
        <f t="shared" ref="V7:V22" si="3">A7-utc_offset/24</f>
        <v>43078.882650462961</v>
      </c>
      <c r="W7" s="45" t="str">
        <f t="shared" ref="W7:W22" si="4">DetSubdiv(C7)</f>
        <v>EC</v>
      </c>
      <c r="X7" s="22">
        <f t="shared" ref="X7:X22" si="5">VALUE(LEFT(C7,LEN(C7)-3))</f>
        <v>174</v>
      </c>
      <c r="Y7" s="96" t="str">
        <f t="shared" ref="Y7:Y2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Arrival","project_id":79,"tracker_id":40,"status_id":1,"priority_id":2,"assigned_to_id":338,"start_date":"2017-12-09","description":"","custom_fields":[{"id":1,"name":"Subdivision","value":"EC"},{"id":4,"name":"Milepost","value":"3.097"},{"id":17,"name":"Train ID","value":"174-09"},{"id":16,"name":"Locomotive ID","value":"4059"},{"id":130,"name":"Impact","value":""},{"id":150,"name":"Time of Event (Mountain Time)","value":"14:11:01"},{"id":151,"name":"Denver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/c/Users/stu/AppData/Local/Temp/OnboardLogs/RTDC4059 --include="*4059*201712092*"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"%USERPROFILE%\AppData\Local\Temp\OnboardLogs"\RTDC4059\*4059*201712092* &gt;&gt; 2017-12-09-SliceDisagreementCheck.txt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4059 --day 2017-12-09</v>
      </c>
    </row>
    <row r="8" spans="1:32" s="1" customFormat="1" x14ac:dyDescent="0.25">
      <c r="A8" s="31">
        <v>43079.038865740738</v>
      </c>
      <c r="B8" s="30" t="s">
        <v>494</v>
      </c>
      <c r="C8" s="30" t="s">
        <v>697</v>
      </c>
      <c r="D8" s="30" t="s">
        <v>49</v>
      </c>
      <c r="E8" s="30" t="s">
        <v>183</v>
      </c>
      <c r="F8" s="42">
        <v>180</v>
      </c>
      <c r="G8" s="42">
        <v>279</v>
      </c>
      <c r="H8" s="42">
        <v>34989</v>
      </c>
      <c r="I8" s="42">
        <v>34388</v>
      </c>
      <c r="J8" s="30" t="s">
        <v>184</v>
      </c>
      <c r="K8" s="42">
        <v>33257</v>
      </c>
      <c r="L8" s="131" t="s">
        <v>51</v>
      </c>
      <c r="M8" s="132">
        <f t="shared" si="0"/>
        <v>597.16800000000001</v>
      </c>
      <c r="N8" s="133" t="str">
        <f>VLOOKUP(C8,'Trips&amp;Operators'!$C$1:$G$99911,5,FALSE)</f>
        <v>FORTUNATO FRANK</v>
      </c>
      <c r="O8" s="175" t="s">
        <v>178</v>
      </c>
      <c r="P8" s="239" t="s">
        <v>699</v>
      </c>
      <c r="Q8" s="30"/>
      <c r="R8" s="81" t="str">
        <f>VLOOKUP(C8,'Train Runs'!$A$13:$AE$10162,31,0)</f>
        <v>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 &amp; 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</v>
      </c>
      <c r="S8" s="84" t="str">
        <f>VLOOKUP(C8,'Train Runs'!$A$13:$AE$10162,22,0)</f>
        <v>https://d0f6bd738d7f1b3e5a7ca70fe4ff75f0.us-east-1.aws.found.io/app/kibana#/discover/Steve-Slow-Train-Analysis-(2080s-and-2083s)?_g=(refreshInterval:(display:Off,pause:!f,section:0,value:0),time:(from:'2017-12-09T23:07:43-0700',mode:absolute,to:'2017-12-10T02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6" t="str">
        <f t="shared" si="1"/>
        <v>"C:\Program Files (x86)\AstroGrep\AstroGrep.exe" /e /r /s /spath="%USERPROFILE%\AppData\Local\Temp\OnboardLogs" /stypes="*4013*201712100*" /stext=" 07:.+((SYSTEM_STATE.+slice.+state.+changed )|(ment ac)|(multiple cpu faults)|(system.+state.+changed )|(\[timeout)|(PRM\|1\|D)|(kpr)|(kdp)|(train st.+moving)|(\|lc)|(penalty))"</v>
      </c>
      <c r="U8" s="9" t="str">
        <f t="shared" si="2"/>
        <v>4013</v>
      </c>
      <c r="V8" s="31">
        <f t="shared" si="3"/>
        <v>43079.330532407403</v>
      </c>
      <c r="W8" s="45" t="str">
        <f t="shared" si="4"/>
        <v>EC</v>
      </c>
      <c r="X8" s="228">
        <f t="shared" si="5"/>
        <v>240</v>
      </c>
      <c r="Y8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Arrival","project_id":79,"tracker_id":40,"status_id":1,"priority_id":2,"assigned_to_id":338,"start_date":"2017-12-10","description":"","custom_fields":[{"id":1,"name":"Subdivision","value":"EC"},{"id":4,"name":"Milepost","value":"3.3257"},{"id":17,"name":"Train ID","value":"240-09"},{"id":16,"name":"Locomotive ID","value":"4013"},{"id":130,"name":"Impact","value":""},{"id":150,"name":"Time of Event (Mountain Time)","value":"00:55:58"},{"id":151,"name":"Denver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/c/Users/stu/AppData/Local/Temp/OnboardLogs/RTDC4013 --include="*4013*201712100*"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"%USERPROFILE%\AppData\Local\Temp\OnboardLogs"\RTDC4013\*4013*201712100* &gt;&gt; 2017-12-09-SliceDisagreementCheck.txt</v>
      </c>
      <c r="AE8" s="144" t="str">
        <f t="shared" ref="AE8:AE22" si="9">"start /low /b "&amp;dls3logs&amp;" --loco "&amp;U8&amp;" --day "&amp;TEXT(V8,"YYYY-MM-DD")</f>
        <v>start /low /b %USERPROFILE%\Documents\GitHub\eaglep3\Utilities\DownloadLogsFromS3.py --loco 4013 --day 2017-12-10</v>
      </c>
    </row>
    <row r="9" spans="1:32" s="1" customFormat="1" x14ac:dyDescent="0.25">
      <c r="A9" s="31">
        <v>43078.336608796293</v>
      </c>
      <c r="B9" s="30" t="s">
        <v>390</v>
      </c>
      <c r="C9" s="30" t="s">
        <v>685</v>
      </c>
      <c r="D9" s="30" t="s">
        <v>49</v>
      </c>
      <c r="E9" s="30" t="s">
        <v>183</v>
      </c>
      <c r="F9" s="42">
        <v>0</v>
      </c>
      <c r="G9" s="42">
        <v>673</v>
      </c>
      <c r="H9" s="42">
        <v>79452</v>
      </c>
      <c r="I9" s="42">
        <v>76022</v>
      </c>
      <c r="J9" s="30" t="s">
        <v>184</v>
      </c>
      <c r="K9" s="42">
        <v>78469</v>
      </c>
      <c r="L9" s="131" t="s">
        <v>51</v>
      </c>
      <c r="M9" s="132">
        <f t="shared" si="0"/>
        <v>-1292.0160000000001</v>
      </c>
      <c r="N9" s="133" t="str">
        <f>VLOOKUP(C9,'Trips&amp;Operators'!$C$1:$G$99911,5,FALSE)</f>
        <v>THOMPSON LESTER</v>
      </c>
      <c r="O9" s="175" t="s">
        <v>178</v>
      </c>
      <c r="P9" s="239" t="s">
        <v>699</v>
      </c>
      <c r="Q9" s="30"/>
      <c r="R9" s="81" t="str">
        <f>VLOOKUP(C9,'Train Runs'!$A$13:$AE$10162,31,0)</f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S9" s="84" t="str">
        <f>VLOOKUP(C9,'Train Runs'!$A$13:$AE$10162,22,0)</f>
        <v>https://d0f6bd738d7f1b3e5a7ca70fe4ff75f0.us-east-1.aws.found.io/app/kibana#/discover/Steve-Slow-Train-Analysis-(2080s-and-2083s)?_g=(refreshInterval:(display:Off,pause:!f,section:0,value:0),time:(from:'2017-12-09T06:38:11-0700',mode:absolute,to:'2017-12-09T09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/stypes="*4059*201712091*"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43078.628275462957</v>
      </c>
      <c r="W9" s="45" t="str">
        <f t="shared" si="4"/>
        <v>EC</v>
      </c>
      <c r="X9" s="228">
        <f t="shared" si="5"/>
        <v>126</v>
      </c>
      <c r="Y9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Arrival","project_id":79,"tracker_id":40,"status_id":1,"priority_id":2,"assigned_to_id":338,"start_date":"2017-12-09","description":"","custom_fields":[{"id":1,"name":"Subdivision","value":"EC"},{"id":4,"name":"Milepost","value":"7.8469"},{"id":17,"name":"Train ID","value":"126-09"},{"id":16,"name":"Locomotive ID","value":"4059"},{"id":130,"name":"Impact","value":""},{"id":150,"name":"Time of Event (Mountain Time)","value":"08:04:43"},{"id":151,"name":"Denver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/c/Users/stu/AppData/Local/Temp/OnboardLogs/RTDC4059 --include="*4059*201712091*"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"%USERPROFILE%\AppData\Local\Temp\OnboardLogs"\RTDC4059\*4059*201712091* &gt;&gt; 2017-12-09-SliceDisagreementCheck.txt</v>
      </c>
      <c r="AE9" s="144" t="str">
        <f t="shared" si="9"/>
        <v>start /low /b %USERPROFILE%\Documents\GitHub\eaglep3\Utilities\DownloadLogsFromS3.py --loco 4059 --day 2017-12-09</v>
      </c>
    </row>
    <row r="10" spans="1:32" x14ac:dyDescent="0.25">
      <c r="A10" s="31">
        <v>43078.374421296299</v>
      </c>
      <c r="B10" s="30" t="s">
        <v>600</v>
      </c>
      <c r="C10" s="30" t="s">
        <v>686</v>
      </c>
      <c r="D10" s="30" t="s">
        <v>49</v>
      </c>
      <c r="E10" s="30" t="s">
        <v>183</v>
      </c>
      <c r="F10" s="42">
        <v>550</v>
      </c>
      <c r="G10" s="42">
        <v>651</v>
      </c>
      <c r="H10" s="42">
        <v>105176</v>
      </c>
      <c r="I10" s="42">
        <v>102400</v>
      </c>
      <c r="J10" s="30" t="s">
        <v>184</v>
      </c>
      <c r="K10" s="42">
        <v>103800</v>
      </c>
      <c r="L10" s="131" t="s">
        <v>51</v>
      </c>
      <c r="M10" s="132">
        <f t="shared" si="0"/>
        <v>-739.2</v>
      </c>
      <c r="N10" s="133" t="str">
        <f>VLOOKUP(C10,'Trips&amp;Operators'!$C$1:$G$99911,5,FALSE)</f>
        <v>LOPES KIMBERLY</v>
      </c>
      <c r="O10" s="175" t="s">
        <v>178</v>
      </c>
      <c r="P10" s="239" t="s">
        <v>699</v>
      </c>
      <c r="Q10" s="30"/>
      <c r="R10" s="81" t="str">
        <f>VLOOKUP(C10,'Train Runs'!$A$13:$AE$10162,31,0)</f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S10" s="84" t="str">
        <f>VLOOKUP(C10,'Train Runs'!$A$13:$AE$10162,22,0)</f>
        <v>https://d0f6bd738d7f1b3e5a7ca70fe4ff75f0.us-east-1.aws.found.io/app/kibana#/discover/Steve-Slow-Train-Analysis-(2080s-and-2083s)?_g=(refreshInterval:(display:Off,pause:!f,section:0,value:0),time:(from:'2017-12-09T07:37:17-0700',mode:absolute,to:'2017-12-09T10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86" t="str">
        <f t="shared" si="1"/>
        <v>"C:\Program Files (x86)\AstroGrep\AstroGrep.exe" /e /r /s /spath="%USERPROFILE%\AppData\Local\Temp\OnboardLogs" /stypes="*4027*201712091*"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4027</v>
      </c>
      <c r="V10" s="31">
        <f t="shared" si="3"/>
        <v>43078.666087962964</v>
      </c>
      <c r="W10" s="45" t="str">
        <f t="shared" si="4"/>
        <v>EC</v>
      </c>
      <c r="X10" s="228">
        <f t="shared" si="5"/>
        <v>134</v>
      </c>
      <c r="Y10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Arrival","project_id":79,"tracker_id":40,"status_id":1,"priority_id":2,"assigned_to_id":338,"start_date":"2017-12-09","description":"","custom_fields":[{"id":1,"name":"Subdivision","value":"EC"},{"id":4,"name":"Milepost","value":"10.38"},{"id":17,"name":"Train ID","value":"134-09"},{"id":16,"name":"Locomotive ID","value":"4027"},{"id":130,"name":"Impact","value":""},{"id":150,"name":"Time of Event (Mountain Time)","value":"08:59:10"},{"id":151,"name":"Denver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/c/Users/stu/AppData/Local/Temp/OnboardLogs/RTDC4027 --include="*4027*201712091*"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"%USERPROFILE%\AppData\Local\Temp\OnboardLogs"\RTDC4027\*4027*201712091* &gt;&gt; 2017-12-09-SliceDisagreementCheck.txt</v>
      </c>
      <c r="AE10" s="144" t="str">
        <f t="shared" si="9"/>
        <v>start /low /b %USERPROFILE%\Documents\GitHub\eaglep3\Utilities\DownloadLogsFromS3.py --loco 4027 --day 2017-12-09</v>
      </c>
      <c r="AF10" s="1"/>
    </row>
    <row r="11" spans="1:32" x14ac:dyDescent="0.25">
      <c r="A11" s="31">
        <v>43078.320625</v>
      </c>
      <c r="B11" s="30" t="s">
        <v>604</v>
      </c>
      <c r="C11" s="30" t="s">
        <v>684</v>
      </c>
      <c r="D11" s="30" t="s">
        <v>49</v>
      </c>
      <c r="E11" s="30" t="s">
        <v>190</v>
      </c>
      <c r="F11" s="42">
        <v>400</v>
      </c>
      <c r="G11" s="42">
        <v>553</v>
      </c>
      <c r="H11" s="42">
        <v>121838</v>
      </c>
      <c r="I11" s="42">
        <v>119450</v>
      </c>
      <c r="J11" s="30" t="s">
        <v>191</v>
      </c>
      <c r="K11" s="42">
        <v>119716</v>
      </c>
      <c r="L11" s="131" t="s">
        <v>51</v>
      </c>
      <c r="M11" s="132">
        <f t="shared" si="0"/>
        <v>-140.44800000000001</v>
      </c>
      <c r="N11" s="133" t="str">
        <f>VLOOKUP(C11,'Trips&amp;Operators'!$C$1:$G$99911,5,FALSE)</f>
        <v>DELGADO DIANAH</v>
      </c>
      <c r="O11" s="175" t="s">
        <v>178</v>
      </c>
      <c r="P11" s="239"/>
      <c r="Q11" s="30"/>
      <c r="R11" s="81" t="str">
        <f>VLOOKUP(C11,'Train Runs'!$A$13:$AE$10162,31,0)</f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S11" s="84" t="str">
        <f>VLOOKUP(C11,'Train Runs'!$A$13:$AE$10162,22,0)</f>
        <v>https://d0f6bd738d7f1b3e5a7ca70fe4ff75f0.us-east-1.aws.found.io/app/kibana#/discover/Steve-Slow-Train-Analysis-(2080s-and-2083s)?_g=(refreshInterval:(display:Off,pause:!f,section:0,value:0),time:(from:'2017-12-09T06:06:46-0700',mode:absolute,to:'2017-12-09T09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1" s="86" t="str">
        <f t="shared" si="1"/>
        <v>"C:\Program Files (x86)\AstroGrep\AstroGrep.exe" /e /r /s /spath="%USERPROFILE%\AppData\Local\Temp\OnboardLogs" /stypes="*4057*201712091*"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4057</v>
      </c>
      <c r="V11" s="31">
        <f t="shared" si="3"/>
        <v>43078.612291666665</v>
      </c>
      <c r="W11" s="45" t="str">
        <f t="shared" si="4"/>
        <v>EC</v>
      </c>
      <c r="X11" s="228">
        <f t="shared" si="5"/>
        <v>124</v>
      </c>
      <c r="Y11" s="238" t="str">
        <f t="shared" si="6"/>
        <v>echo {"issue":{"subject":"","project_id":79,"tracker_id":40,"status_id":1,"priority_id":2,"assigned_to_id":338,"start_date":"2017-12-09","description":"","custom_fields":[{"id":1,"name":"Subdivision","value":"EC"},{"id":4,"name":"Milepost","value":"11.9716"},{"id":17,"name":"Train ID","value":"124-09"},{"id":16,"name":"Locomotive ID","value":"4057"},{"id":130,"name":"Impact","value":""},{"id":150,"name":"Time of Event (Mountain Time)","value":"07:41:42"},{"id":151,"name":"Denver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/c/Users/stu/AppData/Local/Temp/OnboardLogs/RTDC4057 --include="*4057*201712091*"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"%USERPROFILE%\AppData\Local\Temp\OnboardLogs"\RTDC4057\*4057*201712091* &gt;&gt; 2017-12-09-SliceDisagreementCheck.txt</v>
      </c>
      <c r="AE11" s="144" t="str">
        <f t="shared" si="9"/>
        <v>start /low /b %USERPROFILE%\Documents\GitHub\eaglep3\Utilities\DownloadLogsFromS3.py --loco 4057 --day 2017-12-09</v>
      </c>
      <c r="AF11" s="1"/>
    </row>
    <row r="12" spans="1:32" x14ac:dyDescent="0.25">
      <c r="A12" s="31">
        <v>43078.404814814814</v>
      </c>
      <c r="B12" s="30" t="s">
        <v>390</v>
      </c>
      <c r="C12" s="30" t="s">
        <v>687</v>
      </c>
      <c r="D12" s="30" t="s">
        <v>49</v>
      </c>
      <c r="E12" s="30" t="s">
        <v>190</v>
      </c>
      <c r="F12" s="42">
        <v>400</v>
      </c>
      <c r="G12" s="42">
        <v>465</v>
      </c>
      <c r="H12" s="42">
        <v>120810</v>
      </c>
      <c r="I12" s="42">
        <v>119225</v>
      </c>
      <c r="J12" s="30" t="s">
        <v>191</v>
      </c>
      <c r="K12" s="42">
        <v>119716</v>
      </c>
      <c r="L12" s="131" t="s">
        <v>51</v>
      </c>
      <c r="M12" s="132">
        <f t="shared" si="0"/>
        <v>-259.24799999999999</v>
      </c>
      <c r="N12" s="133" t="str">
        <f>VLOOKUP(C12,'Trips&amp;Operators'!$C$1:$G$99911,5,FALSE)</f>
        <v>THOMPSON LESTER</v>
      </c>
      <c r="O12" s="175" t="s">
        <v>178</v>
      </c>
      <c r="P12" s="239"/>
      <c r="Q12" s="30"/>
      <c r="R12" s="81" t="str">
        <f>VLOOKUP(C12,'Train Runs'!$A$13:$AE$10162,31,0)</f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S12" s="84" t="str">
        <f>VLOOKUP(C12,'Train Runs'!$A$13:$AE$10162,22,0)</f>
        <v>https://d0f6bd738d7f1b3e5a7ca70fe4ff75f0.us-east-1.aws.found.io/app/kibana#/discover/Steve-Slow-Train-Analysis-(2080s-and-2083s)?_g=(refreshInterval:(display:Off,pause:!f,section:0,value:0),time:(from:'2017-12-09T08:24:49-0700',mode:absolute,to:'2017-12-09T11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 t="shared" si="1"/>
        <v>"C:\Program Files (x86)\AstroGrep\AstroGrep.exe" /e /r /s /spath="%USERPROFILE%\AppData\Local\Temp\OnboardLogs" /stypes="*4059*201712091*"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4059</v>
      </c>
      <c r="V12" s="31">
        <f t="shared" si="3"/>
        <v>43078.696481481478</v>
      </c>
      <c r="W12" s="45" t="str">
        <f t="shared" si="4"/>
        <v>EC</v>
      </c>
      <c r="X12" s="228">
        <f t="shared" si="5"/>
        <v>140</v>
      </c>
      <c r="Y12" s="238" t="str">
        <f t="shared" si="6"/>
        <v>echo {"issue":{"subject":"","project_id":79,"tracker_id":40,"status_id":1,"priority_id":2,"assigned_to_id":338,"start_date":"2017-12-09","description":"","custom_fields":[{"id":1,"name":"Subdivision","value":"EC"},{"id":4,"name":"Milepost","value":"11.9716"},{"id":17,"name":"Train ID","value":"140-09"},{"id":16,"name":"Locomotive ID","value":"4059"},{"id":130,"name":"Impact","value":""},{"id":150,"name":"Time of Event (Mountain Time)","value":"09:42:56"},{"id":151,"name":"Denver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/c/Users/stu/AppData/Local/Temp/OnboardLogs/RTDC4059 --include="*4059*201712091*"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"%USERPROFILE%\AppData\Local\Temp\OnboardLogs"\RTDC4059\*4059*201712091* &gt;&gt; 2017-12-09-SliceDisagreementCheck.txt</v>
      </c>
      <c r="AE12" s="144" t="str">
        <f t="shared" si="9"/>
        <v>start /low /b %USERPROFILE%\Documents\GitHub\eaglep3\Utilities\DownloadLogsFromS3.py --loco 4059 --day 2017-12-09</v>
      </c>
      <c r="AF12" s="1"/>
    </row>
    <row r="13" spans="1:32" x14ac:dyDescent="0.25">
      <c r="A13" s="31">
        <v>43079.064189814817</v>
      </c>
      <c r="B13" s="30" t="s">
        <v>514</v>
      </c>
      <c r="C13" s="30" t="s">
        <v>698</v>
      </c>
      <c r="D13" s="30" t="s">
        <v>49</v>
      </c>
      <c r="E13" s="30" t="s">
        <v>190</v>
      </c>
      <c r="F13" s="42">
        <v>550</v>
      </c>
      <c r="G13" s="42">
        <v>752</v>
      </c>
      <c r="H13" s="42">
        <v>218074</v>
      </c>
      <c r="I13" s="42">
        <v>221818</v>
      </c>
      <c r="J13" s="30" t="s">
        <v>191</v>
      </c>
      <c r="K13" s="42">
        <v>222090</v>
      </c>
      <c r="L13" s="131" t="s">
        <v>50</v>
      </c>
      <c r="M13" s="132">
        <f t="shared" si="0"/>
        <v>143.61600000000001</v>
      </c>
      <c r="N13" s="133" t="str">
        <f>VLOOKUP(C13,'Trips&amp;Operators'!$C$1:$G$99911,5,FALSE)</f>
        <v>ANDERS STEVEN</v>
      </c>
      <c r="O13" s="175" t="s">
        <v>178</v>
      </c>
      <c r="P13" s="239"/>
      <c r="Q13" s="30"/>
      <c r="R13" s="81" t="str">
        <f>VLOOKUP(C13,'Train Runs'!$A$13:$AE$10162,31,0)</f>
        <v>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 &amp; aws s3 cp s3://rtdc.mdm.uploadarchive.raw/RTDC4006/ "%USERPROFILE%\AppData\Local\Temp\OnboardLogs"\RTDC4006\2017-12-11 --exclude "*" --recursive --include "*20171211*" &amp; "%USERPROFILE%\Documents\GitHub\mrs-test-scripts\Headless Mode &amp; Sideloading\WalkAndUnGZ.bat" "%USERPROFILE%\AppData\Local\Temp\OnboardLogs"\RTDC4006\2017-12-11</v>
      </c>
      <c r="S13" s="84" t="str">
        <f>VLOOKUP(C13,'Train Runs'!$A$13:$AE$10162,22,0)</f>
        <v>https://d0f6bd738d7f1b3e5a7ca70fe4ff75f0.us-east-1.aws.found.io/app/kibana#/discover/Steve-Slow-Train-Analysis-(2080s-and-2083s)?_g=(refreshInterval:(display:Off,pause:!f,section:0,value:0),time:(from:'2017-12-09T23:45:12-0700',mode:absolute,to:'2017-12-10T02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3" s="86" t="str">
        <f t="shared" si="1"/>
        <v>"C:\Program Files (x86)\AstroGrep\AstroGrep.exe" /e /r /s /spath="%USERPROFILE%\AppData\Local\Temp\OnboardLogs" /stypes="*4006*201712100*" /stext=" 08:.+((SYSTEM_STATE.+slice.+state.+changed )|(ment ac)|(multiple cpu faults)|(system.+state.+changed )|(\[timeout)|(PRM\|1\|D)|(kpr)|(kdp)|(train st.+moving)|(\|lc)|(penalty))"</v>
      </c>
      <c r="U13" s="9" t="str">
        <f t="shared" si="2"/>
        <v>4006</v>
      </c>
      <c r="V13" s="31">
        <f t="shared" si="3"/>
        <v>43079.355856481481</v>
      </c>
      <c r="W13" s="45" t="str">
        <f t="shared" si="4"/>
        <v>EC</v>
      </c>
      <c r="X13" s="228">
        <f t="shared" si="5"/>
        <v>245</v>
      </c>
      <c r="Y13" s="238" t="str">
        <f t="shared" si="6"/>
        <v>echo {"issue":{"subject":"","project_id":79,"tracker_id":40,"status_id":1,"priority_id":2,"assigned_to_id":338,"start_date":"2017-12-10","description":"","custom_fields":[{"id":1,"name":"Subdivision","value":"EC"},{"id":4,"name":"Milepost","value":"22.209"},{"id":17,"name":"Train ID","value":"245-09"},{"id":16,"name":"Locomotive ID","value":"4006"},{"id":130,"name":"Impact","value":""},{"id":150,"name":"Time of Event (Mountain Time)","value":"01:32:26"},{"id":151,"name":"Denver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/c/Users/stu/AppData/Local/Temp/OnboardLogs/RTDC4006 --include="*4006*201712100*"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"%USERPROFILE%\AppData\Local\Temp\OnboardLogs"\RTDC4006\*4006*201712100* &gt;&gt; 2017-12-09-SliceDisagreementCheck.txt</v>
      </c>
      <c r="AE13" s="144" t="str">
        <f t="shared" si="9"/>
        <v>start /low /b %USERPROFILE%\Documents\GitHub\eaglep3\Utilities\DownloadLogsFromS3.py --loco 4006 --day 2017-12-10</v>
      </c>
      <c r="AF13" s="1"/>
    </row>
    <row r="14" spans="1:32" x14ac:dyDescent="0.25">
      <c r="A14" s="31">
        <v>43078.323460648149</v>
      </c>
      <c r="B14" s="30" t="s">
        <v>390</v>
      </c>
      <c r="C14" s="30" t="s">
        <v>685</v>
      </c>
      <c r="D14" s="30" t="s">
        <v>95</v>
      </c>
      <c r="E14" s="30" t="s">
        <v>190</v>
      </c>
      <c r="F14" s="42">
        <v>550</v>
      </c>
      <c r="G14" s="42">
        <v>603</v>
      </c>
      <c r="H14" s="42">
        <v>222154</v>
      </c>
      <c r="I14" s="42">
        <v>219828</v>
      </c>
      <c r="J14" s="30" t="s">
        <v>191</v>
      </c>
      <c r="K14" s="42">
        <v>224581</v>
      </c>
      <c r="L14" s="131" t="s">
        <v>51</v>
      </c>
      <c r="M14" s="132">
        <f t="shared" si="0"/>
        <v>-2509.5839999999998</v>
      </c>
      <c r="N14" s="133" t="str">
        <f>VLOOKUP(C14,'Trips&amp;Operators'!$C$1:$G$99911,5,FALSE)</f>
        <v>THOMPSON LESTER</v>
      </c>
      <c r="O14" s="175" t="s">
        <v>178</v>
      </c>
      <c r="P14" s="239"/>
      <c r="Q14" s="30"/>
      <c r="R14" s="81" t="str">
        <f>VLOOKUP(C14,'Train Runs'!$A$13:$AE$10162,31,0)</f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S14" s="84" t="str">
        <f>VLOOKUP(C14,'Train Runs'!$A$13:$AE$10162,22,0)</f>
        <v>https://d0f6bd738d7f1b3e5a7ca70fe4ff75f0.us-east-1.aws.found.io/app/kibana#/discover/Steve-Slow-Train-Analysis-(2080s-and-2083s)?_g=(refreshInterval:(display:Off,pause:!f,section:0,value:0),time:(from:'2017-12-09T06:38:11-0700',mode:absolute,to:'2017-12-09T09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4" s="86" t="str">
        <f t="shared" si="1"/>
        <v>"C:\Program Files (x86)\AstroGrep\AstroGrep.exe" /e /r /s /spath="%USERPROFILE%\AppData\Local\Temp\OnboardLogs" /stypes="*4059*201712091*"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4059</v>
      </c>
      <c r="V14" s="31">
        <f t="shared" si="3"/>
        <v>43078.615127314813</v>
      </c>
      <c r="W14" s="45" t="str">
        <f t="shared" si="4"/>
        <v>EC</v>
      </c>
      <c r="X14" s="228">
        <f t="shared" si="5"/>
        <v>126</v>
      </c>
      <c r="Y14" s="238" t="str">
        <f t="shared" si="6"/>
        <v>echo {"issue":{"subject":"","project_id":79,"tracker_id":40,"status_id":1,"priority_id":2,"assigned_to_id":338,"start_date":"2017-12-09","description":"","custom_fields":[{"id":1,"name":"Subdivision","value":"EC"},{"id":4,"name":"Milepost","value":"22.4581"},{"id":17,"name":"Train ID","value":"126-09"},{"id":16,"name":"Locomotive ID","value":"4059"},{"id":130,"name":"Impact","value":""},{"id":150,"name":"Time of Event (Mountain Time)","value":"07:45:47"},{"id":151,"name":"Denver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/c/Users/stu/AppData/Local/Temp/OnboardLogs/RTDC4059 --include="*4059*201712091*"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"%USERPROFILE%\AppData\Local\Temp\OnboardLogs"\RTDC4059\*4059*201712091* &gt;&gt; 2017-12-09-SliceDisagreementCheck.txt</v>
      </c>
      <c r="AE14" s="144" t="str">
        <f t="shared" si="9"/>
        <v>start /low /b %USERPROFILE%\Documents\GitHub\eaglep3\Utilities\DownloadLogsFromS3.py --loco 4059 --day 2017-12-09</v>
      </c>
      <c r="AF14" s="1"/>
    </row>
    <row r="15" spans="1:32" x14ac:dyDescent="0.25">
      <c r="A15" s="31">
        <v>43078.713009259256</v>
      </c>
      <c r="B15" s="30" t="s">
        <v>367</v>
      </c>
      <c r="C15" s="30" t="s">
        <v>694</v>
      </c>
      <c r="D15" s="30" t="s">
        <v>49</v>
      </c>
      <c r="E15" s="30" t="s">
        <v>451</v>
      </c>
      <c r="F15" s="42">
        <v>0</v>
      </c>
      <c r="G15" s="42">
        <v>375</v>
      </c>
      <c r="H15" s="42">
        <v>59782</v>
      </c>
      <c r="I15" s="42">
        <v>58818</v>
      </c>
      <c r="J15" s="30" t="s">
        <v>452</v>
      </c>
      <c r="K15" s="42">
        <v>57801</v>
      </c>
      <c r="L15" s="131" t="s">
        <v>51</v>
      </c>
      <c r="M15" s="132">
        <f t="shared" si="0"/>
        <v>536.976</v>
      </c>
      <c r="N15" s="133" t="str">
        <f>VLOOKUP(C15,'Trips&amp;Operators'!$C$1:$G$99911,5,FALSE)</f>
        <v>GONZALEZ ARMANDO</v>
      </c>
      <c r="O15" s="175" t="s">
        <v>348</v>
      </c>
      <c r="P15" s="239" t="s">
        <v>1073</v>
      </c>
      <c r="Q15" s="30"/>
      <c r="R15" s="81" t="str">
        <f>VLOOKUP(C15,'Train Runs'!$A$13:$AE$10162,31,0)</f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S15" s="84" t="str">
        <f>VLOOKUP(C15,'Train Runs'!$A$13:$AE$10162,22,0)</f>
        <v>https://d0f6bd738d7f1b3e5a7ca70fe4ff75f0.us-east-1.aws.found.io/app/kibana#/discover/Steve-Slow-Train-Analysis-(2080s-and-2083s)?_g=(refreshInterval:(display:Off,pause:!f,section:0,value:0),time:(from:'2017-12-09T15:34:41-0700',mode:absolute,to:'2017-12-09T18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5" s="86" t="str">
        <f t="shared" si="1"/>
        <v>"C:\Program Files (x86)\AstroGrep\AstroGrep.exe" /e /r /s /spath="%USERPROFILE%\AppData\Local\Temp\OnboardLogs" /stypes="*4035*201712100*"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4035</v>
      </c>
      <c r="V15" s="31">
        <f t="shared" si="3"/>
        <v>43079.00467592592</v>
      </c>
      <c r="W15" s="45" t="str">
        <f t="shared" si="4"/>
        <v>EC</v>
      </c>
      <c r="X15" s="228">
        <f t="shared" si="5"/>
        <v>198</v>
      </c>
      <c r="Y15" s="238" t="str">
        <f t="shared" si="6"/>
        <v>echo {"issue":{"subject":"Minor onboard en route failure caused signal unknown banner","project_id":79,"tracker_id":40,"status_id":1,"priority_id":2,"assigned_to_id":338,"start_date":"2017-12-09","description":"","custom_fields":[{"id":1,"name":"Subdivision","value":"EC"},{"id":4,"name":"Milepost","value":"5.7801"},{"id":17,"name":"Train ID","value":"198-09"},{"id":16,"name":"Locomotive ID","value":"4035"},{"id":130,"name":"Impact","value":""},{"id":150,"name":"Time of Event (Mountain Time)","value":"17:06:44"},{"id":151,"name":"Denver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/c/Users/stu/AppData/Local/Temp/OnboardLogs/RTDC4035 --include="*4035*201712100*"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"%USERPROFILE%\AppData\Local\Temp\OnboardLogs"\RTDC4035\*4035*201712100* &gt;&gt; 2017-12-09-SliceDisagreementCheck.txt</v>
      </c>
      <c r="AE15" s="144" t="str">
        <f t="shared" si="9"/>
        <v>start /low /b %USERPROFILE%\Documents\GitHub\eaglep3\Utilities\DownloadLogsFromS3.py --loco 4035 --day 2017-12-10</v>
      </c>
      <c r="AF15" s="1"/>
    </row>
    <row r="16" spans="1:32" x14ac:dyDescent="0.25">
      <c r="A16" s="31">
        <v>43078.305891203701</v>
      </c>
      <c r="B16" s="30" t="s">
        <v>357</v>
      </c>
      <c r="C16" s="30" t="s">
        <v>683</v>
      </c>
      <c r="D16" s="30" t="s">
        <v>49</v>
      </c>
      <c r="E16" s="30" t="s">
        <v>597</v>
      </c>
      <c r="F16" s="42">
        <v>0</v>
      </c>
      <c r="G16" s="42">
        <v>103</v>
      </c>
      <c r="H16" s="42">
        <v>233084</v>
      </c>
      <c r="I16" s="42">
        <v>233243</v>
      </c>
      <c r="J16" s="30" t="s">
        <v>598</v>
      </c>
      <c r="K16" s="42">
        <v>233491</v>
      </c>
      <c r="L16" s="131" t="s">
        <v>50</v>
      </c>
      <c r="M16" s="132">
        <f t="shared" si="0"/>
        <v>130.94399999999999</v>
      </c>
      <c r="N16" s="133" t="str">
        <f>VLOOKUP(C16,'Trips&amp;Operators'!$C$1:$G$99911,5,FALSE)</f>
        <v>THOMPSON LESTER</v>
      </c>
      <c r="O16" s="175" t="s">
        <v>178</v>
      </c>
      <c r="P16" s="239"/>
      <c r="Q16" s="30"/>
      <c r="R16" s="81" t="str">
        <f>VLOOKUP(C16,'Train Runs'!$A$13:$AE$10162,31,0)</f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S16" s="84" t="str">
        <f>VLOOKUP(C16,'Train Runs'!$A$13:$AE$10162,22,0)</f>
        <v>https://d0f6bd738d7f1b3e5a7ca70fe4ff75f0.us-east-1.aws.found.io/app/kibana#/discover/Steve-Slow-Train-Analysis-(2080s-and-2083s)?_g=(refreshInterval:(display:Off,pause:!f,section:0,value:0),time:(from:'2017-12-09T05:40:10-0700',mode:absolute,to:'2017-12-09T08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6" s="86" t="str">
        <f t="shared" si="1"/>
        <v>"C:\Program Files (x86)\AstroGrep\AstroGrep.exe" /e /r /s /spath="%USERPROFILE%\AppData\Local\Temp\OnboardLogs" /stypes="*4060*201712091*"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4060</v>
      </c>
      <c r="V16" s="31">
        <f t="shared" si="3"/>
        <v>43078.597557870366</v>
      </c>
      <c r="W16" s="45" t="str">
        <f t="shared" si="4"/>
        <v>EC</v>
      </c>
      <c r="X16" s="228">
        <f t="shared" si="5"/>
        <v>125</v>
      </c>
      <c r="Y16" s="238" t="str">
        <f t="shared" si="6"/>
        <v>echo {"issue":{"subject":"","project_id":79,"tracker_id":40,"status_id":1,"priority_id":2,"assigned_to_id":338,"start_date":"2017-12-09","description":"","custom_fields":[{"id":1,"name":"Subdivision","value":"EC"},{"id":4,"name":"Milepost","value":"23.3491"},{"id":17,"name":"Train ID","value":"125-09"},{"id":16,"name":"Locomotive ID","value":"4060"},{"id":130,"name":"Impact","value":""},{"id":150,"name":"Time of Event (Mountain Time)","value":"07:20:29"},{"id":151,"name":"Denver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/c/Users/stu/AppData/Local/Temp/OnboardLogs/RTDC4060 --include="*4060*201712091*"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"%USERPROFILE%\AppData\Local\Temp\OnboardLogs"\RTDC4060\*4060*201712091* &gt;&gt; 2017-12-09-SliceDisagreementCheck.txt</v>
      </c>
      <c r="AE16" s="144" t="str">
        <f t="shared" si="9"/>
        <v>start /low /b %USERPROFILE%\Documents\GitHub\eaglep3\Utilities\DownloadLogsFromS3.py --loco 4060 --day 2017-12-09</v>
      </c>
      <c r="AF16" s="1"/>
    </row>
    <row r="17" spans="1:32" x14ac:dyDescent="0.25">
      <c r="A17" s="31">
        <v>43078.577002314814</v>
      </c>
      <c r="B17" s="30" t="s">
        <v>386</v>
      </c>
      <c r="C17" s="30" t="s">
        <v>692</v>
      </c>
      <c r="D17" s="30" t="s">
        <v>49</v>
      </c>
      <c r="E17" s="30" t="s">
        <v>183</v>
      </c>
      <c r="F17" s="42">
        <v>0</v>
      </c>
      <c r="G17" s="42">
        <v>245</v>
      </c>
      <c r="H17" s="42">
        <v>11262</v>
      </c>
      <c r="I17" s="42">
        <v>10849</v>
      </c>
      <c r="J17" s="30" t="s">
        <v>184</v>
      </c>
      <c r="K17" s="42">
        <v>10988</v>
      </c>
      <c r="L17" s="131" t="s">
        <v>51</v>
      </c>
      <c r="M17" s="132">
        <f t="shared" si="0"/>
        <v>-73.391999999999996</v>
      </c>
      <c r="N17" s="133" t="str">
        <f>VLOOKUP(C17,'Trips&amp;Operators'!$C$1:$G$99911,5,FALSE)</f>
        <v>LAMAR NEKESHA</v>
      </c>
      <c r="O17" s="175" t="s">
        <v>178</v>
      </c>
      <c r="P17" s="239" t="s">
        <v>699</v>
      </c>
      <c r="Q17" s="30"/>
      <c r="R17" s="81" t="str">
        <f>VLOOKUP(C17,'Train Runs'!$A$13:$AE$10162,31,0)</f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S17" s="84" t="str">
        <f>VLOOKUP(C17,'Train Runs'!$A$13:$AE$10162,22,0)</f>
        <v>https://d0f6bd738d7f1b3e5a7ca70fe4ff75f0.us-east-1.aws.found.io/app/kibana#/discover/Steve-Slow-Train-Analysis-(2080s-and-2083s)?_g=(refreshInterval:(display:Off,pause:!f,section:0,value:0),time:(from:'2017-12-09T12:24:46-0700',mode:absolute,to:'2017-12-09T14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86" t="str">
        <f t="shared" si="1"/>
        <v>"C:\Program Files (x86)\AstroGrep\AstroGrep.exe" /e /r /s /spath="%USERPROFILE%\AppData\Local\Temp\OnboardLogs" /stypes="*4029*201712092*"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4029</v>
      </c>
      <c r="V17" s="31">
        <f t="shared" si="3"/>
        <v>43078.868668981479</v>
      </c>
      <c r="W17" s="45" t="str">
        <f t="shared" si="4"/>
        <v>NW</v>
      </c>
      <c r="X17" s="228">
        <f t="shared" si="5"/>
        <v>1816</v>
      </c>
      <c r="Y17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Arrival","project_id":79,"tracker_id":40,"status_id":1,"priority_id":2,"assigned_to_id":338,"start_date":"2017-12-09","description":"","custom_fields":[{"id":1,"name":"Subdivision","value":"NW"},{"id":4,"name":"Milepost","value":"1.0988"},{"id":17,"name":"Train ID","value":"1816-09"},{"id":16,"name":"Locomotive ID","value":"4029"},{"id":130,"name":"Impact","value":""},{"id":150,"name":"Time of Event (Mountain Time)","value":"13:50:53"},{"id":151,"name":"Denver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/c/Users/stu/AppData/Local/Temp/OnboardLogs/RTDC4029 --include="*4029*201712092*"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"%USERPROFILE%\AppData\Local\Temp\OnboardLogs"\RTDC4029\*4029*201712092* &gt;&gt; 2017-12-09-SliceDisagreementCheck.txt</v>
      </c>
      <c r="AE17" s="144" t="str">
        <f t="shared" si="9"/>
        <v>start /low /b %USERPROFILE%\Documents\GitHub\eaglep3\Utilities\DownloadLogsFromS3.py --loco 4029 --day 2017-12-09</v>
      </c>
      <c r="AF17" s="1"/>
    </row>
    <row r="18" spans="1:32" x14ac:dyDescent="0.25">
      <c r="A18" s="31">
        <v>43078.243657407409</v>
      </c>
      <c r="B18" s="30" t="s">
        <v>386</v>
      </c>
      <c r="C18" s="30" t="s">
        <v>681</v>
      </c>
      <c r="D18" s="30" t="s">
        <v>49</v>
      </c>
      <c r="E18" s="30" t="s">
        <v>183</v>
      </c>
      <c r="F18" s="42">
        <v>120</v>
      </c>
      <c r="G18" s="42">
        <v>272</v>
      </c>
      <c r="H18" s="42">
        <v>11728</v>
      </c>
      <c r="I18" s="42">
        <v>11105</v>
      </c>
      <c r="J18" s="30" t="s">
        <v>184</v>
      </c>
      <c r="K18" s="42">
        <v>10988</v>
      </c>
      <c r="L18" s="131" t="s">
        <v>51</v>
      </c>
      <c r="M18" s="132">
        <f t="shared" si="0"/>
        <v>61.776000000000003</v>
      </c>
      <c r="N18" s="133" t="str">
        <f>VLOOKUP(C18,'Trips&amp;Operators'!$C$1:$G$99911,5,FALSE)</f>
        <v>LAMAR NEKESHA</v>
      </c>
      <c r="O18" s="175" t="s">
        <v>178</v>
      </c>
      <c r="P18" s="239" t="s">
        <v>699</v>
      </c>
      <c r="Q18" s="30"/>
      <c r="R18" s="81" t="str">
        <f>VLOOKUP(C18,'Train Runs'!$A$13:$AE$10162,31,0)</f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S18" s="84" t="str">
        <f>VLOOKUP(C18,'Train Runs'!$A$13:$AE$10162,22,0)</f>
        <v>https://d0f6bd738d7f1b3e5a7ca70fe4ff75f0.us-east-1.aws.found.io/app/kibana#/discover/Steve-Slow-Train-Analysis-(2080s-and-2083s)?_g=(refreshInterval:(display:Off,pause:!f,section:0,value:0),time:(from:'2017-12-09T04:37:52-0700',mode:absolute,to:'2017-12-09T06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 t="shared" si="1"/>
        <v>"C:\Program Files (x86)\AstroGrep\AstroGrep.exe" /e /r /s /spath="%USERPROFILE%\AppData\Local\Temp\OnboardLogs" /stypes="*4029*201712091*"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4029</v>
      </c>
      <c r="V18" s="31">
        <f t="shared" si="3"/>
        <v>43078.535324074073</v>
      </c>
      <c r="W18" s="45" t="str">
        <f t="shared" si="4"/>
        <v>NW</v>
      </c>
      <c r="X18" s="228">
        <f t="shared" si="5"/>
        <v>1800</v>
      </c>
      <c r="Y18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Arrival","project_id":79,"tracker_id":40,"status_id":1,"priority_id":2,"assigned_to_id":338,"start_date":"2017-12-09","description":"","custom_fields":[{"id":1,"name":"Subdivision","value":"NW"},{"id":4,"name":"Milepost","value":"1.0988"},{"id":17,"name":"Train ID","value":"1800-09"},{"id":16,"name":"Locomotive ID","value":"4029"},{"id":130,"name":"Impact","value":""},{"id":150,"name":"Time of Event (Mountain Time)","value":"05:50:52"},{"id":151,"name":"Denver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/c/Users/stu/AppData/Local/Temp/OnboardLogs/RTDC4029 --include="*4029*201712091*"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"%USERPROFILE%\AppData\Local\Temp\OnboardLogs"\RTDC4029\*4029*201712091* &gt;&gt; 2017-12-09-SliceDisagreementCheck.txt</v>
      </c>
      <c r="AE18" s="144" t="str">
        <f t="shared" si="9"/>
        <v>start /low /b %USERPROFILE%\Documents\GitHub\eaglep3\Utilities\DownloadLogsFromS3.py --loco 4029 --day 2017-12-09</v>
      </c>
      <c r="AF18" s="1"/>
    </row>
    <row r="19" spans="1:32" x14ac:dyDescent="0.25">
      <c r="A19" s="31">
        <v>43078.889027777775</v>
      </c>
      <c r="B19" s="30" t="s">
        <v>392</v>
      </c>
      <c r="C19" s="30" t="s">
        <v>695</v>
      </c>
      <c r="D19" s="30" t="s">
        <v>49</v>
      </c>
      <c r="E19" s="30" t="s">
        <v>190</v>
      </c>
      <c r="F19" s="42">
        <v>150</v>
      </c>
      <c r="G19" s="42">
        <v>325</v>
      </c>
      <c r="H19" s="42">
        <v>55579</v>
      </c>
      <c r="I19" s="42">
        <v>56152</v>
      </c>
      <c r="J19" s="30" t="s">
        <v>191</v>
      </c>
      <c r="K19" s="42">
        <v>57008</v>
      </c>
      <c r="L19" s="131" t="s">
        <v>50</v>
      </c>
      <c r="M19" s="132">
        <f t="shared" si="0"/>
        <v>451.96800000000002</v>
      </c>
      <c r="N19" s="133" t="str">
        <f>VLOOKUP(C19,'Trips&amp;Operators'!$C$1:$G$99911,5,FALSE)</f>
        <v>SMITH MICHAEL</v>
      </c>
      <c r="O19" s="175" t="s">
        <v>178</v>
      </c>
      <c r="P19" s="239"/>
      <c r="Q19" s="30"/>
      <c r="R19" s="81" t="str">
        <f>VLOOKUP(C19,'Train Runs'!$A$13:$AE$10162,31,0)</f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S19" s="84" t="str">
        <f>VLOOKUP(C19,'Train Runs'!$A$13:$AE$10162,22,0)</f>
        <v>https://d0f6bd738d7f1b3e5a7ca70fe4ff75f0.us-east-1.aws.found.io/app/kibana#/discover/Steve-Slow-Train-Analysis-(2080s-and-2083s)?_g=(refreshInterval:(display:Off,pause:!f,section:0,value:0),time:(from:'2017-12-09T20:00:32-0700',mode:absolute,to:'2017-12-09T22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86" t="str">
        <f t="shared" si="1"/>
        <v>"C:\Program Files (x86)\AstroGrep\AstroGrep.exe" /e /r /s /spath="%USERPROFILE%\AppData\Local\Temp\OnboardLogs" /stypes="*4030*201712100*" /stext=" 04:.+((SYSTEM_STATE.+slice.+state.+changed )|(ment ac)|(multiple cpu faults)|(system.+state.+changed )|(\[timeout)|(PRM\|1\|D)|(kpr)|(kdp)|(train st.+moving)|(\|lc)|(penalty))"</v>
      </c>
      <c r="U19" s="9" t="str">
        <f t="shared" si="2"/>
        <v>4030</v>
      </c>
      <c r="V19" s="31">
        <f t="shared" si="3"/>
        <v>43079.18069444444</v>
      </c>
      <c r="W19" s="45" t="str">
        <f t="shared" si="4"/>
        <v>NW</v>
      </c>
      <c r="X19" s="228">
        <f t="shared" si="5"/>
        <v>1831</v>
      </c>
      <c r="Y19" s="238" t="str">
        <f t="shared" si="6"/>
        <v>echo {"issue":{"subject":"","project_id":79,"tracker_id":40,"status_id":1,"priority_id":2,"assigned_to_id":338,"start_date":"2017-12-09","description":"","custom_fields":[{"id":1,"name":"Subdivision","value":"NW"},{"id":4,"name":"Milepost","value":"5.7008"},{"id":17,"name":"Train ID","value":"1831-09"},{"id":16,"name":"Locomotive ID","value":"4030"},{"id":130,"name":"Impact","value":""},{"id":150,"name":"Time of Event (Mountain Time)","value":"21:20:12"},{"id":151,"name":"Denver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/c/Users/stu/AppData/Local/Temp/OnboardLogs/RTDC4030 --include="*4030*201712100*"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"%USERPROFILE%\AppData\Local\Temp\OnboardLogs"\RTDC4030\*4030*201712100* &gt;&gt; 2017-12-09-SliceDisagreementCheck.txt</v>
      </c>
      <c r="AE19" s="144" t="str">
        <f t="shared" si="9"/>
        <v>start /low /b %USERPROFILE%\Documents\GitHub\eaglep3\Utilities\DownloadLogsFromS3.py --loco 4030 --day 2017-12-10</v>
      </c>
      <c r="AF19" s="1"/>
    </row>
    <row r="20" spans="1:32" x14ac:dyDescent="0.25">
      <c r="A20" s="31">
        <v>43078.412280092591</v>
      </c>
      <c r="B20" s="30" t="s">
        <v>386</v>
      </c>
      <c r="C20" s="30" t="s">
        <v>688</v>
      </c>
      <c r="D20" s="30" t="s">
        <v>49</v>
      </c>
      <c r="E20" s="30" t="s">
        <v>354</v>
      </c>
      <c r="F20" s="42">
        <v>0</v>
      </c>
      <c r="G20" s="42">
        <v>85</v>
      </c>
      <c r="H20" s="42">
        <v>4823</v>
      </c>
      <c r="I20" s="42">
        <v>4701</v>
      </c>
      <c r="J20" s="30" t="s">
        <v>355</v>
      </c>
      <c r="K20" s="42">
        <v>4798</v>
      </c>
      <c r="L20" s="131" t="s">
        <v>51</v>
      </c>
      <c r="M20" s="132">
        <f t="shared" si="0"/>
        <v>-51.216000000000001</v>
      </c>
      <c r="N20" s="133" t="str">
        <f>VLOOKUP(C20,'Trips&amp;Operators'!$C$1:$G$99911,5,FALSE)</f>
        <v>LAMAR NEKESHA</v>
      </c>
      <c r="O20" s="175" t="s">
        <v>348</v>
      </c>
      <c r="P20" s="239" t="s">
        <v>596</v>
      </c>
      <c r="Q20" s="30"/>
      <c r="R20" s="81" t="str">
        <f>VLOOKUP(C20,'Train Runs'!$A$13:$AE$10162,31,0)</f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S20" s="84" t="str">
        <f>VLOOKUP(C20,'Train Runs'!$A$13:$AE$10162,22,0)</f>
        <v>https://d0f6bd738d7f1b3e5a7ca70fe4ff75f0.us-east-1.aws.found.io/app/kibana#/discover/Steve-Slow-Train-Analysis-(2080s-and-2083s)?_g=(refreshInterval:(display:Off,pause:!f,section:0,value:0),time:(from:'2017-12-09T08:25:11-0700',mode:absolute,to:'2017-12-09T10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 t="shared" si="1"/>
        <v>"C:\Program Files (x86)\AstroGrep\AstroGrep.exe" /e /r /s /spath="%USERPROFILE%\AppData\Local\Temp\OnboardLogs" /stypes="*4029*201712091*"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4029</v>
      </c>
      <c r="V20" s="31">
        <f t="shared" si="3"/>
        <v>43078.703946759255</v>
      </c>
      <c r="W20" s="45" t="str">
        <f t="shared" si="4"/>
        <v>NW</v>
      </c>
      <c r="X20" s="228">
        <f t="shared" si="5"/>
        <v>1808</v>
      </c>
      <c r="Y20" s="238" t="str">
        <f t="shared" si="6"/>
        <v>echo {"issue":{"subject":"Poor GPS under Wewatta St. overpass","project_id":79,"tracker_id":40,"status_id":1,"priority_id":2,"assigned_to_id":338,"start_date":"2017-12-09","description":"","custom_fields":[{"id":1,"name":"Subdivision","value":"NW"},{"id":4,"name":"Milepost","value":"0.4798"},{"id":17,"name":"Train ID","value":"1808-09"},{"id":16,"name":"Locomotive ID","value":"4029"},{"id":130,"name":"Impact","value":""},{"id":150,"name":"Time of Event (Mountain Time)","value":"09:53:41"},{"id":151,"name":"Denver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/c/Users/stu/AppData/Local/Temp/OnboardLogs/RTDC4029 --include="*4029*201712091*"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"%USERPROFILE%\AppData\Local\Temp\OnboardLogs"\RTDC4029\*4029*201712091* &gt;&gt; 2017-12-09-SliceDisagreementCheck.txt</v>
      </c>
      <c r="AE20" s="144" t="str">
        <f t="shared" si="9"/>
        <v>start /low /b %USERPROFILE%\Documents\GitHub\eaglep3\Utilities\DownloadLogsFromS3.py --loco 4029 --day 2017-12-09</v>
      </c>
      <c r="AF20" s="1"/>
    </row>
    <row r="21" spans="1:32" x14ac:dyDescent="0.25">
      <c r="A21" s="31">
        <v>43078.912615740737</v>
      </c>
      <c r="B21" s="30" t="s">
        <v>386</v>
      </c>
      <c r="C21" s="30" t="s">
        <v>696</v>
      </c>
      <c r="D21" s="30" t="s">
        <v>49</v>
      </c>
      <c r="E21" s="30" t="s">
        <v>354</v>
      </c>
      <c r="F21" s="42">
        <v>0</v>
      </c>
      <c r="G21" s="42">
        <v>43</v>
      </c>
      <c r="H21" s="42">
        <v>4832</v>
      </c>
      <c r="I21" s="42">
        <v>4785</v>
      </c>
      <c r="J21" s="30" t="s">
        <v>355</v>
      </c>
      <c r="K21" s="42">
        <v>4798</v>
      </c>
      <c r="L21" s="131" t="s">
        <v>51</v>
      </c>
      <c r="M21" s="132">
        <f t="shared" si="0"/>
        <v>-6.8639999999999999</v>
      </c>
      <c r="N21" s="133" t="str">
        <f>VLOOKUP(C21,'Trips&amp;Operators'!$C$1:$G$99911,5,FALSE)</f>
        <v>SMITH MICHAEL</v>
      </c>
      <c r="O21" s="175" t="s">
        <v>348</v>
      </c>
      <c r="P21" s="239" t="s">
        <v>596</v>
      </c>
      <c r="Q21" s="30"/>
      <c r="R21" s="81" t="str">
        <f>VLOOKUP(C21,'Train Runs'!$A$13:$AE$10162,31,0)</f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S21" s="84" t="str">
        <f>VLOOKUP(C21,'Train Runs'!$A$13:$AE$10162,22,0)</f>
        <v>https://d0f6bd738d7f1b3e5a7ca70fe4ff75f0.us-east-1.aws.found.io/app/kibana#/discover/Steve-Slow-Train-Analysis-(2080s-and-2083s)?_g=(refreshInterval:(display:Off,pause:!f,section:0,value:0),time:(from:'2017-12-09T20:25:06-0700',mode:absolute,to:'2017-12-09T22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6" t="str">
        <f t="shared" si="1"/>
        <v>"C:\Program Files (x86)\AstroGrep\AstroGrep.exe" /e /r /s /spath="%USERPROFILE%\AppData\Local\Temp\OnboardLogs" /stypes="*4029*201712100*" /stext=" 04:.+((SYSTEM_STATE.+slice.+state.+changed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43079.204282407401</v>
      </c>
      <c r="W21" s="45" t="str">
        <f t="shared" si="4"/>
        <v>NW</v>
      </c>
      <c r="X21" s="228">
        <f t="shared" si="5"/>
        <v>1832</v>
      </c>
      <c r="Y21" s="238" t="str">
        <f t="shared" si="6"/>
        <v>echo {"issue":{"subject":"Poor GPS under Wewatta St. overpass","project_id":79,"tracker_id":40,"status_id":1,"priority_id":2,"assigned_to_id":338,"start_date":"2017-12-09","description":"","custom_fields":[{"id":1,"name":"Subdivision","value":"NW"},{"id":4,"name":"Milepost","value":"0.4798"},{"id":17,"name":"Train ID","value":"1832-09"},{"id":16,"name":"Locomotive ID","value":"4029"},{"id":130,"name":"Impact","value":""},{"id":150,"name":"Time of Event (Mountain Time)","value":"21:54:10"},{"id":151,"name":"Denver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/c/Users/stu/AppData/Local/Temp/OnboardLogs/RTDC4029 --include="*4029*201712100*"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"%USERPROFILE%\AppData\Local\Temp\OnboardLogs"\RTDC4029\*4029*201712100* &gt;&gt; 2017-12-09-SliceDisagreementCheck.txt</v>
      </c>
      <c r="AE21" s="144" t="str">
        <f t="shared" si="9"/>
        <v>start /low /b %USERPROFILE%\Documents\GitHub\eaglep3\Utilities\DownloadLogsFromS3.py --loco 4029 --day 2017-12-10</v>
      </c>
      <c r="AF21" s="1"/>
    </row>
    <row r="22" spans="1:32" x14ac:dyDescent="0.25">
      <c r="A22" s="31">
        <v>43078.122997685183</v>
      </c>
      <c r="B22" s="30" t="s">
        <v>679</v>
      </c>
      <c r="C22" s="30" t="s">
        <v>680</v>
      </c>
      <c r="D22" s="30" t="s">
        <v>49</v>
      </c>
      <c r="E22" s="30" t="s">
        <v>183</v>
      </c>
      <c r="F22" s="42">
        <v>210</v>
      </c>
      <c r="G22" s="42">
        <v>271</v>
      </c>
      <c r="H22" s="42">
        <v>12542</v>
      </c>
      <c r="I22" s="42">
        <v>11846</v>
      </c>
      <c r="J22" s="30" t="s">
        <v>184</v>
      </c>
      <c r="K22" s="42">
        <v>10988</v>
      </c>
      <c r="L22" s="131" t="s">
        <v>51</v>
      </c>
      <c r="M22" s="132">
        <f t="shared" si="0"/>
        <v>453.024</v>
      </c>
      <c r="N22" s="133" t="str">
        <f>VLOOKUP(C22,'Trips&amp;Operators'!$C$1:$G$99911,5,FALSE)</f>
        <v>THOMPSON LESTER</v>
      </c>
      <c r="O22" s="175" t="s">
        <v>178</v>
      </c>
      <c r="P22" s="239" t="s">
        <v>699</v>
      </c>
      <c r="Q22" s="30"/>
      <c r="R22" s="81" t="str">
        <f>VLOOKUP(C22,'Train Runs'!$A$13:$AE$10162,31,0)</f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S22" s="84" t="str">
        <f>VLOOKUP(C22,'Train Runs'!$A$13:$AE$10162,22,0)</f>
        <v>https://d0f6bd738d7f1b3e5a7ca70fe4ff75f0.us-east-1.aws.found.io/app/kibana#/discover/Steve-Slow-Train-Analysis-(2080s-and-2083s)?_g=(refreshInterval:(display:Off,pause:!f,section:0,value:0),time:(from:'2017-12-09T01:48:07-0700',mode:absolute,to:'2017-12-09T04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 t="shared" si="1"/>
        <v>"C:\Program Files (x86)\AstroGrep\AstroGrep.exe" /e /r /s /spath="%USERPROFILE%\AppData\Local\Temp\OnboardLogs" /stypes="*4003*201712090*" /stext=" 09:.+((SYSTEM_STATE.+slice.+state.+changed )|(ment ac)|(multiple cpu faults)|(system.+state.+changed )|(\[timeout)|(PRM\|1\|D)|(kpr)|(kdp)|(train st.+moving)|(\|lc)|(penalty))"</v>
      </c>
      <c r="U22" s="9" t="str">
        <f t="shared" si="2"/>
        <v>4003</v>
      </c>
      <c r="V22" s="31">
        <f t="shared" si="3"/>
        <v>43078.414664351847</v>
      </c>
      <c r="W22" s="45" t="str">
        <f t="shared" si="4"/>
        <v>Other</v>
      </c>
      <c r="X22" s="228">
        <f t="shared" si="5"/>
        <v>300</v>
      </c>
      <c r="Y22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Arrival","project_id":79,"tracker_id":40,"status_id":1,"priority_id":2,"assigned_to_id":338,"start_date":"2017-12-09","description":"","custom_fields":[{"id":1,"name":"Subdivision","value":"Other"},{"id":4,"name":"Milepost","value":"1.0988"},{"id":17,"name":"Train ID","value":"300-09"},{"id":16,"name":"Locomotive ID","value":"4003"},{"id":130,"name":"Impact","value":""},{"id":150,"name":"Time of Event (Mountain Time)","value":"02:57:07"},{"id":151,"name":"Denver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/c/Users/stu/AppData/Local/Temp/OnboardLogs/RTDC4003 --include="*4003*201712090*"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"%USERPROFILE%\AppData\Local\Temp\OnboardLogs"\RTDC4003\*4003*201712090* &gt;&gt; 2017-12-09-SliceDisagreementCheck.txt</v>
      </c>
      <c r="AE22" s="144" t="str">
        <f t="shared" si="9"/>
        <v>start /low /b %USERPROFILE%\Documents\GitHub\eaglep3\Utilities\DownloadLogsFromS3.py --loco 4003 --day 2017-12-09</v>
      </c>
      <c r="AF22" s="1"/>
    </row>
  </sheetData>
  <autoFilter ref="A6:AC15">
    <sortState ref="A7:AC22">
      <sortCondition ref="W7:W22"/>
      <sortCondition ref="E7:E22"/>
      <sortCondition ref="K7:K22"/>
      <sortCondition ref="F7:F22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AA7:AA22</xm:sqref>
        </x14:dataValidation>
        <x14:dataValidation type="list" allowBlank="1" showInputMessage="1" showErrorMessage="1">
          <x14:formula1>
            <xm:f>'Redmine List Values'!$C$2:$C$15</xm:f>
          </x14:formula1>
          <xm:sqref>AB7:AB22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2017-12-09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-09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Runs'!$A$13:$A$100159,1,FALSE)</f>
        <v>#N/A</v>
      </c>
    </row>
    <row r="4" spans="1:10" x14ac:dyDescent="0.25">
      <c r="A4" s="197"/>
      <c r="B4" s="42" t="str">
        <f>A4&amp;"-"&amp;IF(DAY(Variables!$A$2)&lt;10,0,"")&amp;DAY(Variables!$A$2)</f>
        <v>-09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Runs'!$A$13:$A$100159,1,FALSE)</f>
        <v>#N/A</v>
      </c>
    </row>
    <row r="5" spans="1:10" x14ac:dyDescent="0.25">
      <c r="A5" s="197"/>
      <c r="B5" s="42" t="str">
        <f>A5&amp;"-"&amp;IF(DAY(Variables!$A$2)&lt;10,0,"")&amp;DAY(Variables!$A$2)</f>
        <v>-09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Runs'!$A$13:$A$100159,1,FALSE)</f>
        <v>#N/A</v>
      </c>
    </row>
    <row r="6" spans="1:10" x14ac:dyDescent="0.25">
      <c r="A6" s="197"/>
      <c r="B6" s="42" t="str">
        <f>A6&amp;"-"&amp;IF(DAY(Variables!$A$2)&lt;10,0,"")&amp;DAY(Variables!$A$2)</f>
        <v>-09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Runs'!$A$13:$A$100159,1,FALSE)</f>
        <v>#N/A</v>
      </c>
    </row>
    <row r="7" spans="1:10" x14ac:dyDescent="0.25">
      <c r="A7" s="197"/>
      <c r="B7" s="42" t="str">
        <f>A7&amp;"-"&amp;IF(DAY(Variables!$A$2)&lt;10,0,"")&amp;DAY(Variables!$A$2)</f>
        <v>-09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Runs'!$A$13:$A$100159,1,FALSE)</f>
        <v>#N/A</v>
      </c>
    </row>
    <row r="8" spans="1:10" x14ac:dyDescent="0.25">
      <c r="A8" s="197"/>
      <c r="B8" s="42" t="str">
        <f>A8&amp;"-"&amp;IF(DAY(Variables!$A$2)&lt;10,0,"")&amp;DAY(Variables!$A$2)</f>
        <v>-09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Runs'!$A$13:$A$100159,1,FALSE)</f>
        <v>#N/A</v>
      </c>
    </row>
    <row r="9" spans="1:10" x14ac:dyDescent="0.25">
      <c r="A9" s="197"/>
      <c r="B9" s="42" t="str">
        <f>A9&amp;"-"&amp;IF(DAY(Variables!$A$2)&lt;10,0,"")&amp;DAY(Variables!$A$2)</f>
        <v>-09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Runs'!$A$13:$A$100159,1,FALSE)</f>
        <v>#N/A</v>
      </c>
    </row>
    <row r="10" spans="1:10" x14ac:dyDescent="0.25">
      <c r="A10" s="197"/>
      <c r="B10" s="42" t="str">
        <f>A10&amp;"-"&amp;IF(DAY(Variables!$A$2)&lt;10,0,"")&amp;DAY(Variables!$A$2)</f>
        <v>-09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Runs'!$A$13:$A$100159,1,FALSE)</f>
        <v>#N/A</v>
      </c>
    </row>
    <row r="11" spans="1:10" x14ac:dyDescent="0.25">
      <c r="A11" s="197"/>
      <c r="B11" s="42" t="str">
        <f>A11&amp;"-"&amp;IF(DAY(Variables!$A$2)&lt;10,0,"")&amp;DAY(Variables!$A$2)</f>
        <v>-09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Runs'!$A$13:$A$100159,1,FALSE)</f>
        <v>#N/A</v>
      </c>
    </row>
    <row r="12" spans="1:10" x14ac:dyDescent="0.25">
      <c r="A12" s="197"/>
      <c r="B12" s="42" t="str">
        <f>A12&amp;"-"&amp;IF(DAY(Variables!$A$2)&lt;10,0,"")&amp;DAY(Variables!$A$2)</f>
        <v>-09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Runs'!$A$13:$A$100159,1,FALSE)</f>
        <v>#N/A</v>
      </c>
    </row>
    <row r="13" spans="1:10" x14ac:dyDescent="0.25">
      <c r="A13" s="197"/>
      <c r="B13" s="42" t="str">
        <f>A13&amp;"-"&amp;IF(DAY(Variables!$A$2)&lt;10,0,"")&amp;DAY(Variables!$A$2)</f>
        <v>-09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Runs'!$A$13:$A$100159,1,FALSE)</f>
        <v>#N/A</v>
      </c>
    </row>
    <row r="14" spans="1:10" x14ac:dyDescent="0.25">
      <c r="A14" s="197"/>
      <c r="B14" s="42" t="str">
        <f>A14&amp;"-"&amp;IF(DAY(Variables!$A$2)&lt;10,0,"")&amp;DAY(Variables!$A$2)</f>
        <v>-09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Runs'!$A$13:$A$100159,1,FALSE)</f>
        <v>#N/A</v>
      </c>
    </row>
    <row r="15" spans="1:10" x14ac:dyDescent="0.25">
      <c r="A15" s="197"/>
      <c r="B15" s="42" t="str">
        <f>A15&amp;"-"&amp;IF(DAY(Variables!$A$2)&lt;10,0,"")&amp;DAY(Variables!$A$2)</f>
        <v>-09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Runs'!$A$13:$A$100159,1,FALSE)</f>
        <v>#N/A</v>
      </c>
    </row>
    <row r="16" spans="1:10" x14ac:dyDescent="0.25">
      <c r="A16" s="197"/>
      <c r="B16" s="42" t="str">
        <f>A16&amp;"-"&amp;IF(DAY(Variables!$A$2)&lt;10,0,"")&amp;DAY(Variables!$A$2)</f>
        <v>-09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Runs'!$A$13:$A$100159,1,FALSE)</f>
        <v>#N/A</v>
      </c>
    </row>
    <row r="17" spans="1:10" x14ac:dyDescent="0.25">
      <c r="A17" s="197"/>
      <c r="B17" s="42" t="str">
        <f>A17&amp;"-"&amp;IF(DAY(Variables!$A$2)&lt;10,0,"")&amp;DAY(Variables!$A$2)</f>
        <v>-09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Runs'!$A$13:$A$100159,1,FALSE)</f>
        <v>#N/A</v>
      </c>
    </row>
    <row r="18" spans="1:10" x14ac:dyDescent="0.25">
      <c r="A18" s="197"/>
      <c r="B18" s="42" t="str">
        <f>A18&amp;"-"&amp;IF(DAY(Variables!$A$2)&lt;10,0,"")&amp;DAY(Variables!$A$2)</f>
        <v>-09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Runs'!$A$13:$A$100159,1,FALSE)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1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43078.035416666666</v>
      </c>
      <c r="B2" s="20" t="s">
        <v>700</v>
      </c>
      <c r="C2" s="20" t="s">
        <v>462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4063</v>
      </c>
    </row>
    <row r="3" spans="1:8" x14ac:dyDescent="0.25">
      <c r="A3" s="8">
        <v>43078.047175925924</v>
      </c>
      <c r="B3" s="20" t="s">
        <v>511</v>
      </c>
      <c r="C3" s="20" t="s">
        <v>464</v>
      </c>
      <c r="D3" s="137">
        <v>3340000</v>
      </c>
      <c r="E3" s="20" t="s">
        <v>470</v>
      </c>
      <c r="F3" s="20" t="s">
        <v>471</v>
      </c>
      <c r="G3" s="8" t="str">
        <f t="shared" ref="G3:G66" si="0">E3&amp;" "&amp;F3</f>
        <v>ELBAUM MIKE</v>
      </c>
      <c r="H3" s="20" t="str">
        <f t="shared" ref="H3:H66" si="1">MID(B3,13,4)</f>
        <v>4023</v>
      </c>
    </row>
    <row r="4" spans="1:8" x14ac:dyDescent="0.25">
      <c r="A4" s="8">
        <v>43078.048564814817</v>
      </c>
      <c r="B4" s="20" t="s">
        <v>511</v>
      </c>
      <c r="C4" s="20" t="s">
        <v>464</v>
      </c>
      <c r="D4" s="137">
        <v>3340000</v>
      </c>
      <c r="E4" s="20" t="s">
        <v>470</v>
      </c>
      <c r="F4" s="20" t="s">
        <v>471</v>
      </c>
      <c r="G4" s="8" t="str">
        <f t="shared" si="0"/>
        <v>ELBAUM MIKE</v>
      </c>
      <c r="H4" s="20" t="str">
        <f t="shared" si="1"/>
        <v>4023</v>
      </c>
    </row>
    <row r="5" spans="1:8" x14ac:dyDescent="0.25">
      <c r="A5" s="8">
        <v>43078.049016203702</v>
      </c>
      <c r="B5" s="20" t="s">
        <v>541</v>
      </c>
      <c r="C5" s="20" t="s">
        <v>463</v>
      </c>
      <c r="D5" s="137">
        <v>2600000</v>
      </c>
      <c r="E5" s="20" t="s">
        <v>475</v>
      </c>
      <c r="F5" s="20" t="s">
        <v>472</v>
      </c>
      <c r="G5" s="8" t="str">
        <f t="shared" si="0"/>
        <v>DAVIDSON DAVID</v>
      </c>
      <c r="H5" s="20" t="str">
        <f t="shared" si="1"/>
        <v>4032</v>
      </c>
    </row>
    <row r="6" spans="1:8" x14ac:dyDescent="0.25">
      <c r="A6" s="8">
        <v>43078.070416666669</v>
      </c>
      <c r="B6" s="20" t="s">
        <v>701</v>
      </c>
      <c r="C6" s="20" t="s">
        <v>465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4064</v>
      </c>
    </row>
    <row r="7" spans="1:8" x14ac:dyDescent="0.25">
      <c r="A7" s="8">
        <v>43078.080949074072</v>
      </c>
      <c r="B7" s="20" t="s">
        <v>562</v>
      </c>
      <c r="C7" s="20" t="s">
        <v>702</v>
      </c>
      <c r="D7" s="137">
        <v>3310000</v>
      </c>
      <c r="E7" s="20" t="s">
        <v>548</v>
      </c>
      <c r="F7" s="20" t="s">
        <v>549</v>
      </c>
      <c r="G7" s="8" t="str">
        <f t="shared" si="0"/>
        <v>ANDERS STEVEN</v>
      </c>
      <c r="H7" s="20" t="str">
        <f t="shared" si="1"/>
        <v>4009</v>
      </c>
    </row>
    <row r="8" spans="1:8" x14ac:dyDescent="0.25">
      <c r="A8" s="8">
        <v>43078.08699074074</v>
      </c>
      <c r="B8" s="20" t="s">
        <v>520</v>
      </c>
      <c r="C8" s="20" t="s">
        <v>466</v>
      </c>
      <c r="D8" s="137">
        <v>3340000</v>
      </c>
      <c r="E8" s="20" t="s">
        <v>470</v>
      </c>
      <c r="F8" s="20" t="s">
        <v>471</v>
      </c>
      <c r="G8" s="8" t="str">
        <f t="shared" si="0"/>
        <v>ELBAUM MIKE</v>
      </c>
      <c r="H8" s="20" t="str">
        <f t="shared" si="1"/>
        <v>4024</v>
      </c>
    </row>
    <row r="9" spans="1:8" ht="15.75" thickBot="1" x14ac:dyDescent="0.3">
      <c r="A9" s="24">
        <v>43078.110902777778</v>
      </c>
      <c r="B9" s="20" t="s">
        <v>444</v>
      </c>
      <c r="C9" s="20" t="s">
        <v>461</v>
      </c>
      <c r="D9" s="137">
        <v>3310000</v>
      </c>
      <c r="E9" s="20" t="s">
        <v>548</v>
      </c>
      <c r="F9" s="20" t="s">
        <v>549</v>
      </c>
      <c r="G9" s="8" t="str">
        <f t="shared" si="0"/>
        <v>ANDERS STEVEN</v>
      </c>
      <c r="H9" s="20" t="str">
        <f t="shared" si="1"/>
        <v>4010</v>
      </c>
    </row>
    <row r="10" spans="1:8" x14ac:dyDescent="0.25">
      <c r="A10" s="8">
        <v>43078.117349537039</v>
      </c>
      <c r="B10" s="20" t="s">
        <v>679</v>
      </c>
      <c r="C10" s="20" t="s">
        <v>680</v>
      </c>
      <c r="D10" s="137">
        <v>3120000</v>
      </c>
      <c r="E10" s="20" t="s">
        <v>369</v>
      </c>
      <c r="F10" s="20" t="s">
        <v>563</v>
      </c>
      <c r="G10" s="8" t="str">
        <f t="shared" si="0"/>
        <v>THOMPSON LESTER</v>
      </c>
      <c r="H10" s="20" t="str">
        <f t="shared" si="1"/>
        <v>4003</v>
      </c>
    </row>
    <row r="11" spans="1:8" x14ac:dyDescent="0.25">
      <c r="A11" s="8">
        <v>43078.13175925926</v>
      </c>
      <c r="B11" s="20" t="s">
        <v>357</v>
      </c>
      <c r="C11" s="20" t="s">
        <v>703</v>
      </c>
      <c r="D11" s="137">
        <v>3120000</v>
      </c>
      <c r="E11" s="20" t="s">
        <v>369</v>
      </c>
      <c r="F11" s="20" t="s">
        <v>563</v>
      </c>
      <c r="G11" s="8" t="str">
        <f t="shared" si="0"/>
        <v>THOMPSON LESTER</v>
      </c>
      <c r="H11" s="20" t="str">
        <f t="shared" si="1"/>
        <v>4060</v>
      </c>
    </row>
    <row r="12" spans="1:8" x14ac:dyDescent="0.25">
      <c r="A12" s="8">
        <v>43078.133935185186</v>
      </c>
      <c r="B12" s="20" t="s">
        <v>494</v>
      </c>
      <c r="C12" s="20" t="s">
        <v>704</v>
      </c>
      <c r="D12" s="137">
        <v>2010000</v>
      </c>
      <c r="E12" s="20" t="s">
        <v>543</v>
      </c>
      <c r="F12" s="20" t="s">
        <v>544</v>
      </c>
      <c r="G12" s="8" t="str">
        <f t="shared" si="0"/>
        <v>MAELZER KURT</v>
      </c>
      <c r="H12" s="20" t="str">
        <f t="shared" si="1"/>
        <v>4013</v>
      </c>
    </row>
    <row r="13" spans="1:8" x14ac:dyDescent="0.25">
      <c r="A13" s="8">
        <v>43078.13486111111</v>
      </c>
      <c r="B13" s="20" t="s">
        <v>705</v>
      </c>
      <c r="C13" s="20" t="s">
        <v>706</v>
      </c>
      <c r="D13" s="137">
        <v>1780000</v>
      </c>
      <c r="E13" s="20" t="s">
        <v>498</v>
      </c>
      <c r="F13" s="20" t="s">
        <v>499</v>
      </c>
      <c r="G13" s="8" t="str">
        <f t="shared" si="0"/>
        <v>DE LA ROSA ALEX</v>
      </c>
      <c r="H13" s="20" t="str">
        <f t="shared" si="1"/>
        <v>4004</v>
      </c>
    </row>
    <row r="14" spans="1:8" x14ac:dyDescent="0.25">
      <c r="A14" s="8">
        <v>43078.139166666668</v>
      </c>
      <c r="B14" s="20" t="s">
        <v>679</v>
      </c>
      <c r="C14" s="20" t="s">
        <v>707</v>
      </c>
      <c r="D14" s="137">
        <v>1780000</v>
      </c>
      <c r="E14" s="20" t="s">
        <v>498</v>
      </c>
      <c r="F14" s="20" t="s">
        <v>499</v>
      </c>
      <c r="G14" s="8" t="str">
        <f t="shared" si="0"/>
        <v>DE LA ROSA ALEX</v>
      </c>
      <c r="H14" s="20" t="str">
        <f t="shared" si="1"/>
        <v>4003</v>
      </c>
    </row>
    <row r="15" spans="1:8" x14ac:dyDescent="0.25">
      <c r="A15" s="8">
        <v>43078.147106481483</v>
      </c>
      <c r="B15" s="20" t="s">
        <v>493</v>
      </c>
      <c r="C15" s="20" t="s">
        <v>708</v>
      </c>
      <c r="D15" s="137">
        <v>2010000</v>
      </c>
      <c r="E15" s="20" t="s">
        <v>543</v>
      </c>
      <c r="F15" s="20" t="s">
        <v>544</v>
      </c>
      <c r="G15" s="8" t="str">
        <f t="shared" si="0"/>
        <v>MAELZER KURT</v>
      </c>
      <c r="H15" s="20" t="str">
        <f t="shared" si="1"/>
        <v>4014</v>
      </c>
    </row>
    <row r="16" spans="1:8" x14ac:dyDescent="0.25">
      <c r="A16" s="8">
        <v>43078.15697916667</v>
      </c>
      <c r="B16" s="20" t="s">
        <v>600</v>
      </c>
      <c r="C16" s="20" t="s">
        <v>709</v>
      </c>
      <c r="D16" s="137">
        <v>2440000</v>
      </c>
      <c r="E16" s="20" t="s">
        <v>456</v>
      </c>
      <c r="F16" s="20" t="s">
        <v>457</v>
      </c>
      <c r="G16" s="8" t="str">
        <f t="shared" si="0"/>
        <v>LOPES KIMBERLY</v>
      </c>
      <c r="H16" s="20" t="str">
        <f t="shared" si="1"/>
        <v>4027</v>
      </c>
    </row>
    <row r="17" spans="1:8" x14ac:dyDescent="0.25">
      <c r="A17" s="8">
        <v>43078.171423611115</v>
      </c>
      <c r="B17" s="20" t="s">
        <v>361</v>
      </c>
      <c r="C17" s="20" t="s">
        <v>710</v>
      </c>
      <c r="D17" s="137">
        <v>1100000</v>
      </c>
      <c r="E17" s="20" t="s">
        <v>564</v>
      </c>
      <c r="F17" s="20" t="s">
        <v>565</v>
      </c>
      <c r="G17" s="8" t="str">
        <f t="shared" si="0"/>
        <v>GEBRETEKLE DAGNEW</v>
      </c>
      <c r="H17" s="20" t="str">
        <f t="shared" si="1"/>
        <v>4007</v>
      </c>
    </row>
    <row r="18" spans="1:8" x14ac:dyDescent="0.25">
      <c r="A18" s="8">
        <v>43078.172453703701</v>
      </c>
      <c r="B18" s="20" t="s">
        <v>391</v>
      </c>
      <c r="C18" s="20" t="s">
        <v>711</v>
      </c>
      <c r="D18" s="137">
        <v>2440000</v>
      </c>
      <c r="E18" s="20" t="s">
        <v>456</v>
      </c>
      <c r="F18" s="20" t="s">
        <v>457</v>
      </c>
      <c r="G18" s="8" t="str">
        <f t="shared" si="0"/>
        <v>LOPES KIMBERLY</v>
      </c>
      <c r="H18" s="20" t="str">
        <f t="shared" si="1"/>
        <v>4028</v>
      </c>
    </row>
    <row r="19" spans="1:8" x14ac:dyDescent="0.25">
      <c r="A19" s="8">
        <v>43078.17428240741</v>
      </c>
      <c r="B19" s="20" t="s">
        <v>390</v>
      </c>
      <c r="C19" s="20" t="s">
        <v>712</v>
      </c>
      <c r="D19" s="137">
        <v>3120000</v>
      </c>
      <c r="E19" s="20" t="s">
        <v>369</v>
      </c>
      <c r="F19" s="20" t="s">
        <v>563</v>
      </c>
      <c r="G19" s="8" t="str">
        <f t="shared" si="0"/>
        <v>THOMPSON LESTER</v>
      </c>
      <c r="H19" s="20" t="str">
        <f t="shared" si="1"/>
        <v>4059</v>
      </c>
    </row>
    <row r="20" spans="1:8" x14ac:dyDescent="0.25">
      <c r="A20" s="8">
        <v>43078.180717592593</v>
      </c>
      <c r="B20" s="20" t="s">
        <v>604</v>
      </c>
      <c r="C20" s="20" t="s">
        <v>713</v>
      </c>
      <c r="D20" s="137">
        <v>2370000</v>
      </c>
      <c r="E20" s="20" t="s">
        <v>572</v>
      </c>
      <c r="F20" s="20" t="s">
        <v>573</v>
      </c>
      <c r="G20" s="8" t="str">
        <f t="shared" si="0"/>
        <v>DELGADO DIANAH</v>
      </c>
      <c r="H20" s="20" t="str">
        <f t="shared" si="1"/>
        <v>4057</v>
      </c>
    </row>
    <row r="21" spans="1:8" x14ac:dyDescent="0.25">
      <c r="A21" s="8">
        <v>43078.184699074074</v>
      </c>
      <c r="B21" s="20" t="s">
        <v>356</v>
      </c>
      <c r="C21" s="20" t="s">
        <v>714</v>
      </c>
      <c r="D21" s="137">
        <v>1100000</v>
      </c>
      <c r="E21" s="20" t="s">
        <v>564</v>
      </c>
      <c r="F21" s="20" t="s">
        <v>565</v>
      </c>
      <c r="G21" s="8" t="str">
        <f t="shared" si="0"/>
        <v>GEBRETEKLE DAGNEW</v>
      </c>
      <c r="H21" s="20" t="str">
        <f t="shared" si="1"/>
        <v>4008</v>
      </c>
    </row>
    <row r="22" spans="1:8" x14ac:dyDescent="0.25">
      <c r="A22" s="26">
        <v>43078.189675925925</v>
      </c>
      <c r="B22" s="20" t="s">
        <v>494</v>
      </c>
      <c r="C22" s="20" t="s">
        <v>715</v>
      </c>
      <c r="D22" s="137">
        <v>2010000</v>
      </c>
      <c r="E22" s="20" t="s">
        <v>543</v>
      </c>
      <c r="F22" s="20" t="s">
        <v>544</v>
      </c>
      <c r="G22" s="8" t="str">
        <f t="shared" si="0"/>
        <v>MAELZER KURT</v>
      </c>
      <c r="H22" s="20" t="str">
        <f t="shared" si="1"/>
        <v>4013</v>
      </c>
    </row>
    <row r="23" spans="1:8" x14ac:dyDescent="0.25">
      <c r="A23" s="8">
        <v>43078.193043981482</v>
      </c>
      <c r="B23" s="20" t="s">
        <v>603</v>
      </c>
      <c r="C23" s="20" t="s">
        <v>716</v>
      </c>
      <c r="D23" s="137">
        <v>2370000</v>
      </c>
      <c r="E23" s="20" t="s">
        <v>572</v>
      </c>
      <c r="F23" s="20" t="s">
        <v>573</v>
      </c>
      <c r="G23" s="8" t="str">
        <f t="shared" si="0"/>
        <v>DELGADO DIANAH</v>
      </c>
      <c r="H23" s="20" t="str">
        <f t="shared" si="1"/>
        <v>4058</v>
      </c>
    </row>
    <row r="24" spans="1:8" x14ac:dyDescent="0.25">
      <c r="A24" s="8">
        <v>43078.199432870373</v>
      </c>
      <c r="B24" s="20" t="s">
        <v>367</v>
      </c>
      <c r="C24" s="20" t="s">
        <v>717</v>
      </c>
      <c r="D24" s="137">
        <v>2560000</v>
      </c>
      <c r="E24" s="20" t="s">
        <v>566</v>
      </c>
      <c r="F24" s="20" t="s">
        <v>567</v>
      </c>
      <c r="G24" s="8" t="str">
        <f t="shared" si="0"/>
        <v>MACDONALD THOMAS</v>
      </c>
      <c r="H24" s="20" t="str">
        <f t="shared" si="1"/>
        <v>4035</v>
      </c>
    </row>
    <row r="25" spans="1:8" x14ac:dyDescent="0.25">
      <c r="A25" s="8">
        <v>43078.206956018519</v>
      </c>
      <c r="B25" s="20" t="s">
        <v>357</v>
      </c>
      <c r="C25" s="20" t="s">
        <v>718</v>
      </c>
      <c r="D25" s="137">
        <v>3120000</v>
      </c>
      <c r="E25" s="20" t="s">
        <v>369</v>
      </c>
      <c r="F25" s="20" t="s">
        <v>563</v>
      </c>
      <c r="G25" s="8" t="str">
        <f t="shared" si="0"/>
        <v>THOMPSON LESTER</v>
      </c>
      <c r="H25" s="20" t="str">
        <f t="shared" si="1"/>
        <v>4060</v>
      </c>
    </row>
    <row r="26" spans="1:8" x14ac:dyDescent="0.25">
      <c r="A26" s="8">
        <v>43078.208101851851</v>
      </c>
      <c r="B26" s="20" t="s">
        <v>600</v>
      </c>
      <c r="C26" s="20" t="s">
        <v>719</v>
      </c>
      <c r="D26" s="137">
        <v>2440000</v>
      </c>
      <c r="E26" s="20" t="s">
        <v>456</v>
      </c>
      <c r="F26" s="20" t="s">
        <v>457</v>
      </c>
      <c r="G26" s="8" t="str">
        <f t="shared" si="0"/>
        <v>LOPES KIMBERLY</v>
      </c>
      <c r="H26" s="20" t="str">
        <f t="shared" si="1"/>
        <v>4027</v>
      </c>
    </row>
    <row r="27" spans="1:8" x14ac:dyDescent="0.25">
      <c r="A27" s="8">
        <v>43078.213368055556</v>
      </c>
      <c r="B27" s="20" t="s">
        <v>361</v>
      </c>
      <c r="C27" s="20" t="s">
        <v>720</v>
      </c>
      <c r="D27" s="137">
        <v>1100000</v>
      </c>
      <c r="E27" s="20" t="s">
        <v>564</v>
      </c>
      <c r="F27" s="20" t="s">
        <v>565</v>
      </c>
      <c r="G27" s="8" t="str">
        <f t="shared" si="0"/>
        <v>GEBRETEKLE DAGNEW</v>
      </c>
      <c r="H27" s="20" t="str">
        <f t="shared" si="1"/>
        <v>4007</v>
      </c>
    </row>
    <row r="28" spans="1:8" x14ac:dyDescent="0.25">
      <c r="A28" s="8">
        <v>43078.214236111111</v>
      </c>
      <c r="B28" s="20" t="s">
        <v>542</v>
      </c>
      <c r="C28" s="20" t="s">
        <v>721</v>
      </c>
      <c r="D28" s="137">
        <v>3040000</v>
      </c>
      <c r="E28" s="20" t="s">
        <v>368</v>
      </c>
      <c r="F28" s="20" t="s">
        <v>545</v>
      </c>
      <c r="G28" s="8" t="str">
        <f t="shared" si="0"/>
        <v>WILLIAMS DONTE</v>
      </c>
      <c r="H28" s="20" t="str">
        <f t="shared" si="1"/>
        <v>4021</v>
      </c>
    </row>
    <row r="29" spans="1:8" x14ac:dyDescent="0.25">
      <c r="A29" s="8">
        <v>43078.216678240744</v>
      </c>
      <c r="B29" s="20" t="s">
        <v>366</v>
      </c>
      <c r="C29" s="20" t="s">
        <v>722</v>
      </c>
      <c r="D29" s="137">
        <v>2560000</v>
      </c>
      <c r="E29" s="20" t="s">
        <v>566</v>
      </c>
      <c r="F29" s="20" t="s">
        <v>567</v>
      </c>
      <c r="G29" s="8" t="str">
        <f t="shared" si="0"/>
        <v>MACDONALD THOMAS</v>
      </c>
      <c r="H29" s="20" t="str">
        <f t="shared" si="1"/>
        <v>4036</v>
      </c>
    </row>
    <row r="30" spans="1:8" x14ac:dyDescent="0.25">
      <c r="A30" s="8">
        <v>43078.224062499998</v>
      </c>
      <c r="B30" s="20" t="s">
        <v>392</v>
      </c>
      <c r="C30" s="20" t="s">
        <v>723</v>
      </c>
      <c r="D30" s="137">
        <v>3090000</v>
      </c>
      <c r="E30" s="20" t="s">
        <v>568</v>
      </c>
      <c r="F30" s="20" t="s">
        <v>569</v>
      </c>
      <c r="G30" s="8" t="str">
        <f t="shared" si="0"/>
        <v>LAMAR NEKESHA</v>
      </c>
      <c r="H30" s="20" t="str">
        <f t="shared" si="1"/>
        <v>4030</v>
      </c>
    </row>
    <row r="31" spans="1:8" x14ac:dyDescent="0.25">
      <c r="A31" s="8">
        <v>43078.22420138889</v>
      </c>
      <c r="B31" s="20" t="s">
        <v>604</v>
      </c>
      <c r="C31" s="20" t="s">
        <v>724</v>
      </c>
      <c r="D31" s="137">
        <v>2370000</v>
      </c>
      <c r="E31" s="20" t="s">
        <v>572</v>
      </c>
      <c r="F31" s="20" t="s">
        <v>573</v>
      </c>
      <c r="G31" s="8" t="str">
        <f t="shared" si="0"/>
        <v>DELGADO DIANAH</v>
      </c>
      <c r="H31" s="20" t="str">
        <f t="shared" si="1"/>
        <v>4057</v>
      </c>
    </row>
    <row r="32" spans="1:8" x14ac:dyDescent="0.25">
      <c r="A32" s="8">
        <v>43078.227326388886</v>
      </c>
      <c r="B32" s="20" t="s">
        <v>493</v>
      </c>
      <c r="C32" s="20" t="s">
        <v>725</v>
      </c>
      <c r="D32" s="137">
        <v>2010000</v>
      </c>
      <c r="E32" s="20" t="s">
        <v>543</v>
      </c>
      <c r="F32" s="20" t="s">
        <v>544</v>
      </c>
      <c r="G32" s="8" t="str">
        <f t="shared" si="0"/>
        <v>MAELZER KURT</v>
      </c>
      <c r="H32" s="20" t="str">
        <f t="shared" si="1"/>
        <v>4014</v>
      </c>
    </row>
    <row r="33" spans="1:8" x14ac:dyDescent="0.25">
      <c r="A33" s="8">
        <v>43078.232743055552</v>
      </c>
      <c r="B33" s="20" t="s">
        <v>384</v>
      </c>
      <c r="C33" s="20" t="s">
        <v>726</v>
      </c>
      <c r="D33" s="137">
        <v>3040000</v>
      </c>
      <c r="E33" s="20" t="s">
        <v>368</v>
      </c>
      <c r="F33" s="20" t="s">
        <v>545</v>
      </c>
      <c r="G33" s="8" t="str">
        <f t="shared" si="0"/>
        <v>WILLIAMS DONTE</v>
      </c>
      <c r="H33" s="20" t="str">
        <f t="shared" si="1"/>
        <v>4022</v>
      </c>
    </row>
    <row r="34" spans="1:8" x14ac:dyDescent="0.25">
      <c r="A34" s="8">
        <v>43078.235231481478</v>
      </c>
      <c r="B34" s="20" t="s">
        <v>386</v>
      </c>
      <c r="C34" s="20" t="s">
        <v>681</v>
      </c>
      <c r="D34" s="137">
        <v>3090000</v>
      </c>
      <c r="E34" s="20" t="s">
        <v>568</v>
      </c>
      <c r="F34" s="20" t="s">
        <v>569</v>
      </c>
      <c r="G34" s="8" t="str">
        <f t="shared" si="0"/>
        <v>LAMAR NEKESHA</v>
      </c>
      <c r="H34" s="20" t="str">
        <f t="shared" si="1"/>
        <v>4029</v>
      </c>
    </row>
    <row r="35" spans="1:8" x14ac:dyDescent="0.25">
      <c r="A35" s="8">
        <v>43078.245138888888</v>
      </c>
      <c r="B35" s="20" t="s">
        <v>391</v>
      </c>
      <c r="C35" s="20" t="s">
        <v>727</v>
      </c>
      <c r="D35" s="137">
        <v>2440000</v>
      </c>
      <c r="E35" s="20" t="s">
        <v>456</v>
      </c>
      <c r="F35" s="20" t="s">
        <v>457</v>
      </c>
      <c r="G35" s="8" t="str">
        <f t="shared" si="0"/>
        <v>LOPES KIMBERLY</v>
      </c>
      <c r="H35" s="20" t="str">
        <f t="shared" si="1"/>
        <v>4028</v>
      </c>
    </row>
    <row r="36" spans="1:8" x14ac:dyDescent="0.25">
      <c r="A36" s="8">
        <v>43078.246122685188</v>
      </c>
      <c r="B36" s="20" t="s">
        <v>390</v>
      </c>
      <c r="C36" s="20" t="s">
        <v>682</v>
      </c>
      <c r="D36" s="137">
        <v>3120000</v>
      </c>
      <c r="E36" s="20" t="s">
        <v>369</v>
      </c>
      <c r="F36" s="20" t="s">
        <v>563</v>
      </c>
      <c r="G36" s="8" t="str">
        <f t="shared" si="0"/>
        <v>THOMPSON LESTER</v>
      </c>
      <c r="H36" s="20" t="str">
        <f t="shared" si="1"/>
        <v>4059</v>
      </c>
    </row>
    <row r="37" spans="1:8" x14ac:dyDescent="0.25">
      <c r="A37" s="8">
        <v>43078.249699074076</v>
      </c>
      <c r="B37" s="20" t="s">
        <v>392</v>
      </c>
      <c r="C37" s="20" t="s">
        <v>728</v>
      </c>
      <c r="D37" s="137">
        <v>3090000</v>
      </c>
      <c r="E37" s="20" t="s">
        <v>568</v>
      </c>
      <c r="F37" s="20" t="s">
        <v>569</v>
      </c>
      <c r="G37" s="8" t="str">
        <f t="shared" si="0"/>
        <v>LAMAR NEKESHA</v>
      </c>
      <c r="H37" s="20" t="str">
        <f t="shared" si="1"/>
        <v>4030</v>
      </c>
    </row>
    <row r="38" spans="1:8" x14ac:dyDescent="0.25">
      <c r="A38" s="8">
        <v>43078.250914351855</v>
      </c>
      <c r="B38" s="20" t="s">
        <v>367</v>
      </c>
      <c r="C38" s="20" t="s">
        <v>729</v>
      </c>
      <c r="D38" s="137">
        <v>2560000</v>
      </c>
      <c r="E38" s="20" t="s">
        <v>566</v>
      </c>
      <c r="F38" s="20" t="s">
        <v>567</v>
      </c>
      <c r="G38" s="8" t="str">
        <f t="shared" si="0"/>
        <v>MACDONALD THOMAS</v>
      </c>
      <c r="H38" s="20" t="str">
        <f t="shared" si="1"/>
        <v>4035</v>
      </c>
    </row>
    <row r="39" spans="1:8" x14ac:dyDescent="0.25">
      <c r="A39" s="8">
        <v>43078.255266203705</v>
      </c>
      <c r="B39" s="20" t="s">
        <v>356</v>
      </c>
      <c r="C39" s="20" t="s">
        <v>730</v>
      </c>
      <c r="D39" s="137">
        <v>1100000</v>
      </c>
      <c r="E39" s="20" t="s">
        <v>564</v>
      </c>
      <c r="F39" s="20" t="s">
        <v>565</v>
      </c>
      <c r="G39" s="8" t="str">
        <f t="shared" si="0"/>
        <v>GEBRETEKLE DAGNEW</v>
      </c>
      <c r="H39" s="20" t="str">
        <f t="shared" si="1"/>
        <v>4008</v>
      </c>
    </row>
    <row r="40" spans="1:8" x14ac:dyDescent="0.25">
      <c r="A40" s="8">
        <v>43078.264016203706</v>
      </c>
      <c r="B40" s="25" t="s">
        <v>494</v>
      </c>
      <c r="C40" s="20" t="s">
        <v>731</v>
      </c>
      <c r="D40" s="137">
        <v>2010000</v>
      </c>
      <c r="E40" s="20" t="s">
        <v>543</v>
      </c>
      <c r="F40" s="20" t="s">
        <v>544</v>
      </c>
      <c r="G40" s="8" t="str">
        <f t="shared" si="0"/>
        <v>MAELZER KURT</v>
      </c>
      <c r="H40" s="20" t="str">
        <f t="shared" si="1"/>
        <v>4013</v>
      </c>
    </row>
    <row r="41" spans="1:8" x14ac:dyDescent="0.25">
      <c r="A41" s="8">
        <v>43078.267106481479</v>
      </c>
      <c r="B41" s="20" t="s">
        <v>386</v>
      </c>
      <c r="C41" s="20" t="s">
        <v>732</v>
      </c>
      <c r="D41" s="137">
        <v>3090000</v>
      </c>
      <c r="E41" s="20" t="s">
        <v>568</v>
      </c>
      <c r="F41" s="20" t="s">
        <v>569</v>
      </c>
      <c r="G41" s="8" t="str">
        <f t="shared" si="0"/>
        <v>LAMAR NEKESHA</v>
      </c>
      <c r="H41" s="20" t="str">
        <f t="shared" si="1"/>
        <v>4029</v>
      </c>
    </row>
    <row r="42" spans="1:8" x14ac:dyDescent="0.25">
      <c r="A42" s="8">
        <v>43078.267418981479</v>
      </c>
      <c r="B42" s="20" t="s">
        <v>603</v>
      </c>
      <c r="C42" s="20" t="s">
        <v>733</v>
      </c>
      <c r="D42" s="137">
        <v>2370000</v>
      </c>
      <c r="E42" s="20" t="s">
        <v>572</v>
      </c>
      <c r="F42" s="20" t="s">
        <v>573</v>
      </c>
      <c r="G42" s="8" t="str">
        <f t="shared" si="0"/>
        <v>DELGADO DIANAH</v>
      </c>
      <c r="H42" s="20" t="str">
        <f t="shared" si="1"/>
        <v>4058</v>
      </c>
    </row>
    <row r="43" spans="1:8" x14ac:dyDescent="0.25">
      <c r="A43" s="8">
        <v>43078.276423611111</v>
      </c>
      <c r="B43" s="20" t="s">
        <v>542</v>
      </c>
      <c r="C43" s="20" t="s">
        <v>734</v>
      </c>
      <c r="D43" s="137">
        <v>3040000</v>
      </c>
      <c r="E43" s="20" t="s">
        <v>368</v>
      </c>
      <c r="F43" s="20" t="s">
        <v>545</v>
      </c>
      <c r="G43" s="8" t="str">
        <f t="shared" si="0"/>
        <v>WILLIAMS DONTE</v>
      </c>
      <c r="H43" s="20" t="str">
        <f t="shared" si="1"/>
        <v>4021</v>
      </c>
    </row>
    <row r="44" spans="1:8" x14ac:dyDescent="0.25">
      <c r="A44" s="8">
        <v>43078.278240740743</v>
      </c>
      <c r="B44" s="20" t="s">
        <v>357</v>
      </c>
      <c r="C44" s="20" t="s">
        <v>683</v>
      </c>
      <c r="D44" s="137">
        <v>3120000</v>
      </c>
      <c r="E44" s="20" t="s">
        <v>369</v>
      </c>
      <c r="F44" s="20" t="s">
        <v>563</v>
      </c>
      <c r="G44" s="8" t="str">
        <f t="shared" si="0"/>
        <v>THOMPSON LESTER</v>
      </c>
      <c r="H44" s="20" t="str">
        <f t="shared" si="1"/>
        <v>4060</v>
      </c>
    </row>
    <row r="45" spans="1:8" x14ac:dyDescent="0.25">
      <c r="A45" s="8">
        <v>43078.28565972222</v>
      </c>
      <c r="B45" s="20" t="s">
        <v>600</v>
      </c>
      <c r="C45" s="20" t="s">
        <v>735</v>
      </c>
      <c r="D45" s="137">
        <v>2440000</v>
      </c>
      <c r="E45" s="20" t="s">
        <v>456</v>
      </c>
      <c r="F45" s="20" t="s">
        <v>457</v>
      </c>
      <c r="G45" s="8" t="str">
        <f t="shared" si="0"/>
        <v>LOPES KIMBERLY</v>
      </c>
      <c r="H45" s="20" t="str">
        <f t="shared" si="1"/>
        <v>4027</v>
      </c>
    </row>
    <row r="46" spans="1:8" x14ac:dyDescent="0.25">
      <c r="A46" s="8">
        <v>43078.286134259259</v>
      </c>
      <c r="B46" s="20" t="s">
        <v>361</v>
      </c>
      <c r="C46" s="20" t="s">
        <v>736</v>
      </c>
      <c r="D46" s="137">
        <v>1100000</v>
      </c>
      <c r="E46" s="20" t="s">
        <v>564</v>
      </c>
      <c r="F46" s="20" t="s">
        <v>565</v>
      </c>
      <c r="G46" s="8" t="str">
        <f t="shared" si="0"/>
        <v>GEBRETEKLE DAGNEW</v>
      </c>
      <c r="H46" s="20" t="str">
        <f t="shared" si="1"/>
        <v>4007</v>
      </c>
    </row>
    <row r="47" spans="1:8" x14ac:dyDescent="0.25">
      <c r="A47" s="8">
        <v>43078.290023148147</v>
      </c>
      <c r="B47" s="20" t="s">
        <v>392</v>
      </c>
      <c r="C47" s="20" t="s">
        <v>737</v>
      </c>
      <c r="D47" s="137">
        <v>3090000</v>
      </c>
      <c r="E47" s="20" t="s">
        <v>568</v>
      </c>
      <c r="F47" s="20" t="s">
        <v>569</v>
      </c>
      <c r="G47" s="8" t="str">
        <f t="shared" si="0"/>
        <v>LAMAR NEKESHA</v>
      </c>
      <c r="H47" s="20" t="str">
        <f t="shared" si="1"/>
        <v>4030</v>
      </c>
    </row>
    <row r="48" spans="1:8" x14ac:dyDescent="0.25">
      <c r="A48" s="8">
        <v>43078.290162037039</v>
      </c>
      <c r="B48" s="20" t="s">
        <v>366</v>
      </c>
      <c r="C48" s="20" t="s">
        <v>738</v>
      </c>
      <c r="D48" s="137">
        <v>2560000</v>
      </c>
      <c r="E48" s="20" t="s">
        <v>566</v>
      </c>
      <c r="F48" s="20" t="s">
        <v>567</v>
      </c>
      <c r="G48" s="8" t="str">
        <f t="shared" si="0"/>
        <v>MACDONALD THOMAS</v>
      </c>
      <c r="H48" s="20" t="str">
        <f t="shared" si="1"/>
        <v>4036</v>
      </c>
    </row>
    <row r="49" spans="1:8" x14ac:dyDescent="0.25">
      <c r="A49" s="8">
        <v>43078.296689814815</v>
      </c>
      <c r="B49" s="20" t="s">
        <v>604</v>
      </c>
      <c r="C49" s="20" t="s">
        <v>684</v>
      </c>
      <c r="D49" s="137">
        <v>2370000</v>
      </c>
      <c r="E49" s="20" t="s">
        <v>572</v>
      </c>
      <c r="F49" s="20" t="s">
        <v>573</v>
      </c>
      <c r="G49" s="8" t="str">
        <f t="shared" si="0"/>
        <v>DELGADO DIANAH</v>
      </c>
      <c r="H49" s="20" t="str">
        <f t="shared" si="1"/>
        <v>4057</v>
      </c>
    </row>
    <row r="50" spans="1:8" x14ac:dyDescent="0.25">
      <c r="A50" s="8">
        <v>43078.297384259262</v>
      </c>
      <c r="B50" s="20" t="s">
        <v>493</v>
      </c>
      <c r="C50" s="20" t="s">
        <v>739</v>
      </c>
      <c r="D50" s="137">
        <v>2010000</v>
      </c>
      <c r="E50" s="20" t="s">
        <v>543</v>
      </c>
      <c r="F50" s="20" t="s">
        <v>544</v>
      </c>
      <c r="G50" s="8" t="str">
        <f t="shared" si="0"/>
        <v>MAELZER KURT</v>
      </c>
      <c r="H50" s="20" t="str">
        <f t="shared" si="1"/>
        <v>4014</v>
      </c>
    </row>
    <row r="51" spans="1:8" x14ac:dyDescent="0.25">
      <c r="A51" s="8">
        <v>43078.307696759257</v>
      </c>
      <c r="B51" s="20" t="s">
        <v>384</v>
      </c>
      <c r="C51" s="20" t="s">
        <v>740</v>
      </c>
      <c r="D51" s="137">
        <v>3040000</v>
      </c>
      <c r="E51" s="20" t="s">
        <v>368</v>
      </c>
      <c r="F51" s="20" t="s">
        <v>545</v>
      </c>
      <c r="G51" s="8" t="str">
        <f t="shared" si="0"/>
        <v>WILLIAMS DONTE</v>
      </c>
      <c r="H51" s="20" t="str">
        <f t="shared" si="1"/>
        <v>4022</v>
      </c>
    </row>
    <row r="52" spans="1:8" x14ac:dyDescent="0.25">
      <c r="A52" s="8">
        <v>43078.309074074074</v>
      </c>
      <c r="B52" s="20" t="s">
        <v>386</v>
      </c>
      <c r="C52" s="20" t="s">
        <v>741</v>
      </c>
      <c r="D52" s="137">
        <v>3090000</v>
      </c>
      <c r="E52" s="20" t="s">
        <v>568</v>
      </c>
      <c r="F52" s="20" t="s">
        <v>569</v>
      </c>
      <c r="G52" s="8" t="str">
        <f t="shared" si="0"/>
        <v>LAMAR NEKESHA</v>
      </c>
      <c r="H52" s="20" t="str">
        <f t="shared" si="1"/>
        <v>4029</v>
      </c>
    </row>
    <row r="53" spans="1:8" x14ac:dyDescent="0.25">
      <c r="A53" s="8">
        <v>43078.316331018519</v>
      </c>
      <c r="B53" s="20" t="s">
        <v>391</v>
      </c>
      <c r="C53" s="20" t="s">
        <v>742</v>
      </c>
      <c r="D53" s="137">
        <v>2440000</v>
      </c>
      <c r="E53" s="20" t="s">
        <v>456</v>
      </c>
      <c r="F53" s="20" t="s">
        <v>457</v>
      </c>
      <c r="G53" s="8" t="str">
        <f t="shared" si="0"/>
        <v>LOPES KIMBERLY</v>
      </c>
      <c r="H53" s="20" t="str">
        <f t="shared" si="1"/>
        <v>4028</v>
      </c>
    </row>
    <row r="54" spans="1:8" x14ac:dyDescent="0.25">
      <c r="A54" s="8">
        <v>43078.318576388891</v>
      </c>
      <c r="B54" s="20" t="s">
        <v>390</v>
      </c>
      <c r="C54" s="20" t="s">
        <v>685</v>
      </c>
      <c r="D54" s="137">
        <v>3120000</v>
      </c>
      <c r="E54" s="20" t="s">
        <v>369</v>
      </c>
      <c r="F54" s="20" t="s">
        <v>563</v>
      </c>
      <c r="G54" s="8" t="str">
        <f t="shared" si="0"/>
        <v>THOMPSON LESTER</v>
      </c>
      <c r="H54" s="20" t="str">
        <f t="shared" si="1"/>
        <v>4059</v>
      </c>
    </row>
    <row r="55" spans="1:8" x14ac:dyDescent="0.25">
      <c r="A55" s="8">
        <v>43078.326701388891</v>
      </c>
      <c r="B55" s="20" t="s">
        <v>367</v>
      </c>
      <c r="C55" s="20" t="s">
        <v>743</v>
      </c>
      <c r="D55" s="137">
        <v>2560000</v>
      </c>
      <c r="E55" s="20" t="s">
        <v>566</v>
      </c>
      <c r="F55" s="20" t="s">
        <v>567</v>
      </c>
      <c r="G55" s="8" t="str">
        <f t="shared" si="0"/>
        <v>MACDONALD THOMAS</v>
      </c>
      <c r="H55" s="20" t="str">
        <f t="shared" si="1"/>
        <v>4035</v>
      </c>
    </row>
    <row r="56" spans="1:8" x14ac:dyDescent="0.25">
      <c r="A56" s="8">
        <v>43078.328217592592</v>
      </c>
      <c r="B56" s="20" t="s">
        <v>356</v>
      </c>
      <c r="C56" s="20" t="s">
        <v>744</v>
      </c>
      <c r="D56" s="137">
        <v>3260000</v>
      </c>
      <c r="E56" s="20" t="s">
        <v>601</v>
      </c>
      <c r="F56" s="20" t="s">
        <v>602</v>
      </c>
      <c r="G56" s="8" t="str">
        <f t="shared" si="0"/>
        <v>PAGE MARCUS</v>
      </c>
      <c r="H56" s="20" t="str">
        <f t="shared" si="1"/>
        <v>4008</v>
      </c>
    </row>
    <row r="57" spans="1:8" x14ac:dyDescent="0.25">
      <c r="A57" s="8">
        <v>43078.331365740742</v>
      </c>
      <c r="B57" s="20" t="s">
        <v>494</v>
      </c>
      <c r="C57" s="20" t="s">
        <v>745</v>
      </c>
      <c r="D57" s="137">
        <v>2010000</v>
      </c>
      <c r="E57" s="20" t="s">
        <v>543</v>
      </c>
      <c r="F57" s="20" t="s">
        <v>544</v>
      </c>
      <c r="G57" s="8" t="str">
        <f t="shared" si="0"/>
        <v>MAELZER KURT</v>
      </c>
      <c r="H57" s="20" t="str">
        <f t="shared" si="1"/>
        <v>4013</v>
      </c>
    </row>
    <row r="58" spans="1:8" x14ac:dyDescent="0.25">
      <c r="A58" s="8">
        <v>43078.332280092596</v>
      </c>
      <c r="B58" s="20" t="s">
        <v>392</v>
      </c>
      <c r="C58" s="20" t="s">
        <v>746</v>
      </c>
      <c r="D58" s="137">
        <v>3090000</v>
      </c>
      <c r="E58" s="20" t="s">
        <v>568</v>
      </c>
      <c r="F58" s="20" t="s">
        <v>569</v>
      </c>
      <c r="G58" s="8" t="str">
        <f t="shared" si="0"/>
        <v>LAMAR NEKESHA</v>
      </c>
      <c r="H58" s="20" t="str">
        <f t="shared" si="1"/>
        <v>4030</v>
      </c>
    </row>
    <row r="59" spans="1:8" x14ac:dyDescent="0.25">
      <c r="A59" s="8">
        <v>43078.339201388888</v>
      </c>
      <c r="B59" s="20" t="s">
        <v>603</v>
      </c>
      <c r="C59" s="20" t="s">
        <v>747</v>
      </c>
      <c r="D59" s="137">
        <v>2370000</v>
      </c>
      <c r="E59" s="20" t="s">
        <v>572</v>
      </c>
      <c r="F59" s="20" t="s">
        <v>573</v>
      </c>
      <c r="G59" s="8" t="str">
        <f t="shared" si="0"/>
        <v>DELGADO DIANAH</v>
      </c>
      <c r="H59" s="20" t="str">
        <f t="shared" si="1"/>
        <v>4058</v>
      </c>
    </row>
    <row r="60" spans="1:8" x14ac:dyDescent="0.25">
      <c r="A60" s="8">
        <v>43078.347743055558</v>
      </c>
      <c r="B60" s="20" t="s">
        <v>542</v>
      </c>
      <c r="C60" s="20" t="s">
        <v>748</v>
      </c>
      <c r="D60" s="137">
        <v>3040000</v>
      </c>
      <c r="E60" s="20" t="s">
        <v>368</v>
      </c>
      <c r="F60" s="20" t="s">
        <v>545</v>
      </c>
      <c r="G60" s="8" t="str">
        <f t="shared" si="0"/>
        <v>WILLIAMS DONTE</v>
      </c>
      <c r="H60" s="20" t="str">
        <f t="shared" si="1"/>
        <v>4021</v>
      </c>
    </row>
    <row r="61" spans="1:8" x14ac:dyDescent="0.25">
      <c r="A61" s="8">
        <v>43078.351030092592</v>
      </c>
      <c r="B61" s="20" t="s">
        <v>386</v>
      </c>
      <c r="C61" s="20" t="s">
        <v>749</v>
      </c>
      <c r="D61" s="137">
        <v>3090000</v>
      </c>
      <c r="E61" s="20" t="s">
        <v>568</v>
      </c>
      <c r="F61" s="20" t="s">
        <v>569</v>
      </c>
      <c r="G61" s="8" t="str">
        <f t="shared" si="0"/>
        <v>LAMAR NEKESHA</v>
      </c>
      <c r="H61" s="20" t="str">
        <f t="shared" si="1"/>
        <v>4029</v>
      </c>
    </row>
    <row r="62" spans="1:8" x14ac:dyDescent="0.25">
      <c r="A62" s="8">
        <v>43078.352870370371</v>
      </c>
      <c r="B62" s="20" t="s">
        <v>357</v>
      </c>
      <c r="C62" s="20" t="s">
        <v>750</v>
      </c>
      <c r="D62" s="137">
        <v>3120000</v>
      </c>
      <c r="E62" s="20" t="s">
        <v>369</v>
      </c>
      <c r="F62" s="20" t="s">
        <v>563</v>
      </c>
      <c r="G62" s="8" t="str">
        <f t="shared" si="0"/>
        <v>THOMPSON LESTER</v>
      </c>
      <c r="H62" s="20" t="str">
        <f t="shared" si="1"/>
        <v>4060</v>
      </c>
    </row>
    <row r="63" spans="1:8" x14ac:dyDescent="0.25">
      <c r="A63" s="8">
        <v>43078.359618055554</v>
      </c>
      <c r="B63" s="20" t="s">
        <v>361</v>
      </c>
      <c r="C63" s="20" t="s">
        <v>751</v>
      </c>
      <c r="D63" s="137">
        <v>3260000</v>
      </c>
      <c r="E63" s="20" t="s">
        <v>601</v>
      </c>
      <c r="F63" s="20" t="s">
        <v>602</v>
      </c>
      <c r="G63" s="8" t="str">
        <f t="shared" si="0"/>
        <v>PAGE MARCUS</v>
      </c>
      <c r="H63" s="20" t="str">
        <f t="shared" si="1"/>
        <v>4007</v>
      </c>
    </row>
    <row r="64" spans="1:8" x14ac:dyDescent="0.25">
      <c r="A64" s="26">
        <v>43078.359791666669</v>
      </c>
      <c r="B64" s="20" t="s">
        <v>600</v>
      </c>
      <c r="C64" s="20" t="s">
        <v>686</v>
      </c>
      <c r="D64" s="137">
        <v>2440000</v>
      </c>
      <c r="E64" s="20" t="s">
        <v>456</v>
      </c>
      <c r="F64" s="20" t="s">
        <v>457</v>
      </c>
      <c r="G64" s="8" t="str">
        <f t="shared" si="0"/>
        <v>LOPES KIMBERLY</v>
      </c>
      <c r="H64" s="20" t="str">
        <f t="shared" si="1"/>
        <v>4027</v>
      </c>
    </row>
    <row r="65" spans="1:8" x14ac:dyDescent="0.25">
      <c r="A65" s="8">
        <v>43078.362476851849</v>
      </c>
      <c r="B65" s="20" t="s">
        <v>366</v>
      </c>
      <c r="C65" s="20" t="s">
        <v>752</v>
      </c>
      <c r="D65" s="137">
        <v>2560000</v>
      </c>
      <c r="E65" s="20" t="s">
        <v>566</v>
      </c>
      <c r="F65" s="20" t="s">
        <v>567</v>
      </c>
      <c r="G65" s="8" t="str">
        <f t="shared" si="0"/>
        <v>MACDONALD THOMAS</v>
      </c>
      <c r="H65" s="20" t="str">
        <f t="shared" si="1"/>
        <v>4036</v>
      </c>
    </row>
    <row r="66" spans="1:8" x14ac:dyDescent="0.25">
      <c r="A66" s="8">
        <v>43078.37232638889</v>
      </c>
      <c r="B66" s="20" t="s">
        <v>604</v>
      </c>
      <c r="C66" s="20" t="s">
        <v>753</v>
      </c>
      <c r="D66" s="137">
        <v>2370000</v>
      </c>
      <c r="E66" s="20" t="s">
        <v>572</v>
      </c>
      <c r="F66" s="20" t="s">
        <v>573</v>
      </c>
      <c r="G66" s="8" t="str">
        <f t="shared" si="0"/>
        <v>DELGADO DIANAH</v>
      </c>
      <c r="H66" s="20" t="str">
        <f t="shared" si="1"/>
        <v>4057</v>
      </c>
    </row>
    <row r="67" spans="1:8" x14ac:dyDescent="0.25">
      <c r="A67" s="8">
        <v>43078.372384259259</v>
      </c>
      <c r="B67" s="20" t="s">
        <v>493</v>
      </c>
      <c r="C67" s="20" t="s">
        <v>754</v>
      </c>
      <c r="D67" s="137">
        <v>2010000</v>
      </c>
      <c r="E67" s="20" t="s">
        <v>543</v>
      </c>
      <c r="F67" s="20" t="s">
        <v>544</v>
      </c>
      <c r="G67" s="8" t="str">
        <f t="shared" ref="G67:G130" si="2">E67&amp;" "&amp;F67</f>
        <v>MAELZER KURT</v>
      </c>
      <c r="H67" s="20" t="str">
        <f t="shared" ref="H67:H130" si="3">MID(B67,13,4)</f>
        <v>4014</v>
      </c>
    </row>
    <row r="68" spans="1:8" x14ac:dyDescent="0.25">
      <c r="A68" s="8">
        <v>43078.374722222223</v>
      </c>
      <c r="B68" s="20" t="s">
        <v>392</v>
      </c>
      <c r="C68" s="20" t="s">
        <v>755</v>
      </c>
      <c r="D68" s="137">
        <v>3090000</v>
      </c>
      <c r="E68" s="20" t="s">
        <v>568</v>
      </c>
      <c r="F68" s="20" t="s">
        <v>569</v>
      </c>
      <c r="G68" s="8" t="str">
        <f t="shared" si="2"/>
        <v>LAMAR NEKESHA</v>
      </c>
      <c r="H68" s="20" t="str">
        <f t="shared" si="3"/>
        <v>4030</v>
      </c>
    </row>
    <row r="69" spans="1:8" x14ac:dyDescent="0.25">
      <c r="A69" s="8">
        <v>43078.382222222222</v>
      </c>
      <c r="B69" s="20" t="s">
        <v>384</v>
      </c>
      <c r="C69" s="20" t="s">
        <v>756</v>
      </c>
      <c r="D69" s="137">
        <v>3040000</v>
      </c>
      <c r="E69" s="20" t="s">
        <v>368</v>
      </c>
      <c r="F69" s="20" t="s">
        <v>545</v>
      </c>
      <c r="G69" s="8" t="str">
        <f t="shared" si="2"/>
        <v>WILLIAMS DONTE</v>
      </c>
      <c r="H69" s="20" t="str">
        <f t="shared" si="3"/>
        <v>4022</v>
      </c>
    </row>
    <row r="70" spans="1:8" x14ac:dyDescent="0.25">
      <c r="A70" s="8">
        <v>43078.390370370369</v>
      </c>
      <c r="B70" s="20" t="s">
        <v>391</v>
      </c>
      <c r="C70" s="20" t="s">
        <v>757</v>
      </c>
      <c r="D70" s="137">
        <v>2440000</v>
      </c>
      <c r="E70" s="20" t="s">
        <v>456</v>
      </c>
      <c r="F70" s="20" t="s">
        <v>457</v>
      </c>
      <c r="G70" s="8" t="str">
        <f t="shared" si="2"/>
        <v>LOPES KIMBERLY</v>
      </c>
      <c r="H70" s="20" t="str">
        <f t="shared" si="3"/>
        <v>4028</v>
      </c>
    </row>
    <row r="71" spans="1:8" x14ac:dyDescent="0.25">
      <c r="A71" s="8">
        <v>43078.392638888887</v>
      </c>
      <c r="B71" s="20" t="s">
        <v>390</v>
      </c>
      <c r="C71" s="20" t="s">
        <v>687</v>
      </c>
      <c r="D71" s="137">
        <v>3120000</v>
      </c>
      <c r="E71" s="20" t="s">
        <v>369</v>
      </c>
      <c r="F71" s="20" t="s">
        <v>563</v>
      </c>
      <c r="G71" s="8" t="str">
        <f t="shared" si="2"/>
        <v>THOMPSON LESTER</v>
      </c>
      <c r="H71" s="20" t="str">
        <f t="shared" si="3"/>
        <v>4059</v>
      </c>
    </row>
    <row r="72" spans="1:8" x14ac:dyDescent="0.25">
      <c r="A72" s="8">
        <v>43078.392835648148</v>
      </c>
      <c r="B72" s="20" t="s">
        <v>386</v>
      </c>
      <c r="C72" s="20" t="s">
        <v>688</v>
      </c>
      <c r="D72" s="137">
        <v>3090000</v>
      </c>
      <c r="E72" s="20" t="s">
        <v>568</v>
      </c>
      <c r="F72" s="20" t="s">
        <v>569</v>
      </c>
      <c r="G72" s="8" t="str">
        <f t="shared" si="2"/>
        <v>LAMAR NEKESHA</v>
      </c>
      <c r="H72" s="20" t="str">
        <f t="shared" si="3"/>
        <v>4029</v>
      </c>
    </row>
    <row r="73" spans="1:8" x14ac:dyDescent="0.25">
      <c r="A73" s="8">
        <v>43078.401400462964</v>
      </c>
      <c r="B73" s="20" t="s">
        <v>356</v>
      </c>
      <c r="C73" s="20" t="s">
        <v>758</v>
      </c>
      <c r="D73" s="137">
        <v>1100000</v>
      </c>
      <c r="E73" s="20" t="s">
        <v>564</v>
      </c>
      <c r="F73" s="20" t="s">
        <v>565</v>
      </c>
      <c r="G73" s="8" t="str">
        <f t="shared" si="2"/>
        <v>GEBRETEKLE DAGNEW</v>
      </c>
      <c r="H73" s="20" t="str">
        <f t="shared" si="3"/>
        <v>4008</v>
      </c>
    </row>
    <row r="74" spans="1:8" x14ac:dyDescent="0.25">
      <c r="A74" s="8">
        <v>43078.404027777775</v>
      </c>
      <c r="B74" s="20" t="s">
        <v>367</v>
      </c>
      <c r="C74" s="20" t="s">
        <v>759</v>
      </c>
      <c r="D74" s="137">
        <v>2560000</v>
      </c>
      <c r="E74" s="20" t="s">
        <v>566</v>
      </c>
      <c r="F74" s="20" t="s">
        <v>567</v>
      </c>
      <c r="G74" s="8" t="str">
        <f t="shared" si="2"/>
        <v>MACDONALD THOMAS</v>
      </c>
      <c r="H74" s="20" t="str">
        <f t="shared" si="3"/>
        <v>4035</v>
      </c>
    </row>
    <row r="75" spans="1:8" x14ac:dyDescent="0.25">
      <c r="A75" s="8">
        <v>43078.407893518517</v>
      </c>
      <c r="B75" s="20" t="s">
        <v>494</v>
      </c>
      <c r="C75" s="20" t="s">
        <v>760</v>
      </c>
      <c r="D75" s="137">
        <v>2010000</v>
      </c>
      <c r="E75" s="20" t="s">
        <v>543</v>
      </c>
      <c r="F75" s="20" t="s">
        <v>544</v>
      </c>
      <c r="G75" s="8" t="str">
        <f t="shared" si="2"/>
        <v>MAELZER KURT</v>
      </c>
      <c r="H75" s="20" t="str">
        <f t="shared" si="3"/>
        <v>4013</v>
      </c>
    </row>
    <row r="76" spans="1:8" x14ac:dyDescent="0.25">
      <c r="A76" s="8">
        <v>43078.408333333333</v>
      </c>
      <c r="B76" s="20" t="s">
        <v>705</v>
      </c>
      <c r="C76" s="20" t="s">
        <v>706</v>
      </c>
      <c r="D76" s="137">
        <v>1780000</v>
      </c>
      <c r="E76" s="20" t="s">
        <v>498</v>
      </c>
      <c r="F76" s="20" t="s">
        <v>499</v>
      </c>
      <c r="G76" s="8" t="str">
        <f t="shared" si="2"/>
        <v>DE LA ROSA ALEX</v>
      </c>
      <c r="H76" s="20" t="str">
        <f t="shared" si="3"/>
        <v>4004</v>
      </c>
    </row>
    <row r="77" spans="1:8" x14ac:dyDescent="0.25">
      <c r="A77" s="8">
        <v>43078.41097222222</v>
      </c>
      <c r="B77" s="20" t="s">
        <v>679</v>
      </c>
      <c r="C77" s="20" t="s">
        <v>707</v>
      </c>
      <c r="D77" s="137">
        <v>1780000</v>
      </c>
      <c r="E77" s="20" t="s">
        <v>498</v>
      </c>
      <c r="F77" s="20" t="s">
        <v>499</v>
      </c>
      <c r="G77" s="8" t="str">
        <f t="shared" si="2"/>
        <v>DE LA ROSA ALEX</v>
      </c>
      <c r="H77" s="20" t="str">
        <f t="shared" si="3"/>
        <v>4003</v>
      </c>
    </row>
    <row r="78" spans="1:8" x14ac:dyDescent="0.25">
      <c r="A78" s="8">
        <v>43078.413506944446</v>
      </c>
      <c r="B78" s="20" t="s">
        <v>603</v>
      </c>
      <c r="C78" s="20" t="s">
        <v>761</v>
      </c>
      <c r="D78" s="137">
        <v>2370000</v>
      </c>
      <c r="E78" s="20" t="s">
        <v>572</v>
      </c>
      <c r="F78" s="20" t="s">
        <v>573</v>
      </c>
      <c r="G78" s="8" t="str">
        <f t="shared" si="2"/>
        <v>DELGADO DIANAH</v>
      </c>
      <c r="H78" s="20" t="str">
        <f t="shared" si="3"/>
        <v>4058</v>
      </c>
    </row>
    <row r="79" spans="1:8" x14ac:dyDescent="0.25">
      <c r="A79" s="8">
        <v>43078.416030092594</v>
      </c>
      <c r="B79" s="20" t="s">
        <v>392</v>
      </c>
      <c r="C79" s="20" t="s">
        <v>689</v>
      </c>
      <c r="D79" s="137">
        <v>3090000</v>
      </c>
      <c r="E79" s="20" t="s">
        <v>568</v>
      </c>
      <c r="F79" s="20" t="s">
        <v>569</v>
      </c>
      <c r="G79" s="8" t="str">
        <f t="shared" si="2"/>
        <v>LAMAR NEKESHA</v>
      </c>
      <c r="H79" s="20" t="str">
        <f t="shared" si="3"/>
        <v>4030</v>
      </c>
    </row>
    <row r="80" spans="1:8" x14ac:dyDescent="0.25">
      <c r="A80" s="8">
        <v>43078.419398148151</v>
      </c>
      <c r="B80" s="20" t="s">
        <v>705</v>
      </c>
      <c r="C80" s="20" t="s">
        <v>762</v>
      </c>
      <c r="D80" s="137">
        <v>2550000</v>
      </c>
      <c r="E80" s="20" t="s">
        <v>546</v>
      </c>
      <c r="F80" s="20" t="s">
        <v>547</v>
      </c>
      <c r="G80" s="8" t="str">
        <f t="shared" si="2"/>
        <v>BADERTSCHER DIANE</v>
      </c>
      <c r="H80" s="20" t="str">
        <f t="shared" si="3"/>
        <v>4004</v>
      </c>
    </row>
    <row r="81" spans="1:8" x14ac:dyDescent="0.25">
      <c r="A81" s="8">
        <v>43078.4218287037</v>
      </c>
      <c r="B81" s="20" t="s">
        <v>542</v>
      </c>
      <c r="C81" s="20" t="s">
        <v>763</v>
      </c>
      <c r="D81" s="137">
        <v>3040000</v>
      </c>
      <c r="E81" s="20" t="s">
        <v>368</v>
      </c>
      <c r="F81" s="20" t="s">
        <v>545</v>
      </c>
      <c r="G81" s="8" t="str">
        <f t="shared" si="2"/>
        <v>WILLIAMS DONTE</v>
      </c>
      <c r="H81" s="20" t="str">
        <f t="shared" si="3"/>
        <v>4021</v>
      </c>
    </row>
    <row r="82" spans="1:8" x14ac:dyDescent="0.25">
      <c r="A82" s="8">
        <v>43078.429629629631</v>
      </c>
      <c r="B82" s="20" t="s">
        <v>600</v>
      </c>
      <c r="C82" s="20" t="s">
        <v>764</v>
      </c>
      <c r="D82" s="137">
        <v>2440000</v>
      </c>
      <c r="E82" s="20" t="s">
        <v>456</v>
      </c>
      <c r="F82" s="20" t="s">
        <v>457</v>
      </c>
      <c r="G82" s="8" t="str">
        <f t="shared" si="2"/>
        <v>LOPES KIMBERLY</v>
      </c>
      <c r="H82" s="20" t="str">
        <f t="shared" si="3"/>
        <v>4027</v>
      </c>
    </row>
    <row r="83" spans="1:8" x14ac:dyDescent="0.25">
      <c r="A83" s="8">
        <v>43078.432013888887</v>
      </c>
      <c r="B83" s="20" t="s">
        <v>361</v>
      </c>
      <c r="C83" s="20" t="s">
        <v>765</v>
      </c>
      <c r="D83" s="137">
        <v>1100000</v>
      </c>
      <c r="E83" s="20" t="s">
        <v>564</v>
      </c>
      <c r="F83" s="20" t="s">
        <v>565</v>
      </c>
      <c r="G83" s="8" t="str">
        <f t="shared" si="2"/>
        <v>GEBRETEKLE DAGNEW</v>
      </c>
      <c r="H83" s="20" t="str">
        <f t="shared" si="3"/>
        <v>4007</v>
      </c>
    </row>
    <row r="84" spans="1:8" x14ac:dyDescent="0.25">
      <c r="A84" s="8">
        <v>43078.433703703704</v>
      </c>
      <c r="B84" s="20" t="s">
        <v>386</v>
      </c>
      <c r="C84" s="20" t="s">
        <v>766</v>
      </c>
      <c r="D84" s="137">
        <v>3090000</v>
      </c>
      <c r="E84" s="20" t="s">
        <v>568</v>
      </c>
      <c r="F84" s="20" t="s">
        <v>569</v>
      </c>
      <c r="G84" s="8" t="str">
        <f t="shared" si="2"/>
        <v>LAMAR NEKESHA</v>
      </c>
      <c r="H84" s="20" t="str">
        <f t="shared" si="3"/>
        <v>4029</v>
      </c>
    </row>
    <row r="85" spans="1:8" x14ac:dyDescent="0.25">
      <c r="A85" s="8">
        <v>43078.436412037037</v>
      </c>
      <c r="B85" s="20" t="s">
        <v>366</v>
      </c>
      <c r="C85" s="20" t="s">
        <v>767</v>
      </c>
      <c r="D85" s="137">
        <v>2560000</v>
      </c>
      <c r="E85" s="20" t="s">
        <v>566</v>
      </c>
      <c r="F85" s="20" t="s">
        <v>567</v>
      </c>
      <c r="G85" s="8" t="str">
        <f t="shared" si="2"/>
        <v>MACDONALD THOMAS</v>
      </c>
      <c r="H85" s="20" t="str">
        <f t="shared" si="3"/>
        <v>4036</v>
      </c>
    </row>
    <row r="86" spans="1:8" x14ac:dyDescent="0.25">
      <c r="A86" s="8">
        <v>43078.445462962962</v>
      </c>
      <c r="B86" s="20" t="s">
        <v>604</v>
      </c>
      <c r="C86" s="20" t="s">
        <v>768</v>
      </c>
      <c r="D86" s="137">
        <v>2370000</v>
      </c>
      <c r="E86" s="20" t="s">
        <v>572</v>
      </c>
      <c r="F86" s="20" t="s">
        <v>573</v>
      </c>
      <c r="G86" s="8" t="str">
        <f t="shared" si="2"/>
        <v>DELGADO DIANAH</v>
      </c>
      <c r="H86" s="20" t="str">
        <f t="shared" si="3"/>
        <v>4057</v>
      </c>
    </row>
    <row r="87" spans="1:8" x14ac:dyDescent="0.25">
      <c r="A87" s="8">
        <v>43078.445775462962</v>
      </c>
      <c r="B87" s="20" t="s">
        <v>493</v>
      </c>
      <c r="C87" s="20" t="s">
        <v>769</v>
      </c>
      <c r="D87" s="137">
        <v>1770000</v>
      </c>
      <c r="E87" s="20" t="s">
        <v>496</v>
      </c>
      <c r="F87" s="20" t="s">
        <v>497</v>
      </c>
      <c r="G87" s="8" t="str">
        <f t="shared" si="2"/>
        <v>BRUDER RICHARD</v>
      </c>
      <c r="H87" s="20" t="str">
        <f t="shared" si="3"/>
        <v>4014</v>
      </c>
    </row>
    <row r="88" spans="1:8" x14ac:dyDescent="0.25">
      <c r="A88" s="8">
        <v>43078.454548611109</v>
      </c>
      <c r="B88" s="20" t="s">
        <v>384</v>
      </c>
      <c r="C88" s="20" t="s">
        <v>770</v>
      </c>
      <c r="D88" s="137">
        <v>3040000</v>
      </c>
      <c r="E88" s="20" t="s">
        <v>368</v>
      </c>
      <c r="F88" s="20" t="s">
        <v>545</v>
      </c>
      <c r="G88" s="8" t="str">
        <f t="shared" si="2"/>
        <v>WILLIAMS DONTE</v>
      </c>
      <c r="H88" s="20" t="str">
        <f t="shared" si="3"/>
        <v>4022</v>
      </c>
    </row>
    <row r="89" spans="1:8" x14ac:dyDescent="0.25">
      <c r="A89" s="8">
        <v>43078.457071759258</v>
      </c>
      <c r="B89" s="20" t="s">
        <v>392</v>
      </c>
      <c r="C89" s="20" t="s">
        <v>771</v>
      </c>
      <c r="D89" s="137">
        <v>3090000</v>
      </c>
      <c r="E89" s="20" t="s">
        <v>568</v>
      </c>
      <c r="F89" s="20" t="s">
        <v>569</v>
      </c>
      <c r="G89" s="8" t="str">
        <f t="shared" si="2"/>
        <v>LAMAR NEKESHA</v>
      </c>
      <c r="H89" s="20" t="str">
        <f t="shared" si="3"/>
        <v>4030</v>
      </c>
    </row>
    <row r="90" spans="1:8" x14ac:dyDescent="0.25">
      <c r="A90" s="8">
        <v>43078.46266203704</v>
      </c>
      <c r="B90" s="20" t="s">
        <v>679</v>
      </c>
      <c r="C90" s="20" t="s">
        <v>772</v>
      </c>
      <c r="D90" s="137">
        <v>2550000</v>
      </c>
      <c r="E90" s="20" t="s">
        <v>546</v>
      </c>
      <c r="F90" s="20" t="s">
        <v>547</v>
      </c>
      <c r="G90" s="8" t="str">
        <f t="shared" si="2"/>
        <v>BADERTSCHER DIANE</v>
      </c>
      <c r="H90" s="20" t="str">
        <f t="shared" si="3"/>
        <v>4003</v>
      </c>
    </row>
    <row r="91" spans="1:8" x14ac:dyDescent="0.25">
      <c r="A91" s="8">
        <v>43078.465231481481</v>
      </c>
      <c r="B91" s="20" t="s">
        <v>391</v>
      </c>
      <c r="C91" s="20" t="s">
        <v>773</v>
      </c>
      <c r="D91" s="137">
        <v>920000</v>
      </c>
      <c r="E91" s="20" t="s">
        <v>774</v>
      </c>
      <c r="F91" s="20" t="s">
        <v>352</v>
      </c>
      <c r="G91" s="8" t="str">
        <f t="shared" si="2"/>
        <v>DAVIS MICHAEL</v>
      </c>
      <c r="H91" s="20" t="str">
        <f t="shared" si="3"/>
        <v>4028</v>
      </c>
    </row>
    <row r="92" spans="1:8" x14ac:dyDescent="0.25">
      <c r="A92" s="8">
        <v>43078.474930555552</v>
      </c>
      <c r="B92" s="20" t="s">
        <v>356</v>
      </c>
      <c r="C92" s="20" t="s">
        <v>775</v>
      </c>
      <c r="D92" s="137">
        <v>2630000</v>
      </c>
      <c r="E92" s="20" t="s">
        <v>372</v>
      </c>
      <c r="F92" s="20" t="s">
        <v>373</v>
      </c>
      <c r="G92" s="8" t="str">
        <f t="shared" si="2"/>
        <v>SAFIEF AEIMEN</v>
      </c>
      <c r="H92" s="20" t="str">
        <f t="shared" si="3"/>
        <v>4008</v>
      </c>
    </row>
    <row r="93" spans="1:8" x14ac:dyDescent="0.25">
      <c r="A93" s="8">
        <v>43078.475254629629</v>
      </c>
      <c r="B93" s="20" t="s">
        <v>367</v>
      </c>
      <c r="C93" s="20" t="s">
        <v>776</v>
      </c>
      <c r="D93" s="137">
        <v>2560000</v>
      </c>
      <c r="E93" s="20" t="s">
        <v>566</v>
      </c>
      <c r="F93" s="20" t="s">
        <v>567</v>
      </c>
      <c r="G93" s="8" t="str">
        <f t="shared" si="2"/>
        <v>MACDONALD THOMAS</v>
      </c>
      <c r="H93" s="20" t="str">
        <f t="shared" si="3"/>
        <v>4035</v>
      </c>
    </row>
    <row r="94" spans="1:8" x14ac:dyDescent="0.25">
      <c r="A94" s="8">
        <v>43078.476030092592</v>
      </c>
      <c r="B94" s="20" t="s">
        <v>386</v>
      </c>
      <c r="C94" s="20" t="s">
        <v>777</v>
      </c>
      <c r="D94" s="137">
        <v>3090000</v>
      </c>
      <c r="E94" s="20" t="s">
        <v>568</v>
      </c>
      <c r="F94" s="20" t="s">
        <v>569</v>
      </c>
      <c r="G94" s="8" t="str">
        <f t="shared" si="2"/>
        <v>LAMAR NEKESHA</v>
      </c>
      <c r="H94" s="20" t="str">
        <f t="shared" si="3"/>
        <v>4029</v>
      </c>
    </row>
    <row r="95" spans="1:8" x14ac:dyDescent="0.25">
      <c r="A95" s="8">
        <v>43078.483865740738</v>
      </c>
      <c r="B95" s="20" t="s">
        <v>603</v>
      </c>
      <c r="C95" s="20" t="s">
        <v>778</v>
      </c>
      <c r="D95" s="137">
        <v>2970000</v>
      </c>
      <c r="E95" s="20" t="s">
        <v>374</v>
      </c>
      <c r="F95" s="20" t="s">
        <v>375</v>
      </c>
      <c r="G95" s="8" t="str">
        <f t="shared" si="2"/>
        <v>GUZMAN DANNY</v>
      </c>
      <c r="H95" s="20" t="str">
        <f t="shared" si="3"/>
        <v>4058</v>
      </c>
    </row>
    <row r="96" spans="1:8" x14ac:dyDescent="0.25">
      <c r="A96" s="8">
        <v>43078.485439814816</v>
      </c>
      <c r="B96" s="20" t="s">
        <v>494</v>
      </c>
      <c r="C96" s="20" t="s">
        <v>779</v>
      </c>
      <c r="D96" s="137">
        <v>1770000</v>
      </c>
      <c r="E96" s="20" t="s">
        <v>496</v>
      </c>
      <c r="F96" s="20" t="s">
        <v>497</v>
      </c>
      <c r="G96" s="8" t="str">
        <f t="shared" si="2"/>
        <v>BRUDER RICHARD</v>
      </c>
      <c r="H96" s="20" t="str">
        <f t="shared" si="3"/>
        <v>4013</v>
      </c>
    </row>
    <row r="97" spans="1:8" x14ac:dyDescent="0.25">
      <c r="A97" s="8">
        <v>43078.494513888887</v>
      </c>
      <c r="B97" s="20" t="s">
        <v>542</v>
      </c>
      <c r="C97" s="20" t="s">
        <v>780</v>
      </c>
      <c r="D97" s="137">
        <v>3040000</v>
      </c>
      <c r="E97" s="20" t="s">
        <v>368</v>
      </c>
      <c r="F97" s="20" t="s">
        <v>545</v>
      </c>
      <c r="G97" s="8" t="str">
        <f t="shared" si="2"/>
        <v>WILLIAMS DONTE</v>
      </c>
      <c r="H97" s="20" t="str">
        <f t="shared" si="3"/>
        <v>4021</v>
      </c>
    </row>
    <row r="98" spans="1:8" x14ac:dyDescent="0.25">
      <c r="A98" s="8">
        <v>43078.496759259258</v>
      </c>
      <c r="B98" s="20" t="s">
        <v>705</v>
      </c>
      <c r="C98" s="20" t="s">
        <v>781</v>
      </c>
      <c r="D98" s="137">
        <v>2550000</v>
      </c>
      <c r="E98" s="20" t="s">
        <v>546</v>
      </c>
      <c r="F98" s="20" t="s">
        <v>547</v>
      </c>
      <c r="G98" s="8" t="str">
        <f t="shared" si="2"/>
        <v>BADERTSCHER DIANE</v>
      </c>
      <c r="H98" s="20" t="str">
        <f t="shared" si="3"/>
        <v>4004</v>
      </c>
    </row>
    <row r="99" spans="1:8" x14ac:dyDescent="0.25">
      <c r="A99" s="8">
        <v>43078.498831018522</v>
      </c>
      <c r="B99" s="20" t="s">
        <v>392</v>
      </c>
      <c r="C99" s="20" t="s">
        <v>690</v>
      </c>
      <c r="D99" s="137">
        <v>3090000</v>
      </c>
      <c r="E99" s="20" t="s">
        <v>568</v>
      </c>
      <c r="F99" s="20" t="s">
        <v>569</v>
      </c>
      <c r="G99" s="8" t="str">
        <f t="shared" si="2"/>
        <v>LAMAR NEKESHA</v>
      </c>
      <c r="H99" s="20" t="str">
        <f t="shared" si="3"/>
        <v>4030</v>
      </c>
    </row>
    <row r="100" spans="1:8" x14ac:dyDescent="0.25">
      <c r="A100" s="8">
        <v>43078.505636574075</v>
      </c>
      <c r="B100" s="20" t="s">
        <v>366</v>
      </c>
      <c r="C100" s="20" t="s">
        <v>782</v>
      </c>
      <c r="D100" s="137">
        <v>3330000</v>
      </c>
      <c r="E100" s="20" t="s">
        <v>605</v>
      </c>
      <c r="F100" s="20" t="s">
        <v>606</v>
      </c>
      <c r="G100" s="8" t="str">
        <f t="shared" si="2"/>
        <v>GONZALEZ ARMANDO</v>
      </c>
      <c r="H100" s="20" t="str">
        <f t="shared" si="3"/>
        <v>4036</v>
      </c>
    </row>
    <row r="101" spans="1:8" x14ac:dyDescent="0.25">
      <c r="A101" s="8">
        <v>43078.506643518522</v>
      </c>
      <c r="B101" s="20" t="s">
        <v>600</v>
      </c>
      <c r="C101" s="20" t="s">
        <v>783</v>
      </c>
      <c r="D101" s="137">
        <v>920000</v>
      </c>
      <c r="E101" s="20" t="s">
        <v>774</v>
      </c>
      <c r="F101" s="20" t="s">
        <v>352</v>
      </c>
      <c r="G101" s="8" t="str">
        <f t="shared" si="2"/>
        <v>DAVIS MICHAEL</v>
      </c>
      <c r="H101" s="20" t="str">
        <f t="shared" si="3"/>
        <v>4027</v>
      </c>
    </row>
    <row r="102" spans="1:8" x14ac:dyDescent="0.25">
      <c r="A102" s="8">
        <v>43078.507673611108</v>
      </c>
      <c r="B102" s="20" t="s">
        <v>361</v>
      </c>
      <c r="C102" s="20" t="s">
        <v>784</v>
      </c>
      <c r="D102" s="137">
        <v>2630000</v>
      </c>
      <c r="E102" s="20" t="s">
        <v>372</v>
      </c>
      <c r="F102" s="20" t="s">
        <v>373</v>
      </c>
      <c r="G102" s="8" t="str">
        <f t="shared" si="2"/>
        <v>SAFIEF AEIMEN</v>
      </c>
      <c r="H102" s="20" t="str">
        <f t="shared" si="3"/>
        <v>4007</v>
      </c>
    </row>
    <row r="103" spans="1:8" x14ac:dyDescent="0.25">
      <c r="A103" s="8">
        <v>43078.517465277779</v>
      </c>
      <c r="B103" s="20" t="s">
        <v>386</v>
      </c>
      <c r="C103" s="20" t="s">
        <v>785</v>
      </c>
      <c r="D103" s="137">
        <v>3090000</v>
      </c>
      <c r="E103" s="20" t="s">
        <v>568</v>
      </c>
      <c r="F103" s="20" t="s">
        <v>569</v>
      </c>
      <c r="G103" s="8" t="str">
        <f t="shared" si="2"/>
        <v>LAMAR NEKESHA</v>
      </c>
      <c r="H103" s="20" t="str">
        <f t="shared" si="3"/>
        <v>4029</v>
      </c>
    </row>
    <row r="104" spans="1:8" x14ac:dyDescent="0.25">
      <c r="A104" s="8">
        <v>43078.518379629626</v>
      </c>
      <c r="B104" s="20" t="s">
        <v>493</v>
      </c>
      <c r="C104" s="20" t="s">
        <v>786</v>
      </c>
      <c r="D104" s="137">
        <v>1770000</v>
      </c>
      <c r="E104" s="20" t="s">
        <v>496</v>
      </c>
      <c r="F104" s="20" t="s">
        <v>497</v>
      </c>
      <c r="G104" s="8" t="str">
        <f t="shared" si="2"/>
        <v>BRUDER RICHARD</v>
      </c>
      <c r="H104" s="20" t="str">
        <f t="shared" si="3"/>
        <v>4014</v>
      </c>
    </row>
    <row r="105" spans="1:8" x14ac:dyDescent="0.25">
      <c r="A105" s="8">
        <v>43078.520092592589</v>
      </c>
      <c r="B105" s="20" t="s">
        <v>604</v>
      </c>
      <c r="C105" s="20" t="s">
        <v>787</v>
      </c>
      <c r="D105" s="137">
        <v>2970000</v>
      </c>
      <c r="E105" s="20" t="s">
        <v>374</v>
      </c>
      <c r="F105" s="20" t="s">
        <v>375</v>
      </c>
      <c r="G105" s="8" t="str">
        <f t="shared" si="2"/>
        <v>GUZMAN DANNY</v>
      </c>
      <c r="H105" s="20" t="str">
        <f t="shared" si="3"/>
        <v>4057</v>
      </c>
    </row>
    <row r="106" spans="1:8" x14ac:dyDescent="0.25">
      <c r="A106" s="8">
        <v>43078.5315625</v>
      </c>
      <c r="B106" s="20" t="s">
        <v>357</v>
      </c>
      <c r="C106" s="20" t="s">
        <v>788</v>
      </c>
      <c r="D106" s="137">
        <v>2420000</v>
      </c>
      <c r="E106" s="20" t="s">
        <v>570</v>
      </c>
      <c r="F106" s="20" t="s">
        <v>571</v>
      </c>
      <c r="G106" s="8" t="str">
        <f t="shared" si="2"/>
        <v>HOLCOMB KAMDEN</v>
      </c>
      <c r="H106" s="20" t="str">
        <f t="shared" si="3"/>
        <v>4060</v>
      </c>
    </row>
    <row r="107" spans="1:8" x14ac:dyDescent="0.25">
      <c r="A107" s="8">
        <v>43078.535555555558</v>
      </c>
      <c r="B107" s="20" t="s">
        <v>384</v>
      </c>
      <c r="C107" s="20" t="s">
        <v>789</v>
      </c>
      <c r="D107" s="137">
        <v>2040000</v>
      </c>
      <c r="E107" s="20" t="s">
        <v>396</v>
      </c>
      <c r="F107" s="20" t="s">
        <v>397</v>
      </c>
      <c r="G107" s="8" t="str">
        <f t="shared" si="2"/>
        <v>MOSES BRADLEY</v>
      </c>
      <c r="H107" s="20" t="str">
        <f t="shared" si="3"/>
        <v>4022</v>
      </c>
    </row>
    <row r="108" spans="1:8" x14ac:dyDescent="0.25">
      <c r="A108" s="8">
        <v>43078.53738425926</v>
      </c>
      <c r="B108" s="20" t="s">
        <v>679</v>
      </c>
      <c r="C108" s="20" t="s">
        <v>790</v>
      </c>
      <c r="D108" s="137">
        <v>2550000</v>
      </c>
      <c r="E108" s="20" t="s">
        <v>546</v>
      </c>
      <c r="F108" s="20" t="s">
        <v>547</v>
      </c>
      <c r="G108" s="8" t="str">
        <f t="shared" si="2"/>
        <v>BADERTSCHER DIANE</v>
      </c>
      <c r="H108" s="20" t="str">
        <f t="shared" si="3"/>
        <v>4003</v>
      </c>
    </row>
    <row r="109" spans="1:8" x14ac:dyDescent="0.25">
      <c r="A109" s="8">
        <v>43078.53943287037</v>
      </c>
      <c r="B109" s="20" t="s">
        <v>391</v>
      </c>
      <c r="C109" s="20" t="s">
        <v>791</v>
      </c>
      <c r="D109" s="137">
        <v>920000</v>
      </c>
      <c r="E109" s="20" t="s">
        <v>774</v>
      </c>
      <c r="F109" s="20" t="s">
        <v>352</v>
      </c>
      <c r="G109" s="8" t="str">
        <f t="shared" si="2"/>
        <v>DAVIS MICHAEL</v>
      </c>
      <c r="H109" s="20" t="str">
        <f t="shared" si="3"/>
        <v>4028</v>
      </c>
    </row>
    <row r="110" spans="1:8" x14ac:dyDescent="0.25">
      <c r="A110" s="8">
        <v>43078.544942129629</v>
      </c>
      <c r="B110" s="20" t="s">
        <v>367</v>
      </c>
      <c r="C110" s="20" t="s">
        <v>792</v>
      </c>
      <c r="D110" s="137">
        <v>3330000</v>
      </c>
      <c r="E110" s="20" t="s">
        <v>605</v>
      </c>
      <c r="F110" s="20" t="s">
        <v>606</v>
      </c>
      <c r="G110" s="8" t="str">
        <f t="shared" si="2"/>
        <v>GONZALEZ ARMANDO</v>
      </c>
      <c r="H110" s="20" t="str">
        <f t="shared" si="3"/>
        <v>4035</v>
      </c>
    </row>
    <row r="111" spans="1:8" x14ac:dyDescent="0.25">
      <c r="A111" s="8">
        <v>43078.546956018516</v>
      </c>
      <c r="B111" s="20" t="s">
        <v>392</v>
      </c>
      <c r="C111" s="20" t="s">
        <v>691</v>
      </c>
      <c r="D111" s="137">
        <v>3090000</v>
      </c>
      <c r="E111" s="20" t="s">
        <v>568</v>
      </c>
      <c r="F111" s="20" t="s">
        <v>569</v>
      </c>
      <c r="G111" s="8" t="str">
        <f t="shared" si="2"/>
        <v>LAMAR NEKESHA</v>
      </c>
      <c r="H111" s="20" t="str">
        <f t="shared" si="3"/>
        <v>4030</v>
      </c>
    </row>
    <row r="112" spans="1:8" x14ac:dyDescent="0.25">
      <c r="A112" s="8">
        <v>43078.549537037034</v>
      </c>
      <c r="B112" s="20" t="s">
        <v>356</v>
      </c>
      <c r="C112" s="20" t="s">
        <v>793</v>
      </c>
      <c r="D112" s="137">
        <v>2630000</v>
      </c>
      <c r="E112" s="20" t="s">
        <v>372</v>
      </c>
      <c r="F112" s="20" t="s">
        <v>373</v>
      </c>
      <c r="G112" s="8" t="str">
        <f t="shared" si="2"/>
        <v>SAFIEF AEIMEN</v>
      </c>
      <c r="H112" s="20" t="str">
        <f t="shared" si="3"/>
        <v>4008</v>
      </c>
    </row>
    <row r="113" spans="1:8" x14ac:dyDescent="0.25">
      <c r="A113" s="8">
        <v>43078.556990740741</v>
      </c>
      <c r="B113" s="20" t="s">
        <v>519</v>
      </c>
      <c r="C113" s="20" t="s">
        <v>794</v>
      </c>
      <c r="D113" s="137">
        <v>2040000</v>
      </c>
      <c r="E113" s="20" t="s">
        <v>396</v>
      </c>
      <c r="F113" s="20" t="s">
        <v>397</v>
      </c>
      <c r="G113" s="8" t="str">
        <f t="shared" si="2"/>
        <v>MOSES BRADLEY</v>
      </c>
      <c r="H113" s="20" t="str">
        <f t="shared" si="3"/>
        <v>4005</v>
      </c>
    </row>
    <row r="114" spans="1:8" x14ac:dyDescent="0.25">
      <c r="A114" s="8">
        <v>43078.558125000003</v>
      </c>
      <c r="B114" s="20" t="s">
        <v>494</v>
      </c>
      <c r="C114" s="20" t="s">
        <v>795</v>
      </c>
      <c r="D114" s="137">
        <v>1770000</v>
      </c>
      <c r="E114" s="20" t="s">
        <v>496</v>
      </c>
      <c r="F114" s="20" t="s">
        <v>497</v>
      </c>
      <c r="G114" s="8" t="str">
        <f t="shared" si="2"/>
        <v>BRUDER RICHARD</v>
      </c>
      <c r="H114" s="20" t="str">
        <f t="shared" si="3"/>
        <v>4013</v>
      </c>
    </row>
    <row r="115" spans="1:8" x14ac:dyDescent="0.25">
      <c r="A115" s="8">
        <v>43078.558576388888</v>
      </c>
      <c r="B115" s="20" t="s">
        <v>603</v>
      </c>
      <c r="C115" s="20" t="s">
        <v>796</v>
      </c>
      <c r="D115" s="137">
        <v>2970000</v>
      </c>
      <c r="E115" s="20" t="s">
        <v>374</v>
      </c>
      <c r="F115" s="20" t="s">
        <v>375</v>
      </c>
      <c r="G115" s="8" t="str">
        <f t="shared" si="2"/>
        <v>GUZMAN DANNY</v>
      </c>
      <c r="H115" s="20" t="str">
        <f t="shared" si="3"/>
        <v>4058</v>
      </c>
    </row>
    <row r="116" spans="1:8" x14ac:dyDescent="0.25">
      <c r="A116" s="8">
        <v>43078.559236111112</v>
      </c>
      <c r="B116" s="20" t="s">
        <v>386</v>
      </c>
      <c r="C116" s="20" t="s">
        <v>692</v>
      </c>
      <c r="D116" s="137">
        <v>3090000</v>
      </c>
      <c r="E116" s="20" t="s">
        <v>568</v>
      </c>
      <c r="F116" s="20" t="s">
        <v>569</v>
      </c>
      <c r="G116" s="8" t="str">
        <f t="shared" si="2"/>
        <v>LAMAR NEKESHA</v>
      </c>
      <c r="H116" s="20" t="str">
        <f t="shared" si="3"/>
        <v>4029</v>
      </c>
    </row>
    <row r="117" spans="1:8" x14ac:dyDescent="0.25">
      <c r="A117" s="8">
        <v>43078.568032407406</v>
      </c>
      <c r="B117" s="20" t="s">
        <v>390</v>
      </c>
      <c r="C117" s="20" t="s">
        <v>693</v>
      </c>
      <c r="D117" s="137">
        <v>2420000</v>
      </c>
      <c r="E117" s="20" t="s">
        <v>570</v>
      </c>
      <c r="F117" s="20" t="s">
        <v>571</v>
      </c>
      <c r="G117" s="8" t="str">
        <f t="shared" si="2"/>
        <v>HOLCOMB KAMDEN</v>
      </c>
      <c r="H117" s="20" t="str">
        <f t="shared" si="3"/>
        <v>4059</v>
      </c>
    </row>
    <row r="118" spans="1:8" x14ac:dyDescent="0.25">
      <c r="A118" s="8">
        <v>43078.569016203706</v>
      </c>
      <c r="B118" s="20" t="s">
        <v>705</v>
      </c>
      <c r="C118" s="20" t="s">
        <v>797</v>
      </c>
      <c r="D118" s="137">
        <v>2550000</v>
      </c>
      <c r="E118" s="20" t="s">
        <v>546</v>
      </c>
      <c r="F118" s="20" t="s">
        <v>547</v>
      </c>
      <c r="G118" s="8" t="str">
        <f t="shared" si="2"/>
        <v>BADERTSCHER DIANE</v>
      </c>
      <c r="H118" s="20" t="str">
        <f t="shared" si="3"/>
        <v>4004</v>
      </c>
    </row>
    <row r="119" spans="1:8" x14ac:dyDescent="0.25">
      <c r="A119" s="8">
        <v>43078.5784375</v>
      </c>
      <c r="B119" s="20" t="s">
        <v>366</v>
      </c>
      <c r="C119" s="20" t="s">
        <v>798</v>
      </c>
      <c r="D119" s="137">
        <v>3330000</v>
      </c>
      <c r="E119" s="20" t="s">
        <v>605</v>
      </c>
      <c r="F119" s="20" t="s">
        <v>606</v>
      </c>
      <c r="G119" s="8" t="str">
        <f t="shared" si="2"/>
        <v>GONZALEZ ARMANDO</v>
      </c>
      <c r="H119" s="20" t="str">
        <f t="shared" si="3"/>
        <v>4036</v>
      </c>
    </row>
    <row r="120" spans="1:8" x14ac:dyDescent="0.25">
      <c r="A120" s="8">
        <v>43078.579421296294</v>
      </c>
      <c r="B120" s="20" t="s">
        <v>361</v>
      </c>
      <c r="C120" s="20" t="s">
        <v>799</v>
      </c>
      <c r="D120" s="137">
        <v>2630000</v>
      </c>
      <c r="E120" s="20" t="s">
        <v>372</v>
      </c>
      <c r="F120" s="20" t="s">
        <v>373</v>
      </c>
      <c r="G120" s="8" t="str">
        <f t="shared" si="2"/>
        <v>SAFIEF AEIMEN</v>
      </c>
      <c r="H120" s="20" t="str">
        <f t="shared" si="3"/>
        <v>4007</v>
      </c>
    </row>
    <row r="121" spans="1:8" x14ac:dyDescent="0.25">
      <c r="A121" s="8">
        <v>43078.579652777778</v>
      </c>
      <c r="B121" s="20" t="s">
        <v>600</v>
      </c>
      <c r="C121" s="20" t="s">
        <v>800</v>
      </c>
      <c r="D121" s="137">
        <v>920000</v>
      </c>
      <c r="E121" s="20" t="s">
        <v>774</v>
      </c>
      <c r="F121" s="20" t="s">
        <v>352</v>
      </c>
      <c r="G121" s="8" t="str">
        <f t="shared" si="2"/>
        <v>DAVIS MICHAEL</v>
      </c>
      <c r="H121" s="20" t="str">
        <f t="shared" si="3"/>
        <v>4027</v>
      </c>
    </row>
    <row r="122" spans="1:8" x14ac:dyDescent="0.25">
      <c r="A122" s="8">
        <v>43078.584699074076</v>
      </c>
      <c r="B122" s="25" t="s">
        <v>392</v>
      </c>
      <c r="C122" s="20" t="s">
        <v>801</v>
      </c>
      <c r="D122" s="137">
        <v>2230000</v>
      </c>
      <c r="E122" s="20" t="s">
        <v>393</v>
      </c>
      <c r="F122" s="20" t="s">
        <v>352</v>
      </c>
      <c r="G122" s="8" t="str">
        <f t="shared" si="2"/>
        <v>SMITH MICHAEL</v>
      </c>
      <c r="H122" s="20" t="str">
        <f t="shared" si="3"/>
        <v>4030</v>
      </c>
    </row>
    <row r="123" spans="1:8" x14ac:dyDescent="0.25">
      <c r="A123" s="8">
        <v>43078.590879629628</v>
      </c>
      <c r="B123" s="20" t="s">
        <v>493</v>
      </c>
      <c r="C123" s="20" t="s">
        <v>802</v>
      </c>
      <c r="D123" s="137">
        <v>1770000</v>
      </c>
      <c r="E123" s="20" t="s">
        <v>496</v>
      </c>
      <c r="F123" s="20" t="s">
        <v>497</v>
      </c>
      <c r="G123" s="8" t="str">
        <f t="shared" si="2"/>
        <v>BRUDER RICHARD</v>
      </c>
      <c r="H123" s="20" t="str">
        <f t="shared" si="3"/>
        <v>4014</v>
      </c>
    </row>
    <row r="124" spans="1:8" x14ac:dyDescent="0.25">
      <c r="A124" s="8">
        <v>43078.592129629629</v>
      </c>
      <c r="B124" s="20" t="s">
        <v>604</v>
      </c>
      <c r="C124" s="20" t="s">
        <v>803</v>
      </c>
      <c r="D124" s="137">
        <v>2970000</v>
      </c>
      <c r="E124" s="20" t="s">
        <v>374</v>
      </c>
      <c r="F124" s="20" t="s">
        <v>375</v>
      </c>
      <c r="G124" s="8" t="str">
        <f t="shared" si="2"/>
        <v>GUZMAN DANNY</v>
      </c>
      <c r="H124" s="20" t="str">
        <f t="shared" si="3"/>
        <v>4057</v>
      </c>
    </row>
    <row r="125" spans="1:8" x14ac:dyDescent="0.25">
      <c r="A125" s="8">
        <v>43078.601446759261</v>
      </c>
      <c r="B125" s="20" t="s">
        <v>357</v>
      </c>
      <c r="C125" s="20" t="s">
        <v>804</v>
      </c>
      <c r="D125" s="137">
        <v>2420000</v>
      </c>
      <c r="E125" s="20" t="s">
        <v>570</v>
      </c>
      <c r="F125" s="20" t="s">
        <v>571</v>
      </c>
      <c r="G125" s="8" t="str">
        <f t="shared" si="2"/>
        <v>HOLCOMB KAMDEN</v>
      </c>
      <c r="H125" s="20" t="str">
        <f t="shared" si="3"/>
        <v>4060</v>
      </c>
    </row>
    <row r="126" spans="1:8" x14ac:dyDescent="0.25">
      <c r="A126" s="8">
        <v>43078.603761574072</v>
      </c>
      <c r="B126" s="20" t="s">
        <v>386</v>
      </c>
      <c r="C126" s="20" t="s">
        <v>805</v>
      </c>
      <c r="D126" s="137">
        <v>2230000</v>
      </c>
      <c r="E126" s="20" t="s">
        <v>393</v>
      </c>
      <c r="F126" s="20" t="s">
        <v>352</v>
      </c>
      <c r="G126" s="8" t="str">
        <f t="shared" si="2"/>
        <v>SMITH MICHAEL</v>
      </c>
      <c r="H126" s="20" t="str">
        <f t="shared" si="3"/>
        <v>4029</v>
      </c>
    </row>
    <row r="127" spans="1:8" x14ac:dyDescent="0.25">
      <c r="A127" s="8">
        <v>43078.606550925928</v>
      </c>
      <c r="B127" s="20" t="s">
        <v>679</v>
      </c>
      <c r="C127" s="20" t="s">
        <v>806</v>
      </c>
      <c r="D127" s="137">
        <v>2550000</v>
      </c>
      <c r="E127" s="20" t="s">
        <v>546</v>
      </c>
      <c r="F127" s="20" t="s">
        <v>547</v>
      </c>
      <c r="G127" s="8" t="str">
        <f t="shared" si="2"/>
        <v>BADERTSCHER DIANE</v>
      </c>
      <c r="H127" s="20" t="str">
        <f t="shared" si="3"/>
        <v>4003</v>
      </c>
    </row>
    <row r="128" spans="1:8" x14ac:dyDescent="0.25">
      <c r="A128" s="8">
        <v>43078.612164351849</v>
      </c>
      <c r="B128" s="20" t="s">
        <v>391</v>
      </c>
      <c r="C128" s="20" t="s">
        <v>807</v>
      </c>
      <c r="D128" s="137">
        <v>920000</v>
      </c>
      <c r="E128" s="20" t="s">
        <v>774</v>
      </c>
      <c r="F128" s="20" t="s">
        <v>352</v>
      </c>
      <c r="G128" s="8" t="str">
        <f t="shared" si="2"/>
        <v>DAVIS MICHAEL</v>
      </c>
      <c r="H128" s="20" t="str">
        <f t="shared" si="3"/>
        <v>4028</v>
      </c>
    </row>
    <row r="129" spans="1:8" x14ac:dyDescent="0.25">
      <c r="A129" s="8">
        <v>43078.617037037038</v>
      </c>
      <c r="B129" s="20" t="s">
        <v>367</v>
      </c>
      <c r="C129" s="20" t="s">
        <v>808</v>
      </c>
      <c r="D129" s="137">
        <v>3330000</v>
      </c>
      <c r="E129" s="20" t="s">
        <v>605</v>
      </c>
      <c r="F129" s="20" t="s">
        <v>606</v>
      </c>
      <c r="G129" s="8" t="str">
        <f t="shared" si="2"/>
        <v>GONZALEZ ARMANDO</v>
      </c>
      <c r="H129" s="20" t="str">
        <f t="shared" si="3"/>
        <v>4035</v>
      </c>
    </row>
    <row r="130" spans="1:8" x14ac:dyDescent="0.25">
      <c r="A130" s="8">
        <v>43078.621539351851</v>
      </c>
      <c r="B130" s="20" t="s">
        <v>356</v>
      </c>
      <c r="C130" s="20" t="s">
        <v>809</v>
      </c>
      <c r="D130" s="137">
        <v>2630000</v>
      </c>
      <c r="E130" s="20" t="s">
        <v>372</v>
      </c>
      <c r="F130" s="20" t="s">
        <v>373</v>
      </c>
      <c r="G130" s="8" t="str">
        <f t="shared" si="2"/>
        <v>SAFIEF AEIMEN</v>
      </c>
      <c r="H130" s="20" t="str">
        <f t="shared" si="3"/>
        <v>4008</v>
      </c>
    </row>
    <row r="131" spans="1:8" x14ac:dyDescent="0.25">
      <c r="A131" s="8">
        <v>43078.627071759256</v>
      </c>
      <c r="B131" s="20" t="s">
        <v>392</v>
      </c>
      <c r="C131" s="20" t="s">
        <v>810</v>
      </c>
      <c r="D131" s="137">
        <v>2230000</v>
      </c>
      <c r="E131" s="20" t="s">
        <v>393</v>
      </c>
      <c r="F131" s="20" t="s">
        <v>352</v>
      </c>
      <c r="G131" s="8" t="str">
        <f t="shared" ref="G131:G194" si="4">E131&amp;" "&amp;F131</f>
        <v>SMITH MICHAEL</v>
      </c>
      <c r="H131" s="20" t="str">
        <f t="shared" ref="H131:H194" si="5">MID(B131,13,4)</f>
        <v>4030</v>
      </c>
    </row>
    <row r="132" spans="1:8" x14ac:dyDescent="0.25">
      <c r="A132" s="8">
        <v>43078.630555555559</v>
      </c>
      <c r="B132" s="20" t="s">
        <v>494</v>
      </c>
      <c r="C132" s="20" t="s">
        <v>811</v>
      </c>
      <c r="D132" s="137">
        <v>1770000</v>
      </c>
      <c r="E132" s="20" t="s">
        <v>496</v>
      </c>
      <c r="F132" s="20" t="s">
        <v>497</v>
      </c>
      <c r="G132" s="8" t="str">
        <f t="shared" si="4"/>
        <v>BRUDER RICHARD</v>
      </c>
      <c r="H132" s="20" t="str">
        <f t="shared" si="5"/>
        <v>4013</v>
      </c>
    </row>
    <row r="133" spans="1:8" x14ac:dyDescent="0.25">
      <c r="A133" s="8">
        <v>43078.631967592592</v>
      </c>
      <c r="B133" s="20" t="s">
        <v>603</v>
      </c>
      <c r="C133" s="20" t="s">
        <v>812</v>
      </c>
      <c r="D133" s="137">
        <v>2970000</v>
      </c>
      <c r="E133" s="20" t="s">
        <v>374</v>
      </c>
      <c r="F133" s="20" t="s">
        <v>375</v>
      </c>
      <c r="G133" s="8" t="str">
        <f t="shared" si="4"/>
        <v>GUZMAN DANNY</v>
      </c>
      <c r="H133" s="20" t="str">
        <f t="shared" si="5"/>
        <v>4058</v>
      </c>
    </row>
    <row r="134" spans="1:8" x14ac:dyDescent="0.25">
      <c r="A134" s="8">
        <v>43078.641863425924</v>
      </c>
      <c r="B134" s="20" t="s">
        <v>390</v>
      </c>
      <c r="C134" s="20" t="s">
        <v>813</v>
      </c>
      <c r="D134" s="137">
        <v>2420000</v>
      </c>
      <c r="E134" s="20" t="s">
        <v>570</v>
      </c>
      <c r="F134" s="20" t="s">
        <v>571</v>
      </c>
      <c r="G134" s="8" t="str">
        <f t="shared" si="4"/>
        <v>HOLCOMB KAMDEN</v>
      </c>
      <c r="H134" s="20" t="str">
        <f t="shared" si="5"/>
        <v>4059</v>
      </c>
    </row>
    <row r="135" spans="1:8" x14ac:dyDescent="0.25">
      <c r="A135" s="8">
        <v>43078.642511574071</v>
      </c>
      <c r="B135" s="20" t="s">
        <v>705</v>
      </c>
      <c r="C135" s="20" t="s">
        <v>814</v>
      </c>
      <c r="D135" s="137">
        <v>2540000</v>
      </c>
      <c r="E135" s="20" t="s">
        <v>458</v>
      </c>
      <c r="F135" s="20" t="s">
        <v>459</v>
      </c>
      <c r="G135" s="8" t="str">
        <f t="shared" si="4"/>
        <v>MCREYNOLDS KYLE</v>
      </c>
      <c r="H135" s="20" t="str">
        <f t="shared" si="5"/>
        <v>4004</v>
      </c>
    </row>
    <row r="136" spans="1:8" x14ac:dyDescent="0.25">
      <c r="A136" s="8">
        <v>43078.64298611111</v>
      </c>
      <c r="B136" s="20" t="s">
        <v>386</v>
      </c>
      <c r="C136" s="20" t="s">
        <v>815</v>
      </c>
      <c r="D136" s="137">
        <v>2230000</v>
      </c>
      <c r="E136" s="20" t="s">
        <v>393</v>
      </c>
      <c r="F136" s="20" t="s">
        <v>352</v>
      </c>
      <c r="G136" s="8" t="str">
        <f t="shared" si="4"/>
        <v>SMITH MICHAEL</v>
      </c>
      <c r="H136" s="20" t="str">
        <f t="shared" si="5"/>
        <v>4029</v>
      </c>
    </row>
    <row r="137" spans="1:8" x14ac:dyDescent="0.25">
      <c r="A137" s="8">
        <v>43078.651041666664</v>
      </c>
      <c r="B137" s="20" t="s">
        <v>366</v>
      </c>
      <c r="C137" s="20" t="s">
        <v>816</v>
      </c>
      <c r="D137" s="137">
        <v>3330000</v>
      </c>
      <c r="E137" s="20" t="s">
        <v>605</v>
      </c>
      <c r="F137" s="20" t="s">
        <v>606</v>
      </c>
      <c r="G137" s="8" t="str">
        <f t="shared" si="4"/>
        <v>GONZALEZ ARMANDO</v>
      </c>
      <c r="H137" s="20" t="str">
        <f t="shared" si="5"/>
        <v>4036</v>
      </c>
    </row>
    <row r="138" spans="1:8" x14ac:dyDescent="0.25">
      <c r="A138" s="8">
        <v>43078.652395833335</v>
      </c>
      <c r="B138" s="20" t="s">
        <v>361</v>
      </c>
      <c r="C138" s="20" t="s">
        <v>817</v>
      </c>
      <c r="D138" s="137">
        <v>2630000</v>
      </c>
      <c r="E138" s="20" t="s">
        <v>372</v>
      </c>
      <c r="F138" s="20" t="s">
        <v>373</v>
      </c>
      <c r="G138" s="8" t="str">
        <f t="shared" si="4"/>
        <v>SAFIEF AEIMEN</v>
      </c>
      <c r="H138" s="20" t="str">
        <f t="shared" si="5"/>
        <v>4007</v>
      </c>
    </row>
    <row r="139" spans="1:8" x14ac:dyDescent="0.25">
      <c r="A139" s="8">
        <v>43078.653368055559</v>
      </c>
      <c r="B139" s="20" t="s">
        <v>600</v>
      </c>
      <c r="C139" s="20" t="s">
        <v>818</v>
      </c>
      <c r="D139" s="137">
        <v>920000</v>
      </c>
      <c r="E139" s="20" t="s">
        <v>774</v>
      </c>
      <c r="F139" s="20" t="s">
        <v>352</v>
      </c>
      <c r="G139" s="8" t="str">
        <f t="shared" si="4"/>
        <v>DAVIS MICHAEL</v>
      </c>
      <c r="H139" s="20" t="str">
        <f t="shared" si="5"/>
        <v>4027</v>
      </c>
    </row>
    <row r="140" spans="1:8" x14ac:dyDescent="0.25">
      <c r="A140" s="8">
        <v>43078.662592592591</v>
      </c>
      <c r="B140" s="20" t="s">
        <v>604</v>
      </c>
      <c r="C140" s="20" t="s">
        <v>819</v>
      </c>
      <c r="D140" s="137">
        <v>2970000</v>
      </c>
      <c r="E140" s="20" t="s">
        <v>374</v>
      </c>
      <c r="F140" s="20" t="s">
        <v>375</v>
      </c>
      <c r="G140" s="8" t="str">
        <f t="shared" si="4"/>
        <v>GUZMAN DANNY</v>
      </c>
      <c r="H140" s="20" t="str">
        <f t="shared" si="5"/>
        <v>4057</v>
      </c>
    </row>
    <row r="141" spans="1:8" x14ac:dyDescent="0.25">
      <c r="A141" s="8">
        <v>43078.663715277777</v>
      </c>
      <c r="B141" s="20" t="s">
        <v>493</v>
      </c>
      <c r="C141" s="20" t="s">
        <v>820</v>
      </c>
      <c r="D141" s="137">
        <v>1770000</v>
      </c>
      <c r="E141" s="20" t="s">
        <v>496</v>
      </c>
      <c r="F141" s="20" t="s">
        <v>497</v>
      </c>
      <c r="G141" s="8" t="str">
        <f t="shared" si="4"/>
        <v>BRUDER RICHARD</v>
      </c>
      <c r="H141" s="20" t="str">
        <f t="shared" si="5"/>
        <v>4014</v>
      </c>
    </row>
    <row r="142" spans="1:8" x14ac:dyDescent="0.25">
      <c r="A142" s="8">
        <v>43078.666898148149</v>
      </c>
      <c r="B142" s="20" t="s">
        <v>392</v>
      </c>
      <c r="C142" s="20" t="s">
        <v>821</v>
      </c>
      <c r="D142" s="137">
        <v>2230000</v>
      </c>
      <c r="E142" s="20" t="s">
        <v>393</v>
      </c>
      <c r="F142" s="20" t="s">
        <v>352</v>
      </c>
      <c r="G142" s="8" t="str">
        <f t="shared" si="4"/>
        <v>SMITH MICHAEL</v>
      </c>
      <c r="H142" s="20" t="str">
        <f t="shared" si="5"/>
        <v>4030</v>
      </c>
    </row>
    <row r="143" spans="1:8" x14ac:dyDescent="0.25">
      <c r="A143" s="8">
        <v>43078.673090277778</v>
      </c>
      <c r="B143" s="20" t="s">
        <v>357</v>
      </c>
      <c r="C143" s="20" t="s">
        <v>822</v>
      </c>
      <c r="D143" s="137">
        <v>2420000</v>
      </c>
      <c r="E143" s="20" t="s">
        <v>570</v>
      </c>
      <c r="F143" s="20" t="s">
        <v>571</v>
      </c>
      <c r="G143" s="8" t="str">
        <f t="shared" si="4"/>
        <v>HOLCOMB KAMDEN</v>
      </c>
      <c r="H143" s="20" t="str">
        <f t="shared" si="5"/>
        <v>4060</v>
      </c>
    </row>
    <row r="144" spans="1:8" x14ac:dyDescent="0.25">
      <c r="A144" s="8">
        <v>43078.679699074077</v>
      </c>
      <c r="B144" s="20" t="s">
        <v>679</v>
      </c>
      <c r="C144" s="20" t="s">
        <v>823</v>
      </c>
      <c r="D144" s="137">
        <v>2540000</v>
      </c>
      <c r="E144" s="20" t="s">
        <v>458</v>
      </c>
      <c r="F144" s="20" t="s">
        <v>459</v>
      </c>
      <c r="G144" s="8" t="str">
        <f t="shared" si="4"/>
        <v>MCREYNOLDS KYLE</v>
      </c>
      <c r="H144" s="20" t="str">
        <f t="shared" si="5"/>
        <v>4003</v>
      </c>
    </row>
    <row r="145" spans="1:8" x14ac:dyDescent="0.25">
      <c r="A145" s="8">
        <v>43078.684166666666</v>
      </c>
      <c r="B145" s="20" t="s">
        <v>386</v>
      </c>
      <c r="C145" s="20" t="s">
        <v>824</v>
      </c>
      <c r="D145" s="137">
        <v>2230000</v>
      </c>
      <c r="E145" s="20" t="s">
        <v>393</v>
      </c>
      <c r="F145" s="20" t="s">
        <v>352</v>
      </c>
      <c r="G145" s="8" t="str">
        <f t="shared" si="4"/>
        <v>SMITH MICHAEL</v>
      </c>
      <c r="H145" s="20" t="str">
        <f t="shared" si="5"/>
        <v>4029</v>
      </c>
    </row>
    <row r="146" spans="1:8" x14ac:dyDescent="0.25">
      <c r="A146" s="8">
        <v>43078.686296296299</v>
      </c>
      <c r="B146" s="20" t="s">
        <v>391</v>
      </c>
      <c r="C146" s="20" t="s">
        <v>825</v>
      </c>
      <c r="D146" s="137">
        <v>920000</v>
      </c>
      <c r="E146" s="20" t="s">
        <v>774</v>
      </c>
      <c r="F146" s="20" t="s">
        <v>352</v>
      </c>
      <c r="G146" s="8" t="str">
        <f t="shared" si="4"/>
        <v>DAVIS MICHAEL</v>
      </c>
      <c r="H146" s="20" t="str">
        <f t="shared" si="5"/>
        <v>4028</v>
      </c>
    </row>
    <row r="147" spans="1:8" x14ac:dyDescent="0.25">
      <c r="A147" s="8">
        <v>43078.691157407404</v>
      </c>
      <c r="B147" s="20" t="s">
        <v>367</v>
      </c>
      <c r="C147" s="20" t="s">
        <v>694</v>
      </c>
      <c r="D147" s="137">
        <v>3330000</v>
      </c>
      <c r="E147" s="20" t="s">
        <v>605</v>
      </c>
      <c r="F147" s="20" t="s">
        <v>606</v>
      </c>
      <c r="G147" s="8" t="str">
        <f t="shared" si="4"/>
        <v>GONZALEZ ARMANDO</v>
      </c>
      <c r="H147" s="20" t="str">
        <f t="shared" si="5"/>
        <v>4035</v>
      </c>
    </row>
    <row r="148" spans="1:8" x14ac:dyDescent="0.25">
      <c r="A148" s="8">
        <v>43078.695856481485</v>
      </c>
      <c r="B148" s="20" t="s">
        <v>356</v>
      </c>
      <c r="C148" s="20" t="s">
        <v>826</v>
      </c>
      <c r="D148" s="137">
        <v>2630000</v>
      </c>
      <c r="E148" s="20" t="s">
        <v>372</v>
      </c>
      <c r="F148" s="20" t="s">
        <v>373</v>
      </c>
      <c r="G148" s="8" t="str">
        <f t="shared" si="4"/>
        <v>SAFIEF AEIMEN</v>
      </c>
      <c r="H148" s="20" t="str">
        <f t="shared" si="5"/>
        <v>4008</v>
      </c>
    </row>
    <row r="149" spans="1:8" x14ac:dyDescent="0.25">
      <c r="A149" s="8">
        <v>43078.697280092594</v>
      </c>
      <c r="B149" s="20" t="s">
        <v>514</v>
      </c>
      <c r="C149" s="20" t="s">
        <v>827</v>
      </c>
      <c r="D149" s="137">
        <v>2040000</v>
      </c>
      <c r="E149" s="20" t="s">
        <v>396</v>
      </c>
      <c r="F149" s="20" t="s">
        <v>397</v>
      </c>
      <c r="G149" s="8" t="str">
        <f t="shared" si="4"/>
        <v>MOSES BRADLEY</v>
      </c>
      <c r="H149" s="20" t="str">
        <f t="shared" si="5"/>
        <v>4006</v>
      </c>
    </row>
    <row r="150" spans="1:8" x14ac:dyDescent="0.25">
      <c r="A150" s="8">
        <v>43078.697789351849</v>
      </c>
      <c r="B150" s="20" t="s">
        <v>514</v>
      </c>
      <c r="C150" s="20" t="s">
        <v>706</v>
      </c>
      <c r="D150" s="137">
        <v>2040000</v>
      </c>
      <c r="E150" s="20" t="s">
        <v>396</v>
      </c>
      <c r="F150" s="20" t="s">
        <v>397</v>
      </c>
      <c r="G150" s="8" t="str">
        <f t="shared" si="4"/>
        <v>MOSES BRADLEY</v>
      </c>
      <c r="H150" s="20" t="str">
        <f t="shared" si="5"/>
        <v>4006</v>
      </c>
    </row>
    <row r="151" spans="1:8" x14ac:dyDescent="0.25">
      <c r="A151" s="8">
        <v>43078.703252314815</v>
      </c>
      <c r="B151" s="20" t="s">
        <v>519</v>
      </c>
      <c r="C151" s="20" t="s">
        <v>827</v>
      </c>
      <c r="D151" s="137">
        <v>2040000</v>
      </c>
      <c r="E151" s="20" t="s">
        <v>396</v>
      </c>
      <c r="F151" s="20" t="s">
        <v>397</v>
      </c>
      <c r="G151" s="8" t="str">
        <f t="shared" si="4"/>
        <v>MOSES BRADLEY</v>
      </c>
      <c r="H151" s="20" t="str">
        <f t="shared" si="5"/>
        <v>4005</v>
      </c>
    </row>
    <row r="152" spans="1:8" x14ac:dyDescent="0.25">
      <c r="A152" s="8">
        <v>43078.703379629631</v>
      </c>
      <c r="B152" s="20" t="s">
        <v>494</v>
      </c>
      <c r="C152" s="20" t="s">
        <v>828</v>
      </c>
      <c r="D152" s="137">
        <v>1770000</v>
      </c>
      <c r="E152" s="20" t="s">
        <v>496</v>
      </c>
      <c r="F152" s="20" t="s">
        <v>497</v>
      </c>
      <c r="G152" s="8" t="str">
        <f t="shared" si="4"/>
        <v>BRUDER RICHARD</v>
      </c>
      <c r="H152" s="20" t="str">
        <f t="shared" si="5"/>
        <v>4013</v>
      </c>
    </row>
    <row r="153" spans="1:8" x14ac:dyDescent="0.25">
      <c r="A153" s="8">
        <v>43078.704664351855</v>
      </c>
      <c r="B153" s="20" t="s">
        <v>603</v>
      </c>
      <c r="C153" s="20" t="s">
        <v>829</v>
      </c>
      <c r="D153" s="137">
        <v>2970000</v>
      </c>
      <c r="E153" s="20" t="s">
        <v>374</v>
      </c>
      <c r="F153" s="20" t="s">
        <v>375</v>
      </c>
      <c r="G153" s="8" t="str">
        <f t="shared" si="4"/>
        <v>GUZMAN DANNY</v>
      </c>
      <c r="H153" s="20" t="str">
        <f t="shared" si="5"/>
        <v>4058</v>
      </c>
    </row>
    <row r="154" spans="1:8" x14ac:dyDescent="0.25">
      <c r="A154" s="8">
        <v>43078.708101851851</v>
      </c>
      <c r="B154" s="20" t="s">
        <v>392</v>
      </c>
      <c r="C154" s="20" t="s">
        <v>830</v>
      </c>
      <c r="D154" s="137">
        <v>2230000</v>
      </c>
      <c r="E154" s="20" t="s">
        <v>393</v>
      </c>
      <c r="F154" s="20" t="s">
        <v>352</v>
      </c>
      <c r="G154" s="8" t="str">
        <f t="shared" si="4"/>
        <v>SMITH MICHAEL</v>
      </c>
      <c r="H154" s="20" t="str">
        <f t="shared" si="5"/>
        <v>4030</v>
      </c>
    </row>
    <row r="155" spans="1:8" x14ac:dyDescent="0.25">
      <c r="A155" s="8">
        <v>43078.71361111111</v>
      </c>
      <c r="B155" s="20" t="s">
        <v>390</v>
      </c>
      <c r="C155" s="20" t="s">
        <v>831</v>
      </c>
      <c r="D155" s="137">
        <v>2420000</v>
      </c>
      <c r="E155" s="20" t="s">
        <v>570</v>
      </c>
      <c r="F155" s="20" t="s">
        <v>571</v>
      </c>
      <c r="G155" s="8" t="str">
        <f t="shared" si="4"/>
        <v>HOLCOMB KAMDEN</v>
      </c>
      <c r="H155" s="20" t="str">
        <f t="shared" si="5"/>
        <v>4059</v>
      </c>
    </row>
    <row r="156" spans="1:8" x14ac:dyDescent="0.25">
      <c r="A156" s="8">
        <v>43078.717280092591</v>
      </c>
      <c r="B156" s="20" t="s">
        <v>514</v>
      </c>
      <c r="C156" s="20" t="s">
        <v>832</v>
      </c>
      <c r="D156" s="137">
        <v>2540000</v>
      </c>
      <c r="E156" s="20" t="s">
        <v>458</v>
      </c>
      <c r="F156" s="20" t="s">
        <v>459</v>
      </c>
      <c r="G156" s="8" t="str">
        <f t="shared" si="4"/>
        <v>MCREYNOLDS KYLE</v>
      </c>
      <c r="H156" s="20" t="str">
        <f t="shared" si="5"/>
        <v>4006</v>
      </c>
    </row>
    <row r="157" spans="1:8" x14ac:dyDescent="0.25">
      <c r="A157" s="8">
        <v>43078.72457175926</v>
      </c>
      <c r="B157" s="20" t="s">
        <v>366</v>
      </c>
      <c r="C157" s="20" t="s">
        <v>833</v>
      </c>
      <c r="D157" s="137">
        <v>3330000</v>
      </c>
      <c r="E157" s="20" t="s">
        <v>605</v>
      </c>
      <c r="F157" s="20" t="s">
        <v>606</v>
      </c>
      <c r="G157" s="8" t="str">
        <f t="shared" si="4"/>
        <v>GONZALEZ ARMANDO</v>
      </c>
      <c r="H157" s="20" t="str">
        <f t="shared" si="5"/>
        <v>4036</v>
      </c>
    </row>
    <row r="158" spans="1:8" x14ac:dyDescent="0.25">
      <c r="A158" s="8">
        <v>43078.725497685184</v>
      </c>
      <c r="B158" s="20" t="s">
        <v>600</v>
      </c>
      <c r="C158" s="20" t="s">
        <v>834</v>
      </c>
      <c r="D158" s="137">
        <v>920000</v>
      </c>
      <c r="E158" s="20" t="s">
        <v>774</v>
      </c>
      <c r="F158" s="20" t="s">
        <v>352</v>
      </c>
      <c r="G158" s="8" t="str">
        <f t="shared" si="4"/>
        <v>DAVIS MICHAEL</v>
      </c>
      <c r="H158" s="20" t="str">
        <f t="shared" si="5"/>
        <v>4027</v>
      </c>
    </row>
    <row r="159" spans="1:8" x14ac:dyDescent="0.25">
      <c r="A159" s="8">
        <v>43078.725810185184</v>
      </c>
      <c r="B159" s="20" t="s">
        <v>361</v>
      </c>
      <c r="C159" s="20" t="s">
        <v>835</v>
      </c>
      <c r="D159" s="137">
        <v>2630000</v>
      </c>
      <c r="E159" s="20" t="s">
        <v>372</v>
      </c>
      <c r="F159" s="20" t="s">
        <v>373</v>
      </c>
      <c r="G159" s="8" t="str">
        <f t="shared" si="4"/>
        <v>SAFIEF AEIMEN</v>
      </c>
      <c r="H159" s="20" t="str">
        <f t="shared" si="5"/>
        <v>4007</v>
      </c>
    </row>
    <row r="160" spans="1:8" x14ac:dyDescent="0.25">
      <c r="A160" s="8">
        <v>43078.7265625</v>
      </c>
      <c r="B160" s="20" t="s">
        <v>386</v>
      </c>
      <c r="C160" s="20" t="s">
        <v>836</v>
      </c>
      <c r="D160" s="137">
        <v>2230000</v>
      </c>
      <c r="E160" s="20" t="s">
        <v>393</v>
      </c>
      <c r="F160" s="20" t="s">
        <v>352</v>
      </c>
      <c r="G160" s="8" t="str">
        <f t="shared" si="4"/>
        <v>SMITH MICHAEL</v>
      </c>
      <c r="H160" s="20" t="str">
        <f t="shared" si="5"/>
        <v>4029</v>
      </c>
    </row>
    <row r="161" spans="1:8" x14ac:dyDescent="0.25">
      <c r="A161" s="8">
        <v>43078.72828703704</v>
      </c>
      <c r="B161" s="20" t="s">
        <v>599</v>
      </c>
      <c r="C161" s="20" t="s">
        <v>706</v>
      </c>
      <c r="D161" s="137">
        <v>2040000</v>
      </c>
      <c r="E161" s="20" t="s">
        <v>396</v>
      </c>
      <c r="F161" s="20" t="s">
        <v>397</v>
      </c>
      <c r="G161" s="8" t="str">
        <f t="shared" si="4"/>
        <v>MOSES BRADLEY</v>
      </c>
      <c r="H161" s="20" t="str">
        <f t="shared" si="5"/>
        <v>4044</v>
      </c>
    </row>
    <row r="162" spans="1:8" x14ac:dyDescent="0.25">
      <c r="A162" s="8">
        <v>43078.72855324074</v>
      </c>
      <c r="B162" s="20" t="s">
        <v>514</v>
      </c>
      <c r="C162" s="20" t="s">
        <v>832</v>
      </c>
      <c r="D162" s="137">
        <v>2540000</v>
      </c>
      <c r="E162" s="20" t="s">
        <v>458</v>
      </c>
      <c r="F162" s="20" t="s">
        <v>459</v>
      </c>
      <c r="G162" s="8" t="str">
        <f t="shared" si="4"/>
        <v>MCREYNOLDS KYLE</v>
      </c>
      <c r="H162" s="20" t="str">
        <f t="shared" si="5"/>
        <v>4006</v>
      </c>
    </row>
    <row r="163" spans="1:8" x14ac:dyDescent="0.25">
      <c r="A163" s="8">
        <v>43078.735011574077</v>
      </c>
      <c r="B163" s="20" t="s">
        <v>493</v>
      </c>
      <c r="C163" s="20" t="s">
        <v>837</v>
      </c>
      <c r="D163" s="137">
        <v>3000000</v>
      </c>
      <c r="E163" s="20" t="s">
        <v>479</v>
      </c>
      <c r="F163" s="20" t="s">
        <v>480</v>
      </c>
      <c r="G163" s="8" t="str">
        <f t="shared" si="4"/>
        <v>FORTUNATO FRANK</v>
      </c>
      <c r="H163" s="20" t="str">
        <f t="shared" si="5"/>
        <v>4014</v>
      </c>
    </row>
    <row r="164" spans="1:8" x14ac:dyDescent="0.25">
      <c r="A164" s="8">
        <v>43078.735266203701</v>
      </c>
      <c r="B164" s="20" t="s">
        <v>604</v>
      </c>
      <c r="C164" s="20" t="s">
        <v>838</v>
      </c>
      <c r="D164" s="137">
        <v>2970000</v>
      </c>
      <c r="E164" s="20" t="s">
        <v>374</v>
      </c>
      <c r="F164" s="20" t="s">
        <v>375</v>
      </c>
      <c r="G164" s="8" t="str">
        <f t="shared" si="4"/>
        <v>GUZMAN DANNY</v>
      </c>
      <c r="H164" s="20" t="str">
        <f t="shared" si="5"/>
        <v>4057</v>
      </c>
    </row>
    <row r="165" spans="1:8" x14ac:dyDescent="0.25">
      <c r="A165" s="8">
        <v>43078.745092592595</v>
      </c>
      <c r="B165" s="20" t="s">
        <v>839</v>
      </c>
      <c r="C165" s="20" t="s">
        <v>840</v>
      </c>
      <c r="D165" s="137">
        <v>3490000</v>
      </c>
      <c r="E165" s="20" t="s">
        <v>841</v>
      </c>
      <c r="F165" s="20" t="s">
        <v>842</v>
      </c>
      <c r="G165" s="8" t="str">
        <f t="shared" si="4"/>
        <v>WEST BRYAN</v>
      </c>
      <c r="H165" s="20" t="str">
        <f t="shared" si="5"/>
        <v>4065</v>
      </c>
    </row>
    <row r="166" spans="1:8" x14ac:dyDescent="0.25">
      <c r="A166" s="8">
        <v>43078.745185185187</v>
      </c>
      <c r="B166" s="20" t="s">
        <v>357</v>
      </c>
      <c r="C166" s="20" t="s">
        <v>843</v>
      </c>
      <c r="D166" s="137">
        <v>2420000</v>
      </c>
      <c r="E166" s="20" t="s">
        <v>570</v>
      </c>
      <c r="F166" s="20" t="s">
        <v>571</v>
      </c>
      <c r="G166" s="8" t="str">
        <f t="shared" si="4"/>
        <v>HOLCOMB KAMDEN</v>
      </c>
      <c r="H166" s="20" t="str">
        <f t="shared" si="5"/>
        <v>4060</v>
      </c>
    </row>
    <row r="167" spans="1:8" x14ac:dyDescent="0.25">
      <c r="A167" s="8">
        <v>43078.751238425924</v>
      </c>
      <c r="B167" s="20" t="s">
        <v>392</v>
      </c>
      <c r="C167" s="20" t="s">
        <v>844</v>
      </c>
      <c r="D167" s="137">
        <v>2230000</v>
      </c>
      <c r="E167" s="20" t="s">
        <v>393</v>
      </c>
      <c r="F167" s="20" t="s">
        <v>352</v>
      </c>
      <c r="G167" s="8" t="str">
        <f t="shared" si="4"/>
        <v>SMITH MICHAEL</v>
      </c>
      <c r="H167" s="20" t="str">
        <f t="shared" si="5"/>
        <v>4030</v>
      </c>
    </row>
    <row r="168" spans="1:8" x14ac:dyDescent="0.25">
      <c r="A168" s="8">
        <v>43078.752418981479</v>
      </c>
      <c r="B168" s="20" t="s">
        <v>519</v>
      </c>
      <c r="C168" s="20" t="s">
        <v>845</v>
      </c>
      <c r="D168" s="137">
        <v>2540000</v>
      </c>
      <c r="E168" s="20" t="s">
        <v>458</v>
      </c>
      <c r="F168" s="20" t="s">
        <v>459</v>
      </c>
      <c r="G168" s="8" t="str">
        <f t="shared" si="4"/>
        <v>MCREYNOLDS KYLE</v>
      </c>
      <c r="H168" s="20" t="str">
        <f t="shared" si="5"/>
        <v>4005</v>
      </c>
    </row>
    <row r="169" spans="1:8" x14ac:dyDescent="0.25">
      <c r="A169" s="8">
        <v>43078.757951388892</v>
      </c>
      <c r="B169" s="20" t="s">
        <v>391</v>
      </c>
      <c r="C169" s="20" t="s">
        <v>846</v>
      </c>
      <c r="D169" s="137">
        <v>3340000</v>
      </c>
      <c r="E169" s="20" t="s">
        <v>470</v>
      </c>
      <c r="F169" s="20" t="s">
        <v>471</v>
      </c>
      <c r="G169" s="8" t="str">
        <f t="shared" si="4"/>
        <v>ELBAUM MIKE</v>
      </c>
      <c r="H169" s="20" t="str">
        <f t="shared" si="5"/>
        <v>4028</v>
      </c>
    </row>
    <row r="170" spans="1:8" x14ac:dyDescent="0.25">
      <c r="A170" s="8">
        <v>43078.762754629628</v>
      </c>
      <c r="B170" s="20" t="s">
        <v>367</v>
      </c>
      <c r="C170" s="20" t="s">
        <v>847</v>
      </c>
      <c r="D170" s="137">
        <v>3330000</v>
      </c>
      <c r="E170" s="20" t="s">
        <v>605</v>
      </c>
      <c r="F170" s="20" t="s">
        <v>606</v>
      </c>
      <c r="G170" s="8" t="str">
        <f t="shared" si="4"/>
        <v>GONZALEZ ARMANDO</v>
      </c>
      <c r="H170" s="20" t="str">
        <f t="shared" si="5"/>
        <v>4035</v>
      </c>
    </row>
    <row r="171" spans="1:8" x14ac:dyDescent="0.25">
      <c r="A171" s="8">
        <v>43078.767777777779</v>
      </c>
      <c r="B171" s="20" t="s">
        <v>356</v>
      </c>
      <c r="C171" s="20" t="s">
        <v>848</v>
      </c>
      <c r="D171" s="137">
        <v>3320000</v>
      </c>
      <c r="E171" s="20" t="s">
        <v>363</v>
      </c>
      <c r="F171" s="20" t="s">
        <v>364</v>
      </c>
      <c r="G171" s="8" t="str">
        <f t="shared" si="4"/>
        <v>NICHOLSON WESLEY</v>
      </c>
      <c r="H171" s="20" t="str">
        <f t="shared" si="5"/>
        <v>4008</v>
      </c>
    </row>
    <row r="172" spans="1:8" x14ac:dyDescent="0.25">
      <c r="A172" s="8">
        <v>43078.767962962964</v>
      </c>
      <c r="B172" s="20" t="s">
        <v>494</v>
      </c>
      <c r="C172" s="20" t="s">
        <v>849</v>
      </c>
      <c r="D172" s="137">
        <v>3000000</v>
      </c>
      <c r="E172" s="20" t="s">
        <v>479</v>
      </c>
      <c r="F172" s="20" t="s">
        <v>480</v>
      </c>
      <c r="G172" s="8" t="str">
        <f t="shared" si="4"/>
        <v>FORTUNATO FRANK</v>
      </c>
      <c r="H172" s="20" t="str">
        <f t="shared" si="5"/>
        <v>4013</v>
      </c>
    </row>
    <row r="173" spans="1:8" x14ac:dyDescent="0.25">
      <c r="A173" s="8">
        <v>43078.768368055556</v>
      </c>
      <c r="B173" s="20" t="s">
        <v>386</v>
      </c>
      <c r="C173" s="20" t="s">
        <v>850</v>
      </c>
      <c r="D173" s="137">
        <v>2230000</v>
      </c>
      <c r="E173" s="20" t="s">
        <v>393</v>
      </c>
      <c r="F173" s="20" t="s">
        <v>352</v>
      </c>
      <c r="G173" s="8" t="str">
        <f t="shared" si="4"/>
        <v>SMITH MICHAEL</v>
      </c>
      <c r="H173" s="20" t="str">
        <f t="shared" si="5"/>
        <v>4029</v>
      </c>
    </row>
    <row r="174" spans="1:8" x14ac:dyDescent="0.25">
      <c r="A174" s="8">
        <v>43078.775914351849</v>
      </c>
      <c r="B174" s="20" t="s">
        <v>603</v>
      </c>
      <c r="C174" s="20" t="s">
        <v>851</v>
      </c>
      <c r="D174" s="137">
        <v>2970000</v>
      </c>
      <c r="E174" s="20" t="s">
        <v>374</v>
      </c>
      <c r="F174" s="20" t="s">
        <v>375</v>
      </c>
      <c r="G174" s="8" t="str">
        <f t="shared" si="4"/>
        <v>GUZMAN DANNY</v>
      </c>
      <c r="H174" s="20" t="str">
        <f t="shared" si="5"/>
        <v>4058</v>
      </c>
    </row>
    <row r="175" spans="1:8" x14ac:dyDescent="0.25">
      <c r="A175" s="8">
        <v>43078.786678240744</v>
      </c>
      <c r="B175" s="20" t="s">
        <v>600</v>
      </c>
      <c r="C175" s="20" t="s">
        <v>852</v>
      </c>
      <c r="D175" s="137">
        <v>3340000</v>
      </c>
      <c r="E175" s="20" t="s">
        <v>470</v>
      </c>
      <c r="F175" s="20" t="s">
        <v>471</v>
      </c>
      <c r="G175" s="8" t="str">
        <f t="shared" si="4"/>
        <v>ELBAUM MIKE</v>
      </c>
      <c r="H175" s="20" t="str">
        <f t="shared" si="5"/>
        <v>4027</v>
      </c>
    </row>
    <row r="176" spans="1:8" x14ac:dyDescent="0.25">
      <c r="A176" s="8">
        <v>43078.787939814814</v>
      </c>
      <c r="B176" s="20" t="s">
        <v>390</v>
      </c>
      <c r="C176" s="20" t="s">
        <v>853</v>
      </c>
      <c r="D176" s="137">
        <v>2420000</v>
      </c>
      <c r="E176" s="20" t="s">
        <v>570</v>
      </c>
      <c r="F176" s="20" t="s">
        <v>571</v>
      </c>
      <c r="G176" s="8" t="str">
        <f t="shared" si="4"/>
        <v>HOLCOMB KAMDEN</v>
      </c>
      <c r="H176" s="20" t="str">
        <f t="shared" si="5"/>
        <v>4059</v>
      </c>
    </row>
    <row r="177" spans="1:8" x14ac:dyDescent="0.25">
      <c r="A177" s="8">
        <v>43078.788298611114</v>
      </c>
      <c r="B177" s="20" t="s">
        <v>514</v>
      </c>
      <c r="C177" s="20" t="s">
        <v>854</v>
      </c>
      <c r="D177" s="137">
        <v>3310000</v>
      </c>
      <c r="E177" s="20" t="s">
        <v>548</v>
      </c>
      <c r="F177" s="20" t="s">
        <v>549</v>
      </c>
      <c r="G177" s="8" t="str">
        <f t="shared" si="4"/>
        <v>ANDERS STEVEN</v>
      </c>
      <c r="H177" s="20" t="str">
        <f t="shared" si="5"/>
        <v>4006</v>
      </c>
    </row>
    <row r="178" spans="1:8" x14ac:dyDescent="0.25">
      <c r="A178" s="8">
        <v>43078.791250000002</v>
      </c>
      <c r="B178" s="20" t="s">
        <v>392</v>
      </c>
      <c r="C178" s="20" t="s">
        <v>855</v>
      </c>
      <c r="D178" s="137">
        <v>2230000</v>
      </c>
      <c r="E178" s="20" t="s">
        <v>393</v>
      </c>
      <c r="F178" s="20" t="s">
        <v>352</v>
      </c>
      <c r="G178" s="8" t="str">
        <f t="shared" si="4"/>
        <v>SMITH MICHAEL</v>
      </c>
      <c r="H178" s="20" t="str">
        <f t="shared" si="5"/>
        <v>4030</v>
      </c>
    </row>
    <row r="179" spans="1:8" x14ac:dyDescent="0.25">
      <c r="A179" s="8">
        <v>43078.797222222223</v>
      </c>
      <c r="B179" s="20" t="s">
        <v>366</v>
      </c>
      <c r="C179" s="20" t="s">
        <v>856</v>
      </c>
      <c r="D179" s="137">
        <v>3330000</v>
      </c>
      <c r="E179" s="20" t="s">
        <v>605</v>
      </c>
      <c r="F179" s="20" t="s">
        <v>606</v>
      </c>
      <c r="G179" s="8" t="str">
        <f t="shared" si="4"/>
        <v>GONZALEZ ARMANDO</v>
      </c>
      <c r="H179" s="20" t="str">
        <f t="shared" si="5"/>
        <v>4036</v>
      </c>
    </row>
    <row r="180" spans="1:8" x14ac:dyDescent="0.25">
      <c r="A180" s="8">
        <v>43078.803356481483</v>
      </c>
      <c r="B180" s="20" t="s">
        <v>361</v>
      </c>
      <c r="C180" s="20" t="s">
        <v>857</v>
      </c>
      <c r="D180" s="137">
        <v>3320000</v>
      </c>
      <c r="E180" s="20" t="s">
        <v>363</v>
      </c>
      <c r="F180" s="20" t="s">
        <v>364</v>
      </c>
      <c r="G180" s="8" t="str">
        <f t="shared" si="4"/>
        <v>NICHOLSON WESLEY</v>
      </c>
      <c r="H180" s="20" t="str">
        <f t="shared" si="5"/>
        <v>4007</v>
      </c>
    </row>
    <row r="181" spans="1:8" x14ac:dyDescent="0.25">
      <c r="A181" s="8">
        <v>43078.807962962965</v>
      </c>
      <c r="B181" s="20" t="s">
        <v>493</v>
      </c>
      <c r="C181" s="20" t="s">
        <v>858</v>
      </c>
      <c r="D181" s="137">
        <v>3000000</v>
      </c>
      <c r="E181" s="20" t="s">
        <v>479</v>
      </c>
      <c r="F181" s="20" t="s">
        <v>480</v>
      </c>
      <c r="G181" s="8" t="str">
        <f t="shared" si="4"/>
        <v>FORTUNATO FRANK</v>
      </c>
      <c r="H181" s="20" t="str">
        <f t="shared" si="5"/>
        <v>4014</v>
      </c>
    </row>
    <row r="182" spans="1:8" x14ac:dyDescent="0.25">
      <c r="A182" s="8">
        <v>43078.809837962966</v>
      </c>
      <c r="B182" s="20" t="s">
        <v>386</v>
      </c>
      <c r="C182" s="20" t="s">
        <v>859</v>
      </c>
      <c r="D182" s="137">
        <v>2230000</v>
      </c>
      <c r="E182" s="20" t="s">
        <v>393</v>
      </c>
      <c r="F182" s="20" t="s">
        <v>352</v>
      </c>
      <c r="G182" s="8" t="str">
        <f t="shared" si="4"/>
        <v>SMITH MICHAEL</v>
      </c>
      <c r="H182" s="20" t="str">
        <f t="shared" si="5"/>
        <v>4029</v>
      </c>
    </row>
    <row r="183" spans="1:8" x14ac:dyDescent="0.25">
      <c r="A183" s="8">
        <v>43078.818240740744</v>
      </c>
      <c r="B183" s="20" t="s">
        <v>357</v>
      </c>
      <c r="C183" s="20" t="s">
        <v>860</v>
      </c>
      <c r="D183" s="137">
        <v>2420000</v>
      </c>
      <c r="E183" s="20" t="s">
        <v>570</v>
      </c>
      <c r="F183" s="20" t="s">
        <v>571</v>
      </c>
      <c r="G183" s="8" t="str">
        <f t="shared" si="4"/>
        <v>HOLCOMB KAMDEN</v>
      </c>
      <c r="H183" s="20" t="str">
        <f t="shared" si="5"/>
        <v>4060</v>
      </c>
    </row>
    <row r="184" spans="1:8" x14ac:dyDescent="0.25">
      <c r="A184" s="8">
        <v>43078.820405092592</v>
      </c>
      <c r="B184" s="20" t="s">
        <v>519</v>
      </c>
      <c r="C184" s="20" t="s">
        <v>861</v>
      </c>
      <c r="D184" s="137">
        <v>3310000</v>
      </c>
      <c r="E184" s="20" t="s">
        <v>548</v>
      </c>
      <c r="F184" s="20" t="s">
        <v>549</v>
      </c>
      <c r="G184" s="8" t="str">
        <f t="shared" si="4"/>
        <v>ANDERS STEVEN</v>
      </c>
      <c r="H184" s="20" t="str">
        <f t="shared" si="5"/>
        <v>4005</v>
      </c>
    </row>
    <row r="185" spans="1:8" x14ac:dyDescent="0.25">
      <c r="A185" s="8">
        <v>43078.830925925926</v>
      </c>
      <c r="B185" s="20" t="s">
        <v>391</v>
      </c>
      <c r="C185" s="20" t="s">
        <v>862</v>
      </c>
      <c r="D185" s="137">
        <v>3340000</v>
      </c>
      <c r="E185" s="20" t="s">
        <v>470</v>
      </c>
      <c r="F185" s="20" t="s">
        <v>471</v>
      </c>
      <c r="G185" s="8" t="str">
        <f t="shared" si="4"/>
        <v>ELBAUM MIKE</v>
      </c>
      <c r="H185" s="20" t="str">
        <f t="shared" si="5"/>
        <v>4028</v>
      </c>
    </row>
    <row r="186" spans="1:8" x14ac:dyDescent="0.25">
      <c r="A186" s="8">
        <v>43078.835902777777</v>
      </c>
      <c r="B186" s="20" t="s">
        <v>392</v>
      </c>
      <c r="C186" s="20" t="s">
        <v>863</v>
      </c>
      <c r="D186" s="137">
        <v>2230000</v>
      </c>
      <c r="E186" s="20" t="s">
        <v>393</v>
      </c>
      <c r="F186" s="20" t="s">
        <v>352</v>
      </c>
      <c r="G186" s="8" t="str">
        <f t="shared" si="4"/>
        <v>SMITH MICHAEL</v>
      </c>
      <c r="H186" s="20" t="str">
        <f t="shared" si="5"/>
        <v>4030</v>
      </c>
    </row>
    <row r="187" spans="1:8" x14ac:dyDescent="0.25">
      <c r="A187" s="8">
        <v>43078.840567129628</v>
      </c>
      <c r="B187" s="20" t="s">
        <v>356</v>
      </c>
      <c r="C187" s="20" t="s">
        <v>864</v>
      </c>
      <c r="D187" s="137">
        <v>3320000</v>
      </c>
      <c r="E187" s="20" t="s">
        <v>363</v>
      </c>
      <c r="F187" s="20" t="s">
        <v>364</v>
      </c>
      <c r="G187" s="8" t="str">
        <f t="shared" si="4"/>
        <v>NICHOLSON WESLEY</v>
      </c>
      <c r="H187" s="20" t="str">
        <f t="shared" si="5"/>
        <v>4008</v>
      </c>
    </row>
    <row r="188" spans="1:8" x14ac:dyDescent="0.25">
      <c r="A188" s="8">
        <v>43078.84611111111</v>
      </c>
      <c r="B188" s="20" t="s">
        <v>494</v>
      </c>
      <c r="C188" s="20" t="s">
        <v>865</v>
      </c>
      <c r="D188" s="137">
        <v>3000000</v>
      </c>
      <c r="E188" s="20" t="s">
        <v>479</v>
      </c>
      <c r="F188" s="20" t="s">
        <v>480</v>
      </c>
      <c r="G188" s="8" t="str">
        <f t="shared" si="4"/>
        <v>FORTUNATO FRANK</v>
      </c>
      <c r="H188" s="20" t="str">
        <f t="shared" si="5"/>
        <v>4013</v>
      </c>
    </row>
    <row r="189" spans="1:8" x14ac:dyDescent="0.25">
      <c r="A189" s="8">
        <v>43078.852314814816</v>
      </c>
      <c r="B189" s="20" t="s">
        <v>386</v>
      </c>
      <c r="C189" s="20" t="s">
        <v>866</v>
      </c>
      <c r="D189" s="137">
        <v>2230000</v>
      </c>
      <c r="E189" s="20" t="s">
        <v>393</v>
      </c>
      <c r="F189" s="20" t="s">
        <v>352</v>
      </c>
      <c r="G189" s="8" t="str">
        <f t="shared" si="4"/>
        <v>SMITH MICHAEL</v>
      </c>
      <c r="H189" s="20" t="str">
        <f t="shared" si="5"/>
        <v>4029</v>
      </c>
    </row>
    <row r="190" spans="1:8" x14ac:dyDescent="0.25">
      <c r="A190" s="8">
        <v>43078.858865740738</v>
      </c>
      <c r="B190" s="20" t="s">
        <v>600</v>
      </c>
      <c r="C190" s="20" t="s">
        <v>867</v>
      </c>
      <c r="D190" s="137">
        <v>3340000</v>
      </c>
      <c r="E190" s="20" t="s">
        <v>470</v>
      </c>
      <c r="F190" s="20" t="s">
        <v>471</v>
      </c>
      <c r="G190" s="8" t="str">
        <f t="shared" si="4"/>
        <v>ELBAUM MIKE</v>
      </c>
      <c r="H190" s="20" t="str">
        <f t="shared" si="5"/>
        <v>4027</v>
      </c>
    </row>
    <row r="191" spans="1:8" x14ac:dyDescent="0.25">
      <c r="A191" s="8">
        <v>43078.874293981484</v>
      </c>
      <c r="B191" s="20" t="s">
        <v>514</v>
      </c>
      <c r="C191" s="20" t="s">
        <v>868</v>
      </c>
      <c r="D191" s="137">
        <v>3310000</v>
      </c>
      <c r="E191" s="20" t="s">
        <v>548</v>
      </c>
      <c r="F191" s="20" t="s">
        <v>549</v>
      </c>
      <c r="G191" s="8" t="str">
        <f t="shared" si="4"/>
        <v>ANDERS STEVEN</v>
      </c>
      <c r="H191" s="20" t="str">
        <f t="shared" si="5"/>
        <v>4006</v>
      </c>
    </row>
    <row r="192" spans="1:8" x14ac:dyDescent="0.25">
      <c r="A192" s="8">
        <v>43078.875879629632</v>
      </c>
      <c r="B192" s="20" t="s">
        <v>392</v>
      </c>
      <c r="C192" s="20" t="s">
        <v>695</v>
      </c>
      <c r="D192" s="137">
        <v>2230000</v>
      </c>
      <c r="E192" s="20" t="s">
        <v>393</v>
      </c>
      <c r="F192" s="20" t="s">
        <v>352</v>
      </c>
      <c r="G192" s="8" t="str">
        <f t="shared" si="4"/>
        <v>SMITH MICHAEL</v>
      </c>
      <c r="H192" s="20" t="str">
        <f t="shared" si="5"/>
        <v>4030</v>
      </c>
    </row>
    <row r="193" spans="1:8" x14ac:dyDescent="0.25">
      <c r="A193" s="8">
        <v>43078.880983796298</v>
      </c>
      <c r="B193" s="20" t="s">
        <v>493</v>
      </c>
      <c r="C193" s="20" t="s">
        <v>869</v>
      </c>
      <c r="D193" s="137">
        <v>3000000</v>
      </c>
      <c r="E193" s="20" t="s">
        <v>479</v>
      </c>
      <c r="F193" s="20" t="s">
        <v>480</v>
      </c>
      <c r="G193" s="8" t="str">
        <f t="shared" si="4"/>
        <v>FORTUNATO FRANK</v>
      </c>
      <c r="H193" s="20" t="str">
        <f t="shared" si="5"/>
        <v>4014</v>
      </c>
    </row>
    <row r="194" spans="1:8" x14ac:dyDescent="0.25">
      <c r="A194" s="8">
        <v>43078.889918981484</v>
      </c>
      <c r="B194" s="20" t="s">
        <v>361</v>
      </c>
      <c r="C194" s="20" t="s">
        <v>870</v>
      </c>
      <c r="D194" s="137">
        <v>3320000</v>
      </c>
      <c r="E194" s="20" t="s">
        <v>363</v>
      </c>
      <c r="F194" s="20" t="s">
        <v>364</v>
      </c>
      <c r="G194" s="8" t="str">
        <f t="shared" si="4"/>
        <v>NICHOLSON WESLEY</v>
      </c>
      <c r="H194" s="20" t="str">
        <f t="shared" si="5"/>
        <v>4007</v>
      </c>
    </row>
    <row r="195" spans="1:8" x14ac:dyDescent="0.25">
      <c r="A195" s="8">
        <v>43078.892939814818</v>
      </c>
      <c r="B195" s="20" t="s">
        <v>386</v>
      </c>
      <c r="C195" s="20" t="s">
        <v>696</v>
      </c>
      <c r="D195" s="137">
        <v>2230000</v>
      </c>
      <c r="E195" s="20" t="s">
        <v>393</v>
      </c>
      <c r="F195" s="20" t="s">
        <v>352</v>
      </c>
      <c r="G195" s="8" t="str">
        <f t="shared" ref="G195:G258" si="6">E195&amp;" "&amp;F195</f>
        <v>SMITH MICHAEL</v>
      </c>
      <c r="H195" s="20" t="str">
        <f t="shared" ref="H195:H258" si="7">MID(B195,13,4)</f>
        <v>4029</v>
      </c>
    </row>
    <row r="196" spans="1:8" x14ac:dyDescent="0.25">
      <c r="A196" s="8">
        <v>43078.900671296295</v>
      </c>
      <c r="B196" s="20" t="s">
        <v>391</v>
      </c>
      <c r="C196" s="20" t="s">
        <v>871</v>
      </c>
      <c r="D196" s="137">
        <v>3340000</v>
      </c>
      <c r="E196" s="20" t="s">
        <v>470</v>
      </c>
      <c r="F196" s="20" t="s">
        <v>471</v>
      </c>
      <c r="G196" s="8" t="str">
        <f t="shared" si="6"/>
        <v>ELBAUM MIKE</v>
      </c>
      <c r="H196" s="20" t="str">
        <f t="shared" si="7"/>
        <v>4028</v>
      </c>
    </row>
    <row r="197" spans="1:8" x14ac:dyDescent="0.25">
      <c r="A197" s="8">
        <v>43078.90185185185</v>
      </c>
      <c r="B197" s="20" t="s">
        <v>519</v>
      </c>
      <c r="C197" s="20" t="s">
        <v>872</v>
      </c>
      <c r="D197" s="137">
        <v>3310000</v>
      </c>
      <c r="E197" s="20" t="s">
        <v>548</v>
      </c>
      <c r="F197" s="20" t="s">
        <v>549</v>
      </c>
      <c r="G197" s="8" t="str">
        <f t="shared" si="6"/>
        <v>ANDERS STEVEN</v>
      </c>
      <c r="H197" s="20" t="str">
        <f t="shared" si="7"/>
        <v>4005</v>
      </c>
    </row>
    <row r="198" spans="1:8" x14ac:dyDescent="0.25">
      <c r="A198" s="8">
        <v>43078.917673611111</v>
      </c>
      <c r="B198" s="20" t="s">
        <v>392</v>
      </c>
      <c r="C198" s="20" t="s">
        <v>873</v>
      </c>
      <c r="D198" s="137">
        <v>2230000</v>
      </c>
      <c r="E198" s="20" t="s">
        <v>393</v>
      </c>
      <c r="F198" s="20" t="s">
        <v>352</v>
      </c>
      <c r="G198" s="8" t="str">
        <f t="shared" si="6"/>
        <v>SMITH MICHAEL</v>
      </c>
      <c r="H198" s="20" t="str">
        <f t="shared" si="7"/>
        <v>4030</v>
      </c>
    </row>
    <row r="199" spans="1:8" x14ac:dyDescent="0.25">
      <c r="A199" s="8">
        <v>43078.92355324074</v>
      </c>
      <c r="B199" s="20" t="s">
        <v>494</v>
      </c>
      <c r="C199" s="20" t="s">
        <v>874</v>
      </c>
      <c r="D199" s="137">
        <v>3000000</v>
      </c>
      <c r="E199" s="20" t="s">
        <v>479</v>
      </c>
      <c r="F199" s="20" t="s">
        <v>480</v>
      </c>
      <c r="G199" s="8" t="str">
        <f t="shared" si="6"/>
        <v>FORTUNATO FRANK</v>
      </c>
      <c r="H199" s="20" t="str">
        <f t="shared" si="7"/>
        <v>4013</v>
      </c>
    </row>
    <row r="200" spans="1:8" x14ac:dyDescent="0.25">
      <c r="A200" s="8">
        <v>43078.927627314813</v>
      </c>
      <c r="B200" s="20" t="s">
        <v>356</v>
      </c>
      <c r="C200" s="20" t="s">
        <v>875</v>
      </c>
      <c r="D200" s="137">
        <v>3320000</v>
      </c>
      <c r="E200" s="20" t="s">
        <v>363</v>
      </c>
      <c r="F200" s="20" t="s">
        <v>364</v>
      </c>
      <c r="G200" s="8" t="str">
        <f t="shared" si="6"/>
        <v>NICHOLSON WESLEY</v>
      </c>
      <c r="H200" s="20" t="str">
        <f t="shared" si="7"/>
        <v>4008</v>
      </c>
    </row>
    <row r="201" spans="1:8" x14ac:dyDescent="0.25">
      <c r="A201" s="8">
        <v>43078.934988425928</v>
      </c>
      <c r="B201" s="20" t="s">
        <v>386</v>
      </c>
      <c r="C201" s="20" t="s">
        <v>876</v>
      </c>
      <c r="D201" s="137">
        <v>2230000</v>
      </c>
      <c r="E201" s="20" t="s">
        <v>393</v>
      </c>
      <c r="F201" s="20" t="s">
        <v>352</v>
      </c>
      <c r="G201" s="8" t="str">
        <f t="shared" si="6"/>
        <v>SMITH MICHAEL</v>
      </c>
      <c r="H201" s="20" t="str">
        <f t="shared" si="7"/>
        <v>4029</v>
      </c>
    </row>
    <row r="202" spans="1:8" x14ac:dyDescent="0.25">
      <c r="A202" s="26">
        <v>43078.945648148147</v>
      </c>
      <c r="B202" s="20" t="s">
        <v>600</v>
      </c>
      <c r="C202" s="20" t="s">
        <v>877</v>
      </c>
      <c r="D202" s="137">
        <v>3340000</v>
      </c>
      <c r="E202" s="20" t="s">
        <v>470</v>
      </c>
      <c r="F202" s="20" t="s">
        <v>471</v>
      </c>
      <c r="G202" s="8" t="str">
        <f t="shared" si="6"/>
        <v>ELBAUM MIKE</v>
      </c>
      <c r="H202" s="20" t="str">
        <f t="shared" si="7"/>
        <v>4027</v>
      </c>
    </row>
    <row r="203" spans="1:8" x14ac:dyDescent="0.25">
      <c r="A203" s="8">
        <v>43078.949074074073</v>
      </c>
      <c r="B203" s="20" t="s">
        <v>514</v>
      </c>
      <c r="C203" s="20" t="s">
        <v>878</v>
      </c>
      <c r="D203" s="137">
        <v>3310000</v>
      </c>
      <c r="E203" s="20" t="s">
        <v>548</v>
      </c>
      <c r="F203" s="20" t="s">
        <v>549</v>
      </c>
      <c r="G203" s="8" t="str">
        <f t="shared" si="6"/>
        <v>ANDERS STEVEN</v>
      </c>
      <c r="H203" s="20" t="str">
        <f t="shared" si="7"/>
        <v>4006</v>
      </c>
    </row>
    <row r="204" spans="1:8" x14ac:dyDescent="0.25">
      <c r="A204" s="8">
        <v>43078.957916666666</v>
      </c>
      <c r="B204" s="20" t="s">
        <v>392</v>
      </c>
      <c r="C204" s="20" t="s">
        <v>879</v>
      </c>
      <c r="D204" s="137">
        <v>2230000</v>
      </c>
      <c r="E204" s="20" t="s">
        <v>393</v>
      </c>
      <c r="F204" s="20" t="s">
        <v>352</v>
      </c>
      <c r="G204" s="8" t="str">
        <f t="shared" si="6"/>
        <v>SMITH MICHAEL</v>
      </c>
      <c r="H204" s="20" t="str">
        <f t="shared" si="7"/>
        <v>4030</v>
      </c>
    </row>
    <row r="205" spans="1:8" x14ac:dyDescent="0.25">
      <c r="A205" s="8">
        <v>43078.964236111111</v>
      </c>
      <c r="B205" s="20" t="s">
        <v>493</v>
      </c>
      <c r="C205" s="20" t="s">
        <v>880</v>
      </c>
      <c r="D205" s="137">
        <v>3000000</v>
      </c>
      <c r="E205" s="20" t="s">
        <v>479</v>
      </c>
      <c r="F205" s="20" t="s">
        <v>480</v>
      </c>
      <c r="G205" s="8" t="str">
        <f t="shared" si="6"/>
        <v>FORTUNATO FRANK</v>
      </c>
      <c r="H205" s="20" t="str">
        <f t="shared" si="7"/>
        <v>4014</v>
      </c>
    </row>
    <row r="206" spans="1:8" x14ac:dyDescent="0.25">
      <c r="A206" s="8">
        <v>43078.974097222221</v>
      </c>
      <c r="B206" s="20" t="s">
        <v>361</v>
      </c>
      <c r="C206" s="20" t="s">
        <v>881</v>
      </c>
      <c r="D206" s="137">
        <v>3320000</v>
      </c>
      <c r="E206" s="20" t="s">
        <v>363</v>
      </c>
      <c r="F206" s="20" t="s">
        <v>364</v>
      </c>
      <c r="G206" s="8" t="str">
        <f t="shared" si="6"/>
        <v>NICHOLSON WESLEY</v>
      </c>
      <c r="H206" s="20" t="str">
        <f t="shared" si="7"/>
        <v>4007</v>
      </c>
    </row>
    <row r="207" spans="1:8" x14ac:dyDescent="0.25">
      <c r="A207" s="8">
        <v>43078.976388888892</v>
      </c>
      <c r="B207" s="20" t="s">
        <v>386</v>
      </c>
      <c r="C207" s="20" t="s">
        <v>882</v>
      </c>
      <c r="D207" s="137">
        <v>2230000</v>
      </c>
      <c r="E207" s="20" t="s">
        <v>393</v>
      </c>
      <c r="F207" s="20" t="s">
        <v>352</v>
      </c>
      <c r="G207" s="8" t="str">
        <f t="shared" si="6"/>
        <v>SMITH MICHAEL</v>
      </c>
      <c r="H207" s="20" t="str">
        <f t="shared" si="7"/>
        <v>4029</v>
      </c>
    </row>
    <row r="208" spans="1:8" x14ac:dyDescent="0.25">
      <c r="A208" s="8">
        <v>43078.985706018517</v>
      </c>
      <c r="B208" s="20" t="s">
        <v>391</v>
      </c>
      <c r="C208" s="20" t="s">
        <v>883</v>
      </c>
      <c r="D208" s="137">
        <v>3340000</v>
      </c>
      <c r="E208" s="20" t="s">
        <v>470</v>
      </c>
      <c r="F208" s="20" t="s">
        <v>471</v>
      </c>
      <c r="G208" s="8" t="str">
        <f t="shared" si="6"/>
        <v>ELBAUM MIKE</v>
      </c>
      <c r="H208" s="20" t="str">
        <f t="shared" si="7"/>
        <v>4028</v>
      </c>
    </row>
    <row r="209" spans="1:8" x14ac:dyDescent="0.25">
      <c r="A209" s="8">
        <v>43078.996064814812</v>
      </c>
      <c r="B209" s="20" t="s">
        <v>519</v>
      </c>
      <c r="C209" s="20" t="s">
        <v>884</v>
      </c>
      <c r="D209" s="137">
        <v>3310000</v>
      </c>
      <c r="E209" s="20" t="s">
        <v>548</v>
      </c>
      <c r="F209" s="20" t="s">
        <v>549</v>
      </c>
      <c r="G209" s="8" t="str">
        <f t="shared" si="6"/>
        <v>ANDERS STEVEN</v>
      </c>
      <c r="H209" s="20" t="str">
        <f t="shared" si="7"/>
        <v>4005</v>
      </c>
    </row>
    <row r="210" spans="1:8" x14ac:dyDescent="0.25">
      <c r="A210" s="8">
        <v>43079.005682870367</v>
      </c>
      <c r="B210" s="20" t="s">
        <v>494</v>
      </c>
      <c r="C210" s="20" t="s">
        <v>697</v>
      </c>
      <c r="D210" s="137">
        <v>3000000</v>
      </c>
      <c r="E210" s="20" t="s">
        <v>479</v>
      </c>
      <c r="F210" s="20" t="s">
        <v>480</v>
      </c>
      <c r="G210" s="8" t="str">
        <f t="shared" si="6"/>
        <v>FORTUNATO FRANK</v>
      </c>
      <c r="H210" s="20" t="str">
        <f t="shared" si="7"/>
        <v>4013</v>
      </c>
    </row>
    <row r="211" spans="1:8" x14ac:dyDescent="0.25">
      <c r="A211" s="8">
        <v>43079.01189814815</v>
      </c>
      <c r="B211" s="20" t="s">
        <v>356</v>
      </c>
      <c r="C211" s="20" t="s">
        <v>885</v>
      </c>
      <c r="D211" s="137">
        <v>3320000</v>
      </c>
      <c r="E211" s="20" t="s">
        <v>363</v>
      </c>
      <c r="F211" s="20" t="s">
        <v>364</v>
      </c>
      <c r="G211" s="8" t="str">
        <f t="shared" si="6"/>
        <v>NICHOLSON WESLEY</v>
      </c>
      <c r="H211" s="20" t="str">
        <f t="shared" si="7"/>
        <v>4008</v>
      </c>
    </row>
    <row r="212" spans="1:8" x14ac:dyDescent="0.25">
      <c r="A212" s="8">
        <v>43079.026099537034</v>
      </c>
      <c r="B212" s="20" t="s">
        <v>600</v>
      </c>
      <c r="C212" s="20" t="s">
        <v>886</v>
      </c>
      <c r="D212" s="137">
        <v>3340000</v>
      </c>
      <c r="E212" s="20" t="s">
        <v>470</v>
      </c>
      <c r="F212" s="20" t="s">
        <v>471</v>
      </c>
      <c r="G212" s="8" t="str">
        <f t="shared" si="6"/>
        <v>ELBAUM MIKE</v>
      </c>
      <c r="H212" s="20" t="str">
        <f t="shared" si="7"/>
        <v>4027</v>
      </c>
    </row>
    <row r="213" spans="1:8" x14ac:dyDescent="0.25">
      <c r="A213" s="8">
        <v>43079.031759259262</v>
      </c>
      <c r="B213" s="20" t="s">
        <v>514</v>
      </c>
      <c r="C213" s="20" t="s">
        <v>698</v>
      </c>
      <c r="D213" s="137">
        <v>3310000</v>
      </c>
      <c r="E213" s="20" t="s">
        <v>548</v>
      </c>
      <c r="F213" s="20" t="s">
        <v>549</v>
      </c>
      <c r="G213" s="8" t="str">
        <f t="shared" si="6"/>
        <v>ANDERS STEVEN</v>
      </c>
      <c r="H213" s="20" t="str">
        <f t="shared" si="7"/>
        <v>4006</v>
      </c>
    </row>
    <row r="214" spans="1:8" x14ac:dyDescent="0.25">
      <c r="A214" s="8">
        <v>43079.048611111109</v>
      </c>
      <c r="B214" s="20" t="s">
        <v>493</v>
      </c>
      <c r="C214" s="20" t="s">
        <v>887</v>
      </c>
      <c r="D214" s="137">
        <v>3000000</v>
      </c>
      <c r="E214" s="20" t="s">
        <v>479</v>
      </c>
      <c r="F214" s="20" t="s">
        <v>480</v>
      </c>
      <c r="G214" s="8" t="str">
        <f t="shared" si="6"/>
        <v>FORTUNATO FRANK</v>
      </c>
      <c r="H214" s="20" t="str">
        <f t="shared" si="7"/>
        <v>4014</v>
      </c>
    </row>
    <row r="215" spans="1:8" x14ac:dyDescent="0.25">
      <c r="A215" s="8">
        <v>43079.057233796295</v>
      </c>
      <c r="B215" s="20" t="s">
        <v>361</v>
      </c>
      <c r="C215" s="20" t="s">
        <v>888</v>
      </c>
      <c r="D215" s="137">
        <v>3320000</v>
      </c>
      <c r="E215" s="20" t="s">
        <v>363</v>
      </c>
      <c r="F215" s="20" t="s">
        <v>364</v>
      </c>
      <c r="G215" s="8" t="str">
        <f t="shared" si="6"/>
        <v>NICHOLSON WESLEY</v>
      </c>
      <c r="H215" s="20" t="str">
        <f t="shared" si="7"/>
        <v>4007</v>
      </c>
    </row>
    <row r="216" spans="1:8" x14ac:dyDescent="0.25">
      <c r="A216" s="8">
        <v>43079.066319444442</v>
      </c>
      <c r="B216" s="20" t="s">
        <v>391</v>
      </c>
      <c r="C216" s="20" t="s">
        <v>889</v>
      </c>
      <c r="D216" s="137">
        <v>3340000</v>
      </c>
      <c r="E216" s="20" t="s">
        <v>470</v>
      </c>
      <c r="F216" s="20" t="s">
        <v>471</v>
      </c>
      <c r="G216" s="8" t="str">
        <f t="shared" si="6"/>
        <v>ELBAUM MIKE</v>
      </c>
      <c r="H216" s="20" t="str">
        <f t="shared" si="7"/>
        <v>4028</v>
      </c>
    </row>
    <row r="217" spans="1:8" x14ac:dyDescent="0.25">
      <c r="A217" s="8">
        <v>43079.079004629632</v>
      </c>
      <c r="B217" s="20" t="s">
        <v>519</v>
      </c>
      <c r="C217" s="20" t="s">
        <v>890</v>
      </c>
      <c r="D217" s="137">
        <v>3310000</v>
      </c>
      <c r="E217" s="20" t="s">
        <v>548</v>
      </c>
      <c r="F217" s="20" t="s">
        <v>549</v>
      </c>
      <c r="G217" s="8" t="str">
        <f t="shared" si="6"/>
        <v>ANDERS STEVEN</v>
      </c>
      <c r="H217" s="20" t="str">
        <f t="shared" si="7"/>
        <v>4005</v>
      </c>
    </row>
    <row r="218" spans="1:8" x14ac:dyDescent="0.25">
      <c r="A218" s="8">
        <v>43079.091377314813</v>
      </c>
      <c r="B218" s="20" t="s">
        <v>356</v>
      </c>
      <c r="C218" s="20" t="s">
        <v>891</v>
      </c>
      <c r="D218" s="137">
        <v>3320000</v>
      </c>
      <c r="E218" s="20" t="s">
        <v>363</v>
      </c>
      <c r="F218" s="20" t="s">
        <v>364</v>
      </c>
      <c r="G218" s="8" t="str">
        <f t="shared" si="6"/>
        <v>NICHOLSON WESLEY</v>
      </c>
      <c r="H218" s="20" t="str">
        <f t="shared" si="7"/>
        <v>4008</v>
      </c>
    </row>
    <row r="219" spans="1:8" x14ac:dyDescent="0.25">
      <c r="A219" s="8">
        <v>43079.114583333336</v>
      </c>
      <c r="B219" s="20" t="s">
        <v>371</v>
      </c>
      <c r="C219" s="20" t="s">
        <v>892</v>
      </c>
      <c r="D219" s="137">
        <v>3120000</v>
      </c>
      <c r="E219" s="20" t="s">
        <v>369</v>
      </c>
      <c r="F219" s="20" t="s">
        <v>563</v>
      </c>
      <c r="G219" s="8" t="str">
        <f t="shared" si="6"/>
        <v>THOMPSON LESTER</v>
      </c>
      <c r="H219" s="20" t="str">
        <f t="shared" si="7"/>
        <v>4011</v>
      </c>
    </row>
    <row r="220" spans="1:8" x14ac:dyDescent="0.25">
      <c r="A220" s="8">
        <v>43072.066111111111</v>
      </c>
      <c r="B220" s="20" t="s">
        <v>392</v>
      </c>
      <c r="C220" s="20" t="s">
        <v>607</v>
      </c>
      <c r="D220" s="137">
        <v>3340000</v>
      </c>
      <c r="E220" s="20" t="s">
        <v>470</v>
      </c>
      <c r="F220" s="20" t="s">
        <v>471</v>
      </c>
      <c r="G220" s="8" t="str">
        <f t="shared" si="6"/>
        <v>ELBAUM MIKE</v>
      </c>
      <c r="H220" s="20" t="str">
        <f t="shared" si="7"/>
        <v>4030</v>
      </c>
    </row>
    <row r="221" spans="1:8" x14ac:dyDescent="0.25">
      <c r="A221" s="8">
        <v>43072.080127314817</v>
      </c>
      <c r="B221" s="20" t="s">
        <v>562</v>
      </c>
      <c r="C221" s="20" t="s">
        <v>608</v>
      </c>
      <c r="D221" s="137">
        <v>3310000</v>
      </c>
      <c r="E221" s="20" t="s">
        <v>548</v>
      </c>
      <c r="F221" s="20" t="s">
        <v>549</v>
      </c>
      <c r="G221" s="8" t="str">
        <f t="shared" si="6"/>
        <v>ANDERS STEVEN</v>
      </c>
      <c r="H221" s="20" t="str">
        <f t="shared" si="7"/>
        <v>4009</v>
      </c>
    </row>
    <row r="222" spans="1:8" x14ac:dyDescent="0.25">
      <c r="A222" s="8">
        <v>43072.09207175926</v>
      </c>
      <c r="B222" s="20" t="s">
        <v>384</v>
      </c>
      <c r="C222" s="20" t="s">
        <v>609</v>
      </c>
      <c r="D222" s="137">
        <v>3320000</v>
      </c>
      <c r="E222" s="20" t="s">
        <v>363</v>
      </c>
      <c r="F222" s="20" t="s">
        <v>364</v>
      </c>
      <c r="G222" s="8" t="str">
        <f t="shared" si="6"/>
        <v>NICHOLSON WESLEY</v>
      </c>
      <c r="H222" s="20" t="str">
        <f t="shared" si="7"/>
        <v>4022</v>
      </c>
    </row>
    <row r="223" spans="1:8" x14ac:dyDescent="0.25">
      <c r="A223" s="8">
        <v>43072.111863425926</v>
      </c>
      <c r="B223" s="20" t="s">
        <v>444</v>
      </c>
      <c r="C223" s="20" t="s">
        <v>610</v>
      </c>
      <c r="D223" s="137">
        <v>3310000</v>
      </c>
      <c r="E223" s="20" t="s">
        <v>548</v>
      </c>
      <c r="F223" s="20" t="s">
        <v>549</v>
      </c>
      <c r="G223" s="8" t="str">
        <f t="shared" si="6"/>
        <v>ANDERS STEVEN</v>
      </c>
      <c r="H223" s="20" t="str">
        <f t="shared" si="7"/>
        <v>4010</v>
      </c>
    </row>
    <row r="224" spans="1:8" x14ac:dyDescent="0.25">
      <c r="A224" s="8">
        <v>43061.930405092593</v>
      </c>
      <c r="B224" t="s">
        <v>513</v>
      </c>
      <c r="C224" t="s">
        <v>521</v>
      </c>
      <c r="D224" s="137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4001</v>
      </c>
    </row>
    <row r="225" spans="1:8" x14ac:dyDescent="0.25">
      <c r="A225" s="8">
        <v>43061.939259259256</v>
      </c>
      <c r="B225" t="s">
        <v>511</v>
      </c>
      <c r="C225" t="s">
        <v>522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4023</v>
      </c>
    </row>
    <row r="226" spans="1:8" x14ac:dyDescent="0.25">
      <c r="A226" s="8">
        <v>43061.939837962964</v>
      </c>
      <c r="B226" t="s">
        <v>511</v>
      </c>
      <c r="C226" t="s">
        <v>522</v>
      </c>
      <c r="D226" s="137">
        <v>2000000</v>
      </c>
      <c r="E226" t="s">
        <v>394</v>
      </c>
      <c r="F226" s="20" t="s">
        <v>395</v>
      </c>
      <c r="G226" s="8" t="str">
        <f t="shared" si="6"/>
        <v>STAMBAUGH JAMES</v>
      </c>
      <c r="H226" s="20" t="str">
        <f t="shared" si="7"/>
        <v>4023</v>
      </c>
    </row>
    <row r="227" spans="1:8" x14ac:dyDescent="0.25">
      <c r="A227" s="8">
        <v>43061.940532407411</v>
      </c>
      <c r="B227" t="s">
        <v>511</v>
      </c>
      <c r="C227" t="s">
        <v>522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4023</v>
      </c>
    </row>
    <row r="228" spans="1:8" x14ac:dyDescent="0.25">
      <c r="A228" s="8">
        <v>43061.941168981481</v>
      </c>
      <c r="B228" t="s">
        <v>511</v>
      </c>
      <c r="C228" t="s">
        <v>522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4023</v>
      </c>
    </row>
    <row r="229" spans="1:8" x14ac:dyDescent="0.25">
      <c r="A229" s="8">
        <v>43061.944571759261</v>
      </c>
      <c r="B229" t="s">
        <v>360</v>
      </c>
      <c r="C229" t="s">
        <v>523</v>
      </c>
      <c r="D229" s="137">
        <v>3320000</v>
      </c>
      <c r="E229" t="s">
        <v>363</v>
      </c>
      <c r="F229" s="20" t="s">
        <v>364</v>
      </c>
      <c r="G229" s="8" t="str">
        <f t="shared" si="6"/>
        <v>NICHOLSON WESLEY</v>
      </c>
      <c r="H229" s="20" t="str">
        <f t="shared" si="7"/>
        <v>4018</v>
      </c>
    </row>
    <row r="230" spans="1:8" x14ac:dyDescent="0.25">
      <c r="A230" s="8">
        <v>43061.951909722222</v>
      </c>
      <c r="B230" t="s">
        <v>512</v>
      </c>
      <c r="C230" t="s">
        <v>524</v>
      </c>
      <c r="D230" s="137">
        <v>890000</v>
      </c>
      <c r="E230" t="s">
        <v>344</v>
      </c>
      <c r="F230" s="20" t="s">
        <v>345</v>
      </c>
      <c r="G230" s="8" t="str">
        <f t="shared" si="6"/>
        <v>LOZA FIDEL</v>
      </c>
      <c r="H230" s="20" t="str">
        <f t="shared" si="7"/>
        <v>4015</v>
      </c>
    </row>
    <row r="231" spans="1:8" x14ac:dyDescent="0.25">
      <c r="A231" s="8">
        <v>43061.962141203701</v>
      </c>
      <c r="B231" t="s">
        <v>520</v>
      </c>
      <c r="C231" t="s">
        <v>525</v>
      </c>
      <c r="D231" s="137">
        <v>2000000</v>
      </c>
      <c r="E231" t="s">
        <v>394</v>
      </c>
      <c r="F231" s="20" t="s">
        <v>395</v>
      </c>
      <c r="G231" s="8" t="str">
        <f t="shared" si="6"/>
        <v>STAMBAUGH JAMES</v>
      </c>
      <c r="H231" s="20" t="str">
        <f t="shared" si="7"/>
        <v>4024</v>
      </c>
    </row>
    <row r="232" spans="1:8" x14ac:dyDescent="0.25">
      <c r="A232" s="8">
        <v>43061.969398148147</v>
      </c>
      <c r="B232" t="s">
        <v>519</v>
      </c>
      <c r="C232" t="s">
        <v>526</v>
      </c>
      <c r="D232" s="137">
        <v>2540000</v>
      </c>
      <c r="E232" t="s">
        <v>458</v>
      </c>
      <c r="F232" s="20" t="s">
        <v>459</v>
      </c>
      <c r="G232" s="8" t="str">
        <f t="shared" si="6"/>
        <v>MCREYNOLDS KYLE</v>
      </c>
      <c r="H232" s="20" t="str">
        <f t="shared" si="7"/>
        <v>4005</v>
      </c>
    </row>
    <row r="233" spans="1:8" x14ac:dyDescent="0.25">
      <c r="A233" s="8">
        <v>43061.97016203704</v>
      </c>
      <c r="B233" t="s">
        <v>512</v>
      </c>
      <c r="C233" t="s">
        <v>524</v>
      </c>
      <c r="D233" s="137">
        <v>3680000</v>
      </c>
      <c r="E233" t="s">
        <v>481</v>
      </c>
      <c r="F233" s="20" t="s">
        <v>482</v>
      </c>
      <c r="G233" s="8" t="str">
        <f t="shared" si="6"/>
        <v>HAMMOND JUSTYNN</v>
      </c>
      <c r="H233" s="20" t="str">
        <f t="shared" si="7"/>
        <v>4015</v>
      </c>
    </row>
    <row r="234" spans="1:8" x14ac:dyDescent="0.25">
      <c r="A234" s="8">
        <v>43061.976215277777</v>
      </c>
      <c r="B234" t="s">
        <v>518</v>
      </c>
      <c r="C234" t="s">
        <v>527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4002</v>
      </c>
    </row>
    <row r="235" spans="1:8" x14ac:dyDescent="0.25">
      <c r="A235" s="8">
        <v>43061.990925925929</v>
      </c>
      <c r="B235" t="s">
        <v>515</v>
      </c>
      <c r="C235" t="s">
        <v>516</v>
      </c>
      <c r="D235" s="137">
        <v>3680000</v>
      </c>
      <c r="E235" t="s">
        <v>481</v>
      </c>
      <c r="F235" s="20" t="s">
        <v>482</v>
      </c>
      <c r="G235" s="8" t="str">
        <f t="shared" si="6"/>
        <v>HAMMOND JUSTYNN</v>
      </c>
      <c r="H235" s="20" t="str">
        <f t="shared" si="7"/>
        <v>4016</v>
      </c>
    </row>
    <row r="236" spans="1:8" x14ac:dyDescent="0.25">
      <c r="A236" s="8">
        <v>43061.9919212963</v>
      </c>
      <c r="B236" t="s">
        <v>362</v>
      </c>
      <c r="C236" t="s">
        <v>528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25">
      <c r="A237" s="8">
        <v>43062.007280092592</v>
      </c>
      <c r="B237" t="s">
        <v>514</v>
      </c>
      <c r="C237" t="s">
        <v>529</v>
      </c>
      <c r="D237" s="137">
        <v>2440000</v>
      </c>
      <c r="E237" t="s">
        <v>456</v>
      </c>
      <c r="F237" s="20" t="s">
        <v>457</v>
      </c>
      <c r="G237" s="8" t="str">
        <f t="shared" si="6"/>
        <v>LOPES KIMBERLY</v>
      </c>
      <c r="H237" s="20" t="str">
        <f t="shared" si="7"/>
        <v>4006</v>
      </c>
    </row>
    <row r="238" spans="1:8" x14ac:dyDescent="0.25">
      <c r="A238" s="8">
        <v>43062.019155092596</v>
      </c>
      <c r="B238" t="s">
        <v>513</v>
      </c>
      <c r="C238" t="s">
        <v>517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25">
      <c r="A239" s="8">
        <v>43062.029270833336</v>
      </c>
      <c r="B239" t="s">
        <v>360</v>
      </c>
      <c r="C239" t="s">
        <v>530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25">
      <c r="A240" s="8">
        <v>43062.037442129629</v>
      </c>
      <c r="B240" t="s">
        <v>512</v>
      </c>
      <c r="C240" t="s">
        <v>531</v>
      </c>
      <c r="D240" s="137">
        <v>3680000</v>
      </c>
      <c r="E240" t="s">
        <v>481</v>
      </c>
      <c r="F240" s="20" t="s">
        <v>482</v>
      </c>
      <c r="G240" s="8" t="str">
        <f t="shared" si="6"/>
        <v>HAMMOND JUSTYNN</v>
      </c>
      <c r="H240" s="20" t="str">
        <f t="shared" si="7"/>
        <v>4015</v>
      </c>
    </row>
    <row r="241" spans="1:8" x14ac:dyDescent="0.25">
      <c r="A241" s="8">
        <v>43062.046944444446</v>
      </c>
      <c r="B241" t="s">
        <v>518</v>
      </c>
      <c r="C241" t="s">
        <v>532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25">
      <c r="A242" s="8">
        <v>43062.050451388888</v>
      </c>
      <c r="B242" t="s">
        <v>519</v>
      </c>
      <c r="C242" t="s">
        <v>533</v>
      </c>
      <c r="D242" s="137">
        <v>2440000</v>
      </c>
      <c r="E242" t="s">
        <v>456</v>
      </c>
      <c r="F242" s="20" t="s">
        <v>457</v>
      </c>
      <c r="G242" s="8" t="str">
        <f t="shared" si="6"/>
        <v>LOPES KIMBERLY</v>
      </c>
      <c r="H242" s="20" t="str">
        <f t="shared" si="7"/>
        <v>4005</v>
      </c>
    </row>
    <row r="243" spans="1:8" x14ac:dyDescent="0.25">
      <c r="A243" s="8">
        <v>43062.068680555552</v>
      </c>
      <c r="B243" t="s">
        <v>515</v>
      </c>
      <c r="C243" t="s">
        <v>534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25">
      <c r="A244" s="8">
        <v>43062.087766203702</v>
      </c>
      <c r="B244" t="s">
        <v>514</v>
      </c>
      <c r="C244" t="s">
        <v>535</v>
      </c>
      <c r="D244" s="137">
        <v>2440000</v>
      </c>
      <c r="E244" t="s">
        <v>456</v>
      </c>
      <c r="F244" s="20" t="s">
        <v>457</v>
      </c>
      <c r="G244" s="8" t="str">
        <f t="shared" si="6"/>
        <v>LOPES KIMBERLY</v>
      </c>
      <c r="H244" s="20" t="str">
        <f t="shared" si="7"/>
        <v>4006</v>
      </c>
    </row>
    <row r="245" spans="1:8" x14ac:dyDescent="0.25">
      <c r="A245" s="8">
        <v>43061.00335648148</v>
      </c>
      <c r="B245" t="s">
        <v>489</v>
      </c>
      <c r="C245" t="s">
        <v>500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493</v>
      </c>
      <c r="C246" t="s">
        <v>501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491</v>
      </c>
      <c r="C247" t="s">
        <v>502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444</v>
      </c>
      <c r="C248" t="s">
        <v>503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351</v>
      </c>
      <c r="C249" t="s">
        <v>504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490</v>
      </c>
      <c r="C250" t="s">
        <v>505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494</v>
      </c>
      <c r="C251" t="s">
        <v>506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489</v>
      </c>
      <c r="C252" t="s">
        <v>507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493</v>
      </c>
      <c r="C253" t="s">
        <v>495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366</v>
      </c>
      <c r="C254" t="s">
        <v>483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450</v>
      </c>
      <c r="C255" t="s">
        <v>484</v>
      </c>
      <c r="D255" s="137">
        <v>3340000</v>
      </c>
      <c r="E255" t="s">
        <v>470</v>
      </c>
      <c r="F255" s="20" t="s">
        <v>471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444</v>
      </c>
      <c r="C256" t="s">
        <v>485</v>
      </c>
      <c r="D256" s="137">
        <v>3680000</v>
      </c>
      <c r="E256" t="s">
        <v>481</v>
      </c>
      <c r="F256" s="20" t="s">
        <v>482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446</v>
      </c>
      <c r="C257" t="s">
        <v>460</v>
      </c>
      <c r="D257" s="137">
        <v>2540000</v>
      </c>
      <c r="E257" t="s">
        <v>458</v>
      </c>
      <c r="F257" s="20" t="s">
        <v>459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454</v>
      </c>
      <c r="D258" s="137">
        <v>3700000</v>
      </c>
      <c r="E258" t="s">
        <v>448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444</v>
      </c>
      <c r="C259" t="s">
        <v>461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455</v>
      </c>
      <c r="C260" t="s">
        <v>462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447</v>
      </c>
      <c r="C261" t="s">
        <v>463</v>
      </c>
      <c r="D261" s="137">
        <v>2440000</v>
      </c>
      <c r="E261" t="s">
        <v>456</v>
      </c>
      <c r="F261" s="20" t="s">
        <v>457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464</v>
      </c>
      <c r="D262" s="137">
        <v>3700000</v>
      </c>
      <c r="E262" t="s">
        <v>448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453</v>
      </c>
      <c r="C263" t="s">
        <v>465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466</v>
      </c>
      <c r="D264" s="137">
        <v>3700000</v>
      </c>
      <c r="E264" t="s">
        <v>448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611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25">
      <c r="A2" s="195">
        <v>36.14</v>
      </c>
      <c r="B2" s="195">
        <v>0.04</v>
      </c>
      <c r="C2" s="195">
        <v>5.62</v>
      </c>
      <c r="D2" s="8">
        <v>43078</v>
      </c>
      <c r="E2" s="195">
        <v>0.27</v>
      </c>
      <c r="F2" s="195" t="s">
        <v>468</v>
      </c>
      <c r="G2" s="195">
        <v>283.35000000000002</v>
      </c>
      <c r="H2" s="195">
        <v>0</v>
      </c>
      <c r="I2" s="195">
        <v>0</v>
      </c>
      <c r="J2" s="195"/>
      <c r="K2" s="195">
        <v>1025.5</v>
      </c>
      <c r="L2" s="195" t="s">
        <v>467</v>
      </c>
      <c r="M2" s="195">
        <v>36.14</v>
      </c>
      <c r="N2" s="195">
        <v>1512802800</v>
      </c>
      <c r="O2" s="195">
        <v>0</v>
      </c>
      <c r="P2" s="195">
        <v>3.05</v>
      </c>
      <c r="Q2" s="195">
        <v>246</v>
      </c>
      <c r="R2" s="195">
        <v>3.3</v>
      </c>
      <c r="S2" s="195">
        <v>0.75</v>
      </c>
      <c r="T2"/>
    </row>
    <row r="3" spans="1:20" x14ac:dyDescent="0.25">
      <c r="A3" s="195">
        <v>33.76</v>
      </c>
      <c r="B3" s="195">
        <v>0.04</v>
      </c>
      <c r="C3" s="195">
        <v>6.17</v>
      </c>
      <c r="D3" s="8">
        <v>43078.041666666664</v>
      </c>
      <c r="E3" s="195">
        <v>0.31</v>
      </c>
      <c r="F3" s="195" t="s">
        <v>468</v>
      </c>
      <c r="G3" s="195">
        <v>283.58999999999997</v>
      </c>
      <c r="H3" s="195">
        <v>0</v>
      </c>
      <c r="I3" s="195">
        <v>0</v>
      </c>
      <c r="J3" s="195"/>
      <c r="K3" s="195">
        <v>1024.73</v>
      </c>
      <c r="L3" s="195" t="s">
        <v>467</v>
      </c>
      <c r="M3" s="195">
        <v>33.76</v>
      </c>
      <c r="N3" s="195">
        <v>1512806400</v>
      </c>
      <c r="O3" s="195">
        <v>0</v>
      </c>
      <c r="P3" s="195">
        <v>3.17</v>
      </c>
      <c r="Q3" s="195">
        <v>211</v>
      </c>
      <c r="R3" s="195">
        <v>3.47</v>
      </c>
      <c r="S3" s="195">
        <v>0.89</v>
      </c>
      <c r="T3"/>
    </row>
    <row r="4" spans="1:20" x14ac:dyDescent="0.25">
      <c r="A4" s="195">
        <v>32.86</v>
      </c>
      <c r="B4" s="195">
        <v>0.02</v>
      </c>
      <c r="C4" s="195">
        <v>5.03</v>
      </c>
      <c r="D4" s="8">
        <v>43078.083333333336</v>
      </c>
      <c r="E4" s="195">
        <v>0.3</v>
      </c>
      <c r="F4" s="195" t="s">
        <v>468</v>
      </c>
      <c r="G4" s="195">
        <v>283.95</v>
      </c>
      <c r="H4" s="195">
        <v>0</v>
      </c>
      <c r="I4" s="195">
        <v>0</v>
      </c>
      <c r="J4" s="195"/>
      <c r="K4" s="195">
        <v>1025.32</v>
      </c>
      <c r="L4" s="195" t="s">
        <v>467</v>
      </c>
      <c r="M4" s="195">
        <v>32.86</v>
      </c>
      <c r="N4" s="195">
        <v>1512810000</v>
      </c>
      <c r="O4" s="195">
        <v>0</v>
      </c>
      <c r="P4" s="195">
        <v>4.16</v>
      </c>
      <c r="Q4" s="195">
        <v>219</v>
      </c>
      <c r="R4" s="195">
        <v>4.21</v>
      </c>
      <c r="S4" s="195">
        <v>1.23</v>
      </c>
      <c r="T4"/>
    </row>
    <row r="5" spans="1:20" x14ac:dyDescent="0.25">
      <c r="A5" s="195">
        <v>32.26</v>
      </c>
      <c r="B5" s="195">
        <v>0.03</v>
      </c>
      <c r="C5" s="195">
        <v>5.13</v>
      </c>
      <c r="D5" s="8">
        <v>43078.125</v>
      </c>
      <c r="E5" s="195">
        <v>0.31</v>
      </c>
      <c r="F5" s="195" t="s">
        <v>468</v>
      </c>
      <c r="G5" s="195">
        <v>284.43</v>
      </c>
      <c r="H5" s="195">
        <v>0</v>
      </c>
      <c r="I5" s="195">
        <v>0</v>
      </c>
      <c r="J5" s="195"/>
      <c r="K5" s="195">
        <v>1025.47</v>
      </c>
      <c r="L5" s="195" t="s">
        <v>467</v>
      </c>
      <c r="M5" s="195">
        <v>32.26</v>
      </c>
      <c r="N5" s="195">
        <v>1512813600</v>
      </c>
      <c r="O5" s="195">
        <v>0</v>
      </c>
      <c r="P5" s="195">
        <v>3.75</v>
      </c>
      <c r="Q5" s="195">
        <v>201</v>
      </c>
      <c r="R5" s="195">
        <v>3.38</v>
      </c>
      <c r="S5" s="195">
        <v>1.26</v>
      </c>
      <c r="T5"/>
    </row>
    <row r="6" spans="1:20" x14ac:dyDescent="0.25">
      <c r="A6" s="195">
        <v>31.97</v>
      </c>
      <c r="B6" s="195">
        <v>0.02</v>
      </c>
      <c r="C6" s="195">
        <v>4.82</v>
      </c>
      <c r="D6" s="8">
        <v>43078.166666666664</v>
      </c>
      <c r="E6" s="195">
        <v>0.31</v>
      </c>
      <c r="F6" s="195" t="s">
        <v>468</v>
      </c>
      <c r="G6" s="195">
        <v>285.14</v>
      </c>
      <c r="H6" s="195">
        <v>0</v>
      </c>
      <c r="I6" s="195">
        <v>0</v>
      </c>
      <c r="J6" s="195"/>
      <c r="K6" s="195">
        <v>1025.6300000000001</v>
      </c>
      <c r="L6" s="195" t="s">
        <v>467</v>
      </c>
      <c r="M6" s="195">
        <v>31.97</v>
      </c>
      <c r="N6" s="195">
        <v>1512817200</v>
      </c>
      <c r="O6" s="195">
        <v>0</v>
      </c>
      <c r="P6" s="195">
        <v>3.38</v>
      </c>
      <c r="Q6" s="195">
        <v>208</v>
      </c>
      <c r="R6" s="195">
        <v>4.33</v>
      </c>
      <c r="S6" s="195">
        <v>1.18</v>
      </c>
      <c r="T6"/>
    </row>
    <row r="7" spans="1:20" x14ac:dyDescent="0.25">
      <c r="A7" s="195">
        <v>31.22</v>
      </c>
      <c r="B7" s="195">
        <v>0.02</v>
      </c>
      <c r="C7" s="195">
        <v>4.95</v>
      </c>
      <c r="D7" s="8">
        <v>43078.208333333336</v>
      </c>
      <c r="E7" s="195">
        <v>0.32</v>
      </c>
      <c r="F7" s="195" t="s">
        <v>468</v>
      </c>
      <c r="G7" s="195">
        <v>287.23</v>
      </c>
      <c r="H7" s="195">
        <v>0</v>
      </c>
      <c r="I7" s="195">
        <v>0</v>
      </c>
      <c r="J7" s="195"/>
      <c r="K7" s="195">
        <v>1026.24</v>
      </c>
      <c r="L7" s="195" t="s">
        <v>467</v>
      </c>
      <c r="M7" s="195">
        <v>31.22</v>
      </c>
      <c r="N7" s="195">
        <v>1512820800</v>
      </c>
      <c r="O7" s="195">
        <v>0</v>
      </c>
      <c r="P7" s="195">
        <v>3.23</v>
      </c>
      <c r="Q7" s="195">
        <v>216</v>
      </c>
      <c r="R7" s="195">
        <v>4.4800000000000004</v>
      </c>
      <c r="S7" s="195">
        <v>1.71</v>
      </c>
      <c r="T7"/>
    </row>
    <row r="8" spans="1:20" x14ac:dyDescent="0.25">
      <c r="A8" s="195">
        <v>31.32</v>
      </c>
      <c r="B8" s="195">
        <v>0.05</v>
      </c>
      <c r="C8" s="195">
        <v>5.38</v>
      </c>
      <c r="D8" s="8">
        <v>43078.25</v>
      </c>
      <c r="E8" s="195">
        <v>0.33</v>
      </c>
      <c r="F8" s="195" t="s">
        <v>468</v>
      </c>
      <c r="G8" s="195">
        <v>289.41000000000003</v>
      </c>
      <c r="H8" s="195">
        <v>0</v>
      </c>
      <c r="I8" s="195">
        <v>0</v>
      </c>
      <c r="J8" s="195"/>
      <c r="K8" s="195">
        <v>1026.52</v>
      </c>
      <c r="L8" s="195" t="s">
        <v>467</v>
      </c>
      <c r="M8" s="195">
        <v>31.32</v>
      </c>
      <c r="N8" s="195">
        <v>1512824400</v>
      </c>
      <c r="O8" s="195">
        <v>0</v>
      </c>
      <c r="P8" s="195">
        <v>4.75</v>
      </c>
      <c r="Q8" s="195">
        <v>213</v>
      </c>
      <c r="R8" s="195">
        <v>4.5</v>
      </c>
      <c r="S8" s="195">
        <v>1.85</v>
      </c>
      <c r="T8"/>
    </row>
    <row r="9" spans="1:20" x14ac:dyDescent="0.25">
      <c r="A9" s="195">
        <v>34.03</v>
      </c>
      <c r="B9" s="195">
        <v>0.06</v>
      </c>
      <c r="C9" s="195">
        <v>4.6100000000000003</v>
      </c>
      <c r="D9" s="8">
        <v>43078.291666666664</v>
      </c>
      <c r="E9" s="195">
        <v>0.28000000000000003</v>
      </c>
      <c r="F9" s="195" t="s">
        <v>468</v>
      </c>
      <c r="G9" s="195">
        <v>291.92</v>
      </c>
      <c r="H9" s="195">
        <v>0</v>
      </c>
      <c r="I9" s="195">
        <v>0</v>
      </c>
      <c r="J9" s="195"/>
      <c r="K9" s="195">
        <v>1027.21</v>
      </c>
      <c r="L9" s="195" t="s">
        <v>467</v>
      </c>
      <c r="M9" s="195">
        <v>34.03</v>
      </c>
      <c r="N9" s="195">
        <v>1512828000</v>
      </c>
      <c r="O9" s="195">
        <v>0</v>
      </c>
      <c r="P9" s="195">
        <v>5.04</v>
      </c>
      <c r="Q9" s="195">
        <v>213</v>
      </c>
      <c r="R9" s="195">
        <v>5.23</v>
      </c>
      <c r="S9" s="195">
        <v>1.73</v>
      </c>
      <c r="T9"/>
    </row>
    <row r="10" spans="1:20" x14ac:dyDescent="0.25">
      <c r="A10" s="195">
        <v>35.51</v>
      </c>
      <c r="B10" s="195">
        <v>0.06</v>
      </c>
      <c r="C10" s="195">
        <v>5.83</v>
      </c>
      <c r="D10" s="8">
        <v>43078.333333333336</v>
      </c>
      <c r="E10" s="195">
        <v>0.28000000000000003</v>
      </c>
      <c r="F10" s="195" t="s">
        <v>536</v>
      </c>
      <c r="G10" s="195">
        <v>294.39</v>
      </c>
      <c r="H10" s="195">
        <v>1E-4</v>
      </c>
      <c r="I10" s="195">
        <v>0.01</v>
      </c>
      <c r="J10" s="195" t="s">
        <v>612</v>
      </c>
      <c r="K10" s="195">
        <v>1028.82</v>
      </c>
      <c r="L10" s="195" t="s">
        <v>467</v>
      </c>
      <c r="M10" s="195">
        <v>35.51</v>
      </c>
      <c r="N10" s="195">
        <v>1512831600</v>
      </c>
      <c r="O10" s="195">
        <v>1</v>
      </c>
      <c r="P10" s="195">
        <v>5.86</v>
      </c>
      <c r="Q10" s="195">
        <v>215</v>
      </c>
      <c r="R10" s="195">
        <v>5.39</v>
      </c>
      <c r="S10" s="195">
        <v>1.43</v>
      </c>
      <c r="T10"/>
    </row>
    <row r="11" spans="1:20" x14ac:dyDescent="0.25">
      <c r="A11" s="195">
        <v>42.03</v>
      </c>
      <c r="B11" s="195">
        <v>0.05</v>
      </c>
      <c r="C11" s="195">
        <v>7.36</v>
      </c>
      <c r="D11" s="8">
        <v>43078.375</v>
      </c>
      <c r="E11" s="195">
        <v>0.23</v>
      </c>
      <c r="F11" s="195" t="s">
        <v>536</v>
      </c>
      <c r="G11" s="195">
        <v>296.39999999999998</v>
      </c>
      <c r="H11" s="195">
        <v>0</v>
      </c>
      <c r="I11" s="195">
        <v>0</v>
      </c>
      <c r="J11" s="195"/>
      <c r="K11" s="195">
        <v>1027.29</v>
      </c>
      <c r="L11" s="195" t="s">
        <v>467</v>
      </c>
      <c r="M11" s="195">
        <v>42.03</v>
      </c>
      <c r="N11" s="195">
        <v>1512835200</v>
      </c>
      <c r="O11" s="195">
        <v>1</v>
      </c>
      <c r="P11" s="195">
        <v>5.72</v>
      </c>
      <c r="Q11" s="195">
        <v>193</v>
      </c>
      <c r="R11" s="195">
        <v>4.62</v>
      </c>
      <c r="S11" s="195">
        <v>1.04</v>
      </c>
      <c r="T11"/>
    </row>
    <row r="12" spans="1:20" x14ac:dyDescent="0.25">
      <c r="A12" s="195">
        <v>50.44</v>
      </c>
      <c r="B12" s="195">
        <v>0.05</v>
      </c>
      <c r="C12" s="195">
        <v>6.56</v>
      </c>
      <c r="D12" s="8">
        <v>43078.416666666664</v>
      </c>
      <c r="E12" s="195">
        <v>0.16</v>
      </c>
      <c r="F12" s="195" t="s">
        <v>536</v>
      </c>
      <c r="G12" s="195">
        <v>298.26</v>
      </c>
      <c r="H12" s="195">
        <v>0</v>
      </c>
      <c r="I12" s="195">
        <v>0</v>
      </c>
      <c r="J12" s="195"/>
      <c r="K12" s="195">
        <v>1026.53</v>
      </c>
      <c r="L12" s="195" t="s">
        <v>467</v>
      </c>
      <c r="M12" s="195">
        <v>50.44</v>
      </c>
      <c r="N12" s="195">
        <v>1512838800</v>
      </c>
      <c r="O12" s="195">
        <v>1</v>
      </c>
      <c r="P12" s="195">
        <v>5.72</v>
      </c>
      <c r="Q12" s="195">
        <v>178</v>
      </c>
      <c r="R12" s="195">
        <v>5.92</v>
      </c>
      <c r="S12" s="195">
        <v>0.89</v>
      </c>
      <c r="T12"/>
    </row>
    <row r="13" spans="1:20" x14ac:dyDescent="0.25">
      <c r="A13" s="195">
        <v>55.18</v>
      </c>
      <c r="B13" s="195">
        <v>0.03</v>
      </c>
      <c r="C13" s="195">
        <v>6.1</v>
      </c>
      <c r="D13" s="8">
        <v>43078.458333333336</v>
      </c>
      <c r="E13" s="195">
        <v>0.14000000000000001</v>
      </c>
      <c r="F13" s="195" t="s">
        <v>536</v>
      </c>
      <c r="G13" s="195">
        <v>297.91000000000003</v>
      </c>
      <c r="H13" s="195">
        <v>0</v>
      </c>
      <c r="I13" s="195">
        <v>0</v>
      </c>
      <c r="J13" s="195"/>
      <c r="K13" s="195">
        <v>1025.46</v>
      </c>
      <c r="L13" s="195" t="s">
        <v>467</v>
      </c>
      <c r="M13" s="195">
        <v>55.18</v>
      </c>
      <c r="N13" s="195">
        <v>1512842400</v>
      </c>
      <c r="O13" s="195">
        <v>2</v>
      </c>
      <c r="P13" s="195">
        <v>4.04</v>
      </c>
      <c r="Q13" s="195">
        <v>153</v>
      </c>
      <c r="R13" s="195">
        <v>5.78</v>
      </c>
      <c r="S13" s="195">
        <v>0.87</v>
      </c>
      <c r="T13"/>
    </row>
    <row r="14" spans="1:20" x14ac:dyDescent="0.25">
      <c r="A14" s="195">
        <v>58.82</v>
      </c>
      <c r="B14" s="195">
        <v>0.04</v>
      </c>
      <c r="C14" s="195">
        <v>4.42</v>
      </c>
      <c r="D14" s="8">
        <v>43078.5</v>
      </c>
      <c r="E14" s="195">
        <v>0.11</v>
      </c>
      <c r="F14" s="195" t="s">
        <v>536</v>
      </c>
      <c r="G14" s="195">
        <v>298.24</v>
      </c>
      <c r="H14" s="195">
        <v>0</v>
      </c>
      <c r="I14" s="195">
        <v>0</v>
      </c>
      <c r="J14" s="195"/>
      <c r="K14" s="195">
        <v>1024.51</v>
      </c>
      <c r="L14" s="195" t="s">
        <v>467</v>
      </c>
      <c r="M14" s="195">
        <v>58.82</v>
      </c>
      <c r="N14" s="195">
        <v>1512846000</v>
      </c>
      <c r="O14" s="195">
        <v>2</v>
      </c>
      <c r="P14" s="195">
        <v>5.59</v>
      </c>
      <c r="Q14" s="195">
        <v>147</v>
      </c>
      <c r="R14" s="195">
        <v>6.69</v>
      </c>
      <c r="S14" s="195">
        <v>0.76</v>
      </c>
      <c r="T14"/>
    </row>
    <row r="15" spans="1:20" x14ac:dyDescent="0.25">
      <c r="A15" s="195">
        <v>60.69</v>
      </c>
      <c r="B15" s="195">
        <v>0.04</v>
      </c>
      <c r="C15" s="195">
        <v>2.29</v>
      </c>
      <c r="D15" s="8">
        <v>43078.541666666664</v>
      </c>
      <c r="E15" s="195">
        <v>0.09</v>
      </c>
      <c r="F15" s="195" t="s">
        <v>536</v>
      </c>
      <c r="G15" s="195">
        <v>298.01</v>
      </c>
      <c r="H15" s="195">
        <v>4.4000000000000003E-3</v>
      </c>
      <c r="I15" s="195">
        <v>7.0000000000000007E-2</v>
      </c>
      <c r="J15" s="195" t="s">
        <v>612</v>
      </c>
      <c r="K15" s="195">
        <v>1023.52</v>
      </c>
      <c r="L15" s="195" t="s">
        <v>467</v>
      </c>
      <c r="M15" s="195">
        <v>60.69</v>
      </c>
      <c r="N15" s="195">
        <v>1512849600</v>
      </c>
      <c r="O15" s="195">
        <v>2</v>
      </c>
      <c r="P15" s="195">
        <v>5.04</v>
      </c>
      <c r="Q15" s="195">
        <v>303</v>
      </c>
      <c r="R15" s="195">
        <v>8.11</v>
      </c>
      <c r="S15" s="195">
        <v>1.43</v>
      </c>
      <c r="T15"/>
    </row>
    <row r="16" spans="1:20" x14ac:dyDescent="0.25">
      <c r="A16" s="195">
        <v>60.98</v>
      </c>
      <c r="B16" s="195">
        <v>0.06</v>
      </c>
      <c r="C16" s="195">
        <v>1.38</v>
      </c>
      <c r="D16" s="8">
        <v>43078.583333333336</v>
      </c>
      <c r="E16" s="195">
        <v>0.09</v>
      </c>
      <c r="F16" s="195" t="s">
        <v>536</v>
      </c>
      <c r="G16" s="195">
        <v>297.56</v>
      </c>
      <c r="H16" s="195">
        <v>8.0000000000000004E-4</v>
      </c>
      <c r="I16" s="195">
        <v>0.06</v>
      </c>
      <c r="J16" s="195" t="s">
        <v>612</v>
      </c>
      <c r="K16" s="195">
        <v>1023.47</v>
      </c>
      <c r="L16" s="195" t="s">
        <v>467</v>
      </c>
      <c r="M16" s="195">
        <v>60.98</v>
      </c>
      <c r="N16" s="195">
        <v>1512853200</v>
      </c>
      <c r="O16" s="195">
        <v>1</v>
      </c>
      <c r="P16" s="195">
        <v>5.59</v>
      </c>
      <c r="Q16" s="195">
        <v>306</v>
      </c>
      <c r="R16" s="195">
        <v>8.7899999999999991</v>
      </c>
      <c r="S16" s="195">
        <v>2.7</v>
      </c>
      <c r="T16"/>
    </row>
    <row r="17" spans="1:20" x14ac:dyDescent="0.25">
      <c r="A17" s="195">
        <v>59.71</v>
      </c>
      <c r="B17" s="195">
        <v>0.05</v>
      </c>
      <c r="C17" s="195">
        <v>0.93</v>
      </c>
      <c r="D17" s="8">
        <v>43078.625</v>
      </c>
      <c r="E17" s="195">
        <v>0.09</v>
      </c>
      <c r="F17" s="195" t="s">
        <v>536</v>
      </c>
      <c r="G17" s="195">
        <v>296.89</v>
      </c>
      <c r="H17" s="195">
        <v>0</v>
      </c>
      <c r="I17" s="195">
        <v>0</v>
      </c>
      <c r="J17" s="195"/>
      <c r="K17" s="195">
        <v>1024.3599999999999</v>
      </c>
      <c r="L17" s="195" t="s">
        <v>467</v>
      </c>
      <c r="M17" s="195">
        <v>59.71</v>
      </c>
      <c r="N17" s="195">
        <v>1512856800</v>
      </c>
      <c r="O17" s="195">
        <v>1</v>
      </c>
      <c r="P17" s="195">
        <v>5.59</v>
      </c>
      <c r="Q17" s="195">
        <v>312</v>
      </c>
      <c r="R17" s="195">
        <v>11.19</v>
      </c>
      <c r="S17" s="195">
        <v>3.16</v>
      </c>
      <c r="T17"/>
    </row>
    <row r="18" spans="1:20" x14ac:dyDescent="0.25">
      <c r="A18" s="195">
        <v>56.4</v>
      </c>
      <c r="B18" s="195">
        <v>0.04</v>
      </c>
      <c r="C18" s="195">
        <v>1.33</v>
      </c>
      <c r="D18" s="8">
        <v>43078.666666666664</v>
      </c>
      <c r="E18" s="195">
        <v>0.1</v>
      </c>
      <c r="F18" s="195" t="s">
        <v>536</v>
      </c>
      <c r="G18" s="195">
        <v>295.89</v>
      </c>
      <c r="H18" s="195">
        <v>0</v>
      </c>
      <c r="I18" s="195">
        <v>0</v>
      </c>
      <c r="J18" s="195"/>
      <c r="K18" s="195">
        <v>1025.6600000000001</v>
      </c>
      <c r="L18" s="195" t="s">
        <v>467</v>
      </c>
      <c r="M18" s="195">
        <v>56.4</v>
      </c>
      <c r="N18" s="195">
        <v>1512860400</v>
      </c>
      <c r="O18" s="195">
        <v>0</v>
      </c>
      <c r="P18" s="195">
        <v>5.59</v>
      </c>
      <c r="Q18" s="195">
        <v>303</v>
      </c>
      <c r="R18" s="195">
        <v>8.9700000000000006</v>
      </c>
      <c r="S18" s="195">
        <v>2.27</v>
      </c>
      <c r="T18"/>
    </row>
    <row r="19" spans="1:20" x14ac:dyDescent="0.25">
      <c r="A19" s="195">
        <v>50.51</v>
      </c>
      <c r="B19" s="195">
        <v>0.05</v>
      </c>
      <c r="C19" s="195">
        <v>2.31</v>
      </c>
      <c r="D19" s="8">
        <v>43078.708333333336</v>
      </c>
      <c r="E19" s="195">
        <v>0.13</v>
      </c>
      <c r="F19" s="195" t="s">
        <v>468</v>
      </c>
      <c r="G19" s="195">
        <v>290.5</v>
      </c>
      <c r="H19" s="195">
        <v>0</v>
      </c>
      <c r="I19" s="195">
        <v>0</v>
      </c>
      <c r="J19" s="195"/>
      <c r="K19" s="195">
        <v>1027.3699999999999</v>
      </c>
      <c r="L19" s="195" t="s">
        <v>467</v>
      </c>
      <c r="M19" s="195">
        <v>50.51</v>
      </c>
      <c r="N19" s="195">
        <v>1512864000</v>
      </c>
      <c r="O19" s="195">
        <v>0</v>
      </c>
      <c r="P19" s="195">
        <v>4.55</v>
      </c>
      <c r="Q19" s="195">
        <v>297</v>
      </c>
      <c r="R19" s="195">
        <v>5.31</v>
      </c>
      <c r="S19" s="195">
        <v>1.04</v>
      </c>
      <c r="T19"/>
    </row>
    <row r="20" spans="1:20" x14ac:dyDescent="0.25">
      <c r="A20" s="195">
        <v>46.84</v>
      </c>
      <c r="B20" s="195">
        <v>0.05</v>
      </c>
      <c r="C20" s="195">
        <v>2.61</v>
      </c>
      <c r="D20" s="8">
        <v>43078.75</v>
      </c>
      <c r="E20" s="195">
        <v>0.16</v>
      </c>
      <c r="F20" s="195" t="s">
        <v>468</v>
      </c>
      <c r="G20" s="195">
        <v>289.7</v>
      </c>
      <c r="H20" s="195">
        <v>0</v>
      </c>
      <c r="I20" s="195">
        <v>0</v>
      </c>
      <c r="J20" s="195"/>
      <c r="K20" s="195">
        <v>1028.6500000000001</v>
      </c>
      <c r="L20" s="195" t="s">
        <v>467</v>
      </c>
      <c r="M20" s="195">
        <v>46.84</v>
      </c>
      <c r="N20" s="195">
        <v>1512867600</v>
      </c>
      <c r="O20" s="195">
        <v>0</v>
      </c>
      <c r="P20" s="195">
        <v>4.59</v>
      </c>
      <c r="Q20" s="195">
        <v>255</v>
      </c>
      <c r="R20" s="195">
        <v>4.33</v>
      </c>
      <c r="S20" s="195">
        <v>1.31</v>
      </c>
      <c r="T20"/>
    </row>
    <row r="21" spans="1:20" x14ac:dyDescent="0.25">
      <c r="A21" s="195">
        <v>41.65</v>
      </c>
      <c r="B21" s="195">
        <v>0.04</v>
      </c>
      <c r="C21" s="195">
        <v>3.45</v>
      </c>
      <c r="D21" s="8">
        <v>43078.791666666664</v>
      </c>
      <c r="E21" s="195">
        <v>0.2</v>
      </c>
      <c r="F21" s="195" t="s">
        <v>468</v>
      </c>
      <c r="G21" s="195">
        <v>289.48</v>
      </c>
      <c r="H21" s="195">
        <v>0</v>
      </c>
      <c r="I21" s="195">
        <v>0</v>
      </c>
      <c r="J21" s="195"/>
      <c r="K21" s="195">
        <v>1029.67</v>
      </c>
      <c r="L21" s="195" t="s">
        <v>467</v>
      </c>
      <c r="M21" s="195">
        <v>41.65</v>
      </c>
      <c r="N21" s="195">
        <v>1512871200</v>
      </c>
      <c r="O21" s="195">
        <v>0</v>
      </c>
      <c r="P21" s="195">
        <v>9.11</v>
      </c>
      <c r="Q21" s="195">
        <v>228</v>
      </c>
      <c r="R21" s="195">
        <v>2.94</v>
      </c>
      <c r="S21" s="195">
        <v>0.87</v>
      </c>
      <c r="T21"/>
    </row>
    <row r="22" spans="1:20" x14ac:dyDescent="0.25">
      <c r="A22" s="195">
        <v>38.75</v>
      </c>
      <c r="B22" s="195">
        <v>0.03</v>
      </c>
      <c r="C22" s="195">
        <v>4.2300000000000004</v>
      </c>
      <c r="D22" s="8">
        <v>43078.833333333336</v>
      </c>
      <c r="E22" s="195">
        <v>0.23</v>
      </c>
      <c r="F22" s="195" t="s">
        <v>468</v>
      </c>
      <c r="G22" s="195">
        <v>289.37</v>
      </c>
      <c r="H22" s="195">
        <v>0</v>
      </c>
      <c r="I22" s="195">
        <v>0</v>
      </c>
      <c r="J22" s="195"/>
      <c r="K22" s="195">
        <v>1030.23</v>
      </c>
      <c r="L22" s="195" t="s">
        <v>467</v>
      </c>
      <c r="M22" s="195">
        <v>38.75</v>
      </c>
      <c r="N22" s="195">
        <v>1512874800</v>
      </c>
      <c r="O22" s="195">
        <v>0</v>
      </c>
      <c r="P22" s="195">
        <v>4.45</v>
      </c>
      <c r="Q22" s="195">
        <v>215</v>
      </c>
      <c r="R22" s="195">
        <v>3.02</v>
      </c>
      <c r="S22" s="195">
        <v>0.68</v>
      </c>
      <c r="T22"/>
    </row>
    <row r="23" spans="1:20" x14ac:dyDescent="0.25">
      <c r="A23" s="195">
        <v>36.61</v>
      </c>
      <c r="B23" s="195">
        <v>0.02</v>
      </c>
      <c r="C23" s="195">
        <v>3.97</v>
      </c>
      <c r="D23" s="8">
        <v>43078.875</v>
      </c>
      <c r="E23" s="195">
        <v>0.25</v>
      </c>
      <c r="F23" s="195" t="s">
        <v>468</v>
      </c>
      <c r="G23" s="195">
        <v>289.36</v>
      </c>
      <c r="H23" s="195">
        <v>0</v>
      </c>
      <c r="I23" s="195">
        <v>0</v>
      </c>
      <c r="J23" s="195"/>
      <c r="K23" s="195">
        <v>1030.71</v>
      </c>
      <c r="L23" s="195" t="s">
        <v>467</v>
      </c>
      <c r="M23" s="195">
        <v>36.61</v>
      </c>
      <c r="N23" s="195">
        <v>1512878400</v>
      </c>
      <c r="O23" s="195">
        <v>0</v>
      </c>
      <c r="P23" s="195">
        <v>3.57</v>
      </c>
      <c r="Q23" s="195">
        <v>205</v>
      </c>
      <c r="R23" s="195">
        <v>3.43</v>
      </c>
      <c r="S23" s="195">
        <v>0.97</v>
      </c>
      <c r="T23"/>
    </row>
    <row r="24" spans="1:20" x14ac:dyDescent="0.25">
      <c r="A24" s="195">
        <v>33.590000000000003</v>
      </c>
      <c r="B24" s="195">
        <v>0.02</v>
      </c>
      <c r="C24" s="195">
        <v>4.37</v>
      </c>
      <c r="D24" s="8">
        <v>43078.916666666664</v>
      </c>
      <c r="E24" s="195">
        <v>0.28000000000000003</v>
      </c>
      <c r="F24" s="195" t="s">
        <v>468</v>
      </c>
      <c r="G24" s="195">
        <v>289.47000000000003</v>
      </c>
      <c r="H24" s="195">
        <v>0</v>
      </c>
      <c r="I24" s="195">
        <v>0</v>
      </c>
      <c r="J24" s="195"/>
      <c r="K24" s="195">
        <v>1029.55</v>
      </c>
      <c r="L24" s="195" t="s">
        <v>467</v>
      </c>
      <c r="M24" s="195">
        <v>33.590000000000003</v>
      </c>
      <c r="N24" s="195">
        <v>1512882000</v>
      </c>
      <c r="O24" s="195">
        <v>0</v>
      </c>
      <c r="P24" s="195">
        <v>3.25</v>
      </c>
      <c r="Q24" s="195">
        <v>207</v>
      </c>
      <c r="R24" s="195">
        <v>3.3</v>
      </c>
      <c r="S24" s="195">
        <v>1.69</v>
      </c>
      <c r="T24"/>
    </row>
    <row r="25" spans="1:20" x14ac:dyDescent="0.25">
      <c r="A25" s="195">
        <v>33.020000000000003</v>
      </c>
      <c r="B25" s="195">
        <v>0</v>
      </c>
      <c r="C25" s="195">
        <v>4.1900000000000004</v>
      </c>
      <c r="D25" s="8">
        <v>43078.958333333336</v>
      </c>
      <c r="E25" s="195">
        <v>0.28999999999999998</v>
      </c>
      <c r="F25" s="195" t="s">
        <v>468</v>
      </c>
      <c r="G25" s="195">
        <v>287.06</v>
      </c>
      <c r="H25" s="195">
        <v>0</v>
      </c>
      <c r="I25" s="195">
        <v>0</v>
      </c>
      <c r="J25" s="195"/>
      <c r="K25" s="195">
        <v>1029.3</v>
      </c>
      <c r="L25" s="195" t="s">
        <v>467</v>
      </c>
      <c r="M25" s="195">
        <v>33.020000000000003</v>
      </c>
      <c r="N25" s="195">
        <v>1512885600</v>
      </c>
      <c r="O25" s="195">
        <v>0</v>
      </c>
      <c r="P25" s="195">
        <v>3.74</v>
      </c>
      <c r="Q25" s="195">
        <v>203</v>
      </c>
      <c r="R25" s="195">
        <v>4.04</v>
      </c>
      <c r="S25" s="195">
        <v>1.68</v>
      </c>
      <c r="T25"/>
    </row>
    <row r="26" spans="1:20" x14ac:dyDescent="0.25">
      <c r="A26" s="195">
        <v>32.659999999999997</v>
      </c>
      <c r="B26" s="195">
        <v>0</v>
      </c>
      <c r="C26" s="195">
        <v>3.68</v>
      </c>
      <c r="D26" s="8">
        <v>43079</v>
      </c>
      <c r="E26" s="195">
        <v>0.28999999999999998</v>
      </c>
      <c r="F26" s="195" t="s">
        <v>468</v>
      </c>
      <c r="G26" s="195">
        <v>285.79000000000002</v>
      </c>
      <c r="H26" s="195">
        <v>0</v>
      </c>
      <c r="I26" s="195">
        <v>0</v>
      </c>
      <c r="J26" s="195"/>
      <c r="K26" s="195">
        <v>1029.29</v>
      </c>
      <c r="L26" s="195" t="s">
        <v>467</v>
      </c>
      <c r="M26" s="195">
        <v>32.659999999999997</v>
      </c>
      <c r="N26" s="195">
        <v>1512889200</v>
      </c>
      <c r="O26" s="195">
        <v>0</v>
      </c>
      <c r="P26" s="195">
        <v>3.71</v>
      </c>
      <c r="Q26" s="195">
        <v>208</v>
      </c>
      <c r="R26" s="195">
        <v>4.74</v>
      </c>
      <c r="S26" s="195">
        <v>1.88</v>
      </c>
      <c r="T26"/>
    </row>
    <row r="27" spans="1:20" x14ac:dyDescent="0.25">
      <c r="A27" s="195">
        <v>32.28</v>
      </c>
      <c r="B27" s="195">
        <v>0</v>
      </c>
      <c r="C27" s="195">
        <v>3.27</v>
      </c>
      <c r="D27" s="8">
        <v>43079.041666666664</v>
      </c>
      <c r="E27" s="195">
        <v>0.28999999999999998</v>
      </c>
      <c r="F27" s="195" t="s">
        <v>468</v>
      </c>
      <c r="G27" s="195">
        <v>284.39</v>
      </c>
      <c r="H27" s="195">
        <v>0</v>
      </c>
      <c r="I27" s="195">
        <v>0</v>
      </c>
      <c r="J27" s="195"/>
      <c r="K27" s="195">
        <v>1029.02</v>
      </c>
      <c r="L27" s="195" t="s">
        <v>467</v>
      </c>
      <c r="M27" s="195">
        <v>32.28</v>
      </c>
      <c r="N27" s="195">
        <v>1512892800</v>
      </c>
      <c r="O27" s="195">
        <v>0</v>
      </c>
      <c r="P27" s="195">
        <v>2.86</v>
      </c>
      <c r="Q27" s="195">
        <v>190</v>
      </c>
      <c r="R27" s="195">
        <v>5.05</v>
      </c>
      <c r="S27" s="195">
        <v>2.3199999999999998</v>
      </c>
      <c r="T27"/>
    </row>
    <row r="28" spans="1:20" x14ac:dyDescent="0.25">
      <c r="A28" s="195">
        <v>32.35</v>
      </c>
      <c r="B28" s="195">
        <v>0</v>
      </c>
      <c r="C28" s="195">
        <v>2.8</v>
      </c>
      <c r="D28" s="8">
        <v>43079.083333333336</v>
      </c>
      <c r="E28" s="195">
        <v>0.28000000000000003</v>
      </c>
      <c r="F28" s="195" t="s">
        <v>468</v>
      </c>
      <c r="G28" s="195">
        <v>283.11</v>
      </c>
      <c r="H28" s="195">
        <v>0</v>
      </c>
      <c r="I28" s="195">
        <v>0</v>
      </c>
      <c r="J28" s="195"/>
      <c r="K28" s="195">
        <v>1029.19</v>
      </c>
      <c r="L28" s="195" t="s">
        <v>467</v>
      </c>
      <c r="M28" s="195">
        <v>32.35</v>
      </c>
      <c r="N28" s="195">
        <v>1512896400</v>
      </c>
      <c r="O28" s="195">
        <v>0</v>
      </c>
      <c r="P28" s="195">
        <v>3.55</v>
      </c>
      <c r="Q28" s="195">
        <v>204</v>
      </c>
      <c r="R28" s="195">
        <v>4.8</v>
      </c>
      <c r="S28" s="195">
        <v>1.99</v>
      </c>
      <c r="T28"/>
    </row>
    <row r="29" spans="1:20" x14ac:dyDescent="0.25">
      <c r="A29" s="195">
        <v>32.39</v>
      </c>
      <c r="B29" s="195">
        <v>0</v>
      </c>
      <c r="C29" s="195">
        <v>2.58</v>
      </c>
      <c r="D29" s="8">
        <v>43079.125</v>
      </c>
      <c r="E29" s="195">
        <v>0.28000000000000003</v>
      </c>
      <c r="F29" s="195" t="s">
        <v>468</v>
      </c>
      <c r="G29" s="195">
        <v>281.83</v>
      </c>
      <c r="H29" s="195">
        <v>0</v>
      </c>
      <c r="I29" s="195">
        <v>0</v>
      </c>
      <c r="J29" s="195"/>
      <c r="K29" s="195">
        <v>1029.03</v>
      </c>
      <c r="L29" s="195" t="s">
        <v>467</v>
      </c>
      <c r="M29" s="195">
        <v>32.39</v>
      </c>
      <c r="N29" s="195">
        <v>1512900000</v>
      </c>
      <c r="O29" s="195">
        <v>0</v>
      </c>
      <c r="P29" s="195">
        <v>3.32</v>
      </c>
      <c r="Q29" s="195">
        <v>194</v>
      </c>
      <c r="R29" s="195">
        <v>4.83</v>
      </c>
      <c r="S29" s="195">
        <v>2.27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13" workbookViewId="0">
      <selection activeCell="C18" sqref="C18:C30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43078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1057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1058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1059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1060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1061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1062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1063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1064</v>
      </c>
      <c r="J25" s="139" t="s">
        <v>144</v>
      </c>
      <c r="M25" s="153" t="b">
        <v>1</v>
      </c>
    </row>
    <row r="26" spans="3:24" x14ac:dyDescent="0.25">
      <c r="C26" t="s">
        <v>1065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%USERPROFILE%\Documents\GitHub\eaglep3-reporting\EC\2017-12-09-refined-times.txt</v>
      </c>
    </row>
    <row r="27" spans="3:24" x14ac:dyDescent="0.25">
      <c r="C27" t="s">
        <v>1066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%USERPROFILE%\Documents\GitHub\eaglep3-reporting\EC\2017-12-09-Enforcements.txt</v>
      </c>
    </row>
    <row r="28" spans="3:24" x14ac:dyDescent="0.25">
      <c r="C28" t="s">
        <v>1067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%USERPROFILE%\Documents\GitHub\eaglep3-reporting\EC\2017-12-09-Runs-refined.txt</v>
      </c>
    </row>
    <row r="29" spans="3:24" x14ac:dyDescent="0.25">
      <c r="C29" t="s">
        <v>1068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%USERPROFILE%\Documents\GitHub\eaglep3-reporting\EC\2017-12-09-Trips.txt</v>
      </c>
    </row>
    <row r="30" spans="3:24" x14ac:dyDescent="0.25">
      <c r="C30" t="s">
        <v>1069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%USERPROFILE%\Documents\GitHub\eaglep3-reporting\EC\2017-12-09-Weather.txt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2017-12-12T17:16:19Z</dcterms:modified>
</cp:coreProperties>
</file>