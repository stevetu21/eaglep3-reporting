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Enforcements!$A$6:$Z$68</definedName>
    <definedName name="_xlnm._FilterDatabase" localSheetId="2" hidden="1">'Missing Trips'!$B$2:$I$2</definedName>
    <definedName name="_xlnm._FilterDatabase" localSheetId="0" hidden="1">'Train Runs'!$A$12:$AG$237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" i="1" l="1"/>
  <c r="X18" i="1"/>
  <c r="X19" i="1"/>
  <c r="X20" i="1"/>
  <c r="X21" i="1"/>
  <c r="X42" i="1"/>
  <c r="X43" i="1"/>
  <c r="X44" i="1"/>
  <c r="X45" i="1"/>
  <c r="X46" i="1"/>
  <c r="X47" i="1"/>
  <c r="K43" i="1"/>
  <c r="L43" i="1"/>
  <c r="M43" i="1"/>
  <c r="V43" i="1"/>
  <c r="Y43" i="1"/>
  <c r="Z43" i="1"/>
  <c r="AA43" i="1" s="1"/>
  <c r="AB43" i="1"/>
  <c r="AC43" i="1"/>
  <c r="AD43" i="1"/>
  <c r="T43" i="1" s="1"/>
  <c r="AE43" i="1"/>
  <c r="AF43" i="1"/>
  <c r="AH43" i="1"/>
  <c r="K16" i="1"/>
  <c r="L16" i="1"/>
  <c r="M16" i="1"/>
  <c r="V16" i="1"/>
  <c r="Y16" i="1"/>
  <c r="Z16" i="1"/>
  <c r="AA16" i="1"/>
  <c r="AB16" i="1"/>
  <c r="AC16" i="1"/>
  <c r="AD16" i="1"/>
  <c r="T16" i="1" s="1"/>
  <c r="AE16" i="1"/>
  <c r="AF16" i="1"/>
  <c r="AH16" i="1"/>
  <c r="B3" i="6"/>
  <c r="B4" i="6"/>
  <c r="B5" i="6"/>
  <c r="B6" i="6"/>
  <c r="B7" i="6"/>
  <c r="B8" i="6"/>
  <c r="F8" i="6" s="1"/>
  <c r="B9" i="6"/>
  <c r="H9" i="6" s="1"/>
  <c r="B10" i="6"/>
  <c r="G10" i="6" s="1"/>
  <c r="B11" i="6"/>
  <c r="B12" i="6"/>
  <c r="F12" i="6" s="1"/>
  <c r="F9" i="6"/>
  <c r="G9" i="6"/>
  <c r="F10" i="6"/>
  <c r="G11" i="6"/>
  <c r="F11" i="6"/>
  <c r="I11" i="6"/>
  <c r="I12" i="6"/>
  <c r="X194" i="1"/>
  <c r="X195" i="1"/>
  <c r="X196" i="1"/>
  <c r="X197" i="1"/>
  <c r="X198" i="1"/>
  <c r="X199" i="1"/>
  <c r="X98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Q42" i="3" s="1"/>
  <c r="Y15" i="1"/>
  <c r="Z15" i="1"/>
  <c r="AA15" i="1" s="1"/>
  <c r="W15" i="1" s="1"/>
  <c r="AB15" i="1"/>
  <c r="AC15" i="1"/>
  <c r="AD15" i="1"/>
  <c r="AG15" i="1" s="1"/>
  <c r="AE15" i="1"/>
  <c r="P42" i="3" s="1"/>
  <c r="AF15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Q22" i="3" s="1"/>
  <c r="Y19" i="1"/>
  <c r="Z19" i="1"/>
  <c r="AB19" i="1"/>
  <c r="AC19" i="1"/>
  <c r="AD19" i="1"/>
  <c r="T19" i="1" s="1"/>
  <c r="AE19" i="1"/>
  <c r="P22" i="3" s="1"/>
  <c r="AF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K29" i="1"/>
  <c r="L29" i="1"/>
  <c r="M29" i="1"/>
  <c r="N29" i="1" s="1"/>
  <c r="V29" i="1"/>
  <c r="Y29" i="1"/>
  <c r="Z29" i="1"/>
  <c r="AA29" i="1" s="1"/>
  <c r="AB29" i="1"/>
  <c r="AC29" i="1"/>
  <c r="AD29" i="1"/>
  <c r="AE29" i="1"/>
  <c r="P43" i="3" s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/>
  <c r="V31" i="1"/>
  <c r="Q44" i="3" s="1"/>
  <c r="Y31" i="1"/>
  <c r="Z31" i="1"/>
  <c r="AA31" i="1" s="1"/>
  <c r="W31" i="1" s="1"/>
  <c r="AB31" i="1"/>
  <c r="AC31" i="1"/>
  <c r="AD31" i="1"/>
  <c r="AG31" i="1" s="1"/>
  <c r="AE31" i="1"/>
  <c r="AF31" i="1"/>
  <c r="K32" i="1"/>
  <c r="L32" i="1"/>
  <c r="M32" i="1"/>
  <c r="N32" i="1" s="1"/>
  <c r="V32" i="1"/>
  <c r="Q19" i="3" s="1"/>
  <c r="Y32" i="1"/>
  <c r="Z32" i="1"/>
  <c r="AB32" i="1"/>
  <c r="AC32" i="1"/>
  <c r="AD32" i="1"/>
  <c r="T32" i="1" s="1"/>
  <c r="AE32" i="1"/>
  <c r="AF32" i="1"/>
  <c r="K33" i="1"/>
  <c r="L33" i="1"/>
  <c r="M33" i="1"/>
  <c r="N33" i="1" s="1"/>
  <c r="V33" i="1"/>
  <c r="Q12" i="3" s="1"/>
  <c r="Y33" i="1"/>
  <c r="Z33" i="1"/>
  <c r="AB33" i="1"/>
  <c r="AC33" i="1"/>
  <c r="AD33" i="1"/>
  <c r="T33" i="1" s="1"/>
  <c r="AE33" i="1"/>
  <c r="P12" i="3" s="1"/>
  <c r="AF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P24" i="3" s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Q17" i="3" s="1"/>
  <c r="Y36" i="1"/>
  <c r="Z36" i="1"/>
  <c r="AB36" i="1"/>
  <c r="AC36" i="1"/>
  <c r="AD36" i="1"/>
  <c r="AG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A38" i="1" s="1"/>
  <c r="AB38" i="1"/>
  <c r="AC38" i="1"/>
  <c r="AD38" i="1"/>
  <c r="AE38" i="1"/>
  <c r="P33" i="3" s="1"/>
  <c r="AF38" i="1"/>
  <c r="K39" i="1"/>
  <c r="L39" i="1"/>
  <c r="M39" i="1"/>
  <c r="N39" i="1" s="1"/>
  <c r="V39" i="1"/>
  <c r="Y39" i="1"/>
  <c r="Z39" i="1"/>
  <c r="AA39" i="1" s="1"/>
  <c r="AI39" i="1" s="1"/>
  <c r="AB39" i="1"/>
  <c r="AC39" i="1"/>
  <c r="AD39" i="1"/>
  <c r="AG39" i="1" s="1"/>
  <c r="AE39" i="1"/>
  <c r="AF39" i="1"/>
  <c r="K40" i="1"/>
  <c r="L40" i="1"/>
  <c r="M40" i="1"/>
  <c r="N40" i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T42" i="1"/>
  <c r="V42" i="1"/>
  <c r="Q28" i="3" s="1"/>
  <c r="Y42" i="1"/>
  <c r="Z42" i="1"/>
  <c r="AB42" i="1"/>
  <c r="AC42" i="1"/>
  <c r="AD42" i="1"/>
  <c r="AE42" i="1"/>
  <c r="AF42" i="1"/>
  <c r="K44" i="1"/>
  <c r="L44" i="1"/>
  <c r="M44" i="1"/>
  <c r="N44" i="1"/>
  <c r="V44" i="1"/>
  <c r="Y44" i="1"/>
  <c r="Z44" i="1"/>
  <c r="AB44" i="1"/>
  <c r="AC44" i="1"/>
  <c r="AD44" i="1"/>
  <c r="AG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P21" i="3" s="1"/>
  <c r="AF47" i="1"/>
  <c r="K48" i="1"/>
  <c r="L48" i="1"/>
  <c r="M48" i="1"/>
  <c r="N48" i="1" s="1"/>
  <c r="V48" i="1"/>
  <c r="Q23" i="3" s="1"/>
  <c r="Y48" i="1"/>
  <c r="Z48" i="1"/>
  <c r="AB48" i="1"/>
  <c r="AC48" i="1"/>
  <c r="AD48" i="1"/>
  <c r="AE48" i="1"/>
  <c r="P23" i="3" s="1"/>
  <c r="AF48" i="1"/>
  <c r="K49" i="1"/>
  <c r="L49" i="1"/>
  <c r="M49" i="1"/>
  <c r="N49" i="1"/>
  <c r="V49" i="1"/>
  <c r="Y49" i="1"/>
  <c r="Z49" i="1"/>
  <c r="AA49" i="1"/>
  <c r="W49" i="1" s="1"/>
  <c r="AB49" i="1"/>
  <c r="AC49" i="1"/>
  <c r="AD49" i="1"/>
  <c r="AG49" i="1" s="1"/>
  <c r="AE49" i="1"/>
  <c r="AF49" i="1"/>
  <c r="K50" i="1"/>
  <c r="L50" i="1"/>
  <c r="M50" i="1"/>
  <c r="N50" i="1" s="1"/>
  <c r="V50" i="1"/>
  <c r="Q7" i="3" s="1"/>
  <c r="Y50" i="1"/>
  <c r="Z50" i="1"/>
  <c r="AB50" i="1"/>
  <c r="AC50" i="1"/>
  <c r="AD50" i="1"/>
  <c r="AE50" i="1"/>
  <c r="P7" i="3" s="1"/>
  <c r="AF50" i="1"/>
  <c r="K51" i="1"/>
  <c r="L51" i="1"/>
  <c r="M51" i="1"/>
  <c r="N51" i="1" s="1"/>
  <c r="T51" i="1"/>
  <c r="V51" i="1"/>
  <c r="Q46" i="3" s="1"/>
  <c r="Y51" i="1"/>
  <c r="Z51" i="1"/>
  <c r="AB51" i="1"/>
  <c r="AC51" i="1"/>
  <c r="AD51" i="1"/>
  <c r="AG51" i="1" s="1"/>
  <c r="AE51" i="1"/>
  <c r="P46" i="3" s="1"/>
  <c r="AF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K53" i="1"/>
  <c r="L53" i="1"/>
  <c r="M53" i="1"/>
  <c r="N53" i="1" s="1"/>
  <c r="V53" i="1"/>
  <c r="Y53" i="1"/>
  <c r="Z53" i="1"/>
  <c r="AA53" i="1" s="1"/>
  <c r="AB53" i="1"/>
  <c r="AC53" i="1"/>
  <c r="AD53" i="1"/>
  <c r="AE53" i="1"/>
  <c r="AF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K56" i="1"/>
  <c r="L56" i="1"/>
  <c r="M56" i="1"/>
  <c r="N56" i="1" s="1"/>
  <c r="V56" i="1"/>
  <c r="Y56" i="1"/>
  <c r="AA56" i="1" s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A57" i="1" s="1"/>
  <c r="W57" i="1" s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A58" i="1" s="1"/>
  <c r="AI58" i="1" s="1"/>
  <c r="AB58" i="1"/>
  <c r="AC58" i="1"/>
  <c r="AD58" i="1"/>
  <c r="AG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K62" i="1"/>
  <c r="L62" i="1"/>
  <c r="M62" i="1"/>
  <c r="N62" i="1" s="1"/>
  <c r="V62" i="1"/>
  <c r="Q34" i="3" s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A69" i="1" s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/>
  <c r="V71" i="1"/>
  <c r="Y71" i="1"/>
  <c r="Z71" i="1"/>
  <c r="AB71" i="1"/>
  <c r="AC71" i="1"/>
  <c r="AD71" i="1"/>
  <c r="T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Q47" i="3" s="1"/>
  <c r="Y73" i="1"/>
  <c r="Z73" i="1"/>
  <c r="AB73" i="1"/>
  <c r="AC73" i="1"/>
  <c r="AD73" i="1"/>
  <c r="AG73" i="1" s="1"/>
  <c r="AE73" i="1"/>
  <c r="P47" i="3" s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K75" i="1"/>
  <c r="L75" i="1"/>
  <c r="M75" i="1"/>
  <c r="N75" i="1" s="1"/>
  <c r="V75" i="1"/>
  <c r="Q48" i="3" s="1"/>
  <c r="Y75" i="1"/>
  <c r="Z75" i="1"/>
  <c r="AB75" i="1"/>
  <c r="AC75" i="1"/>
  <c r="AD75" i="1"/>
  <c r="AE75" i="1"/>
  <c r="P48" i="3" s="1"/>
  <c r="AF75" i="1"/>
  <c r="K76" i="1"/>
  <c r="L76" i="1"/>
  <c r="M76" i="1"/>
  <c r="N76" i="1" s="1"/>
  <c r="T76" i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P20" i="3" s="1"/>
  <c r="AF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1" i="1"/>
  <c r="L81" i="1"/>
  <c r="M81" i="1"/>
  <c r="N81" i="1" s="1"/>
  <c r="V81" i="1"/>
  <c r="Y81" i="1"/>
  <c r="Z81" i="1"/>
  <c r="AA81" i="1" s="1"/>
  <c r="AB81" i="1"/>
  <c r="AC81" i="1"/>
  <c r="AD81" i="1"/>
  <c r="AG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P10" i="3" s="1"/>
  <c r="AF84" i="1"/>
  <c r="K85" i="1"/>
  <c r="L85" i="1"/>
  <c r="M85" i="1"/>
  <c r="N85" i="1" s="1"/>
  <c r="V85" i="1"/>
  <c r="Y85" i="1"/>
  <c r="Z85" i="1"/>
  <c r="AA85" i="1"/>
  <c r="W85" i="1" s="1"/>
  <c r="AB85" i="1"/>
  <c r="AC85" i="1"/>
  <c r="AD85" i="1"/>
  <c r="AG85" i="1" s="1"/>
  <c r="AE85" i="1"/>
  <c r="AF85" i="1"/>
  <c r="K86" i="1"/>
  <c r="L86" i="1"/>
  <c r="M86" i="1"/>
  <c r="N86" i="1" s="1"/>
  <c r="V86" i="1"/>
  <c r="Q36" i="3" s="1"/>
  <c r="Y86" i="1"/>
  <c r="Z86" i="1"/>
  <c r="AA86" i="1" s="1"/>
  <c r="AB86" i="1"/>
  <c r="AC86" i="1"/>
  <c r="AD86" i="1"/>
  <c r="AG86" i="1" s="1"/>
  <c r="AE86" i="1"/>
  <c r="AF86" i="1"/>
  <c r="K87" i="1"/>
  <c r="L87" i="1"/>
  <c r="M87" i="1"/>
  <c r="N87" i="1"/>
  <c r="V87" i="1"/>
  <c r="Y87" i="1"/>
  <c r="Z87" i="1"/>
  <c r="AB87" i="1"/>
  <c r="AC87" i="1"/>
  <c r="AD87" i="1"/>
  <c r="T87" i="1" s="1"/>
  <c r="AE87" i="1"/>
  <c r="AF87" i="1"/>
  <c r="K88" i="1"/>
  <c r="L88" i="1"/>
  <c r="M88" i="1"/>
  <c r="N88" i="1" s="1"/>
  <c r="T88" i="1"/>
  <c r="V88" i="1"/>
  <c r="Q14" i="3" s="1"/>
  <c r="Y88" i="1"/>
  <c r="Z88" i="1"/>
  <c r="AB88" i="1"/>
  <c r="AC88" i="1"/>
  <c r="AD88" i="1"/>
  <c r="AE88" i="1"/>
  <c r="AF88" i="1"/>
  <c r="AG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K92" i="1"/>
  <c r="L92" i="1"/>
  <c r="M92" i="1"/>
  <c r="N92" i="1" s="1"/>
  <c r="V92" i="1"/>
  <c r="Y92" i="1"/>
  <c r="Z92" i="1"/>
  <c r="AA92" i="1" s="1"/>
  <c r="AB92" i="1"/>
  <c r="AC92" i="1"/>
  <c r="AD92" i="1"/>
  <c r="AE92" i="1"/>
  <c r="P30" i="3" s="1"/>
  <c r="AF92" i="1"/>
  <c r="K93" i="1"/>
  <c r="L93" i="1"/>
  <c r="M93" i="1"/>
  <c r="N93" i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A96" i="1" s="1"/>
  <c r="AB96" i="1"/>
  <c r="AC96" i="1"/>
  <c r="AD96" i="1"/>
  <c r="T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X97" i="1" s="1"/>
  <c r="AE97" i="1"/>
  <c r="P9" i="3" s="1"/>
  <c r="AF97" i="1"/>
  <c r="K98" i="1"/>
  <c r="L98" i="1"/>
  <c r="M98" i="1"/>
  <c r="N98" i="1" s="1"/>
  <c r="V98" i="1"/>
  <c r="Q27" i="3" s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T103" i="1"/>
  <c r="V103" i="1"/>
  <c r="Y103" i="1"/>
  <c r="Z103" i="1"/>
  <c r="AB103" i="1"/>
  <c r="AC103" i="1"/>
  <c r="AD103" i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G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A107" i="1" s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A110" i="1" s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K112" i="1"/>
  <c r="L112" i="1"/>
  <c r="M112" i="1"/>
  <c r="N112" i="1"/>
  <c r="V112" i="1"/>
  <c r="Q49" i="3" s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Q16" i="3" s="1"/>
  <c r="Y113" i="1"/>
  <c r="Z113" i="1"/>
  <c r="AB113" i="1"/>
  <c r="AC113" i="1"/>
  <c r="AD113" i="1"/>
  <c r="T113" i="1" s="1"/>
  <c r="AE113" i="1"/>
  <c r="P16" i="3" s="1"/>
  <c r="AF113" i="1"/>
  <c r="K114" i="1"/>
  <c r="L114" i="1"/>
  <c r="M114" i="1"/>
  <c r="N114" i="1" s="1"/>
  <c r="V114" i="1"/>
  <c r="Q37" i="3" s="1"/>
  <c r="Y114" i="1"/>
  <c r="Z114" i="1"/>
  <c r="AB114" i="1"/>
  <c r="AC114" i="1"/>
  <c r="AD114" i="1"/>
  <c r="AG114" i="1" s="1"/>
  <c r="AE114" i="1"/>
  <c r="P37" i="3" s="1"/>
  <c r="AF114" i="1"/>
  <c r="K115" i="1"/>
  <c r="L115" i="1"/>
  <c r="M115" i="1"/>
  <c r="N115" i="1" s="1"/>
  <c r="V115" i="1"/>
  <c r="Y115" i="1"/>
  <c r="Z115" i="1"/>
  <c r="AA115" i="1" s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Y118" i="1"/>
  <c r="Z118" i="1"/>
  <c r="AA118" i="1" s="1"/>
  <c r="AI118" i="1" s="1"/>
  <c r="AB118" i="1"/>
  <c r="AC118" i="1"/>
  <c r="AD118" i="1"/>
  <c r="AG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Q38" i="3" s="1"/>
  <c r="Y120" i="1"/>
  <c r="Z120" i="1"/>
  <c r="AB120" i="1"/>
  <c r="AC120" i="1"/>
  <c r="AD120" i="1"/>
  <c r="AE120" i="1"/>
  <c r="P38" i="3" s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Q39" i="3" s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T125" i="1"/>
  <c r="V125" i="1"/>
  <c r="Y125" i="1"/>
  <c r="Z125" i="1"/>
  <c r="AB125" i="1"/>
  <c r="AC125" i="1"/>
  <c r="AD125" i="1"/>
  <c r="X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K127" i="1"/>
  <c r="L127" i="1"/>
  <c r="M127" i="1"/>
  <c r="N127" i="1" s="1"/>
  <c r="V127" i="1"/>
  <c r="Y127" i="1"/>
  <c r="AA127" i="1" s="1"/>
  <c r="Z127" i="1"/>
  <c r="AB127" i="1"/>
  <c r="AC127" i="1"/>
  <c r="AD127" i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Q40" i="3" s="1"/>
  <c r="Y130" i="1"/>
  <c r="Z130" i="1"/>
  <c r="AA130" i="1" s="1"/>
  <c r="AB130" i="1"/>
  <c r="AC130" i="1"/>
  <c r="AD130" i="1"/>
  <c r="AE130" i="1"/>
  <c r="P40" i="3" s="1"/>
  <c r="AF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N134" i="1" s="1"/>
  <c r="V134" i="1"/>
  <c r="Y134" i="1"/>
  <c r="Z134" i="1"/>
  <c r="AA134" i="1" s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Q50" i="3" s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K144" i="1"/>
  <c r="L144" i="1"/>
  <c r="M144" i="1"/>
  <c r="N144" i="1" s="1"/>
  <c r="V144" i="1"/>
  <c r="Q13" i="3" s="1"/>
  <c r="Y144" i="1"/>
  <c r="Z144" i="1"/>
  <c r="AB144" i="1"/>
  <c r="AC144" i="1"/>
  <c r="AD144" i="1"/>
  <c r="T144" i="1" s="1"/>
  <c r="AE144" i="1"/>
  <c r="P13" i="3" s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/>
  <c r="V147" i="1"/>
  <c r="Q18" i="3" s="1"/>
  <c r="Y147" i="1"/>
  <c r="Z147" i="1"/>
  <c r="AB147" i="1"/>
  <c r="AC147" i="1"/>
  <c r="AD147" i="1"/>
  <c r="AG147" i="1" s="1"/>
  <c r="AE147" i="1"/>
  <c r="P18" i="3" s="1"/>
  <c r="AF147" i="1"/>
  <c r="K148" i="1"/>
  <c r="L148" i="1"/>
  <c r="M148" i="1"/>
  <c r="N148" i="1"/>
  <c r="V148" i="1"/>
  <c r="Q41" i="3" s="1"/>
  <c r="Y148" i="1"/>
  <c r="Z148" i="1"/>
  <c r="AB148" i="1"/>
  <c r="AC148" i="1"/>
  <c r="AD148" i="1"/>
  <c r="T148" i="1" s="1"/>
  <c r="AE148" i="1"/>
  <c r="P41" i="3" s="1"/>
  <c r="AF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K150" i="1"/>
  <c r="L150" i="1"/>
  <c r="M150" i="1"/>
  <c r="N150" i="1"/>
  <c r="V150" i="1"/>
  <c r="Y150" i="1"/>
  <c r="Z150" i="1"/>
  <c r="AB150" i="1"/>
  <c r="AC150" i="1"/>
  <c r="AD150" i="1"/>
  <c r="AG150" i="1" s="1"/>
  <c r="AE150" i="1"/>
  <c r="AF150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K201" i="1"/>
  <c r="L201" i="1"/>
  <c r="M201" i="1"/>
  <c r="N201" i="1" s="1"/>
  <c r="V201" i="1"/>
  <c r="Q67" i="3" s="1"/>
  <c r="Y201" i="1"/>
  <c r="Z201" i="1"/>
  <c r="AA201" i="1" s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K212" i="1"/>
  <c r="L212" i="1"/>
  <c r="M212" i="1"/>
  <c r="N212" i="1" s="1"/>
  <c r="V212" i="1"/>
  <c r="Y212" i="1"/>
  <c r="Z212" i="1"/>
  <c r="AA212" i="1" s="1"/>
  <c r="AB212" i="1"/>
  <c r="AC212" i="1"/>
  <c r="AD212" i="1"/>
  <c r="AG212" i="1" s="1"/>
  <c r="AE212" i="1"/>
  <c r="P66" i="3" s="1"/>
  <c r="AF212" i="1"/>
  <c r="K213" i="1"/>
  <c r="L213" i="1"/>
  <c r="M213" i="1"/>
  <c r="N213" i="1"/>
  <c r="V213" i="1"/>
  <c r="Y213" i="1"/>
  <c r="Z213" i="1"/>
  <c r="AA213" i="1" s="1"/>
  <c r="AB213" i="1"/>
  <c r="AC213" i="1"/>
  <c r="AD213" i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/>
  <c r="V152" i="1"/>
  <c r="Y152" i="1"/>
  <c r="AA152" i="1" s="1"/>
  <c r="Z152" i="1"/>
  <c r="AB152" i="1"/>
  <c r="AC152" i="1"/>
  <c r="AD152" i="1"/>
  <c r="AG152" i="1" s="1"/>
  <c r="AE152" i="1"/>
  <c r="AF152" i="1"/>
  <c r="K153" i="1"/>
  <c r="L153" i="1"/>
  <c r="M153" i="1"/>
  <c r="N153" i="1"/>
  <c r="V153" i="1"/>
  <c r="Q52" i="3" s="1"/>
  <c r="Y153" i="1"/>
  <c r="Z153" i="1"/>
  <c r="AB153" i="1"/>
  <c r="AC153" i="1"/>
  <c r="AD153" i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A156" i="1" s="1"/>
  <c r="AB156" i="1"/>
  <c r="AC156" i="1"/>
  <c r="AD156" i="1"/>
  <c r="AG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A160" i="1" s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/>
  <c r="V165" i="1"/>
  <c r="Y165" i="1"/>
  <c r="Z165" i="1"/>
  <c r="AB165" i="1"/>
  <c r="AC165" i="1"/>
  <c r="AD165" i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A167" i="1" s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T170" i="1"/>
  <c r="V170" i="1"/>
  <c r="Y170" i="1"/>
  <c r="Z170" i="1"/>
  <c r="AB170" i="1"/>
  <c r="AC170" i="1"/>
  <c r="AD170" i="1"/>
  <c r="AE170" i="1"/>
  <c r="AF170" i="1"/>
  <c r="K171" i="1"/>
  <c r="L171" i="1"/>
  <c r="M171" i="1"/>
  <c r="N171" i="1"/>
  <c r="V171" i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Y172" i="1"/>
  <c r="AA172" i="1" s="1"/>
  <c r="Z172" i="1"/>
  <c r="AB172" i="1"/>
  <c r="AC172" i="1"/>
  <c r="AD172" i="1"/>
  <c r="AE172" i="1"/>
  <c r="P56" i="3" s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Q53" i="3" s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A175" i="1" s="1"/>
  <c r="W175" i="1" s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K177" i="1"/>
  <c r="L177" i="1"/>
  <c r="M177" i="1"/>
  <c r="N177" i="1" s="1"/>
  <c r="V177" i="1"/>
  <c r="Y177" i="1"/>
  <c r="Z177" i="1"/>
  <c r="AA177" i="1" s="1"/>
  <c r="AB177" i="1"/>
  <c r="AC177" i="1"/>
  <c r="AD177" i="1"/>
  <c r="AG177" i="1" s="1"/>
  <c r="AE177" i="1"/>
  <c r="AF177" i="1"/>
  <c r="K178" i="1"/>
  <c r="L178" i="1"/>
  <c r="M178" i="1"/>
  <c r="N178" i="1" s="1"/>
  <c r="V178" i="1"/>
  <c r="Q57" i="3" s="1"/>
  <c r="Y178" i="1"/>
  <c r="Z178" i="1"/>
  <c r="AB178" i="1"/>
  <c r="AC178" i="1"/>
  <c r="AD178" i="1"/>
  <c r="T178" i="1" s="1"/>
  <c r="AE178" i="1"/>
  <c r="AF178" i="1"/>
  <c r="K179" i="1"/>
  <c r="L179" i="1"/>
  <c r="M179" i="1"/>
  <c r="N179" i="1"/>
  <c r="V179" i="1"/>
  <c r="Q62" i="3" s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K183" i="1"/>
  <c r="L183" i="1"/>
  <c r="M183" i="1"/>
  <c r="N183" i="1" s="1"/>
  <c r="V183" i="1"/>
  <c r="Q61" i="3" s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K185" i="1"/>
  <c r="L185" i="1"/>
  <c r="M185" i="1"/>
  <c r="N185" i="1" s="1"/>
  <c r="V185" i="1"/>
  <c r="Y185" i="1"/>
  <c r="Z185" i="1"/>
  <c r="AA185" i="1" s="1"/>
  <c r="AB185" i="1"/>
  <c r="AC185" i="1"/>
  <c r="AD185" i="1"/>
  <c r="AG185" i="1" s="1"/>
  <c r="AE185" i="1"/>
  <c r="AF185" i="1"/>
  <c r="K186" i="1"/>
  <c r="L186" i="1"/>
  <c r="M186" i="1"/>
  <c r="N186" i="1" s="1"/>
  <c r="T186" i="1"/>
  <c r="V186" i="1"/>
  <c r="Y186" i="1"/>
  <c r="Z186" i="1"/>
  <c r="AB186" i="1"/>
  <c r="AC186" i="1"/>
  <c r="AD186" i="1"/>
  <c r="X186" i="1" s="1"/>
  <c r="AE186" i="1"/>
  <c r="AF186" i="1"/>
  <c r="K187" i="1"/>
  <c r="L187" i="1"/>
  <c r="M187" i="1"/>
  <c r="N187" i="1" s="1"/>
  <c r="V187" i="1"/>
  <c r="Q60" i="3" s="1"/>
  <c r="Y187" i="1"/>
  <c r="AA187" i="1" s="1"/>
  <c r="W187" i="1" s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V190" i="1"/>
  <c r="Q64" i="3" s="1"/>
  <c r="Y190" i="1"/>
  <c r="Z190" i="1"/>
  <c r="AB190" i="1"/>
  <c r="AC190" i="1"/>
  <c r="AD190" i="1"/>
  <c r="AG190" i="1" s="1"/>
  <c r="AE190" i="1"/>
  <c r="P64" i="3" s="1"/>
  <c r="AF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204" i="1"/>
  <c r="L204" i="1"/>
  <c r="M204" i="1"/>
  <c r="N204" i="1" s="1"/>
  <c r="V204" i="1"/>
  <c r="Q68" i="3" s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K206" i="1"/>
  <c r="L206" i="1"/>
  <c r="M206" i="1"/>
  <c r="N206" i="1" s="1"/>
  <c r="V206" i="1"/>
  <c r="Y206" i="1"/>
  <c r="Z206" i="1"/>
  <c r="AA206" i="1" s="1"/>
  <c r="AB206" i="1"/>
  <c r="AC206" i="1"/>
  <c r="AD206" i="1"/>
  <c r="AG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Q43" i="3"/>
  <c r="P44" i="3"/>
  <c r="P25" i="3"/>
  <c r="Q21" i="3"/>
  <c r="P8" i="3"/>
  <c r="P34" i="3"/>
  <c r="Q20" i="3"/>
  <c r="Q35" i="3"/>
  <c r="P14" i="3"/>
  <c r="Q31" i="3"/>
  <c r="Q9" i="3"/>
  <c r="P27" i="3"/>
  <c r="P49" i="3"/>
  <c r="P50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S42" i="3"/>
  <c r="R42" i="3" s="1"/>
  <c r="T42" i="3"/>
  <c r="U42" i="3"/>
  <c r="V42" i="3"/>
  <c r="S22" i="3"/>
  <c r="R22" i="3" s="1"/>
  <c r="T22" i="3"/>
  <c r="U22" i="3"/>
  <c r="V22" i="3"/>
  <c r="S65" i="3"/>
  <c r="R65" i="3" s="1"/>
  <c r="T65" i="3"/>
  <c r="U65" i="3"/>
  <c r="V65" i="3"/>
  <c r="S68" i="3"/>
  <c r="R68" i="3" s="1"/>
  <c r="T68" i="3"/>
  <c r="U68" i="3"/>
  <c r="V68" i="3"/>
  <c r="S52" i="3"/>
  <c r="R52" i="3" s="1"/>
  <c r="T52" i="3"/>
  <c r="U52" i="3"/>
  <c r="V52" i="3"/>
  <c r="S43" i="3"/>
  <c r="R43" i="3" s="1"/>
  <c r="T43" i="3"/>
  <c r="U43" i="3"/>
  <c r="V43" i="3"/>
  <c r="S12" i="3"/>
  <c r="R12" i="3" s="1"/>
  <c r="T12" i="3"/>
  <c r="U12" i="3"/>
  <c r="V12" i="3"/>
  <c r="S11" i="3"/>
  <c r="R11" i="3" s="1"/>
  <c r="T11" i="3"/>
  <c r="U11" i="3"/>
  <c r="V11" i="3"/>
  <c r="S44" i="3"/>
  <c r="R44" i="3" s="1"/>
  <c r="T44" i="3"/>
  <c r="U44" i="3"/>
  <c r="V44" i="3"/>
  <c r="S24" i="3"/>
  <c r="R24" i="3" s="1"/>
  <c r="T24" i="3"/>
  <c r="U24" i="3"/>
  <c r="V24" i="3"/>
  <c r="S19" i="3"/>
  <c r="R19" i="3" s="1"/>
  <c r="T19" i="3"/>
  <c r="U19" i="3"/>
  <c r="V19" i="3"/>
  <c r="S32" i="3"/>
  <c r="R32" i="3" s="1"/>
  <c r="T32" i="3"/>
  <c r="U32" i="3"/>
  <c r="V32" i="3"/>
  <c r="S59" i="3"/>
  <c r="R59" i="3" s="1"/>
  <c r="T59" i="3"/>
  <c r="U59" i="3"/>
  <c r="V59" i="3"/>
  <c r="S17" i="3"/>
  <c r="R17" i="3" s="1"/>
  <c r="T17" i="3"/>
  <c r="U17" i="3"/>
  <c r="V17" i="3"/>
  <c r="S21" i="3"/>
  <c r="R21" i="3" s="1"/>
  <c r="T21" i="3"/>
  <c r="U21" i="3"/>
  <c r="V21" i="3"/>
  <c r="S28" i="3"/>
  <c r="R28" i="3" s="1"/>
  <c r="T28" i="3"/>
  <c r="U28" i="3"/>
  <c r="V28" i="3"/>
  <c r="S33" i="3"/>
  <c r="R33" i="3" s="1"/>
  <c r="T33" i="3"/>
  <c r="U33" i="3"/>
  <c r="V33" i="3"/>
  <c r="S51" i="3"/>
  <c r="R51" i="3" s="1"/>
  <c r="T51" i="3"/>
  <c r="U51" i="3"/>
  <c r="V51" i="3"/>
  <c r="S25" i="3"/>
  <c r="R25" i="3" s="1"/>
  <c r="T25" i="3"/>
  <c r="U25" i="3"/>
  <c r="V25" i="3"/>
  <c r="S26" i="3"/>
  <c r="R26" i="3" s="1"/>
  <c r="T26" i="3"/>
  <c r="U26" i="3"/>
  <c r="V26" i="3"/>
  <c r="S45" i="3"/>
  <c r="R45" i="3" s="1"/>
  <c r="T45" i="3"/>
  <c r="U45" i="3"/>
  <c r="V45" i="3"/>
  <c r="S46" i="3"/>
  <c r="R46" i="3" s="1"/>
  <c r="T46" i="3"/>
  <c r="U46" i="3"/>
  <c r="V46" i="3"/>
  <c r="S23" i="3"/>
  <c r="R23" i="3" s="1"/>
  <c r="T23" i="3"/>
  <c r="U23" i="3"/>
  <c r="V23" i="3"/>
  <c r="S15" i="3"/>
  <c r="R15" i="3" s="1"/>
  <c r="T15" i="3"/>
  <c r="U15" i="3"/>
  <c r="V15" i="3"/>
  <c r="S7" i="3"/>
  <c r="R7" i="3" s="1"/>
  <c r="T7" i="3"/>
  <c r="U7" i="3"/>
  <c r="V7" i="3"/>
  <c r="S29" i="3"/>
  <c r="R29" i="3" s="1"/>
  <c r="T29" i="3"/>
  <c r="U29" i="3"/>
  <c r="V29" i="3"/>
  <c r="S54" i="3"/>
  <c r="R54" i="3" s="1"/>
  <c r="T54" i="3"/>
  <c r="U54" i="3"/>
  <c r="V54" i="3"/>
  <c r="S8" i="3"/>
  <c r="R8" i="3" s="1"/>
  <c r="T8" i="3"/>
  <c r="U8" i="3"/>
  <c r="V8" i="3"/>
  <c r="S34" i="3"/>
  <c r="R34" i="3" s="1"/>
  <c r="T34" i="3"/>
  <c r="U34" i="3"/>
  <c r="V34" i="3"/>
  <c r="S55" i="3"/>
  <c r="R55" i="3" s="1"/>
  <c r="T55" i="3"/>
  <c r="U55" i="3"/>
  <c r="V55" i="3"/>
  <c r="S47" i="3"/>
  <c r="R47" i="3" s="1"/>
  <c r="T47" i="3"/>
  <c r="U47" i="3"/>
  <c r="V47" i="3"/>
  <c r="S48" i="3"/>
  <c r="R48" i="3" s="1"/>
  <c r="T48" i="3"/>
  <c r="U48" i="3"/>
  <c r="V48" i="3"/>
  <c r="S63" i="3"/>
  <c r="R63" i="3" s="1"/>
  <c r="T63" i="3"/>
  <c r="U63" i="3"/>
  <c r="V63" i="3"/>
  <c r="S20" i="3"/>
  <c r="R20" i="3" s="1"/>
  <c r="T20" i="3"/>
  <c r="U20" i="3"/>
  <c r="V20" i="3"/>
  <c r="S56" i="3"/>
  <c r="R56" i="3" s="1"/>
  <c r="T56" i="3"/>
  <c r="U56" i="3"/>
  <c r="V56" i="3"/>
  <c r="S10" i="3"/>
  <c r="R10" i="3" s="1"/>
  <c r="T10" i="3"/>
  <c r="U10" i="3"/>
  <c r="V10" i="3"/>
  <c r="S35" i="3"/>
  <c r="R35" i="3" s="1"/>
  <c r="T35" i="3"/>
  <c r="U35" i="3"/>
  <c r="V35" i="3"/>
  <c r="S36" i="3"/>
  <c r="R36" i="3" s="1"/>
  <c r="T36" i="3"/>
  <c r="U36" i="3"/>
  <c r="V36" i="3"/>
  <c r="S14" i="3"/>
  <c r="R14" i="3" s="1"/>
  <c r="T14" i="3"/>
  <c r="U14" i="3"/>
  <c r="V14" i="3"/>
  <c r="S9" i="3"/>
  <c r="R9" i="3" s="1"/>
  <c r="T9" i="3"/>
  <c r="U9" i="3"/>
  <c r="V9" i="3"/>
  <c r="S30" i="3"/>
  <c r="R30" i="3" s="1"/>
  <c r="T30" i="3"/>
  <c r="U30" i="3"/>
  <c r="V30" i="3"/>
  <c r="S31" i="3"/>
  <c r="R31" i="3" s="1"/>
  <c r="T31" i="3"/>
  <c r="U31" i="3"/>
  <c r="V31" i="3"/>
  <c r="S53" i="3"/>
  <c r="R53" i="3" s="1"/>
  <c r="T53" i="3"/>
  <c r="U53" i="3"/>
  <c r="V53" i="3"/>
  <c r="S27" i="3"/>
  <c r="R27" i="3" s="1"/>
  <c r="T27" i="3"/>
  <c r="U27" i="3"/>
  <c r="V27" i="3"/>
  <c r="S57" i="3"/>
  <c r="R57" i="3" s="1"/>
  <c r="T57" i="3"/>
  <c r="U57" i="3"/>
  <c r="V57" i="3"/>
  <c r="S62" i="3"/>
  <c r="R62" i="3" s="1"/>
  <c r="T62" i="3"/>
  <c r="U62" i="3"/>
  <c r="V62" i="3"/>
  <c r="W62" i="3"/>
  <c r="S61" i="3"/>
  <c r="R61" i="3" s="1"/>
  <c r="T61" i="3"/>
  <c r="U61" i="3"/>
  <c r="V61" i="3"/>
  <c r="S49" i="3"/>
  <c r="R49" i="3" s="1"/>
  <c r="T49" i="3"/>
  <c r="U49" i="3"/>
  <c r="V49" i="3"/>
  <c r="S16" i="3"/>
  <c r="R16" i="3" s="1"/>
  <c r="T16" i="3"/>
  <c r="U16" i="3"/>
  <c r="V16" i="3"/>
  <c r="S58" i="3"/>
  <c r="R58" i="3" s="1"/>
  <c r="T58" i="3"/>
  <c r="U58" i="3"/>
  <c r="V58" i="3"/>
  <c r="S60" i="3"/>
  <c r="R60" i="3" s="1"/>
  <c r="T60" i="3"/>
  <c r="U60" i="3"/>
  <c r="V60" i="3"/>
  <c r="S37" i="3"/>
  <c r="R37" i="3" s="1"/>
  <c r="T37" i="3"/>
  <c r="U37" i="3"/>
  <c r="V37" i="3"/>
  <c r="S64" i="3"/>
  <c r="R64" i="3" s="1"/>
  <c r="T64" i="3"/>
  <c r="U64" i="3"/>
  <c r="V64" i="3"/>
  <c r="S38" i="3"/>
  <c r="R38" i="3" s="1"/>
  <c r="T38" i="3"/>
  <c r="U38" i="3"/>
  <c r="V38" i="3"/>
  <c r="S39" i="3"/>
  <c r="R39" i="3" s="1"/>
  <c r="T39" i="3"/>
  <c r="U39" i="3"/>
  <c r="V39" i="3"/>
  <c r="S40" i="3"/>
  <c r="R40" i="3" s="1"/>
  <c r="T40" i="3"/>
  <c r="U40" i="3"/>
  <c r="V40" i="3"/>
  <c r="S50" i="3"/>
  <c r="R50" i="3" s="1"/>
  <c r="T50" i="3"/>
  <c r="U50" i="3"/>
  <c r="V50" i="3"/>
  <c r="S18" i="3"/>
  <c r="R18" i="3" s="1"/>
  <c r="T18" i="3"/>
  <c r="U18" i="3"/>
  <c r="V18" i="3"/>
  <c r="S13" i="3"/>
  <c r="R13" i="3" s="1"/>
  <c r="T13" i="3"/>
  <c r="U13" i="3"/>
  <c r="V13" i="3"/>
  <c r="S41" i="3"/>
  <c r="R41" i="3" s="1"/>
  <c r="T41" i="3"/>
  <c r="U41" i="3"/>
  <c r="V41" i="3"/>
  <c r="S67" i="3"/>
  <c r="R67" i="3" s="1"/>
  <c r="T67" i="3"/>
  <c r="U67" i="3"/>
  <c r="V67" i="3"/>
  <c r="W67" i="3"/>
  <c r="S66" i="3"/>
  <c r="R66" i="3" s="1"/>
  <c r="T66" i="3"/>
  <c r="U66" i="3"/>
  <c r="V66" i="3"/>
  <c r="P19" i="3"/>
  <c r="Q24" i="3"/>
  <c r="P17" i="3"/>
  <c r="Q33" i="3"/>
  <c r="Q29" i="3"/>
  <c r="P29" i="3"/>
  <c r="Q8" i="3"/>
  <c r="P36" i="3"/>
  <c r="P39" i="3"/>
  <c r="W43" i="3" l="1"/>
  <c r="H10" i="6"/>
  <c r="I10" i="6"/>
  <c r="I9" i="6"/>
  <c r="X17" i="1"/>
  <c r="X16" i="1"/>
  <c r="AG43" i="1"/>
  <c r="AG16" i="1"/>
  <c r="I8" i="6"/>
  <c r="H12" i="6"/>
  <c r="H8" i="6"/>
  <c r="G12" i="6"/>
  <c r="H11" i="6"/>
  <c r="G8" i="6"/>
  <c r="X99" i="1"/>
  <c r="W34" i="3"/>
  <c r="W7" i="3"/>
  <c r="W46" i="3"/>
  <c r="W45" i="3"/>
  <c r="W33" i="3"/>
  <c r="W21" i="3"/>
  <c r="W17" i="3"/>
  <c r="W59" i="3"/>
  <c r="W32" i="3"/>
  <c r="W24" i="3"/>
  <c r="T145" i="1"/>
  <c r="U145" i="1" s="1"/>
  <c r="S145" i="1" s="1"/>
  <c r="AA126" i="1"/>
  <c r="W126" i="1" s="1"/>
  <c r="AA117" i="1"/>
  <c r="T15" i="1"/>
  <c r="X100" i="1"/>
  <c r="AA61" i="1"/>
  <c r="AA137" i="1"/>
  <c r="X22" i="1"/>
  <c r="AA158" i="1"/>
  <c r="AG14" i="1"/>
  <c r="U14" i="1" s="1"/>
  <c r="X27" i="1"/>
  <c r="T190" i="1"/>
  <c r="X179" i="1"/>
  <c r="AA135" i="1"/>
  <c r="AA76" i="1"/>
  <c r="AI76" i="1" s="1"/>
  <c r="X75" i="1"/>
  <c r="T72" i="1"/>
  <c r="U72" i="1" s="1"/>
  <c r="S72" i="1" s="1"/>
  <c r="AA26" i="1"/>
  <c r="T23" i="1"/>
  <c r="U23" i="1" s="1"/>
  <c r="S23" i="1" s="1"/>
  <c r="X26" i="1"/>
  <c r="X24" i="1"/>
  <c r="AG60" i="1"/>
  <c r="AA19" i="1"/>
  <c r="X23" i="1"/>
  <c r="W57" i="3"/>
  <c r="W27" i="3"/>
  <c r="W31" i="3"/>
  <c r="W36" i="3"/>
  <c r="W35" i="3"/>
  <c r="W63" i="3"/>
  <c r="W47" i="3"/>
  <c r="W55" i="3"/>
  <c r="AA196" i="1"/>
  <c r="AA138" i="1"/>
  <c r="AI138" i="1" s="1"/>
  <c r="AA133" i="1"/>
  <c r="AA121" i="1"/>
  <c r="X120" i="1"/>
  <c r="W118" i="1"/>
  <c r="AA71" i="1"/>
  <c r="AA62" i="1"/>
  <c r="AA52" i="1"/>
  <c r="AI52" i="1" s="1"/>
  <c r="T34" i="1"/>
  <c r="AA32" i="1"/>
  <c r="AA17" i="1"/>
  <c r="X25" i="1"/>
  <c r="AG122" i="1"/>
  <c r="X122" i="1"/>
  <c r="AG97" i="1"/>
  <c r="AG92" i="1"/>
  <c r="AI92" i="1" s="1"/>
  <c r="T92" i="1"/>
  <c r="W152" i="1"/>
  <c r="AA78" i="1"/>
  <c r="AI78" i="1" s="1"/>
  <c r="W40" i="3"/>
  <c r="W16" i="3"/>
  <c r="AG121" i="1"/>
  <c r="W121" i="1" s="1"/>
  <c r="AG109" i="1"/>
  <c r="U109" i="1" s="1"/>
  <c r="S109" i="1" s="1"/>
  <c r="AG96" i="1"/>
  <c r="W96" i="1" s="1"/>
  <c r="X96" i="1"/>
  <c r="AA84" i="1"/>
  <c r="AA80" i="1"/>
  <c r="AG68" i="1"/>
  <c r="AA51" i="1"/>
  <c r="AA23" i="1"/>
  <c r="AI23" i="1" s="1"/>
  <c r="AA14" i="1"/>
  <c r="AI14" i="1" s="1"/>
  <c r="AA198" i="1"/>
  <c r="AA141" i="1"/>
  <c r="AA109" i="1"/>
  <c r="AA68" i="1"/>
  <c r="X38" i="1"/>
  <c r="W41" i="3"/>
  <c r="W18" i="3"/>
  <c r="W64" i="3"/>
  <c r="W61" i="3"/>
  <c r="W8" i="3"/>
  <c r="W29" i="3"/>
  <c r="W52" i="3"/>
  <c r="AA194" i="1"/>
  <c r="X211" i="1"/>
  <c r="X201" i="1"/>
  <c r="AA216" i="1"/>
  <c r="AA215" i="1"/>
  <c r="AA191" i="1"/>
  <c r="X187" i="1"/>
  <c r="AA180" i="1"/>
  <c r="T174" i="1"/>
  <c r="AA165" i="1"/>
  <c r="AA163" i="1"/>
  <c r="W163" i="1" s="1"/>
  <c r="AA151" i="1"/>
  <c r="AI151" i="1" s="1"/>
  <c r="AG200" i="1"/>
  <c r="W200" i="1" s="1"/>
  <c r="X200" i="1"/>
  <c r="AA150" i="1"/>
  <c r="AI150" i="1" s="1"/>
  <c r="AA149" i="1"/>
  <c r="AA131" i="1"/>
  <c r="W131" i="1" s="1"/>
  <c r="AA129" i="1"/>
  <c r="X126" i="1"/>
  <c r="X114" i="1"/>
  <c r="AG99" i="1"/>
  <c r="AA97" i="1"/>
  <c r="AI97" i="1" s="1"/>
  <c r="AA63" i="1"/>
  <c r="T47" i="1"/>
  <c r="AG32" i="1"/>
  <c r="U32" i="1" s="1"/>
  <c r="S32" i="1" s="1"/>
  <c r="T31" i="1"/>
  <c r="U31" i="1" s="1"/>
  <c r="S31" i="1" s="1"/>
  <c r="AA28" i="1"/>
  <c r="AG24" i="1"/>
  <c r="U24" i="1" s="1"/>
  <c r="AG21" i="1"/>
  <c r="T149" i="1"/>
  <c r="AG149" i="1"/>
  <c r="AI149" i="1" s="1"/>
  <c r="AA178" i="1"/>
  <c r="AG215" i="1"/>
  <c r="W215" i="1" s="1"/>
  <c r="X215" i="1"/>
  <c r="AA193" i="1"/>
  <c r="AA188" i="1"/>
  <c r="AG186" i="1"/>
  <c r="U186" i="1" s="1"/>
  <c r="S186" i="1" s="1"/>
  <c r="U174" i="1"/>
  <c r="S174" i="1" s="1"/>
  <c r="AA171" i="1"/>
  <c r="W171" i="1" s="1"/>
  <c r="T162" i="1"/>
  <c r="U162" i="1" s="1"/>
  <c r="S162" i="1" s="1"/>
  <c r="AA159" i="1"/>
  <c r="AI159" i="1" s="1"/>
  <c r="AA157" i="1"/>
  <c r="AG154" i="1"/>
  <c r="T154" i="1"/>
  <c r="T128" i="1"/>
  <c r="U128" i="1" s="1"/>
  <c r="S128" i="1" s="1"/>
  <c r="X128" i="1"/>
  <c r="AG128" i="1"/>
  <c r="AA90" i="1"/>
  <c r="W90" i="1" s="1"/>
  <c r="AI86" i="1"/>
  <c r="X85" i="1"/>
  <c r="T84" i="1"/>
  <c r="AG84" i="1"/>
  <c r="W84" i="1" s="1"/>
  <c r="X163" i="1"/>
  <c r="AA162" i="1"/>
  <c r="AA210" i="1"/>
  <c r="AA208" i="1"/>
  <c r="W208" i="1" s="1"/>
  <c r="AA100" i="1"/>
  <c r="W100" i="1" s="1"/>
  <c r="W92" i="1"/>
  <c r="AA70" i="1"/>
  <c r="AI70" i="1" s="1"/>
  <c r="W51" i="1"/>
  <c r="AI51" i="1"/>
  <c r="AG110" i="1"/>
  <c r="W110" i="1" s="1"/>
  <c r="X110" i="1"/>
  <c r="AG197" i="1"/>
  <c r="T197" i="1"/>
  <c r="AG207" i="1"/>
  <c r="U207" i="1" s="1"/>
  <c r="S207" i="1" s="1"/>
  <c r="X207" i="1"/>
  <c r="U190" i="1"/>
  <c r="S190" i="1" s="1"/>
  <c r="AG182" i="1"/>
  <c r="T182" i="1"/>
  <c r="AG210" i="1"/>
  <c r="AI121" i="1"/>
  <c r="AG69" i="1"/>
  <c r="X69" i="1"/>
  <c r="T56" i="1"/>
  <c r="X57" i="1"/>
  <c r="AG56" i="1"/>
  <c r="W56" i="1" s="1"/>
  <c r="T53" i="1"/>
  <c r="X53" i="1"/>
  <c r="AA113" i="1"/>
  <c r="AA64" i="1"/>
  <c r="W32" i="1"/>
  <c r="AA24" i="1"/>
  <c r="W24" i="1" s="1"/>
  <c r="AA205" i="1"/>
  <c r="AA204" i="1"/>
  <c r="AA195" i="1"/>
  <c r="AI195" i="1" s="1"/>
  <c r="AA184" i="1"/>
  <c r="AA183" i="1"/>
  <c r="W183" i="1" s="1"/>
  <c r="AA179" i="1"/>
  <c r="W179" i="1" s="1"/>
  <c r="X170" i="1"/>
  <c r="AA166" i="1"/>
  <c r="AA164" i="1"/>
  <c r="W164" i="1" s="1"/>
  <c r="AA155" i="1"/>
  <c r="W155" i="1" s="1"/>
  <c r="AA211" i="1"/>
  <c r="W211" i="1" s="1"/>
  <c r="AA199" i="1"/>
  <c r="AA147" i="1"/>
  <c r="W147" i="1" s="1"/>
  <c r="AA143" i="1"/>
  <c r="AA142" i="1"/>
  <c r="W142" i="1" s="1"/>
  <c r="AI137" i="1"/>
  <c r="AG125" i="1"/>
  <c r="U125" i="1" s="1"/>
  <c r="S125" i="1" s="1"/>
  <c r="AA124" i="1"/>
  <c r="AA123" i="1"/>
  <c r="AA122" i="1"/>
  <c r="AI122" i="1" s="1"/>
  <c r="AG117" i="1"/>
  <c r="AI117" i="1" s="1"/>
  <c r="AG113" i="1"/>
  <c r="X113" i="1"/>
  <c r="AA108" i="1"/>
  <c r="AI108" i="1" s="1"/>
  <c r="AA101" i="1"/>
  <c r="AA99" i="1"/>
  <c r="AA98" i="1"/>
  <c r="AA87" i="1"/>
  <c r="X80" i="1"/>
  <c r="AA79" i="1"/>
  <c r="X35" i="1"/>
  <c r="U34" i="1"/>
  <c r="S34" i="1" s="1"/>
  <c r="T27" i="1"/>
  <c r="X136" i="1"/>
  <c r="AA111" i="1"/>
  <c r="AA77" i="1"/>
  <c r="AI77" i="1" s="1"/>
  <c r="AA55" i="1"/>
  <c r="AA54" i="1"/>
  <c r="AI54" i="1" s="1"/>
  <c r="AA27" i="1"/>
  <c r="W27" i="1" s="1"/>
  <c r="AA21" i="1"/>
  <c r="AA18" i="1"/>
  <c r="AA45" i="1"/>
  <c r="AA44" i="1"/>
  <c r="W44" i="1" s="1"/>
  <c r="X37" i="1"/>
  <c r="AA35" i="1"/>
  <c r="W35" i="1" s="1"/>
  <c r="T35" i="1"/>
  <c r="U35" i="1" s="1"/>
  <c r="S35" i="1" s="1"/>
  <c r="AA30" i="1"/>
  <c r="W212" i="1"/>
  <c r="AI177" i="1"/>
  <c r="AG204" i="1"/>
  <c r="X204" i="1"/>
  <c r="AI134" i="1"/>
  <c r="W134" i="1"/>
  <c r="T215" i="1"/>
  <c r="U215" i="1" s="1"/>
  <c r="S215" i="1" s="1"/>
  <c r="AA197" i="1"/>
  <c r="AA182" i="1"/>
  <c r="W182" i="1" s="1"/>
  <c r="AG178" i="1"/>
  <c r="U178" i="1" s="1"/>
  <c r="AA174" i="1"/>
  <c r="W174" i="1" s="1"/>
  <c r="AA170" i="1"/>
  <c r="X167" i="1"/>
  <c r="AG166" i="1"/>
  <c r="U166" i="1" s="1"/>
  <c r="X159" i="1"/>
  <c r="AG158" i="1"/>
  <c r="U158" i="1" s="1"/>
  <c r="S158" i="1" s="1"/>
  <c r="AA154" i="1"/>
  <c r="W154" i="1" s="1"/>
  <c r="AA214" i="1"/>
  <c r="AA145" i="1"/>
  <c r="W145" i="1" s="1"/>
  <c r="AG144" i="1"/>
  <c r="U144" i="1" s="1"/>
  <c r="S144" i="1" s="1"/>
  <c r="X144" i="1"/>
  <c r="X142" i="1"/>
  <c r="AG141" i="1"/>
  <c r="U141" i="1" s="1"/>
  <c r="S141" i="1" s="1"/>
  <c r="X141" i="1"/>
  <c r="T137" i="1"/>
  <c r="AG133" i="1"/>
  <c r="W133" i="1" s="1"/>
  <c r="AG129" i="1"/>
  <c r="U129" i="1" s="1"/>
  <c r="S129" i="1" s="1"/>
  <c r="X129" i="1"/>
  <c r="AA119" i="1"/>
  <c r="W119" i="1" s="1"/>
  <c r="AG102" i="1"/>
  <c r="U102" i="1" s="1"/>
  <c r="S102" i="1" s="1"/>
  <c r="X102" i="1"/>
  <c r="U76" i="1"/>
  <c r="S76" i="1" s="1"/>
  <c r="U56" i="1"/>
  <c r="S56" i="1" s="1"/>
  <c r="AG194" i="1"/>
  <c r="U194" i="1" s="1"/>
  <c r="AA190" i="1"/>
  <c r="W190" i="1" s="1"/>
  <c r="T187" i="1"/>
  <c r="U187" i="1" s="1"/>
  <c r="S187" i="1" s="1"/>
  <c r="AA207" i="1"/>
  <c r="T195" i="1"/>
  <c r="U195" i="1" s="1"/>
  <c r="S195" i="1" s="1"/>
  <c r="AA192" i="1"/>
  <c r="X191" i="1"/>
  <c r="AA186" i="1"/>
  <c r="W186" i="1" s="1"/>
  <c r="X183" i="1"/>
  <c r="AA181" i="1"/>
  <c r="T179" i="1"/>
  <c r="U179" i="1" s="1"/>
  <c r="S179" i="1" s="1"/>
  <c r="AA176" i="1"/>
  <c r="X175" i="1"/>
  <c r="X171" i="1"/>
  <c r="AG170" i="1"/>
  <c r="U170" i="1" s="1"/>
  <c r="S170" i="1" s="1"/>
  <c r="X166" i="1"/>
  <c r="T163" i="1"/>
  <c r="X155" i="1"/>
  <c r="AA153" i="1"/>
  <c r="X151" i="1"/>
  <c r="AG214" i="1"/>
  <c r="W214" i="1" s="1"/>
  <c r="T211" i="1"/>
  <c r="AA146" i="1"/>
  <c r="X145" i="1"/>
  <c r="AA140" i="1"/>
  <c r="AA139" i="1"/>
  <c r="X138" i="1"/>
  <c r="W135" i="1"/>
  <c r="AA128" i="1"/>
  <c r="T126" i="1"/>
  <c r="U126" i="1" s="1"/>
  <c r="S126" i="1" s="1"/>
  <c r="X121" i="1"/>
  <c r="AA114" i="1"/>
  <c r="AI114" i="1" s="1"/>
  <c r="X103" i="1"/>
  <c r="AG103" i="1"/>
  <c r="AI103" i="1" s="1"/>
  <c r="AA103" i="1"/>
  <c r="AA169" i="1"/>
  <c r="AI169" i="1" s="1"/>
  <c r="T167" i="1"/>
  <c r="W162" i="1"/>
  <c r="AA161" i="1"/>
  <c r="T159" i="1"/>
  <c r="U159" i="1" s="1"/>
  <c r="S159" i="1" s="1"/>
  <c r="AA209" i="1"/>
  <c r="AA203" i="1"/>
  <c r="W203" i="1" s="1"/>
  <c r="AA202" i="1"/>
  <c r="W198" i="1"/>
  <c r="AA144" i="1"/>
  <c r="T142" i="1"/>
  <c r="U142" i="1" s="1"/>
  <c r="S142" i="1" s="1"/>
  <c r="X137" i="1"/>
  <c r="AA136" i="1"/>
  <c r="AA125" i="1"/>
  <c r="X92" i="1"/>
  <c r="T91" i="1"/>
  <c r="W38" i="1"/>
  <c r="T191" i="1"/>
  <c r="U191" i="1" s="1"/>
  <c r="S191" i="1" s="1"/>
  <c r="T183" i="1"/>
  <c r="U183" i="1" s="1"/>
  <c r="S183" i="1" s="1"/>
  <c r="W178" i="1"/>
  <c r="T175" i="1"/>
  <c r="U175" i="1" s="1"/>
  <c r="S175" i="1" s="1"/>
  <c r="T171" i="1"/>
  <c r="U171" i="1" s="1"/>
  <c r="S171" i="1" s="1"/>
  <c r="T155" i="1"/>
  <c r="U155" i="1" s="1"/>
  <c r="S155" i="1" s="1"/>
  <c r="T151" i="1"/>
  <c r="U151" i="1" s="1"/>
  <c r="S151" i="1" s="1"/>
  <c r="W137" i="1"/>
  <c r="W129" i="1"/>
  <c r="W86" i="1"/>
  <c r="T44" i="1"/>
  <c r="U44" i="1" s="1"/>
  <c r="S44" i="1" s="1"/>
  <c r="AA20" i="1"/>
  <c r="W20" i="1" s="1"/>
  <c r="T20" i="1"/>
  <c r="U20" i="1" s="1"/>
  <c r="S20" i="1" s="1"/>
  <c r="T80" i="1"/>
  <c r="X65" i="1"/>
  <c r="AG64" i="1"/>
  <c r="W64" i="1" s="1"/>
  <c r="AG62" i="1"/>
  <c r="W62" i="1" s="1"/>
  <c r="T61" i="1"/>
  <c r="AA42" i="1"/>
  <c r="T38" i="1"/>
  <c r="U38" i="1" s="1"/>
  <c r="S38" i="1" s="1"/>
  <c r="AA120" i="1"/>
  <c r="AA112" i="1"/>
  <c r="T110" i="1"/>
  <c r="AA104" i="1"/>
  <c r="T100" i="1"/>
  <c r="AA95" i="1"/>
  <c r="AA94" i="1"/>
  <c r="AI94" i="1" s="1"/>
  <c r="AA93" i="1"/>
  <c r="AA88" i="1"/>
  <c r="W88" i="1" s="1"/>
  <c r="AG87" i="1"/>
  <c r="AI87" i="1" s="1"/>
  <c r="X87" i="1"/>
  <c r="T85" i="1"/>
  <c r="U85" i="1" s="1"/>
  <c r="S85" i="1" s="1"/>
  <c r="X81" i="1"/>
  <c r="AG80" i="1"/>
  <c r="AG79" i="1"/>
  <c r="U79" i="1" s="1"/>
  <c r="S79" i="1" s="1"/>
  <c r="X79" i="1"/>
  <c r="AA74" i="1"/>
  <c r="W74" i="1" s="1"/>
  <c r="AA72" i="1"/>
  <c r="W72" i="1" s="1"/>
  <c r="AG71" i="1"/>
  <c r="X71" i="1"/>
  <c r="T69" i="1"/>
  <c r="AA60" i="1"/>
  <c r="W60" i="1" s="1"/>
  <c r="AA59" i="1"/>
  <c r="T57" i="1"/>
  <c r="U57" i="1" s="1"/>
  <c r="S57" i="1" s="1"/>
  <c r="AA47" i="1"/>
  <c r="W47" i="1" s="1"/>
  <c r="AG46" i="1"/>
  <c r="AI46" i="1" s="1"/>
  <c r="AG42" i="1"/>
  <c r="AA41" i="1"/>
  <c r="AA40" i="1"/>
  <c r="X39" i="1"/>
  <c r="AG38" i="1"/>
  <c r="AI38" i="1" s="1"/>
  <c r="AA36" i="1"/>
  <c r="W36" i="1" s="1"/>
  <c r="AA34" i="1"/>
  <c r="W34" i="1" s="1"/>
  <c r="AG30" i="1"/>
  <c r="W30" i="1" s="1"/>
  <c r="AG28" i="1"/>
  <c r="AA25" i="1"/>
  <c r="AG19" i="1"/>
  <c r="U19" i="1" s="1"/>
  <c r="S19" i="1" s="1"/>
  <c r="AG17" i="1"/>
  <c r="AI17" i="1" s="1"/>
  <c r="T114" i="1"/>
  <c r="U114" i="1" s="1"/>
  <c r="S114" i="1" s="1"/>
  <c r="X106" i="1"/>
  <c r="AA102" i="1"/>
  <c r="AI102" i="1" s="1"/>
  <c r="AA89" i="1"/>
  <c r="U88" i="1"/>
  <c r="S88" i="1" s="1"/>
  <c r="X88" i="1"/>
  <c r="AA82" i="1"/>
  <c r="T77" i="1"/>
  <c r="U77" i="1" s="1"/>
  <c r="S77" i="1" s="1"/>
  <c r="AA73" i="1"/>
  <c r="AI73" i="1" s="1"/>
  <c r="X72" i="1"/>
  <c r="AA66" i="1"/>
  <c r="AA65" i="1"/>
  <c r="T65" i="1"/>
  <c r="X61" i="1"/>
  <c r="U60" i="1"/>
  <c r="S60" i="1" s="1"/>
  <c r="U51" i="1"/>
  <c r="S51" i="1" s="1"/>
  <c r="AA48" i="1"/>
  <c r="U47" i="1"/>
  <c r="S47" i="1" s="1"/>
  <c r="AA37" i="1"/>
  <c r="AA33" i="1"/>
  <c r="AI32" i="1"/>
  <c r="AG26" i="1"/>
  <c r="W23" i="1"/>
  <c r="AA22" i="1"/>
  <c r="AI201" i="1"/>
  <c r="AI215" i="1"/>
  <c r="AG192" i="1"/>
  <c r="AI192" i="1" s="1"/>
  <c r="T192" i="1"/>
  <c r="X192" i="1"/>
  <c r="W177" i="1"/>
  <c r="T176" i="1"/>
  <c r="X176" i="1"/>
  <c r="AG176" i="1"/>
  <c r="T196" i="1"/>
  <c r="AG196" i="1"/>
  <c r="W206" i="1"/>
  <c r="T205" i="1"/>
  <c r="X205" i="1"/>
  <c r="AG205" i="1"/>
  <c r="W204" i="1"/>
  <c r="W185" i="1"/>
  <c r="T184" i="1"/>
  <c r="X184" i="1"/>
  <c r="AG184" i="1"/>
  <c r="AI184" i="1" s="1"/>
  <c r="T181" i="1"/>
  <c r="X181" i="1"/>
  <c r="S178" i="1"/>
  <c r="AI191" i="1"/>
  <c r="X178" i="1"/>
  <c r="W169" i="1"/>
  <c r="T168" i="1"/>
  <c r="X168" i="1"/>
  <c r="AG168" i="1"/>
  <c r="W167" i="1"/>
  <c r="T216" i="1"/>
  <c r="X216" i="1"/>
  <c r="AG216" i="1"/>
  <c r="T206" i="1"/>
  <c r="U206" i="1" s="1"/>
  <c r="S206" i="1" s="1"/>
  <c r="X206" i="1"/>
  <c r="U204" i="1"/>
  <c r="S204" i="1" s="1"/>
  <c r="AI210" i="1"/>
  <c r="AA189" i="1"/>
  <c r="W189" i="1" s="1"/>
  <c r="T188" i="1"/>
  <c r="X188" i="1"/>
  <c r="AG188" i="1"/>
  <c r="T185" i="1"/>
  <c r="U185" i="1" s="1"/>
  <c r="S185" i="1" s="1"/>
  <c r="X185" i="1"/>
  <c r="X182" i="1"/>
  <c r="AG181" i="1"/>
  <c r="W181" i="1" s="1"/>
  <c r="AA173" i="1"/>
  <c r="T172" i="1"/>
  <c r="X172" i="1"/>
  <c r="AG172" i="1"/>
  <c r="AI172" i="1" s="1"/>
  <c r="T169" i="1"/>
  <c r="X169" i="1"/>
  <c r="U167" i="1"/>
  <c r="S167" i="1" s="1"/>
  <c r="S166" i="1"/>
  <c r="AI179" i="1"/>
  <c r="U163" i="1"/>
  <c r="S163" i="1" s="1"/>
  <c r="W159" i="1"/>
  <c r="T157" i="1"/>
  <c r="X157" i="1"/>
  <c r="AG157" i="1"/>
  <c r="X158" i="1"/>
  <c r="W156" i="1"/>
  <c r="AI167" i="1"/>
  <c r="U211" i="1"/>
  <c r="S211" i="1" s="1"/>
  <c r="AG146" i="1"/>
  <c r="X146" i="1"/>
  <c r="T146" i="1"/>
  <c r="AI135" i="1"/>
  <c r="AI131" i="1"/>
  <c r="AG130" i="1"/>
  <c r="X130" i="1"/>
  <c r="T130" i="1"/>
  <c r="AI119" i="1"/>
  <c r="AI105" i="1"/>
  <c r="W105" i="1"/>
  <c r="AI99" i="1"/>
  <c r="U99" i="1"/>
  <c r="S99" i="1" s="1"/>
  <c r="W191" i="1"/>
  <c r="AI198" i="1"/>
  <c r="T173" i="1"/>
  <c r="X173" i="1"/>
  <c r="AI182" i="1"/>
  <c r="T139" i="1"/>
  <c r="X139" i="1"/>
  <c r="AG139" i="1"/>
  <c r="T123" i="1"/>
  <c r="X123" i="1"/>
  <c r="AG123" i="1"/>
  <c r="T193" i="1"/>
  <c r="X193" i="1"/>
  <c r="X190" i="1"/>
  <c r="T177" i="1"/>
  <c r="U177" i="1" s="1"/>
  <c r="S177" i="1" s="1"/>
  <c r="X177" i="1"/>
  <c r="AI188" i="1"/>
  <c r="AI187" i="1"/>
  <c r="X174" i="1"/>
  <c r="AG173" i="1"/>
  <c r="U169" i="1"/>
  <c r="S169" i="1" s="1"/>
  <c r="T165" i="1"/>
  <c r="X165" i="1"/>
  <c r="AG165" i="1"/>
  <c r="AI175" i="1"/>
  <c r="AI168" i="1"/>
  <c r="U214" i="1"/>
  <c r="S214" i="1" s="1"/>
  <c r="T213" i="1"/>
  <c r="X213" i="1"/>
  <c r="AG213" i="1"/>
  <c r="W213" i="1" s="1"/>
  <c r="X214" i="1"/>
  <c r="U200" i="1"/>
  <c r="S200" i="1" s="1"/>
  <c r="X148" i="1"/>
  <c r="AG148" i="1"/>
  <c r="X149" i="1"/>
  <c r="U137" i="1"/>
  <c r="S137" i="1" s="1"/>
  <c r="X132" i="1"/>
  <c r="AG132" i="1"/>
  <c r="X133" i="1"/>
  <c r="AI128" i="1"/>
  <c r="U121" i="1"/>
  <c r="S121" i="1" s="1"/>
  <c r="T116" i="1"/>
  <c r="X116" i="1"/>
  <c r="AG116" i="1"/>
  <c r="X117" i="1"/>
  <c r="AI112" i="1"/>
  <c r="T189" i="1"/>
  <c r="U189" i="1" s="1"/>
  <c r="S189" i="1" s="1"/>
  <c r="X189" i="1"/>
  <c r="T153" i="1"/>
  <c r="X153" i="1"/>
  <c r="AG153" i="1"/>
  <c r="X154" i="1"/>
  <c r="T202" i="1"/>
  <c r="X202" i="1"/>
  <c r="AG202" i="1"/>
  <c r="AI202" i="1" s="1"/>
  <c r="AG180" i="1"/>
  <c r="AI180" i="1" s="1"/>
  <c r="T180" i="1"/>
  <c r="X180" i="1"/>
  <c r="S194" i="1"/>
  <c r="AI206" i="1"/>
  <c r="AG193" i="1"/>
  <c r="W193" i="1" s="1"/>
  <c r="AG161" i="1"/>
  <c r="W161" i="1" s="1"/>
  <c r="X162" i="1"/>
  <c r="T161" i="1"/>
  <c r="X161" i="1"/>
  <c r="AI171" i="1"/>
  <c r="U210" i="1"/>
  <c r="S210" i="1" s="1"/>
  <c r="T209" i="1"/>
  <c r="X209" i="1"/>
  <c r="AG209" i="1"/>
  <c r="X210" i="1"/>
  <c r="W130" i="1"/>
  <c r="U113" i="1"/>
  <c r="S113" i="1" s="1"/>
  <c r="AG160" i="1"/>
  <c r="AI160" i="1" s="1"/>
  <c r="X164" i="1"/>
  <c r="T164" i="1"/>
  <c r="U164" i="1" s="1"/>
  <c r="S164" i="1" s="1"/>
  <c r="X160" i="1"/>
  <c r="X156" i="1"/>
  <c r="T156" i="1"/>
  <c r="U156" i="1" s="1"/>
  <c r="S156" i="1" s="1"/>
  <c r="X152" i="1"/>
  <c r="T152" i="1"/>
  <c r="U152" i="1" s="1"/>
  <c r="S152" i="1" s="1"/>
  <c r="X212" i="1"/>
  <c r="T212" i="1"/>
  <c r="U212" i="1" s="1"/>
  <c r="S212" i="1" s="1"/>
  <c r="X208" i="1"/>
  <c r="T208" i="1"/>
  <c r="U208" i="1" s="1"/>
  <c r="S208" i="1" s="1"/>
  <c r="AG203" i="1"/>
  <c r="X203" i="1"/>
  <c r="T201" i="1"/>
  <c r="U201" i="1" s="1"/>
  <c r="S201" i="1" s="1"/>
  <c r="T198" i="1"/>
  <c r="U198" i="1" s="1"/>
  <c r="S198" i="1" s="1"/>
  <c r="X150" i="1"/>
  <c r="AA148" i="1"/>
  <c r="AG140" i="1"/>
  <c r="W140" i="1" s="1"/>
  <c r="X140" i="1"/>
  <c r="T138" i="1"/>
  <c r="U138" i="1" s="1"/>
  <c r="S138" i="1" s="1"/>
  <c r="T135" i="1"/>
  <c r="U135" i="1" s="1"/>
  <c r="S135" i="1" s="1"/>
  <c r="X135" i="1"/>
  <c r="X134" i="1"/>
  <c r="AA132" i="1"/>
  <c r="AI126" i="1"/>
  <c r="AG124" i="1"/>
  <c r="W124" i="1" s="1"/>
  <c r="X124" i="1"/>
  <c r="T122" i="1"/>
  <c r="U122" i="1" s="1"/>
  <c r="S122" i="1" s="1"/>
  <c r="T119" i="1"/>
  <c r="U119" i="1" s="1"/>
  <c r="S119" i="1" s="1"/>
  <c r="X119" i="1"/>
  <c r="X118" i="1"/>
  <c r="AA116" i="1"/>
  <c r="AG115" i="1"/>
  <c r="T115" i="1"/>
  <c r="X115" i="1"/>
  <c r="T112" i="1"/>
  <c r="U112" i="1" s="1"/>
  <c r="S112" i="1" s="1"/>
  <c r="X112" i="1"/>
  <c r="X109" i="1"/>
  <c r="T101" i="1"/>
  <c r="X101" i="1"/>
  <c r="AG101" i="1"/>
  <c r="W99" i="1"/>
  <c r="X95" i="1"/>
  <c r="AG95" i="1"/>
  <c r="AG93" i="1"/>
  <c r="T93" i="1"/>
  <c r="X93" i="1"/>
  <c r="U87" i="1"/>
  <c r="S87" i="1" s="1"/>
  <c r="AI81" i="1"/>
  <c r="W81" i="1"/>
  <c r="W201" i="1"/>
  <c r="T199" i="1"/>
  <c r="T143" i="1"/>
  <c r="X143" i="1"/>
  <c r="W138" i="1"/>
  <c r="T136" i="1"/>
  <c r="T127" i="1"/>
  <c r="X127" i="1"/>
  <c r="T120" i="1"/>
  <c r="AG107" i="1"/>
  <c r="T107" i="1"/>
  <c r="X107" i="1"/>
  <c r="AG104" i="1"/>
  <c r="X104" i="1"/>
  <c r="AG89" i="1"/>
  <c r="X89" i="1"/>
  <c r="T89" i="1"/>
  <c r="AG199" i="1"/>
  <c r="T150" i="1"/>
  <c r="U150" i="1" s="1"/>
  <c r="S150" i="1" s="1"/>
  <c r="T147" i="1"/>
  <c r="U147" i="1" s="1"/>
  <c r="S147" i="1" s="1"/>
  <c r="X147" i="1"/>
  <c r="AG143" i="1"/>
  <c r="W143" i="1" s="1"/>
  <c r="AG136" i="1"/>
  <c r="T134" i="1"/>
  <c r="U134" i="1" s="1"/>
  <c r="S134" i="1" s="1"/>
  <c r="T131" i="1"/>
  <c r="U131" i="1" s="1"/>
  <c r="S131" i="1" s="1"/>
  <c r="X131" i="1"/>
  <c r="W128" i="1"/>
  <c r="AG127" i="1"/>
  <c r="AG120" i="1"/>
  <c r="T118" i="1"/>
  <c r="U118" i="1" s="1"/>
  <c r="S118" i="1" s="1"/>
  <c r="W112" i="1"/>
  <c r="AG111" i="1"/>
  <c r="T111" i="1"/>
  <c r="X111" i="1"/>
  <c r="T108" i="1"/>
  <c r="U108" i="1" s="1"/>
  <c r="S108" i="1" s="1"/>
  <c r="X108" i="1"/>
  <c r="AG106" i="1"/>
  <c r="AG91" i="1"/>
  <c r="X91" i="1"/>
  <c r="T82" i="1"/>
  <c r="X82" i="1"/>
  <c r="AG82" i="1"/>
  <c r="W82" i="1" s="1"/>
  <c r="AI74" i="1"/>
  <c r="W73" i="1"/>
  <c r="AA106" i="1"/>
  <c r="AI100" i="1"/>
  <c r="U100" i="1"/>
  <c r="S100" i="1" s="1"/>
  <c r="AG98" i="1"/>
  <c r="T97" i="1"/>
  <c r="T94" i="1"/>
  <c r="U94" i="1" s="1"/>
  <c r="S94" i="1" s="1"/>
  <c r="X94" i="1"/>
  <c r="AA91" i="1"/>
  <c r="AI88" i="1"/>
  <c r="AI85" i="1"/>
  <c r="AG83" i="1"/>
  <c r="X83" i="1"/>
  <c r="T81" i="1"/>
  <c r="U81" i="1" s="1"/>
  <c r="S81" i="1" s="1"/>
  <c r="T78" i="1"/>
  <c r="U78" i="1" s="1"/>
  <c r="S78" i="1" s="1"/>
  <c r="X78" i="1"/>
  <c r="X77" i="1"/>
  <c r="X76" i="1"/>
  <c r="AA75" i="1"/>
  <c r="AG67" i="1"/>
  <c r="X67" i="1"/>
  <c r="W65" i="1"/>
  <c r="W61" i="1"/>
  <c r="T59" i="1"/>
  <c r="X59" i="1"/>
  <c r="AG59" i="1"/>
  <c r="X60" i="1"/>
  <c r="W58" i="1"/>
  <c r="X50" i="1"/>
  <c r="AG50" i="1"/>
  <c r="X51" i="1"/>
  <c r="U46" i="1"/>
  <c r="S46" i="1" s="1"/>
  <c r="W42" i="1"/>
  <c r="S24" i="1"/>
  <c r="W77" i="1"/>
  <c r="T75" i="1"/>
  <c r="U68" i="1"/>
  <c r="S68" i="1" s="1"/>
  <c r="T66" i="1"/>
  <c r="X66" i="1"/>
  <c r="AI65" i="1"/>
  <c r="U65" i="1"/>
  <c r="S65" i="1" s="1"/>
  <c r="AI61" i="1"/>
  <c r="U61" i="1"/>
  <c r="S61" i="1" s="1"/>
  <c r="T55" i="1"/>
  <c r="X55" i="1"/>
  <c r="AG55" i="1"/>
  <c r="X56" i="1"/>
  <c r="AI42" i="1"/>
  <c r="T86" i="1"/>
  <c r="U86" i="1" s="1"/>
  <c r="S86" i="1" s="1"/>
  <c r="X86" i="1"/>
  <c r="X84" i="1"/>
  <c r="AA83" i="1"/>
  <c r="AG75" i="1"/>
  <c r="T73" i="1"/>
  <c r="U73" i="1" s="1"/>
  <c r="S73" i="1" s="1"/>
  <c r="T70" i="1"/>
  <c r="U70" i="1" s="1"/>
  <c r="S70" i="1" s="1"/>
  <c r="X70" i="1"/>
  <c r="X68" i="1"/>
  <c r="AA67" i="1"/>
  <c r="AG66" i="1"/>
  <c r="AI64" i="1"/>
  <c r="AI57" i="1"/>
  <c r="T50" i="1"/>
  <c r="AI49" i="1"/>
  <c r="AG48" i="1"/>
  <c r="X48" i="1"/>
  <c r="T48" i="1"/>
  <c r="AI36" i="1"/>
  <c r="AG29" i="1"/>
  <c r="X30" i="1"/>
  <c r="X29" i="1"/>
  <c r="T29" i="1"/>
  <c r="T105" i="1"/>
  <c r="U105" i="1" s="1"/>
  <c r="S105" i="1" s="1"/>
  <c r="X105" i="1"/>
  <c r="T90" i="1"/>
  <c r="U90" i="1" s="1"/>
  <c r="S90" i="1" s="1"/>
  <c r="X90" i="1"/>
  <c r="T74" i="1"/>
  <c r="U74" i="1" s="1"/>
  <c r="S74" i="1" s="1"/>
  <c r="X74" i="1"/>
  <c r="X73" i="1"/>
  <c r="T63" i="1"/>
  <c r="X63" i="1"/>
  <c r="AG63" i="1"/>
  <c r="X64" i="1"/>
  <c r="AI60" i="1"/>
  <c r="U42" i="1"/>
  <c r="S42" i="1" s="1"/>
  <c r="T40" i="1"/>
  <c r="X40" i="1"/>
  <c r="AG40" i="1"/>
  <c r="X62" i="1"/>
  <c r="X58" i="1"/>
  <c r="T58" i="1"/>
  <c r="U58" i="1" s="1"/>
  <c r="S58" i="1" s="1"/>
  <c r="X54" i="1"/>
  <c r="T54" i="1"/>
  <c r="U54" i="1" s="1"/>
  <c r="S54" i="1" s="1"/>
  <c r="AG53" i="1"/>
  <c r="X52" i="1"/>
  <c r="AA50" i="1"/>
  <c r="AI47" i="1"/>
  <c r="AI44" i="1"/>
  <c r="AG41" i="1"/>
  <c r="X41" i="1"/>
  <c r="T39" i="1"/>
  <c r="U39" i="1" s="1"/>
  <c r="S39" i="1" s="1"/>
  <c r="T36" i="1"/>
  <c r="U36" i="1" s="1"/>
  <c r="S36" i="1" s="1"/>
  <c r="X36" i="1"/>
  <c r="X31" i="1"/>
  <c r="AG25" i="1"/>
  <c r="T22" i="1"/>
  <c r="AG22" i="1"/>
  <c r="U21" i="1"/>
  <c r="S21" i="1" s="1"/>
  <c r="T18" i="1"/>
  <c r="AG18" i="1"/>
  <c r="T45" i="1"/>
  <c r="W39" i="1"/>
  <c r="T37" i="1"/>
  <c r="AG33" i="1"/>
  <c r="X34" i="1"/>
  <c r="U27" i="1"/>
  <c r="S27" i="1" s="1"/>
  <c r="AI15" i="1"/>
  <c r="U15" i="1"/>
  <c r="S15" i="1" s="1"/>
  <c r="T52" i="1"/>
  <c r="U52" i="1" s="1"/>
  <c r="S52" i="1" s="1"/>
  <c r="T49" i="1"/>
  <c r="U49" i="1" s="1"/>
  <c r="S49" i="1" s="1"/>
  <c r="X49" i="1"/>
  <c r="AG45" i="1"/>
  <c r="AG37" i="1"/>
  <c r="X33" i="1"/>
  <c r="AI31" i="1"/>
  <c r="S14" i="1"/>
  <c r="X32" i="1"/>
  <c r="X28" i="1"/>
  <c r="P59" i="3"/>
  <c r="Q63" i="3"/>
  <c r="P68" i="3"/>
  <c r="P57" i="3"/>
  <c r="P53" i="3"/>
  <c r="Q56" i="3"/>
  <c r="P51" i="3"/>
  <c r="Q59" i="3"/>
  <c r="P52" i="3"/>
  <c r="P67" i="3"/>
  <c r="Q30" i="3"/>
  <c r="Q51" i="3"/>
  <c r="P55" i="3"/>
  <c r="Q54" i="3"/>
  <c r="P58" i="3"/>
  <c r="P61" i="3"/>
  <c r="P62" i="3"/>
  <c r="P63" i="3"/>
  <c r="Q55" i="3"/>
  <c r="P54" i="3"/>
  <c r="Q66" i="3"/>
  <c r="P45" i="3"/>
  <c r="P32" i="3"/>
  <c r="Q10" i="3"/>
  <c r="Q32" i="3"/>
  <c r="P11" i="3"/>
  <c r="P60" i="3"/>
  <c r="Q58" i="3"/>
  <c r="Q25" i="3"/>
  <c r="Q15" i="3"/>
  <c r="Q11" i="3"/>
  <c r="Q65" i="3"/>
  <c r="Q45" i="3"/>
  <c r="P31" i="3"/>
  <c r="P28" i="3"/>
  <c r="P26" i="3"/>
  <c r="P35" i="3"/>
  <c r="P15" i="3"/>
  <c r="P65" i="3"/>
  <c r="W39" i="3"/>
  <c r="W23" i="3"/>
  <c r="W26" i="3"/>
  <c r="W51" i="3"/>
  <c r="W44" i="3"/>
  <c r="W12" i="3"/>
  <c r="W68" i="3"/>
  <c r="W22" i="3"/>
  <c r="W50" i="3"/>
  <c r="W37" i="3"/>
  <c r="W58" i="3"/>
  <c r="W30" i="3"/>
  <c r="W14" i="3"/>
  <c r="W10" i="3"/>
  <c r="W20" i="3"/>
  <c r="Q26" i="3"/>
  <c r="W49" i="3"/>
  <c r="W56" i="3"/>
  <c r="W48" i="3"/>
  <c r="W54" i="3"/>
  <c r="W15" i="3"/>
  <c r="W25" i="3"/>
  <c r="W28" i="3"/>
  <c r="W19" i="3"/>
  <c r="W11" i="3"/>
  <c r="W65" i="3"/>
  <c r="W60" i="3"/>
  <c r="W53" i="3"/>
  <c r="W9" i="3"/>
  <c r="W66" i="3"/>
  <c r="W13" i="3"/>
  <c r="W42" i="3"/>
  <c r="W38" i="3"/>
  <c r="L7" i="3"/>
  <c r="AI43" i="1" l="1"/>
  <c r="U43" i="1"/>
  <c r="S43" i="1" s="1"/>
  <c r="W43" i="1"/>
  <c r="U16" i="1"/>
  <c r="S16" i="1"/>
  <c r="AI16" i="1"/>
  <c r="W16" i="1"/>
  <c r="U64" i="1"/>
  <c r="S64" i="1" s="1"/>
  <c r="AI196" i="1"/>
  <c r="W150" i="1"/>
  <c r="AI129" i="1"/>
  <c r="W141" i="1"/>
  <c r="AI19" i="1"/>
  <c r="AI153" i="1"/>
  <c r="W207" i="1"/>
  <c r="W95" i="1"/>
  <c r="W78" i="1"/>
  <c r="AI154" i="1"/>
  <c r="AI113" i="1"/>
  <c r="AI197" i="1"/>
  <c r="AI21" i="1"/>
  <c r="W19" i="1"/>
  <c r="AI110" i="1"/>
  <c r="U92" i="1"/>
  <c r="S92" i="1" s="1"/>
  <c r="AI68" i="1"/>
  <c r="W46" i="1"/>
  <c r="AI27" i="1"/>
  <c r="U17" i="1"/>
  <c r="S17" i="1" s="1"/>
  <c r="W25" i="1"/>
  <c r="AI72" i="1"/>
  <c r="W106" i="1"/>
  <c r="W136" i="1"/>
  <c r="W93" i="1"/>
  <c r="AI142" i="1"/>
  <c r="AI164" i="1"/>
  <c r="W151" i="1"/>
  <c r="W114" i="1"/>
  <c r="W22" i="1"/>
  <c r="W59" i="1"/>
  <c r="AI71" i="1"/>
  <c r="W103" i="1"/>
  <c r="W170" i="1"/>
  <c r="W197" i="1"/>
  <c r="AI109" i="1"/>
  <c r="U97" i="1"/>
  <c r="S97" i="1" s="1"/>
  <c r="W146" i="1"/>
  <c r="W41" i="1"/>
  <c r="AI141" i="1"/>
  <c r="U103" i="1"/>
  <c r="S103" i="1" s="1"/>
  <c r="W195" i="1"/>
  <c r="AI190" i="1"/>
  <c r="W52" i="1"/>
  <c r="AI28" i="1"/>
  <c r="W76" i="1"/>
  <c r="W144" i="1"/>
  <c r="W87" i="1"/>
  <c r="W166" i="1"/>
  <c r="U30" i="1"/>
  <c r="S30" i="1" s="1"/>
  <c r="W66" i="1"/>
  <c r="W97" i="1"/>
  <c r="W68" i="1"/>
  <c r="W14" i="1"/>
  <c r="W210" i="1"/>
  <c r="AI20" i="1"/>
  <c r="AI24" i="1"/>
  <c r="AI35" i="1"/>
  <c r="AI30" i="1"/>
  <c r="W67" i="1"/>
  <c r="W113" i="1"/>
  <c r="AI144" i="1"/>
  <c r="AI165" i="1"/>
  <c r="W139" i="1"/>
  <c r="W94" i="1"/>
  <c r="W109" i="1"/>
  <c r="W158" i="1"/>
  <c r="AI96" i="1"/>
  <c r="W21" i="1"/>
  <c r="AI211" i="1"/>
  <c r="AI84" i="1"/>
  <c r="W108" i="1"/>
  <c r="AI145" i="1"/>
  <c r="AI209" i="1"/>
  <c r="AI176" i="1"/>
  <c r="U84" i="1"/>
  <c r="S84" i="1" s="1"/>
  <c r="U71" i="1"/>
  <c r="S71" i="1" s="1"/>
  <c r="AI199" i="1"/>
  <c r="W122" i="1"/>
  <c r="W123" i="1"/>
  <c r="AI163" i="1"/>
  <c r="U96" i="1"/>
  <c r="S96" i="1" s="1"/>
  <c r="U69" i="1"/>
  <c r="S69" i="1" s="1"/>
  <c r="U197" i="1"/>
  <c r="S197" i="1" s="1"/>
  <c r="W157" i="1"/>
  <c r="W45" i="1"/>
  <c r="W71" i="1"/>
  <c r="W102" i="1"/>
  <c r="AI56" i="1"/>
  <c r="AI69" i="1"/>
  <c r="W91" i="1"/>
  <c r="U110" i="1"/>
  <c r="S110" i="1" s="1"/>
  <c r="AI203" i="1"/>
  <c r="AI161" i="1"/>
  <c r="AI90" i="1"/>
  <c r="AI147" i="1"/>
  <c r="AI157" i="1"/>
  <c r="AI183" i="1"/>
  <c r="U28" i="1"/>
  <c r="S28" i="1" s="1"/>
  <c r="U117" i="1"/>
  <c r="S117" i="1" s="1"/>
  <c r="AI207" i="1"/>
  <c r="W69" i="1"/>
  <c r="U154" i="1"/>
  <c r="S154" i="1" s="1"/>
  <c r="AI79" i="1"/>
  <c r="W148" i="1"/>
  <c r="AI214" i="1"/>
  <c r="W79" i="1"/>
  <c r="W54" i="1"/>
  <c r="W125" i="1"/>
  <c r="W117" i="1"/>
  <c r="U182" i="1"/>
  <c r="S182" i="1" s="1"/>
  <c r="W149" i="1"/>
  <c r="AI34" i="1"/>
  <c r="AI125" i="1"/>
  <c r="W70" i="1"/>
  <c r="U149" i="1"/>
  <c r="S149" i="1" s="1"/>
  <c r="W83" i="1"/>
  <c r="AI213" i="1"/>
  <c r="U26" i="1"/>
  <c r="S26" i="1" s="1"/>
  <c r="AI26" i="1"/>
  <c r="U80" i="1"/>
  <c r="S80" i="1" s="1"/>
  <c r="AI80" i="1"/>
  <c r="U62" i="1"/>
  <c r="S62" i="1" s="1"/>
  <c r="AI62" i="1"/>
  <c r="W153" i="1"/>
  <c r="W17" i="1"/>
  <c r="W194" i="1"/>
  <c r="W26" i="1"/>
  <c r="W80" i="1"/>
  <c r="W28" i="1"/>
  <c r="U133" i="1"/>
  <c r="S133" i="1" s="1"/>
  <c r="AI133" i="1"/>
  <c r="AI37" i="1"/>
  <c r="U37" i="1"/>
  <c r="S37" i="1" s="1"/>
  <c r="U29" i="1"/>
  <c r="S29" i="1" s="1"/>
  <c r="AI29" i="1"/>
  <c r="U18" i="1"/>
  <c r="S18" i="1" s="1"/>
  <c r="AI18" i="1"/>
  <c r="W29" i="1"/>
  <c r="U63" i="1"/>
  <c r="S63" i="1" s="1"/>
  <c r="AI63" i="1"/>
  <c r="AI75" i="1"/>
  <c r="U75" i="1"/>
  <c r="S75" i="1" s="1"/>
  <c r="U59" i="1"/>
  <c r="S59" i="1" s="1"/>
  <c r="AI59" i="1"/>
  <c r="S91" i="1"/>
  <c r="AI91" i="1"/>
  <c r="U91" i="1"/>
  <c r="AI106" i="1"/>
  <c r="U106" i="1"/>
  <c r="S106" i="1" s="1"/>
  <c r="AI120" i="1"/>
  <c r="U120" i="1"/>
  <c r="S120" i="1" s="1"/>
  <c r="U104" i="1"/>
  <c r="S104" i="1" s="1"/>
  <c r="AI104" i="1"/>
  <c r="W116" i="1"/>
  <c r="U203" i="1"/>
  <c r="S203" i="1" s="1"/>
  <c r="AI156" i="1"/>
  <c r="U160" i="1"/>
  <c r="S160" i="1" s="1"/>
  <c r="W160" i="1"/>
  <c r="AI173" i="1"/>
  <c r="W120" i="1"/>
  <c r="U161" i="1"/>
  <c r="S161" i="1" s="1"/>
  <c r="AI174" i="1"/>
  <c r="AI155" i="1"/>
  <c r="U202" i="1"/>
  <c r="S202" i="1" s="1"/>
  <c r="W104" i="1"/>
  <c r="AI148" i="1"/>
  <c r="U148" i="1"/>
  <c r="S148" i="1" s="1"/>
  <c r="U165" i="1"/>
  <c r="S165" i="1"/>
  <c r="AI178" i="1"/>
  <c r="AI186" i="1"/>
  <c r="U173" i="1"/>
  <c r="S173" i="1" s="1"/>
  <c r="W165" i="1"/>
  <c r="U146" i="1"/>
  <c r="S146" i="1" s="1"/>
  <c r="AI146" i="1"/>
  <c r="W173" i="1"/>
  <c r="U176" i="1"/>
  <c r="S176" i="1" s="1"/>
  <c r="AI189" i="1"/>
  <c r="U192" i="1"/>
  <c r="S192" i="1" s="1"/>
  <c r="AI204" i="1"/>
  <c r="W176" i="1"/>
  <c r="U22" i="1"/>
  <c r="S22" i="1" s="1"/>
  <c r="AI22" i="1"/>
  <c r="AI53" i="1"/>
  <c r="U53" i="1"/>
  <c r="S53" i="1" s="1"/>
  <c r="U55" i="1"/>
  <c r="S55" i="1" s="1"/>
  <c r="AI55" i="1"/>
  <c r="AI98" i="1"/>
  <c r="U98" i="1"/>
  <c r="S98" i="1" s="1"/>
  <c r="U111" i="1"/>
  <c r="S111" i="1" s="1"/>
  <c r="AI111" i="1"/>
  <c r="W111" i="1"/>
  <c r="U93" i="1"/>
  <c r="S93" i="1" s="1"/>
  <c r="AI93" i="1"/>
  <c r="AI140" i="1"/>
  <c r="U140" i="1"/>
  <c r="S140" i="1" s="1"/>
  <c r="U209" i="1"/>
  <c r="S209" i="1" s="1"/>
  <c r="AI158" i="1"/>
  <c r="W18" i="1"/>
  <c r="AI67" i="1"/>
  <c r="U67" i="1"/>
  <c r="S67" i="1" s="1"/>
  <c r="U127" i="1"/>
  <c r="S127" i="1" s="1"/>
  <c r="AI127" i="1"/>
  <c r="AI152" i="1"/>
  <c r="U199" i="1"/>
  <c r="S199" i="1" s="1"/>
  <c r="AI95" i="1"/>
  <c r="U95" i="1"/>
  <c r="S95" i="1" s="1"/>
  <c r="U101" i="1"/>
  <c r="S101" i="1" s="1"/>
  <c r="AI101" i="1"/>
  <c r="W199" i="1"/>
  <c r="AI205" i="1"/>
  <c r="U193" i="1"/>
  <c r="S193" i="1" s="1"/>
  <c r="U153" i="1"/>
  <c r="S153" i="1" s="1"/>
  <c r="AI166" i="1"/>
  <c r="AI139" i="1"/>
  <c r="U139" i="1"/>
  <c r="S139" i="1" s="1"/>
  <c r="W202" i="1"/>
  <c r="U157" i="1"/>
  <c r="S157" i="1" s="1"/>
  <c r="AI170" i="1"/>
  <c r="AI194" i="1"/>
  <c r="U181" i="1"/>
  <c r="S181" i="1" s="1"/>
  <c r="AI40" i="1"/>
  <c r="U40" i="1"/>
  <c r="S40" i="1" s="1"/>
  <c r="U66" i="1"/>
  <c r="S66" i="1" s="1"/>
  <c r="AI66" i="1"/>
  <c r="AI50" i="1"/>
  <c r="U50" i="1"/>
  <c r="S50" i="1" s="1"/>
  <c r="U143" i="1"/>
  <c r="S143" i="1" s="1"/>
  <c r="AI143" i="1"/>
  <c r="W98" i="1"/>
  <c r="U107" i="1"/>
  <c r="S107" i="1"/>
  <c r="AI107" i="1"/>
  <c r="AI116" i="1"/>
  <c r="U116" i="1"/>
  <c r="S116" i="1" s="1"/>
  <c r="AI132" i="1"/>
  <c r="U132" i="1"/>
  <c r="S132" i="1" s="1"/>
  <c r="U172" i="1"/>
  <c r="S172" i="1" s="1"/>
  <c r="W172" i="1"/>
  <c r="AI185" i="1"/>
  <c r="U205" i="1"/>
  <c r="S205" i="1" s="1"/>
  <c r="W205" i="1"/>
  <c r="AI212" i="1"/>
  <c r="W107" i="1"/>
  <c r="AI41" i="1"/>
  <c r="U41" i="1"/>
  <c r="S41" i="1" s="1"/>
  <c r="U48" i="1"/>
  <c r="S48" i="1" s="1"/>
  <c r="AI48" i="1"/>
  <c r="W63" i="1"/>
  <c r="U89" i="1"/>
  <c r="S89" i="1" s="1"/>
  <c r="AI89" i="1"/>
  <c r="S124" i="1"/>
  <c r="AI124" i="1"/>
  <c r="U124" i="1"/>
  <c r="U45" i="1"/>
  <c r="S45" i="1" s="1"/>
  <c r="AI45" i="1"/>
  <c r="U33" i="1"/>
  <c r="S33" i="1" s="1"/>
  <c r="AI33" i="1"/>
  <c r="U25" i="1"/>
  <c r="S25" i="1" s="1"/>
  <c r="AI25" i="1"/>
  <c r="W50" i="1"/>
  <c r="W33" i="1"/>
  <c r="W40" i="1"/>
  <c r="W53" i="1"/>
  <c r="W37" i="1"/>
  <c r="W48" i="1"/>
  <c r="W55" i="1"/>
  <c r="W75" i="1"/>
  <c r="AI83" i="1"/>
  <c r="U83" i="1"/>
  <c r="S83" i="1" s="1"/>
  <c r="AI82" i="1"/>
  <c r="U82" i="1"/>
  <c r="S82" i="1" s="1"/>
  <c r="W101" i="1"/>
  <c r="AI136" i="1"/>
  <c r="U136" i="1"/>
  <c r="S136" i="1" s="1"/>
  <c r="U115" i="1"/>
  <c r="S115" i="1" s="1"/>
  <c r="W115" i="1"/>
  <c r="AI115" i="1"/>
  <c r="W132" i="1"/>
  <c r="W127" i="1"/>
  <c r="U180" i="1"/>
  <c r="S180" i="1" s="1"/>
  <c r="AI193" i="1"/>
  <c r="W89" i="1"/>
  <c r="W209" i="1"/>
  <c r="AI162" i="1"/>
  <c r="U213" i="1"/>
  <c r="S213" i="1" s="1"/>
  <c r="AI123" i="1"/>
  <c r="U123" i="1"/>
  <c r="S123" i="1" s="1"/>
  <c r="U130" i="1"/>
  <c r="S130" i="1" s="1"/>
  <c r="AI130" i="1"/>
  <c r="U188" i="1"/>
  <c r="S188" i="1"/>
  <c r="AI200" i="1"/>
  <c r="W188" i="1"/>
  <c r="U216" i="1"/>
  <c r="S216" i="1"/>
  <c r="AI216" i="1"/>
  <c r="W216" i="1"/>
  <c r="U168" i="1"/>
  <c r="S168" i="1"/>
  <c r="AI181" i="1"/>
  <c r="W168" i="1"/>
  <c r="U184" i="1"/>
  <c r="S184" i="1" s="1"/>
  <c r="W184" i="1"/>
  <c r="U196" i="1"/>
  <c r="S196" i="1" s="1"/>
  <c r="AI208" i="1"/>
  <c r="W196" i="1"/>
  <c r="W180" i="1"/>
  <c r="W192" i="1"/>
  <c r="F3" i="6" l="1"/>
  <c r="G3" i="6"/>
  <c r="H3" i="6"/>
  <c r="I3" i="6"/>
  <c r="F4" i="6"/>
  <c r="G4" i="6"/>
  <c r="H4" i="6"/>
  <c r="I4" i="6"/>
  <c r="F5" i="6"/>
  <c r="G5" i="6"/>
  <c r="H5" i="6"/>
  <c r="I5" i="6"/>
  <c r="F6" i="6"/>
  <c r="G6" i="6"/>
  <c r="H6" i="6"/>
  <c r="I6" i="6"/>
  <c r="F7" i="6"/>
  <c r="G7" i="6"/>
  <c r="H7" i="6"/>
  <c r="I7" i="6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M26" i="5"/>
  <c r="AH14" i="1" l="1"/>
  <c r="AH23" i="1"/>
  <c r="AH25" i="1"/>
  <c r="AH26" i="1"/>
  <c r="AH27" i="1"/>
  <c r="AH28" i="1"/>
  <c r="AH29" i="1"/>
  <c r="AH30" i="1"/>
  <c r="AH44" i="1"/>
  <c r="AH45" i="1"/>
  <c r="AH46" i="1"/>
  <c r="AH57" i="1"/>
  <c r="AH58" i="1"/>
  <c r="AH59" i="1"/>
  <c r="AH71" i="1"/>
  <c r="AH76" i="1"/>
  <c r="AH78" i="1"/>
  <c r="AH103" i="1"/>
  <c r="AH108" i="1"/>
  <c r="AH119" i="1"/>
  <c r="AH140" i="1"/>
  <c r="AH153" i="1"/>
  <c r="AH176" i="1"/>
  <c r="AH186" i="1"/>
  <c r="AH15" i="1"/>
  <c r="AH17" i="1"/>
  <c r="AH34" i="1"/>
  <c r="AH35" i="1"/>
  <c r="AH36" i="1"/>
  <c r="AH37" i="1"/>
  <c r="AH38" i="1"/>
  <c r="AH39" i="1"/>
  <c r="AH47" i="1"/>
  <c r="AH48" i="1"/>
  <c r="AH51" i="1"/>
  <c r="AH60" i="1"/>
  <c r="AH72" i="1"/>
  <c r="AH73" i="1"/>
  <c r="AH79" i="1"/>
  <c r="AH80" i="1"/>
  <c r="AH81" i="1"/>
  <c r="AH82" i="1"/>
  <c r="AH83" i="1"/>
  <c r="AH84" i="1"/>
  <c r="AH88" i="1"/>
  <c r="AH89" i="1"/>
  <c r="AH90" i="1"/>
  <c r="AH91" i="1"/>
  <c r="AH93" i="1"/>
  <c r="AH94" i="1"/>
  <c r="AH95" i="1"/>
  <c r="AH109" i="1"/>
  <c r="AH110" i="1"/>
  <c r="AH111" i="1"/>
  <c r="AH121" i="1"/>
  <c r="AH126" i="1"/>
  <c r="AH142" i="1"/>
  <c r="AH144" i="1"/>
  <c r="AH154" i="1"/>
  <c r="AH174" i="1"/>
  <c r="AH177" i="1"/>
  <c r="AH192" i="1"/>
  <c r="AH21" i="1"/>
  <c r="AH22" i="1"/>
  <c r="AH24" i="1"/>
  <c r="AH32" i="1"/>
  <c r="AH33" i="1"/>
  <c r="AH42" i="1"/>
  <c r="AH49" i="1"/>
  <c r="AH50" i="1"/>
  <c r="AH52" i="1"/>
  <c r="AH53" i="1"/>
  <c r="AH54" i="1"/>
  <c r="AH55" i="1"/>
  <c r="AH56" i="1"/>
  <c r="AH68" i="1"/>
  <c r="AH69" i="1"/>
  <c r="AH70" i="1"/>
  <c r="AH87" i="1"/>
  <c r="AH92" i="1"/>
  <c r="AH96" i="1"/>
  <c r="AH100" i="1"/>
  <c r="AH101" i="1"/>
  <c r="AH102" i="1"/>
  <c r="AH112" i="1"/>
  <c r="AH113" i="1"/>
  <c r="AH125" i="1"/>
  <c r="AH130" i="1"/>
  <c r="AH131" i="1"/>
  <c r="AH132" i="1"/>
  <c r="AH133" i="1"/>
  <c r="AH134" i="1"/>
  <c r="AH135" i="1"/>
  <c r="AH136" i="1"/>
  <c r="AH145" i="1"/>
  <c r="AH146" i="1"/>
  <c r="AH160" i="1"/>
  <c r="AH161" i="1"/>
  <c r="AH168" i="1"/>
  <c r="AH169" i="1"/>
  <c r="AH170" i="1"/>
  <c r="AH171" i="1"/>
  <c r="AH172" i="1"/>
  <c r="AH180" i="1"/>
  <c r="AH181" i="1"/>
  <c r="AH182" i="1"/>
  <c r="AH188" i="1"/>
  <c r="AH189" i="1"/>
  <c r="AH190" i="1"/>
  <c r="AH191" i="1"/>
  <c r="AH196" i="1"/>
  <c r="AH199" i="1"/>
  <c r="AH200" i="1"/>
  <c r="AH201" i="1"/>
  <c r="AH211" i="1"/>
  <c r="AH77" i="1"/>
  <c r="AH97" i="1"/>
  <c r="AH98" i="1"/>
  <c r="AH104" i="1"/>
  <c r="AH105" i="1"/>
  <c r="AH106" i="1"/>
  <c r="AH107" i="1"/>
  <c r="AH114" i="1"/>
  <c r="AH118" i="1"/>
  <c r="AH120" i="1"/>
  <c r="AH137" i="1"/>
  <c r="AH138" i="1"/>
  <c r="AH139" i="1"/>
  <c r="AH141" i="1"/>
  <c r="AH147" i="1"/>
  <c r="AH162" i="1"/>
  <c r="AH163" i="1"/>
  <c r="AH164" i="1"/>
  <c r="AH183" i="1"/>
  <c r="AH197" i="1"/>
  <c r="AH202" i="1"/>
  <c r="AH203" i="1"/>
  <c r="AH212" i="1"/>
  <c r="AH143" i="1"/>
  <c r="AH148" i="1"/>
  <c r="AH149" i="1"/>
  <c r="AH165" i="1"/>
  <c r="AH173" i="1"/>
  <c r="AH175" i="1"/>
  <c r="AH184" i="1"/>
  <c r="AH185" i="1"/>
  <c r="AH31" i="1"/>
  <c r="AH40" i="1"/>
  <c r="AH41" i="1"/>
  <c r="AH74" i="1"/>
  <c r="AH75" i="1"/>
  <c r="AH187" i="1"/>
  <c r="AH213" i="1"/>
  <c r="AH214" i="1"/>
  <c r="AH215" i="1"/>
  <c r="AH216" i="1"/>
  <c r="AH151" i="1"/>
  <c r="AH166" i="1"/>
  <c r="AH61" i="1"/>
  <c r="AH63" i="1"/>
  <c r="AH67" i="1"/>
  <c r="AH205" i="1"/>
  <c r="AH127" i="1"/>
  <c r="AH128" i="1"/>
  <c r="AH129" i="1"/>
  <c r="AH150" i="1"/>
  <c r="AH152" i="1"/>
  <c r="AH167" i="1"/>
  <c r="AH62" i="1"/>
  <c r="AH64" i="1"/>
  <c r="AH99" i="1"/>
  <c r="AH206" i="1"/>
  <c r="AH18" i="1"/>
  <c r="AH19" i="1"/>
  <c r="AH20" i="1"/>
  <c r="AH85" i="1"/>
  <c r="AH86" i="1"/>
  <c r="AH115" i="1"/>
  <c r="AH116" i="1"/>
  <c r="AH117" i="1"/>
  <c r="AH122" i="1"/>
  <c r="AH123" i="1"/>
  <c r="AH124" i="1"/>
  <c r="AH155" i="1"/>
  <c r="AH156" i="1"/>
  <c r="AH157" i="1"/>
  <c r="AH158" i="1"/>
  <c r="AH159" i="1"/>
  <c r="AH178" i="1"/>
  <c r="AH179" i="1"/>
  <c r="AH194" i="1"/>
  <c r="AH195" i="1"/>
  <c r="AH198" i="1"/>
  <c r="AH207" i="1"/>
  <c r="AH208" i="1"/>
  <c r="AH209" i="1"/>
  <c r="AH210" i="1"/>
  <c r="AH65" i="1"/>
  <c r="AH66" i="1"/>
  <c r="AH193" i="1"/>
  <c r="AH204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<sst xmlns="http://schemas.openxmlformats.org/spreadsheetml/2006/main" count="2217" uniqueCount="752">
  <si>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</si>
  <si>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</si>
  <si>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</si>
  <si>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</si>
  <si>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</si>
  <si>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</si>
  <si>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</si>
  <si>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</si>
  <si>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</si>
  <si>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</si>
  <si>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</si>
  <si>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</si>
  <si>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</si>
  <si>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</si>
  <si>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</si>
  <si>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</si>
  <si>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</si>
  <si>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</si>
  <si>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</si>
  <si>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</si>
  <si>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</si>
  <si>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</si>
  <si>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</si>
  <si>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</si>
  <si>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</si>
  <si>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</si>
  <si>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</si>
  <si>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</si>
  <si>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</si>
  <si>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</si>
  <si>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</si>
  <si>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</si>
  <si>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</si>
  <si>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</si>
  <si>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</si>
  <si>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</si>
  <si>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</si>
  <si>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</si>
  <si>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</si>
  <si>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</si>
  <si>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</si>
  <si>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</si>
  <si>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</si>
  <si>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</si>
  <si>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</si>
  <si>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</si>
  <si>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</si>
  <si>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</si>
  <si>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</si>
  <si>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</si>
  <si>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</si>
  <si>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</si>
  <si>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</si>
  <si>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</si>
  <si>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</si>
  <si>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</si>
  <si>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</si>
  <si>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</si>
  <si>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</si>
  <si>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</si>
  <si>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</si>
  <si>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</si>
  <si>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</si>
  <si>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</si>
  <si>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</si>
  <si>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</si>
  <si>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</si>
  <si>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</si>
  <si>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</si>
  <si>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</si>
  <si>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</si>
  <si>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</si>
  <si>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</si>
  <si>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</si>
  <si>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</si>
  <si>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</si>
  <si>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</si>
  <si>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</si>
  <si>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</si>
  <si>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</si>
  <si>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</si>
  <si>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</si>
  <si>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</si>
  <si>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</si>
  <si>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</si>
  <si>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</si>
  <si>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</si>
  <si>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</si>
  <si>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</si>
  <si>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</si>
  <si>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</si>
  <si>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</si>
  <si>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</si>
  <si>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</si>
  <si>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</si>
  <si>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</si>
  <si>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</si>
  <si>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</si>
  <si>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</si>
  <si>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</si>
  <si>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</si>
  <si>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</si>
  <si>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</si>
  <si>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</si>
  <si>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</si>
  <si>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</si>
  <si>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</si>
  <si>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</si>
  <si>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</si>
  <si>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</si>
  <si>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</si>
  <si>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</si>
  <si>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</si>
  <si>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</si>
  <si>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</si>
  <si>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</si>
  <si>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</si>
  <si>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</si>
  <si>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</si>
  <si>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</si>
  <si>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</si>
  <si>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</si>
  <si>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</si>
  <si>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</si>
  <si>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</si>
  <si>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</si>
  <si>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</si>
  <si>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</si>
  <si>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</si>
  <si>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</si>
  <si>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</si>
  <si>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</si>
  <si>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</si>
  <si>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</si>
  <si>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</si>
  <si>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</si>
  <si>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</si>
  <si>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</si>
  <si>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204:467</t>
  </si>
  <si>
    <t>LEVIN</t>
  </si>
  <si>
    <t>204:457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</si>
  <si>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</si>
  <si>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</si>
  <si>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</si>
  <si>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</si>
  <si>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</si>
  <si>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</si>
  <si>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rtdc.l.rtdc.4042:itc</t>
  </si>
  <si>
    <t>rtdc.l.rtdc.4038:itc</t>
  </si>
  <si>
    <t>204:156</t>
  </si>
  <si>
    <t>204:451</t>
  </si>
  <si>
    <t>204:233291</t>
  </si>
  <si>
    <t>204:154</t>
  </si>
  <si>
    <t>236-12</t>
  </si>
  <si>
    <t>238-12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</si>
  <si>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</si>
  <si>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</si>
  <si>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</si>
  <si>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</si>
  <si>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</si>
  <si>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</si>
  <si>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</si>
  <si>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</si>
  <si>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</si>
  <si>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</si>
  <si>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YANAI</t>
  </si>
  <si>
    <t>313-12</t>
  </si>
  <si>
    <t>204:152</t>
  </si>
  <si>
    <t>rtdc.l.rtdc.4009:itc</t>
  </si>
  <si>
    <t>rtdc.l.rtdc.4010:itc</t>
  </si>
  <si>
    <t>CHANDLER</t>
  </si>
  <si>
    <t>204:471</t>
  </si>
  <si>
    <t>rtdc.l.rtdc.4002:itc</t>
  </si>
  <si>
    <t>:.+((SYSTEM_STATE.+slice.+state.+changed )|(ment ac)|(system.+state.+changed )|(\|lc)|(penalty)|(\[timeout)|(PRM\|1\|D)|(kpr)|(kdp))</t>
  </si>
  <si>
    <t>204:145</t>
  </si>
  <si>
    <t>204:447</t>
  </si>
  <si>
    <t>rtdc.l.rtdc.4041:itc</t>
  </si>
  <si>
    <t>204:160</t>
  </si>
  <si>
    <t>204:233293</t>
  </si>
  <si>
    <t>rtdc.l.rtdc.4003:itc</t>
  </si>
  <si>
    <t>204:460</t>
  </si>
  <si>
    <t>204:139</t>
  </si>
  <si>
    <t>HAITHCOX</t>
  </si>
  <si>
    <t>204:232989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</si>
  <si>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</si>
  <si>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</si>
  <si>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</si>
  <si>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</si>
  <si>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</si>
  <si>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</si>
  <si>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</si>
  <si>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</si>
  <si>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</si>
  <si>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</si>
  <si>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</si>
  <si>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</si>
  <si>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</si>
  <si>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</si>
  <si>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</si>
  <si>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</si>
  <si>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</si>
  <si>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</si>
  <si>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</si>
  <si>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</si>
  <si>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</si>
  <si>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</si>
  <si>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</si>
  <si>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</si>
  <si>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</si>
  <si>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</si>
  <si>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</si>
  <si>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</si>
  <si>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</si>
  <si>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</si>
  <si>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</si>
  <si>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</si>
  <si>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</si>
  <si>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</si>
  <si>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</si>
  <si>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</si>
  <si>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204:232980</t>
  </si>
  <si>
    <t>204:232977</t>
  </si>
  <si>
    <t>From 08-24-2016 13:14:05.327 until 13:28:22.128, 61st 2S should have been clear (controls sent to it the entire time was CLEAR). However, it cycled back and forth between PROCEED CAB and STOP. Any ideas why?</t>
  </si>
  <si>
    <t>204:438</t>
  </si>
  <si>
    <t>rtdc.l.rtdc.4019:itc</t>
  </si>
  <si>
    <t>rtdc.l.rtdc.4020:itc</t>
  </si>
  <si>
    <t>Output Refined Run Times to File?</t>
  </si>
  <si>
    <t>RefinedRTDCRunTimesOutputFile</t>
  </si>
  <si>
    <t>rtdc.l.rtdc.4040:itc</t>
  </si>
  <si>
    <t>rtdc.l.rtdc.4039:itc</t>
  </si>
  <si>
    <t>rtdc.l.rtdc.4028:itc</t>
  </si>
  <si>
    <t>245-26</t>
  </si>
  <si>
    <t>242-26</t>
  </si>
  <si>
    <t>309-26</t>
  </si>
  <si>
    <t>244-26</t>
  </si>
  <si>
    <t>311-26</t>
  </si>
  <si>
    <t>246-26</t>
  </si>
  <si>
    <t>313-26</t>
  </si>
  <si>
    <t>Bulletin (2)</t>
  </si>
  <si>
    <t>GRADE CROSSING</t>
  </si>
  <si>
    <t>204:232971</t>
  </si>
  <si>
    <t>204:458</t>
  </si>
  <si>
    <t>204:232985</t>
  </si>
  <si>
    <t>204:466</t>
  </si>
  <si>
    <t>204:233297</t>
  </si>
  <si>
    <t>204:475</t>
  </si>
  <si>
    <t>204:232981</t>
  </si>
  <si>
    <t>204:233288</t>
  </si>
  <si>
    <t>204:232990</t>
  </si>
  <si>
    <t>KILLION</t>
  </si>
  <si>
    <t>STARKS</t>
  </si>
  <si>
    <t>YOUNG</t>
  </si>
  <si>
    <t>COOLAHAN</t>
  </si>
  <si>
    <t>204:232961</t>
  </si>
  <si>
    <t>204:233289</t>
  </si>
  <si>
    <t>204:233308</t>
  </si>
  <si>
    <t>204:442</t>
  </si>
  <si>
    <t>204:233008</t>
  </si>
  <si>
    <t>204:233013</t>
  </si>
  <si>
    <t>204:446</t>
  </si>
  <si>
    <t>Trip Number</t>
  </si>
  <si>
    <t>40th 4S STOP, cleared shortly</t>
  </si>
  <si>
    <t>Early arrival</t>
  </si>
  <si>
    <t>SPECTOR</t>
  </si>
  <si>
    <t>rtdc.l.rtdc.4018:itc</t>
  </si>
  <si>
    <t>rtdc.l.rtdc.4017:itc</t>
  </si>
  <si>
    <t>rtdc.l.rtdc.4011:itc</t>
  </si>
  <si>
    <t>rtdc.l.rtdc.4006:itc</t>
  </si>
  <si>
    <t>204:233314</t>
  </si>
  <si>
    <t>204:163</t>
  </si>
  <si>
    <t>204:232975</t>
  </si>
  <si>
    <t>204:233303</t>
  </si>
  <si>
    <t>204:232996</t>
  </si>
  <si>
    <t>204:232993</t>
  </si>
  <si>
    <t>204:232978</t>
  </si>
  <si>
    <t>204:233307</t>
  </si>
  <si>
    <t>204:233001</t>
  </si>
  <si>
    <t>204:724</t>
  </si>
  <si>
    <t>204:678</t>
  </si>
  <si>
    <t>rtdc.l.rtdc.4015:itc</t>
  </si>
  <si>
    <t>rtdc.l.rtdc.4012:itc</t>
  </si>
  <si>
    <t>SMITH</t>
  </si>
  <si>
    <t>GEBRETEKLE</t>
  </si>
  <si>
    <t>ROCHA</t>
  </si>
  <si>
    <t>MAHAN</t>
  </si>
  <si>
    <t>BROWN</t>
  </si>
  <si>
    <t>rtdc.l.rtdc.4016:itc</t>
  </si>
  <si>
    <t>HILLS</t>
  </si>
  <si>
    <t>204:233319</t>
  </si>
  <si>
    <t>204:233302</t>
  </si>
  <si>
    <t>204:233286</t>
  </si>
  <si>
    <t>204:233324</t>
  </si>
  <si>
    <t>204:233331</t>
  </si>
  <si>
    <t>204:233309</t>
  </si>
  <si>
    <t>204:161</t>
  </si>
  <si>
    <t>204:233300</t>
  </si>
  <si>
    <t>204:233305</t>
  </si>
  <si>
    <t>204:233310</t>
  </si>
  <si>
    <t>204:433</t>
  </si>
  <si>
    <t>204:138</t>
  </si>
  <si>
    <t>204:533</t>
  </si>
  <si>
    <t>204:172</t>
  </si>
  <si>
    <t>300:23346</t>
  </si>
  <si>
    <t>300:58992</t>
  </si>
  <si>
    <t>300:58668</t>
  </si>
  <si>
    <t>204:972</t>
  </si>
  <si>
    <t>204:953</t>
  </si>
  <si>
    <t>Pena 4S STOP, cleared shortly</t>
  </si>
  <si>
    <t>204:141</t>
  </si>
  <si>
    <t>204:150</t>
  </si>
  <si>
    <t>204:233349</t>
  </si>
  <si>
    <t>204:233030</t>
  </si>
  <si>
    <t>204:233318</t>
  </si>
  <si>
    <t>204:233264</t>
  </si>
  <si>
    <t>204:233341</t>
  </si>
  <si>
    <t>204:233306</t>
  </si>
  <si>
    <t>204:233004</t>
  </si>
  <si>
    <t>204:232972</t>
  </si>
  <si>
    <t>204:444</t>
  </si>
  <si>
    <t>204:232979</t>
  </si>
  <si>
    <t>204:165</t>
  </si>
  <si>
    <t>204:233080</t>
  </si>
  <si>
    <t>204:232983</t>
  </si>
  <si>
    <t>204:233304</t>
  </si>
  <si>
    <t>204:216</t>
  </si>
  <si>
    <t>204:469</t>
  </si>
  <si>
    <t>204:169</t>
  </si>
  <si>
    <t>204:484</t>
  </si>
  <si>
    <t>204:233317</t>
  </si>
  <si>
    <t>204:488</t>
  </si>
  <si>
    <t>204:178</t>
  </si>
  <si>
    <t>204:426</t>
  </si>
  <si>
    <t>242-31</t>
  </si>
  <si>
    <t>204:233028</t>
  </si>
  <si>
    <t>244-31</t>
  </si>
  <si>
    <t>311-31</t>
  </si>
  <si>
    <t>313-31</t>
  </si>
  <si>
    <t>315-31</t>
  </si>
  <si>
    <t>300:23312</t>
  </si>
  <si>
    <t>204:738</t>
  </si>
  <si>
    <t>300:58931</t>
  </si>
  <si>
    <t>300:58617</t>
  </si>
  <si>
    <t>204:740</t>
  </si>
  <si>
    <t>204:962</t>
  </si>
  <si>
    <t>204:1016</t>
  </si>
  <si>
    <t>300:58971</t>
  </si>
  <si>
    <t>300:58969</t>
  </si>
  <si>
    <t>204:979</t>
  </si>
  <si>
    <t>300:58990</t>
  </si>
  <si>
    <t>300:59001</t>
  </si>
  <si>
    <t>204:657</t>
  </si>
  <si>
    <t>300:58958</t>
  </si>
  <si>
    <t>300:58655</t>
  </si>
  <si>
    <t>300:58658</t>
  </si>
  <si>
    <t>204:927</t>
  </si>
  <si>
    <t>300:58662</t>
  </si>
  <si>
    <t>rtdc.l.rtdc.4043:itc</t>
  </si>
  <si>
    <t>rtdc.l.rtdc.4001:itc</t>
  </si>
  <si>
    <t>rtdc.l.rtdc.4044:itc</t>
  </si>
  <si>
    <t>rtdc.l.rtdc.4008:itc</t>
  </si>
  <si>
    <t>rtdc.l.rtdc.4007:itc</t>
  </si>
  <si>
    <t>MAELZER</t>
  </si>
  <si>
    <t>STRICKLAND</t>
  </si>
  <si>
    <t>ROBINSON</t>
  </si>
  <si>
    <t>MOSES</t>
  </si>
  <si>
    <t>Reactive Warning (1)</t>
  </si>
  <si>
    <t>101-01</t>
  </si>
  <si>
    <t>204:752</t>
  </si>
  <si>
    <t>102-01</t>
  </si>
  <si>
    <t>204:232675</t>
  </si>
  <si>
    <t>103-01</t>
  </si>
  <si>
    <t>204:721</t>
  </si>
  <si>
    <t>105-01</t>
  </si>
  <si>
    <t>204:775</t>
  </si>
  <si>
    <t>204:233280</t>
  </si>
  <si>
    <t>106-01</t>
  </si>
  <si>
    <t>204:232639</t>
  </si>
  <si>
    <t>107-01</t>
  </si>
  <si>
    <t>204:420</t>
  </si>
  <si>
    <t>108-01</t>
  </si>
  <si>
    <t>109-01</t>
  </si>
  <si>
    <t>204:233274</t>
  </si>
  <si>
    <t>110-01</t>
  </si>
  <si>
    <t>111-01</t>
  </si>
  <si>
    <t>204:794</t>
  </si>
  <si>
    <t>112-01</t>
  </si>
  <si>
    <t>113-01</t>
  </si>
  <si>
    <t>204:473</t>
  </si>
  <si>
    <t>204:233328</t>
  </si>
  <si>
    <t>114-01</t>
  </si>
  <si>
    <t>115-01</t>
  </si>
  <si>
    <t>204:774</t>
  </si>
  <si>
    <t>116-01</t>
  </si>
  <si>
    <t>117-01</t>
  </si>
  <si>
    <t>118-01</t>
  </si>
  <si>
    <t>204:233005</t>
  </si>
  <si>
    <t>204:130</t>
  </si>
  <si>
    <t>119-01</t>
  </si>
  <si>
    <t>204:765</t>
  </si>
  <si>
    <t>120-01</t>
  </si>
  <si>
    <t>121-01</t>
  </si>
  <si>
    <t>204:233322</t>
  </si>
  <si>
    <t>122-01</t>
  </si>
  <si>
    <t>204:221</t>
  </si>
  <si>
    <t>123-01</t>
  </si>
  <si>
    <t>204:233410</t>
  </si>
  <si>
    <t>124-01</t>
  </si>
  <si>
    <t>204:233034</t>
  </si>
  <si>
    <t>125-01</t>
  </si>
  <si>
    <t>126-01</t>
  </si>
  <si>
    <t>204:232984</t>
  </si>
  <si>
    <t>204:247</t>
  </si>
  <si>
    <t>127-01</t>
  </si>
  <si>
    <t>204:233315</t>
  </si>
  <si>
    <t>128-01</t>
  </si>
  <si>
    <t>129-01</t>
  </si>
  <si>
    <t>130-01</t>
  </si>
  <si>
    <t>204:233036</t>
  </si>
  <si>
    <t>132-01</t>
  </si>
  <si>
    <t>133-01</t>
  </si>
  <si>
    <t>134-01</t>
  </si>
  <si>
    <t>204:232967</t>
  </si>
  <si>
    <t>135-01</t>
  </si>
  <si>
    <t>136-01</t>
  </si>
  <si>
    <t>137-01</t>
  </si>
  <si>
    <t>204:437</t>
  </si>
  <si>
    <t>204:233245</t>
  </si>
  <si>
    <t>138-01</t>
  </si>
  <si>
    <t>204:232944</t>
  </si>
  <si>
    <t>139-01</t>
  </si>
  <si>
    <t>204:546</t>
  </si>
  <si>
    <t>140-01</t>
  </si>
  <si>
    <t>141-01</t>
  </si>
  <si>
    <t>142-01</t>
  </si>
  <si>
    <t>143-01</t>
  </si>
  <si>
    <t>144-01</t>
  </si>
  <si>
    <t>204:232991</t>
  </si>
  <si>
    <t>145-01</t>
  </si>
  <si>
    <t>146-01</t>
  </si>
  <si>
    <t>204:233007</t>
  </si>
  <si>
    <t>147-01</t>
  </si>
  <si>
    <t>204:233312</t>
  </si>
  <si>
    <t>148-01</t>
  </si>
  <si>
    <t>149-01</t>
  </si>
  <si>
    <t>150-01</t>
  </si>
  <si>
    <t>204:203</t>
  </si>
  <si>
    <t>151-01</t>
  </si>
  <si>
    <t>152-01</t>
  </si>
  <si>
    <t>153-01</t>
  </si>
  <si>
    <t>154-01</t>
  </si>
  <si>
    <t>155-01</t>
  </si>
  <si>
    <t>204:233295</t>
  </si>
  <si>
    <t>156-01</t>
  </si>
  <si>
    <t>157-01</t>
  </si>
  <si>
    <t>158-01</t>
  </si>
  <si>
    <t>159-01</t>
  </si>
  <si>
    <t>204:482</t>
  </si>
  <si>
    <t>160-01</t>
  </si>
  <si>
    <t>161-01</t>
  </si>
  <si>
    <t>204:233337</t>
  </si>
  <si>
    <t>162-01</t>
  </si>
  <si>
    <t>204:233044</t>
  </si>
  <si>
    <t>163-01</t>
  </si>
  <si>
    <t>204:529</t>
  </si>
  <si>
    <t>164-01</t>
  </si>
  <si>
    <t>165-01</t>
  </si>
  <si>
    <t>166-01</t>
  </si>
  <si>
    <t>204:232998</t>
  </si>
  <si>
    <t>167-01</t>
  </si>
  <si>
    <t>204:233336</t>
  </si>
  <si>
    <t>168-01</t>
  </si>
  <si>
    <t>169-01</t>
  </si>
  <si>
    <t>170-01</t>
  </si>
  <si>
    <t>171-01</t>
  </si>
  <si>
    <t>172-01</t>
  </si>
  <si>
    <t>173-01</t>
  </si>
  <si>
    <t>174-01</t>
  </si>
  <si>
    <t>175-01</t>
  </si>
  <si>
    <t>176-01</t>
  </si>
  <si>
    <t>177-01</t>
  </si>
  <si>
    <t>178-01</t>
  </si>
  <si>
    <t>204:129</t>
  </si>
  <si>
    <t>179-01</t>
  </si>
  <si>
    <t>180-01</t>
  </si>
  <si>
    <t>181-01</t>
  </si>
  <si>
    <t>204:233347</t>
  </si>
  <si>
    <t>182-01</t>
  </si>
  <si>
    <t>204:233003</t>
  </si>
  <si>
    <t>183-01</t>
  </si>
  <si>
    <t>184-01</t>
  </si>
  <si>
    <t>185-01</t>
  </si>
  <si>
    <t>204:526</t>
  </si>
  <si>
    <t>186-01</t>
  </si>
  <si>
    <t>204:134</t>
  </si>
  <si>
    <t>187-01</t>
  </si>
  <si>
    <t>204:233329</t>
  </si>
  <si>
    <t>188-01</t>
  </si>
  <si>
    <t>189-01</t>
  </si>
  <si>
    <t>204:409</t>
  </si>
  <si>
    <t>190-01</t>
  </si>
  <si>
    <t>204:233021</t>
  </si>
  <si>
    <t>191-01</t>
  </si>
  <si>
    <t>192-01</t>
  </si>
  <si>
    <t>204:181</t>
  </si>
  <si>
    <t>193-01</t>
  </si>
  <si>
    <t>194-01</t>
  </si>
  <si>
    <t>204:128</t>
  </si>
  <si>
    <t>195-01</t>
  </si>
  <si>
    <t>196-01</t>
  </si>
  <si>
    <t>197-01</t>
  </si>
  <si>
    <t>199-01</t>
  </si>
  <si>
    <t>200-01</t>
  </si>
  <si>
    <t>205-01</t>
  </si>
  <si>
    <t>206-01</t>
  </si>
  <si>
    <t>208-01</t>
  </si>
  <si>
    <t>204:232947</t>
  </si>
  <si>
    <t>209-01</t>
  </si>
  <si>
    <t>210-01</t>
  </si>
  <si>
    <t>211-01</t>
  </si>
  <si>
    <t>204:506</t>
  </si>
  <si>
    <t>212-01</t>
  </si>
  <si>
    <t>213-01</t>
  </si>
  <si>
    <t>214-01</t>
  </si>
  <si>
    <t>204:212</t>
  </si>
  <si>
    <t>215-01</t>
  </si>
  <si>
    <t>204:504</t>
  </si>
  <si>
    <t>216-01</t>
  </si>
  <si>
    <t>204:232966</t>
  </si>
  <si>
    <t>204:225</t>
  </si>
  <si>
    <t>217-01</t>
  </si>
  <si>
    <t>204:406</t>
  </si>
  <si>
    <t>204:233343</t>
  </si>
  <si>
    <t>218-01</t>
  </si>
  <si>
    <t>204:233009</t>
  </si>
  <si>
    <t>204:220</t>
  </si>
  <si>
    <t>219-01</t>
  </si>
  <si>
    <t>220-01</t>
  </si>
  <si>
    <t>221-01</t>
  </si>
  <si>
    <t>222-01</t>
  </si>
  <si>
    <t>223-01</t>
  </si>
  <si>
    <t>204:524</t>
  </si>
  <si>
    <t>204:233325</t>
  </si>
  <si>
    <t>224-01</t>
  </si>
  <si>
    <t>225-01</t>
  </si>
  <si>
    <t>204:511</t>
  </si>
  <si>
    <t>226-01</t>
  </si>
  <si>
    <t>204:127</t>
  </si>
  <si>
    <t>227-01</t>
  </si>
  <si>
    <t>204:233246</t>
  </si>
  <si>
    <t>228-01</t>
  </si>
  <si>
    <t>229-01</t>
  </si>
  <si>
    <t>230-01</t>
  </si>
  <si>
    <t>231-01</t>
  </si>
  <si>
    <t>232-01</t>
  </si>
  <si>
    <t>233-01</t>
  </si>
  <si>
    <t>234-01</t>
  </si>
  <si>
    <t>204:232706</t>
  </si>
  <si>
    <t>204:119</t>
  </si>
  <si>
    <t>235-01</t>
  </si>
  <si>
    <t>236-01</t>
  </si>
  <si>
    <t>237-01</t>
  </si>
  <si>
    <t>204:233284</t>
  </si>
  <si>
    <t>238-01</t>
  </si>
  <si>
    <t>204:232992</t>
  </si>
  <si>
    <t>239-01</t>
  </si>
  <si>
    <t>240-01</t>
  </si>
  <si>
    <t>204:509</t>
  </si>
  <si>
    <t>241-01</t>
  </si>
  <si>
    <t>204:233407</t>
  </si>
  <si>
    <t>242-01</t>
  </si>
  <si>
    <t>204:63</t>
  </si>
  <si>
    <t>243-01</t>
  </si>
  <si>
    <t>244-01</t>
  </si>
  <si>
    <t>307-01</t>
  </si>
  <si>
    <t>204:520</t>
  </si>
  <si>
    <t>300:23293</t>
  </si>
  <si>
    <t>309-01</t>
  </si>
  <si>
    <t>300:22212</t>
  </si>
  <si>
    <t>311-01</t>
  </si>
  <si>
    <t>204:916</t>
  </si>
  <si>
    <t>300:23111</t>
  </si>
  <si>
    <t>313-01</t>
  </si>
  <si>
    <t>204:387</t>
  </si>
  <si>
    <t>300:23121</t>
  </si>
  <si>
    <t>315-01</t>
  </si>
  <si>
    <t>300:22276</t>
  </si>
  <si>
    <t>50-01</t>
  </si>
  <si>
    <t>204:1166</t>
  </si>
  <si>
    <t>300:25499</t>
  </si>
  <si>
    <t>51-01</t>
  </si>
  <si>
    <t>204:1160</t>
  </si>
  <si>
    <t>300:24260</t>
  </si>
  <si>
    <t>53-01</t>
  </si>
  <si>
    <t>54-01</t>
  </si>
  <si>
    <t>57-01</t>
  </si>
  <si>
    <t>DE.1.0.8.0.ENG1</t>
  </si>
  <si>
    <t>204:10068</t>
  </si>
  <si>
    <t>204:128366</t>
  </si>
  <si>
    <t>204:157936</t>
  </si>
  <si>
    <t>67-01</t>
  </si>
  <si>
    <t>204:157705</t>
  </si>
  <si>
    <t>204:9810</t>
  </si>
  <si>
    <t>800-01</t>
  </si>
  <si>
    <t>300:58626</t>
  </si>
  <si>
    <t>204:869</t>
  </si>
  <si>
    <t>801-01</t>
  </si>
  <si>
    <t>204:1172</t>
  </si>
  <si>
    <t>300:58928</t>
  </si>
  <si>
    <t>802-01</t>
  </si>
  <si>
    <t>300:58624</t>
  </si>
  <si>
    <t>803-01</t>
  </si>
  <si>
    <t>804-01</t>
  </si>
  <si>
    <t>300:58666</t>
  </si>
  <si>
    <t>805-01</t>
  </si>
  <si>
    <t>204:1174</t>
  </si>
  <si>
    <t>806-01</t>
  </si>
  <si>
    <t>300:58623</t>
  </si>
  <si>
    <t>204:845</t>
  </si>
  <si>
    <t>807-01</t>
  </si>
  <si>
    <t>204:981</t>
  </si>
  <si>
    <t>300:58993</t>
  </si>
  <si>
    <t>808-01</t>
  </si>
  <si>
    <t>300:58677</t>
  </si>
  <si>
    <t>204:789</t>
  </si>
  <si>
    <t>809-01</t>
  </si>
  <si>
    <t>204:1123</t>
  </si>
  <si>
    <t>300:58944</t>
  </si>
  <si>
    <t>810-01</t>
  </si>
  <si>
    <t>204:892</t>
  </si>
  <si>
    <t>811-01</t>
  </si>
  <si>
    <t>204:1070</t>
  </si>
  <si>
    <t>812-01</t>
  </si>
  <si>
    <t>300:58687</t>
  </si>
  <si>
    <t>204:792</t>
  </si>
  <si>
    <t>813-01</t>
  </si>
  <si>
    <t>204:1076</t>
  </si>
  <si>
    <t>300:58973</t>
  </si>
  <si>
    <t>814-01</t>
  </si>
  <si>
    <t>204:698</t>
  </si>
  <si>
    <t>815-01</t>
  </si>
  <si>
    <t>816-01</t>
  </si>
  <si>
    <t>817-01</t>
  </si>
  <si>
    <t>818-01</t>
  </si>
  <si>
    <t>204:699</t>
  </si>
  <si>
    <t>819-01</t>
  </si>
  <si>
    <t>204:978</t>
  </si>
  <si>
    <t>300:58984</t>
  </si>
  <si>
    <t>820-01</t>
  </si>
  <si>
    <t>821-01</t>
  </si>
  <si>
    <t>300:58963</t>
  </si>
  <si>
    <t>822-01</t>
  </si>
  <si>
    <t>300:58638</t>
  </si>
  <si>
    <t>204:736</t>
  </si>
  <si>
    <t>823-01</t>
  </si>
  <si>
    <t>824-01</t>
  </si>
  <si>
    <t>204:745</t>
  </si>
  <si>
    <t>825-01</t>
  </si>
  <si>
    <t>204:1035</t>
  </si>
  <si>
    <t>300:58948</t>
  </si>
  <si>
    <t>826-01</t>
  </si>
  <si>
    <t>300:58621</t>
  </si>
  <si>
    <t>204:778</t>
  </si>
  <si>
    <t>827-01</t>
  </si>
  <si>
    <t>204:941</t>
  </si>
  <si>
    <t>300:58946</t>
  </si>
  <si>
    <t>828-01</t>
  </si>
  <si>
    <t>300:58632</t>
  </si>
  <si>
    <t>204:656</t>
  </si>
  <si>
    <t>829-01</t>
  </si>
  <si>
    <t>204:1051</t>
  </si>
  <si>
    <t>300:58935</t>
  </si>
  <si>
    <t>830-01</t>
  </si>
  <si>
    <t>204:764</t>
  </si>
  <si>
    <t>831-01</t>
  </si>
  <si>
    <t>300:58978</t>
  </si>
  <si>
    <t>832-01</t>
  </si>
  <si>
    <t>204:643</t>
  </si>
  <si>
    <t>833-01</t>
  </si>
  <si>
    <t>204:1055</t>
  </si>
  <si>
    <t>834-01</t>
  </si>
  <si>
    <t>300:58647</t>
  </si>
  <si>
    <t>835-01</t>
  </si>
  <si>
    <t>836-01</t>
  </si>
  <si>
    <t>300:58641</t>
  </si>
  <si>
    <t>204:659</t>
  </si>
  <si>
    <t>837-01</t>
  </si>
  <si>
    <t>204:1027</t>
  </si>
  <si>
    <t>300:58976</t>
  </si>
  <si>
    <t>838-01</t>
  </si>
  <si>
    <t>839-01</t>
  </si>
  <si>
    <t>204:929</t>
  </si>
  <si>
    <t>840-01</t>
  </si>
  <si>
    <t>204:762</t>
  </si>
  <si>
    <t>841-01</t>
  </si>
  <si>
    <t>842-01</t>
  </si>
  <si>
    <t>300:58611</t>
  </si>
  <si>
    <t>204:797</t>
  </si>
  <si>
    <t>843-01</t>
  </si>
  <si>
    <t>204:1039</t>
  </si>
  <si>
    <t>300:58926</t>
  </si>
  <si>
    <t>844-01</t>
  </si>
  <si>
    <t>300:58640</t>
  </si>
  <si>
    <t>845-01</t>
  </si>
  <si>
    <t>204:1084</t>
  </si>
  <si>
    <t>300:58952</t>
  </si>
  <si>
    <t>847-01</t>
  </si>
  <si>
    <t>300:58937</t>
  </si>
  <si>
    <t>902-01</t>
  </si>
  <si>
    <t>204:684</t>
  </si>
  <si>
    <t>904-01</t>
  </si>
  <si>
    <t>300:23620</t>
  </si>
  <si>
    <t>204:647</t>
  </si>
  <si>
    <t>906-01</t>
  </si>
  <si>
    <t>300:21619</t>
  </si>
  <si>
    <t>908-01</t>
  </si>
  <si>
    <t>300:21638</t>
  </si>
  <si>
    <t>JOHN-01</t>
  </si>
  <si>
    <t>300:25436</t>
  </si>
  <si>
    <t>300:25434</t>
  </si>
  <si>
    <t>NEWELL-01</t>
  </si>
  <si>
    <t>300:23158</t>
  </si>
  <si>
    <t>204:144</t>
  </si>
  <si>
    <t>TEMPORARY SPEED RESTRICTION</t>
  </si>
  <si>
    <t>rtdc.l.rtdc.4051:itc</t>
  </si>
  <si>
    <t>Time (US/Mountain)</t>
  </si>
  <si>
    <t>Source</t>
  </si>
  <si>
    <t>Employee Identifier</t>
  </si>
  <si>
    <t>Employee Last Name</t>
  </si>
  <si>
    <t>MALAVE</t>
  </si>
  <si>
    <t>YORK</t>
  </si>
  <si>
    <t>BEAM</t>
  </si>
  <si>
    <t>rtdc.l.rtdc.4021:itc</t>
  </si>
  <si>
    <t>NEWELL</t>
  </si>
  <si>
    <t>SHOOK</t>
  </si>
  <si>
    <t>rtdc.l.rtdc.4022:itc</t>
  </si>
  <si>
    <t>SUR</t>
  </si>
  <si>
    <t>BONDS</t>
  </si>
  <si>
    <t>HAUSER</t>
  </si>
  <si>
    <t>KILL-01</t>
  </si>
  <si>
    <t>HOMIK</t>
  </si>
  <si>
    <t>52-01</t>
  </si>
  <si>
    <t>OUN</t>
  </si>
  <si>
    <t>COOPER</t>
  </si>
  <si>
    <t>303-01</t>
  </si>
  <si>
    <t>GOLIGHTLY</t>
  </si>
  <si>
    <t>rtdc.l.rtdc.4052:itc</t>
  </si>
  <si>
    <t>Delayed by Form C's</t>
  </si>
  <si>
    <t>Did not initialize</t>
  </si>
  <si>
    <t>131-01</t>
  </si>
  <si>
    <t>104-01</t>
  </si>
  <si>
    <t>DUS 28S was STOP, cleared shortly</t>
  </si>
  <si>
    <t>Pecos 6S  was STOP, cleared shortly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</si>
</sst>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63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7"/>
  <sheetViews>
    <sheetView tabSelected="1" workbookViewId="0">
      <selection activeCell="R108" sqref="R108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4.710937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122</v>
      </c>
      <c r="J1" s="43"/>
      <c r="K1" s="30"/>
      <c r="L1" s="30"/>
      <c r="M1" s="42"/>
      <c r="N1" s="43"/>
      <c r="O1" s="2"/>
      <c r="P1" s="2"/>
      <c r="R1" s="40" t="s">
        <v>123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42614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42614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138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COUNTIFS($N$13:$N$9392,"&gt;0",$AG$13:$AG$9392,I1)</f>
        <v>136</v>
      </c>
      <c r="K5" s="46"/>
      <c r="L5" s="46"/>
      <c r="M5" s="47">
        <f>AVERAGEIFS($N$13:$N$9392,$AG$13:$AG$9392,I1)</f>
        <v>40.502818627616819</v>
      </c>
      <c r="N5" s="45">
        <f t="array" ref="N5">MIN(IF($AG$13:$AG$9392=I1,IF(ISNUMBER($N$13:$N$9392),IF($N$13:$N$9392&gt;0,$N$13:$N$9392))))</f>
        <v>33.950000004842877</v>
      </c>
      <c r="O5" s="3">
        <f t="array" ref="O5">MAX(IF($AG$13:$AG$9392=I1,IF(ISNUMBER($N$13:$N$9392),IF($N$13:$N$9392&gt;0,$N$13:$N$9392))))</f>
        <v>85.950000006705523</v>
      </c>
      <c r="P5" s="2"/>
      <c r="R5" s="87" t="s">
        <v>17</v>
      </c>
      <c r="S5" s="57">
        <f>COUNTIFS($N$13:$N$9392,"&gt;0",$AG$13:$AG$9392,R1)</f>
        <v>47</v>
      </c>
      <c r="T5" s="46"/>
      <c r="U5" s="124"/>
      <c r="V5" s="47">
        <f>AVERAGEIFS($N$13:$N$9392,$AG$13:$AG$9392,R1)</f>
        <v>14.929432623519345</v>
      </c>
      <c r="W5" s="45">
        <f t="array" ref="W5">MIN(IF($AG$13:$AG$9392=R1,IF(ISNUMBER($N$13:$N$9392),IF($N$13:$N$9392&gt;0,$N$13:$N$9392))))</f>
        <v>12.633333331905305</v>
      </c>
      <c r="X5" s="116">
        <f t="array" ref="X5">MAX(IF($AG$13:$AG$9392=R1,IF(ISNUMBER($N$13:$N$9392),IF($N$13:$N$9392&gt;0,$N$13:$N$9392))))</f>
        <v>18.166666659526527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COUNT($O$13:$O$152)</f>
        <v>0</v>
      </c>
      <c r="K6" s="46"/>
      <c r="L6" s="46"/>
      <c r="M6" s="47">
        <f>IFERROR(AVERAGE($O$13:$O$152),0)</f>
        <v>0</v>
      </c>
      <c r="N6" s="45">
        <f>MIN($O$13:$O$152)</f>
        <v>0</v>
      </c>
      <c r="O6" s="3">
        <f>MAX($O$13:$O$152)</f>
        <v>0</v>
      </c>
      <c r="P6" s="2"/>
      <c r="R6" s="88" t="s">
        <v>43</v>
      </c>
      <c r="S6" s="57">
        <f>COUNT($O$13:$O$152)</f>
        <v>0</v>
      </c>
      <c r="T6" s="46"/>
      <c r="U6" s="124"/>
      <c r="V6" s="47">
        <f>IFERROR(AVERAGE($O$13:$O$152),0)</f>
        <v>0</v>
      </c>
      <c r="W6" s="45">
        <f>MIN($O$13:$O$152)</f>
        <v>0</v>
      </c>
      <c r="X6" s="116">
        <f>MAX($O$13:$O$152)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COUNTIFS($P$13:$P$9392,"&gt;0",$AG$13:$AG$9392,I1)</f>
        <v>2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COUNTIFS($P$13:$P$9392,"&gt;0",$AG$13:$AG$9392,R1)</f>
        <v>0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136</v>
      </c>
      <c r="K8" s="46"/>
      <c r="L8" s="46"/>
      <c r="M8" s="47">
        <f>M5</f>
        <v>40.502818627616819</v>
      </c>
      <c r="N8" s="45">
        <f>N5</f>
        <v>33.950000004842877</v>
      </c>
      <c r="O8" s="3">
        <f>O5</f>
        <v>85.950000006705523</v>
      </c>
      <c r="P8" s="2"/>
      <c r="R8" s="87" t="s">
        <v>16</v>
      </c>
      <c r="S8" s="57">
        <f>S5</f>
        <v>47</v>
      </c>
      <c r="T8" s="46"/>
      <c r="U8" s="124"/>
      <c r="V8" s="47">
        <f>V5</f>
        <v>14.929432623519345</v>
      </c>
      <c r="W8" s="45">
        <f>W5</f>
        <v>12.633333331905305</v>
      </c>
      <c r="X8" s="116">
        <f>X5</f>
        <v>18.166666659526527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0.98550724637681164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4" t="str">
        <f>"Eagle P3 System Performance - "&amp;TEXT(Variables!A2,"yyyy-mm-dd")</f>
        <v>Eagle P3 System Performance - 2016-09-01</v>
      </c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S11" s="72">
        <f>AVERAGE(S13:S101)</f>
        <v>0.97752808988764039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124</v>
      </c>
      <c r="AH12" s="101" t="s">
        <v>127</v>
      </c>
      <c r="AI12" s="148" t="s">
        <v>217</v>
      </c>
      <c r="AJ12" s="53" t="s">
        <v>218</v>
      </c>
      <c r="AK12" s="53" t="s">
        <v>190</v>
      </c>
      <c r="AL12" s="53" t="s">
        <v>219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366</v>
      </c>
      <c r="B13" s="7">
        <v>4042</v>
      </c>
      <c r="C13" s="24" t="s">
        <v>113</v>
      </c>
      <c r="D13" s="24" t="s">
        <v>367</v>
      </c>
      <c r="E13" s="15">
        <v>42614.130555555559</v>
      </c>
      <c r="F13" s="15">
        <v>42614.135659722226</v>
      </c>
      <c r="G13" s="7">
        <v>1</v>
      </c>
      <c r="H13" s="15" t="s">
        <v>314</v>
      </c>
      <c r="I13" s="15">
        <v>42614.160902777781</v>
      </c>
      <c r="J13" s="7">
        <v>0</v>
      </c>
      <c r="K13" s="132" t="str">
        <f>IF(ISEVEN(B13),(B13-1)&amp;"/"&amp;B13,B13&amp;"/"&amp;(B13+1))</f>
        <v>4041/4042</v>
      </c>
      <c r="L13" s="24" t="str">
        <f>VLOOKUP(A13,'Trips&amp;Operators'!$C$1:$E$10000,3,FALSE)</f>
        <v>MAELZER</v>
      </c>
      <c r="M13" s="6">
        <f>I13-F13</f>
        <v>2.5243055555620231E-2</v>
      </c>
      <c r="N13" s="7">
        <f>24*60*SUM($M13:$M13)</f>
        <v>36.350000000093132</v>
      </c>
      <c r="O13" s="7"/>
      <c r="P13" s="7"/>
      <c r="Q13" s="25"/>
      <c r="R13" s="25"/>
      <c r="S13" s="37">
        <f>SUM(U13:U13)/IF(AG13="EC",12,1)</f>
        <v>1</v>
      </c>
      <c r="T13" s="52" t="str">
        <f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https://search-rtdc-monitor-bjffxe2xuh6vdkpspy63sjmuny.us-east-1.es.amazonaws.com/_plugin/kibana/#/discover/Steve-Slow-Train-Analysis-(2080s-and-2083s)?_g=(refreshInterval:(display:Off,section:0,value:0),time:(from:'2016-09-01 02:08:00-0600',mode:absolute,to:'2016-09-01 04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" s="54" t="str">
        <f>IF(AA13&lt;IF(AG13="EC",23,5.65),"Y","N")</f>
        <v>N</v>
      </c>
      <c r="X13" s="120" t="e">
        <f>VALUE(LEFT(AD13,4))-VALUE(LEFT(AD12,4))</f>
        <v>#VALUE!</v>
      </c>
      <c r="Y13" s="69">
        <f>RIGHT(D13,LEN(D13)-4)/10000</f>
        <v>7.5200000000000003E-2</v>
      </c>
      <c r="Z13" s="69">
        <f>RIGHT(H13,LEN(H13)-4)/10000</f>
        <v>23.334099999999999</v>
      </c>
      <c r="AA13" s="69">
        <f>ABS(Z13-Y13)</f>
        <v>23.258900000000001</v>
      </c>
      <c r="AB13" s="66" t="e">
        <f>VLOOKUP(A13,Enforcements!$C$7:$J$21,8,0)</f>
        <v>#N/A</v>
      </c>
      <c r="AC13" s="62" t="e">
        <f>VLOOKUP(A13,Enforcements!$C$7:$E$21,3,0)</f>
        <v>#N/A</v>
      </c>
      <c r="AD13" s="63" t="str">
        <f>IF(LEN(A13)=6,"0"&amp;A13,A13)</f>
        <v>0101-01</v>
      </c>
      <c r="AE13" s="99" t="str">
        <f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3" s="96" t="str">
        <f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/stypes="*4042*20160901*" /stext=" 09:.+((SYSTEM_STATE.+slice.+state.+changed )|(ment ac)|(system.+state.+changed )|(\|lc)|(penalty)|(\[timeout)|(PRM\|1\|D)|(kpr)|(kdp))" /e /r /s</v>
      </c>
      <c r="AG13" s="1" t="str">
        <f>IFERROR(IF(VALUE(LEFT(AD13,2))&lt;=2,"EC",IF(OR(VALUE(LEFT(AD13,2))=8,VALUE(LEFT(AD13,2))=18),"NW","Other")),"Other")</f>
        <v>EC</v>
      </c>
      <c r="AH13" s="100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4042 --swversion DE.1.0.7.0 --startMP 204:752 --initTime 2016-09-01T03:08:00 --startdatetime 2016-09-01T03:15:21 --delay 1 --endMP 204:233341 --enddatetime 2016-09-01T03:51:42 --enforcementcount 0 &gt;&gt;C:\Users\stu\Documents\GitHub\eaglep3-reporting\EC\2016-09-01-refined-times.txt</v>
      </c>
      <c r="AI13" s="14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{"issue":{"subject":"","project_id":79,"tracker_id":40,"status_id":1,"priority_id":2,"assigned_to_id":23,"start_date":"2016-09-01","description":"","custom_fields":[{"id":1,"name":"Subdivision","value":"EC"},{"id":4,"name":"Milepost","value":"23.2589"},{"id":17,"name":"Train ID","value":"101-01"},{"id":16,"name":"Locomotive ID","value":"4042"},{"id":130,"name":"Impact","value":""},{"id":150,"name":"Time of Event (Mountain Time)","value":"03:51:42"},{"id":151,"name":"Denver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368</v>
      </c>
      <c r="B14" s="7">
        <v>4043</v>
      </c>
      <c r="C14" s="24" t="s">
        <v>113</v>
      </c>
      <c r="D14" s="24" t="s">
        <v>369</v>
      </c>
      <c r="E14" s="15">
        <v>42614.166412037041</v>
      </c>
      <c r="F14" s="15">
        <v>42614.174525462964</v>
      </c>
      <c r="G14" s="7">
        <v>1</v>
      </c>
      <c r="H14" s="15" t="s">
        <v>326</v>
      </c>
      <c r="I14" s="15">
        <v>42614.201458333337</v>
      </c>
      <c r="J14" s="7">
        <v>0</v>
      </c>
      <c r="K14" s="132" t="str">
        <f>IF(ISEVEN(B14),(B14-1)&amp;"/"&amp;B14,B14&amp;"/"&amp;(B14+1))</f>
        <v>4043/4044</v>
      </c>
      <c r="L14" s="24" t="str">
        <f>VLOOKUP(A14,'Trips&amp;Operators'!$C$1:$E$10000,3,FALSE)</f>
        <v>MAELZER</v>
      </c>
      <c r="M14" s="6">
        <f>I14-F14</f>
        <v>2.6932870372547768E-2</v>
      </c>
      <c r="N14" s="7">
        <f>24*60*SUM($M14:$M14)</f>
        <v>38.783333336468786</v>
      </c>
      <c r="O14" s="7"/>
      <c r="P14" s="7"/>
      <c r="Q14" s="25"/>
      <c r="R14" s="25"/>
      <c r="S14" s="37">
        <f>SUM(U14:U14)/IF(AG14="EC",12,1)</f>
        <v>1</v>
      </c>
      <c r="T14" s="52" t="str">
        <f>IF(ISEVEN(LEFT(AD14,4)),"Southbound","NorthBound")</f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https://search-rtdc-monitor-bjffxe2xuh6vdkpspy63sjmuny.us-east-1.es.amazonaws.com/_plugin/kibana/#/discover/Steve-Slow-Train-Analysis-(2080s-and-2083s)?_g=(refreshInterval:(display:Off,section:0,value:0),time:(from:'2016-09-01 02:59:38-0600',mode:absolute,to:'2016-09-01 05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4" s="54" t="str">
        <f>IF(AA14&lt;IF(AG14="EC",23,5.65),"Y","N")</f>
        <v>N</v>
      </c>
      <c r="X14" s="120">
        <f>VALUE(LEFT(AD14,4))-VALUE(LEFT(AD13,4))</f>
        <v>1</v>
      </c>
      <c r="Y14" s="69">
        <f>RIGHT(D14,LEN(D14)-4)/10000</f>
        <v>23.267499999999998</v>
      </c>
      <c r="Z14" s="69">
        <f>RIGHT(H14,LEN(H14)-4)/10000</f>
        <v>1.6899999999999998E-2</v>
      </c>
      <c r="AA14" s="69">
        <f>ABS(Z14-Y14)</f>
        <v>23.250599999999999</v>
      </c>
      <c r="AB14" s="66" t="e">
        <f>VLOOKUP(A14,Enforcements!$C$7:$J$21,8,0)</f>
        <v>#N/A</v>
      </c>
      <c r="AC14" s="62" t="e">
        <f>VLOOKUP(A14,Enforcements!$C$7:$E$21,3,0)</f>
        <v>#N/A</v>
      </c>
      <c r="AD14" s="63" t="str">
        <f>IF(LEN(A14)=6,"0"&amp;A14,A14)</f>
        <v>0102-01</v>
      </c>
      <c r="AE14" s="99" t="str">
        <f>"aws s3 cp "&amp;s3_bucket&amp;"/RTDC"&amp;B14&amp;"/"&amp;TEXT(F14,"YYYY-MM-DD")&amp;"/ "&amp;search_path&amp;"\RTDC"&amp;B14&amp;"\"&amp;TEXT(F14,"YYYY-MM-DD")&amp;" --recursive &amp; """&amp;walkandungz&amp;""" "&amp;search_path&amp;"\RTDC"&amp;B14&amp;"\"&amp;TEXT(F14,"YYYY-MM-DD")
&amp;" &amp; "&amp;"aws s3 cp "&amp;s3_bucket&amp;"/RTDC"&amp;B14&amp;"/"&amp;TEXT(F14+1,"YYYY-MM-DD")&amp;"/ "&amp;search_path&amp;"\RTDC"&amp;B14&amp;"\"&amp;TEXT(F14+1,"YYYY-MM-DD")&amp;" --recursive &amp; """&amp;walkandungz&amp;""" "&amp;search_path&amp;"\RTDC"&amp;B14&amp;"\"&amp;TEXT(F14+1,"YYYY-MM-DD")</f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14" s="96" t="str">
        <f>astrogrep_path&amp;" /spath="&amp;search_path&amp;" /stypes=""*"&amp;B14&amp;"*"&amp;TEXT(I14-utc_offset/24,"YYYYMMDD")&amp;"*"" /stext="" "&amp;TEXT(I14-utc_offset/24,"HH")&amp;search_regexp&amp;""" /e /r /s"</f>
        <v>"C:\Program Files (x86)\AstroGrep\AstroGrep.exe" /spath="%USERPROFILE%\AppData\Local\Temp\OnboardLogs" /stypes="*4043*20160901*" /stext=" 10:.+((SYSTEM_STATE.+slice.+state.+changed )|(ment ac)|(system.+state.+changed )|(\|lc)|(penalty)|(\[timeout)|(PRM\|1\|D)|(kpr)|(kdp))" /e /r /s</v>
      </c>
      <c r="AG14" s="1" t="str">
        <f>IFERROR(IF(VALUE(LEFT(AD14,2))&lt;=2,"EC",IF(OR(VALUE(LEFT(AD14,2))=8,VALUE(LEFT(AD14,2))=18),"NW","Other")),"Other")</f>
        <v>EC</v>
      </c>
      <c r="AH14" s="100" t="str">
        <f t="shared" ref="AH14:AH78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4043 --swversion DE.1.0.7.0 --startMP 204:232675 --initTime 2016-09-01T03:59:38 --startdatetime 2016-09-01T04:11:19 --delay 1 --endMP 204:169 --enddatetime 2016-09-01T04:50:06 --enforcementcount 0 &gt;&gt;C:\Users\stu\Documents\GitHub\eaglep3-reporting\EC\2016-09-01-refined-times.txt</v>
      </c>
      <c r="AI14" s="149" t="str">
        <f t="shared" ref="AI14:AI78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{"issue":{"subject":"","project_id":79,"tracker_id":40,"status_id":1,"priority_id":2,"assigned_to_id":23,"start_date":"2016-09-01","description":"","custom_fields":[{"id":1,"name":"Subdivision","value":"EC"},{"id":4,"name":"Milepost","value":"23.2506"},{"id":17,"name":"Train ID","value":"102-01"},{"id":16,"name":"Locomotive ID","value":"4043"},{"id":130,"name":"Impact","value":""},{"id":150,"name":"Time of Event (Mountain Time)","value":"04:50:06"},{"id":151,"name":"Denver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370</v>
      </c>
      <c r="B15" s="7">
        <v>4020</v>
      </c>
      <c r="C15" s="24" t="s">
        <v>113</v>
      </c>
      <c r="D15" s="24" t="s">
        <v>371</v>
      </c>
      <c r="E15" s="15">
        <v>42614.154444444444</v>
      </c>
      <c r="F15" s="15">
        <v>42614.156446759262</v>
      </c>
      <c r="G15" s="7">
        <v>1</v>
      </c>
      <c r="H15" s="15" t="s">
        <v>288</v>
      </c>
      <c r="I15" s="15">
        <v>42614.181712962964</v>
      </c>
      <c r="J15" s="7">
        <v>0</v>
      </c>
      <c r="K15" s="132" t="str">
        <f>IF(ISEVEN(B15),(B15-1)&amp;"/"&amp;B15,B15&amp;"/"&amp;(B15+1))</f>
        <v>4019/4020</v>
      </c>
      <c r="L15" s="24" t="str">
        <f>VLOOKUP(A15,'Trips&amp;Operators'!$C$1:$E$10000,3,FALSE)</f>
        <v>SPECTOR</v>
      </c>
      <c r="M15" s="6">
        <f>I15-F15</f>
        <v>2.5266203701903578E-2</v>
      </c>
      <c r="N15" s="7">
        <f>24*60*SUM($M15:$M15)</f>
        <v>36.383333330741152</v>
      </c>
      <c r="O15" s="7"/>
      <c r="P15" s="7"/>
      <c r="Q15" s="25"/>
      <c r="R15" s="25"/>
      <c r="S15" s="37">
        <f>SUM(U15:U15)/IF(AG15="EC",12,1)</f>
        <v>1</v>
      </c>
      <c r="T15" s="52" t="str">
        <f>IF(ISEVEN(LEFT(AD15,4)),"Southbound","NorthBound")</f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hh:mm:ss")&amp;"-0600',mode:absolute,to:'"&amp;TEXT(I15+1/24,"yyyy-MM-DD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https://search-rtdc-monitor-bjffxe2xuh6vdkpspy63sjmuny.us-east-1.es.amazonaws.com/_plugin/kibana/#/discover/Steve-Slow-Train-Analysis-(2080s-and-2083s)?_g=(refreshInterval:(display:Off,section:0,value:0),time:(from:'2016-09-01 02:42:24-0600',mode:absolute,to:'2016-09-01 05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5" s="54" t="str">
        <f>IF(AA15&lt;IF(AG15="EC",23,5.65),"Y","N")</f>
        <v>N</v>
      </c>
      <c r="X15" s="120">
        <f t="shared" ref="X15:X19" si="4">VALUE(LEFT(AD15,4))-VALUE(LEFT(AD14,4))</f>
        <v>1</v>
      </c>
      <c r="Y15" s="69">
        <f>RIGHT(D15,LEN(D15)-4)/10000</f>
        <v>7.2099999999999997E-2</v>
      </c>
      <c r="Z15" s="69">
        <f>RIGHT(H15,LEN(H15)-4)/10000</f>
        <v>23.331900000000001</v>
      </c>
      <c r="AA15" s="69">
        <f>ABS(Z15-Y15)</f>
        <v>23.259800000000002</v>
      </c>
      <c r="AB15" s="66" t="e">
        <f>VLOOKUP(A15,Enforcements!$C$7:$J$21,8,0)</f>
        <v>#N/A</v>
      </c>
      <c r="AC15" s="62" t="e">
        <f>VLOOKUP(A15,Enforcements!$C$7:$E$21,3,0)</f>
        <v>#N/A</v>
      </c>
      <c r="AD15" s="63" t="str">
        <f>IF(LEN(A15)=6,"0"&amp;A15,A15)</f>
        <v>0103-01</v>
      </c>
      <c r="AE15" s="99" t="str">
        <f>"aws s3 cp "&amp;s3_bucket&amp;"/RTDC"&amp;B15&amp;"/"&amp;TEXT(F15,"YYYY-MM-DD")&amp;"/ "&amp;search_path&amp;"\RTDC"&amp;B15&amp;"\"&amp;TEXT(F15,"YYYY-MM-DD")&amp;" --recursive &amp; """&amp;walkandungz&amp;""" "&amp;search_path&amp;"\RTDC"&amp;B15&amp;"\"&amp;TEXT(F15,"YYYY-MM-DD")
&amp;" &amp; "&amp;"aws s3 cp "&amp;s3_bucket&amp;"/RTDC"&amp;B15&amp;"/"&amp;TEXT(F15+1,"YYYY-MM-DD")&amp;"/ "&amp;search_path&amp;"\RTDC"&amp;B15&amp;"\"&amp;TEXT(F15+1,"YYYY-MM-DD")&amp;" --recursive &amp; """&amp;walkandungz&amp;""" "&amp;search_path&amp;"\RTDC"&amp;B15&amp;"\"&amp;TEXT(F15+1,"YYYY-MM-DD")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15" s="96" t="str">
        <f>astrogrep_path&amp;" /spath="&amp;search_path&amp;" /stypes=""*"&amp;B15&amp;"*"&amp;TEXT(I15-utc_offset/24,"YYYYMMDD")&amp;"*"" /stext="" "&amp;TEXT(I15-utc_offset/24,"HH")&amp;search_regexp&amp;""" /e /r /s"</f>
        <v>"C:\Program Files (x86)\AstroGrep\AstroGrep.exe" /spath="%USERPROFILE%\AppData\Local\Temp\OnboardLogs" /stypes="*4020*20160901*" /stext=" 10:.+((SYSTEM_STATE.+slice.+state.+changed )|(ment ac)|(system.+state.+changed )|(\|lc)|(penalty)|(\[timeout)|(PRM\|1\|D)|(kpr)|(kdp))" /e /r /s</v>
      </c>
      <c r="AG15" s="1" t="str">
        <f>IFERROR(IF(VALUE(LEFT(AD15,2))&lt;=2,"EC",IF(OR(VALUE(LEFT(AD15,2))=8,VALUE(LEFT(AD15,2))=18),"NW","Other")),"Other")</f>
        <v>EC</v>
      </c>
      <c r="AH15" s="100" t="str">
        <f t="shared" si="2"/>
        <v>"%USERPROFILE%\Documents\GitHub\eaglep3\Utilities\RefineRTDCRunTimes.py" --tripid 103-01 --locoid 4020 --swversion DE.1.0.7.0 --startMP 204:721 --initTime 2016-09-01T03:42:24 --startdatetime 2016-09-01T03:45:17 --delay 1 --endMP 204:233319 --enddatetime 2016-09-01T04:21:40 --enforcementcount 0 &gt;&gt;C:\Users\stu\Documents\GitHub\eaglep3-reporting\EC\2016-09-01-refined-times.txt</v>
      </c>
      <c r="AI15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{"issue":{"subject":"","project_id":79,"tracker_id":40,"status_id":1,"priority_id":2,"assigned_to_id":23,"start_date":"2016-09-01","description":"","custom_fields":[{"id":1,"name":"Subdivision","value":"EC"},{"id":4,"name":"Milepost","value":"23.2598"},{"id":17,"name":"Train ID","value":"103-01"},{"id":16,"name":"Locomotive ID","value":"4020"},{"id":130,"name":"Impact","value":""},{"id":150,"name":"Time of Event (Mountain Time)","value":"04:21:40"},{"id":151,"name":"Denver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749</v>
      </c>
      <c r="B16" s="7"/>
      <c r="C16" s="24" t="s">
        <v>113</v>
      </c>
      <c r="D16" s="24" t="s">
        <v>371</v>
      </c>
      <c r="E16" s="15">
        <v>42614.154444444444</v>
      </c>
      <c r="F16" s="15"/>
      <c r="G16" s="7">
        <v>1</v>
      </c>
      <c r="H16" s="15" t="s">
        <v>288</v>
      </c>
      <c r="I16" s="15"/>
      <c r="J16" s="7">
        <v>0</v>
      </c>
      <c r="K16" s="132" t="str">
        <f>IF(ISEVEN(B16),(B16-1)&amp;"/"&amp;B16,B16&amp;"/"&amp;(B16+1))</f>
        <v>-1/</v>
      </c>
      <c r="L16" s="24" t="e">
        <f>VLOOKUP(A16,'Trips&amp;Operators'!$C$1:$E$10000,3,FALSE)</f>
        <v>#N/A</v>
      </c>
      <c r="M16" s="6">
        <f>I16-F16</f>
        <v>0</v>
      </c>
      <c r="N16" s="7"/>
      <c r="O16" s="7"/>
      <c r="P16" s="7">
        <v>1</v>
      </c>
      <c r="Q16" s="25"/>
      <c r="R16" s="25" t="s">
        <v>747</v>
      </c>
      <c r="S16" s="37">
        <f>SUM(U16:U16)/IF(AG16="EC",12,1)</f>
        <v>0</v>
      </c>
      <c r="T16" s="52" t="str">
        <f>IF(ISEVEN(LEFT(AD16,4)),"Southbound","NorthBound")</f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06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hh:mm:ss")&amp;"-0600',mode:absolute,to:'"&amp;TEXT(I16+1/24,"yyyy-MM-DD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https://search-rtdc-monitor-bjffxe2xuh6vdkpspy63sjmuny.us-east-1.es.amazonaws.com/_plugin/kibana/#/discover/Steve-Slow-Train-Analysis-(2080s-and-2083s)?_g=(refreshInterval:(display:Off,section:0,value:0),time:(from:'2016-09-01 02:42:24-0600',mode:absolute,to:'1900-01-00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16" s="54" t="str">
        <f>IF(AA16&lt;IF(AG16="EC",23,5.65),"Y","N")</f>
        <v>N</v>
      </c>
      <c r="X16" s="120">
        <f t="shared" si="4"/>
        <v>1</v>
      </c>
      <c r="Y16" s="69">
        <f>RIGHT(D16,LEN(D16)-4)/10000</f>
        <v>7.2099999999999997E-2</v>
      </c>
      <c r="Z16" s="69">
        <f>RIGHT(H16,LEN(H16)-4)/10000</f>
        <v>23.331900000000001</v>
      </c>
      <c r="AA16" s="69">
        <f>ABS(Z16-Y16)</f>
        <v>23.259800000000002</v>
      </c>
      <c r="AB16" s="66" t="e">
        <f>VLOOKUP(A16,Enforcements!$C$7:$J$21,8,0)</f>
        <v>#N/A</v>
      </c>
      <c r="AC16" s="62" t="e">
        <f>VLOOKUP(A16,Enforcements!$C$7:$E$21,3,0)</f>
        <v>#N/A</v>
      </c>
      <c r="AD16" s="63" t="str">
        <f>IF(LEN(A16)=6,"0"&amp;A16,A16)</f>
        <v>0104-01</v>
      </c>
      <c r="AE16" s="99" t="str">
        <f>"aws s3 cp "&amp;s3_bucket&amp;"/RTDC"&amp;B16&amp;"/"&amp;TEXT(F16,"YYYY-MM-DD")&amp;"/ "&amp;search_path&amp;"\RTDC"&amp;B16&amp;"\"&amp;TEXT(F16,"YYYY-MM-DD")&amp;" --recursive &amp; """&amp;walkandungz&amp;""" "&amp;search_path&amp;"\RTDC"&amp;B16&amp;"\"&amp;TEXT(F16,"YYYY-MM-DD")
&amp;" &amp; "&amp;"aws s3 cp "&amp;s3_bucket&amp;"/RTDC"&amp;B16&amp;"/"&amp;TEXT(F16+1,"YYYY-MM-DD")&amp;"/ "&amp;search_path&amp;"\RTDC"&amp;B16&amp;"\"&amp;TEXT(F16+1,"YYYY-MM-DD")&amp;" --recursive &amp; """&amp;walkandungz&amp;""" "&amp;search_path&amp;"\RTDC"&amp;B16&amp;"\"&amp;TEXT(F16+1,"YYYY-MM-DD")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16" s="96" t="str">
        <f>astrogrep_path&amp;" /spath="&amp;search_path&amp;" /stypes=""*"&amp;B16&amp;"*"&amp;TEXT(I16-utc_offset/24,"YYYYMMDD")&amp;"*"" /stext="" "&amp;TEXT(I16-utc_offset/24,"HH")&amp;search_regexp&amp;"""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16" s="1" t="str">
        <f>IFERROR(IF(VALUE(LEFT(AD16,2))&lt;=2,"EC",IF(OR(VALUE(LEFT(AD16,2))=8,VALUE(LEFT(AD16,2))=18),"NW","Other")),"Other")</f>
        <v>EC</v>
      </c>
      <c r="AH16" s="100" t="str">
        <f t="shared" ref="AH16" si="5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104-01 --locoid  --swversion DE.1.0.7.0 --startMP 204:721 --initTime 2016-09-01T03:42:24 --startdatetime 1900-01-00T00:00:00 --delay 1 --endMP 204:233319 --enddatetime 1900-01-00T00:00:00 --enforcementcount 0 &gt;&gt;C:\Users\stu\Documents\GitHub\eaglep3-reporting\EC\2016-09-01-refined-times.txt</v>
      </c>
      <c r="AI16" s="149" t="str">
        <f t="shared" ref="AI16" si="6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AA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-X POST -H ""Content-Type: application/json"" -H ""X-Redmine-API-Key: "&amp;redm_api_key&amp;""" "&amp;redm_url&amp;" --data @-"</f>
        <v>echo {"issue":{"subject":"Did not initialize","project_id":79,"tracker_id":40,"status_id":1,"priority_id":2,"assigned_to_id":23,"start_date":"1900-01-00","description":"","custom_fields":[{"id":1,"name":"Subdivision","value":"EC"},{"id":4,"name":"Milepost","value":"23.2598"},{"id":17,"name":"Train ID","value":"104-01"},{"id":16,"name":"Locomotive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372</v>
      </c>
      <c r="B17" s="7">
        <v>4018</v>
      </c>
      <c r="C17" s="24" t="s">
        <v>113</v>
      </c>
      <c r="D17" s="24" t="s">
        <v>373</v>
      </c>
      <c r="E17" s="15">
        <v>42614.175393518519</v>
      </c>
      <c r="F17" s="15">
        <v>42614.17732638889</v>
      </c>
      <c r="G17" s="7">
        <v>1</v>
      </c>
      <c r="H17" s="15" t="s">
        <v>374</v>
      </c>
      <c r="I17" s="15">
        <v>42614.203275462962</v>
      </c>
      <c r="J17" s="7">
        <v>0</v>
      </c>
      <c r="K17" s="132" t="str">
        <f>IF(ISEVEN(B17),(B17-1)&amp;"/"&amp;B17,B17&amp;"/"&amp;(B17+1))</f>
        <v>4017/4018</v>
      </c>
      <c r="L17" s="24" t="str">
        <f>VLOOKUP(A17,'Trips&amp;Operators'!$C$1:$E$10000,3,FALSE)</f>
        <v>MALAVE</v>
      </c>
      <c r="M17" s="6">
        <f>I17-F17</f>
        <v>2.5949074071832001E-2</v>
      </c>
      <c r="N17" s="7">
        <f>24*60*SUM($M17:$M17)</f>
        <v>37.366666663438082</v>
      </c>
      <c r="O17" s="7"/>
      <c r="P17" s="7"/>
      <c r="Q17" s="25"/>
      <c r="R17" s="25"/>
      <c r="S17" s="37">
        <f>SUM(U17:U17)/IF(AG17="EC",12,1)</f>
        <v>1</v>
      </c>
      <c r="T17" s="52" t="str">
        <f>IF(ISEVEN(LEFT(AD17,4)),"Southbound","NorthBound")</f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hh:mm:ss")&amp;"-0600',mode:absolute,to:'"&amp;TEXT(I17+1/24,"yyyy-MM-DD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https://search-rtdc-monitor-bjffxe2xuh6vdkpspy63sjmuny.us-east-1.es.amazonaws.com/_plugin/kibana/#/discover/Steve-Slow-Train-Analysis-(2080s-and-2083s)?_g=(refreshInterval:(display:Off,section:0,value:0),time:(from:'2016-09-01 03:12:34-0600',mode:absolute,to:'2016-09-01 05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" s="54" t="str">
        <f>IF(AA17&lt;IF(AG17="EC",23,5.65),"Y","N")</f>
        <v>N</v>
      </c>
      <c r="X17" s="120">
        <f t="shared" si="4"/>
        <v>1</v>
      </c>
      <c r="Y17" s="69">
        <f>RIGHT(D17,LEN(D17)-4)/10000</f>
        <v>7.7499999999999999E-2</v>
      </c>
      <c r="Z17" s="69">
        <f>RIGHT(H17,LEN(H17)-4)/10000</f>
        <v>23.327999999999999</v>
      </c>
      <c r="AA17" s="69">
        <f>ABS(Z17-Y17)</f>
        <v>23.250499999999999</v>
      </c>
      <c r="AB17" s="66" t="e">
        <f>VLOOKUP(A17,Enforcements!$C$7:$J$21,8,0)</f>
        <v>#N/A</v>
      </c>
      <c r="AC17" s="62" t="e">
        <f>VLOOKUP(A17,Enforcements!$C$7:$E$21,3,0)</f>
        <v>#N/A</v>
      </c>
      <c r="AD17" s="63" t="str">
        <f>IF(LEN(A17)=6,"0"&amp;A17,A17)</f>
        <v>0105-01</v>
      </c>
      <c r="AE17" s="99" t="str">
        <f>"aws s3 cp "&amp;s3_bucket&amp;"/RTDC"&amp;B17&amp;"/"&amp;TEXT(F17,"YYYY-MM-DD")&amp;"/ "&amp;search_path&amp;"\RTDC"&amp;B17&amp;"\"&amp;TEXT(F17,"YYYY-MM-DD")&amp;" --recursive &amp; """&amp;walkandungz&amp;""" "&amp;search_path&amp;"\RTDC"&amp;B17&amp;"\"&amp;TEXT(F17,"YYYY-MM-DD")
&amp;" &amp; "&amp;"aws s3 cp "&amp;s3_bucket&amp;"/RTDC"&amp;B17&amp;"/"&amp;TEXT(F17+1,"YYYY-MM-DD")&amp;"/ "&amp;search_path&amp;"\RTDC"&amp;B17&amp;"\"&amp;TEXT(F17+1,"YYYY-MM-DD")&amp;" --recursive &amp; """&amp;walkandungz&amp;""" "&amp;search_path&amp;"\RTDC"&amp;B17&amp;"\"&amp;TEXT(F17+1,"YYYY-MM-DD")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7" s="96" t="str">
        <f>astrogrep_path&amp;" /spath="&amp;search_path&amp;" /stypes=""*"&amp;B17&amp;"*"&amp;TEXT(I17-utc_offset/24,"YYYYMMDD")&amp;"*"" /stext="" "&amp;TEXT(I17-utc_offset/24,"HH")&amp;search_regexp&amp;""" /e /r /s"</f>
        <v>"C:\Program Files (x86)\AstroGrep\AstroGrep.exe" /spath="%USERPROFILE%\AppData\Local\Temp\OnboardLogs" /stypes="*4018*20160901*" /stext=" 10:.+((SYSTEM_STATE.+slice.+state.+changed )|(ment ac)|(system.+state.+changed )|(\|lc)|(penalty)|(\[timeout)|(PRM\|1\|D)|(kpr)|(kdp))" /e /r /s</v>
      </c>
      <c r="AG17" s="1" t="str">
        <f>IFERROR(IF(VALUE(LEFT(AD17,2))&lt;=2,"EC",IF(OR(VALUE(LEFT(AD17,2))=8,VALUE(LEFT(AD17,2))=18),"NW","Other")),"Other")</f>
        <v>EC</v>
      </c>
      <c r="AH17" s="100" t="str">
        <f t="shared" si="2"/>
        <v>"%USERPROFILE%\Documents\GitHub\eaglep3\Utilities\RefineRTDCRunTimes.py" --tripid 105-01 --locoid 4018 --swversion DE.1.0.7.0 --startMP 204:775 --initTime 2016-09-01T04:12:34 --startdatetime 2016-09-01T04:15:21 --delay 1 --endMP 204:233280 --enddatetime 2016-09-01T04:52:43 --enforcementcount 0 &gt;&gt;C:\Users\stu\Documents\GitHub\eaglep3-reporting\EC\2016-09-01-refined-times.txt</v>
      </c>
      <c r="AI17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{"issue":{"subject":"","project_id":79,"tracker_id":40,"status_id":1,"priority_id":2,"assigned_to_id":23,"start_date":"2016-09-01","description":"","custom_fields":[{"id":1,"name":"Subdivision","value":"EC"},{"id":4,"name":"Milepost","value":"23.2505"},{"id":17,"name":"Train ID","value":"105-01"},{"id":16,"name":"Locomotive ID","value":"4018"},{"id":130,"name":"Impact","value":""},{"id":150,"name":"Time of Event (Mountain Time)","value":"04:52:43"},{"id":151,"name":"Denver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375</v>
      </c>
      <c r="B18" s="7">
        <v>4012</v>
      </c>
      <c r="C18" s="24" t="s">
        <v>113</v>
      </c>
      <c r="D18" s="24" t="s">
        <v>376</v>
      </c>
      <c r="E18" s="15">
        <v>42614.211550925924</v>
      </c>
      <c r="F18" s="15">
        <v>42614.216215277775</v>
      </c>
      <c r="G18" s="7">
        <v>1</v>
      </c>
      <c r="H18" s="15" t="s">
        <v>326</v>
      </c>
      <c r="I18" s="15">
        <v>42614.243703703702</v>
      </c>
      <c r="J18" s="7">
        <v>0</v>
      </c>
      <c r="K18" s="132" t="str">
        <f>IF(ISEVEN(B18),(B18-1)&amp;"/"&amp;B18,B18&amp;"/"&amp;(B18+1))</f>
        <v>4011/4012</v>
      </c>
      <c r="L18" s="24" t="str">
        <f>VLOOKUP(A18,'Trips&amp;Operators'!$C$1:$E$10000,3,FALSE)</f>
        <v>MALAVE</v>
      </c>
      <c r="M18" s="6">
        <f>I18-F18</f>
        <v>2.7488425927003846E-2</v>
      </c>
      <c r="N18" s="7">
        <f>24*60*SUM($M18:$M18)</f>
        <v>39.583333334885538</v>
      </c>
      <c r="O18" s="7"/>
      <c r="P18" s="7"/>
      <c r="Q18" s="25"/>
      <c r="R18" s="25"/>
      <c r="S18" s="37">
        <f>SUM(U18:U18)/IF(AG18="EC",12,1)</f>
        <v>1</v>
      </c>
      <c r="T18" s="52" t="str">
        <f>IF(ISEVEN(LEFT(AD18,4)),"Southbound","NorthBound")</f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hh:mm:ss")&amp;"-0600',mode:absolute,to:'"&amp;TEXT(I18+1/24,"yyyy-MM-DD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https://search-rtdc-monitor-bjffxe2xuh6vdkpspy63sjmuny.us-east-1.es.amazonaws.com/_plugin/kibana/#/discover/Steve-Slow-Train-Analysis-(2080s-and-2083s)?_g=(refreshInterval:(display:Off,section:0,value:0),time:(from:'2016-09-01 04:04:38-0600',mode:absolute,to:'2016-09-01 06:50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8" s="54" t="str">
        <f>IF(AA18&lt;IF(AG18="EC",23,5.65),"Y","N")</f>
        <v>N</v>
      </c>
      <c r="X18" s="120">
        <f t="shared" si="4"/>
        <v>1</v>
      </c>
      <c r="Y18" s="69">
        <f>RIGHT(D18,LEN(D18)-4)/10000</f>
        <v>23.2639</v>
      </c>
      <c r="Z18" s="69">
        <f>RIGHT(H18,LEN(H18)-4)/10000</f>
        <v>1.6899999999999998E-2</v>
      </c>
      <c r="AA18" s="69">
        <f>ABS(Z18-Y18)</f>
        <v>23.247</v>
      </c>
      <c r="AB18" s="66" t="e">
        <f>VLOOKUP(A18,Enforcements!$C$7:$J$21,8,0)</f>
        <v>#N/A</v>
      </c>
      <c r="AC18" s="62" t="e">
        <f>VLOOKUP(A18,Enforcements!$C$7:$E$21,3,0)</f>
        <v>#N/A</v>
      </c>
      <c r="AD18" s="63" t="str">
        <f>IF(LEN(A18)=6,"0"&amp;A18,A18)</f>
        <v>0106-01</v>
      </c>
      <c r="AE18" s="99" t="str">
        <f>"aws s3 cp "&amp;s3_bucket&amp;"/RTDC"&amp;B18&amp;"/"&amp;TEXT(F18,"YYYY-MM-DD")&amp;"/ "&amp;search_path&amp;"\RTDC"&amp;B18&amp;"\"&amp;TEXT(F18,"YYYY-MM-DD")&amp;" --recursive &amp; """&amp;walkandungz&amp;""" "&amp;search_path&amp;"\RTDC"&amp;B18&amp;"\"&amp;TEXT(F18,"YYYY-MM-DD")
&amp;" &amp; "&amp;"aws s3 cp "&amp;s3_bucket&amp;"/RTDC"&amp;B18&amp;"/"&amp;TEXT(F18+1,"YYYY-MM-DD")&amp;"/ "&amp;search_path&amp;"\RTDC"&amp;B18&amp;"\"&amp;TEXT(F18+1,"YYYY-MM-DD")&amp;" --recursive &amp; """&amp;walkandungz&amp;""" "&amp;search_path&amp;"\RTDC"&amp;B18&amp;"\"&amp;TEXT(F18+1,"YYYY-MM-DD")</f>
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</c>
      <c r="AF18" s="96" t="str">
        <f>astrogrep_path&amp;" /spath="&amp;search_path&amp;" /stypes=""*"&amp;B18&amp;"*"&amp;TEXT(I18-utc_offset/24,"YYYYMMDD")&amp;"*"" /stext="" "&amp;TEXT(I18-utc_offset/24,"HH")&amp;search_regexp&amp;""" /e /r /s"</f>
        <v>"C:\Program Files (x86)\AstroGrep\AstroGrep.exe" /spath="%USERPROFILE%\AppData\Local\Temp\OnboardLogs" /stypes="*4012*20160901*" /stext=" 11:.+((SYSTEM_STATE.+slice.+state.+changed )|(ment ac)|(system.+state.+changed )|(\|lc)|(penalty)|(\[timeout)|(PRM\|1\|D)|(kpr)|(kdp))" /e /r /s</v>
      </c>
      <c r="AG18" s="1" t="str">
        <f>IFERROR(IF(VALUE(LEFT(AD18,2))&lt;=2,"EC",IF(OR(VALUE(LEFT(AD18,2))=8,VALUE(LEFT(AD18,2))=18),"NW","Other")),"Other")</f>
        <v>EC</v>
      </c>
      <c r="AH18" s="100" t="str">
        <f t="shared" si="2"/>
        <v>"%USERPROFILE%\Documents\GitHub\eaglep3\Utilities\RefineRTDCRunTimes.py" --tripid 106-01 --locoid 4012 --swversion DE.1.0.7.0 --startMP 204:232639 --initTime 2016-09-01T05:04:38 --startdatetime 2016-09-01T05:11:21 --delay 1 --endMP 204:169 --enddatetime 2016-09-01T05:50:56 --enforcementcount 0 &gt;&gt;C:\Users\stu\Documents\GitHub\eaglep3-reporting\EC\2016-09-01-refined-times.txt</v>
      </c>
      <c r="AI18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{"issue":{"subject":"","project_id":79,"tracker_id":40,"status_id":1,"priority_id":2,"assigned_to_id":23,"start_date":"2016-09-01","description":"","custom_fields":[{"id":1,"name":"Subdivision","value":"EC"},{"id":4,"name":"Milepost","value":"23.247"},{"id":17,"name":"Train ID","value":"106-01"},{"id":16,"name":"Locomotive ID","value":"4012"},{"id":130,"name":"Impact","value":""},{"id":150,"name":"Time of Event (Mountain Time)","value":"05:50:56"},{"id":151,"name":"Denver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377</v>
      </c>
      <c r="B19" s="7">
        <v>4038</v>
      </c>
      <c r="C19" s="24" t="s">
        <v>113</v>
      </c>
      <c r="D19" s="24" t="s">
        <v>378</v>
      </c>
      <c r="E19" s="15">
        <v>42614.182592592595</v>
      </c>
      <c r="F19" s="15">
        <v>42614.187650462962</v>
      </c>
      <c r="G19" s="7">
        <v>6</v>
      </c>
      <c r="H19" s="15" t="s">
        <v>328</v>
      </c>
      <c r="I19" s="15">
        <v>42614.215011574073</v>
      </c>
      <c r="J19" s="7">
        <v>0</v>
      </c>
      <c r="K19" s="132" t="str">
        <f>IF(ISEVEN(B19),(B19-1)&amp;"/"&amp;B19,B19&amp;"/"&amp;(B19+1))</f>
        <v>4037/4038</v>
      </c>
      <c r="L19" s="24" t="str">
        <f>VLOOKUP(A19,'Trips&amp;Operators'!$C$1:$E$10000,3,FALSE)</f>
        <v>STRICKLAND</v>
      </c>
      <c r="M19" s="6">
        <f>I19-F19</f>
        <v>2.73611111115315E-2</v>
      </c>
      <c r="N19" s="7">
        <f>24*60*SUM($M19:$M19)</f>
        <v>39.40000000060536</v>
      </c>
      <c r="O19" s="7"/>
      <c r="P19" s="7"/>
      <c r="Q19" s="25"/>
      <c r="R19" s="25"/>
      <c r="S19" s="37">
        <f>SUM(U19:U19)/IF(AG19="EC",12,1)</f>
        <v>1</v>
      </c>
      <c r="T19" s="52" t="str">
        <f>IF(ISEVEN(LEFT(AD19,4)),"Southbound","NorthBound")</f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hh:mm:ss")&amp;"-0600',mode:absolute,to:'"&amp;TEXT(I19+1/24,"yyyy-MM-DD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https://search-rtdc-monitor-bjffxe2xuh6vdkpspy63sjmuny.us-east-1.es.amazonaws.com/_plugin/kibana/#/discover/Steve-Slow-Train-Analysis-(2080s-and-2083s)?_g=(refreshInterval:(display:Off,section:0,value:0),time:(from:'2016-09-01 03:22:56-0600',mode:absolute,to:'2016-09-01 06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" s="54" t="str">
        <f>IF(AA19&lt;IF(AG19="EC",23,5.65),"Y","N")</f>
        <v>N</v>
      </c>
      <c r="X19" s="120">
        <f t="shared" si="4"/>
        <v>1</v>
      </c>
      <c r="Y19" s="69">
        <f>RIGHT(D19,LEN(D19)-4)/10000</f>
        <v>4.2000000000000003E-2</v>
      </c>
      <c r="Z19" s="69">
        <f>RIGHT(H19,LEN(H19)-4)/10000</f>
        <v>23.331700000000001</v>
      </c>
      <c r="AA19" s="69">
        <f>ABS(Z19-Y19)</f>
        <v>23.2897</v>
      </c>
      <c r="AB19" s="66" t="e">
        <f>VLOOKUP(A19,Enforcements!$C$7:$J$21,8,0)</f>
        <v>#N/A</v>
      </c>
      <c r="AC19" s="62" t="e">
        <f>VLOOKUP(A19,Enforcements!$C$7:$E$21,3,0)</f>
        <v>#N/A</v>
      </c>
      <c r="AD19" s="63" t="str">
        <f>IF(LEN(A19)=6,"0"&amp;A19,A19)</f>
        <v>0107-01</v>
      </c>
      <c r="AE19" s="99" t="str">
        <f>"aws s3 cp "&amp;s3_bucket&amp;"/RTDC"&amp;B19&amp;"/"&amp;TEXT(F19,"YYYY-MM-DD")&amp;"/ "&amp;search_path&amp;"\RTDC"&amp;B19&amp;"\"&amp;TEXT(F19,"YYYY-MM-DD")&amp;" --recursive &amp; """&amp;walkandungz&amp;""" "&amp;search_path&amp;"\RTDC"&amp;B19&amp;"\"&amp;TEXT(F19,"YYYY-MM-DD")
&amp;" &amp; "&amp;"aws s3 cp "&amp;s3_bucket&amp;"/RTDC"&amp;B19&amp;"/"&amp;TEXT(F19+1,"YYYY-MM-DD")&amp;"/ "&amp;search_path&amp;"\RTDC"&amp;B19&amp;"\"&amp;TEXT(F19+1,"YYYY-MM-DD")&amp;" --recursive &amp; """&amp;walkandungz&amp;""" "&amp;search_path&amp;"\RTDC"&amp;B19&amp;"\"&amp;TEXT(F19+1,"YYYY-MM-DD")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19" s="96" t="str">
        <f>astrogrep_path&amp;" /spath="&amp;search_path&amp;" /stypes=""*"&amp;B19&amp;"*"&amp;TEXT(I19-utc_offset/24,"YYYYMMDD")&amp;"*"" /stext="" "&amp;TEXT(I19-utc_offset/24,"HH")&amp;search_regexp&amp;""" /e /r /s"</f>
        <v>"C:\Program Files (x86)\AstroGrep\AstroGrep.exe" /spath="%USERPROFILE%\AppData\Local\Temp\OnboardLogs" /stypes="*4038*20160901*" /stext=" 11:.+((SYSTEM_STATE.+slice.+state.+changed )|(ment ac)|(system.+state.+changed )|(\|lc)|(penalty)|(\[timeout)|(PRM\|1\|D)|(kpr)|(kdp))" /e /r /s</v>
      </c>
      <c r="AG19" s="1" t="str">
        <f>IFERROR(IF(VALUE(LEFT(AD19,2))&lt;=2,"EC",IF(OR(VALUE(LEFT(AD19,2))=8,VALUE(LEFT(AD19,2))=18),"NW","Other")),"Other")</f>
        <v>EC</v>
      </c>
      <c r="AH19" s="100" t="str">
        <f t="shared" si="2"/>
        <v>"%USERPROFILE%\Documents\GitHub\eaglep3\Utilities\RefineRTDCRunTimes.py" --tripid 107-01 --locoid 4038 --swversion DE.1.0.7.0 --startMP 204:420 --initTime 2016-09-01T04:22:56 --startdatetime 2016-09-01T04:30:13 --delay 6 --endMP 204:233317 --enddatetime 2016-09-01T05:09:37 --enforcementcount 0 &gt;&gt;C:\Users\stu\Documents\GitHub\eaglep3-reporting\EC\2016-09-01-refined-times.txt</v>
      </c>
      <c r="AI19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{"issue":{"subject":"","project_id":79,"tracker_id":40,"status_id":1,"priority_id":2,"assigned_to_id":23,"start_date":"2016-09-01","description":"","custom_fields":[{"id":1,"name":"Subdivision","value":"EC"},{"id":4,"name":"Milepost","value":"23.2897"},{"id":17,"name":"Train ID","value":"107-01"},{"id":16,"name":"Locomotive ID","value":"4038"},{"id":130,"name":"Impact","value":""},{"id":150,"name":"Time of Event (Mountain Time)","value":"05:09:37"},{"id":151,"name":"Denver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379</v>
      </c>
      <c r="B20" s="7">
        <v>4037</v>
      </c>
      <c r="C20" s="24" t="s">
        <v>113</v>
      </c>
      <c r="D20" s="24" t="s">
        <v>319</v>
      </c>
      <c r="E20" s="15">
        <v>42614.224131944444</v>
      </c>
      <c r="F20" s="15">
        <v>42614.2265625</v>
      </c>
      <c r="G20" s="7">
        <v>1</v>
      </c>
      <c r="H20" s="15" t="s">
        <v>299</v>
      </c>
      <c r="I20" s="15">
        <v>42614.254849537036</v>
      </c>
      <c r="J20" s="7">
        <v>0</v>
      </c>
      <c r="K20" s="132" t="str">
        <f>IF(ISEVEN(B20),(B20-1)&amp;"/"&amp;B20,B20&amp;"/"&amp;(B20+1))</f>
        <v>4037/4038</v>
      </c>
      <c r="L20" s="24" t="str">
        <f>VLOOKUP(A20,'Trips&amp;Operators'!$C$1:$E$10000,3,FALSE)</f>
        <v>STRICKLAND</v>
      </c>
      <c r="M20" s="6">
        <f>I20-F20</f>
        <v>2.8287037035624962E-2</v>
      </c>
      <c r="N20" s="7">
        <f>24*60*SUM($M20:$M20)</f>
        <v>40.733333331299946</v>
      </c>
      <c r="O20" s="7"/>
      <c r="P20" s="7"/>
      <c r="Q20" s="25"/>
      <c r="R20" s="25"/>
      <c r="S20" s="37">
        <f>SUM(U20:U20)/IF(AG20="EC",12,1)</f>
        <v>1</v>
      </c>
      <c r="T20" s="52" t="str">
        <f>IF(ISEVEN(LEFT(AD20,4)),"Southbound","NorthBound")</f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hh:mm:ss")&amp;"-0600',mode:absolute,to:'"&amp;TEXT(I20+1/24,"yyyy-MM-DD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https://search-rtdc-monitor-bjffxe2xuh6vdkpspy63sjmuny.us-east-1.es.amazonaws.com/_plugin/kibana/#/discover/Steve-Slow-Train-Analysis-(2080s-and-2083s)?_g=(refreshInterval:(display:Off,section:0,value:0),time:(from:'2016-09-01 04:22:45-0600',mode:absolute,to:'2016-09-01 07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0" s="54" t="str">
        <f>IF(AA20&lt;IF(AG20="EC",23,5.65),"Y","N")</f>
        <v>N</v>
      </c>
      <c r="X20" s="120">
        <f t="shared" ref="X16:X21" si="7">VALUE(LEFT(AD20,4))-VALUE(LEFT(AD19,4))</f>
        <v>1</v>
      </c>
      <c r="Y20" s="69">
        <f>RIGHT(D20,LEN(D20)-4)/10000</f>
        <v>23.297899999999998</v>
      </c>
      <c r="Z20" s="69">
        <f>RIGHT(H20,LEN(H20)-4)/10000</f>
        <v>1.38E-2</v>
      </c>
      <c r="AA20" s="69">
        <f>ABS(Z20-Y20)</f>
        <v>23.284099999999999</v>
      </c>
      <c r="AB20" s="66" t="e">
        <f>VLOOKUP(A20,Enforcements!$C$7:$J$21,8,0)</f>
        <v>#N/A</v>
      </c>
      <c r="AC20" s="62" t="e">
        <f>VLOOKUP(A20,Enforcements!$C$7:$E$21,3,0)</f>
        <v>#N/A</v>
      </c>
      <c r="AD20" s="63" t="str">
        <f>IF(LEN(A20)=6,"0"&amp;A20,A20)</f>
        <v>0108-01</v>
      </c>
      <c r="AE20" s="99" t="str">
        <f>"aws s3 cp "&amp;s3_bucket&amp;"/RTDC"&amp;B20&amp;"/"&amp;TEXT(F20,"YYYY-MM-DD")&amp;"/ "&amp;search_path&amp;"\RTDC"&amp;B20&amp;"\"&amp;TEXT(F20,"YYYY-MM-DD")&amp;" --recursive &amp; """&amp;walkandungz&amp;""" "&amp;search_path&amp;"\RTDC"&amp;B20&amp;"\"&amp;TEXT(F20,"YYYY-MM-DD")
&amp;" &amp; "&amp;"aws s3 cp "&amp;s3_bucket&amp;"/RTDC"&amp;B20&amp;"/"&amp;TEXT(F20+1,"YYYY-MM-DD")&amp;"/ "&amp;search_path&amp;"\RTDC"&amp;B20&amp;"\"&amp;TEXT(F20+1,"YYYY-MM-DD")&amp;" --recursive &amp; """&amp;walkandungz&amp;""" "&amp;search_path&amp;"\RTDC"&amp;B20&amp;"\"&amp;TEXT(F20+1,"YYYY-MM-DD")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20" s="96" t="str">
        <f>astrogrep_path&amp;" /spath="&amp;search_path&amp;" /stypes=""*"&amp;B20&amp;"*"&amp;TEXT(I20-utc_offset/24,"YYYYMMDD")&amp;"*"" /stext="" "&amp;TEXT(I20-utc_offset/24,"HH")&amp;search_regexp&amp;""" /e /r /s"</f>
        <v>"C:\Program Files (x86)\AstroGrep\AstroGrep.exe" /spath="%USERPROFILE%\AppData\Local\Temp\OnboardLogs" /stypes="*4037*20160901*" /stext=" 12:.+((SYSTEM_STATE.+slice.+state.+changed )|(ment ac)|(system.+state.+changed )|(\|lc)|(penalty)|(\[timeout)|(PRM\|1\|D)|(kpr)|(kdp))" /e /r /s</v>
      </c>
      <c r="AG20" s="1" t="str">
        <f>IFERROR(IF(VALUE(LEFT(AD20,2))&lt;=2,"EC",IF(OR(VALUE(LEFT(AD20,2))=8,VALUE(LEFT(AD20,2))=18),"NW","Other")),"Other")</f>
        <v>EC</v>
      </c>
      <c r="AH20" s="100" t="str">
        <f t="shared" si="2"/>
        <v>"%USERPROFILE%\Documents\GitHub\eaglep3\Utilities\RefineRTDCRunTimes.py" --tripid 108-01 --locoid 4037 --swversion DE.1.0.7.0 --startMP 204:232979 --initTime 2016-09-01T05:22:45 --startdatetime 2016-09-01T05:26:15 --delay 1 --endMP 204:138 --enddatetime 2016-09-01T06:06:59 --enforcementcount 0 &gt;&gt;C:\Users\stu\Documents\GitHub\eaglep3-reporting\EC\2016-09-01-refined-times.txt</v>
      </c>
      <c r="AI20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{"issue":{"subject":"","project_id":79,"tracker_id":40,"status_id":1,"priority_id":2,"assigned_to_id":23,"start_date":"2016-09-01","description":"","custom_fields":[{"id":1,"name":"Subdivision","value":"EC"},{"id":4,"name":"Milepost","value":"23.2841"},{"id":17,"name":"Train ID","value":"108-01"},{"id":16,"name":"Locomotive ID","value":"4037"},{"id":130,"name":"Impact","value":""},{"id":150,"name":"Time of Event (Mountain Time)","value":"06:06:59"},{"id":151,"name":"Denver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380</v>
      </c>
      <c r="B21" s="7">
        <v>4007</v>
      </c>
      <c r="C21" s="24" t="s">
        <v>113</v>
      </c>
      <c r="D21" s="24" t="s">
        <v>243</v>
      </c>
      <c r="E21" s="15">
        <v>42614.19635416667</v>
      </c>
      <c r="F21" s="15">
        <v>42614.198263888888</v>
      </c>
      <c r="G21" s="7">
        <v>1</v>
      </c>
      <c r="H21" s="15" t="s">
        <v>381</v>
      </c>
      <c r="I21" s="15">
        <v>42614.222743055558</v>
      </c>
      <c r="J21" s="7">
        <v>0</v>
      </c>
      <c r="K21" s="132" t="str">
        <f>IF(ISEVEN(B21),(B21-1)&amp;"/"&amp;B21,B21&amp;"/"&amp;(B21+1))</f>
        <v>4007/4008</v>
      </c>
      <c r="L21" s="24" t="str">
        <f>VLOOKUP(A21,'Trips&amp;Operators'!$C$1:$E$10000,3,FALSE)</f>
        <v>ARVIDSON</v>
      </c>
      <c r="M21" s="6">
        <f>I21-F21</f>
        <v>2.4479166670062114E-2</v>
      </c>
      <c r="N21" s="7">
        <f>24*60*SUM($M21:$M21)</f>
        <v>35.250000004889444</v>
      </c>
      <c r="O21" s="7"/>
      <c r="P21" s="7"/>
      <c r="Q21" s="25"/>
      <c r="R21" s="25"/>
      <c r="S21" s="37">
        <f>SUM(U21:U21)/IF(AG21="EC",12,1)</f>
        <v>1</v>
      </c>
      <c r="T21" s="52" t="str">
        <f>IF(ISEVEN(LEFT(AD21,4)),"Southbound","NorthBound")</f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hh:mm:ss")&amp;"-0600',mode:absolute,to:'"&amp;TEXT(I21+1/24,"yyyy-MM-DD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https://search-rtdc-monitor-bjffxe2xuh6vdkpspy63sjmuny.us-east-1.es.amazonaws.com/_plugin/kibana/#/discover/Steve-Slow-Train-Analysis-(2080s-and-2083s)?_g=(refreshInterval:(display:Off,section:0,value:0),time:(from:'2016-09-01 03:42:45-0600',mode:absolute,to:'2016-09-01 06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1" s="54" t="str">
        <f>IF(AA21&lt;IF(AG21="EC",23,5.65),"Y","N")</f>
        <v>N</v>
      </c>
      <c r="X21" s="120">
        <f t="shared" si="7"/>
        <v>1</v>
      </c>
      <c r="Y21" s="69">
        <f>RIGHT(D21,LEN(D21)-4)/10000</f>
        <v>4.6600000000000003E-2</v>
      </c>
      <c r="Z21" s="69">
        <f>RIGHT(H21,LEN(H21)-4)/10000</f>
        <v>23.327400000000001</v>
      </c>
      <c r="AA21" s="69">
        <f>ABS(Z21-Y21)</f>
        <v>23.280799999999999</v>
      </c>
      <c r="AB21" s="66" t="e">
        <f>VLOOKUP(A21,Enforcements!$C$7:$J$21,8,0)</f>
        <v>#N/A</v>
      </c>
      <c r="AC21" s="62" t="e">
        <f>VLOOKUP(A21,Enforcements!$C$7:$E$21,3,0)</f>
        <v>#N/A</v>
      </c>
      <c r="AD21" s="63" t="str">
        <f>IF(LEN(A21)=6,"0"&amp;A21,A21)</f>
        <v>0109-01</v>
      </c>
      <c r="AE21" s="99" t="str">
        <f>"aws s3 cp "&amp;s3_bucket&amp;"/RTDC"&amp;B21&amp;"/"&amp;TEXT(F21,"YYYY-MM-DD")&amp;"/ "&amp;search_path&amp;"\RTDC"&amp;B21&amp;"\"&amp;TEXT(F21,"YYYY-MM-DD")&amp;" --recursive &amp; """&amp;walkandungz&amp;""" "&amp;search_path&amp;"\RTDC"&amp;B21&amp;"\"&amp;TEXT(F21,"YYYY-MM-DD")
&amp;" &amp; "&amp;"aws s3 cp "&amp;s3_bucket&amp;"/RTDC"&amp;B21&amp;"/"&amp;TEXT(F21+1,"YYYY-MM-DD")&amp;"/ "&amp;search_path&amp;"\RTDC"&amp;B21&amp;"\"&amp;TEXT(F21+1,"YYYY-MM-DD")&amp;" --recursive &amp; """&amp;walkandungz&amp;""" "&amp;search_path&amp;"\RTDC"&amp;B21&amp;"\"&amp;TEXT(F21+1,"YYYY-MM-DD")</f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21" s="96" t="str">
        <f>astrogrep_path&amp;" /spath="&amp;search_path&amp;" /stypes=""*"&amp;B21&amp;"*"&amp;TEXT(I21-utc_offset/24,"YYYYMMDD")&amp;"*"" /stext="" "&amp;TEXT(I21-utc_offset/24,"HH")&amp;search_regexp&amp;""" /e /r /s"</f>
        <v>"C:\Program Files (x86)\AstroGrep\AstroGrep.exe" /spath="%USERPROFILE%\AppData\Local\Temp\OnboardLogs" /stypes="*4007*20160901*" /stext=" 11:.+((SYSTEM_STATE.+slice.+state.+changed )|(ment ac)|(system.+state.+changed )|(\|lc)|(penalty)|(\[timeout)|(PRM\|1\|D)|(kpr)|(kdp))" /e /r /s</v>
      </c>
      <c r="AG21" s="1" t="str">
        <f>IFERROR(IF(VALUE(LEFT(AD21,2))&lt;=2,"EC",IF(OR(VALUE(LEFT(AD21,2))=8,VALUE(LEFT(AD21,2))=18),"NW","Other")),"Other")</f>
        <v>EC</v>
      </c>
      <c r="AH21" s="100" t="str">
        <f t="shared" si="2"/>
        <v>"%USERPROFILE%\Documents\GitHub\eaglep3\Utilities\RefineRTDCRunTimes.py" --tripid 109-01 --locoid 4007 --swversion DE.1.0.7.0 --startMP 204:466 --initTime 2016-09-01T04:42:45 --startdatetime 2016-09-01T04:45:30 --delay 1 --endMP 204:233274 --enddatetime 2016-09-01T05:20:45 --enforcementcount 0 &gt;&gt;C:\Users\stu\Documents\GitHub\eaglep3-reporting\EC\2016-09-01-refined-times.txt</v>
      </c>
      <c r="AI21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{"issue":{"subject":"","project_id":79,"tracker_id":40,"status_id":1,"priority_id":2,"assigned_to_id":23,"start_date":"2016-09-01","description":"","custom_fields":[{"id":1,"name":"Subdivision","value":"EC"},{"id":4,"name":"Milepost","value":"23.2808"},{"id":17,"name":"Train ID","value":"109-01"},{"id":16,"name":"Locomotive ID","value":"4007"},{"id":130,"name":"Impact","value":""},{"id":150,"name":"Time of Event (Mountain Time)","value":"05:20:45"},{"id":151,"name":"Denver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382</v>
      </c>
      <c r="B22" s="7">
        <v>4008</v>
      </c>
      <c r="C22" s="24" t="s">
        <v>113</v>
      </c>
      <c r="D22" s="24" t="s">
        <v>253</v>
      </c>
      <c r="E22" s="15">
        <v>42614.235324074078</v>
      </c>
      <c r="F22" s="15">
        <v>42614.23704861111</v>
      </c>
      <c r="G22" s="7">
        <v>1</v>
      </c>
      <c r="H22" s="15" t="s">
        <v>131</v>
      </c>
      <c r="I22" s="15">
        <v>42614.263703703706</v>
      </c>
      <c r="J22" s="7">
        <v>0</v>
      </c>
      <c r="K22" s="132" t="str">
        <f>IF(ISEVEN(B22),(B22-1)&amp;"/"&amp;B22,B22&amp;"/"&amp;(B22+1))</f>
        <v>4007/4008</v>
      </c>
      <c r="L22" s="24" t="str">
        <f>VLOOKUP(A22,'Trips&amp;Operators'!$C$1:$E$10000,3,FALSE)</f>
        <v>ARVIDSON</v>
      </c>
      <c r="M22" s="6">
        <f>I22-F22</f>
        <v>2.6655092595319729E-2</v>
      </c>
      <c r="N22" s="7">
        <f>24*60*SUM($M22:$M22)</f>
        <v>38.38333333726041</v>
      </c>
      <c r="O22" s="7"/>
      <c r="P22" s="7"/>
      <c r="Q22" s="25"/>
      <c r="R22" s="25"/>
      <c r="S22" s="37">
        <f>SUM(U22:U22)/IF(AG22="EC",12,1)</f>
        <v>1</v>
      </c>
      <c r="T22" s="52" t="str">
        <f>IF(ISEVEN(LEFT(AD22,4)),"Southbound","NorthBound")</f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hh:mm:ss")&amp;"-0600',mode:absolute,to:'"&amp;TEXT(I22+1/24,"yyyy-MM-DD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https://search-rtdc-monitor-bjffxe2xuh6vdkpspy63sjmuny.us-east-1.es.amazonaws.com/_plugin/kibana/#/discover/Steve-Slow-Train-Analysis-(2080s-and-2083s)?_g=(refreshInterval:(display:Off,section:0,value:0),time:(from:'2016-09-01 04:38:52-0600',mode:absolute,to:'2016-09-01 07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22" s="54" t="str">
        <f>IF(AA22&lt;IF(AG22="EC",23,5.65),"Y","N")</f>
        <v>N</v>
      </c>
      <c r="X22" s="120">
        <f t="shared" ref="X22:X27" si="8">VALUE(LEFT(AD22,4))-VALUE(LEFT(AD21,4))</f>
        <v>1</v>
      </c>
      <c r="Y22" s="69">
        <f>RIGHT(D22,LEN(D22)-4)/10000</f>
        <v>23.296099999999999</v>
      </c>
      <c r="Z22" s="69">
        <f>RIGHT(H22,LEN(H22)-4)/10000</f>
        <v>1.5800000000000002E-2</v>
      </c>
      <c r="AA22" s="69">
        <f>ABS(Z22-Y22)</f>
        <v>23.2803</v>
      </c>
      <c r="AB22" s="66" t="e">
        <f>VLOOKUP(A22,Enforcements!$C$7:$J$21,8,0)</f>
        <v>#N/A</v>
      </c>
      <c r="AC22" s="62" t="e">
        <f>VLOOKUP(A22,Enforcements!$C$7:$E$21,3,0)</f>
        <v>#N/A</v>
      </c>
      <c r="AD22" s="63" t="str">
        <f>IF(LEN(A22)=6,"0"&amp;A22,A22)</f>
        <v>0110-01</v>
      </c>
      <c r="AE22" s="99" t="str">
        <f>"aws s3 cp "&amp;s3_bucket&amp;"/RTDC"&amp;B22&amp;"/"&amp;TEXT(F22,"YYYY-MM-DD")&amp;"/ "&amp;search_path&amp;"\RTDC"&amp;B22&amp;"\"&amp;TEXT(F22,"YYYY-MM-DD")&amp;" --recursive &amp; """&amp;walkandungz&amp;""" "&amp;search_path&amp;"\RTDC"&amp;B22&amp;"\"&amp;TEXT(F22,"YYYY-MM-DD")
&amp;" &amp; "&amp;"aws s3 cp "&amp;s3_bucket&amp;"/RTDC"&amp;B22&amp;"/"&amp;TEXT(F22+1,"YYYY-MM-DD")&amp;"/ "&amp;search_path&amp;"\RTDC"&amp;B22&amp;"\"&amp;TEXT(F22+1,"YYYY-MM-DD")&amp;" --recursive &amp; """&amp;walkandungz&amp;""" "&amp;search_path&amp;"\RTDC"&amp;B22&amp;"\"&amp;TEXT(F22+1,"YYYY-MM-DD")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22" s="96" t="str">
        <f>astrogrep_path&amp;" /spath="&amp;search_path&amp;" /stypes=""*"&amp;B22&amp;"*"&amp;TEXT(I22-utc_offset/24,"YYYYMMDD")&amp;"*"" /stext="" "&amp;TEXT(I22-utc_offset/24,"HH")&amp;search_regexp&amp;""" /e /r /s"</f>
        <v>"C:\Program Files (x86)\AstroGrep\AstroGrep.exe" /spath="%USERPROFILE%\AppData\Local\Temp\OnboardLogs" /stypes="*4008*20160901*" /stext=" 12:.+((SYSTEM_STATE.+slice.+state.+changed )|(ment ac)|(system.+state.+changed )|(\|lc)|(penalty)|(\[timeout)|(PRM\|1\|D)|(kpr)|(kdp))" /e /r /s</v>
      </c>
      <c r="AG22" s="1" t="str">
        <f>IFERROR(IF(VALUE(LEFT(AD22,2))&lt;=2,"EC",IF(OR(VALUE(LEFT(AD22,2))=8,VALUE(LEFT(AD22,2))=18),"NW","Other")),"Other")</f>
        <v>EC</v>
      </c>
      <c r="AH22" s="100" t="str">
        <f t="shared" si="2"/>
        <v>"%USERPROFILE%\Documents\GitHub\eaglep3\Utilities\RefineRTDCRunTimes.py" --tripid 110-01 --locoid 4008 --swversion DE.1.0.7.0 --startMP 204:232961 --initTime 2016-09-01T05:38:52 --startdatetime 2016-09-01T05:41:21 --delay 1 --endMP 204:158 --enddatetime 2016-09-01T06:19:44 --enforcementcount 0 &gt;&gt;C:\Users\stu\Documents\GitHub\eaglep3-reporting\EC\2016-09-01-refined-times.txt</v>
      </c>
      <c r="AI22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{"issue":{"subject":"","project_id":79,"tracker_id":40,"status_id":1,"priority_id":2,"assigned_to_id":23,"start_date":"2016-09-01","description":"","custom_fields":[{"id":1,"name":"Subdivision","value":"EC"},{"id":4,"name":"Milepost","value":"23.2803"},{"id":17,"name":"Train ID","value":"110-01"},{"id":16,"name":"Locomotive ID","value":"4008"},{"id":130,"name":"Impact","value":""},{"id":150,"name":"Time of Event (Mountain Time)","value":"06:19:44"},{"id":151,"name":"Denver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383</v>
      </c>
      <c r="B23" s="7">
        <v>4042</v>
      </c>
      <c r="C23" s="24" t="s">
        <v>113</v>
      </c>
      <c r="D23" s="24" t="s">
        <v>384</v>
      </c>
      <c r="E23" s="15">
        <v>42614.208090277774</v>
      </c>
      <c r="F23" s="15">
        <v>42614.209247685183</v>
      </c>
      <c r="G23" s="7">
        <v>1</v>
      </c>
      <c r="H23" s="15" t="s">
        <v>295</v>
      </c>
      <c r="I23" s="15">
        <v>42614.234386574077</v>
      </c>
      <c r="J23" s="7">
        <v>0</v>
      </c>
      <c r="K23" s="132" t="str">
        <f>IF(ISEVEN(B23),(B23-1)&amp;"/"&amp;B23,B23&amp;"/"&amp;(B23+1))</f>
        <v>4041/4042</v>
      </c>
      <c r="L23" s="24" t="str">
        <f>VLOOKUP(A23,'Trips&amp;Operators'!$C$1:$E$10000,3,FALSE)</f>
        <v>STARKS</v>
      </c>
      <c r="M23" s="6">
        <f>I23-F23</f>
        <v>2.513888889370719E-2</v>
      </c>
      <c r="N23" s="7">
        <f>24*60*SUM($M23:$M23)</f>
        <v>36.200000006938353</v>
      </c>
      <c r="O23" s="7"/>
      <c r="P23" s="7"/>
      <c r="Q23" s="25"/>
      <c r="R23" s="25"/>
      <c r="S23" s="37">
        <f>SUM(U23:U23)/IF(AG23="EC",12,1)</f>
        <v>1</v>
      </c>
      <c r="T23" s="52" t="str">
        <f>IF(ISEVEN(LEFT(AD23,4)),"Southbound","NorthBound")</f>
        <v>NorthBound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hh:mm:ss")&amp;"-0600',mode:absolute,to:'"&amp;TEXT(I23+1/24,"yyyy-MM-DD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https://search-rtdc-monitor-bjffxe2xuh6vdkpspy63sjmuny.us-east-1.es.amazonaws.com/_plugin/kibana/#/discover/Steve-Slow-Train-Analysis-(2080s-and-2083s)?_g=(refreshInterval:(display:Off,section:0,value:0),time:(from:'2016-09-01 03:59:39-0600',mode:absolute,to:'2016-09-01 06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3" s="54" t="str">
        <f>IF(AA23&lt;IF(AG23="EC",23,5.65),"Y","N")</f>
        <v>N</v>
      </c>
      <c r="X23" s="120">
        <f t="shared" si="8"/>
        <v>1</v>
      </c>
      <c r="Y23" s="69">
        <f>RIGHT(D23,LEN(D23)-4)/10000</f>
        <v>7.9399999999999998E-2</v>
      </c>
      <c r="Z23" s="69">
        <f>RIGHT(H23,LEN(H23)-4)/10000</f>
        <v>23.33</v>
      </c>
      <c r="AA23" s="69">
        <f>ABS(Z23-Y23)</f>
        <v>23.250599999999999</v>
      </c>
      <c r="AB23" s="66" t="e">
        <f>VLOOKUP(A23,Enforcements!$C$7:$J$21,8,0)</f>
        <v>#N/A</v>
      </c>
      <c r="AC23" s="62" t="e">
        <f>VLOOKUP(A23,Enforcements!$C$7:$E$21,3,0)</f>
        <v>#N/A</v>
      </c>
      <c r="AD23" s="63" t="str">
        <f>IF(LEN(A23)=6,"0"&amp;A23,A23)</f>
        <v>0111-01</v>
      </c>
      <c r="AE23" s="99" t="str">
        <f>"aws s3 cp "&amp;s3_bucket&amp;"/RTDC"&amp;B23&amp;"/"&amp;TEXT(F23,"YYYY-MM-DD")&amp;"/ "&amp;search_path&amp;"\RTDC"&amp;B23&amp;"\"&amp;TEXT(F23,"YYYY-MM-DD")&amp;" --recursive &amp; """&amp;walkandungz&amp;""" "&amp;search_path&amp;"\RTDC"&amp;B23&amp;"\"&amp;TEXT(F23,"YYYY-MM-DD")
&amp;" &amp; "&amp;"aws s3 cp "&amp;s3_bucket&amp;"/RTDC"&amp;B23&amp;"/"&amp;TEXT(F23+1,"YYYY-MM-DD")&amp;"/ "&amp;search_path&amp;"\RTDC"&amp;B23&amp;"\"&amp;TEXT(F23+1,"YYYY-MM-DD")&amp;" --recursive &amp; """&amp;walkandungz&amp;""" "&amp;search_path&amp;"\RTDC"&amp;B23&amp;"\"&amp;TEXT(F23+1,"YYYY-MM-DD")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23" s="96" t="str">
        <f>astrogrep_path&amp;" /spath="&amp;search_path&amp;" /stypes=""*"&amp;B23&amp;"*"&amp;TEXT(I23-utc_offset/24,"YYYYMMDD")&amp;"*"" /stext="" "&amp;TEXT(I23-utc_offset/24,"HH")&amp;search_regexp&amp;""" /e /r /s"</f>
        <v>"C:\Program Files (x86)\AstroGrep\AstroGrep.exe" /spath="%USERPROFILE%\AppData\Local\Temp\OnboardLogs" /stypes="*4042*20160901*" /stext=" 11:.+((SYSTEM_STATE.+slice.+state.+changed )|(ment ac)|(system.+state.+changed )|(\|lc)|(penalty)|(\[timeout)|(PRM\|1\|D)|(kpr)|(kdp))" /e /r /s</v>
      </c>
      <c r="AG23" s="1" t="str">
        <f>IFERROR(IF(VALUE(LEFT(AD23,2))&lt;=2,"EC",IF(OR(VALUE(LEFT(AD23,2))=8,VALUE(LEFT(AD23,2))=18),"NW","Other")),"Other")</f>
        <v>EC</v>
      </c>
      <c r="AH23" s="100" t="str">
        <f t="shared" si="2"/>
        <v>"%USERPROFILE%\Documents\GitHub\eaglep3\Utilities\RefineRTDCRunTimes.py" --tripid 111-01 --locoid 4042 --swversion DE.1.0.7.0 --startMP 204:794 --initTime 2016-09-01T04:59:39 --startdatetime 2016-09-01T05:01:19 --delay 1 --endMP 204:233300 --enddatetime 2016-09-01T05:37:31 --enforcementcount 0 &gt;&gt;C:\Users\stu\Documents\GitHub\eaglep3-reporting\EC\2016-09-01-refined-times.txt</v>
      </c>
      <c r="AI23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{"issue":{"subject":"","project_id":79,"tracker_id":40,"status_id":1,"priority_id":2,"assigned_to_id":23,"start_date":"2016-09-01","description":"","custom_fields":[{"id":1,"name":"Subdivision","value":"EC"},{"id":4,"name":"Milepost","value":"23.2506"},{"id":17,"name":"Train ID","value":"111-01"},{"id":16,"name":"Locomotive ID","value":"4042"},{"id":130,"name":"Impact","value":""},{"id":150,"name":"Time of Event (Mountain Time)","value":"05:37:31"},{"id":151,"name":"Denver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385</v>
      </c>
      <c r="B24" s="7">
        <v>4041</v>
      </c>
      <c r="C24" s="24" t="s">
        <v>113</v>
      </c>
      <c r="D24" s="24" t="s">
        <v>221</v>
      </c>
      <c r="E24" s="15">
        <v>42614.244976851849</v>
      </c>
      <c r="F24" s="15">
        <v>42614.247407407405</v>
      </c>
      <c r="G24" s="7">
        <v>1</v>
      </c>
      <c r="H24" s="15" t="s">
        <v>167</v>
      </c>
      <c r="I24" s="15">
        <v>42614.275324074071</v>
      </c>
      <c r="J24" s="7">
        <v>0</v>
      </c>
      <c r="K24" s="132" t="str">
        <f>IF(ISEVEN(B24),(B24-1)&amp;"/"&amp;B24,B24&amp;"/"&amp;(B24+1))</f>
        <v>4041/4042</v>
      </c>
      <c r="L24" s="24" t="str">
        <f>VLOOKUP(A24,'Trips&amp;Operators'!$C$1:$E$10000,3,FALSE)</f>
        <v>STARKS</v>
      </c>
      <c r="M24" s="6">
        <f>I24-F24</f>
        <v>2.7916666665987577E-2</v>
      </c>
      <c r="N24" s="7">
        <f>24*60*SUM($M24:$M24)</f>
        <v>40.199999999022111</v>
      </c>
      <c r="O24" s="7"/>
      <c r="P24" s="7"/>
      <c r="Q24" s="25"/>
      <c r="R24" s="25"/>
      <c r="S24" s="37">
        <f>SUM(U24:U24)/IF(AG24="EC",12,1)</f>
        <v>1</v>
      </c>
      <c r="T24" s="52" t="str">
        <f>IF(ISEVEN(LEFT(AD24,4)),"Southbound","NorthBound")</f>
        <v>Southbound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hh:mm:ss")&amp;"-0600',mode:absolute,to:'"&amp;TEXT(I24+1/24,"yyyy-MM-DD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https://search-rtdc-monitor-bjffxe2xuh6vdkpspy63sjmuny.us-east-1.es.amazonaws.com/_plugin/kibana/#/discover/Steve-Slow-Train-Analysis-(2080s-and-2083s)?_g=(refreshInterval:(display:Off,section:0,value:0),time:(from:'2016-09-01 04:52:46-0600',mode:absolute,to:'2016-09-01 07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4" s="54" t="str">
        <f>IF(AA24&lt;IF(AG24="EC",23,5.65),"Y","N")</f>
        <v>N</v>
      </c>
      <c r="X24" s="120">
        <f t="shared" si="8"/>
        <v>1</v>
      </c>
      <c r="Y24" s="69">
        <f>RIGHT(D24,LEN(D24)-4)/10000</f>
        <v>23.297699999999999</v>
      </c>
      <c r="Z24" s="69">
        <f>RIGHT(H24,LEN(H24)-4)/10000</f>
        <v>1.52E-2</v>
      </c>
      <c r="AA24" s="69">
        <f>ABS(Z24-Y24)</f>
        <v>23.282499999999999</v>
      </c>
      <c r="AB24" s="66" t="e">
        <f>VLOOKUP(A24,Enforcements!$C$7:$J$21,8,0)</f>
        <v>#N/A</v>
      </c>
      <c r="AC24" s="62" t="e">
        <f>VLOOKUP(A24,Enforcements!$C$7:$E$21,3,0)</f>
        <v>#N/A</v>
      </c>
      <c r="AD24" s="63" t="str">
        <f>IF(LEN(A24)=6,"0"&amp;A24,A24)</f>
        <v>0112-01</v>
      </c>
      <c r="AE24" s="99" t="str">
        <f>"aws s3 cp "&amp;s3_bucket&amp;"/RTDC"&amp;B24&amp;"/"&amp;TEXT(F24,"YYYY-MM-DD")&amp;"/ "&amp;search_path&amp;"\RTDC"&amp;B24&amp;"\"&amp;TEXT(F24,"YYYY-MM-DD")&amp;" --recursive &amp; """&amp;walkandungz&amp;""" "&amp;search_path&amp;"\RTDC"&amp;B24&amp;"\"&amp;TEXT(F24,"YYYY-MM-DD")
&amp;" &amp; "&amp;"aws s3 cp "&amp;s3_bucket&amp;"/RTDC"&amp;B24&amp;"/"&amp;TEXT(F24+1,"YYYY-MM-DD")&amp;"/ "&amp;search_path&amp;"\RTDC"&amp;B24&amp;"\"&amp;TEXT(F24+1,"YYYY-MM-DD")&amp;" --recursive &amp; """&amp;walkandungz&amp;""" "&amp;search_path&amp;"\RTDC"&amp;B24&amp;"\"&amp;TEXT(F24+1,"YYYY-MM-DD")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24" s="96" t="str">
        <f>astrogrep_path&amp;" /spath="&amp;search_path&amp;" /stypes=""*"&amp;B24&amp;"*"&amp;TEXT(I24-utc_offset/24,"YYYYMMDD")&amp;"*"" /stext="" "&amp;TEXT(I24-utc_offset/24,"HH")&amp;search_regexp&amp;""" /e /r /s"</f>
        <v>"C:\Program Files (x86)\AstroGrep\AstroGrep.exe" /spath="%USERPROFILE%\AppData\Local\Temp\OnboardLogs" /stypes="*4041*20160901*" /stext=" 12:.+((SYSTEM_STATE.+slice.+state.+changed )|(ment ac)|(system.+state.+changed )|(\|lc)|(penalty)|(\[timeout)|(PRM\|1\|D)|(kpr)|(kdp))" /e /r /s</v>
      </c>
      <c r="AG24" s="1" t="str">
        <f>IFERROR(IF(VALUE(LEFT(AD24,2))&lt;=2,"EC",IF(OR(VALUE(LEFT(AD24,2))=8,VALUE(LEFT(AD24,2))=18),"NW","Other")),"Other")</f>
        <v>EC</v>
      </c>
      <c r="AH24" s="100" t="str">
        <f t="shared" si="2"/>
        <v>"%USERPROFILE%\Documents\GitHub\eaglep3\Utilities\RefineRTDCRunTimes.py" --tripid 112-01 --locoid 4041 --swversion DE.1.0.7.0 --startMP 204:232977 --initTime 2016-09-01T05:52:46 --startdatetime 2016-09-01T05:56:16 --delay 1 --endMP 204:152 --enddatetime 2016-09-01T06:36:28 --enforcementcount 0 &gt;&gt;C:\Users\stu\Documents\GitHub\eaglep3-reporting\EC\2016-09-01-refined-times.txt</v>
      </c>
      <c r="AI24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{"issue":{"subject":"","project_id":79,"tracker_id":40,"status_id":1,"priority_id":2,"assigned_to_id":23,"start_date":"2016-09-01","description":"","custom_fields":[{"id":1,"name":"Subdivision","value":"EC"},{"id":4,"name":"Milepost","value":"23.2825"},{"id":17,"name":"Train ID","value":"112-01"},{"id":16,"name":"Locomotive ID","value":"4041"},{"id":130,"name":"Impact","value":""},{"id":150,"name":"Time of Event (Mountain Time)","value":"06:36:28"},{"id":151,"name":"Denver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386</v>
      </c>
      <c r="B25" s="7">
        <v>4044</v>
      </c>
      <c r="C25" s="24" t="s">
        <v>113</v>
      </c>
      <c r="D25" s="24" t="s">
        <v>387</v>
      </c>
      <c r="E25" s="15">
        <v>42614.213784722226</v>
      </c>
      <c r="F25" s="15">
        <v>42614.219004629631</v>
      </c>
      <c r="G25" s="7">
        <v>1</v>
      </c>
      <c r="H25" s="15" t="s">
        <v>388</v>
      </c>
      <c r="I25" s="15">
        <v>42614.24417824074</v>
      </c>
      <c r="J25" s="7">
        <v>0</v>
      </c>
      <c r="K25" s="132" t="str">
        <f>IF(ISEVEN(B25),(B25-1)&amp;"/"&amp;B25,B25&amp;"/"&amp;(B25+1))</f>
        <v>4043/4044</v>
      </c>
      <c r="L25" s="24" t="str">
        <f>VLOOKUP(A25,'Trips&amp;Operators'!$C$1:$E$10000,3,FALSE)</f>
        <v>MAELZER</v>
      </c>
      <c r="M25" s="6">
        <f>I25-F25</f>
        <v>2.5173611109494232E-2</v>
      </c>
      <c r="N25" s="7">
        <f>24*60*SUM($M25:$M25)</f>
        <v>36.249999997671694</v>
      </c>
      <c r="O25" s="7"/>
      <c r="P25" s="7"/>
      <c r="Q25" s="25"/>
      <c r="R25" s="25"/>
      <c r="S25" s="37">
        <f>SUM(U25:U25)/IF(AG25="EC",12,1)</f>
        <v>1</v>
      </c>
      <c r="T25" s="52" t="str">
        <f>IF(ISEVEN(LEFT(AD25,4)),"Southbound","NorthBound")</f>
        <v>NorthBound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hh:mm:ss")&amp;"-0600',mode:absolute,to:'"&amp;TEXT(I25+1/24,"yyyy-MM-DD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https://search-rtdc-monitor-bjffxe2xuh6vdkpspy63sjmuny.us-east-1.es.amazonaws.com/_plugin/kibana/#/discover/Steve-Slow-Train-Analysis-(2080s-and-2083s)?_g=(refreshInterval:(display:Off,section:0,value:0),time:(from:'2016-09-01 04:07:51-0600',mode:absolute,to:'2016-09-01 06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5" s="54" t="str">
        <f>IF(AA25&lt;IF(AG25="EC",23,5.65),"Y","N")</f>
        <v>N</v>
      </c>
      <c r="X25" s="120">
        <f t="shared" si="8"/>
        <v>1</v>
      </c>
      <c r="Y25" s="69">
        <f>RIGHT(D25,LEN(D25)-4)/10000</f>
        <v>4.7300000000000002E-2</v>
      </c>
      <c r="Z25" s="69">
        <f>RIGHT(H25,LEN(H25)-4)/10000</f>
        <v>23.332799999999999</v>
      </c>
      <c r="AA25" s="69">
        <f>ABS(Z25-Y25)</f>
        <v>23.285499999999999</v>
      </c>
      <c r="AB25" s="66" t="e">
        <f>VLOOKUP(A25,Enforcements!$C$7:$J$21,8,0)</f>
        <v>#N/A</v>
      </c>
      <c r="AC25" s="62" t="e">
        <f>VLOOKUP(A25,Enforcements!$C$7:$E$21,3,0)</f>
        <v>#N/A</v>
      </c>
      <c r="AD25" s="63" t="str">
        <f>IF(LEN(A25)=6,"0"&amp;A25,A25)</f>
        <v>0113-01</v>
      </c>
      <c r="AE25" s="99" t="str">
        <f>"aws s3 cp "&amp;s3_bucket&amp;"/RTDC"&amp;B25&amp;"/"&amp;TEXT(F25,"YYYY-MM-DD")&amp;"/ "&amp;search_path&amp;"\RTDC"&amp;B25&amp;"\"&amp;TEXT(F25,"YYYY-MM-DD")&amp;" --recursive &amp; """&amp;walkandungz&amp;""" "&amp;search_path&amp;"\RTDC"&amp;B25&amp;"\"&amp;TEXT(F25,"YYYY-MM-DD")
&amp;" &amp; "&amp;"aws s3 cp "&amp;s3_bucket&amp;"/RTDC"&amp;B25&amp;"/"&amp;TEXT(F25+1,"YYYY-MM-DD")&amp;"/ "&amp;search_path&amp;"\RTDC"&amp;B25&amp;"\"&amp;TEXT(F25+1,"YYYY-MM-DD")&amp;" --recursive &amp; """&amp;walkandungz&amp;""" "&amp;search_path&amp;"\RTDC"&amp;B25&amp;"\"&amp;TEXT(F25+1,"YYYY-MM-DD")</f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25" s="96" t="str">
        <f>astrogrep_path&amp;" /spath="&amp;search_path&amp;" /stypes=""*"&amp;B25&amp;"*"&amp;TEXT(I25-utc_offset/24,"YYYYMMDD")&amp;"*"" /stext="" "&amp;TEXT(I25-utc_offset/24,"HH")&amp;search_regexp&amp;""" /e /r /s"</f>
        <v>"C:\Program Files (x86)\AstroGrep\AstroGrep.exe" /spath="%USERPROFILE%\AppData\Local\Temp\OnboardLogs" /stypes="*4044*20160901*" /stext=" 11:.+((SYSTEM_STATE.+slice.+state.+changed )|(ment ac)|(system.+state.+changed )|(\|lc)|(penalty)|(\[timeout)|(PRM\|1\|D)|(kpr)|(kdp))" /e /r /s</v>
      </c>
      <c r="AG25" s="1" t="str">
        <f>IFERROR(IF(VALUE(LEFT(AD25,2))&lt;=2,"EC",IF(OR(VALUE(LEFT(AD25,2))=8,VALUE(LEFT(AD25,2))=18),"NW","Other")),"Other")</f>
        <v>EC</v>
      </c>
      <c r="AH25" s="100" t="str">
        <f t="shared" si="2"/>
        <v>"%USERPROFILE%\Documents\GitHub\eaglep3\Utilities\RefineRTDCRunTimes.py" --tripid 113-01 --locoid 4044 --swversion DE.1.0.7.0 --startMP 204:473 --initTime 2016-09-01T05:07:51 --startdatetime 2016-09-01T05:15:22 --delay 1 --endMP 204:233328 --enddatetime 2016-09-01T05:51:37 --enforcementcount 0 &gt;&gt;C:\Users\stu\Documents\GitHub\eaglep3-reporting\EC\2016-09-01-refined-times.txt</v>
      </c>
      <c r="AI25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{"issue":{"subject":"","project_id":79,"tracker_id":40,"status_id":1,"priority_id":2,"assigned_to_id":23,"start_date":"2016-09-01","description":"","custom_fields":[{"id":1,"name":"Subdivision","value":"EC"},{"id":4,"name":"Milepost","value":"23.2855"},{"id":17,"name":"Train ID","value":"113-01"},{"id":16,"name":"Locomotive ID","value":"4044"},{"id":130,"name":"Impact","value":""},{"id":150,"name":"Time of Event (Mountain Time)","value":"05:51:37"},{"id":151,"name":"Denver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389</v>
      </c>
      <c r="B26" s="7">
        <v>4043</v>
      </c>
      <c r="C26" s="24" t="s">
        <v>113</v>
      </c>
      <c r="D26" s="24" t="s">
        <v>276</v>
      </c>
      <c r="E26" s="15">
        <v>42614.2503125</v>
      </c>
      <c r="F26" s="15">
        <v>42614.2578587963</v>
      </c>
      <c r="G26" s="7">
        <v>1</v>
      </c>
      <c r="H26" s="15" t="s">
        <v>89</v>
      </c>
      <c r="I26" s="15">
        <v>42614.284930555557</v>
      </c>
      <c r="J26" s="7">
        <v>0</v>
      </c>
      <c r="K26" s="132" t="str">
        <f>IF(ISEVEN(B26),(B26-1)&amp;"/"&amp;B26,B26&amp;"/"&amp;(B26+1))</f>
        <v>4043/4044</v>
      </c>
      <c r="L26" s="24" t="str">
        <f>VLOOKUP(A26,'Trips&amp;Operators'!$C$1:$E$10000,3,FALSE)</f>
        <v>MAELZER</v>
      </c>
      <c r="M26" s="6">
        <f>I26-F26</f>
        <v>2.7071759257523809E-2</v>
      </c>
      <c r="N26" s="7">
        <f>24*60*SUM($M26:$M26)</f>
        <v>38.983333330834284</v>
      </c>
      <c r="O26" s="7"/>
      <c r="P26" s="7"/>
      <c r="Q26" s="25"/>
      <c r="R26" s="25"/>
      <c r="S26" s="37">
        <f>SUM(U26:U26)/IF(AG26="EC",12,1)</f>
        <v>1</v>
      </c>
      <c r="T26" s="52" t="str">
        <f>IF(ISEVEN(LEFT(AD26,4)),"Southbound","NorthBound")</f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hh:mm:ss")&amp;"-0600',mode:absolute,to:'"&amp;TEXT(I26+1/24,"yyyy-MM-DD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https://search-rtdc-monitor-bjffxe2xuh6vdkpspy63sjmuny.us-east-1.es.amazonaws.com/_plugin/kibana/#/discover/Steve-Slow-Train-Analysis-(2080s-and-2083s)?_g=(refreshInterval:(display:Off,section:0,value:0),time:(from:'2016-09-01 05:00:27-0600',mode:absolute,to:'2016-09-01 07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6" s="54" t="str">
        <f>IF(AA26&lt;IF(AG26="EC",23,5.65),"Y","N")</f>
        <v>N</v>
      </c>
      <c r="X26" s="120">
        <f t="shared" si="8"/>
        <v>1</v>
      </c>
      <c r="Y26" s="69">
        <f>RIGHT(D26,LEN(D26)-4)/10000</f>
        <v>23.3001</v>
      </c>
      <c r="Z26" s="69">
        <f>RIGHT(H26,LEN(H26)-4)/10000</f>
        <v>1.43E-2</v>
      </c>
      <c r="AA26" s="69">
        <f>ABS(Z26-Y26)</f>
        <v>23.285800000000002</v>
      </c>
      <c r="AB26" s="66" t="e">
        <f>VLOOKUP(A26,Enforcements!$C$7:$J$21,8,0)</f>
        <v>#N/A</v>
      </c>
      <c r="AC26" s="62" t="e">
        <f>VLOOKUP(A26,Enforcements!$C$7:$E$21,3,0)</f>
        <v>#N/A</v>
      </c>
      <c r="AD26" s="63" t="str">
        <f>IF(LEN(A26)=6,"0"&amp;A26,A26)</f>
        <v>0114-01</v>
      </c>
      <c r="AE26" s="99" t="str">
        <f>"aws s3 cp "&amp;s3_bucket&amp;"/RTDC"&amp;B26&amp;"/"&amp;TEXT(F26,"YYYY-MM-DD")&amp;"/ "&amp;search_path&amp;"\RTDC"&amp;B26&amp;"\"&amp;TEXT(F26,"YYYY-MM-DD")&amp;" --recursive &amp; """&amp;walkandungz&amp;""" "&amp;search_path&amp;"\RTDC"&amp;B26&amp;"\"&amp;TEXT(F26,"YYYY-MM-DD")
&amp;" &amp; "&amp;"aws s3 cp "&amp;s3_bucket&amp;"/RTDC"&amp;B26&amp;"/"&amp;TEXT(F26+1,"YYYY-MM-DD")&amp;"/ "&amp;search_path&amp;"\RTDC"&amp;B26&amp;"\"&amp;TEXT(F26+1,"YYYY-MM-DD")&amp;" --recursive &amp; """&amp;walkandungz&amp;""" "&amp;search_path&amp;"\RTDC"&amp;B26&amp;"\"&amp;TEXT(F26+1,"YYYY-MM-DD")</f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26" s="96" t="str">
        <f>astrogrep_path&amp;" /spath="&amp;search_path&amp;" /stypes=""*"&amp;B26&amp;"*"&amp;TEXT(I26-utc_offset/24,"YYYYMMDD")&amp;"*"" /stext="" "&amp;TEXT(I26-utc_offset/24,"HH")&amp;search_regexp&amp;""" /e /r /s"</f>
        <v>"C:\Program Files (x86)\AstroGrep\AstroGrep.exe" /spath="%USERPROFILE%\AppData\Local\Temp\OnboardLogs" /stypes="*4043*20160901*" /stext=" 12:.+((SYSTEM_STATE.+slice.+state.+changed )|(ment ac)|(system.+state.+changed )|(\|lc)|(penalty)|(\[timeout)|(PRM\|1\|D)|(kpr)|(kdp))" /e /r /s</v>
      </c>
      <c r="AG26" s="1" t="str">
        <f>IFERROR(IF(VALUE(LEFT(AD26,2))&lt;=2,"EC",IF(OR(VALUE(LEFT(AD26,2))=8,VALUE(LEFT(AD26,2))=18),"NW","Other")),"Other")</f>
        <v>EC</v>
      </c>
      <c r="AH26" s="100" t="str">
        <f t="shared" si="2"/>
        <v>"%USERPROFILE%\Documents\GitHub\eaglep3\Utilities\RefineRTDCRunTimes.py" --tripid 114-01 --locoid 4043 --swversion DE.1.0.7.0 --startMP 204:233001 --initTime 2016-09-01T06:00:27 --startdatetime 2016-09-01T06:11:19 --delay 1 --endMP 204:143 --enddatetime 2016-09-01T06:50:18 --enforcementcount 0 &gt;&gt;C:\Users\stu\Documents\GitHub\eaglep3-reporting\EC\2016-09-01-refined-times.txt</v>
      </c>
      <c r="AI26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{"issue":{"subject":"","project_id":79,"tracker_id":40,"status_id":1,"priority_id":2,"assigned_to_id":23,"start_date":"2016-09-01","description":"","custom_fields":[{"id":1,"name":"Subdivision","value":"EC"},{"id":4,"name":"Milepost","value":"23.2858"},{"id":17,"name":"Train ID","value":"114-01"},{"id":16,"name":"Locomotive ID","value":"4043"},{"id":130,"name":"Impact","value":""},{"id":150,"name":"Time of Event (Mountain Time)","value":"06:50:18"},{"id":151,"name":"Denver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390</v>
      </c>
      <c r="B27" s="7">
        <v>4020</v>
      </c>
      <c r="C27" s="24" t="s">
        <v>113</v>
      </c>
      <c r="D27" s="24" t="s">
        <v>391</v>
      </c>
      <c r="E27" s="15">
        <v>42614.22515046296</v>
      </c>
      <c r="F27" s="15">
        <v>42614.229363425926</v>
      </c>
      <c r="G27" s="7">
        <v>5</v>
      </c>
      <c r="H27" s="15" t="s">
        <v>254</v>
      </c>
      <c r="I27" s="15">
        <v>42614.256504629629</v>
      </c>
      <c r="J27" s="7">
        <v>0</v>
      </c>
      <c r="K27" s="132" t="str">
        <f>IF(ISEVEN(B27),(B27-1)&amp;"/"&amp;B27,B27&amp;"/"&amp;(B27+1))</f>
        <v>4019/4020</v>
      </c>
      <c r="L27" s="24" t="str">
        <f>VLOOKUP(A27,'Trips&amp;Operators'!$C$1:$E$10000,3,FALSE)</f>
        <v>SMITH</v>
      </c>
      <c r="M27" s="6">
        <f>I27-F27</f>
        <v>2.7141203703649808E-2</v>
      </c>
      <c r="N27" s="7">
        <f>24*60*SUM($M27:$M27)</f>
        <v>39.083333333255723</v>
      </c>
      <c r="O27" s="7"/>
      <c r="P27" s="7"/>
      <c r="Q27" s="25"/>
      <c r="R27" s="25"/>
      <c r="S27" s="37">
        <f>SUM(U27:U27)/IF(AG27="EC",12,1)</f>
        <v>1</v>
      </c>
      <c r="T27" s="52" t="str">
        <f>IF(ISEVEN(LEFT(AD27,4)),"Southbound","NorthBound")</f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hh:mm:ss")&amp;"-0600',mode:absolute,to:'"&amp;TEXT(I27+1/24,"yyyy-MM-DD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https://search-rtdc-monitor-bjffxe2xuh6vdkpspy63sjmuny.us-east-1.es.amazonaws.com/_plugin/kibana/#/discover/Steve-Slow-Train-Analysis-(2080s-and-2083s)?_g=(refreshInterval:(display:Off,section:0,value:0),time:(from:'2016-09-01 04:24:13-0600',mode:absolute,to:'2016-09-01 07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7" s="54" t="str">
        <f>IF(AA27&lt;IF(AG27="EC",23,5.65),"Y","N")</f>
        <v>N</v>
      </c>
      <c r="X27" s="120">
        <f t="shared" si="8"/>
        <v>1</v>
      </c>
      <c r="Y27" s="69">
        <f>RIGHT(D27,LEN(D27)-4)/10000</f>
        <v>7.7399999999999997E-2</v>
      </c>
      <c r="Z27" s="69">
        <f>RIGHT(H27,LEN(H27)-4)/10000</f>
        <v>23.328900000000001</v>
      </c>
      <c r="AA27" s="69">
        <f>ABS(Z27-Y27)</f>
        <v>23.2515</v>
      </c>
      <c r="AB27" s="66" t="e">
        <f>VLOOKUP(A27,Enforcements!$C$7:$J$21,8,0)</f>
        <v>#N/A</v>
      </c>
      <c r="AC27" s="62" t="e">
        <f>VLOOKUP(A27,Enforcements!$C$7:$E$21,3,0)</f>
        <v>#N/A</v>
      </c>
      <c r="AD27" s="63" t="str">
        <f>IF(LEN(A27)=6,"0"&amp;A27,A27)</f>
        <v>0115-01</v>
      </c>
      <c r="AE27" s="99" t="str">
        <f>"aws s3 cp "&amp;s3_bucket&amp;"/RTDC"&amp;B27&amp;"/"&amp;TEXT(F27,"YYYY-MM-DD")&amp;"/ "&amp;search_path&amp;"\RTDC"&amp;B27&amp;"\"&amp;TEXT(F27,"YYYY-MM-DD")&amp;" --recursive &amp; """&amp;walkandungz&amp;""" "&amp;search_path&amp;"\RTDC"&amp;B27&amp;"\"&amp;TEXT(F27,"YYYY-MM-DD")
&amp;" &amp; "&amp;"aws s3 cp "&amp;s3_bucket&amp;"/RTDC"&amp;B27&amp;"/"&amp;TEXT(F27+1,"YYYY-MM-DD")&amp;"/ "&amp;search_path&amp;"\RTDC"&amp;B27&amp;"\"&amp;TEXT(F27+1,"YYYY-MM-DD")&amp;" --recursive &amp; """&amp;walkandungz&amp;""" "&amp;search_path&amp;"\RTDC"&amp;B27&amp;"\"&amp;TEXT(F27+1,"YYYY-MM-DD")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27" s="96" t="str">
        <f>astrogrep_path&amp;" /spath="&amp;search_path&amp;" /stypes=""*"&amp;B27&amp;"*"&amp;TEXT(I27-utc_offset/24,"YYYYMMDD")&amp;"*"" /stext="" "&amp;TEXT(I27-utc_offset/24,"HH")&amp;search_regexp&amp;""" /e /r /s"</f>
        <v>"C:\Program Files (x86)\AstroGrep\AstroGrep.exe" /spath="%USERPROFILE%\AppData\Local\Temp\OnboardLogs" /stypes="*4020*20160901*" /stext=" 12:.+((SYSTEM_STATE.+slice.+state.+changed )|(ment ac)|(system.+state.+changed )|(\|lc)|(penalty)|(\[timeout)|(PRM\|1\|D)|(kpr)|(kdp))" /e /r /s</v>
      </c>
      <c r="AG27" s="1" t="str">
        <f>IFERROR(IF(VALUE(LEFT(AD27,2))&lt;=2,"EC",IF(OR(VALUE(LEFT(AD27,2))=8,VALUE(LEFT(AD27,2))=18),"NW","Other")),"Other")</f>
        <v>EC</v>
      </c>
      <c r="AH27" s="100" t="str">
        <f t="shared" si="2"/>
        <v>"%USERPROFILE%\Documents\GitHub\eaglep3\Utilities\RefineRTDCRunTimes.py" --tripid 115-01 --locoid 4020 --swversion DE.1.0.7.0 --startMP 204:774 --initTime 2016-09-01T05:24:13 --startdatetime 2016-09-01T05:30:17 --delay 5 --endMP 204:233289 --enddatetime 2016-09-01T06:09:22 --enforcementcount 0 &gt;&gt;C:\Users\stu\Documents\GitHub\eaglep3-reporting\EC\2016-09-01-refined-times.txt</v>
      </c>
      <c r="AI27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{"issue":{"subject":"","project_id":79,"tracker_id":40,"status_id":1,"priority_id":2,"assigned_to_id":23,"start_date":"2016-09-01","description":"","custom_fields":[{"id":1,"name":"Subdivision","value":"EC"},{"id":4,"name":"Milepost","value":"23.2515"},{"id":17,"name":"Train ID","value":"115-01"},{"id":16,"name":"Locomotive ID","value":"4020"},{"id":130,"name":"Impact","value":""},{"id":150,"name":"Time of Event (Mountain Time)","value":"06:09:22"},{"id":151,"name":"Denver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392</v>
      </c>
      <c r="B28" s="7">
        <v>4019</v>
      </c>
      <c r="C28" s="24" t="s">
        <v>113</v>
      </c>
      <c r="D28" s="24" t="s">
        <v>322</v>
      </c>
      <c r="E28" s="15">
        <v>42614.264050925929</v>
      </c>
      <c r="F28" s="15">
        <v>42614.268240740741</v>
      </c>
      <c r="G28" s="7">
        <v>2</v>
      </c>
      <c r="H28" s="15" t="s">
        <v>167</v>
      </c>
      <c r="I28" s="15">
        <v>42614.296701388892</v>
      </c>
      <c r="J28" s="7">
        <v>0</v>
      </c>
      <c r="K28" s="132" t="str">
        <f>IF(ISEVEN(B28),(B28-1)&amp;"/"&amp;B28,B28&amp;"/"&amp;(B28+1))</f>
        <v>4019/4020</v>
      </c>
      <c r="L28" s="24" t="str">
        <f>VLOOKUP(A28,'Trips&amp;Operators'!$C$1:$E$10000,3,FALSE)</f>
        <v>SMITH</v>
      </c>
      <c r="M28" s="6">
        <f>I28-F28</f>
        <v>2.846064815093996E-2</v>
      </c>
      <c r="N28" s="7">
        <f>24*60*SUM($M28:$M28)</f>
        <v>40.983333337353542</v>
      </c>
      <c r="O28" s="7"/>
      <c r="P28" s="7"/>
      <c r="Q28" s="25"/>
      <c r="R28" s="25"/>
      <c r="S28" s="37">
        <f>SUM(U28:U28)/IF(AG28="EC",12,1)</f>
        <v>1</v>
      </c>
      <c r="T28" s="52" t="str">
        <f>IF(ISEVEN(LEFT(AD28,4)),"Southbound","NorthBound")</f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hh:mm:ss")&amp;"-0600',mode:absolute,to:'"&amp;TEXT(I28+1/24,"yyyy-MM-DD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https://search-rtdc-monitor-bjffxe2xuh6vdkpspy63sjmuny.us-east-1.es.amazonaws.com/_plugin/kibana/#/discover/Steve-Slow-Train-Analysis-(2080s-and-2083s)?_g=(refreshInterval:(display:Off,section:0,value:0),time:(from:'2016-09-01 05:20:14-0600',mode:absolute,to:'2016-09-01 08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8" s="54" t="str">
        <f>IF(AA28&lt;IF(AG28="EC",23,5.65),"Y","N")</f>
        <v>N</v>
      </c>
      <c r="X28" s="120">
        <f>VALUE(LEFT(AD28,4))-VALUE(LEFT(AD27,4))</f>
        <v>1</v>
      </c>
      <c r="Y28" s="69">
        <f>RIGHT(D28,LEN(D28)-4)/10000</f>
        <v>23.298300000000001</v>
      </c>
      <c r="Z28" s="69">
        <f>RIGHT(H28,LEN(H28)-4)/10000</f>
        <v>1.52E-2</v>
      </c>
      <c r="AA28" s="69">
        <f>ABS(Z28-Y28)</f>
        <v>23.283100000000001</v>
      </c>
      <c r="AB28" s="66" t="e">
        <f>VLOOKUP(A28,Enforcements!$C$7:$J$21,8,0)</f>
        <v>#N/A</v>
      </c>
      <c r="AC28" s="62" t="e">
        <f>VLOOKUP(A28,Enforcements!$C$7:$E$21,3,0)</f>
        <v>#N/A</v>
      </c>
      <c r="AD28" s="63" t="str">
        <f>IF(LEN(A28)=6,"0"&amp;A28,A28)</f>
        <v>0116-01</v>
      </c>
      <c r="AE28" s="99" t="str">
        <f>"aws s3 cp "&amp;s3_bucket&amp;"/RTDC"&amp;B28&amp;"/"&amp;TEXT(F28,"YYYY-MM-DD")&amp;"/ "&amp;search_path&amp;"\RTDC"&amp;B28&amp;"\"&amp;TEXT(F28,"YYYY-MM-DD")&amp;" --recursive &amp; """&amp;walkandungz&amp;""" "&amp;search_path&amp;"\RTDC"&amp;B28&amp;"\"&amp;TEXT(F28,"YYYY-MM-DD")
&amp;" &amp; "&amp;"aws s3 cp "&amp;s3_bucket&amp;"/RTDC"&amp;B28&amp;"/"&amp;TEXT(F28+1,"YYYY-MM-DD")&amp;"/ "&amp;search_path&amp;"\RTDC"&amp;B28&amp;"\"&amp;TEXT(F28+1,"YYYY-MM-DD")&amp;" --recursive &amp; """&amp;walkandungz&amp;""" "&amp;search_path&amp;"\RTDC"&amp;B28&amp;"\"&amp;TEXT(F28+1,"YYYY-MM-DD")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28" s="96" t="str">
        <f>astrogrep_path&amp;" /spath="&amp;search_path&amp;" /stypes=""*"&amp;B28&amp;"*"&amp;TEXT(I28-utc_offset/24,"YYYYMMDD")&amp;"*"" /stext="" "&amp;TEXT(I28-utc_offset/24,"HH")&amp;search_regexp&amp;""" /e /r /s"</f>
        <v>"C:\Program Files (x86)\AstroGrep\AstroGrep.exe" /spath="%USERPROFILE%\AppData\Local\Temp\OnboardLogs" /stypes="*4019*20160901*" /stext=" 13:.+((SYSTEM_STATE.+slice.+state.+changed )|(ment ac)|(system.+state.+changed )|(\|lc)|(penalty)|(\[timeout)|(PRM\|1\|D)|(kpr)|(kdp))" /e /r /s</v>
      </c>
      <c r="AG28" s="1" t="str">
        <f>IFERROR(IF(VALUE(LEFT(AD28,2))&lt;=2,"EC",IF(OR(VALUE(LEFT(AD28,2))=8,VALUE(LEFT(AD28,2))=18),"NW","Other")),"Other")</f>
        <v>EC</v>
      </c>
      <c r="AH28" s="100" t="str">
        <f t="shared" si="2"/>
        <v>"%USERPROFILE%\Documents\GitHub\eaglep3\Utilities\RefineRTDCRunTimes.py" --tripid 116-01 --locoid 4019 --swversion DE.1.0.7.0 --startMP 204:232983 --initTime 2016-09-01T06:20:14 --startdatetime 2016-09-01T06:26:16 --delay 2 --endMP 204:152 --enddatetime 2016-09-01T07:07:15 --enforcementcount 0 &gt;&gt;C:\Users\stu\Documents\GitHub\eaglep3-reporting\EC\2016-09-01-refined-times.txt</v>
      </c>
      <c r="AI28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{"issue":{"subject":"","project_id":79,"tracker_id":40,"status_id":1,"priority_id":2,"assigned_to_id":23,"start_date":"2016-09-01","description":"","custom_fields":[{"id":1,"name":"Subdivision","value":"EC"},{"id":4,"name":"Milepost","value":"23.2831"},{"id":17,"name":"Train ID","value":"116-01"},{"id":16,"name":"Locomotive ID","value":"4019"},{"id":130,"name":"Impact","value":""},{"id":150,"name":"Time of Event (Mountain Time)","value":"07:07:15"},{"id":151,"name":"Denver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393</v>
      </c>
      <c r="B29" s="7">
        <v>4031</v>
      </c>
      <c r="C29" s="24" t="s">
        <v>113</v>
      </c>
      <c r="D29" s="24" t="s">
        <v>175</v>
      </c>
      <c r="E29" s="15">
        <v>42614.231261574074</v>
      </c>
      <c r="F29" s="15">
        <v>42614.239768518521</v>
      </c>
      <c r="G29" s="7">
        <v>1</v>
      </c>
      <c r="H29" s="15" t="s">
        <v>291</v>
      </c>
      <c r="I29" s="15">
        <v>42614.26494212963</v>
      </c>
      <c r="J29" s="7">
        <v>0</v>
      </c>
      <c r="K29" s="132" t="str">
        <f>IF(ISEVEN(B29),(B29-1)&amp;"/"&amp;B29,B29&amp;"/"&amp;(B29+1))</f>
        <v>4031/4032</v>
      </c>
      <c r="L29" s="24" t="str">
        <f>VLOOKUP(A29,'Trips&amp;Operators'!$C$1:$E$10000,3,FALSE)</f>
        <v>SPECTOR</v>
      </c>
      <c r="M29" s="6">
        <f>I29-F29</f>
        <v>2.5173611109494232E-2</v>
      </c>
      <c r="N29" s="7">
        <f>24*60*SUM($M29:$M29)</f>
        <v>36.249999997671694</v>
      </c>
      <c r="O29" s="7"/>
      <c r="P29" s="7"/>
      <c r="Q29" s="25"/>
      <c r="R29" s="25"/>
      <c r="S29" s="37">
        <f>SUM(U29:U29)/IF(AG29="EC",12,1)</f>
        <v>1</v>
      </c>
      <c r="T29" s="52" t="str">
        <f>IF(ISEVEN(LEFT(AD29,4)),"Southbound","NorthBound")</f>
        <v>NorthBound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hh:mm:ss")&amp;"-0600',mode:absolute,to:'"&amp;TEXT(I29+1/24,"yyyy-MM-DD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https://search-rtdc-monitor-bjffxe2xuh6vdkpspy63sjmuny.us-east-1.es.amazonaws.com/_plugin/kibana/#/discover/Steve-Slow-Train-Analysis-(2080s-and-2083s)?_g=(refreshInterval:(display:Off,section:0,value:0),time:(from:'2016-09-01 04:33:01-0600',mode:absolute,to:'2016-09-01 07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9" s="54" t="str">
        <f>IF(AA29&lt;IF(AG29="EC",23,5.65),"Y","N")</f>
        <v>N</v>
      </c>
      <c r="X29" s="120">
        <f>VALUE(LEFT(AD29,4))-VALUE(LEFT(AD28,4))</f>
        <v>1</v>
      </c>
      <c r="Y29" s="69">
        <f>RIGHT(D29,LEN(D29)-4)/10000</f>
        <v>4.4699999999999997E-2</v>
      </c>
      <c r="Z29" s="69">
        <f>RIGHT(H29,LEN(H29)-4)/10000</f>
        <v>23.3324</v>
      </c>
      <c r="AA29" s="69">
        <f>ABS(Z29-Y29)</f>
        <v>23.287700000000001</v>
      </c>
      <c r="AB29" s="66" t="e">
        <f>VLOOKUP(A29,Enforcements!$C$7:$J$21,8,0)</f>
        <v>#N/A</v>
      </c>
      <c r="AC29" s="62" t="e">
        <f>VLOOKUP(A29,Enforcements!$C$7:$E$21,3,0)</f>
        <v>#N/A</v>
      </c>
      <c r="AD29" s="63" t="str">
        <f>IF(LEN(A29)=6,"0"&amp;A29,A29)</f>
        <v>0117-01</v>
      </c>
      <c r="AE29" s="99" t="str">
        <f>"aws s3 cp "&amp;s3_bucket&amp;"/RTDC"&amp;B29&amp;"/"&amp;TEXT(F29,"YYYY-MM-DD")&amp;"/ "&amp;search_path&amp;"\RTDC"&amp;B29&amp;"\"&amp;TEXT(F29,"YYYY-MM-DD")&amp;" --recursive &amp; """&amp;walkandungz&amp;""" "&amp;search_path&amp;"\RTDC"&amp;B29&amp;"\"&amp;TEXT(F29,"YYYY-MM-DD")
&amp;" &amp; "&amp;"aws s3 cp "&amp;s3_bucket&amp;"/RTDC"&amp;B29&amp;"/"&amp;TEXT(F29+1,"YYYY-MM-DD")&amp;"/ "&amp;search_path&amp;"\RTDC"&amp;B29&amp;"\"&amp;TEXT(F29+1,"YYYY-MM-DD")&amp;" --recursive &amp; """&amp;walkandungz&amp;""" "&amp;search_path&amp;"\RTDC"&amp;B29&amp;"\"&amp;TEXT(F29+1,"YYYY-MM-DD")</f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29" s="96" t="str">
        <f>astrogrep_path&amp;" /spath="&amp;search_path&amp;" /stypes=""*"&amp;B29&amp;"*"&amp;TEXT(I29-utc_offset/24,"YYYYMMDD")&amp;"*"" /stext="" "&amp;TEXT(I29-utc_offset/24,"HH")&amp;search_regexp&amp;""" /e /r /s"</f>
        <v>"C:\Program Files (x86)\AstroGrep\AstroGrep.exe" /spath="%USERPROFILE%\AppData\Local\Temp\OnboardLogs" /stypes="*4031*20160901*" /stext=" 12:.+((SYSTEM_STATE.+slice.+state.+changed )|(ment ac)|(system.+state.+changed )|(\|lc)|(penalty)|(\[timeout)|(PRM\|1\|D)|(kpr)|(kdp))" /e /r /s</v>
      </c>
      <c r="AG29" s="1" t="str">
        <f>IFERROR(IF(VALUE(LEFT(AD29,2))&lt;=2,"EC",IF(OR(VALUE(LEFT(AD29,2))=8,VALUE(LEFT(AD29,2))=18),"NW","Other")),"Other")</f>
        <v>EC</v>
      </c>
      <c r="AH29" s="100" t="str">
        <f t="shared" si="2"/>
        <v>"%USERPROFILE%\Documents\GitHub\eaglep3\Utilities\RefineRTDCRunTimes.py" --tripid 117-01 --locoid 4031 --swversion DE.1.0.7.0 --startMP 204:447 --initTime 2016-09-01T05:33:01 --startdatetime 2016-09-01T05:45:16 --delay 1 --endMP 204:233324 --enddatetime 2016-09-01T06:21:31 --enforcementcount 0 &gt;&gt;C:\Users\stu\Documents\GitHub\eaglep3-reporting\EC\2016-09-01-refined-times.txt</v>
      </c>
      <c r="AI29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{"issue":{"subject":"","project_id":79,"tracker_id":40,"status_id":1,"priority_id":2,"assigned_to_id":23,"start_date":"2016-09-01","description":"","custom_fields":[{"id":1,"name":"Subdivision","value":"EC"},{"id":4,"name":"Milepost","value":"23.2877"},{"id":17,"name":"Train ID","value":"117-01"},{"id":16,"name":"Locomotive ID","value":"4031"},{"id":130,"name":"Impact","value":""},{"id":150,"name":"Time of Event (Mountain Time)","value":"06:21:31"},{"id":151,"name":"Denver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394</v>
      </c>
      <c r="B30" s="7">
        <v>4032</v>
      </c>
      <c r="C30" s="24" t="s">
        <v>113</v>
      </c>
      <c r="D30" s="24" t="s">
        <v>395</v>
      </c>
      <c r="E30" s="15">
        <v>42614.27815972222</v>
      </c>
      <c r="F30" s="15">
        <v>42614.281145833331</v>
      </c>
      <c r="G30" s="7">
        <v>2</v>
      </c>
      <c r="H30" s="15" t="s">
        <v>396</v>
      </c>
      <c r="I30" s="15">
        <v>42614.306909722225</v>
      </c>
      <c r="J30" s="7">
        <v>0</v>
      </c>
      <c r="K30" s="132" t="str">
        <f>IF(ISEVEN(B30),(B30-1)&amp;"/"&amp;B30,B30&amp;"/"&amp;(B30+1))</f>
        <v>4031/4032</v>
      </c>
      <c r="L30" s="24" t="str">
        <f>VLOOKUP(A30,'Trips&amp;Operators'!$C$1:$E$10000,3,FALSE)</f>
        <v>SPECTOR</v>
      </c>
      <c r="M30" s="6">
        <f>I30-F30</f>
        <v>2.5763888894289266E-2</v>
      </c>
      <c r="N30" s="7">
        <f>24*60*SUM($M30:$M30)</f>
        <v>37.100000007776543</v>
      </c>
      <c r="O30" s="7"/>
      <c r="P30" s="7"/>
      <c r="Q30" s="25"/>
      <c r="R30" s="25"/>
      <c r="S30" s="37">
        <f>SUM(U30:U30)/IF(AG30="EC",12,1)</f>
        <v>1</v>
      </c>
      <c r="T30" s="52" t="str">
        <f>IF(ISEVEN(LEFT(AD30,4)),"Southbound","NorthBound")</f>
        <v>Southbound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hh:mm:ss")&amp;"-0600',mode:absolute,to:'"&amp;TEXT(I30+1/24,"yyyy-MM-DD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https://search-rtdc-monitor-bjffxe2xuh6vdkpspy63sjmuny.us-east-1.es.amazonaws.com/_plugin/kibana/#/discover/Steve-Slow-Train-Analysis-(2080s-and-2083s)?_g=(refreshInterval:(display:Off,section:0,value:0),time:(from:'2016-09-01 05:40:33-0600',mode:absolute,to:'2016-09-01 08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30" s="54" t="str">
        <f>IF(AA30&lt;IF(AG30="EC",23,5.65),"Y","N")</f>
        <v>N</v>
      </c>
      <c r="X30" s="120">
        <f>VALUE(LEFT(AD30,4))-VALUE(LEFT(AD29,4))</f>
        <v>1</v>
      </c>
      <c r="Y30" s="69">
        <f>RIGHT(D30,LEN(D30)-4)/10000</f>
        <v>23.3005</v>
      </c>
      <c r="Z30" s="69">
        <f>RIGHT(H30,LEN(H30)-4)/10000</f>
        <v>1.2999999999999999E-2</v>
      </c>
      <c r="AA30" s="69">
        <f>ABS(Z30-Y30)</f>
        <v>23.287499999999998</v>
      </c>
      <c r="AB30" s="66" t="e">
        <f>VLOOKUP(A30,Enforcements!$C$7:$J$21,8,0)</f>
        <v>#N/A</v>
      </c>
      <c r="AC30" s="62" t="e">
        <f>VLOOKUP(A30,Enforcements!$C$7:$E$21,3,0)</f>
        <v>#N/A</v>
      </c>
      <c r="AD30" s="63" t="str">
        <f>IF(LEN(A30)=6,"0"&amp;A30,A30)</f>
        <v>0118-01</v>
      </c>
      <c r="AE30" s="99" t="str">
        <f>"aws s3 cp "&amp;s3_bucket&amp;"/RTDC"&amp;B30&amp;"/"&amp;TEXT(F30,"YYYY-MM-DD")&amp;"/ "&amp;search_path&amp;"\RTDC"&amp;B30&amp;"\"&amp;TEXT(F30,"YYYY-MM-DD")&amp;" --recursive &amp; """&amp;walkandungz&amp;""" "&amp;search_path&amp;"\RTDC"&amp;B30&amp;"\"&amp;TEXT(F30,"YYYY-MM-DD")
&amp;" &amp; "&amp;"aws s3 cp "&amp;s3_bucket&amp;"/RTDC"&amp;B30&amp;"/"&amp;TEXT(F30+1,"YYYY-MM-DD")&amp;"/ "&amp;search_path&amp;"\RTDC"&amp;B30&amp;"\"&amp;TEXT(F30+1,"YYYY-MM-DD")&amp;" --recursive &amp; """&amp;walkandungz&amp;""" "&amp;search_path&amp;"\RTDC"&amp;B30&amp;"\"&amp;TEXT(F30+1,"YYYY-MM-DD")</f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30" s="96" t="str">
        <f>astrogrep_path&amp;" /spath="&amp;search_path&amp;" /stypes=""*"&amp;B30&amp;"*"&amp;TEXT(I30-utc_offset/24,"YYYYMMDD")&amp;"*"" /stext="" "&amp;TEXT(I30-utc_offset/24,"HH")&amp;search_regexp&amp;""" /e /r /s"</f>
        <v>"C:\Program Files (x86)\AstroGrep\AstroGrep.exe" /spath="%USERPROFILE%\AppData\Local\Temp\OnboardLogs" /stypes="*4032*20160901*" /stext=" 13:.+((SYSTEM_STATE.+slice.+state.+changed )|(ment ac)|(system.+state.+changed )|(\|lc)|(penalty)|(\[timeout)|(PRM\|1\|D)|(kpr)|(kdp))" /e /r /s</v>
      </c>
      <c r="AG30" s="1" t="str">
        <f>IFERROR(IF(VALUE(LEFT(AD30,2))&lt;=2,"EC",IF(OR(VALUE(LEFT(AD30,2))=8,VALUE(LEFT(AD30,2))=18),"NW","Other")),"Other")</f>
        <v>EC</v>
      </c>
      <c r="AH30" s="100" t="str">
        <f t="shared" si="2"/>
        <v>"%USERPROFILE%\Documents\GitHub\eaglep3\Utilities\RefineRTDCRunTimes.py" --tripid 118-01 --locoid 4032 --swversion DE.1.0.7.0 --startMP 204:233005 --initTime 2016-09-01T06:40:33 --startdatetime 2016-09-01T06:44:51 --delay 2 --endMP 204:130 --enddatetime 2016-09-01T07:21:57 --enforcementcount 0 &gt;&gt;C:\Users\stu\Documents\GitHub\eaglep3-reporting\EC\2016-09-01-refined-times.txt</v>
      </c>
      <c r="AI30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{"issue":{"subject":"","project_id":79,"tracker_id":40,"status_id":1,"priority_id":2,"assigned_to_id":23,"start_date":"2016-09-01","description":"","custom_fields":[{"id":1,"name":"Subdivision","value":"EC"},{"id":4,"name":"Milepost","value":"23.2875"},{"id":17,"name":"Train ID","value":"118-01"},{"id":16,"name":"Locomotive ID","value":"4032"},{"id":130,"name":"Impact","value":""},{"id":150,"name":"Time of Event (Mountain Time)","value":"07:21:57"},{"id":151,"name":"Denver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397</v>
      </c>
      <c r="B31" s="7">
        <v>4018</v>
      </c>
      <c r="C31" s="24" t="s">
        <v>113</v>
      </c>
      <c r="D31" s="24" t="s">
        <v>398</v>
      </c>
      <c r="E31" s="15">
        <v>42614.247337962966</v>
      </c>
      <c r="F31" s="15">
        <v>42614.250462962962</v>
      </c>
      <c r="G31" s="7">
        <v>1</v>
      </c>
      <c r="H31" s="15" t="s">
        <v>297</v>
      </c>
      <c r="I31" s="15">
        <v>42614.277361111112</v>
      </c>
      <c r="J31" s="7">
        <v>0</v>
      </c>
      <c r="K31" s="132" t="str">
        <f>IF(ISEVEN(B31),(B31-1)&amp;"/"&amp;B31,B31&amp;"/"&amp;(B31+1))</f>
        <v>4017/4018</v>
      </c>
      <c r="L31" s="24" t="str">
        <f>VLOOKUP(A31,'Trips&amp;Operators'!$C$1:$E$10000,3,FALSE)</f>
        <v>MALAVE</v>
      </c>
      <c r="M31" s="6">
        <f>I31-F31</f>
        <v>2.6898148149484769E-2</v>
      </c>
      <c r="N31" s="7">
        <f>24*60*SUM($M31:$M31)</f>
        <v>38.733333335258067</v>
      </c>
      <c r="O31" s="7"/>
      <c r="P31" s="7"/>
      <c r="Q31" s="25"/>
      <c r="R31" s="25"/>
      <c r="S31" s="37">
        <f>SUM(U31:U31)/IF(AG31="EC",12,1)</f>
        <v>1</v>
      </c>
      <c r="T31" s="52" t="str">
        <f>IF(ISEVEN(LEFT(AD31,4)),"Southbound","NorthBound")</f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hh:mm:ss")&amp;"-0600',mode:absolute,to:'"&amp;TEXT(I31+1/24,"yyyy-MM-DD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https://search-rtdc-monitor-bjffxe2xuh6vdkpspy63sjmuny.us-east-1.es.amazonaws.com/_plugin/kibana/#/discover/Steve-Slow-Train-Analysis-(2080s-and-2083s)?_g=(refreshInterval:(display:Off,section:0,value:0),time:(from:'2016-09-01 04:56:10-0600',mode:absolute,to:'2016-09-01 07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31" s="54" t="str">
        <f>IF(AA31&lt;IF(AG31="EC",23,5.65),"Y","N")</f>
        <v>N</v>
      </c>
      <c r="X31" s="120">
        <f>VALUE(LEFT(AD31,4))-VALUE(LEFT(AD30,4))</f>
        <v>1</v>
      </c>
      <c r="Y31" s="69">
        <f>RIGHT(D31,LEN(D31)-4)/10000</f>
        <v>7.6499999999999999E-2</v>
      </c>
      <c r="Z31" s="69">
        <f>RIGHT(H31,LEN(H31)-4)/10000</f>
        <v>23.331</v>
      </c>
      <c r="AA31" s="69">
        <f>ABS(Z31-Y31)</f>
        <v>23.2545</v>
      </c>
      <c r="AB31" s="66" t="e">
        <f>VLOOKUP(A31,Enforcements!$C$7:$J$21,8,0)</f>
        <v>#N/A</v>
      </c>
      <c r="AC31" s="62" t="e">
        <f>VLOOKUP(A31,Enforcements!$C$7:$E$21,3,0)</f>
        <v>#N/A</v>
      </c>
      <c r="AD31" s="63" t="str">
        <f>IF(LEN(A31)=6,"0"&amp;A31,A31)</f>
        <v>0119-01</v>
      </c>
      <c r="AE31" s="99" t="str">
        <f>"aws s3 cp "&amp;s3_bucket&amp;"/RTDC"&amp;B31&amp;"/"&amp;TEXT(F31,"YYYY-MM-DD")&amp;"/ "&amp;search_path&amp;"\RTDC"&amp;B31&amp;"\"&amp;TEXT(F31,"YYYY-MM-DD")&amp;" --recursive &amp; """&amp;walkandungz&amp;""" "&amp;search_path&amp;"\RTDC"&amp;B31&amp;"\"&amp;TEXT(F31,"YYYY-MM-DD")
&amp;" &amp; "&amp;"aws s3 cp "&amp;s3_bucket&amp;"/RTDC"&amp;B31&amp;"/"&amp;TEXT(F31+1,"YYYY-MM-DD")&amp;"/ "&amp;search_path&amp;"\RTDC"&amp;B31&amp;"\"&amp;TEXT(F31+1,"YYYY-MM-DD")&amp;" --recursive &amp; """&amp;walkandungz&amp;""" "&amp;search_path&amp;"\RTDC"&amp;B31&amp;"\"&amp;TEXT(F31+1,"YYYY-MM-DD")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31" s="96" t="str">
        <f>astrogrep_path&amp;" /spath="&amp;search_path&amp;" /stypes=""*"&amp;B31&amp;"*"&amp;TEXT(I31-utc_offset/24,"YYYYMMDD")&amp;"*"" /stext="" "&amp;TEXT(I31-utc_offset/24,"HH")&amp;search_regexp&amp;""" /e /r /s"</f>
        <v>"C:\Program Files (x86)\AstroGrep\AstroGrep.exe" /spath="%USERPROFILE%\AppData\Local\Temp\OnboardLogs" /stypes="*4018*20160901*" /stext=" 12:.+((SYSTEM_STATE.+slice.+state.+changed )|(ment ac)|(system.+state.+changed )|(\|lc)|(penalty)|(\[timeout)|(PRM\|1\|D)|(kpr)|(kdp))" /e /r /s</v>
      </c>
      <c r="AG31" s="1" t="str">
        <f>IFERROR(IF(VALUE(LEFT(AD31,2))&lt;=2,"EC",IF(OR(VALUE(LEFT(AD31,2))=8,VALUE(LEFT(AD31,2))=18),"NW","Other")),"Other")</f>
        <v>EC</v>
      </c>
      <c r="AH31" s="100" t="str">
        <f t="shared" si="2"/>
        <v>"%USERPROFILE%\Documents\GitHub\eaglep3\Utilities\RefineRTDCRunTimes.py" --tripid 119-01 --locoid 4018 --swversion DE.1.0.7.0 --startMP 204:765 --initTime 2016-09-01T05:56:10 --startdatetime 2016-09-01T06:00:40 --delay 1 --endMP 204:233310 --enddatetime 2016-09-01T06:39:24 --enforcementcount 0 &gt;&gt;C:\Users\stu\Documents\GitHub\eaglep3-reporting\EC\2016-09-01-refined-times.txt</v>
      </c>
      <c r="AI31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{"issue":{"subject":"","project_id":79,"tracker_id":40,"status_id":1,"priority_id":2,"assigned_to_id":23,"start_date":"2016-09-01","description":"","custom_fields":[{"id":1,"name":"Subdivision","value":"EC"},{"id":4,"name":"Milepost","value":"23.2545"},{"id":17,"name":"Train ID","value":"119-01"},{"id":16,"name":"Locomotive ID","value":"4018"},{"id":130,"name":"Impact","value":""},{"id":150,"name":"Time of Event (Mountain Time)","value":"06:39:24"},{"id":151,"name":"Denver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399</v>
      </c>
      <c r="B32" s="7">
        <v>4017</v>
      </c>
      <c r="C32" s="24" t="s">
        <v>113</v>
      </c>
      <c r="D32" s="24" t="s">
        <v>322</v>
      </c>
      <c r="E32" s="15">
        <v>42614.286793981482</v>
      </c>
      <c r="F32" s="15">
        <v>42614.289178240739</v>
      </c>
      <c r="G32" s="7">
        <v>1</v>
      </c>
      <c r="H32" s="15" t="s">
        <v>167</v>
      </c>
      <c r="I32" s="15">
        <v>42614.316840277781</v>
      </c>
      <c r="J32" s="7">
        <v>0</v>
      </c>
      <c r="K32" s="132" t="str">
        <f>IF(ISEVEN(B32),(B32-1)&amp;"/"&amp;B32,B32&amp;"/"&amp;(B32+1))</f>
        <v>4017/4018</v>
      </c>
      <c r="L32" s="24" t="str">
        <f>VLOOKUP(A32,'Trips&amp;Operators'!$C$1:$E$10000,3,FALSE)</f>
        <v>MALAVE</v>
      </c>
      <c r="M32" s="6">
        <f>I32-F32</f>
        <v>2.7662037042318843E-2</v>
      </c>
      <c r="N32" s="7">
        <f>24*60*SUM($M32:$M32)</f>
        <v>39.833333340939134</v>
      </c>
      <c r="O32" s="7"/>
      <c r="P32" s="7"/>
      <c r="Q32" s="25"/>
      <c r="R32" s="25"/>
      <c r="S32" s="37">
        <f>SUM(U32:U32)/IF(AG32="EC",12,1)</f>
        <v>1</v>
      </c>
      <c r="T32" s="52" t="str">
        <f>IF(ISEVEN(LEFT(AD32,4)),"Southbound","NorthBound")</f>
        <v>Southbound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hh:mm:ss")&amp;"-0600',mode:absolute,to:'"&amp;TEXT(I32+1/24,"yyyy-MM-DD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https://search-rtdc-monitor-bjffxe2xuh6vdkpspy63sjmuny.us-east-1.es.amazonaws.com/_plugin/kibana/#/discover/Steve-Slow-Train-Analysis-(2080s-and-2083s)?_g=(refreshInterval:(display:Off,section:0,value:0),time:(from:'2016-09-01 05:52:59-0600',mode:absolute,to:'2016-09-01 08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32" s="54" t="str">
        <f>IF(AA32&lt;IF(AG32="EC",23,5.65),"Y","N")</f>
        <v>N</v>
      </c>
      <c r="X32" s="120">
        <f>VALUE(LEFT(AD32,4))-VALUE(LEFT(AD31,4))</f>
        <v>1</v>
      </c>
      <c r="Y32" s="69">
        <f>RIGHT(D32,LEN(D32)-4)/10000</f>
        <v>23.298300000000001</v>
      </c>
      <c r="Z32" s="69">
        <f>RIGHT(H32,LEN(H32)-4)/10000</f>
        <v>1.52E-2</v>
      </c>
      <c r="AA32" s="69">
        <f>ABS(Z32-Y32)</f>
        <v>23.283100000000001</v>
      </c>
      <c r="AB32" s="66">
        <f>VLOOKUP(A32,Enforcements!$C$7:$J$21,8,0)</f>
        <v>21848</v>
      </c>
      <c r="AC32" s="62" t="str">
        <f>VLOOKUP(A32,Enforcements!$C$7:$E$21,3,0)</f>
        <v>PERMANENT SPEED RESTRICTION</v>
      </c>
      <c r="AD32" s="63" t="str">
        <f>IF(LEN(A32)=6,"0"&amp;A32,A32)</f>
        <v>0120-01</v>
      </c>
      <c r="AE32" s="99" t="str">
        <f>"aws s3 cp "&amp;s3_bucket&amp;"/RTDC"&amp;B32&amp;"/"&amp;TEXT(F32,"YYYY-MM-DD")&amp;"/ "&amp;search_path&amp;"\RTDC"&amp;B32&amp;"\"&amp;TEXT(F32,"YYYY-MM-DD")&amp;" --recursive &amp; """&amp;walkandungz&amp;""" "&amp;search_path&amp;"\RTDC"&amp;B32&amp;"\"&amp;TEXT(F32,"YYYY-MM-DD")
&amp;" &amp; "&amp;"aws s3 cp "&amp;s3_bucket&amp;"/RTDC"&amp;B32&amp;"/"&amp;TEXT(F32+1,"YYYY-MM-DD")&amp;"/ "&amp;search_path&amp;"\RTDC"&amp;B32&amp;"\"&amp;TEXT(F32+1,"YYYY-MM-DD")&amp;" --recursive &amp; """&amp;walkandungz&amp;""" "&amp;search_path&amp;"\RTDC"&amp;B32&amp;"\"&amp;TEXT(F32+1,"YYYY-MM-DD")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32" s="96" t="str">
        <f>astrogrep_path&amp;" /spath="&amp;search_path&amp;" /stypes=""*"&amp;B32&amp;"*"&amp;TEXT(I32-utc_offset/24,"YYYYMMDD")&amp;"*"" /stext="" "&amp;TEXT(I32-utc_offset/24,"HH")&amp;search_regexp&amp;""" /e /r /s"</f>
        <v>"C:\Program Files (x86)\AstroGrep\AstroGrep.exe" /spath="%USERPROFILE%\AppData\Local\Temp\OnboardLogs" /stypes="*4017*20160901*" /stext=" 13:.+((SYSTEM_STATE.+slice.+state.+changed )|(ment ac)|(system.+state.+changed )|(\|lc)|(penalty)|(\[timeout)|(PRM\|1\|D)|(kpr)|(kdp))" /e /r /s</v>
      </c>
      <c r="AG32" s="1" t="str">
        <f>IFERROR(IF(VALUE(LEFT(AD32,2))&lt;=2,"EC",IF(OR(VALUE(LEFT(AD32,2))=8,VALUE(LEFT(AD32,2))=18),"NW","Other")),"Other")</f>
        <v>EC</v>
      </c>
      <c r="AH32" s="100" t="str">
        <f t="shared" si="2"/>
        <v>"%USERPROFILE%\Documents\GitHub\eaglep3\Utilities\RefineRTDCRunTimes.py" --tripid 120-01 --locoid 4017 --swversion DE.1.0.7.0 --startMP 204:232983 --initTime 2016-09-01T06:52:59 --startdatetime 2016-09-01T06:56:25 --delay 1 --endMP 204:152 --enddatetime 2016-09-01T07:36:15 --enforcementcount 0 &gt;&gt;C:\Users\stu\Documents\GitHub\eaglep3-reporting\EC\2016-09-01-refined-times.txt</v>
      </c>
      <c r="AI32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{"issue":{"subject":"","project_id":79,"tracker_id":40,"status_id":1,"priority_id":2,"assigned_to_id":23,"start_date":"2016-09-01","description":"","custom_fields":[{"id":1,"name":"Subdivision","value":"EC"},{"id":4,"name":"Milepost","value":"23.2831"},{"id":17,"name":"Train ID","value":"120-01"},{"id":16,"name":"Locomotive ID","value":"4017"},{"id":130,"name":"Impact","value":""},{"id":150,"name":"Time of Event (Mountain Time)","value":"07:36:15"},{"id":151,"name":"Denver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400</v>
      </c>
      <c r="B33" s="7">
        <v>4038</v>
      </c>
      <c r="C33" s="24" t="s">
        <v>113</v>
      </c>
      <c r="D33" s="24" t="s">
        <v>138</v>
      </c>
      <c r="E33" s="15">
        <v>42614.256377314814</v>
      </c>
      <c r="F33" s="15">
        <v>42614.26085648148</v>
      </c>
      <c r="G33" s="7">
        <v>1</v>
      </c>
      <c r="H33" s="15" t="s">
        <v>401</v>
      </c>
      <c r="I33" s="15">
        <v>42614.287569444445</v>
      </c>
      <c r="J33" s="7">
        <v>0</v>
      </c>
      <c r="K33" s="132" t="str">
        <f>IF(ISEVEN(B33),(B33-1)&amp;"/"&amp;B33,B33&amp;"/"&amp;(B33+1))</f>
        <v>4037/4038</v>
      </c>
      <c r="L33" s="24" t="str">
        <f>VLOOKUP(A33,'Trips&amp;Operators'!$C$1:$E$10000,3,FALSE)</f>
        <v>STRICKLAND</v>
      </c>
      <c r="M33" s="6">
        <f>I33-F33</f>
        <v>2.6712962964666076E-2</v>
      </c>
      <c r="N33" s="7">
        <f>24*60*SUM($M33:$M33)</f>
        <v>38.466666669119149</v>
      </c>
      <c r="O33" s="7"/>
      <c r="P33" s="7"/>
      <c r="Q33" s="25"/>
      <c r="R33" s="25"/>
      <c r="S33" s="37">
        <f>SUM(U33:U33)/IF(AG33="EC",12,1)</f>
        <v>1</v>
      </c>
      <c r="T33" s="52" t="str">
        <f>IF(ISEVEN(LEFT(AD33,4)),"Southbound","NorthBound")</f>
        <v>NorthBound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hh:mm:ss")&amp;"-0600',mode:absolute,to:'"&amp;TEXT(I33+1/24,"yyyy-MM-DD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https://search-rtdc-monitor-bjffxe2xuh6vdkpspy63sjmuny.us-east-1.es.amazonaws.com/_plugin/kibana/#/discover/Steve-Slow-Train-Analysis-(2080s-and-2083s)?_g=(refreshInterval:(display:Off,section:0,value:0),time:(from:'2016-09-01 05:09:11-0600',mode:absolute,to:'2016-09-01 07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3" s="54" t="str">
        <f>IF(AA33&lt;IF(AG33="EC",23,5.65),"Y","N")</f>
        <v>N</v>
      </c>
      <c r="X33" s="120">
        <f>VALUE(LEFT(AD33,4))-VALUE(LEFT(AD32,4))</f>
        <v>1</v>
      </c>
      <c r="Y33" s="69">
        <f>RIGHT(D33,LEN(D33)-4)/10000</f>
        <v>4.6699999999999998E-2</v>
      </c>
      <c r="Z33" s="69">
        <f>RIGHT(H33,LEN(H33)-4)/10000</f>
        <v>23.3322</v>
      </c>
      <c r="AA33" s="69">
        <f>ABS(Z33-Y33)</f>
        <v>23.285499999999999</v>
      </c>
      <c r="AB33" s="66">
        <f>VLOOKUP(A33,Enforcements!$C$7:$J$21,8,0)</f>
        <v>63069</v>
      </c>
      <c r="AC33" s="62" t="str">
        <f>VLOOKUP(A33,Enforcements!$C$7:$E$21,3,0)</f>
        <v>GRADE CROSSING</v>
      </c>
      <c r="AD33" s="63" t="str">
        <f>IF(LEN(A33)=6,"0"&amp;A33,A33)</f>
        <v>0121-01</v>
      </c>
      <c r="AE33" s="99" t="str">
        <f>"aws s3 cp "&amp;s3_bucket&amp;"/RTDC"&amp;B33&amp;"/"&amp;TEXT(F33,"YYYY-MM-DD")&amp;"/ "&amp;search_path&amp;"\RTDC"&amp;B33&amp;"\"&amp;TEXT(F33,"YYYY-MM-DD")&amp;" --recursive &amp; """&amp;walkandungz&amp;""" "&amp;search_path&amp;"\RTDC"&amp;B33&amp;"\"&amp;TEXT(F33,"YYYY-MM-DD")
&amp;" &amp; "&amp;"aws s3 cp "&amp;s3_bucket&amp;"/RTDC"&amp;B33&amp;"/"&amp;TEXT(F33+1,"YYYY-MM-DD")&amp;"/ "&amp;search_path&amp;"\RTDC"&amp;B33&amp;"\"&amp;TEXT(F33+1,"YYYY-MM-DD")&amp;" --recursive &amp; """&amp;walkandungz&amp;""" "&amp;search_path&amp;"\RTDC"&amp;B33&amp;"\"&amp;TEXT(F33+1,"YYYY-MM-DD")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33" s="96" t="str">
        <f>astrogrep_path&amp;" /spath="&amp;search_path&amp;" /stypes=""*"&amp;B33&amp;"*"&amp;TEXT(I33-utc_offset/24,"YYYYMMDD")&amp;"*"" /stext="" "&amp;TEXT(I33-utc_offset/24,"HH")&amp;search_regexp&amp;""" /e /r /s"</f>
        <v>"C:\Program Files (x86)\AstroGrep\AstroGrep.exe" /spath="%USERPROFILE%\AppData\Local\Temp\OnboardLogs" /stypes="*4038*20160901*" /stext=" 12:.+((SYSTEM_STATE.+slice.+state.+changed )|(ment ac)|(system.+state.+changed )|(\|lc)|(penalty)|(\[timeout)|(PRM\|1\|D)|(kpr)|(kdp))" /e /r /s</v>
      </c>
      <c r="AG33" s="1" t="str">
        <f>IFERROR(IF(VALUE(LEFT(AD33,2))&lt;=2,"EC",IF(OR(VALUE(LEFT(AD33,2))=8,VALUE(LEFT(AD33,2))=18),"NW","Other")),"Other")</f>
        <v>EC</v>
      </c>
      <c r="AH33" s="100" t="str">
        <f t="shared" si="2"/>
        <v>"%USERPROFILE%\Documents\GitHub\eaglep3\Utilities\RefineRTDCRunTimes.py" --tripid 121-01 --locoid 4038 --swversion DE.1.0.7.0 --startMP 204:467 --initTime 2016-09-01T06:09:11 --startdatetime 2016-09-01T06:15:38 --delay 1 --endMP 204:233322 --enddatetime 2016-09-01T06:54:06 --enforcementcount 0 &gt;&gt;C:\Users\stu\Documents\GitHub\eaglep3-reporting\EC\2016-09-01-refined-times.txt</v>
      </c>
      <c r="AI33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{"issue":{"subject":"","project_id":79,"tracker_id":40,"status_id":1,"priority_id":2,"assigned_to_id":23,"start_date":"2016-09-01","description":"","custom_fields":[{"id":1,"name":"Subdivision","value":"EC"},{"id":4,"name":"Milepost","value":"23.2855"},{"id":17,"name":"Train ID","value":"121-01"},{"id":16,"name":"Locomotive ID","value":"4038"},{"id":130,"name":"Impact","value":""},{"id":150,"name":"Time of Event (Mountain Time)","value":"06:54:06"},{"id":151,"name":"Denver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ht="16.5" customHeight="1" x14ac:dyDescent="0.25">
      <c r="A34" s="39" t="s">
        <v>402</v>
      </c>
      <c r="B34" s="7">
        <v>4037</v>
      </c>
      <c r="C34" s="24" t="s">
        <v>113</v>
      </c>
      <c r="D34" s="24" t="s">
        <v>270</v>
      </c>
      <c r="E34" s="15">
        <v>42614.294918981483</v>
      </c>
      <c r="F34" s="15">
        <v>42614.299571759257</v>
      </c>
      <c r="G34" s="7">
        <v>1</v>
      </c>
      <c r="H34" s="15" t="s">
        <v>403</v>
      </c>
      <c r="I34" s="15">
        <v>42614.327974537038</v>
      </c>
      <c r="J34" s="7">
        <v>0</v>
      </c>
      <c r="K34" s="132" t="str">
        <f>IF(ISEVEN(B34),(B34-1)&amp;"/"&amp;B34,B34&amp;"/"&amp;(B34+1))</f>
        <v>4037/4038</v>
      </c>
      <c r="L34" s="24" t="str">
        <f>VLOOKUP(A34,'Trips&amp;Operators'!$C$1:$E$10000,3,FALSE)</f>
        <v>STRICKLAND</v>
      </c>
      <c r="M34" s="6">
        <f>I34-F34</f>
        <v>2.8402777781593613E-2</v>
      </c>
      <c r="N34" s="7">
        <f>24*60*SUM($M34:$M34)</f>
        <v>40.900000005494803</v>
      </c>
      <c r="O34" s="7"/>
      <c r="P34" s="7"/>
      <c r="Q34" s="25"/>
      <c r="R34" s="25"/>
      <c r="S34" s="37">
        <f>SUM(U34:U34)/IF(AG34="EC",12,1)</f>
        <v>1</v>
      </c>
      <c r="T34" s="52" t="str">
        <f>IF(ISEVEN(LEFT(AD34,4)),"Southbound","NorthBound")</f>
        <v>Southbound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hh:mm:ss")&amp;"-0600',mode:absolute,to:'"&amp;TEXT(I34+1/24,"yyyy-MM-DD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https://search-rtdc-monitor-bjffxe2xuh6vdkpspy63sjmuny.us-east-1.es.amazonaws.com/_plugin/kibana/#/discover/Steve-Slow-Train-Analysis-(2080s-and-2083s)?_g=(refreshInterval:(display:Off,section:0,value:0),time:(from:'2016-09-01 06:04:41-0600',mode:absolute,to:'2016-09-01 08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4" s="54" t="str">
        <f>IF(AA34&lt;IF(AG34="EC",23,5.65),"Y","N")</f>
        <v>N</v>
      </c>
      <c r="X34" s="120">
        <f>VALUE(LEFT(AD34,4))-VALUE(LEFT(AD33,4))</f>
        <v>1</v>
      </c>
      <c r="Y34" s="69">
        <f>RIGHT(D34,LEN(D34)-4)/10000</f>
        <v>23.297499999999999</v>
      </c>
      <c r="Z34" s="69">
        <f>RIGHT(H34,LEN(H34)-4)/10000</f>
        <v>2.2100000000000002E-2</v>
      </c>
      <c r="AA34" s="69">
        <f>ABS(Z34-Y34)</f>
        <v>23.275400000000001</v>
      </c>
      <c r="AB34" s="66" t="e">
        <f>VLOOKUP(A34,Enforcements!$C$7:$J$21,8,0)</f>
        <v>#N/A</v>
      </c>
      <c r="AC34" s="62" t="e">
        <f>VLOOKUP(A34,Enforcements!$C$7:$E$21,3,0)</f>
        <v>#N/A</v>
      </c>
      <c r="AD34" s="63" t="str">
        <f>IF(LEN(A34)=6,"0"&amp;A34,A34)</f>
        <v>0122-01</v>
      </c>
      <c r="AE34" s="99" t="str">
        <f>"aws s3 cp "&amp;s3_bucket&amp;"/RTDC"&amp;B34&amp;"/"&amp;TEXT(F34,"YYYY-MM-DD")&amp;"/ "&amp;search_path&amp;"\RTDC"&amp;B34&amp;"\"&amp;TEXT(F34,"YYYY-MM-DD")&amp;" --recursive &amp; """&amp;walkandungz&amp;""" "&amp;search_path&amp;"\RTDC"&amp;B34&amp;"\"&amp;TEXT(F34,"YYYY-MM-DD")
&amp;" &amp; "&amp;"aws s3 cp "&amp;s3_bucket&amp;"/RTDC"&amp;B34&amp;"/"&amp;TEXT(F34+1,"YYYY-MM-DD")&amp;"/ "&amp;search_path&amp;"\RTDC"&amp;B34&amp;"\"&amp;TEXT(F34+1,"YYYY-MM-DD")&amp;" --recursive &amp; """&amp;walkandungz&amp;""" "&amp;search_path&amp;"\RTDC"&amp;B34&amp;"\"&amp;TEXT(F34+1,"YYYY-MM-DD")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34" s="96" t="str">
        <f>astrogrep_path&amp;" /spath="&amp;search_path&amp;" /stypes=""*"&amp;B34&amp;"*"&amp;TEXT(I34-utc_offset/24,"YYYYMMDD")&amp;"*"" /stext="" "&amp;TEXT(I34-utc_offset/24,"HH")&amp;search_regexp&amp;""" /e /r /s"</f>
        <v>"C:\Program Files (x86)\AstroGrep\AstroGrep.exe" /spath="%USERPROFILE%\AppData\Local\Temp\OnboardLogs" /stypes="*4037*20160901*" /stext=" 13:.+((SYSTEM_STATE.+slice.+state.+changed )|(ment ac)|(system.+state.+changed )|(\|lc)|(penalty)|(\[timeout)|(PRM\|1\|D)|(kpr)|(kdp))" /e /r /s</v>
      </c>
      <c r="AG34" s="1" t="str">
        <f>IFERROR(IF(VALUE(LEFT(AD34,2))&lt;=2,"EC",IF(OR(VALUE(LEFT(AD34,2))=8,VALUE(LEFT(AD34,2))=18),"NW","Other")),"Other")</f>
        <v>EC</v>
      </c>
      <c r="AH34" s="100" t="str">
        <f t="shared" si="2"/>
        <v>"%USERPROFILE%\Documents\GitHub\eaglep3\Utilities\RefineRTDCRunTimes.py" --tripid 122-01 --locoid 4037 --swversion DE.1.0.7.0 --startMP 204:232975 --initTime 2016-09-01T07:04:41 --startdatetime 2016-09-01T07:11:23 --delay 1 --endMP 204:221 --enddatetime 2016-09-01T07:52:17 --enforcementcount 0 &gt;&gt;C:\Users\stu\Documents\GitHub\eaglep3-reporting\EC\2016-09-01-refined-times.txt</v>
      </c>
      <c r="AI34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{"issue":{"subject":"","project_id":79,"tracker_id":40,"status_id":1,"priority_id":2,"assigned_to_id":23,"start_date":"2016-09-01","description":"","custom_fields":[{"id":1,"name":"Subdivision","value":"EC"},{"id":4,"name":"Milepost","value":"23.2754"},{"id":17,"name":"Train ID","value":"122-01"},{"id":16,"name":"Locomotive ID","value":"4037"},{"id":130,"name":"Impact","value":""},{"id":150,"name":"Time of Event (Mountain Time)","value":"07:52:17"},{"id":151,"name":"Denver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404</v>
      </c>
      <c r="B35" s="7">
        <v>4007</v>
      </c>
      <c r="C35" s="24" t="s">
        <v>113</v>
      </c>
      <c r="D35" s="24" t="s">
        <v>109</v>
      </c>
      <c r="E35" s="15">
        <v>42614.268495370372</v>
      </c>
      <c r="F35" s="15">
        <v>42614.271099537036</v>
      </c>
      <c r="G35" s="7">
        <v>1</v>
      </c>
      <c r="H35" s="15" t="s">
        <v>405</v>
      </c>
      <c r="I35" s="15">
        <v>42614.296979166669</v>
      </c>
      <c r="J35" s="7">
        <v>0</v>
      </c>
      <c r="K35" s="132" t="str">
        <f>IF(ISEVEN(B35),(B35-1)&amp;"/"&amp;B35,B35&amp;"/"&amp;(B35+1))</f>
        <v>4007/4008</v>
      </c>
      <c r="L35" s="24" t="str">
        <f>VLOOKUP(A35,'Trips&amp;Operators'!$C$1:$E$10000,3,FALSE)</f>
        <v>ARVIDSON</v>
      </c>
      <c r="M35" s="6">
        <f>I35-F35</f>
        <v>2.587962963298196E-2</v>
      </c>
      <c r="N35" s="7">
        <f>24*60*SUM($M35:$M35)</f>
        <v>37.266666671494022</v>
      </c>
      <c r="O35" s="7"/>
      <c r="P35" s="7"/>
      <c r="Q35" s="25"/>
      <c r="R35" s="25"/>
      <c r="S35" s="37">
        <f>SUM(U35:U35)/IF(AG35="EC",12,1)</f>
        <v>1</v>
      </c>
      <c r="T35" s="52" t="str">
        <f>IF(ISEVEN(LEFT(AD35,4)),"Southbound","NorthBound")</f>
        <v>NorthBound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hh:mm:ss")&amp;"-0600',mode:absolute,to:'"&amp;TEXT(I35+1/24,"yyyy-MM-DD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https://search-rtdc-monitor-bjffxe2xuh6vdkpspy63sjmuny.us-east-1.es.amazonaws.com/_plugin/kibana/#/discover/Steve-Slow-Train-Analysis-(2080s-and-2083s)?_g=(refreshInterval:(display:Off,section:0,value:0),time:(from:'2016-09-01 05:26:38-0600',mode:absolute,to:'2016-09-01 08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35" s="54" t="str">
        <f>IF(AA35&lt;IF(AG35="EC",23,5.65),"Y","N")</f>
        <v>N</v>
      </c>
      <c r="X35" s="120">
        <f>VALUE(LEFT(AD35,4))-VALUE(LEFT(AD34,4))</f>
        <v>1</v>
      </c>
      <c r="Y35" s="69">
        <f>RIGHT(D35,LEN(D35)-4)/10000</f>
        <v>4.6199999999999998E-2</v>
      </c>
      <c r="Z35" s="69">
        <f>RIGHT(H35,LEN(H35)-4)/10000</f>
        <v>23.341000000000001</v>
      </c>
      <c r="AA35" s="69">
        <f>ABS(Z35-Y35)</f>
        <v>23.294800000000002</v>
      </c>
      <c r="AB35" s="66" t="e">
        <f>VLOOKUP(A35,Enforcements!$C$7:$J$21,8,0)</f>
        <v>#N/A</v>
      </c>
      <c r="AC35" s="62" t="e">
        <f>VLOOKUP(A35,Enforcements!$C$7:$E$21,3,0)</f>
        <v>#N/A</v>
      </c>
      <c r="AD35" s="63" t="str">
        <f>IF(LEN(A35)=6,"0"&amp;A35,A35)</f>
        <v>0123-01</v>
      </c>
      <c r="AE35" s="99" t="str">
        <f>"aws s3 cp "&amp;s3_bucket&amp;"/RTDC"&amp;B35&amp;"/"&amp;TEXT(F35,"YYYY-MM-DD")&amp;"/ "&amp;search_path&amp;"\RTDC"&amp;B35&amp;"\"&amp;TEXT(F35,"YYYY-MM-DD")&amp;" --recursive &amp; """&amp;walkandungz&amp;""" "&amp;search_path&amp;"\RTDC"&amp;B35&amp;"\"&amp;TEXT(F35,"YYYY-MM-DD")
&amp;" &amp; "&amp;"aws s3 cp "&amp;s3_bucket&amp;"/RTDC"&amp;B35&amp;"/"&amp;TEXT(F35+1,"YYYY-MM-DD")&amp;"/ "&amp;search_path&amp;"\RTDC"&amp;B35&amp;"\"&amp;TEXT(F35+1,"YYYY-MM-DD")&amp;" --recursive &amp; """&amp;walkandungz&amp;""" "&amp;search_path&amp;"\RTDC"&amp;B35&amp;"\"&amp;TEXT(F35+1,"YYYY-MM-DD")</f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35" s="96" t="str">
        <f>astrogrep_path&amp;" /spath="&amp;search_path&amp;" /stypes=""*"&amp;B35&amp;"*"&amp;TEXT(I35-utc_offset/24,"YYYYMMDD")&amp;"*"" /stext="" "&amp;TEXT(I35-utc_offset/24,"HH")&amp;search_regexp&amp;""" /e /r /s"</f>
        <v>"C:\Program Files (x86)\AstroGrep\AstroGrep.exe" /spath="%USERPROFILE%\AppData\Local\Temp\OnboardLogs" /stypes="*4007*20160901*" /stext=" 13:.+((SYSTEM_STATE.+slice.+state.+changed )|(ment ac)|(system.+state.+changed )|(\|lc)|(penalty)|(\[timeout)|(PRM\|1\|D)|(kpr)|(kdp))" /e /r /s</v>
      </c>
      <c r="AG35" s="1" t="str">
        <f>IFERROR(IF(VALUE(LEFT(AD35,2))&lt;=2,"EC",IF(OR(VALUE(LEFT(AD35,2))=8,VALUE(LEFT(AD35,2))=18),"NW","Other")),"Other")</f>
        <v>EC</v>
      </c>
      <c r="AH35" s="100" t="str">
        <f t="shared" si="2"/>
        <v>"%USERPROFILE%\Documents\GitHub\eaglep3\Utilities\RefineRTDCRunTimes.py" --tripid 123-01 --locoid 4007 --swversion DE.1.0.7.0 --startMP 204:462 --initTime 2016-09-01T06:26:38 --startdatetime 2016-09-01T06:30:23 --delay 1 --endMP 204:233410 --enddatetime 2016-09-01T07:07:39 --enforcementcount 0 &gt;&gt;C:\Users\stu\Documents\GitHub\eaglep3-reporting\EC\2016-09-01-refined-times.txt</v>
      </c>
      <c r="AI35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{"issue":{"subject":"","project_id":79,"tracker_id":40,"status_id":1,"priority_id":2,"assigned_to_id":23,"start_date":"2016-09-01","description":"","custom_fields":[{"id":1,"name":"Subdivision","value":"EC"},{"id":4,"name":"Milepost","value":"23.2948"},{"id":17,"name":"Train ID","value":"123-01"},{"id":16,"name":"Locomotive ID","value":"4007"},{"id":130,"name":"Impact","value":""},{"id":150,"name":"Time of Event (Mountain Time)","value":"07:07:39"},{"id":151,"name":"Denver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31" customFormat="1" x14ac:dyDescent="0.25">
      <c r="A36" s="39" t="s">
        <v>406</v>
      </c>
      <c r="B36" s="7">
        <v>4008</v>
      </c>
      <c r="C36" s="24" t="s">
        <v>113</v>
      </c>
      <c r="D36" s="24" t="s">
        <v>407</v>
      </c>
      <c r="E36" s="15">
        <v>42614.308287037034</v>
      </c>
      <c r="F36" s="15">
        <v>42614.310243055559</v>
      </c>
      <c r="G36" s="7">
        <v>1</v>
      </c>
      <c r="H36" s="15" t="s">
        <v>174</v>
      </c>
      <c r="I36" s="15">
        <v>42614.337939814817</v>
      </c>
      <c r="J36" s="7">
        <v>0</v>
      </c>
      <c r="K36" s="132" t="str">
        <f>IF(ISEVEN(B36),(B36-1)&amp;"/"&amp;B36,B36&amp;"/"&amp;(B36+1))</f>
        <v>4007/4008</v>
      </c>
      <c r="L36" s="24" t="str">
        <f>VLOOKUP(A36,'Trips&amp;Operators'!$C$1:$E$10000,3,FALSE)</f>
        <v>ARVIDSON</v>
      </c>
      <c r="M36" s="6">
        <f>I36-F36</f>
        <v>2.7696759258105885E-2</v>
      </c>
      <c r="N36" s="7">
        <f>24*60*SUM($M36:$M36)</f>
        <v>39.883333331672475</v>
      </c>
      <c r="O36" s="7"/>
      <c r="P36" s="7"/>
      <c r="Q36" s="25"/>
      <c r="R36" s="25"/>
      <c r="S36" s="37">
        <f>SUM(U36:U36)/IF(AG36="EC",12,1)</f>
        <v>1</v>
      </c>
      <c r="T36" s="52" t="str">
        <f>IF(ISEVEN(LEFT(AD36,4)),"Southbound","NorthBound")</f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hh:mm:ss")&amp;"-0600',mode:absolute,to:'"&amp;TEXT(I36+1/24,"yyyy-MM-DD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https://search-rtdc-monitor-bjffxe2xuh6vdkpspy63sjmuny.us-east-1.es.amazonaws.com/_plugin/kibana/#/discover/Steve-Slow-Train-Analysis-(2080s-and-2083s)?_g=(refreshInterval:(display:Off,section:0,value:0),time:(from:'2016-09-01 06:23:56-0600',mode:absolute,to:'2016-09-01 09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36" s="54" t="str">
        <f>IF(AA36&lt;IF(AG36="EC",23,5.65),"Y","N")</f>
        <v>N</v>
      </c>
      <c r="X36" s="120">
        <f>VALUE(LEFT(AD36,4))-VALUE(LEFT(AD35,4))</f>
        <v>1</v>
      </c>
      <c r="Y36" s="69">
        <f>RIGHT(D36,LEN(D36)-4)/10000</f>
        <v>23.3034</v>
      </c>
      <c r="Z36" s="69">
        <f>RIGHT(H36,LEN(H36)-4)/10000</f>
        <v>1.4500000000000001E-2</v>
      </c>
      <c r="AA36" s="69">
        <f>ABS(Z36-Y36)</f>
        <v>23.288899999999998</v>
      </c>
      <c r="AB36" s="66">
        <f>VLOOKUP(A36,Enforcements!$C$7:$J$21,8,0)</f>
        <v>15167</v>
      </c>
      <c r="AC36" s="62" t="str">
        <f>VLOOKUP(A36,Enforcements!$C$7:$E$21,3,0)</f>
        <v>PERMANENT SPEED RESTRICTION</v>
      </c>
      <c r="AD36" s="63" t="str">
        <f>IF(LEN(A36)=6,"0"&amp;A36,A36)</f>
        <v>0124-01</v>
      </c>
      <c r="AE36" s="99" t="str">
        <f>"aws s3 cp "&amp;s3_bucket&amp;"/RTDC"&amp;B36&amp;"/"&amp;TEXT(F36,"YYYY-MM-DD")&amp;"/ "&amp;search_path&amp;"\RTDC"&amp;B36&amp;"\"&amp;TEXT(F36,"YYYY-MM-DD")&amp;" --recursive &amp; """&amp;walkandungz&amp;""" "&amp;search_path&amp;"\RTDC"&amp;B36&amp;"\"&amp;TEXT(F36,"YYYY-MM-DD")
&amp;" &amp; "&amp;"aws s3 cp "&amp;s3_bucket&amp;"/RTDC"&amp;B36&amp;"/"&amp;TEXT(F36+1,"YYYY-MM-DD")&amp;"/ "&amp;search_path&amp;"\RTDC"&amp;B36&amp;"\"&amp;TEXT(F36+1,"YYYY-MM-DD")&amp;" --recursive &amp; """&amp;walkandungz&amp;""" "&amp;search_path&amp;"\RTDC"&amp;B36&amp;"\"&amp;TEXT(F36+1,"YYYY-MM-DD")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36" s="96" t="str">
        <f>astrogrep_path&amp;" /spath="&amp;search_path&amp;" /stypes=""*"&amp;B36&amp;"*"&amp;TEXT(I36-utc_offset/24,"YYYYMMDD")&amp;"*"" /stext="" "&amp;TEXT(I36-utc_offset/24,"HH")&amp;search_regexp&amp;""" /e /r /s"</f>
        <v>"C:\Program Files (x86)\AstroGrep\AstroGrep.exe" /spath="%USERPROFILE%\AppData\Local\Temp\OnboardLogs" /stypes="*4008*20160901*" /stext=" 14:.+((SYSTEM_STATE.+slice.+state.+changed )|(ment ac)|(system.+state.+changed )|(\|lc)|(penalty)|(\[timeout)|(PRM\|1\|D)|(kpr)|(kdp))" /e /r /s</v>
      </c>
      <c r="AG36" s="1" t="str">
        <f>IFERROR(IF(VALUE(LEFT(AD36,2))&lt;=2,"EC",IF(OR(VALUE(LEFT(AD36,2))=8,VALUE(LEFT(AD36,2))=18),"NW","Other")),"Other")</f>
        <v>EC</v>
      </c>
      <c r="AH36" s="100" t="str">
        <f t="shared" si="2"/>
        <v>"%USERPROFILE%\Documents\GitHub\eaglep3\Utilities\RefineRTDCRunTimes.py" --tripid 124-01 --locoid 4008 --swversion DE.1.0.7.0 --startMP 204:233034 --initTime 2016-09-01T07:23:56 --startdatetime 2016-09-01T07:26:45 --delay 1 --endMP 204:145 --enddatetime 2016-09-01T08:06:38 --enforcementcount 0 &gt;&gt;C:\Users\stu\Documents\GitHub\eaglep3-reporting\EC\2016-09-01-refined-times.txt</v>
      </c>
      <c r="AI36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{"issue":{"subject":"","project_id":79,"tracker_id":40,"status_id":1,"priority_id":2,"assigned_to_id":23,"start_date":"2016-09-01","description":"","custom_fields":[{"id":1,"name":"Subdivision","value":"EC"},{"id":4,"name":"Milepost","value":"23.2889"},{"id":17,"name":"Train ID","value":"124-01"},{"id":16,"name":"Locomotive ID","value":"4008"},{"id":130,"name":"Impact","value":""},{"id":150,"name":"Time of Event (Mountain Time)","value":"08:06:38"},{"id":151,"name":"Denver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408</v>
      </c>
      <c r="B37" s="7">
        <v>4042</v>
      </c>
      <c r="C37" s="24" t="s">
        <v>113</v>
      </c>
      <c r="D37" s="24" t="s">
        <v>180</v>
      </c>
      <c r="E37" s="15">
        <v>42614.277407407404</v>
      </c>
      <c r="F37" s="15">
        <v>42614.2815625</v>
      </c>
      <c r="G37" s="7">
        <v>1</v>
      </c>
      <c r="H37" s="15" t="s">
        <v>244</v>
      </c>
      <c r="I37" s="15">
        <v>42614.306909722225</v>
      </c>
      <c r="J37" s="7">
        <v>0</v>
      </c>
      <c r="K37" s="132" t="str">
        <f>IF(ISEVEN(B37),(B37-1)&amp;"/"&amp;B37,B37&amp;"/"&amp;(B37+1))</f>
        <v>4041/4042</v>
      </c>
      <c r="L37" s="24" t="str">
        <f>VLOOKUP(A37,'Trips&amp;Operators'!$C$1:$E$10000,3,FALSE)</f>
        <v>STARKS</v>
      </c>
      <c r="M37" s="6">
        <f>I37-F37</f>
        <v>2.5347222224809229E-2</v>
      </c>
      <c r="N37" s="7">
        <f>24*60*SUM($M37:$M37)</f>
        <v>36.50000000372529</v>
      </c>
      <c r="O37" s="7"/>
      <c r="P37" s="7"/>
      <c r="Q37" s="25"/>
      <c r="R37" s="25"/>
      <c r="S37" s="37">
        <f>SUM(U37:U37)/IF(AG37="EC",12,1)</f>
        <v>1</v>
      </c>
      <c r="T37" s="52" t="str">
        <f>IF(ISEVEN(LEFT(AD37,4)),"Southbound","NorthBound")</f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hh:mm:ss")&amp;"-0600',mode:absolute,to:'"&amp;TEXT(I37+1/24,"yyyy-MM-DD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https://search-rtdc-monitor-bjffxe2xuh6vdkpspy63sjmuny.us-east-1.es.amazonaws.com/_plugin/kibana/#/discover/Steve-Slow-Train-Analysis-(2080s-and-2083s)?_g=(refreshInterval:(display:Off,section:0,value:0),time:(from:'2016-09-01 05:39:28-0600',mode:absolute,to:'2016-09-01 08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37" s="54" t="str">
        <f>IF(AA37&lt;IF(AG37="EC",23,5.65),"Y","N")</f>
        <v>N</v>
      </c>
      <c r="X37" s="120">
        <f>VALUE(LEFT(AD37,4))-VALUE(LEFT(AD36,4))</f>
        <v>1</v>
      </c>
      <c r="Y37" s="69">
        <f>RIGHT(D37,LEN(D37)-4)/10000</f>
        <v>4.5999999999999999E-2</v>
      </c>
      <c r="Z37" s="69">
        <f>RIGHT(H37,LEN(H37)-4)/10000</f>
        <v>23.329699999999999</v>
      </c>
      <c r="AA37" s="69">
        <f>ABS(Z37-Y37)</f>
        <v>23.2837</v>
      </c>
      <c r="AB37" s="66" t="e">
        <f>VLOOKUP(A37,Enforcements!$C$7:$J$21,8,0)</f>
        <v>#N/A</v>
      </c>
      <c r="AC37" s="62" t="e">
        <f>VLOOKUP(A37,Enforcements!$C$7:$E$21,3,0)</f>
        <v>#N/A</v>
      </c>
      <c r="AD37" s="63" t="str">
        <f>IF(LEN(A37)=6,"0"&amp;A37,A37)</f>
        <v>0125-01</v>
      </c>
      <c r="AE37" s="99" t="str">
        <f>"aws s3 cp "&amp;s3_bucket&amp;"/RTDC"&amp;B37&amp;"/"&amp;TEXT(F37,"YYYY-MM-DD")&amp;"/ "&amp;search_path&amp;"\RTDC"&amp;B37&amp;"\"&amp;TEXT(F37,"YYYY-MM-DD")&amp;" --recursive &amp; """&amp;walkandungz&amp;""" "&amp;search_path&amp;"\RTDC"&amp;B37&amp;"\"&amp;TEXT(F37,"YYYY-MM-DD")
&amp;" &amp; "&amp;"aws s3 cp "&amp;s3_bucket&amp;"/RTDC"&amp;B37&amp;"/"&amp;TEXT(F37+1,"YYYY-MM-DD")&amp;"/ "&amp;search_path&amp;"\RTDC"&amp;B37&amp;"\"&amp;TEXT(F37+1,"YYYY-MM-DD")&amp;" --recursive &amp; """&amp;walkandungz&amp;""" "&amp;search_path&amp;"\RTDC"&amp;B37&amp;"\"&amp;TEXT(F37+1,"YYYY-MM-DD")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37" s="96" t="str">
        <f>astrogrep_path&amp;" /spath="&amp;search_path&amp;" /stypes=""*"&amp;B37&amp;"*"&amp;TEXT(I37-utc_offset/24,"YYYYMMDD")&amp;"*"" /stext="" "&amp;TEXT(I37-utc_offset/24,"HH")&amp;search_regexp&amp;""" /e /r /s"</f>
        <v>"C:\Program Files (x86)\AstroGrep\AstroGrep.exe" /spath="%USERPROFILE%\AppData\Local\Temp\OnboardLogs" /stypes="*4042*20160901*" /stext=" 13:.+((SYSTEM_STATE.+slice.+state.+changed )|(ment ac)|(system.+state.+changed )|(\|lc)|(penalty)|(\[timeout)|(PRM\|1\|D)|(kpr)|(kdp))" /e /r /s</v>
      </c>
      <c r="AG37" s="1" t="str">
        <f>IFERROR(IF(VALUE(LEFT(AD37,2))&lt;=2,"EC",IF(OR(VALUE(LEFT(AD37,2))=8,VALUE(LEFT(AD37,2))=18),"NW","Other")),"Other")</f>
        <v>EC</v>
      </c>
      <c r="AH37" s="100" t="str">
        <f t="shared" si="2"/>
        <v>"%USERPROFILE%\Documents\GitHub\eaglep3\Utilities\RefineRTDCRunTimes.py" --tripid 125-01 --locoid 4042 --swversion DE.1.0.7.0 --startMP 204:460 --initTime 2016-09-01T06:39:28 --startdatetime 2016-09-01T06:45:27 --delay 1 --endMP 204:233297 --enddatetime 2016-09-01T07:21:57 --enforcementcount 0 &gt;&gt;C:\Users\stu\Documents\GitHub\eaglep3-reporting\EC\2016-09-01-refined-times.txt</v>
      </c>
      <c r="AI37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{"issue":{"subject":"","project_id":79,"tracker_id":40,"status_id":1,"priority_id":2,"assigned_to_id":23,"start_date":"2016-09-01","description":"","custom_fields":[{"id":1,"name":"Subdivision","value":"EC"},{"id":4,"name":"Milepost","value":"23.2837"},{"id":17,"name":"Train ID","value":"125-01"},{"id":16,"name":"Locomotive ID","value":"4042"},{"id":130,"name":"Impact","value":""},{"id":150,"name":"Time of Event (Mountain Time)","value":"07:21:57"},{"id":151,"name":"Denver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409</v>
      </c>
      <c r="B38" s="7">
        <v>4041</v>
      </c>
      <c r="C38" s="24" t="s">
        <v>113</v>
      </c>
      <c r="D38" s="24" t="s">
        <v>410</v>
      </c>
      <c r="E38" s="15">
        <v>42614.317847222221</v>
      </c>
      <c r="F38" s="15">
        <v>42614.320960648147</v>
      </c>
      <c r="G38" s="7">
        <v>1</v>
      </c>
      <c r="H38" s="15" t="s">
        <v>411</v>
      </c>
      <c r="I38" s="15">
        <v>42614.346701388888</v>
      </c>
      <c r="J38" s="7">
        <v>0</v>
      </c>
      <c r="K38" s="132" t="str">
        <f>IF(ISEVEN(B38),(B38-1)&amp;"/"&amp;B38,B38&amp;"/"&amp;(B38+1))</f>
        <v>4041/4042</v>
      </c>
      <c r="L38" s="24" t="str">
        <f>VLOOKUP(A38,'Trips&amp;Operators'!$C$1:$E$10000,3,FALSE)</f>
        <v>STARKS</v>
      </c>
      <c r="M38" s="6">
        <f>I38-F38</f>
        <v>2.5740740740729962E-2</v>
      </c>
      <c r="N38" s="7">
        <f>24*60*SUM($M38:$M38)</f>
        <v>37.066666666651145</v>
      </c>
      <c r="O38" s="7"/>
      <c r="P38" s="7"/>
      <c r="Q38" s="25"/>
      <c r="R38" s="25"/>
      <c r="S38" s="37">
        <f>SUM(U38:U38)/IF(AG38="EC",12,1)</f>
        <v>1</v>
      </c>
      <c r="T38" s="52" t="str">
        <f>IF(ISEVEN(LEFT(AD38,4)),"Southbound","NorthBound")</f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hh:mm:ss")&amp;"-0600',mode:absolute,to:'"&amp;TEXT(I38+1/24,"yyyy-MM-DD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https://search-rtdc-monitor-bjffxe2xuh6vdkpspy63sjmuny.us-east-1.es.amazonaws.com/_plugin/kibana/#/discover/Steve-Slow-Train-Analysis-(2080s-and-2083s)?_g=(refreshInterval:(display:Off,section:0,value:0),time:(from:'2016-09-01 06:37:42-0600',mode:absolute,to:'2016-09-01 09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38" s="54" t="str">
        <f>IF(AA38&lt;IF(AG38="EC",23,5.65),"Y","N")</f>
        <v>N</v>
      </c>
      <c r="X38" s="120">
        <f>VALUE(LEFT(AD38,4))-VALUE(LEFT(AD37,4))</f>
        <v>1</v>
      </c>
      <c r="Y38" s="69">
        <f>RIGHT(D38,LEN(D38)-4)/10000</f>
        <v>23.298400000000001</v>
      </c>
      <c r="Z38" s="69">
        <f>RIGHT(H38,LEN(H38)-4)/10000</f>
        <v>2.47E-2</v>
      </c>
      <c r="AA38" s="69">
        <f>ABS(Z38-Y38)</f>
        <v>23.273700000000002</v>
      </c>
      <c r="AB38" s="66" t="e">
        <f>VLOOKUP(A38,Enforcements!$C$7:$J$21,8,0)</f>
        <v>#N/A</v>
      </c>
      <c r="AC38" s="62" t="e">
        <f>VLOOKUP(A38,Enforcements!$C$7:$E$21,3,0)</f>
        <v>#N/A</v>
      </c>
      <c r="AD38" s="63" t="str">
        <f>IF(LEN(A38)=6,"0"&amp;A38,A38)</f>
        <v>0126-01</v>
      </c>
      <c r="AE38" s="99" t="str">
        <f>"aws s3 cp "&amp;s3_bucket&amp;"/RTDC"&amp;B38&amp;"/"&amp;TEXT(F38,"YYYY-MM-DD")&amp;"/ "&amp;search_path&amp;"\RTDC"&amp;B38&amp;"\"&amp;TEXT(F38,"YYYY-MM-DD")&amp;" --recursive &amp; """&amp;walkandungz&amp;""" "&amp;search_path&amp;"\RTDC"&amp;B38&amp;"\"&amp;TEXT(F38,"YYYY-MM-DD")
&amp;" &amp; "&amp;"aws s3 cp "&amp;s3_bucket&amp;"/RTDC"&amp;B38&amp;"/"&amp;TEXT(F38+1,"YYYY-MM-DD")&amp;"/ "&amp;search_path&amp;"\RTDC"&amp;B38&amp;"\"&amp;TEXT(F38+1,"YYYY-MM-DD")&amp;" --recursive &amp; """&amp;walkandungz&amp;""" "&amp;search_path&amp;"\RTDC"&amp;B38&amp;"\"&amp;TEXT(F38+1,"YYYY-MM-DD")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38" s="96" t="str">
        <f>astrogrep_path&amp;" /spath="&amp;search_path&amp;" /stypes=""*"&amp;B38&amp;"*"&amp;TEXT(I38-utc_offset/24,"YYYYMMDD")&amp;"*"" /stext="" "&amp;TEXT(I38-utc_offset/24,"HH")&amp;search_regexp&amp;""" /e /r /s"</f>
        <v>"C:\Program Files (x86)\AstroGrep\AstroGrep.exe" /spath="%USERPROFILE%\AppData\Local\Temp\OnboardLogs" /stypes="*4041*20160901*" /stext=" 14:.+((SYSTEM_STATE.+slice.+state.+changed )|(ment ac)|(system.+state.+changed )|(\|lc)|(penalty)|(\[timeout)|(PRM\|1\|D)|(kpr)|(kdp))" /e /r /s</v>
      </c>
      <c r="AG38" s="1" t="str">
        <f>IFERROR(IF(VALUE(LEFT(AD38,2))&lt;=2,"EC",IF(OR(VALUE(LEFT(AD38,2))=8,VALUE(LEFT(AD38,2))=18),"NW","Other")),"Other")</f>
        <v>EC</v>
      </c>
      <c r="AH38" s="100" t="str">
        <f t="shared" si="2"/>
        <v>"%USERPROFILE%\Documents\GitHub\eaglep3\Utilities\RefineRTDCRunTimes.py" --tripid 126-01 --locoid 4041 --swversion DE.1.0.7.0 --startMP 204:232984 --initTime 2016-09-01T07:37:42 --startdatetime 2016-09-01T07:42:11 --delay 1 --endMP 204:247 --enddatetime 2016-09-01T08:19:15 --enforcementcount 0 &gt;&gt;C:\Users\stu\Documents\GitHub\eaglep3-reporting\EC\2016-09-01-refined-times.txt</v>
      </c>
      <c r="AI38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{"issue":{"subject":"","project_id":79,"tracker_id":40,"status_id":1,"priority_id":2,"assigned_to_id":23,"start_date":"2016-09-01","description":"","custom_fields":[{"id":1,"name":"Subdivision","value":"EC"},{"id":4,"name":"Milepost","value":"23.2737"},{"id":17,"name":"Train ID","value":"126-01"},{"id":16,"name":"Locomotive ID","value":"4041"},{"id":130,"name":"Impact","value":""},{"id":150,"name":"Time of Event (Mountain Time)","value":"08:19:15"},{"id":151,"name":"Denver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412</v>
      </c>
      <c r="B39" s="7">
        <v>4044</v>
      </c>
      <c r="C39" s="24" t="s">
        <v>113</v>
      </c>
      <c r="D39" s="24" t="s">
        <v>150</v>
      </c>
      <c r="E39" s="15">
        <v>42614.288136574076</v>
      </c>
      <c r="F39" s="15">
        <v>42614.291967592595</v>
      </c>
      <c r="G39" s="7">
        <v>1</v>
      </c>
      <c r="H39" s="15" t="s">
        <v>413</v>
      </c>
      <c r="I39" s="15">
        <v>42614.317372685182</v>
      </c>
      <c r="J39" s="7">
        <v>0</v>
      </c>
      <c r="K39" s="132" t="str">
        <f>IF(ISEVEN(B39),(B39-1)&amp;"/"&amp;B39,B39&amp;"/"&amp;(B39+1))</f>
        <v>4043/4044</v>
      </c>
      <c r="L39" s="24" t="str">
        <f>VLOOKUP(A39,'Trips&amp;Operators'!$C$1:$E$10000,3,FALSE)</f>
        <v>MAELZER</v>
      </c>
      <c r="M39" s="6">
        <f>I39-F39</f>
        <v>2.5405092586879618E-2</v>
      </c>
      <c r="N39" s="7">
        <f>24*60*SUM($M39:$M39)</f>
        <v>36.583333325106651</v>
      </c>
      <c r="O39" s="7"/>
      <c r="P39" s="7"/>
      <c r="Q39" s="25"/>
      <c r="R39" s="25"/>
      <c r="S39" s="37">
        <f>SUM(U39:U39)/IF(AG39="EC",12,1)</f>
        <v>1</v>
      </c>
      <c r="T39" s="52" t="str">
        <f>IF(ISEVEN(LEFT(AD39,4)),"Southbound","NorthBound")</f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hh:mm:ss")&amp;"-0600',mode:absolute,to:'"&amp;TEXT(I39+1/24,"yyyy-MM-DD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https://search-rtdc-monitor-bjffxe2xuh6vdkpspy63sjmuny.us-east-1.es.amazonaws.com/_plugin/kibana/#/discover/Steve-Slow-Train-Analysis-(2080s-and-2083s)?_g=(refreshInterval:(display:Off,section:0,value:0),time:(from:'2016-09-01 05:54:55-0600',mode:absolute,to:'2016-09-01 08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39" s="54" t="str">
        <f>IF(AA39&lt;IF(AG39="EC",23,5.65),"Y","N")</f>
        <v>N</v>
      </c>
      <c r="X39" s="120">
        <f>VALUE(LEFT(AD39,4))-VALUE(LEFT(AD38,4))</f>
        <v>1</v>
      </c>
      <c r="Y39" s="69">
        <f>RIGHT(D39,LEN(D39)-4)/10000</f>
        <v>4.5100000000000001E-2</v>
      </c>
      <c r="Z39" s="69">
        <f>RIGHT(H39,LEN(H39)-4)/10000</f>
        <v>23.331499999999998</v>
      </c>
      <c r="AA39" s="69">
        <f>ABS(Z39-Y39)</f>
        <v>23.286399999999997</v>
      </c>
      <c r="AB39" s="66" t="e">
        <f>VLOOKUP(A39,Enforcements!$C$7:$J$21,8,0)</f>
        <v>#N/A</v>
      </c>
      <c r="AC39" s="62" t="e">
        <f>VLOOKUP(A39,Enforcements!$C$7:$E$21,3,0)</f>
        <v>#N/A</v>
      </c>
      <c r="AD39" s="63" t="str">
        <f>IF(LEN(A39)=6,"0"&amp;A39,A39)</f>
        <v>0127-01</v>
      </c>
      <c r="AE39" s="99" t="str">
        <f>"aws s3 cp "&amp;s3_bucket&amp;"/RTDC"&amp;B39&amp;"/"&amp;TEXT(F39,"YYYY-MM-DD")&amp;"/ "&amp;search_path&amp;"\RTDC"&amp;B39&amp;"\"&amp;TEXT(F39,"YYYY-MM-DD")&amp;" --recursive &amp; """&amp;walkandungz&amp;""" "&amp;search_path&amp;"\RTDC"&amp;B39&amp;"\"&amp;TEXT(F39,"YYYY-MM-DD")
&amp;" &amp; "&amp;"aws s3 cp "&amp;s3_bucket&amp;"/RTDC"&amp;B39&amp;"/"&amp;TEXT(F39+1,"YYYY-MM-DD")&amp;"/ "&amp;search_path&amp;"\RTDC"&amp;B39&amp;"\"&amp;TEXT(F39+1,"YYYY-MM-DD")&amp;" --recursive &amp; """&amp;walkandungz&amp;""" "&amp;search_path&amp;"\RTDC"&amp;B39&amp;"\"&amp;TEXT(F39+1,"YYYY-MM-DD")</f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39" s="96" t="str">
        <f>astrogrep_path&amp;" /spath="&amp;search_path&amp;" /stypes=""*"&amp;B39&amp;"*"&amp;TEXT(I39-utc_offset/24,"YYYYMMDD")&amp;"*"" /stext="" "&amp;TEXT(I39-utc_offset/24,"HH")&amp;search_regexp&amp;""" /e /r /s"</f>
        <v>"C:\Program Files (x86)\AstroGrep\AstroGrep.exe" /spath="%USERPROFILE%\AppData\Local\Temp\OnboardLogs" /stypes="*4044*20160901*" /stext=" 13:.+((SYSTEM_STATE.+slice.+state.+changed )|(ment ac)|(system.+state.+changed )|(\|lc)|(penalty)|(\[timeout)|(PRM\|1\|D)|(kpr)|(kdp))" /e /r /s</v>
      </c>
      <c r="AG39" s="1" t="str">
        <f>IFERROR(IF(VALUE(LEFT(AD39,2))&lt;=2,"EC",IF(OR(VALUE(LEFT(AD39,2))=8,VALUE(LEFT(AD39,2))=18),"NW","Other")),"Other")</f>
        <v>EC</v>
      </c>
      <c r="AH39" s="100" t="str">
        <f t="shared" si="2"/>
        <v>"%USERPROFILE%\Documents\GitHub\eaglep3\Utilities\RefineRTDCRunTimes.py" --tripid 127-01 --locoid 4044 --swversion DE.1.0.7.0 --startMP 204:451 --initTime 2016-09-01T06:54:55 --startdatetime 2016-09-01T07:00:26 --delay 1 --endMP 204:233315 --enddatetime 2016-09-01T07:37:01 --enforcementcount 0 &gt;&gt;C:\Users\stu\Documents\GitHub\eaglep3-reporting\EC\2016-09-01-refined-times.txt</v>
      </c>
      <c r="AI39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{"issue":{"subject":"","project_id":79,"tracker_id":40,"status_id":1,"priority_id":2,"assigned_to_id":23,"start_date":"2016-09-01","description":"","custom_fields":[{"id":1,"name":"Subdivision","value":"EC"},{"id":4,"name":"Milepost","value":"23.2864"},{"id":17,"name":"Train ID","value":"127-01"},{"id":16,"name":"Locomotive ID","value":"4044"},{"id":130,"name":"Impact","value":""},{"id":150,"name":"Time of Event (Mountain Time)","value":"07:37:01"},{"id":151,"name":"Denver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414</v>
      </c>
      <c r="B40" s="7">
        <v>4043</v>
      </c>
      <c r="C40" s="24" t="s">
        <v>113</v>
      </c>
      <c r="D40" s="24" t="s">
        <v>134</v>
      </c>
      <c r="E40" s="15">
        <v>42614.323321759257</v>
      </c>
      <c r="F40" s="15">
        <v>42614.330810185187</v>
      </c>
      <c r="G40" s="7">
        <v>1</v>
      </c>
      <c r="H40" s="15" t="s">
        <v>309</v>
      </c>
      <c r="I40" s="15">
        <v>42614.357951388891</v>
      </c>
      <c r="J40" s="7">
        <v>0</v>
      </c>
      <c r="K40" s="132" t="str">
        <f>IF(ISEVEN(B40),(B40-1)&amp;"/"&amp;B40,B40&amp;"/"&amp;(B40+1))</f>
        <v>4043/4044</v>
      </c>
      <c r="L40" s="24" t="str">
        <f>VLOOKUP(A40,'Trips&amp;Operators'!$C$1:$E$10000,3,FALSE)</f>
        <v>MAELZER</v>
      </c>
      <c r="M40" s="6">
        <f>I40-F40</f>
        <v>2.7141203703649808E-2</v>
      </c>
      <c r="N40" s="7">
        <f>24*60*SUM($M40:$M40)</f>
        <v>39.083333333255723</v>
      </c>
      <c r="O40" s="7"/>
      <c r="P40" s="7"/>
      <c r="Q40" s="25"/>
      <c r="R40" s="25"/>
      <c r="S40" s="37">
        <f>SUM(U40:U40)/IF(AG40="EC",12,1)</f>
        <v>1</v>
      </c>
      <c r="T40" s="52" t="str">
        <f>IF(ISEVEN(LEFT(AD40,4)),"Southbound","NorthBound")</f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hh:mm:ss")&amp;"-0600',mode:absolute,to:'"&amp;TEXT(I40+1/24,"yyyy-MM-DD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https://search-rtdc-monitor-bjffxe2xuh6vdkpspy63sjmuny.us-east-1.es.amazonaws.com/_plugin/kibana/#/discover/Steve-Slow-Train-Analysis-(2080s-and-2083s)?_g=(refreshInterval:(display:Off,section:0,value:0),time:(from:'2016-09-01 06:45:35-0600',mode:absolute,to:'2016-09-01 09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40" s="54" t="str">
        <f>IF(AA40&lt;IF(AG40="EC",23,5.65),"Y","N")</f>
        <v>N</v>
      </c>
      <c r="X40" s="120">
        <f>VALUE(LEFT(AD40,4))-VALUE(LEFT(AD39,4))</f>
        <v>1</v>
      </c>
      <c r="Y40" s="69">
        <f>RIGHT(D40,LEN(D40)-4)/10000</f>
        <v>23.299399999999999</v>
      </c>
      <c r="Z40" s="69">
        <f>RIGHT(H40,LEN(H40)-4)/10000</f>
        <v>1.4999999999999999E-2</v>
      </c>
      <c r="AA40" s="69">
        <f>ABS(Z40-Y40)</f>
        <v>23.284399999999998</v>
      </c>
      <c r="AB40" s="66" t="e">
        <f>VLOOKUP(A40,Enforcements!$C$7:$J$21,8,0)</f>
        <v>#N/A</v>
      </c>
      <c r="AC40" s="62" t="e">
        <f>VLOOKUP(A40,Enforcements!$C$7:$E$21,3,0)</f>
        <v>#N/A</v>
      </c>
      <c r="AD40" s="63" t="str">
        <f>IF(LEN(A40)=6,"0"&amp;A40,A40)</f>
        <v>0128-01</v>
      </c>
      <c r="AE40" s="99" t="str">
        <f>"aws s3 cp "&amp;s3_bucket&amp;"/RTDC"&amp;B40&amp;"/"&amp;TEXT(F40,"YYYY-MM-DD")&amp;"/ "&amp;search_path&amp;"\RTDC"&amp;B40&amp;"\"&amp;TEXT(F40,"YYYY-MM-DD")&amp;" --recursive &amp; """&amp;walkandungz&amp;""" "&amp;search_path&amp;"\RTDC"&amp;B40&amp;"\"&amp;TEXT(F40,"YYYY-MM-DD")
&amp;" &amp; "&amp;"aws s3 cp "&amp;s3_bucket&amp;"/RTDC"&amp;B40&amp;"/"&amp;TEXT(F40+1,"YYYY-MM-DD")&amp;"/ "&amp;search_path&amp;"\RTDC"&amp;B40&amp;"\"&amp;TEXT(F40+1,"YYYY-MM-DD")&amp;" --recursive &amp; """&amp;walkandungz&amp;""" "&amp;search_path&amp;"\RTDC"&amp;B40&amp;"\"&amp;TEXT(F40+1,"YYYY-MM-DD")</f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40" s="96" t="str">
        <f>astrogrep_path&amp;" /spath="&amp;search_path&amp;" /stypes=""*"&amp;B40&amp;"*"&amp;TEXT(I40-utc_offset/24,"YYYYMMDD")&amp;"*"" /stext="" "&amp;TEXT(I40-utc_offset/24,"HH")&amp;search_regexp&amp;""" /e /r /s"</f>
        <v>"C:\Program Files (x86)\AstroGrep\AstroGrep.exe" /spath="%USERPROFILE%\AppData\Local\Temp\OnboardLogs" /stypes="*4043*20160901*" /stext=" 14:.+((SYSTEM_STATE.+slice.+state.+changed )|(ment ac)|(system.+state.+changed )|(\|lc)|(penalty)|(\[timeout)|(PRM\|1\|D)|(kpr)|(kdp))" /e /r /s</v>
      </c>
      <c r="AG40" s="1" t="str">
        <f>IFERROR(IF(VALUE(LEFT(AD40,2))&lt;=2,"EC",IF(OR(VALUE(LEFT(AD40,2))=8,VALUE(LEFT(AD40,2))=18),"NW","Other")),"Other")</f>
        <v>EC</v>
      </c>
      <c r="AH40" s="100" t="str">
        <f t="shared" si="2"/>
        <v>"%USERPROFILE%\Documents\GitHub\eaglep3\Utilities\RefineRTDCRunTimes.py" --tripid 128-01 --locoid 4043 --swversion DE.1.0.7.0 --startMP 204:232994 --initTime 2016-09-01T07:45:35 --startdatetime 2016-09-01T07:56:22 --delay 1 --endMP 204:150 --enddatetime 2016-09-01T08:35:27 --enforcementcount 0 &gt;&gt;C:\Users\stu\Documents\GitHub\eaglep3-reporting\EC\2016-09-01-refined-times.txt</v>
      </c>
      <c r="AI40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{"issue":{"subject":"","project_id":79,"tracker_id":40,"status_id":1,"priority_id":2,"assigned_to_id":23,"start_date":"2016-09-01","description":"","custom_fields":[{"id":1,"name":"Subdivision","value":"EC"},{"id":4,"name":"Milepost","value":"23.2844"},{"id":17,"name":"Train ID","value":"128-01"},{"id":16,"name":"Locomotive ID","value":"4043"},{"id":130,"name":"Impact","value":""},{"id":150,"name":"Time of Event (Mountain Time)","value":"08:35:27"},{"id":151,"name":"Denver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415</v>
      </c>
      <c r="B41" s="7">
        <v>4020</v>
      </c>
      <c r="C41" s="24" t="s">
        <v>113</v>
      </c>
      <c r="D41" s="24" t="s">
        <v>259</v>
      </c>
      <c r="E41" s="15">
        <v>42614.299224537041</v>
      </c>
      <c r="F41" s="15">
        <v>42614.302615740744</v>
      </c>
      <c r="G41" s="7">
        <v>1</v>
      </c>
      <c r="H41" s="15" t="s">
        <v>310</v>
      </c>
      <c r="I41" s="15">
        <v>42614.327488425923</v>
      </c>
      <c r="J41" s="7">
        <v>0</v>
      </c>
      <c r="K41" s="132" t="str">
        <f>IF(ISEVEN(B41),(B41-1)&amp;"/"&amp;B41,B41&amp;"/"&amp;(B41+1))</f>
        <v>4019/4020</v>
      </c>
      <c r="L41" s="24" t="str">
        <f>VLOOKUP(A41,'Trips&amp;Operators'!$C$1:$E$10000,3,FALSE)</f>
        <v>SMITH</v>
      </c>
      <c r="M41" s="6">
        <f>I41-F41</f>
        <v>2.4872685178706888E-2</v>
      </c>
      <c r="N41" s="7">
        <f>24*60*SUM($M41:$M41)</f>
        <v>35.816666657337919</v>
      </c>
      <c r="O41" s="7"/>
      <c r="P41" s="7"/>
      <c r="Q41" s="25"/>
      <c r="R41" s="25"/>
      <c r="S41" s="37">
        <f>SUM(U41:U41)/IF(AG41="EC",12,1)</f>
        <v>1</v>
      </c>
      <c r="T41" s="52" t="str">
        <f>IF(ISEVEN(LEFT(AD41,4)),"Southbound","NorthBound")</f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hh:mm:ss")&amp;"-0600',mode:absolute,to:'"&amp;TEXT(I41+1/24,"yyyy-MM-DD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https://search-rtdc-monitor-bjffxe2xuh6vdkpspy63sjmuny.us-east-1.es.amazonaws.com/_plugin/kibana/#/discover/Steve-Slow-Train-Analysis-(2080s-and-2083s)?_g=(refreshInterval:(display:Off,section:0,value:0),time:(from:'2016-09-01 06:10:53-0600',mode:absolute,to:'2016-09-01 08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41" s="54" t="str">
        <f>IF(AA41&lt;IF(AG41="EC",23,5.65),"Y","N")</f>
        <v>N</v>
      </c>
      <c r="X41" s="120">
        <f>VALUE(LEFT(AD41,4))-VALUE(LEFT(AD40,4))</f>
        <v>1</v>
      </c>
      <c r="Y41" s="69">
        <f>RIGHT(D41,LEN(D41)-4)/10000</f>
        <v>4.4600000000000001E-2</v>
      </c>
      <c r="Z41" s="69">
        <f>RIGHT(H41,LEN(H41)-4)/10000</f>
        <v>23.334900000000001</v>
      </c>
      <c r="AA41" s="69">
        <f>ABS(Z41-Y41)</f>
        <v>23.290300000000002</v>
      </c>
      <c r="AB41" s="66" t="e">
        <f>VLOOKUP(A41,Enforcements!$C$7:$J$21,8,0)</f>
        <v>#N/A</v>
      </c>
      <c r="AC41" s="62" t="e">
        <f>VLOOKUP(A41,Enforcements!$C$7:$E$21,3,0)</f>
        <v>#N/A</v>
      </c>
      <c r="AD41" s="63" t="str">
        <f>IF(LEN(A41)=6,"0"&amp;A41,A41)</f>
        <v>0129-01</v>
      </c>
      <c r="AE41" s="99" t="str">
        <f>"aws s3 cp "&amp;s3_bucket&amp;"/RTDC"&amp;B41&amp;"/"&amp;TEXT(F41,"YYYY-MM-DD")&amp;"/ "&amp;search_path&amp;"\RTDC"&amp;B41&amp;"\"&amp;TEXT(F41,"YYYY-MM-DD")&amp;" --recursive &amp; """&amp;walkandungz&amp;""" "&amp;search_path&amp;"\RTDC"&amp;B41&amp;"\"&amp;TEXT(F41,"YYYY-MM-DD")
&amp;" &amp; "&amp;"aws s3 cp "&amp;s3_bucket&amp;"/RTDC"&amp;B41&amp;"/"&amp;TEXT(F41+1,"YYYY-MM-DD")&amp;"/ "&amp;search_path&amp;"\RTDC"&amp;B41&amp;"\"&amp;TEXT(F41+1,"YYYY-MM-DD")&amp;" --recursive &amp; """&amp;walkandungz&amp;""" "&amp;search_path&amp;"\RTDC"&amp;B41&amp;"\"&amp;TEXT(F41+1,"YYYY-MM-DD")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41" s="96" t="str">
        <f>astrogrep_path&amp;" /spath="&amp;search_path&amp;" /stypes=""*"&amp;B41&amp;"*"&amp;TEXT(I41-utc_offset/24,"YYYYMMDD")&amp;"*"" /stext="" "&amp;TEXT(I41-utc_offset/24,"HH")&amp;search_regexp&amp;""" /e /r /s"</f>
        <v>"C:\Program Files (x86)\AstroGrep\AstroGrep.exe" /spath="%USERPROFILE%\AppData\Local\Temp\OnboardLogs" /stypes="*4020*20160901*" /stext=" 13:.+((SYSTEM_STATE.+slice.+state.+changed )|(ment ac)|(system.+state.+changed )|(\|lc)|(penalty)|(\[timeout)|(PRM\|1\|D)|(kpr)|(kdp))" /e /r /s</v>
      </c>
      <c r="AG41" s="1" t="str">
        <f>IFERROR(IF(VALUE(LEFT(AD41,2))&lt;=2,"EC",IF(OR(VALUE(LEFT(AD41,2))=8,VALUE(LEFT(AD41,2))=18),"NW","Other")),"Other")</f>
        <v>EC</v>
      </c>
      <c r="AH41" s="100" t="str">
        <f t="shared" si="2"/>
        <v>"%USERPROFILE%\Documents\GitHub\eaglep3\Utilities\RefineRTDCRunTimes.py" --tripid 129-01 --locoid 4020 --swversion DE.1.0.7.0 --startMP 204:446 --initTime 2016-09-01T07:10:53 --startdatetime 2016-09-01T07:15:46 --delay 1 --endMP 204:233349 --enddatetime 2016-09-01T07:51:35 --enforcementcount 0 &gt;&gt;C:\Users\stu\Documents\GitHub\eaglep3-reporting\EC\2016-09-01-refined-times.txt</v>
      </c>
      <c r="AI41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{"issue":{"subject":"","project_id":79,"tracker_id":40,"status_id":1,"priority_id":2,"assigned_to_id":23,"start_date":"2016-09-01","description":"","custom_fields":[{"id":1,"name":"Subdivision","value":"EC"},{"id":4,"name":"Milepost","value":"23.2903"},{"id":17,"name":"Train ID","value":"129-01"},{"id":16,"name":"Locomotive ID","value":"4020"},{"id":130,"name":"Impact","value":""},{"id":150,"name":"Time of Event (Mountain Time)","value":"07:51:35"},{"id":151,"name":"Denver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416</v>
      </c>
      <c r="B42" s="7">
        <v>4019</v>
      </c>
      <c r="C42" s="24" t="s">
        <v>113</v>
      </c>
      <c r="D42" s="24" t="s">
        <v>417</v>
      </c>
      <c r="E42" s="15">
        <v>42614.328645833331</v>
      </c>
      <c r="F42" s="15">
        <v>42614.341192129628</v>
      </c>
      <c r="G42" s="7">
        <v>1</v>
      </c>
      <c r="H42" s="15" t="s">
        <v>152</v>
      </c>
      <c r="I42" s="15">
        <v>42614.368680555555</v>
      </c>
      <c r="J42" s="7">
        <v>0</v>
      </c>
      <c r="K42" s="132" t="str">
        <f>IF(ISEVEN(B42),(B42-1)&amp;"/"&amp;B42,B42&amp;"/"&amp;(B42+1))</f>
        <v>4019/4020</v>
      </c>
      <c r="L42" s="24" t="str">
        <f>VLOOKUP(A42,'Trips&amp;Operators'!$C$1:$E$10000,3,FALSE)</f>
        <v>SMITH</v>
      </c>
      <c r="M42" s="6">
        <f>I42-F42</f>
        <v>2.7488425927003846E-2</v>
      </c>
      <c r="N42" s="7">
        <f>24*60*SUM($M42:$M42)</f>
        <v>39.583333334885538</v>
      </c>
      <c r="O42" s="7"/>
      <c r="P42" s="7"/>
      <c r="Q42" s="25"/>
      <c r="R42" s="25"/>
      <c r="S42" s="37">
        <f>SUM(U42:U42)/IF(AG42="EC",12,1)</f>
        <v>1</v>
      </c>
      <c r="T42" s="52" t="str">
        <f>IF(ISEVEN(LEFT(AD42,4)),"Southbound","NorthBound")</f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hh:mm:ss")&amp;"-0600',mode:absolute,to:'"&amp;TEXT(I42+1/24,"yyyy-MM-DD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42" s="54" t="str">
        <f>IF(AA42&lt;IF(AG42="EC",23,5.65),"Y","N")</f>
        <v>N</v>
      </c>
      <c r="X42" s="120">
        <f t="shared" ref="X42:X47" si="9">VALUE(LEFT(AD42,4))-VALUE(LEFT(AD41,4))</f>
        <v>1</v>
      </c>
      <c r="Y42" s="69">
        <f>RIGHT(D42,LEN(D42)-4)/10000</f>
        <v>23.303599999999999</v>
      </c>
      <c r="Z42" s="69">
        <f>RIGHT(H42,LEN(H42)-4)/10000</f>
        <v>1.54E-2</v>
      </c>
      <c r="AA42" s="69">
        <f>ABS(Z42-Y42)</f>
        <v>23.2882</v>
      </c>
      <c r="AB42" s="66" t="e">
        <f>VLOOKUP(A42,Enforcements!$C$7:$J$21,8,0)</f>
        <v>#N/A</v>
      </c>
      <c r="AC42" s="62" t="e">
        <f>VLOOKUP(A42,Enforcements!$C$7:$E$21,3,0)</f>
        <v>#N/A</v>
      </c>
      <c r="AD42" s="63" t="str">
        <f>IF(LEN(A42)=6,"0"&amp;A42,A42)</f>
        <v>0130-01</v>
      </c>
      <c r="AE42" s="99" t="str">
        <f>"aws s3 cp "&amp;s3_bucket&amp;"/RTDC"&amp;B42&amp;"/"&amp;TEXT(F42,"YYYY-MM-DD")&amp;"/ "&amp;search_path&amp;"\RTDC"&amp;B42&amp;"\"&amp;TEXT(F42,"YYYY-MM-DD")&amp;" --recursive &amp; """&amp;walkandungz&amp;""" "&amp;search_path&amp;"\RTDC"&amp;B42&amp;"\"&amp;TEXT(F42,"YYYY-MM-DD")
&amp;" &amp; "&amp;"aws s3 cp "&amp;s3_bucket&amp;"/RTDC"&amp;B42&amp;"/"&amp;TEXT(F42+1,"YYYY-MM-DD")&amp;"/ "&amp;search_path&amp;"\RTDC"&amp;B42&amp;"\"&amp;TEXT(F42+1,"YYYY-MM-DD")&amp;" --recursive &amp; """&amp;walkandungz&amp;""" "&amp;search_path&amp;"\RTDC"&amp;B42&amp;"\"&amp;TEXT(F42+1,"YYYY-MM-DD")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42" s="96" t="str">
        <f>astrogrep_path&amp;" /spath="&amp;search_path&amp;" /stypes=""*"&amp;B42&amp;"*"&amp;TEXT(I42-utc_offset/24,"YYYYMMDD")&amp;"*"" /stext="" "&amp;TEXT(I42-utc_offset/24,"HH")&amp;search_regexp&amp;""" /e /r /s"</f>
        <v>"C:\Program Files (x86)\AstroGrep\AstroGrep.exe" /spath="%USERPROFILE%\AppData\Local\Temp\OnboardLogs" /stypes="*4019*20160901*" /stext=" 14:.+((SYSTEM_STATE.+slice.+state.+changed )|(ment ac)|(system.+state.+changed )|(\|lc)|(penalty)|(\[timeout)|(PRM\|1\|D)|(kpr)|(kdp))" /e /r /s</v>
      </c>
      <c r="AG42" s="1" t="str">
        <f>IFERROR(IF(VALUE(LEFT(AD42,2))&lt;=2,"EC",IF(OR(VALUE(LEFT(AD42,2))=8,VALUE(LEFT(AD42,2))=18),"NW","Other")),"Other")</f>
        <v>EC</v>
      </c>
      <c r="AH42" s="100" t="str">
        <f t="shared" si="2"/>
        <v>"%USERPROFILE%\Documents\GitHub\eaglep3\Utilities\RefineRTDCRunTimes.py" --tripid 130-01 --locoid 4019 --swversion DE.1.0.7.0 --startMP 204:233036 --initTime 2016-09-01T07:53:15 --startdatetime 2016-09-01T08:11:19 --delay 1 --endMP 204:154 --enddatetime 2016-09-01T08:50:54 --enforcementcount 0 &gt;&gt;C:\Users\stu\Documents\GitHub\eaglep3-reporting\EC\2016-09-01-refined-times.txt</v>
      </c>
      <c r="AI42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{"issue":{"subject":"","project_id":79,"tracker_id":40,"status_id":1,"priority_id":2,"assigned_to_id":23,"start_date":"2016-09-01","description":"","custom_fields":[{"id":1,"name":"Subdivision","value":"EC"},{"id":4,"name":"Milepost","value":"23.2882"},{"id":17,"name":"Train ID","value":"130-01"},{"id":16,"name":"Locomotive ID","value":"4019"},{"id":130,"name":"Impact","value":""},{"id":150,"name":"Time of Event (Mountain Time)","value":"08:50:54"},{"id":151,"name":"Denver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748</v>
      </c>
      <c r="B43" s="7"/>
      <c r="C43" s="24" t="s">
        <v>113</v>
      </c>
      <c r="D43" s="24" t="s">
        <v>417</v>
      </c>
      <c r="E43" s="15">
        <v>42614.328645833331</v>
      </c>
      <c r="F43" s="15"/>
      <c r="G43" s="7">
        <v>1</v>
      </c>
      <c r="H43" s="15" t="s">
        <v>152</v>
      </c>
      <c r="I43" s="15"/>
      <c r="J43" s="7">
        <v>0</v>
      </c>
      <c r="K43" s="132" t="str">
        <f>IF(ISEVEN(B43),(B43-1)&amp;"/"&amp;B43,B43&amp;"/"&amp;(B43+1))</f>
        <v>-1/</v>
      </c>
      <c r="L43" s="24" t="e">
        <f>VLOOKUP(A43,'Trips&amp;Operators'!$C$1:$E$10000,3,FALSE)</f>
        <v>#N/A</v>
      </c>
      <c r="M43" s="6">
        <f>I43-F43</f>
        <v>0</v>
      </c>
      <c r="N43" s="7"/>
      <c r="O43" s="7"/>
      <c r="P43" s="7">
        <v>1</v>
      </c>
      <c r="Q43" s="25"/>
      <c r="R43" s="25" t="s">
        <v>747</v>
      </c>
      <c r="S43" s="37">
        <f>SUM(U43:U43)/IF(AG43="EC",12,1)</f>
        <v>0</v>
      </c>
      <c r="T43" s="52" t="str">
        <f>IF(ISEVEN(LEFT(AD43,4)),"Southbound","NorthBound")</f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106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hh:mm:ss")&amp;"-0600',mode:absolute,to:'"&amp;TEXT(I43+1/24,"yyyy-MM-DD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https://search-rtdc-monitor-bjffxe2xuh6vdkpspy63sjmuny.us-east-1.es.amazonaws.com/_plugin/kibana/#/discover/Steve-Slow-Train-Analysis-(2080s-and-2083s)?_g=(refreshInterval:(display:Off,section:0,value:0),time:(from:'2016-09-01 06:53:15-0600',mode:absolute,to:'1900-01-00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43" s="54" t="str">
        <f>IF(AA43&lt;IF(AG43="EC",23,5.65),"Y","N")</f>
        <v>N</v>
      </c>
      <c r="X43" s="120">
        <f t="shared" si="9"/>
        <v>1</v>
      </c>
      <c r="Y43" s="69">
        <f>RIGHT(D43,LEN(D43)-4)/10000</f>
        <v>23.303599999999999</v>
      </c>
      <c r="Z43" s="69">
        <f>RIGHT(H43,LEN(H43)-4)/10000</f>
        <v>1.54E-2</v>
      </c>
      <c r="AA43" s="69">
        <f>ABS(Z43-Y43)</f>
        <v>23.2882</v>
      </c>
      <c r="AB43" s="66" t="e">
        <f>VLOOKUP(A43,Enforcements!$C$7:$J$21,8,0)</f>
        <v>#N/A</v>
      </c>
      <c r="AC43" s="62" t="e">
        <f>VLOOKUP(A43,Enforcements!$C$7:$E$21,3,0)</f>
        <v>#N/A</v>
      </c>
      <c r="AD43" s="63" t="str">
        <f>IF(LEN(A43)=6,"0"&amp;A43,A43)</f>
        <v>0131-01</v>
      </c>
      <c r="AE43" s="99" t="str">
        <f>"aws s3 cp "&amp;s3_bucket&amp;"/RTDC"&amp;B43&amp;"/"&amp;TEXT(F43,"YYYY-MM-DD")&amp;"/ "&amp;search_path&amp;"\RTDC"&amp;B43&amp;"\"&amp;TEXT(F43,"YYYY-MM-DD")&amp;" --recursive &amp; """&amp;walkandungz&amp;""" "&amp;search_path&amp;"\RTDC"&amp;B43&amp;"\"&amp;TEXT(F43,"YYYY-MM-DD")
&amp;" &amp; "&amp;"aws s3 cp "&amp;s3_bucket&amp;"/RTDC"&amp;B43&amp;"/"&amp;TEXT(F43+1,"YYYY-MM-DD")&amp;"/ "&amp;search_path&amp;"\RTDC"&amp;B43&amp;"\"&amp;TEXT(F43+1,"YYYY-MM-DD")&amp;" --recursive &amp; """&amp;walkandungz&amp;""" "&amp;search_path&amp;"\RTDC"&amp;B43&amp;"\"&amp;TEXT(F43+1,"YYYY-MM-DD")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43" s="96" t="str">
        <f>astrogrep_path&amp;" /spath="&amp;search_path&amp;" /stypes=""*"&amp;B43&amp;"*"&amp;TEXT(I43-utc_offset/24,"YYYYMMDD")&amp;"*"" /stext="" "&amp;TEXT(I43-utc_offset/24,"HH")&amp;search_regexp&amp;"""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43" s="1" t="str">
        <f>IFERROR(IF(VALUE(LEFT(AD43,2))&lt;=2,"EC",IF(OR(VALUE(LEFT(AD43,2))=8,VALUE(LEFT(AD43,2))=18),"NW","Other")),"Other")</f>
        <v>EC</v>
      </c>
      <c r="AH43" s="100" t="str">
        <f t="shared" ref="AH43" si="10">refinertdcruntimes&amp;" --tripid "&amp;A43&amp;" --locoid "&amp;B43&amp;" --swversion "&amp;C43&amp;" --startMP "&amp;D43&amp;" --initTime "&amp;TEXT(E43,"yyyy-mm-ddTHH:MM:SS")&amp;" --startdatetime "&amp;TEXT(F43,"yyyy-mm-ddTHH:MM:SS")&amp;" --delay "&amp;G43&amp;" --endMP "&amp;H43&amp;" --enddatetime "&amp;TEXT(I43,"yyyy-mm-ddTHH:MM:SS")&amp;" --enforcementcount "&amp;J43&amp;IF(outputrefinedruntimes," &gt;&gt;"&amp;RefinedRTDCRunTimesOutputFile,"")</f>
        <v>"%USERPROFILE%\Documents\GitHub\eaglep3\Utilities\RefineRTDCRunTimes.py" --tripid 131-01 --locoid  --swversion DE.1.0.7.0 --startMP 204:233036 --initTime 2016-09-01T07:53:15 --startdatetime 1900-01-00T00:00:00 --delay 1 --endMP 204:154 --enddatetime 1900-01-00T00:00:00 --enforcementcount 0 &gt;&gt;C:\Users\stu\Documents\GitHub\eaglep3-reporting\EC\2016-09-01-refined-times.txt</v>
      </c>
      <c r="AI43" s="149" t="str">
        <f t="shared" ref="AI43" si="11">"echo {""issue"":{""subject"":"""&amp;R43&amp;""",""project_id"":79,""tracker_id"":40,""status_id"":"&amp;redmine_status&amp;",""priority_id"":"&amp;redmine_priority&amp;",""assigned_to_id"":"&amp;redmine_assignee&amp;",""start_date"":"""&amp;TEXT(I43,"YYYY-mm-dd")&amp;""",""description"":"""&amp;AJ43&amp;""",""custom_fields"":[{""id"":1,""name"":""Subdivision"",""value"":"""&amp;AG43&amp;"""},{""id"":4,""name"":""Milepost"",""value"":"""&amp;AA43&amp;"""},{""id"":17,""name"":""Train ID"",""value"":"""&amp;A43&amp;"""},{""id"":16,""name"":""Locomotive ID"",""value"":"""&amp;B43&amp;"""},{""id"":130,""name"":""Impact"",""value"":"""&amp;AK43&amp;"""},{""id"":150,""name"":""Time of Event (Mountain Time)"",""value"":"""&amp;TEXT(I43,"hh:mm:ss")&amp;"""},{""id"":151,""name"":""Denver Issue ID"",""value"":"""&amp;"""},{""id"":178,""name"":""Operational Impact"",""value"":"""&amp;redmine_op_impact&amp;"""},{""id"":179,""name"":""Denver Segment Assigned"",""value"":"""&amp;AL43&amp;"""}]}}"&amp;" | curl -X POST -H ""Content-Type: application/json"" -H ""X-Redmine-API-Key: "&amp;redm_api_key&amp;""" "&amp;redm_url&amp;" --data @-"</f>
        <v>echo {"issue":{"subject":"Did not initialize","project_id":79,"tracker_id":40,"status_id":1,"priority_id":2,"assigned_to_id":23,"start_date":"1900-01-00","description":"","custom_fields":[{"id":1,"name":"Subdivision","value":"EC"},{"id":4,"name":"Milepost","value":"23.2882"},{"id":17,"name":"Train ID","value":"131-01"},{"id":16,"name":"Locomotive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418</v>
      </c>
      <c r="B44" s="7">
        <v>4032</v>
      </c>
      <c r="C44" s="24" t="s">
        <v>113</v>
      </c>
      <c r="D44" s="24" t="s">
        <v>257</v>
      </c>
      <c r="E44" s="15">
        <v>42614.344953703701</v>
      </c>
      <c r="F44" s="15">
        <v>42614.3515625</v>
      </c>
      <c r="G44" s="7">
        <v>1</v>
      </c>
      <c r="H44" s="15" t="s">
        <v>131</v>
      </c>
      <c r="I44" s="15">
        <v>42614.379745370374</v>
      </c>
      <c r="J44" s="7">
        <v>0</v>
      </c>
      <c r="K44" s="132" t="str">
        <f>IF(ISEVEN(B44),(B44-1)&amp;"/"&amp;B44,B44&amp;"/"&amp;(B44+1))</f>
        <v>4031/4032</v>
      </c>
      <c r="L44" s="24" t="str">
        <f>VLOOKUP(A44,'Trips&amp;Operators'!$C$1:$E$10000,3,FALSE)</f>
        <v>SPECTOR</v>
      </c>
      <c r="M44" s="6">
        <f>I44-F44</f>
        <v>2.8182870373711921E-2</v>
      </c>
      <c r="N44" s="7">
        <f>24*60*SUM($M44:$M44)</f>
        <v>40.583333338145167</v>
      </c>
      <c r="O44" s="7"/>
      <c r="P44" s="7"/>
      <c r="Q44" s="25"/>
      <c r="R44" s="25"/>
      <c r="S44" s="37">
        <f>SUM(U44:U44)/IF(AG44="EC",12,1)</f>
        <v>1</v>
      </c>
      <c r="T44" s="52" t="str">
        <f>IF(ISEVEN(LEFT(AD44,4)),"Southbound","NorthBound")</f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hh:mm:ss")&amp;"-0600',mode:absolute,to:'"&amp;TEXT(I44+1/24,"yyyy-MM-DD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https://search-rtdc-monitor-bjffxe2xuh6vdkpspy63sjmuny.us-east-1.es.amazonaws.com/_plugin/kibana/#/discover/Steve-Slow-Train-Analysis-(2080s-and-2083s)?_g=(refreshInterval:(display:Off,section:0,value:0),time:(from:'2016-09-01 07:16:44-0600',mode:absolute,to:'2016-09-01 10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44" s="54" t="str">
        <f>IF(AA44&lt;IF(AG44="EC",23,5.65),"Y","N")</f>
        <v>N</v>
      </c>
      <c r="X44" s="120">
        <f t="shared" si="9"/>
        <v>1</v>
      </c>
      <c r="Y44" s="69">
        <f>RIGHT(D44,LEN(D44)-4)/10000</f>
        <v>23.300799999999999</v>
      </c>
      <c r="Z44" s="69">
        <f>RIGHT(H44,LEN(H44)-4)/10000</f>
        <v>1.5800000000000002E-2</v>
      </c>
      <c r="AA44" s="69">
        <f>ABS(Z44-Y44)</f>
        <v>23.285</v>
      </c>
      <c r="AB44" s="66" t="e">
        <f>VLOOKUP(A44,Enforcements!$C$7:$J$21,8,0)</f>
        <v>#N/A</v>
      </c>
      <c r="AC44" s="62" t="e">
        <f>VLOOKUP(A44,Enforcements!$C$7:$E$21,3,0)</f>
        <v>#N/A</v>
      </c>
      <c r="AD44" s="63" t="str">
        <f>IF(LEN(A44)=6,"0"&amp;A44,A44)</f>
        <v>0132-01</v>
      </c>
      <c r="AE44" s="99" t="str">
        <f>"aws s3 cp "&amp;s3_bucket&amp;"/RTDC"&amp;B44&amp;"/"&amp;TEXT(F44,"YYYY-MM-DD")&amp;"/ "&amp;search_path&amp;"\RTDC"&amp;B44&amp;"\"&amp;TEXT(F44,"YYYY-MM-DD")&amp;" --recursive &amp; """&amp;walkandungz&amp;""" "&amp;search_path&amp;"\RTDC"&amp;B44&amp;"\"&amp;TEXT(F44,"YYYY-MM-DD")
&amp;" &amp; "&amp;"aws s3 cp "&amp;s3_bucket&amp;"/RTDC"&amp;B44&amp;"/"&amp;TEXT(F44+1,"YYYY-MM-DD")&amp;"/ "&amp;search_path&amp;"\RTDC"&amp;B44&amp;"\"&amp;TEXT(F44+1,"YYYY-MM-DD")&amp;" --recursive &amp; """&amp;walkandungz&amp;""" "&amp;search_path&amp;"\RTDC"&amp;B44&amp;"\"&amp;TEXT(F44+1,"YYYY-MM-DD")</f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44" s="96" t="str">
        <f>astrogrep_path&amp;" /spath="&amp;search_path&amp;" /stypes=""*"&amp;B44&amp;"*"&amp;TEXT(I44-utc_offset/24,"YYYYMMDD")&amp;"*"" /stext="" "&amp;TEXT(I44-utc_offset/24,"HH")&amp;search_regexp&amp;""" /e /r /s"</f>
        <v>"C:\Program Files (x86)\AstroGrep\AstroGrep.exe" /spath="%USERPROFILE%\AppData\Local\Temp\OnboardLogs" /stypes="*4032*20160901*" /stext=" 15:.+((SYSTEM_STATE.+slice.+state.+changed )|(ment ac)|(system.+state.+changed )|(\|lc)|(penalty)|(\[timeout)|(PRM\|1\|D)|(kpr)|(kdp))" /e /r /s</v>
      </c>
      <c r="AG44" s="1" t="str">
        <f>IFERROR(IF(VALUE(LEFT(AD44,2))&lt;=2,"EC",IF(OR(VALUE(LEFT(AD44,2))=8,VALUE(LEFT(AD44,2))=18),"NW","Other")),"Other")</f>
        <v>EC</v>
      </c>
      <c r="AH44" s="100" t="str">
        <f t="shared" si="2"/>
        <v>"%USERPROFILE%\Documents\GitHub\eaglep3\Utilities\RefineRTDCRunTimes.py" --tripid 132-01 --locoid 4032 --swversion DE.1.0.7.0 --startMP 204:233008 --initTime 2016-09-01T08:16:44 --startdatetime 2016-09-01T08:26:15 --delay 1 --endMP 204:158 --enddatetime 2016-09-01T09:06:50 --enforcementcount 0 &gt;&gt;C:\Users\stu\Documents\GitHub\eaglep3-reporting\EC\2016-09-01-refined-times.txt</v>
      </c>
      <c r="AI44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{"issue":{"subject":"","project_id":79,"tracker_id":40,"status_id":1,"priority_id":2,"assigned_to_id":23,"start_date":"2016-09-01","description":"","custom_fields":[{"id":1,"name":"Subdivision","value":"EC"},{"id":4,"name":"Milepost","value":"23.285"},{"id":17,"name":"Train ID","value":"132-01"},{"id":16,"name":"Locomotive ID","value":"4032"},{"id":130,"name":"Impact","value":""},{"id":150,"name":"Time of Event (Mountain Time)","value":"09:06:50"},{"id":151,"name":"Denver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419</v>
      </c>
      <c r="B45" s="7">
        <v>4018</v>
      </c>
      <c r="C45" s="24" t="s">
        <v>113</v>
      </c>
      <c r="D45" s="24" t="s">
        <v>180</v>
      </c>
      <c r="E45" s="15">
        <v>42614.321620370371</v>
      </c>
      <c r="F45" s="15">
        <v>42614.323182870372</v>
      </c>
      <c r="G45" s="7">
        <v>1</v>
      </c>
      <c r="H45" s="15" t="s">
        <v>290</v>
      </c>
      <c r="I45" s="15">
        <v>42614.348923611113</v>
      </c>
      <c r="J45" s="7">
        <v>0</v>
      </c>
      <c r="K45" s="132" t="str">
        <f>IF(ISEVEN(B45),(B45-1)&amp;"/"&amp;B45,B45&amp;"/"&amp;(B45+1))</f>
        <v>4017/4018</v>
      </c>
      <c r="L45" s="24" t="str">
        <f>VLOOKUP(A45,'Trips&amp;Operators'!$C$1:$E$10000,3,FALSE)</f>
        <v>MALAVE</v>
      </c>
      <c r="M45" s="6">
        <f>I45-F45</f>
        <v>2.5740740740729962E-2</v>
      </c>
      <c r="N45" s="7">
        <f>24*60*SUM($M45:$M45)</f>
        <v>37.066666666651145</v>
      </c>
      <c r="O45" s="7"/>
      <c r="P45" s="7"/>
      <c r="Q45" s="25"/>
      <c r="R45" s="25"/>
      <c r="S45" s="37">
        <f>SUM(U45:U45)/IF(AG45="EC",12,1)</f>
        <v>1</v>
      </c>
      <c r="T45" s="52" t="str">
        <f>IF(ISEVEN(LEFT(AD45,4)),"Southbound","NorthBound")</f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https://search-rtdc-monitor-bjffxe2xuh6vdkpspy63sjmuny.us-east-1.es.amazonaws.com/_plugin/kibana/#/discover/Steve-Slow-Train-Analysis-(2080s-and-2083s)?_g=(refreshInterval:(display:Off,section:0,value:0),time:(from:'2016-09-01 06:43:08-0600',mode:absolute,to:'2016-09-01 09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45" s="54" t="str">
        <f>IF(AA45&lt;IF(AG45="EC",23,5.65),"Y","N")</f>
        <v>N</v>
      </c>
      <c r="X45" s="120">
        <f t="shared" si="9"/>
        <v>1</v>
      </c>
      <c r="Y45" s="69">
        <f>RIGHT(D45,LEN(D45)-4)/10000</f>
        <v>4.5999999999999999E-2</v>
      </c>
      <c r="Z45" s="69">
        <f>RIGHT(H45,LEN(H45)-4)/10000</f>
        <v>23.328600000000002</v>
      </c>
      <c r="AA45" s="69">
        <f>ABS(Z45-Y45)</f>
        <v>23.282600000000002</v>
      </c>
      <c r="AB45" s="66" t="e">
        <f>VLOOKUP(A45,Enforcements!$C$7:$J$21,8,0)</f>
        <v>#N/A</v>
      </c>
      <c r="AC45" s="62" t="e">
        <f>VLOOKUP(A45,Enforcements!$C$7:$E$21,3,0)</f>
        <v>#N/A</v>
      </c>
      <c r="AD45" s="63" t="str">
        <f>IF(LEN(A45)=6,"0"&amp;A45,A45)</f>
        <v>0133-01</v>
      </c>
      <c r="AE45" s="99" t="str">
        <f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45" s="96" t="str">
        <f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/stypes="*4018*20160901*" /stext=" 14:.+((SYSTEM_STATE.+slice.+state.+changed )|(ment ac)|(system.+state.+changed )|(\|lc)|(penalty)|(\[timeout)|(PRM\|1\|D)|(kpr)|(kdp))" /e /r /s</v>
      </c>
      <c r="AG45" s="1" t="str">
        <f>IFERROR(IF(VALUE(LEFT(AD45,2))&lt;=2,"EC",IF(OR(VALUE(LEFT(AD45,2))=8,VALUE(LEFT(AD45,2))=18),"NW","Other")),"Other")</f>
        <v>EC</v>
      </c>
      <c r="AH45" s="100" t="str">
        <f t="shared" si="2"/>
        <v>"%USERPROFILE%\Documents\GitHub\eaglep3\Utilities\RefineRTDCRunTimes.py" --tripid 133-01 --locoid 4018 --swversion DE.1.0.7.0 --startMP 204:460 --initTime 2016-09-01T07:43:08 --startdatetime 2016-09-01T07:45:23 --delay 1 --endMP 204:233286 --enddatetime 2016-09-01T08:22:27 --enforcementcount 0 &gt;&gt;C:\Users\stu\Documents\GitHub\eaglep3-reporting\EC\2016-09-01-refined-times.txt</v>
      </c>
      <c r="AI45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{"issue":{"subject":"","project_id":79,"tracker_id":40,"status_id":1,"priority_id":2,"assigned_to_id":23,"start_date":"2016-09-01","description":"","custom_fields":[{"id":1,"name":"Subdivision","value":"EC"},{"id":4,"name":"Milepost","value":"23.2826"},{"id":17,"name":"Train ID","value":"133-01"},{"id":16,"name":"Locomotive ID","value":"4018"},{"id":130,"name":"Impact","value":""},{"id":150,"name":"Time of Event (Mountain Time)","value":"08:22:27"},{"id":151,"name":"Denver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420</v>
      </c>
      <c r="B46" s="7">
        <v>4017</v>
      </c>
      <c r="C46" s="24" t="s">
        <v>113</v>
      </c>
      <c r="D46" s="24" t="s">
        <v>421</v>
      </c>
      <c r="E46" s="15">
        <v>42614.360474537039</v>
      </c>
      <c r="F46" s="15">
        <v>42614.362037037034</v>
      </c>
      <c r="G46" s="7">
        <v>2</v>
      </c>
      <c r="H46" s="15" t="s">
        <v>149</v>
      </c>
      <c r="I46" s="15">
        <v>42614.389386574076</v>
      </c>
      <c r="J46" s="7">
        <v>0</v>
      </c>
      <c r="K46" s="132" t="str">
        <f>IF(ISEVEN(B46),(B46-1)&amp;"/"&amp;B46,B46&amp;"/"&amp;(B46+1))</f>
        <v>4017/4018</v>
      </c>
      <c r="L46" s="24" t="str">
        <f>VLOOKUP(A46,'Trips&amp;Operators'!$C$1:$E$10000,3,FALSE)</f>
        <v>MALAVE</v>
      </c>
      <c r="M46" s="6">
        <f>I46-F46</f>
        <v>2.7349537042027805E-2</v>
      </c>
      <c r="N46" s="7">
        <f>24*60*SUM($M46:$M46)</f>
        <v>39.383333340520039</v>
      </c>
      <c r="O46" s="7"/>
      <c r="P46" s="7"/>
      <c r="Q46" s="25"/>
      <c r="R46" s="25"/>
      <c r="S46" s="37">
        <f>SUM(U46:U46)/IF(AG46="EC",12,1)</f>
        <v>1</v>
      </c>
      <c r="T46" s="52" t="str">
        <f>IF(ISEVEN(LEFT(AD46,4)),"Southbound","NorthBound")</f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hh:mm:ss")&amp;"-0600',mode:absolute,to:'"&amp;TEXT(I46+1/24,"yyyy-MM-DD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https://search-rtdc-monitor-bjffxe2xuh6vdkpspy63sjmuny.us-east-1.es.amazonaws.com/_plugin/kibana/#/discover/Steve-Slow-Train-Analysis-(2080s-and-2083s)?_g=(refreshInterval:(display:Off,section:0,value:0),time:(from:'2016-09-01 07:39:05-0600',mode:absolute,to:'2016-09-01 10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46" s="54" t="str">
        <f>IF(AA46&lt;IF(AG46="EC",23,5.65),"Y","N")</f>
        <v>N</v>
      </c>
      <c r="X46" s="120">
        <f t="shared" si="9"/>
        <v>1</v>
      </c>
      <c r="Y46" s="69">
        <f>RIGHT(D46,LEN(D46)-4)/10000</f>
        <v>23.296700000000001</v>
      </c>
      <c r="Z46" s="69">
        <f>RIGHT(H46,LEN(H46)-4)/10000</f>
        <v>1.5599999999999999E-2</v>
      </c>
      <c r="AA46" s="69">
        <f>ABS(Z46-Y46)</f>
        <v>23.281100000000002</v>
      </c>
      <c r="AB46" s="66" t="e">
        <f>VLOOKUP(A46,Enforcements!$C$7:$J$21,8,0)</f>
        <v>#N/A</v>
      </c>
      <c r="AC46" s="62" t="e">
        <f>VLOOKUP(A46,Enforcements!$C$7:$E$21,3,0)</f>
        <v>#N/A</v>
      </c>
      <c r="AD46" s="63" t="str">
        <f>IF(LEN(A46)=6,"0"&amp;A46,A46)</f>
        <v>0134-01</v>
      </c>
      <c r="AE46" s="99" t="str">
        <f>"aws s3 cp "&amp;s3_bucket&amp;"/RTDC"&amp;B46&amp;"/"&amp;TEXT(F46,"YYYY-MM-DD")&amp;"/ "&amp;search_path&amp;"\RTDC"&amp;B46&amp;"\"&amp;TEXT(F46,"YYYY-MM-DD")&amp;" --recursive &amp; """&amp;walkandungz&amp;""" "&amp;search_path&amp;"\RTDC"&amp;B46&amp;"\"&amp;TEXT(F46,"YYYY-MM-DD")
&amp;" &amp; "&amp;"aws s3 cp "&amp;s3_bucket&amp;"/RTDC"&amp;B46&amp;"/"&amp;TEXT(F46+1,"YYYY-MM-DD")&amp;"/ "&amp;search_path&amp;"\RTDC"&amp;B46&amp;"\"&amp;TEXT(F46+1,"YYYY-MM-DD")&amp;" --recursive &amp; """&amp;walkandungz&amp;""" "&amp;search_path&amp;"\RTDC"&amp;B46&amp;"\"&amp;TEXT(F46+1,"YYYY-MM-DD")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46" s="96" t="str">
        <f>astrogrep_path&amp;" /spath="&amp;search_path&amp;" /stypes=""*"&amp;B46&amp;"*"&amp;TEXT(I46-utc_offset/24,"YYYYMMDD")&amp;"*"" /stext="" "&amp;TEXT(I46-utc_offset/24,"HH")&amp;search_regexp&amp;""" /e /r /s"</f>
        <v>"C:\Program Files (x86)\AstroGrep\AstroGrep.exe" /spath="%USERPROFILE%\AppData\Local\Temp\OnboardLogs" /stypes="*4017*20160901*" /stext=" 15:.+((SYSTEM_STATE.+slice.+state.+changed )|(ment ac)|(system.+state.+changed )|(\|lc)|(penalty)|(\[timeout)|(PRM\|1\|D)|(kpr)|(kdp))" /e /r /s</v>
      </c>
      <c r="AG46" s="1" t="str">
        <f>IFERROR(IF(VALUE(LEFT(AD46,2))&lt;=2,"EC",IF(OR(VALUE(LEFT(AD46,2))=8,VALUE(LEFT(AD46,2))=18),"NW","Other")),"Other")</f>
        <v>EC</v>
      </c>
      <c r="AH46" s="100" t="str">
        <f t="shared" si="2"/>
        <v>"%USERPROFILE%\Documents\GitHub\eaglep3\Utilities\RefineRTDCRunTimes.py" --tripid 134-01 --locoid 4017 --swversion DE.1.0.7.0 --startMP 204:232967 --initTime 2016-09-01T08:39:05 --startdatetime 2016-09-01T08:41:20 --delay 2 --endMP 204:156 --enddatetime 2016-09-01T09:20:43 --enforcementcount 0 &gt;&gt;C:\Users\stu\Documents\GitHub\eaglep3-reporting\EC\2016-09-01-refined-times.txt</v>
      </c>
      <c r="AI46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{"issue":{"subject":"","project_id":79,"tracker_id":40,"status_id":1,"priority_id":2,"assigned_to_id":23,"start_date":"2016-09-01","description":"","custom_fields":[{"id":1,"name":"Subdivision","value":"EC"},{"id":4,"name":"Milepost","value":"23.2811"},{"id":17,"name":"Train ID","value":"134-01"},{"id":16,"name":"Locomotive ID","value":"4017"},{"id":130,"name":"Impact","value":""},{"id":150,"name":"Time of Event (Mountain Time)","value":"09:20:43"},{"id":151,"name":"Denver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422</v>
      </c>
      <c r="B47" s="7">
        <v>4038</v>
      </c>
      <c r="C47" s="24" t="s">
        <v>113</v>
      </c>
      <c r="D47" s="24" t="s">
        <v>300</v>
      </c>
      <c r="E47" s="15">
        <v>42614.330266203702</v>
      </c>
      <c r="F47" s="15">
        <v>42614.333449074074</v>
      </c>
      <c r="G47" s="7">
        <v>1</v>
      </c>
      <c r="H47" s="15" t="s">
        <v>254</v>
      </c>
      <c r="I47" s="15">
        <v>42614.360949074071</v>
      </c>
      <c r="J47" s="7">
        <v>0</v>
      </c>
      <c r="K47" s="132" t="str">
        <f>IF(ISEVEN(B47),(B47-1)&amp;"/"&amp;B47,B47&amp;"/"&amp;(B47+1))</f>
        <v>4037/4038</v>
      </c>
      <c r="L47" s="24" t="str">
        <f>VLOOKUP(A47,'Trips&amp;Operators'!$C$1:$E$10000,3,FALSE)</f>
        <v>STRICKLAND</v>
      </c>
      <c r="M47" s="6">
        <f>I47-F47</f>
        <v>2.749999999650754E-2</v>
      </c>
      <c r="N47" s="7">
        <f>24*60*SUM($M47:$M47)</f>
        <v>39.599999994970858</v>
      </c>
      <c r="O47" s="7"/>
      <c r="P47" s="7"/>
      <c r="Q47" s="25"/>
      <c r="R47" s="25"/>
      <c r="S47" s="37">
        <f>SUM(U47:U47)/IF(AG47="EC",12,1)</f>
        <v>1</v>
      </c>
      <c r="T47" s="52" t="str">
        <f>IF(ISEVEN(LEFT(AD47,4)),"Southbound","NorthBound")</f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hh:mm:ss")&amp;"-0600',mode:absolute,to:'"&amp;TEXT(I47+1/24,"yyyy-MM-DD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https://search-rtdc-monitor-bjffxe2xuh6vdkpspy63sjmuny.us-east-1.es.amazonaws.com/_plugin/kibana/#/discover/Steve-Slow-Train-Analysis-(2080s-and-2083s)?_g=(refreshInterval:(display:Off,section:0,value:0),time:(from:'2016-09-01 06:55:35-0600',mode:absolute,to:'2016-09-01 09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47" s="54" t="str">
        <f>IF(AA47&lt;IF(AG47="EC",23,5.65),"Y","N")</f>
        <v>N</v>
      </c>
      <c r="X47" s="120">
        <f t="shared" si="9"/>
        <v>1</v>
      </c>
      <c r="Y47" s="69">
        <f>RIGHT(D47,LEN(D47)-4)/10000</f>
        <v>5.33E-2</v>
      </c>
      <c r="Z47" s="69">
        <f>RIGHT(H47,LEN(H47)-4)/10000</f>
        <v>23.328900000000001</v>
      </c>
      <c r="AA47" s="69">
        <f>ABS(Z47-Y47)</f>
        <v>23.275600000000001</v>
      </c>
      <c r="AB47" s="66">
        <f>VLOOKUP(A47,Enforcements!$C$7:$J$21,8,0)</f>
        <v>27333</v>
      </c>
      <c r="AC47" s="62" t="str">
        <f>VLOOKUP(A47,Enforcements!$C$7:$E$21,3,0)</f>
        <v>PERMANENT SPEED RESTRICTION</v>
      </c>
      <c r="AD47" s="63" t="str">
        <f>IF(LEN(A47)=6,"0"&amp;A47,A47)</f>
        <v>0135-01</v>
      </c>
      <c r="AE47" s="99" t="str">
        <f>"aws s3 cp "&amp;s3_bucket&amp;"/RTDC"&amp;B47&amp;"/"&amp;TEXT(F47,"YYYY-MM-DD")&amp;"/ "&amp;search_path&amp;"\RTDC"&amp;B47&amp;"\"&amp;TEXT(F47,"YYYY-MM-DD")&amp;" --recursive &amp; """&amp;walkandungz&amp;""" "&amp;search_path&amp;"\RTDC"&amp;B47&amp;"\"&amp;TEXT(F47,"YYYY-MM-DD")
&amp;" &amp; "&amp;"aws s3 cp "&amp;s3_bucket&amp;"/RTDC"&amp;B47&amp;"/"&amp;TEXT(F47+1,"YYYY-MM-DD")&amp;"/ "&amp;search_path&amp;"\RTDC"&amp;B47&amp;"\"&amp;TEXT(F47+1,"YYYY-MM-DD")&amp;" --recursive &amp; """&amp;walkandungz&amp;""" "&amp;search_path&amp;"\RTDC"&amp;B47&amp;"\"&amp;TEXT(F47+1,"YYYY-MM-DD")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47" s="96" t="str">
        <f>astrogrep_path&amp;" /spath="&amp;search_path&amp;" /stypes=""*"&amp;B47&amp;"*"&amp;TEXT(I47-utc_offset/24,"YYYYMMDD")&amp;"*"" /stext="" "&amp;TEXT(I47-utc_offset/24,"HH")&amp;search_regexp&amp;""" /e /r /s"</f>
        <v>"C:\Program Files (x86)\AstroGrep\AstroGrep.exe" /spath="%USERPROFILE%\AppData\Local\Temp\OnboardLogs" /stypes="*4038*20160901*" /stext=" 14:.+((SYSTEM_STATE.+slice.+state.+changed )|(ment ac)|(system.+state.+changed )|(\|lc)|(penalty)|(\[timeout)|(PRM\|1\|D)|(kpr)|(kdp))" /e /r /s</v>
      </c>
      <c r="AG47" s="1" t="str">
        <f>IFERROR(IF(VALUE(LEFT(AD47,2))&lt;=2,"EC",IF(OR(VALUE(LEFT(AD47,2))=8,VALUE(LEFT(AD47,2))=18),"NW","Other")),"Other")</f>
        <v>EC</v>
      </c>
      <c r="AH47" s="100" t="str">
        <f t="shared" si="2"/>
        <v>"%USERPROFILE%\Documents\GitHub\eaglep3\Utilities\RefineRTDCRunTimes.py" --tripid 135-01 --locoid 4038 --swversion DE.1.0.7.0 --startMP 204:533 --initTime 2016-09-01T07:55:35 --startdatetime 2016-09-01T08:00:10 --delay 1 --endMP 204:233289 --enddatetime 2016-09-01T08:39:46 --enforcementcount 0 &gt;&gt;C:\Users\stu\Documents\GitHub\eaglep3-reporting\EC\2016-09-01-refined-times.txt</v>
      </c>
      <c r="AI47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{"issue":{"subject":"","project_id":79,"tracker_id":40,"status_id":1,"priority_id":2,"assigned_to_id":23,"start_date":"2016-09-01","description":"","custom_fields":[{"id":1,"name":"Subdivision","value":"EC"},{"id":4,"name":"Milepost","value":"23.2756"},{"id":17,"name":"Train ID","value":"135-01"},{"id":16,"name":"Locomotive ID","value":"4038"},{"id":130,"name":"Impact","value":""},{"id":150,"name":"Time of Event (Mountain Time)","value":"08:39:46"},{"id":151,"name":"Denver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423</v>
      </c>
      <c r="B48" s="7">
        <v>4037</v>
      </c>
      <c r="C48" s="24" t="s">
        <v>113</v>
      </c>
      <c r="D48" s="24" t="s">
        <v>221</v>
      </c>
      <c r="E48" s="15">
        <v>42614.368333333332</v>
      </c>
      <c r="F48" s="15">
        <v>42614.372465277775</v>
      </c>
      <c r="G48" s="7">
        <v>1</v>
      </c>
      <c r="H48" s="15" t="s">
        <v>320</v>
      </c>
      <c r="I48" s="15">
        <v>42614.400879629633</v>
      </c>
      <c r="J48" s="7">
        <v>0</v>
      </c>
      <c r="K48" s="132" t="str">
        <f>IF(ISEVEN(B48),(B48-1)&amp;"/"&amp;B48,B48&amp;"/"&amp;(B48+1))</f>
        <v>4037/4038</v>
      </c>
      <c r="L48" s="24" t="str">
        <f>VLOOKUP(A48,'Trips&amp;Operators'!$C$1:$E$10000,3,FALSE)</f>
        <v>STRICKLAND</v>
      </c>
      <c r="M48" s="6">
        <f>I48-F48</f>
        <v>2.8414351858373266E-2</v>
      </c>
      <c r="N48" s="7">
        <f>24*60*SUM($M48:$M48)</f>
        <v>40.916666676057503</v>
      </c>
      <c r="O48" s="7"/>
      <c r="P48" s="7"/>
      <c r="Q48" s="25"/>
      <c r="R48" s="25"/>
      <c r="S48" s="37">
        <f>SUM(U48:U48)/IF(AG48="EC",12,1)</f>
        <v>1</v>
      </c>
      <c r="T48" s="52" t="str">
        <f>IF(ISEVEN(LEFT(AD48,4)),"Southbound","NorthBound")</f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hh:mm:ss")&amp;"-0600',mode:absolute,to:'"&amp;TEXT(I48+1/24,"yyyy-MM-DD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https://search-rtdc-monitor-bjffxe2xuh6vdkpspy63sjmuny.us-east-1.es.amazonaws.com/_plugin/kibana/#/discover/Steve-Slow-Train-Analysis-(2080s-and-2083s)?_g=(refreshInterval:(display:Off,section:0,value:0),time:(from:'2016-09-01 07:50:24-0600',mode:absolute,to:'2016-09-01 10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48" s="54" t="str">
        <f>IF(AA48&lt;IF(AG48="EC",23,5.65),"Y","N")</f>
        <v>N</v>
      </c>
      <c r="X48" s="120">
        <f>VALUE(LEFT(AD48,4))-VALUE(LEFT(AD47,4))</f>
        <v>1</v>
      </c>
      <c r="Y48" s="69">
        <f>RIGHT(D48,LEN(D48)-4)/10000</f>
        <v>23.297699999999999</v>
      </c>
      <c r="Z48" s="69">
        <f>RIGHT(H48,LEN(H48)-4)/10000</f>
        <v>1.6500000000000001E-2</v>
      </c>
      <c r="AA48" s="69">
        <f>ABS(Z48-Y48)</f>
        <v>23.281199999999998</v>
      </c>
      <c r="AB48" s="66">
        <f>VLOOKUP(A48,Enforcements!$C$7:$J$21,8,0)</f>
        <v>78469</v>
      </c>
      <c r="AC48" s="62" t="str">
        <f>VLOOKUP(A48,Enforcements!$C$7:$E$21,3,0)</f>
        <v>GRADE CROSSING</v>
      </c>
      <c r="AD48" s="63" t="str">
        <f>IF(LEN(A48)=6,"0"&amp;A48,A48)</f>
        <v>0136-01</v>
      </c>
      <c r="AE48" s="99" t="str">
        <f>"aws s3 cp "&amp;s3_bucket&amp;"/RTDC"&amp;B48&amp;"/"&amp;TEXT(F48,"YYYY-MM-DD")&amp;"/ "&amp;search_path&amp;"\RTDC"&amp;B48&amp;"\"&amp;TEXT(F48,"YYYY-MM-DD")&amp;" --recursive &amp; """&amp;walkandungz&amp;""" "&amp;search_path&amp;"\RTDC"&amp;B48&amp;"\"&amp;TEXT(F48,"YYYY-MM-DD")
&amp;" &amp; "&amp;"aws s3 cp "&amp;s3_bucket&amp;"/RTDC"&amp;B48&amp;"/"&amp;TEXT(F48+1,"YYYY-MM-DD")&amp;"/ "&amp;search_path&amp;"\RTDC"&amp;B48&amp;"\"&amp;TEXT(F48+1,"YYYY-MM-DD")&amp;" --recursive &amp; """&amp;walkandungz&amp;""" "&amp;search_path&amp;"\RTDC"&amp;B48&amp;"\"&amp;TEXT(F48+1,"YYYY-MM-DD")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48" s="96" t="str">
        <f>astrogrep_path&amp;" /spath="&amp;search_path&amp;" /stypes=""*"&amp;B48&amp;"*"&amp;TEXT(I48-utc_offset/24,"YYYYMMDD")&amp;"*"" /stext="" "&amp;TEXT(I48-utc_offset/24,"HH")&amp;search_regexp&amp;""" /e /r /s"</f>
        <v>"C:\Program Files (x86)\AstroGrep\AstroGrep.exe" /spath="%USERPROFILE%\AppData\Local\Temp\OnboardLogs" /stypes="*4037*20160901*" /stext=" 15:.+((SYSTEM_STATE.+slice.+state.+changed )|(ment ac)|(system.+state.+changed )|(\|lc)|(penalty)|(\[timeout)|(PRM\|1\|D)|(kpr)|(kdp))" /e /r /s</v>
      </c>
      <c r="AG48" s="1" t="str">
        <f>IFERROR(IF(VALUE(LEFT(AD48,2))&lt;=2,"EC",IF(OR(VALUE(LEFT(AD48,2))=8,VALUE(LEFT(AD48,2))=18),"NW","Other")),"Other")</f>
        <v>EC</v>
      </c>
      <c r="AH48" s="100" t="str">
        <f t="shared" si="2"/>
        <v>"%USERPROFILE%\Documents\GitHub\eaglep3\Utilities\RefineRTDCRunTimes.py" --tripid 136-01 --locoid 4037 --swversion DE.1.0.7.0 --startMP 204:232977 --initTime 2016-09-01T08:50:24 --startdatetime 2016-09-01T08:56:21 --delay 1 --endMP 204:165 --enddatetime 2016-09-01T09:37:16 --enforcementcount 0 &gt;&gt;C:\Users\stu\Documents\GitHub\eaglep3-reporting\EC\2016-09-01-refined-times.txt</v>
      </c>
      <c r="AI48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{"issue":{"subject":"","project_id":79,"tracker_id":40,"status_id":1,"priority_id":2,"assigned_to_id":23,"start_date":"2016-09-01","description":"","custom_fields":[{"id":1,"name":"Subdivision","value":"EC"},{"id":4,"name":"Milepost","value":"23.2812"},{"id":17,"name":"Train ID","value":"136-01"},{"id":16,"name":"Locomotive ID","value":"4037"},{"id":130,"name":"Impact","value":""},{"id":150,"name":"Time of Event (Mountain Time)","value":"09:37:16"},{"id":151,"name":"Denver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424</v>
      </c>
      <c r="B49" s="7">
        <v>4007</v>
      </c>
      <c r="C49" s="24" t="s">
        <v>113</v>
      </c>
      <c r="D49" s="24" t="s">
        <v>425</v>
      </c>
      <c r="E49" s="15">
        <v>42614.34165509259</v>
      </c>
      <c r="F49" s="15">
        <v>42614.344317129631</v>
      </c>
      <c r="G49" s="7">
        <v>1</v>
      </c>
      <c r="H49" s="15" t="s">
        <v>426</v>
      </c>
      <c r="I49" s="15">
        <v>42614.369513888887</v>
      </c>
      <c r="J49" s="7">
        <v>0</v>
      </c>
      <c r="K49" s="132" t="str">
        <f>IF(ISEVEN(B49),(B49-1)&amp;"/"&amp;B49,B49&amp;"/"&amp;(B49+1))</f>
        <v>4007/4008</v>
      </c>
      <c r="L49" s="24" t="str">
        <f>VLOOKUP(A49,'Trips&amp;Operators'!$C$1:$E$10000,3,FALSE)</f>
        <v>ARVIDSON</v>
      </c>
      <c r="M49" s="6">
        <f>I49-F49</f>
        <v>2.5196759255777579E-2</v>
      </c>
      <c r="N49" s="7">
        <f>24*60*SUM($M49:$M49)</f>
        <v>36.283333328319713</v>
      </c>
      <c r="O49" s="7"/>
      <c r="P49" s="7"/>
      <c r="Q49" s="25"/>
      <c r="R49" s="25"/>
      <c r="S49" s="37">
        <f>SUM(U49:U49)/IF(AG49="EC",12,1)</f>
        <v>1</v>
      </c>
      <c r="T49" s="52" t="str">
        <f>IF(ISEVEN(LEFT(AD49,4)),"Southbound","NorthBound")</f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hh:mm:ss")&amp;"-0600',mode:absolute,to:'"&amp;TEXT(I49+1/24,"yyyy-MM-DD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https://search-rtdc-monitor-bjffxe2xuh6vdkpspy63sjmuny.us-east-1.es.amazonaws.com/_plugin/kibana/#/discover/Steve-Slow-Train-Analysis-(2080s-and-2083s)?_g=(refreshInterval:(display:Off,section:0,value:0),time:(from:'2016-09-01 07:11:59-0600',mode:absolute,to:'2016-09-01 09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49" s="54" t="str">
        <f>IF(AA49&lt;IF(AG49="EC",23,5.65),"Y","N")</f>
        <v>N</v>
      </c>
      <c r="X49" s="120">
        <f>VALUE(LEFT(AD49,4))-VALUE(LEFT(AD48,4))</f>
        <v>1</v>
      </c>
      <c r="Y49" s="69">
        <f>RIGHT(D49,LEN(D49)-4)/10000</f>
        <v>4.3700000000000003E-2</v>
      </c>
      <c r="Z49" s="69">
        <f>RIGHT(H49,LEN(H49)-4)/10000</f>
        <v>23.3245</v>
      </c>
      <c r="AA49" s="69">
        <f>ABS(Z49-Y49)</f>
        <v>23.280799999999999</v>
      </c>
      <c r="AB49" s="66" t="e">
        <f>VLOOKUP(A49,Enforcements!$C$7:$J$21,8,0)</f>
        <v>#N/A</v>
      </c>
      <c r="AC49" s="62" t="e">
        <f>VLOOKUP(A49,Enforcements!$C$7:$E$21,3,0)</f>
        <v>#N/A</v>
      </c>
      <c r="AD49" s="63" t="str">
        <f>IF(LEN(A49)=6,"0"&amp;A49,A49)</f>
        <v>0137-01</v>
      </c>
      <c r="AE49" s="99" t="str">
        <f>"aws s3 cp "&amp;s3_bucket&amp;"/RTDC"&amp;B49&amp;"/"&amp;TEXT(F49,"YYYY-MM-DD")&amp;"/ "&amp;search_path&amp;"\RTDC"&amp;B49&amp;"\"&amp;TEXT(F49,"YYYY-MM-DD")&amp;" --recursive &amp; """&amp;walkandungz&amp;""" "&amp;search_path&amp;"\RTDC"&amp;B49&amp;"\"&amp;TEXT(F49,"YYYY-MM-DD")
&amp;" &amp; "&amp;"aws s3 cp "&amp;s3_bucket&amp;"/RTDC"&amp;B49&amp;"/"&amp;TEXT(F49+1,"YYYY-MM-DD")&amp;"/ "&amp;search_path&amp;"\RTDC"&amp;B49&amp;"\"&amp;TEXT(F49+1,"YYYY-MM-DD")&amp;" --recursive &amp; """&amp;walkandungz&amp;""" "&amp;search_path&amp;"\RTDC"&amp;B49&amp;"\"&amp;TEXT(F49+1,"YYYY-MM-DD")</f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49" s="96" t="str">
        <f>astrogrep_path&amp;" /spath="&amp;search_path&amp;" /stypes=""*"&amp;B49&amp;"*"&amp;TEXT(I49-utc_offset/24,"YYYYMMDD")&amp;"*"" /stext="" "&amp;TEXT(I49-utc_offset/24,"HH")&amp;search_regexp&amp;""" /e /r /s"</f>
        <v>"C:\Program Files (x86)\AstroGrep\AstroGrep.exe" /spath="%USERPROFILE%\AppData\Local\Temp\OnboardLogs" /stypes="*4007*20160901*" /stext=" 14:.+((SYSTEM_STATE.+slice.+state.+changed )|(ment ac)|(system.+state.+changed )|(\|lc)|(penalty)|(\[timeout)|(PRM\|1\|D)|(kpr)|(kdp))" /e /r /s</v>
      </c>
      <c r="AG49" s="1" t="str">
        <f>IFERROR(IF(VALUE(LEFT(AD49,2))&lt;=2,"EC",IF(OR(VALUE(LEFT(AD49,2))=8,VALUE(LEFT(AD49,2))=18),"NW","Other")),"Other")</f>
        <v>EC</v>
      </c>
      <c r="AH49" s="100" t="str">
        <f t="shared" si="2"/>
        <v>"%USERPROFILE%\Documents\GitHub\eaglep3\Utilities\RefineRTDCRunTimes.py" --tripid 137-01 --locoid 4007 --swversion DE.1.0.7.0 --startMP 204:437 --initTime 2016-09-01T08:11:59 --startdatetime 2016-09-01T08:15:49 --delay 1 --endMP 204:233245 --enddatetime 2016-09-01T08:52:06 --enforcementcount 0 &gt;&gt;C:\Users\stu\Documents\GitHub\eaglep3-reporting\EC\2016-09-01-refined-times.txt</v>
      </c>
      <c r="AI49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{"issue":{"subject":"","project_id":79,"tracker_id":40,"status_id":1,"priority_id":2,"assigned_to_id":23,"start_date":"2016-09-01","description":"","custom_fields":[{"id":1,"name":"Subdivision","value":"EC"},{"id":4,"name":"Milepost","value":"23.2808"},{"id":17,"name":"Train ID","value":"137-01"},{"id":16,"name":"Locomotive ID","value":"4007"},{"id":130,"name":"Impact","value":""},{"id":150,"name":"Time of Event (Mountain Time)","value":"08:52:06"},{"id":151,"name":"Denver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427</v>
      </c>
      <c r="B50" s="7">
        <v>4008</v>
      </c>
      <c r="C50" s="24" t="s">
        <v>113</v>
      </c>
      <c r="D50" s="24" t="s">
        <v>428</v>
      </c>
      <c r="E50" s="15">
        <v>42614.380173611113</v>
      </c>
      <c r="F50" s="15">
        <v>42614.382835648146</v>
      </c>
      <c r="G50" s="7">
        <v>3</v>
      </c>
      <c r="H50" s="15" t="s">
        <v>177</v>
      </c>
      <c r="I50" s="15">
        <v>42614.411249999997</v>
      </c>
      <c r="J50" s="7">
        <v>0</v>
      </c>
      <c r="K50" s="132" t="str">
        <f>IF(ISEVEN(B50),(B50-1)&amp;"/"&amp;B50,B50&amp;"/"&amp;(B50+1))</f>
        <v>4007/4008</v>
      </c>
      <c r="L50" s="24" t="str">
        <f>VLOOKUP(A50,'Trips&amp;Operators'!$C$1:$E$10000,3,FALSE)</f>
        <v>ARVIDSON</v>
      </c>
      <c r="M50" s="6">
        <f>I50-F50</f>
        <v>2.8414351851097308E-2</v>
      </c>
      <c r="N50" s="7">
        <f>24*60*SUM($M50:$M50)</f>
        <v>40.916666665580124</v>
      </c>
      <c r="O50" s="7"/>
      <c r="P50" s="7"/>
      <c r="Q50" s="25"/>
      <c r="R50" s="25"/>
      <c r="S50" s="37">
        <f>SUM(U50:U50)/IF(AG50="EC",12,1)</f>
        <v>1</v>
      </c>
      <c r="T50" s="52" t="str">
        <f>IF(ISEVEN(LEFT(AD50,4)),"Southbound","NorthBound")</f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hh:mm:ss")&amp;"-0600',mode:absolute,to:'"&amp;TEXT(I50+1/24,"yyyy-MM-DD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https://search-rtdc-monitor-bjffxe2xuh6vdkpspy63sjmuny.us-east-1.es.amazonaws.com/_plugin/kibana/#/discover/Steve-Slow-Train-Analysis-(2080s-and-2083s)?_g=(refreshInterval:(display:Off,section:0,value:0),time:(from:'2016-09-01 08:07:27-0600',mode:absolute,to:'2016-09-01 10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50" s="54" t="str">
        <f>IF(AA50&lt;IF(AG50="EC",23,5.65),"Y","N")</f>
        <v>N</v>
      </c>
      <c r="X50" s="120">
        <f>VALUE(LEFT(AD50,4))-VALUE(LEFT(AD49,4))</f>
        <v>1</v>
      </c>
      <c r="Y50" s="69">
        <f>RIGHT(D50,LEN(D50)-4)/10000</f>
        <v>23.2944</v>
      </c>
      <c r="Z50" s="69">
        <f>RIGHT(H50,LEN(H50)-4)/10000</f>
        <v>1.6E-2</v>
      </c>
      <c r="AA50" s="69">
        <f>ABS(Z50-Y50)</f>
        <v>23.278400000000001</v>
      </c>
      <c r="AB50" s="66">
        <f>VLOOKUP(A50,Enforcements!$C$7:$J$21,8,0)</f>
        <v>27350</v>
      </c>
      <c r="AC50" s="62" t="str">
        <f>VLOOKUP(A50,Enforcements!$C$7:$E$21,3,0)</f>
        <v>GRADE CROSSING</v>
      </c>
      <c r="AD50" s="63" t="str">
        <f>IF(LEN(A50)=6,"0"&amp;A50,A50)</f>
        <v>0138-01</v>
      </c>
      <c r="AE50" s="99" t="str">
        <f>"aws s3 cp "&amp;s3_bucket&amp;"/RTDC"&amp;B50&amp;"/"&amp;TEXT(F50,"YYYY-MM-DD")&amp;"/ "&amp;search_path&amp;"\RTDC"&amp;B50&amp;"\"&amp;TEXT(F50,"YYYY-MM-DD")&amp;" --recursive &amp; """&amp;walkandungz&amp;""" "&amp;search_path&amp;"\RTDC"&amp;B50&amp;"\"&amp;TEXT(F50,"YYYY-MM-DD")
&amp;" &amp; "&amp;"aws s3 cp "&amp;s3_bucket&amp;"/RTDC"&amp;B50&amp;"/"&amp;TEXT(F50+1,"YYYY-MM-DD")&amp;"/ "&amp;search_path&amp;"\RTDC"&amp;B50&amp;"\"&amp;TEXT(F50+1,"YYYY-MM-DD")&amp;" --recursive &amp; """&amp;walkandungz&amp;""" "&amp;search_path&amp;"\RTDC"&amp;B50&amp;"\"&amp;TEXT(F50+1,"YYYY-MM-DD")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50" s="96" t="str">
        <f>astrogrep_path&amp;" /spath="&amp;search_path&amp;" /stypes=""*"&amp;B50&amp;"*"&amp;TEXT(I50-utc_offset/24,"YYYYMMDD")&amp;"*"" /stext="" "&amp;TEXT(I50-utc_offset/24,"HH")&amp;search_regexp&amp;""" /e /r /s"</f>
        <v>"C:\Program Files (x86)\AstroGrep\AstroGrep.exe" /spath="%USERPROFILE%\AppData\Local\Temp\OnboardLogs" /stypes="*4008*20160901*" /stext=" 15:.+((SYSTEM_STATE.+slice.+state.+changed )|(ment ac)|(system.+state.+changed )|(\|lc)|(penalty)|(\[timeout)|(PRM\|1\|D)|(kpr)|(kdp))" /e /r /s</v>
      </c>
      <c r="AG50" s="1" t="str">
        <f>IFERROR(IF(VALUE(LEFT(AD50,2))&lt;=2,"EC",IF(OR(VALUE(LEFT(AD50,2))=8,VALUE(LEFT(AD50,2))=18),"NW","Other")),"Other")</f>
        <v>EC</v>
      </c>
      <c r="AH50" s="100" t="str">
        <f t="shared" si="2"/>
        <v>"%USERPROFILE%\Documents\GitHub\eaglep3\Utilities\RefineRTDCRunTimes.py" --tripid 138-01 --locoid 4008 --swversion DE.1.0.7.0 --startMP 204:232944 --initTime 2016-09-01T09:07:27 --startdatetime 2016-09-01T09:11:17 --delay 3 --endMP 204:160 --enddatetime 2016-09-01T09:52:12 --enforcementcount 0 &gt;&gt;C:\Users\stu\Documents\GitHub\eaglep3-reporting\EC\2016-09-01-refined-times.txt</v>
      </c>
      <c r="AI50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{"issue":{"subject":"","project_id":79,"tracker_id":40,"status_id":1,"priority_id":2,"assigned_to_id":23,"start_date":"2016-09-01","description":"","custom_fields":[{"id":1,"name":"Subdivision","value":"EC"},{"id":4,"name":"Milepost","value":"23.2784"},{"id":17,"name":"Train ID","value":"138-01"},{"id":16,"name":"Locomotive ID","value":"4008"},{"id":130,"name":"Impact","value":""},{"id":150,"name":"Time of Event (Mountain Time)","value":"09:52:12"},{"id":151,"name":"Denver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429</v>
      </c>
      <c r="B51" s="7">
        <v>4042</v>
      </c>
      <c r="C51" s="24" t="s">
        <v>113</v>
      </c>
      <c r="D51" s="24" t="s">
        <v>430</v>
      </c>
      <c r="E51" s="15">
        <v>42614.351701388892</v>
      </c>
      <c r="F51" s="15">
        <v>42614.354583333334</v>
      </c>
      <c r="G51" s="7">
        <v>1</v>
      </c>
      <c r="H51" s="15" t="s">
        <v>374</v>
      </c>
      <c r="I51" s="15">
        <v>42614.379687499997</v>
      </c>
      <c r="J51" s="7">
        <v>0</v>
      </c>
      <c r="K51" s="132" t="str">
        <f>IF(ISEVEN(B51),(B51-1)&amp;"/"&amp;B51,B51&amp;"/"&amp;(B51+1))</f>
        <v>4041/4042</v>
      </c>
      <c r="L51" s="24" t="str">
        <f>VLOOKUP(A51,'Trips&amp;Operators'!$C$1:$E$10000,3,FALSE)</f>
        <v>STARKS</v>
      </c>
      <c r="M51" s="6">
        <f>I51-F51</f>
        <v>2.5104166663368233E-2</v>
      </c>
      <c r="N51" s="7">
        <f>24*60*SUM($M51:$M51)</f>
        <v>36.149999995250255</v>
      </c>
      <c r="O51" s="7"/>
      <c r="P51" s="7"/>
      <c r="Q51" s="25"/>
      <c r="R51" s="25"/>
      <c r="S51" s="37">
        <f>SUM(U51:U51)/IF(AG51="EC",12,1)</f>
        <v>1</v>
      </c>
      <c r="T51" s="52" t="str">
        <f>IF(ISEVEN(LEFT(AD51,4)),"Southbound","NorthBound")</f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hh:mm:ss")&amp;"-0600',mode:absolute,to:'"&amp;TEXT(I51+1/24,"yyyy-MM-DD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https://search-rtdc-monitor-bjffxe2xuh6vdkpspy63sjmuny.us-east-1.es.amazonaws.com/_plugin/kibana/#/discover/Steve-Slow-Train-Analysis-(2080s-and-2083s)?_g=(refreshInterval:(display:Off,section:0,value:0),time:(from:'2016-09-01 07:26:27-0600',mode:absolute,to:'2016-09-01 10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51" s="54" t="str">
        <f>IF(AA51&lt;IF(AG51="EC",23,5.65),"Y","N")</f>
        <v>N</v>
      </c>
      <c r="X51" s="120">
        <f>VALUE(LEFT(AD51,4))-VALUE(LEFT(AD50,4))</f>
        <v>1</v>
      </c>
      <c r="Y51" s="69">
        <f>RIGHT(D51,LEN(D51)-4)/10000</f>
        <v>5.4600000000000003E-2</v>
      </c>
      <c r="Z51" s="69">
        <f>RIGHT(H51,LEN(H51)-4)/10000</f>
        <v>23.327999999999999</v>
      </c>
      <c r="AA51" s="69">
        <f>ABS(Z51-Y51)</f>
        <v>23.273399999999999</v>
      </c>
      <c r="AB51" s="66" t="e">
        <f>VLOOKUP(A51,Enforcements!$C$7:$J$21,8,0)</f>
        <v>#N/A</v>
      </c>
      <c r="AC51" s="62" t="e">
        <f>VLOOKUP(A51,Enforcements!$C$7:$E$21,3,0)</f>
        <v>#N/A</v>
      </c>
      <c r="AD51" s="63" t="str">
        <f>IF(LEN(A51)=6,"0"&amp;A51,A51)</f>
        <v>0139-01</v>
      </c>
      <c r="AE51" s="99" t="str">
        <f>"aws s3 cp "&amp;s3_bucket&amp;"/RTDC"&amp;B51&amp;"/"&amp;TEXT(F51,"YYYY-MM-DD")&amp;"/ "&amp;search_path&amp;"\RTDC"&amp;B51&amp;"\"&amp;TEXT(F51,"YYYY-MM-DD")&amp;" --recursive &amp; """&amp;walkandungz&amp;""" "&amp;search_path&amp;"\RTDC"&amp;B51&amp;"\"&amp;TEXT(F51,"YYYY-MM-DD")
&amp;" &amp; "&amp;"aws s3 cp "&amp;s3_bucket&amp;"/RTDC"&amp;B51&amp;"/"&amp;TEXT(F51+1,"YYYY-MM-DD")&amp;"/ "&amp;search_path&amp;"\RTDC"&amp;B51&amp;"\"&amp;TEXT(F51+1,"YYYY-MM-DD")&amp;" --recursive &amp; """&amp;walkandungz&amp;""" "&amp;search_path&amp;"\RTDC"&amp;B51&amp;"\"&amp;TEXT(F51+1,"YYYY-MM-DD")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51" s="96" t="str">
        <f>astrogrep_path&amp;" /spath="&amp;search_path&amp;" /stypes=""*"&amp;B51&amp;"*"&amp;TEXT(I51-utc_offset/24,"YYYYMMDD")&amp;"*"" /stext="" "&amp;TEXT(I51-utc_offset/24,"HH")&amp;search_regexp&amp;""" /e /r /s"</f>
        <v>"C:\Program Files (x86)\AstroGrep\AstroGrep.exe" /spath="%USERPROFILE%\AppData\Local\Temp\OnboardLogs" /stypes="*4042*20160901*" /stext=" 15:.+((SYSTEM_STATE.+slice.+state.+changed )|(ment ac)|(system.+state.+changed )|(\|lc)|(penalty)|(\[timeout)|(PRM\|1\|D)|(kpr)|(kdp))" /e /r /s</v>
      </c>
      <c r="AG51" s="1" t="str">
        <f>IFERROR(IF(VALUE(LEFT(AD51,2))&lt;=2,"EC",IF(OR(VALUE(LEFT(AD51,2))=8,VALUE(LEFT(AD51,2))=18),"NW","Other")),"Other")</f>
        <v>EC</v>
      </c>
      <c r="AH51" s="100" t="str">
        <f t="shared" si="2"/>
        <v>"%USERPROFILE%\Documents\GitHub\eaglep3\Utilities\RefineRTDCRunTimes.py" --tripid 139-01 --locoid 4042 --swversion DE.1.0.7.0 --startMP 204:546 --initTime 2016-09-01T08:26:27 --startdatetime 2016-09-01T08:30:36 --delay 1 --endMP 204:233280 --enddatetime 2016-09-01T09:06:45 --enforcementcount 0 &gt;&gt;C:\Users\stu\Documents\GitHub\eaglep3-reporting\EC\2016-09-01-refined-times.txt</v>
      </c>
      <c r="AI51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{"issue":{"subject":"","project_id":79,"tracker_id":40,"status_id":1,"priority_id":2,"assigned_to_id":23,"start_date":"2016-09-01","description":"","custom_fields":[{"id":1,"name":"Subdivision","value":"EC"},{"id":4,"name":"Milepost","value":"23.2734"},{"id":17,"name":"Train ID","value":"139-01"},{"id":16,"name":"Locomotive ID","value":"4042"},{"id":130,"name":"Impact","value":""},{"id":150,"name":"Time of Event (Mountain Time)","value":"09:06:45"},{"id":151,"name":"Denver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431</v>
      </c>
      <c r="B52" s="7">
        <v>4041</v>
      </c>
      <c r="C52" s="24" t="s">
        <v>113</v>
      </c>
      <c r="D52" s="24" t="s">
        <v>317</v>
      </c>
      <c r="E52" s="15">
        <v>42614.388854166667</v>
      </c>
      <c r="F52" s="15">
        <v>42614.39334490741</v>
      </c>
      <c r="G52" s="7">
        <v>1</v>
      </c>
      <c r="H52" s="15" t="s">
        <v>299</v>
      </c>
      <c r="I52" s="15">
        <v>42614.420057870368</v>
      </c>
      <c r="J52" s="7">
        <v>0</v>
      </c>
      <c r="K52" s="132" t="str">
        <f>IF(ISEVEN(B52),(B52-1)&amp;"/"&amp;B52,B52&amp;"/"&amp;(B52+1))</f>
        <v>4041/4042</v>
      </c>
      <c r="L52" s="24" t="str">
        <f>VLOOKUP(A52,'Trips&amp;Operators'!$C$1:$E$10000,3,FALSE)</f>
        <v>STARKS</v>
      </c>
      <c r="M52" s="6">
        <f>I52-F52</f>
        <v>2.6712962957390118E-2</v>
      </c>
      <c r="N52" s="7">
        <f>24*60*SUM($M52:$M52)</f>
        <v>38.46666665864177</v>
      </c>
      <c r="O52" s="7"/>
      <c r="P52" s="7"/>
      <c r="Q52" s="25"/>
      <c r="R52" s="25"/>
      <c r="S52" s="37">
        <f>SUM(U52:U52)/IF(AG52="EC",12,1)</f>
        <v>1</v>
      </c>
      <c r="T52" s="52" t="str">
        <f>IF(ISEVEN(LEFT(AD52,4)),"Southbound","NorthBound")</f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hh:mm:ss")&amp;"-0600',mode:absolute,to:'"&amp;TEXT(I52+1/24,"yyyy-MM-DD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https://search-rtdc-monitor-bjffxe2xuh6vdkpspy63sjmuny.us-east-1.es.amazonaws.com/_plugin/kibana/#/discover/Steve-Slow-Train-Analysis-(2080s-and-2083s)?_g=(refreshInterval:(display:Off,section:0,value:0),time:(from:'2016-09-01 08:19:57-0600',mode:absolute,to:'2016-09-01 11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52" s="54" t="str">
        <f>IF(AA52&lt;IF(AG52="EC",23,5.65),"Y","N")</f>
        <v>N</v>
      </c>
      <c r="X52" s="120">
        <f>VALUE(LEFT(AD52,4))-VALUE(LEFT(AD51,4))</f>
        <v>1</v>
      </c>
      <c r="Y52" s="69">
        <f>RIGHT(D52,LEN(D52)-4)/10000</f>
        <v>23.2972</v>
      </c>
      <c r="Z52" s="69">
        <f>RIGHT(H52,LEN(H52)-4)/10000</f>
        <v>1.38E-2</v>
      </c>
      <c r="AA52" s="69">
        <f>ABS(Z52-Y52)</f>
        <v>23.2834</v>
      </c>
      <c r="AB52" s="66" t="e">
        <f>VLOOKUP(A52,Enforcements!$C$7:$J$21,8,0)</f>
        <v>#N/A</v>
      </c>
      <c r="AC52" s="62" t="e">
        <f>VLOOKUP(A52,Enforcements!$C$7:$E$21,3,0)</f>
        <v>#N/A</v>
      </c>
      <c r="AD52" s="63" t="str">
        <f>IF(LEN(A52)=6,"0"&amp;A52,A52)</f>
        <v>0140-01</v>
      </c>
      <c r="AE52" s="99" t="str">
        <f>"aws s3 cp "&amp;s3_bucket&amp;"/RTDC"&amp;B52&amp;"/"&amp;TEXT(F52,"YYYY-MM-DD")&amp;"/ "&amp;search_path&amp;"\RTDC"&amp;B52&amp;"\"&amp;TEXT(F52,"YYYY-MM-DD")&amp;" --recursive &amp; """&amp;walkandungz&amp;""" "&amp;search_path&amp;"\RTDC"&amp;B52&amp;"\"&amp;TEXT(F52,"YYYY-MM-DD")
&amp;" &amp; "&amp;"aws s3 cp "&amp;s3_bucket&amp;"/RTDC"&amp;B52&amp;"/"&amp;TEXT(F52+1,"YYYY-MM-DD")&amp;"/ "&amp;search_path&amp;"\RTDC"&amp;B52&amp;"\"&amp;TEXT(F52+1,"YYYY-MM-DD")&amp;" --recursive &amp; """&amp;walkandungz&amp;""" "&amp;search_path&amp;"\RTDC"&amp;B52&amp;"\"&amp;TEXT(F52+1,"YYYY-MM-DD")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52" s="96" t="str">
        <f>astrogrep_path&amp;" /spath="&amp;search_path&amp;" /stypes=""*"&amp;B52&amp;"*"&amp;TEXT(I52-utc_offset/24,"YYYYMMDD")&amp;"*"" /stext="" "&amp;TEXT(I52-utc_offset/24,"HH")&amp;search_regexp&amp;""" /e /r /s"</f>
        <v>"C:\Program Files (x86)\AstroGrep\AstroGrep.exe" /spath="%USERPROFILE%\AppData\Local\Temp\OnboardLogs" /stypes="*4041*20160901*" /stext=" 16:.+((SYSTEM_STATE.+slice.+state.+changed )|(ment ac)|(system.+state.+changed )|(\|lc)|(penalty)|(\[timeout)|(PRM\|1\|D)|(kpr)|(kdp))" /e /r /s</v>
      </c>
      <c r="AG52" s="1" t="str">
        <f>IFERROR(IF(VALUE(LEFT(AD52,2))&lt;=2,"EC",IF(OR(VALUE(LEFT(AD52,2))=8,VALUE(LEFT(AD52,2))=18),"NW","Other")),"Other")</f>
        <v>EC</v>
      </c>
      <c r="AH52" s="100" t="str">
        <f t="shared" si="2"/>
        <v>"%USERPROFILE%\Documents\GitHub\eaglep3\Utilities\RefineRTDCRunTimes.py" --tripid 140-01 --locoid 4041 --swversion DE.1.0.7.0 --startMP 204:232972 --initTime 2016-09-01T09:19:57 --startdatetime 2016-09-01T09:26:25 --delay 1 --endMP 204:138 --enddatetime 2016-09-01T10:04:53 --enforcementcount 0 &gt;&gt;C:\Users\stu\Documents\GitHub\eaglep3-reporting\EC\2016-09-01-refined-times.txt</v>
      </c>
      <c r="AI52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{"issue":{"subject":"","project_id":79,"tracker_id":40,"status_id":1,"priority_id":2,"assigned_to_id":23,"start_date":"2016-09-01","description":"","custom_fields":[{"id":1,"name":"Subdivision","value":"EC"},{"id":4,"name":"Milepost","value":"23.2834"},{"id":17,"name":"Train ID","value":"140-01"},{"id":16,"name":"Locomotive ID","value":"4041"},{"id":130,"name":"Impact","value":""},{"id":150,"name":"Time of Event (Mountain Time)","value":"10:04:53"},{"id":151,"name":"Denver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432</v>
      </c>
      <c r="B53" s="7">
        <v>4044</v>
      </c>
      <c r="C53" s="24" t="s">
        <v>113</v>
      </c>
      <c r="D53" s="24" t="s">
        <v>175</v>
      </c>
      <c r="E53" s="15">
        <v>42614.359780092593</v>
      </c>
      <c r="F53" s="15">
        <v>42614.364849537036</v>
      </c>
      <c r="G53" s="7">
        <v>1</v>
      </c>
      <c r="H53" s="15" t="s">
        <v>271</v>
      </c>
      <c r="I53" s="15">
        <v>42614.390034722222</v>
      </c>
      <c r="J53" s="7">
        <v>0</v>
      </c>
      <c r="K53" s="132" t="str">
        <f>IF(ISEVEN(B53),(B53-1)&amp;"/"&amp;B53,B53&amp;"/"&amp;(B53+1))</f>
        <v>4043/4044</v>
      </c>
      <c r="L53" s="24" t="str">
        <f>VLOOKUP(A53,'Trips&amp;Operators'!$C$1:$E$10000,3,FALSE)</f>
        <v>MAELZER</v>
      </c>
      <c r="M53" s="6">
        <f>I53-F53</f>
        <v>2.5185185186273884E-2</v>
      </c>
      <c r="N53" s="7">
        <f>24*60*SUM($M53:$M53)</f>
        <v>36.266666668234393</v>
      </c>
      <c r="O53" s="7"/>
      <c r="P53" s="7"/>
      <c r="Q53" s="25"/>
      <c r="R53" s="25"/>
      <c r="S53" s="37">
        <f>SUM(U53:U53)/IF(AG53="EC",12,1)</f>
        <v>1</v>
      </c>
      <c r="T53" s="52" t="str">
        <f>IF(ISEVEN(LEFT(AD53,4)),"Southbound","NorthBound")</f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hh:mm:ss")&amp;"-0600',mode:absolute,to:'"&amp;TEXT(I53+1/24,"yyyy-MM-DD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https://search-rtdc-monitor-bjffxe2xuh6vdkpspy63sjmuny.us-east-1.es.amazonaws.com/_plugin/kibana/#/discover/Steve-Slow-Train-Analysis-(2080s-and-2083s)?_g=(refreshInterval:(display:Off,section:0,value:0),time:(from:'2016-09-01 07:38:05-0600',mode:absolute,to:'2016-09-01 10:21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53" s="54" t="str">
        <f>IF(AA53&lt;IF(AG53="EC",23,5.65),"Y","N")</f>
        <v>N</v>
      </c>
      <c r="X53" s="120">
        <f>VALUE(LEFT(AD53,4))-VALUE(LEFT(AD52,4))</f>
        <v>1</v>
      </c>
      <c r="Y53" s="69">
        <f>RIGHT(D53,LEN(D53)-4)/10000</f>
        <v>4.4699999999999997E-2</v>
      </c>
      <c r="Z53" s="69">
        <f>RIGHT(H53,LEN(H53)-4)/10000</f>
        <v>23.330300000000001</v>
      </c>
      <c r="AA53" s="69">
        <f>ABS(Z53-Y53)</f>
        <v>23.285600000000002</v>
      </c>
      <c r="AB53" s="66" t="e">
        <f>VLOOKUP(A53,Enforcements!$C$7:$J$21,8,0)</f>
        <v>#N/A</v>
      </c>
      <c r="AC53" s="62" t="e">
        <f>VLOOKUP(A53,Enforcements!$C$7:$E$21,3,0)</f>
        <v>#N/A</v>
      </c>
      <c r="AD53" s="63" t="str">
        <f>IF(LEN(A53)=6,"0"&amp;A53,A53)</f>
        <v>0141-01</v>
      </c>
      <c r="AE53" s="99" t="str">
        <f>"aws s3 cp "&amp;s3_bucket&amp;"/RTDC"&amp;B53&amp;"/"&amp;TEXT(F53,"YYYY-MM-DD")&amp;"/ "&amp;search_path&amp;"\RTDC"&amp;B53&amp;"\"&amp;TEXT(F53,"YYYY-MM-DD")&amp;" --recursive &amp; """&amp;walkandungz&amp;""" "&amp;search_path&amp;"\RTDC"&amp;B53&amp;"\"&amp;TEXT(F53,"YYYY-MM-DD")
&amp;" &amp; "&amp;"aws s3 cp "&amp;s3_bucket&amp;"/RTDC"&amp;B53&amp;"/"&amp;TEXT(F53+1,"YYYY-MM-DD")&amp;"/ "&amp;search_path&amp;"\RTDC"&amp;B53&amp;"\"&amp;TEXT(F53+1,"YYYY-MM-DD")&amp;" --recursive &amp; """&amp;walkandungz&amp;""" "&amp;search_path&amp;"\RTDC"&amp;B53&amp;"\"&amp;TEXT(F53+1,"YYYY-MM-DD")</f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53" s="96" t="str">
        <f>astrogrep_path&amp;" /spath="&amp;search_path&amp;" /stypes=""*"&amp;B53&amp;"*"&amp;TEXT(I53-utc_offset/24,"YYYYMMDD")&amp;"*"" /stext="" "&amp;TEXT(I53-utc_offset/24,"HH")&amp;search_regexp&amp;""" /e /r /s"</f>
        <v>"C:\Program Files (x86)\AstroGrep\AstroGrep.exe" /spath="%USERPROFILE%\AppData\Local\Temp\OnboardLogs" /stypes="*4044*20160901*" /stext=" 15:.+((SYSTEM_STATE.+slice.+state.+changed )|(ment ac)|(system.+state.+changed )|(\|lc)|(penalty)|(\[timeout)|(PRM\|1\|D)|(kpr)|(kdp))" /e /r /s</v>
      </c>
      <c r="AG53" s="1" t="str">
        <f>IFERROR(IF(VALUE(LEFT(AD53,2))&lt;=2,"EC",IF(OR(VALUE(LEFT(AD53,2))=8,VALUE(LEFT(AD53,2))=18),"NW","Other")),"Other")</f>
        <v>EC</v>
      </c>
      <c r="AH53" s="100" t="str">
        <f t="shared" si="2"/>
        <v>"%USERPROFILE%\Documents\GitHub\eaglep3\Utilities\RefineRTDCRunTimes.py" --tripid 141-01 --locoid 4044 --swversion DE.1.0.7.0 --startMP 204:447 --initTime 2016-09-01T08:38:05 --startdatetime 2016-09-01T08:45:23 --delay 1 --endMP 204:233303 --enddatetime 2016-09-01T09:21:39 --enforcementcount 0 &gt;&gt;C:\Users\stu\Documents\GitHub\eaglep3-reporting\EC\2016-09-01-refined-times.txt</v>
      </c>
      <c r="AI53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{"issue":{"subject":"","project_id":79,"tracker_id":40,"status_id":1,"priority_id":2,"assigned_to_id":23,"start_date":"2016-09-01","description":"","custom_fields":[{"id":1,"name":"Subdivision","value":"EC"},{"id":4,"name":"Milepost","value":"23.2856"},{"id":17,"name":"Train ID","value":"141-01"},{"id":16,"name":"Locomotive ID","value":"4044"},{"id":130,"name":"Impact","value":""},{"id":150,"name":"Time of Event (Mountain Time)","value":"09:21:39"},{"id":151,"name":"Denver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433</v>
      </c>
      <c r="B54" s="7">
        <v>4043</v>
      </c>
      <c r="C54" s="24" t="s">
        <v>113</v>
      </c>
      <c r="D54" s="24" t="s">
        <v>248</v>
      </c>
      <c r="E54" s="15">
        <v>42614.395173611112</v>
      </c>
      <c r="F54" s="15">
        <v>42614.403749999998</v>
      </c>
      <c r="G54" s="7">
        <v>1</v>
      </c>
      <c r="H54" s="15" t="s">
        <v>177</v>
      </c>
      <c r="I54" s="15">
        <v>42614.430925925924</v>
      </c>
      <c r="J54" s="7">
        <v>0</v>
      </c>
      <c r="K54" s="132" t="str">
        <f>IF(ISEVEN(B54),(B54-1)&amp;"/"&amp;B54,B54&amp;"/"&amp;(B54+1))</f>
        <v>4043/4044</v>
      </c>
      <c r="L54" s="24" t="str">
        <f>VLOOKUP(A54,'Trips&amp;Operators'!$C$1:$E$10000,3,FALSE)</f>
        <v>MAELZER</v>
      </c>
      <c r="M54" s="6">
        <f>I54-F54</f>
        <v>2.7175925926712807E-2</v>
      </c>
      <c r="N54" s="7">
        <f>24*60*SUM($M54:$M54)</f>
        <v>39.133333334466442</v>
      </c>
      <c r="O54" s="7"/>
      <c r="P54" s="7"/>
      <c r="Q54" s="25"/>
      <c r="R54" s="25"/>
      <c r="S54" s="37">
        <f>SUM(U54:U54)/IF(AG54="EC",12,1)</f>
        <v>1</v>
      </c>
      <c r="T54" s="52" t="str">
        <f>IF(ISEVEN(LEFT(AD54,4)),"Southbound","NorthBound")</f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hh:mm:ss")&amp;"-0600',mode:absolute,to:'"&amp;TEXT(I54+1/24,"yyyy-MM-DD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https://search-rtdc-monitor-bjffxe2xuh6vdkpspy63sjmuny.us-east-1.es.amazonaws.com/_plugin/kibana/#/discover/Steve-Slow-Train-Analysis-(2080s-and-2083s)?_g=(refreshInterval:(display:Off,section:0,value:0),time:(from:'2016-09-01 08:29:03-0600',mode:absolute,to:'2016-09-01 11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54" s="54" t="str">
        <f>IF(AA54&lt;IF(AG54="EC",23,5.65),"Y","N")</f>
        <v>N</v>
      </c>
      <c r="X54" s="120">
        <f>VALUE(LEFT(AD54,4))-VALUE(LEFT(AD53,4))</f>
        <v>1</v>
      </c>
      <c r="Y54" s="69">
        <f>RIGHT(D54,LEN(D54)-4)/10000</f>
        <v>23.298999999999999</v>
      </c>
      <c r="Z54" s="69">
        <f>RIGHT(H54,LEN(H54)-4)/10000</f>
        <v>1.6E-2</v>
      </c>
      <c r="AA54" s="69">
        <f>ABS(Z54-Y54)</f>
        <v>23.283000000000001</v>
      </c>
      <c r="AB54" s="66" t="e">
        <f>VLOOKUP(A54,Enforcements!$C$7:$J$21,8,0)</f>
        <v>#N/A</v>
      </c>
      <c r="AC54" s="62" t="e">
        <f>VLOOKUP(A54,Enforcements!$C$7:$E$21,3,0)</f>
        <v>#N/A</v>
      </c>
      <c r="AD54" s="63" t="str">
        <f>IF(LEN(A54)=6,"0"&amp;A54,A54)</f>
        <v>0142-01</v>
      </c>
      <c r="AE54" s="99" t="str">
        <f>"aws s3 cp "&amp;s3_bucket&amp;"/RTDC"&amp;B54&amp;"/"&amp;TEXT(F54,"YYYY-MM-DD")&amp;"/ "&amp;search_path&amp;"\RTDC"&amp;B54&amp;"\"&amp;TEXT(F54,"YYYY-MM-DD")&amp;" --recursive &amp; """&amp;walkandungz&amp;""" "&amp;search_path&amp;"\RTDC"&amp;B54&amp;"\"&amp;TEXT(F54,"YYYY-MM-DD")
&amp;" &amp; "&amp;"aws s3 cp "&amp;s3_bucket&amp;"/RTDC"&amp;B54&amp;"/"&amp;TEXT(F54+1,"YYYY-MM-DD")&amp;"/ "&amp;search_path&amp;"\RTDC"&amp;B54&amp;"\"&amp;TEXT(F54+1,"YYYY-MM-DD")&amp;" --recursive &amp; """&amp;walkandungz&amp;""" "&amp;search_path&amp;"\RTDC"&amp;B54&amp;"\"&amp;TEXT(F54+1,"YYYY-MM-DD")</f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54" s="96" t="str">
        <f>astrogrep_path&amp;" /spath="&amp;search_path&amp;" /stypes=""*"&amp;B54&amp;"*"&amp;TEXT(I54-utc_offset/24,"YYYYMMDD")&amp;"*"" /stext="" "&amp;TEXT(I54-utc_offset/24,"HH")&amp;search_regexp&amp;""" /e /r /s"</f>
        <v>"C:\Program Files (x86)\AstroGrep\AstroGrep.exe" /spath="%USERPROFILE%\AppData\Local\Temp\OnboardLogs" /stypes="*4043*20160901*" /stext=" 16:.+((SYSTEM_STATE.+slice.+state.+changed )|(ment ac)|(system.+state.+changed )|(\|lc)|(penalty)|(\[timeout)|(PRM\|1\|D)|(kpr)|(kdp))" /e /r /s</v>
      </c>
      <c r="AG54" s="1" t="str">
        <f>IFERROR(IF(VALUE(LEFT(AD54,2))&lt;=2,"EC",IF(OR(VALUE(LEFT(AD54,2))=8,VALUE(LEFT(AD54,2))=18),"NW","Other")),"Other")</f>
        <v>EC</v>
      </c>
      <c r="AH54" s="100" t="str">
        <f t="shared" si="2"/>
        <v>"%USERPROFILE%\Documents\GitHub\eaglep3\Utilities\RefineRTDCRunTimes.py" --tripid 142-01 --locoid 4043 --swversion DE.1.0.7.0 --startMP 204:232990 --initTime 2016-09-01T09:29:03 --startdatetime 2016-09-01T09:41:24 --delay 1 --endMP 204:160 --enddatetime 2016-09-01T10:20:32 --enforcementcount 0 &gt;&gt;C:\Users\stu\Documents\GitHub\eaglep3-reporting\EC\2016-09-01-refined-times.txt</v>
      </c>
      <c r="AI54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{"issue":{"subject":"","project_id":79,"tracker_id":40,"status_id":1,"priority_id":2,"assigned_to_id":23,"start_date":"2016-09-01","description":"","custom_fields":[{"id":1,"name":"Subdivision","value":"EC"},{"id":4,"name":"Milepost","value":"23.283"},{"id":17,"name":"Train ID","value":"142-01"},{"id":16,"name":"Locomotive ID","value":"4043"},{"id":130,"name":"Impact","value":""},{"id":150,"name":"Time of Event (Mountain Time)","value":"10:20:32"},{"id":151,"name":"Denver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434</v>
      </c>
      <c r="B55" s="7">
        <v>4020</v>
      </c>
      <c r="C55" s="24" t="s">
        <v>113</v>
      </c>
      <c r="D55" s="24" t="s">
        <v>135</v>
      </c>
      <c r="E55" s="15">
        <v>42614.371030092596</v>
      </c>
      <c r="F55" s="15">
        <v>42614.375173611108</v>
      </c>
      <c r="G55" s="7">
        <v>5</v>
      </c>
      <c r="H55" s="15" t="s">
        <v>289</v>
      </c>
      <c r="I55" s="15">
        <v>42614.400868055556</v>
      </c>
      <c r="J55" s="7">
        <v>0</v>
      </c>
      <c r="K55" s="132" t="str">
        <f>IF(ISEVEN(B55),(B55-1)&amp;"/"&amp;B55,B55&amp;"/"&amp;(B55+1))</f>
        <v>4019/4020</v>
      </c>
      <c r="L55" s="24" t="str">
        <f>VLOOKUP(A55,'Trips&amp;Operators'!$C$1:$E$10000,3,FALSE)</f>
        <v>SMITH</v>
      </c>
      <c r="M55" s="6">
        <f>I55-F55</f>
        <v>2.5694444448163267E-2</v>
      </c>
      <c r="N55" s="7">
        <f>24*60*SUM($M55:$M55)</f>
        <v>37.000000005355105</v>
      </c>
      <c r="O55" s="7"/>
      <c r="P55" s="7"/>
      <c r="Q55" s="25"/>
      <c r="R55" s="25"/>
      <c r="S55" s="37">
        <f>SUM(U55:U55)/IF(AG55="EC",12,1)</f>
        <v>1</v>
      </c>
      <c r="T55" s="52" t="str">
        <f>IF(ISEVEN(LEFT(AD55,4)),"Southbound","NorthBound")</f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hh:mm:ss")&amp;"-0600',mode:absolute,to:'"&amp;TEXT(I55+1/24,"yyyy-MM-DD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https://search-rtdc-monitor-bjffxe2xuh6vdkpspy63sjmuny.us-east-1.es.amazonaws.com/_plugin/kibana/#/discover/Steve-Slow-Train-Analysis-(2080s-and-2083s)?_g=(refreshInterval:(display:Off,section:0,value:0),time:(from:'2016-09-01 07:54:17-0600',mode:absolute,to:'2016-09-01 10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55" s="54" t="str">
        <f>IF(AA55&lt;IF(AG55="EC",23,5.65),"Y","N")</f>
        <v>N</v>
      </c>
      <c r="X55" s="120">
        <f>VALUE(LEFT(AD55,4))-VALUE(LEFT(AD54,4))</f>
        <v>1</v>
      </c>
      <c r="Y55" s="69">
        <f>RIGHT(D55,LEN(D55)-4)/10000</f>
        <v>4.4900000000000002E-2</v>
      </c>
      <c r="Z55" s="69">
        <f>RIGHT(H55,LEN(H55)-4)/10000</f>
        <v>23.330200000000001</v>
      </c>
      <c r="AA55" s="69">
        <f>ABS(Z55-Y55)</f>
        <v>23.285300000000003</v>
      </c>
      <c r="AB55" s="66" t="e">
        <f>VLOOKUP(A55,Enforcements!$C$7:$J$21,8,0)</f>
        <v>#N/A</v>
      </c>
      <c r="AC55" s="62" t="e">
        <f>VLOOKUP(A55,Enforcements!$C$7:$E$21,3,0)</f>
        <v>#N/A</v>
      </c>
      <c r="AD55" s="63" t="str">
        <f>IF(LEN(A55)=6,"0"&amp;A55,A55)</f>
        <v>0143-01</v>
      </c>
      <c r="AE55" s="99" t="str">
        <f>"aws s3 cp "&amp;s3_bucket&amp;"/RTDC"&amp;B55&amp;"/"&amp;TEXT(F55,"YYYY-MM-DD")&amp;"/ "&amp;search_path&amp;"\RTDC"&amp;B55&amp;"\"&amp;TEXT(F55,"YYYY-MM-DD")&amp;" --recursive &amp; """&amp;walkandungz&amp;""" "&amp;search_path&amp;"\RTDC"&amp;B55&amp;"\"&amp;TEXT(F55,"YYYY-MM-DD")
&amp;" &amp; "&amp;"aws s3 cp "&amp;s3_bucket&amp;"/RTDC"&amp;B55&amp;"/"&amp;TEXT(F55+1,"YYYY-MM-DD")&amp;"/ "&amp;search_path&amp;"\RTDC"&amp;B55&amp;"\"&amp;TEXT(F55+1,"YYYY-MM-DD")&amp;" --recursive &amp; """&amp;walkandungz&amp;""" "&amp;search_path&amp;"\RTDC"&amp;B55&amp;"\"&amp;TEXT(F55+1,"YYYY-MM-DD")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55" s="96" t="str">
        <f>astrogrep_path&amp;" /spath="&amp;search_path&amp;" /stypes=""*"&amp;B55&amp;"*"&amp;TEXT(I55-utc_offset/24,"YYYYMMDD")&amp;"*"" /stext="" "&amp;TEXT(I55-utc_offset/24,"HH")&amp;search_regexp&amp;""" /e /r /s"</f>
        <v>"C:\Program Files (x86)\AstroGrep\AstroGrep.exe" /spath="%USERPROFILE%\AppData\Local\Temp\OnboardLogs" /stypes="*4020*20160901*" /stext=" 15:.+((SYSTEM_STATE.+slice.+state.+changed )|(ment ac)|(system.+state.+changed )|(\|lc)|(penalty)|(\[timeout)|(PRM\|1\|D)|(kpr)|(kdp))" /e /r /s</v>
      </c>
      <c r="AG55" s="1" t="str">
        <f>IFERROR(IF(VALUE(LEFT(AD55,2))&lt;=2,"EC",IF(OR(VALUE(LEFT(AD55,2))=8,VALUE(LEFT(AD55,2))=18),"NW","Other")),"Other")</f>
        <v>EC</v>
      </c>
      <c r="AH55" s="100" t="str">
        <f t="shared" si="2"/>
        <v>"%USERPROFILE%\Documents\GitHub\eaglep3\Utilities\RefineRTDCRunTimes.py" --tripid 143-01 --locoid 4020 --swversion DE.1.0.7.0 --startMP 204:449 --initTime 2016-09-01T08:54:17 --startdatetime 2016-09-01T09:00:15 --delay 5 --endMP 204:233302 --enddatetime 2016-09-01T09:37:15 --enforcementcount 0 &gt;&gt;C:\Users\stu\Documents\GitHub\eaglep3-reporting\EC\2016-09-01-refined-times.txt</v>
      </c>
      <c r="AI55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{"issue":{"subject":"","project_id":79,"tracker_id":40,"status_id":1,"priority_id":2,"assigned_to_id":23,"start_date":"2016-09-01","description":"","custom_fields":[{"id":1,"name":"Subdivision","value":"EC"},{"id":4,"name":"Milepost","value":"23.2853"},{"id":17,"name":"Train ID","value":"143-01"},{"id":16,"name":"Locomotive ID","value":"4020"},{"id":130,"name":"Impact","value":""},{"id":150,"name":"Time of Event (Mountain Time)","value":"09:37:15"},{"id":151,"name":"Denver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435</v>
      </c>
      <c r="B56" s="7">
        <v>4019</v>
      </c>
      <c r="C56" s="24" t="s">
        <v>113</v>
      </c>
      <c r="D56" s="24" t="s">
        <v>436</v>
      </c>
      <c r="E56" s="15">
        <v>42614.408449074072</v>
      </c>
      <c r="F56" s="15">
        <v>42614.414050925923</v>
      </c>
      <c r="G56" s="7">
        <v>2</v>
      </c>
      <c r="H56" s="15" t="s">
        <v>299</v>
      </c>
      <c r="I56" s="15">
        <v>42614.442499999997</v>
      </c>
      <c r="J56" s="7">
        <v>0</v>
      </c>
      <c r="K56" s="132" t="str">
        <f>IF(ISEVEN(B56),(B56-1)&amp;"/"&amp;B56,B56&amp;"/"&amp;(B56+1))</f>
        <v>4019/4020</v>
      </c>
      <c r="L56" s="24" t="str">
        <f>VLOOKUP(A56,'Trips&amp;Operators'!$C$1:$E$10000,3,FALSE)</f>
        <v>SMITH</v>
      </c>
      <c r="M56" s="6">
        <f>I56-F56</f>
        <v>2.8449074074160308E-2</v>
      </c>
      <c r="N56" s="7">
        <f>24*60*SUM($M56:$M56)</f>
        <v>40.966666666790843</v>
      </c>
      <c r="O56" s="7"/>
      <c r="P56" s="7"/>
      <c r="Q56" s="25"/>
      <c r="R56" s="25"/>
      <c r="S56" s="37">
        <f>SUM(U56:U56)/IF(AG56="EC",12,1)</f>
        <v>1</v>
      </c>
      <c r="T56" s="52" t="str">
        <f>IF(ISEVEN(LEFT(AD56,4)),"Southbound","NorthBound")</f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hh:mm:ss")&amp;"-0600',mode:absolute,to:'"&amp;TEXT(I56+1/24,"yyyy-MM-DD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https://search-rtdc-monitor-bjffxe2xuh6vdkpspy63sjmuny.us-east-1.es.amazonaws.com/_plugin/kibana/#/discover/Steve-Slow-Train-Analysis-(2080s-and-2083s)?_g=(refreshInterval:(display:Off,section:0,value:0),time:(from:'2016-09-01 08:48:10-0600',mode:absolute,to:'2016-09-01 11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56" s="54" t="str">
        <f>IF(AA56&lt;IF(AG56="EC",23,5.65),"Y","N")</f>
        <v>N</v>
      </c>
      <c r="X56" s="120">
        <f>VALUE(LEFT(AD56,4))-VALUE(LEFT(AD55,4))</f>
        <v>1</v>
      </c>
      <c r="Y56" s="69">
        <f>RIGHT(D56,LEN(D56)-4)/10000</f>
        <v>23.299099999999999</v>
      </c>
      <c r="Z56" s="69">
        <f>RIGHT(H56,LEN(H56)-4)/10000</f>
        <v>1.38E-2</v>
      </c>
      <c r="AA56" s="69">
        <f>ABS(Z56-Y56)</f>
        <v>23.285299999999999</v>
      </c>
      <c r="AB56" s="66" t="e">
        <f>VLOOKUP(A56,Enforcements!$C$7:$J$21,8,0)</f>
        <v>#N/A</v>
      </c>
      <c r="AC56" s="62" t="e">
        <f>VLOOKUP(A56,Enforcements!$C$7:$E$21,3,0)</f>
        <v>#N/A</v>
      </c>
      <c r="AD56" s="63" t="str">
        <f>IF(LEN(A56)=6,"0"&amp;A56,A56)</f>
        <v>0144-01</v>
      </c>
      <c r="AE56" s="99" t="str">
        <f>"aws s3 cp "&amp;s3_bucket&amp;"/RTDC"&amp;B56&amp;"/"&amp;TEXT(F56,"YYYY-MM-DD")&amp;"/ "&amp;search_path&amp;"\RTDC"&amp;B56&amp;"\"&amp;TEXT(F56,"YYYY-MM-DD")&amp;" --recursive &amp; """&amp;walkandungz&amp;""" "&amp;search_path&amp;"\RTDC"&amp;B56&amp;"\"&amp;TEXT(F56,"YYYY-MM-DD")
&amp;" &amp; "&amp;"aws s3 cp "&amp;s3_bucket&amp;"/RTDC"&amp;B56&amp;"/"&amp;TEXT(F56+1,"YYYY-MM-DD")&amp;"/ "&amp;search_path&amp;"\RTDC"&amp;B56&amp;"\"&amp;TEXT(F56+1,"YYYY-MM-DD")&amp;" --recursive &amp; """&amp;walkandungz&amp;""" "&amp;search_path&amp;"\RTDC"&amp;B56&amp;"\"&amp;TEXT(F56+1,"YYYY-MM-DD")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56" s="96" t="str">
        <f>astrogrep_path&amp;" /spath="&amp;search_path&amp;" /stypes=""*"&amp;B56&amp;"*"&amp;TEXT(I56-utc_offset/24,"YYYYMMDD")&amp;"*"" /stext="" "&amp;TEXT(I56-utc_offset/24,"HH")&amp;search_regexp&amp;""" /e /r /s"</f>
        <v>"C:\Program Files (x86)\AstroGrep\AstroGrep.exe" /spath="%USERPROFILE%\AppData\Local\Temp\OnboardLogs" /stypes="*4019*20160901*" /stext=" 16:.+((SYSTEM_STATE.+slice.+state.+changed )|(ment ac)|(system.+state.+changed )|(\|lc)|(penalty)|(\[timeout)|(PRM\|1\|D)|(kpr)|(kdp))" /e /r /s</v>
      </c>
      <c r="AG56" s="1" t="str">
        <f>IFERROR(IF(VALUE(LEFT(AD56,2))&lt;=2,"EC",IF(OR(VALUE(LEFT(AD56,2))=8,VALUE(LEFT(AD56,2))=18),"NW","Other")),"Other")</f>
        <v>EC</v>
      </c>
      <c r="AH56" s="100" t="str">
        <f t="shared" si="2"/>
        <v>"%USERPROFILE%\Documents\GitHub\eaglep3\Utilities\RefineRTDCRunTimes.py" --tripid 144-01 --locoid 4019 --swversion DE.1.0.7.0 --startMP 204:232991 --initTime 2016-09-01T09:48:10 --startdatetime 2016-09-01T09:56:14 --delay 2 --endMP 204:138 --enddatetime 2016-09-01T10:37:12 --enforcementcount 0 &gt;&gt;C:\Users\stu\Documents\GitHub\eaglep3-reporting\EC\2016-09-01-refined-times.txt</v>
      </c>
      <c r="AI56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{"issue":{"subject":"","project_id":79,"tracker_id":40,"status_id":1,"priority_id":2,"assigned_to_id":23,"start_date":"2016-09-01","description":"","custom_fields":[{"id":1,"name":"Subdivision","value":"EC"},{"id":4,"name":"Milepost","value":"23.2853"},{"id":17,"name":"Train ID","value":"144-01"},{"id":16,"name":"Locomotive ID","value":"4019"},{"id":130,"name":"Impact","value":""},{"id":150,"name":"Time of Event (Mountain Time)","value":"10:37:12"},{"id":151,"name":"Denver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437</v>
      </c>
      <c r="B57" s="7">
        <v>4031</v>
      </c>
      <c r="C57" s="24" t="s">
        <v>113</v>
      </c>
      <c r="D57" s="24" t="s">
        <v>150</v>
      </c>
      <c r="E57" s="15">
        <v>42614.384131944447</v>
      </c>
      <c r="F57" s="15">
        <v>42614.386608796296</v>
      </c>
      <c r="G57" s="7">
        <v>1</v>
      </c>
      <c r="H57" s="15" t="s">
        <v>271</v>
      </c>
      <c r="I57" s="15">
        <v>42614.41138888889</v>
      </c>
      <c r="J57" s="7">
        <v>0</v>
      </c>
      <c r="K57" s="132" t="str">
        <f>IF(ISEVEN(B57),(B57-1)&amp;"/"&amp;B57,B57&amp;"/"&amp;(B57+1))</f>
        <v>4031/4032</v>
      </c>
      <c r="L57" s="24" t="str">
        <f>VLOOKUP(A57,'Trips&amp;Operators'!$C$1:$E$10000,3,FALSE)</f>
        <v>SPECTOR</v>
      </c>
      <c r="M57" s="6">
        <f>I57-F57</f>
        <v>2.4780092593573499E-2</v>
      </c>
      <c r="N57" s="7">
        <f>24*60*SUM($M57:$M57)</f>
        <v>35.683333334745839</v>
      </c>
      <c r="O57" s="7"/>
      <c r="P57" s="7"/>
      <c r="Q57" s="25"/>
      <c r="R57" s="25"/>
      <c r="S57" s="37">
        <f>SUM(U57:U57)/IF(AG57="EC",12,1)</f>
        <v>1</v>
      </c>
      <c r="T57" s="52" t="str">
        <f>IF(ISEVEN(LEFT(AD57,4)),"Southbound","NorthBound")</f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hh:mm:ss")&amp;"-0600',mode:absolute,to:'"&amp;TEXT(I57+1/24,"yyyy-MM-DD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https://search-rtdc-monitor-bjffxe2xuh6vdkpspy63sjmuny.us-east-1.es.amazonaws.com/_plugin/kibana/#/discover/Steve-Slow-Train-Analysis-(2080s-and-2083s)?_g=(refreshInterval:(display:Off,section:0,value:0),time:(from:'2016-09-01 08:13:09-0600',mode:absolute,to:'2016-09-01 10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57" s="54" t="str">
        <f>IF(AA57&lt;IF(AG57="EC",23,5.65),"Y","N")</f>
        <v>N</v>
      </c>
      <c r="X57" s="120">
        <f>VALUE(LEFT(AD57,4))-VALUE(LEFT(AD56,4))</f>
        <v>1</v>
      </c>
      <c r="Y57" s="69">
        <f>RIGHT(D57,LEN(D57)-4)/10000</f>
        <v>4.5100000000000001E-2</v>
      </c>
      <c r="Z57" s="69">
        <f>RIGHT(H57,LEN(H57)-4)/10000</f>
        <v>23.330300000000001</v>
      </c>
      <c r="AA57" s="69">
        <f>ABS(Z57-Y57)</f>
        <v>23.2852</v>
      </c>
      <c r="AB57" s="66" t="e">
        <f>VLOOKUP(A57,Enforcements!$C$7:$J$21,8,0)</f>
        <v>#N/A</v>
      </c>
      <c r="AC57" s="62" t="e">
        <f>VLOOKUP(A57,Enforcements!$C$7:$E$21,3,0)</f>
        <v>#N/A</v>
      </c>
      <c r="AD57" s="63" t="str">
        <f>IF(LEN(A57)=6,"0"&amp;A57,A57)</f>
        <v>0145-01</v>
      </c>
      <c r="AE57" s="99" t="str">
        <f>"aws s3 cp "&amp;s3_bucket&amp;"/RTDC"&amp;B57&amp;"/"&amp;TEXT(F57,"YYYY-MM-DD")&amp;"/ "&amp;search_path&amp;"\RTDC"&amp;B57&amp;"\"&amp;TEXT(F57,"YYYY-MM-DD")&amp;" --recursive &amp; """&amp;walkandungz&amp;""" "&amp;search_path&amp;"\RTDC"&amp;B57&amp;"\"&amp;TEXT(F57,"YYYY-MM-DD")
&amp;" &amp; "&amp;"aws s3 cp "&amp;s3_bucket&amp;"/RTDC"&amp;B57&amp;"/"&amp;TEXT(F57+1,"YYYY-MM-DD")&amp;"/ "&amp;search_path&amp;"\RTDC"&amp;B57&amp;"\"&amp;TEXT(F57+1,"YYYY-MM-DD")&amp;" --recursive &amp; """&amp;walkandungz&amp;""" "&amp;search_path&amp;"\RTDC"&amp;B57&amp;"\"&amp;TEXT(F57+1,"YYYY-MM-DD")</f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57" s="96" t="str">
        <f>astrogrep_path&amp;" /spath="&amp;search_path&amp;" /stypes=""*"&amp;B57&amp;"*"&amp;TEXT(I57-utc_offset/24,"YYYYMMDD")&amp;"*"" /stext="" "&amp;TEXT(I57-utc_offset/24,"HH")&amp;search_regexp&amp;""" /e /r /s"</f>
        <v>"C:\Program Files (x86)\AstroGrep\AstroGrep.exe" /spath="%USERPROFILE%\AppData\Local\Temp\OnboardLogs" /stypes="*4031*20160901*" /stext=" 15:.+((SYSTEM_STATE.+slice.+state.+changed )|(ment ac)|(system.+state.+changed )|(\|lc)|(penalty)|(\[timeout)|(PRM\|1\|D)|(kpr)|(kdp))" /e /r /s</v>
      </c>
      <c r="AG57" s="1" t="str">
        <f>IFERROR(IF(VALUE(LEFT(AD57,2))&lt;=2,"EC",IF(OR(VALUE(LEFT(AD57,2))=8,VALUE(LEFT(AD57,2))=18),"NW","Other")),"Other")</f>
        <v>EC</v>
      </c>
      <c r="AH57" s="100" t="str">
        <f t="shared" si="2"/>
        <v>"%USERPROFILE%\Documents\GitHub\eaglep3\Utilities\RefineRTDCRunTimes.py" --tripid 145-01 --locoid 4031 --swversion DE.1.0.7.0 --startMP 204:451 --initTime 2016-09-01T09:13:09 --startdatetime 2016-09-01T09:16:43 --delay 1 --endMP 204:233303 --enddatetime 2016-09-01T09:52:24 --enforcementcount 0 &gt;&gt;C:\Users\stu\Documents\GitHub\eaglep3-reporting\EC\2016-09-01-refined-times.txt</v>
      </c>
      <c r="AI57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{"issue":{"subject":"","project_id":79,"tracker_id":40,"status_id":1,"priority_id":2,"assigned_to_id":23,"start_date":"2016-09-01","description":"","custom_fields":[{"id":1,"name":"Subdivision","value":"EC"},{"id":4,"name":"Milepost","value":"23.2852"},{"id":17,"name":"Train ID","value":"145-01"},{"id":16,"name":"Locomotive ID","value":"4031"},{"id":130,"name":"Impact","value":""},{"id":150,"name":"Time of Event (Mountain Time)","value":"09:52:24"},{"id":151,"name":"Denver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438</v>
      </c>
      <c r="B58" s="7">
        <v>4032</v>
      </c>
      <c r="C58" s="24" t="s">
        <v>113</v>
      </c>
      <c r="D58" s="24" t="s">
        <v>439</v>
      </c>
      <c r="E58" s="15">
        <v>42614.419224537036</v>
      </c>
      <c r="F58" s="15">
        <v>42614.42459490741</v>
      </c>
      <c r="G58" s="7">
        <v>6</v>
      </c>
      <c r="H58" s="15" t="s">
        <v>301</v>
      </c>
      <c r="I58" s="15">
        <v>42614.451909722222</v>
      </c>
      <c r="J58" s="7">
        <v>0</v>
      </c>
      <c r="K58" s="132" t="str">
        <f>IF(ISEVEN(B58),(B58-1)&amp;"/"&amp;B58,B58&amp;"/"&amp;(B58+1))</f>
        <v>4031/4032</v>
      </c>
      <c r="L58" s="24" t="str">
        <f>VLOOKUP(A58,'Trips&amp;Operators'!$C$1:$E$10000,3,FALSE)</f>
        <v>SPECTOR</v>
      </c>
      <c r="M58" s="6">
        <f>I58-F58</f>
        <v>2.7314814811688848E-2</v>
      </c>
      <c r="N58" s="7">
        <f>24*60*SUM($M58:$M58)</f>
        <v>39.333333328831941</v>
      </c>
      <c r="O58" s="7"/>
      <c r="P58" s="7"/>
      <c r="Q58" s="25"/>
      <c r="R58" s="25"/>
      <c r="S58" s="37">
        <f>SUM(U58:U58)/IF(AG58="EC",12,1)</f>
        <v>1</v>
      </c>
      <c r="T58" s="52" t="str">
        <f>IF(ISEVEN(LEFT(AD58,4)),"Southbound","NorthBound")</f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hh:mm:ss")&amp;"-0600',mode:absolute,to:'"&amp;TEXT(I58+1/24,"yyyy-MM-DD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https://search-rtdc-monitor-bjffxe2xuh6vdkpspy63sjmuny.us-east-1.es.amazonaws.com/_plugin/kibana/#/discover/Steve-Slow-Train-Analysis-(2080s-and-2083s)?_g=(refreshInterval:(display:Off,section:0,value:0),time:(from:'2016-09-01 09:03:41-0600',mode:absolute,to:'2016-09-01 11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58" s="54" t="str">
        <f>IF(AA58&lt;IF(AG58="EC",23,5.65),"Y","N")</f>
        <v>N</v>
      </c>
      <c r="X58" s="120">
        <f>VALUE(LEFT(AD58,4))-VALUE(LEFT(AD57,4))</f>
        <v>1</v>
      </c>
      <c r="Y58" s="69">
        <f>RIGHT(D58,LEN(D58)-4)/10000</f>
        <v>23.300699999999999</v>
      </c>
      <c r="Z58" s="69">
        <f>RIGHT(H58,LEN(H58)-4)/10000</f>
        <v>1.72E-2</v>
      </c>
      <c r="AA58" s="69">
        <f>ABS(Z58-Y58)</f>
        <v>23.2835</v>
      </c>
      <c r="AB58" s="66" t="e">
        <f>VLOOKUP(A58,Enforcements!$C$7:$J$21,8,0)</f>
        <v>#N/A</v>
      </c>
      <c r="AC58" s="62" t="e">
        <f>VLOOKUP(A58,Enforcements!$C$7:$E$21,3,0)</f>
        <v>#N/A</v>
      </c>
      <c r="AD58" s="63" t="str">
        <f>IF(LEN(A58)=6,"0"&amp;A58,A58)</f>
        <v>0146-01</v>
      </c>
      <c r="AE58" s="99" t="str">
        <f>"aws s3 cp "&amp;s3_bucket&amp;"/RTDC"&amp;B58&amp;"/"&amp;TEXT(F58,"YYYY-MM-DD")&amp;"/ "&amp;search_path&amp;"\RTDC"&amp;B58&amp;"\"&amp;TEXT(F58,"YYYY-MM-DD")&amp;" --recursive &amp; """&amp;walkandungz&amp;""" "&amp;search_path&amp;"\RTDC"&amp;B58&amp;"\"&amp;TEXT(F58,"YYYY-MM-DD")
&amp;" &amp; "&amp;"aws s3 cp "&amp;s3_bucket&amp;"/RTDC"&amp;B58&amp;"/"&amp;TEXT(F58+1,"YYYY-MM-DD")&amp;"/ "&amp;search_path&amp;"\RTDC"&amp;B58&amp;"\"&amp;TEXT(F58+1,"YYYY-MM-DD")&amp;" --recursive &amp; """&amp;walkandungz&amp;""" "&amp;search_path&amp;"\RTDC"&amp;B58&amp;"\"&amp;TEXT(F58+1,"YYYY-MM-DD")</f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58" s="96" t="str">
        <f>astrogrep_path&amp;" /spath="&amp;search_path&amp;" /stypes=""*"&amp;B58&amp;"*"&amp;TEXT(I58-utc_offset/24,"YYYYMMDD")&amp;"*"" /stext="" "&amp;TEXT(I58-utc_offset/24,"HH")&amp;search_regexp&amp;""" /e /r /s"</f>
        <v>"C:\Program Files (x86)\AstroGrep\AstroGrep.exe" /spath="%USERPROFILE%\AppData\Local\Temp\OnboardLogs" /stypes="*4032*20160901*" /stext=" 16:.+((SYSTEM_STATE.+slice.+state.+changed )|(ment ac)|(system.+state.+changed )|(\|lc)|(penalty)|(\[timeout)|(PRM\|1\|D)|(kpr)|(kdp))" /e /r /s</v>
      </c>
      <c r="AG58" s="1" t="str">
        <f>IFERROR(IF(VALUE(LEFT(AD58,2))&lt;=2,"EC",IF(OR(VALUE(LEFT(AD58,2))=8,VALUE(LEFT(AD58,2))=18),"NW","Other")),"Other")</f>
        <v>EC</v>
      </c>
      <c r="AH58" s="100" t="str">
        <f t="shared" si="2"/>
        <v>"%USERPROFILE%\Documents\GitHub\eaglep3\Utilities\RefineRTDCRunTimes.py" --tripid 146-01 --locoid 4032 --swversion DE.1.0.7.0 --startMP 204:233007 --initTime 2016-09-01T10:03:41 --startdatetime 2016-09-01T10:11:25 --delay 6 --endMP 204:172 --enddatetime 2016-09-01T10:50:45 --enforcementcount 0 &gt;&gt;C:\Users\stu\Documents\GitHub\eaglep3-reporting\EC\2016-09-01-refined-times.txt</v>
      </c>
      <c r="AI58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{"issue":{"subject":"","project_id":79,"tracker_id":40,"status_id":1,"priority_id":2,"assigned_to_id":23,"start_date":"2016-09-01","description":"","custom_fields":[{"id":1,"name":"Subdivision","value":"EC"},{"id":4,"name":"Milepost","value":"23.2835"},{"id":17,"name":"Train ID","value":"146-01"},{"id":16,"name":"Locomotive ID","value":"4032"},{"id":130,"name":"Impact","value":""},{"id":150,"name":"Time of Event (Mountain Time)","value":"10:50:45"},{"id":151,"name":"Denver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440</v>
      </c>
      <c r="B59" s="7">
        <v>4018</v>
      </c>
      <c r="C59" s="24" t="s">
        <v>113</v>
      </c>
      <c r="D59" s="24" t="s">
        <v>180</v>
      </c>
      <c r="E59" s="15">
        <v>42614.39403935185</v>
      </c>
      <c r="F59" s="15">
        <v>42614.396145833336</v>
      </c>
      <c r="G59" s="7">
        <v>1</v>
      </c>
      <c r="H59" s="15" t="s">
        <v>441</v>
      </c>
      <c r="I59" s="15">
        <v>42614.422210648147</v>
      </c>
      <c r="J59" s="7">
        <v>0</v>
      </c>
      <c r="K59" s="132" t="str">
        <f>IF(ISEVEN(B59),(B59-1)&amp;"/"&amp;B59,B59&amp;"/"&amp;(B59+1))</f>
        <v>4017/4018</v>
      </c>
      <c r="L59" s="24" t="str">
        <f>VLOOKUP(A59,'Trips&amp;Operators'!$C$1:$E$10000,3,FALSE)</f>
        <v>MALAVE</v>
      </c>
      <c r="M59" s="6">
        <f>I59-F59</f>
        <v>2.6064814810524695E-2</v>
      </c>
      <c r="N59" s="7">
        <f>24*60*SUM($M59:$M59)</f>
        <v>37.53333332715556</v>
      </c>
      <c r="O59" s="7"/>
      <c r="P59" s="7"/>
      <c r="Q59" s="25"/>
      <c r="R59" s="25"/>
      <c r="S59" s="37">
        <f>SUM(U59:U59)/IF(AG59="EC",12,1)</f>
        <v>1</v>
      </c>
      <c r="T59" s="52" t="str">
        <f>IF(ISEVEN(LEFT(AD59,4)),"Southbound","NorthBound")</f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hh:mm:ss")&amp;"-0600',mode:absolute,to:'"&amp;TEXT(I59+1/24,"yyyy-MM-DD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https://search-rtdc-monitor-bjffxe2xuh6vdkpspy63sjmuny.us-east-1.es.amazonaws.com/_plugin/kibana/#/discover/Steve-Slow-Train-Analysis-(2080s-and-2083s)?_g=(refreshInterval:(display:Off,section:0,value:0),time:(from:'2016-09-01 08:27:25-0600',mode:absolute,to:'2016-09-01 11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59" s="54" t="str">
        <f>IF(AA59&lt;IF(AG59="EC",23,5.65),"Y","N")</f>
        <v>N</v>
      </c>
      <c r="X59" s="120">
        <f>VALUE(LEFT(AD59,4))-VALUE(LEFT(AD58,4))</f>
        <v>1</v>
      </c>
      <c r="Y59" s="69">
        <f>RIGHT(D59,LEN(D59)-4)/10000</f>
        <v>4.5999999999999999E-2</v>
      </c>
      <c r="Z59" s="69">
        <f>RIGHT(H59,LEN(H59)-4)/10000</f>
        <v>23.331199999999999</v>
      </c>
      <c r="AA59" s="69">
        <f>ABS(Z59-Y59)</f>
        <v>23.2852</v>
      </c>
      <c r="AB59" s="66" t="e">
        <f>VLOOKUP(A59,Enforcements!$C$7:$J$21,8,0)</f>
        <v>#N/A</v>
      </c>
      <c r="AC59" s="62" t="e">
        <f>VLOOKUP(A59,Enforcements!$C$7:$E$21,3,0)</f>
        <v>#N/A</v>
      </c>
      <c r="AD59" s="63" t="str">
        <f>IF(LEN(A59)=6,"0"&amp;A59,A59)</f>
        <v>0147-01</v>
      </c>
      <c r="AE59" s="99" t="str">
        <f>"aws s3 cp "&amp;s3_bucket&amp;"/RTDC"&amp;B59&amp;"/"&amp;TEXT(F59,"YYYY-MM-DD")&amp;"/ "&amp;search_path&amp;"\RTDC"&amp;B59&amp;"\"&amp;TEXT(F59,"YYYY-MM-DD")&amp;" --recursive &amp; """&amp;walkandungz&amp;""" "&amp;search_path&amp;"\RTDC"&amp;B59&amp;"\"&amp;TEXT(F59,"YYYY-MM-DD")
&amp;" &amp; "&amp;"aws s3 cp "&amp;s3_bucket&amp;"/RTDC"&amp;B59&amp;"/"&amp;TEXT(F59+1,"YYYY-MM-DD")&amp;"/ "&amp;search_path&amp;"\RTDC"&amp;B59&amp;"\"&amp;TEXT(F59+1,"YYYY-MM-DD")&amp;" --recursive &amp; """&amp;walkandungz&amp;""" "&amp;search_path&amp;"\RTDC"&amp;B59&amp;"\"&amp;TEXT(F59+1,"YYYY-MM-DD")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59" s="96" t="str">
        <f>astrogrep_path&amp;" /spath="&amp;search_path&amp;" /stypes=""*"&amp;B59&amp;"*"&amp;TEXT(I59-utc_offset/24,"YYYYMMDD")&amp;"*"" /stext="" "&amp;TEXT(I59-utc_offset/24,"HH")&amp;search_regexp&amp;""" /e /r /s"</f>
        <v>"C:\Program Files (x86)\AstroGrep\AstroGrep.exe" /spath="%USERPROFILE%\AppData\Local\Temp\OnboardLogs" /stypes="*4018*20160901*" /stext=" 16:.+((SYSTEM_STATE.+slice.+state.+changed )|(ment ac)|(system.+state.+changed )|(\|lc)|(penalty)|(\[timeout)|(PRM\|1\|D)|(kpr)|(kdp))" /e /r /s</v>
      </c>
      <c r="AG59" s="1" t="str">
        <f>IFERROR(IF(VALUE(LEFT(AD59,2))&lt;=2,"EC",IF(OR(VALUE(LEFT(AD59,2))=8,VALUE(LEFT(AD59,2))=18),"NW","Other")),"Other")</f>
        <v>EC</v>
      </c>
      <c r="AH59" s="100" t="str">
        <f t="shared" si="2"/>
        <v>"%USERPROFILE%\Documents\GitHub\eaglep3\Utilities\RefineRTDCRunTimes.py" --tripid 147-01 --locoid 4018 --swversion DE.1.0.7.0 --startMP 204:460 --initTime 2016-09-01T09:27:25 --startdatetime 2016-09-01T09:30:27 --delay 1 --endMP 204:233312 --enddatetime 2016-09-01T10:07:59 --enforcementcount 0 &gt;&gt;C:\Users\stu\Documents\GitHub\eaglep3-reporting\EC\2016-09-01-refined-times.txt</v>
      </c>
      <c r="AI59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{"issue":{"subject":"","project_id":79,"tracker_id":40,"status_id":1,"priority_id":2,"assigned_to_id":23,"start_date":"2016-09-01","description":"","custom_fields":[{"id":1,"name":"Subdivision","value":"EC"},{"id":4,"name":"Milepost","value":"23.2852"},{"id":17,"name":"Train ID","value":"147-01"},{"id":16,"name":"Locomotive ID","value":"4018"},{"id":130,"name":"Impact","value":""},{"id":150,"name":"Time of Event (Mountain Time)","value":"10:07:59"},{"id":151,"name":"Denver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442</v>
      </c>
      <c r="B60" s="7">
        <v>4017</v>
      </c>
      <c r="C60" s="24" t="s">
        <v>113</v>
      </c>
      <c r="D60" s="24" t="s">
        <v>221</v>
      </c>
      <c r="E60" s="15">
        <v>42614.433148148149</v>
      </c>
      <c r="F60" s="15">
        <v>42614.435034722221</v>
      </c>
      <c r="G60" s="7">
        <v>2</v>
      </c>
      <c r="H60" s="15" t="s">
        <v>132</v>
      </c>
      <c r="I60" s="15">
        <v>42614.463449074072</v>
      </c>
      <c r="J60" s="7">
        <v>0</v>
      </c>
      <c r="K60" s="132" t="str">
        <f>IF(ISEVEN(B60),(B60-1)&amp;"/"&amp;B60,B60&amp;"/"&amp;(B60+1))</f>
        <v>4017/4018</v>
      </c>
      <c r="L60" s="24" t="str">
        <f>VLOOKUP(A60,'Trips&amp;Operators'!$C$1:$E$10000,3,FALSE)</f>
        <v>MALAVE</v>
      </c>
      <c r="M60" s="6">
        <f>I60-F60</f>
        <v>2.8414351851097308E-2</v>
      </c>
      <c r="N60" s="7">
        <f>24*60*SUM($M60:$M60)</f>
        <v>40.916666665580124</v>
      </c>
      <c r="O60" s="7"/>
      <c r="P60" s="7"/>
      <c r="Q60" s="25"/>
      <c r="R60" s="25"/>
      <c r="S60" s="37">
        <f>SUM(U60:U60)/IF(AG60="EC",12,1)</f>
        <v>1</v>
      </c>
      <c r="T60" s="52" t="str">
        <f>IF(ISEVEN(LEFT(AD60,4)),"Southbound","NorthBound")</f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hh:mm:ss")&amp;"-0600',mode:absolute,to:'"&amp;TEXT(I60+1/24,"yyyy-MM-DD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https://search-rtdc-monitor-bjffxe2xuh6vdkpspy63sjmuny.us-east-1.es.amazonaws.com/_plugin/kibana/#/discover/Steve-Slow-Train-Analysis-(2080s-and-2083s)?_g=(refreshInterval:(display:Off,section:0,value:0),time:(from:'2016-09-01 09:23:44-0600',mode:absolute,to:'2016-09-01 12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60" s="54" t="str">
        <f>IF(AA60&lt;IF(AG60="EC",23,5.65),"Y","N")</f>
        <v>N</v>
      </c>
      <c r="X60" s="120">
        <f>VALUE(LEFT(AD60,4))-VALUE(LEFT(AD59,4))</f>
        <v>1</v>
      </c>
      <c r="Y60" s="69">
        <f>RIGHT(D60,LEN(D60)-4)/10000</f>
        <v>23.297699999999999</v>
      </c>
      <c r="Z60" s="69">
        <f>RIGHT(H60,LEN(H60)-4)/10000</f>
        <v>1.47E-2</v>
      </c>
      <c r="AA60" s="69">
        <f>ABS(Z60-Y60)</f>
        <v>23.282999999999998</v>
      </c>
      <c r="AB60" s="66">
        <f>VLOOKUP(A60,Enforcements!$C$7:$J$21,8,0)</f>
        <v>33257</v>
      </c>
      <c r="AC60" s="62" t="str">
        <f>VLOOKUP(A60,Enforcements!$C$7:$E$21,3,0)</f>
        <v>GRADE CROSSING</v>
      </c>
      <c r="AD60" s="63" t="str">
        <f>IF(LEN(A60)=6,"0"&amp;A60,A60)</f>
        <v>0148-01</v>
      </c>
      <c r="AE60" s="99" t="str">
        <f>"aws s3 cp "&amp;s3_bucket&amp;"/RTDC"&amp;B60&amp;"/"&amp;TEXT(F60,"YYYY-MM-DD")&amp;"/ "&amp;search_path&amp;"\RTDC"&amp;B60&amp;"\"&amp;TEXT(F60,"YYYY-MM-DD")&amp;" --recursive &amp; """&amp;walkandungz&amp;""" "&amp;search_path&amp;"\RTDC"&amp;B60&amp;"\"&amp;TEXT(F60,"YYYY-MM-DD")
&amp;" &amp; "&amp;"aws s3 cp "&amp;s3_bucket&amp;"/RTDC"&amp;B60&amp;"/"&amp;TEXT(F60+1,"YYYY-MM-DD")&amp;"/ "&amp;search_path&amp;"\RTDC"&amp;B60&amp;"\"&amp;TEXT(F60+1,"YYYY-MM-DD")&amp;" --recursive &amp; """&amp;walkandungz&amp;""" "&amp;search_path&amp;"\RTDC"&amp;B60&amp;"\"&amp;TEXT(F60+1,"YYYY-MM-DD")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60" s="96" t="str">
        <f>astrogrep_path&amp;" /spath="&amp;search_path&amp;" /stypes=""*"&amp;B60&amp;"*"&amp;TEXT(I60-utc_offset/24,"YYYYMMDD")&amp;"*"" /stext="" "&amp;TEXT(I60-utc_offset/24,"HH")&amp;search_regexp&amp;""" /e /r /s"</f>
        <v>"C:\Program Files (x86)\AstroGrep\AstroGrep.exe" /spath="%USERPROFILE%\AppData\Local\Temp\OnboardLogs" /stypes="*4017*20160901*" /stext=" 17:.+((SYSTEM_STATE.+slice.+state.+changed )|(ment ac)|(system.+state.+changed )|(\|lc)|(penalty)|(\[timeout)|(PRM\|1\|D)|(kpr)|(kdp))" /e /r /s</v>
      </c>
      <c r="AG60" s="1" t="str">
        <f>IFERROR(IF(VALUE(LEFT(AD60,2))&lt;=2,"EC",IF(OR(VALUE(LEFT(AD60,2))=8,VALUE(LEFT(AD60,2))=18),"NW","Other")),"Other")</f>
        <v>EC</v>
      </c>
      <c r="AH60" s="100" t="str">
        <f t="shared" si="2"/>
        <v>"%USERPROFILE%\Documents\GitHub\eaglep3\Utilities\RefineRTDCRunTimes.py" --tripid 148-01 --locoid 4017 --swversion DE.1.0.7.0 --startMP 204:232977 --initTime 2016-09-01T10:23:44 --startdatetime 2016-09-01T10:26:27 --delay 2 --endMP 204:147 --enddatetime 2016-09-01T11:07:22 --enforcementcount 0 &gt;&gt;C:\Users\stu\Documents\GitHub\eaglep3-reporting\EC\2016-09-01-refined-times.txt</v>
      </c>
      <c r="AI60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{"issue":{"subject":"","project_id":79,"tracker_id":40,"status_id":1,"priority_id":2,"assigned_to_id":23,"start_date":"2016-09-01","description":"","custom_fields":[{"id":1,"name":"Subdivision","value":"EC"},{"id":4,"name":"Milepost","value":"23.283"},{"id":17,"name":"Train ID","value":"148-01"},{"id":16,"name":"Locomotive ID","value":"4017"},{"id":130,"name":"Impact","value":""},{"id":150,"name":"Time of Event (Mountain Time)","value":"11:07:22"},{"id":151,"name":"Denver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443</v>
      </c>
      <c r="B61" s="7">
        <v>4038</v>
      </c>
      <c r="C61" s="24" t="s">
        <v>113</v>
      </c>
      <c r="D61" s="24" t="s">
        <v>331</v>
      </c>
      <c r="E61" s="15">
        <v>42614.403611111113</v>
      </c>
      <c r="F61" s="15">
        <v>42614.4065162037</v>
      </c>
      <c r="G61" s="7">
        <v>1</v>
      </c>
      <c r="H61" s="15" t="s">
        <v>275</v>
      </c>
      <c r="I61" s="15">
        <v>42614.432685185187</v>
      </c>
      <c r="J61" s="7">
        <v>0</v>
      </c>
      <c r="K61" s="132" t="str">
        <f>IF(ISEVEN(B61),(B61-1)&amp;"/"&amp;B61,B61&amp;"/"&amp;(B61+1))</f>
        <v>4037/4038</v>
      </c>
      <c r="L61" s="24" t="str">
        <f>VLOOKUP(A61,'Trips&amp;Operators'!$C$1:$E$10000,3,FALSE)</f>
        <v>STRICKLAND</v>
      </c>
      <c r="M61" s="6">
        <f>I61-F61</f>
        <v>2.6168981486989651E-2</v>
      </c>
      <c r="N61" s="7">
        <f>24*60*SUM($M61:$M61)</f>
        <v>37.683333341265097</v>
      </c>
      <c r="O61" s="7"/>
      <c r="P61" s="7"/>
      <c r="Q61" s="25"/>
      <c r="R61" s="25"/>
      <c r="S61" s="37">
        <f>SUM(U61:U61)/IF(AG61="EC",12,1)</f>
        <v>1</v>
      </c>
      <c r="T61" s="52" t="str">
        <f>IF(ISEVEN(LEFT(AD61,4)),"Southbound","NorthBound")</f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hh:mm:ss")&amp;"-0600',mode:absolute,to:'"&amp;TEXT(I61+1/24,"yyyy-MM-DD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https://search-rtdc-monitor-bjffxe2xuh6vdkpspy63sjmuny.us-east-1.es.amazonaws.com/_plugin/kibana/#/discover/Steve-Slow-Train-Analysis-(2080s-and-2083s)?_g=(refreshInterval:(display:Off,section:0,value:0),time:(from:'2016-09-01 08:41:12-0600',mode:absolute,to:'2016-09-01 11:23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61" s="54" t="str">
        <f>IF(AA61&lt;IF(AG61="EC",23,5.65),"Y","N")</f>
        <v>N</v>
      </c>
      <c r="X61" s="120">
        <f>VALUE(LEFT(AD61,4))-VALUE(LEFT(AD60,4))</f>
        <v>1</v>
      </c>
      <c r="Y61" s="69">
        <f>RIGHT(D61,LEN(D61)-4)/10000</f>
        <v>4.2599999999999999E-2</v>
      </c>
      <c r="Z61" s="69">
        <f>RIGHT(H61,LEN(H61)-4)/10000</f>
        <v>23.3307</v>
      </c>
      <c r="AA61" s="69">
        <f>ABS(Z61-Y61)</f>
        <v>23.2881</v>
      </c>
      <c r="AB61" s="66" t="e">
        <f>VLOOKUP(A61,Enforcements!$C$7:$J$21,8,0)</f>
        <v>#N/A</v>
      </c>
      <c r="AC61" s="62" t="e">
        <f>VLOOKUP(A61,Enforcements!$C$7:$E$21,3,0)</f>
        <v>#N/A</v>
      </c>
      <c r="AD61" s="63" t="str">
        <f>IF(LEN(A61)=6,"0"&amp;A61,A61)</f>
        <v>0149-01</v>
      </c>
      <c r="AE61" s="99" t="str">
        <f>"aws s3 cp "&amp;s3_bucket&amp;"/RTDC"&amp;B61&amp;"/"&amp;TEXT(F61,"YYYY-MM-DD")&amp;"/ "&amp;search_path&amp;"\RTDC"&amp;B61&amp;"\"&amp;TEXT(F61,"YYYY-MM-DD")&amp;" --recursive &amp; """&amp;walkandungz&amp;""" "&amp;search_path&amp;"\RTDC"&amp;B61&amp;"\"&amp;TEXT(F61,"YYYY-MM-DD")
&amp;" &amp; "&amp;"aws s3 cp "&amp;s3_bucket&amp;"/RTDC"&amp;B61&amp;"/"&amp;TEXT(F61+1,"YYYY-MM-DD")&amp;"/ "&amp;search_path&amp;"\RTDC"&amp;B61&amp;"\"&amp;TEXT(F61+1,"YYYY-MM-DD")&amp;" --recursive &amp; """&amp;walkandungz&amp;""" "&amp;search_path&amp;"\RTDC"&amp;B61&amp;"\"&amp;TEXT(F61+1,"YYYY-MM-DD")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61" s="96" t="str">
        <f>astrogrep_path&amp;" /spath="&amp;search_path&amp;" /stypes=""*"&amp;B61&amp;"*"&amp;TEXT(I61-utc_offset/24,"YYYYMMDD")&amp;"*"" /stext="" "&amp;TEXT(I61-utc_offset/24,"HH")&amp;search_regexp&amp;""" /e /r /s"</f>
        <v>"C:\Program Files (x86)\AstroGrep\AstroGrep.exe" /spath="%USERPROFILE%\AppData\Local\Temp\OnboardLogs" /stypes="*4038*20160901*" /stext=" 16:.+((SYSTEM_STATE.+slice.+state.+changed )|(ment ac)|(system.+state.+changed )|(\|lc)|(penalty)|(\[timeout)|(PRM\|1\|D)|(kpr)|(kdp))" /e /r /s</v>
      </c>
      <c r="AG61" s="1" t="str">
        <f>IFERROR(IF(VALUE(LEFT(AD61,2))&lt;=2,"EC",IF(OR(VALUE(LEFT(AD61,2))=8,VALUE(LEFT(AD61,2))=18),"NW","Other")),"Other")</f>
        <v>EC</v>
      </c>
      <c r="AH61" s="100" t="str">
        <f t="shared" si="2"/>
        <v>"%USERPROFILE%\Documents\GitHub\eaglep3\Utilities\RefineRTDCRunTimes.py" --tripid 149-01 --locoid 4038 --swversion DE.1.0.7.0 --startMP 204:426 --initTime 2016-09-01T09:41:12 --startdatetime 2016-09-01T09:45:23 --delay 1 --endMP 204:233307 --enddatetime 2016-09-01T10:23:04 --enforcementcount 0 &gt;&gt;C:\Users\stu\Documents\GitHub\eaglep3-reporting\EC\2016-09-01-refined-times.txt</v>
      </c>
      <c r="AI61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{"issue":{"subject":"","project_id":79,"tracker_id":40,"status_id":1,"priority_id":2,"assigned_to_id":23,"start_date":"2016-09-01","description":"","custom_fields":[{"id":1,"name":"Subdivision","value":"EC"},{"id":4,"name":"Milepost","value":"23.2881"},{"id":17,"name":"Train ID","value":"149-01"},{"id":16,"name":"Locomotive ID","value":"4038"},{"id":130,"name":"Impact","value":""},{"id":150,"name":"Time of Event (Mountain Time)","value":"10:23:04"},{"id":151,"name":"Denver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444</v>
      </c>
      <c r="B62" s="7">
        <v>4037</v>
      </c>
      <c r="C62" s="24" t="s">
        <v>113</v>
      </c>
      <c r="D62" s="24" t="s">
        <v>240</v>
      </c>
      <c r="E62" s="15">
        <v>42614.439328703702</v>
      </c>
      <c r="F62" s="15">
        <v>42614.445381944446</v>
      </c>
      <c r="G62" s="7">
        <v>2</v>
      </c>
      <c r="H62" s="15" t="s">
        <v>445</v>
      </c>
      <c r="I62" s="15">
        <v>42614.473275462966</v>
      </c>
      <c r="J62" s="7">
        <v>0</v>
      </c>
      <c r="K62" s="132" t="str">
        <f>IF(ISEVEN(B62),(B62-1)&amp;"/"&amp;B62,B62&amp;"/"&amp;(B62+1))</f>
        <v>4037/4038</v>
      </c>
      <c r="L62" s="24" t="str">
        <f>VLOOKUP(A62,'Trips&amp;Operators'!$C$1:$E$10000,3,FALSE)</f>
        <v>STRICKLAND</v>
      </c>
      <c r="M62" s="6">
        <f>I62-F62</f>
        <v>2.789351851970423E-2</v>
      </c>
      <c r="N62" s="7">
        <f>24*60*SUM($M62:$M62)</f>
        <v>40.166666668374091</v>
      </c>
      <c r="O62" s="7"/>
      <c r="P62" s="7"/>
      <c r="Q62" s="25"/>
      <c r="R62" s="25"/>
      <c r="S62" s="37">
        <f>SUM(U62:U62)/IF(AG62="EC",12,1)</f>
        <v>1</v>
      </c>
      <c r="T62" s="52" t="str">
        <f>IF(ISEVEN(LEFT(AD62,4)),"Southbound","NorthBound")</f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hh:mm:ss")&amp;"-0600',mode:absolute,to:'"&amp;TEXT(I62+1/24,"yyyy-MM-DD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https://search-rtdc-monitor-bjffxe2xuh6vdkpspy63sjmuny.us-east-1.es.amazonaws.com/_plugin/kibana/#/discover/Steve-Slow-Train-Analysis-(2080s-and-2083s)?_g=(refreshInterval:(display:Off,section:0,value:0),time:(from:'2016-09-01 09:32:38-0600',mode:absolute,to:'2016-09-01 12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62" s="54" t="str">
        <f>IF(AA62&lt;IF(AG62="EC",23,5.65),"Y","N")</f>
        <v>N</v>
      </c>
      <c r="X62" s="120">
        <f>VALUE(LEFT(AD62,4))-VALUE(LEFT(AD61,4))</f>
        <v>1</v>
      </c>
      <c r="Y62" s="69">
        <f>RIGHT(D62,LEN(D62)-4)/10000</f>
        <v>23.2971</v>
      </c>
      <c r="Z62" s="69">
        <f>RIGHT(H62,LEN(H62)-4)/10000</f>
        <v>2.0299999999999999E-2</v>
      </c>
      <c r="AA62" s="69">
        <f>ABS(Z62-Y62)</f>
        <v>23.276800000000001</v>
      </c>
      <c r="AB62" s="66" t="e">
        <f>VLOOKUP(A62,Enforcements!$C$7:$J$21,8,0)</f>
        <v>#N/A</v>
      </c>
      <c r="AC62" s="62" t="e">
        <f>VLOOKUP(A62,Enforcements!$C$7:$E$21,3,0)</f>
        <v>#N/A</v>
      </c>
      <c r="AD62" s="63" t="str">
        <f>IF(LEN(A62)=6,"0"&amp;A62,A62)</f>
        <v>0150-01</v>
      </c>
      <c r="AE62" s="99" t="str">
        <f>"aws s3 cp "&amp;s3_bucket&amp;"/RTDC"&amp;B62&amp;"/"&amp;TEXT(F62,"YYYY-MM-DD")&amp;"/ "&amp;search_path&amp;"\RTDC"&amp;B62&amp;"\"&amp;TEXT(F62,"YYYY-MM-DD")&amp;" --recursive &amp; """&amp;walkandungz&amp;""" "&amp;search_path&amp;"\RTDC"&amp;B62&amp;"\"&amp;TEXT(F62,"YYYY-MM-DD")
&amp;" &amp; "&amp;"aws s3 cp "&amp;s3_bucket&amp;"/RTDC"&amp;B62&amp;"/"&amp;TEXT(F62+1,"YYYY-MM-DD")&amp;"/ "&amp;search_path&amp;"\RTDC"&amp;B62&amp;"\"&amp;TEXT(F62+1,"YYYY-MM-DD")&amp;" --recursive &amp; """&amp;walkandungz&amp;""" "&amp;search_path&amp;"\RTDC"&amp;B62&amp;"\"&amp;TEXT(F62+1,"YYYY-MM-DD")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62" s="96" t="str">
        <f>astrogrep_path&amp;" /spath="&amp;search_path&amp;" /stypes=""*"&amp;B62&amp;"*"&amp;TEXT(I62-utc_offset/24,"YYYYMMDD")&amp;"*"" /stext="" "&amp;TEXT(I62-utc_offset/24,"HH")&amp;search_regexp&amp;""" /e /r /s"</f>
        <v>"C:\Program Files (x86)\AstroGrep\AstroGrep.exe" /spath="%USERPROFILE%\AppData\Local\Temp\OnboardLogs" /stypes="*4037*20160901*" /stext=" 17:.+((SYSTEM_STATE.+slice.+state.+changed )|(ment ac)|(system.+state.+changed )|(\|lc)|(penalty)|(\[timeout)|(PRM\|1\|D)|(kpr)|(kdp))" /e /r /s</v>
      </c>
      <c r="AG62" s="1" t="str">
        <f>IFERROR(IF(VALUE(LEFT(AD62,2))&lt;=2,"EC",IF(OR(VALUE(LEFT(AD62,2))=8,VALUE(LEFT(AD62,2))=18),"NW","Other")),"Other")</f>
        <v>EC</v>
      </c>
      <c r="AH62" s="100" t="str">
        <f t="shared" si="2"/>
        <v>"%USERPROFILE%\Documents\GitHub\eaglep3\Utilities\RefineRTDCRunTimes.py" --tripid 150-01 --locoid 4037 --swversion DE.1.0.7.0 --startMP 204:232971 --initTime 2016-09-01T10:32:38 --startdatetime 2016-09-01T10:41:21 --delay 2 --endMP 204:203 --enddatetime 2016-09-01T11:21:31 --enforcementcount 0 &gt;&gt;C:\Users\stu\Documents\GitHub\eaglep3-reporting\EC\2016-09-01-refined-times.txt</v>
      </c>
      <c r="AI62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{"issue":{"subject":"","project_id":79,"tracker_id":40,"status_id":1,"priority_id":2,"assigned_to_id":23,"start_date":"2016-09-01","description":"","custom_fields":[{"id":1,"name":"Subdivision","value":"EC"},{"id":4,"name":"Milepost","value":"23.2768"},{"id":17,"name":"Train ID","value":"150-01"},{"id":16,"name":"Locomotive ID","value":"4037"},{"id":130,"name":"Impact","value":""},{"id":150,"name":"Time of Event (Mountain Time)","value":"11:21:31"},{"id":151,"name":"Denver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446</v>
      </c>
      <c r="B63" s="7">
        <v>4007</v>
      </c>
      <c r="C63" s="24" t="s">
        <v>113</v>
      </c>
      <c r="D63" s="24" t="s">
        <v>256</v>
      </c>
      <c r="E63" s="15">
        <v>42614.415381944447</v>
      </c>
      <c r="F63" s="15">
        <v>42614.417569444442</v>
      </c>
      <c r="G63" s="7">
        <v>1</v>
      </c>
      <c r="H63" s="15" t="s">
        <v>289</v>
      </c>
      <c r="I63" s="15">
        <v>42614.444201388891</v>
      </c>
      <c r="J63" s="7">
        <v>0</v>
      </c>
      <c r="K63" s="132" t="str">
        <f>IF(ISEVEN(B63),(B63-1)&amp;"/"&amp;B63,B63&amp;"/"&amp;(B63+1))</f>
        <v>4007/4008</v>
      </c>
      <c r="L63" s="24" t="str">
        <f>VLOOKUP(A63,'Trips&amp;Operators'!$C$1:$E$10000,3,FALSE)</f>
        <v>ARVIDSON</v>
      </c>
      <c r="M63" s="6">
        <f>I63-F63</f>
        <v>2.6631944449036382E-2</v>
      </c>
      <c r="N63" s="7">
        <f>24*60*SUM($M63:$M63)</f>
        <v>38.35000000661239</v>
      </c>
      <c r="O63" s="7"/>
      <c r="P63" s="7"/>
      <c r="Q63" s="25"/>
      <c r="R63" s="25"/>
      <c r="S63" s="37">
        <f>SUM(U63:U63)/IF(AG63="EC",12,1)</f>
        <v>1</v>
      </c>
      <c r="T63" s="52" t="str">
        <f>IF(ISEVEN(LEFT(AD63,4)),"Southbound","NorthBound")</f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hh:mm:ss")&amp;"-0600',mode:absolute,to:'"&amp;TEXT(I63+1/24,"yyyy-MM-DD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https://search-rtdc-monitor-bjffxe2xuh6vdkpspy63sjmuny.us-east-1.es.amazonaws.com/_plugin/kibana/#/discover/Steve-Slow-Train-Analysis-(2080s-and-2083s)?_g=(refreshInterval:(display:Off,section:0,value:0),time:(from:'2016-09-01 08:58:09-0600',mode:absolute,to:'2016-09-01 11:39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63" s="54" t="str">
        <f>IF(AA63&lt;IF(AG63="EC",23,5.65),"Y","N")</f>
        <v>N</v>
      </c>
      <c r="X63" s="120">
        <f>VALUE(LEFT(AD63,4))-VALUE(LEFT(AD62,4))</f>
        <v>1</v>
      </c>
      <c r="Y63" s="69">
        <f>RIGHT(D63,LEN(D63)-4)/10000</f>
        <v>4.4200000000000003E-2</v>
      </c>
      <c r="Z63" s="69">
        <f>RIGHT(H63,LEN(H63)-4)/10000</f>
        <v>23.330200000000001</v>
      </c>
      <c r="AA63" s="69">
        <f>ABS(Z63-Y63)</f>
        <v>23.286000000000001</v>
      </c>
      <c r="AB63" s="66" t="e">
        <f>VLOOKUP(A63,Enforcements!$C$7:$J$21,8,0)</f>
        <v>#N/A</v>
      </c>
      <c r="AC63" s="62" t="e">
        <f>VLOOKUP(A63,Enforcements!$C$7:$E$21,3,0)</f>
        <v>#N/A</v>
      </c>
      <c r="AD63" s="63" t="str">
        <f>IF(LEN(A63)=6,"0"&amp;A63,A63)</f>
        <v>0151-01</v>
      </c>
      <c r="AE63" s="99" t="str">
        <f>"aws s3 cp "&amp;s3_bucket&amp;"/RTDC"&amp;B63&amp;"/"&amp;TEXT(F63,"YYYY-MM-DD")&amp;"/ "&amp;search_path&amp;"\RTDC"&amp;B63&amp;"\"&amp;TEXT(F63,"YYYY-MM-DD")&amp;" --recursive &amp; """&amp;walkandungz&amp;""" "&amp;search_path&amp;"\RTDC"&amp;B63&amp;"\"&amp;TEXT(F63,"YYYY-MM-DD")
&amp;" &amp; "&amp;"aws s3 cp "&amp;s3_bucket&amp;"/RTDC"&amp;B63&amp;"/"&amp;TEXT(F63+1,"YYYY-MM-DD")&amp;"/ "&amp;search_path&amp;"\RTDC"&amp;B63&amp;"\"&amp;TEXT(F63+1,"YYYY-MM-DD")&amp;" --recursive &amp; """&amp;walkandungz&amp;""" "&amp;search_path&amp;"\RTDC"&amp;B63&amp;"\"&amp;TEXT(F63+1,"YYYY-MM-DD")</f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63" s="96" t="str">
        <f>astrogrep_path&amp;" /spath="&amp;search_path&amp;" /stypes=""*"&amp;B63&amp;"*"&amp;TEXT(I63-utc_offset/24,"YYYYMMDD")&amp;"*"" /stext="" "&amp;TEXT(I63-utc_offset/24,"HH")&amp;search_regexp&amp;""" /e /r /s"</f>
        <v>"C:\Program Files (x86)\AstroGrep\AstroGrep.exe" /spath="%USERPROFILE%\AppData\Local\Temp\OnboardLogs" /stypes="*4007*20160901*" /stext=" 16:.+((SYSTEM_STATE.+slice.+state.+changed )|(ment ac)|(system.+state.+changed )|(\|lc)|(penalty)|(\[timeout)|(PRM\|1\|D)|(kpr)|(kdp))" /e /r /s</v>
      </c>
      <c r="AG63" s="1" t="str">
        <f>IFERROR(IF(VALUE(LEFT(AD63,2))&lt;=2,"EC",IF(OR(VALUE(LEFT(AD63,2))=8,VALUE(LEFT(AD63,2))=18),"NW","Other")),"Other")</f>
        <v>EC</v>
      </c>
      <c r="AH63" s="100" t="str">
        <f t="shared" si="2"/>
        <v>"%USERPROFILE%\Documents\GitHub\eaglep3\Utilities\RefineRTDCRunTimes.py" --tripid 151-01 --locoid 4007 --swversion DE.1.0.7.0 --startMP 204:442 --initTime 2016-09-01T09:58:09 --startdatetime 2016-09-01T10:01:18 --delay 1 --endMP 204:233302 --enddatetime 2016-09-01T10:39:39 --enforcementcount 0 &gt;&gt;C:\Users\stu\Documents\GitHub\eaglep3-reporting\EC\2016-09-01-refined-times.txt</v>
      </c>
      <c r="AI63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{"issue":{"subject":"","project_id":79,"tracker_id":40,"status_id":1,"priority_id":2,"assigned_to_id":23,"start_date":"2016-09-01","description":"","custom_fields":[{"id":1,"name":"Subdivision","value":"EC"},{"id":4,"name":"Milepost","value":"23.286"},{"id":17,"name":"Train ID","value":"151-01"},{"id":16,"name":"Locomotive ID","value":"4007"},{"id":130,"name":"Impact","value":""},{"id":150,"name":"Time of Event (Mountain Time)","value":"10:39:39"},{"id":151,"name":"Denver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447</v>
      </c>
      <c r="B64" s="7">
        <v>4008</v>
      </c>
      <c r="C64" s="24" t="s">
        <v>113</v>
      </c>
      <c r="D64" s="24" t="s">
        <v>257</v>
      </c>
      <c r="E64" s="15">
        <v>42614.453055555554</v>
      </c>
      <c r="F64" s="15">
        <v>42614.45579861111</v>
      </c>
      <c r="G64" s="7">
        <v>1</v>
      </c>
      <c r="H64" s="15" t="s">
        <v>174</v>
      </c>
      <c r="I64" s="15">
        <v>42614.483124999999</v>
      </c>
      <c r="J64" s="7">
        <v>0</v>
      </c>
      <c r="K64" s="132" t="str">
        <f>IF(ISEVEN(B64),(B64-1)&amp;"/"&amp;B64,B64&amp;"/"&amp;(B64+1))</f>
        <v>4007/4008</v>
      </c>
      <c r="L64" s="24" t="str">
        <f>VLOOKUP(A64,'Trips&amp;Operators'!$C$1:$E$10000,3,FALSE)</f>
        <v>ARVIDSON</v>
      </c>
      <c r="M64" s="6">
        <f>I64-F64</f>
        <v>2.73263888884685E-2</v>
      </c>
      <c r="N64" s="7">
        <f>24*60*SUM($M64:$M64)</f>
        <v>39.34999999939464</v>
      </c>
      <c r="O64" s="7"/>
      <c r="P64" s="7"/>
      <c r="Q64" s="25"/>
      <c r="R64" s="25"/>
      <c r="S64" s="37">
        <f>SUM(U64:U64)/IF(AG64="EC",12,1)</f>
        <v>1</v>
      </c>
      <c r="T64" s="52" t="str">
        <f>IF(ISEVEN(LEFT(AD64,4)),"Southbound","NorthBound")</f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hh:mm:ss")&amp;"-0600',mode:absolute,to:'"&amp;TEXT(I64+1/24,"yyyy-MM-DD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https://search-rtdc-monitor-bjffxe2xuh6vdkpspy63sjmuny.us-east-1.es.amazonaws.com/_plugin/kibana/#/discover/Steve-Slow-Train-Analysis-(2080s-and-2083s)?_g=(refreshInterval:(display:Off,section:0,value:0),time:(from:'2016-09-01 09:52:24-0600',mode:absolute,to:'2016-09-01 12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64" s="54" t="str">
        <f>IF(AA64&lt;IF(AG64="EC",23,5.65),"Y","N")</f>
        <v>N</v>
      </c>
      <c r="X64" s="120">
        <f>VALUE(LEFT(AD64,4))-VALUE(LEFT(AD63,4))</f>
        <v>1</v>
      </c>
      <c r="Y64" s="69">
        <f>RIGHT(D64,LEN(D64)-4)/10000</f>
        <v>23.300799999999999</v>
      </c>
      <c r="Z64" s="69">
        <f>RIGHT(H64,LEN(H64)-4)/10000</f>
        <v>1.4500000000000001E-2</v>
      </c>
      <c r="AA64" s="69">
        <f>ABS(Z64-Y64)</f>
        <v>23.286299999999997</v>
      </c>
      <c r="AB64" s="66" t="e">
        <f>VLOOKUP(A64,Enforcements!$C$7:$J$21,8,0)</f>
        <v>#N/A</v>
      </c>
      <c r="AC64" s="62" t="e">
        <f>VLOOKUP(A64,Enforcements!$C$7:$E$21,3,0)</f>
        <v>#N/A</v>
      </c>
      <c r="AD64" s="63" t="str">
        <f>IF(LEN(A64)=6,"0"&amp;A64,A64)</f>
        <v>0152-01</v>
      </c>
      <c r="AE64" s="99" t="str">
        <f>"aws s3 cp "&amp;s3_bucket&amp;"/RTDC"&amp;B64&amp;"/"&amp;TEXT(F64,"YYYY-MM-DD")&amp;"/ "&amp;search_path&amp;"\RTDC"&amp;B64&amp;"\"&amp;TEXT(F64,"YYYY-MM-DD")&amp;" --recursive &amp; """&amp;walkandungz&amp;""" "&amp;search_path&amp;"\RTDC"&amp;B64&amp;"\"&amp;TEXT(F64,"YYYY-MM-DD")
&amp;" &amp; "&amp;"aws s3 cp "&amp;s3_bucket&amp;"/RTDC"&amp;B64&amp;"/"&amp;TEXT(F64+1,"YYYY-MM-DD")&amp;"/ "&amp;search_path&amp;"\RTDC"&amp;B64&amp;"\"&amp;TEXT(F64+1,"YYYY-MM-DD")&amp;" --recursive &amp; """&amp;walkandungz&amp;""" "&amp;search_path&amp;"\RTDC"&amp;B64&amp;"\"&amp;TEXT(F64+1,"YYYY-MM-DD")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64" s="96" t="str">
        <f>astrogrep_path&amp;" /spath="&amp;search_path&amp;" /stypes=""*"&amp;B64&amp;"*"&amp;TEXT(I64-utc_offset/24,"YYYYMMDD")&amp;"*"" /stext="" "&amp;TEXT(I64-utc_offset/24,"HH")&amp;search_regexp&amp;""" /e /r /s"</f>
        <v>"C:\Program Files (x86)\AstroGrep\AstroGrep.exe" /spath="%USERPROFILE%\AppData\Local\Temp\OnboardLogs" /stypes="*4008*20160901*" /stext=" 17:.+((SYSTEM_STATE.+slice.+state.+changed )|(ment ac)|(system.+state.+changed )|(\|lc)|(penalty)|(\[timeout)|(PRM\|1\|D)|(kpr)|(kdp))" /e /r /s</v>
      </c>
      <c r="AG64" s="1" t="str">
        <f>IFERROR(IF(VALUE(LEFT(AD64,2))&lt;=2,"EC",IF(OR(VALUE(LEFT(AD64,2))=8,VALUE(LEFT(AD64,2))=18),"NW","Other")),"Other")</f>
        <v>EC</v>
      </c>
      <c r="AH64" s="100" t="str">
        <f t="shared" si="2"/>
        <v>"%USERPROFILE%\Documents\GitHub\eaglep3\Utilities\RefineRTDCRunTimes.py" --tripid 152-01 --locoid 4008 --swversion DE.1.0.7.0 --startMP 204:233008 --initTime 2016-09-01T10:52:24 --startdatetime 2016-09-01T10:56:21 --delay 1 --endMP 204:145 --enddatetime 2016-09-01T11:35:42 --enforcementcount 0 &gt;&gt;C:\Users\stu\Documents\GitHub\eaglep3-reporting\EC\2016-09-01-refined-times.txt</v>
      </c>
      <c r="AI64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{"issue":{"subject":"","project_id":79,"tracker_id":40,"status_id":1,"priority_id":2,"assigned_to_id":23,"start_date":"2016-09-01","description":"","custom_fields":[{"id":1,"name":"Subdivision","value":"EC"},{"id":4,"name":"Milepost","value":"23.2863"},{"id":17,"name":"Train ID","value":"152-01"},{"id":16,"name":"Locomotive ID","value":"4008"},{"id":130,"name":"Impact","value":""},{"id":150,"name":"Time of Event (Mountain Time)","value":"11:35:42"},{"id":151,"name":"Denver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448</v>
      </c>
      <c r="B65" s="7">
        <v>4042</v>
      </c>
      <c r="C65" s="24" t="s">
        <v>113</v>
      </c>
      <c r="D65" s="24" t="s">
        <v>150</v>
      </c>
      <c r="E65" s="15">
        <v>42614.422881944447</v>
      </c>
      <c r="F65" s="15">
        <v>42614.427256944444</v>
      </c>
      <c r="G65" s="7">
        <v>1</v>
      </c>
      <c r="H65" s="15" t="s">
        <v>271</v>
      </c>
      <c r="I65" s="15">
        <v>42614.452685185184</v>
      </c>
      <c r="J65" s="7">
        <v>0</v>
      </c>
      <c r="K65" s="132" t="str">
        <f>IF(ISEVEN(B65),(B65-1)&amp;"/"&amp;B65,B65&amp;"/"&amp;(B65+1))</f>
        <v>4041/4042</v>
      </c>
      <c r="L65" s="24" t="str">
        <f>VLOOKUP(A65,'Trips&amp;Operators'!$C$1:$E$10000,3,FALSE)</f>
        <v>STARKS</v>
      </c>
      <c r="M65" s="6">
        <f>I65-F65</f>
        <v>2.5428240740438923E-2</v>
      </c>
      <c r="N65" s="7">
        <f>24*60*SUM($M65:$M65)</f>
        <v>36.616666666232049</v>
      </c>
      <c r="O65" s="7"/>
      <c r="P65" s="7"/>
      <c r="Q65" s="25"/>
      <c r="R65" s="25"/>
      <c r="S65" s="37">
        <f>SUM(U65:U65)/IF(AG65="EC",12,1)</f>
        <v>1</v>
      </c>
      <c r="T65" s="52" t="str">
        <f>IF(ISEVEN(LEFT(AD65,4)),"Southbound","NorthBound")</f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hh:mm:ss")&amp;"-0600',mode:absolute,to:'"&amp;TEXT(I65+1/24,"yyyy-MM-DD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https://search-rtdc-monitor-bjffxe2xuh6vdkpspy63sjmuny.us-east-1.es.amazonaws.com/_plugin/kibana/#/discover/Steve-Slow-Train-Analysis-(2080s-and-2083s)?_g=(refreshInterval:(display:Off,section:0,value:0),time:(from:'2016-09-01 09:08:57-0600',mode:absolute,to:'2016-09-01 11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65" s="54" t="str">
        <f>IF(AA65&lt;IF(AG65="EC",23,5.65),"Y","N")</f>
        <v>N</v>
      </c>
      <c r="X65" s="120">
        <f>VALUE(LEFT(AD65,4))-VALUE(LEFT(AD64,4))</f>
        <v>1</v>
      </c>
      <c r="Y65" s="69">
        <f>RIGHT(D65,LEN(D65)-4)/10000</f>
        <v>4.5100000000000001E-2</v>
      </c>
      <c r="Z65" s="69">
        <f>RIGHT(H65,LEN(H65)-4)/10000</f>
        <v>23.330300000000001</v>
      </c>
      <c r="AA65" s="69">
        <f>ABS(Z65-Y65)</f>
        <v>23.2852</v>
      </c>
      <c r="AB65" s="66" t="e">
        <f>VLOOKUP(A65,Enforcements!$C$7:$J$21,8,0)</f>
        <v>#N/A</v>
      </c>
      <c r="AC65" s="62" t="e">
        <f>VLOOKUP(A65,Enforcements!$C$7:$E$21,3,0)</f>
        <v>#N/A</v>
      </c>
      <c r="AD65" s="63" t="str">
        <f>IF(LEN(A65)=6,"0"&amp;A65,A65)</f>
        <v>0153-01</v>
      </c>
      <c r="AE65" s="99" t="str">
        <f>"aws s3 cp "&amp;s3_bucket&amp;"/RTDC"&amp;B65&amp;"/"&amp;TEXT(F65,"YYYY-MM-DD")&amp;"/ "&amp;search_path&amp;"\RTDC"&amp;B65&amp;"\"&amp;TEXT(F65,"YYYY-MM-DD")&amp;" --recursive &amp; """&amp;walkandungz&amp;""" "&amp;search_path&amp;"\RTDC"&amp;B65&amp;"\"&amp;TEXT(F65,"YYYY-MM-DD")
&amp;" &amp; "&amp;"aws s3 cp "&amp;s3_bucket&amp;"/RTDC"&amp;B65&amp;"/"&amp;TEXT(F65+1,"YYYY-MM-DD")&amp;"/ "&amp;search_path&amp;"\RTDC"&amp;B65&amp;"\"&amp;TEXT(F65+1,"YYYY-MM-DD")&amp;" --recursive &amp; """&amp;walkandungz&amp;""" "&amp;search_path&amp;"\RTDC"&amp;B65&amp;"\"&amp;TEXT(F65+1,"YYYY-MM-DD")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65" s="96" t="str">
        <f>astrogrep_path&amp;" /spath="&amp;search_path&amp;" /stypes=""*"&amp;B65&amp;"*"&amp;TEXT(I65-utc_offset/24,"YYYYMMDD")&amp;"*"" /stext="" "&amp;TEXT(I65-utc_offset/24,"HH")&amp;search_regexp&amp;""" /e /r /s"</f>
        <v>"C:\Program Files (x86)\AstroGrep\AstroGrep.exe" /spath="%USERPROFILE%\AppData\Local\Temp\OnboardLogs" /stypes="*4042*20160901*" /stext=" 16:.+((SYSTEM_STATE.+slice.+state.+changed )|(ment ac)|(system.+state.+changed )|(\|lc)|(penalty)|(\[timeout)|(PRM\|1\|D)|(kpr)|(kdp))" /e /r /s</v>
      </c>
      <c r="AG65" s="1" t="str">
        <f>IFERROR(IF(VALUE(LEFT(AD65,2))&lt;=2,"EC",IF(OR(VALUE(LEFT(AD65,2))=8,VALUE(LEFT(AD65,2))=18),"NW","Other")),"Other")</f>
        <v>EC</v>
      </c>
      <c r="AH65" s="100" t="str">
        <f t="shared" si="2"/>
        <v>"%USERPROFILE%\Documents\GitHub\eaglep3\Utilities\RefineRTDCRunTimes.py" --tripid 153-01 --locoid 4042 --swversion DE.1.0.7.0 --startMP 204:451 --initTime 2016-09-01T10:08:57 --startdatetime 2016-09-01T10:15:15 --delay 1 --endMP 204:233303 --enddatetime 2016-09-01T10:51:52 --enforcementcount 0 &gt;&gt;C:\Users\stu\Documents\GitHub\eaglep3-reporting\EC\2016-09-01-refined-times.txt</v>
      </c>
      <c r="AI65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{"issue":{"subject":"","project_id":79,"tracker_id":40,"status_id":1,"priority_id":2,"assigned_to_id":23,"start_date":"2016-09-01","description":"","custom_fields":[{"id":1,"name":"Subdivision","value":"EC"},{"id":4,"name":"Milepost","value":"23.2852"},{"id":17,"name":"Train ID","value":"153-01"},{"id":16,"name":"Locomotive ID","value":"4042"},{"id":130,"name":"Impact","value":""},{"id":150,"name":"Time of Event (Mountain Time)","value":"10:51:52"},{"id":151,"name":"Denver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449</v>
      </c>
      <c r="B66" s="7">
        <v>4041</v>
      </c>
      <c r="C66" s="24" t="s">
        <v>113</v>
      </c>
      <c r="D66" s="24" t="s">
        <v>240</v>
      </c>
      <c r="E66" s="15">
        <v>42614.463078703702</v>
      </c>
      <c r="F66" s="15">
        <v>42614.466249999998</v>
      </c>
      <c r="G66" s="7">
        <v>1</v>
      </c>
      <c r="H66" s="15" t="s">
        <v>149</v>
      </c>
      <c r="I66" s="15">
        <v>42614.493506944447</v>
      </c>
      <c r="J66" s="7">
        <v>0</v>
      </c>
      <c r="K66" s="132" t="str">
        <f>IF(ISEVEN(B66),(B66-1)&amp;"/"&amp;B66,B66&amp;"/"&amp;(B66+1))</f>
        <v>4041/4042</v>
      </c>
      <c r="L66" s="24" t="str">
        <f>VLOOKUP(A66,'Trips&amp;Operators'!$C$1:$E$10000,3,FALSE)</f>
        <v>STARKS</v>
      </c>
      <c r="M66" s="6">
        <f>I66-F66</f>
        <v>2.7256944449618459E-2</v>
      </c>
      <c r="N66" s="7">
        <f>24*60*SUM($M66:$M66)</f>
        <v>39.250000007450581</v>
      </c>
      <c r="O66" s="7"/>
      <c r="P66" s="7"/>
      <c r="Q66" s="25"/>
      <c r="R66" s="25"/>
      <c r="S66" s="37">
        <f>SUM(U66:U66)/IF(AG66="EC",12,1)</f>
        <v>1</v>
      </c>
      <c r="T66" s="52" t="str">
        <f>IF(ISEVEN(LEFT(AD66,4)),"Southbound","NorthBound")</f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hh:mm:ss")&amp;"-0600',mode:absolute,to:'"&amp;TEXT(I66+1/24,"yyyy-MM-DD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https://search-rtdc-monitor-bjffxe2xuh6vdkpspy63sjmuny.us-east-1.es.amazonaws.com/_plugin/kibana/#/discover/Steve-Slow-Train-Analysis-(2080s-and-2083s)?_g=(refreshInterval:(display:Off,section:0,value:0),time:(from:'2016-09-01 10:06:50-0600',mode:absolute,to:'2016-09-01 12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66" s="54" t="str">
        <f>IF(AA66&lt;IF(AG66="EC",23,5.65),"Y","N")</f>
        <v>N</v>
      </c>
      <c r="X66" s="120">
        <f>VALUE(LEFT(AD66,4))-VALUE(LEFT(AD65,4))</f>
        <v>1</v>
      </c>
      <c r="Y66" s="69">
        <f>RIGHT(D66,LEN(D66)-4)/10000</f>
        <v>23.2971</v>
      </c>
      <c r="Z66" s="69">
        <f>RIGHT(H66,LEN(H66)-4)/10000</f>
        <v>1.5599999999999999E-2</v>
      </c>
      <c r="AA66" s="69">
        <f>ABS(Z66-Y66)</f>
        <v>23.281500000000001</v>
      </c>
      <c r="AB66" s="66" t="e">
        <f>VLOOKUP(A66,Enforcements!$C$7:$J$21,8,0)</f>
        <v>#N/A</v>
      </c>
      <c r="AC66" s="62" t="e">
        <f>VLOOKUP(A66,Enforcements!$C$7:$E$21,3,0)</f>
        <v>#N/A</v>
      </c>
      <c r="AD66" s="63" t="str">
        <f>IF(LEN(A66)=6,"0"&amp;A66,A66)</f>
        <v>0154-01</v>
      </c>
      <c r="AE66" s="99" t="str">
        <f>"aws s3 cp "&amp;s3_bucket&amp;"/RTDC"&amp;B66&amp;"/"&amp;TEXT(F66,"YYYY-MM-DD")&amp;"/ "&amp;search_path&amp;"\RTDC"&amp;B66&amp;"\"&amp;TEXT(F66,"YYYY-MM-DD")&amp;" --recursive &amp; """&amp;walkandungz&amp;""" "&amp;search_path&amp;"\RTDC"&amp;B66&amp;"\"&amp;TEXT(F66,"YYYY-MM-DD")
&amp;" &amp; "&amp;"aws s3 cp "&amp;s3_bucket&amp;"/RTDC"&amp;B66&amp;"/"&amp;TEXT(F66+1,"YYYY-MM-DD")&amp;"/ "&amp;search_path&amp;"\RTDC"&amp;B66&amp;"\"&amp;TEXT(F66+1,"YYYY-MM-DD")&amp;" --recursive &amp; """&amp;walkandungz&amp;""" "&amp;search_path&amp;"\RTDC"&amp;B66&amp;"\"&amp;TEXT(F66+1,"YYYY-MM-DD")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66" s="96" t="str">
        <f>astrogrep_path&amp;" /spath="&amp;search_path&amp;" /stypes=""*"&amp;B66&amp;"*"&amp;TEXT(I66-utc_offset/24,"YYYYMMDD")&amp;"*"" /stext="" "&amp;TEXT(I66-utc_offset/24,"HH")&amp;search_regexp&amp;""" /e /r /s"</f>
        <v>"C:\Program Files (x86)\AstroGrep\AstroGrep.exe" /spath="%USERPROFILE%\AppData\Local\Temp\OnboardLogs" /stypes="*4041*20160901*" /stext=" 17:.+((SYSTEM_STATE.+slice.+state.+changed )|(ment ac)|(system.+state.+changed )|(\|lc)|(penalty)|(\[timeout)|(PRM\|1\|D)|(kpr)|(kdp))" /e /r /s</v>
      </c>
      <c r="AG66" s="1" t="str">
        <f>IFERROR(IF(VALUE(LEFT(AD66,2))&lt;=2,"EC",IF(OR(VALUE(LEFT(AD66,2))=8,VALUE(LEFT(AD66,2))=18),"NW","Other")),"Other")</f>
        <v>EC</v>
      </c>
      <c r="AH66" s="100" t="str">
        <f t="shared" si="2"/>
        <v>"%USERPROFILE%\Documents\GitHub\eaglep3\Utilities\RefineRTDCRunTimes.py" --tripid 154-01 --locoid 4041 --swversion DE.1.0.7.0 --startMP 204:232971 --initTime 2016-09-01T11:06:50 --startdatetime 2016-09-01T11:11:24 --delay 1 --endMP 204:156 --enddatetime 2016-09-01T11:50:39 --enforcementcount 0 &gt;&gt;C:\Users\stu\Documents\GitHub\eaglep3-reporting\EC\2016-09-01-refined-times.txt</v>
      </c>
      <c r="AI66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{"issue":{"subject":"","project_id":79,"tracker_id":40,"status_id":1,"priority_id":2,"assigned_to_id":23,"start_date":"2016-09-01","description":"","custom_fields":[{"id":1,"name":"Subdivision","value":"EC"},{"id":4,"name":"Milepost","value":"23.2815"},{"id":17,"name":"Train ID","value":"154-01"},{"id":16,"name":"Locomotive ID","value":"4041"},{"id":130,"name":"Impact","value":""},{"id":150,"name":"Time of Event (Mountain Time)","value":"11:50:39"},{"id":151,"name":"Denver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450</v>
      </c>
      <c r="B67" s="7">
        <v>4044</v>
      </c>
      <c r="C67" s="24" t="s">
        <v>113</v>
      </c>
      <c r="D67" s="24" t="s">
        <v>138</v>
      </c>
      <c r="E67" s="15">
        <v>42614.43408564815</v>
      </c>
      <c r="F67" s="15">
        <v>42614.438125000001</v>
      </c>
      <c r="G67" s="7">
        <v>1</v>
      </c>
      <c r="H67" s="15" t="s">
        <v>451</v>
      </c>
      <c r="I67" s="15">
        <v>42614.462835648148</v>
      </c>
      <c r="J67" s="7">
        <v>0</v>
      </c>
      <c r="K67" s="132" t="str">
        <f>IF(ISEVEN(B67),(B67-1)&amp;"/"&amp;B67,B67&amp;"/"&amp;(B67+1))</f>
        <v>4043/4044</v>
      </c>
      <c r="L67" s="24" t="str">
        <f>VLOOKUP(A67,'Trips&amp;Operators'!$C$1:$E$10000,3,FALSE)</f>
        <v>YORK</v>
      </c>
      <c r="M67" s="6">
        <f>I67-F67</f>
        <v>2.47106481474475E-2</v>
      </c>
      <c r="N67" s="7">
        <f>24*60*SUM($M67:$M67)</f>
        <v>35.583333332324401</v>
      </c>
      <c r="O67" s="7"/>
      <c r="P67" s="7"/>
      <c r="Q67" s="25"/>
      <c r="R67" s="25"/>
      <c r="S67" s="37">
        <f>SUM(U67:U67)/IF(AG67="EC",12,1)</f>
        <v>1</v>
      </c>
      <c r="T67" s="52" t="str">
        <f>IF(ISEVEN(LEFT(AD67,4)),"Southbound","NorthBound")</f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hh:mm:ss")&amp;"-0600',mode:absolute,to:'"&amp;TEXT(I67+1/24,"yyyy-MM-DD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https://search-rtdc-monitor-bjffxe2xuh6vdkpspy63sjmuny.us-east-1.es.amazonaws.com/_plugin/kibana/#/discover/Steve-Slow-Train-Analysis-(2080s-and-2083s)?_g=(refreshInterval:(display:Off,section:0,value:0),time:(from:'2016-09-01 09:25:05-0600',mode:absolute,to:'2016-09-01 12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67" s="54" t="str">
        <f>IF(AA67&lt;IF(AG67="EC",23,5.65),"Y","N")</f>
        <v>N</v>
      </c>
      <c r="X67" s="120">
        <f>VALUE(LEFT(AD67,4))-VALUE(LEFT(AD66,4))</f>
        <v>1</v>
      </c>
      <c r="Y67" s="69">
        <f>RIGHT(D67,LEN(D67)-4)/10000</f>
        <v>4.6699999999999998E-2</v>
      </c>
      <c r="Z67" s="69">
        <f>RIGHT(H67,LEN(H67)-4)/10000</f>
        <v>23.329499999999999</v>
      </c>
      <c r="AA67" s="69">
        <f>ABS(Z67-Y67)</f>
        <v>23.282799999999998</v>
      </c>
      <c r="AB67" s="66" t="e">
        <f>VLOOKUP(A67,Enforcements!$C$7:$J$21,8,0)</f>
        <v>#N/A</v>
      </c>
      <c r="AC67" s="62" t="e">
        <f>VLOOKUP(A67,Enforcements!$C$7:$E$21,3,0)</f>
        <v>#N/A</v>
      </c>
      <c r="AD67" s="63" t="str">
        <f>IF(LEN(A67)=6,"0"&amp;A67,A67)</f>
        <v>0155-01</v>
      </c>
      <c r="AE67" s="99" t="str">
        <f>"aws s3 cp "&amp;s3_bucket&amp;"/RTDC"&amp;B67&amp;"/"&amp;TEXT(F67,"YYYY-MM-DD")&amp;"/ "&amp;search_path&amp;"\RTDC"&amp;B67&amp;"\"&amp;TEXT(F67,"YYYY-MM-DD")&amp;" --recursive &amp; """&amp;walkandungz&amp;""" "&amp;search_path&amp;"\RTDC"&amp;B67&amp;"\"&amp;TEXT(F67,"YYYY-MM-DD")
&amp;" &amp; "&amp;"aws s3 cp "&amp;s3_bucket&amp;"/RTDC"&amp;B67&amp;"/"&amp;TEXT(F67+1,"YYYY-MM-DD")&amp;"/ "&amp;search_path&amp;"\RTDC"&amp;B67&amp;"\"&amp;TEXT(F67+1,"YYYY-MM-DD")&amp;" --recursive &amp; """&amp;walkandungz&amp;""" "&amp;search_path&amp;"\RTDC"&amp;B67&amp;"\"&amp;TEXT(F67+1,"YYYY-MM-DD")</f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67" s="96" t="str">
        <f>astrogrep_path&amp;" /spath="&amp;search_path&amp;" /stypes=""*"&amp;B67&amp;"*"&amp;TEXT(I67-utc_offset/24,"YYYYMMDD")&amp;"*"" /stext="" "&amp;TEXT(I67-utc_offset/24,"HH")&amp;search_regexp&amp;""" /e /r /s"</f>
        <v>"C:\Program Files (x86)\AstroGrep\AstroGrep.exe" /spath="%USERPROFILE%\AppData\Local\Temp\OnboardLogs" /stypes="*4044*20160901*" /stext=" 17:.+((SYSTEM_STATE.+slice.+state.+changed )|(ment ac)|(system.+state.+changed )|(\|lc)|(penalty)|(\[timeout)|(PRM\|1\|D)|(kpr)|(kdp))" /e /r /s</v>
      </c>
      <c r="AG67" s="1" t="str">
        <f>IFERROR(IF(VALUE(LEFT(AD67,2))&lt;=2,"EC",IF(OR(VALUE(LEFT(AD67,2))=8,VALUE(LEFT(AD67,2))=18),"NW","Other")),"Other")</f>
        <v>EC</v>
      </c>
      <c r="AH67" s="100" t="str">
        <f t="shared" si="2"/>
        <v>"%USERPROFILE%\Documents\GitHub\eaglep3\Utilities\RefineRTDCRunTimes.py" --tripid 155-01 --locoid 4044 --swversion DE.1.0.7.0 --startMP 204:467 --initTime 2016-09-01T10:25:05 --startdatetime 2016-09-01T10:30:54 --delay 1 --endMP 204:233295 --enddatetime 2016-09-01T11:06:29 --enforcementcount 0 &gt;&gt;C:\Users\stu\Documents\GitHub\eaglep3-reporting\EC\2016-09-01-refined-times.txt</v>
      </c>
      <c r="AI67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{"issue":{"subject":"","project_id":79,"tracker_id":40,"status_id":1,"priority_id":2,"assigned_to_id":23,"start_date":"2016-09-01","description":"","custom_fields":[{"id":1,"name":"Subdivision","value":"EC"},{"id":4,"name":"Milepost","value":"23.2828"},{"id":17,"name":"Train ID","value":"155-01"},{"id":16,"name":"Locomotive ID","value":"4044"},{"id":130,"name":"Impact","value":""},{"id":150,"name":"Time of Event (Mountain Time)","value":"11:06:29"},{"id":151,"name":"Denver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452</v>
      </c>
      <c r="B68" s="7">
        <v>4043</v>
      </c>
      <c r="C68" s="24" t="s">
        <v>113</v>
      </c>
      <c r="D68" s="24" t="s">
        <v>246</v>
      </c>
      <c r="E68" s="15">
        <v>42614.464131944442</v>
      </c>
      <c r="F68" s="15">
        <v>42614.476782407408</v>
      </c>
      <c r="G68" s="7">
        <v>0</v>
      </c>
      <c r="H68" s="15" t="s">
        <v>132</v>
      </c>
      <c r="I68" s="15">
        <v>42614.502384259256</v>
      </c>
      <c r="J68" s="7">
        <v>0</v>
      </c>
      <c r="K68" s="132" t="str">
        <f>IF(ISEVEN(B68),(B68-1)&amp;"/"&amp;B68,B68&amp;"/"&amp;(B68+1))</f>
        <v>4043/4044</v>
      </c>
      <c r="L68" s="24" t="str">
        <f>VLOOKUP(A68,'Trips&amp;Operators'!$C$1:$E$10000,3,FALSE)</f>
        <v>YORK</v>
      </c>
      <c r="M68" s="6">
        <f>I68-F68</f>
        <v>2.5601851848477963E-2</v>
      </c>
      <c r="N68" s="7">
        <f>24*60*SUM($M68:$M68)</f>
        <v>36.866666661808267</v>
      </c>
      <c r="O68" s="7"/>
      <c r="P68" s="7"/>
      <c r="Q68" s="25"/>
      <c r="R68" s="25"/>
      <c r="S68" s="37">
        <f>SUM(U68:U68)/IF(AG68="EC",12,1)</f>
        <v>1</v>
      </c>
      <c r="T68" s="52" t="str">
        <f>IF(ISEVEN(LEFT(AD68,4)),"Southbound","NorthBound")</f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hh:mm:ss")&amp;"-0600',mode:absolute,to:'"&amp;TEXT(I68+1/24,"yyyy-MM-DD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https://search-rtdc-monitor-bjffxe2xuh6vdkpspy63sjmuny.us-east-1.es.amazonaws.com/_plugin/kibana/#/discover/Steve-Slow-Train-Analysis-(2080s-and-2083s)?_g=(refreshInterval:(display:Off,section:0,value:0),time:(from:'2016-09-01 10:08:21-0600',mode:absolute,to:'2016-09-01 13:03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68" s="54" t="str">
        <f>IF(AA68&lt;IF(AG68="EC",23,5.65),"Y","N")</f>
        <v>N</v>
      </c>
      <c r="X68" s="120">
        <f>VALUE(LEFT(AD68,4))-VALUE(LEFT(AD67,4))</f>
        <v>1</v>
      </c>
      <c r="Y68" s="69">
        <f>RIGHT(D68,LEN(D68)-4)/10000</f>
        <v>23.298100000000002</v>
      </c>
      <c r="Z68" s="69">
        <f>RIGHT(H68,LEN(H68)-4)/10000</f>
        <v>1.47E-2</v>
      </c>
      <c r="AA68" s="69">
        <f>ABS(Z68-Y68)</f>
        <v>23.2834</v>
      </c>
      <c r="AB68" s="66" t="e">
        <f>VLOOKUP(A68,Enforcements!$C$7:$J$21,8,0)</f>
        <v>#N/A</v>
      </c>
      <c r="AC68" s="62" t="e">
        <f>VLOOKUP(A68,Enforcements!$C$7:$E$21,3,0)</f>
        <v>#N/A</v>
      </c>
      <c r="AD68" s="63" t="str">
        <f>IF(LEN(A68)=6,"0"&amp;A68,A68)</f>
        <v>0156-01</v>
      </c>
      <c r="AE68" s="99" t="str">
        <f>"aws s3 cp "&amp;s3_bucket&amp;"/RTDC"&amp;B68&amp;"/"&amp;TEXT(F68,"YYYY-MM-DD")&amp;"/ "&amp;search_path&amp;"\RTDC"&amp;B68&amp;"\"&amp;TEXT(F68,"YYYY-MM-DD")&amp;" --recursive &amp; """&amp;walkandungz&amp;""" "&amp;search_path&amp;"\RTDC"&amp;B68&amp;"\"&amp;TEXT(F68,"YYYY-MM-DD")
&amp;" &amp; "&amp;"aws s3 cp "&amp;s3_bucket&amp;"/RTDC"&amp;B68&amp;"/"&amp;TEXT(F68+1,"YYYY-MM-DD")&amp;"/ "&amp;search_path&amp;"\RTDC"&amp;B68&amp;"\"&amp;TEXT(F68+1,"YYYY-MM-DD")&amp;" --recursive &amp; """&amp;walkandungz&amp;""" "&amp;search_path&amp;"\RTDC"&amp;B68&amp;"\"&amp;TEXT(F68+1,"YYYY-MM-DD")</f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68" s="96" t="str">
        <f>astrogrep_path&amp;" /spath="&amp;search_path&amp;" /stypes=""*"&amp;B68&amp;"*"&amp;TEXT(I68-utc_offset/24,"YYYYMMDD")&amp;"*"" /stext="" "&amp;TEXT(I68-utc_offset/24,"HH")&amp;search_regexp&amp;""" /e /r /s"</f>
        <v>"C:\Program Files (x86)\AstroGrep\AstroGrep.exe" /spath="%USERPROFILE%\AppData\Local\Temp\OnboardLogs" /stypes="*4043*20160901*" /stext=" 18:.+((SYSTEM_STATE.+slice.+state.+changed )|(ment ac)|(system.+state.+changed )|(\|lc)|(penalty)|(\[timeout)|(PRM\|1\|D)|(kpr)|(kdp))" /e /r /s</v>
      </c>
      <c r="AG68" s="1" t="str">
        <f>IFERROR(IF(VALUE(LEFT(AD68,2))&lt;=2,"EC",IF(OR(VALUE(LEFT(AD68,2))=8,VALUE(LEFT(AD68,2))=18),"NW","Other")),"Other")</f>
        <v>EC</v>
      </c>
      <c r="AH68" s="100" t="str">
        <f t="shared" si="2"/>
        <v>"%USERPROFILE%\Documents\GitHub\eaglep3\Utilities\RefineRTDCRunTimes.py" --tripid 156-01 --locoid 4043 --swversion DE.1.0.7.0 --startMP 204:232981 --initTime 2016-09-01T11:08:21 --startdatetime 2016-09-01T11:26:34 --delay 0 --endMP 204:147 --enddatetime 2016-09-01T12:03:26 --enforcementcount 0 &gt;&gt;C:\Users\stu\Documents\GitHub\eaglep3-reporting\EC\2016-09-01-refined-times.txt</v>
      </c>
      <c r="AI68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{"issue":{"subject":"","project_id":79,"tracker_id":40,"status_id":1,"priority_id":2,"assigned_to_id":23,"start_date":"2016-09-01","description":"","custom_fields":[{"id":1,"name":"Subdivision","value":"EC"},{"id":4,"name":"Milepost","value":"23.2834"},{"id":17,"name":"Train ID","value":"156-01"},{"id":16,"name":"Locomotive ID","value":"4043"},{"id":130,"name":"Impact","value":""},{"id":150,"name":"Time of Event (Mountain Time)","value":"12:03:26"},{"id":151,"name":"Denver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453</v>
      </c>
      <c r="B69" s="7">
        <v>4020</v>
      </c>
      <c r="C69" s="24" t="s">
        <v>113</v>
      </c>
      <c r="D69" s="24" t="s">
        <v>125</v>
      </c>
      <c r="E69" s="15">
        <v>42614.443993055553</v>
      </c>
      <c r="F69" s="15">
        <v>42614.448449074072</v>
      </c>
      <c r="G69" s="7">
        <v>1</v>
      </c>
      <c r="H69" s="15" t="s">
        <v>254</v>
      </c>
      <c r="I69" s="15">
        <v>42614.47315972222</v>
      </c>
      <c r="J69" s="7">
        <v>0</v>
      </c>
      <c r="K69" s="132" t="str">
        <f>IF(ISEVEN(B69),(B69-1)&amp;"/"&amp;B69,B69&amp;"/"&amp;(B69+1))</f>
        <v>4019/4020</v>
      </c>
      <c r="L69" s="24" t="str">
        <f>VLOOKUP(A69,'Trips&amp;Operators'!$C$1:$E$10000,3,FALSE)</f>
        <v>SMITH</v>
      </c>
      <c r="M69" s="6">
        <f>I69-F69</f>
        <v>2.47106481474475E-2</v>
      </c>
      <c r="N69" s="7">
        <f>24*60*SUM($M69:$M69)</f>
        <v>35.583333332324401</v>
      </c>
      <c r="O69" s="7"/>
      <c r="P69" s="7"/>
      <c r="Q69" s="25"/>
      <c r="R69" s="25"/>
      <c r="S69" s="37">
        <f>SUM(U69:U69)/IF(AG69="EC",12,1)</f>
        <v>1</v>
      </c>
      <c r="T69" s="52" t="str">
        <f>IF(ISEVEN(LEFT(AD69,4)),"Southbound","NorthBound")</f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hh:mm:ss")&amp;"-0600',mode:absolute,to:'"&amp;TEXT(I69+1/24,"yyyy-MM-DD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https://search-rtdc-monitor-bjffxe2xuh6vdkpspy63sjmuny.us-east-1.es.amazonaws.com/_plugin/kibana/#/discover/Steve-Slow-Train-Analysis-(2080s-and-2083s)?_g=(refreshInterval:(display:Off,section:0,value:0),time:(from:'2016-09-01 09:39:21-0600',mode:absolute,to:'2016-09-01 12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69" s="54" t="str">
        <f>IF(AA69&lt;IF(AG69="EC",23,5.65),"Y","N")</f>
        <v>N</v>
      </c>
      <c r="X69" s="120">
        <f>VALUE(LEFT(AD69,4))-VALUE(LEFT(AD68,4))</f>
        <v>1</v>
      </c>
      <c r="Y69" s="69">
        <f>RIGHT(D69,LEN(D69)-4)/10000</f>
        <v>4.5499999999999999E-2</v>
      </c>
      <c r="Z69" s="69">
        <f>RIGHT(H69,LEN(H69)-4)/10000</f>
        <v>23.328900000000001</v>
      </c>
      <c r="AA69" s="69">
        <f>ABS(Z69-Y69)</f>
        <v>23.2834</v>
      </c>
      <c r="AB69" s="66" t="e">
        <f>VLOOKUP(A69,Enforcements!$C$7:$J$21,8,0)</f>
        <v>#N/A</v>
      </c>
      <c r="AC69" s="62" t="e">
        <f>VLOOKUP(A69,Enforcements!$C$7:$E$21,3,0)</f>
        <v>#N/A</v>
      </c>
      <c r="AD69" s="63" t="str">
        <f>IF(LEN(A69)=6,"0"&amp;A69,A69)</f>
        <v>0157-01</v>
      </c>
      <c r="AE69" s="99" t="str">
        <f>"aws s3 cp "&amp;s3_bucket&amp;"/RTDC"&amp;B69&amp;"/"&amp;TEXT(F69,"YYYY-MM-DD")&amp;"/ "&amp;search_path&amp;"\RTDC"&amp;B69&amp;"\"&amp;TEXT(F69,"YYYY-MM-DD")&amp;" --recursive &amp; """&amp;walkandungz&amp;""" "&amp;search_path&amp;"\RTDC"&amp;B69&amp;"\"&amp;TEXT(F69,"YYYY-MM-DD")
&amp;" &amp; "&amp;"aws s3 cp "&amp;s3_bucket&amp;"/RTDC"&amp;B69&amp;"/"&amp;TEXT(F69+1,"YYYY-MM-DD")&amp;"/ "&amp;search_path&amp;"\RTDC"&amp;B69&amp;"\"&amp;TEXT(F69+1,"YYYY-MM-DD")&amp;" --recursive &amp; """&amp;walkandungz&amp;""" "&amp;search_path&amp;"\RTDC"&amp;B69&amp;"\"&amp;TEXT(F69+1,"YYYY-MM-DD")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69" s="96" t="str">
        <f>astrogrep_path&amp;" /spath="&amp;search_path&amp;" /stypes=""*"&amp;B69&amp;"*"&amp;TEXT(I69-utc_offset/24,"YYYYMMDD")&amp;"*"" /stext="" "&amp;TEXT(I69-utc_offset/24,"HH")&amp;search_regexp&amp;""" /e /r /s"</f>
        <v>"C:\Program Files (x86)\AstroGrep\AstroGrep.exe" /spath="%USERPROFILE%\AppData\Local\Temp\OnboardLogs" /stypes="*4020*20160901*" /stext=" 17:.+((SYSTEM_STATE.+slice.+state.+changed )|(ment ac)|(system.+state.+changed )|(\|lc)|(penalty)|(\[timeout)|(PRM\|1\|D)|(kpr)|(kdp))" /e /r /s</v>
      </c>
      <c r="AG69" s="1" t="str">
        <f>IFERROR(IF(VALUE(LEFT(AD69,2))&lt;=2,"EC",IF(OR(VALUE(LEFT(AD69,2))=8,VALUE(LEFT(AD69,2))=18),"NW","Other")),"Other")</f>
        <v>EC</v>
      </c>
      <c r="AH69" s="100" t="str">
        <f t="shared" si="2"/>
        <v>"%USERPROFILE%\Documents\GitHub\eaglep3\Utilities\RefineRTDCRunTimes.py" --tripid 157-01 --locoid 4020 --swversion DE.1.0.7.0 --startMP 204:455 --initTime 2016-09-01T10:39:21 --startdatetime 2016-09-01T10:45:46 --delay 1 --endMP 204:233289 --enddatetime 2016-09-01T11:21:21 --enforcementcount 0 &gt;&gt;C:\Users\stu\Documents\GitHub\eaglep3-reporting\EC\2016-09-01-refined-times.txt</v>
      </c>
      <c r="AI69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{"issue":{"subject":"","project_id":79,"tracker_id":40,"status_id":1,"priority_id":2,"assigned_to_id":23,"start_date":"2016-09-01","description":"","custom_fields":[{"id":1,"name":"Subdivision","value":"EC"},{"id":4,"name":"Milepost","value":"23.2834"},{"id":17,"name":"Train ID","value":"157-01"},{"id":16,"name":"Locomotive ID","value":"4020"},{"id":130,"name":"Impact","value":""},{"id":150,"name":"Time of Event (Mountain Time)","value":"11:21:21"},{"id":151,"name":"Denver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454</v>
      </c>
      <c r="B70" s="7">
        <v>4019</v>
      </c>
      <c r="C70" s="24" t="s">
        <v>113</v>
      </c>
      <c r="D70" s="24" t="s">
        <v>220</v>
      </c>
      <c r="E70" s="15">
        <v>42614.481805555559</v>
      </c>
      <c r="F70" s="15">
        <v>42614.486956018518</v>
      </c>
      <c r="G70" s="7">
        <v>1</v>
      </c>
      <c r="H70" s="15" t="s">
        <v>132</v>
      </c>
      <c r="I70" s="15">
        <v>42614.512800925928</v>
      </c>
      <c r="J70" s="7">
        <v>0</v>
      </c>
      <c r="K70" s="132" t="str">
        <f>IF(ISEVEN(B70),(B70-1)&amp;"/"&amp;B70,B70&amp;"/"&amp;(B70+1))</f>
        <v>4019/4020</v>
      </c>
      <c r="L70" s="24" t="str">
        <f>VLOOKUP(A70,'Trips&amp;Operators'!$C$1:$E$10000,3,FALSE)</f>
        <v>SMITH</v>
      </c>
      <c r="M70" s="6">
        <f>I70-F70</f>
        <v>2.584490740991896E-2</v>
      </c>
      <c r="N70" s="7">
        <f>24*60*SUM($M70:$M70)</f>
        <v>37.216666670283303</v>
      </c>
      <c r="O70" s="7"/>
      <c r="P70" s="7"/>
      <c r="Q70" s="25"/>
      <c r="R70" s="25"/>
      <c r="S70" s="37">
        <f>SUM(U70:U70)/IF(AG70="EC",12,1)</f>
        <v>1</v>
      </c>
      <c r="T70" s="52" t="str">
        <f>IF(ISEVEN(LEFT(AD70,4)),"Southbound","NorthBound")</f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hh:mm:ss")&amp;"-0600',mode:absolute,to:'"&amp;TEXT(I70+1/24,"yyyy-MM-DD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https://search-rtdc-monitor-bjffxe2xuh6vdkpspy63sjmuny.us-east-1.es.amazonaws.com/_plugin/kibana/#/discover/Steve-Slow-Train-Analysis-(2080s-and-2083s)?_g=(refreshInterval:(display:Off,section:0,value:0),time:(from:'2016-09-01 10:33:48-0600',mode:absolute,to:'2016-09-01 13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70" s="54" t="str">
        <f>IF(AA70&lt;IF(AG70="EC",23,5.65),"Y","N")</f>
        <v>N</v>
      </c>
      <c r="X70" s="120">
        <f>VALUE(LEFT(AD70,4))-VALUE(LEFT(AD69,4))</f>
        <v>1</v>
      </c>
      <c r="Y70" s="69">
        <f>RIGHT(D70,LEN(D70)-4)/10000</f>
        <v>23.297999999999998</v>
      </c>
      <c r="Z70" s="69">
        <f>RIGHT(H70,LEN(H70)-4)/10000</f>
        <v>1.47E-2</v>
      </c>
      <c r="AA70" s="69">
        <f>ABS(Z70-Y70)</f>
        <v>23.283299999999997</v>
      </c>
      <c r="AB70" s="66" t="e">
        <f>VLOOKUP(A70,Enforcements!$C$7:$J$21,8,0)</f>
        <v>#N/A</v>
      </c>
      <c r="AC70" s="62" t="e">
        <f>VLOOKUP(A70,Enforcements!$C$7:$E$21,3,0)</f>
        <v>#N/A</v>
      </c>
      <c r="AD70" s="63" t="str">
        <f>IF(LEN(A70)=6,"0"&amp;A70,A70)</f>
        <v>0158-01</v>
      </c>
      <c r="AE70" s="99" t="str">
        <f>"aws s3 cp "&amp;s3_bucket&amp;"/RTDC"&amp;B70&amp;"/"&amp;TEXT(F70,"YYYY-MM-DD")&amp;"/ "&amp;search_path&amp;"\RTDC"&amp;B70&amp;"\"&amp;TEXT(F70,"YYYY-MM-DD")&amp;" --recursive &amp; """&amp;walkandungz&amp;""" "&amp;search_path&amp;"\RTDC"&amp;B70&amp;"\"&amp;TEXT(F70,"YYYY-MM-DD")
&amp;" &amp; "&amp;"aws s3 cp "&amp;s3_bucket&amp;"/RTDC"&amp;B70&amp;"/"&amp;TEXT(F70+1,"YYYY-MM-DD")&amp;"/ "&amp;search_path&amp;"\RTDC"&amp;B70&amp;"\"&amp;TEXT(F70+1,"YYYY-MM-DD")&amp;" --recursive &amp; """&amp;walkandungz&amp;""" "&amp;search_path&amp;"\RTDC"&amp;B70&amp;"\"&amp;TEXT(F70+1,"YYYY-MM-DD")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70" s="96" t="str">
        <f>astrogrep_path&amp;" /spath="&amp;search_path&amp;" /stypes=""*"&amp;B70&amp;"*"&amp;TEXT(I70-utc_offset/24,"YYYYMMDD")&amp;"*"" /stext="" "&amp;TEXT(I70-utc_offset/24,"HH")&amp;search_regexp&amp;""" /e /r /s"</f>
        <v>"C:\Program Files (x86)\AstroGrep\AstroGrep.exe" /spath="%USERPROFILE%\AppData\Local\Temp\OnboardLogs" /stypes="*4019*20160901*" /stext=" 18:.+((SYSTEM_STATE.+slice.+state.+changed )|(ment ac)|(system.+state.+changed )|(\|lc)|(penalty)|(\[timeout)|(PRM\|1\|D)|(kpr)|(kdp))" /e /r /s</v>
      </c>
      <c r="AG70" s="1" t="str">
        <f>IFERROR(IF(VALUE(LEFT(AD70,2))&lt;=2,"EC",IF(OR(VALUE(LEFT(AD70,2))=8,VALUE(LEFT(AD70,2))=18),"NW","Other")),"Other")</f>
        <v>EC</v>
      </c>
      <c r="AH70" s="100" t="str">
        <f t="shared" si="2"/>
        <v>"%USERPROFILE%\Documents\GitHub\eaglep3\Utilities\RefineRTDCRunTimes.py" --tripid 158-01 --locoid 4019 --swversion DE.1.0.7.0 --startMP 204:232980 --initTime 2016-09-01T11:33:48 --startdatetime 2016-09-01T11:41:13 --delay 1 --endMP 204:147 --enddatetime 2016-09-01T12:18:26 --enforcementcount 0 &gt;&gt;C:\Users\stu\Documents\GitHub\eaglep3-reporting\EC\2016-09-01-refined-times.txt</v>
      </c>
      <c r="AI70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{"issue":{"subject":"","project_id":79,"tracker_id":40,"status_id":1,"priority_id":2,"assigned_to_id":23,"start_date":"2016-09-01","description":"","custom_fields":[{"id":1,"name":"Subdivision","value":"EC"},{"id":4,"name":"Milepost","value":"23.2833"},{"id":17,"name":"Train ID","value":"158-01"},{"id":16,"name":"Locomotive ID","value":"4019"},{"id":130,"name":"Impact","value":""},{"id":150,"name":"Time of Event (Mountain Time)","value":"12:18:26"},{"id":151,"name":"Denver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455</v>
      </c>
      <c r="B71" s="7">
        <v>4031</v>
      </c>
      <c r="C71" s="24" t="s">
        <v>113</v>
      </c>
      <c r="D71" s="24" t="s">
        <v>456</v>
      </c>
      <c r="E71" s="15">
        <v>42614.455081018517</v>
      </c>
      <c r="F71" s="15">
        <v>42614.458634259259</v>
      </c>
      <c r="G71" s="7">
        <v>1</v>
      </c>
      <c r="H71" s="15" t="s">
        <v>315</v>
      </c>
      <c r="I71" s="15">
        <v>42614.4846412037</v>
      </c>
      <c r="J71" s="7">
        <v>0</v>
      </c>
      <c r="K71" s="132" t="str">
        <f>IF(ISEVEN(B71),(B71-1)&amp;"/"&amp;B71,B71&amp;"/"&amp;(B71+1))</f>
        <v>4031/4032</v>
      </c>
      <c r="L71" s="24" t="str">
        <f>VLOOKUP(A71,'Trips&amp;Operators'!$C$1:$E$10000,3,FALSE)</f>
        <v>ROBINSON</v>
      </c>
      <c r="M71" s="6">
        <f>I71-F71</f>
        <v>2.6006944441178348E-2</v>
      </c>
      <c r="N71" s="7">
        <f>24*60*SUM($M71:$M71)</f>
        <v>37.449999995296821</v>
      </c>
      <c r="O71" s="7"/>
      <c r="P71" s="7"/>
      <c r="Q71" s="25"/>
      <c r="R71" s="25"/>
      <c r="S71" s="37">
        <f>SUM(U71:U71)/IF(AG71="EC",12,1)</f>
        <v>1</v>
      </c>
      <c r="T71" s="52" t="str">
        <f>IF(ISEVEN(LEFT(AD71,4)),"Southbound","NorthBound")</f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hh:mm:ss")&amp;"-0600',mode:absolute,to:'"&amp;TEXT(I71+1/24,"yyyy-MM-DD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https://search-rtdc-monitor-bjffxe2xuh6vdkpspy63sjmuny.us-east-1.es.amazonaws.com/_plugin/kibana/#/discover/Steve-Slow-Train-Analysis-(2080s-and-2083s)?_g=(refreshInterval:(display:Off,section:0,value:0),time:(from:'2016-09-01 09:55:19-0600',mode:absolute,to:'2016-09-01 12:37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71" s="54" t="str">
        <f>IF(AA71&lt;IF(AG71="EC",23,5.65),"Y","N")</f>
        <v>N</v>
      </c>
      <c r="X71" s="120">
        <f>VALUE(LEFT(AD71,4))-VALUE(LEFT(AD70,4))</f>
        <v>1</v>
      </c>
      <c r="Y71" s="69">
        <f>RIGHT(D71,LEN(D71)-4)/10000</f>
        <v>4.82E-2</v>
      </c>
      <c r="Z71" s="69">
        <f>RIGHT(H71,LEN(H71)-4)/10000</f>
        <v>23.3306</v>
      </c>
      <c r="AA71" s="69">
        <f>ABS(Z71-Y71)</f>
        <v>23.282399999999999</v>
      </c>
      <c r="AB71" s="66" t="e">
        <f>VLOOKUP(A71,Enforcements!$C$7:$J$21,8,0)</f>
        <v>#N/A</v>
      </c>
      <c r="AC71" s="62" t="e">
        <f>VLOOKUP(A71,Enforcements!$C$7:$E$21,3,0)</f>
        <v>#N/A</v>
      </c>
      <c r="AD71" s="63" t="str">
        <f>IF(LEN(A71)=6,"0"&amp;A71,A71)</f>
        <v>0159-01</v>
      </c>
      <c r="AE71" s="99" t="str">
        <f>"aws s3 cp "&amp;s3_bucket&amp;"/RTDC"&amp;B71&amp;"/"&amp;TEXT(F71,"YYYY-MM-DD")&amp;"/ "&amp;search_path&amp;"\RTDC"&amp;B71&amp;"\"&amp;TEXT(F71,"YYYY-MM-DD")&amp;" --recursive &amp; """&amp;walkandungz&amp;""" "&amp;search_path&amp;"\RTDC"&amp;B71&amp;"\"&amp;TEXT(F71,"YYYY-MM-DD")
&amp;" &amp; "&amp;"aws s3 cp "&amp;s3_bucket&amp;"/RTDC"&amp;B71&amp;"/"&amp;TEXT(F71+1,"YYYY-MM-DD")&amp;"/ "&amp;search_path&amp;"\RTDC"&amp;B71&amp;"\"&amp;TEXT(F71+1,"YYYY-MM-DD")&amp;" --recursive &amp; """&amp;walkandungz&amp;""" "&amp;search_path&amp;"\RTDC"&amp;B71&amp;"\"&amp;TEXT(F71+1,"YYYY-MM-DD")</f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71" s="96" t="str">
        <f>astrogrep_path&amp;" /spath="&amp;search_path&amp;" /stypes=""*"&amp;B71&amp;"*"&amp;TEXT(I71-utc_offset/24,"YYYYMMDD")&amp;"*"" /stext="" "&amp;TEXT(I71-utc_offset/24,"HH")&amp;search_regexp&amp;""" /e /r /s"</f>
        <v>"C:\Program Files (x86)\AstroGrep\AstroGrep.exe" /spath="%USERPROFILE%\AppData\Local\Temp\OnboardLogs" /stypes="*4031*20160901*" /stext=" 17:.+((SYSTEM_STATE.+slice.+state.+changed )|(ment ac)|(system.+state.+changed )|(\|lc)|(penalty)|(\[timeout)|(PRM\|1\|D)|(kpr)|(kdp))" /e /r /s</v>
      </c>
      <c r="AG71" s="1" t="str">
        <f>IFERROR(IF(VALUE(LEFT(AD71,2))&lt;=2,"EC",IF(OR(VALUE(LEFT(AD71,2))=8,VALUE(LEFT(AD71,2))=18),"NW","Other")),"Other")</f>
        <v>EC</v>
      </c>
      <c r="AH71" s="100" t="str">
        <f t="shared" si="2"/>
        <v>"%USERPROFILE%\Documents\GitHub\eaglep3\Utilities\RefineRTDCRunTimes.py" --tripid 159-01 --locoid 4031 --swversion DE.1.0.7.0 --startMP 204:482 --initTime 2016-09-01T10:55:19 --startdatetime 2016-09-01T11:00:26 --delay 1 --endMP 204:233306 --enddatetime 2016-09-01T11:37:53 --enforcementcount 0 &gt;&gt;C:\Users\stu\Documents\GitHub\eaglep3-reporting\EC\2016-09-01-refined-times.txt</v>
      </c>
      <c r="AI71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{"issue":{"subject":"","project_id":79,"tracker_id":40,"status_id":1,"priority_id":2,"assigned_to_id":23,"start_date":"2016-09-01","description":"","custom_fields":[{"id":1,"name":"Subdivision","value":"EC"},{"id":4,"name":"Milepost","value":"23.2824"},{"id":17,"name":"Train ID","value":"159-01"},{"id":16,"name":"Locomotive ID","value":"4031"},{"id":130,"name":"Impact","value":""},{"id":150,"name":"Time of Event (Mountain Time)","value":"11:37:53"},{"id":151,"name":"Denver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457</v>
      </c>
      <c r="B72" s="7">
        <v>4032</v>
      </c>
      <c r="C72" s="24" t="s">
        <v>113</v>
      </c>
      <c r="D72" s="24" t="s">
        <v>183</v>
      </c>
      <c r="E72" s="15">
        <v>42614.490428240744</v>
      </c>
      <c r="F72" s="15">
        <v>42614.497650462959</v>
      </c>
      <c r="G72" s="7">
        <v>2</v>
      </c>
      <c r="H72" s="15" t="s">
        <v>149</v>
      </c>
      <c r="I72" s="15">
        <v>42614.525266203702</v>
      </c>
      <c r="J72" s="7">
        <v>0</v>
      </c>
      <c r="K72" s="132" t="str">
        <f>IF(ISEVEN(B72),(B72-1)&amp;"/"&amp;B72,B72&amp;"/"&amp;(B72+1))</f>
        <v>4031/4032</v>
      </c>
      <c r="L72" s="24" t="str">
        <f>VLOOKUP(A72,'Trips&amp;Operators'!$C$1:$E$10000,3,FALSE)</f>
        <v>ROBINSON</v>
      </c>
      <c r="M72" s="6">
        <f>I72-F72</f>
        <v>2.7615740742476191E-2</v>
      </c>
      <c r="N72" s="7">
        <f>24*60*SUM($M72:$M72)</f>
        <v>39.766666669165716</v>
      </c>
      <c r="O72" s="7"/>
      <c r="P72" s="7"/>
      <c r="Q72" s="25"/>
      <c r="R72" s="25"/>
      <c r="S72" s="37">
        <f>SUM(U72:U72)/IF(AG72="EC",12,1)</f>
        <v>1</v>
      </c>
      <c r="T72" s="52" t="str">
        <f>IF(ISEVEN(LEFT(AD72,4)),"Southbound","NorthBound")</f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hh:mm:ss")&amp;"-0600',mode:absolute,to:'"&amp;TEXT(I72+1/24,"yyyy-MM-DD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https://search-rtdc-monitor-bjffxe2xuh6vdkpspy63sjmuny.us-east-1.es.amazonaws.com/_plugin/kibana/#/discover/Steve-Slow-Train-Analysis-(2080s-and-2083s)?_g=(refreshInterval:(display:Off,section:0,value:0),time:(from:'2016-09-01 10:46:13-0600',mode:absolute,to:'2016-09-01 13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72" s="54" t="str">
        <f>IF(AA72&lt;IF(AG72="EC",23,5.65),"Y","N")</f>
        <v>N</v>
      </c>
      <c r="X72" s="120">
        <f>VALUE(LEFT(AD72,4))-VALUE(LEFT(AD71,4))</f>
        <v>1</v>
      </c>
      <c r="Y72" s="69">
        <f>RIGHT(D72,LEN(D72)-4)/10000</f>
        <v>23.2989</v>
      </c>
      <c r="Z72" s="69">
        <f>RIGHT(H72,LEN(H72)-4)/10000</f>
        <v>1.5599999999999999E-2</v>
      </c>
      <c r="AA72" s="69">
        <f>ABS(Z72-Y72)</f>
        <v>23.283300000000001</v>
      </c>
      <c r="AB72" s="66" t="e">
        <f>VLOOKUP(A72,Enforcements!$C$7:$J$21,8,0)</f>
        <v>#N/A</v>
      </c>
      <c r="AC72" s="62" t="e">
        <f>VLOOKUP(A72,Enforcements!$C$7:$E$21,3,0)</f>
        <v>#N/A</v>
      </c>
      <c r="AD72" s="63" t="str">
        <f>IF(LEN(A72)=6,"0"&amp;A72,A72)</f>
        <v>0160-01</v>
      </c>
      <c r="AE72" s="99" t="str">
        <f>"aws s3 cp "&amp;s3_bucket&amp;"/RTDC"&amp;B72&amp;"/"&amp;TEXT(F72,"YYYY-MM-DD")&amp;"/ "&amp;search_path&amp;"\RTDC"&amp;B72&amp;"\"&amp;TEXT(F72,"YYYY-MM-DD")&amp;" --recursive &amp; """&amp;walkandungz&amp;""" "&amp;search_path&amp;"\RTDC"&amp;B72&amp;"\"&amp;TEXT(F72,"YYYY-MM-DD")
&amp;" &amp; "&amp;"aws s3 cp "&amp;s3_bucket&amp;"/RTDC"&amp;B72&amp;"/"&amp;TEXT(F72+1,"YYYY-MM-DD")&amp;"/ "&amp;search_path&amp;"\RTDC"&amp;B72&amp;"\"&amp;TEXT(F72+1,"YYYY-MM-DD")&amp;" --recursive &amp; """&amp;walkandungz&amp;""" "&amp;search_path&amp;"\RTDC"&amp;B72&amp;"\"&amp;TEXT(F72+1,"YYYY-MM-DD")</f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72" s="96" t="str">
        <f>astrogrep_path&amp;" /spath="&amp;search_path&amp;" /stypes=""*"&amp;B72&amp;"*"&amp;TEXT(I72-utc_offset/24,"YYYYMMDD")&amp;"*"" /stext="" "&amp;TEXT(I72-utc_offset/24,"HH")&amp;search_regexp&amp;""" /e /r /s"</f>
        <v>"C:\Program Files (x86)\AstroGrep\AstroGrep.exe" /spath="%USERPROFILE%\AppData\Local\Temp\OnboardLogs" /stypes="*4032*20160901*" /stext=" 18:.+((SYSTEM_STATE.+slice.+state.+changed )|(ment ac)|(system.+state.+changed )|(\|lc)|(penalty)|(\[timeout)|(PRM\|1\|D)|(kpr)|(kdp))" /e /r /s</v>
      </c>
      <c r="AG72" s="1" t="str">
        <f>IFERROR(IF(VALUE(LEFT(AD72,2))&lt;=2,"EC",IF(OR(VALUE(LEFT(AD72,2))=8,VALUE(LEFT(AD72,2))=18),"NW","Other")),"Other")</f>
        <v>EC</v>
      </c>
      <c r="AH72" s="100" t="str">
        <f t="shared" si="2"/>
        <v>"%USERPROFILE%\Documents\GitHub\eaglep3\Utilities\RefineRTDCRunTimes.py" --tripid 160-01 --locoid 4032 --swversion DE.1.0.7.0 --startMP 204:232989 --initTime 2016-09-01T11:46:13 --startdatetime 2016-09-01T11:56:37 --delay 2 --endMP 204:156 --enddatetime 2016-09-01T12:36:23 --enforcementcount 0 &gt;&gt;C:\Users\stu\Documents\GitHub\eaglep3-reporting\EC\2016-09-01-refined-times.txt</v>
      </c>
      <c r="AI72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{"issue":{"subject":"","project_id":79,"tracker_id":40,"status_id":1,"priority_id":2,"assigned_to_id":23,"start_date":"2016-09-01","description":"","custom_fields":[{"id":1,"name":"Subdivision","value":"EC"},{"id":4,"name":"Milepost","value":"23.2833"},{"id":17,"name":"Train ID","value":"160-01"},{"id":16,"name":"Locomotive ID","value":"4032"},{"id":130,"name":"Impact","value":""},{"id":150,"name":"Time of Event (Mountain Time)","value":"12:36:23"},{"id":151,"name":"Denver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458</v>
      </c>
      <c r="B73" s="7">
        <v>4018</v>
      </c>
      <c r="C73" s="24" t="s">
        <v>113</v>
      </c>
      <c r="D73" s="24" t="s">
        <v>245</v>
      </c>
      <c r="E73" s="15">
        <v>42614.465439814812</v>
      </c>
      <c r="F73" s="15">
        <v>42614.468935185185</v>
      </c>
      <c r="G73" s="7">
        <v>1</v>
      </c>
      <c r="H73" s="15" t="s">
        <v>459</v>
      </c>
      <c r="I73" s="15">
        <v>42614.494687500002</v>
      </c>
      <c r="J73" s="7">
        <v>0</v>
      </c>
      <c r="K73" s="132" t="str">
        <f>IF(ISEVEN(B73),(B73-1)&amp;"/"&amp;B73,B73&amp;"/"&amp;(B73+1))</f>
        <v>4017/4018</v>
      </c>
      <c r="L73" s="24" t="str">
        <f>VLOOKUP(A73,'Trips&amp;Operators'!$C$1:$E$10000,3,FALSE)</f>
        <v>SHOOK</v>
      </c>
      <c r="M73" s="6">
        <f>I73-F73</f>
        <v>2.5752314817509614E-2</v>
      </c>
      <c r="N73" s="7">
        <f>24*60*SUM($M73:$M73)</f>
        <v>37.083333337213844</v>
      </c>
      <c r="O73" s="7"/>
      <c r="P73" s="7"/>
      <c r="Q73" s="25"/>
      <c r="R73" s="25"/>
      <c r="S73" s="37">
        <f>SUM(U73:U73)/IF(AG73="EC",12,1)</f>
        <v>1</v>
      </c>
      <c r="T73" s="52" t="str">
        <f>IF(ISEVEN(LEFT(AD73,4)),"Southbound","NorthBound")</f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hh:mm:ss")&amp;"-0600',mode:absolute,to:'"&amp;TEXT(I73+1/24,"yyyy-MM-DD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https://search-rtdc-monitor-bjffxe2xuh6vdkpspy63sjmuny.us-east-1.es.amazonaws.com/_plugin/kibana/#/discover/Steve-Slow-Train-Analysis-(2080s-and-2083s)?_g=(refreshInterval:(display:Off,section:0,value:0),time:(from:'2016-09-01 10:10:14-0600',mode:absolute,to:'2016-09-01 12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73" s="54" t="str">
        <f>IF(AA73&lt;IF(AG73="EC",23,5.65),"Y","N")</f>
        <v>N</v>
      </c>
      <c r="X73" s="120">
        <f>VALUE(LEFT(AD73,4))-VALUE(LEFT(AD72,4))</f>
        <v>1</v>
      </c>
      <c r="Y73" s="69">
        <f>RIGHT(D73,LEN(D73)-4)/10000</f>
        <v>4.7500000000000001E-2</v>
      </c>
      <c r="Z73" s="69">
        <f>RIGHT(H73,LEN(H73)-4)/10000</f>
        <v>23.3337</v>
      </c>
      <c r="AA73" s="69">
        <f>ABS(Z73-Y73)</f>
        <v>23.286200000000001</v>
      </c>
      <c r="AB73" s="66" t="e">
        <f>VLOOKUP(A73,Enforcements!$C$7:$J$21,8,0)</f>
        <v>#N/A</v>
      </c>
      <c r="AC73" s="62" t="e">
        <f>VLOOKUP(A73,Enforcements!$C$7:$E$21,3,0)</f>
        <v>#N/A</v>
      </c>
      <c r="AD73" s="63" t="str">
        <f>IF(LEN(A73)=6,"0"&amp;A73,A73)</f>
        <v>0161-01</v>
      </c>
      <c r="AE73" s="99" t="str">
        <f>"aws s3 cp "&amp;s3_bucket&amp;"/RTDC"&amp;B73&amp;"/"&amp;TEXT(F73,"YYYY-MM-DD")&amp;"/ "&amp;search_path&amp;"\RTDC"&amp;B73&amp;"\"&amp;TEXT(F73,"YYYY-MM-DD")&amp;" --recursive &amp; """&amp;walkandungz&amp;""" "&amp;search_path&amp;"\RTDC"&amp;B73&amp;"\"&amp;TEXT(F73,"YYYY-MM-DD")
&amp;" &amp; "&amp;"aws s3 cp "&amp;s3_bucket&amp;"/RTDC"&amp;B73&amp;"/"&amp;TEXT(F73+1,"YYYY-MM-DD")&amp;"/ "&amp;search_path&amp;"\RTDC"&amp;B73&amp;"\"&amp;TEXT(F73+1,"YYYY-MM-DD")&amp;" --recursive &amp; """&amp;walkandungz&amp;""" "&amp;search_path&amp;"\RTDC"&amp;B73&amp;"\"&amp;TEXT(F73+1,"YYYY-MM-DD")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73" s="96" t="str">
        <f>astrogrep_path&amp;" /spath="&amp;search_path&amp;" /stypes=""*"&amp;B73&amp;"*"&amp;TEXT(I73-utc_offset/24,"YYYYMMDD")&amp;"*"" /stext="" "&amp;TEXT(I73-utc_offset/24,"HH")&amp;search_regexp&amp;""" /e /r /s"</f>
        <v>"C:\Program Files (x86)\AstroGrep\AstroGrep.exe" /spath="%USERPROFILE%\AppData\Local\Temp\OnboardLogs" /stypes="*4018*20160901*" /stext=" 17:.+((SYSTEM_STATE.+slice.+state.+changed )|(ment ac)|(system.+state.+changed )|(\|lc)|(penalty)|(\[timeout)|(PRM\|1\|D)|(kpr)|(kdp))" /e /r /s</v>
      </c>
      <c r="AG73" s="1" t="str">
        <f>IFERROR(IF(VALUE(LEFT(AD73,2))&lt;=2,"EC",IF(OR(VALUE(LEFT(AD73,2))=8,VALUE(LEFT(AD73,2))=18),"NW","Other")),"Other")</f>
        <v>EC</v>
      </c>
      <c r="AH73" s="100" t="str">
        <f t="shared" si="2"/>
        <v>"%USERPROFILE%\Documents\GitHub\eaglep3\Utilities\RefineRTDCRunTimes.py" --tripid 161-01 --locoid 4018 --swversion DE.1.0.7.0 --startMP 204:475 --initTime 2016-09-01T11:10:14 --startdatetime 2016-09-01T11:15:16 --delay 1 --endMP 204:233337 --enddatetime 2016-09-01T11:52:21 --enforcementcount 0 &gt;&gt;C:\Users\stu\Documents\GitHub\eaglep3-reporting\EC\2016-09-01-refined-times.txt</v>
      </c>
      <c r="AI73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{"issue":{"subject":"","project_id":79,"tracker_id":40,"status_id":1,"priority_id":2,"assigned_to_id":23,"start_date":"2016-09-01","description":"","custom_fields":[{"id":1,"name":"Subdivision","value":"EC"},{"id":4,"name":"Milepost","value":"23.2862"},{"id":17,"name":"Train ID","value":"161-01"},{"id":16,"name":"Locomotive ID","value":"4018"},{"id":130,"name":"Impact","value":""},{"id":150,"name":"Time of Event (Mountain Time)","value":"11:52:21"},{"id":151,"name":"Denver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460</v>
      </c>
      <c r="B74" s="7">
        <v>4017</v>
      </c>
      <c r="C74" s="24" t="s">
        <v>113</v>
      </c>
      <c r="D74" s="24" t="s">
        <v>461</v>
      </c>
      <c r="E74" s="15">
        <v>42614.501435185186</v>
      </c>
      <c r="F74" s="15">
        <v>42614.5078125</v>
      </c>
      <c r="G74" s="7">
        <v>1</v>
      </c>
      <c r="H74" s="15" t="s">
        <v>181</v>
      </c>
      <c r="I74" s="15">
        <v>42614.53533564815</v>
      </c>
      <c r="J74" s="7">
        <v>0</v>
      </c>
      <c r="K74" s="132" t="str">
        <f>IF(ISEVEN(B74),(B74-1)&amp;"/"&amp;B74,B74&amp;"/"&amp;(B74+1))</f>
        <v>4017/4018</v>
      </c>
      <c r="L74" s="24" t="str">
        <f>VLOOKUP(A74,'Trips&amp;Operators'!$C$1:$E$10000,3,FALSE)</f>
        <v>SHOOK</v>
      </c>
      <c r="M74" s="6">
        <f>I74-F74</f>
        <v>2.7523148150066845E-2</v>
      </c>
      <c r="N74" s="7">
        <f>24*60*SUM($M74:$M74)</f>
        <v>39.633333336096257</v>
      </c>
      <c r="O74" s="7"/>
      <c r="P74" s="7"/>
      <c r="Q74" s="25"/>
      <c r="R74" s="25"/>
      <c r="S74" s="37">
        <f>SUM(U74:U74)/IF(AG74="EC",12,1)</f>
        <v>1</v>
      </c>
      <c r="T74" s="52" t="str">
        <f>IF(ISEVEN(LEFT(AD74,4)),"Southbound","NorthBound")</f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hh:mm:ss")&amp;"-0600',mode:absolute,to:'"&amp;TEXT(I74+1/24,"yyyy-MM-DD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https://search-rtdc-monitor-bjffxe2xuh6vdkpspy63sjmuny.us-east-1.es.amazonaws.com/_plugin/kibana/#/discover/Steve-Slow-Train-Analysis-(2080s-and-2083s)?_g=(refreshInterval:(display:Off,section:0,value:0),time:(from:'2016-09-01 11:02:04-0600',mode:absolute,to:'2016-09-01 13:50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74" s="54" t="str">
        <f>IF(AA74&lt;IF(AG74="EC",23,5.65),"Y","N")</f>
        <v>N</v>
      </c>
      <c r="X74" s="120">
        <f>VALUE(LEFT(AD74,4))-VALUE(LEFT(AD73,4))</f>
        <v>1</v>
      </c>
      <c r="Y74" s="69">
        <f>RIGHT(D74,LEN(D74)-4)/10000</f>
        <v>23.304400000000001</v>
      </c>
      <c r="Z74" s="69">
        <f>RIGHT(H74,LEN(H74)-4)/10000</f>
        <v>1.3899999999999999E-2</v>
      </c>
      <c r="AA74" s="69">
        <f>ABS(Z74-Y74)</f>
        <v>23.290500000000002</v>
      </c>
      <c r="AB74" s="66" t="e">
        <f>VLOOKUP(A74,Enforcements!$C$7:$J$21,8,0)</f>
        <v>#N/A</v>
      </c>
      <c r="AC74" s="62" t="e">
        <f>VLOOKUP(A74,Enforcements!$C$7:$E$21,3,0)</f>
        <v>#N/A</v>
      </c>
      <c r="AD74" s="63" t="str">
        <f>IF(LEN(A74)=6,"0"&amp;A74,A74)</f>
        <v>0162-01</v>
      </c>
      <c r="AE74" s="99" t="str">
        <f>"aws s3 cp "&amp;s3_bucket&amp;"/RTDC"&amp;B74&amp;"/"&amp;TEXT(F74,"YYYY-MM-DD")&amp;"/ "&amp;search_path&amp;"\RTDC"&amp;B74&amp;"\"&amp;TEXT(F74,"YYYY-MM-DD")&amp;" --recursive &amp; """&amp;walkandungz&amp;""" "&amp;search_path&amp;"\RTDC"&amp;B74&amp;"\"&amp;TEXT(F74,"YYYY-MM-DD")
&amp;" &amp; "&amp;"aws s3 cp "&amp;s3_bucket&amp;"/RTDC"&amp;B74&amp;"/"&amp;TEXT(F74+1,"YYYY-MM-DD")&amp;"/ "&amp;search_path&amp;"\RTDC"&amp;B74&amp;"\"&amp;TEXT(F74+1,"YYYY-MM-DD")&amp;" --recursive &amp; """&amp;walkandungz&amp;""" "&amp;search_path&amp;"\RTDC"&amp;B74&amp;"\"&amp;TEXT(F74+1,"YYYY-MM-DD")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74" s="96" t="str">
        <f>astrogrep_path&amp;" /spath="&amp;search_path&amp;" /stypes=""*"&amp;B74&amp;"*"&amp;TEXT(I74-utc_offset/24,"YYYYMMDD")&amp;"*"" /stext="" "&amp;TEXT(I74-utc_offset/24,"HH")&amp;search_regexp&amp;""" /e /r /s"</f>
        <v>"C:\Program Files (x86)\AstroGrep\AstroGrep.exe" /spath="%USERPROFILE%\AppData\Local\Temp\OnboardLogs" /stypes="*4017*20160901*" /stext=" 18:.+((SYSTEM_STATE.+slice.+state.+changed )|(ment ac)|(system.+state.+changed )|(\|lc)|(penalty)|(\[timeout)|(PRM\|1\|D)|(kpr)|(kdp))" /e /r /s</v>
      </c>
      <c r="AG74" s="1" t="str">
        <f>IFERROR(IF(VALUE(LEFT(AD74,2))&lt;=2,"EC",IF(OR(VALUE(LEFT(AD74,2))=8,VALUE(LEFT(AD74,2))=18),"NW","Other")),"Other")</f>
        <v>EC</v>
      </c>
      <c r="AH74" s="100" t="str">
        <f t="shared" si="2"/>
        <v>"%USERPROFILE%\Documents\GitHub\eaglep3\Utilities\RefineRTDCRunTimes.py" --tripid 162-01 --locoid 4017 --swversion DE.1.0.7.0 --startMP 204:233044 --initTime 2016-09-01T12:02:04 --startdatetime 2016-09-01T12:11:15 --delay 1 --endMP 204:139 --enddatetime 2016-09-01T12:50:53 --enforcementcount 0 &gt;&gt;C:\Users\stu\Documents\GitHub\eaglep3-reporting\EC\2016-09-01-refined-times.txt</v>
      </c>
      <c r="AI74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{"issue":{"subject":"","project_id":79,"tracker_id":40,"status_id":1,"priority_id":2,"assigned_to_id":23,"start_date":"2016-09-01","description":"","custom_fields":[{"id":1,"name":"Subdivision","value":"EC"},{"id":4,"name":"Milepost","value":"23.2905"},{"id":17,"name":"Train ID","value":"162-01"},{"id":16,"name":"Locomotive ID","value":"4017"},{"id":130,"name":"Impact","value":""},{"id":150,"name":"Time of Event (Mountain Time)","value":"12:50:53"},{"id":151,"name":"Denver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462</v>
      </c>
      <c r="B75" s="7">
        <v>4038</v>
      </c>
      <c r="C75" s="24" t="s">
        <v>113</v>
      </c>
      <c r="D75" s="24" t="s">
        <v>463</v>
      </c>
      <c r="E75" s="15">
        <v>42614.475798611114</v>
      </c>
      <c r="F75" s="15">
        <v>42614.479456018518</v>
      </c>
      <c r="G75" s="7">
        <v>2</v>
      </c>
      <c r="H75" s="15" t="s">
        <v>328</v>
      </c>
      <c r="I75" s="15">
        <v>42614.505289351851</v>
      </c>
      <c r="J75" s="7">
        <v>0</v>
      </c>
      <c r="K75" s="132" t="str">
        <f>IF(ISEVEN(B75),(B75-1)&amp;"/"&amp;B75,B75&amp;"/"&amp;(B75+1))</f>
        <v>4037/4038</v>
      </c>
      <c r="L75" s="24" t="str">
        <f>VLOOKUP(A75,'Trips&amp;Operators'!$C$1:$E$10000,3,FALSE)</f>
        <v>MOSES</v>
      </c>
      <c r="M75" s="6">
        <f>I75-F75</f>
        <v>2.5833333333139308E-2</v>
      </c>
      <c r="N75" s="7">
        <f>24*60*SUM($M75:$M75)</f>
        <v>37.199999999720603</v>
      </c>
      <c r="O75" s="7"/>
      <c r="P75" s="7"/>
      <c r="Q75" s="25"/>
      <c r="R75" s="25"/>
      <c r="S75" s="37">
        <f>SUM(U75:U75)/IF(AG75="EC",12,1)</f>
        <v>1</v>
      </c>
      <c r="T75" s="52" t="str">
        <f>IF(ISEVEN(LEFT(AD75,4)),"Southbound","NorthBound")</f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hh:mm:ss")&amp;"-0600',mode:absolute,to:'"&amp;TEXT(I75+1/24,"yyyy-MM-DD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https://search-rtdc-monitor-bjffxe2xuh6vdkpspy63sjmuny.us-east-1.es.amazonaws.com/_plugin/kibana/#/discover/Steve-Slow-Train-Analysis-(2080s-and-2083s)?_g=(refreshInterval:(display:Off,section:0,value:0),time:(from:'2016-09-01 10:25:09-0600',mode:absolute,to:'2016-09-01 13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75" s="54" t="str">
        <f>IF(AA75&lt;IF(AG75="EC",23,5.65),"Y","N")</f>
        <v>N</v>
      </c>
      <c r="X75" s="120">
        <f>VALUE(LEFT(AD75,4))-VALUE(LEFT(AD74,4))</f>
        <v>1</v>
      </c>
      <c r="Y75" s="69">
        <f>RIGHT(D75,LEN(D75)-4)/10000</f>
        <v>5.2900000000000003E-2</v>
      </c>
      <c r="Z75" s="69">
        <f>RIGHT(H75,LEN(H75)-4)/10000</f>
        <v>23.331700000000001</v>
      </c>
      <c r="AA75" s="69">
        <f>ABS(Z75-Y75)</f>
        <v>23.2788</v>
      </c>
      <c r="AB75" s="66" t="e">
        <f>VLOOKUP(A75,Enforcements!$C$7:$J$21,8,0)</f>
        <v>#N/A</v>
      </c>
      <c r="AC75" s="62" t="e">
        <f>VLOOKUP(A75,Enforcements!$C$7:$E$21,3,0)</f>
        <v>#N/A</v>
      </c>
      <c r="AD75" s="63" t="str">
        <f>IF(LEN(A75)=6,"0"&amp;A75,A75)</f>
        <v>0163-01</v>
      </c>
      <c r="AE75" s="99" t="str">
        <f>"aws s3 cp "&amp;s3_bucket&amp;"/RTDC"&amp;B75&amp;"/"&amp;TEXT(F75,"YYYY-MM-DD")&amp;"/ "&amp;search_path&amp;"\RTDC"&amp;B75&amp;"\"&amp;TEXT(F75,"YYYY-MM-DD")&amp;" --recursive &amp; """&amp;walkandungz&amp;""" "&amp;search_path&amp;"\RTDC"&amp;B75&amp;"\"&amp;TEXT(F75,"YYYY-MM-DD")
&amp;" &amp; "&amp;"aws s3 cp "&amp;s3_bucket&amp;"/RTDC"&amp;B75&amp;"/"&amp;TEXT(F75+1,"YYYY-MM-DD")&amp;"/ "&amp;search_path&amp;"\RTDC"&amp;B75&amp;"\"&amp;TEXT(F75+1,"YYYY-MM-DD")&amp;" --recursive &amp; """&amp;walkandungz&amp;""" "&amp;search_path&amp;"\RTDC"&amp;B75&amp;"\"&amp;TEXT(F75+1,"YYYY-MM-DD")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75" s="96" t="str">
        <f>astrogrep_path&amp;" /spath="&amp;search_path&amp;" /stypes=""*"&amp;B75&amp;"*"&amp;TEXT(I75-utc_offset/24,"YYYYMMDD")&amp;"*"" /stext="" "&amp;TEXT(I75-utc_offset/24,"HH")&amp;search_regexp&amp;""" /e /r /s"</f>
        <v>"C:\Program Files (x86)\AstroGrep\AstroGrep.exe" /spath="%USERPROFILE%\AppData\Local\Temp\OnboardLogs" /stypes="*4038*20160901*" /stext=" 18:.+((SYSTEM_STATE.+slice.+state.+changed )|(ment ac)|(system.+state.+changed )|(\|lc)|(penalty)|(\[timeout)|(PRM\|1\|D)|(kpr)|(kdp))" /e /r /s</v>
      </c>
      <c r="AG75" s="1" t="str">
        <f>IFERROR(IF(VALUE(LEFT(AD75,2))&lt;=2,"EC",IF(OR(VALUE(LEFT(AD75,2))=8,VALUE(LEFT(AD75,2))=18),"NW","Other")),"Other")</f>
        <v>EC</v>
      </c>
      <c r="AH75" s="100" t="str">
        <f t="shared" si="2"/>
        <v>"%USERPROFILE%\Documents\GitHub\eaglep3\Utilities\RefineRTDCRunTimes.py" --tripid 163-01 --locoid 4038 --swversion DE.1.0.7.0 --startMP 204:529 --initTime 2016-09-01T11:25:09 --startdatetime 2016-09-01T11:30:25 --delay 2 --endMP 204:233317 --enddatetime 2016-09-01T12:07:37 --enforcementcount 0 &gt;&gt;C:\Users\stu\Documents\GitHub\eaglep3-reporting\EC\2016-09-01-refined-times.txt</v>
      </c>
      <c r="AI75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{"issue":{"subject":"","project_id":79,"tracker_id":40,"status_id":1,"priority_id":2,"assigned_to_id":23,"start_date":"2016-09-01","description":"","custom_fields":[{"id":1,"name":"Subdivision","value":"EC"},{"id":4,"name":"Milepost","value":"23.2788"},{"id":17,"name":"Train ID","value":"163-01"},{"id":16,"name":"Locomotive ID","value":"4038"},{"id":130,"name":"Impact","value":""},{"id":150,"name":"Time of Event (Mountain Time)","value":"12:07:37"},{"id":151,"name":"Denver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464</v>
      </c>
      <c r="B76" s="7">
        <v>4037</v>
      </c>
      <c r="C76" s="24" t="s">
        <v>113</v>
      </c>
      <c r="D76" s="24" t="s">
        <v>257</v>
      </c>
      <c r="E76" s="15">
        <v>42614.515543981484</v>
      </c>
      <c r="F76" s="15">
        <v>42614.518425925926</v>
      </c>
      <c r="G76" s="7">
        <v>1</v>
      </c>
      <c r="H76" s="15" t="s">
        <v>136</v>
      </c>
      <c r="I76" s="15">
        <v>42614.546030092592</v>
      </c>
      <c r="J76" s="7">
        <v>0</v>
      </c>
      <c r="K76" s="132" t="str">
        <f>IF(ISEVEN(B76),(B76-1)&amp;"/"&amp;B76,B76&amp;"/"&amp;(B76+1))</f>
        <v>4037/4038</v>
      </c>
      <c r="L76" s="24" t="str">
        <f>VLOOKUP(A76,'Trips&amp;Operators'!$C$1:$E$10000,3,FALSE)</f>
        <v>MOSES</v>
      </c>
      <c r="M76" s="6">
        <f>I76-F76</f>
        <v>2.7604166665696539E-2</v>
      </c>
      <c r="N76" s="7">
        <f>24*60*SUM($M76:$M76)</f>
        <v>39.749999998603016</v>
      </c>
      <c r="O76" s="7"/>
      <c r="P76" s="7"/>
      <c r="Q76" s="25"/>
      <c r="R76" s="25"/>
      <c r="S76" s="37">
        <f>SUM(U76:U76)/IF(AG76="EC",12,1)</f>
        <v>1</v>
      </c>
      <c r="T76" s="52" t="str">
        <f>IF(ISEVEN(LEFT(AD76,4)),"Southbound","NorthBound")</f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https://search-rtdc-monitor-bjffxe2xuh6vdkpspy63sjmuny.us-east-1.es.amazonaws.com/_plugin/kibana/#/discover/Steve-Slow-Train-Analysis-(2080s-and-2083s)?_g=(refreshInterval:(display:Off,section:0,value:0),time:(from:'2016-09-01 11:22:23-0600',mode:absolute,to:'2016-09-01 14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76" s="54" t="str">
        <f>IF(AA76&lt;IF(AG76="EC",23,5.65),"Y","N")</f>
        <v>N</v>
      </c>
      <c r="X76" s="120">
        <f>VALUE(LEFT(AD76,4))-VALUE(LEFT(AD75,4))</f>
        <v>1</v>
      </c>
      <c r="Y76" s="69">
        <f>RIGHT(D76,LEN(D76)-4)/10000</f>
        <v>23.300799999999999</v>
      </c>
      <c r="Z76" s="69">
        <f>RIGHT(H76,LEN(H76)-4)/10000</f>
        <v>1.49E-2</v>
      </c>
      <c r="AA76" s="69">
        <f>ABS(Z76-Y76)</f>
        <v>23.285899999999998</v>
      </c>
      <c r="AB76" s="66" t="e">
        <f>VLOOKUP(A76,Enforcements!$C$7:$J$21,8,0)</f>
        <v>#N/A</v>
      </c>
      <c r="AC76" s="62" t="e">
        <f>VLOOKUP(A76,Enforcements!$C$7:$E$21,3,0)</f>
        <v>#N/A</v>
      </c>
      <c r="AD76" s="63" t="str">
        <f>IF(LEN(A76)=6,"0"&amp;A76,A76)</f>
        <v>0164-01</v>
      </c>
      <c r="AE76" s="99" t="str">
        <f>"aws s3 cp "&amp;s3_bucket&amp;"/RTDC"&amp;B76&amp;"/"&amp;TEXT(F76,"YYYY-MM-DD")&amp;"/ "&amp;search_path&amp;"\RTDC"&amp;B76&amp;"\"&amp;TEXT(F76,"YYYY-MM-DD")&amp;" --recursive &amp; """&amp;walkandungz&amp;""" "&amp;search_path&amp;"\RTDC"&amp;B76&amp;"\"&amp;TEXT(F76,"YYYY-MM-DD")
&amp;" &amp; "&amp;"aws s3 cp "&amp;s3_bucket&amp;"/RTDC"&amp;B76&amp;"/"&amp;TEXT(F76+1,"YYYY-MM-DD")&amp;"/ "&amp;search_path&amp;"\RTDC"&amp;B76&amp;"\"&amp;TEXT(F76+1,"YYYY-MM-DD")&amp;" --recursive &amp; """&amp;walkandungz&amp;""" "&amp;search_path&amp;"\RTDC"&amp;B76&amp;"\"&amp;TEXT(F76+1,"YYYY-MM-DD")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76" s="96" t="str">
        <f>astrogrep_path&amp;" /spath="&amp;search_path&amp;" /stypes=""*"&amp;B76&amp;"*"&amp;TEXT(I76-utc_offset/24,"YYYYMMDD")&amp;"*"" /stext="" "&amp;TEXT(I76-utc_offset/24,"HH")&amp;search_regexp&amp;""" /e /r /s"</f>
        <v>"C:\Program Files (x86)\AstroGrep\AstroGrep.exe" /spath="%USERPROFILE%\AppData\Local\Temp\OnboardLogs" /stypes="*4037*20160901*" /stext=" 19:.+((SYSTEM_STATE.+slice.+state.+changed )|(ment ac)|(system.+state.+changed )|(\|lc)|(penalty)|(\[timeout)|(PRM\|1\|D)|(kpr)|(kdp))" /e /r /s</v>
      </c>
      <c r="AG76" s="1" t="str">
        <f>IFERROR(IF(VALUE(LEFT(AD76,2))&lt;=2,"EC",IF(OR(VALUE(LEFT(AD76,2))=8,VALUE(LEFT(AD76,2))=18),"NW","Other")),"Other")</f>
        <v>EC</v>
      </c>
      <c r="AH76" s="100" t="str">
        <f t="shared" si="2"/>
        <v>"%USERPROFILE%\Documents\GitHub\eaglep3\Utilities\RefineRTDCRunTimes.py" --tripid 164-01 --locoid 4037 --swversion DE.1.0.7.0 --startMP 204:233008 --initTime 2016-09-01T12:22:23 --startdatetime 2016-09-01T12:26:32 --delay 1 --endMP 204:149 --enddatetime 2016-09-01T13:06:17 --enforcementcount 0 &gt;&gt;C:\Users\stu\Documents\GitHub\eaglep3-reporting\EC\2016-09-01-refined-times.txt</v>
      </c>
      <c r="AI76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{"issue":{"subject":"","project_id":79,"tracker_id":40,"status_id":1,"priority_id":2,"assigned_to_id":23,"start_date":"2016-09-01","description":"","custom_fields":[{"id":1,"name":"Subdivision","value":"EC"},{"id":4,"name":"Milepost","value":"23.2859"},{"id":17,"name":"Train ID","value":"164-01"},{"id":16,"name":"Locomotive ID","value":"4037"},{"id":130,"name":"Impact","value":""},{"id":150,"name":"Time of Event (Mountain Time)","value":"13:06:17"},{"id":151,"name":"Denver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465</v>
      </c>
      <c r="B77" s="7">
        <v>4007</v>
      </c>
      <c r="C77" s="24" t="s">
        <v>113</v>
      </c>
      <c r="D77" s="24" t="s">
        <v>329</v>
      </c>
      <c r="E77" s="15">
        <v>42614.485555555555</v>
      </c>
      <c r="F77" s="15">
        <v>42614.489733796298</v>
      </c>
      <c r="G77" s="7">
        <v>1</v>
      </c>
      <c r="H77" s="15" t="s">
        <v>271</v>
      </c>
      <c r="I77" s="15">
        <v>42614.514317129629</v>
      </c>
      <c r="J77" s="7">
        <v>0</v>
      </c>
      <c r="K77" s="132" t="str">
        <f>IF(ISEVEN(B77),(B77-1)&amp;"/"&amp;B77,B77&amp;"/"&amp;(B77+1))</f>
        <v>4007/4008</v>
      </c>
      <c r="L77" s="24" t="str">
        <f>VLOOKUP(A77,'Trips&amp;Operators'!$C$1:$E$10000,3,FALSE)</f>
        <v>BROWN</v>
      </c>
      <c r="M77" s="6">
        <f>I77-F77</f>
        <v>2.4583333331975155E-2</v>
      </c>
      <c r="N77" s="7">
        <f>24*60*SUM($M77:$M77)</f>
        <v>35.399999998044223</v>
      </c>
      <c r="O77" s="7"/>
      <c r="P77" s="7"/>
      <c r="Q77" s="25"/>
      <c r="R77" s="25"/>
      <c r="S77" s="37">
        <f>SUM(U77:U77)/IF(AG77="EC",12,1)</f>
        <v>1</v>
      </c>
      <c r="T77" s="52" t="str">
        <f>IF(ISEVEN(LEFT(AD77,4)),"Southbound","NorthBound")</f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https://search-rtdc-monitor-bjffxe2xuh6vdkpspy63sjmuny.us-east-1.es.amazonaws.com/_plugin/kibana/#/discover/Steve-Slow-Train-Analysis-(2080s-and-2083s)?_g=(refreshInterval:(display:Off,section:0,value:0),time:(from:'2016-09-01 10:39:12-0600',mode:absolute,to:'2016-09-01 13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77" s="54" t="str">
        <f>IF(AA77&lt;IF(AG77="EC",23,5.65),"Y","N")</f>
        <v>N</v>
      </c>
      <c r="X77" s="120">
        <f>VALUE(LEFT(AD77,4))-VALUE(LEFT(AD76,4))</f>
        <v>1</v>
      </c>
      <c r="Y77" s="69">
        <f>RIGHT(D77,LEN(D77)-4)/10000</f>
        <v>4.8800000000000003E-2</v>
      </c>
      <c r="Z77" s="69">
        <f>RIGHT(H77,LEN(H77)-4)/10000</f>
        <v>23.330300000000001</v>
      </c>
      <c r="AA77" s="69">
        <f>ABS(Z77-Y77)</f>
        <v>23.281500000000001</v>
      </c>
      <c r="AB77" s="66" t="e">
        <f>VLOOKUP(A77,Enforcements!$C$7:$J$21,8,0)</f>
        <v>#N/A</v>
      </c>
      <c r="AC77" s="62" t="e">
        <f>VLOOKUP(A77,Enforcements!$C$7:$E$21,3,0)</f>
        <v>#N/A</v>
      </c>
      <c r="AD77" s="63" t="str">
        <f>IF(LEN(A77)=6,"0"&amp;A77,A77)</f>
        <v>0165-01</v>
      </c>
      <c r="AE77" s="99" t="str">
        <f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77" s="96" t="str">
        <f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/stypes="*4007*20160901*" /stext=" 18:.+((SYSTEM_STATE.+slice.+state.+changed )|(ment ac)|(system.+state.+changed )|(\|lc)|(penalty)|(\[timeout)|(PRM\|1\|D)|(kpr)|(kdp))" /e /r /s</v>
      </c>
      <c r="AG77" s="1" t="str">
        <f>IFERROR(IF(VALUE(LEFT(AD77,2))&lt;=2,"EC",IF(OR(VALUE(LEFT(AD77,2))=8,VALUE(LEFT(AD77,2))=18),"NW","Other")),"Other")</f>
        <v>EC</v>
      </c>
      <c r="AH77" s="100" t="str">
        <f t="shared" si="2"/>
        <v>"%USERPROFILE%\Documents\GitHub\eaglep3\Utilities\RefineRTDCRunTimes.py" --tripid 165-01 --locoid 4007 --swversion DE.1.0.7.0 --startMP 204:488 --initTime 2016-09-01T11:39:12 --startdatetime 2016-09-01T11:45:13 --delay 1 --endMP 204:233303 --enddatetime 2016-09-01T12:20:37 --enforcementcount 0 &gt;&gt;C:\Users\stu\Documents\GitHub\eaglep3-reporting\EC\2016-09-01-refined-times.txt</v>
      </c>
      <c r="AI77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{"issue":{"subject":"","project_id":79,"tracker_id":40,"status_id":1,"priority_id":2,"assigned_to_id":23,"start_date":"2016-09-01","description":"","custom_fields":[{"id":1,"name":"Subdivision","value":"EC"},{"id":4,"name":"Milepost","value":"23.2815"},{"id":17,"name":"Train ID","value":"165-01"},{"id":16,"name":"Locomotive ID","value":"4007"},{"id":130,"name":"Impact","value":""},{"id":150,"name":"Time of Event (Mountain Time)","value":"12:20:37"},{"id":151,"name":"Denver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466</v>
      </c>
      <c r="B78" s="7">
        <v>4008</v>
      </c>
      <c r="C78" s="24" t="s">
        <v>113</v>
      </c>
      <c r="D78" s="24" t="s">
        <v>467</v>
      </c>
      <c r="E78" s="15">
        <v>42614.515787037039</v>
      </c>
      <c r="F78" s="15">
        <v>42614.528668981482</v>
      </c>
      <c r="G78" s="7">
        <v>1</v>
      </c>
      <c r="H78" s="15" t="s">
        <v>308</v>
      </c>
      <c r="I78" s="15">
        <v>42614.556400462963</v>
      </c>
      <c r="J78" s="7">
        <v>0</v>
      </c>
      <c r="K78" s="132" t="str">
        <f>IF(ISEVEN(B78),(B78-1)&amp;"/"&amp;B78,B78&amp;"/"&amp;(B78+1))</f>
        <v>4007/4008</v>
      </c>
      <c r="L78" s="24" t="str">
        <f>VLOOKUP(A78,'Trips&amp;Operators'!$C$1:$E$10000,3,FALSE)</f>
        <v>BROWN</v>
      </c>
      <c r="M78" s="6">
        <f>I78-F78</f>
        <v>2.7731481481168885E-2</v>
      </c>
      <c r="N78" s="7">
        <f>24*60*SUM($M78:$M78)</f>
        <v>39.933333332883194</v>
      </c>
      <c r="O78" s="7"/>
      <c r="P78" s="7"/>
      <c r="Q78" s="25"/>
      <c r="R78" s="25"/>
      <c r="S78" s="37">
        <f>SUM(U78:U78)/IF(AG78="EC",12,1)</f>
        <v>1</v>
      </c>
      <c r="T78" s="52" t="str">
        <f>IF(ISEVEN(LEFT(AD78,4)),"Southbound","NorthBound")</f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https://search-rtdc-monitor-bjffxe2xuh6vdkpspy63sjmuny.us-east-1.es.amazonaws.com/_plugin/kibana/#/discover/Steve-Slow-Train-Analysis-(2080s-and-2083s)?_g=(refreshInterval:(display:Off,section:0,value:0),time:(from:'2016-09-01 11:22:44-0600',mode:absolute,to:'2016-09-01 14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78" s="54" t="str">
        <f>IF(AA78&lt;IF(AG78="EC",23,5.65),"Y","N")</f>
        <v>N</v>
      </c>
      <c r="X78" s="120">
        <f>VALUE(LEFT(AD78,4))-VALUE(LEFT(AD77,4))</f>
        <v>1</v>
      </c>
      <c r="Y78" s="69">
        <f>RIGHT(D78,LEN(D78)-4)/10000</f>
        <v>23.299800000000001</v>
      </c>
      <c r="Z78" s="69">
        <f>RIGHT(H78,LEN(H78)-4)/10000</f>
        <v>1.41E-2</v>
      </c>
      <c r="AA78" s="69">
        <f>ABS(Z78-Y78)</f>
        <v>23.285700000000002</v>
      </c>
      <c r="AB78" s="66">
        <f>VLOOKUP(A78,Enforcements!$C$7:$J$21,8,0)</f>
        <v>21848</v>
      </c>
      <c r="AC78" s="62" t="str">
        <f>VLOOKUP(A78,Enforcements!$C$7:$E$21,3,0)</f>
        <v>PERMANENT SPEED RESTRICTION</v>
      </c>
      <c r="AD78" s="63" t="str">
        <f>IF(LEN(A78)=6,"0"&amp;A78,A78)</f>
        <v>0166-01</v>
      </c>
      <c r="AE78" s="99" t="str">
        <f>"aws s3 cp "&amp;s3_bucket&amp;"/RTDC"&amp;B78&amp;"/"&amp;TEXT(F78,"YYYY-MM-DD")&amp;"/ "&amp;search_path&amp;"\RTDC"&amp;B78&amp;"\"&amp;TEXT(F78,"YYYY-MM-DD")&amp;" --recursive &amp; """&amp;walkandungz&amp;""" "&amp;search_path&amp;"\RTDC"&amp;B78&amp;"\"&amp;TEXT(F78,"YYYY-MM-DD")
&amp;" &amp; "&amp;"aws s3 cp "&amp;s3_bucket&amp;"/RTDC"&amp;B78&amp;"/"&amp;TEXT(F78+1,"YYYY-MM-DD")&amp;"/ "&amp;search_path&amp;"\RTDC"&amp;B78&amp;"\"&amp;TEXT(F78+1,"YYYY-MM-DD")&amp;" --recursive &amp; """&amp;walkandungz&amp;""" "&amp;search_path&amp;"\RTDC"&amp;B78&amp;"\"&amp;TEXT(F78+1,"YYYY-MM-DD")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78" s="96" t="str">
        <f>astrogrep_path&amp;" /spath="&amp;search_path&amp;" /stypes=""*"&amp;B78&amp;"*"&amp;TEXT(I78-utc_offset/24,"YYYYMMDD")&amp;"*"" /stext="" "&amp;TEXT(I78-utc_offset/24,"HH")&amp;search_regexp&amp;""" /e /r /s"</f>
        <v>"C:\Program Files (x86)\AstroGrep\AstroGrep.exe" /spath="%USERPROFILE%\AppData\Local\Temp\OnboardLogs" /stypes="*4008*20160901*" /stext=" 19:.+((SYSTEM_STATE.+slice.+state.+changed )|(ment ac)|(system.+state.+changed )|(\|lc)|(penalty)|(\[timeout)|(PRM\|1\|D)|(kpr)|(kdp))" /e /r /s</v>
      </c>
      <c r="AG78" s="1" t="str">
        <f>IFERROR(IF(VALUE(LEFT(AD78,2))&lt;=2,"EC",IF(OR(VALUE(LEFT(AD78,2))=8,VALUE(LEFT(AD78,2))=18),"NW","Other")),"Other")</f>
        <v>EC</v>
      </c>
      <c r="AH78" s="100" t="str">
        <f t="shared" si="2"/>
        <v>"%USERPROFILE%\Documents\GitHub\eaglep3\Utilities\RefineRTDCRunTimes.py" --tripid 166-01 --locoid 4008 --swversion DE.1.0.7.0 --startMP 204:232998 --initTime 2016-09-01T12:22:44 --startdatetime 2016-09-01T12:41:17 --delay 1 --endMP 204:141 --enddatetime 2016-09-01T13:21:13 --enforcementcount 0 &gt;&gt;C:\Users\stu\Documents\GitHub\eaglep3-reporting\EC\2016-09-01-refined-times.txt</v>
      </c>
      <c r="AI78" s="149" t="str">
        <f t="shared" si="3"/>
        <v>echo {"issue":{"subject":"","project_id":79,"tracker_id":40,"status_id":1,"priority_id":2,"assigned_to_id":23,"start_date":"2016-09-01","description":"","custom_fields":[{"id":1,"name":"Subdivision","value":"EC"},{"id":4,"name":"Milepost","value":"23.2857"},{"id":17,"name":"Train ID","value":"166-01"},{"id":16,"name":"Locomotive ID","value":"4008"},{"id":130,"name":"Impact","value":""},{"id":150,"name":"Time of Event (Mountain Time)","value":"13:21:13"},{"id":151,"name":"Denver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x14ac:dyDescent="0.25">
      <c r="A79" s="39" t="s">
        <v>468</v>
      </c>
      <c r="B79" s="7">
        <v>4042</v>
      </c>
      <c r="C79" s="24" t="s">
        <v>113</v>
      </c>
      <c r="D79" s="24" t="s">
        <v>109</v>
      </c>
      <c r="E79" s="15">
        <v>42614.49658564815</v>
      </c>
      <c r="F79" s="15">
        <v>42614.500185185185</v>
      </c>
      <c r="G79" s="7">
        <v>1</v>
      </c>
      <c r="H79" s="15" t="s">
        <v>469</v>
      </c>
      <c r="I79" s="15">
        <v>42614.52721064815</v>
      </c>
      <c r="J79" s="7">
        <v>0</v>
      </c>
      <c r="K79" s="132" t="str">
        <f>IF(ISEVEN(B79),(B79-1)&amp;"/"&amp;B79,B79&amp;"/"&amp;(B79+1))</f>
        <v>4041/4042</v>
      </c>
      <c r="L79" s="24" t="str">
        <f>VLOOKUP(A79,'Trips&amp;Operators'!$C$1:$E$10000,3,FALSE)</f>
        <v>YOUNG</v>
      </c>
      <c r="M79" s="6">
        <f>I79-F79</f>
        <v>2.7025462964957114E-2</v>
      </c>
      <c r="N79" s="7">
        <f>24*60*SUM($M79:$M79)</f>
        <v>38.916666669538245</v>
      </c>
      <c r="O79" s="7"/>
      <c r="P79" s="7"/>
      <c r="Q79" s="25"/>
      <c r="R79" s="25"/>
      <c r="S79" s="37">
        <f>SUM(U79:U79)/IF(AG79="EC",12,1)</f>
        <v>1</v>
      </c>
      <c r="T79" s="52" t="str">
        <f>IF(ISEVEN(LEFT(AD79,4)),"Southbound","NorthBound")</f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https://search-rtdc-monitor-bjffxe2xuh6vdkpspy63sjmuny.us-east-1.es.amazonaws.com/_plugin/kibana/#/discover/Steve-Slow-Train-Analysis-(2080s-and-2083s)?_g=(refreshInterval:(display:Off,section:0,value:0),time:(from:'2016-09-01 10:55:05-0600',mode:absolute,to:'2016-09-01 13:39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79" s="54" t="str">
        <f>IF(AA79&lt;IF(AG79="EC",23,5.65),"Y","N")</f>
        <v>N</v>
      </c>
      <c r="X79" s="120">
        <f>VALUE(LEFT(AD79,4))-VALUE(LEFT(AD78,4))</f>
        <v>1</v>
      </c>
      <c r="Y79" s="69">
        <f>RIGHT(D79,LEN(D79)-4)/10000</f>
        <v>4.6199999999999998E-2</v>
      </c>
      <c r="Z79" s="69">
        <f>RIGHT(H79,LEN(H79)-4)/10000</f>
        <v>23.333600000000001</v>
      </c>
      <c r="AA79" s="69">
        <f>ABS(Z79-Y79)</f>
        <v>23.287400000000002</v>
      </c>
      <c r="AB79" s="66" t="e">
        <f>VLOOKUP(A79,Enforcements!$C$7:$J$21,8,0)</f>
        <v>#N/A</v>
      </c>
      <c r="AC79" s="62" t="e">
        <f>VLOOKUP(A79,Enforcements!$C$7:$E$21,3,0)</f>
        <v>#N/A</v>
      </c>
      <c r="AD79" s="63" t="str">
        <f>IF(LEN(A79)=6,"0"&amp;A79,A79)</f>
        <v>0167-01</v>
      </c>
      <c r="AE79" s="99" t="str">
        <f>"aws s3 cp "&amp;s3_bucket&amp;"/RTDC"&amp;B79&amp;"/"&amp;TEXT(F79,"YYYY-MM-DD")&amp;"/ "&amp;search_path&amp;"\RTDC"&amp;B79&amp;"\"&amp;TEXT(F79,"YYYY-MM-DD")&amp;" --recursive &amp; """&amp;walkandungz&amp;""" "&amp;search_path&amp;"\RTDC"&amp;B79&amp;"\"&amp;TEXT(F79,"YYYY-MM-DD")
&amp;" &amp; "&amp;"aws s3 cp "&amp;s3_bucket&amp;"/RTDC"&amp;B79&amp;"/"&amp;TEXT(F79+1,"YYYY-MM-DD")&amp;"/ "&amp;search_path&amp;"\RTDC"&amp;B79&amp;"\"&amp;TEXT(F79+1,"YYYY-MM-DD")&amp;" --recursive &amp; """&amp;walkandungz&amp;""" "&amp;search_path&amp;"\RTDC"&amp;B79&amp;"\"&amp;TEXT(F79+1,"YYYY-MM-DD")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79" s="96" t="str">
        <f>astrogrep_path&amp;" /spath="&amp;search_path&amp;" /stypes=""*"&amp;B79&amp;"*"&amp;TEXT(I79-utc_offset/24,"YYYYMMDD")&amp;"*"" /stext="" "&amp;TEXT(I79-utc_offset/24,"HH")&amp;search_regexp&amp;""" /e /r /s"</f>
        <v>"C:\Program Files (x86)\AstroGrep\AstroGrep.exe" /spath="%USERPROFILE%\AppData\Local\Temp\OnboardLogs" /stypes="*4042*20160901*" /stext=" 18:.+((SYSTEM_STATE.+slice.+state.+changed )|(ment ac)|(system.+state.+changed )|(\|lc)|(penalty)|(\[timeout)|(PRM\|1\|D)|(kpr)|(kdp))" /e /r /s</v>
      </c>
      <c r="AG79" s="1" t="str">
        <f>IFERROR(IF(VALUE(LEFT(AD79,2))&lt;=2,"EC",IF(OR(VALUE(LEFT(AD79,2))=8,VALUE(LEFT(AD79,2))=18),"NW","Other")),"Other")</f>
        <v>EC</v>
      </c>
      <c r="AH79" s="100" t="str">
        <f t="shared" ref="AH79:AH141" si="12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167-01 --locoid 4042 --swversion DE.1.0.7.0 --startMP 204:462 --initTime 2016-09-01T11:55:05 --startdatetime 2016-09-01T12:00:16 --delay 1 --endMP 204:233336 --enddatetime 2016-09-01T12:39:11 --enforcementcount 0 &gt;&gt;C:\Users\stu\Documents\GitHub\eaglep3-reporting\EC\2016-09-01-refined-times.txt</v>
      </c>
      <c r="AI79" s="149" t="str">
        <f t="shared" ref="AI79:AI141" si="13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AA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{"issue":{"subject":"","project_id":79,"tracker_id":40,"status_id":1,"priority_id":2,"assigned_to_id":23,"start_date":"2016-09-01","description":"","custom_fields":[{"id":1,"name":"Subdivision","value":"EC"},{"id":4,"name":"Milepost","value":"23.2874"},{"id":17,"name":"Train ID","value":"167-01"},{"id":16,"name":"Locomotive ID","value":"4042"},{"id":130,"name":"Impact","value":""},{"id":150,"name":"Time of Event (Mountain Time)","value":"12:39:11"},{"id":151,"name":"Denver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470</v>
      </c>
      <c r="B80" s="7">
        <v>4041</v>
      </c>
      <c r="C80" s="24" t="s">
        <v>113</v>
      </c>
      <c r="D80" s="24" t="s">
        <v>258</v>
      </c>
      <c r="E80" s="15">
        <v>42614.529513888891</v>
      </c>
      <c r="F80" s="15">
        <v>42614.539143518516</v>
      </c>
      <c r="G80" s="7">
        <v>1</v>
      </c>
      <c r="H80" s="15" t="s">
        <v>167</v>
      </c>
      <c r="I80" s="15">
        <v>42614.568379629629</v>
      </c>
      <c r="J80" s="7">
        <v>0</v>
      </c>
      <c r="K80" s="132" t="str">
        <f>IF(ISEVEN(B80),(B80-1)&amp;"/"&amp;B80,B80&amp;"/"&amp;(B80+1))</f>
        <v>4041/4042</v>
      </c>
      <c r="L80" s="24" t="str">
        <f>VLOOKUP(A80,'Trips&amp;Operators'!$C$1:$E$10000,3,FALSE)</f>
        <v>YOUNG</v>
      </c>
      <c r="M80" s="6">
        <f>I80-F80</f>
        <v>2.923611111327773E-2</v>
      </c>
      <c r="N80" s="7">
        <f>24*60*SUM($M80:$M80)</f>
        <v>42.100000003119931</v>
      </c>
      <c r="O80" s="7"/>
      <c r="P80" s="7"/>
      <c r="Q80" s="25"/>
      <c r="R80" s="25"/>
      <c r="S80" s="37">
        <f>SUM(U80:U80)/IF(AG80="EC",12,1)</f>
        <v>1</v>
      </c>
      <c r="T80" s="52" t="str">
        <f>IF(ISEVEN(LEFT(AD80,4)),"Southbound","NorthBound")</f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https://search-rtdc-monitor-bjffxe2xuh6vdkpspy63sjmuny.us-east-1.es.amazonaws.com/_plugin/kibana/#/discover/Steve-Slow-Train-Analysis-(2080s-and-2083s)?_g=(refreshInterval:(display:Off,section:0,value:0),time:(from:'2016-09-01 11:42:30-0600',mode:absolute,to:'2016-09-01 14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80" s="54" t="str">
        <f>IF(AA80&lt;IF(AG80="EC",23,5.65),"Y","N")</f>
        <v>N</v>
      </c>
      <c r="X80" s="120">
        <f>VALUE(LEFT(AD80,4))-VALUE(LEFT(AD79,4))</f>
        <v>1</v>
      </c>
      <c r="Y80" s="69">
        <f>RIGHT(D80,LEN(D80)-4)/10000</f>
        <v>23.301300000000001</v>
      </c>
      <c r="Z80" s="69">
        <f>RIGHT(H80,LEN(H80)-4)/10000</f>
        <v>1.52E-2</v>
      </c>
      <c r="AA80" s="69">
        <f>ABS(Z80-Y80)</f>
        <v>23.286100000000001</v>
      </c>
      <c r="AB80" s="66" t="e">
        <f>VLOOKUP(A80,Enforcements!$C$7:$J$21,8,0)</f>
        <v>#N/A</v>
      </c>
      <c r="AC80" s="62" t="e">
        <f>VLOOKUP(A80,Enforcements!$C$7:$E$21,3,0)</f>
        <v>#N/A</v>
      </c>
      <c r="AD80" s="63" t="str">
        <f>IF(LEN(A80)=6,"0"&amp;A80,A80)</f>
        <v>0168-01</v>
      </c>
      <c r="AE80" s="99" t="str">
        <f>"aws s3 cp "&amp;s3_bucket&amp;"/RTDC"&amp;B80&amp;"/"&amp;TEXT(F80,"YYYY-MM-DD")&amp;"/ "&amp;search_path&amp;"\RTDC"&amp;B80&amp;"\"&amp;TEXT(F80,"YYYY-MM-DD")&amp;" --recursive &amp; """&amp;walkandungz&amp;""" "&amp;search_path&amp;"\RTDC"&amp;B80&amp;"\"&amp;TEXT(F80,"YYYY-MM-DD")
&amp;" &amp; "&amp;"aws s3 cp "&amp;s3_bucket&amp;"/RTDC"&amp;B80&amp;"/"&amp;TEXT(F80+1,"YYYY-MM-DD")&amp;"/ "&amp;search_path&amp;"\RTDC"&amp;B80&amp;"\"&amp;TEXT(F80+1,"YYYY-MM-DD")&amp;" --recursive &amp; """&amp;walkandungz&amp;""" "&amp;search_path&amp;"\RTDC"&amp;B80&amp;"\"&amp;TEXT(F80+1,"YYYY-MM-DD")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80" s="96" t="str">
        <f>astrogrep_path&amp;" /spath="&amp;search_path&amp;" /stypes=""*"&amp;B80&amp;"*"&amp;TEXT(I80-utc_offset/24,"YYYYMMDD")&amp;"*"" /stext="" "&amp;TEXT(I80-utc_offset/24,"HH")&amp;search_regexp&amp;""" /e /r /s"</f>
        <v>"C:\Program Files (x86)\AstroGrep\AstroGrep.exe" /spath="%USERPROFILE%\AppData\Local\Temp\OnboardLogs" /stypes="*4041*20160901*" /stext=" 19:.+((SYSTEM_STATE.+slice.+state.+changed )|(ment ac)|(system.+state.+changed )|(\|lc)|(penalty)|(\[timeout)|(PRM\|1\|D)|(kpr)|(kdp))" /e /r /s</v>
      </c>
      <c r="AG80" s="1" t="str">
        <f>IFERROR(IF(VALUE(LEFT(AD80,2))&lt;=2,"EC",IF(OR(VALUE(LEFT(AD80,2))=8,VALUE(LEFT(AD80,2))=18),"NW","Other")),"Other")</f>
        <v>EC</v>
      </c>
      <c r="AH80" s="100" t="str">
        <f t="shared" si="12"/>
        <v>"%USERPROFILE%\Documents\GitHub\eaglep3\Utilities\RefineRTDCRunTimes.py" --tripid 168-01 --locoid 4041 --swversion DE.1.0.7.0 --startMP 204:233013 --initTime 2016-09-01T12:42:30 --startdatetime 2016-09-01T12:56:22 --delay 1 --endMP 204:152 --enddatetime 2016-09-01T13:38:28 --enforcementcount 0 &gt;&gt;C:\Users\stu\Documents\GitHub\eaglep3-reporting\EC\2016-09-01-refined-times.txt</v>
      </c>
      <c r="AI80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{"issue":{"subject":"","project_id":79,"tracker_id":40,"status_id":1,"priority_id":2,"assigned_to_id":23,"start_date":"2016-09-01","description":"","custom_fields":[{"id":1,"name":"Subdivision","value":"EC"},{"id":4,"name":"Milepost","value":"23.2861"},{"id":17,"name":"Train ID","value":"168-01"},{"id":16,"name":"Locomotive ID","value":"4041"},{"id":130,"name":"Impact","value":""},{"id":150,"name":"Time of Event (Mountain Time)","value":"13:38:28"},{"id":151,"name":"Denver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471</v>
      </c>
      <c r="B81" s="7">
        <v>4044</v>
      </c>
      <c r="C81" s="24" t="s">
        <v>113</v>
      </c>
      <c r="D81" s="24" t="s">
        <v>243</v>
      </c>
      <c r="E81" s="15">
        <v>42614.505254629628</v>
      </c>
      <c r="F81" s="15">
        <v>42614.511006944442</v>
      </c>
      <c r="G81" s="7">
        <v>1</v>
      </c>
      <c r="H81" s="15" t="s">
        <v>247</v>
      </c>
      <c r="I81" s="15">
        <v>42614.536539351851</v>
      </c>
      <c r="J81" s="7">
        <v>0</v>
      </c>
      <c r="K81" s="132" t="str">
        <f>IF(ISEVEN(B81),(B81-1)&amp;"/"&amp;B81,B81&amp;"/"&amp;(B81+1))</f>
        <v>4043/4044</v>
      </c>
      <c r="L81" s="24" t="str">
        <f>VLOOKUP(A81,'Trips&amp;Operators'!$C$1:$E$10000,3,FALSE)</f>
        <v>ISHMAEL</v>
      </c>
      <c r="M81" s="6">
        <f>I81-F81</f>
        <v>2.5532407409627922E-2</v>
      </c>
      <c r="N81" s="7">
        <f>24*60*SUM($M81:$M81)</f>
        <v>36.766666669864208</v>
      </c>
      <c r="O81" s="7"/>
      <c r="P81" s="7"/>
      <c r="Q81" s="25"/>
      <c r="R81" s="25"/>
      <c r="S81" s="37">
        <f>SUM(U81:U81)/IF(AG81="EC",12,1)</f>
        <v>1</v>
      </c>
      <c r="T81" s="52" t="str">
        <f>IF(ISEVEN(LEFT(AD81,4)),"Southbound","NorthBound")</f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hh:mm:ss")&amp;"-0600',mode:absolute,to:'"&amp;TEXT(I81+1/24,"yyyy-MM-DD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https://search-rtdc-monitor-bjffxe2xuh6vdkpspy63sjmuny.us-east-1.es.amazonaws.com/_plugin/kibana/#/discover/Steve-Slow-Train-Analysis-(2080s-and-2083s)?_g=(refreshInterval:(display:Off,section:0,value:0),time:(from:'2016-09-01 11:07:34-0600',mode:absolute,to:'2016-09-01 13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81" s="54" t="str">
        <f>IF(AA81&lt;IF(AG81="EC",23,5.65),"Y","N")</f>
        <v>N</v>
      </c>
      <c r="X81" s="120">
        <f>VALUE(LEFT(AD81,4))-VALUE(LEFT(AD80,4))</f>
        <v>1</v>
      </c>
      <c r="Y81" s="69">
        <f>RIGHT(D81,LEN(D81)-4)/10000</f>
        <v>4.6600000000000003E-2</v>
      </c>
      <c r="Z81" s="69">
        <f>RIGHT(H81,LEN(H81)-4)/10000</f>
        <v>23.328800000000001</v>
      </c>
      <c r="AA81" s="69">
        <f>ABS(Z81-Y81)</f>
        <v>23.2822</v>
      </c>
      <c r="AB81" s="66" t="e">
        <f>VLOOKUP(A81,Enforcements!$C$7:$J$21,8,0)</f>
        <v>#N/A</v>
      </c>
      <c r="AC81" s="62" t="e">
        <f>VLOOKUP(A81,Enforcements!$C$7:$E$21,3,0)</f>
        <v>#N/A</v>
      </c>
      <c r="AD81" s="63" t="str">
        <f>IF(LEN(A81)=6,"0"&amp;A81,A81)</f>
        <v>0169-01</v>
      </c>
      <c r="AE81" s="99" t="str">
        <f>"aws s3 cp "&amp;s3_bucket&amp;"/RTDC"&amp;B81&amp;"/"&amp;TEXT(F81,"YYYY-MM-DD")&amp;"/ "&amp;search_path&amp;"\RTDC"&amp;B81&amp;"\"&amp;TEXT(F81,"YYYY-MM-DD")&amp;" --recursive &amp; """&amp;walkandungz&amp;""" "&amp;search_path&amp;"\RTDC"&amp;B81&amp;"\"&amp;TEXT(F81,"YYYY-MM-DD")
&amp;" &amp; "&amp;"aws s3 cp "&amp;s3_bucket&amp;"/RTDC"&amp;B81&amp;"/"&amp;TEXT(F81+1,"YYYY-MM-DD")&amp;"/ "&amp;search_path&amp;"\RTDC"&amp;B81&amp;"\"&amp;TEXT(F81+1,"YYYY-MM-DD")&amp;" --recursive &amp; """&amp;walkandungz&amp;""" "&amp;search_path&amp;"\RTDC"&amp;B81&amp;"\"&amp;TEXT(F81+1,"YYYY-MM-DD")</f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81" s="96" t="str">
        <f>astrogrep_path&amp;" /spath="&amp;search_path&amp;" /stypes=""*"&amp;B81&amp;"*"&amp;TEXT(I81-utc_offset/24,"YYYYMMDD")&amp;"*"" /stext="" "&amp;TEXT(I81-utc_offset/24,"HH")&amp;search_regexp&amp;""" /e /r /s"</f>
        <v>"C:\Program Files (x86)\AstroGrep\AstroGrep.exe" /spath="%USERPROFILE%\AppData\Local\Temp\OnboardLogs" /stypes="*4044*20160901*" /stext=" 18:.+((SYSTEM_STATE.+slice.+state.+changed )|(ment ac)|(system.+state.+changed )|(\|lc)|(penalty)|(\[timeout)|(PRM\|1\|D)|(kpr)|(kdp))" /e /r /s</v>
      </c>
      <c r="AG81" s="1" t="str">
        <f>IFERROR(IF(VALUE(LEFT(AD81,2))&lt;=2,"EC",IF(OR(VALUE(LEFT(AD81,2))=8,VALUE(LEFT(AD81,2))=18),"NW","Other")),"Other")</f>
        <v>EC</v>
      </c>
      <c r="AH81" s="100" t="str">
        <f t="shared" si="12"/>
        <v>"%USERPROFILE%\Documents\GitHub\eaglep3\Utilities\RefineRTDCRunTimes.py" --tripid 169-01 --locoid 4044 --swversion DE.1.0.7.0 --startMP 204:466 --initTime 2016-09-01T12:07:34 --startdatetime 2016-09-01T12:15:51 --delay 1 --endMP 204:233288 --enddatetime 2016-09-01T12:52:37 --enforcementcount 0 &gt;&gt;C:\Users\stu\Documents\GitHub\eaglep3-reporting\EC\2016-09-01-refined-times.txt</v>
      </c>
      <c r="AI81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{"issue":{"subject":"","project_id":79,"tracker_id":40,"status_id":1,"priority_id":2,"assigned_to_id":23,"start_date":"2016-09-01","description":"","custom_fields":[{"id":1,"name":"Subdivision","value":"EC"},{"id":4,"name":"Milepost","value":"23.2822"},{"id":17,"name":"Train ID","value":"169-01"},{"id":16,"name":"Locomotive ID","value":"4044"},{"id":130,"name":"Impact","value":""},{"id":150,"name":"Time of Event (Mountain Time)","value":"12:52:37"},{"id":151,"name":"Denver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472</v>
      </c>
      <c r="B82" s="7">
        <v>4043</v>
      </c>
      <c r="C82" s="24" t="s">
        <v>113</v>
      </c>
      <c r="D82" s="24" t="s">
        <v>220</v>
      </c>
      <c r="E82" s="15">
        <v>42614.542800925927</v>
      </c>
      <c r="F82" s="15">
        <v>42614.549479166664</v>
      </c>
      <c r="G82" s="7">
        <v>1</v>
      </c>
      <c r="H82" s="15" t="s">
        <v>294</v>
      </c>
      <c r="I82" s="15">
        <v>42614.578206018516</v>
      </c>
      <c r="J82" s="7">
        <v>0</v>
      </c>
      <c r="K82" s="132" t="str">
        <f>IF(ISEVEN(B82),(B82-1)&amp;"/"&amp;B82,B82&amp;"/"&amp;(B82+1))</f>
        <v>4043/4044</v>
      </c>
      <c r="L82" s="24" t="str">
        <f>VLOOKUP(A82,'Trips&amp;Operators'!$C$1:$E$10000,3,FALSE)</f>
        <v>ISHMAEL</v>
      </c>
      <c r="M82" s="6">
        <f>I82-F82</f>
        <v>2.8726851851388346E-2</v>
      </c>
      <c r="N82" s="7">
        <f>24*60*SUM($M82:$M82)</f>
        <v>41.366666665999219</v>
      </c>
      <c r="O82" s="7"/>
      <c r="P82" s="7"/>
      <c r="Q82" s="25"/>
      <c r="R82" s="25"/>
      <c r="S82" s="37">
        <f>SUM(U82:U82)/IF(AG82="EC",12,1)</f>
        <v>1</v>
      </c>
      <c r="T82" s="52" t="str">
        <f>IF(ISEVEN(LEFT(AD82,4)),"Southbound","NorthBound")</f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hh:mm:ss")&amp;"-0600',mode:absolute,to:'"&amp;TEXT(I82+1/24,"yyyy-MM-DD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https://search-rtdc-monitor-bjffxe2xuh6vdkpspy63sjmuny.us-east-1.es.amazonaws.com/_plugin/kibana/#/discover/Steve-Slow-Train-Analysis-(2080s-and-2083s)?_g=(refreshInterval:(display:Off,section:0,value:0),time:(from:'2016-09-01 12:01:38-0600',mode:absolute,to:'2016-09-01 14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82" s="54" t="str">
        <f>IF(AA82&lt;IF(AG82="EC",23,5.65),"Y","N")</f>
        <v>N</v>
      </c>
      <c r="X82" s="120">
        <f>VALUE(LEFT(AD82,4))-VALUE(LEFT(AD81,4))</f>
        <v>1</v>
      </c>
      <c r="Y82" s="69">
        <f>RIGHT(D82,LEN(D82)-4)/10000</f>
        <v>23.297999999999998</v>
      </c>
      <c r="Z82" s="69">
        <f>RIGHT(H82,LEN(H82)-4)/10000</f>
        <v>1.61E-2</v>
      </c>
      <c r="AA82" s="69">
        <f>ABS(Z82-Y82)</f>
        <v>23.281899999999997</v>
      </c>
      <c r="AB82" s="66" t="e">
        <f>VLOOKUP(A82,Enforcements!$C$7:$J$21,8,0)</f>
        <v>#N/A</v>
      </c>
      <c r="AC82" s="62" t="e">
        <f>VLOOKUP(A82,Enforcements!$C$7:$E$21,3,0)</f>
        <v>#N/A</v>
      </c>
      <c r="AD82" s="63" t="str">
        <f>IF(LEN(A82)=6,"0"&amp;A82,A82)</f>
        <v>0170-01</v>
      </c>
      <c r="AE82" s="99" t="str">
        <f>"aws s3 cp "&amp;s3_bucket&amp;"/RTDC"&amp;B82&amp;"/"&amp;TEXT(F82,"YYYY-MM-DD")&amp;"/ "&amp;search_path&amp;"\RTDC"&amp;B82&amp;"\"&amp;TEXT(F82,"YYYY-MM-DD")&amp;" --recursive &amp; """&amp;walkandungz&amp;""" "&amp;search_path&amp;"\RTDC"&amp;B82&amp;"\"&amp;TEXT(F82,"YYYY-MM-DD")
&amp;" &amp; "&amp;"aws s3 cp "&amp;s3_bucket&amp;"/RTDC"&amp;B82&amp;"/"&amp;TEXT(F82+1,"YYYY-MM-DD")&amp;"/ "&amp;search_path&amp;"\RTDC"&amp;B82&amp;"\"&amp;TEXT(F82+1,"YYYY-MM-DD")&amp;" --recursive &amp; """&amp;walkandungz&amp;""" "&amp;search_path&amp;"\RTDC"&amp;B82&amp;"\"&amp;TEXT(F82+1,"YYYY-MM-DD")</f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82" s="96" t="str">
        <f>astrogrep_path&amp;" /spath="&amp;search_path&amp;" /stypes=""*"&amp;B82&amp;"*"&amp;TEXT(I82-utc_offset/24,"YYYYMMDD")&amp;"*"" /stext="" "&amp;TEXT(I82-utc_offset/24,"HH")&amp;search_regexp&amp;""" /e /r /s"</f>
        <v>"C:\Program Files (x86)\AstroGrep\AstroGrep.exe" /spath="%USERPROFILE%\AppData\Local\Temp\OnboardLogs" /stypes="*4043*20160901*" /stext=" 19:.+((SYSTEM_STATE.+slice.+state.+changed )|(ment ac)|(system.+state.+changed )|(\|lc)|(penalty)|(\[timeout)|(PRM\|1\|D)|(kpr)|(kdp))" /e /r /s</v>
      </c>
      <c r="AG82" s="1" t="str">
        <f>IFERROR(IF(VALUE(LEFT(AD82,2))&lt;=2,"EC",IF(OR(VALUE(LEFT(AD82,2))=8,VALUE(LEFT(AD82,2))=18),"NW","Other")),"Other")</f>
        <v>EC</v>
      </c>
      <c r="AH82" s="100" t="str">
        <f t="shared" si="12"/>
        <v>"%USERPROFILE%\Documents\GitHub\eaglep3\Utilities\RefineRTDCRunTimes.py" --tripid 170-01 --locoid 4043 --swversion DE.1.0.7.0 --startMP 204:232980 --initTime 2016-09-01T13:01:38 --startdatetime 2016-09-01T13:11:15 --delay 1 --endMP 204:161 --enddatetime 2016-09-01T13:52:37 --enforcementcount 0 &gt;&gt;C:\Users\stu\Documents\GitHub\eaglep3-reporting\EC\2016-09-01-refined-times.txt</v>
      </c>
      <c r="AI82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{"issue":{"subject":"","project_id":79,"tracker_id":40,"status_id":1,"priority_id":2,"assigned_to_id":23,"start_date":"2016-09-01","description":"","custom_fields":[{"id":1,"name":"Subdivision","value":"EC"},{"id":4,"name":"Milepost","value":"23.2819"},{"id":17,"name":"Train ID","value":"170-01"},{"id":16,"name":"Locomotive ID","value":"4043"},{"id":130,"name":"Impact","value":""},{"id":150,"name":"Time of Event (Mountain Time)","value":"13:52:37"},{"id":151,"name":"Denver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x14ac:dyDescent="0.25">
      <c r="A83" s="39" t="s">
        <v>473</v>
      </c>
      <c r="B83" s="7">
        <v>4020</v>
      </c>
      <c r="C83" s="24" t="s">
        <v>113</v>
      </c>
      <c r="D83" s="24" t="s">
        <v>243</v>
      </c>
      <c r="E83" s="15">
        <v>42614.516168981485</v>
      </c>
      <c r="F83" s="15">
        <v>42614.521238425928</v>
      </c>
      <c r="G83" s="7">
        <v>1</v>
      </c>
      <c r="H83" s="15" t="s">
        <v>451</v>
      </c>
      <c r="I83" s="15">
        <v>42614.546249999999</v>
      </c>
      <c r="J83" s="7">
        <v>0</v>
      </c>
      <c r="K83" s="132" t="str">
        <f>IF(ISEVEN(B83),(B83-1)&amp;"/"&amp;B83,B83&amp;"/"&amp;(B83+1))</f>
        <v>4019/4020</v>
      </c>
      <c r="L83" s="24" t="str">
        <f>VLOOKUP(A83,'Trips&amp;Operators'!$C$1:$E$10000,3,FALSE)</f>
        <v>SUR</v>
      </c>
      <c r="M83" s="6">
        <f>I83-F83</f>
        <v>2.5011574070958886E-2</v>
      </c>
      <c r="N83" s="7">
        <f>24*60*SUM($M83:$M83)</f>
        <v>36.016666662180796</v>
      </c>
      <c r="O83" s="7"/>
      <c r="P83" s="7"/>
      <c r="Q83" s="25"/>
      <c r="R83" s="25"/>
      <c r="S83" s="37">
        <f>SUM(U83:U83)/IF(AG83="EC",12,1)</f>
        <v>1</v>
      </c>
      <c r="T83" s="52" t="str">
        <f>IF(ISEVEN(LEFT(AD83,4)),"Southbound","NorthBound")</f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hh:mm:ss")&amp;"-0600',mode:absolute,to:'"&amp;TEXT(I83+1/24,"yyyy-MM-DD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https://search-rtdc-monitor-bjffxe2xuh6vdkpspy63sjmuny.us-east-1.es.amazonaws.com/_plugin/kibana/#/discover/Steve-Slow-Train-Analysis-(2080s-and-2083s)?_g=(refreshInterval:(display:Off,section:0,value:0),time:(from:'2016-09-01 11:23:17-0600',mode:absolute,to:'2016-09-01 14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83" s="54" t="str">
        <f>IF(AA83&lt;IF(AG83="EC",23,5.65),"Y","N")</f>
        <v>N</v>
      </c>
      <c r="X83" s="120">
        <f>VALUE(LEFT(AD83,4))-VALUE(LEFT(AD82,4))</f>
        <v>1</v>
      </c>
      <c r="Y83" s="69">
        <f>RIGHT(D83,LEN(D83)-4)/10000</f>
        <v>4.6600000000000003E-2</v>
      </c>
      <c r="Z83" s="69">
        <f>RIGHT(H83,LEN(H83)-4)/10000</f>
        <v>23.329499999999999</v>
      </c>
      <c r="AA83" s="69">
        <f>ABS(Z83-Y83)</f>
        <v>23.282899999999998</v>
      </c>
      <c r="AB83" s="66" t="e">
        <f>VLOOKUP(A83,Enforcements!$C$7:$J$21,8,0)</f>
        <v>#N/A</v>
      </c>
      <c r="AC83" s="62" t="e">
        <f>VLOOKUP(A83,Enforcements!$C$7:$E$21,3,0)</f>
        <v>#N/A</v>
      </c>
      <c r="AD83" s="63" t="str">
        <f>IF(LEN(A83)=6,"0"&amp;A83,A83)</f>
        <v>0171-01</v>
      </c>
      <c r="AE83" s="99" t="str">
        <f>"aws s3 cp "&amp;s3_bucket&amp;"/RTDC"&amp;B83&amp;"/"&amp;TEXT(F83,"YYYY-MM-DD")&amp;"/ "&amp;search_path&amp;"\RTDC"&amp;B83&amp;"\"&amp;TEXT(F83,"YYYY-MM-DD")&amp;" --recursive &amp; """&amp;walkandungz&amp;""" "&amp;search_path&amp;"\RTDC"&amp;B83&amp;"\"&amp;TEXT(F83,"YYYY-MM-DD")
&amp;" &amp; "&amp;"aws s3 cp "&amp;s3_bucket&amp;"/RTDC"&amp;B83&amp;"/"&amp;TEXT(F83+1,"YYYY-MM-DD")&amp;"/ "&amp;search_path&amp;"\RTDC"&amp;B83&amp;"\"&amp;TEXT(F83+1,"YYYY-MM-DD")&amp;" --recursive &amp; """&amp;walkandungz&amp;""" "&amp;search_path&amp;"\RTDC"&amp;B83&amp;"\"&amp;TEXT(F83+1,"YYYY-MM-DD")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83" s="96" t="str">
        <f>astrogrep_path&amp;" /spath="&amp;search_path&amp;" /stypes=""*"&amp;B83&amp;"*"&amp;TEXT(I83-utc_offset/24,"YYYYMMDD")&amp;"*"" /stext="" "&amp;TEXT(I83-utc_offset/24,"HH")&amp;search_regexp&amp;""" /e /r /s"</f>
        <v>"C:\Program Files (x86)\AstroGrep\AstroGrep.exe" /spath="%USERPROFILE%\AppData\Local\Temp\OnboardLogs" /stypes="*4020*20160901*" /stext=" 19:.+((SYSTEM_STATE.+slice.+state.+changed )|(ment ac)|(system.+state.+changed )|(\|lc)|(penalty)|(\[timeout)|(PRM\|1\|D)|(kpr)|(kdp))" /e /r /s</v>
      </c>
      <c r="AG83" s="1" t="str">
        <f>IFERROR(IF(VALUE(LEFT(AD83,2))&lt;=2,"EC",IF(OR(VALUE(LEFT(AD83,2))=8,VALUE(LEFT(AD83,2))=18),"NW","Other")),"Other")</f>
        <v>EC</v>
      </c>
      <c r="AH83" s="100" t="str">
        <f t="shared" si="12"/>
        <v>"%USERPROFILE%\Documents\GitHub\eaglep3\Utilities\RefineRTDCRunTimes.py" --tripid 171-01 --locoid 4020 --swversion DE.1.0.7.0 --startMP 204:466 --initTime 2016-09-01T12:23:17 --startdatetime 2016-09-01T12:30:35 --delay 1 --endMP 204:233295 --enddatetime 2016-09-01T13:06:36 --enforcementcount 0 &gt;&gt;C:\Users\stu\Documents\GitHub\eaglep3-reporting\EC\2016-09-01-refined-times.txt</v>
      </c>
      <c r="AI83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{"issue":{"subject":"","project_id":79,"tracker_id":40,"status_id":1,"priority_id":2,"assigned_to_id":23,"start_date":"2016-09-01","description":"","custom_fields":[{"id":1,"name":"Subdivision","value":"EC"},{"id":4,"name":"Milepost","value":"23.2829"},{"id":17,"name":"Train ID","value":"171-01"},{"id":16,"name":"Locomotive ID","value":"4020"},{"id":130,"name":"Impact","value":""},{"id":150,"name":"Time of Event (Mountain Time)","value":"13:06:36"},{"id":151,"name":"Denver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23" customFormat="1" x14ac:dyDescent="0.25">
      <c r="A84" s="39" t="s">
        <v>474</v>
      </c>
      <c r="B84" s="7">
        <v>4019</v>
      </c>
      <c r="C84" s="24" t="s">
        <v>113</v>
      </c>
      <c r="D84" s="24" t="s">
        <v>242</v>
      </c>
      <c r="E84" s="15">
        <v>42614.551574074074</v>
      </c>
      <c r="F84" s="15">
        <v>42614.560046296298</v>
      </c>
      <c r="G84" s="7">
        <v>6</v>
      </c>
      <c r="H84" s="15" t="s">
        <v>324</v>
      </c>
      <c r="I84" s="15">
        <v>42614.587025462963</v>
      </c>
      <c r="J84" s="7">
        <v>0</v>
      </c>
      <c r="K84" s="132" t="str">
        <f>IF(ISEVEN(B84),(B84-1)&amp;"/"&amp;B84,B84&amp;"/"&amp;(B84+1))</f>
        <v>4019/4020</v>
      </c>
      <c r="L84" s="24" t="str">
        <f>VLOOKUP(A84,'Trips&amp;Operators'!$C$1:$E$10000,3,FALSE)</f>
        <v>SUR</v>
      </c>
      <c r="M84" s="6">
        <f>I84-F84</f>
        <v>2.6979166665114462E-2</v>
      </c>
      <c r="N84" s="7">
        <f>24*60*SUM($M84:$M84)</f>
        <v>38.849999997764826</v>
      </c>
      <c r="O84" s="7"/>
      <c r="P84" s="7"/>
      <c r="Q84" s="25"/>
      <c r="R84" s="25"/>
      <c r="S84" s="37">
        <f>SUM(U84:U84)/IF(AG84="EC",12,1)</f>
        <v>1</v>
      </c>
      <c r="T84" s="52" t="str">
        <f>IF(ISEVEN(LEFT(AD84,4)),"Southbound","NorthBound")</f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hh:mm:ss")&amp;"-0600',mode:absolute,to:'"&amp;TEXT(I84+1/24,"yyyy-MM-DD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https://search-rtdc-monitor-bjffxe2xuh6vdkpspy63sjmuny.us-east-1.es.amazonaws.com/_plugin/kibana/#/discover/Steve-Slow-Train-Analysis-(2080s-and-2083s)?_g=(refreshInterval:(display:Off,section:0,value:0),time:(from:'2016-09-01 12:14:16-0600',mode:absolute,to:'2016-09-01 15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84" s="54" t="str">
        <f>IF(AA84&lt;IF(AG84="EC",23,5.65),"Y","N")</f>
        <v>N</v>
      </c>
      <c r="X84" s="120">
        <f>VALUE(LEFT(AD84,4))-VALUE(LEFT(AD83,4))</f>
        <v>1</v>
      </c>
      <c r="Y84" s="69">
        <f>RIGHT(D84,LEN(D84)-4)/10000</f>
        <v>23.298500000000001</v>
      </c>
      <c r="Z84" s="69">
        <f>RIGHT(H84,LEN(H84)-4)/10000</f>
        <v>2.1600000000000001E-2</v>
      </c>
      <c r="AA84" s="69">
        <f>ABS(Z84-Y84)</f>
        <v>23.276900000000001</v>
      </c>
      <c r="AB84" s="66">
        <f>VLOOKUP(A84,Enforcements!$C$7:$J$21,8,0)</f>
        <v>42961</v>
      </c>
      <c r="AC84" s="62" t="str">
        <f>VLOOKUP(A84,Enforcements!$C$7:$E$21,3,0)</f>
        <v>GRADE CROSSING</v>
      </c>
      <c r="AD84" s="63" t="str">
        <f>IF(LEN(A84)=6,"0"&amp;A84,A84)</f>
        <v>0172-01</v>
      </c>
      <c r="AE84" s="99" t="str">
        <f>"aws s3 cp "&amp;s3_bucket&amp;"/RTDC"&amp;B84&amp;"/"&amp;TEXT(F84,"YYYY-MM-DD")&amp;"/ "&amp;search_path&amp;"\RTDC"&amp;B84&amp;"\"&amp;TEXT(F84,"YYYY-MM-DD")&amp;" --recursive &amp; """&amp;walkandungz&amp;""" "&amp;search_path&amp;"\RTDC"&amp;B84&amp;"\"&amp;TEXT(F84,"YYYY-MM-DD")
&amp;" &amp; "&amp;"aws s3 cp "&amp;s3_bucket&amp;"/RTDC"&amp;B84&amp;"/"&amp;TEXT(F84+1,"YYYY-MM-DD")&amp;"/ "&amp;search_path&amp;"\RTDC"&amp;B84&amp;"\"&amp;TEXT(F84+1,"YYYY-MM-DD")&amp;" --recursive &amp; """&amp;walkandungz&amp;""" "&amp;search_path&amp;"\RTDC"&amp;B84&amp;"\"&amp;TEXT(F84+1,"YYYY-MM-DD")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84" s="96" t="str">
        <f>astrogrep_path&amp;" /spath="&amp;search_path&amp;" /stypes=""*"&amp;B84&amp;"*"&amp;TEXT(I84-utc_offset/24,"YYYYMMDD")&amp;"*"" /stext="" "&amp;TEXT(I84-utc_offset/24,"HH")&amp;search_regexp&amp;""" /e /r /s"</f>
        <v>"C:\Program Files (x86)\AstroGrep\AstroGrep.exe" /spath="%USERPROFILE%\AppData\Local\Temp\OnboardLogs" /stypes="*4019*20160901*" /stext=" 20:.+((SYSTEM_STATE.+slice.+state.+changed )|(ment ac)|(system.+state.+changed )|(\|lc)|(penalty)|(\[timeout)|(PRM\|1\|D)|(kpr)|(kdp))" /e /r /s</v>
      </c>
      <c r="AG84" s="1" t="str">
        <f>IFERROR(IF(VALUE(LEFT(AD84,2))&lt;=2,"EC",IF(OR(VALUE(LEFT(AD84,2))=8,VALUE(LEFT(AD84,2))=18),"NW","Other")),"Other")</f>
        <v>EC</v>
      </c>
      <c r="AH84" s="100" t="str">
        <f t="shared" si="12"/>
        <v>"%USERPROFILE%\Documents\GitHub\eaglep3\Utilities\RefineRTDCRunTimes.py" --tripid 172-01 --locoid 4019 --swversion DE.1.0.7.0 --startMP 204:232985 --initTime 2016-09-01T13:14:16 --startdatetime 2016-09-01T13:26:28 --delay 6 --endMP 204:216 --enddatetime 2016-09-01T14:05:19 --enforcementcount 0 &gt;&gt;C:\Users\stu\Documents\GitHub\eaglep3-reporting\EC\2016-09-01-refined-times.txt</v>
      </c>
      <c r="AI84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{"issue":{"subject":"","project_id":79,"tracker_id":40,"status_id":1,"priority_id":2,"assigned_to_id":23,"start_date":"2016-09-01","description":"","custom_fields":[{"id":1,"name":"Subdivision","value":"EC"},{"id":4,"name":"Milepost","value":"23.2769"},{"id":17,"name":"Train ID","value":"172-01"},{"id":16,"name":"Locomotive ID","value":"4019"},{"id":130,"name":"Impact","value":""},{"id":150,"name":"Time of Event (Mountain Time)","value":"14:05:19"},{"id":151,"name":"Denver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23" customFormat="1" x14ac:dyDescent="0.25">
      <c r="A85" s="39" t="s">
        <v>475</v>
      </c>
      <c r="B85" s="7">
        <v>4031</v>
      </c>
      <c r="C85" s="24" t="s">
        <v>113</v>
      </c>
      <c r="D85" s="24" t="s">
        <v>325</v>
      </c>
      <c r="E85" s="15">
        <v>42614.527002314811</v>
      </c>
      <c r="F85" s="15">
        <v>42614.531527777777</v>
      </c>
      <c r="G85" s="7">
        <v>1</v>
      </c>
      <c r="H85" s="15" t="s">
        <v>401</v>
      </c>
      <c r="I85" s="15">
        <v>42614.55914351852</v>
      </c>
      <c r="J85" s="7">
        <v>0</v>
      </c>
      <c r="K85" s="132" t="str">
        <f>IF(ISEVEN(B85),(B85-1)&amp;"/"&amp;B85,B85&amp;"/"&amp;(B85+1))</f>
        <v>4031/4032</v>
      </c>
      <c r="L85" s="24" t="str">
        <f>VLOOKUP(A85,'Trips&amp;Operators'!$C$1:$E$10000,3,FALSE)</f>
        <v>ROBINSON</v>
      </c>
      <c r="M85" s="6">
        <f>I85-F85</f>
        <v>2.7615740742476191E-2</v>
      </c>
      <c r="N85" s="7">
        <f>24*60*SUM($M85:$M85)</f>
        <v>39.766666669165716</v>
      </c>
      <c r="O85" s="7"/>
      <c r="P85" s="7"/>
      <c r="Q85" s="25"/>
      <c r="R85" s="25"/>
      <c r="S85" s="37">
        <f>SUM(U85:U85)/IF(AG85="EC",12,1)</f>
        <v>1</v>
      </c>
      <c r="T85" s="52" t="str">
        <f>IF(ISEVEN(LEFT(AD85,4)),"Southbound","NorthBound")</f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hh:mm:ss")&amp;"-0600',mode:absolute,to:'"&amp;TEXT(I85+1/24,"yyyy-MM-DD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https://search-rtdc-monitor-bjffxe2xuh6vdkpspy63sjmuny.us-east-1.es.amazonaws.com/_plugin/kibana/#/discover/Steve-Slow-Train-Analysis-(2080s-and-2083s)?_g=(refreshInterval:(display:Off,section:0,value:0),time:(from:'2016-09-01 11:38:53-0600',mode:absolute,to:'2016-09-01 14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85" s="54" t="str">
        <f>IF(AA85&lt;IF(AG85="EC",23,5.65),"Y","N")</f>
        <v>N</v>
      </c>
      <c r="X85" s="120">
        <f>VALUE(LEFT(AD85,4))-VALUE(LEFT(AD84,4))</f>
        <v>1</v>
      </c>
      <c r="Y85" s="69">
        <f>RIGHT(D85,LEN(D85)-4)/10000</f>
        <v>4.6899999999999997E-2</v>
      </c>
      <c r="Z85" s="69">
        <f>RIGHT(H85,LEN(H85)-4)/10000</f>
        <v>23.3322</v>
      </c>
      <c r="AA85" s="69">
        <f>ABS(Z85-Y85)</f>
        <v>23.285299999999999</v>
      </c>
      <c r="AB85" s="66" t="e">
        <f>VLOOKUP(A85,Enforcements!$C$7:$J$21,8,0)</f>
        <v>#N/A</v>
      </c>
      <c r="AC85" s="62" t="e">
        <f>VLOOKUP(A85,Enforcements!$C$7:$E$21,3,0)</f>
        <v>#N/A</v>
      </c>
      <c r="AD85" s="63" t="str">
        <f>IF(LEN(A85)=6,"0"&amp;A85,A85)</f>
        <v>0173-01</v>
      </c>
      <c r="AE85" s="99" t="str">
        <f>"aws s3 cp "&amp;s3_bucket&amp;"/RTDC"&amp;B85&amp;"/"&amp;TEXT(F85,"YYYY-MM-DD")&amp;"/ "&amp;search_path&amp;"\RTDC"&amp;B85&amp;"\"&amp;TEXT(F85,"YYYY-MM-DD")&amp;" --recursive &amp; """&amp;walkandungz&amp;""" "&amp;search_path&amp;"\RTDC"&amp;B85&amp;"\"&amp;TEXT(F85,"YYYY-MM-DD")
&amp;" &amp; "&amp;"aws s3 cp "&amp;s3_bucket&amp;"/RTDC"&amp;B85&amp;"/"&amp;TEXT(F85+1,"YYYY-MM-DD")&amp;"/ "&amp;search_path&amp;"\RTDC"&amp;B85&amp;"\"&amp;TEXT(F85+1,"YYYY-MM-DD")&amp;" --recursive &amp; """&amp;walkandungz&amp;""" "&amp;search_path&amp;"\RTDC"&amp;B85&amp;"\"&amp;TEXT(F85+1,"YYYY-MM-DD")</f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85" s="96" t="str">
        <f>astrogrep_path&amp;" /spath="&amp;search_path&amp;" /stypes=""*"&amp;B85&amp;"*"&amp;TEXT(I85-utc_offset/24,"YYYYMMDD")&amp;"*"" /stext="" "&amp;TEXT(I85-utc_offset/24,"HH")&amp;search_regexp&amp;""" /e /r /s"</f>
        <v>"C:\Program Files (x86)\AstroGrep\AstroGrep.exe" /spath="%USERPROFILE%\AppData\Local\Temp\OnboardLogs" /stypes="*4031*20160901*" /stext=" 19:.+((SYSTEM_STATE.+slice.+state.+changed )|(ment ac)|(system.+state.+changed )|(\|lc)|(penalty)|(\[timeout)|(PRM\|1\|D)|(kpr)|(kdp))" /e /r /s</v>
      </c>
      <c r="AG85" s="1" t="str">
        <f>IFERROR(IF(VALUE(LEFT(AD85,2))&lt;=2,"EC",IF(OR(VALUE(LEFT(AD85,2))=8,VALUE(LEFT(AD85,2))=18),"NW","Other")),"Other")</f>
        <v>EC</v>
      </c>
      <c r="AH85" s="100" t="str">
        <f t="shared" si="12"/>
        <v>"%USERPROFILE%\Documents\GitHub\eaglep3\Utilities\RefineRTDCRunTimes.py" --tripid 173-01 --locoid 4031 --swversion DE.1.0.7.0 --startMP 204:469 --initTime 2016-09-01T12:38:53 --startdatetime 2016-09-01T12:45:24 --delay 1 --endMP 204:233322 --enddatetime 2016-09-01T13:25:10 --enforcementcount 0 &gt;&gt;C:\Users\stu\Documents\GitHub\eaglep3-reporting\EC\2016-09-01-refined-times.txt</v>
      </c>
      <c r="AI85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{"issue":{"subject":"","project_id":79,"tracker_id":40,"status_id":1,"priority_id":2,"assigned_to_id":23,"start_date":"2016-09-01","description":"","custom_fields":[{"id":1,"name":"Subdivision","value":"EC"},{"id":4,"name":"Milepost","value":"23.2853"},{"id":17,"name":"Train ID","value":"173-01"},{"id":16,"name":"Locomotive ID","value":"4031"},{"id":130,"name":"Impact","value":""},{"id":150,"name":"Time of Event (Mountain Time)","value":"13:25:10"},{"id":151,"name":"Denver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x14ac:dyDescent="0.25">
      <c r="A86" s="39" t="s">
        <v>476</v>
      </c>
      <c r="B86" s="7">
        <v>4032</v>
      </c>
      <c r="C86" s="24" t="s">
        <v>113</v>
      </c>
      <c r="D86" s="24" t="s">
        <v>270</v>
      </c>
      <c r="E86" s="15">
        <v>42614.567777777775</v>
      </c>
      <c r="F86" s="15">
        <v>42614.570462962962</v>
      </c>
      <c r="G86" s="7">
        <v>1</v>
      </c>
      <c r="H86" s="15" t="s">
        <v>269</v>
      </c>
      <c r="I86" s="15">
        <v>42614.596770833334</v>
      </c>
      <c r="J86" s="7">
        <v>0</v>
      </c>
      <c r="K86" s="132" t="str">
        <f>IF(ISEVEN(B86),(B86-1)&amp;"/"&amp;B86,B86&amp;"/"&amp;(B86+1))</f>
        <v>4031/4032</v>
      </c>
      <c r="L86" s="24" t="str">
        <f>VLOOKUP(A86,'Trips&amp;Operators'!$C$1:$E$10000,3,FALSE)</f>
        <v>BONDS</v>
      </c>
      <c r="M86" s="6">
        <f>I86-F86</f>
        <v>2.6307870371965691E-2</v>
      </c>
      <c r="N86" s="7">
        <f>24*60*SUM($M86:$M86)</f>
        <v>37.883333335630596</v>
      </c>
      <c r="O86" s="7"/>
      <c r="P86" s="7"/>
      <c r="Q86" s="25"/>
      <c r="R86" s="25"/>
      <c r="S86" s="37">
        <f>SUM(U86:U86)/IF(AG86="EC",12,1)</f>
        <v>1</v>
      </c>
      <c r="T86" s="52" t="str">
        <f>IF(ISEVEN(LEFT(AD86,4)),"Southbound","NorthBound")</f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hh:mm:ss")&amp;"-0600',mode:absolute,to:'"&amp;TEXT(I86+1/24,"yyyy-MM-DD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https://search-rtdc-monitor-bjffxe2xuh6vdkpspy63sjmuny.us-east-1.es.amazonaws.com/_plugin/kibana/#/discover/Steve-Slow-Train-Analysis-(2080s-and-2083s)?_g=(refreshInterval:(display:Off,section:0,value:0),time:(from:'2016-09-01 12:37:36-0600',mode:absolute,to:'2016-09-01 15:19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86" s="54" t="str">
        <f>IF(AA86&lt;IF(AG86="EC",23,5.65),"Y","N")</f>
        <v>N</v>
      </c>
      <c r="X86" s="120">
        <f>VALUE(LEFT(AD86,4))-VALUE(LEFT(AD85,4))</f>
        <v>1</v>
      </c>
      <c r="Y86" s="69">
        <f>RIGHT(D86,LEN(D86)-4)/10000</f>
        <v>23.297499999999999</v>
      </c>
      <c r="Z86" s="69">
        <f>RIGHT(H86,LEN(H86)-4)/10000</f>
        <v>1.6299999999999999E-2</v>
      </c>
      <c r="AA86" s="69">
        <f>ABS(Z86-Y86)</f>
        <v>23.281199999999998</v>
      </c>
      <c r="AB86" s="66" t="e">
        <f>VLOOKUP(A86,Enforcements!$C$7:$J$21,8,0)</f>
        <v>#N/A</v>
      </c>
      <c r="AC86" s="62" t="e">
        <f>VLOOKUP(A86,Enforcements!$C$7:$E$21,3,0)</f>
        <v>#N/A</v>
      </c>
      <c r="AD86" s="63" t="str">
        <f>IF(LEN(A86)=6,"0"&amp;A86,A86)</f>
        <v>0174-01</v>
      </c>
      <c r="AE86" s="99" t="str">
        <f>"aws s3 cp "&amp;s3_bucket&amp;"/RTDC"&amp;B86&amp;"/"&amp;TEXT(F86,"YYYY-MM-DD")&amp;"/ "&amp;search_path&amp;"\RTDC"&amp;B86&amp;"\"&amp;TEXT(F86,"YYYY-MM-DD")&amp;" --recursive &amp; """&amp;walkandungz&amp;""" "&amp;search_path&amp;"\RTDC"&amp;B86&amp;"\"&amp;TEXT(F86,"YYYY-MM-DD")
&amp;" &amp; "&amp;"aws s3 cp "&amp;s3_bucket&amp;"/RTDC"&amp;B86&amp;"/"&amp;TEXT(F86+1,"YYYY-MM-DD")&amp;"/ "&amp;search_path&amp;"\RTDC"&amp;B86&amp;"\"&amp;TEXT(F86+1,"YYYY-MM-DD")&amp;" --recursive &amp; """&amp;walkandungz&amp;""" "&amp;search_path&amp;"\RTDC"&amp;B86&amp;"\"&amp;TEXT(F86+1,"YYYY-MM-DD")</f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86" s="96" t="str">
        <f>astrogrep_path&amp;" /spath="&amp;search_path&amp;" /stypes=""*"&amp;B86&amp;"*"&amp;TEXT(I86-utc_offset/24,"YYYYMMDD")&amp;"*"" /stext="" "&amp;TEXT(I86-utc_offset/24,"HH")&amp;search_regexp&amp;""" /e /r /s"</f>
        <v>"C:\Program Files (x86)\AstroGrep\AstroGrep.exe" /spath="%USERPROFILE%\AppData\Local\Temp\OnboardLogs" /stypes="*4032*20160901*" /stext=" 20:.+((SYSTEM_STATE.+slice.+state.+changed )|(ment ac)|(system.+state.+changed )|(\|lc)|(penalty)|(\[timeout)|(PRM\|1\|D)|(kpr)|(kdp))" /e /r /s</v>
      </c>
      <c r="AG86" s="1" t="str">
        <f>IFERROR(IF(VALUE(LEFT(AD86,2))&lt;=2,"EC",IF(OR(VALUE(LEFT(AD86,2))=8,VALUE(LEFT(AD86,2))=18),"NW","Other")),"Other")</f>
        <v>EC</v>
      </c>
      <c r="AH86" s="100" t="str">
        <f t="shared" si="12"/>
        <v>"%USERPROFILE%\Documents\GitHub\eaglep3\Utilities\RefineRTDCRunTimes.py" --tripid 174-01 --locoid 4032 --swversion DE.1.0.7.0 --startMP 204:232975 --initTime 2016-09-01T13:37:36 --startdatetime 2016-09-01T13:41:28 --delay 1 --endMP 204:163 --enddatetime 2016-09-01T14:19:21 --enforcementcount 0 &gt;&gt;C:\Users\stu\Documents\GitHub\eaglep3-reporting\EC\2016-09-01-refined-times.txt</v>
      </c>
      <c r="AI86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{"issue":{"subject":"","project_id":79,"tracker_id":40,"status_id":1,"priority_id":2,"assigned_to_id":23,"start_date":"2016-09-01","description":"","custom_fields":[{"id":1,"name":"Subdivision","value":"EC"},{"id":4,"name":"Milepost","value":"23.2812"},{"id":17,"name":"Train ID","value":"174-01"},{"id":16,"name":"Locomotive ID","value":"4032"},{"id":130,"name":"Impact","value":""},{"id":150,"name":"Time of Event (Mountain Time)","value":"14:19:21"},{"id":151,"name":"Denver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23" customFormat="1" x14ac:dyDescent="0.25">
      <c r="A87" s="39" t="s">
        <v>477</v>
      </c>
      <c r="B87" s="7">
        <v>4018</v>
      </c>
      <c r="C87" s="24" t="s">
        <v>113</v>
      </c>
      <c r="D87" s="24" t="s">
        <v>109</v>
      </c>
      <c r="E87" s="15">
        <v>42614.538090277776</v>
      </c>
      <c r="F87" s="15">
        <v>42614.541828703703</v>
      </c>
      <c r="G87" s="7">
        <v>1</v>
      </c>
      <c r="H87" s="15" t="s">
        <v>268</v>
      </c>
      <c r="I87" s="15">
        <v>42614.567361111112</v>
      </c>
      <c r="J87" s="7">
        <v>0</v>
      </c>
      <c r="K87" s="132" t="str">
        <f>IF(ISEVEN(B87),(B87-1)&amp;"/"&amp;B87,B87&amp;"/"&amp;(B87+1))</f>
        <v>4017/4018</v>
      </c>
      <c r="L87" s="24" t="str">
        <f>VLOOKUP(A87,'Trips&amp;Operators'!$C$1:$E$10000,3,FALSE)</f>
        <v>SHOOK</v>
      </c>
      <c r="M87" s="6">
        <f>I87-F87</f>
        <v>2.5532407409627922E-2</v>
      </c>
      <c r="N87" s="7">
        <f>24*60*SUM($M87:$M87)</f>
        <v>36.766666669864208</v>
      </c>
      <c r="O87" s="7"/>
      <c r="P87" s="7"/>
      <c r="Q87" s="25"/>
      <c r="R87" s="25"/>
      <c r="S87" s="37">
        <f>SUM(U87:U87)/IF(AG87="EC",12,1)</f>
        <v>1</v>
      </c>
      <c r="T87" s="52" t="str">
        <f>IF(ISEVEN(LEFT(AD87,4)),"Southbound","NorthBound")</f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https://search-rtdc-monitor-bjffxe2xuh6vdkpspy63sjmuny.us-east-1.es.amazonaws.com/_plugin/kibana/#/discover/Steve-Slow-Train-Analysis-(2080s-and-2083s)?_g=(refreshInterval:(display:Off,section:0,value:0),time:(from:'2016-09-01 11:54:51-0600',mode:absolute,to:'2016-09-01 14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87" s="54" t="str">
        <f>IF(AA87&lt;IF(AG87="EC",23,5.65),"Y","N")</f>
        <v>N</v>
      </c>
      <c r="X87" s="120">
        <f>VALUE(LEFT(AD87,4))-VALUE(LEFT(AD86,4))</f>
        <v>1</v>
      </c>
      <c r="Y87" s="69">
        <f>RIGHT(D87,LEN(D87)-4)/10000</f>
        <v>4.6199999999999998E-2</v>
      </c>
      <c r="Z87" s="69">
        <f>RIGHT(H87,LEN(H87)-4)/10000</f>
        <v>23.331399999999999</v>
      </c>
      <c r="AA87" s="69">
        <f>ABS(Z87-Y87)</f>
        <v>23.2852</v>
      </c>
      <c r="AB87" s="66" t="e">
        <f>VLOOKUP(A87,Enforcements!$C$7:$J$21,8,0)</f>
        <v>#N/A</v>
      </c>
      <c r="AC87" s="62" t="e">
        <f>VLOOKUP(A87,Enforcements!$C$7:$E$21,3,0)</f>
        <v>#N/A</v>
      </c>
      <c r="AD87" s="63" t="str">
        <f>IF(LEN(A87)=6,"0"&amp;A87,A87)</f>
        <v>0175-01</v>
      </c>
      <c r="AE87" s="99" t="str">
        <f>"aws s3 cp "&amp;s3_bucket&amp;"/RTDC"&amp;B87&amp;"/"&amp;TEXT(F87,"YYYY-MM-DD")&amp;"/ "&amp;search_path&amp;"\RTDC"&amp;B87&amp;"\"&amp;TEXT(F87,"YYYY-MM-DD")&amp;" --recursive &amp; """&amp;walkandungz&amp;""" "&amp;search_path&amp;"\RTDC"&amp;B87&amp;"\"&amp;TEXT(F87,"YYYY-MM-DD")
&amp;" &amp; "&amp;"aws s3 cp "&amp;s3_bucket&amp;"/RTDC"&amp;B87&amp;"/"&amp;TEXT(F87+1,"YYYY-MM-DD")&amp;"/ "&amp;search_path&amp;"\RTDC"&amp;B87&amp;"\"&amp;TEXT(F87+1,"YYYY-MM-DD")&amp;" --recursive &amp; """&amp;walkandungz&amp;""" "&amp;search_path&amp;"\RTDC"&amp;B87&amp;"\"&amp;TEXT(F87+1,"YYYY-MM-DD")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87" s="96" t="str">
        <f>astrogrep_path&amp;" /spath="&amp;search_path&amp;" /stypes=""*"&amp;B87&amp;"*"&amp;TEXT(I87-utc_offset/24,"YYYYMMDD")&amp;"*"" /stext="" "&amp;TEXT(I87-utc_offset/24,"HH")&amp;search_regexp&amp;""" /e /r /s"</f>
        <v>"C:\Program Files (x86)\AstroGrep\AstroGrep.exe" /spath="%USERPROFILE%\AppData\Local\Temp\OnboardLogs" /stypes="*4018*20160901*" /stext=" 19:.+((SYSTEM_STATE.+slice.+state.+changed )|(ment ac)|(system.+state.+changed )|(\|lc)|(penalty)|(\[timeout)|(PRM\|1\|D)|(kpr)|(kdp))" /e /r /s</v>
      </c>
      <c r="AG87" s="1" t="str">
        <f>IFERROR(IF(VALUE(LEFT(AD87,2))&lt;=2,"EC",IF(OR(VALUE(LEFT(AD87,2))=8,VALUE(LEFT(AD87,2))=18),"NW","Other")),"Other")</f>
        <v>EC</v>
      </c>
      <c r="AH87" s="100" t="str">
        <f t="shared" si="12"/>
        <v>"%USERPROFILE%\Documents\GitHub\eaglep3\Utilities\RefineRTDCRunTimes.py" --tripid 175-01 --locoid 4018 --swversion DE.1.0.7.0 --startMP 204:462 --initTime 2016-09-01T12:54:51 --startdatetime 2016-09-01T13:00:14 --delay 1 --endMP 204:233314 --enddatetime 2016-09-01T13:37:00 --enforcementcount 0 &gt;&gt;C:\Users\stu\Documents\GitHub\eaglep3-reporting\EC\2016-09-01-refined-times.txt</v>
      </c>
      <c r="AI87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{"issue":{"subject":"","project_id":79,"tracker_id":40,"status_id":1,"priority_id":2,"assigned_to_id":23,"start_date":"2016-09-01","description":"","custom_fields":[{"id":1,"name":"Subdivision","value":"EC"},{"id":4,"name":"Milepost","value":"23.2852"},{"id":17,"name":"Train ID","value":"175-01"},{"id":16,"name":"Locomotive ID","value":"4018"},{"id":130,"name":"Impact","value":""},{"id":150,"name":"Time of Event (Mountain Time)","value":"13:37:00"},{"id":151,"name":"Denver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23" customFormat="1" x14ac:dyDescent="0.25">
      <c r="A88" s="39" t="s">
        <v>478</v>
      </c>
      <c r="B88" s="7">
        <v>4017</v>
      </c>
      <c r="C88" s="24" t="s">
        <v>113</v>
      </c>
      <c r="D88" s="24" t="s">
        <v>311</v>
      </c>
      <c r="E88" s="15">
        <v>42614.575856481482</v>
      </c>
      <c r="F88" s="15">
        <v>42614.580729166664</v>
      </c>
      <c r="G88" s="7">
        <v>1</v>
      </c>
      <c r="H88" s="15" t="s">
        <v>152</v>
      </c>
      <c r="I88" s="15">
        <v>42614.608796296299</v>
      </c>
      <c r="J88" s="7">
        <v>0</v>
      </c>
      <c r="K88" s="132" t="str">
        <f>IF(ISEVEN(B88),(B88-1)&amp;"/"&amp;B88,B88&amp;"/"&amp;(B88+1))</f>
        <v>4017/4018</v>
      </c>
      <c r="L88" s="24" t="str">
        <f>VLOOKUP(A88,'Trips&amp;Operators'!$C$1:$E$10000,3,FALSE)</f>
        <v>SHOOK</v>
      </c>
      <c r="M88" s="6">
        <f>I88-F88</f>
        <v>2.8067129635019228E-2</v>
      </c>
      <c r="N88" s="7">
        <f>24*60*SUM($M88:$M88)</f>
        <v>40.416666674427688</v>
      </c>
      <c r="O88" s="7"/>
      <c r="P88" s="7"/>
      <c r="Q88" s="25"/>
      <c r="R88" s="25"/>
      <c r="S88" s="37">
        <f>SUM(U88:U88)/IF(AG88="EC",12,1)</f>
        <v>1</v>
      </c>
      <c r="T88" s="52" t="str">
        <f>IF(ISEVEN(LEFT(AD88,4)),"Southbound","NorthBound")</f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hh:mm:ss")&amp;"-0600',mode:absolute,to:'"&amp;TEXT(I88+1/24,"yyyy-MM-DD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https://search-rtdc-monitor-bjffxe2xuh6vdkpspy63sjmuny.us-east-1.es.amazonaws.com/_plugin/kibana/#/discover/Steve-Slow-Train-Analysis-(2080s-and-2083s)?_g=(refreshInterval:(display:Off,section:0,value:0),time:(from:'2016-09-01 12:49:14-0600',mode:absolute,to:'2016-09-01 15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88" s="54" t="str">
        <f>IF(AA88&lt;IF(AG88="EC",23,5.65),"Y","N")</f>
        <v>N</v>
      </c>
      <c r="X88" s="120">
        <f>VALUE(LEFT(AD88,4))-VALUE(LEFT(AD87,4))</f>
        <v>1</v>
      </c>
      <c r="Y88" s="69">
        <f>RIGHT(D88,LEN(D88)-4)/10000</f>
        <v>23.303000000000001</v>
      </c>
      <c r="Z88" s="69">
        <f>RIGHT(H88,LEN(H88)-4)/10000</f>
        <v>1.54E-2</v>
      </c>
      <c r="AA88" s="69">
        <f>ABS(Z88-Y88)</f>
        <v>23.287600000000001</v>
      </c>
      <c r="AB88" s="66">
        <f>VLOOKUP(A88,Enforcements!$C$7:$J$21,8,0)</f>
        <v>63309</v>
      </c>
      <c r="AC88" s="62" t="str">
        <f>VLOOKUP(A88,Enforcements!$C$7:$E$21,3,0)</f>
        <v>GRADE CROSSING</v>
      </c>
      <c r="AD88" s="63" t="str">
        <f>IF(LEN(A88)=6,"0"&amp;A88,A88)</f>
        <v>0176-01</v>
      </c>
      <c r="AE88" s="99" t="str">
        <f>"aws s3 cp "&amp;s3_bucket&amp;"/RTDC"&amp;B88&amp;"/"&amp;TEXT(F88,"YYYY-MM-DD")&amp;"/ "&amp;search_path&amp;"\RTDC"&amp;B88&amp;"\"&amp;TEXT(F88,"YYYY-MM-DD")&amp;" --recursive &amp; """&amp;walkandungz&amp;""" "&amp;search_path&amp;"\RTDC"&amp;B88&amp;"\"&amp;TEXT(F88,"YYYY-MM-DD")
&amp;" &amp; "&amp;"aws s3 cp "&amp;s3_bucket&amp;"/RTDC"&amp;B88&amp;"/"&amp;TEXT(F88+1,"YYYY-MM-DD")&amp;"/ "&amp;search_path&amp;"\RTDC"&amp;B88&amp;"\"&amp;TEXT(F88+1,"YYYY-MM-DD")&amp;" --recursive &amp; """&amp;walkandungz&amp;""" "&amp;search_path&amp;"\RTDC"&amp;B88&amp;"\"&amp;TEXT(F88+1,"YYYY-MM-DD")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88" s="96" t="str">
        <f>astrogrep_path&amp;" /spath="&amp;search_path&amp;" /stypes=""*"&amp;B88&amp;"*"&amp;TEXT(I88-utc_offset/24,"YYYYMMDD")&amp;"*"" /stext="" "&amp;TEXT(I88-utc_offset/24,"HH")&amp;search_regexp&amp;""" /e /r /s"</f>
        <v>"C:\Program Files (x86)\AstroGrep\AstroGrep.exe" /spath="%USERPROFILE%\AppData\Local\Temp\OnboardLogs" /stypes="*4017*20160901*" /stext=" 20:.+((SYSTEM_STATE.+slice.+state.+changed )|(ment ac)|(system.+state.+changed )|(\|lc)|(penalty)|(\[timeout)|(PRM\|1\|D)|(kpr)|(kdp))" /e /r /s</v>
      </c>
      <c r="AG88" s="1" t="str">
        <f>IFERROR(IF(VALUE(LEFT(AD88,2))&lt;=2,"EC",IF(OR(VALUE(LEFT(AD88,2))=8,VALUE(LEFT(AD88,2))=18),"NW","Other")),"Other")</f>
        <v>EC</v>
      </c>
      <c r="AH88" s="100" t="str">
        <f t="shared" si="12"/>
        <v>"%USERPROFILE%\Documents\GitHub\eaglep3\Utilities\RefineRTDCRunTimes.py" --tripid 176-01 --locoid 4017 --swversion DE.1.0.7.0 --startMP 204:233030 --initTime 2016-09-01T13:49:14 --startdatetime 2016-09-01T13:56:15 --delay 1 --endMP 204:154 --enddatetime 2016-09-01T14:36:40 --enforcementcount 0 &gt;&gt;C:\Users\stu\Documents\GitHub\eaglep3-reporting\EC\2016-09-01-refined-times.txt</v>
      </c>
      <c r="AI88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{"issue":{"subject":"","project_id":79,"tracker_id":40,"status_id":1,"priority_id":2,"assigned_to_id":23,"start_date":"2016-09-01","description":"","custom_fields":[{"id":1,"name":"Subdivision","value":"EC"},{"id":4,"name":"Milepost","value":"23.2876"},{"id":17,"name":"Train ID","value":"176-01"},{"id":16,"name":"Locomotive ID","value":"4017"},{"id":130,"name":"Impact","value":""},{"id":150,"name":"Time of Event (Mountain Time)","value":"14:36:40"},{"id":151,"name":"Denver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x14ac:dyDescent="0.25">
      <c r="A89" s="39" t="s">
        <v>479</v>
      </c>
      <c r="B89" s="7">
        <v>4038</v>
      </c>
      <c r="C89" s="24" t="s">
        <v>113</v>
      </c>
      <c r="D89" s="24" t="s">
        <v>223</v>
      </c>
      <c r="E89" s="15">
        <v>42614.549837962964</v>
      </c>
      <c r="F89" s="15">
        <v>42614.552372685182</v>
      </c>
      <c r="G89" s="7">
        <v>1</v>
      </c>
      <c r="H89" s="15" t="s">
        <v>271</v>
      </c>
      <c r="I89" s="15">
        <v>42614.578136574077</v>
      </c>
      <c r="J89" s="7">
        <v>0</v>
      </c>
      <c r="K89" s="132" t="str">
        <f>IF(ISEVEN(B89),(B89-1)&amp;"/"&amp;B89,B89&amp;"/"&amp;(B89+1))</f>
        <v>4037/4038</v>
      </c>
      <c r="L89" s="24" t="str">
        <f>VLOOKUP(A89,'Trips&amp;Operators'!$C$1:$E$10000,3,FALSE)</f>
        <v>MOSES</v>
      </c>
      <c r="M89" s="6">
        <f>I89-F89</f>
        <v>2.5763888894289266E-2</v>
      </c>
      <c r="N89" s="7">
        <f>24*60*SUM($M89:$M89)</f>
        <v>37.100000007776543</v>
      </c>
      <c r="O89" s="7"/>
      <c r="P89" s="7"/>
      <c r="Q89" s="25"/>
      <c r="R89" s="25"/>
      <c r="S89" s="37">
        <f>SUM(U89:U89)/IF(AG89="EC",12,1)</f>
        <v>1</v>
      </c>
      <c r="T89" s="52" t="str">
        <f>IF(ISEVEN(LEFT(AD89,4)),"Southbound","NorthBound")</f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hh:mm:ss")&amp;"-0600',mode:absolute,to:'"&amp;TEXT(I89+1/24,"yyyy-MM-DD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https://search-rtdc-monitor-bjffxe2xuh6vdkpspy63sjmuny.us-east-1.es.amazonaws.com/_plugin/kibana/#/discover/Steve-Slow-Train-Analysis-(2080s-and-2083s)?_g=(refreshInterval:(display:Off,section:0,value:0),time:(from:'2016-09-01 12:11:46-0600',mode:absolute,to:'2016-09-01 14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89" s="54" t="str">
        <f>IF(AA89&lt;IF(AG89="EC",23,5.65),"Y","N")</f>
        <v>N</v>
      </c>
      <c r="X89" s="120">
        <f>VALUE(LEFT(AD89,4))-VALUE(LEFT(AD88,4))</f>
        <v>1</v>
      </c>
      <c r="Y89" s="69">
        <f>RIGHT(D89,LEN(D89)-4)/10000</f>
        <v>4.3799999999999999E-2</v>
      </c>
      <c r="Z89" s="69">
        <f>RIGHT(H89,LEN(H89)-4)/10000</f>
        <v>23.330300000000001</v>
      </c>
      <c r="AA89" s="69">
        <f>ABS(Z89-Y89)</f>
        <v>23.2865</v>
      </c>
      <c r="AB89" s="66" t="e">
        <f>VLOOKUP(A89,Enforcements!$C$7:$J$21,8,0)</f>
        <v>#N/A</v>
      </c>
      <c r="AC89" s="62" t="e">
        <f>VLOOKUP(A89,Enforcements!$C$7:$E$21,3,0)</f>
        <v>#N/A</v>
      </c>
      <c r="AD89" s="63" t="str">
        <f>IF(LEN(A89)=6,"0"&amp;A89,A89)</f>
        <v>0177-01</v>
      </c>
      <c r="AE89" s="99" t="str">
        <f>"aws s3 cp "&amp;s3_bucket&amp;"/RTDC"&amp;B89&amp;"/"&amp;TEXT(F89,"YYYY-MM-DD")&amp;"/ "&amp;search_path&amp;"\RTDC"&amp;B89&amp;"\"&amp;TEXT(F89,"YYYY-MM-DD")&amp;" --recursive &amp; """&amp;walkandungz&amp;""" "&amp;search_path&amp;"\RTDC"&amp;B89&amp;"\"&amp;TEXT(F89,"YYYY-MM-DD")
&amp;" &amp; "&amp;"aws s3 cp "&amp;s3_bucket&amp;"/RTDC"&amp;B89&amp;"/"&amp;TEXT(F89+1,"YYYY-MM-DD")&amp;"/ "&amp;search_path&amp;"\RTDC"&amp;B89&amp;"\"&amp;TEXT(F89+1,"YYYY-MM-DD")&amp;" --recursive &amp; """&amp;walkandungz&amp;""" "&amp;search_path&amp;"\RTDC"&amp;B89&amp;"\"&amp;TEXT(F89+1,"YYYY-MM-DD")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89" s="96" t="str">
        <f>astrogrep_path&amp;" /spath="&amp;search_path&amp;" /stypes=""*"&amp;B89&amp;"*"&amp;TEXT(I89-utc_offset/24,"YYYYMMDD")&amp;"*"" /stext="" "&amp;TEXT(I89-utc_offset/24,"HH")&amp;search_regexp&amp;""" /e /r /s"</f>
        <v>"C:\Program Files (x86)\AstroGrep\AstroGrep.exe" /spath="%USERPROFILE%\AppData\Local\Temp\OnboardLogs" /stypes="*4038*20160901*" /stext=" 19:.+((SYSTEM_STATE.+slice.+state.+changed )|(ment ac)|(system.+state.+changed )|(\|lc)|(penalty)|(\[timeout)|(PRM\|1\|D)|(kpr)|(kdp))" /e /r /s</v>
      </c>
      <c r="AG89" s="1" t="str">
        <f>IFERROR(IF(VALUE(LEFT(AD89,2))&lt;=2,"EC",IF(OR(VALUE(LEFT(AD89,2))=8,VALUE(LEFT(AD89,2))=18),"NW","Other")),"Other")</f>
        <v>EC</v>
      </c>
      <c r="AH89" s="100" t="str">
        <f t="shared" si="12"/>
        <v>"%USERPROFILE%\Documents\GitHub\eaglep3\Utilities\RefineRTDCRunTimes.py" --tripid 177-01 --locoid 4038 --swversion DE.1.0.7.0 --startMP 204:438 --initTime 2016-09-01T13:11:46 --startdatetime 2016-09-01T13:15:25 --delay 1 --endMP 204:233303 --enddatetime 2016-09-01T13:52:31 --enforcementcount 0 &gt;&gt;C:\Users\stu\Documents\GitHub\eaglep3-reporting\EC\2016-09-01-refined-times.txt</v>
      </c>
      <c r="AI89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{"issue":{"subject":"","project_id":79,"tracker_id":40,"status_id":1,"priority_id":2,"assigned_to_id":23,"start_date":"2016-09-01","description":"","custom_fields":[{"id":1,"name":"Subdivision","value":"EC"},{"id":4,"name":"Milepost","value":"23.2865"},{"id":17,"name":"Train ID","value":"177-01"},{"id":16,"name":"Locomotive ID","value":"4038"},{"id":130,"name":"Impact","value":""},{"id":150,"name":"Time of Event (Mountain Time)","value":"13:52:31"},{"id":151,"name":"Denver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x14ac:dyDescent="0.25">
      <c r="A90" s="39" t="s">
        <v>480</v>
      </c>
      <c r="B90" s="7">
        <v>4037</v>
      </c>
      <c r="C90" s="24" t="s">
        <v>113</v>
      </c>
      <c r="D90" s="24" t="s">
        <v>467</v>
      </c>
      <c r="E90" s="15">
        <v>42614.587962962964</v>
      </c>
      <c r="F90" s="15">
        <v>42614.591157407405</v>
      </c>
      <c r="G90" s="7">
        <v>1</v>
      </c>
      <c r="H90" s="15" t="s">
        <v>481</v>
      </c>
      <c r="I90" s="15">
        <v>42614.619583333333</v>
      </c>
      <c r="J90" s="7">
        <v>0</v>
      </c>
      <c r="K90" s="132" t="str">
        <f>IF(ISEVEN(B90),(B90-1)&amp;"/"&amp;B90,B90&amp;"/"&amp;(B90+1))</f>
        <v>4037/4038</v>
      </c>
      <c r="L90" s="24" t="str">
        <f>VLOOKUP(A90,'Trips&amp;Operators'!$C$1:$E$10000,3,FALSE)</f>
        <v>MOSES</v>
      </c>
      <c r="M90" s="6">
        <f>I90-F90</f>
        <v>2.842592592787696E-2</v>
      </c>
      <c r="N90" s="7">
        <f>24*60*SUM($M90:$M90)</f>
        <v>40.933333336142823</v>
      </c>
      <c r="O90" s="7"/>
      <c r="P90" s="7"/>
      <c r="Q90" s="25"/>
      <c r="R90" s="25"/>
      <c r="S90" s="37">
        <f>SUM(U90:U90)/IF(AG90="EC",12,1)</f>
        <v>1</v>
      </c>
      <c r="T90" s="52" t="str">
        <f>IF(ISEVEN(LEFT(AD90,4)),"Southbound","NorthBound")</f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hh:mm:ss")&amp;"-0600',mode:absolute,to:'"&amp;TEXT(I90+1/24,"yyyy-MM-DD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https://search-rtdc-monitor-bjffxe2xuh6vdkpspy63sjmuny.us-east-1.es.amazonaws.com/_plugin/kibana/#/discover/Steve-Slow-Train-Analysis-(2080s-and-2083s)?_g=(refreshInterval:(display:Off,section:0,value:0),time:(from:'2016-09-01 13:06:40-0600',mode:absolute,to:'2016-09-01 15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90" s="54" t="str">
        <f>IF(AA90&lt;IF(AG90="EC",23,5.65),"Y","N")</f>
        <v>N</v>
      </c>
      <c r="X90" s="120">
        <f>VALUE(LEFT(AD90,4))-VALUE(LEFT(AD89,4))</f>
        <v>1</v>
      </c>
      <c r="Y90" s="69">
        <f>RIGHT(D90,LEN(D90)-4)/10000</f>
        <v>23.299800000000001</v>
      </c>
      <c r="Z90" s="69">
        <f>RIGHT(H90,LEN(H90)-4)/10000</f>
        <v>1.29E-2</v>
      </c>
      <c r="AA90" s="69">
        <f>ABS(Z90-Y90)</f>
        <v>23.286900000000003</v>
      </c>
      <c r="AB90" s="66" t="e">
        <f>VLOOKUP(A90,Enforcements!$C$7:$J$21,8,0)</f>
        <v>#N/A</v>
      </c>
      <c r="AC90" s="62" t="e">
        <f>VLOOKUP(A90,Enforcements!$C$7:$E$21,3,0)</f>
        <v>#N/A</v>
      </c>
      <c r="AD90" s="63" t="str">
        <f>IF(LEN(A90)=6,"0"&amp;A90,A90)</f>
        <v>0178-01</v>
      </c>
      <c r="AE90" s="99" t="str">
        <f>"aws s3 cp "&amp;s3_bucket&amp;"/RTDC"&amp;B90&amp;"/"&amp;TEXT(F90,"YYYY-MM-DD")&amp;"/ "&amp;search_path&amp;"\RTDC"&amp;B90&amp;"\"&amp;TEXT(F90,"YYYY-MM-DD")&amp;" --recursive &amp; """&amp;walkandungz&amp;""" "&amp;search_path&amp;"\RTDC"&amp;B90&amp;"\"&amp;TEXT(F90,"YYYY-MM-DD")
&amp;" &amp; "&amp;"aws s3 cp "&amp;s3_bucket&amp;"/RTDC"&amp;B90&amp;"/"&amp;TEXT(F90+1,"YYYY-MM-DD")&amp;"/ "&amp;search_path&amp;"\RTDC"&amp;B90&amp;"\"&amp;TEXT(F90+1,"YYYY-MM-DD")&amp;" --recursive &amp; """&amp;walkandungz&amp;""" "&amp;search_path&amp;"\RTDC"&amp;B90&amp;"\"&amp;TEXT(F90+1,"YYYY-MM-DD")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90" s="96" t="str">
        <f>astrogrep_path&amp;" /spath="&amp;search_path&amp;" /stypes=""*"&amp;B90&amp;"*"&amp;TEXT(I90-utc_offset/24,"YYYYMMDD")&amp;"*"" /stext="" "&amp;TEXT(I90-utc_offset/24,"HH")&amp;search_regexp&amp;""" /e /r /s"</f>
        <v>"C:\Program Files (x86)\AstroGrep\AstroGrep.exe" /spath="%USERPROFILE%\AppData\Local\Temp\OnboardLogs" /stypes="*4037*20160901*" /stext=" 20:.+((SYSTEM_STATE.+slice.+state.+changed )|(ment ac)|(system.+state.+changed )|(\|lc)|(penalty)|(\[timeout)|(PRM\|1\|D)|(kpr)|(kdp))" /e /r /s</v>
      </c>
      <c r="AG90" s="1" t="str">
        <f>IFERROR(IF(VALUE(LEFT(AD90,2))&lt;=2,"EC",IF(OR(VALUE(LEFT(AD90,2))=8,VALUE(LEFT(AD90,2))=18),"NW","Other")),"Other")</f>
        <v>EC</v>
      </c>
      <c r="AH90" s="100" t="str">
        <f t="shared" si="12"/>
        <v>"%USERPROFILE%\Documents\GitHub\eaglep3\Utilities\RefineRTDCRunTimes.py" --tripid 178-01 --locoid 4037 --swversion DE.1.0.7.0 --startMP 204:232998 --initTime 2016-09-01T14:06:40 --startdatetime 2016-09-01T14:11:16 --delay 1 --endMP 204:129 --enddatetime 2016-09-01T14:52:12 --enforcementcount 0 &gt;&gt;C:\Users\stu\Documents\GitHub\eaglep3-reporting\EC\2016-09-01-refined-times.txt</v>
      </c>
      <c r="AI90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{"issue":{"subject":"","project_id":79,"tracker_id":40,"status_id":1,"priority_id":2,"assigned_to_id":23,"start_date":"2016-09-01","description":"","custom_fields":[{"id":1,"name":"Subdivision","value":"EC"},{"id":4,"name":"Milepost","value":"23.2869"},{"id":17,"name":"Train ID","value":"178-01"},{"id":16,"name":"Locomotive ID","value":"4037"},{"id":130,"name":"Impact","value":""},{"id":150,"name":"Time of Event (Mountain Time)","value":"14:52:12"},{"id":151,"name":"Denver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23" customFormat="1" x14ac:dyDescent="0.25">
      <c r="A91" s="39" t="s">
        <v>482</v>
      </c>
      <c r="B91" s="7">
        <v>4007</v>
      </c>
      <c r="C91" s="24" t="s">
        <v>113</v>
      </c>
      <c r="D91" s="24" t="s">
        <v>259</v>
      </c>
      <c r="E91" s="15">
        <v>42614.557638888888</v>
      </c>
      <c r="F91" s="15">
        <v>42614.562708333331</v>
      </c>
      <c r="G91" s="7">
        <v>1</v>
      </c>
      <c r="H91" s="15" t="s">
        <v>469</v>
      </c>
      <c r="I91" s="15">
        <v>42614.587604166663</v>
      </c>
      <c r="J91" s="7">
        <v>0</v>
      </c>
      <c r="K91" s="132" t="str">
        <f>IF(ISEVEN(B91),(B91-1)&amp;"/"&amp;B91,B91&amp;"/"&amp;(B91+1))</f>
        <v>4007/4008</v>
      </c>
      <c r="L91" s="24" t="str">
        <f>VLOOKUP(A91,'Trips&amp;Operators'!$C$1:$E$10000,3,FALSE)</f>
        <v>BROWN</v>
      </c>
      <c r="M91" s="6">
        <f>I91-F91</f>
        <v>2.4895833332266193E-2</v>
      </c>
      <c r="N91" s="7">
        <f>24*60*SUM($M91:$M91)</f>
        <v>35.849999998463318</v>
      </c>
      <c r="O91" s="7"/>
      <c r="P91" s="7"/>
      <c r="Q91" s="25"/>
      <c r="R91" s="25"/>
      <c r="S91" s="37">
        <f>SUM(U91:U91)/IF(AG91="EC",12,1)</f>
        <v>1</v>
      </c>
      <c r="T91" s="52" t="str">
        <f>IF(ISEVEN(LEFT(AD91,4)),"Southbound","NorthBound")</f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hh:mm:ss")&amp;"-0600',mode:absolute,to:'"&amp;TEXT(I91+1/24,"yyyy-MM-DD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https://search-rtdc-monitor-bjffxe2xuh6vdkpspy63sjmuny.us-east-1.es.amazonaws.com/_plugin/kibana/#/discover/Steve-Slow-Train-Analysis-(2080s-and-2083s)?_g=(refreshInterval:(display:Off,section:0,value:0),time:(from:'2016-09-01 12:23:00-0600',mode:absolute,to:'2016-09-01 15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91" s="54" t="str">
        <f>IF(AA91&lt;IF(AG91="EC",23,5.65),"Y","N")</f>
        <v>N</v>
      </c>
      <c r="X91" s="120">
        <f>VALUE(LEFT(AD91,4))-VALUE(LEFT(AD90,4))</f>
        <v>1</v>
      </c>
      <c r="Y91" s="69">
        <f>RIGHT(D91,LEN(D91)-4)/10000</f>
        <v>4.4600000000000001E-2</v>
      </c>
      <c r="Z91" s="69">
        <f>RIGHT(H91,LEN(H91)-4)/10000</f>
        <v>23.333600000000001</v>
      </c>
      <c r="AA91" s="69">
        <f>ABS(Z91-Y91)</f>
        <v>23.289000000000001</v>
      </c>
      <c r="AB91" s="66" t="e">
        <f>VLOOKUP(A91,Enforcements!$C$7:$J$21,8,0)</f>
        <v>#N/A</v>
      </c>
      <c r="AC91" s="62" t="e">
        <f>VLOOKUP(A91,Enforcements!$C$7:$E$21,3,0)</f>
        <v>#N/A</v>
      </c>
      <c r="AD91" s="63" t="str">
        <f>IF(LEN(A91)=6,"0"&amp;A91,A91)</f>
        <v>0179-01</v>
      </c>
      <c r="AE91" s="99" t="str">
        <f>"aws s3 cp "&amp;s3_bucket&amp;"/RTDC"&amp;B91&amp;"/"&amp;TEXT(F91,"YYYY-MM-DD")&amp;"/ "&amp;search_path&amp;"\RTDC"&amp;B91&amp;"\"&amp;TEXT(F91,"YYYY-MM-DD")&amp;" --recursive &amp; """&amp;walkandungz&amp;""" "&amp;search_path&amp;"\RTDC"&amp;B91&amp;"\"&amp;TEXT(F91,"YYYY-MM-DD")
&amp;" &amp; "&amp;"aws s3 cp "&amp;s3_bucket&amp;"/RTDC"&amp;B91&amp;"/"&amp;TEXT(F91+1,"YYYY-MM-DD")&amp;"/ "&amp;search_path&amp;"\RTDC"&amp;B91&amp;"\"&amp;TEXT(F91+1,"YYYY-MM-DD")&amp;" --recursive &amp; """&amp;walkandungz&amp;""" "&amp;search_path&amp;"\RTDC"&amp;B91&amp;"\"&amp;TEXT(F91+1,"YYYY-MM-DD")</f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91" s="96" t="str">
        <f>astrogrep_path&amp;" /spath="&amp;search_path&amp;" /stypes=""*"&amp;B91&amp;"*"&amp;TEXT(I91-utc_offset/24,"YYYYMMDD")&amp;"*"" /stext="" "&amp;TEXT(I91-utc_offset/24,"HH")&amp;search_regexp&amp;""" /e /r /s"</f>
        <v>"C:\Program Files (x86)\AstroGrep\AstroGrep.exe" /spath="%USERPROFILE%\AppData\Local\Temp\OnboardLogs" /stypes="*4007*20160901*" /stext=" 20:.+((SYSTEM_STATE.+slice.+state.+changed )|(ment ac)|(system.+state.+changed )|(\|lc)|(penalty)|(\[timeout)|(PRM\|1\|D)|(kpr)|(kdp))" /e /r /s</v>
      </c>
      <c r="AG91" s="1" t="str">
        <f>IFERROR(IF(VALUE(LEFT(AD91,2))&lt;=2,"EC",IF(OR(VALUE(LEFT(AD91,2))=8,VALUE(LEFT(AD91,2))=18),"NW","Other")),"Other")</f>
        <v>EC</v>
      </c>
      <c r="AH91" s="100" t="str">
        <f t="shared" si="12"/>
        <v>"%USERPROFILE%\Documents\GitHub\eaglep3\Utilities\RefineRTDCRunTimes.py" --tripid 179-01 --locoid 4007 --swversion DE.1.0.7.0 --startMP 204:446 --initTime 2016-09-01T13:23:00 --startdatetime 2016-09-01T13:30:18 --delay 1 --endMP 204:233336 --enddatetime 2016-09-01T14:06:09 --enforcementcount 0 &gt;&gt;C:\Users\stu\Documents\GitHub\eaglep3-reporting\EC\2016-09-01-refined-times.txt</v>
      </c>
      <c r="AI91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{"issue":{"subject":"","project_id":79,"tracker_id":40,"status_id":1,"priority_id":2,"assigned_to_id":23,"start_date":"2016-09-01","description":"","custom_fields":[{"id":1,"name":"Subdivision","value":"EC"},{"id":4,"name":"Milepost","value":"23.289"},{"id":17,"name":"Train ID","value":"179-01"},{"id":16,"name":"Locomotive ID","value":"4007"},{"id":130,"name":"Impact","value":""},{"id":150,"name":"Time of Event (Mountain Time)","value":"14:06:09"},{"id":151,"name":"Denver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x14ac:dyDescent="0.25">
      <c r="A92" s="39" t="s">
        <v>483</v>
      </c>
      <c r="B92" s="7">
        <v>4008</v>
      </c>
      <c r="C92" s="24" t="s">
        <v>113</v>
      </c>
      <c r="D92" s="24" t="s">
        <v>257</v>
      </c>
      <c r="E92" s="15">
        <v>42614.589201388888</v>
      </c>
      <c r="F92" s="15">
        <v>42614.601539351854</v>
      </c>
      <c r="G92" s="7">
        <v>1</v>
      </c>
      <c r="H92" s="15" t="s">
        <v>177</v>
      </c>
      <c r="I92" s="15">
        <v>42614.628379629627</v>
      </c>
      <c r="J92" s="7">
        <v>0</v>
      </c>
      <c r="K92" s="132" t="str">
        <f>IF(ISEVEN(B92),(B92-1)&amp;"/"&amp;B92,B92&amp;"/"&amp;(B92+1))</f>
        <v>4007/4008</v>
      </c>
      <c r="L92" s="24" t="str">
        <f>VLOOKUP(A92,'Trips&amp;Operators'!$C$1:$E$10000,3,FALSE)</f>
        <v>BROWN</v>
      </c>
      <c r="M92" s="6">
        <f>I92-F92</f>
        <v>2.6840277772862464E-2</v>
      </c>
      <c r="N92" s="7">
        <f>24*60*SUM($M92:$M92)</f>
        <v>38.649999992921948</v>
      </c>
      <c r="O92" s="7"/>
      <c r="P92" s="7"/>
      <c r="Q92" s="25"/>
      <c r="R92" s="25"/>
      <c r="S92" s="37">
        <f>SUM(U92:U92)/IF(AG92="EC",12,1)</f>
        <v>1</v>
      </c>
      <c r="T92" s="52" t="str">
        <f>IF(ISEVEN(LEFT(AD92,4)),"Southbound","NorthBound")</f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hh:mm:ss")&amp;"-0600',mode:absolute,to:'"&amp;TEXT(I92+1/24,"yyyy-MM-DD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https://search-rtdc-monitor-bjffxe2xuh6vdkpspy63sjmuny.us-east-1.es.amazonaws.com/_plugin/kibana/#/discover/Steve-Slow-Train-Analysis-(2080s-and-2083s)?_g=(refreshInterval:(display:Off,section:0,value:0),time:(from:'2016-09-01 13:08:27-0600',mode:absolute,to:'2016-09-01 16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92" s="54" t="str">
        <f>IF(AA92&lt;IF(AG92="EC",23,5.65),"Y","N")</f>
        <v>N</v>
      </c>
      <c r="X92" s="120">
        <f>VALUE(LEFT(AD92,4))-VALUE(LEFT(AD91,4))</f>
        <v>1</v>
      </c>
      <c r="Y92" s="69">
        <f>RIGHT(D92,LEN(D92)-4)/10000</f>
        <v>23.300799999999999</v>
      </c>
      <c r="Z92" s="69">
        <f>RIGHT(H92,LEN(H92)-4)/10000</f>
        <v>1.6E-2</v>
      </c>
      <c r="AA92" s="69">
        <f>ABS(Z92-Y92)</f>
        <v>23.284800000000001</v>
      </c>
      <c r="AB92" s="66" t="e">
        <f>VLOOKUP(A92,Enforcements!$C$7:$J$21,8,0)</f>
        <v>#N/A</v>
      </c>
      <c r="AC92" s="62" t="e">
        <f>VLOOKUP(A92,Enforcements!$C$7:$E$21,3,0)</f>
        <v>#N/A</v>
      </c>
      <c r="AD92" s="63" t="str">
        <f>IF(LEN(A92)=6,"0"&amp;A92,A92)</f>
        <v>0180-01</v>
      </c>
      <c r="AE92" s="99" t="str">
        <f>"aws s3 cp "&amp;s3_bucket&amp;"/RTDC"&amp;B92&amp;"/"&amp;TEXT(F92,"YYYY-MM-DD")&amp;"/ "&amp;search_path&amp;"\RTDC"&amp;B92&amp;"\"&amp;TEXT(F92,"YYYY-MM-DD")&amp;" --recursive &amp; """&amp;walkandungz&amp;""" "&amp;search_path&amp;"\RTDC"&amp;B92&amp;"\"&amp;TEXT(F92,"YYYY-MM-DD")
&amp;" &amp; "&amp;"aws s3 cp "&amp;s3_bucket&amp;"/RTDC"&amp;B92&amp;"/"&amp;TEXT(F92+1,"YYYY-MM-DD")&amp;"/ "&amp;search_path&amp;"\RTDC"&amp;B92&amp;"\"&amp;TEXT(F92+1,"YYYY-MM-DD")&amp;" --recursive &amp; """&amp;walkandungz&amp;""" "&amp;search_path&amp;"\RTDC"&amp;B92&amp;"\"&amp;TEXT(F92+1,"YYYY-MM-DD")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92" s="96" t="str">
        <f>astrogrep_path&amp;" /spath="&amp;search_path&amp;" /stypes=""*"&amp;B92&amp;"*"&amp;TEXT(I92-utc_offset/24,"YYYYMMDD")&amp;"*"" /stext="" "&amp;TEXT(I92-utc_offset/24,"HH")&amp;search_regexp&amp;""" /e /r /s"</f>
        <v>"C:\Program Files (x86)\AstroGrep\AstroGrep.exe" /spath="%USERPROFILE%\AppData\Local\Temp\OnboardLogs" /stypes="*4008*20160901*" /stext=" 21:.+((SYSTEM_STATE.+slice.+state.+changed )|(ment ac)|(system.+state.+changed )|(\|lc)|(penalty)|(\[timeout)|(PRM\|1\|D)|(kpr)|(kdp))" /e /r /s</v>
      </c>
      <c r="AG92" s="1" t="str">
        <f>IFERROR(IF(VALUE(LEFT(AD92,2))&lt;=2,"EC",IF(OR(VALUE(LEFT(AD92,2))=8,VALUE(LEFT(AD92,2))=18),"NW","Other")),"Other")</f>
        <v>EC</v>
      </c>
      <c r="AH92" s="100" t="str">
        <f t="shared" si="12"/>
        <v>"%USERPROFILE%\Documents\GitHub\eaglep3\Utilities\RefineRTDCRunTimes.py" --tripid 180-01 --locoid 4008 --swversion DE.1.0.7.0 --startMP 204:233008 --initTime 2016-09-01T14:08:27 --startdatetime 2016-09-01T14:26:13 --delay 1 --endMP 204:160 --enddatetime 2016-09-01T15:04:52 --enforcementcount 0 &gt;&gt;C:\Users\stu\Documents\GitHub\eaglep3-reporting\EC\2016-09-01-refined-times.txt</v>
      </c>
      <c r="AI92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{"issue":{"subject":"","project_id":79,"tracker_id":40,"status_id":1,"priority_id":2,"assigned_to_id":23,"start_date":"2016-09-01","description":"","custom_fields":[{"id":1,"name":"Subdivision","value":"EC"},{"id":4,"name":"Milepost","value":"23.2848"},{"id":17,"name":"Train ID","value":"180-01"},{"id":16,"name":"Locomotive ID","value":"4008"},{"id":130,"name":"Impact","value":""},{"id":150,"name":"Time of Event (Mountain Time)","value":"15:04:52"},{"id":151,"name":"Denver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x14ac:dyDescent="0.25">
      <c r="A93" s="39" t="s">
        <v>484</v>
      </c>
      <c r="B93" s="7">
        <v>4042</v>
      </c>
      <c r="C93" s="24" t="s">
        <v>113</v>
      </c>
      <c r="D93" s="24" t="s">
        <v>125</v>
      </c>
      <c r="E93" s="15">
        <v>42614.570081018515</v>
      </c>
      <c r="F93" s="15">
        <v>42614.573182870372</v>
      </c>
      <c r="G93" s="7">
        <v>1</v>
      </c>
      <c r="H93" s="15" t="s">
        <v>485</v>
      </c>
      <c r="I93" s="15">
        <v>42614.599687499998</v>
      </c>
      <c r="J93" s="7">
        <v>0</v>
      </c>
      <c r="K93" s="132" t="str">
        <f>IF(ISEVEN(B93),(B93-1)&amp;"/"&amp;B93,B93&amp;"/"&amp;(B93+1))</f>
        <v>4041/4042</v>
      </c>
      <c r="L93" s="24" t="str">
        <f>VLOOKUP(A93,'Trips&amp;Operators'!$C$1:$E$10000,3,FALSE)</f>
        <v>YOUNG</v>
      </c>
      <c r="M93" s="6">
        <f>I93-F93</f>
        <v>2.6504629626288079E-2</v>
      </c>
      <c r="N93" s="7">
        <f>24*60*SUM($M93:$M93)</f>
        <v>38.166666661854833</v>
      </c>
      <c r="O93" s="7"/>
      <c r="P93" s="7"/>
      <c r="Q93" s="25"/>
      <c r="R93" s="25"/>
      <c r="S93" s="37">
        <f>SUM(U93:U93)/IF(AG93="EC",12,1)</f>
        <v>1</v>
      </c>
      <c r="T93" s="52" t="str">
        <f>IF(ISEVEN(LEFT(AD93,4)),"Southbound","NorthBound")</f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hh:mm:ss")&amp;"-0600',mode:absolute,to:'"&amp;TEXT(I93+1/24,"yyyy-MM-DD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https://search-rtdc-monitor-bjffxe2xuh6vdkpspy63sjmuny.us-east-1.es.amazonaws.com/_plugin/kibana/#/discover/Steve-Slow-Train-Analysis-(2080s-and-2083s)?_g=(refreshInterval:(display:Off,section:0,value:0),time:(from:'2016-09-01 12:40:55-0600',mode:absolute,to:'2016-09-01 15:23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93" s="54" t="str">
        <f>IF(AA93&lt;IF(AG93="EC",23,5.65),"Y","N")</f>
        <v>N</v>
      </c>
      <c r="X93" s="120">
        <f>VALUE(LEFT(AD93,4))-VALUE(LEFT(AD92,4))</f>
        <v>1</v>
      </c>
      <c r="Y93" s="69">
        <f>RIGHT(D93,LEN(D93)-4)/10000</f>
        <v>4.5499999999999999E-2</v>
      </c>
      <c r="Z93" s="69">
        <f>RIGHT(H93,LEN(H93)-4)/10000</f>
        <v>23.334700000000002</v>
      </c>
      <c r="AA93" s="69">
        <f>ABS(Z93-Y93)</f>
        <v>23.289200000000001</v>
      </c>
      <c r="AB93" s="66" t="e">
        <f>VLOOKUP(A93,Enforcements!$C$7:$J$21,8,0)</f>
        <v>#N/A</v>
      </c>
      <c r="AC93" s="62" t="e">
        <f>VLOOKUP(A93,Enforcements!$C$7:$E$21,3,0)</f>
        <v>#N/A</v>
      </c>
      <c r="AD93" s="63" t="str">
        <f>IF(LEN(A93)=6,"0"&amp;A93,A93)</f>
        <v>0181-01</v>
      </c>
      <c r="AE93" s="99" t="str">
        <f>"aws s3 cp "&amp;s3_bucket&amp;"/RTDC"&amp;B93&amp;"/"&amp;TEXT(F93,"YYYY-MM-DD")&amp;"/ "&amp;search_path&amp;"\RTDC"&amp;B93&amp;"\"&amp;TEXT(F93,"YYYY-MM-DD")&amp;" --recursive &amp; """&amp;walkandungz&amp;""" "&amp;search_path&amp;"\RTDC"&amp;B93&amp;"\"&amp;TEXT(F93,"YYYY-MM-DD")
&amp;" &amp; "&amp;"aws s3 cp "&amp;s3_bucket&amp;"/RTDC"&amp;B93&amp;"/"&amp;TEXT(F93+1,"YYYY-MM-DD")&amp;"/ "&amp;search_path&amp;"\RTDC"&amp;B93&amp;"\"&amp;TEXT(F93+1,"YYYY-MM-DD")&amp;" --recursive &amp; """&amp;walkandungz&amp;""" "&amp;search_path&amp;"\RTDC"&amp;B93&amp;"\"&amp;TEXT(F93+1,"YYYY-MM-DD")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93" s="96" t="str">
        <f>astrogrep_path&amp;" /spath="&amp;search_path&amp;" /stypes=""*"&amp;B93&amp;"*"&amp;TEXT(I93-utc_offset/24,"YYYYMMDD")&amp;"*"" /stext="" "&amp;TEXT(I93-utc_offset/24,"HH")&amp;search_regexp&amp;""" /e /r /s"</f>
        <v>"C:\Program Files (x86)\AstroGrep\AstroGrep.exe" /spath="%USERPROFILE%\AppData\Local\Temp\OnboardLogs" /stypes="*4042*20160901*" /stext=" 20:.+((SYSTEM_STATE.+slice.+state.+changed )|(ment ac)|(system.+state.+changed )|(\|lc)|(penalty)|(\[timeout)|(PRM\|1\|D)|(kpr)|(kdp))" /e /r /s</v>
      </c>
      <c r="AG93" s="1" t="str">
        <f>IFERROR(IF(VALUE(LEFT(AD93,2))&lt;=2,"EC",IF(OR(VALUE(LEFT(AD93,2))=8,VALUE(LEFT(AD93,2))=18),"NW","Other")),"Other")</f>
        <v>EC</v>
      </c>
      <c r="AH93" s="100" t="str">
        <f t="shared" si="12"/>
        <v>"%USERPROFILE%\Documents\GitHub\eaglep3\Utilities\RefineRTDCRunTimes.py" --tripid 181-01 --locoid 4042 --swversion DE.1.0.7.0 --startMP 204:455 --initTime 2016-09-01T13:40:55 --startdatetime 2016-09-01T13:45:23 --delay 1 --endMP 204:233347 --enddatetime 2016-09-01T14:23:33 --enforcementcount 0 &gt;&gt;C:\Users\stu\Documents\GitHub\eaglep3-reporting\EC\2016-09-01-refined-times.txt</v>
      </c>
      <c r="AI93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{"issue":{"subject":"","project_id":79,"tracker_id":40,"status_id":1,"priority_id":2,"assigned_to_id":23,"start_date":"2016-09-01","description":"","custom_fields":[{"id":1,"name":"Subdivision","value":"EC"},{"id":4,"name":"Milepost","value":"23.2892"},{"id":17,"name":"Train ID","value":"181-01"},{"id":16,"name":"Locomotive ID","value":"4042"},{"id":130,"name":"Impact","value":""},{"id":150,"name":"Time of Event (Mountain Time)","value":"14:23:33"},{"id":151,"name":"Denver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486</v>
      </c>
      <c r="B94" s="7">
        <v>4041</v>
      </c>
      <c r="C94" s="24" t="s">
        <v>113</v>
      </c>
      <c r="D94" s="24" t="s">
        <v>487</v>
      </c>
      <c r="E94" s="15">
        <v>42614.605798611112</v>
      </c>
      <c r="F94" s="15">
        <v>42614.61210648148</v>
      </c>
      <c r="G94" s="7">
        <v>1</v>
      </c>
      <c r="H94" s="15" t="s">
        <v>269</v>
      </c>
      <c r="I94" s="15">
        <v>42614.642199074071</v>
      </c>
      <c r="J94" s="7">
        <v>0</v>
      </c>
      <c r="K94" s="132" t="str">
        <f>IF(ISEVEN(B94),(B94-1)&amp;"/"&amp;B94,B94&amp;"/"&amp;(B94+1))</f>
        <v>4041/4042</v>
      </c>
      <c r="L94" s="24" t="str">
        <f>VLOOKUP(A94,'Trips&amp;Operators'!$C$1:$E$10000,3,FALSE)</f>
        <v>YOUNG</v>
      </c>
      <c r="M94" s="6">
        <f>I94-F94</f>
        <v>3.0092592591245193E-2</v>
      </c>
      <c r="N94" s="7">
        <f>24*60*SUM($M94:$M94)</f>
        <v>43.333333331393078</v>
      </c>
      <c r="O94" s="7"/>
      <c r="P94" s="7"/>
      <c r="Q94" s="25"/>
      <c r="R94" s="25"/>
      <c r="S94" s="37">
        <f>SUM(U94:U94)/IF(AG94="EC",12,1)</f>
        <v>1</v>
      </c>
      <c r="T94" s="52" t="str">
        <f>IF(ISEVEN(LEFT(AD94,4)),"Southbound","NorthBound")</f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hh:mm:ss")&amp;"-0600',mode:absolute,to:'"&amp;TEXT(I94+1/24,"yyyy-MM-DD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https://search-rtdc-monitor-bjffxe2xuh6vdkpspy63sjmuny.us-east-1.es.amazonaws.com/_plugin/kibana/#/discover/Steve-Slow-Train-Analysis-(2080s-and-2083s)?_g=(refreshInterval:(display:Off,section:0,value:0),time:(from:'2016-09-01 13:32:21-0600',mode:absolute,to:'2016-09-01 16:24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94" s="54" t="str">
        <f>IF(AA94&lt;IF(AG94="EC",23,5.65),"Y","N")</f>
        <v>N</v>
      </c>
      <c r="X94" s="120">
        <f>VALUE(LEFT(AD94,4))-VALUE(LEFT(AD93,4))</f>
        <v>1</v>
      </c>
      <c r="Y94" s="69">
        <f>RIGHT(D94,LEN(D94)-4)/10000</f>
        <v>23.3003</v>
      </c>
      <c r="Z94" s="69">
        <f>RIGHT(H94,LEN(H94)-4)/10000</f>
        <v>1.6299999999999999E-2</v>
      </c>
      <c r="AA94" s="69">
        <f>ABS(Z94-Y94)</f>
        <v>23.283999999999999</v>
      </c>
      <c r="AB94" s="66" t="e">
        <f>VLOOKUP(A94,Enforcements!$C$7:$J$21,8,0)</f>
        <v>#N/A</v>
      </c>
      <c r="AC94" s="62" t="e">
        <f>VLOOKUP(A94,Enforcements!$C$7:$E$21,3,0)</f>
        <v>#N/A</v>
      </c>
      <c r="AD94" s="63" t="str">
        <f>IF(LEN(A94)=6,"0"&amp;A94,A94)</f>
        <v>0182-01</v>
      </c>
      <c r="AE94" s="99" t="str">
        <f>"aws s3 cp "&amp;s3_bucket&amp;"/RTDC"&amp;B94&amp;"/"&amp;TEXT(F94,"YYYY-MM-DD")&amp;"/ "&amp;search_path&amp;"\RTDC"&amp;B94&amp;"\"&amp;TEXT(F94,"YYYY-MM-DD")&amp;" --recursive &amp; """&amp;walkandungz&amp;""" "&amp;search_path&amp;"\RTDC"&amp;B94&amp;"\"&amp;TEXT(F94,"YYYY-MM-DD")
&amp;" &amp; "&amp;"aws s3 cp "&amp;s3_bucket&amp;"/RTDC"&amp;B94&amp;"/"&amp;TEXT(F94+1,"YYYY-MM-DD")&amp;"/ "&amp;search_path&amp;"\RTDC"&amp;B94&amp;"\"&amp;TEXT(F94+1,"YYYY-MM-DD")&amp;" --recursive &amp; """&amp;walkandungz&amp;""" "&amp;search_path&amp;"\RTDC"&amp;B94&amp;"\"&amp;TEXT(F94+1,"YYYY-MM-DD")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94" s="96" t="str">
        <f>astrogrep_path&amp;" /spath="&amp;search_path&amp;" /stypes=""*"&amp;B94&amp;"*"&amp;TEXT(I94-utc_offset/24,"YYYYMMDD")&amp;"*"" /stext="" "&amp;TEXT(I94-utc_offset/24,"HH")&amp;search_regexp&amp;""" /e /r /s"</f>
        <v>"C:\Program Files (x86)\AstroGrep\AstroGrep.exe" /spath="%USERPROFILE%\AppData\Local\Temp\OnboardLogs" /stypes="*4041*20160901*" /stext=" 21:.+((SYSTEM_STATE.+slice.+state.+changed )|(ment ac)|(system.+state.+changed )|(\|lc)|(penalty)|(\[timeout)|(PRM\|1\|D)|(kpr)|(kdp))" /e /r /s</v>
      </c>
      <c r="AG94" s="1" t="str">
        <f>IFERROR(IF(VALUE(LEFT(AD94,2))&lt;=2,"EC",IF(OR(VALUE(LEFT(AD94,2))=8,VALUE(LEFT(AD94,2))=18),"NW","Other")),"Other")</f>
        <v>EC</v>
      </c>
      <c r="AH94" s="100" t="str">
        <f t="shared" si="12"/>
        <v>"%USERPROFILE%\Documents\GitHub\eaglep3\Utilities\RefineRTDCRunTimes.py" --tripid 182-01 --locoid 4041 --swversion DE.1.0.7.0 --startMP 204:233003 --initTime 2016-09-01T14:32:21 --startdatetime 2016-09-01T14:41:26 --delay 1 --endMP 204:163 --enddatetime 2016-09-01T15:24:46 --enforcementcount 0 &gt;&gt;C:\Users\stu\Documents\GitHub\eaglep3-reporting\EC\2016-09-01-refined-times.txt</v>
      </c>
      <c r="AI94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{"issue":{"subject":"","project_id":79,"tracker_id":40,"status_id":1,"priority_id":2,"assigned_to_id":23,"start_date":"2016-09-01","description":"","custom_fields":[{"id":1,"name":"Subdivision","value":"EC"},{"id":4,"name":"Milepost","value":"23.284"},{"id":17,"name":"Train ID","value":"182-01"},{"id":16,"name":"Locomotive ID","value":"4041"},{"id":130,"name":"Impact","value":""},{"id":150,"name":"Time of Event (Mountain Time)","value":"15:24:46"},{"id":151,"name":"Denver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x14ac:dyDescent="0.25">
      <c r="A95" s="39" t="s">
        <v>488</v>
      </c>
      <c r="B95" s="7">
        <v>4044</v>
      </c>
      <c r="C95" s="24" t="s">
        <v>113</v>
      </c>
      <c r="D95" s="24" t="s">
        <v>241</v>
      </c>
      <c r="E95" s="15">
        <v>42614.579502314817</v>
      </c>
      <c r="F95" s="15">
        <v>42614.583784722221</v>
      </c>
      <c r="G95" s="7">
        <v>1</v>
      </c>
      <c r="H95" s="15" t="s">
        <v>328</v>
      </c>
      <c r="I95" s="15">
        <v>42614.609652777777</v>
      </c>
      <c r="J95" s="7">
        <v>0</v>
      </c>
      <c r="K95" s="132" t="str">
        <f>IF(ISEVEN(B95),(B95-1)&amp;"/"&amp;B95,B95&amp;"/"&amp;(B95+1))</f>
        <v>4043/4044</v>
      </c>
      <c r="L95" s="24" t="str">
        <f>VLOOKUP(A95,'Trips&amp;Operators'!$C$1:$E$10000,3,FALSE)</f>
        <v>ISHMAEL</v>
      </c>
      <c r="M95" s="6">
        <f>I95-F95</f>
        <v>2.5868055556202307E-2</v>
      </c>
      <c r="N95" s="7">
        <f>24*60*SUM($M95:$M95)</f>
        <v>37.250000000931323</v>
      </c>
      <c r="O95" s="7"/>
      <c r="P95" s="7"/>
      <c r="Q95" s="25"/>
      <c r="R95" s="25"/>
      <c r="S95" s="37">
        <f>SUM(U95:U95)/IF(AG95="EC",12,1)</f>
        <v>1</v>
      </c>
      <c r="T95" s="52" t="str">
        <f>IF(ISEVEN(LEFT(AD95,4)),"Southbound","NorthBound")</f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hh:mm:ss")&amp;"-0600',mode:absolute,to:'"&amp;TEXT(I95+1/24,"yyyy-MM-DD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https://search-rtdc-monitor-bjffxe2xuh6vdkpspy63sjmuny.us-east-1.es.amazonaws.com/_plugin/kibana/#/discover/Steve-Slow-Train-Analysis-(2080s-and-2083s)?_g=(refreshInterval:(display:Off,section:0,value:0),time:(from:'2016-09-01 12:54:29-0600',mode:absolute,to:'2016-09-01 15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95" s="54" t="str">
        <f>IF(AA95&lt;IF(AG95="EC",23,5.65),"Y","N")</f>
        <v>N</v>
      </c>
      <c r="X95" s="120">
        <f>VALUE(LEFT(AD95,4))-VALUE(LEFT(AD94,4))</f>
        <v>1</v>
      </c>
      <c r="Y95" s="69">
        <f>RIGHT(D95,LEN(D95)-4)/10000</f>
        <v>4.58E-2</v>
      </c>
      <c r="Z95" s="69">
        <f>RIGHT(H95,LEN(H95)-4)/10000</f>
        <v>23.331700000000001</v>
      </c>
      <c r="AA95" s="69">
        <f>ABS(Z95-Y95)</f>
        <v>23.285900000000002</v>
      </c>
      <c r="AB95" s="66" t="e">
        <f>VLOOKUP(A95,Enforcements!$C$7:$J$21,8,0)</f>
        <v>#N/A</v>
      </c>
      <c r="AC95" s="62" t="e">
        <f>VLOOKUP(A95,Enforcements!$C$7:$E$21,3,0)</f>
        <v>#N/A</v>
      </c>
      <c r="AD95" s="63" t="str">
        <f>IF(LEN(A95)=6,"0"&amp;A95,A95)</f>
        <v>0183-01</v>
      </c>
      <c r="AE95" s="99" t="str">
        <f>"aws s3 cp "&amp;s3_bucket&amp;"/RTDC"&amp;B95&amp;"/"&amp;TEXT(F95,"YYYY-MM-DD")&amp;"/ "&amp;search_path&amp;"\RTDC"&amp;B95&amp;"\"&amp;TEXT(F95,"YYYY-MM-DD")&amp;" --recursive &amp; """&amp;walkandungz&amp;""" "&amp;search_path&amp;"\RTDC"&amp;B95&amp;"\"&amp;TEXT(F95,"YYYY-MM-DD")
&amp;" &amp; "&amp;"aws s3 cp "&amp;s3_bucket&amp;"/RTDC"&amp;B95&amp;"/"&amp;TEXT(F95+1,"YYYY-MM-DD")&amp;"/ "&amp;search_path&amp;"\RTDC"&amp;B95&amp;"\"&amp;TEXT(F95+1,"YYYY-MM-DD")&amp;" --recursive &amp; """&amp;walkandungz&amp;""" "&amp;search_path&amp;"\RTDC"&amp;B95&amp;"\"&amp;TEXT(F95+1,"YYYY-MM-DD")</f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95" s="96" t="str">
        <f>astrogrep_path&amp;" /spath="&amp;search_path&amp;" /stypes=""*"&amp;B95&amp;"*"&amp;TEXT(I95-utc_offset/24,"YYYYMMDD")&amp;"*"" /stext="" "&amp;TEXT(I95-utc_offset/24,"HH")&amp;search_regexp&amp;""" /e /r /s"</f>
        <v>"C:\Program Files (x86)\AstroGrep\AstroGrep.exe" /spath="%USERPROFILE%\AppData\Local\Temp\OnboardLogs" /stypes="*4044*20160901*" /stext=" 20:.+((SYSTEM_STATE.+slice.+state.+changed )|(ment ac)|(system.+state.+changed )|(\|lc)|(penalty)|(\[timeout)|(PRM\|1\|D)|(kpr)|(kdp))" /e /r /s</v>
      </c>
      <c r="AG95" s="1" t="str">
        <f>IFERROR(IF(VALUE(LEFT(AD95,2))&lt;=2,"EC",IF(OR(VALUE(LEFT(AD95,2))=8,VALUE(LEFT(AD95,2))=18),"NW","Other")),"Other")</f>
        <v>EC</v>
      </c>
      <c r="AH95" s="100" t="str">
        <f t="shared" si="12"/>
        <v>"%USERPROFILE%\Documents\GitHub\eaglep3\Utilities\RefineRTDCRunTimes.py" --tripid 183-01 --locoid 4044 --swversion DE.1.0.7.0 --startMP 204:458 --initTime 2016-09-01T13:54:29 --startdatetime 2016-09-01T14:00:39 --delay 1 --endMP 204:233317 --enddatetime 2016-09-01T14:37:54 --enforcementcount 0 &gt;&gt;C:\Users\stu\Documents\GitHub\eaglep3-reporting\EC\2016-09-01-refined-times.txt</v>
      </c>
      <c r="AI95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{"issue":{"subject":"","project_id":79,"tracker_id":40,"status_id":1,"priority_id":2,"assigned_to_id":23,"start_date":"2016-09-01","description":"","custom_fields":[{"id":1,"name":"Subdivision","value":"EC"},{"id":4,"name":"Milepost","value":"23.2859"},{"id":17,"name":"Train ID","value":"183-01"},{"id":16,"name":"Locomotive ID","value":"4044"},{"id":130,"name":"Impact","value":""},{"id":150,"name":"Time of Event (Mountain Time)","value":"14:37:54"},{"id":151,"name":"Denver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x14ac:dyDescent="0.25">
      <c r="A96" s="39" t="s">
        <v>489</v>
      </c>
      <c r="B96" s="7">
        <v>4043</v>
      </c>
      <c r="C96" s="24" t="s">
        <v>113</v>
      </c>
      <c r="D96" s="24" t="s">
        <v>467</v>
      </c>
      <c r="E96" s="15">
        <v>42614.615636574075</v>
      </c>
      <c r="F96" s="15">
        <v>42614.622523148151</v>
      </c>
      <c r="G96" s="7">
        <v>1</v>
      </c>
      <c r="H96" s="15" t="s">
        <v>309</v>
      </c>
      <c r="I96" s="15">
        <v>42614.649421296293</v>
      </c>
      <c r="J96" s="7">
        <v>0</v>
      </c>
      <c r="K96" s="132" t="str">
        <f>IF(ISEVEN(B96),(B96-1)&amp;"/"&amp;B96,B96&amp;"/"&amp;(B96+1))</f>
        <v>4043/4044</v>
      </c>
      <c r="L96" s="24" t="str">
        <f>VLOOKUP(A96,'Trips&amp;Operators'!$C$1:$E$10000,3,FALSE)</f>
        <v>ISHMAEL</v>
      </c>
      <c r="M96" s="6">
        <f>I96-F96</f>
        <v>2.6898148142208811E-2</v>
      </c>
      <c r="N96" s="7">
        <f>24*60*SUM($M96:$M96)</f>
        <v>38.733333324780688</v>
      </c>
      <c r="O96" s="7"/>
      <c r="P96" s="7"/>
      <c r="Q96" s="25"/>
      <c r="R96" s="25"/>
      <c r="S96" s="37">
        <f>SUM(U96:U96)/IF(AG96="EC",12,1)</f>
        <v>1</v>
      </c>
      <c r="T96" s="52" t="str">
        <f>IF(ISEVEN(LEFT(AD96,4)),"Southbound","NorthBound")</f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https://search-rtdc-monitor-bjffxe2xuh6vdkpspy63sjmuny.us-east-1.es.amazonaws.com/_plugin/kibana/#/discover/Steve-Slow-Train-Analysis-(2080s-and-2083s)?_g=(refreshInterval:(display:Off,section:0,value:0),time:(from:'2016-09-01 13:46:31-0600',mode:absolute,to:'2016-09-01 16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96" s="54" t="str">
        <f>IF(AA96&lt;IF(AG96="EC",23,5.65),"Y","N")</f>
        <v>N</v>
      </c>
      <c r="X96" s="120">
        <f>VALUE(LEFT(AD96,4))-VALUE(LEFT(AD95,4))</f>
        <v>1</v>
      </c>
      <c r="Y96" s="69">
        <f>RIGHT(D96,LEN(D96)-4)/10000</f>
        <v>23.299800000000001</v>
      </c>
      <c r="Z96" s="69">
        <f>RIGHT(H96,LEN(H96)-4)/10000</f>
        <v>1.4999999999999999E-2</v>
      </c>
      <c r="AA96" s="69">
        <f>ABS(Z96-Y96)</f>
        <v>23.284800000000001</v>
      </c>
      <c r="AB96" s="66" t="e">
        <f>VLOOKUP(A96,Enforcements!$C$7:$J$21,8,0)</f>
        <v>#N/A</v>
      </c>
      <c r="AC96" s="62" t="e">
        <f>VLOOKUP(A96,Enforcements!$C$7:$E$21,3,0)</f>
        <v>#N/A</v>
      </c>
      <c r="AD96" s="63" t="str">
        <f>IF(LEN(A96)=6,"0"&amp;A96,A96)</f>
        <v>0184-01</v>
      </c>
      <c r="AE96" s="99" t="str">
        <f>"aws s3 cp "&amp;s3_bucket&amp;"/RTDC"&amp;B96&amp;"/"&amp;TEXT(F96,"YYYY-MM-DD")&amp;"/ "&amp;search_path&amp;"\RTDC"&amp;B96&amp;"\"&amp;TEXT(F96,"YYYY-MM-DD")&amp;" --recursive &amp; """&amp;walkandungz&amp;""" "&amp;search_path&amp;"\RTDC"&amp;B96&amp;"\"&amp;TEXT(F96,"YYYY-MM-DD")
&amp;" &amp; "&amp;"aws s3 cp "&amp;s3_bucket&amp;"/RTDC"&amp;B96&amp;"/"&amp;TEXT(F96+1,"YYYY-MM-DD")&amp;"/ "&amp;search_path&amp;"\RTDC"&amp;B96&amp;"\"&amp;TEXT(F96+1,"YYYY-MM-DD")&amp;" --recursive &amp; """&amp;walkandungz&amp;""" "&amp;search_path&amp;"\RTDC"&amp;B96&amp;"\"&amp;TEXT(F96+1,"YYYY-MM-DD")</f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96" s="96" t="str">
        <f>astrogrep_path&amp;" /spath="&amp;search_path&amp;" /stypes=""*"&amp;B96&amp;"*"&amp;TEXT(I96-utc_offset/24,"YYYYMMDD")&amp;"*"" /stext="" "&amp;TEXT(I96-utc_offset/24,"HH")&amp;search_regexp&amp;""" /e /r /s"</f>
        <v>"C:\Program Files (x86)\AstroGrep\AstroGrep.exe" /spath="%USERPROFILE%\AppData\Local\Temp\OnboardLogs" /stypes="*4043*20160901*" /stext=" 21:.+((SYSTEM_STATE.+slice.+state.+changed )|(ment ac)|(system.+state.+changed )|(\|lc)|(penalty)|(\[timeout)|(PRM\|1\|D)|(kpr)|(kdp))" /e /r /s</v>
      </c>
      <c r="AG96" s="1" t="str">
        <f>IFERROR(IF(VALUE(LEFT(AD96,2))&lt;=2,"EC",IF(OR(VALUE(LEFT(AD96,2))=8,VALUE(LEFT(AD96,2))=18),"NW","Other")),"Other")</f>
        <v>EC</v>
      </c>
      <c r="AH96" s="100" t="str">
        <f t="shared" si="12"/>
        <v>"%USERPROFILE%\Documents\GitHub\eaglep3\Utilities\RefineRTDCRunTimes.py" --tripid 184-01 --locoid 4043 --swversion DE.1.0.7.0 --startMP 204:232998 --initTime 2016-09-01T14:46:31 --startdatetime 2016-09-01T14:56:26 --delay 1 --endMP 204:150 --enddatetime 2016-09-01T15:35:10 --enforcementcount 0 &gt;&gt;C:\Users\stu\Documents\GitHub\eaglep3-reporting\EC\2016-09-01-refined-times.txt</v>
      </c>
      <c r="AI96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{"issue":{"subject":"","project_id":79,"tracker_id":40,"status_id":1,"priority_id":2,"assigned_to_id":23,"start_date":"2016-09-01","description":"","custom_fields":[{"id":1,"name":"Subdivision","value":"EC"},{"id":4,"name":"Milepost","value":"23.2848"},{"id":17,"name":"Train ID","value":"184-01"},{"id":16,"name":"Locomotive ID","value":"4043"},{"id":130,"name":"Impact","value":""},{"id":150,"name":"Time of Event (Mountain Time)","value":"15:35:10"},{"id":151,"name":"Denver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490</v>
      </c>
      <c r="B97" s="7">
        <v>4020</v>
      </c>
      <c r="C97" s="24" t="s">
        <v>113</v>
      </c>
      <c r="D97" s="24" t="s">
        <v>491</v>
      </c>
      <c r="E97" s="15">
        <v>42614.592118055552</v>
      </c>
      <c r="F97" s="15">
        <v>42614.594027777777</v>
      </c>
      <c r="G97" s="7">
        <v>1</v>
      </c>
      <c r="H97" s="15" t="s">
        <v>151</v>
      </c>
      <c r="I97" s="15">
        <v>42614.618622685186</v>
      </c>
      <c r="J97" s="7">
        <v>0</v>
      </c>
      <c r="K97" s="132" t="str">
        <f>IF(ISEVEN(B97),(B97-1)&amp;"/"&amp;B97,B97&amp;"/"&amp;(B97+1))</f>
        <v>4019/4020</v>
      </c>
      <c r="L97" s="24" t="str">
        <f>VLOOKUP(A97,'Trips&amp;Operators'!$C$1:$E$10000,3,FALSE)</f>
        <v>SUR</v>
      </c>
      <c r="M97" s="6">
        <f>I97-F97</f>
        <v>2.4594907408754807E-2</v>
      </c>
      <c r="N97" s="7">
        <f>24*60*SUM($M97:$M97)</f>
        <v>35.416666668606922</v>
      </c>
      <c r="O97" s="7"/>
      <c r="P97" s="7"/>
      <c r="Q97" s="25"/>
      <c r="R97" s="25"/>
      <c r="S97" s="37">
        <f>SUM(U97:U97)/IF(AG97="EC",12,1)</f>
        <v>1</v>
      </c>
      <c r="T97" s="52" t="str">
        <f>IF(ISEVEN(LEFT(AD97,4)),"Southbound","NorthBound")</f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hh:mm:ss")&amp;"-0600',mode:absolute,to:'"&amp;TEXT(I97+1/24,"yyyy-MM-DD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https://search-rtdc-monitor-bjffxe2xuh6vdkpspy63sjmuny.us-east-1.es.amazonaws.com/_plugin/kibana/#/discover/Steve-Slow-Train-Analysis-(2080s-and-2083s)?_g=(refreshInterval:(display:Off,section:0,value:0),time:(from:'2016-09-01 13:12:39-0600',mode:absolute,to:'2016-09-01 15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97" s="54" t="str">
        <f>IF(AA97&lt;IF(AG97="EC",23,5.65),"Y","N")</f>
        <v>N</v>
      </c>
      <c r="X97" s="120">
        <f t="shared" ref="X97:X100" si="14">VALUE(LEFT(AD97,4))-VALUE(LEFT(AD96,4))</f>
        <v>1</v>
      </c>
      <c r="Y97" s="69">
        <f>RIGHT(D97,LEN(D97)-4)/10000</f>
        <v>5.2600000000000001E-2</v>
      </c>
      <c r="Z97" s="69">
        <f>RIGHT(H97,LEN(H97)-4)/10000</f>
        <v>23.3291</v>
      </c>
      <c r="AA97" s="69">
        <f>ABS(Z97-Y97)</f>
        <v>23.276499999999999</v>
      </c>
      <c r="AB97" s="66">
        <f>VLOOKUP(A97,Enforcements!$C$7:$J$21,8,0)</f>
        <v>42779</v>
      </c>
      <c r="AC97" s="62" t="str">
        <f>VLOOKUP(A97,Enforcements!$C$7:$E$21,3,0)</f>
        <v>GRADE CROSSING</v>
      </c>
      <c r="AD97" s="63" t="str">
        <f>IF(LEN(A97)=6,"0"&amp;A97,A97)</f>
        <v>0185-01</v>
      </c>
      <c r="AE97" s="99" t="str">
        <f>"aws s3 cp "&amp;s3_bucket&amp;"/RTDC"&amp;B97&amp;"/"&amp;TEXT(F97,"YYYY-MM-DD")&amp;"/ "&amp;search_path&amp;"\RTDC"&amp;B97&amp;"\"&amp;TEXT(F97,"YYYY-MM-DD")&amp;" --recursive &amp; """&amp;walkandungz&amp;""" "&amp;search_path&amp;"\RTDC"&amp;B97&amp;"\"&amp;TEXT(F97,"YYYY-MM-DD")
&amp;" &amp; "&amp;"aws s3 cp "&amp;s3_bucket&amp;"/RTDC"&amp;B97&amp;"/"&amp;TEXT(F97+1,"YYYY-MM-DD")&amp;"/ "&amp;search_path&amp;"\RTDC"&amp;B97&amp;"\"&amp;TEXT(F97+1,"YYYY-MM-DD")&amp;" --recursive &amp; """&amp;walkandungz&amp;""" "&amp;search_path&amp;"\RTDC"&amp;B97&amp;"\"&amp;TEXT(F97+1,"YYYY-MM-DD")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97" s="96" t="str">
        <f>astrogrep_path&amp;" /spath="&amp;search_path&amp;" /stypes=""*"&amp;B97&amp;"*"&amp;TEXT(I97-utc_offset/24,"YYYYMMDD")&amp;"*"" /stext="" "&amp;TEXT(I97-utc_offset/24,"HH")&amp;search_regexp&amp;""" /e /r /s"</f>
        <v>"C:\Program Files (x86)\AstroGrep\AstroGrep.exe" /spath="%USERPROFILE%\AppData\Local\Temp\OnboardLogs" /stypes="*4020*20160901*" /stext=" 20:.+((SYSTEM_STATE.+slice.+state.+changed )|(ment ac)|(system.+state.+changed )|(\|lc)|(penalty)|(\[timeout)|(PRM\|1\|D)|(kpr)|(kdp))" /e /r /s</v>
      </c>
      <c r="AG97" s="1" t="str">
        <f>IFERROR(IF(VALUE(LEFT(AD97,2))&lt;=2,"EC",IF(OR(VALUE(LEFT(AD97,2))=8,VALUE(LEFT(AD97,2))=18),"NW","Other")),"Other")</f>
        <v>EC</v>
      </c>
      <c r="AH97" s="100" t="str">
        <f t="shared" si="12"/>
        <v>"%USERPROFILE%\Documents\GitHub\eaglep3\Utilities\RefineRTDCRunTimes.py" --tripid 185-01 --locoid 4020 --swversion DE.1.0.7.0 --startMP 204:526 --initTime 2016-09-01T14:12:39 --startdatetime 2016-09-01T14:15:24 --delay 1 --endMP 204:233291 --enddatetime 2016-09-01T14:50:49 --enforcementcount 0 &gt;&gt;C:\Users\stu\Documents\GitHub\eaglep3-reporting\EC\2016-09-01-refined-times.txt</v>
      </c>
      <c r="AI97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{"issue":{"subject":"","project_id":79,"tracker_id":40,"status_id":1,"priority_id":2,"assigned_to_id":23,"start_date":"2016-09-01","description":"","custom_fields":[{"id":1,"name":"Subdivision","value":"EC"},{"id":4,"name":"Milepost","value":"23.2765"},{"id":17,"name":"Train ID","value":"185-01"},{"id":16,"name":"Locomotive ID","value":"4020"},{"id":130,"name":"Impact","value":""},{"id":150,"name":"Time of Event (Mountain Time)","value":"14:50:49"},{"id":151,"name":"Denver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492</v>
      </c>
      <c r="B98" s="7">
        <v>4019</v>
      </c>
      <c r="C98" s="24" t="s">
        <v>113</v>
      </c>
      <c r="D98" s="24" t="s">
        <v>421</v>
      </c>
      <c r="E98" s="15">
        <v>42614.623043981483</v>
      </c>
      <c r="F98" s="15">
        <v>42614.633032407408</v>
      </c>
      <c r="G98" s="7">
        <v>1</v>
      </c>
      <c r="H98" s="15" t="s">
        <v>493</v>
      </c>
      <c r="I98" s="15">
        <v>42614.659189814818</v>
      </c>
      <c r="J98" s="7">
        <v>0</v>
      </c>
      <c r="K98" s="132" t="str">
        <f>IF(ISEVEN(B98),(B98-1)&amp;"/"&amp;B98,B98&amp;"/"&amp;(B98+1))</f>
        <v>4019/4020</v>
      </c>
      <c r="L98" s="24" t="str">
        <f>VLOOKUP(A98,'Trips&amp;Operators'!$C$1:$E$10000,3,FALSE)</f>
        <v>SUR</v>
      </c>
      <c r="M98" s="6">
        <f>I98-F98</f>
        <v>2.6157407410209998E-2</v>
      </c>
      <c r="N98" s="7">
        <f>24*60*SUM($M98:$M98)</f>
        <v>37.666666670702398</v>
      </c>
      <c r="O98" s="7"/>
      <c r="P98" s="7"/>
      <c r="Q98" s="25"/>
      <c r="R98" s="25"/>
      <c r="S98" s="37">
        <f>SUM(U98:U98)/IF(AG98="EC",12,1)</f>
        <v>1</v>
      </c>
      <c r="T98" s="52" t="str">
        <f>IF(ISEVEN(LEFT(AD98,4)),"Southbound","NorthBound")</f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hh:mm:ss")&amp;"-0600',mode:absolute,to:'"&amp;TEXT(I98+1/24,"yyyy-MM-DD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https://search-rtdc-monitor-bjffxe2xuh6vdkpspy63sjmuny.us-east-1.es.amazonaws.com/_plugin/kibana/#/discover/Steve-Slow-Train-Analysis-(2080s-and-2083s)?_g=(refreshInterval:(display:Off,section:0,value:0),time:(from:'2016-09-01 13:57:11-0600',mode:absolute,to:'2016-09-01 16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98" s="54" t="str">
        <f>IF(AA98&lt;IF(AG98="EC",23,5.65),"Y","N")</f>
        <v>N</v>
      </c>
      <c r="X98" s="120">
        <f t="shared" si="14"/>
        <v>1</v>
      </c>
      <c r="Y98" s="69">
        <f>RIGHT(D98,LEN(D98)-4)/10000</f>
        <v>23.296700000000001</v>
      </c>
      <c r="Z98" s="69">
        <f>RIGHT(H98,LEN(H98)-4)/10000</f>
        <v>1.34E-2</v>
      </c>
      <c r="AA98" s="69">
        <f>ABS(Z98-Y98)</f>
        <v>23.283300000000001</v>
      </c>
      <c r="AB98" s="66" t="e">
        <f>VLOOKUP(A98,Enforcements!$C$7:$J$21,8,0)</f>
        <v>#N/A</v>
      </c>
      <c r="AC98" s="62" t="e">
        <f>VLOOKUP(A98,Enforcements!$C$7:$E$21,3,0)</f>
        <v>#N/A</v>
      </c>
      <c r="AD98" s="63" t="str">
        <f>IF(LEN(A98)=6,"0"&amp;A98,A98)</f>
        <v>0186-01</v>
      </c>
      <c r="AE98" s="99" t="str">
        <f>"aws s3 cp "&amp;s3_bucket&amp;"/RTDC"&amp;B98&amp;"/"&amp;TEXT(F98,"YYYY-MM-DD")&amp;"/ "&amp;search_path&amp;"\RTDC"&amp;B98&amp;"\"&amp;TEXT(F98,"YYYY-MM-DD")&amp;" --recursive &amp; """&amp;walkandungz&amp;""" "&amp;search_path&amp;"\RTDC"&amp;B98&amp;"\"&amp;TEXT(F98,"YYYY-MM-DD")
&amp;" &amp; "&amp;"aws s3 cp "&amp;s3_bucket&amp;"/RTDC"&amp;B98&amp;"/"&amp;TEXT(F98+1,"YYYY-MM-DD")&amp;"/ "&amp;search_path&amp;"\RTDC"&amp;B98&amp;"\"&amp;TEXT(F98+1,"YYYY-MM-DD")&amp;" --recursive &amp; """&amp;walkandungz&amp;""" "&amp;search_path&amp;"\RTDC"&amp;B98&amp;"\"&amp;TEXT(F98+1,"YYYY-MM-DD")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98" s="96" t="str">
        <f>astrogrep_path&amp;" /spath="&amp;search_path&amp;" /stypes=""*"&amp;B98&amp;"*"&amp;TEXT(I98-utc_offset/24,"YYYYMMDD")&amp;"*"" /stext="" "&amp;TEXT(I98-utc_offset/24,"HH")&amp;search_regexp&amp;""" /e /r /s"</f>
        <v>"C:\Program Files (x86)\AstroGrep\AstroGrep.exe" /spath="%USERPROFILE%\AppData\Local\Temp\OnboardLogs" /stypes="*4019*20160901*" /stext=" 21:.+((SYSTEM_STATE.+slice.+state.+changed )|(ment ac)|(system.+state.+changed )|(\|lc)|(penalty)|(\[timeout)|(PRM\|1\|D)|(kpr)|(kdp))" /e /r /s</v>
      </c>
      <c r="AG98" s="1" t="str">
        <f>IFERROR(IF(VALUE(LEFT(AD98,2))&lt;=2,"EC",IF(OR(VALUE(LEFT(AD98,2))=8,VALUE(LEFT(AD98,2))=18),"NW","Other")),"Other")</f>
        <v>EC</v>
      </c>
      <c r="AH98" s="100" t="str">
        <f t="shared" si="12"/>
        <v>"%USERPROFILE%\Documents\GitHub\eaglep3\Utilities\RefineRTDCRunTimes.py" --tripid 186-01 --locoid 4019 --swversion DE.1.0.7.0 --startMP 204:232967 --initTime 2016-09-01T14:57:11 --startdatetime 2016-09-01T15:11:34 --delay 1 --endMP 204:134 --enddatetime 2016-09-01T15:49:14 --enforcementcount 0 &gt;&gt;C:\Users\stu\Documents\GitHub\eaglep3-reporting\EC\2016-09-01-refined-times.txt</v>
      </c>
      <c r="AI98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{"issue":{"subject":"","project_id":79,"tracker_id":40,"status_id":1,"priority_id":2,"assigned_to_id":23,"start_date":"2016-09-01","description":"","custom_fields":[{"id":1,"name":"Subdivision","value":"EC"},{"id":4,"name":"Milepost","value":"23.2833"},{"id":17,"name":"Train ID","value":"186-01"},{"id":16,"name":"Locomotive ID","value":"4019"},{"id":130,"name":"Impact","value":""},{"id":150,"name":"Time of Event (Mountain Time)","value":"15:49:14"},{"id":151,"name":"Denver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494</v>
      </c>
      <c r="B99" s="7">
        <v>4031</v>
      </c>
      <c r="C99" s="24" t="s">
        <v>113</v>
      </c>
      <c r="D99" s="24" t="s">
        <v>171</v>
      </c>
      <c r="E99" s="15">
        <v>42614.599409722221</v>
      </c>
      <c r="F99" s="15">
        <v>42614.604537037034</v>
      </c>
      <c r="G99" s="7">
        <v>1</v>
      </c>
      <c r="H99" s="15" t="s">
        <v>495</v>
      </c>
      <c r="I99" s="15">
        <v>42614.630277777775</v>
      </c>
      <c r="J99" s="7">
        <v>0</v>
      </c>
      <c r="K99" s="132" t="str">
        <f>IF(ISEVEN(B99),(B99-1)&amp;"/"&amp;B99,B99&amp;"/"&amp;(B99+1))</f>
        <v>4031/4032</v>
      </c>
      <c r="L99" s="24" t="str">
        <f>VLOOKUP(A99,'Trips&amp;Operators'!$C$1:$E$10000,3,FALSE)</f>
        <v>BONDS</v>
      </c>
      <c r="M99" s="6">
        <f>I99-F99</f>
        <v>2.5740740740729962E-2</v>
      </c>
      <c r="N99" s="7">
        <f>24*60*SUM($M99:$M99)</f>
        <v>37.066666666651145</v>
      </c>
      <c r="O99" s="7"/>
      <c r="P99" s="7"/>
      <c r="Q99" s="25"/>
      <c r="R99" s="25"/>
      <c r="S99" s="37">
        <f>SUM(U99:U99)/IF(AG99="EC",12,1)</f>
        <v>1</v>
      </c>
      <c r="T99" s="52" t="str">
        <f>IF(ISEVEN(LEFT(AD99,4)),"Southbound","NorthBound")</f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hh:mm:ss")&amp;"-0600',mode:absolute,to:'"&amp;TEXT(I99+1/24,"yyyy-MM-DD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https://search-rtdc-monitor-bjffxe2xuh6vdkpspy63sjmuny.us-east-1.es.amazonaws.com/_plugin/kibana/#/discover/Steve-Slow-Train-Analysis-(2080s-and-2083s)?_g=(refreshInterval:(display:Off,section:0,value:0),time:(from:'2016-09-01 13:23:09-0600',mode:absolute,to:'2016-09-01 16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99" s="54" t="str">
        <f>IF(AA99&lt;IF(AG99="EC",23,5.65),"Y","N")</f>
        <v>N</v>
      </c>
      <c r="X99" s="120">
        <f t="shared" si="14"/>
        <v>1</v>
      </c>
      <c r="Y99" s="69">
        <f>RIGHT(D99,LEN(D99)-4)/10000</f>
        <v>4.7100000000000003E-2</v>
      </c>
      <c r="Z99" s="69">
        <f>RIGHT(H99,LEN(H99)-4)/10000</f>
        <v>23.332899999999999</v>
      </c>
      <c r="AA99" s="69">
        <f>ABS(Z99-Y99)</f>
        <v>23.285799999999998</v>
      </c>
      <c r="AB99" s="66" t="e">
        <f>VLOOKUP(A99,Enforcements!$C$7:$J$21,8,0)</f>
        <v>#N/A</v>
      </c>
      <c r="AC99" s="62" t="e">
        <f>VLOOKUP(A99,Enforcements!$C$7:$E$21,3,0)</f>
        <v>#N/A</v>
      </c>
      <c r="AD99" s="63" t="str">
        <f>IF(LEN(A99)=6,"0"&amp;A99,A99)</f>
        <v>0187-01</v>
      </c>
      <c r="AE99" s="99" t="str">
        <f>"aws s3 cp "&amp;s3_bucket&amp;"/RTDC"&amp;B99&amp;"/"&amp;TEXT(F99,"YYYY-MM-DD")&amp;"/ "&amp;search_path&amp;"\RTDC"&amp;B99&amp;"\"&amp;TEXT(F99,"YYYY-MM-DD")&amp;" --recursive &amp; """&amp;walkandungz&amp;""" "&amp;search_path&amp;"\RTDC"&amp;B99&amp;"\"&amp;TEXT(F99,"YYYY-MM-DD")
&amp;" &amp; "&amp;"aws s3 cp "&amp;s3_bucket&amp;"/RTDC"&amp;B99&amp;"/"&amp;TEXT(F99+1,"YYYY-MM-DD")&amp;"/ "&amp;search_path&amp;"\RTDC"&amp;B99&amp;"\"&amp;TEXT(F99+1,"YYYY-MM-DD")&amp;" --recursive &amp; """&amp;walkandungz&amp;""" "&amp;search_path&amp;"\RTDC"&amp;B99&amp;"\"&amp;TEXT(F99+1,"YYYY-MM-DD")</f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99" s="96" t="str">
        <f>astrogrep_path&amp;" /spath="&amp;search_path&amp;" /stypes=""*"&amp;B99&amp;"*"&amp;TEXT(I99-utc_offset/24,"YYYYMMDD")&amp;"*"" /stext="" "&amp;TEXT(I99-utc_offset/24,"HH")&amp;search_regexp&amp;""" /e /r /s"</f>
        <v>"C:\Program Files (x86)\AstroGrep\AstroGrep.exe" /spath="%USERPROFILE%\AppData\Local\Temp\OnboardLogs" /stypes="*4031*20160901*" /stext=" 21:.+((SYSTEM_STATE.+slice.+state.+changed )|(ment ac)|(system.+state.+changed )|(\|lc)|(penalty)|(\[timeout)|(PRM\|1\|D)|(kpr)|(kdp))" /e /r /s</v>
      </c>
      <c r="AG99" s="1" t="str">
        <f>IFERROR(IF(VALUE(LEFT(AD99,2))&lt;=2,"EC",IF(OR(VALUE(LEFT(AD99,2))=8,VALUE(LEFT(AD99,2))=18),"NW","Other")),"Other")</f>
        <v>EC</v>
      </c>
      <c r="AH99" s="100" t="str">
        <f t="shared" si="12"/>
        <v>"%USERPROFILE%\Documents\GitHub\eaglep3\Utilities\RefineRTDCRunTimes.py" --tripid 187-01 --locoid 4031 --swversion DE.1.0.7.0 --startMP 204:471 --initTime 2016-09-01T14:23:09 --startdatetime 2016-09-01T14:30:32 --delay 1 --endMP 204:233329 --enddatetime 2016-09-01T15:07:36 --enforcementcount 0 &gt;&gt;C:\Users\stu\Documents\GitHub\eaglep3-reporting\EC\2016-09-01-refined-times.txt</v>
      </c>
      <c r="AI99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{"issue":{"subject":"","project_id":79,"tracker_id":40,"status_id":1,"priority_id":2,"assigned_to_id":23,"start_date":"2016-09-01","description":"","custom_fields":[{"id":1,"name":"Subdivision","value":"EC"},{"id":4,"name":"Milepost","value":"23.2858"},{"id":17,"name":"Train ID","value":"187-01"},{"id":16,"name":"Locomotive ID","value":"4031"},{"id":130,"name":"Impact","value":""},{"id":150,"name":"Time of Event (Mountain Time)","value":"15:07:36"},{"id":151,"name":"Denver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496</v>
      </c>
      <c r="B100" s="7">
        <v>4032</v>
      </c>
      <c r="C100" s="24" t="s">
        <v>113</v>
      </c>
      <c r="D100" s="24" t="s">
        <v>316</v>
      </c>
      <c r="E100" s="15">
        <v>42614.638182870367</v>
      </c>
      <c r="F100" s="15">
        <v>42614.643217592595</v>
      </c>
      <c r="G100" s="7">
        <v>1</v>
      </c>
      <c r="H100" s="15" t="s">
        <v>167</v>
      </c>
      <c r="I100" s="15">
        <v>42614.685925925929</v>
      </c>
      <c r="J100" s="7">
        <v>0</v>
      </c>
      <c r="K100" s="132" t="str">
        <f>IF(ISEVEN(B100),(B100-1)&amp;"/"&amp;B100,B100&amp;"/"&amp;(B100+1))</f>
        <v>4031/4032</v>
      </c>
      <c r="L100" s="24" t="str">
        <f>VLOOKUP(A100,'Trips&amp;Operators'!$C$1:$E$10000,3,FALSE)</f>
        <v>BONDS</v>
      </c>
      <c r="M100" s="6">
        <f>I100-F100</f>
        <v>4.2708333334303461E-2</v>
      </c>
      <c r="N100" s="7">
        <f>24*60*SUM($M100:$M100)</f>
        <v>61.500000001396984</v>
      </c>
      <c r="O100" s="7"/>
      <c r="P100" s="7"/>
      <c r="Q100" s="25"/>
      <c r="R100" s="25" t="s">
        <v>746</v>
      </c>
      <c r="S100" s="37">
        <f>SUM(U100:U100)/IF(AG100="EC",12,1)</f>
        <v>1</v>
      </c>
      <c r="T100" s="52" t="str">
        <f>IF(ISEVEN(LEFT(AD100,4)),"Southbound","NorthBound")</f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hh:mm:ss")&amp;"-0600',mode:absolute,to:'"&amp;TEXT(I100+1/24,"yyyy-MM-DD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https://search-rtdc-monitor-bjffxe2xuh6vdkpspy63sjmuny.us-east-1.es.amazonaws.com/_plugin/kibana/#/discover/Steve-Slow-Train-Analysis-(2080s-and-2083s)?_g=(refreshInterval:(display:Off,section:0,value:0),time:(from:'2016-09-01 14:18:59-0600',mode:absolute,to:'2016-09-01 17:27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00" s="54" t="str">
        <f>IF(AA100&lt;IF(AG100="EC",23,5.65),"Y","N")</f>
        <v>N</v>
      </c>
      <c r="X100" s="120">
        <f t="shared" si="14"/>
        <v>1</v>
      </c>
      <c r="Y100" s="69">
        <f>RIGHT(D100,LEN(D100)-4)/10000</f>
        <v>23.3004</v>
      </c>
      <c r="Z100" s="69">
        <f>RIGHT(H100,LEN(H100)-4)/10000</f>
        <v>1.52E-2</v>
      </c>
      <c r="AA100" s="69">
        <f>ABS(Z100-Y100)</f>
        <v>23.2852</v>
      </c>
      <c r="AB100" s="66" t="e">
        <f>VLOOKUP(A100,Enforcements!$C$7:$J$21,8,0)</f>
        <v>#N/A</v>
      </c>
      <c r="AC100" s="62" t="e">
        <f>VLOOKUP(A100,Enforcements!$C$7:$E$21,3,0)</f>
        <v>#N/A</v>
      </c>
      <c r="AD100" s="63" t="str">
        <f>IF(LEN(A100)=6,"0"&amp;A100,A100)</f>
        <v>0188-01</v>
      </c>
      <c r="AE100" s="99" t="str">
        <f>"aws s3 cp "&amp;s3_bucket&amp;"/RTDC"&amp;B100&amp;"/"&amp;TEXT(F100,"YYYY-MM-DD")&amp;"/ "&amp;search_path&amp;"\RTDC"&amp;B100&amp;"\"&amp;TEXT(F100,"YYYY-MM-DD")&amp;" --recursive &amp; """&amp;walkandungz&amp;""" "&amp;search_path&amp;"\RTDC"&amp;B100&amp;"\"&amp;TEXT(F100,"YYYY-MM-DD")
&amp;" &amp; "&amp;"aws s3 cp "&amp;s3_bucket&amp;"/RTDC"&amp;B100&amp;"/"&amp;TEXT(F100+1,"YYYY-MM-DD")&amp;"/ "&amp;search_path&amp;"\RTDC"&amp;B100&amp;"\"&amp;TEXT(F100+1,"YYYY-MM-DD")&amp;" --recursive &amp; """&amp;walkandungz&amp;""" "&amp;search_path&amp;"\RTDC"&amp;B100&amp;"\"&amp;TEXT(F100+1,"YYYY-MM-DD")</f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100" s="96" t="str">
        <f>astrogrep_path&amp;" /spath="&amp;search_path&amp;" /stypes=""*"&amp;B100&amp;"*"&amp;TEXT(I100-utc_offset/24,"YYYYMMDD")&amp;"*"" /stext="" "&amp;TEXT(I100-utc_offset/24,"HH")&amp;search_regexp&amp;""" /e /r /s"</f>
        <v>"C:\Program Files (x86)\AstroGrep\AstroGrep.exe" /spath="%USERPROFILE%\AppData\Local\Temp\OnboardLogs" /stypes="*4032*20160901*" /stext=" 22:.+((SYSTEM_STATE.+slice.+state.+changed )|(ment ac)|(system.+state.+changed )|(\|lc)|(penalty)|(\[timeout)|(PRM\|1\|D)|(kpr)|(kdp))" /e /r /s</v>
      </c>
      <c r="AG100" s="1" t="str">
        <f>IFERROR(IF(VALUE(LEFT(AD100,2))&lt;=2,"EC",IF(OR(VALUE(LEFT(AD100,2))=8,VALUE(LEFT(AD100,2))=18),"NW","Other")),"Other")</f>
        <v>EC</v>
      </c>
      <c r="AH100" s="100" t="str">
        <f t="shared" si="12"/>
        <v>"%USERPROFILE%\Documents\GitHub\eaglep3\Utilities\RefineRTDCRunTimes.py" --tripid 188-01 --locoid 4032 --swversion DE.1.0.7.0 --startMP 204:233004 --initTime 2016-09-01T15:18:59 --startdatetime 2016-09-01T15:26:14 --delay 1 --endMP 204:152 --enddatetime 2016-09-01T16:27:44 --enforcementcount 0 &gt;&gt;C:\Users\stu\Documents\GitHub\eaglep3-reporting\EC\2016-09-01-refined-times.txt</v>
      </c>
      <c r="AI100" s="149" t="str">
        <f t="shared" si="13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C's","project_id":79,"tracker_id":40,"status_id":1,"priority_id":2,"assigned_to_id":23,"start_date":"2016-09-01","description":"","custom_fields":[{"id":1,"name":"Subdivision","value":"EC"},{"id":4,"name":"Milepost","value":"23.2852"},{"id":17,"name":"Train ID","value":"188-01"},{"id":16,"name":"Locomotive ID","value":"4032"},{"id":130,"name":"Impact","value":""},{"id":150,"name":"Time of Event (Mountain Time)","value":"16:27:44"},{"id":151,"name":"Denver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497</v>
      </c>
      <c r="B101" s="7">
        <v>4018</v>
      </c>
      <c r="C101" s="24" t="s">
        <v>113</v>
      </c>
      <c r="D101" s="24" t="s">
        <v>498</v>
      </c>
      <c r="E101" s="15">
        <v>42614.609837962962</v>
      </c>
      <c r="F101" s="15">
        <v>42614.614756944444</v>
      </c>
      <c r="G101" s="7">
        <v>1</v>
      </c>
      <c r="H101" s="15" t="s">
        <v>314</v>
      </c>
      <c r="I101" s="15">
        <v>42614.640405092592</v>
      </c>
      <c r="J101" s="7">
        <v>0</v>
      </c>
      <c r="K101" s="132" t="str">
        <f>IF(ISEVEN(B101),(B101-1)&amp;"/"&amp;B101,B101&amp;"/"&amp;(B101+1))</f>
        <v>4017/4018</v>
      </c>
      <c r="L101" s="24" t="str">
        <f>VLOOKUP(A101,'Trips&amp;Operators'!$C$1:$E$10000,3,FALSE)</f>
        <v>SHOOK</v>
      </c>
      <c r="M101" s="6">
        <f>I101-F101</f>
        <v>2.5648148148320615E-2</v>
      </c>
      <c r="N101" s="7">
        <f>24*60*SUM($M101:$M101)</f>
        <v>36.933333333581686</v>
      </c>
      <c r="O101" s="7"/>
      <c r="P101" s="7"/>
      <c r="Q101" s="25"/>
      <c r="R101" s="25"/>
      <c r="S101" s="37">
        <f>SUM(U101:U101)/IF(AG101="EC",12,1)</f>
        <v>1</v>
      </c>
      <c r="T101" s="52" t="str">
        <f>IF(ISEVEN(LEFT(AD101,4)),"Southbound","NorthBound")</f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hh:mm:ss")&amp;"-0600',mode:absolute,to:'"&amp;TEXT(I101+1/24,"yyyy-MM-DD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https://search-rtdc-monitor-bjffxe2xuh6vdkpspy63sjmuny.us-east-1.es.amazonaws.com/_plugin/kibana/#/discover/Steve-Slow-Train-Analysis-(2080s-and-2083s)?_g=(refreshInterval:(display:Off,section:0,value:0),time:(from:'2016-09-01 13:38:10-0600',mode:absolute,to:'2016-09-01 16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01" s="54" t="str">
        <f>IF(AA101&lt;IF(AG101="EC",23,5.65),"Y","N")</f>
        <v>N</v>
      </c>
      <c r="X101" s="120">
        <f>VALUE(LEFT(AD101,4))-VALUE(LEFT(AD100,4))</f>
        <v>1</v>
      </c>
      <c r="Y101" s="69">
        <f>RIGHT(D101,LEN(D101)-4)/10000</f>
        <v>4.0899999999999999E-2</v>
      </c>
      <c r="Z101" s="69">
        <f>RIGHT(H101,LEN(H101)-4)/10000</f>
        <v>23.334099999999999</v>
      </c>
      <c r="AA101" s="69">
        <f>ABS(Z101-Y101)</f>
        <v>23.293199999999999</v>
      </c>
      <c r="AB101" s="66" t="e">
        <f>VLOOKUP(A101,Enforcements!$C$7:$J$21,8,0)</f>
        <v>#N/A</v>
      </c>
      <c r="AC101" s="62" t="e">
        <f>VLOOKUP(A101,Enforcements!$C$7:$E$21,3,0)</f>
        <v>#N/A</v>
      </c>
      <c r="AD101" s="63" t="str">
        <f>IF(LEN(A101)=6,"0"&amp;A101,A101)</f>
        <v>0189-01</v>
      </c>
      <c r="AE101" s="99" t="str">
        <f>"aws s3 cp "&amp;s3_bucket&amp;"/RTDC"&amp;B101&amp;"/"&amp;TEXT(F101,"YYYY-MM-DD")&amp;"/ "&amp;search_path&amp;"\RTDC"&amp;B101&amp;"\"&amp;TEXT(F101,"YYYY-MM-DD")&amp;" --recursive &amp; """&amp;walkandungz&amp;""" "&amp;search_path&amp;"\RTDC"&amp;B101&amp;"\"&amp;TEXT(F101,"YYYY-MM-DD")
&amp;" &amp; "&amp;"aws s3 cp "&amp;s3_bucket&amp;"/RTDC"&amp;B101&amp;"/"&amp;TEXT(F101+1,"YYYY-MM-DD")&amp;"/ "&amp;search_path&amp;"\RTDC"&amp;B101&amp;"\"&amp;TEXT(F101+1,"YYYY-MM-DD")&amp;" --recursive &amp; """&amp;walkandungz&amp;""" "&amp;search_path&amp;"\RTDC"&amp;B101&amp;"\"&amp;TEXT(F101+1,"YYYY-MM-DD")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01" s="96" t="str">
        <f>astrogrep_path&amp;" /spath="&amp;search_path&amp;" /stypes=""*"&amp;B101&amp;"*"&amp;TEXT(I101-utc_offset/24,"YYYYMMDD")&amp;"*"" /stext="" "&amp;TEXT(I101-utc_offset/24,"HH")&amp;search_regexp&amp;""" /e /r /s"</f>
        <v>"C:\Program Files (x86)\AstroGrep\AstroGrep.exe" /spath="%USERPROFILE%\AppData\Local\Temp\OnboardLogs" /stypes="*4018*20160901*" /stext=" 21:.+((SYSTEM_STATE.+slice.+state.+changed )|(ment ac)|(system.+state.+changed )|(\|lc)|(penalty)|(\[timeout)|(PRM\|1\|D)|(kpr)|(kdp))" /e /r /s</v>
      </c>
      <c r="AG101" s="1" t="str">
        <f>IFERROR(IF(VALUE(LEFT(AD101,2))&lt;=2,"EC",IF(OR(VALUE(LEFT(AD101,2))=8,VALUE(LEFT(AD101,2))=18),"NW","Other")),"Other")</f>
        <v>EC</v>
      </c>
      <c r="AH101" s="100" t="str">
        <f t="shared" si="12"/>
        <v>"%USERPROFILE%\Documents\GitHub\eaglep3\Utilities\RefineRTDCRunTimes.py" --tripid 189-01 --locoid 4018 --swversion DE.1.0.7.0 --startMP 204:409 --initTime 2016-09-01T14:38:10 --startdatetime 2016-09-01T14:45:15 --delay 1 --endMP 204:233341 --enddatetime 2016-09-01T15:22:11 --enforcementcount 0 &gt;&gt;C:\Users\stu\Documents\GitHub\eaglep3-reporting\EC\2016-09-01-refined-times.txt</v>
      </c>
      <c r="AI101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{"issue":{"subject":"","project_id":79,"tracker_id":40,"status_id":1,"priority_id":2,"assigned_to_id":23,"start_date":"2016-09-01","description":"","custom_fields":[{"id":1,"name":"Subdivision","value":"EC"},{"id":4,"name":"Milepost","value":"23.2932"},{"id":17,"name":"Train ID","value":"189-01"},{"id":16,"name":"Locomotive ID","value":"4018"},{"id":130,"name":"Impact","value":""},{"id":150,"name":"Time of Event (Mountain Time)","value":"15:22:11"},{"id":151,"name":"Denver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499</v>
      </c>
      <c r="B102" s="7">
        <v>4017</v>
      </c>
      <c r="C102" s="24" t="s">
        <v>113</v>
      </c>
      <c r="D102" s="24" t="s">
        <v>500</v>
      </c>
      <c r="E102" s="15">
        <v>42614.648009259261</v>
      </c>
      <c r="F102" s="15">
        <v>42614.653634259259</v>
      </c>
      <c r="G102" s="7">
        <v>2</v>
      </c>
      <c r="H102" s="15" t="s">
        <v>174</v>
      </c>
      <c r="I102" s="15">
        <v>42614.70685185185</v>
      </c>
      <c r="J102" s="7">
        <v>0</v>
      </c>
      <c r="K102" s="132" t="str">
        <f>IF(ISEVEN(B102),(B102-1)&amp;"/"&amp;B102,B102&amp;"/"&amp;(B102+1))</f>
        <v>4017/4018</v>
      </c>
      <c r="L102" s="24" t="str">
        <f>VLOOKUP(A102,'Trips&amp;Operators'!$C$1:$E$10000,3,FALSE)</f>
        <v>SHOOK</v>
      </c>
      <c r="M102" s="6">
        <f>I102-F102</f>
        <v>5.3217592590954155E-2</v>
      </c>
      <c r="N102" s="7">
        <f>24*60*SUM($M102:$M102)</f>
        <v>76.633333330973983</v>
      </c>
      <c r="O102" s="7"/>
      <c r="P102" s="7"/>
      <c r="Q102" s="25"/>
      <c r="R102" s="25" t="s">
        <v>746</v>
      </c>
      <c r="S102" s="37">
        <f>SUM(U102:U102)/IF(AG102="EC",12,1)</f>
        <v>1</v>
      </c>
      <c r="T102" s="52" t="str">
        <f>IF(ISEVEN(LEFT(AD102,4)),"Southbound","NorthBound")</f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hh:mm:ss")&amp;"-0600',mode:absolute,to:'"&amp;TEXT(I102+1/24,"yyyy-MM-DD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https://search-rtdc-monitor-bjffxe2xuh6vdkpspy63sjmuny.us-east-1.es.amazonaws.com/_plugin/kibana/#/discover/Steve-Slow-Train-Analysis-(2080s-and-2083s)?_g=(refreshInterval:(display:Off,section:0,value:0),time:(from:'2016-09-01 14:33:08-0600',mode:absolute,to:'2016-09-01 17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02" s="54" t="str">
        <f>IF(AA102&lt;IF(AG102="EC",23,5.65),"Y","N")</f>
        <v>N</v>
      </c>
      <c r="X102" s="120">
        <f>VALUE(LEFT(AD102,4))-VALUE(LEFT(AD101,4))</f>
        <v>1</v>
      </c>
      <c r="Y102" s="69">
        <f>RIGHT(D102,LEN(D102)-4)/10000</f>
        <v>23.302099999999999</v>
      </c>
      <c r="Z102" s="69">
        <f>RIGHT(H102,LEN(H102)-4)/10000</f>
        <v>1.4500000000000001E-2</v>
      </c>
      <c r="AA102" s="69">
        <f>ABS(Z102-Y102)</f>
        <v>23.287599999999998</v>
      </c>
      <c r="AB102" s="66" t="e">
        <f>VLOOKUP(A102,Enforcements!$C$7:$J$21,8,0)</f>
        <v>#N/A</v>
      </c>
      <c r="AC102" s="62" t="e">
        <f>VLOOKUP(A102,Enforcements!$C$7:$E$21,3,0)</f>
        <v>#N/A</v>
      </c>
      <c r="AD102" s="63" t="str">
        <f>IF(LEN(A102)=6,"0"&amp;A102,A102)</f>
        <v>0190-01</v>
      </c>
      <c r="AE102" s="99" t="str">
        <f>"aws s3 cp "&amp;s3_bucket&amp;"/RTDC"&amp;B102&amp;"/"&amp;TEXT(F102,"YYYY-MM-DD")&amp;"/ "&amp;search_path&amp;"\RTDC"&amp;B102&amp;"\"&amp;TEXT(F102,"YYYY-MM-DD")&amp;" --recursive &amp; """&amp;walkandungz&amp;""" "&amp;search_path&amp;"\RTDC"&amp;B102&amp;"\"&amp;TEXT(F102,"YYYY-MM-DD")
&amp;" &amp; "&amp;"aws s3 cp "&amp;s3_bucket&amp;"/RTDC"&amp;B102&amp;"/"&amp;TEXT(F102+1,"YYYY-MM-DD")&amp;"/ "&amp;search_path&amp;"\RTDC"&amp;B102&amp;"\"&amp;TEXT(F102+1,"YYYY-MM-DD")&amp;" --recursive &amp; """&amp;walkandungz&amp;""" "&amp;search_path&amp;"\RTDC"&amp;B102&amp;"\"&amp;TEXT(F102+1,"YYYY-MM-DD")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102" s="96" t="str">
        <f>astrogrep_path&amp;" /spath="&amp;search_path&amp;" /stypes=""*"&amp;B102&amp;"*"&amp;TEXT(I102-utc_offset/24,"YYYYMMDD")&amp;"*"" /stext="" "&amp;TEXT(I102-utc_offset/24,"HH")&amp;search_regexp&amp;""" /e /r /s"</f>
        <v>"C:\Program Files (x86)\AstroGrep\AstroGrep.exe" /spath="%USERPROFILE%\AppData\Local\Temp\OnboardLogs" /stypes="*4017*20160901*" /stext=" 22:.+((SYSTEM_STATE.+slice.+state.+changed )|(ment ac)|(system.+state.+changed )|(\|lc)|(penalty)|(\[timeout)|(PRM\|1\|D)|(kpr)|(kdp))" /e /r /s</v>
      </c>
      <c r="AG102" s="1" t="str">
        <f>IFERROR(IF(VALUE(LEFT(AD102,2))&lt;=2,"EC",IF(OR(VALUE(LEFT(AD102,2))=8,VALUE(LEFT(AD102,2))=18),"NW","Other")),"Other")</f>
        <v>EC</v>
      </c>
      <c r="AH102" s="100" t="str">
        <f t="shared" si="12"/>
        <v>"%USERPROFILE%\Documents\GitHub\eaglep3\Utilities\RefineRTDCRunTimes.py" --tripid 190-01 --locoid 4017 --swversion DE.1.0.7.0 --startMP 204:233021 --initTime 2016-09-01T15:33:08 --startdatetime 2016-09-01T15:41:14 --delay 2 --endMP 204:145 --enddatetime 2016-09-01T16:57:52 --enforcementcount 0 &gt;&gt;C:\Users\stu\Documents\GitHub\eaglep3-reporting\EC\2016-09-01-refined-times.txt</v>
      </c>
      <c r="AI102" s="149" t="str">
        <f t="shared" si="13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C's","project_id":79,"tracker_id":40,"status_id":1,"priority_id":2,"assigned_to_id":23,"start_date":"2016-09-01","description":"","custom_fields":[{"id":1,"name":"Subdivision","value":"EC"},{"id":4,"name":"Milepost","value":"23.2876"},{"id":17,"name":"Train ID","value":"190-01"},{"id":16,"name":"Locomotive ID","value":"4017"},{"id":130,"name":"Impact","value":""},{"id":150,"name":"Time of Event (Mountain Time)","value":"16:57:52"},{"id":151,"name":"Denver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501</v>
      </c>
      <c r="B103" s="7">
        <v>4038</v>
      </c>
      <c r="C103" s="24" t="s">
        <v>113</v>
      </c>
      <c r="D103" s="24" t="s">
        <v>331</v>
      </c>
      <c r="E103" s="15">
        <v>42614.623773148145</v>
      </c>
      <c r="F103" s="15">
        <v>42614.625289351854</v>
      </c>
      <c r="G103" s="7">
        <v>1</v>
      </c>
      <c r="H103" s="15" t="s">
        <v>292</v>
      </c>
      <c r="I103" s="15">
        <v>42614.650856481479</v>
      </c>
      <c r="J103" s="7">
        <v>0</v>
      </c>
      <c r="K103" s="132" t="str">
        <f>IF(ISEVEN(B103),(B103-1)&amp;"/"&amp;B103,B103&amp;"/"&amp;(B103+1))</f>
        <v>4037/4038</v>
      </c>
      <c r="L103" s="24" t="str">
        <f>VLOOKUP(A103,'Trips&amp;Operators'!$C$1:$E$10000,3,FALSE)</f>
        <v>MOSES</v>
      </c>
      <c r="M103" s="6">
        <f>I103-F103</f>
        <v>2.5567129625414964E-2</v>
      </c>
      <c r="N103" s="7">
        <f>24*60*SUM($M103:$M103)</f>
        <v>36.816666660597548</v>
      </c>
      <c r="O103" s="7"/>
      <c r="P103" s="7"/>
      <c r="Q103" s="25"/>
      <c r="R103" s="25"/>
      <c r="S103" s="37">
        <f>SUM(U103:U103)/IF(AG103="EC",12,1)</f>
        <v>1</v>
      </c>
      <c r="T103" s="52" t="str">
        <f>IF(ISEVEN(LEFT(AD103,4)),"Southbound","NorthBound")</f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hh:mm:ss")&amp;"-0600',mode:absolute,to:'"&amp;TEXT(I103+1/24,"yyyy-MM-DD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https://search-rtdc-monitor-bjffxe2xuh6vdkpspy63sjmuny.us-east-1.es.amazonaws.com/_plugin/kibana/#/discover/Steve-Slow-Train-Analysis-(2080s-and-2083s)?_g=(refreshInterval:(display:Off,section:0,value:0),time:(from:'2016-09-01 13:58:14-0600',mode:absolute,to:'2016-09-01 16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03" s="54" t="str">
        <f>IF(AA103&lt;IF(AG103="EC",23,5.65),"Y","N")</f>
        <v>N</v>
      </c>
      <c r="X103" s="120">
        <f>VALUE(LEFT(AD103,4))-VALUE(LEFT(AD102,4))</f>
        <v>1</v>
      </c>
      <c r="Y103" s="69">
        <f>RIGHT(D103,LEN(D103)-4)/10000</f>
        <v>4.2599999999999999E-2</v>
      </c>
      <c r="Z103" s="69">
        <f>RIGHT(H103,LEN(H103)-4)/10000</f>
        <v>23.333100000000002</v>
      </c>
      <c r="AA103" s="69">
        <f>ABS(Z103-Y103)</f>
        <v>23.290500000000002</v>
      </c>
      <c r="AB103" s="66" t="e">
        <f>VLOOKUP(A103,Enforcements!$C$7:$J$21,8,0)</f>
        <v>#N/A</v>
      </c>
      <c r="AC103" s="62" t="e">
        <f>VLOOKUP(A103,Enforcements!$C$7:$E$21,3,0)</f>
        <v>#N/A</v>
      </c>
      <c r="AD103" s="63" t="str">
        <f>IF(LEN(A103)=6,"0"&amp;A103,A103)</f>
        <v>0191-01</v>
      </c>
      <c r="AE103" s="99" t="str">
        <f>"aws s3 cp "&amp;s3_bucket&amp;"/RTDC"&amp;B103&amp;"/"&amp;TEXT(F103,"YYYY-MM-DD")&amp;"/ "&amp;search_path&amp;"\RTDC"&amp;B103&amp;"\"&amp;TEXT(F103,"YYYY-MM-DD")&amp;" --recursive &amp; """&amp;walkandungz&amp;""" "&amp;search_path&amp;"\RTDC"&amp;B103&amp;"\"&amp;TEXT(F103,"YYYY-MM-DD")
&amp;" &amp; "&amp;"aws s3 cp "&amp;s3_bucket&amp;"/RTDC"&amp;B103&amp;"/"&amp;TEXT(F103+1,"YYYY-MM-DD")&amp;"/ "&amp;search_path&amp;"\RTDC"&amp;B103&amp;"\"&amp;TEXT(F103+1,"YYYY-MM-DD")&amp;" --recursive &amp; """&amp;walkandungz&amp;""" "&amp;search_path&amp;"\RTDC"&amp;B103&amp;"\"&amp;TEXT(F103+1,"YYYY-MM-DD")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103" s="96" t="str">
        <f>astrogrep_path&amp;" /spath="&amp;search_path&amp;" /stypes=""*"&amp;B103&amp;"*"&amp;TEXT(I103-utc_offset/24,"YYYYMMDD")&amp;"*"" /stext="" "&amp;TEXT(I103-utc_offset/24,"HH")&amp;search_regexp&amp;""" /e /r /s"</f>
        <v>"C:\Program Files (x86)\AstroGrep\AstroGrep.exe" /spath="%USERPROFILE%\AppData\Local\Temp\OnboardLogs" /stypes="*4038*20160901*" /stext=" 21:.+((SYSTEM_STATE.+slice.+state.+changed )|(ment ac)|(system.+state.+changed )|(\|lc)|(penalty)|(\[timeout)|(PRM\|1\|D)|(kpr)|(kdp))" /e /r /s</v>
      </c>
      <c r="AG103" s="1" t="str">
        <f>IFERROR(IF(VALUE(LEFT(AD103,2))&lt;=2,"EC",IF(OR(VALUE(LEFT(AD103,2))=8,VALUE(LEFT(AD103,2))=18),"NW","Other")),"Other")</f>
        <v>EC</v>
      </c>
      <c r="AH103" s="100" t="str">
        <f t="shared" si="12"/>
        <v>"%USERPROFILE%\Documents\GitHub\eaglep3\Utilities\RefineRTDCRunTimes.py" --tripid 191-01 --locoid 4038 --swversion DE.1.0.7.0 --startMP 204:426 --initTime 2016-09-01T14:58:14 --startdatetime 2016-09-01T15:00:25 --delay 1 --endMP 204:233331 --enddatetime 2016-09-01T15:37:14 --enforcementcount 0 &gt;&gt;C:\Users\stu\Documents\GitHub\eaglep3-reporting\EC\2016-09-01-refined-times.txt</v>
      </c>
      <c r="AI103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{"issue":{"subject":"","project_id":79,"tracker_id":40,"status_id":1,"priority_id":2,"assigned_to_id":23,"start_date":"2016-09-01","description":"","custom_fields":[{"id":1,"name":"Subdivision","value":"EC"},{"id":4,"name":"Milepost","value":"23.2905"},{"id":17,"name":"Train ID","value":"191-01"},{"id":16,"name":"Locomotive ID","value":"4038"},{"id":130,"name":"Impact","value":""},{"id":150,"name":"Time of Event (Mountain Time)","value":"15:37:14"},{"id":151,"name":"Denver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502</v>
      </c>
      <c r="B104" s="7">
        <v>4037</v>
      </c>
      <c r="C104" s="24" t="s">
        <v>113</v>
      </c>
      <c r="D104" s="24" t="s">
        <v>333</v>
      </c>
      <c r="E104" s="15">
        <v>42614.659826388888</v>
      </c>
      <c r="F104" s="15">
        <v>42614.664212962962</v>
      </c>
      <c r="G104" s="7">
        <v>1</v>
      </c>
      <c r="H104" s="15" t="s">
        <v>503</v>
      </c>
      <c r="I104" s="15">
        <v>42614.723900462966</v>
      </c>
      <c r="J104" s="7">
        <v>0</v>
      </c>
      <c r="K104" s="132" t="str">
        <f>IF(ISEVEN(B104),(B104-1)&amp;"/"&amp;B104,B104&amp;"/"&amp;(B104+1))</f>
        <v>4037/4038</v>
      </c>
      <c r="L104" s="24" t="str">
        <f>VLOOKUP(A104,'Trips&amp;Operators'!$C$1:$E$10000,3,FALSE)</f>
        <v>MOSES</v>
      </c>
      <c r="M104" s="6">
        <f>I104-F104</f>
        <v>5.9687500004656613E-2</v>
      </c>
      <c r="N104" s="7">
        <f>24*60*SUM($M104:$M104)</f>
        <v>85.950000006705523</v>
      </c>
      <c r="O104" s="7"/>
      <c r="P104" s="7"/>
      <c r="Q104" s="25"/>
      <c r="R104" s="25" t="s">
        <v>746</v>
      </c>
      <c r="S104" s="37">
        <f>SUM(U104:U104)/IF(AG104="EC",12,1)</f>
        <v>1</v>
      </c>
      <c r="T104" s="52" t="str">
        <f>IF(ISEVEN(LEFT(AD104,4)),"Southbound","NorthBound")</f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hh:mm:ss")&amp;"-0600',mode:absolute,to:'"&amp;TEXT(I104+1/24,"yyyy-MM-DD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https://search-rtdc-monitor-bjffxe2xuh6vdkpspy63sjmuny.us-east-1.es.amazonaws.com/_plugin/kibana/#/discover/Steve-Slow-Train-Analysis-(2080s-and-2083s)?_g=(refreshInterval:(display:Off,section:0,value:0),time:(from:'2016-09-01 14:50:09-0600',mode:absolute,to:'2016-09-01 18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04" s="54" t="str">
        <f>IF(AA104&lt;IF(AG104="EC",23,5.65),"Y","N")</f>
        <v>N</v>
      </c>
      <c r="X104" s="120">
        <f>VALUE(LEFT(AD104,4))-VALUE(LEFT(AD103,4))</f>
        <v>1</v>
      </c>
      <c r="Y104" s="69">
        <f>RIGHT(D104,LEN(D104)-4)/10000</f>
        <v>23.302800000000001</v>
      </c>
      <c r="Z104" s="69">
        <f>RIGHT(H104,LEN(H104)-4)/10000</f>
        <v>1.8100000000000002E-2</v>
      </c>
      <c r="AA104" s="69">
        <f>ABS(Z104-Y104)</f>
        <v>23.284700000000001</v>
      </c>
      <c r="AB104" s="66" t="e">
        <f>VLOOKUP(A104,Enforcements!$C$7:$J$21,8,0)</f>
        <v>#N/A</v>
      </c>
      <c r="AC104" s="62" t="e">
        <f>VLOOKUP(A104,Enforcements!$C$7:$E$21,3,0)</f>
        <v>#N/A</v>
      </c>
      <c r="AD104" s="63" t="str">
        <f>IF(LEN(A104)=6,"0"&amp;A104,A104)</f>
        <v>0192-01</v>
      </c>
      <c r="AE104" s="99" t="str">
        <f>"aws s3 cp "&amp;s3_bucket&amp;"/RTDC"&amp;B104&amp;"/"&amp;TEXT(F104,"YYYY-MM-DD")&amp;"/ "&amp;search_path&amp;"\RTDC"&amp;B104&amp;"\"&amp;TEXT(F104,"YYYY-MM-DD")&amp;" --recursive &amp; """&amp;walkandungz&amp;""" "&amp;search_path&amp;"\RTDC"&amp;B104&amp;"\"&amp;TEXT(F104,"YYYY-MM-DD")
&amp;" &amp; "&amp;"aws s3 cp "&amp;s3_bucket&amp;"/RTDC"&amp;B104&amp;"/"&amp;TEXT(F104+1,"YYYY-MM-DD")&amp;"/ "&amp;search_path&amp;"\RTDC"&amp;B104&amp;"\"&amp;TEXT(F104+1,"YYYY-MM-DD")&amp;" --recursive &amp; """&amp;walkandungz&amp;""" "&amp;search_path&amp;"\RTDC"&amp;B104&amp;"\"&amp;TEXT(F104+1,"YYYY-MM-DD")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104" s="96" t="str">
        <f>astrogrep_path&amp;" /spath="&amp;search_path&amp;" /stypes=""*"&amp;B104&amp;"*"&amp;TEXT(I104-utc_offset/24,"YYYYMMDD")&amp;"*"" /stext="" "&amp;TEXT(I104-utc_offset/24,"HH")&amp;search_regexp&amp;""" /e /r /s"</f>
        <v>"C:\Program Files (x86)\AstroGrep\AstroGrep.exe" /spath="%USERPROFILE%\AppData\Local\Temp\OnboardLogs" /stypes="*4037*20160901*" /stext=" 23:.+((SYSTEM_STATE.+slice.+state.+changed )|(ment ac)|(system.+state.+changed )|(\|lc)|(penalty)|(\[timeout)|(PRM\|1\|D)|(kpr)|(kdp))" /e /r /s</v>
      </c>
      <c r="AG104" s="1" t="str">
        <f>IFERROR(IF(VALUE(LEFT(AD104,2))&lt;=2,"EC",IF(OR(VALUE(LEFT(AD104,2))=8,VALUE(LEFT(AD104,2))=18),"NW","Other")),"Other")</f>
        <v>EC</v>
      </c>
      <c r="AH104" s="100" t="str">
        <f t="shared" si="12"/>
        <v>"%USERPROFILE%\Documents\GitHub\eaglep3\Utilities\RefineRTDCRunTimes.py" --tripid 192-01 --locoid 4037 --swversion DE.1.0.7.0 --startMP 204:233028 --initTime 2016-09-01T15:50:09 --startdatetime 2016-09-01T15:56:28 --delay 1 --endMP 204:181 --enddatetime 2016-09-01T17:22:25 --enforcementcount 0 &gt;&gt;C:\Users\stu\Documents\GitHub\eaglep3-reporting\EC\2016-09-01-refined-times.txt</v>
      </c>
      <c r="AI104" s="149" t="str">
        <f t="shared" si="13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C's","project_id":79,"tracker_id":40,"status_id":1,"priority_id":2,"assigned_to_id":23,"start_date":"2016-09-01","description":"","custom_fields":[{"id":1,"name":"Subdivision","value":"EC"},{"id":4,"name":"Milepost","value":"23.2847"},{"id":17,"name":"Train ID","value":"192-01"},{"id":16,"name":"Locomotive ID","value":"4037"},{"id":130,"name":"Impact","value":""},{"id":150,"name":"Time of Event (Mountain Time)","value":"17:22:25"},{"id":151,"name":"Denver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504</v>
      </c>
      <c r="B105" s="7">
        <v>4007</v>
      </c>
      <c r="C105" s="24" t="s">
        <v>113</v>
      </c>
      <c r="D105" s="24" t="s">
        <v>133</v>
      </c>
      <c r="E105" s="15">
        <v>42614.630266203705</v>
      </c>
      <c r="F105" s="15">
        <v>42614.635601851849</v>
      </c>
      <c r="G105" s="7">
        <v>2</v>
      </c>
      <c r="H105" s="15" t="s">
        <v>459</v>
      </c>
      <c r="I105" s="15">
        <v>42614.660069444442</v>
      </c>
      <c r="J105" s="7">
        <v>0</v>
      </c>
      <c r="K105" s="132" t="str">
        <f>IF(ISEVEN(B105),(B105-1)&amp;"/"&amp;B105,B105&amp;"/"&amp;(B105+1))</f>
        <v>4007/4008</v>
      </c>
      <c r="L105" s="24" t="str">
        <f>VLOOKUP(A105,'Trips&amp;Operators'!$C$1:$E$10000,3,FALSE)</f>
        <v>BROWN</v>
      </c>
      <c r="M105" s="6">
        <f>I105-F105</f>
        <v>2.4467592593282461E-2</v>
      </c>
      <c r="N105" s="7">
        <f>24*60*SUM($M105:$M105)</f>
        <v>35.233333334326744</v>
      </c>
      <c r="O105" s="7"/>
      <c r="P105" s="7"/>
      <c r="Q105" s="25"/>
      <c r="R105" s="25"/>
      <c r="S105" s="37">
        <f>SUM(U105:U105)/IF(AG105="EC",12,1)</f>
        <v>1</v>
      </c>
      <c r="T105" s="52" t="str">
        <f>IF(ISEVEN(LEFT(AD105,4)),"Southbound","NorthBound")</f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hh:mm:ss")&amp;"-0600',mode:absolute,to:'"&amp;TEXT(I105+1/24,"yyyy-MM-DD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https://search-rtdc-monitor-bjffxe2xuh6vdkpspy63sjmuny.us-east-1.es.amazonaws.com/_plugin/kibana/#/discover/Steve-Slow-Train-Analysis-(2080s-and-2083s)?_g=(refreshInterval:(display:Off,section:0,value:0),time:(from:'2016-09-01 14:07:35-0600',mode:absolute,to:'2016-09-01 16:50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05" s="54" t="str">
        <f>IF(AA105&lt;IF(AG105="EC",23,5.65),"Y","N")</f>
        <v>N</v>
      </c>
      <c r="X105" s="120">
        <f>VALUE(LEFT(AD105,4))-VALUE(LEFT(AD104,4))</f>
        <v>1</v>
      </c>
      <c r="Y105" s="69">
        <f>RIGHT(D105,LEN(D105)-4)/10000</f>
        <v>4.53E-2</v>
      </c>
      <c r="Z105" s="69">
        <f>RIGHT(H105,LEN(H105)-4)/10000</f>
        <v>23.3337</v>
      </c>
      <c r="AA105" s="69">
        <f>ABS(Z105-Y105)</f>
        <v>23.288399999999999</v>
      </c>
      <c r="AB105" s="66" t="e">
        <f>VLOOKUP(A105,Enforcements!$C$7:$J$21,8,0)</f>
        <v>#N/A</v>
      </c>
      <c r="AC105" s="62" t="e">
        <f>VLOOKUP(A105,Enforcements!$C$7:$E$21,3,0)</f>
        <v>#N/A</v>
      </c>
      <c r="AD105" s="63" t="str">
        <f>IF(LEN(A105)=6,"0"&amp;A105,A105)</f>
        <v>0193-01</v>
      </c>
      <c r="AE105" s="99" t="str">
        <f>"aws s3 cp "&amp;s3_bucket&amp;"/RTDC"&amp;B105&amp;"/"&amp;TEXT(F105,"YYYY-MM-DD")&amp;"/ "&amp;search_path&amp;"\RTDC"&amp;B105&amp;"\"&amp;TEXT(F105,"YYYY-MM-DD")&amp;" --recursive &amp; """&amp;walkandungz&amp;""" "&amp;search_path&amp;"\RTDC"&amp;B105&amp;"\"&amp;TEXT(F105,"YYYY-MM-DD")
&amp;" &amp; "&amp;"aws s3 cp "&amp;s3_bucket&amp;"/RTDC"&amp;B105&amp;"/"&amp;TEXT(F105+1,"YYYY-MM-DD")&amp;"/ "&amp;search_path&amp;"\RTDC"&amp;B105&amp;"\"&amp;TEXT(F105+1,"YYYY-MM-DD")&amp;" --recursive &amp; """&amp;walkandungz&amp;""" "&amp;search_path&amp;"\RTDC"&amp;B105&amp;"\"&amp;TEXT(F105+1,"YYYY-MM-DD")</f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105" s="96" t="str">
        <f>astrogrep_path&amp;" /spath="&amp;search_path&amp;" /stypes=""*"&amp;B105&amp;"*"&amp;TEXT(I105-utc_offset/24,"YYYYMMDD")&amp;"*"" /stext="" "&amp;TEXT(I105-utc_offset/24,"HH")&amp;search_regexp&amp;""" /e /r /s"</f>
        <v>"C:\Program Files (x86)\AstroGrep\AstroGrep.exe" /spath="%USERPROFILE%\AppData\Local\Temp\OnboardLogs" /stypes="*4007*20160901*" /stext=" 21:.+((SYSTEM_STATE.+slice.+state.+changed )|(ment ac)|(system.+state.+changed )|(\|lc)|(penalty)|(\[timeout)|(PRM\|1\|D)|(kpr)|(kdp))" /e /r /s</v>
      </c>
      <c r="AG105" s="1" t="str">
        <f>IFERROR(IF(VALUE(LEFT(AD105,2))&lt;=2,"EC",IF(OR(VALUE(LEFT(AD105,2))=8,VALUE(LEFT(AD105,2))=18),"NW","Other")),"Other")</f>
        <v>EC</v>
      </c>
      <c r="AH105" s="100" t="str">
        <f t="shared" si="12"/>
        <v>"%USERPROFILE%\Documents\GitHub\eaglep3\Utilities\RefineRTDCRunTimes.py" --tripid 193-01 --locoid 4007 --swversion DE.1.0.7.0 --startMP 204:453 --initTime 2016-09-01T15:07:35 --startdatetime 2016-09-01T15:15:16 --delay 2 --endMP 204:233337 --enddatetime 2016-09-01T15:50:30 --enforcementcount 0 &gt;&gt;C:\Users\stu\Documents\GitHub\eaglep3-reporting\EC\2016-09-01-refined-times.txt</v>
      </c>
      <c r="AI105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{"issue":{"subject":"","project_id":79,"tracker_id":40,"status_id":1,"priority_id":2,"assigned_to_id":23,"start_date":"2016-09-01","description":"","custom_fields":[{"id":1,"name":"Subdivision","value":"EC"},{"id":4,"name":"Milepost","value":"23.2884"},{"id":17,"name":"Train ID","value":"193-01"},{"id":16,"name":"Locomotive ID","value":"4007"},{"id":130,"name":"Impact","value":""},{"id":150,"name":"Time of Event (Mountain Time)","value":"15:50:30"},{"id":151,"name":"Denver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505</v>
      </c>
      <c r="B106" s="7">
        <v>4008</v>
      </c>
      <c r="C106" s="24" t="s">
        <v>113</v>
      </c>
      <c r="D106" s="24" t="s">
        <v>467</v>
      </c>
      <c r="E106" s="15">
        <v>42614.661631944444</v>
      </c>
      <c r="F106" s="15">
        <v>42614.67454861111</v>
      </c>
      <c r="G106" s="7">
        <v>1</v>
      </c>
      <c r="H106" s="15" t="s">
        <v>506</v>
      </c>
      <c r="I106" s="15">
        <v>42614.732476851852</v>
      </c>
      <c r="J106" s="7">
        <v>0</v>
      </c>
      <c r="K106" s="132" t="str">
        <f>IF(ISEVEN(B106),(B106-1)&amp;"/"&amp;B106,B106&amp;"/"&amp;(B106+1))</f>
        <v>4007/4008</v>
      </c>
      <c r="L106" s="24" t="str">
        <f>VLOOKUP(A106,'Trips&amp;Operators'!$C$1:$E$10000,3,FALSE)</f>
        <v>BROWN</v>
      </c>
      <c r="M106" s="6">
        <f>I106-F106</f>
        <v>5.7928240741603076E-2</v>
      </c>
      <c r="N106" s="7">
        <f>24*60*SUM($M106:$M106)</f>
        <v>83.41666666790843</v>
      </c>
      <c r="O106" s="7"/>
      <c r="P106" s="7"/>
      <c r="Q106" s="25"/>
      <c r="R106" s="25" t="s">
        <v>746</v>
      </c>
      <c r="S106" s="37">
        <f>SUM(U106:U106)/IF(AG106="EC",12,1)</f>
        <v>1</v>
      </c>
      <c r="T106" s="52" t="str">
        <f>IF(ISEVEN(LEFT(AD106,4)),"Southbound","NorthBound")</f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hh:mm:ss")&amp;"-0600',mode:absolute,to:'"&amp;TEXT(I106+1/24,"yyyy-MM-DD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https://search-rtdc-monitor-bjffxe2xuh6vdkpspy63sjmuny.us-east-1.es.amazonaws.com/_plugin/kibana/#/discover/Steve-Slow-Train-Analysis-(2080s-and-2083s)?_g=(refreshInterval:(display:Off,section:0,value:0),time:(from:'2016-09-01 14:52:45-0600',mode:absolute,to:'2016-09-01 18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06" s="54" t="str">
        <f>IF(AA106&lt;IF(AG106="EC",23,5.65),"Y","N")</f>
        <v>N</v>
      </c>
      <c r="X106" s="120">
        <f>VALUE(LEFT(AD106,4))-VALUE(LEFT(AD105,4))</f>
        <v>1</v>
      </c>
      <c r="Y106" s="69">
        <f>RIGHT(D106,LEN(D106)-4)/10000</f>
        <v>23.299800000000001</v>
      </c>
      <c r="Z106" s="69">
        <f>RIGHT(H106,LEN(H106)-4)/10000</f>
        <v>1.2800000000000001E-2</v>
      </c>
      <c r="AA106" s="69">
        <f>ABS(Z106-Y106)</f>
        <v>23.287000000000003</v>
      </c>
      <c r="AB106" s="66" t="e">
        <f>VLOOKUP(A106,Enforcements!$C$7:$J$21,8,0)</f>
        <v>#N/A</v>
      </c>
      <c r="AC106" s="62" t="e">
        <f>VLOOKUP(A106,Enforcements!$C$7:$E$21,3,0)</f>
        <v>#N/A</v>
      </c>
      <c r="AD106" s="63" t="str">
        <f>IF(LEN(A106)=6,"0"&amp;A106,A106)</f>
        <v>0194-01</v>
      </c>
      <c r="AE106" s="99" t="str">
        <f>"aws s3 cp "&amp;s3_bucket&amp;"/RTDC"&amp;B106&amp;"/"&amp;TEXT(F106,"YYYY-MM-DD")&amp;"/ "&amp;search_path&amp;"\RTDC"&amp;B106&amp;"\"&amp;TEXT(F106,"YYYY-MM-DD")&amp;" --recursive &amp; """&amp;walkandungz&amp;""" "&amp;search_path&amp;"\RTDC"&amp;B106&amp;"\"&amp;TEXT(F106,"YYYY-MM-DD")
&amp;" &amp; "&amp;"aws s3 cp "&amp;s3_bucket&amp;"/RTDC"&amp;B106&amp;"/"&amp;TEXT(F106+1,"YYYY-MM-DD")&amp;"/ "&amp;search_path&amp;"\RTDC"&amp;B106&amp;"\"&amp;TEXT(F106+1,"YYYY-MM-DD")&amp;" --recursive &amp; """&amp;walkandungz&amp;""" "&amp;search_path&amp;"\RTDC"&amp;B106&amp;"\"&amp;TEXT(F106+1,"YYYY-MM-DD")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106" s="96" t="str">
        <f>astrogrep_path&amp;" /spath="&amp;search_path&amp;" /stypes=""*"&amp;B106&amp;"*"&amp;TEXT(I106-utc_offset/24,"YYYYMMDD")&amp;"*"" /stext="" "&amp;TEXT(I106-utc_offset/24,"HH")&amp;search_regexp&amp;""" /e /r /s"</f>
        <v>"C:\Program Files (x86)\AstroGrep\AstroGrep.exe" /spath="%USERPROFILE%\AppData\Local\Temp\OnboardLogs" /stypes="*4008*20160901*" /stext=" 23:.+((SYSTEM_STATE.+slice.+state.+changed )|(ment ac)|(system.+state.+changed )|(\|lc)|(penalty)|(\[timeout)|(PRM\|1\|D)|(kpr)|(kdp))" /e /r /s</v>
      </c>
      <c r="AG106" s="1" t="str">
        <f>IFERROR(IF(VALUE(LEFT(AD106,2))&lt;=2,"EC",IF(OR(VALUE(LEFT(AD106,2))=8,VALUE(LEFT(AD106,2))=18),"NW","Other")),"Other")</f>
        <v>EC</v>
      </c>
      <c r="AH106" s="100" t="str">
        <f t="shared" si="12"/>
        <v>"%USERPROFILE%\Documents\GitHub\eaglep3\Utilities\RefineRTDCRunTimes.py" --tripid 194-01 --locoid 4008 --swversion DE.1.0.7.0 --startMP 204:232998 --initTime 2016-09-01T15:52:45 --startdatetime 2016-09-01T16:11:21 --delay 1 --endMP 204:128 --enddatetime 2016-09-01T17:34:46 --enforcementcount 0 &gt;&gt;C:\Users\stu\Documents\GitHub\eaglep3-reporting\EC\2016-09-01-refined-times.txt</v>
      </c>
      <c r="AI106" s="149" t="str">
        <f t="shared" si="13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C's","project_id":79,"tracker_id":40,"status_id":1,"priority_id":2,"assigned_to_id":23,"start_date":"2016-09-01","description":"","custom_fields":[{"id":1,"name":"Subdivision","value":"EC"},{"id":4,"name":"Milepost","value":"23.287"},{"id":17,"name":"Train ID","value":"194-01"},{"id":16,"name":"Locomotive ID","value":"4008"},{"id":130,"name":"Impact","value":""},{"id":150,"name":"Time of Event (Mountain Time)","value":"17:34:46"},{"id":151,"name":"Denver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507</v>
      </c>
      <c r="B107" s="7">
        <v>4042</v>
      </c>
      <c r="C107" s="24" t="s">
        <v>113</v>
      </c>
      <c r="D107" s="24" t="s">
        <v>180</v>
      </c>
      <c r="E107" s="15">
        <v>42614.643692129626</v>
      </c>
      <c r="F107" s="15">
        <v>42614.646273148152</v>
      </c>
      <c r="G107" s="7">
        <v>1</v>
      </c>
      <c r="H107" s="15" t="s">
        <v>495</v>
      </c>
      <c r="I107" s="15">
        <v>42614.675578703704</v>
      </c>
      <c r="J107" s="7">
        <v>0</v>
      </c>
      <c r="K107" s="132" t="str">
        <f>IF(ISEVEN(B107),(B107-1)&amp;"/"&amp;B107,B107&amp;"/"&amp;(B107+1))</f>
        <v>4041/4042</v>
      </c>
      <c r="L107" s="24" t="str">
        <f>VLOOKUP(A107,'Trips&amp;Operators'!$C$1:$E$10000,3,FALSE)</f>
        <v>YOUNG</v>
      </c>
      <c r="M107" s="6">
        <f>I107-F107</f>
        <v>2.9305555552127771E-2</v>
      </c>
      <c r="N107" s="7">
        <f>24*60*SUM($M107:$M107)</f>
        <v>42.19999999506399</v>
      </c>
      <c r="O107" s="7"/>
      <c r="P107" s="7"/>
      <c r="Q107" s="25"/>
      <c r="R107" s="25"/>
      <c r="S107" s="37">
        <f>SUM(U107:U107)/IF(AG107="EC",12,1)</f>
        <v>1</v>
      </c>
      <c r="T107" s="52" t="str">
        <f>IF(ISEVEN(LEFT(AD107,4)),"Southbound","NorthBound")</f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hh:mm:ss")&amp;"-0600',mode:absolute,to:'"&amp;TEXT(I107+1/24,"yyyy-MM-DD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https://search-rtdc-monitor-bjffxe2xuh6vdkpspy63sjmuny.us-east-1.es.amazonaws.com/_plugin/kibana/#/discover/Steve-Slow-Train-Analysis-(2080s-and-2083s)?_g=(refreshInterval:(display:Off,section:0,value:0),time:(from:'2016-09-01 14:26:55-0600',mode:absolute,to:'2016-09-01 17:12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07" s="54" t="str">
        <f>IF(AA107&lt;IF(AG107="EC",23,5.65),"Y","N")</f>
        <v>N</v>
      </c>
      <c r="X107" s="120">
        <f>VALUE(LEFT(AD107,4))-VALUE(LEFT(AD106,4))</f>
        <v>1</v>
      </c>
      <c r="Y107" s="69">
        <f>RIGHT(D107,LEN(D107)-4)/10000</f>
        <v>4.5999999999999999E-2</v>
      </c>
      <c r="Z107" s="69">
        <f>RIGHT(H107,LEN(H107)-4)/10000</f>
        <v>23.332899999999999</v>
      </c>
      <c r="AA107" s="69">
        <f>ABS(Z107-Y107)</f>
        <v>23.286899999999999</v>
      </c>
      <c r="AB107" s="66" t="e">
        <f>VLOOKUP(A107,Enforcements!$C$7:$J$21,8,0)</f>
        <v>#N/A</v>
      </c>
      <c r="AC107" s="62" t="e">
        <f>VLOOKUP(A107,Enforcements!$C$7:$E$21,3,0)</f>
        <v>#N/A</v>
      </c>
      <c r="AD107" s="63" t="str">
        <f>IF(LEN(A107)=6,"0"&amp;A107,A107)</f>
        <v>0195-01</v>
      </c>
      <c r="AE107" s="99" t="str">
        <f>"aws s3 cp "&amp;s3_bucket&amp;"/RTDC"&amp;B107&amp;"/"&amp;TEXT(F107,"YYYY-MM-DD")&amp;"/ "&amp;search_path&amp;"\RTDC"&amp;B107&amp;"\"&amp;TEXT(F107,"YYYY-MM-DD")&amp;" --recursive &amp; """&amp;walkandungz&amp;""" "&amp;search_path&amp;"\RTDC"&amp;B107&amp;"\"&amp;TEXT(F107,"YYYY-MM-DD")
&amp;" &amp; "&amp;"aws s3 cp "&amp;s3_bucket&amp;"/RTDC"&amp;B107&amp;"/"&amp;TEXT(F107+1,"YYYY-MM-DD")&amp;"/ "&amp;search_path&amp;"\RTDC"&amp;B107&amp;"\"&amp;TEXT(F107+1,"YYYY-MM-DD")&amp;" --recursive &amp; """&amp;walkandungz&amp;""" "&amp;search_path&amp;"\RTDC"&amp;B107&amp;"\"&amp;TEXT(F107+1,"YYYY-MM-DD")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07" s="96" t="str">
        <f>astrogrep_path&amp;" /spath="&amp;search_path&amp;" /stypes=""*"&amp;B107&amp;"*"&amp;TEXT(I107-utc_offset/24,"YYYYMMDD")&amp;"*"" /stext="" "&amp;TEXT(I107-utc_offset/24,"HH")&amp;search_regexp&amp;""" /e /r /s"</f>
        <v>"C:\Program Files (x86)\AstroGrep\AstroGrep.exe" /spath="%USERPROFILE%\AppData\Local\Temp\OnboardLogs" /stypes="*4042*20160901*" /stext=" 22:.+((SYSTEM_STATE.+slice.+state.+changed )|(ment ac)|(system.+state.+changed )|(\|lc)|(penalty)|(\[timeout)|(PRM\|1\|D)|(kpr)|(kdp))" /e /r /s</v>
      </c>
      <c r="AG107" s="1" t="str">
        <f>IFERROR(IF(VALUE(LEFT(AD107,2))&lt;=2,"EC",IF(OR(VALUE(LEFT(AD107,2))=8,VALUE(LEFT(AD107,2))=18),"NW","Other")),"Other")</f>
        <v>EC</v>
      </c>
      <c r="AH107" s="100" t="str">
        <f t="shared" si="12"/>
        <v>"%USERPROFILE%\Documents\GitHub\eaglep3\Utilities\RefineRTDCRunTimes.py" --tripid 195-01 --locoid 4042 --swversion DE.1.0.7.0 --startMP 204:460 --initTime 2016-09-01T15:26:55 --startdatetime 2016-09-01T15:30:38 --delay 1 --endMP 204:233329 --enddatetime 2016-09-01T16:12:50 --enforcementcount 0 &gt;&gt;C:\Users\stu\Documents\GitHub\eaglep3-reporting\EC\2016-09-01-refined-times.txt</v>
      </c>
      <c r="AI107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{"issue":{"subject":"","project_id":79,"tracker_id":40,"status_id":1,"priority_id":2,"assigned_to_id":23,"start_date":"2016-09-01","description":"","custom_fields":[{"id":1,"name":"Subdivision","value":"EC"},{"id":4,"name":"Milepost","value":"23.2869"},{"id":17,"name":"Train ID","value":"195-01"},{"id":16,"name":"Locomotive ID","value":"4042"},{"id":130,"name":"Impact","value":""},{"id":150,"name":"Time of Event (Mountain Time)","value":"16:12:50"},{"id":151,"name":"Denver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508</v>
      </c>
      <c r="B108" s="7">
        <v>4041</v>
      </c>
      <c r="C108" s="24" t="s">
        <v>113</v>
      </c>
      <c r="D108" s="24" t="s">
        <v>257</v>
      </c>
      <c r="E108" s="15">
        <v>42614.680439814816</v>
      </c>
      <c r="F108" s="15">
        <v>42614.68509259259</v>
      </c>
      <c r="G108" s="7">
        <v>3</v>
      </c>
      <c r="H108" s="15" t="s">
        <v>132</v>
      </c>
      <c r="I108" s="15">
        <v>42614.736446759256</v>
      </c>
      <c r="J108" s="7">
        <v>0</v>
      </c>
      <c r="K108" s="132" t="str">
        <f>IF(ISEVEN(B108),(B108-1)&amp;"/"&amp;B108,B108&amp;"/"&amp;(B108+1))</f>
        <v>4041/4042</v>
      </c>
      <c r="L108" s="24" t="str">
        <f>VLOOKUP(A108,'Trips&amp;Operators'!$C$1:$E$10000,3,FALSE)</f>
        <v>YOUNG</v>
      </c>
      <c r="M108" s="6">
        <f>I108-F108</f>
        <v>5.1354166665987577E-2</v>
      </c>
      <c r="N108" s="7">
        <f>24*60*SUM($M108:$M108)</f>
        <v>73.949999999022111</v>
      </c>
      <c r="O108" s="7"/>
      <c r="P108" s="7"/>
      <c r="Q108" s="25"/>
      <c r="R108" s="25" t="s">
        <v>746</v>
      </c>
      <c r="S108" s="37">
        <f>SUM(U108:U108)/IF(AG108="EC",12,1)</f>
        <v>1</v>
      </c>
      <c r="T108" s="52" t="str">
        <f>IF(ISEVEN(LEFT(AD108,4)),"Southbound","NorthBound")</f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https://search-rtdc-monitor-bjffxe2xuh6vdkpspy63sjmuny.us-east-1.es.amazonaws.com/_plugin/kibana/#/discover/Steve-Slow-Train-Analysis-(2080s-and-2083s)?_g=(refreshInterval:(display:Off,section:0,value:0),time:(from:'2016-09-01 15:19:50-0600',mode:absolute,to:'2016-09-01 18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08" s="54" t="str">
        <f>IF(AA108&lt;IF(AG108="EC",23,5.65),"Y","N")</f>
        <v>N</v>
      </c>
      <c r="X108" s="120">
        <f>VALUE(LEFT(AD108,4))-VALUE(LEFT(AD107,4))</f>
        <v>1</v>
      </c>
      <c r="Y108" s="69">
        <f>RIGHT(D108,LEN(D108)-4)/10000</f>
        <v>23.300799999999999</v>
      </c>
      <c r="Z108" s="69">
        <f>RIGHT(H108,LEN(H108)-4)/10000</f>
        <v>1.47E-2</v>
      </c>
      <c r="AA108" s="69">
        <f>ABS(Z108-Y108)</f>
        <v>23.286099999999998</v>
      </c>
      <c r="AB108" s="66" t="e">
        <f>VLOOKUP(A108,Enforcements!$C$7:$J$21,8,0)</f>
        <v>#N/A</v>
      </c>
      <c r="AC108" s="62" t="e">
        <f>VLOOKUP(A108,Enforcements!$C$7:$E$21,3,0)</f>
        <v>#N/A</v>
      </c>
      <c r="AD108" s="63" t="str">
        <f>IF(LEN(A108)=6,"0"&amp;A108,A108)</f>
        <v>0196-01</v>
      </c>
      <c r="AE108" s="99" t="str">
        <f>"aws s3 cp "&amp;s3_bucket&amp;"/RTDC"&amp;B108&amp;"/"&amp;TEXT(F108,"YYYY-MM-DD")&amp;"/ "&amp;search_path&amp;"\RTDC"&amp;B108&amp;"\"&amp;TEXT(F108,"YYYY-MM-DD")&amp;" --recursive &amp; """&amp;walkandungz&amp;""" "&amp;search_path&amp;"\RTDC"&amp;B108&amp;"\"&amp;TEXT(F108,"YYYY-MM-DD")
&amp;" &amp; "&amp;"aws s3 cp "&amp;s3_bucket&amp;"/RTDC"&amp;B108&amp;"/"&amp;TEXT(F108+1,"YYYY-MM-DD")&amp;"/ "&amp;search_path&amp;"\RTDC"&amp;B108&amp;"\"&amp;TEXT(F108+1,"YYYY-MM-DD")&amp;" --recursive &amp; """&amp;walkandungz&amp;""" "&amp;search_path&amp;"\RTDC"&amp;B108&amp;"\"&amp;TEXT(F108+1,"YYYY-MM-DD")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108" s="96" t="str">
        <f>astrogrep_path&amp;" /spath="&amp;search_path&amp;" /stypes=""*"&amp;B108&amp;"*"&amp;TEXT(I108-utc_offset/24,"YYYYMMDD")&amp;"*"" /stext="" "&amp;TEXT(I108-utc_offset/24,"HH")&amp;search_regexp&amp;""" /e /r /s"</f>
        <v>"C:\Program Files (x86)\AstroGrep\AstroGrep.exe" /spath="%USERPROFILE%\AppData\Local\Temp\OnboardLogs" /stypes="*4041*20160901*" /stext=" 23:.+((SYSTEM_STATE.+slice.+state.+changed )|(ment ac)|(system.+state.+changed )|(\|lc)|(penalty)|(\[timeout)|(PRM\|1\|D)|(kpr)|(kdp))" /e /r /s</v>
      </c>
      <c r="AG108" s="1" t="str">
        <f>IFERROR(IF(VALUE(LEFT(AD108,2))&lt;=2,"EC",IF(OR(VALUE(LEFT(AD108,2))=8,VALUE(LEFT(AD108,2))=18),"NW","Other")),"Other")</f>
        <v>EC</v>
      </c>
      <c r="AH108" s="100" t="str">
        <f t="shared" si="12"/>
        <v>"%USERPROFILE%\Documents\GitHub\eaglep3\Utilities\RefineRTDCRunTimes.py" --tripid 196-01 --locoid 4041 --swversion DE.1.0.7.0 --startMP 204:233008 --initTime 2016-09-01T16:19:50 --startdatetime 2016-09-01T16:26:32 --delay 3 --endMP 204:147 --enddatetime 2016-09-01T17:40:29 --enforcementcount 0 &gt;&gt;C:\Users\stu\Documents\GitHub\eaglep3-reporting\EC\2016-09-01-refined-times.txt</v>
      </c>
      <c r="AI108" s="149" t="str">
        <f t="shared" si="13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C's","project_id":79,"tracker_id":40,"status_id":1,"priority_id":2,"assigned_to_id":23,"start_date":"2016-09-01","description":"","custom_fields":[{"id":1,"name":"Subdivision","value":"EC"},{"id":4,"name":"Milepost","value":"23.2861"},{"id":17,"name":"Train ID","value":"196-01"},{"id":16,"name":"Locomotive ID","value":"4041"},{"id":130,"name":"Impact","value":""},{"id":150,"name":"Time of Event (Mountain Time)","value":"17:40:29"},{"id":151,"name":"Denver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509</v>
      </c>
      <c r="B109" s="7">
        <v>4044</v>
      </c>
      <c r="C109" s="24" t="s">
        <v>113</v>
      </c>
      <c r="D109" s="24" t="s">
        <v>325</v>
      </c>
      <c r="E109" s="15">
        <v>42614.652442129627</v>
      </c>
      <c r="F109" s="15">
        <v>42614.656504629631</v>
      </c>
      <c r="G109" s="7">
        <v>1</v>
      </c>
      <c r="H109" s="15" t="s">
        <v>255</v>
      </c>
      <c r="I109" s="15">
        <v>42614.704456018517</v>
      </c>
      <c r="J109" s="7">
        <v>0</v>
      </c>
      <c r="K109" s="132" t="str">
        <f>IF(ISEVEN(B109),(B109-1)&amp;"/"&amp;B109,B109&amp;"/"&amp;(B109+1))</f>
        <v>4043/4044</v>
      </c>
      <c r="L109" s="24" t="str">
        <f>VLOOKUP(A109,'Trips&amp;Operators'!$C$1:$E$10000,3,FALSE)</f>
        <v>ISHMAEL</v>
      </c>
      <c r="M109" s="6">
        <f>I109-F109</f>
        <v>4.7951388885849155E-2</v>
      </c>
      <c r="N109" s="7">
        <f>24*60*SUM($M109:$M109)</f>
        <v>69.049999995622784</v>
      </c>
      <c r="O109" s="7"/>
      <c r="P109" s="7"/>
      <c r="Q109" s="25"/>
      <c r="R109" s="25" t="s">
        <v>746</v>
      </c>
      <c r="S109" s="37">
        <f>SUM(U109:U109)/IF(AG109="EC",12,1)</f>
        <v>1</v>
      </c>
      <c r="T109" s="52" t="str">
        <f>IF(ISEVEN(LEFT(AD109,4)),"Southbound","NorthBound")</f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https://search-rtdc-monitor-bjffxe2xuh6vdkpspy63sjmuny.us-east-1.es.amazonaws.com/_plugin/kibana/#/discover/Steve-Slow-Train-Analysis-(2080s-and-2083s)?_g=(refreshInterval:(display:Off,section:0,value:0),time:(from:'2016-09-01 14:39:31-0600',mode:absolute,to:'2016-09-01 17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09" s="54" t="str">
        <f>IF(AA109&lt;IF(AG109="EC",23,5.65),"Y","N")</f>
        <v>N</v>
      </c>
      <c r="X109" s="120">
        <f>VALUE(LEFT(AD109,4))-VALUE(LEFT(AD108,4))</f>
        <v>1</v>
      </c>
      <c r="Y109" s="69">
        <f>RIGHT(D109,LEN(D109)-4)/10000</f>
        <v>4.6899999999999997E-2</v>
      </c>
      <c r="Z109" s="69">
        <f>RIGHT(H109,LEN(H109)-4)/10000</f>
        <v>23.3308</v>
      </c>
      <c r="AA109" s="69">
        <f>ABS(Z109-Y109)</f>
        <v>23.283899999999999</v>
      </c>
      <c r="AB109" s="66" t="e">
        <f>VLOOKUP(A109,Enforcements!$C$7:$J$21,8,0)</f>
        <v>#N/A</v>
      </c>
      <c r="AC109" s="62" t="e">
        <f>VLOOKUP(A109,Enforcements!$C$7:$E$21,3,0)</f>
        <v>#N/A</v>
      </c>
      <c r="AD109" s="63" t="str">
        <f>IF(LEN(A109)=6,"0"&amp;A109,A109)</f>
        <v>0197-01</v>
      </c>
      <c r="AE109" s="99" t="str">
        <f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109" s="96" t="str">
        <f>astrogrep_path&amp;" /spath="&amp;search_path&amp;" /stypes=""*"&amp;B109&amp;"*"&amp;TEXT(I109-utc_offset/24,"YYYYMMDD")&amp;"*"" /stext="" "&amp;TEXT(I109-utc_offset/24,"HH")&amp;search_regexp&amp;""" /e /r /s"</f>
        <v>"C:\Program Files (x86)\AstroGrep\AstroGrep.exe" /spath="%USERPROFILE%\AppData\Local\Temp\OnboardLogs" /stypes="*4044*20160901*" /stext=" 22:.+((SYSTEM_STATE.+slice.+state.+changed )|(ment ac)|(system.+state.+changed )|(\|lc)|(penalty)|(\[timeout)|(PRM\|1\|D)|(kpr)|(kdp))" /e /r /s</v>
      </c>
      <c r="AG109" s="1" t="str">
        <f>IFERROR(IF(VALUE(LEFT(AD109,2))&lt;=2,"EC",IF(OR(VALUE(LEFT(AD109,2))=8,VALUE(LEFT(AD109,2))=18),"NW","Other")),"Other")</f>
        <v>EC</v>
      </c>
      <c r="AH109" s="100" t="str">
        <f t="shared" si="12"/>
        <v>"%USERPROFILE%\Documents\GitHub\eaglep3\Utilities\RefineRTDCRunTimes.py" --tripid 197-01 --locoid 4044 --swversion DE.1.0.7.0 --startMP 204:469 --initTime 2016-09-01T15:39:31 --startdatetime 2016-09-01T15:45:22 --delay 1 --endMP 204:233308 --enddatetime 2016-09-01T16:54:25 --enforcementcount 0 &gt;&gt;C:\Users\stu\Documents\GitHub\eaglep3-reporting\EC\2016-09-01-refined-times.txt</v>
      </c>
      <c r="AI109" s="149" t="str">
        <f t="shared" si="13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C's","project_id":79,"tracker_id":40,"status_id":1,"priority_id":2,"assigned_to_id":23,"start_date":"2016-09-01","description":"","custom_fields":[{"id":1,"name":"Subdivision","value":"EC"},{"id":4,"name":"Milepost","value":"23.2839"},{"id":17,"name":"Train ID","value":"197-01"},{"id":16,"name":"Locomotive ID","value":"4044"},{"id":130,"name":"Impact","value":""},{"id":150,"name":"Time of Event (Mountain Time)","value":"16:54:25"},{"id":151,"name":"Denver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510</v>
      </c>
      <c r="B110" s="7">
        <v>4020</v>
      </c>
      <c r="C110" s="24" t="s">
        <v>113</v>
      </c>
      <c r="D110" s="24" t="s">
        <v>175</v>
      </c>
      <c r="E110" s="15">
        <v>42614.660624999997</v>
      </c>
      <c r="F110" s="15">
        <v>42614.667650462965</v>
      </c>
      <c r="G110" s="7">
        <v>7</v>
      </c>
      <c r="H110" s="15" t="s">
        <v>290</v>
      </c>
      <c r="I110" s="15">
        <v>42614.717592592591</v>
      </c>
      <c r="J110" s="7">
        <v>0</v>
      </c>
      <c r="K110" s="132" t="str">
        <f>IF(ISEVEN(B110),(B110-1)&amp;"/"&amp;B110,B110&amp;"/"&amp;(B110+1))</f>
        <v>4019/4020</v>
      </c>
      <c r="L110" s="24" t="str">
        <f>VLOOKUP(A110,'Trips&amp;Operators'!$C$1:$E$10000,3,FALSE)</f>
        <v>SUR</v>
      </c>
      <c r="M110" s="6">
        <f>I110-F110</f>
        <v>4.9942129626288079E-2</v>
      </c>
      <c r="N110" s="7">
        <f>24*60*SUM($M110:$M110)</f>
        <v>71.916666661854833</v>
      </c>
      <c r="O110" s="7"/>
      <c r="P110" s="7"/>
      <c r="Q110" s="25"/>
      <c r="R110" s="25" t="s">
        <v>746</v>
      </c>
      <c r="S110" s="37">
        <f>SUM(U110:U110)/IF(AG110="EC",12,1)</f>
        <v>1</v>
      </c>
      <c r="T110" s="52" t="str">
        <f>IF(ISEVEN(LEFT(AD110,4)),"Southbound","NorthBound")</f>
        <v>NorthBound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hh:mm:ss")&amp;"-0600',mode:absolute,to:'"&amp;TEXT(I110+1/24,"yyyy-MM-DD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https://search-rtdc-monitor-bjffxe2xuh6vdkpspy63sjmuny.us-east-1.es.amazonaws.com/_plugin/kibana/#/discover/Steve-Slow-Train-Analysis-(2080s-and-2083s)?_g=(refreshInterval:(display:Off,section:0,value:0),time:(from:'2016-09-01 14:51:18-0600',mode:absolute,to:'2016-09-01 18:13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10" s="54" t="str">
        <f>IF(AA110&lt;IF(AG110="EC",23,5.65),"Y","N")</f>
        <v>N</v>
      </c>
      <c r="X110" s="120">
        <f>VALUE(LEFT(AD110,4))-VALUE(LEFT(AD109,4))</f>
        <v>2</v>
      </c>
      <c r="Y110" s="69">
        <f>RIGHT(D110,LEN(D110)-4)/10000</f>
        <v>4.4699999999999997E-2</v>
      </c>
      <c r="Z110" s="69">
        <f>RIGHT(H110,LEN(H110)-4)/10000</f>
        <v>23.328600000000002</v>
      </c>
      <c r="AA110" s="69">
        <f>ABS(Z110-Y110)</f>
        <v>23.283900000000003</v>
      </c>
      <c r="AB110" s="66" t="e">
        <f>VLOOKUP(A110,Enforcements!$C$7:$J$21,8,0)</f>
        <v>#N/A</v>
      </c>
      <c r="AC110" s="62" t="e">
        <f>VLOOKUP(A110,Enforcements!$C$7:$E$21,3,0)</f>
        <v>#N/A</v>
      </c>
      <c r="AD110" s="63" t="str">
        <f>IF(LEN(A110)=6,"0"&amp;A110,A110)</f>
        <v>0199-01</v>
      </c>
      <c r="AE110" s="99" t="str">
        <f>"aws s3 cp "&amp;s3_bucket&amp;"/RTDC"&amp;B110&amp;"/"&amp;TEXT(F110,"YYYY-MM-DD")&amp;"/ "&amp;search_path&amp;"\RTDC"&amp;B110&amp;"\"&amp;TEXT(F110,"YYYY-MM-DD")&amp;" --recursive &amp; """&amp;walkandungz&amp;""" "&amp;search_path&amp;"\RTDC"&amp;B110&amp;"\"&amp;TEXT(F110,"YYYY-MM-DD")
&amp;" &amp; "&amp;"aws s3 cp "&amp;s3_bucket&amp;"/RTDC"&amp;B110&amp;"/"&amp;TEXT(F110+1,"YYYY-MM-DD")&amp;"/ "&amp;search_path&amp;"\RTDC"&amp;B110&amp;"\"&amp;TEXT(F110+1,"YYYY-MM-DD")&amp;" --recursive &amp; """&amp;walkandungz&amp;""" "&amp;search_path&amp;"\RTDC"&amp;B110&amp;"\"&amp;TEXT(F110+1,"YYYY-MM-DD")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110" s="96" t="str">
        <f>astrogrep_path&amp;" /spath="&amp;search_path&amp;" /stypes=""*"&amp;B110&amp;"*"&amp;TEXT(I110-utc_offset/24,"YYYYMMDD")&amp;"*"" /stext="" "&amp;TEXT(I110-utc_offset/24,"HH")&amp;search_regexp&amp;""" /e /r /s"</f>
        <v>"C:\Program Files (x86)\AstroGrep\AstroGrep.exe" /spath="%USERPROFILE%\AppData\Local\Temp\OnboardLogs" /stypes="*4020*20160901*" /stext=" 23:.+((SYSTEM_STATE.+slice.+state.+changed )|(ment ac)|(system.+state.+changed )|(\|lc)|(penalty)|(\[timeout)|(PRM\|1\|D)|(kpr)|(kdp))" /e /r /s</v>
      </c>
      <c r="AG110" s="1" t="str">
        <f>IFERROR(IF(VALUE(LEFT(AD110,2))&lt;=2,"EC",IF(OR(VALUE(LEFT(AD110,2))=8,VALUE(LEFT(AD110,2))=18),"NW","Other")),"Other")</f>
        <v>EC</v>
      </c>
      <c r="AH110" s="100" t="str">
        <f t="shared" si="12"/>
        <v>"%USERPROFILE%\Documents\GitHub\eaglep3\Utilities\RefineRTDCRunTimes.py" --tripid 199-01 --locoid 4020 --swversion DE.1.0.7.0 --startMP 204:447 --initTime 2016-09-01T15:51:18 --startdatetime 2016-09-01T16:01:25 --delay 7 --endMP 204:233286 --enddatetime 2016-09-01T17:13:20 --enforcementcount 0 &gt;&gt;C:\Users\stu\Documents\GitHub\eaglep3-reporting\EC\2016-09-01-refined-times.txt</v>
      </c>
      <c r="AI110" s="149" t="str">
        <f t="shared" si="13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C's","project_id":79,"tracker_id":40,"status_id":1,"priority_id":2,"assigned_to_id":23,"start_date":"2016-09-01","description":"","custom_fields":[{"id":1,"name":"Subdivision","value":"EC"},{"id":4,"name":"Milepost","value":"23.2839"},{"id":17,"name":"Train ID","value":"199-01"},{"id":16,"name":"Locomotive ID","value":"4020"},{"id":130,"name":"Impact","value":""},{"id":150,"name":"Time of Event (Mountain Time)","value":"17:13:20"},{"id":151,"name":"Denver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511</v>
      </c>
      <c r="B111" s="7">
        <v>4043</v>
      </c>
      <c r="C111" s="24" t="s">
        <v>113</v>
      </c>
      <c r="D111" s="24" t="s">
        <v>183</v>
      </c>
      <c r="E111" s="15">
        <v>42614.706724537034</v>
      </c>
      <c r="F111" s="15">
        <v>42614.712210648147</v>
      </c>
      <c r="G111" s="7">
        <v>1</v>
      </c>
      <c r="H111" s="15" t="s">
        <v>131</v>
      </c>
      <c r="I111" s="15">
        <v>42614.748020833336</v>
      </c>
      <c r="J111" s="7">
        <v>0</v>
      </c>
      <c r="K111" s="132" t="str">
        <f>IF(ISEVEN(B111),(B111-1)&amp;"/"&amp;B111,B111&amp;"/"&amp;(B111+1))</f>
        <v>4043/4044</v>
      </c>
      <c r="L111" s="24" t="str">
        <f>VLOOKUP(A111,'Trips&amp;Operators'!$C$1:$E$10000,3,FALSE)</f>
        <v>ISHMAEL</v>
      </c>
      <c r="M111" s="6">
        <f>I111-F111</f>
        <v>3.5810185188893229E-2</v>
      </c>
      <c r="N111" s="7">
        <f>24*60*SUM($M111:$M111)</f>
        <v>51.566666672006249</v>
      </c>
      <c r="O111" s="7"/>
      <c r="P111" s="7"/>
      <c r="Q111" s="25"/>
      <c r="R111" s="25" t="s">
        <v>746</v>
      </c>
      <c r="S111" s="37">
        <f>SUM(U111:U111)/IF(AG111="EC",12,1)</f>
        <v>1</v>
      </c>
      <c r="T111" s="52" t="str">
        <f>IF(ISEVEN(LEFT(AD111,4)),"Southbound","NorthBound")</f>
        <v>Southbound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hh:mm:ss")&amp;"-0600',mode:absolute,to:'"&amp;TEXT(I111+1/24,"yyyy-MM-DD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https://search-rtdc-monitor-bjffxe2xuh6vdkpspy63sjmuny.us-east-1.es.amazonaws.com/_plugin/kibana/#/discover/Steve-Slow-Train-Analysis-(2080s-and-2083s)?_g=(refreshInterval:(display:Off,section:0,value:0),time:(from:'2016-09-01 15:57:41-0600',mode:absolute,to:'2016-09-01 18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11" s="54" t="str">
        <f>IF(AA111&lt;IF(AG111="EC",23,5.65),"Y","N")</f>
        <v>N</v>
      </c>
      <c r="X111" s="120">
        <f>VALUE(LEFT(AD111,4))-VALUE(LEFT(AD110,4))</f>
        <v>1</v>
      </c>
      <c r="Y111" s="69">
        <f>RIGHT(D111,LEN(D111)-4)/10000</f>
        <v>23.2989</v>
      </c>
      <c r="Z111" s="69">
        <f>RIGHT(H111,LEN(H111)-4)/10000</f>
        <v>1.5800000000000002E-2</v>
      </c>
      <c r="AA111" s="69">
        <f>ABS(Z111-Y111)</f>
        <v>23.283100000000001</v>
      </c>
      <c r="AB111" s="66" t="e">
        <f>VLOOKUP(A111,Enforcements!$C$7:$J$21,8,0)</f>
        <v>#N/A</v>
      </c>
      <c r="AC111" s="62" t="e">
        <f>VLOOKUP(A111,Enforcements!$C$7:$E$21,3,0)</f>
        <v>#N/A</v>
      </c>
      <c r="AD111" s="63" t="str">
        <f>IF(LEN(A111)=6,"0"&amp;A111,A111)</f>
        <v>0200-01</v>
      </c>
      <c r="AE111" s="99" t="str">
        <f>"aws s3 cp "&amp;s3_bucket&amp;"/RTDC"&amp;B111&amp;"/"&amp;TEXT(F111,"YYYY-MM-DD")&amp;"/ "&amp;search_path&amp;"\RTDC"&amp;B111&amp;"\"&amp;TEXT(F111,"YYYY-MM-DD")&amp;" --recursive &amp; """&amp;walkandungz&amp;""" "&amp;search_path&amp;"\RTDC"&amp;B111&amp;"\"&amp;TEXT(F111,"YYYY-MM-DD")
&amp;" &amp; "&amp;"aws s3 cp "&amp;s3_bucket&amp;"/RTDC"&amp;B111&amp;"/"&amp;TEXT(F111+1,"YYYY-MM-DD")&amp;"/ "&amp;search_path&amp;"\RTDC"&amp;B111&amp;"\"&amp;TEXT(F111+1,"YYYY-MM-DD")&amp;" --recursive &amp; """&amp;walkandungz&amp;""" "&amp;search_path&amp;"\RTDC"&amp;B111&amp;"\"&amp;TEXT(F111+1,"YYYY-MM-DD")</f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111" s="96" t="str">
        <f>astrogrep_path&amp;" /spath="&amp;search_path&amp;" /stypes=""*"&amp;B111&amp;"*"&amp;TEXT(I111-utc_offset/24,"YYYYMMDD")&amp;"*"" /stext="" "&amp;TEXT(I111-utc_offset/24,"HH")&amp;search_regexp&amp;""" /e /r /s"</f>
        <v>"C:\Program Files (x86)\AstroGrep\AstroGrep.exe" /spath="%USERPROFILE%\AppData\Local\Temp\OnboardLogs" /stypes="*4043*20160901*" /stext=" 23:.+((SYSTEM_STATE.+slice.+state.+changed )|(ment ac)|(system.+state.+changed )|(\|lc)|(penalty)|(\[timeout)|(PRM\|1\|D)|(kpr)|(kdp))" /e /r /s</v>
      </c>
      <c r="AG111" s="1" t="str">
        <f>IFERROR(IF(VALUE(LEFT(AD111,2))&lt;=2,"EC",IF(OR(VALUE(LEFT(AD111,2))=8,VALUE(LEFT(AD111,2))=18),"NW","Other")),"Other")</f>
        <v>EC</v>
      </c>
      <c r="AH111" s="100" t="str">
        <f t="shared" si="12"/>
        <v>"%USERPROFILE%\Documents\GitHub\eaglep3\Utilities\RefineRTDCRunTimes.py" --tripid 200-01 --locoid 4043 --swversion DE.1.0.7.0 --startMP 204:232989 --initTime 2016-09-01T16:57:41 --startdatetime 2016-09-01T17:05:35 --delay 1 --endMP 204:158 --enddatetime 2016-09-01T17:57:09 --enforcementcount 0 &gt;&gt;C:\Users\stu\Documents\GitHub\eaglep3-reporting\EC\2016-09-01-refined-times.txt</v>
      </c>
      <c r="AI111" s="149" t="str">
        <f t="shared" si="13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C's","project_id":79,"tracker_id":40,"status_id":1,"priority_id":2,"assigned_to_id":23,"start_date":"2016-09-01","description":"","custom_fields":[{"id":1,"name":"Subdivision","value":"EC"},{"id":4,"name":"Milepost","value":"23.2831"},{"id":17,"name":"Train ID","value":"200-01"},{"id":16,"name":"Locomotive ID","value":"4043"},{"id":130,"name":"Impact","value":""},{"id":150,"name":"Time of Event (Mountain Time)","value":"17:57:09"},{"id":151,"name":"Denver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512</v>
      </c>
      <c r="B112" s="7">
        <v>4031</v>
      </c>
      <c r="C112" s="24" t="s">
        <v>113</v>
      </c>
      <c r="D112" s="24" t="s">
        <v>387</v>
      </c>
      <c r="E112" s="15">
        <v>42614.702986111108</v>
      </c>
      <c r="F112" s="15">
        <v>42614.704652777778</v>
      </c>
      <c r="G112" s="7">
        <v>1</v>
      </c>
      <c r="H112" s="15" t="s">
        <v>313</v>
      </c>
      <c r="I112" s="15">
        <v>42614.746574074074</v>
      </c>
      <c r="J112" s="7">
        <v>0</v>
      </c>
      <c r="K112" s="132" t="str">
        <f>IF(ISEVEN(B112),(B112-1)&amp;"/"&amp;B112,B112&amp;"/"&amp;(B112+1))</f>
        <v>4031/4032</v>
      </c>
      <c r="L112" s="24" t="str">
        <f>VLOOKUP(A112,'Trips&amp;Operators'!$C$1:$E$10000,3,FALSE)</f>
        <v>KILLION</v>
      </c>
      <c r="M112" s="6">
        <f>I112-F112</f>
        <v>4.1921296295186039E-2</v>
      </c>
      <c r="N112" s="7">
        <f>24*60*SUM($M112:$M112)</f>
        <v>60.366666665067896</v>
      </c>
      <c r="O112" s="7"/>
      <c r="P112" s="7"/>
      <c r="Q112" s="25"/>
      <c r="R112" s="25" t="s">
        <v>746</v>
      </c>
      <c r="S112" s="37">
        <f>SUM(U112:U112)/IF(AG112="EC",12,1)</f>
        <v>1</v>
      </c>
      <c r="T112" s="52" t="str">
        <f>IF(ISEVEN(LEFT(AD112,4)),"Southbound","NorthBound")</f>
        <v>NorthBound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hh:mm:ss")&amp;"-0600',mode:absolute,to:'"&amp;TEXT(I112+1/24,"yyyy-MM-DD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https://search-rtdc-monitor-bjffxe2xuh6vdkpspy63sjmuny.us-east-1.es.amazonaws.com/_plugin/kibana/#/discover/Steve-Slow-Train-Analysis-(2080s-and-2083s)?_g=(refreshInterval:(display:Off,section:0,value:0),time:(from:'2016-09-01 15:52:18-0600',mode:absolute,to:'2016-09-01 18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12" s="54" t="str">
        <f>IF(AA112&lt;IF(AG112="EC",23,5.65),"Y","N")</f>
        <v>N</v>
      </c>
      <c r="X112" s="120">
        <f>VALUE(LEFT(AD112,4))-VALUE(LEFT(AD111,4))</f>
        <v>5</v>
      </c>
      <c r="Y112" s="69">
        <f>RIGHT(D112,LEN(D112)-4)/10000</f>
        <v>4.7300000000000002E-2</v>
      </c>
      <c r="Z112" s="69">
        <f>RIGHT(H112,LEN(H112)-4)/10000</f>
        <v>23.3264</v>
      </c>
      <c r="AA112" s="69">
        <f>ABS(Z112-Y112)</f>
        <v>23.2791</v>
      </c>
      <c r="AB112" s="66" t="e">
        <f>VLOOKUP(A112,Enforcements!$C$7:$J$21,8,0)</f>
        <v>#N/A</v>
      </c>
      <c r="AC112" s="62" t="e">
        <f>VLOOKUP(A112,Enforcements!$C$7:$E$21,3,0)</f>
        <v>#N/A</v>
      </c>
      <c r="AD112" s="63" t="str">
        <f>IF(LEN(A112)=6,"0"&amp;A112,A112)</f>
        <v>0205-01</v>
      </c>
      <c r="AE112" s="99" t="str">
        <f>"aws s3 cp "&amp;s3_bucket&amp;"/RTDC"&amp;B112&amp;"/"&amp;TEXT(F112,"YYYY-MM-DD")&amp;"/ "&amp;search_path&amp;"\RTDC"&amp;B112&amp;"\"&amp;TEXT(F112,"YYYY-MM-DD")&amp;" --recursive &amp; """&amp;walkandungz&amp;""" "&amp;search_path&amp;"\RTDC"&amp;B112&amp;"\"&amp;TEXT(F112,"YYYY-MM-DD")
&amp;" &amp; "&amp;"aws s3 cp "&amp;s3_bucket&amp;"/RTDC"&amp;B112&amp;"/"&amp;TEXT(F112+1,"YYYY-MM-DD")&amp;"/ "&amp;search_path&amp;"\RTDC"&amp;B112&amp;"\"&amp;TEXT(F112+1,"YYYY-MM-DD")&amp;" --recursive &amp; """&amp;walkandungz&amp;""" "&amp;search_path&amp;"\RTDC"&amp;B112&amp;"\"&amp;TEXT(F112+1,"YYYY-MM-DD")</f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112" s="96" t="str">
        <f>astrogrep_path&amp;" /spath="&amp;search_path&amp;" /stypes=""*"&amp;B112&amp;"*"&amp;TEXT(I112-utc_offset/24,"YYYYMMDD")&amp;"*"" /stext="" "&amp;TEXT(I112-utc_offset/24,"HH")&amp;search_regexp&amp;""" /e /r /s"</f>
        <v>"C:\Program Files (x86)\AstroGrep\AstroGrep.exe" /spath="%USERPROFILE%\AppData\Local\Temp\OnboardLogs" /stypes="*4031*20160901*" /stext=" 23:.+((SYSTEM_STATE.+slice.+state.+changed )|(ment ac)|(system.+state.+changed )|(\|lc)|(penalty)|(\[timeout)|(PRM\|1\|D)|(kpr)|(kdp))" /e /r /s</v>
      </c>
      <c r="AG112" s="1" t="str">
        <f>IFERROR(IF(VALUE(LEFT(AD112,2))&lt;=2,"EC",IF(OR(VALUE(LEFT(AD112,2))=8,VALUE(LEFT(AD112,2))=18),"NW","Other")),"Other")</f>
        <v>EC</v>
      </c>
      <c r="AH112" s="100" t="str">
        <f t="shared" si="12"/>
        <v>"%USERPROFILE%\Documents\GitHub\eaglep3\Utilities\RefineRTDCRunTimes.py" --tripid 205-01 --locoid 4031 --swversion DE.1.0.7.0 --startMP 204:473 --initTime 2016-09-01T16:52:18 --startdatetime 2016-09-01T16:54:42 --delay 1 --endMP 204:233264 --enddatetime 2016-09-01T17:55:04 --enforcementcount 0 &gt;&gt;C:\Users\stu\Documents\GitHub\eaglep3-reporting\EC\2016-09-01-refined-times.txt</v>
      </c>
      <c r="AI112" s="149" t="str">
        <f t="shared" si="13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C's","project_id":79,"tracker_id":40,"status_id":1,"priority_id":2,"assigned_to_id":23,"start_date":"2016-09-01","description":"","custom_fields":[{"id":1,"name":"Subdivision","value":"EC"},{"id":4,"name":"Milepost","value":"23.2791"},{"id":17,"name":"Train ID","value":"205-01"},{"id":16,"name":"Locomotive ID","value":"4031"},{"id":130,"name":"Impact","value":""},{"id":150,"name":"Time of Event (Mountain Time)","value":"17:55:04"},{"id":151,"name":"Denver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513</v>
      </c>
      <c r="B113" s="7">
        <v>4019</v>
      </c>
      <c r="C113" s="24" t="s">
        <v>113</v>
      </c>
      <c r="D113" s="24" t="s">
        <v>240</v>
      </c>
      <c r="E113" s="15">
        <v>42614.730509259258</v>
      </c>
      <c r="F113" s="15">
        <v>42614.737002314818</v>
      </c>
      <c r="G113" s="7">
        <v>1</v>
      </c>
      <c r="H113" s="15" t="s">
        <v>132</v>
      </c>
      <c r="I113" s="15">
        <v>42614.767939814818</v>
      </c>
      <c r="J113" s="7">
        <v>0</v>
      </c>
      <c r="K113" s="132" t="str">
        <f>IF(ISEVEN(B113),(B113-1)&amp;"/"&amp;B113,B113&amp;"/"&amp;(B113+1))</f>
        <v>4019/4020</v>
      </c>
      <c r="L113" s="24" t="str">
        <f>VLOOKUP(A113,'Trips&amp;Operators'!$C$1:$E$10000,3,FALSE)</f>
        <v>SUR</v>
      </c>
      <c r="M113" s="6">
        <f>I113-F113</f>
        <v>3.0937499999708962E-2</v>
      </c>
      <c r="N113" s="7">
        <f>24*60*SUM($M113:$M113)</f>
        <v>44.549999999580905</v>
      </c>
      <c r="O113" s="7"/>
      <c r="P113" s="7"/>
      <c r="Q113" s="25"/>
      <c r="R113" s="25"/>
      <c r="S113" s="37">
        <f>SUM(U113:U113)/IF(AG113="EC",12,1)</f>
        <v>1</v>
      </c>
      <c r="T113" s="52" t="str">
        <f>IF(ISEVEN(LEFT(AD113,4)),"Southbound","NorthBound")</f>
        <v>Southbound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hh:mm:ss")&amp;"-0600',mode:absolute,to:'"&amp;TEXT(I113+1/24,"yyyy-MM-DD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https://search-rtdc-monitor-bjffxe2xuh6vdkpspy63sjmuny.us-east-1.es.amazonaws.com/_plugin/kibana/#/discover/Steve-Slow-Train-Analysis-(2080s-and-2083s)?_g=(refreshInterval:(display:Off,section:0,value:0),time:(from:'2016-09-01 16:31:56-0600',mode:absolute,to:'2016-09-01 19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13" s="54" t="str">
        <f>IF(AA113&lt;IF(AG113="EC",23,5.65),"Y","N")</f>
        <v>N</v>
      </c>
      <c r="X113" s="120">
        <f>VALUE(LEFT(AD113,4))-VALUE(LEFT(AD112,4))</f>
        <v>1</v>
      </c>
      <c r="Y113" s="69">
        <f>RIGHT(D113,LEN(D113)-4)/10000</f>
        <v>23.2971</v>
      </c>
      <c r="Z113" s="69">
        <f>RIGHT(H113,LEN(H113)-4)/10000</f>
        <v>1.47E-2</v>
      </c>
      <c r="AA113" s="69">
        <f>ABS(Z113-Y113)</f>
        <v>23.282399999999999</v>
      </c>
      <c r="AB113" s="66">
        <f>VLOOKUP(A113,Enforcements!$C$7:$J$21,8,0)</f>
        <v>109135</v>
      </c>
      <c r="AC113" s="62" t="str">
        <f>VLOOKUP(A113,Enforcements!$C$7:$E$21,3,0)</f>
        <v>GRADE CROSSING</v>
      </c>
      <c r="AD113" s="63" t="str">
        <f>IF(LEN(A113)=6,"0"&amp;A113,A113)</f>
        <v>0206-01</v>
      </c>
      <c r="AE113" s="99" t="str">
        <f>"aws s3 cp "&amp;s3_bucket&amp;"/RTDC"&amp;B113&amp;"/"&amp;TEXT(F113,"YYYY-MM-DD")&amp;"/ "&amp;search_path&amp;"\RTDC"&amp;B113&amp;"\"&amp;TEXT(F113,"YYYY-MM-DD")&amp;" --recursive &amp; """&amp;walkandungz&amp;""" "&amp;search_path&amp;"\RTDC"&amp;B113&amp;"\"&amp;TEXT(F113,"YYYY-MM-DD")
&amp;" &amp; "&amp;"aws s3 cp "&amp;s3_bucket&amp;"/RTDC"&amp;B113&amp;"/"&amp;TEXT(F113+1,"YYYY-MM-DD")&amp;"/ "&amp;search_path&amp;"\RTDC"&amp;B113&amp;"\"&amp;TEXT(F113+1,"YYYY-MM-DD")&amp;" --recursive &amp; """&amp;walkandungz&amp;""" "&amp;search_path&amp;"\RTDC"&amp;B113&amp;"\"&amp;TEXT(F113+1,"YYYY-MM-DD")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113" s="96" t="str">
        <f>astrogrep_path&amp;" /spath="&amp;search_path&amp;" /stypes=""*"&amp;B113&amp;"*"&amp;TEXT(I113-utc_offset/24,"YYYYMMDD")&amp;"*"" /stext="" "&amp;TEXT(I113-utc_offset/24,"HH")&amp;search_regexp&amp;""" /e /r /s"</f>
        <v>"C:\Program Files (x86)\AstroGrep\AstroGrep.exe" /spath="%USERPROFILE%\AppData\Local\Temp\OnboardLogs" /stypes="*4019*20160902*" /stext=" 00:.+((SYSTEM_STATE.+slice.+state.+changed )|(ment ac)|(system.+state.+changed )|(\|lc)|(penalty)|(\[timeout)|(PRM\|1\|D)|(kpr)|(kdp))" /e /r /s</v>
      </c>
      <c r="AG113" s="1" t="str">
        <f>IFERROR(IF(VALUE(LEFT(AD113,2))&lt;=2,"EC",IF(OR(VALUE(LEFT(AD113,2))=8,VALUE(LEFT(AD113,2))=18),"NW","Other")),"Other")</f>
        <v>EC</v>
      </c>
      <c r="AH113" s="100" t="str">
        <f t="shared" si="12"/>
        <v>"%USERPROFILE%\Documents\GitHub\eaglep3\Utilities\RefineRTDCRunTimes.py" --tripid 206-01 --locoid 4019 --swversion DE.1.0.7.0 --startMP 204:232971 --initTime 2016-09-01T17:31:56 --startdatetime 2016-09-01T17:41:17 --delay 1 --endMP 204:147 --enddatetime 2016-09-01T18:25:50 --enforcementcount 0 &gt;&gt;C:\Users\stu\Documents\GitHub\eaglep3-reporting\EC\2016-09-01-refined-times.txt</v>
      </c>
      <c r="AI113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{"issue":{"subject":"","project_id":79,"tracker_id":40,"status_id":1,"priority_id":2,"assigned_to_id":23,"start_date":"2016-09-01","description":"","custom_fields":[{"id":1,"name":"Subdivision","value":"EC"},{"id":4,"name":"Milepost","value":"23.2824"},{"id":17,"name":"Train ID","value":"206-01"},{"id":16,"name":"Locomotive ID","value":"4019"},{"id":130,"name":"Impact","value":""},{"id":150,"name":"Time of Event (Mountain Time)","value":"18:25:50"},{"id":151,"name":"Denver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514</v>
      </c>
      <c r="B114" s="7">
        <v>4032</v>
      </c>
      <c r="C114" s="24" t="s">
        <v>113</v>
      </c>
      <c r="D114" s="24" t="s">
        <v>515</v>
      </c>
      <c r="E114" s="15">
        <v>42614.751631944448</v>
      </c>
      <c r="F114" s="15">
        <v>42614.753587962965</v>
      </c>
      <c r="G114" s="7">
        <v>1</v>
      </c>
      <c r="H114" s="15" t="s">
        <v>269</v>
      </c>
      <c r="I114" s="15">
        <v>42614.783831018518</v>
      </c>
      <c r="J114" s="7">
        <v>0</v>
      </c>
      <c r="K114" s="132" t="str">
        <f>IF(ISEVEN(B114),(B114-1)&amp;"/"&amp;B114,B114&amp;"/"&amp;(B114+1))</f>
        <v>4031/4032</v>
      </c>
      <c r="L114" s="24" t="str">
        <f>VLOOKUP(A114,'Trips&amp;Operators'!$C$1:$E$10000,3,FALSE)</f>
        <v>KILLION</v>
      </c>
      <c r="M114" s="6">
        <f>I114-F114</f>
        <v>3.0243055553000886E-2</v>
      </c>
      <c r="N114" s="7">
        <f>24*60*SUM($M114:$M114)</f>
        <v>43.549999996321276</v>
      </c>
      <c r="O114" s="7"/>
      <c r="P114" s="7"/>
      <c r="Q114" s="25"/>
      <c r="R114" s="25"/>
      <c r="S114" s="37">
        <f>SUM(U114:U114)/IF(AG114="EC",12,1)</f>
        <v>1</v>
      </c>
      <c r="T114" s="52" t="str">
        <f>IF(ISEVEN(LEFT(AD114,4)),"Southbound","NorthBound")</f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hh:mm:ss")&amp;"-0600',mode:absolute,to:'"&amp;TEXT(I114+1/24,"yyyy-MM-DD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https://search-rtdc-monitor-bjffxe2xuh6vdkpspy63sjmuny.us-east-1.es.amazonaws.com/_plugin/kibana/#/discover/Steve-Slow-Train-Analysis-(2080s-and-2083s)?_g=(refreshInterval:(display:Off,section:0,value:0),time:(from:'2016-09-01 17:02:21-0600',mode:absolute,to:'2016-09-01 19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14" s="54" t="str">
        <f>IF(AA114&lt;IF(AG114="EC",23,5.65),"Y","N")</f>
        <v>N</v>
      </c>
      <c r="X114" s="120">
        <f>VALUE(LEFT(AD114,4))-VALUE(LEFT(AD113,4))</f>
        <v>2</v>
      </c>
      <c r="Y114" s="69">
        <f>RIGHT(D114,LEN(D114)-4)/10000</f>
        <v>23.294699999999999</v>
      </c>
      <c r="Z114" s="69">
        <f>RIGHT(H114,LEN(H114)-4)/10000</f>
        <v>1.6299999999999999E-2</v>
      </c>
      <c r="AA114" s="69">
        <f>ABS(Z114-Y114)</f>
        <v>23.278399999999998</v>
      </c>
      <c r="AB114" s="66" t="e">
        <f>VLOOKUP(A114,Enforcements!$C$7:$J$21,8,0)</f>
        <v>#N/A</v>
      </c>
      <c r="AC114" s="62" t="e">
        <f>VLOOKUP(A114,Enforcements!$C$7:$E$21,3,0)</f>
        <v>#N/A</v>
      </c>
      <c r="AD114" s="63" t="str">
        <f>IF(LEN(A114)=6,"0"&amp;A114,A114)</f>
        <v>0208-01</v>
      </c>
      <c r="AE114" s="99" t="str">
        <f>"aws s3 cp "&amp;s3_bucket&amp;"/RTDC"&amp;B114&amp;"/"&amp;TEXT(F114,"YYYY-MM-DD")&amp;"/ "&amp;search_path&amp;"\RTDC"&amp;B114&amp;"\"&amp;TEXT(F114,"YYYY-MM-DD")&amp;" --recursive &amp; """&amp;walkandungz&amp;""" "&amp;search_path&amp;"\RTDC"&amp;B114&amp;"\"&amp;TEXT(F114,"YYYY-MM-DD")
&amp;" &amp; "&amp;"aws s3 cp "&amp;s3_bucket&amp;"/RTDC"&amp;B114&amp;"/"&amp;TEXT(F114+1,"YYYY-MM-DD")&amp;"/ "&amp;search_path&amp;"\RTDC"&amp;B114&amp;"\"&amp;TEXT(F114+1,"YYYY-MM-DD")&amp;" --recursive &amp; """&amp;walkandungz&amp;""" "&amp;search_path&amp;"\RTDC"&amp;B114&amp;"\"&amp;TEXT(F114+1,"YYYY-MM-DD")</f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114" s="96" t="str">
        <f>astrogrep_path&amp;" /spath="&amp;search_path&amp;" /stypes=""*"&amp;B114&amp;"*"&amp;TEXT(I114-utc_offset/24,"YYYYMMDD")&amp;"*"" /stext="" "&amp;TEXT(I114-utc_offset/24,"HH")&amp;search_regexp&amp;""" /e /r /s"</f>
        <v>"C:\Program Files (x86)\AstroGrep\AstroGrep.exe" /spath="%USERPROFILE%\AppData\Local\Temp\OnboardLogs" /stypes="*4032*20160902*" /stext=" 00:.+((SYSTEM_STATE.+slice.+state.+changed )|(ment ac)|(system.+state.+changed )|(\|lc)|(penalty)|(\[timeout)|(PRM\|1\|D)|(kpr)|(kdp))" /e /r /s</v>
      </c>
      <c r="AG114" s="1" t="str">
        <f>IFERROR(IF(VALUE(LEFT(AD114,2))&lt;=2,"EC",IF(OR(VALUE(LEFT(AD114,2))=8,VALUE(LEFT(AD114,2))=18),"NW","Other")),"Other")</f>
        <v>EC</v>
      </c>
      <c r="AH114" s="100" t="str">
        <f t="shared" si="12"/>
        <v>"%USERPROFILE%\Documents\GitHub\eaglep3\Utilities\RefineRTDCRunTimes.py" --tripid 208-01 --locoid 4032 --swversion DE.1.0.7.0 --startMP 204:232947 --initTime 2016-09-01T18:02:21 --startdatetime 2016-09-01T18:05:10 --delay 1 --endMP 204:163 --enddatetime 2016-09-01T18:48:43 --enforcementcount 0 &gt;&gt;C:\Users\stu\Documents\GitHub\eaglep3-reporting\EC\2016-09-01-refined-times.txt</v>
      </c>
      <c r="AI114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{"issue":{"subject":"","project_id":79,"tracker_id":40,"status_id":1,"priority_id":2,"assigned_to_id":23,"start_date":"2016-09-01","description":"","custom_fields":[{"id":1,"name":"Subdivision","value":"EC"},{"id":4,"name":"Milepost","value":"23.2784"},{"id":17,"name":"Train ID","value":"208-01"},{"id":16,"name":"Locomotive ID","value":"4032"},{"id":130,"name":"Impact","value":""},{"id":150,"name":"Time of Event (Mountain Time)","value":"18:48:43"},{"id":151,"name":"Denver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x14ac:dyDescent="0.25">
      <c r="A115" s="39" t="s">
        <v>516</v>
      </c>
      <c r="B115" s="7">
        <v>4018</v>
      </c>
      <c r="C115" s="24" t="s">
        <v>113</v>
      </c>
      <c r="D115" s="24" t="s">
        <v>125</v>
      </c>
      <c r="E115" s="15">
        <v>42614.721666666665</v>
      </c>
      <c r="F115" s="15">
        <v>42614.723287037035</v>
      </c>
      <c r="G115" s="7">
        <v>0</v>
      </c>
      <c r="H115" s="15" t="s">
        <v>275</v>
      </c>
      <c r="I115" s="15">
        <v>42614.75277777778</v>
      </c>
      <c r="J115" s="7">
        <v>0</v>
      </c>
      <c r="K115" s="132" t="str">
        <f>IF(ISEVEN(B115),(B115-1)&amp;"/"&amp;B115,B115&amp;"/"&amp;(B115+1))</f>
        <v>4017/4018</v>
      </c>
      <c r="L115" s="24" t="str">
        <f>VLOOKUP(A115,'Trips&amp;Operators'!$C$1:$E$10000,3,FALSE)</f>
        <v>HILLS</v>
      </c>
      <c r="M115" s="6">
        <f>I115-F115</f>
        <v>2.9490740744222421E-2</v>
      </c>
      <c r="N115" s="7">
        <f>24*60*SUM($M115:$M115)</f>
        <v>42.466666671680287</v>
      </c>
      <c r="O115" s="7"/>
      <c r="P115" s="7"/>
      <c r="Q115" s="25"/>
      <c r="R115" s="25"/>
      <c r="S115" s="37">
        <f>SUM(U115:U115)/IF(AG115="EC",12,1)</f>
        <v>1</v>
      </c>
      <c r="T115" s="52" t="str">
        <f>IF(ISEVEN(LEFT(AD115,4)),"Southbound","NorthBound")</f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hh:mm:ss")&amp;"-0600',mode:absolute,to:'"&amp;TEXT(I115+1/24,"yyyy-MM-DD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https://search-rtdc-monitor-bjffxe2xuh6vdkpspy63sjmuny.us-east-1.es.amazonaws.com/_plugin/kibana/#/discover/Steve-Slow-Train-Analysis-(2080s-and-2083s)?_g=(refreshInterval:(display:Off,section:0,value:0),time:(from:'2016-09-01 16:19:12-0600',mode:absolute,to:'2016-09-01 19:04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15" s="54" t="str">
        <f>IF(AA115&lt;IF(AG115="EC",23,5.65),"Y","N")</f>
        <v>N</v>
      </c>
      <c r="X115" s="120">
        <f>VALUE(LEFT(AD115,4))-VALUE(LEFT(AD114,4))</f>
        <v>1</v>
      </c>
      <c r="Y115" s="69">
        <f>RIGHT(D115,LEN(D115)-4)/10000</f>
        <v>4.5499999999999999E-2</v>
      </c>
      <c r="Z115" s="69">
        <f>RIGHT(H115,LEN(H115)-4)/10000</f>
        <v>23.3307</v>
      </c>
      <c r="AA115" s="69">
        <f>ABS(Z115-Y115)</f>
        <v>23.2852</v>
      </c>
      <c r="AB115" s="66" t="e">
        <f>VLOOKUP(A115,Enforcements!$C$7:$J$21,8,0)</f>
        <v>#N/A</v>
      </c>
      <c r="AC115" s="62" t="e">
        <f>VLOOKUP(A115,Enforcements!$C$7:$E$21,3,0)</f>
        <v>#N/A</v>
      </c>
      <c r="AD115" s="63" t="str">
        <f>IF(LEN(A115)=6,"0"&amp;A115,A115)</f>
        <v>0209-01</v>
      </c>
      <c r="AE115" s="99" t="str">
        <f>"aws s3 cp "&amp;s3_bucket&amp;"/RTDC"&amp;B115&amp;"/"&amp;TEXT(F115,"YYYY-MM-DD")&amp;"/ "&amp;search_path&amp;"\RTDC"&amp;B115&amp;"\"&amp;TEXT(F115,"YYYY-MM-DD")&amp;" --recursive &amp; """&amp;walkandungz&amp;""" "&amp;search_path&amp;"\RTDC"&amp;B115&amp;"\"&amp;TEXT(F115,"YYYY-MM-DD")
&amp;" &amp; "&amp;"aws s3 cp "&amp;s3_bucket&amp;"/RTDC"&amp;B115&amp;"/"&amp;TEXT(F115+1,"YYYY-MM-DD")&amp;"/ "&amp;search_path&amp;"\RTDC"&amp;B115&amp;"\"&amp;TEXT(F115+1,"YYYY-MM-DD")&amp;" --recursive &amp; """&amp;walkandungz&amp;""" "&amp;search_path&amp;"\RTDC"&amp;B115&amp;"\"&amp;TEXT(F115+1,"YYYY-MM-DD")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15" s="96" t="str">
        <f>astrogrep_path&amp;" /spath="&amp;search_path&amp;" /stypes=""*"&amp;B115&amp;"*"&amp;TEXT(I115-utc_offset/24,"YYYYMMDD")&amp;"*"" /stext="" "&amp;TEXT(I115-utc_offset/24,"HH")&amp;search_regexp&amp;""" /e /r /s"</f>
        <v>"C:\Program Files (x86)\AstroGrep\AstroGrep.exe" /spath="%USERPROFILE%\AppData\Local\Temp\OnboardLogs" /stypes="*4018*20160902*" /stext=" 00:.+((SYSTEM_STATE.+slice.+state.+changed )|(ment ac)|(system.+state.+changed )|(\|lc)|(penalty)|(\[timeout)|(PRM\|1\|D)|(kpr)|(kdp))" /e /r /s</v>
      </c>
      <c r="AG115" s="1" t="str">
        <f>IFERROR(IF(VALUE(LEFT(AD115,2))&lt;=2,"EC",IF(OR(VALUE(LEFT(AD115,2))=8,VALUE(LEFT(AD115,2))=18),"NW","Other")),"Other")</f>
        <v>EC</v>
      </c>
      <c r="AH115" s="100" t="str">
        <f t="shared" si="12"/>
        <v>"%USERPROFILE%\Documents\GitHub\eaglep3\Utilities\RefineRTDCRunTimes.py" --tripid 209-01 --locoid 4018 --swversion DE.1.0.7.0 --startMP 204:455 --initTime 2016-09-01T17:19:12 --startdatetime 2016-09-01T17:21:32 --delay 0 --endMP 204:233307 --enddatetime 2016-09-01T18:04:00 --enforcementcount 0 &gt;&gt;C:\Users\stu\Documents\GitHub\eaglep3-reporting\EC\2016-09-01-refined-times.txt</v>
      </c>
      <c r="AI115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{"issue":{"subject":"","project_id":79,"tracker_id":40,"status_id":1,"priority_id":2,"assigned_to_id":23,"start_date":"2016-09-01","description":"","custom_fields":[{"id":1,"name":"Subdivision","value":"EC"},{"id":4,"name":"Milepost","value":"23.2852"},{"id":17,"name":"Train ID","value":"209-01"},{"id":16,"name":"Locomotive ID","value":"4018"},{"id":130,"name":"Impact","value":""},{"id":150,"name":"Time of Event (Mountain Time)","value":"18:04:00"},{"id":151,"name":"Denver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517</v>
      </c>
      <c r="B116" s="7">
        <v>4017</v>
      </c>
      <c r="C116" s="24" t="s">
        <v>113</v>
      </c>
      <c r="D116" s="24" t="s">
        <v>274</v>
      </c>
      <c r="E116" s="15">
        <v>42614.754652777781</v>
      </c>
      <c r="F116" s="15">
        <v>42614.757905092592</v>
      </c>
      <c r="G116" s="7">
        <v>3</v>
      </c>
      <c r="H116" s="15" t="s">
        <v>299</v>
      </c>
      <c r="I116" s="15">
        <v>42614.789363425924</v>
      </c>
      <c r="J116" s="7">
        <v>0</v>
      </c>
      <c r="K116" s="132" t="str">
        <f>IF(ISEVEN(B116),(B116-1)&amp;"/"&amp;B116,B116&amp;"/"&amp;(B116+1))</f>
        <v>4017/4018</v>
      </c>
      <c r="L116" s="24" t="str">
        <f>VLOOKUP(A116,'Trips&amp;Operators'!$C$1:$E$10000,3,FALSE)</f>
        <v>HILLS</v>
      </c>
      <c r="M116" s="6">
        <f>I116-F116</f>
        <v>3.145833333110204E-2</v>
      </c>
      <c r="N116" s="7">
        <f>24*60*SUM($M116:$M116)</f>
        <v>45.299999996786937</v>
      </c>
      <c r="O116" s="7"/>
      <c r="P116" s="7"/>
      <c r="Q116" s="25"/>
      <c r="R116" s="25"/>
      <c r="S116" s="37">
        <f>SUM(U116:U116)/IF(AG116="EC",12,1)</f>
        <v>1</v>
      </c>
      <c r="T116" s="52" t="str">
        <f>IF(ISEVEN(LEFT(AD116,4)),"Southbound","NorthBound")</f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hh:mm:ss")&amp;"-0600',mode:absolute,to:'"&amp;TEXT(I116+1/24,"yyyy-MM-DD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https://search-rtdc-monitor-bjffxe2xuh6vdkpspy63sjmuny.us-east-1.es.amazonaws.com/_plugin/kibana/#/discover/Steve-Slow-Train-Analysis-(2080s-and-2083s)?_g=(refreshInterval:(display:Off,section:0,value:0),time:(from:'2016-09-01 17:06:42-0600',mode:absolute,to:'2016-09-01 19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16" s="54" t="str">
        <f>IF(AA116&lt;IF(AG116="EC",23,5.65),"Y","N")</f>
        <v>N</v>
      </c>
      <c r="X116" s="120">
        <f>VALUE(LEFT(AD116,4))-VALUE(LEFT(AD115,4))</f>
        <v>1</v>
      </c>
      <c r="Y116" s="69">
        <f>RIGHT(D116,LEN(D116)-4)/10000</f>
        <v>23.297799999999999</v>
      </c>
      <c r="Z116" s="69">
        <f>RIGHT(H116,LEN(H116)-4)/10000</f>
        <v>1.38E-2</v>
      </c>
      <c r="AA116" s="69">
        <f>ABS(Z116-Y116)</f>
        <v>23.283999999999999</v>
      </c>
      <c r="AB116" s="66" t="e">
        <f>VLOOKUP(A116,Enforcements!$C$7:$J$21,8,0)</f>
        <v>#N/A</v>
      </c>
      <c r="AC116" s="62" t="e">
        <f>VLOOKUP(A116,Enforcements!$C$7:$E$21,3,0)</f>
        <v>#N/A</v>
      </c>
      <c r="AD116" s="63" t="str">
        <f>IF(LEN(A116)=6,"0"&amp;A116,A116)</f>
        <v>0210-01</v>
      </c>
      <c r="AE116" s="99" t="str">
        <f>"aws s3 cp "&amp;s3_bucket&amp;"/RTDC"&amp;B116&amp;"/"&amp;TEXT(F116,"YYYY-MM-DD")&amp;"/ "&amp;search_path&amp;"\RTDC"&amp;B116&amp;"\"&amp;TEXT(F116,"YYYY-MM-DD")&amp;" --recursive &amp; """&amp;walkandungz&amp;""" "&amp;search_path&amp;"\RTDC"&amp;B116&amp;"\"&amp;TEXT(F116,"YYYY-MM-DD")
&amp;" &amp; "&amp;"aws s3 cp "&amp;s3_bucket&amp;"/RTDC"&amp;B116&amp;"/"&amp;TEXT(F116+1,"YYYY-MM-DD")&amp;"/ "&amp;search_path&amp;"\RTDC"&amp;B116&amp;"\"&amp;TEXT(F116+1,"YYYY-MM-DD")&amp;" --recursive &amp; """&amp;walkandungz&amp;""" "&amp;search_path&amp;"\RTDC"&amp;B116&amp;"\"&amp;TEXT(F116+1,"YYYY-MM-DD")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116" s="96" t="str">
        <f>astrogrep_path&amp;" /spath="&amp;search_path&amp;" /stypes=""*"&amp;B116&amp;"*"&amp;TEXT(I116-utc_offset/24,"YYYYMMDD")&amp;"*"" /stext="" "&amp;TEXT(I116-utc_offset/24,"HH")&amp;search_regexp&amp;""" /e /r /s"</f>
        <v>"C:\Program Files (x86)\AstroGrep\AstroGrep.exe" /spath="%USERPROFILE%\AppData\Local\Temp\OnboardLogs" /stypes="*4017*20160902*" /stext=" 00:.+((SYSTEM_STATE.+slice.+state.+changed )|(ment ac)|(system.+state.+changed )|(\|lc)|(penalty)|(\[timeout)|(PRM\|1\|D)|(kpr)|(kdp))" /e /r /s</v>
      </c>
      <c r="AG116" s="1" t="str">
        <f>IFERROR(IF(VALUE(LEFT(AD116,2))&lt;=2,"EC",IF(OR(VALUE(LEFT(AD116,2))=8,VALUE(LEFT(AD116,2))=18),"NW","Other")),"Other")</f>
        <v>EC</v>
      </c>
      <c r="AH116" s="100" t="str">
        <f t="shared" si="12"/>
        <v>"%USERPROFILE%\Documents\GitHub\eaglep3\Utilities\RefineRTDCRunTimes.py" --tripid 210-01 --locoid 4017 --swversion DE.1.0.7.0 --startMP 204:232978 --initTime 2016-09-01T18:06:42 --startdatetime 2016-09-01T18:11:23 --delay 3 --endMP 204:138 --enddatetime 2016-09-01T18:56:41 --enforcementcount 0 &gt;&gt;C:\Users\stu\Documents\GitHub\eaglep3-reporting\EC\2016-09-01-refined-times.txt</v>
      </c>
      <c r="AI116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{"issue":{"subject":"","project_id":79,"tracker_id":40,"status_id":1,"priority_id":2,"assigned_to_id":23,"start_date":"2016-09-01","description":"","custom_fields":[{"id":1,"name":"Subdivision","value":"EC"},{"id":4,"name":"Milepost","value":"23.284"},{"id":17,"name":"Train ID","value":"210-01"},{"id":16,"name":"Locomotive ID","value":"4017"},{"id":130,"name":"Impact","value":""},{"id":150,"name":"Time of Event (Mountain Time)","value":"18:56:41"},{"id":151,"name":"Denver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x14ac:dyDescent="0.25">
      <c r="A117" s="39" t="s">
        <v>518</v>
      </c>
      <c r="B117" s="7">
        <v>4038</v>
      </c>
      <c r="C117" s="24" t="s">
        <v>113</v>
      </c>
      <c r="D117" s="24" t="s">
        <v>519</v>
      </c>
      <c r="E117" s="15">
        <v>42614.729201388887</v>
      </c>
      <c r="F117" s="15">
        <v>42614.730995370373</v>
      </c>
      <c r="G117" s="7">
        <v>1</v>
      </c>
      <c r="H117" s="15" t="s">
        <v>297</v>
      </c>
      <c r="I117" s="15">
        <v>42614.767476851855</v>
      </c>
      <c r="J117" s="7">
        <v>0</v>
      </c>
      <c r="K117" s="132" t="str">
        <f>IF(ISEVEN(B117),(B117-1)&amp;"/"&amp;B117,B117&amp;"/"&amp;(B117+1))</f>
        <v>4037/4038</v>
      </c>
      <c r="L117" s="24" t="str">
        <f>VLOOKUP(A117,'Trips&amp;Operators'!$C$1:$E$10000,3,FALSE)</f>
        <v>MOSES</v>
      </c>
      <c r="M117" s="6">
        <f>I117-F117</f>
        <v>3.6481481482042E-2</v>
      </c>
      <c r="N117" s="7">
        <f>24*60*SUM($M117:$M117)</f>
        <v>52.53333333414048</v>
      </c>
      <c r="O117" s="7"/>
      <c r="P117" s="7"/>
      <c r="Q117" s="25"/>
      <c r="R117" s="25" t="s">
        <v>746</v>
      </c>
      <c r="S117" s="37">
        <f>SUM(U117:U117)/IF(AG117="EC",12,1)</f>
        <v>1</v>
      </c>
      <c r="T117" s="52" t="str">
        <f>IF(ISEVEN(LEFT(AD117,4)),"Southbound","NorthBound")</f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hh:mm:ss")&amp;"-0600',mode:absolute,to:'"&amp;TEXT(I117+1/24,"yyyy-MM-DD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https://search-rtdc-monitor-bjffxe2xuh6vdkpspy63sjmuny.us-east-1.es.amazonaws.com/_plugin/kibana/#/discover/Steve-Slow-Train-Analysis-(2080s-and-2083s)?_g=(refreshInterval:(display:Off,section:0,value:0),time:(from:'2016-09-01 16:30:03-0600',mode:absolute,to:'2016-09-01 19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17" s="54" t="str">
        <f>IF(AA117&lt;IF(AG117="EC",23,5.65),"Y","N")</f>
        <v>N</v>
      </c>
      <c r="X117" s="120">
        <f>VALUE(LEFT(AD117,4))-VALUE(LEFT(AD116,4))</f>
        <v>1</v>
      </c>
      <c r="Y117" s="69">
        <f>RIGHT(D117,LEN(D117)-4)/10000</f>
        <v>5.0599999999999999E-2</v>
      </c>
      <c r="Z117" s="69">
        <f>RIGHT(H117,LEN(H117)-4)/10000</f>
        <v>23.331</v>
      </c>
      <c r="AA117" s="69">
        <f>ABS(Z117-Y117)</f>
        <v>23.2804</v>
      </c>
      <c r="AB117" s="66" t="e">
        <f>VLOOKUP(A117,Enforcements!$C$7:$J$21,8,0)</f>
        <v>#N/A</v>
      </c>
      <c r="AC117" s="62" t="e">
        <f>VLOOKUP(A117,Enforcements!$C$7:$E$21,3,0)</f>
        <v>#N/A</v>
      </c>
      <c r="AD117" s="63" t="str">
        <f>IF(LEN(A117)=6,"0"&amp;A117,A117)</f>
        <v>0211-01</v>
      </c>
      <c r="AE117" s="99" t="str">
        <f>"aws s3 cp "&amp;s3_bucket&amp;"/RTDC"&amp;B117&amp;"/"&amp;TEXT(F117,"YYYY-MM-DD")&amp;"/ "&amp;search_path&amp;"\RTDC"&amp;B117&amp;"\"&amp;TEXT(F117,"YYYY-MM-DD")&amp;" --recursive &amp; """&amp;walkandungz&amp;""" "&amp;search_path&amp;"\RTDC"&amp;B117&amp;"\"&amp;TEXT(F117,"YYYY-MM-DD")
&amp;" &amp; "&amp;"aws s3 cp "&amp;s3_bucket&amp;"/RTDC"&amp;B117&amp;"/"&amp;TEXT(F117+1,"YYYY-MM-DD")&amp;"/ "&amp;search_path&amp;"\RTDC"&amp;B117&amp;"\"&amp;TEXT(F117+1,"YYYY-MM-DD")&amp;" --recursive &amp; """&amp;walkandungz&amp;""" "&amp;search_path&amp;"\RTDC"&amp;B117&amp;"\"&amp;TEXT(F117+1,"YYYY-MM-DD")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117" s="96" t="str">
        <f>astrogrep_path&amp;" /spath="&amp;search_path&amp;" /stypes=""*"&amp;B117&amp;"*"&amp;TEXT(I117-utc_offset/24,"YYYYMMDD")&amp;"*"" /stext="" "&amp;TEXT(I117-utc_offset/24,"HH")&amp;search_regexp&amp;""" /e /r /s"</f>
        <v>"C:\Program Files (x86)\AstroGrep\AstroGrep.exe" /spath="%USERPROFILE%\AppData\Local\Temp\OnboardLogs" /stypes="*4038*20160902*" /stext=" 00:.+((SYSTEM_STATE.+slice.+state.+changed )|(ment ac)|(system.+state.+changed )|(\|lc)|(penalty)|(\[timeout)|(PRM\|1\|D)|(kpr)|(kdp))" /e /r /s</v>
      </c>
      <c r="AG117" s="1" t="str">
        <f>IFERROR(IF(VALUE(LEFT(AD117,2))&lt;=2,"EC",IF(OR(VALUE(LEFT(AD117,2))=8,VALUE(LEFT(AD117,2))=18),"NW","Other")),"Other")</f>
        <v>EC</v>
      </c>
      <c r="AH117" s="100" t="str">
        <f t="shared" si="12"/>
        <v>"%USERPROFILE%\Documents\GitHub\eaglep3\Utilities\RefineRTDCRunTimes.py" --tripid 211-01 --locoid 4038 --swversion DE.1.0.7.0 --startMP 204:506 --initTime 2016-09-01T17:30:03 --startdatetime 2016-09-01T17:32:38 --delay 1 --endMP 204:233310 --enddatetime 2016-09-01T18:25:10 --enforcementcount 0 &gt;&gt;C:\Users\stu\Documents\GitHub\eaglep3-reporting\EC\2016-09-01-refined-times.txt</v>
      </c>
      <c r="AI117" s="149" t="str">
        <f t="shared" si="13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C's","project_id":79,"tracker_id":40,"status_id":1,"priority_id":2,"assigned_to_id":23,"start_date":"2016-09-01","description":"","custom_fields":[{"id":1,"name":"Subdivision","value":"EC"},{"id":4,"name":"Milepost","value":"23.2804"},{"id":17,"name":"Train ID","value":"211-01"},{"id":16,"name":"Locomotive ID","value":"4038"},{"id":130,"name":"Impact","value":""},{"id":150,"name":"Time of Event (Mountain Time)","value":"18:25:10"},{"id":151,"name":"Denver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520</v>
      </c>
      <c r="B118" s="7">
        <v>4037</v>
      </c>
      <c r="C118" s="24" t="s">
        <v>113</v>
      </c>
      <c r="D118" s="24" t="s">
        <v>273</v>
      </c>
      <c r="E118" s="15">
        <v>42614.771215277775</v>
      </c>
      <c r="F118" s="15">
        <v>42614.77275462963</v>
      </c>
      <c r="G118" s="7">
        <v>1</v>
      </c>
      <c r="H118" s="15" t="s">
        <v>493</v>
      </c>
      <c r="I118" s="15">
        <v>42614.79991898148</v>
      </c>
      <c r="J118" s="7">
        <v>0</v>
      </c>
      <c r="K118" s="132" t="str">
        <f>IF(ISEVEN(B118),(B118-1)&amp;"/"&amp;B118,B118&amp;"/"&amp;(B118+1))</f>
        <v>4037/4038</v>
      </c>
      <c r="L118" s="24" t="str">
        <f>VLOOKUP(A118,'Trips&amp;Operators'!$C$1:$E$10000,3,FALSE)</f>
        <v>MOSES</v>
      </c>
      <c r="M118" s="6">
        <f>I118-F118</f>
        <v>2.7164351849933155E-2</v>
      </c>
      <c r="N118" s="7">
        <f>24*60*SUM($M118:$M118)</f>
        <v>39.116666663903743</v>
      </c>
      <c r="O118" s="7"/>
      <c r="P118" s="7"/>
      <c r="Q118" s="25"/>
      <c r="R118" s="25"/>
      <c r="S118" s="37">
        <f>SUM(U118:U118)/IF(AG118="EC",12,1)</f>
        <v>1</v>
      </c>
      <c r="T118" s="52" t="str">
        <f>IF(ISEVEN(LEFT(AD118,4)),"Southbound","NorthBound")</f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hh:mm:ss")&amp;"-0600',mode:absolute,to:'"&amp;TEXT(I118+1/24,"yyyy-MM-DD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https://search-rtdc-monitor-bjffxe2xuh6vdkpspy63sjmuny.us-east-1.es.amazonaws.com/_plugin/kibana/#/discover/Steve-Slow-Train-Analysis-(2080s-and-2083s)?_g=(refreshInterval:(display:Off,section:0,value:0),time:(from:'2016-09-01 17:30:33-0600',mode:absolute,to:'2016-09-01 20:11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18" s="54" t="str">
        <f>IF(AA118&lt;IF(AG118="EC",23,5.65),"Y","N")</f>
        <v>N</v>
      </c>
      <c r="X118" s="120">
        <f>VALUE(LEFT(AD118,4))-VALUE(LEFT(AD117,4))</f>
        <v>1</v>
      </c>
      <c r="Y118" s="69">
        <f>RIGHT(D118,LEN(D118)-4)/10000</f>
        <v>23.299299999999999</v>
      </c>
      <c r="Z118" s="69">
        <f>RIGHT(H118,LEN(H118)-4)/10000</f>
        <v>1.34E-2</v>
      </c>
      <c r="AA118" s="69">
        <f>ABS(Z118-Y118)</f>
        <v>23.285899999999998</v>
      </c>
      <c r="AB118" s="66" t="e">
        <f>VLOOKUP(A118,Enforcements!$C$7:$J$21,8,0)</f>
        <v>#N/A</v>
      </c>
      <c r="AC118" s="62" t="e">
        <f>VLOOKUP(A118,Enforcements!$C$7:$E$21,3,0)</f>
        <v>#N/A</v>
      </c>
      <c r="AD118" s="63" t="str">
        <f>IF(LEN(A118)=6,"0"&amp;A118,A118)</f>
        <v>0212-01</v>
      </c>
      <c r="AE118" s="99" t="str">
        <f>"aws s3 cp "&amp;s3_bucket&amp;"/RTDC"&amp;B118&amp;"/"&amp;TEXT(F118,"YYYY-MM-DD")&amp;"/ "&amp;search_path&amp;"\RTDC"&amp;B118&amp;"\"&amp;TEXT(F118,"YYYY-MM-DD")&amp;" --recursive &amp; """&amp;walkandungz&amp;""" "&amp;search_path&amp;"\RTDC"&amp;B118&amp;"\"&amp;TEXT(F118,"YYYY-MM-DD")
&amp;" &amp; "&amp;"aws s3 cp "&amp;s3_bucket&amp;"/RTDC"&amp;B118&amp;"/"&amp;TEXT(F118+1,"YYYY-MM-DD")&amp;"/ "&amp;search_path&amp;"\RTDC"&amp;B118&amp;"\"&amp;TEXT(F118+1,"YYYY-MM-DD")&amp;" --recursive &amp; """&amp;walkandungz&amp;""" "&amp;search_path&amp;"\RTDC"&amp;B118&amp;"\"&amp;TEXT(F118+1,"YYYY-MM-DD")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118" s="96" t="str">
        <f>astrogrep_path&amp;" /spath="&amp;search_path&amp;" /stypes=""*"&amp;B118&amp;"*"&amp;TEXT(I118-utc_offset/24,"YYYYMMDD")&amp;"*"" /stext="" "&amp;TEXT(I118-utc_offset/24,"HH")&amp;search_regexp&amp;""" /e /r /s"</f>
        <v>"C:\Program Files (x86)\AstroGrep\AstroGrep.exe" /spath="%USERPROFILE%\AppData\Local\Temp\OnboardLogs" /stypes="*4037*20160902*" /stext=" 01:.+((SYSTEM_STATE.+slice.+state.+changed )|(ment ac)|(system.+state.+changed )|(\|lc)|(penalty)|(\[timeout)|(PRM\|1\|D)|(kpr)|(kdp))" /e /r /s</v>
      </c>
      <c r="AG118" s="1" t="str">
        <f>IFERROR(IF(VALUE(LEFT(AD118,2))&lt;=2,"EC",IF(OR(VALUE(LEFT(AD118,2))=8,VALUE(LEFT(AD118,2))=18),"NW","Other")),"Other")</f>
        <v>EC</v>
      </c>
      <c r="AH118" s="100" t="str">
        <f t="shared" si="12"/>
        <v>"%USERPROFILE%\Documents\GitHub\eaglep3\Utilities\RefineRTDCRunTimes.py" --tripid 212-01 --locoid 4037 --swversion DE.1.0.7.0 --startMP 204:232993 --initTime 2016-09-01T18:30:33 --startdatetime 2016-09-01T18:32:46 --delay 1 --endMP 204:134 --enddatetime 2016-09-01T19:11:53 --enforcementcount 0 &gt;&gt;C:\Users\stu\Documents\GitHub\eaglep3-reporting\EC\2016-09-01-refined-times.txt</v>
      </c>
      <c r="AI118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{"issue":{"subject":"","project_id":79,"tracker_id":40,"status_id":1,"priority_id":2,"assigned_to_id":23,"start_date":"2016-09-01","description":"","custom_fields":[{"id":1,"name":"Subdivision","value":"EC"},{"id":4,"name":"Milepost","value":"23.2859"},{"id":17,"name":"Train ID","value":"212-01"},{"id":16,"name":"Locomotive ID","value":"4037"},{"id":130,"name":"Impact","value":""},{"id":150,"name":"Time of Event (Mountain Time)","value":"19:11:53"},{"id":151,"name":"Denver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521</v>
      </c>
      <c r="B119" s="7">
        <v>4042</v>
      </c>
      <c r="C119" s="24" t="s">
        <v>113</v>
      </c>
      <c r="D119" s="24" t="s">
        <v>245</v>
      </c>
      <c r="E119" s="15">
        <v>42614.739224537036</v>
      </c>
      <c r="F119" s="15">
        <v>42614.741041666668</v>
      </c>
      <c r="G119" s="7">
        <v>2</v>
      </c>
      <c r="H119" s="15" t="s">
        <v>312</v>
      </c>
      <c r="I119" s="15">
        <v>42614.769143518519</v>
      </c>
      <c r="J119" s="7">
        <v>0</v>
      </c>
      <c r="K119" s="132" t="str">
        <f>IF(ISEVEN(B119),(B119-1)&amp;"/"&amp;B119,B119&amp;"/"&amp;(B119+1))</f>
        <v>4041/4042</v>
      </c>
      <c r="L119" s="24" t="str">
        <f>VLOOKUP(A119,'Trips&amp;Operators'!$C$1:$E$10000,3,FALSE)</f>
        <v>COOLAHAN</v>
      </c>
      <c r="M119" s="6">
        <f>I119-F119</f>
        <v>2.810185185080627E-2</v>
      </c>
      <c r="N119" s="7">
        <f>24*60*SUM($M119:$M119)</f>
        <v>40.466666665161029</v>
      </c>
      <c r="O119" s="7"/>
      <c r="P119" s="7"/>
      <c r="Q119" s="25"/>
      <c r="R119" s="25"/>
      <c r="S119" s="37">
        <f>SUM(U119:U119)/IF(AG119="EC",12,1)</f>
        <v>1</v>
      </c>
      <c r="T119" s="52" t="str">
        <f>IF(ISEVEN(LEFT(AD119,4)),"Southbound","NorthBound")</f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hh:mm:ss")&amp;"-0600',mode:absolute,to:'"&amp;TEXT(I119+1/24,"yyyy-MM-DD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https://search-rtdc-monitor-bjffxe2xuh6vdkpspy63sjmuny.us-east-1.es.amazonaws.com/_plugin/kibana/#/discover/Steve-Slow-Train-Analysis-(2080s-and-2083s)?_g=(refreshInterval:(display:Off,section:0,value:0),time:(from:'2016-09-01 16:44:29-0600',mode:absolute,to:'2016-09-01 19:27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19" s="54" t="str">
        <f>IF(AA119&lt;IF(AG119="EC",23,5.65),"Y","N")</f>
        <v>N</v>
      </c>
      <c r="X119" s="120">
        <f>VALUE(LEFT(AD119,4))-VALUE(LEFT(AD118,4))</f>
        <v>1</v>
      </c>
      <c r="Y119" s="69">
        <f>RIGHT(D119,LEN(D119)-4)/10000</f>
        <v>4.7500000000000001E-2</v>
      </c>
      <c r="Z119" s="69">
        <f>RIGHT(H119,LEN(H119)-4)/10000</f>
        <v>23.331800000000001</v>
      </c>
      <c r="AA119" s="69">
        <f>ABS(Z119-Y119)</f>
        <v>23.284300000000002</v>
      </c>
      <c r="AB119" s="66" t="e">
        <f>VLOOKUP(A119,Enforcements!$C$7:$J$21,8,0)</f>
        <v>#N/A</v>
      </c>
      <c r="AC119" s="62" t="e">
        <f>VLOOKUP(A119,Enforcements!$C$7:$E$21,3,0)</f>
        <v>#N/A</v>
      </c>
      <c r="AD119" s="63" t="str">
        <f>IF(LEN(A119)=6,"0"&amp;A119,A119)</f>
        <v>0213-01</v>
      </c>
      <c r="AE119" s="99" t="str">
        <f>"aws s3 cp "&amp;s3_bucket&amp;"/RTDC"&amp;B119&amp;"/"&amp;TEXT(F119,"YYYY-MM-DD")&amp;"/ "&amp;search_path&amp;"\RTDC"&amp;B119&amp;"\"&amp;TEXT(F119,"YYYY-MM-DD")&amp;" --recursive &amp; """&amp;walkandungz&amp;""" "&amp;search_path&amp;"\RTDC"&amp;B119&amp;"\"&amp;TEXT(F119,"YYYY-MM-DD")
&amp;" &amp; "&amp;"aws s3 cp "&amp;s3_bucket&amp;"/RTDC"&amp;B119&amp;"/"&amp;TEXT(F119+1,"YYYY-MM-DD")&amp;"/ "&amp;search_path&amp;"\RTDC"&amp;B119&amp;"\"&amp;TEXT(F119+1,"YYYY-MM-DD")&amp;" --recursive &amp; """&amp;walkandungz&amp;""" "&amp;search_path&amp;"\RTDC"&amp;B119&amp;"\"&amp;TEXT(F119+1,"YYYY-MM-DD")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19" s="96" t="str">
        <f>astrogrep_path&amp;" /spath="&amp;search_path&amp;" /stypes=""*"&amp;B119&amp;"*"&amp;TEXT(I119-utc_offset/24,"YYYYMMDD")&amp;"*"" /stext="" "&amp;TEXT(I119-utc_offset/24,"HH")&amp;search_regexp&amp;""" /e /r /s"</f>
        <v>"C:\Program Files (x86)\AstroGrep\AstroGrep.exe" /spath="%USERPROFILE%\AppData\Local\Temp\OnboardLogs" /stypes="*4042*20160902*" /stext=" 00:.+((SYSTEM_STATE.+slice.+state.+changed )|(ment ac)|(system.+state.+changed )|(\|lc)|(penalty)|(\[timeout)|(PRM\|1\|D)|(kpr)|(kdp))" /e /r /s</v>
      </c>
      <c r="AG119" s="1" t="str">
        <f>IFERROR(IF(VALUE(LEFT(AD119,2))&lt;=2,"EC",IF(OR(VALUE(LEFT(AD119,2))=8,VALUE(LEFT(AD119,2))=18),"NW","Other")),"Other")</f>
        <v>EC</v>
      </c>
      <c r="AH119" s="100" t="str">
        <f t="shared" si="12"/>
        <v>"%USERPROFILE%\Documents\GitHub\eaglep3\Utilities\RefineRTDCRunTimes.py" --tripid 213-01 --locoid 4042 --swversion DE.1.0.7.0 --startMP 204:475 --initTime 2016-09-01T17:44:29 --startdatetime 2016-09-01T17:47:06 --delay 2 --endMP 204:233318 --enddatetime 2016-09-01T18:27:34 --enforcementcount 0 &gt;&gt;C:\Users\stu\Documents\GitHub\eaglep3-reporting\EC\2016-09-01-refined-times.txt</v>
      </c>
      <c r="AI119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{"issue":{"subject":"","project_id":79,"tracker_id":40,"status_id":1,"priority_id":2,"assigned_to_id":23,"start_date":"2016-09-01","description":"","custom_fields":[{"id":1,"name":"Subdivision","value":"EC"},{"id":4,"name":"Milepost","value":"23.2843"},{"id":17,"name":"Train ID","value":"213-01"},{"id":16,"name":"Locomotive ID","value":"4042"},{"id":130,"name":"Impact","value":""},{"id":150,"name":"Time of Event (Mountain Time)","value":"18:27:34"},{"id":151,"name":"Denver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522</v>
      </c>
      <c r="B120" s="7">
        <v>4041</v>
      </c>
      <c r="C120" s="24" t="s">
        <v>113</v>
      </c>
      <c r="D120" s="24" t="s">
        <v>134</v>
      </c>
      <c r="E120" s="15">
        <v>42614.776377314818</v>
      </c>
      <c r="F120" s="15">
        <v>42614.779409722221</v>
      </c>
      <c r="G120" s="7">
        <v>1</v>
      </c>
      <c r="H120" s="15" t="s">
        <v>523</v>
      </c>
      <c r="I120" s="15">
        <v>42614.806805555556</v>
      </c>
      <c r="J120" s="7">
        <v>0</v>
      </c>
      <c r="K120" s="132" t="str">
        <f>IF(ISEVEN(B120),(B120-1)&amp;"/"&amp;B120,B120&amp;"/"&amp;(B120+1))</f>
        <v>4041/4042</v>
      </c>
      <c r="L120" s="24" t="str">
        <f>VLOOKUP(A120,'Trips&amp;Operators'!$C$1:$E$10000,3,FALSE)</f>
        <v>COOLAHAN</v>
      </c>
      <c r="M120" s="6">
        <f>I120-F120</f>
        <v>2.7395833334594499E-2</v>
      </c>
      <c r="N120" s="7">
        <f>24*60*SUM($M120:$M120)</f>
        <v>39.450000001816079</v>
      </c>
      <c r="O120" s="7"/>
      <c r="P120" s="7"/>
      <c r="Q120" s="25"/>
      <c r="R120" s="25"/>
      <c r="S120" s="37">
        <f>SUM(U120:U120)/IF(AG120="EC",12,1)</f>
        <v>1</v>
      </c>
      <c r="T120" s="52" t="str">
        <f>IF(ISEVEN(LEFT(AD120,4)),"Southbound","NorthBound")</f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hh:mm:ss")&amp;"-0600',mode:absolute,to:'"&amp;TEXT(I120+1/24,"yyyy-MM-DD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https://search-rtdc-monitor-bjffxe2xuh6vdkpspy63sjmuny.us-east-1.es.amazonaws.com/_plugin/kibana/#/discover/Steve-Slow-Train-Analysis-(2080s-and-2083s)?_g=(refreshInterval:(display:Off,section:0,value:0),time:(from:'2016-09-01 17:37:59-0600',mode:absolute,to:'2016-09-01 20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20" s="54" t="str">
        <f>IF(AA120&lt;IF(AG120="EC",23,5.65),"Y","N")</f>
        <v>N</v>
      </c>
      <c r="X120" s="120">
        <f>VALUE(LEFT(AD120,4))-VALUE(LEFT(AD119,4))</f>
        <v>1</v>
      </c>
      <c r="Y120" s="69">
        <f>RIGHT(D120,LEN(D120)-4)/10000</f>
        <v>23.299399999999999</v>
      </c>
      <c r="Z120" s="69">
        <f>RIGHT(H120,LEN(H120)-4)/10000</f>
        <v>2.12E-2</v>
      </c>
      <c r="AA120" s="69">
        <f>ABS(Z120-Y120)</f>
        <v>23.278199999999998</v>
      </c>
      <c r="AB120" s="66" t="e">
        <f>VLOOKUP(A120,Enforcements!$C$7:$J$21,8,0)</f>
        <v>#N/A</v>
      </c>
      <c r="AC120" s="62" t="e">
        <f>VLOOKUP(A120,Enforcements!$C$7:$E$21,3,0)</f>
        <v>#N/A</v>
      </c>
      <c r="AD120" s="63" t="str">
        <f>IF(LEN(A120)=6,"0"&amp;A120,A120)</f>
        <v>0214-01</v>
      </c>
      <c r="AE120" s="99" t="str">
        <f>"aws s3 cp "&amp;s3_bucket&amp;"/RTDC"&amp;B120&amp;"/"&amp;TEXT(F120,"YYYY-MM-DD")&amp;"/ "&amp;search_path&amp;"\RTDC"&amp;B120&amp;"\"&amp;TEXT(F120,"YYYY-MM-DD")&amp;" --recursive &amp; """&amp;walkandungz&amp;""" "&amp;search_path&amp;"\RTDC"&amp;B120&amp;"\"&amp;TEXT(F120,"YYYY-MM-DD")
&amp;" &amp; "&amp;"aws s3 cp "&amp;s3_bucket&amp;"/RTDC"&amp;B120&amp;"/"&amp;TEXT(F120+1,"YYYY-MM-DD")&amp;"/ "&amp;search_path&amp;"\RTDC"&amp;B120&amp;"\"&amp;TEXT(F120+1,"YYYY-MM-DD")&amp;" --recursive &amp; """&amp;walkandungz&amp;""" "&amp;search_path&amp;"\RTDC"&amp;B120&amp;"\"&amp;TEXT(F120+1,"YYYY-MM-DD")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120" s="96" t="str">
        <f>astrogrep_path&amp;" /spath="&amp;search_path&amp;" /stypes=""*"&amp;B120&amp;"*"&amp;TEXT(I120-utc_offset/24,"YYYYMMDD")&amp;"*"" /stext="" "&amp;TEXT(I120-utc_offset/24,"HH")&amp;search_regexp&amp;""" /e /r /s"</f>
        <v>"C:\Program Files (x86)\AstroGrep\AstroGrep.exe" /spath="%USERPROFILE%\AppData\Local\Temp\OnboardLogs" /stypes="*4041*20160902*" /stext=" 01:.+((SYSTEM_STATE.+slice.+state.+changed )|(ment ac)|(system.+state.+changed )|(\|lc)|(penalty)|(\[timeout)|(PRM\|1\|D)|(kpr)|(kdp))" /e /r /s</v>
      </c>
      <c r="AG120" s="1" t="str">
        <f>IFERROR(IF(VALUE(LEFT(AD120,2))&lt;=2,"EC",IF(OR(VALUE(LEFT(AD120,2))=8,VALUE(LEFT(AD120,2))=18),"NW","Other")),"Other")</f>
        <v>EC</v>
      </c>
      <c r="AH120" s="100" t="str">
        <f t="shared" si="12"/>
        <v>"%USERPROFILE%\Documents\GitHub\eaglep3\Utilities\RefineRTDCRunTimes.py" --tripid 214-01 --locoid 4041 --swversion DE.1.0.7.0 --startMP 204:232994 --initTime 2016-09-01T18:37:59 --startdatetime 2016-09-01T18:42:21 --delay 1 --endMP 204:212 --enddatetime 2016-09-01T19:21:48 --enforcementcount 0 &gt;&gt;C:\Users\stu\Documents\GitHub\eaglep3-reporting\EC\2016-09-01-refined-times.txt</v>
      </c>
      <c r="AI120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{"issue":{"subject":"","project_id":79,"tracker_id":40,"status_id":1,"priority_id":2,"assigned_to_id":23,"start_date":"2016-09-01","description":"","custom_fields":[{"id":1,"name":"Subdivision","value":"EC"},{"id":4,"name":"Milepost","value":"23.2782"},{"id":17,"name":"Train ID","value":"214-01"},{"id":16,"name":"Locomotive ID","value":"4041"},{"id":130,"name":"Impact","value":""},{"id":150,"name":"Time of Event (Mountain Time)","value":"19:21:48"},{"id":151,"name":"Denver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524</v>
      </c>
      <c r="B121" s="7">
        <v>4044</v>
      </c>
      <c r="C121" s="24" t="s">
        <v>113</v>
      </c>
      <c r="D121" s="24" t="s">
        <v>525</v>
      </c>
      <c r="E121" s="15">
        <v>42614.752106481479</v>
      </c>
      <c r="F121" s="15">
        <v>42614.753888888888</v>
      </c>
      <c r="G121" s="7">
        <v>1</v>
      </c>
      <c r="H121" s="15" t="s">
        <v>178</v>
      </c>
      <c r="I121" s="15">
        <v>42614.77957175926</v>
      </c>
      <c r="J121" s="7">
        <v>0</v>
      </c>
      <c r="K121" s="132" t="str">
        <f>IF(ISEVEN(B121),(B121-1)&amp;"/"&amp;B121,B121&amp;"/"&amp;(B121+1))</f>
        <v>4043/4044</v>
      </c>
      <c r="L121" s="24" t="str">
        <f>VLOOKUP(A121,'Trips&amp;Operators'!$C$1:$E$10000,3,FALSE)</f>
        <v>HOMIK</v>
      </c>
      <c r="M121" s="6">
        <f>I121-F121</f>
        <v>2.5682870371383615E-2</v>
      </c>
      <c r="N121" s="7">
        <f>24*60*SUM($M121:$M121)</f>
        <v>36.983333334792405</v>
      </c>
      <c r="O121" s="7"/>
      <c r="P121" s="7"/>
      <c r="Q121" s="25"/>
      <c r="R121" s="25"/>
      <c r="S121" s="37">
        <f>SUM(U121:U121)/IF(AG121="EC",12,1)</f>
        <v>1</v>
      </c>
      <c r="T121" s="52" t="str">
        <f>IF(ISEVEN(LEFT(AD121,4)),"Southbound","NorthBound")</f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hh:mm:ss")&amp;"-0600',mode:absolute,to:'"&amp;TEXT(I121+1/24,"yyyy-MM-DD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https://search-rtdc-monitor-bjffxe2xuh6vdkpspy63sjmuny.us-east-1.es.amazonaws.com/_plugin/kibana/#/discover/Steve-Slow-Train-Analysis-(2080s-and-2083s)?_g=(refreshInterval:(display:Off,section:0,value:0),time:(from:'2016-09-01 17:03:02-0600',mode:absolute,to:'2016-09-01 19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21" s="54" t="str">
        <f>IF(AA121&lt;IF(AG121="EC",23,5.65),"Y","N")</f>
        <v>N</v>
      </c>
      <c r="X121" s="120">
        <f>VALUE(LEFT(AD121,4))-VALUE(LEFT(AD120,4))</f>
        <v>1</v>
      </c>
      <c r="Y121" s="69">
        <f>RIGHT(D121,LEN(D121)-4)/10000</f>
        <v>5.04E-2</v>
      </c>
      <c r="Z121" s="69">
        <f>RIGHT(H121,LEN(H121)-4)/10000</f>
        <v>23.3293</v>
      </c>
      <c r="AA121" s="69">
        <f>ABS(Z121-Y121)</f>
        <v>23.2789</v>
      </c>
      <c r="AB121" s="66" t="e">
        <f>VLOOKUP(A121,Enforcements!$C$7:$J$21,8,0)</f>
        <v>#N/A</v>
      </c>
      <c r="AC121" s="62" t="e">
        <f>VLOOKUP(A121,Enforcements!$C$7:$E$21,3,0)</f>
        <v>#N/A</v>
      </c>
      <c r="AD121" s="63" t="str">
        <f>IF(LEN(A121)=6,"0"&amp;A121,A121)</f>
        <v>0215-01</v>
      </c>
      <c r="AE121" s="99" t="str">
        <f>"aws s3 cp "&amp;s3_bucket&amp;"/RTDC"&amp;B121&amp;"/"&amp;TEXT(F121,"YYYY-MM-DD")&amp;"/ "&amp;search_path&amp;"\RTDC"&amp;B121&amp;"\"&amp;TEXT(F121,"YYYY-MM-DD")&amp;" --recursive &amp; """&amp;walkandungz&amp;""" "&amp;search_path&amp;"\RTDC"&amp;B121&amp;"\"&amp;TEXT(F121,"YYYY-MM-DD")
&amp;" &amp; "&amp;"aws s3 cp "&amp;s3_bucket&amp;"/RTDC"&amp;B121&amp;"/"&amp;TEXT(F121+1,"YYYY-MM-DD")&amp;"/ "&amp;search_path&amp;"\RTDC"&amp;B121&amp;"\"&amp;TEXT(F121+1,"YYYY-MM-DD")&amp;" --recursive &amp; """&amp;walkandungz&amp;""" "&amp;search_path&amp;"\RTDC"&amp;B121&amp;"\"&amp;TEXT(F121+1,"YYYY-MM-DD")</f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121" s="96" t="str">
        <f>astrogrep_path&amp;" /spath="&amp;search_path&amp;" /stypes=""*"&amp;B121&amp;"*"&amp;TEXT(I121-utc_offset/24,"YYYYMMDD")&amp;"*"" /stext="" "&amp;TEXT(I121-utc_offset/24,"HH")&amp;search_regexp&amp;""" /e /r /s"</f>
        <v>"C:\Program Files (x86)\AstroGrep\AstroGrep.exe" /spath="%USERPROFILE%\AppData\Local\Temp\OnboardLogs" /stypes="*4044*20160902*" /stext=" 00:.+((SYSTEM_STATE.+slice.+state.+changed )|(ment ac)|(system.+state.+changed )|(\|lc)|(penalty)|(\[timeout)|(PRM\|1\|D)|(kpr)|(kdp))" /e /r /s</v>
      </c>
      <c r="AG121" s="1" t="str">
        <f>IFERROR(IF(VALUE(LEFT(AD121,2))&lt;=2,"EC",IF(OR(VALUE(LEFT(AD121,2))=8,VALUE(LEFT(AD121,2))=18),"NW","Other")),"Other")</f>
        <v>EC</v>
      </c>
      <c r="AH121" s="100" t="str">
        <f t="shared" si="12"/>
        <v>"%USERPROFILE%\Documents\GitHub\eaglep3\Utilities\RefineRTDCRunTimes.py" --tripid 215-01 --locoid 4044 --swversion DE.1.0.7.0 --startMP 204:504 --initTime 2016-09-01T18:03:02 --startdatetime 2016-09-01T18:05:36 --delay 1 --endMP 204:233293 --enddatetime 2016-09-01T18:42:35 --enforcementcount 0 &gt;&gt;C:\Users\stu\Documents\GitHub\eaglep3-reporting\EC\2016-09-01-refined-times.txt</v>
      </c>
      <c r="AI121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{"issue":{"subject":"","project_id":79,"tracker_id":40,"status_id":1,"priority_id":2,"assigned_to_id":23,"start_date":"2016-09-01","description":"","custom_fields":[{"id":1,"name":"Subdivision","value":"EC"},{"id":4,"name":"Milepost","value":"23.2789"},{"id":17,"name":"Train ID","value":"215-01"},{"id":16,"name":"Locomotive ID","value":"4044"},{"id":130,"name":"Impact","value":""},{"id":150,"name":"Time of Event (Mountain Time)","value":"18:42:35"},{"id":151,"name":"Denver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x14ac:dyDescent="0.25">
      <c r="A122" s="39" t="s">
        <v>526</v>
      </c>
      <c r="B122" s="7">
        <v>4043</v>
      </c>
      <c r="C122" s="24" t="s">
        <v>113</v>
      </c>
      <c r="D122" s="24" t="s">
        <v>527</v>
      </c>
      <c r="E122" s="15">
        <v>42614.781805555554</v>
      </c>
      <c r="F122" s="15">
        <v>42614.789247685185</v>
      </c>
      <c r="G122" s="7">
        <v>1</v>
      </c>
      <c r="H122" s="15" t="s">
        <v>528</v>
      </c>
      <c r="I122" s="15">
        <v>42614.818935185183</v>
      </c>
      <c r="J122" s="7">
        <v>0</v>
      </c>
      <c r="K122" s="132" t="str">
        <f>IF(ISEVEN(B122),(B122-1)&amp;"/"&amp;B122,B122&amp;"/"&amp;(B122+1))</f>
        <v>4043/4044</v>
      </c>
      <c r="L122" s="24" t="str">
        <f>VLOOKUP(A122,'Trips&amp;Operators'!$C$1:$E$10000,3,FALSE)</f>
        <v>HOMIK</v>
      </c>
      <c r="M122" s="6">
        <f>I122-F122</f>
        <v>2.9687499998544808E-2</v>
      </c>
      <c r="N122" s="7">
        <f>24*60*SUM($M122:$M122)</f>
        <v>42.749999997904524</v>
      </c>
      <c r="O122" s="7"/>
      <c r="P122" s="7"/>
      <c r="Q122" s="25"/>
      <c r="R122" s="25"/>
      <c r="S122" s="37">
        <f>SUM(U122:U122)/IF(AG122="EC",12,1)</f>
        <v>1</v>
      </c>
      <c r="T122" s="52" t="str">
        <f>IF(ISEVEN(LEFT(AD122,4)),"Southbound","NorthBound")</f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hh:mm:ss")&amp;"-0600',mode:absolute,to:'"&amp;TEXT(I122+1/24,"yyyy-MM-DD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https://search-rtdc-monitor-bjffxe2xuh6vdkpspy63sjmuny.us-east-1.es.amazonaws.com/_plugin/kibana/#/discover/Steve-Slow-Train-Analysis-(2080s-and-2083s)?_g=(refreshInterval:(display:Off,section:0,value:0),time:(from:'2016-09-01 17:45:48-0600',mode:absolute,to:'2016-09-01 20:39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22" s="54" t="str">
        <f>IF(AA122&lt;IF(AG122="EC",23,5.65),"Y","N")</f>
        <v>N</v>
      </c>
      <c r="X122" s="120">
        <f>VALUE(LEFT(AD122,4))-VALUE(LEFT(AD121,4))</f>
        <v>1</v>
      </c>
      <c r="Y122" s="69">
        <f>RIGHT(D122,LEN(D122)-4)/10000</f>
        <v>23.296600000000002</v>
      </c>
      <c r="Z122" s="69">
        <f>RIGHT(H122,LEN(H122)-4)/10000</f>
        <v>2.2499999999999999E-2</v>
      </c>
      <c r="AA122" s="69">
        <f>ABS(Z122-Y122)</f>
        <v>23.274100000000001</v>
      </c>
      <c r="AB122" s="66" t="e">
        <f>VLOOKUP(A122,Enforcements!$C$7:$J$21,8,0)</f>
        <v>#N/A</v>
      </c>
      <c r="AC122" s="62" t="e">
        <f>VLOOKUP(A122,Enforcements!$C$7:$E$21,3,0)</f>
        <v>#N/A</v>
      </c>
      <c r="AD122" s="63" t="str">
        <f>IF(LEN(A122)=6,"0"&amp;A122,A122)</f>
        <v>0216-01</v>
      </c>
      <c r="AE122" s="99" t="str">
        <f>"aws s3 cp "&amp;s3_bucket&amp;"/RTDC"&amp;B122&amp;"/"&amp;TEXT(F122,"YYYY-MM-DD")&amp;"/ "&amp;search_path&amp;"\RTDC"&amp;B122&amp;"\"&amp;TEXT(F122,"YYYY-MM-DD")&amp;" --recursive &amp; """&amp;walkandungz&amp;""" "&amp;search_path&amp;"\RTDC"&amp;B122&amp;"\"&amp;TEXT(F122,"YYYY-MM-DD")
&amp;" &amp; "&amp;"aws s3 cp "&amp;s3_bucket&amp;"/RTDC"&amp;B122&amp;"/"&amp;TEXT(F122+1,"YYYY-MM-DD")&amp;"/ "&amp;search_path&amp;"\RTDC"&amp;B122&amp;"\"&amp;TEXT(F122+1,"YYYY-MM-DD")&amp;" --recursive &amp; """&amp;walkandungz&amp;""" "&amp;search_path&amp;"\RTDC"&amp;B122&amp;"\"&amp;TEXT(F122+1,"YYYY-MM-DD")</f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122" s="96" t="str">
        <f>astrogrep_path&amp;" /spath="&amp;search_path&amp;" /stypes=""*"&amp;B122&amp;"*"&amp;TEXT(I122-utc_offset/24,"YYYYMMDD")&amp;"*"" /stext="" "&amp;TEXT(I122-utc_offset/24,"HH")&amp;search_regexp&amp;""" /e /r /s"</f>
        <v>"C:\Program Files (x86)\AstroGrep\AstroGrep.exe" /spath="%USERPROFILE%\AppData\Local\Temp\OnboardLogs" /stypes="*4043*20160902*" /stext=" 01:.+((SYSTEM_STATE.+slice.+state.+changed )|(ment ac)|(system.+state.+changed )|(\|lc)|(penalty)|(\[timeout)|(PRM\|1\|D)|(kpr)|(kdp))" /e /r /s</v>
      </c>
      <c r="AG122" s="1" t="str">
        <f>IFERROR(IF(VALUE(LEFT(AD122,2))&lt;=2,"EC",IF(OR(VALUE(LEFT(AD122,2))=8,VALUE(LEFT(AD122,2))=18),"NW","Other")),"Other")</f>
        <v>EC</v>
      </c>
      <c r="AH122" s="100" t="str">
        <f t="shared" si="12"/>
        <v>"%USERPROFILE%\Documents\GitHub\eaglep3\Utilities\RefineRTDCRunTimes.py" --tripid 216-01 --locoid 4043 --swversion DE.1.0.7.0 --startMP 204:232966 --initTime 2016-09-01T18:45:48 --startdatetime 2016-09-01T18:56:31 --delay 1 --endMP 204:225 --enddatetime 2016-09-01T19:39:16 --enforcementcount 0 &gt;&gt;C:\Users\stu\Documents\GitHub\eaglep3-reporting\EC\2016-09-01-refined-times.txt</v>
      </c>
      <c r="AI122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{"issue":{"subject":"","project_id":79,"tracker_id":40,"status_id":1,"priority_id":2,"assigned_to_id":23,"start_date":"2016-09-01","description":"","custom_fields":[{"id":1,"name":"Subdivision","value":"EC"},{"id":4,"name":"Milepost","value":"23.2741"},{"id":17,"name":"Train ID","value":"216-01"},{"id":16,"name":"Locomotive ID","value":"4043"},{"id":130,"name":"Impact","value":""},{"id":150,"name":"Time of Event (Mountain Time)","value":"19:39:16"},{"id":151,"name":"Denver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529</v>
      </c>
      <c r="B123" s="7">
        <v>4011</v>
      </c>
      <c r="C123" s="24" t="s">
        <v>113</v>
      </c>
      <c r="D123" s="24" t="s">
        <v>530</v>
      </c>
      <c r="E123" s="15">
        <v>42614.763321759259</v>
      </c>
      <c r="F123" s="15">
        <v>42614.764189814814</v>
      </c>
      <c r="G123" s="7">
        <v>0</v>
      </c>
      <c r="H123" s="15" t="s">
        <v>531</v>
      </c>
      <c r="I123" s="15">
        <v>42614.787766203706</v>
      </c>
      <c r="J123" s="7">
        <v>0</v>
      </c>
      <c r="K123" s="132" t="str">
        <f>IF(ISEVEN(B123),(B123-1)&amp;"/"&amp;B123,B123&amp;"/"&amp;(B123+1))</f>
        <v>4011/4012</v>
      </c>
      <c r="L123" s="24" t="str">
        <f>VLOOKUP(A123,'Trips&amp;Operators'!$C$1:$E$10000,3,FALSE)</f>
        <v>STAMBAUGH</v>
      </c>
      <c r="M123" s="6">
        <f>I123-F123</f>
        <v>2.3576388892251998E-2</v>
      </c>
      <c r="N123" s="7">
        <f>24*60*SUM($M123:$M123)</f>
        <v>33.950000004842877</v>
      </c>
      <c r="O123" s="7"/>
      <c r="P123" s="7"/>
      <c r="Q123" s="25"/>
      <c r="R123" s="25"/>
      <c r="S123" s="37">
        <f>SUM(U123:U123)/IF(AG123="EC",12,1)</f>
        <v>1</v>
      </c>
      <c r="T123" s="52" t="str">
        <f>IF(ISEVEN(LEFT(AD123,4)),"Southbound","NorthBound")</f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hh:mm:ss")&amp;"-0600',mode:absolute,to:'"&amp;TEXT(I123+1/24,"yyyy-MM-DD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https://search-rtdc-monitor-bjffxe2xuh6vdkpspy63sjmuny.us-east-1.es.amazonaws.com/_plugin/kibana/#/discover/Steve-Slow-Train-Analysis-(2080s-and-2083s)?_g=(refreshInterval:(display:Off,section:0,value:0),time:(from:'2016-09-01 17:19:11-0600',mode:absolute,to:'2016-09-01 19:54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23" s="54" t="str">
        <f>IF(AA123&lt;IF(AG123="EC",23,5.65),"Y","N")</f>
        <v>N</v>
      </c>
      <c r="X123" s="120">
        <f>VALUE(LEFT(AD123,4))-VALUE(LEFT(AD122,4))</f>
        <v>1</v>
      </c>
      <c r="Y123" s="69">
        <f>RIGHT(D123,LEN(D123)-4)/10000</f>
        <v>4.0599999999999997E-2</v>
      </c>
      <c r="Z123" s="69">
        <f>RIGHT(H123,LEN(H123)-4)/10000</f>
        <v>23.334299999999999</v>
      </c>
      <c r="AA123" s="69">
        <f>ABS(Z123-Y123)</f>
        <v>23.293699999999998</v>
      </c>
      <c r="AB123" s="66" t="e">
        <f>VLOOKUP(A123,Enforcements!$C$7:$J$21,8,0)</f>
        <v>#N/A</v>
      </c>
      <c r="AC123" s="62" t="e">
        <f>VLOOKUP(A123,Enforcements!$C$7:$E$21,3,0)</f>
        <v>#N/A</v>
      </c>
      <c r="AD123" s="63" t="str">
        <f>IF(LEN(A123)=6,"0"&amp;A123,A123)</f>
        <v>0217-01</v>
      </c>
      <c r="AE123" s="99" t="str">
        <f>"aws s3 cp "&amp;s3_bucket&amp;"/RTDC"&amp;B123&amp;"/"&amp;TEXT(F123,"YYYY-MM-DD")&amp;"/ "&amp;search_path&amp;"\RTDC"&amp;B123&amp;"\"&amp;TEXT(F123,"YYYY-MM-DD")&amp;" --recursive &amp; """&amp;walkandungz&amp;""" "&amp;search_path&amp;"\RTDC"&amp;B123&amp;"\"&amp;TEXT(F123,"YYYY-MM-DD")
&amp;" &amp; "&amp;"aws s3 cp "&amp;s3_bucket&amp;"/RTDC"&amp;B123&amp;"/"&amp;TEXT(F123+1,"YYYY-MM-DD")&amp;"/ "&amp;search_path&amp;"\RTDC"&amp;B123&amp;"\"&amp;TEXT(F123+1,"YYYY-MM-DD")&amp;" --recursive &amp; """&amp;walkandungz&amp;""" "&amp;search_path&amp;"\RTDC"&amp;B123&amp;"\"&amp;TEXT(F123+1,"YYYY-MM-DD")</f>
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</c>
      <c r="AF123" s="96" t="str">
        <f>astrogrep_path&amp;" /spath="&amp;search_path&amp;" /stypes=""*"&amp;B123&amp;"*"&amp;TEXT(I123-utc_offset/24,"YYYYMMDD")&amp;"*"" /stext="" "&amp;TEXT(I123-utc_offset/24,"HH")&amp;search_regexp&amp;""" /e /r /s"</f>
        <v>"C:\Program Files (x86)\AstroGrep\AstroGrep.exe" /spath="%USERPROFILE%\AppData\Local\Temp\OnboardLogs" /stypes="*4011*20160902*" /stext=" 00:.+((SYSTEM_STATE.+slice.+state.+changed )|(ment ac)|(system.+state.+changed )|(\|lc)|(penalty)|(\[timeout)|(PRM\|1\|D)|(kpr)|(kdp))" /e /r /s</v>
      </c>
      <c r="AG123" s="1" t="str">
        <f>IFERROR(IF(VALUE(LEFT(AD123,2))&lt;=2,"EC",IF(OR(VALUE(LEFT(AD123,2))=8,VALUE(LEFT(AD123,2))=18),"NW","Other")),"Other")</f>
        <v>EC</v>
      </c>
      <c r="AH123" s="100" t="str">
        <f t="shared" si="12"/>
        <v>"%USERPROFILE%\Documents\GitHub\eaglep3\Utilities\RefineRTDCRunTimes.py" --tripid 217-01 --locoid 4011 --swversion DE.1.0.7.0 --startMP 204:406 --initTime 2016-09-01T18:19:11 --startdatetime 2016-09-01T18:20:26 --delay 0 --endMP 204:233343 --enddatetime 2016-09-01T18:54:23 --enforcementcount 0 &gt;&gt;C:\Users\stu\Documents\GitHub\eaglep3-reporting\EC\2016-09-01-refined-times.txt</v>
      </c>
      <c r="AI123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{"issue":{"subject":"","project_id":79,"tracker_id":40,"status_id":1,"priority_id":2,"assigned_to_id":23,"start_date":"2016-09-01","description":"","custom_fields":[{"id":1,"name":"Subdivision","value":"EC"},{"id":4,"name":"Milepost","value":"23.2937"},{"id":17,"name":"Train ID","value":"217-01"},{"id":16,"name":"Locomotive ID","value":"4011"},{"id":130,"name":"Impact","value":""},{"id":150,"name":"Time of Event (Mountain Time)","value":"18:54:23"},{"id":151,"name":"Denver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532</v>
      </c>
      <c r="B124" s="7">
        <v>4012</v>
      </c>
      <c r="C124" s="24" t="s">
        <v>113</v>
      </c>
      <c r="D124" s="24" t="s">
        <v>533</v>
      </c>
      <c r="E124" s="15">
        <v>42614.803090277775</v>
      </c>
      <c r="F124" s="15">
        <v>42614.805567129632</v>
      </c>
      <c r="G124" s="7">
        <v>2</v>
      </c>
      <c r="H124" s="15" t="s">
        <v>534</v>
      </c>
      <c r="I124" s="15">
        <v>42614.830370370371</v>
      </c>
      <c r="J124" s="7">
        <v>0</v>
      </c>
      <c r="K124" s="132" t="str">
        <f>IF(ISEVEN(B124),(B124-1)&amp;"/"&amp;B124,B124&amp;"/"&amp;(B124+1))</f>
        <v>4011/4012</v>
      </c>
      <c r="L124" s="24" t="str">
        <f>VLOOKUP(A124,'Trips&amp;Operators'!$C$1:$E$10000,3,FALSE)</f>
        <v>STAMBAUGH</v>
      </c>
      <c r="M124" s="6">
        <f>I124-F124</f>
        <v>2.4803240739856847E-2</v>
      </c>
      <c r="N124" s="7">
        <f>24*60*SUM($M124:$M124)</f>
        <v>35.716666665393859</v>
      </c>
      <c r="O124" s="7"/>
      <c r="P124" s="7"/>
      <c r="Q124" s="25"/>
      <c r="R124" s="25"/>
      <c r="S124" s="37">
        <f>SUM(U124:U124)/IF(AG124="EC",12,1)</f>
        <v>1</v>
      </c>
      <c r="T124" s="52" t="str">
        <f>IF(ISEVEN(LEFT(AD124,4)),"Southbound","NorthBound")</f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hh:mm:ss")&amp;"-0600',mode:absolute,to:'"&amp;TEXT(I124+1/24,"yyyy-MM-DD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https://search-rtdc-monitor-bjffxe2xuh6vdkpspy63sjmuny.us-east-1.es.amazonaws.com/_plugin/kibana/#/discover/Steve-Slow-Train-Analysis-(2080s-and-2083s)?_g=(refreshInterval:(display:Off,section:0,value:0),time:(from:'2016-09-01 18:16:27-0600',mode:absolute,to:'2016-09-01 20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24" s="54" t="str">
        <f>IF(AA124&lt;IF(AG124="EC",23,5.65),"Y","N")</f>
        <v>N</v>
      </c>
      <c r="X124" s="120">
        <f>VALUE(LEFT(AD124,4))-VALUE(LEFT(AD123,4))</f>
        <v>1</v>
      </c>
      <c r="Y124" s="69">
        <f>RIGHT(D124,LEN(D124)-4)/10000</f>
        <v>23.300899999999999</v>
      </c>
      <c r="Z124" s="69">
        <f>RIGHT(H124,LEN(H124)-4)/10000</f>
        <v>2.1999999999999999E-2</v>
      </c>
      <c r="AA124" s="69">
        <f>ABS(Z124-Y124)</f>
        <v>23.2789</v>
      </c>
      <c r="AB124" s="66" t="e">
        <f>VLOOKUP(A124,Enforcements!$C$7:$J$21,8,0)</f>
        <v>#N/A</v>
      </c>
      <c r="AC124" s="62" t="e">
        <f>VLOOKUP(A124,Enforcements!$C$7:$E$21,3,0)</f>
        <v>#N/A</v>
      </c>
      <c r="AD124" s="63" t="str">
        <f>IF(LEN(A124)=6,"0"&amp;A124,A124)</f>
        <v>0218-01</v>
      </c>
      <c r="AE124" s="99" t="str">
        <f>"aws s3 cp "&amp;s3_bucket&amp;"/RTDC"&amp;B124&amp;"/"&amp;TEXT(F124,"YYYY-MM-DD")&amp;"/ "&amp;search_path&amp;"\RTDC"&amp;B124&amp;"\"&amp;TEXT(F124,"YYYY-MM-DD")&amp;" --recursive &amp; """&amp;walkandungz&amp;""" "&amp;search_path&amp;"\RTDC"&amp;B124&amp;"\"&amp;TEXT(F124,"YYYY-MM-DD")
&amp;" &amp; "&amp;"aws s3 cp "&amp;s3_bucket&amp;"/RTDC"&amp;B124&amp;"/"&amp;TEXT(F124+1,"YYYY-MM-DD")&amp;"/ "&amp;search_path&amp;"\RTDC"&amp;B124&amp;"\"&amp;TEXT(F124+1,"YYYY-MM-DD")&amp;" --recursive &amp; """&amp;walkandungz&amp;""" "&amp;search_path&amp;"\RTDC"&amp;B124&amp;"\"&amp;TEXT(F124+1,"YYYY-MM-DD")</f>
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</c>
      <c r="AF124" s="96" t="str">
        <f>astrogrep_path&amp;" /spath="&amp;search_path&amp;" /stypes=""*"&amp;B124&amp;"*"&amp;TEXT(I124-utc_offset/24,"YYYYMMDD")&amp;"*"" /stext="" "&amp;TEXT(I124-utc_offset/24,"HH")&amp;search_regexp&amp;""" /e /r /s"</f>
        <v>"C:\Program Files (x86)\AstroGrep\AstroGrep.exe" /spath="%USERPROFILE%\AppData\Local\Temp\OnboardLogs" /stypes="*4012*20160902*" /stext=" 01:.+((SYSTEM_STATE.+slice.+state.+changed )|(ment ac)|(system.+state.+changed )|(\|lc)|(penalty)|(\[timeout)|(PRM\|1\|D)|(kpr)|(kdp))" /e /r /s</v>
      </c>
      <c r="AG124" s="1" t="str">
        <f>IFERROR(IF(VALUE(LEFT(AD124,2))&lt;=2,"EC",IF(OR(VALUE(LEFT(AD124,2))=8,VALUE(LEFT(AD124,2))=18),"NW","Other")),"Other")</f>
        <v>EC</v>
      </c>
      <c r="AH124" s="100" t="str">
        <f t="shared" si="12"/>
        <v>"%USERPROFILE%\Documents\GitHub\eaglep3\Utilities\RefineRTDCRunTimes.py" --tripid 218-01 --locoid 4012 --swversion DE.1.0.7.0 --startMP 204:233009 --initTime 2016-09-01T19:16:27 --startdatetime 2016-09-01T19:20:01 --delay 2 --endMP 204:220 --enddatetime 2016-09-01T19:55:44 --enforcementcount 0 &gt;&gt;C:\Users\stu\Documents\GitHub\eaglep3-reporting\EC\2016-09-01-refined-times.txt</v>
      </c>
      <c r="AI124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{"issue":{"subject":"","project_id":79,"tracker_id":40,"status_id":1,"priority_id":2,"assigned_to_id":23,"start_date":"2016-09-01","description":"","custom_fields":[{"id":1,"name":"Subdivision","value":"EC"},{"id":4,"name":"Milepost","value":"23.2789"},{"id":17,"name":"Train ID","value":"218-01"},{"id":16,"name":"Locomotive ID","value":"4012"},{"id":130,"name":"Impact","value":""},{"id":150,"name":"Time of Event (Mountain Time)","value":"19:55:44"},{"id":151,"name":"Denver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535</v>
      </c>
      <c r="B125" s="7">
        <v>4020</v>
      </c>
      <c r="C125" s="24" t="s">
        <v>113</v>
      </c>
      <c r="D125" s="24" t="s">
        <v>109</v>
      </c>
      <c r="E125" s="15">
        <v>42614.77207175926</v>
      </c>
      <c r="F125" s="15">
        <v>42614.773657407408</v>
      </c>
      <c r="G125" s="7">
        <v>1</v>
      </c>
      <c r="H125" s="15" t="s">
        <v>323</v>
      </c>
      <c r="I125" s="15">
        <v>42614.798761574071</v>
      </c>
      <c r="J125" s="7">
        <v>0</v>
      </c>
      <c r="K125" s="132" t="str">
        <f>IF(ISEVEN(B125),(B125-1)&amp;"/"&amp;B125,B125&amp;"/"&amp;(B125+1))</f>
        <v>4019/4020</v>
      </c>
      <c r="L125" s="24" t="str">
        <f>VLOOKUP(A125,'Trips&amp;Operators'!$C$1:$E$10000,3,FALSE)</f>
        <v>OUN</v>
      </c>
      <c r="M125" s="6">
        <f>I125-F125</f>
        <v>2.5104166663368233E-2</v>
      </c>
      <c r="N125" s="7">
        <f>24*60*SUM($M125:$M125)</f>
        <v>36.149999995250255</v>
      </c>
      <c r="O125" s="7"/>
      <c r="P125" s="7"/>
      <c r="Q125" s="25"/>
      <c r="R125" s="25"/>
      <c r="S125" s="37">
        <f>SUM(U125:U125)/IF(AG125="EC",12,1)</f>
        <v>1</v>
      </c>
      <c r="T125" s="52" t="str">
        <f>IF(ISEVEN(LEFT(AD125,4)),"Southbound","NorthBound")</f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hh:mm:ss")&amp;"-0600',mode:absolute,to:'"&amp;TEXT(I125+1/24,"yyyy-MM-DD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https://search-rtdc-monitor-bjffxe2xuh6vdkpspy63sjmuny.us-east-1.es.amazonaws.com/_plugin/kibana/#/discover/Steve-Slow-Train-Analysis-(2080s-and-2083s)?_g=(refreshInterval:(display:Off,section:0,value:0),time:(from:'2016-09-01 17:31:47-0600',mode:absolute,to:'2016-09-01 20:10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25" s="54" t="str">
        <f>IF(AA125&lt;IF(AG125="EC",23,5.65),"Y","N")</f>
        <v>N</v>
      </c>
      <c r="X125" s="120">
        <f>VALUE(LEFT(AD125,4))-VALUE(LEFT(AD124,4))</f>
        <v>1</v>
      </c>
      <c r="Y125" s="69">
        <f>RIGHT(D125,LEN(D125)-4)/10000</f>
        <v>4.6199999999999998E-2</v>
      </c>
      <c r="Z125" s="69">
        <f>RIGHT(H125,LEN(H125)-4)/10000</f>
        <v>23.330400000000001</v>
      </c>
      <c r="AA125" s="69">
        <f>ABS(Z125-Y125)</f>
        <v>23.284200000000002</v>
      </c>
      <c r="AB125" s="66" t="e">
        <f>VLOOKUP(A125,Enforcements!$C$7:$J$21,8,0)</f>
        <v>#N/A</v>
      </c>
      <c r="AC125" s="62" t="e">
        <f>VLOOKUP(A125,Enforcements!$C$7:$E$21,3,0)</f>
        <v>#N/A</v>
      </c>
      <c r="AD125" s="63" t="str">
        <f>IF(LEN(A125)=6,"0"&amp;A125,A125)</f>
        <v>0219-01</v>
      </c>
      <c r="AE125" s="99" t="str">
        <f>"aws s3 cp "&amp;s3_bucket&amp;"/RTDC"&amp;B125&amp;"/"&amp;TEXT(F125,"YYYY-MM-DD")&amp;"/ "&amp;search_path&amp;"\RTDC"&amp;B125&amp;"\"&amp;TEXT(F125,"YYYY-MM-DD")&amp;" --recursive &amp; """&amp;walkandungz&amp;""" "&amp;search_path&amp;"\RTDC"&amp;B125&amp;"\"&amp;TEXT(F125,"YYYY-MM-DD")
&amp;" &amp; "&amp;"aws s3 cp "&amp;s3_bucket&amp;"/RTDC"&amp;B125&amp;"/"&amp;TEXT(F125+1,"YYYY-MM-DD")&amp;"/ "&amp;search_path&amp;"\RTDC"&amp;B125&amp;"\"&amp;TEXT(F125+1,"YYYY-MM-DD")&amp;" --recursive &amp; """&amp;walkandungz&amp;""" "&amp;search_path&amp;"\RTDC"&amp;B125&amp;"\"&amp;TEXT(F125+1,"YYYY-MM-DD")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125" s="96" t="str">
        <f>astrogrep_path&amp;" /spath="&amp;search_path&amp;" /stypes=""*"&amp;B125&amp;"*"&amp;TEXT(I125-utc_offset/24,"YYYYMMDD")&amp;"*"" /stext="" "&amp;TEXT(I125-utc_offset/24,"HH")&amp;search_regexp&amp;""" /e /r /s"</f>
        <v>"C:\Program Files (x86)\AstroGrep\AstroGrep.exe" /spath="%USERPROFILE%\AppData\Local\Temp\OnboardLogs" /stypes="*4020*20160902*" /stext=" 01:.+((SYSTEM_STATE.+slice.+state.+changed )|(ment ac)|(system.+state.+changed )|(\|lc)|(penalty)|(\[timeout)|(PRM\|1\|D)|(kpr)|(kdp))" /e /r /s</v>
      </c>
      <c r="AG125" s="1" t="str">
        <f>IFERROR(IF(VALUE(LEFT(AD125,2))&lt;=2,"EC",IF(OR(VALUE(LEFT(AD125,2))=8,VALUE(LEFT(AD125,2))=18),"NW","Other")),"Other")</f>
        <v>EC</v>
      </c>
      <c r="AH125" s="100" t="str">
        <f t="shared" si="12"/>
        <v>"%USERPROFILE%\Documents\GitHub\eaglep3\Utilities\RefineRTDCRunTimes.py" --tripid 219-01 --locoid 4020 --swversion DE.1.0.7.0 --startMP 204:462 --initTime 2016-09-01T18:31:47 --startdatetime 2016-09-01T18:34:04 --delay 1 --endMP 204:233304 --enddatetime 2016-09-01T19:10:13 --enforcementcount 0 &gt;&gt;C:\Users\stu\Documents\GitHub\eaglep3-reporting\EC\2016-09-01-refined-times.txt</v>
      </c>
      <c r="AI125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{"issue":{"subject":"","project_id":79,"tracker_id":40,"status_id":1,"priority_id":2,"assigned_to_id":23,"start_date":"2016-09-01","description":"","custom_fields":[{"id":1,"name":"Subdivision","value":"EC"},{"id":4,"name":"Milepost","value":"23.2842"},{"id":17,"name":"Train ID","value":"219-01"},{"id":16,"name":"Locomotive ID","value":"4020"},{"id":130,"name":"Impact","value":""},{"id":150,"name":"Time of Event (Mountain Time)","value":"19:10:13"},{"id":151,"name":"Denver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536</v>
      </c>
      <c r="B126" s="7">
        <v>4019</v>
      </c>
      <c r="C126" s="24" t="s">
        <v>113</v>
      </c>
      <c r="D126" s="24" t="s">
        <v>272</v>
      </c>
      <c r="E126" s="15">
        <v>42614.807673611111</v>
      </c>
      <c r="F126" s="15">
        <v>42614.81</v>
      </c>
      <c r="G126" s="7">
        <v>1</v>
      </c>
      <c r="H126" s="15" t="s">
        <v>89</v>
      </c>
      <c r="I126" s="15">
        <v>42614.838541666664</v>
      </c>
      <c r="J126" s="7">
        <v>0</v>
      </c>
      <c r="K126" s="132" t="str">
        <f>IF(ISEVEN(B126),(B126-1)&amp;"/"&amp;B126,B126&amp;"/"&amp;(B126+1))</f>
        <v>4019/4020</v>
      </c>
      <c r="L126" s="24" t="str">
        <f>VLOOKUP(A126,'Trips&amp;Operators'!$C$1:$E$10000,3,FALSE)</f>
        <v>OUN</v>
      </c>
      <c r="M126" s="6">
        <f>I126-F126</f>
        <v>2.8541666666569654E-2</v>
      </c>
      <c r="N126" s="7">
        <f>24*60*SUM($M126:$M126)</f>
        <v>41.099999999860302</v>
      </c>
      <c r="O126" s="7"/>
      <c r="P126" s="7"/>
      <c r="Q126" s="25"/>
      <c r="R126" s="25"/>
      <c r="S126" s="37">
        <f>SUM(U126:U126)/IF(AG126="EC",12,1)</f>
        <v>1</v>
      </c>
      <c r="T126" s="52" t="str">
        <f>IF(ISEVEN(LEFT(AD126,4)),"Southbound","NorthBound")</f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hh:mm:ss")&amp;"-0600',mode:absolute,to:'"&amp;TEXT(I126+1/24,"yyyy-MM-DD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https://search-rtdc-monitor-bjffxe2xuh6vdkpspy63sjmuny.us-east-1.es.amazonaws.com/_plugin/kibana/#/discover/Steve-Slow-Train-Analysis-(2080s-and-2083s)?_g=(refreshInterval:(display:Off,section:0,value:0),time:(from:'2016-09-01 18:23:03-0600',mode:absolute,to:'2016-09-01 21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26" s="54" t="str">
        <f>IF(AA126&lt;IF(AG126="EC",23,5.65),"Y","N")</f>
        <v>N</v>
      </c>
      <c r="X126" s="120">
        <f>VALUE(LEFT(AD126,4))-VALUE(LEFT(AD125,4))</f>
        <v>1</v>
      </c>
      <c r="Y126" s="69">
        <f>RIGHT(D126,LEN(D126)-4)/10000</f>
        <v>23.299600000000002</v>
      </c>
      <c r="Z126" s="69">
        <f>RIGHT(H126,LEN(H126)-4)/10000</f>
        <v>1.43E-2</v>
      </c>
      <c r="AA126" s="69">
        <f>ABS(Z126-Y126)</f>
        <v>23.285300000000003</v>
      </c>
      <c r="AB126" s="66" t="e">
        <f>VLOOKUP(A126,Enforcements!$C$7:$J$21,8,0)</f>
        <v>#N/A</v>
      </c>
      <c r="AC126" s="62" t="e">
        <f>VLOOKUP(A126,Enforcements!$C$7:$E$21,3,0)</f>
        <v>#N/A</v>
      </c>
      <c r="AD126" s="63" t="str">
        <f>IF(LEN(A126)=6,"0"&amp;A126,A126)</f>
        <v>0220-01</v>
      </c>
      <c r="AE126" s="99" t="str">
        <f>"aws s3 cp "&amp;s3_bucket&amp;"/RTDC"&amp;B126&amp;"/"&amp;TEXT(F126,"YYYY-MM-DD")&amp;"/ "&amp;search_path&amp;"\RTDC"&amp;B126&amp;"\"&amp;TEXT(F126,"YYYY-MM-DD")&amp;" --recursive &amp; """&amp;walkandungz&amp;""" "&amp;search_path&amp;"\RTDC"&amp;B126&amp;"\"&amp;TEXT(F126,"YYYY-MM-DD")
&amp;" &amp; "&amp;"aws s3 cp "&amp;s3_bucket&amp;"/RTDC"&amp;B126&amp;"/"&amp;TEXT(F126+1,"YYYY-MM-DD")&amp;"/ "&amp;search_path&amp;"\RTDC"&amp;B126&amp;"\"&amp;TEXT(F126+1,"YYYY-MM-DD")&amp;" --recursive &amp; """&amp;walkandungz&amp;""" "&amp;search_path&amp;"\RTDC"&amp;B126&amp;"\"&amp;TEXT(F126+1,"YYYY-MM-DD")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126" s="96" t="str">
        <f>astrogrep_path&amp;" /spath="&amp;search_path&amp;" /stypes=""*"&amp;B126&amp;"*"&amp;TEXT(I126-utc_offset/24,"YYYYMMDD")&amp;"*"" /stext="" "&amp;TEXT(I126-utc_offset/24,"HH")&amp;search_regexp&amp;""" /e /r /s"</f>
        <v>"C:\Program Files (x86)\AstroGrep\AstroGrep.exe" /spath="%USERPROFILE%\AppData\Local\Temp\OnboardLogs" /stypes="*4019*20160902*" /stext=" 02:.+((SYSTEM_STATE.+slice.+state.+changed )|(ment ac)|(system.+state.+changed )|(\|lc)|(penalty)|(\[timeout)|(PRM\|1\|D)|(kpr)|(kdp))" /e /r /s</v>
      </c>
      <c r="AG126" s="1" t="str">
        <f>IFERROR(IF(VALUE(LEFT(AD126,2))&lt;=2,"EC",IF(OR(VALUE(LEFT(AD126,2))=8,VALUE(LEFT(AD126,2))=18),"NW","Other")),"Other")</f>
        <v>EC</v>
      </c>
      <c r="AH126" s="100" t="str">
        <f t="shared" si="12"/>
        <v>"%USERPROFILE%\Documents\GitHub\eaglep3\Utilities\RefineRTDCRunTimes.py" --tripid 220-01 --locoid 4019 --swversion DE.1.0.7.0 --startMP 204:232996 --initTime 2016-09-01T19:23:03 --startdatetime 2016-09-01T19:26:24 --delay 1 --endMP 204:143 --enddatetime 2016-09-01T20:07:30 --enforcementcount 0 &gt;&gt;C:\Users\stu\Documents\GitHub\eaglep3-reporting\EC\2016-09-01-refined-times.txt</v>
      </c>
      <c r="AI126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{"issue":{"subject":"","project_id":79,"tracker_id":40,"status_id":1,"priority_id":2,"assigned_to_id":23,"start_date":"2016-09-01","description":"","custom_fields":[{"id":1,"name":"Subdivision","value":"EC"},{"id":4,"name":"Milepost","value":"23.2853"},{"id":17,"name":"Train ID","value":"220-01"},{"id":16,"name":"Locomotive ID","value":"4019"},{"id":130,"name":"Impact","value":""},{"id":150,"name":"Time of Event (Mountain Time)","value":"20:07:30"},{"id":151,"name":"Denver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537</v>
      </c>
      <c r="B127" s="7">
        <v>4018</v>
      </c>
      <c r="C127" s="24" t="s">
        <v>113</v>
      </c>
      <c r="D127" s="24" t="s">
        <v>180</v>
      </c>
      <c r="E127" s="15">
        <v>42614.791388888887</v>
      </c>
      <c r="F127" s="15">
        <v>42614.792916666665</v>
      </c>
      <c r="G127" s="7">
        <v>1</v>
      </c>
      <c r="H127" s="15" t="s">
        <v>178</v>
      </c>
      <c r="I127" s="15">
        <v>42614.819432870368</v>
      </c>
      <c r="J127" s="7">
        <v>0</v>
      </c>
      <c r="K127" s="132" t="str">
        <f>IF(ISEVEN(B127),(B127-1)&amp;"/"&amp;B127,B127&amp;"/"&amp;(B127+1))</f>
        <v>4017/4018</v>
      </c>
      <c r="L127" s="24" t="str">
        <f>VLOOKUP(A127,'Trips&amp;Operators'!$C$1:$E$10000,3,FALSE)</f>
        <v>HILLS</v>
      </c>
      <c r="M127" s="6">
        <f>I127-F127</f>
        <v>2.6516203703067731E-2</v>
      </c>
      <c r="N127" s="7">
        <f>24*60*SUM($M127:$M127)</f>
        <v>38.183333332417533</v>
      </c>
      <c r="O127" s="7"/>
      <c r="P127" s="7"/>
      <c r="Q127" s="25"/>
      <c r="R127" s="25"/>
      <c r="S127" s="37">
        <f>SUM(U127:U127)/IF(AG127="EC",12,1)</f>
        <v>1</v>
      </c>
      <c r="T127" s="52" t="str">
        <f>IF(ISEVEN(LEFT(AD127,4)),"Southbound","NorthBound")</f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hh:mm:ss")&amp;"-0600',mode:absolute,to:'"&amp;TEXT(I127+1/24,"yyyy-MM-DD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https://search-rtdc-monitor-bjffxe2xuh6vdkpspy63sjmuny.us-east-1.es.amazonaws.com/_plugin/kibana/#/discover/Steve-Slow-Train-Analysis-(2080s-and-2083s)?_g=(refreshInterval:(display:Off,section:0,value:0),time:(from:'2016-09-01 17:59:36-0600',mode:absolute,to:'2016-09-01 20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27" s="54" t="str">
        <f>IF(AA127&lt;IF(AG127="EC",23,5.65),"Y","N")</f>
        <v>N</v>
      </c>
      <c r="X127" s="120">
        <f>VALUE(LEFT(AD127,4))-VALUE(LEFT(AD126,4))</f>
        <v>1</v>
      </c>
      <c r="Y127" s="69">
        <f>RIGHT(D127,LEN(D127)-4)/10000</f>
        <v>4.5999999999999999E-2</v>
      </c>
      <c r="Z127" s="69">
        <f>RIGHT(H127,LEN(H127)-4)/10000</f>
        <v>23.3293</v>
      </c>
      <c r="AA127" s="69">
        <f>ABS(Z127-Y127)</f>
        <v>23.283300000000001</v>
      </c>
      <c r="AB127" s="66" t="e">
        <f>VLOOKUP(A127,Enforcements!$C$7:$J$21,8,0)</f>
        <v>#N/A</v>
      </c>
      <c r="AC127" s="62" t="e">
        <f>VLOOKUP(A127,Enforcements!$C$7:$E$21,3,0)</f>
        <v>#N/A</v>
      </c>
      <c r="AD127" s="63" t="str">
        <f>IF(LEN(A127)=6,"0"&amp;A127,A127)</f>
        <v>0221-01</v>
      </c>
      <c r="AE127" s="99" t="str">
        <f>"aws s3 cp "&amp;s3_bucket&amp;"/RTDC"&amp;B127&amp;"/"&amp;TEXT(F127,"YYYY-MM-DD")&amp;"/ "&amp;search_path&amp;"\RTDC"&amp;B127&amp;"\"&amp;TEXT(F127,"YYYY-MM-DD")&amp;" --recursive &amp; """&amp;walkandungz&amp;""" "&amp;search_path&amp;"\RTDC"&amp;B127&amp;"\"&amp;TEXT(F127,"YYYY-MM-DD")
&amp;" &amp; "&amp;"aws s3 cp "&amp;s3_bucket&amp;"/RTDC"&amp;B127&amp;"/"&amp;TEXT(F127+1,"YYYY-MM-DD")&amp;"/ "&amp;search_path&amp;"\RTDC"&amp;B127&amp;"\"&amp;TEXT(F127+1,"YYYY-MM-DD")&amp;" --recursive &amp; """&amp;walkandungz&amp;""" "&amp;search_path&amp;"\RTDC"&amp;B127&amp;"\"&amp;TEXT(F127+1,"YYYY-MM-DD")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27" s="96" t="str">
        <f>astrogrep_path&amp;" /spath="&amp;search_path&amp;" /stypes=""*"&amp;B127&amp;"*"&amp;TEXT(I127-utc_offset/24,"YYYYMMDD")&amp;"*"" /stext="" "&amp;TEXT(I127-utc_offset/24,"HH")&amp;search_regexp&amp;""" /e /r /s"</f>
        <v>"C:\Program Files (x86)\AstroGrep\AstroGrep.exe" /spath="%USERPROFILE%\AppData\Local\Temp\OnboardLogs" /stypes="*4018*20160902*" /stext=" 01:.+((SYSTEM_STATE.+slice.+state.+changed )|(ment ac)|(system.+state.+changed )|(\|lc)|(penalty)|(\[timeout)|(PRM\|1\|D)|(kpr)|(kdp))" /e /r /s</v>
      </c>
      <c r="AG127" s="1" t="str">
        <f>IFERROR(IF(VALUE(LEFT(AD127,2))&lt;=2,"EC",IF(OR(VALUE(LEFT(AD127,2))=8,VALUE(LEFT(AD127,2))=18),"NW","Other")),"Other")</f>
        <v>EC</v>
      </c>
      <c r="AH127" s="100" t="str">
        <f t="shared" si="12"/>
        <v>"%USERPROFILE%\Documents\GitHub\eaglep3\Utilities\RefineRTDCRunTimes.py" --tripid 221-01 --locoid 4018 --swversion DE.1.0.7.0 --startMP 204:460 --initTime 2016-09-01T18:59:36 --startdatetime 2016-09-01T19:01:48 --delay 1 --endMP 204:233293 --enddatetime 2016-09-01T19:39:59 --enforcementcount 0 &gt;&gt;C:\Users\stu\Documents\GitHub\eaglep3-reporting\EC\2016-09-01-refined-times.txt</v>
      </c>
      <c r="AI127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{"issue":{"subject":"","project_id":79,"tracker_id":40,"status_id":1,"priority_id":2,"assigned_to_id":23,"start_date":"2016-09-01","description":"","custom_fields":[{"id":1,"name":"Subdivision","value":"EC"},{"id":4,"name":"Milepost","value":"23.2833"},{"id":17,"name":"Train ID","value":"221-01"},{"id":16,"name":"Locomotive ID","value":"4018"},{"id":130,"name":"Impact","value":""},{"id":150,"name":"Time of Event (Mountain Time)","value":"19:39:59"},{"id":151,"name":"Denver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538</v>
      </c>
      <c r="B128" s="7">
        <v>4017</v>
      </c>
      <c r="C128" s="24" t="s">
        <v>113</v>
      </c>
      <c r="D128" s="24" t="s">
        <v>322</v>
      </c>
      <c r="E128" s="15">
        <v>42614.825856481482</v>
      </c>
      <c r="F128" s="15">
        <v>42614.830821759257</v>
      </c>
      <c r="G128" s="7">
        <v>1</v>
      </c>
      <c r="H128" s="15" t="s">
        <v>136</v>
      </c>
      <c r="I128" s="15">
        <v>42614.857916666668</v>
      </c>
      <c r="J128" s="7">
        <v>0</v>
      </c>
      <c r="K128" s="132" t="str">
        <f>IF(ISEVEN(B128),(B128-1)&amp;"/"&amp;B128,B128&amp;"/"&amp;(B128+1))</f>
        <v>4017/4018</v>
      </c>
      <c r="L128" s="24" t="str">
        <f>VLOOKUP(A128,'Trips&amp;Operators'!$C$1:$E$10000,3,FALSE)</f>
        <v>HILLS</v>
      </c>
      <c r="M128" s="6">
        <f>I128-F128</f>
        <v>2.7094907411083113E-2</v>
      </c>
      <c r="N128" s="7">
        <f>24*60*SUM($M128:$M128)</f>
        <v>39.016666671959683</v>
      </c>
      <c r="O128" s="7"/>
      <c r="P128" s="7"/>
      <c r="Q128" s="25"/>
      <c r="R128" s="25"/>
      <c r="S128" s="37">
        <f>SUM(U128:U128)/IF(AG128="EC",12,1)</f>
        <v>1</v>
      </c>
      <c r="T128" s="52" t="str">
        <f>IF(ISEVEN(LEFT(AD128,4)),"Southbound","NorthBound")</f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hh:mm:ss")&amp;"-0600',mode:absolute,to:'"&amp;TEXT(I128+1/24,"yyyy-MM-DD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https://search-rtdc-monitor-bjffxe2xuh6vdkpspy63sjmuny.us-east-1.es.amazonaws.com/_plugin/kibana/#/discover/Steve-Slow-Train-Analysis-(2080s-and-2083s)?_g=(refreshInterval:(display:Off,section:0,value:0),time:(from:'2016-09-01 18:49:14-0600',mode:absolute,to:'2016-09-01 21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28" s="54" t="str">
        <f>IF(AA128&lt;IF(AG128="EC",23,5.65),"Y","N")</f>
        <v>N</v>
      </c>
      <c r="X128" s="120">
        <f>VALUE(LEFT(AD128,4))-VALUE(LEFT(AD127,4))</f>
        <v>1</v>
      </c>
      <c r="Y128" s="69">
        <f>RIGHT(D128,LEN(D128)-4)/10000</f>
        <v>23.298300000000001</v>
      </c>
      <c r="Z128" s="69">
        <f>RIGHT(H128,LEN(H128)-4)/10000</f>
        <v>1.49E-2</v>
      </c>
      <c r="AA128" s="69">
        <f>ABS(Z128-Y128)</f>
        <v>23.2834</v>
      </c>
      <c r="AB128" s="66" t="e">
        <f>VLOOKUP(A128,Enforcements!$C$7:$J$21,8,0)</f>
        <v>#N/A</v>
      </c>
      <c r="AC128" s="62" t="e">
        <f>VLOOKUP(A128,Enforcements!$C$7:$E$21,3,0)</f>
        <v>#N/A</v>
      </c>
      <c r="AD128" s="63" t="str">
        <f>IF(LEN(A128)=6,"0"&amp;A128,A128)</f>
        <v>0222-01</v>
      </c>
      <c r="AE128" s="99" t="str">
        <f>"aws s3 cp "&amp;s3_bucket&amp;"/RTDC"&amp;B128&amp;"/"&amp;TEXT(F128,"YYYY-MM-DD")&amp;"/ "&amp;search_path&amp;"\RTDC"&amp;B128&amp;"\"&amp;TEXT(F128,"YYYY-MM-DD")&amp;" --recursive &amp; """&amp;walkandungz&amp;""" "&amp;search_path&amp;"\RTDC"&amp;B128&amp;"\"&amp;TEXT(F128,"YYYY-MM-DD")
&amp;" &amp; "&amp;"aws s3 cp "&amp;s3_bucket&amp;"/RTDC"&amp;B128&amp;"/"&amp;TEXT(F128+1,"YYYY-MM-DD")&amp;"/ "&amp;search_path&amp;"\RTDC"&amp;B128&amp;"\"&amp;TEXT(F128+1,"YYYY-MM-DD")&amp;" --recursive &amp; """&amp;walkandungz&amp;""" "&amp;search_path&amp;"\RTDC"&amp;B128&amp;"\"&amp;TEXT(F128+1,"YYYY-MM-DD")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128" s="96" t="str">
        <f>astrogrep_path&amp;" /spath="&amp;search_path&amp;" /stypes=""*"&amp;B128&amp;"*"&amp;TEXT(I128-utc_offset/24,"YYYYMMDD")&amp;"*"" /stext="" "&amp;TEXT(I128-utc_offset/24,"HH")&amp;search_regexp&amp;""" /e /r /s"</f>
        <v>"C:\Program Files (x86)\AstroGrep\AstroGrep.exe" /spath="%USERPROFILE%\AppData\Local\Temp\OnboardLogs" /stypes="*4017*20160902*" /stext=" 02:.+((SYSTEM_STATE.+slice.+state.+changed )|(ment ac)|(system.+state.+changed )|(\|lc)|(penalty)|(\[timeout)|(PRM\|1\|D)|(kpr)|(kdp))" /e /r /s</v>
      </c>
      <c r="AG128" s="1" t="str">
        <f>IFERROR(IF(VALUE(LEFT(AD128,2))&lt;=2,"EC",IF(OR(VALUE(LEFT(AD128,2))=8,VALUE(LEFT(AD128,2))=18),"NW","Other")),"Other")</f>
        <v>EC</v>
      </c>
      <c r="AH128" s="100" t="str">
        <f t="shared" si="12"/>
        <v>"%USERPROFILE%\Documents\GitHub\eaglep3\Utilities\RefineRTDCRunTimes.py" --tripid 222-01 --locoid 4017 --swversion DE.1.0.7.0 --startMP 204:232983 --initTime 2016-09-01T19:49:14 --startdatetime 2016-09-01T19:56:23 --delay 1 --endMP 204:149 --enddatetime 2016-09-01T20:35:24 --enforcementcount 0 &gt;&gt;C:\Users\stu\Documents\GitHub\eaglep3-reporting\EC\2016-09-01-refined-times.txt</v>
      </c>
      <c r="AI128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{"issue":{"subject":"","project_id":79,"tracker_id":40,"status_id":1,"priority_id":2,"assigned_to_id":23,"start_date":"2016-09-01","description":"","custom_fields":[{"id":1,"name":"Subdivision","value":"EC"},{"id":4,"name":"Milepost","value":"23.2834"},{"id":17,"name":"Train ID","value":"222-01"},{"id":16,"name":"Locomotive ID","value":"4017"},{"id":130,"name":"Impact","value":""},{"id":150,"name":"Time of Event (Mountain Time)","value":"20:35:24"},{"id":151,"name":"Denver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539</v>
      </c>
      <c r="B129" s="7">
        <v>4042</v>
      </c>
      <c r="C129" s="24" t="s">
        <v>113</v>
      </c>
      <c r="D129" s="24" t="s">
        <v>540</v>
      </c>
      <c r="E129" s="15">
        <v>42614.808865740742</v>
      </c>
      <c r="F129" s="15">
        <v>42614.8127662037</v>
      </c>
      <c r="G129" s="7">
        <v>5</v>
      </c>
      <c r="H129" s="15" t="s">
        <v>541</v>
      </c>
      <c r="I129" s="15">
        <v>42614.837083333332</v>
      </c>
      <c r="J129" s="7">
        <v>0</v>
      </c>
      <c r="K129" s="132" t="str">
        <f>IF(ISEVEN(B129),(B129-1)&amp;"/"&amp;B129,B129&amp;"/"&amp;(B129+1))</f>
        <v>4041/4042</v>
      </c>
      <c r="L129" s="24" t="str">
        <f>VLOOKUP(A129,'Trips&amp;Operators'!$C$1:$E$10000,3,FALSE)</f>
        <v>COOLAHAN</v>
      </c>
      <c r="M129" s="6">
        <f>I129-F129</f>
        <v>2.4317129631526768E-2</v>
      </c>
      <c r="N129" s="7">
        <f>24*60*SUM($M129:$M129)</f>
        <v>35.016666669398546</v>
      </c>
      <c r="O129" s="7"/>
      <c r="P129" s="7"/>
      <c r="Q129" s="25"/>
      <c r="R129" s="25"/>
      <c r="S129" s="37">
        <f>SUM(U129:U129)/IF(AG129="EC",12,1)</f>
        <v>1</v>
      </c>
      <c r="T129" s="52" t="str">
        <f>IF(ISEVEN(LEFT(AD129,4)),"Southbound","NorthBound")</f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hh:mm:ss")&amp;"-0600',mode:absolute,to:'"&amp;TEXT(I129+1/24,"yyyy-MM-DD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https://search-rtdc-monitor-bjffxe2xuh6vdkpspy63sjmuny.us-east-1.es.amazonaws.com/_plugin/kibana/#/discover/Steve-Slow-Train-Analysis-(2080s-and-2083s)?_g=(refreshInterval:(display:Off,section:0,value:0),time:(from:'2016-09-01 18:24:46-0600',mode:absolute,to:'2016-09-01 21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29" s="54" t="str">
        <f>IF(AA129&lt;IF(AG129="EC",23,5.65),"Y","N")</f>
        <v>N</v>
      </c>
      <c r="X129" s="120">
        <f>VALUE(LEFT(AD129,4))-VALUE(LEFT(AD128,4))</f>
        <v>1</v>
      </c>
      <c r="Y129" s="69">
        <f>RIGHT(D129,LEN(D129)-4)/10000</f>
        <v>5.2400000000000002E-2</v>
      </c>
      <c r="Z129" s="69">
        <f>RIGHT(H129,LEN(H129)-4)/10000</f>
        <v>23.3325</v>
      </c>
      <c r="AA129" s="69">
        <f>ABS(Z129-Y129)</f>
        <v>23.280100000000001</v>
      </c>
      <c r="AB129" s="66" t="e">
        <f>VLOOKUP(A129,Enforcements!$C$7:$J$21,8,0)</f>
        <v>#N/A</v>
      </c>
      <c r="AC129" s="62" t="e">
        <f>VLOOKUP(A129,Enforcements!$C$7:$E$21,3,0)</f>
        <v>#N/A</v>
      </c>
      <c r="AD129" s="63" t="str">
        <f>IF(LEN(A129)=6,"0"&amp;A129,A129)</f>
        <v>0223-01</v>
      </c>
      <c r="AE129" s="99" t="str">
        <f>"aws s3 cp "&amp;s3_bucket&amp;"/RTDC"&amp;B129&amp;"/"&amp;TEXT(F129,"YYYY-MM-DD")&amp;"/ "&amp;search_path&amp;"\RTDC"&amp;B129&amp;"\"&amp;TEXT(F129,"YYYY-MM-DD")&amp;" --recursive &amp; """&amp;walkandungz&amp;""" "&amp;search_path&amp;"\RTDC"&amp;B129&amp;"\"&amp;TEXT(F129,"YYYY-MM-DD")
&amp;" &amp; "&amp;"aws s3 cp "&amp;s3_bucket&amp;"/RTDC"&amp;B129&amp;"/"&amp;TEXT(F129+1,"YYYY-MM-DD")&amp;"/ "&amp;search_path&amp;"\RTDC"&amp;B129&amp;"\"&amp;TEXT(F129+1,"YYYY-MM-DD")&amp;" --recursive &amp; """&amp;walkandungz&amp;""" "&amp;search_path&amp;"\RTDC"&amp;B129&amp;"\"&amp;TEXT(F129+1,"YYYY-MM-DD")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29" s="96" t="str">
        <f>astrogrep_path&amp;" /spath="&amp;search_path&amp;" /stypes=""*"&amp;B129&amp;"*"&amp;TEXT(I129-utc_offset/24,"YYYYMMDD")&amp;"*"" /stext="" "&amp;TEXT(I129-utc_offset/24,"HH")&amp;search_regexp&amp;""" /e /r /s"</f>
        <v>"C:\Program Files (x86)\AstroGrep\AstroGrep.exe" /spath="%USERPROFILE%\AppData\Local\Temp\OnboardLogs" /stypes="*4042*20160902*" /stext=" 02:.+((SYSTEM_STATE.+slice.+state.+changed )|(ment ac)|(system.+state.+changed )|(\|lc)|(penalty)|(\[timeout)|(PRM\|1\|D)|(kpr)|(kdp))" /e /r /s</v>
      </c>
      <c r="AG129" s="1" t="str">
        <f>IFERROR(IF(VALUE(LEFT(AD129,2))&lt;=2,"EC",IF(OR(VALUE(LEFT(AD129,2))=8,VALUE(LEFT(AD129,2))=18),"NW","Other")),"Other")</f>
        <v>EC</v>
      </c>
      <c r="AH129" s="100" t="str">
        <f t="shared" si="12"/>
        <v>"%USERPROFILE%\Documents\GitHub\eaglep3\Utilities\RefineRTDCRunTimes.py" --tripid 223-01 --locoid 4042 --swversion DE.1.0.7.0 --startMP 204:524 --initTime 2016-09-01T19:24:46 --startdatetime 2016-09-01T19:30:23 --delay 5 --endMP 204:233325 --enddatetime 2016-09-01T20:05:24 --enforcementcount 0 &gt;&gt;C:\Users\stu\Documents\GitHub\eaglep3-reporting\EC\2016-09-01-refined-times.txt</v>
      </c>
      <c r="AI129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{"issue":{"subject":"","project_id":79,"tracker_id":40,"status_id":1,"priority_id":2,"assigned_to_id":23,"start_date":"2016-09-01","description":"","custom_fields":[{"id":1,"name":"Subdivision","value":"EC"},{"id":4,"name":"Milepost","value":"23.2801"},{"id":17,"name":"Train ID","value":"223-01"},{"id":16,"name":"Locomotive ID","value":"4042"},{"id":130,"name":"Impact","value":""},{"id":150,"name":"Time of Event (Mountain Time)","value":"20:05:24"},{"id":151,"name":"Denver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542</v>
      </c>
      <c r="B130" s="7">
        <v>4041</v>
      </c>
      <c r="C130" s="24" t="s">
        <v>113</v>
      </c>
      <c r="D130" s="24" t="s">
        <v>467</v>
      </c>
      <c r="E130" s="15">
        <v>42614.847708333335</v>
      </c>
      <c r="F130" s="15">
        <v>42614.851898148147</v>
      </c>
      <c r="G130" s="7">
        <v>1</v>
      </c>
      <c r="H130" s="15" t="s">
        <v>330</v>
      </c>
      <c r="I130" s="15">
        <v>42614.877233796295</v>
      </c>
      <c r="J130" s="7">
        <v>0</v>
      </c>
      <c r="K130" s="132" t="str">
        <f>IF(ISEVEN(B130),(B130-1)&amp;"/"&amp;B130,B130&amp;"/"&amp;(B130+1))</f>
        <v>4041/4042</v>
      </c>
      <c r="L130" s="24" t="str">
        <f>VLOOKUP(A130,'Trips&amp;Operators'!$C$1:$E$10000,3,FALSE)</f>
        <v>COOLAHAN</v>
      </c>
      <c r="M130" s="6">
        <f>I130-F130</f>
        <v>2.5335648148029577E-2</v>
      </c>
      <c r="N130" s="7">
        <f>24*60*SUM($M130:$M130)</f>
        <v>36.483333333162591</v>
      </c>
      <c r="O130" s="7"/>
      <c r="P130" s="7"/>
      <c r="Q130" s="25"/>
      <c r="R130" s="25"/>
      <c r="S130" s="37">
        <f>SUM(U130:U130)/IF(AG130="EC",12,1)</f>
        <v>1</v>
      </c>
      <c r="T130" s="52" t="str">
        <f>IF(ISEVEN(LEFT(AD130,4)),"Southbound","NorthBound")</f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https://search-rtdc-monitor-bjffxe2xuh6vdkpspy63sjmuny.us-east-1.es.amazonaws.com/_plugin/kibana/#/discover/Steve-Slow-Train-Analysis-(2080s-and-2083s)?_g=(refreshInterval:(display:Off,section:0,value:0),time:(from:'2016-09-01 19:20:42-0600',mode:absolute,to:'2016-09-01 22:03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30" s="54" t="str">
        <f>IF(AA130&lt;IF(AG130="EC",23,5.65),"Y","N")</f>
        <v>N</v>
      </c>
      <c r="X130" s="120">
        <f>VALUE(LEFT(AD130,4))-VALUE(LEFT(AD129,4))</f>
        <v>1</v>
      </c>
      <c r="Y130" s="69">
        <f>RIGHT(D130,LEN(D130)-4)/10000</f>
        <v>23.299800000000001</v>
      </c>
      <c r="Z130" s="69">
        <f>RIGHT(H130,LEN(H130)-4)/10000</f>
        <v>1.78E-2</v>
      </c>
      <c r="AA130" s="69">
        <f>ABS(Z130-Y130)</f>
        <v>23.282</v>
      </c>
      <c r="AB130" s="66" t="e">
        <f>VLOOKUP(A130,Enforcements!$C$7:$J$21,8,0)</f>
        <v>#N/A</v>
      </c>
      <c r="AC130" s="62" t="e">
        <f>VLOOKUP(A130,Enforcements!$C$7:$E$21,3,0)</f>
        <v>#N/A</v>
      </c>
      <c r="AD130" s="63" t="str">
        <f>IF(LEN(A130)=6,"0"&amp;A130,A130)</f>
        <v>0224-01</v>
      </c>
      <c r="AE130" s="99" t="str">
        <f>"aws s3 cp "&amp;s3_bucket&amp;"/RTDC"&amp;B130&amp;"/"&amp;TEXT(F130,"YYYY-MM-DD")&amp;"/ "&amp;search_path&amp;"\RTDC"&amp;B130&amp;"\"&amp;TEXT(F130,"YYYY-MM-DD")&amp;" --recursive &amp; """&amp;walkandungz&amp;""" "&amp;search_path&amp;"\RTDC"&amp;B130&amp;"\"&amp;TEXT(F130,"YYYY-MM-DD")
&amp;" &amp; "&amp;"aws s3 cp "&amp;s3_bucket&amp;"/RTDC"&amp;B130&amp;"/"&amp;TEXT(F130+1,"YYYY-MM-DD")&amp;"/ "&amp;search_path&amp;"\RTDC"&amp;B130&amp;"\"&amp;TEXT(F130+1,"YYYY-MM-DD")&amp;" --recursive &amp; """&amp;walkandungz&amp;""" "&amp;search_path&amp;"\RTDC"&amp;B130&amp;"\"&amp;TEXT(F130+1,"YYYY-MM-DD")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130" s="96" t="str">
        <f>astrogrep_path&amp;" /spath="&amp;search_path&amp;" /stypes=""*"&amp;B130&amp;"*"&amp;TEXT(I130-utc_offset/24,"YYYYMMDD")&amp;"*"" /stext="" "&amp;TEXT(I130-utc_offset/24,"HH")&amp;search_regexp&amp;""" /e /r /s"</f>
        <v>"C:\Program Files (x86)\AstroGrep\AstroGrep.exe" /spath="%USERPROFILE%\AppData\Local\Temp\OnboardLogs" /stypes="*4041*20160902*" /stext=" 03:.+((SYSTEM_STATE.+slice.+state.+changed )|(ment ac)|(system.+state.+changed )|(\|lc)|(penalty)|(\[timeout)|(PRM\|1\|D)|(kpr)|(kdp))" /e /r /s</v>
      </c>
      <c r="AG130" s="1" t="str">
        <f>IFERROR(IF(VALUE(LEFT(AD130,2))&lt;=2,"EC",IF(OR(VALUE(LEFT(AD130,2))=8,VALUE(LEFT(AD130,2))=18),"NW","Other")),"Other")</f>
        <v>EC</v>
      </c>
      <c r="AH130" s="100" t="str">
        <f t="shared" si="12"/>
        <v>"%USERPROFILE%\Documents\GitHub\eaglep3\Utilities\RefineRTDCRunTimes.py" --tripid 224-01 --locoid 4041 --swversion DE.1.0.7.0 --startMP 204:232998 --initTime 2016-09-01T20:20:42 --startdatetime 2016-09-01T20:26:44 --delay 1 --endMP 204:178 --enddatetime 2016-09-01T21:03:13 --enforcementcount 0 &gt;&gt;C:\Users\stu\Documents\GitHub\eaglep3-reporting\EC\2016-09-01-refined-times.txt</v>
      </c>
      <c r="AI130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{"issue":{"subject":"","project_id":79,"tracker_id":40,"status_id":1,"priority_id":2,"assigned_to_id":23,"start_date":"2016-09-01","description":"","custom_fields":[{"id":1,"name":"Subdivision","value":"EC"},{"id":4,"name":"Milepost","value":"23.282"},{"id":17,"name":"Train ID","value":"224-01"},{"id":16,"name":"Locomotive ID","value":"4041"},{"id":130,"name":"Impact","value":""},{"id":150,"name":"Time of Event (Mountain Time)","value":"21:03:13"},{"id":151,"name":"Denver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543</v>
      </c>
      <c r="B131" s="7">
        <v>4011</v>
      </c>
      <c r="C131" s="24" t="s">
        <v>113</v>
      </c>
      <c r="D131" s="24" t="s">
        <v>544</v>
      </c>
      <c r="E131" s="15">
        <v>42614.831967592596</v>
      </c>
      <c r="F131" s="15">
        <v>42614.834062499998</v>
      </c>
      <c r="G131" s="7">
        <v>1</v>
      </c>
      <c r="H131" s="15" t="s">
        <v>401</v>
      </c>
      <c r="I131" s="15">
        <v>42614.859293981484</v>
      </c>
      <c r="J131" s="7">
        <v>0</v>
      </c>
      <c r="K131" s="132" t="str">
        <f>IF(ISEVEN(B131),(B131-1)&amp;"/"&amp;B131,B131&amp;"/"&amp;(B131+1))</f>
        <v>4011/4012</v>
      </c>
      <c r="L131" s="24" t="str">
        <f>VLOOKUP(A131,'Trips&amp;Operators'!$C$1:$E$10000,3,FALSE)</f>
        <v>STAMBAUGH</v>
      </c>
      <c r="M131" s="6">
        <f>I131-F131</f>
        <v>2.5231481486116536E-2</v>
      </c>
      <c r="N131" s="7">
        <f>24*60*SUM($M131:$M131)</f>
        <v>36.333333340007812</v>
      </c>
      <c r="O131" s="7"/>
      <c r="P131" s="7"/>
      <c r="Q131" s="25"/>
      <c r="R131" s="25"/>
      <c r="S131" s="37">
        <f>SUM(U131:U131)/IF(AG131="EC",12,1)</f>
        <v>1</v>
      </c>
      <c r="T131" s="52" t="str">
        <f>IF(ISEVEN(LEFT(AD131,4)),"Southbound","NorthBound")</f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hh:mm:ss")&amp;"-0600',mode:absolute,to:'"&amp;TEXT(I131+1/24,"yyyy-MM-DD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https://search-rtdc-monitor-bjffxe2xuh6vdkpspy63sjmuny.us-east-1.es.amazonaws.com/_plugin/kibana/#/discover/Steve-Slow-Train-Analysis-(2080s-and-2083s)?_g=(refreshInterval:(display:Off,section:0,value:0),time:(from:'2016-09-01 18:58:02-0600',mode:absolute,to:'2016-09-01 21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31" s="54" t="str">
        <f>IF(AA131&lt;IF(AG131="EC",23,5.65),"Y","N")</f>
        <v>N</v>
      </c>
      <c r="X131" s="120">
        <f>VALUE(LEFT(AD131,4))-VALUE(LEFT(AD130,4))</f>
        <v>1</v>
      </c>
      <c r="Y131" s="69">
        <f>RIGHT(D131,LEN(D131)-4)/10000</f>
        <v>5.11E-2</v>
      </c>
      <c r="Z131" s="69">
        <f>RIGHT(H131,LEN(H131)-4)/10000</f>
        <v>23.3322</v>
      </c>
      <c r="AA131" s="69">
        <f>ABS(Z131-Y131)</f>
        <v>23.281099999999999</v>
      </c>
      <c r="AB131" s="66" t="e">
        <f>VLOOKUP(A131,Enforcements!$C$7:$J$21,8,0)</f>
        <v>#N/A</v>
      </c>
      <c r="AC131" s="62" t="e">
        <f>VLOOKUP(A131,Enforcements!$C$7:$E$21,3,0)</f>
        <v>#N/A</v>
      </c>
      <c r="AD131" s="63" t="str">
        <f>IF(LEN(A131)=6,"0"&amp;A131,A131)</f>
        <v>0225-01</v>
      </c>
      <c r="AE131" s="99" t="str">
        <f>"aws s3 cp "&amp;s3_bucket&amp;"/RTDC"&amp;B131&amp;"/"&amp;TEXT(F131,"YYYY-MM-DD")&amp;"/ "&amp;search_path&amp;"\RTDC"&amp;B131&amp;"\"&amp;TEXT(F131,"YYYY-MM-DD")&amp;" --recursive &amp; """&amp;walkandungz&amp;""" "&amp;search_path&amp;"\RTDC"&amp;B131&amp;"\"&amp;TEXT(F131,"YYYY-MM-DD")
&amp;" &amp; "&amp;"aws s3 cp "&amp;s3_bucket&amp;"/RTDC"&amp;B131&amp;"/"&amp;TEXT(F131+1,"YYYY-MM-DD")&amp;"/ "&amp;search_path&amp;"\RTDC"&amp;B131&amp;"\"&amp;TEXT(F131+1,"YYYY-MM-DD")&amp;" --recursive &amp; """&amp;walkandungz&amp;""" "&amp;search_path&amp;"\RTDC"&amp;B131&amp;"\"&amp;TEXT(F131+1,"YYYY-MM-DD")</f>
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</c>
      <c r="AF131" s="96" t="str">
        <f>astrogrep_path&amp;" /spath="&amp;search_path&amp;" /stypes=""*"&amp;B131&amp;"*"&amp;TEXT(I131-utc_offset/24,"YYYYMMDD")&amp;"*"" /stext="" "&amp;TEXT(I131-utc_offset/24,"HH")&amp;search_regexp&amp;""" /e /r /s"</f>
        <v>"C:\Program Files (x86)\AstroGrep\AstroGrep.exe" /spath="%USERPROFILE%\AppData\Local\Temp\OnboardLogs" /stypes="*4011*20160902*" /stext=" 02:.+((SYSTEM_STATE.+slice.+state.+changed )|(ment ac)|(system.+state.+changed )|(\|lc)|(penalty)|(\[timeout)|(PRM\|1\|D)|(kpr)|(kdp))" /e /r /s</v>
      </c>
      <c r="AG131" s="1" t="str">
        <f>IFERROR(IF(VALUE(LEFT(AD131,2))&lt;=2,"EC",IF(OR(VALUE(LEFT(AD131,2))=8,VALUE(LEFT(AD131,2))=18),"NW","Other")),"Other")</f>
        <v>EC</v>
      </c>
      <c r="AH131" s="100" t="str">
        <f t="shared" si="12"/>
        <v>"%USERPROFILE%\Documents\GitHub\eaglep3\Utilities\RefineRTDCRunTimes.py" --tripid 225-01 --locoid 4011 --swversion DE.1.0.7.0 --startMP 204:511 --initTime 2016-09-01T19:58:02 --startdatetime 2016-09-01T20:01:03 --delay 1 --endMP 204:233322 --enddatetime 2016-09-01T20:37:23 --enforcementcount 0 &gt;&gt;C:\Users\stu\Documents\GitHub\eaglep3-reporting\EC\2016-09-01-refined-times.txt</v>
      </c>
      <c r="AI131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{"issue":{"subject":"","project_id":79,"tracker_id":40,"status_id":1,"priority_id":2,"assigned_to_id":23,"start_date":"2016-09-01","description":"","custom_fields":[{"id":1,"name":"Subdivision","value":"EC"},{"id":4,"name":"Milepost","value":"23.2811"},{"id":17,"name":"Train ID","value":"225-01"},{"id":16,"name":"Locomotive ID","value":"4011"},{"id":130,"name":"Impact","value":""},{"id":150,"name":"Time of Event (Mountain Time)","value":"20:37:23"},{"id":151,"name":"Denver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545</v>
      </c>
      <c r="B132" s="7">
        <v>4012</v>
      </c>
      <c r="C132" s="24" t="s">
        <v>113</v>
      </c>
      <c r="D132" s="24" t="s">
        <v>274</v>
      </c>
      <c r="E132" s="15">
        <v>42614.869479166664</v>
      </c>
      <c r="F132" s="15">
        <v>42614.872974537036</v>
      </c>
      <c r="G132" s="7">
        <v>1</v>
      </c>
      <c r="H132" s="15" t="s">
        <v>546</v>
      </c>
      <c r="I132" s="15">
        <v>42614.898831018516</v>
      </c>
      <c r="J132" s="7">
        <v>0</v>
      </c>
      <c r="K132" s="132" t="str">
        <f>IF(ISEVEN(B132),(B132-1)&amp;"/"&amp;B132,B132&amp;"/"&amp;(B132+1))</f>
        <v>4011/4012</v>
      </c>
      <c r="L132" s="24" t="str">
        <f>VLOOKUP(A132,'Trips&amp;Operators'!$C$1:$E$10000,3,FALSE)</f>
        <v>STAMBAUGH</v>
      </c>
      <c r="M132" s="6">
        <f>I132-F132</f>
        <v>2.5856481479422655E-2</v>
      </c>
      <c r="N132" s="7">
        <f>24*60*SUM($M132:$M132)</f>
        <v>37.233333330368623</v>
      </c>
      <c r="O132" s="7"/>
      <c r="P132" s="7"/>
      <c r="Q132" s="25"/>
      <c r="R132" s="25"/>
      <c r="S132" s="37">
        <f>SUM(U132:U132)/IF(AG132="EC",12,1)</f>
        <v>1</v>
      </c>
      <c r="T132" s="52" t="str">
        <f>IF(ISEVEN(LEFT(AD132,4)),"Southbound","NorthBound")</f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hh:mm:ss")&amp;"-0600',mode:absolute,to:'"&amp;TEXT(I132+1/24,"yyyy-MM-DD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https://search-rtdc-monitor-bjffxe2xuh6vdkpspy63sjmuny.us-east-1.es.amazonaws.com/_plugin/kibana/#/discover/Steve-Slow-Train-Analysis-(2080s-and-2083s)?_g=(refreshInterval:(display:Off,section:0,value:0),time:(from:'2016-09-01 19:52:03-0600',mode:absolute,to:'2016-09-01 22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32" s="54" t="str">
        <f>IF(AA132&lt;IF(AG132="EC",23,5.65),"Y","N")</f>
        <v>N</v>
      </c>
      <c r="X132" s="120">
        <f>VALUE(LEFT(AD132,4))-VALUE(LEFT(AD131,4))</f>
        <v>1</v>
      </c>
      <c r="Y132" s="69">
        <f>RIGHT(D132,LEN(D132)-4)/10000</f>
        <v>23.297799999999999</v>
      </c>
      <c r="Z132" s="69">
        <f>RIGHT(H132,LEN(H132)-4)/10000</f>
        <v>1.2699999999999999E-2</v>
      </c>
      <c r="AA132" s="69">
        <f>ABS(Z132-Y132)</f>
        <v>23.2851</v>
      </c>
      <c r="AB132" s="66" t="e">
        <f>VLOOKUP(A132,Enforcements!$C$7:$J$21,8,0)</f>
        <v>#N/A</v>
      </c>
      <c r="AC132" s="62" t="e">
        <f>VLOOKUP(A132,Enforcements!$C$7:$E$21,3,0)</f>
        <v>#N/A</v>
      </c>
      <c r="AD132" s="63" t="str">
        <f>IF(LEN(A132)=6,"0"&amp;A132,A132)</f>
        <v>0226-01</v>
      </c>
      <c r="AE132" s="99" t="str">
        <f>"aws s3 cp "&amp;s3_bucket&amp;"/RTDC"&amp;B132&amp;"/"&amp;TEXT(F132,"YYYY-MM-DD")&amp;"/ "&amp;search_path&amp;"\RTDC"&amp;B132&amp;"\"&amp;TEXT(F132,"YYYY-MM-DD")&amp;" --recursive &amp; """&amp;walkandungz&amp;""" "&amp;search_path&amp;"\RTDC"&amp;B132&amp;"\"&amp;TEXT(F132,"YYYY-MM-DD")
&amp;" &amp; "&amp;"aws s3 cp "&amp;s3_bucket&amp;"/RTDC"&amp;B132&amp;"/"&amp;TEXT(F132+1,"YYYY-MM-DD")&amp;"/ "&amp;search_path&amp;"\RTDC"&amp;B132&amp;"\"&amp;TEXT(F132+1,"YYYY-MM-DD")&amp;" --recursive &amp; """&amp;walkandungz&amp;""" "&amp;search_path&amp;"\RTDC"&amp;B132&amp;"\"&amp;TEXT(F132+1,"YYYY-MM-DD")</f>
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</c>
      <c r="AF132" s="96" t="str">
        <f>astrogrep_path&amp;" /spath="&amp;search_path&amp;" /stypes=""*"&amp;B132&amp;"*"&amp;TEXT(I132-utc_offset/24,"YYYYMMDD")&amp;"*"" /stext="" "&amp;TEXT(I132-utc_offset/24,"HH")&amp;search_regexp&amp;""" /e /r /s"</f>
        <v>"C:\Program Files (x86)\AstroGrep\AstroGrep.exe" /spath="%USERPROFILE%\AppData\Local\Temp\OnboardLogs" /stypes="*4012*20160902*" /stext=" 03:.+((SYSTEM_STATE.+slice.+state.+changed )|(ment ac)|(system.+state.+changed )|(\|lc)|(penalty)|(\[timeout)|(PRM\|1\|D)|(kpr)|(kdp))" /e /r /s</v>
      </c>
      <c r="AG132" s="1" t="str">
        <f>IFERROR(IF(VALUE(LEFT(AD132,2))&lt;=2,"EC",IF(OR(VALUE(LEFT(AD132,2))=8,VALUE(LEFT(AD132,2))=18),"NW","Other")),"Other")</f>
        <v>EC</v>
      </c>
      <c r="AH132" s="100" t="str">
        <f t="shared" si="12"/>
        <v>"%USERPROFILE%\Documents\GitHub\eaglep3\Utilities\RefineRTDCRunTimes.py" --tripid 226-01 --locoid 4012 --swversion DE.1.0.7.0 --startMP 204:232978 --initTime 2016-09-01T20:52:03 --startdatetime 2016-09-01T20:57:05 --delay 1 --endMP 204:127 --enddatetime 2016-09-01T21:34:19 --enforcementcount 0 &gt;&gt;C:\Users\stu\Documents\GitHub\eaglep3-reporting\EC\2016-09-01-refined-times.txt</v>
      </c>
      <c r="AI132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{"issue":{"subject":"","project_id":79,"tracker_id":40,"status_id":1,"priority_id":2,"assigned_to_id":23,"start_date":"2016-09-01","description":"","custom_fields":[{"id":1,"name":"Subdivision","value":"EC"},{"id":4,"name":"Milepost","value":"23.2851"},{"id":17,"name":"Train ID","value":"226-01"},{"id":16,"name":"Locomotive ID","value":"4012"},{"id":130,"name":"Impact","value":""},{"id":150,"name":"Time of Event (Mountain Time)","value":"21:34:19"},{"id":151,"name":"Denver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547</v>
      </c>
      <c r="B133" s="7">
        <v>4020</v>
      </c>
      <c r="C133" s="24" t="s">
        <v>113</v>
      </c>
      <c r="D133" s="24" t="s">
        <v>180</v>
      </c>
      <c r="E133" s="15">
        <v>42614.849259259259</v>
      </c>
      <c r="F133" s="15">
        <v>42614.85460648148</v>
      </c>
      <c r="G133" s="7">
        <v>1</v>
      </c>
      <c r="H133" s="15" t="s">
        <v>548</v>
      </c>
      <c r="I133" s="15">
        <v>42614.880358796298</v>
      </c>
      <c r="J133" s="7">
        <v>0</v>
      </c>
      <c r="K133" s="132" t="str">
        <f>IF(ISEVEN(B133),(B133-1)&amp;"/"&amp;B133,B133&amp;"/"&amp;(B133+1))</f>
        <v>4019/4020</v>
      </c>
      <c r="L133" s="24" t="str">
        <f>VLOOKUP(A133,'Trips&amp;Operators'!$C$1:$E$10000,3,FALSE)</f>
        <v>OUN</v>
      </c>
      <c r="M133" s="6">
        <f>I133-F133</f>
        <v>2.5752314817509614E-2</v>
      </c>
      <c r="N133" s="7">
        <f>24*60*SUM($M133:$M133)</f>
        <v>37.083333337213844</v>
      </c>
      <c r="O133" s="7"/>
      <c r="P133" s="7"/>
      <c r="Q133" s="25"/>
      <c r="R133" s="25"/>
      <c r="S133" s="37">
        <f>SUM(U133:U133)/IF(AG133="EC",12,1)</f>
        <v>1</v>
      </c>
      <c r="T133" s="52" t="str">
        <f>IF(ISEVEN(LEFT(AD133,4)),"Southbound","NorthBound")</f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hh:mm:ss")&amp;"-0600',mode:absolute,to:'"&amp;TEXT(I133+1/24,"yyyy-MM-DD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https://search-rtdc-monitor-bjffxe2xuh6vdkpspy63sjmuny.us-east-1.es.amazonaws.com/_plugin/kibana/#/discover/Steve-Slow-Train-Analysis-(2080s-and-2083s)?_g=(refreshInterval:(display:Off,section:0,value:0),time:(from:'2016-09-01 19:22:56-0600',mode:absolute,to:'2016-09-01 22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33" s="54" t="str">
        <f>IF(AA133&lt;IF(AG133="EC",23,5.65),"Y","N")</f>
        <v>N</v>
      </c>
      <c r="X133" s="120">
        <f>VALUE(LEFT(AD133,4))-VALUE(LEFT(AD132,4))</f>
        <v>1</v>
      </c>
      <c r="Y133" s="69">
        <f>RIGHT(D133,LEN(D133)-4)/10000</f>
        <v>4.5999999999999999E-2</v>
      </c>
      <c r="Z133" s="69">
        <f>RIGHT(H133,LEN(H133)-4)/10000</f>
        <v>23.3246</v>
      </c>
      <c r="AA133" s="69">
        <f>ABS(Z133-Y133)</f>
        <v>23.278600000000001</v>
      </c>
      <c r="AB133" s="66" t="e">
        <f>VLOOKUP(A133,Enforcements!$C$7:$J$21,8,0)</f>
        <v>#N/A</v>
      </c>
      <c r="AC133" s="62" t="e">
        <f>VLOOKUP(A133,Enforcements!$C$7:$E$21,3,0)</f>
        <v>#N/A</v>
      </c>
      <c r="AD133" s="63" t="str">
        <f>IF(LEN(A133)=6,"0"&amp;A133,A133)</f>
        <v>0227-01</v>
      </c>
      <c r="AE133" s="99" t="str">
        <f>"aws s3 cp "&amp;s3_bucket&amp;"/RTDC"&amp;B133&amp;"/"&amp;TEXT(F133,"YYYY-MM-DD")&amp;"/ "&amp;search_path&amp;"\RTDC"&amp;B133&amp;"\"&amp;TEXT(F133,"YYYY-MM-DD")&amp;" --recursive &amp; """&amp;walkandungz&amp;""" "&amp;search_path&amp;"\RTDC"&amp;B133&amp;"\"&amp;TEXT(F133,"YYYY-MM-DD")
&amp;" &amp; "&amp;"aws s3 cp "&amp;s3_bucket&amp;"/RTDC"&amp;B133&amp;"/"&amp;TEXT(F133+1,"YYYY-MM-DD")&amp;"/ "&amp;search_path&amp;"\RTDC"&amp;B133&amp;"\"&amp;TEXT(F133+1,"YYYY-MM-DD")&amp;" --recursive &amp; """&amp;walkandungz&amp;""" "&amp;search_path&amp;"\RTDC"&amp;B133&amp;"\"&amp;TEXT(F133+1,"YYYY-MM-DD")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133" s="96" t="str">
        <f>astrogrep_path&amp;" /spath="&amp;search_path&amp;" /stypes=""*"&amp;B133&amp;"*"&amp;TEXT(I133-utc_offset/24,"YYYYMMDD")&amp;"*"" /stext="" "&amp;TEXT(I133-utc_offset/24,"HH")&amp;search_regexp&amp;""" /e /r /s"</f>
        <v>"C:\Program Files (x86)\AstroGrep\AstroGrep.exe" /spath="%USERPROFILE%\AppData\Local\Temp\OnboardLogs" /stypes="*4020*20160902*" /stext=" 03:.+((SYSTEM_STATE.+slice.+state.+changed )|(ment ac)|(system.+state.+changed )|(\|lc)|(penalty)|(\[timeout)|(PRM\|1\|D)|(kpr)|(kdp))" /e /r /s</v>
      </c>
      <c r="AG133" s="1" t="str">
        <f>IFERROR(IF(VALUE(LEFT(AD133,2))&lt;=2,"EC",IF(OR(VALUE(LEFT(AD133,2))=8,VALUE(LEFT(AD133,2))=18),"NW","Other")),"Other")</f>
        <v>EC</v>
      </c>
      <c r="AH133" s="100" t="str">
        <f t="shared" si="12"/>
        <v>"%USERPROFILE%\Documents\GitHub\eaglep3\Utilities\RefineRTDCRunTimes.py" --tripid 227-01 --locoid 4020 --swversion DE.1.0.7.0 --startMP 204:460 --initTime 2016-09-01T20:22:56 --startdatetime 2016-09-01T20:30:38 --delay 1 --endMP 204:233246 --enddatetime 2016-09-01T21:07:43 --enforcementcount 0 &gt;&gt;C:\Users\stu\Documents\GitHub\eaglep3-reporting\EC\2016-09-01-refined-times.txt</v>
      </c>
      <c r="AI133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{"issue":{"subject":"","project_id":79,"tracker_id":40,"status_id":1,"priority_id":2,"assigned_to_id":23,"start_date":"2016-09-01","description":"","custom_fields":[{"id":1,"name":"Subdivision","value":"EC"},{"id":4,"name":"Milepost","value":"23.2786"},{"id":17,"name":"Train ID","value":"227-01"},{"id":16,"name":"Locomotive ID","value":"4020"},{"id":130,"name":"Impact","value":""},{"id":150,"name":"Time of Event (Mountain Time)","value":"21:07:43"},{"id":151,"name":"Denver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549</v>
      </c>
      <c r="B134" s="7">
        <v>4019</v>
      </c>
      <c r="C134" s="24" t="s">
        <v>113</v>
      </c>
      <c r="D134" s="24" t="s">
        <v>467</v>
      </c>
      <c r="E134" s="15">
        <v>42614.889247685183</v>
      </c>
      <c r="F134" s="15">
        <v>42614.893449074072</v>
      </c>
      <c r="G134" s="7">
        <v>1</v>
      </c>
      <c r="H134" s="15" t="s">
        <v>132</v>
      </c>
      <c r="I134" s="15">
        <v>42614.920752314814</v>
      </c>
      <c r="J134" s="7">
        <v>0</v>
      </c>
      <c r="K134" s="132" t="str">
        <f>IF(ISEVEN(B134),(B134-1)&amp;"/"&amp;B134,B134&amp;"/"&amp;(B134+1))</f>
        <v>4019/4020</v>
      </c>
      <c r="L134" s="24" t="str">
        <f>VLOOKUP(A134,'Trips&amp;Operators'!$C$1:$E$10000,3,FALSE)</f>
        <v>OUN</v>
      </c>
      <c r="M134" s="6">
        <f>I134-F134</f>
        <v>2.7303240742185153E-2</v>
      </c>
      <c r="N134" s="7">
        <f>24*60*SUM($M134:$M134)</f>
        <v>39.31666666874662</v>
      </c>
      <c r="O134" s="7"/>
      <c r="P134" s="7"/>
      <c r="Q134" s="25"/>
      <c r="R134" s="25"/>
      <c r="S134" s="37">
        <f>SUM(U134:U134)/IF(AG134="EC",12,1)</f>
        <v>1</v>
      </c>
      <c r="T134" s="52" t="str">
        <f>IF(ISEVEN(LEFT(AD134,4)),"Southbound","NorthBound")</f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hh:mm:ss")&amp;"-0600',mode:absolute,to:'"&amp;TEXT(I134+1/24,"yyyy-MM-DD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https://search-rtdc-monitor-bjffxe2xuh6vdkpspy63sjmuny.us-east-1.es.amazonaws.com/_plugin/kibana/#/discover/Steve-Slow-Train-Analysis-(2080s-and-2083s)?_g=(refreshInterval:(display:Off,section:0,value:0),time:(from:'2016-09-01 20:20:31-0600',mode:absolute,to:'2016-09-01 23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34" s="54" t="str">
        <f>IF(AA134&lt;IF(AG134="EC",23,5.65),"Y","N")</f>
        <v>N</v>
      </c>
      <c r="X134" s="120">
        <f>VALUE(LEFT(AD134,4))-VALUE(LEFT(AD133,4))</f>
        <v>1</v>
      </c>
      <c r="Y134" s="69">
        <f>RIGHT(D134,LEN(D134)-4)/10000</f>
        <v>23.299800000000001</v>
      </c>
      <c r="Z134" s="69">
        <f>RIGHT(H134,LEN(H134)-4)/10000</f>
        <v>1.47E-2</v>
      </c>
      <c r="AA134" s="69">
        <f>ABS(Z134-Y134)</f>
        <v>23.2851</v>
      </c>
      <c r="AB134" s="66" t="e">
        <f>VLOOKUP(A134,Enforcements!$C$7:$J$21,8,0)</f>
        <v>#N/A</v>
      </c>
      <c r="AC134" s="62" t="e">
        <f>VLOOKUP(A134,Enforcements!$C$7:$E$21,3,0)</f>
        <v>#N/A</v>
      </c>
      <c r="AD134" s="63" t="str">
        <f>IF(LEN(A134)=6,"0"&amp;A134,A134)</f>
        <v>0228-01</v>
      </c>
      <c r="AE134" s="99" t="str">
        <f>"aws s3 cp "&amp;s3_bucket&amp;"/RTDC"&amp;B134&amp;"/"&amp;TEXT(F134,"YYYY-MM-DD")&amp;"/ "&amp;search_path&amp;"\RTDC"&amp;B134&amp;"\"&amp;TEXT(F134,"YYYY-MM-DD")&amp;" --recursive &amp; """&amp;walkandungz&amp;""" "&amp;search_path&amp;"\RTDC"&amp;B134&amp;"\"&amp;TEXT(F134,"YYYY-MM-DD")
&amp;" &amp; "&amp;"aws s3 cp "&amp;s3_bucket&amp;"/RTDC"&amp;B134&amp;"/"&amp;TEXT(F134+1,"YYYY-MM-DD")&amp;"/ "&amp;search_path&amp;"\RTDC"&amp;B134&amp;"\"&amp;TEXT(F134+1,"YYYY-MM-DD")&amp;" --recursive &amp; """&amp;walkandungz&amp;""" "&amp;search_path&amp;"\RTDC"&amp;B134&amp;"\"&amp;TEXT(F134+1,"YYYY-MM-DD")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134" s="96" t="str">
        <f>astrogrep_path&amp;" /spath="&amp;search_path&amp;" /stypes=""*"&amp;B134&amp;"*"&amp;TEXT(I134-utc_offset/24,"YYYYMMDD")&amp;"*"" /stext="" "&amp;TEXT(I134-utc_offset/24,"HH")&amp;search_regexp&amp;""" /e /r /s"</f>
        <v>"C:\Program Files (x86)\AstroGrep\AstroGrep.exe" /spath="%USERPROFILE%\AppData\Local\Temp\OnboardLogs" /stypes="*4019*20160902*" /stext=" 04:.+((SYSTEM_STATE.+slice.+state.+changed )|(ment ac)|(system.+state.+changed )|(\|lc)|(penalty)|(\[timeout)|(PRM\|1\|D)|(kpr)|(kdp))" /e /r /s</v>
      </c>
      <c r="AG134" s="1" t="str">
        <f>IFERROR(IF(VALUE(LEFT(AD134,2))&lt;=2,"EC",IF(OR(VALUE(LEFT(AD134,2))=8,VALUE(LEFT(AD134,2))=18),"NW","Other")),"Other")</f>
        <v>EC</v>
      </c>
      <c r="AH134" s="100" t="str">
        <f t="shared" si="12"/>
        <v>"%USERPROFILE%\Documents\GitHub\eaglep3\Utilities\RefineRTDCRunTimes.py" --tripid 228-01 --locoid 4019 --swversion DE.1.0.7.0 --startMP 204:232998 --initTime 2016-09-01T21:20:31 --startdatetime 2016-09-01T21:26:34 --delay 1 --endMP 204:147 --enddatetime 2016-09-01T22:05:53 --enforcementcount 0 &gt;&gt;C:\Users\stu\Documents\GitHub\eaglep3-reporting\EC\2016-09-01-refined-times.txt</v>
      </c>
      <c r="AI134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{"issue":{"subject":"","project_id":79,"tracker_id":40,"status_id":1,"priority_id":2,"assigned_to_id":23,"start_date":"2016-09-01","description":"","custom_fields":[{"id":1,"name":"Subdivision","value":"EC"},{"id":4,"name":"Milepost","value":"23.2851"},{"id":17,"name":"Train ID","value":"228-01"},{"id":16,"name":"Locomotive ID","value":"4019"},{"id":130,"name":"Impact","value":""},{"id":150,"name":"Time of Event (Mountain Time)","value":"22:05:53"},{"id":151,"name":"Denver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550</v>
      </c>
      <c r="B135" s="7">
        <v>4018</v>
      </c>
      <c r="C135" s="24" t="s">
        <v>113</v>
      </c>
      <c r="D135" s="24" t="s">
        <v>298</v>
      </c>
      <c r="E135" s="15">
        <v>42614.870844907404</v>
      </c>
      <c r="F135" s="15">
        <v>42614.875300925924</v>
      </c>
      <c r="G135" s="7">
        <v>1</v>
      </c>
      <c r="H135" s="15" t="s">
        <v>151</v>
      </c>
      <c r="I135" s="15">
        <v>42614.90079861111</v>
      </c>
      <c r="J135" s="7">
        <v>0</v>
      </c>
      <c r="K135" s="132" t="str">
        <f>IF(ISEVEN(B135),(B135-1)&amp;"/"&amp;B135,B135&amp;"/"&amp;(B135+1))</f>
        <v>4017/4018</v>
      </c>
      <c r="L135" s="24" t="str">
        <f>VLOOKUP(A135,'Trips&amp;Operators'!$C$1:$E$10000,3,FALSE)</f>
        <v>HILLS</v>
      </c>
      <c r="M135" s="6">
        <f>I135-F135</f>
        <v>2.5497685186564922E-2</v>
      </c>
      <c r="N135" s="7">
        <f>24*60*SUM($M135:$M135)</f>
        <v>36.716666668653488</v>
      </c>
      <c r="O135" s="7"/>
      <c r="P135" s="7"/>
      <c r="Q135" s="25"/>
      <c r="R135" s="25"/>
      <c r="S135" s="37">
        <f>SUM(U135:U135)/IF(AG135="EC",12,1)</f>
        <v>1</v>
      </c>
      <c r="T135" s="52" t="str">
        <f>IF(ISEVEN(LEFT(AD135,4)),"Southbound","NorthBound")</f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hh:mm:ss")&amp;"-0600',mode:absolute,to:'"&amp;TEXT(I135+1/24,"yyyy-MM-DD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https://search-rtdc-monitor-bjffxe2xuh6vdkpspy63sjmuny.us-east-1.es.amazonaws.com/_plugin/kibana/#/discover/Steve-Slow-Train-Analysis-(2080s-and-2083s)?_g=(refreshInterval:(display:Off,section:0,value:0),time:(from:'2016-09-01 19:54:01-0600',mode:absolute,to:'2016-09-01 22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35" s="54" t="str">
        <f>IF(AA135&lt;IF(AG135="EC",23,5.65),"Y","N")</f>
        <v>N</v>
      </c>
      <c r="X135" s="120">
        <f>VALUE(LEFT(AD135,4))-VALUE(LEFT(AD134,4))</f>
        <v>1</v>
      </c>
      <c r="Y135" s="69">
        <f>RIGHT(D135,LEN(D135)-4)/10000</f>
        <v>4.3299999999999998E-2</v>
      </c>
      <c r="Z135" s="69">
        <f>RIGHT(H135,LEN(H135)-4)/10000</f>
        <v>23.3291</v>
      </c>
      <c r="AA135" s="69">
        <f>ABS(Z135-Y135)</f>
        <v>23.285800000000002</v>
      </c>
      <c r="AB135" s="66" t="e">
        <f>VLOOKUP(A135,Enforcements!$C$7:$J$21,8,0)</f>
        <v>#N/A</v>
      </c>
      <c r="AC135" s="62" t="e">
        <f>VLOOKUP(A135,Enforcements!$C$7:$E$21,3,0)</f>
        <v>#N/A</v>
      </c>
      <c r="AD135" s="63" t="str">
        <f>IF(LEN(A135)=6,"0"&amp;A135,A135)</f>
        <v>0229-01</v>
      </c>
      <c r="AE135" s="99" t="str">
        <f>"aws s3 cp "&amp;s3_bucket&amp;"/RTDC"&amp;B135&amp;"/"&amp;TEXT(F135,"YYYY-MM-DD")&amp;"/ "&amp;search_path&amp;"\RTDC"&amp;B135&amp;"\"&amp;TEXT(F135,"YYYY-MM-DD")&amp;" --recursive &amp; """&amp;walkandungz&amp;""" "&amp;search_path&amp;"\RTDC"&amp;B135&amp;"\"&amp;TEXT(F135,"YYYY-MM-DD")
&amp;" &amp; "&amp;"aws s3 cp "&amp;s3_bucket&amp;"/RTDC"&amp;B135&amp;"/"&amp;TEXT(F135+1,"YYYY-MM-DD")&amp;"/ "&amp;search_path&amp;"\RTDC"&amp;B135&amp;"\"&amp;TEXT(F135+1,"YYYY-MM-DD")&amp;" --recursive &amp; """&amp;walkandungz&amp;""" "&amp;search_path&amp;"\RTDC"&amp;B135&amp;"\"&amp;TEXT(F135+1,"YYYY-MM-DD")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35" s="96" t="str">
        <f>astrogrep_path&amp;" /spath="&amp;search_path&amp;" /stypes=""*"&amp;B135&amp;"*"&amp;TEXT(I135-utc_offset/24,"YYYYMMDD")&amp;"*"" /stext="" "&amp;TEXT(I135-utc_offset/24,"HH")&amp;search_regexp&amp;""" /e /r /s"</f>
        <v>"C:\Program Files (x86)\AstroGrep\AstroGrep.exe" /spath="%USERPROFILE%\AppData\Local\Temp\OnboardLogs" /stypes="*4018*20160902*" /stext=" 03:.+((SYSTEM_STATE.+slice.+state.+changed )|(ment ac)|(system.+state.+changed )|(\|lc)|(penalty)|(\[timeout)|(PRM\|1\|D)|(kpr)|(kdp))" /e /r /s</v>
      </c>
      <c r="AG135" s="1" t="str">
        <f>IFERROR(IF(VALUE(LEFT(AD135,2))&lt;=2,"EC",IF(OR(VALUE(LEFT(AD135,2))=8,VALUE(LEFT(AD135,2))=18),"NW","Other")),"Other")</f>
        <v>EC</v>
      </c>
      <c r="AH135" s="100" t="str">
        <f t="shared" si="12"/>
        <v>"%USERPROFILE%\Documents\GitHub\eaglep3\Utilities\RefineRTDCRunTimes.py" --tripid 229-01 --locoid 4018 --swversion DE.1.0.7.0 --startMP 204:433 --initTime 2016-09-01T20:54:01 --startdatetime 2016-09-01T21:00:26 --delay 1 --endMP 204:233291 --enddatetime 2016-09-01T21:37:09 --enforcementcount 0 &gt;&gt;C:\Users\stu\Documents\GitHub\eaglep3-reporting\EC\2016-09-01-refined-times.txt</v>
      </c>
      <c r="AI135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{"issue":{"subject":"","project_id":79,"tracker_id":40,"status_id":1,"priority_id":2,"assigned_to_id":23,"start_date":"2016-09-01","description":"","custom_fields":[{"id":1,"name":"Subdivision","value":"EC"},{"id":4,"name":"Milepost","value":"23.2858"},{"id":17,"name":"Train ID","value":"229-01"},{"id":16,"name":"Locomotive ID","value":"4018"},{"id":130,"name":"Impact","value":""},{"id":150,"name":"Time of Event (Mountain Time)","value":"21:37:09"},{"id":151,"name":"Denver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551</v>
      </c>
      <c r="B136" s="7">
        <v>4017</v>
      </c>
      <c r="C136" s="24" t="s">
        <v>113</v>
      </c>
      <c r="D136" s="24" t="s">
        <v>246</v>
      </c>
      <c r="E136" s="15">
        <v>42614.907916666663</v>
      </c>
      <c r="F136" s="15">
        <v>42614.914363425924</v>
      </c>
      <c r="G136" s="7">
        <v>1</v>
      </c>
      <c r="H136" s="15" t="s">
        <v>136</v>
      </c>
      <c r="I136" s="15">
        <v>42614.94091435185</v>
      </c>
      <c r="J136" s="7">
        <v>0</v>
      </c>
      <c r="K136" s="132" t="str">
        <f>IF(ISEVEN(B136),(B136-1)&amp;"/"&amp;B136,B136&amp;"/"&amp;(B136+1))</f>
        <v>4017/4018</v>
      </c>
      <c r="L136" s="24" t="str">
        <f>VLOOKUP(A136,'Trips&amp;Operators'!$C$1:$E$10000,3,FALSE)</f>
        <v>HILLS</v>
      </c>
      <c r="M136" s="6">
        <f>I136-F136</f>
        <v>2.6550925926130731E-2</v>
      </c>
      <c r="N136" s="7">
        <f>24*60*SUM($M136:$M136)</f>
        <v>38.233333333628252</v>
      </c>
      <c r="O136" s="7"/>
      <c r="P136" s="7"/>
      <c r="Q136" s="25"/>
      <c r="R136" s="25"/>
      <c r="S136" s="37">
        <f>SUM(U136:U136)/IF(AG136="EC",12,1)</f>
        <v>1</v>
      </c>
      <c r="T136" s="52" t="str">
        <f>IF(ISEVEN(LEFT(AD136,4)),"Southbound","NorthBound")</f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hh:mm:ss")&amp;"-0600',mode:absolute,to:'"&amp;TEXT(I136+1/24,"yyyy-MM-DD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https://search-rtdc-monitor-bjffxe2xuh6vdkpspy63sjmuny.us-east-1.es.amazonaws.com/_plugin/kibana/#/discover/Steve-Slow-Train-Analysis-(2080s-and-2083s)?_g=(refreshInterval:(display:Off,section:0,value:0),time:(from:'2016-09-01 20:47:24-0600',mode:absolute,to:'2016-09-01 23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36" s="54" t="str">
        <f>IF(AA136&lt;IF(AG136="EC",23,5.65),"Y","N")</f>
        <v>N</v>
      </c>
      <c r="X136" s="120">
        <f>VALUE(LEFT(AD136,4))-VALUE(LEFT(AD135,4))</f>
        <v>1</v>
      </c>
      <c r="Y136" s="69">
        <f>RIGHT(D136,LEN(D136)-4)/10000</f>
        <v>23.298100000000002</v>
      </c>
      <c r="Z136" s="69">
        <f>RIGHT(H136,LEN(H136)-4)/10000</f>
        <v>1.49E-2</v>
      </c>
      <c r="AA136" s="69">
        <f>ABS(Z136-Y136)</f>
        <v>23.283200000000001</v>
      </c>
      <c r="AB136" s="66" t="e">
        <f>VLOOKUP(A136,Enforcements!$C$7:$J$21,8,0)</f>
        <v>#N/A</v>
      </c>
      <c r="AC136" s="62" t="e">
        <f>VLOOKUP(A136,Enforcements!$C$7:$E$21,3,0)</f>
        <v>#N/A</v>
      </c>
      <c r="AD136" s="63" t="str">
        <f>IF(LEN(A136)=6,"0"&amp;A136,A136)</f>
        <v>0230-01</v>
      </c>
      <c r="AE136" s="99" t="str">
        <f>"aws s3 cp "&amp;s3_bucket&amp;"/RTDC"&amp;B136&amp;"/"&amp;TEXT(F136,"YYYY-MM-DD")&amp;"/ "&amp;search_path&amp;"\RTDC"&amp;B136&amp;"\"&amp;TEXT(F136,"YYYY-MM-DD")&amp;" --recursive &amp; """&amp;walkandungz&amp;""" "&amp;search_path&amp;"\RTDC"&amp;B136&amp;"\"&amp;TEXT(F136,"YYYY-MM-DD")
&amp;" &amp; "&amp;"aws s3 cp "&amp;s3_bucket&amp;"/RTDC"&amp;B136&amp;"/"&amp;TEXT(F136+1,"YYYY-MM-DD")&amp;"/ "&amp;search_path&amp;"\RTDC"&amp;B136&amp;"\"&amp;TEXT(F136+1,"YYYY-MM-DD")&amp;" --recursive &amp; """&amp;walkandungz&amp;""" "&amp;search_path&amp;"\RTDC"&amp;B136&amp;"\"&amp;TEXT(F136+1,"YYYY-MM-DD")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136" s="96" t="str">
        <f>astrogrep_path&amp;" /spath="&amp;search_path&amp;" /stypes=""*"&amp;B136&amp;"*"&amp;TEXT(I136-utc_offset/24,"YYYYMMDD")&amp;"*"" /stext="" "&amp;TEXT(I136-utc_offset/24,"HH")&amp;search_regexp&amp;""" /e /r /s"</f>
        <v>"C:\Program Files (x86)\AstroGrep\AstroGrep.exe" /spath="%USERPROFILE%\AppData\Local\Temp\OnboardLogs" /stypes="*4017*20160902*" /stext=" 04:.+((SYSTEM_STATE.+slice.+state.+changed )|(ment ac)|(system.+state.+changed )|(\|lc)|(penalty)|(\[timeout)|(PRM\|1\|D)|(kpr)|(kdp))" /e /r /s</v>
      </c>
      <c r="AG136" s="1" t="str">
        <f>IFERROR(IF(VALUE(LEFT(AD136,2))&lt;=2,"EC",IF(OR(VALUE(LEFT(AD136,2))=8,VALUE(LEFT(AD136,2))=18),"NW","Other")),"Other")</f>
        <v>EC</v>
      </c>
      <c r="AH136" s="100" t="str">
        <f t="shared" si="12"/>
        <v>"%USERPROFILE%\Documents\GitHub\eaglep3\Utilities\RefineRTDCRunTimes.py" --tripid 230-01 --locoid 4017 --swversion DE.1.0.7.0 --startMP 204:232981 --initTime 2016-09-01T21:47:24 --startdatetime 2016-09-01T21:56:41 --delay 1 --endMP 204:149 --enddatetime 2016-09-01T22:34:55 --enforcementcount 0 &gt;&gt;C:\Users\stu\Documents\GitHub\eaglep3-reporting\EC\2016-09-01-refined-times.txt</v>
      </c>
      <c r="AI136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{"issue":{"subject":"","project_id":79,"tracker_id":40,"status_id":1,"priority_id":2,"assigned_to_id":23,"start_date":"2016-09-01","description":"","custom_fields":[{"id":1,"name":"Subdivision","value":"EC"},{"id":4,"name":"Milepost","value":"23.2832"},{"id":17,"name":"Train ID","value":"230-01"},{"id":16,"name":"Locomotive ID","value":"4017"},{"id":130,"name":"Impact","value":""},{"id":150,"name":"Time of Event (Mountain Time)","value":"22:34:55"},{"id":151,"name":"Denver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552</v>
      </c>
      <c r="B137" s="7">
        <v>4042</v>
      </c>
      <c r="C137" s="24" t="s">
        <v>113</v>
      </c>
      <c r="D137" s="24" t="s">
        <v>327</v>
      </c>
      <c r="E137" s="15">
        <v>42614.892280092594</v>
      </c>
      <c r="F137" s="15">
        <v>42614.896122685182</v>
      </c>
      <c r="G137" s="7">
        <v>5</v>
      </c>
      <c r="H137" s="15" t="s">
        <v>296</v>
      </c>
      <c r="I137" s="15">
        <v>42614.920335648145</v>
      </c>
      <c r="J137" s="7">
        <v>0</v>
      </c>
      <c r="K137" s="132" t="str">
        <f>IF(ISEVEN(B137),(B137-1)&amp;"/"&amp;B137,B137&amp;"/"&amp;(B137+1))</f>
        <v>4041/4042</v>
      </c>
      <c r="L137" s="24" t="str">
        <f>VLOOKUP(A137,'Trips&amp;Operators'!$C$1:$E$10000,3,FALSE)</f>
        <v>COOLAHAN</v>
      </c>
      <c r="M137" s="6">
        <f>I137-F137</f>
        <v>2.421296296233777E-2</v>
      </c>
      <c r="N137" s="7">
        <f>24*60*SUM($M137:$M137)</f>
        <v>34.866666665766388</v>
      </c>
      <c r="O137" s="7"/>
      <c r="P137" s="7"/>
      <c r="Q137" s="25"/>
      <c r="R137" s="25"/>
      <c r="S137" s="37">
        <f>SUM(U137:U137)/IF(AG137="EC",12,1)</f>
        <v>1</v>
      </c>
      <c r="T137" s="52" t="str">
        <f>IF(ISEVEN(LEFT(AD137,4)),"Southbound","NorthBound")</f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hh:mm:ss")&amp;"-0600',mode:absolute,to:'"&amp;TEXT(I137+1/24,"yyyy-MM-DD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https://search-rtdc-monitor-bjffxe2xuh6vdkpspy63sjmuny.us-east-1.es.amazonaws.com/_plugin/kibana/#/discover/Steve-Slow-Train-Analysis-(2080s-and-2083s)?_g=(refreshInterval:(display:Off,section:0,value:0),time:(from:'2016-09-01 20:24:53-0600',mode:absolute,to:'2016-09-01 23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7" s="54" t="str">
        <f>IF(AA137&lt;IF(AG137="EC",23,5.65),"Y","N")</f>
        <v>N</v>
      </c>
      <c r="X137" s="120">
        <f>VALUE(LEFT(AD137,4))-VALUE(LEFT(AD136,4))</f>
        <v>1</v>
      </c>
      <c r="Y137" s="69">
        <f>RIGHT(D137,LEN(D137)-4)/10000</f>
        <v>4.8399999999999999E-2</v>
      </c>
      <c r="Z137" s="69">
        <f>RIGHT(H137,LEN(H137)-4)/10000</f>
        <v>23.330500000000001</v>
      </c>
      <c r="AA137" s="69">
        <f>ABS(Z137-Y137)</f>
        <v>23.2821</v>
      </c>
      <c r="AB137" s="66" t="e">
        <f>VLOOKUP(A137,Enforcements!$C$7:$J$21,8,0)</f>
        <v>#N/A</v>
      </c>
      <c r="AC137" s="62" t="e">
        <f>VLOOKUP(A137,Enforcements!$C$7:$E$21,3,0)</f>
        <v>#N/A</v>
      </c>
      <c r="AD137" s="63" t="str">
        <f>IF(LEN(A137)=6,"0"&amp;A137,A137)</f>
        <v>0231-01</v>
      </c>
      <c r="AE137" s="99" t="str">
        <f>"aws s3 cp "&amp;s3_bucket&amp;"/RTDC"&amp;B137&amp;"/"&amp;TEXT(F137,"YYYY-MM-DD")&amp;"/ "&amp;search_path&amp;"\RTDC"&amp;B137&amp;"\"&amp;TEXT(F137,"YYYY-MM-DD")&amp;" --recursive &amp; """&amp;walkandungz&amp;""" "&amp;search_path&amp;"\RTDC"&amp;B137&amp;"\"&amp;TEXT(F137,"YYYY-MM-DD")
&amp;" &amp; "&amp;"aws s3 cp "&amp;s3_bucket&amp;"/RTDC"&amp;B137&amp;"/"&amp;TEXT(F137+1,"YYYY-MM-DD")&amp;"/ "&amp;search_path&amp;"\RTDC"&amp;B137&amp;"\"&amp;TEXT(F137+1,"YYYY-MM-DD")&amp;" --recursive &amp; """&amp;walkandungz&amp;""" "&amp;search_path&amp;"\RTDC"&amp;B137&amp;"\"&amp;TEXT(F137+1,"YYYY-MM-DD")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37" s="96" t="str">
        <f>astrogrep_path&amp;" /spath="&amp;search_path&amp;" /stypes=""*"&amp;B137&amp;"*"&amp;TEXT(I137-utc_offset/24,"YYYYMMDD")&amp;"*"" /stext="" "&amp;TEXT(I137-utc_offset/24,"HH")&amp;search_regexp&amp;""" /e /r /s"</f>
        <v>"C:\Program Files (x86)\AstroGrep\AstroGrep.exe" /spath="%USERPROFILE%\AppData\Local\Temp\OnboardLogs" /stypes="*4042*20160902*" /stext=" 04:.+((SYSTEM_STATE.+slice.+state.+changed )|(ment ac)|(system.+state.+changed )|(\|lc)|(penalty)|(\[timeout)|(PRM\|1\|D)|(kpr)|(kdp))" /e /r /s</v>
      </c>
      <c r="AG137" s="1" t="str">
        <f>IFERROR(IF(VALUE(LEFT(AD137,2))&lt;=2,"EC",IF(OR(VALUE(LEFT(AD137,2))=8,VALUE(LEFT(AD137,2))=18),"NW","Other")),"Other")</f>
        <v>EC</v>
      </c>
      <c r="AH137" s="100" t="str">
        <f t="shared" si="12"/>
        <v>"%USERPROFILE%\Documents\GitHub\eaglep3\Utilities\RefineRTDCRunTimes.py" --tripid 231-01 --locoid 4042 --swversion DE.1.0.7.0 --startMP 204:484 --initTime 2016-09-01T21:24:53 --startdatetime 2016-09-01T21:30:25 --delay 5 --endMP 204:233305 --enddatetime 2016-09-01T22:05:17 --enforcementcount 0 &gt;&gt;C:\Users\stu\Documents\GitHub\eaglep3-reporting\EC\2016-09-01-refined-times.txt</v>
      </c>
      <c r="AI137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{"issue":{"subject":"","project_id":79,"tracker_id":40,"status_id":1,"priority_id":2,"assigned_to_id":23,"start_date":"2016-09-01","description":"","custom_fields":[{"id":1,"name":"Subdivision","value":"EC"},{"id":4,"name":"Milepost","value":"23.2821"},{"id":17,"name":"Train ID","value":"231-01"},{"id":16,"name":"Locomotive ID","value":"4042"},{"id":130,"name":"Impact","value":""},{"id":150,"name":"Time of Event (Mountain Time)","value":"22:05:17"},{"id":151,"name":"Denver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553</v>
      </c>
      <c r="B138" s="7">
        <v>4041</v>
      </c>
      <c r="C138" s="24" t="s">
        <v>113</v>
      </c>
      <c r="D138" s="24" t="s">
        <v>274</v>
      </c>
      <c r="E138" s="15">
        <v>42614.929976851854</v>
      </c>
      <c r="F138" s="15">
        <v>42614.934895833336</v>
      </c>
      <c r="G138" s="7">
        <v>1</v>
      </c>
      <c r="H138" s="15" t="s">
        <v>152</v>
      </c>
      <c r="I138" s="15">
        <v>42614.960706018515</v>
      </c>
      <c r="J138" s="7">
        <v>0</v>
      </c>
      <c r="K138" s="132" t="str">
        <f>IF(ISEVEN(B138),(B138-1)&amp;"/"&amp;B138,B138&amp;"/"&amp;(B138+1))</f>
        <v>4041/4042</v>
      </c>
      <c r="L138" s="24" t="str">
        <f>VLOOKUP(A138,'Trips&amp;Operators'!$C$1:$E$10000,3,FALSE)</f>
        <v>COOLAHAN</v>
      </c>
      <c r="M138" s="6">
        <f>I138-F138</f>
        <v>2.5810185179580003E-2</v>
      </c>
      <c r="N138" s="7">
        <f>24*60*SUM($M138:$M138)</f>
        <v>37.166666658595204</v>
      </c>
      <c r="O138" s="7"/>
      <c r="P138" s="7"/>
      <c r="Q138" s="25"/>
      <c r="R138" s="25"/>
      <c r="S138" s="37">
        <f>SUM(U138:U138)/IF(AG138="EC",12,1)</f>
        <v>1</v>
      </c>
      <c r="T138" s="52" t="str">
        <f>IF(ISEVEN(LEFT(AD138,4)),"Southbound","NorthBound")</f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hh:mm:ss")&amp;"-0600',mode:absolute,to:'"&amp;TEXT(I138+1/24,"yyyy-MM-DD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https://search-rtdc-monitor-bjffxe2xuh6vdkpspy63sjmuny.us-east-1.es.amazonaws.com/_plugin/kibana/#/discover/Steve-Slow-Train-Analysis-(2080s-and-2083s)?_g=(refreshInterval:(display:Off,section:0,value:0),time:(from:'2016-09-01 21:19:10-0600',mode:absolute,to:'2016-09-02 00:03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38" s="54" t="str">
        <f>IF(AA138&lt;IF(AG138="EC",23,5.65),"Y","N")</f>
        <v>N</v>
      </c>
      <c r="X138" s="120">
        <f>VALUE(LEFT(AD138,4))-VALUE(LEFT(AD137,4))</f>
        <v>1</v>
      </c>
      <c r="Y138" s="69">
        <f>RIGHT(D138,LEN(D138)-4)/10000</f>
        <v>23.297799999999999</v>
      </c>
      <c r="Z138" s="69">
        <f>RIGHT(H138,LEN(H138)-4)/10000</f>
        <v>1.54E-2</v>
      </c>
      <c r="AA138" s="69">
        <f>ABS(Z138-Y138)</f>
        <v>23.282399999999999</v>
      </c>
      <c r="AB138" s="66" t="e">
        <f>VLOOKUP(A138,Enforcements!$C$7:$J$21,8,0)</f>
        <v>#N/A</v>
      </c>
      <c r="AC138" s="62" t="e">
        <f>VLOOKUP(A138,Enforcements!$C$7:$E$21,3,0)</f>
        <v>#N/A</v>
      </c>
      <c r="AD138" s="63" t="str">
        <f>IF(LEN(A138)=6,"0"&amp;A138,A138)</f>
        <v>0232-01</v>
      </c>
      <c r="AE138" s="99" t="str">
        <f>"aws s3 cp "&amp;s3_bucket&amp;"/RTDC"&amp;B138&amp;"/"&amp;TEXT(F138,"YYYY-MM-DD")&amp;"/ "&amp;search_path&amp;"\RTDC"&amp;B138&amp;"\"&amp;TEXT(F138,"YYYY-MM-DD")&amp;" --recursive &amp; """&amp;walkandungz&amp;""" "&amp;search_path&amp;"\RTDC"&amp;B138&amp;"\"&amp;TEXT(F138,"YYYY-MM-DD")
&amp;" &amp; "&amp;"aws s3 cp "&amp;s3_bucket&amp;"/RTDC"&amp;B138&amp;"/"&amp;TEXT(F138+1,"YYYY-MM-DD")&amp;"/ "&amp;search_path&amp;"\RTDC"&amp;B138&amp;"\"&amp;TEXT(F138+1,"YYYY-MM-DD")&amp;" --recursive &amp; """&amp;walkandungz&amp;""" "&amp;search_path&amp;"\RTDC"&amp;B138&amp;"\"&amp;TEXT(F138+1,"YYYY-MM-DD")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138" s="96" t="str">
        <f>astrogrep_path&amp;" /spath="&amp;search_path&amp;" /stypes=""*"&amp;B138&amp;"*"&amp;TEXT(I138-utc_offset/24,"YYYYMMDD")&amp;"*"" /stext="" "&amp;TEXT(I138-utc_offset/24,"HH")&amp;search_regexp&amp;""" /e /r /s"</f>
        <v>"C:\Program Files (x86)\AstroGrep\AstroGrep.exe" /spath="%USERPROFILE%\AppData\Local\Temp\OnboardLogs" /stypes="*4041*20160902*" /stext=" 05:.+((SYSTEM_STATE.+slice.+state.+changed )|(ment ac)|(system.+state.+changed )|(\|lc)|(penalty)|(\[timeout)|(PRM\|1\|D)|(kpr)|(kdp))" /e /r /s</v>
      </c>
      <c r="AG138" s="1" t="str">
        <f>IFERROR(IF(VALUE(LEFT(AD138,2))&lt;=2,"EC",IF(OR(VALUE(LEFT(AD138,2))=8,VALUE(LEFT(AD138,2))=18),"NW","Other")),"Other")</f>
        <v>EC</v>
      </c>
      <c r="AH138" s="100" t="str">
        <f t="shared" si="12"/>
        <v>"%USERPROFILE%\Documents\GitHub\eaglep3\Utilities\RefineRTDCRunTimes.py" --tripid 232-01 --locoid 4041 --swversion DE.1.0.7.0 --startMP 204:232978 --initTime 2016-09-01T22:19:10 --startdatetime 2016-09-01T22:26:15 --delay 1 --endMP 204:154 --enddatetime 2016-09-01T23:03:25 --enforcementcount 0 &gt;&gt;C:\Users\stu\Documents\GitHub\eaglep3-reporting\EC\2016-09-01-refined-times.txt</v>
      </c>
      <c r="AI138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{"issue":{"subject":"","project_id":79,"tracker_id":40,"status_id":1,"priority_id":2,"assigned_to_id":23,"start_date":"2016-09-01","description":"","custom_fields":[{"id":1,"name":"Subdivision","value":"EC"},{"id":4,"name":"Milepost","value":"23.2824"},{"id":17,"name":"Train ID","value":"232-01"},{"id":16,"name":"Locomotive ID","value":"4041"},{"id":130,"name":"Impact","value":""},{"id":150,"name":"Time of Event (Mountain Time)","value":"23:03:25"},{"id":151,"name":"Denver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554</v>
      </c>
      <c r="B139" s="7">
        <v>4011</v>
      </c>
      <c r="C139" s="24" t="s">
        <v>113</v>
      </c>
      <c r="D139" s="24" t="s">
        <v>109</v>
      </c>
      <c r="E139" s="15">
        <v>42614.910127314812</v>
      </c>
      <c r="F139" s="15">
        <v>42614.917199074072</v>
      </c>
      <c r="G139" s="7">
        <v>1</v>
      </c>
      <c r="H139" s="15" t="s">
        <v>258</v>
      </c>
      <c r="I139" s="15">
        <v>42614.941319444442</v>
      </c>
      <c r="J139" s="7">
        <v>0</v>
      </c>
      <c r="K139" s="132" t="str">
        <f>IF(ISEVEN(B139),(B139-1)&amp;"/"&amp;B139,B139&amp;"/"&amp;(B139+1))</f>
        <v>4011/4012</v>
      </c>
      <c r="L139" s="24" t="str">
        <f>VLOOKUP(A139,'Trips&amp;Operators'!$C$1:$E$10000,3,FALSE)</f>
        <v>STAMBAUGH</v>
      </c>
      <c r="M139" s="6">
        <f>I139-F139</f>
        <v>2.4120370369928423E-2</v>
      </c>
      <c r="N139" s="7">
        <f>24*60*SUM($M139:$M139)</f>
        <v>34.73333333269693</v>
      </c>
      <c r="O139" s="7"/>
      <c r="P139" s="7"/>
      <c r="Q139" s="25"/>
      <c r="R139" s="25"/>
      <c r="S139" s="37">
        <f>SUM(U139:U139)/IF(AG139="EC",12,1)</f>
        <v>1</v>
      </c>
      <c r="T139" s="52" t="str">
        <f>IF(ISEVEN(LEFT(AD139,4)),"Southbound","NorthBound")</f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https://search-rtdc-monitor-bjffxe2xuh6vdkpspy63sjmuny.us-east-1.es.amazonaws.com/_plugin/kibana/#/discover/Steve-Slow-Train-Analysis-(2080s-and-2083s)?_g=(refreshInterval:(display:Off,section:0,value:0),time:(from:'2016-09-01 20:50:35-0600',mode:absolute,to:'2016-09-01 23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39" s="54" t="str">
        <f>IF(AA139&lt;IF(AG139="EC",23,5.65),"Y","N")</f>
        <v>N</v>
      </c>
      <c r="X139" s="120">
        <f>VALUE(LEFT(AD139,4))-VALUE(LEFT(AD138,4))</f>
        <v>1</v>
      </c>
      <c r="Y139" s="69">
        <f>RIGHT(D139,LEN(D139)-4)/10000</f>
        <v>4.6199999999999998E-2</v>
      </c>
      <c r="Z139" s="69">
        <f>RIGHT(H139,LEN(H139)-4)/10000</f>
        <v>23.301300000000001</v>
      </c>
      <c r="AA139" s="69">
        <f>ABS(Z139-Y139)</f>
        <v>23.255100000000002</v>
      </c>
      <c r="AB139" s="66" t="e">
        <f>VLOOKUP(A139,Enforcements!$C$7:$J$21,8,0)</f>
        <v>#N/A</v>
      </c>
      <c r="AC139" s="62" t="e">
        <f>VLOOKUP(A139,Enforcements!$C$7:$E$21,3,0)</f>
        <v>#N/A</v>
      </c>
      <c r="AD139" s="63" t="str">
        <f>IF(LEN(A139)=6,"0"&amp;A139,A139)</f>
        <v>0233-01</v>
      </c>
      <c r="AE139" s="99" t="str">
        <f>"aws s3 cp "&amp;s3_bucket&amp;"/RTDC"&amp;B139&amp;"/"&amp;TEXT(F139,"YYYY-MM-DD")&amp;"/ "&amp;search_path&amp;"\RTDC"&amp;B139&amp;"\"&amp;TEXT(F139,"YYYY-MM-DD")&amp;" --recursive &amp; """&amp;walkandungz&amp;""" "&amp;search_path&amp;"\RTDC"&amp;B139&amp;"\"&amp;TEXT(F139,"YYYY-MM-DD")
&amp;" &amp; "&amp;"aws s3 cp "&amp;s3_bucket&amp;"/RTDC"&amp;B139&amp;"/"&amp;TEXT(F139+1,"YYYY-MM-DD")&amp;"/ "&amp;search_path&amp;"\RTDC"&amp;B139&amp;"\"&amp;TEXT(F139+1,"YYYY-MM-DD")&amp;" --recursive &amp; """&amp;walkandungz&amp;""" "&amp;search_path&amp;"\RTDC"&amp;B139&amp;"\"&amp;TEXT(F139+1,"YYYY-MM-DD")</f>
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</c>
      <c r="AF139" s="96" t="str">
        <f>astrogrep_path&amp;" /spath="&amp;search_path&amp;" /stypes=""*"&amp;B139&amp;"*"&amp;TEXT(I139-utc_offset/24,"YYYYMMDD")&amp;"*"" /stext="" "&amp;TEXT(I139-utc_offset/24,"HH")&amp;search_regexp&amp;""" /e /r /s"</f>
        <v>"C:\Program Files (x86)\AstroGrep\AstroGrep.exe" /spath="%USERPROFILE%\AppData\Local\Temp\OnboardLogs" /stypes="*4011*20160902*" /stext=" 04:.+((SYSTEM_STATE.+slice.+state.+changed )|(ment ac)|(system.+state.+changed )|(\|lc)|(penalty)|(\[timeout)|(PRM\|1\|D)|(kpr)|(kdp))" /e /r /s</v>
      </c>
      <c r="AG139" s="1" t="str">
        <f>IFERROR(IF(VALUE(LEFT(AD139,2))&lt;=2,"EC",IF(OR(VALUE(LEFT(AD139,2))=8,VALUE(LEFT(AD139,2))=18),"NW","Other")),"Other")</f>
        <v>EC</v>
      </c>
      <c r="AH139" s="100" t="str">
        <f t="shared" si="12"/>
        <v>"%USERPROFILE%\Documents\GitHub\eaglep3\Utilities\RefineRTDCRunTimes.py" --tripid 233-01 --locoid 4011 --swversion DE.1.0.7.0 --startMP 204:462 --initTime 2016-09-01T21:50:35 --startdatetime 2016-09-01T22:00:46 --delay 1 --endMP 204:233013 --enddatetime 2016-09-01T22:35:30 --enforcementcount 0 &gt;&gt;C:\Users\stu\Documents\GitHub\eaglep3-reporting\EC\2016-09-01-refined-times.txt</v>
      </c>
      <c r="AI139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{"issue":{"subject":"","project_id":79,"tracker_id":40,"status_id":1,"priority_id":2,"assigned_to_id":23,"start_date":"2016-09-01","description":"","custom_fields":[{"id":1,"name":"Subdivision","value":"EC"},{"id":4,"name":"Milepost","value":"23.2551"},{"id":17,"name":"Train ID","value":"233-01"},{"id":16,"name":"Locomotive ID","value":"4011"},{"id":130,"name":"Impact","value":""},{"id":150,"name":"Time of Event (Mountain Time)","value":"22:35:30"},{"id":151,"name":"Denver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555</v>
      </c>
      <c r="B140" s="7">
        <v>4012</v>
      </c>
      <c r="C140" s="24" t="s">
        <v>113</v>
      </c>
      <c r="D140" s="24" t="s">
        <v>556</v>
      </c>
      <c r="E140" s="15">
        <v>42614.951956018522</v>
      </c>
      <c r="F140" s="15">
        <v>42614.95653935185</v>
      </c>
      <c r="G140" s="7">
        <v>1</v>
      </c>
      <c r="H140" s="15" t="s">
        <v>557</v>
      </c>
      <c r="I140" s="15">
        <v>42614.982685185183</v>
      </c>
      <c r="J140" s="7">
        <v>0</v>
      </c>
      <c r="K140" s="132" t="str">
        <f>IF(ISEVEN(B140),(B140-1)&amp;"/"&amp;B140,B140&amp;"/"&amp;(B140+1))</f>
        <v>4011/4012</v>
      </c>
      <c r="L140" s="24" t="str">
        <f>VLOOKUP(A140,'Trips&amp;Operators'!$C$1:$E$10000,3,FALSE)</f>
        <v>STAMBAUGH</v>
      </c>
      <c r="M140" s="6">
        <f>I140-F140</f>
        <v>2.6145833333430346E-2</v>
      </c>
      <c r="N140" s="7">
        <f>24*60*SUM($M140:$M140)</f>
        <v>37.650000000139698</v>
      </c>
      <c r="O140" s="7"/>
      <c r="P140" s="7"/>
      <c r="Q140" s="25"/>
      <c r="R140" s="25"/>
      <c r="S140" s="37">
        <f>SUM(U140:U140)/IF(AG140="EC",12,1)</f>
        <v>1</v>
      </c>
      <c r="T140" s="52" t="str">
        <f>IF(ISEVEN(LEFT(AD140,4)),"Southbound","NorthBound")</f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https://search-rtdc-monitor-bjffxe2xuh6vdkpspy63sjmuny.us-east-1.es.amazonaws.com/_plugin/kibana/#/discover/Steve-Slow-Train-Analysis-(2080s-and-2083s)?_g=(refreshInterval:(display:Off,section:0,value:0),time:(from:'2016-09-01 21:50:49-0600',mode:absolute,to:'2016-09-02 00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40" s="54" t="str">
        <f>IF(AA140&lt;IF(AG140="EC",23,5.65),"Y","N")</f>
        <v>N</v>
      </c>
      <c r="X140" s="120">
        <f>VALUE(LEFT(AD140,4))-VALUE(LEFT(AD139,4))</f>
        <v>1</v>
      </c>
      <c r="Y140" s="69">
        <f>RIGHT(D140,LEN(D140)-4)/10000</f>
        <v>23.270600000000002</v>
      </c>
      <c r="Z140" s="69">
        <f>RIGHT(H140,LEN(H140)-4)/10000</f>
        <v>1.1900000000000001E-2</v>
      </c>
      <c r="AA140" s="69">
        <f>ABS(Z140-Y140)</f>
        <v>23.258700000000001</v>
      </c>
      <c r="AB140" s="66" t="e">
        <f>VLOOKUP(A140,Enforcements!$C$7:$J$21,8,0)</f>
        <v>#N/A</v>
      </c>
      <c r="AC140" s="62" t="e">
        <f>VLOOKUP(A140,Enforcements!$C$7:$E$21,3,0)</f>
        <v>#N/A</v>
      </c>
      <c r="AD140" s="63" t="str">
        <f>IF(LEN(A140)=6,"0"&amp;A140,A140)</f>
        <v>0234-01</v>
      </c>
      <c r="AE140" s="99" t="str">
        <f>"aws s3 cp "&amp;s3_bucket&amp;"/RTDC"&amp;B140&amp;"/"&amp;TEXT(F140,"YYYY-MM-DD")&amp;"/ "&amp;search_path&amp;"\RTDC"&amp;B140&amp;"\"&amp;TEXT(F140,"YYYY-MM-DD")&amp;" --recursive &amp; """&amp;walkandungz&amp;""" "&amp;search_path&amp;"\RTDC"&amp;B140&amp;"\"&amp;TEXT(F140,"YYYY-MM-DD")
&amp;" &amp; "&amp;"aws s3 cp "&amp;s3_bucket&amp;"/RTDC"&amp;B140&amp;"/"&amp;TEXT(F140+1,"YYYY-MM-DD")&amp;"/ "&amp;search_path&amp;"\RTDC"&amp;B140&amp;"\"&amp;TEXT(F140+1,"YYYY-MM-DD")&amp;" --recursive &amp; """&amp;walkandungz&amp;""" "&amp;search_path&amp;"\RTDC"&amp;B140&amp;"\"&amp;TEXT(F140+1,"YYYY-MM-DD")</f>
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</c>
      <c r="AF140" s="96" t="str">
        <f>astrogrep_path&amp;" /spath="&amp;search_path&amp;" /stypes=""*"&amp;B140&amp;"*"&amp;TEXT(I140-utc_offset/24,"YYYYMMDD")&amp;"*"" /stext="" "&amp;TEXT(I140-utc_offset/24,"HH")&amp;search_regexp&amp;""" /e /r /s"</f>
        <v>"C:\Program Files (x86)\AstroGrep\AstroGrep.exe" /spath="%USERPROFILE%\AppData\Local\Temp\OnboardLogs" /stypes="*4012*20160902*" /stext=" 05:.+((SYSTEM_STATE.+slice.+state.+changed )|(ment ac)|(system.+state.+changed )|(\|lc)|(penalty)|(\[timeout)|(PRM\|1\|D)|(kpr)|(kdp))" /e /r /s</v>
      </c>
      <c r="AG140" s="1" t="str">
        <f>IFERROR(IF(VALUE(LEFT(AD140,2))&lt;=2,"EC",IF(OR(VALUE(LEFT(AD140,2))=8,VALUE(LEFT(AD140,2))=18),"NW","Other")),"Other")</f>
        <v>EC</v>
      </c>
      <c r="AH140" s="100" t="str">
        <f t="shared" si="12"/>
        <v>"%USERPROFILE%\Documents\GitHub\eaglep3\Utilities\RefineRTDCRunTimes.py" --tripid 234-01 --locoid 4012 --swversion DE.1.0.7.0 --startMP 204:232706 --initTime 2016-09-01T22:50:49 --startdatetime 2016-09-01T22:57:25 --delay 1 --endMP 204:119 --enddatetime 2016-09-01T23:35:04 --enforcementcount 0 &gt;&gt;C:\Users\stu\Documents\GitHub\eaglep3-reporting\EC\2016-09-01-refined-times.txt</v>
      </c>
      <c r="AI140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{"issue":{"subject":"","project_id":79,"tracker_id":40,"status_id":1,"priority_id":2,"assigned_to_id":23,"start_date":"2016-09-01","description":"","custom_fields":[{"id":1,"name":"Subdivision","value":"EC"},{"id":4,"name":"Milepost","value":"23.2587"},{"id":17,"name":"Train ID","value":"234-01"},{"id":16,"name":"Locomotive ID","value":"4012"},{"id":130,"name":"Impact","value":""},{"id":150,"name":"Time of Event (Mountain Time)","value":"23:35:04"},{"id":151,"name":"Denver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558</v>
      </c>
      <c r="B141" s="7">
        <v>4020</v>
      </c>
      <c r="C141" s="24" t="s">
        <v>113</v>
      </c>
      <c r="D141" s="24" t="s">
        <v>125</v>
      </c>
      <c r="E141" s="15">
        <v>42614.931898148148</v>
      </c>
      <c r="F141" s="15">
        <v>42614.937743055554</v>
      </c>
      <c r="G141" s="7">
        <v>1</v>
      </c>
      <c r="H141" s="15" t="s">
        <v>401</v>
      </c>
      <c r="I141" s="15">
        <v>42614.962881944448</v>
      </c>
      <c r="J141" s="7">
        <v>0</v>
      </c>
      <c r="K141" s="132" t="str">
        <f>IF(ISEVEN(B141),(B141-1)&amp;"/"&amp;B141,B141&amp;"/"&amp;(B141+1))</f>
        <v>4019/4020</v>
      </c>
      <c r="L141" s="24" t="str">
        <f>VLOOKUP(A141,'Trips&amp;Operators'!$C$1:$E$10000,3,FALSE)</f>
        <v>OUN</v>
      </c>
      <c r="M141" s="6">
        <f>I141-F141</f>
        <v>2.513888889370719E-2</v>
      </c>
      <c r="N141" s="7">
        <f>24*60*SUM($M141:$M141)</f>
        <v>36.200000006938353</v>
      </c>
      <c r="O141" s="7"/>
      <c r="P141" s="7"/>
      <c r="Q141" s="25"/>
      <c r="R141" s="25"/>
      <c r="S141" s="37">
        <f>SUM(U141:U141)/IF(AG141="EC",12,1)</f>
        <v>1</v>
      </c>
      <c r="T141" s="52" t="str">
        <f>IF(ISEVEN(LEFT(AD141,4)),"Southbound","NorthBound")</f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https://search-rtdc-monitor-bjffxe2xuh6vdkpspy63sjmuny.us-east-1.es.amazonaws.com/_plugin/kibana/#/discover/Steve-Slow-Train-Analysis-(2080s-and-2083s)?_g=(refreshInterval:(display:Off,section:0,value:0),time:(from:'2016-09-01 21:21:56-0600',mode:absolute,to:'2016-09-02 00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41" s="54" t="str">
        <f>IF(AA141&lt;IF(AG141="EC",23,5.65),"Y","N")</f>
        <v>N</v>
      </c>
      <c r="X141" s="120">
        <f>VALUE(LEFT(AD141,4))-VALUE(LEFT(AD140,4))</f>
        <v>1</v>
      </c>
      <c r="Y141" s="69">
        <f>RIGHT(D141,LEN(D141)-4)/10000</f>
        <v>4.5499999999999999E-2</v>
      </c>
      <c r="Z141" s="69">
        <f>RIGHT(H141,LEN(H141)-4)/10000</f>
        <v>23.3322</v>
      </c>
      <c r="AA141" s="69">
        <f>ABS(Z141-Y141)</f>
        <v>23.2867</v>
      </c>
      <c r="AB141" s="66" t="e">
        <f>VLOOKUP(A141,Enforcements!$C$7:$J$21,8,0)</f>
        <v>#N/A</v>
      </c>
      <c r="AC141" s="62" t="e">
        <f>VLOOKUP(A141,Enforcements!$C$7:$E$21,3,0)</f>
        <v>#N/A</v>
      </c>
      <c r="AD141" s="63" t="str">
        <f>IF(LEN(A141)=6,"0"&amp;A141,A141)</f>
        <v>0235-01</v>
      </c>
      <c r="AE141" s="99" t="str">
        <f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141" s="96" t="str">
        <f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/stypes="*4020*20160902*" /stext=" 05:.+((SYSTEM_STATE.+slice.+state.+changed )|(ment ac)|(system.+state.+changed )|(\|lc)|(penalty)|(\[timeout)|(PRM\|1\|D)|(kpr)|(kdp))" /e /r /s</v>
      </c>
      <c r="AG141" s="1" t="str">
        <f>IFERROR(IF(VALUE(LEFT(AD141,2))&lt;=2,"EC",IF(OR(VALUE(LEFT(AD141,2))=8,VALUE(LEFT(AD141,2))=18),"NW","Other")),"Other")</f>
        <v>EC</v>
      </c>
      <c r="AH141" s="100" t="str">
        <f t="shared" si="12"/>
        <v>"%USERPROFILE%\Documents\GitHub\eaglep3\Utilities\RefineRTDCRunTimes.py" --tripid 235-01 --locoid 4020 --swversion DE.1.0.7.0 --startMP 204:455 --initTime 2016-09-01T22:21:56 --startdatetime 2016-09-01T22:30:21 --delay 1 --endMP 204:233322 --enddatetime 2016-09-01T23:06:33 --enforcementcount 0 &gt;&gt;C:\Users\stu\Documents\GitHub\eaglep3-reporting\EC\2016-09-01-refined-times.txt</v>
      </c>
      <c r="AI141" s="149" t="str">
        <f t="shared" si="13"/>
        <v>echo {"issue":{"subject":"","project_id":79,"tracker_id":40,"status_id":1,"priority_id":2,"assigned_to_id":23,"start_date":"2016-09-01","description":"","custom_fields":[{"id":1,"name":"Subdivision","value":"EC"},{"id":4,"name":"Milepost","value":"23.2867"},{"id":17,"name":"Train ID","value":"235-01"},{"id":16,"name":"Locomotive ID","value":"4020"},{"id":130,"name":"Impact","value":""},{"id":150,"name":"Time of Event (Mountain Time)","value":"23:06:33"},{"id":151,"name":"Denver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559</v>
      </c>
      <c r="B142" s="7">
        <v>4019</v>
      </c>
      <c r="C142" s="24" t="s">
        <v>113</v>
      </c>
      <c r="D142" s="24" t="s">
        <v>410</v>
      </c>
      <c r="E142" s="15">
        <v>42614.969837962963</v>
      </c>
      <c r="F142" s="15">
        <v>42614.976666666669</v>
      </c>
      <c r="G142" s="7">
        <v>1</v>
      </c>
      <c r="H142" s="15" t="s">
        <v>89</v>
      </c>
      <c r="I142" s="15">
        <v>42615.003935185188</v>
      </c>
      <c r="J142" s="7">
        <v>0</v>
      </c>
      <c r="K142" s="132" t="str">
        <f>IF(ISEVEN(B142),(B142-1)&amp;"/"&amp;B142,B142&amp;"/"&amp;(B142+1))</f>
        <v>4019/4020</v>
      </c>
      <c r="L142" s="24" t="str">
        <f>VLOOKUP(A142,'Trips&amp;Operators'!$C$1:$E$10000,3,FALSE)</f>
        <v>OUN</v>
      </c>
      <c r="M142" s="6">
        <f>I142-F142</f>
        <v>2.7268518519122154E-2</v>
      </c>
      <c r="N142" s="7">
        <f>24*60*SUM($M142:$M142)</f>
        <v>39.266666667535901</v>
      </c>
      <c r="O142" s="7"/>
      <c r="P142" s="7"/>
      <c r="Q142" s="25"/>
      <c r="R142" s="25"/>
      <c r="S142" s="37">
        <f>SUM(U142:U142)/IF(AG142="EC",12,1)</f>
        <v>1</v>
      </c>
      <c r="T142" s="52" t="str">
        <f>IF(ISEVEN(LEFT(AD142,4)),"Southbound","NorthBound")</f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hh:mm:ss")&amp;"-0600',mode:absolute,to:'"&amp;TEXT(I142+1/24,"yyyy-MM-DD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https://search-rtdc-monitor-bjffxe2xuh6vdkpspy63sjmuny.us-east-1.es.amazonaws.com/_plugin/kibana/#/discover/Steve-Slow-Train-Analysis-(2080s-and-2083s)?_g=(refreshInterval:(display:Off,section:0,value:0),time:(from:'2016-09-01 22:16:34-0600',mode:absolute,to:'2016-09-02 01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42" s="54" t="str">
        <f>IF(AA142&lt;IF(AG142="EC",23,5.65),"Y","N")</f>
        <v>N</v>
      </c>
      <c r="X142" s="120">
        <f>VALUE(LEFT(AD142,4))-VALUE(LEFT(AD141,4))</f>
        <v>1</v>
      </c>
      <c r="Y142" s="69">
        <f>RIGHT(D142,LEN(D142)-4)/10000</f>
        <v>23.298400000000001</v>
      </c>
      <c r="Z142" s="69">
        <f>RIGHT(H142,LEN(H142)-4)/10000</f>
        <v>1.43E-2</v>
      </c>
      <c r="AA142" s="69">
        <f>ABS(Z142-Y142)</f>
        <v>23.284100000000002</v>
      </c>
      <c r="AB142" s="66" t="e">
        <f>VLOOKUP(A142,Enforcements!$C$7:$J$21,8,0)</f>
        <v>#N/A</v>
      </c>
      <c r="AC142" s="62" t="e">
        <f>VLOOKUP(A142,Enforcements!$C$7:$E$21,3,0)</f>
        <v>#N/A</v>
      </c>
      <c r="AD142" s="63" t="str">
        <f>IF(LEN(A142)=6,"0"&amp;A142,A142)</f>
        <v>0236-01</v>
      </c>
      <c r="AE142" s="99" t="str">
        <f>"aws s3 cp "&amp;s3_bucket&amp;"/RTDC"&amp;B142&amp;"/"&amp;TEXT(F142,"YYYY-MM-DD")&amp;"/ "&amp;search_path&amp;"\RTDC"&amp;B142&amp;"\"&amp;TEXT(F142,"YYYY-MM-DD")&amp;" --recursive &amp; """&amp;walkandungz&amp;""" "&amp;search_path&amp;"\RTDC"&amp;B142&amp;"\"&amp;TEXT(F142,"YYYY-MM-DD")
&amp;" &amp; "&amp;"aws s3 cp "&amp;s3_bucket&amp;"/RTDC"&amp;B142&amp;"/"&amp;TEXT(F142+1,"YYYY-MM-DD")&amp;"/ "&amp;search_path&amp;"\RTDC"&amp;B142&amp;"\"&amp;TEXT(F142+1,"YYYY-MM-DD")&amp;" --recursive &amp; """&amp;walkandungz&amp;""" "&amp;search_path&amp;"\RTDC"&amp;B142&amp;"\"&amp;TEXT(F142+1,"YYYY-MM-DD")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142" s="96" t="str">
        <f>astrogrep_path&amp;" /spath="&amp;search_path&amp;" /stypes=""*"&amp;B142&amp;"*"&amp;TEXT(I142-utc_offset/24,"YYYYMMDD")&amp;"*"" /stext="" "&amp;TEXT(I142-utc_offset/24,"HH")&amp;search_regexp&amp;""" /e /r /s"</f>
        <v>"C:\Program Files (x86)\AstroGrep\AstroGrep.exe" /spath="%USERPROFILE%\AppData\Local\Temp\OnboardLogs" /stypes="*4019*20160902*" /stext=" 06:.+((SYSTEM_STATE.+slice.+state.+changed )|(ment ac)|(system.+state.+changed )|(\|lc)|(penalty)|(\[timeout)|(PRM\|1\|D)|(kpr)|(kdp))" /e /r /s</v>
      </c>
      <c r="AG142" s="1" t="str">
        <f>IFERROR(IF(VALUE(LEFT(AD142,2))&lt;=2,"EC",IF(OR(VALUE(LEFT(AD142,2))=8,VALUE(LEFT(AD142,2))=18),"NW","Other")),"Other")</f>
        <v>EC</v>
      </c>
      <c r="AH142" s="100" t="str">
        <f t="shared" ref="AH142:AH204" si="1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236-01 --locoid 4019 --swversion DE.1.0.7.0 --startMP 204:232984 --initTime 2016-09-01T23:16:34 --startdatetime 2016-09-01T23:26:24 --delay 1 --endMP 204:143 --enddatetime 2016-09-02T00:05:40 --enforcementcount 0 &gt;&gt;C:\Users\stu\Documents\GitHub\eaglep3-reporting\EC\2016-09-01-refined-times.txt</v>
      </c>
      <c r="AI142" s="149" t="str">
        <f t="shared" ref="AI142:AI204" si="16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AA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{"issue":{"subject":"","project_id":79,"tracker_id":40,"status_id":1,"priority_id":2,"assigned_to_id":23,"start_date":"2016-09-02","description":"","custom_fields":[{"id":1,"name":"Subdivision","value":"EC"},{"id":4,"name":"Milepost","value":"23.2841"},{"id":17,"name":"Train ID","value":"236-01"},{"id":16,"name":"Locomotive ID","value":"4019"},{"id":130,"name":"Impact","value":""},{"id":150,"name":"Time of Event (Mountain Time)","value":"00:05:40"},{"id":151,"name":"Denver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560</v>
      </c>
      <c r="B143" s="7">
        <v>4018</v>
      </c>
      <c r="C143" s="24" t="s">
        <v>113</v>
      </c>
      <c r="D143" s="24" t="s">
        <v>387</v>
      </c>
      <c r="E143" s="15">
        <v>42614.953680555554</v>
      </c>
      <c r="F143" s="15">
        <v>42614.958645833336</v>
      </c>
      <c r="G143" s="7">
        <v>1</v>
      </c>
      <c r="H143" s="15" t="s">
        <v>561</v>
      </c>
      <c r="I143" s="15">
        <v>42614.983032407406</v>
      </c>
      <c r="J143" s="7">
        <v>0</v>
      </c>
      <c r="K143" s="132" t="str">
        <f>IF(ISEVEN(B143),(B143-1)&amp;"/"&amp;B143,B143&amp;"/"&amp;(B143+1))</f>
        <v>4017/4018</v>
      </c>
      <c r="L143" s="24" t="str">
        <f>VLOOKUP(A143,'Trips&amp;Operators'!$C$1:$E$10000,3,FALSE)</f>
        <v>HILLS</v>
      </c>
      <c r="M143" s="6">
        <f>I143-F143</f>
        <v>2.438657407037681E-2</v>
      </c>
      <c r="N143" s="7">
        <f>24*60*SUM($M143:$M143)</f>
        <v>35.116666661342606</v>
      </c>
      <c r="O143" s="7"/>
      <c r="P143" s="7"/>
      <c r="Q143" s="25"/>
      <c r="R143" s="25"/>
      <c r="S143" s="37">
        <f>SUM(U143:U143)/IF(AG143="EC",12,1)</f>
        <v>1</v>
      </c>
      <c r="T143" s="52" t="str">
        <f>IF(ISEVEN(LEFT(AD143,4)),"Southbound","NorthBound")</f>
        <v>NorthBound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https://search-rtdc-monitor-bjffxe2xuh6vdkpspy63sjmuny.us-east-1.es.amazonaws.com/_plugin/kibana/#/discover/Steve-Slow-Train-Analysis-(2080s-and-2083s)?_g=(refreshInterval:(display:Off,section:0,value:0),time:(from:'2016-09-01 21:53:18-0600',mode:absolute,to:'2016-09-02 00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43" s="54" t="str">
        <f>IF(AA143&lt;IF(AG143="EC",23,5.65),"Y","N")</f>
        <v>N</v>
      </c>
      <c r="X143" s="120">
        <f>VALUE(LEFT(AD143,4))-VALUE(LEFT(AD142,4))</f>
        <v>1</v>
      </c>
      <c r="Y143" s="69">
        <f>RIGHT(D143,LEN(D143)-4)/10000</f>
        <v>4.7300000000000002E-2</v>
      </c>
      <c r="Z143" s="69">
        <f>RIGHT(H143,LEN(H143)-4)/10000</f>
        <v>23.328399999999998</v>
      </c>
      <c r="AA143" s="69">
        <f>ABS(Z143-Y143)</f>
        <v>23.281099999999999</v>
      </c>
      <c r="AB143" s="66" t="e">
        <f>VLOOKUP(A143,Enforcements!$C$7:$J$21,8,0)</f>
        <v>#N/A</v>
      </c>
      <c r="AC143" s="62" t="e">
        <f>VLOOKUP(A143,Enforcements!$C$7:$E$21,3,0)</f>
        <v>#N/A</v>
      </c>
      <c r="AD143" s="63" t="str">
        <f>IF(LEN(A143)=6,"0"&amp;A143,A143)</f>
        <v>0237-01</v>
      </c>
      <c r="AE143" s="99" t="str">
        <f>"aws s3 cp "&amp;s3_bucket&amp;"/RTDC"&amp;B143&amp;"/"&amp;TEXT(F143,"YYYY-MM-DD")&amp;"/ "&amp;search_path&amp;"\RTDC"&amp;B143&amp;"\"&amp;TEXT(F143,"YYYY-MM-DD")&amp;" --recursive &amp; """&amp;walkandungz&amp;""" "&amp;search_path&amp;"\RTDC"&amp;B143&amp;"\"&amp;TEXT(F143,"YYYY-MM-DD")
&amp;" &amp; "&amp;"aws s3 cp "&amp;s3_bucket&amp;"/RTDC"&amp;B143&amp;"/"&amp;TEXT(F143+1,"YYYY-MM-DD")&amp;"/ "&amp;search_path&amp;"\RTDC"&amp;B143&amp;"\"&amp;TEXT(F143+1,"YYYY-MM-DD")&amp;" --recursive &amp; """&amp;walkandungz&amp;""" "&amp;search_path&amp;"\RTDC"&amp;B143&amp;"\"&amp;TEXT(F143+1,"YYYY-MM-DD")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43" s="96" t="str">
        <f>astrogrep_path&amp;" /spath="&amp;search_path&amp;" /stypes=""*"&amp;B143&amp;"*"&amp;TEXT(I143-utc_offset/24,"YYYYMMDD")&amp;"*"" /stext="" "&amp;TEXT(I143-utc_offset/24,"HH")&amp;search_regexp&amp;""" /e /r /s"</f>
        <v>"C:\Program Files (x86)\AstroGrep\AstroGrep.exe" /spath="%USERPROFILE%\AppData\Local\Temp\OnboardLogs" /stypes="*4018*20160902*" /stext=" 05:.+((SYSTEM_STATE.+slice.+state.+changed )|(ment ac)|(system.+state.+changed )|(\|lc)|(penalty)|(\[timeout)|(PRM\|1\|D)|(kpr)|(kdp))" /e /r /s</v>
      </c>
      <c r="AG143" s="1" t="str">
        <f>IFERROR(IF(VALUE(LEFT(AD143,2))&lt;=2,"EC",IF(OR(VALUE(LEFT(AD143,2))=8,VALUE(LEFT(AD143,2))=18),"NW","Other")),"Other")</f>
        <v>EC</v>
      </c>
      <c r="AH143" s="100" t="str">
        <f t="shared" si="15"/>
        <v>"%USERPROFILE%\Documents\GitHub\eaglep3\Utilities\RefineRTDCRunTimes.py" --tripid 237-01 --locoid 4018 --swversion DE.1.0.7.0 --startMP 204:473 --initTime 2016-09-01T22:53:18 --startdatetime 2016-09-01T23:00:27 --delay 1 --endMP 204:233284 --enddatetime 2016-09-01T23:35:34 --enforcementcount 0 &gt;&gt;C:\Users\stu\Documents\GitHub\eaglep3-reporting\EC\2016-09-01-refined-times.txt</v>
      </c>
      <c r="AI143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{"issue":{"subject":"","project_id":79,"tracker_id":40,"status_id":1,"priority_id":2,"assigned_to_id":23,"start_date":"2016-09-01","description":"","custom_fields":[{"id":1,"name":"Subdivision","value":"EC"},{"id":4,"name":"Milepost","value":"23.2811"},{"id":17,"name":"Train ID","value":"237-01"},{"id":16,"name":"Locomotive ID","value":"4018"},{"id":130,"name":"Impact","value":""},{"id":150,"name":"Time of Event (Mountain Time)","value":"23:35:34"},{"id":151,"name":"Denver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562</v>
      </c>
      <c r="B144" s="7">
        <v>4017</v>
      </c>
      <c r="C144" s="24" t="s">
        <v>113</v>
      </c>
      <c r="D144" s="24" t="s">
        <v>563</v>
      </c>
      <c r="E144" s="15">
        <v>42614.99019675926</v>
      </c>
      <c r="F144" s="15">
        <v>42614.997407407405</v>
      </c>
      <c r="G144" s="7">
        <v>1</v>
      </c>
      <c r="H144" s="15" t="s">
        <v>152</v>
      </c>
      <c r="I144" s="15">
        <v>42615.027789351851</v>
      </c>
      <c r="J144" s="7">
        <v>0</v>
      </c>
      <c r="K144" s="132" t="str">
        <f>IF(ISEVEN(B144),(B144-1)&amp;"/"&amp;B144,B144&amp;"/"&amp;(B144+1))</f>
        <v>4017/4018</v>
      </c>
      <c r="L144" s="24" t="str">
        <f>VLOOKUP(A144,'Trips&amp;Operators'!$C$1:$E$10000,3,FALSE)</f>
        <v>HILLS</v>
      </c>
      <c r="M144" s="6">
        <f>I144-F144</f>
        <v>3.0381944445252884E-2</v>
      </c>
      <c r="N144" s="7">
        <f>24*60*SUM($M144:$M144)</f>
        <v>43.750000001164153</v>
      </c>
      <c r="O144" s="7"/>
      <c r="P144" s="7"/>
      <c r="Q144" s="25"/>
      <c r="R144" s="25"/>
      <c r="S144" s="37">
        <f>SUM(U144:U144)/IF(AG144="EC",12,1)</f>
        <v>1</v>
      </c>
      <c r="T144" s="52" t="str">
        <f>IF(ISEVEN(LEFT(AD144,4)),"Southbound","NorthBound")</f>
        <v>Southbound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https://search-rtdc-monitor-bjffxe2xuh6vdkpspy63sjmuny.us-east-1.es.amazonaws.com/_plugin/kibana/#/discover/Steve-Slow-Train-Analysis-(2080s-and-2083s)?_g=(refreshInterval:(display:Off,section:0,value:0),time:(from:'2016-09-01 22:45:53-0600',mode:absolute,to:'2016-09-02 01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44" s="54" t="str">
        <f>IF(AA144&lt;IF(AG144="EC",23,5.65),"Y","N")</f>
        <v>N</v>
      </c>
      <c r="X144" s="120">
        <f>VALUE(LEFT(AD144,4))-VALUE(LEFT(AD143,4))</f>
        <v>1</v>
      </c>
      <c r="Y144" s="69">
        <f>RIGHT(D144,LEN(D144)-4)/10000</f>
        <v>23.299199999999999</v>
      </c>
      <c r="Z144" s="69">
        <f>RIGHT(H144,LEN(H144)-4)/10000</f>
        <v>1.54E-2</v>
      </c>
      <c r="AA144" s="69">
        <f>ABS(Z144-Y144)</f>
        <v>23.283799999999999</v>
      </c>
      <c r="AB144" s="66">
        <f>VLOOKUP(A144,Enforcements!$C$7:$J$21,8,0)</f>
        <v>63309</v>
      </c>
      <c r="AC144" s="62" t="str">
        <f>VLOOKUP(A144,Enforcements!$C$7:$E$21,3,0)</f>
        <v>GRADE CROSSING</v>
      </c>
      <c r="AD144" s="63" t="str">
        <f>IF(LEN(A144)=6,"0"&amp;A144,A144)</f>
        <v>0238-01</v>
      </c>
      <c r="AE144" s="99" t="str">
        <f>"aws s3 cp "&amp;s3_bucket&amp;"/RTDC"&amp;B144&amp;"/"&amp;TEXT(F144,"YYYY-MM-DD")&amp;"/ "&amp;search_path&amp;"\RTDC"&amp;B144&amp;"\"&amp;TEXT(F144,"YYYY-MM-DD")&amp;" --recursive &amp; """&amp;walkandungz&amp;""" "&amp;search_path&amp;"\RTDC"&amp;B144&amp;"\"&amp;TEXT(F144,"YYYY-MM-DD")
&amp;" &amp; "&amp;"aws s3 cp "&amp;s3_bucket&amp;"/RTDC"&amp;B144&amp;"/"&amp;TEXT(F144+1,"YYYY-MM-DD")&amp;"/ "&amp;search_path&amp;"\RTDC"&amp;B144&amp;"\"&amp;TEXT(F144+1,"YYYY-MM-DD")&amp;" --recursive &amp; """&amp;walkandungz&amp;""" "&amp;search_path&amp;"\RTDC"&amp;B144&amp;"\"&amp;TEXT(F144+1,"YYYY-MM-DD")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144" s="96" t="str">
        <f>astrogrep_path&amp;" /spath="&amp;search_path&amp;" /stypes=""*"&amp;B144&amp;"*"&amp;TEXT(I144-utc_offset/24,"YYYYMMDD")&amp;"*"" /stext="" "&amp;TEXT(I144-utc_offset/24,"HH")&amp;search_regexp&amp;""" /e /r /s"</f>
        <v>"C:\Program Files (x86)\AstroGrep\AstroGrep.exe" /spath="%USERPROFILE%\AppData\Local\Temp\OnboardLogs" /stypes="*4017*20160902*" /stext=" 06:.+((SYSTEM_STATE.+slice.+state.+changed )|(ment ac)|(system.+state.+changed )|(\|lc)|(penalty)|(\[timeout)|(PRM\|1\|D)|(kpr)|(kdp))" /e /r /s</v>
      </c>
      <c r="AG144" s="1" t="str">
        <f>IFERROR(IF(VALUE(LEFT(AD144,2))&lt;=2,"EC",IF(OR(VALUE(LEFT(AD144,2))=8,VALUE(LEFT(AD144,2))=18),"NW","Other")),"Other")</f>
        <v>EC</v>
      </c>
      <c r="AH144" s="100" t="str">
        <f t="shared" si="15"/>
        <v>"%USERPROFILE%\Documents\GitHub\eaglep3\Utilities\RefineRTDCRunTimes.py" --tripid 238-01 --locoid 4017 --swversion DE.1.0.7.0 --startMP 204:232992 --initTime 2016-09-01T23:45:53 --startdatetime 2016-09-01T23:56:16 --delay 1 --endMP 204:154 --enddatetime 2016-09-02T00:40:01 --enforcementcount 0 &gt;&gt;C:\Users\stu\Documents\GitHub\eaglep3-reporting\EC\2016-09-01-refined-times.txt</v>
      </c>
      <c r="AI144" s="149" t="str">
        <f t="shared" si="16"/>
        <v>echo {"issue":{"subject":"","project_id":79,"tracker_id":40,"status_id":1,"priority_id":2,"assigned_to_id":23,"start_date":"2016-09-02","description":"","custom_fields":[{"id":1,"name":"Subdivision","value":"EC"},{"id":4,"name":"Milepost","value":"23.2838"},{"id":17,"name":"Train ID","value":"238-01"},{"id":16,"name":"Locomotive ID","value":"4017"},{"id":130,"name":"Impact","value":""},{"id":150,"name":"Time of Event (Mountain Time)","value":"00:40:01"},{"id":151,"name":"Denver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564</v>
      </c>
      <c r="B145" s="7">
        <v>4042</v>
      </c>
      <c r="C145" s="24" t="s">
        <v>113</v>
      </c>
      <c r="D145" s="24" t="s">
        <v>259</v>
      </c>
      <c r="E145" s="15">
        <v>42614.976203703707</v>
      </c>
      <c r="F145" s="15">
        <v>42614.979467592595</v>
      </c>
      <c r="G145" s="7">
        <v>1</v>
      </c>
      <c r="H145" s="15" t="s">
        <v>388</v>
      </c>
      <c r="I145" s="15">
        <v>42615.003831018519</v>
      </c>
      <c r="J145" s="7">
        <v>0</v>
      </c>
      <c r="K145" s="132" t="str">
        <f>IF(ISEVEN(B145),(B145-1)&amp;"/"&amp;B145,B145&amp;"/"&amp;(B145+1))</f>
        <v>4041/4042</v>
      </c>
      <c r="L145" s="24" t="str">
        <f>VLOOKUP(A145,'Trips&amp;Operators'!$C$1:$E$10000,3,FALSE)</f>
        <v>COOLAHAN</v>
      </c>
      <c r="M145" s="6">
        <f>I145-F145</f>
        <v>2.4363425924093463E-2</v>
      </c>
      <c r="N145" s="7">
        <f>24*60*SUM($M145:$M145)</f>
        <v>35.083333330694586</v>
      </c>
      <c r="O145" s="7"/>
      <c r="P145" s="7"/>
      <c r="Q145" s="25"/>
      <c r="R145" s="25"/>
      <c r="S145" s="37">
        <f>SUM(U145:U145)/IF(AG145="EC",12,1)</f>
        <v>1</v>
      </c>
      <c r="T145" s="52" t="str">
        <f>IF(ISEVEN(LEFT(AD145,4)),"Southbound","NorthBound")</f>
        <v>NorthBound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hh:mm:ss")&amp;"-0600',mode:absolute,to:'"&amp;TEXT(I145+1/24,"yyyy-MM-DD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https://search-rtdc-monitor-bjffxe2xuh6vdkpspy63sjmuny.us-east-1.es.amazonaws.com/_plugin/kibana/#/discover/Steve-Slow-Train-Analysis-(2080s-and-2083s)?_g=(refreshInterval:(display:Off,section:0,value:0),time:(from:'2016-09-01 22:25:44-0600',mode:absolute,to:'2016-09-02 01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45" s="54" t="str">
        <f>IF(AA145&lt;IF(AG145="EC",23,5.65),"Y","N")</f>
        <v>N</v>
      </c>
      <c r="X145" s="120">
        <f>VALUE(LEFT(AD145,4))-VALUE(LEFT(AD144,4))</f>
        <v>1</v>
      </c>
      <c r="Y145" s="69">
        <f>RIGHT(D145,LEN(D145)-4)/10000</f>
        <v>4.4600000000000001E-2</v>
      </c>
      <c r="Z145" s="69">
        <f>RIGHT(H145,LEN(H145)-4)/10000</f>
        <v>23.332799999999999</v>
      </c>
      <c r="AA145" s="69">
        <f>ABS(Z145-Y145)</f>
        <v>23.2882</v>
      </c>
      <c r="AB145" s="66" t="e">
        <f>VLOOKUP(A145,Enforcements!$C$7:$J$21,8,0)</f>
        <v>#N/A</v>
      </c>
      <c r="AC145" s="62" t="e">
        <f>VLOOKUP(A145,Enforcements!$C$7:$E$21,3,0)</f>
        <v>#N/A</v>
      </c>
      <c r="AD145" s="63" t="str">
        <f>IF(LEN(A145)=6,"0"&amp;A145,A145)</f>
        <v>0239-01</v>
      </c>
      <c r="AE145" s="99" t="str">
        <f>"aws s3 cp "&amp;s3_bucket&amp;"/RTDC"&amp;B145&amp;"/"&amp;TEXT(F145,"YYYY-MM-DD")&amp;"/ "&amp;search_path&amp;"\RTDC"&amp;B145&amp;"\"&amp;TEXT(F145,"YYYY-MM-DD")&amp;" --recursive &amp; """&amp;walkandungz&amp;""" "&amp;search_path&amp;"\RTDC"&amp;B145&amp;"\"&amp;TEXT(F145,"YYYY-MM-DD")
&amp;" &amp; "&amp;"aws s3 cp "&amp;s3_bucket&amp;"/RTDC"&amp;B145&amp;"/"&amp;TEXT(F145+1,"YYYY-MM-DD")&amp;"/ "&amp;search_path&amp;"\RTDC"&amp;B145&amp;"\"&amp;TEXT(F145+1,"YYYY-MM-DD")&amp;" --recursive &amp; """&amp;walkandungz&amp;""" "&amp;search_path&amp;"\RTDC"&amp;B145&amp;"\"&amp;TEXT(F145+1,"YYYY-MM-DD")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45" s="96" t="str">
        <f>astrogrep_path&amp;" /spath="&amp;search_path&amp;" /stypes=""*"&amp;B145&amp;"*"&amp;TEXT(I145-utc_offset/24,"YYYYMMDD")&amp;"*"" /stext="" "&amp;TEXT(I145-utc_offset/24,"HH")&amp;search_regexp&amp;""" /e /r /s"</f>
        <v>"C:\Program Files (x86)\AstroGrep\AstroGrep.exe" /spath="%USERPROFILE%\AppData\Local\Temp\OnboardLogs" /stypes="*4042*20160902*" /stext=" 06:.+((SYSTEM_STATE.+slice.+state.+changed )|(ment ac)|(system.+state.+changed )|(\|lc)|(penalty)|(\[timeout)|(PRM\|1\|D)|(kpr)|(kdp))" /e /r /s</v>
      </c>
      <c r="AG145" s="1" t="str">
        <f>IFERROR(IF(VALUE(LEFT(AD145,2))&lt;=2,"EC",IF(OR(VALUE(LEFT(AD145,2))=8,VALUE(LEFT(AD145,2))=18),"NW","Other")),"Other")</f>
        <v>EC</v>
      </c>
      <c r="AH145" s="100" t="str">
        <f t="shared" si="15"/>
        <v>"%USERPROFILE%\Documents\GitHub\eaglep3\Utilities\RefineRTDCRunTimes.py" --tripid 239-01 --locoid 4042 --swversion DE.1.0.7.0 --startMP 204:446 --initTime 2016-09-01T23:25:44 --startdatetime 2016-09-01T23:30:26 --delay 1 --endMP 204:233328 --enddatetime 2016-09-02T00:05:31 --enforcementcount 0 &gt;&gt;C:\Users\stu\Documents\GitHub\eaglep3-reporting\EC\2016-09-01-refined-times.txt</v>
      </c>
      <c r="AI145" s="149" t="str">
        <f t="shared" si="16"/>
        <v>echo {"issue":{"subject":"","project_id":79,"tracker_id":40,"status_id":1,"priority_id":2,"assigned_to_id":23,"start_date":"2016-09-02","description":"","custom_fields":[{"id":1,"name":"Subdivision","value":"EC"},{"id":4,"name":"Milepost","value":"23.2882"},{"id":17,"name":"Train ID","value":"239-01"},{"id":16,"name":"Locomotive ID","value":"4042"},{"id":130,"name":"Impact","value":""},{"id":150,"name":"Time of Event (Mountain Time)","value":"00:05:31"},{"id":151,"name":"Denver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565</v>
      </c>
      <c r="B146" s="7">
        <v>4041</v>
      </c>
      <c r="C146" s="24" t="s">
        <v>113</v>
      </c>
      <c r="D146" s="24" t="s">
        <v>563</v>
      </c>
      <c r="E146" s="15">
        <v>42615.014594907407</v>
      </c>
      <c r="F146" s="15">
        <v>42615.018680555557</v>
      </c>
      <c r="G146" s="7">
        <v>5</v>
      </c>
      <c r="H146" s="15" t="s">
        <v>566</v>
      </c>
      <c r="I146" s="15">
        <v>42615.044594907406</v>
      </c>
      <c r="J146" s="7">
        <v>0</v>
      </c>
      <c r="K146" s="132" t="str">
        <f>IF(ISEVEN(B146),(B146-1)&amp;"/"&amp;B146,B146&amp;"/"&amp;(B146+1))</f>
        <v>4041/4042</v>
      </c>
      <c r="L146" s="24" t="str">
        <f>VLOOKUP(A146,'Trips&amp;Operators'!$C$1:$E$10000,3,FALSE)</f>
        <v>COOLAHAN</v>
      </c>
      <c r="M146" s="6">
        <f>I146-F146</f>
        <v>2.5914351848769002E-2</v>
      </c>
      <c r="N146" s="7">
        <f>24*60*SUM($M146:$M146)</f>
        <v>37.316666662227362</v>
      </c>
      <c r="O146" s="7"/>
      <c r="P146" s="7"/>
      <c r="Q146" s="25"/>
      <c r="R146" s="25"/>
      <c r="S146" s="37">
        <f>SUM(U146:U146)/IF(AG146="EC",12,1)</f>
        <v>1</v>
      </c>
      <c r="T146" s="52" t="str">
        <f>IF(ISEVEN(LEFT(AD146,4)),"Southbound","NorthBound")</f>
        <v>Southbound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hh:mm:ss")&amp;"-0600',mode:absolute,to:'"&amp;TEXT(I146+1/24,"yyyy-MM-DD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https://search-rtdc-monitor-bjffxe2xuh6vdkpspy63sjmuny.us-east-1.es.amazonaws.com/_plugin/kibana/#/discover/Steve-Slow-Train-Analysis-(2080s-and-2083s)?_g=(refreshInterval:(display:Off,section:0,value:0),time:(from:'2016-09-01 23:21:01-0600',mode:absolute,to:'2016-09-02 02:04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6" s="54" t="str">
        <f>IF(AA146&lt;IF(AG146="EC",23,5.65),"Y","N")</f>
        <v>N</v>
      </c>
      <c r="X146" s="120">
        <f>VALUE(LEFT(AD146,4))-VALUE(LEFT(AD145,4))</f>
        <v>1</v>
      </c>
      <c r="Y146" s="69">
        <f>RIGHT(D146,LEN(D146)-4)/10000</f>
        <v>23.299199999999999</v>
      </c>
      <c r="Z146" s="69">
        <f>RIGHT(H146,LEN(H146)-4)/10000</f>
        <v>5.0900000000000001E-2</v>
      </c>
      <c r="AA146" s="69">
        <f>ABS(Z146-Y146)</f>
        <v>23.2483</v>
      </c>
      <c r="AB146" s="66" t="e">
        <f>VLOOKUP(A146,Enforcements!$C$7:$J$21,8,0)</f>
        <v>#N/A</v>
      </c>
      <c r="AC146" s="62" t="e">
        <f>VLOOKUP(A146,Enforcements!$C$7:$E$21,3,0)</f>
        <v>#N/A</v>
      </c>
      <c r="AD146" s="63" t="str">
        <f>IF(LEN(A146)=6,"0"&amp;A146,A146)</f>
        <v>0240-01</v>
      </c>
      <c r="AE146" s="99" t="str">
        <f>"aws s3 cp "&amp;s3_bucket&amp;"/RTDC"&amp;B146&amp;"/"&amp;TEXT(F146,"YYYY-MM-DD")&amp;"/ "&amp;search_path&amp;"\RTDC"&amp;B146&amp;"\"&amp;TEXT(F146,"YYYY-MM-DD")&amp;" --recursive &amp; """&amp;walkandungz&amp;""" "&amp;search_path&amp;"\RTDC"&amp;B146&amp;"\"&amp;TEXT(F146,"YYYY-MM-DD")
&amp;" &amp; "&amp;"aws s3 cp "&amp;s3_bucket&amp;"/RTDC"&amp;B146&amp;"/"&amp;TEXT(F146+1,"YYYY-MM-DD")&amp;"/ "&amp;search_path&amp;"\RTDC"&amp;B146&amp;"\"&amp;TEXT(F146+1,"YYYY-MM-DD")&amp;" --recursive &amp; """&amp;walkandungz&amp;""" "&amp;search_path&amp;"\RTDC"&amp;B146&amp;"\"&amp;TEXT(F146+1,"YYYY-MM-DD")</f>
        <v>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 &amp; 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</v>
      </c>
      <c r="AF146" s="96" t="str">
        <f>astrogrep_path&amp;" /spath="&amp;search_path&amp;" /stypes=""*"&amp;B146&amp;"*"&amp;TEXT(I146-utc_offset/24,"YYYYMMDD")&amp;"*"" /stext="" "&amp;TEXT(I146-utc_offset/24,"HH")&amp;search_regexp&amp;""" /e /r /s"</f>
        <v>"C:\Program Files (x86)\AstroGrep\AstroGrep.exe" /spath="%USERPROFILE%\AppData\Local\Temp\OnboardLogs" /stypes="*4041*20160902*" /stext=" 07:.+((SYSTEM_STATE.+slice.+state.+changed )|(ment ac)|(system.+state.+changed )|(\|lc)|(penalty)|(\[timeout)|(PRM\|1\|D)|(kpr)|(kdp))" /e /r /s</v>
      </c>
      <c r="AG146" s="1" t="str">
        <f>IFERROR(IF(VALUE(LEFT(AD146,2))&lt;=2,"EC",IF(OR(VALUE(LEFT(AD146,2))=8,VALUE(LEFT(AD146,2))=18),"NW","Other")),"Other")</f>
        <v>EC</v>
      </c>
      <c r="AH146" s="100" t="str">
        <f t="shared" si="15"/>
        <v>"%USERPROFILE%\Documents\GitHub\eaglep3\Utilities\RefineRTDCRunTimes.py" --tripid 240-01 --locoid 4041 --swversion DE.1.0.7.0 --startMP 204:232992 --initTime 2016-09-02T00:21:01 --startdatetime 2016-09-02T00:26:54 --delay 5 --endMP 204:509 --enddatetime 2016-09-02T01:04:13 --enforcementcount 0 &gt;&gt;C:\Users\stu\Documents\GitHub\eaglep3-reporting\EC\2016-09-01-refined-times.txt</v>
      </c>
      <c r="AI146" s="149" t="str">
        <f t="shared" si="16"/>
        <v>echo {"issue":{"subject":"","project_id":79,"tracker_id":40,"status_id":1,"priority_id":2,"assigned_to_id":23,"start_date":"2016-09-02","description":"","custom_fields":[{"id":1,"name":"Subdivision","value":"EC"},{"id":4,"name":"Milepost","value":"23.2483"},{"id":17,"name":"Train ID","value":"240-01"},{"id":16,"name":"Locomotive ID","value":"4041"},{"id":130,"name":"Impact","value":""},{"id":150,"name":"Time of Event (Mountain Time)","value":"01:04:13"},{"id":151,"name":"Denver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567</v>
      </c>
      <c r="B147" s="7">
        <v>4011</v>
      </c>
      <c r="C147" s="24" t="s">
        <v>113</v>
      </c>
      <c r="D147" s="24" t="s">
        <v>425</v>
      </c>
      <c r="E147" s="15">
        <v>42614.984456018516</v>
      </c>
      <c r="F147" s="15">
        <v>42615.000659722224</v>
      </c>
      <c r="G147" s="7">
        <v>1</v>
      </c>
      <c r="H147" s="15" t="s">
        <v>568</v>
      </c>
      <c r="I147" s="15">
        <v>42615.026099537034</v>
      </c>
      <c r="J147" s="7">
        <v>0</v>
      </c>
      <c r="K147" s="132" t="str">
        <f>IF(ISEVEN(B147),(B147-1)&amp;"/"&amp;B147,B147&amp;"/"&amp;(B147+1))</f>
        <v>4011/4012</v>
      </c>
      <c r="L147" s="24" t="str">
        <f>VLOOKUP(A147,'Trips&amp;Operators'!$C$1:$E$10000,3,FALSE)</f>
        <v>STAMBAUGH</v>
      </c>
      <c r="M147" s="6">
        <f>I147-F147</f>
        <v>2.5439814809942618E-2</v>
      </c>
      <c r="N147" s="7">
        <f>24*60*SUM($M147:$M147)</f>
        <v>36.63333332631737</v>
      </c>
      <c r="O147" s="7"/>
      <c r="P147" s="7"/>
      <c r="Q147" s="25"/>
      <c r="R147" s="25"/>
      <c r="S147" s="37">
        <f>SUM(U147:U147)/IF(AG147="EC",12,1)</f>
        <v>1</v>
      </c>
      <c r="T147" s="52" t="str">
        <f>IF(ISEVEN(LEFT(AD147,4)),"Southbound","NorthBound")</f>
        <v>NorthBound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hh:mm:ss")&amp;"-0600',mode:absolute,to:'"&amp;TEXT(I147+1/24,"yyyy-MM-DD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https://search-rtdc-monitor-bjffxe2xuh6vdkpspy63sjmuny.us-east-1.es.amazonaws.com/_plugin/kibana/#/discover/Steve-Slow-Train-Analysis-(2080s-and-2083s)?_g=(refreshInterval:(display:Off,section:0,value:0),time:(from:'2016-09-01 22:37:37-0600',mode:absolute,to:'2016-09-02 01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47" s="54" t="str">
        <f>IF(AA147&lt;IF(AG147="EC",23,5.65),"Y","N")</f>
        <v>N</v>
      </c>
      <c r="X147" s="120">
        <f>VALUE(LEFT(AD147,4))-VALUE(LEFT(AD146,4))</f>
        <v>1</v>
      </c>
      <c r="Y147" s="69">
        <f>RIGHT(D147,LEN(D147)-4)/10000</f>
        <v>4.3700000000000003E-2</v>
      </c>
      <c r="Z147" s="69">
        <f>RIGHT(H147,LEN(H147)-4)/10000</f>
        <v>23.340699999999998</v>
      </c>
      <c r="AA147" s="69">
        <f>ABS(Z147-Y147)</f>
        <v>23.296999999999997</v>
      </c>
      <c r="AB147" s="66">
        <f>VLOOKUP(A147,Enforcements!$C$7:$J$21,8,0)</f>
        <v>20338</v>
      </c>
      <c r="AC147" s="62" t="str">
        <f>VLOOKUP(A147,Enforcements!$C$7:$E$21,3,0)</f>
        <v>PERMANENT SPEED RESTRICTION</v>
      </c>
      <c r="AD147" s="63" t="str">
        <f>IF(LEN(A147)=6,"0"&amp;A147,A147)</f>
        <v>0241-01</v>
      </c>
      <c r="AE147" s="99" t="str">
        <f>"aws s3 cp "&amp;s3_bucket&amp;"/RTDC"&amp;B147&amp;"/"&amp;TEXT(F147,"YYYY-MM-DD")&amp;"/ "&amp;search_path&amp;"\RTDC"&amp;B147&amp;"\"&amp;TEXT(F147,"YYYY-MM-DD")&amp;" --recursive &amp; """&amp;walkandungz&amp;""" "&amp;search_path&amp;"\RTDC"&amp;B147&amp;"\"&amp;TEXT(F147,"YYYY-MM-DD")
&amp;" &amp; "&amp;"aws s3 cp "&amp;s3_bucket&amp;"/RTDC"&amp;B147&amp;"/"&amp;TEXT(F147+1,"YYYY-MM-DD")&amp;"/ "&amp;search_path&amp;"\RTDC"&amp;B147&amp;"\"&amp;TEXT(F147+1,"YYYY-MM-DD")&amp;" --recursive &amp; """&amp;walkandungz&amp;""" "&amp;search_path&amp;"\RTDC"&amp;B147&amp;"\"&amp;TEXT(F147+1,"YYYY-MM-DD")</f>
        <v>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 &amp; 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</v>
      </c>
      <c r="AF147" s="96" t="str">
        <f>astrogrep_path&amp;" /spath="&amp;search_path&amp;" /stypes=""*"&amp;B147&amp;"*"&amp;TEXT(I147-utc_offset/24,"YYYYMMDD")&amp;"*"" /stext="" "&amp;TEXT(I147-utc_offset/24,"HH")&amp;search_regexp&amp;""" /e /r /s"</f>
        <v>"C:\Program Files (x86)\AstroGrep\AstroGrep.exe" /spath="%USERPROFILE%\AppData\Local\Temp\OnboardLogs" /stypes="*4011*20160902*" /stext=" 06:.+((SYSTEM_STATE.+slice.+state.+changed )|(ment ac)|(system.+state.+changed )|(\|lc)|(penalty)|(\[timeout)|(PRM\|1\|D)|(kpr)|(kdp))" /e /r /s</v>
      </c>
      <c r="AG147" s="1" t="str">
        <f>IFERROR(IF(VALUE(LEFT(AD147,2))&lt;=2,"EC",IF(OR(VALUE(LEFT(AD147,2))=8,VALUE(LEFT(AD147,2))=18),"NW","Other")),"Other")</f>
        <v>EC</v>
      </c>
      <c r="AH147" s="100" t="str">
        <f t="shared" si="15"/>
        <v>"%USERPROFILE%\Documents\GitHub\eaglep3\Utilities\RefineRTDCRunTimes.py" --tripid 241-01 --locoid 4011 --swversion DE.1.0.7.0 --startMP 204:437 --initTime 2016-09-01T23:37:37 --startdatetime 2016-09-02T00:00:57 --delay 1 --endMP 204:233407 --enddatetime 2016-09-02T00:37:35 --enforcementcount 0 &gt;&gt;C:\Users\stu\Documents\GitHub\eaglep3-reporting\EC\2016-09-01-refined-times.txt</v>
      </c>
      <c r="AI147" s="149" t="str">
        <f t="shared" si="16"/>
        <v>echo {"issue":{"subject":"","project_id":79,"tracker_id":40,"status_id":1,"priority_id":2,"assigned_to_id":23,"start_date":"2016-09-02","description":"","custom_fields":[{"id":1,"name":"Subdivision","value":"EC"},{"id":4,"name":"Milepost","value":"23.297"},{"id":17,"name":"Train ID","value":"241-01"},{"id":16,"name":"Locomotive ID","value":"4011"},{"id":130,"name":"Impact","value":""},{"id":150,"name":"Time of Event (Mountain Time)","value":"00:37:35"},{"id":151,"name":"Denver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569</v>
      </c>
      <c r="B148" s="7">
        <v>4012</v>
      </c>
      <c r="C148" s="24" t="s">
        <v>113</v>
      </c>
      <c r="D148" s="24" t="s">
        <v>321</v>
      </c>
      <c r="E148" s="15">
        <v>42615.034733796296</v>
      </c>
      <c r="F148" s="15">
        <v>42615.039571759262</v>
      </c>
      <c r="G148" s="7">
        <v>1</v>
      </c>
      <c r="H148" s="15" t="s">
        <v>570</v>
      </c>
      <c r="I148" s="15">
        <v>42615.064976851849</v>
      </c>
      <c r="J148" s="7">
        <v>0</v>
      </c>
      <c r="K148" s="132" t="str">
        <f>IF(ISEVEN(B148),(B148-1)&amp;"/"&amp;B148,B148&amp;"/"&amp;(B148+1))</f>
        <v>4011/4012</v>
      </c>
      <c r="L148" s="24" t="str">
        <f>VLOOKUP(A148,'Trips&amp;Operators'!$C$1:$E$10000,3,FALSE)</f>
        <v>STAMBAUGH</v>
      </c>
      <c r="M148" s="6">
        <f>I148-F148</f>
        <v>2.5405092586879618E-2</v>
      </c>
      <c r="N148" s="7">
        <f>24*60*SUM($M148:$M148)</f>
        <v>36.583333325106651</v>
      </c>
      <c r="O148" s="7"/>
      <c r="P148" s="7"/>
      <c r="Q148" s="25"/>
      <c r="R148" s="25"/>
      <c r="S148" s="37">
        <f>SUM(U148:U148)/IF(AG148="EC",12,1)</f>
        <v>1</v>
      </c>
      <c r="T148" s="52" t="str">
        <f>IF(ISEVEN(LEFT(AD148,4)),"Southbound","NorthBound")</f>
        <v>Southbound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hh:mm:ss")&amp;"-0600',mode:absolute,to:'"&amp;TEXT(I148+1/24,"yyyy-MM-DD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https://search-rtdc-monitor-bjffxe2xuh6vdkpspy63sjmuny.us-east-1.es.amazonaws.com/_plugin/kibana/#/discover/Steve-Slow-Train-Analysis-(2080s-and-2083s)?_g=(refreshInterval:(display:Off,section:0,value:0),time:(from:'2016-09-01 23:50:01-0600',mode:absolute,to:'2016-09-02 02:33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48" s="54" t="str">
        <f>IF(AA148&lt;IF(AG148="EC",23,5.65),"Y","N")</f>
        <v>N</v>
      </c>
      <c r="X148" s="120">
        <f>VALUE(LEFT(AD148,4))-VALUE(LEFT(AD147,4))</f>
        <v>1</v>
      </c>
      <c r="Y148" s="69">
        <f>RIGHT(D148,LEN(D148)-4)/10000</f>
        <v>23.308</v>
      </c>
      <c r="Z148" s="69">
        <f>RIGHT(H148,LEN(H148)-4)/10000</f>
        <v>6.3E-3</v>
      </c>
      <c r="AA148" s="69">
        <f>ABS(Z148-Y148)</f>
        <v>23.3017</v>
      </c>
      <c r="AB148" s="66" t="e">
        <f>VLOOKUP(A148,Enforcements!$C$7:$J$21,8,0)</f>
        <v>#N/A</v>
      </c>
      <c r="AC148" s="62" t="e">
        <f>VLOOKUP(A148,Enforcements!$C$7:$E$21,3,0)</f>
        <v>#N/A</v>
      </c>
      <c r="AD148" s="63" t="str">
        <f>IF(LEN(A148)=6,"0"&amp;A148,A148)</f>
        <v>0242-01</v>
      </c>
      <c r="AE148" s="99" t="str">
        <f>"aws s3 cp "&amp;s3_bucket&amp;"/RTDC"&amp;B148&amp;"/"&amp;TEXT(F148,"YYYY-MM-DD")&amp;"/ "&amp;search_path&amp;"\RTDC"&amp;B148&amp;"\"&amp;TEXT(F148,"YYYY-MM-DD")&amp;" --recursive &amp; """&amp;walkandungz&amp;""" "&amp;search_path&amp;"\RTDC"&amp;B148&amp;"\"&amp;TEXT(F148,"YYYY-MM-DD")
&amp;" &amp; "&amp;"aws s3 cp "&amp;s3_bucket&amp;"/RTDC"&amp;B148&amp;"/"&amp;TEXT(F148+1,"YYYY-MM-DD")&amp;"/ "&amp;search_path&amp;"\RTDC"&amp;B148&amp;"\"&amp;TEXT(F148+1,"YYYY-MM-DD")&amp;" --recursive &amp; """&amp;walkandungz&amp;""" "&amp;search_path&amp;"\RTDC"&amp;B148&amp;"\"&amp;TEXT(F148+1,"YYYY-MM-DD")</f>
        <v>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 &amp; 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</v>
      </c>
      <c r="AF148" s="96" t="str">
        <f>astrogrep_path&amp;" /spath="&amp;search_path&amp;" /stypes=""*"&amp;B148&amp;"*"&amp;TEXT(I148-utc_offset/24,"YYYYMMDD")&amp;"*"" /stext="" "&amp;TEXT(I148-utc_offset/24,"HH")&amp;search_regexp&amp;""" /e /r /s"</f>
        <v>"C:\Program Files (x86)\AstroGrep\AstroGrep.exe" /spath="%USERPROFILE%\AppData\Local\Temp\OnboardLogs" /stypes="*4012*20160902*" /stext=" 07:.+((SYSTEM_STATE.+slice.+state.+changed )|(ment ac)|(system.+state.+changed )|(\|lc)|(penalty)|(\[timeout)|(PRM\|1\|D)|(kpr)|(kdp))" /e /r /s</v>
      </c>
      <c r="AG148" s="1" t="str">
        <f>IFERROR(IF(VALUE(LEFT(AD148,2))&lt;=2,"EC",IF(OR(VALUE(LEFT(AD148,2))=8,VALUE(LEFT(AD148,2))=18),"NW","Other")),"Other")</f>
        <v>EC</v>
      </c>
      <c r="AH148" s="100" t="str">
        <f t="shared" si="15"/>
        <v>"%USERPROFILE%\Documents\GitHub\eaglep3\Utilities\RefineRTDCRunTimes.py" --tripid 242-01 --locoid 4012 --swversion DE.1.0.7.0 --startMP 204:233080 --initTime 2016-09-02T00:50:01 --startdatetime 2016-09-02T00:56:59 --delay 1 --endMP 204:63 --enddatetime 2016-09-02T01:33:34 --enforcementcount 0 &gt;&gt;C:\Users\stu\Documents\GitHub\eaglep3-reporting\EC\2016-09-01-refined-times.txt</v>
      </c>
      <c r="AI148" s="149" t="str">
        <f t="shared" si="16"/>
        <v>echo {"issue":{"subject":"","project_id":79,"tracker_id":40,"status_id":1,"priority_id":2,"assigned_to_id":23,"start_date":"2016-09-02","description":"","custom_fields":[{"id":1,"name":"Subdivision","value":"EC"},{"id":4,"name":"Milepost","value":"23.3017"},{"id":17,"name":"Train ID","value":"242-01"},{"id":16,"name":"Locomotive ID","value":"4012"},{"id":130,"name":"Impact","value":""},{"id":150,"name":"Time of Event (Mountain Time)","value":"01:33:34"},{"id":151,"name":"Denver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571</v>
      </c>
      <c r="B149" s="7">
        <v>4020</v>
      </c>
      <c r="C149" s="24" t="s">
        <v>113</v>
      </c>
      <c r="D149" s="24" t="s">
        <v>318</v>
      </c>
      <c r="E149" s="15">
        <v>42615.015173611115</v>
      </c>
      <c r="F149" s="15">
        <v>42615.021157407406</v>
      </c>
      <c r="G149" s="7">
        <v>1</v>
      </c>
      <c r="H149" s="15" t="s">
        <v>293</v>
      </c>
      <c r="I149" s="15">
        <v>42615.046643518515</v>
      </c>
      <c r="J149" s="7">
        <v>0</v>
      </c>
      <c r="K149" s="132" t="str">
        <f>IF(ISEVEN(B149),(B149-1)&amp;"/"&amp;B149,B149&amp;"/"&amp;(B149+1))</f>
        <v>4019/4020</v>
      </c>
      <c r="L149" s="24" t="str">
        <f>VLOOKUP(A149,'Trips&amp;Operators'!$C$1:$E$10000,3,FALSE)</f>
        <v>OUN</v>
      </c>
      <c r="M149" s="6">
        <f>I149-F149</f>
        <v>2.548611110978527E-2</v>
      </c>
      <c r="N149" s="7">
        <f>24*60*SUM($M149:$M149)</f>
        <v>36.699999998090789</v>
      </c>
      <c r="O149" s="7"/>
      <c r="P149" s="7"/>
      <c r="Q149" s="25"/>
      <c r="R149" s="25"/>
      <c r="S149" s="37">
        <f>SUM(U149:U149)/IF(AG149="EC",12,1)</f>
        <v>1</v>
      </c>
      <c r="T149" s="52" t="str">
        <f>IF(ISEVEN(LEFT(AD149,4)),"Southbound","NorthBound")</f>
        <v>NorthBound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hh:mm:ss")&amp;"-0600',mode:absolute,to:'"&amp;TEXT(I149+1/24,"yyyy-MM-DD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https://search-rtdc-monitor-bjffxe2xuh6vdkpspy63sjmuny.us-east-1.es.amazonaws.com/_plugin/kibana/#/discover/Steve-Slow-Train-Analysis-(2080s-and-2083s)?_g=(refreshInterval:(display:Off,section:0,value:0),time:(from:'2016-09-01 23:21:51-0600',mode:absolute,to:'2016-09-02 02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49" s="54" t="str">
        <f>IF(AA149&lt;IF(AG149="EC",23,5.65),"Y","N")</f>
        <v>N</v>
      </c>
      <c r="X149" s="120">
        <f>VALUE(LEFT(AD149,4))-VALUE(LEFT(AD148,4))</f>
        <v>1</v>
      </c>
      <c r="Y149" s="69">
        <f>RIGHT(D149,LEN(D149)-4)/10000</f>
        <v>4.4400000000000002E-2</v>
      </c>
      <c r="Z149" s="69">
        <f>RIGHT(H149,LEN(H149)-4)/10000</f>
        <v>23.3309</v>
      </c>
      <c r="AA149" s="69">
        <f>ABS(Z149-Y149)</f>
        <v>23.2865</v>
      </c>
      <c r="AB149" s="66" t="e">
        <f>VLOOKUP(A149,Enforcements!$C$7:$J$21,8,0)</f>
        <v>#N/A</v>
      </c>
      <c r="AC149" s="62" t="e">
        <f>VLOOKUP(A149,Enforcements!$C$7:$E$21,3,0)</f>
        <v>#N/A</v>
      </c>
      <c r="AD149" s="63" t="str">
        <f>IF(LEN(A149)=6,"0"&amp;A149,A149)</f>
        <v>0243-01</v>
      </c>
      <c r="AE149" s="99" t="str">
        <f>"aws s3 cp "&amp;s3_bucket&amp;"/RTDC"&amp;B149&amp;"/"&amp;TEXT(F149,"YYYY-MM-DD")&amp;"/ "&amp;search_path&amp;"\RTDC"&amp;B149&amp;"\"&amp;TEXT(F149,"YYYY-MM-DD")&amp;" --recursive &amp; """&amp;walkandungz&amp;""" "&amp;search_path&amp;"\RTDC"&amp;B149&amp;"\"&amp;TEXT(F149,"YYYY-MM-DD")
&amp;" &amp; "&amp;"aws s3 cp "&amp;s3_bucket&amp;"/RTDC"&amp;B149&amp;"/"&amp;TEXT(F149+1,"YYYY-MM-DD")&amp;"/ "&amp;search_path&amp;"\RTDC"&amp;B149&amp;"\"&amp;TEXT(F149+1,"YYYY-MM-DD")&amp;" --recursive &amp; """&amp;walkandungz&amp;""" "&amp;search_path&amp;"\RTDC"&amp;B149&amp;"\"&amp;TEXT(F149+1,"YYYY-MM-DD")</f>
        <v>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 &amp; 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</v>
      </c>
      <c r="AF149" s="96" t="str">
        <f>astrogrep_path&amp;" /spath="&amp;search_path&amp;" /stypes=""*"&amp;B149&amp;"*"&amp;TEXT(I149-utc_offset/24,"YYYYMMDD")&amp;"*"" /stext="" "&amp;TEXT(I149-utc_offset/24,"HH")&amp;search_regexp&amp;""" /e /r /s"</f>
        <v>"C:\Program Files (x86)\AstroGrep\AstroGrep.exe" /spath="%USERPROFILE%\AppData\Local\Temp\OnboardLogs" /stypes="*4020*20160902*" /stext=" 07:.+((SYSTEM_STATE.+slice.+state.+changed )|(ment ac)|(system.+state.+changed )|(\|lc)|(penalty)|(\[timeout)|(PRM\|1\|D)|(kpr)|(kdp))" /e /r /s</v>
      </c>
      <c r="AG149" s="1" t="str">
        <f>IFERROR(IF(VALUE(LEFT(AD149,2))&lt;=2,"EC",IF(OR(VALUE(LEFT(AD149,2))=8,VALUE(LEFT(AD149,2))=18),"NW","Other")),"Other")</f>
        <v>EC</v>
      </c>
      <c r="AH149" s="100" t="str">
        <f t="shared" si="15"/>
        <v>"%USERPROFILE%\Documents\GitHub\eaglep3\Utilities\RefineRTDCRunTimes.py" --tripid 243-01 --locoid 4020 --swversion DE.1.0.7.0 --startMP 204:444 --initTime 2016-09-02T00:21:51 --startdatetime 2016-09-02T00:30:28 --delay 1 --endMP 204:233309 --enddatetime 2016-09-02T01:07:10 --enforcementcount 0 &gt;&gt;C:\Users\stu\Documents\GitHub\eaglep3-reporting\EC\2016-09-01-refined-times.txt</v>
      </c>
      <c r="AI149" s="149" t="str">
        <f t="shared" si="16"/>
        <v>echo {"issue":{"subject":"","project_id":79,"tracker_id":40,"status_id":1,"priority_id":2,"assigned_to_id":23,"start_date":"2016-09-02","description":"","custom_fields":[{"id":1,"name":"Subdivision","value":"EC"},{"id":4,"name":"Milepost","value":"23.2865"},{"id":17,"name":"Train ID","value":"243-01"},{"id":16,"name":"Locomotive ID","value":"4020"},{"id":130,"name":"Impact","value":""},{"id":150,"name":"Time of Event (Mountain Time)","value":"01:07:10"},{"id":151,"name":"Denver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572</v>
      </c>
      <c r="B150" s="7">
        <v>4019</v>
      </c>
      <c r="C150" s="24" t="s">
        <v>113</v>
      </c>
      <c r="D150" s="24" t="s">
        <v>248</v>
      </c>
      <c r="E150" s="15">
        <v>42615.053773148145</v>
      </c>
      <c r="F150" s="15">
        <v>42615.059918981482</v>
      </c>
      <c r="G150" s="7">
        <v>1</v>
      </c>
      <c r="H150" s="15" t="s">
        <v>181</v>
      </c>
      <c r="I150" s="15">
        <v>42615.08699074074</v>
      </c>
      <c r="J150" s="7">
        <v>0</v>
      </c>
      <c r="K150" s="132" t="str">
        <f>IF(ISEVEN(B150),(B150-1)&amp;"/"&amp;B150,B150&amp;"/"&amp;(B150+1))</f>
        <v>4019/4020</v>
      </c>
      <c r="L150" s="24" t="str">
        <f>VLOOKUP(A150,'Trips&amp;Operators'!$C$1:$E$10000,3,FALSE)</f>
        <v>OUN</v>
      </c>
      <c r="M150" s="6">
        <f>I150-F150</f>
        <v>2.7071759257523809E-2</v>
      </c>
      <c r="N150" s="7">
        <f>24*60*SUM($M150:$M150)</f>
        <v>38.983333330834284</v>
      </c>
      <c r="O150" s="7"/>
      <c r="P150" s="7"/>
      <c r="Q150" s="25"/>
      <c r="R150" s="25"/>
      <c r="S150" s="37">
        <f>SUM(U150:U150)/IF(AG150="EC",12,1)</f>
        <v>1</v>
      </c>
      <c r="T150" s="52" t="str">
        <f>IF(ISEVEN(LEFT(AD150,4)),"Southbound","NorthBound")</f>
        <v>Southbound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hh:mm:ss")&amp;"-0600',mode:absolute,to:'"&amp;TEXT(I150+1/24,"yyyy-MM-DD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https://search-rtdc-monitor-bjffxe2xuh6vdkpspy63sjmuny.us-east-1.es.amazonaws.com/_plugin/kibana/#/discover/Steve-Slow-Train-Analysis-(2080s-and-2083s)?_g=(refreshInterval:(display:Off,section:0,value:0),time:(from:'2016-09-02 00:17:26-0600',mode:absolute,to:'2016-09-02 03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50" s="54" t="str">
        <f>IF(AA150&lt;IF(AG150="EC",23,5.65),"Y","N")</f>
        <v>N</v>
      </c>
      <c r="X150" s="120">
        <f>VALUE(LEFT(AD150,4))-VALUE(LEFT(AD149,4))</f>
        <v>1</v>
      </c>
      <c r="Y150" s="69">
        <f>RIGHT(D150,LEN(D150)-4)/10000</f>
        <v>23.298999999999999</v>
      </c>
      <c r="Z150" s="69">
        <f>RIGHT(H150,LEN(H150)-4)/10000</f>
        <v>1.3899999999999999E-2</v>
      </c>
      <c r="AA150" s="69">
        <f>ABS(Z150-Y150)</f>
        <v>23.2851</v>
      </c>
      <c r="AB150" s="66" t="e">
        <f>VLOOKUP(A150,Enforcements!$C$7:$J$21,8,0)</f>
        <v>#N/A</v>
      </c>
      <c r="AC150" s="62" t="e">
        <f>VLOOKUP(A150,Enforcements!$C$7:$E$21,3,0)</f>
        <v>#N/A</v>
      </c>
      <c r="AD150" s="63" t="str">
        <f>IF(LEN(A150)=6,"0"&amp;A150,A150)</f>
        <v>0244-01</v>
      </c>
      <c r="AE150" s="99" t="str">
        <f>"aws s3 cp "&amp;s3_bucket&amp;"/RTDC"&amp;B150&amp;"/"&amp;TEXT(F150,"YYYY-MM-DD")&amp;"/ "&amp;search_path&amp;"\RTDC"&amp;B150&amp;"\"&amp;TEXT(F150,"YYYY-MM-DD")&amp;" --recursive &amp; """&amp;walkandungz&amp;""" "&amp;search_path&amp;"\RTDC"&amp;B150&amp;"\"&amp;TEXT(F150,"YYYY-MM-DD")
&amp;" &amp; "&amp;"aws s3 cp "&amp;s3_bucket&amp;"/RTDC"&amp;B150&amp;"/"&amp;TEXT(F150+1,"YYYY-MM-DD")&amp;"/ "&amp;search_path&amp;"\RTDC"&amp;B150&amp;"\"&amp;TEXT(F150+1,"YYYY-MM-DD")&amp;" --recursive &amp; """&amp;walkandungz&amp;""" "&amp;search_path&amp;"\RTDC"&amp;B150&amp;"\"&amp;TEXT(F150+1,"YYYY-MM-DD")</f>
        <v>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 &amp; 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</v>
      </c>
      <c r="AF150" s="96" t="str">
        <f>astrogrep_path&amp;" /spath="&amp;search_path&amp;" /stypes=""*"&amp;B150&amp;"*"&amp;TEXT(I150-utc_offset/24,"YYYYMMDD")&amp;"*"" /stext="" "&amp;TEXT(I150-utc_offset/24,"HH")&amp;search_regexp&amp;""" /e /r /s"</f>
        <v>"C:\Program Files (x86)\AstroGrep\AstroGrep.exe" /spath="%USERPROFILE%\AppData\Local\Temp\OnboardLogs" /stypes="*4019*20160902*" /stext=" 08:.+((SYSTEM_STATE.+slice.+state.+changed )|(ment ac)|(system.+state.+changed )|(\|lc)|(penalty)|(\[timeout)|(PRM\|1\|D)|(kpr)|(kdp))" /e /r /s</v>
      </c>
      <c r="AG150" s="1" t="str">
        <f>IFERROR(IF(VALUE(LEFT(AD150,2))&lt;=2,"EC",IF(OR(VALUE(LEFT(AD150,2))=8,VALUE(LEFT(AD150,2))=18),"NW","Other")),"Other")</f>
        <v>EC</v>
      </c>
      <c r="AH150" s="100" t="str">
        <f t="shared" si="15"/>
        <v>"%USERPROFILE%\Documents\GitHub\eaglep3\Utilities\RefineRTDCRunTimes.py" --tripid 244-01 --locoid 4019 --swversion DE.1.0.7.0 --startMP 204:232990 --initTime 2016-09-02T01:17:26 --startdatetime 2016-09-02T01:26:17 --delay 1 --endMP 204:139 --enddatetime 2016-09-02T02:05:16 --enforcementcount 0 &gt;&gt;C:\Users\stu\Documents\GitHub\eaglep3-reporting\EC\2016-09-01-refined-times.txt</v>
      </c>
      <c r="AI150" s="149" t="str">
        <f t="shared" si="16"/>
        <v>echo {"issue":{"subject":"","project_id":79,"tracker_id":40,"status_id":1,"priority_id":2,"assigned_to_id":23,"start_date":"2016-09-02","description":"","custom_fields":[{"id":1,"name":"Subdivision","value":"EC"},{"id":4,"name":"Milepost","value":"23.2851"},{"id":17,"name":"Train ID","value":"244-01"},{"id":16,"name":"Locomotive ID","value":"4019"},{"id":130,"name":"Impact","value":""},{"id":150,"name":"Time of Event (Mountain Time)","value":"02:05:16"},{"id":151,"name":"Denver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602</v>
      </c>
      <c r="B151" s="7">
        <v>4010</v>
      </c>
      <c r="C151" s="24" t="s">
        <v>113</v>
      </c>
      <c r="D151" s="24" t="s">
        <v>603</v>
      </c>
      <c r="E151" s="15">
        <v>42614.209988425922</v>
      </c>
      <c r="F151" s="15">
        <v>42614.214074074072</v>
      </c>
      <c r="G151" s="7">
        <v>1</v>
      </c>
      <c r="H151" s="15" t="s">
        <v>604</v>
      </c>
      <c r="I151" s="15">
        <v>42614.225173611114</v>
      </c>
      <c r="J151" s="7">
        <v>0</v>
      </c>
      <c r="K151" s="132" t="str">
        <f>IF(ISEVEN(B151),(B151-1)&amp;"/"&amp;B151,B151&amp;"/"&amp;(B151+1))</f>
        <v>4009/4010</v>
      </c>
      <c r="L151" s="24" t="str">
        <f>VLOOKUP(A151,'Trips&amp;Operators'!$C$1:$E$10000,3,FALSE)</f>
        <v>YORK</v>
      </c>
      <c r="M151" s="6">
        <f>I151-F151</f>
        <v>1.1099537041445728E-2</v>
      </c>
      <c r="N151" s="7">
        <f>24*60*SUM($M151:$M151)</f>
        <v>15.983333339681849</v>
      </c>
      <c r="O151" s="7"/>
      <c r="P151" s="7"/>
      <c r="Q151" s="25"/>
      <c r="R151" s="25"/>
      <c r="S151" s="37">
        <f>SUM(U151:U151)/IF(AG151="EC",12,1)</f>
        <v>1</v>
      </c>
      <c r="T151" s="52" t="str">
        <f>IF(ISEVEN(LEFT(AD151,4)),"Southbound","NorthBound")</f>
        <v>Southbound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</v>
      </c>
      <c r="V151" s="106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hh:mm:ss")&amp;"-0600',mode:absolute,to:'"&amp;TEXT(I151+1/24,"yyyy-MM-DD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https://search-rtdc-monitor-bjffxe2xuh6vdkpspy63sjmuny.us-east-1.es.amazonaws.com/_plugin/kibana/#/discover/Steve-Slow-Train-Analysis-(2080s-and-2083s)?_g=(refreshInterval:(display:Off,section:0,value:0),time:(from:'2016-09-01 04:02:23-0600',mode:absolute,to:'2016-09-01 06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1" s="54" t="str">
        <f>IF(AA151&lt;IF(AG151="EC",23,5.65),"Y","N")</f>
        <v>N</v>
      </c>
      <c r="X151" s="120">
        <f>VALUE(LEFT(AD151,4))-VALUE(LEFT(AD150,4))</f>
        <v>556</v>
      </c>
      <c r="Y151" s="69">
        <f>RIGHT(D151,LEN(D151)-4)/10000</f>
        <v>5.8625999999999996</v>
      </c>
      <c r="Z151" s="69">
        <f>RIGHT(H151,LEN(H151)-4)/10000</f>
        <v>8.6900000000000005E-2</v>
      </c>
      <c r="AA151" s="69">
        <f>ABS(Z151-Y151)</f>
        <v>5.7756999999999996</v>
      </c>
      <c r="AB151" s="66" t="e">
        <f>VLOOKUP(A151,Enforcements!$C$7:$J$21,8,0)</f>
        <v>#N/A</v>
      </c>
      <c r="AC151" s="62" t="e">
        <f>VLOOKUP(A151,Enforcements!$C$7:$E$21,3,0)</f>
        <v>#N/A</v>
      </c>
      <c r="AD151" s="63" t="str">
        <f>IF(LEN(A151)=6,"0"&amp;A151,A151)</f>
        <v>0800-01</v>
      </c>
      <c r="AE151" s="99" t="str">
        <f>"aws s3 cp "&amp;s3_bucket&amp;"/RTDC"&amp;B151&amp;"/"&amp;TEXT(F151,"YYYY-MM-DD")&amp;"/ "&amp;search_path&amp;"\RTDC"&amp;B151&amp;"\"&amp;TEXT(F151,"YYYY-MM-DD")&amp;" --recursive &amp; """&amp;walkandungz&amp;""" "&amp;search_path&amp;"\RTDC"&amp;B151&amp;"\"&amp;TEXT(F151,"YYYY-MM-DD")
&amp;" &amp; "&amp;"aws s3 cp "&amp;s3_bucket&amp;"/RTDC"&amp;B151&amp;"/"&amp;TEXT(F151+1,"YYYY-MM-DD")&amp;"/ "&amp;search_path&amp;"\RTDC"&amp;B151&amp;"\"&amp;TEXT(F151+1,"YYYY-MM-DD")&amp;" --recursive &amp; """&amp;walkandungz&amp;""" "&amp;search_path&amp;"\RTDC"&amp;B151&amp;"\"&amp;TEXT(F151+1,"YYYY-MM-DD")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51" s="96" t="str">
        <f>astrogrep_path&amp;" /spath="&amp;search_path&amp;" /stypes=""*"&amp;B151&amp;"*"&amp;TEXT(I151-utc_offset/24,"YYYYMMDD")&amp;"*"" /stext="" "&amp;TEXT(I151-utc_offset/24,"HH")&amp;search_regexp&amp;""" /e /r /s"</f>
        <v>"C:\Program Files (x86)\AstroGrep\AstroGrep.exe" /spath="%USERPROFILE%\AppData\Local\Temp\OnboardLogs" /stypes="*4010*20160901*" /stext=" 11:.+((SYSTEM_STATE.+slice.+state.+changed )|(ment ac)|(system.+state.+changed )|(\|lc)|(penalty)|(\[timeout)|(PRM\|1\|D)|(kpr)|(kdp))" /e /r /s</v>
      </c>
      <c r="AG151" s="1" t="str">
        <f>IFERROR(IF(VALUE(LEFT(AD151,2))&lt;=2,"EC",IF(OR(VALUE(LEFT(AD151,2))=8,VALUE(LEFT(AD151,2))=18),"NW","Other")),"Other")</f>
        <v>NW</v>
      </c>
      <c r="AH151" s="100" t="str">
        <f t="shared" si="15"/>
        <v>"%USERPROFILE%\Documents\GitHub\eaglep3\Utilities\RefineRTDCRunTimes.py" --tripid 800-01 --locoid 4010 --swversion DE.1.0.7.0 --startMP 300:58626 --initTime 2016-09-01T05:02:23 --startdatetime 2016-09-01T05:08:16 --delay 1 --endMP 204:869 --enddatetime 2016-09-01T05:24:15 --enforcementcount 0 &gt;&gt;C:\Users\stu\Documents\GitHub\eaglep3-reporting\EC\2016-09-01-refined-times.txt</v>
      </c>
      <c r="AI151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{"issue":{"subject":"","project_id":79,"tracker_id":40,"status_id":1,"priority_id":2,"assigned_to_id":23,"start_date":"2016-09-01","description":"","custom_fields":[{"id":1,"name":"Subdivision","value":"NW"},{"id":4,"name":"Milepost","value":"5.7757"},{"id":17,"name":"Train ID","value":"800-01"},{"id":16,"name":"Locomotive ID","value":"4010"},{"id":130,"name":"Impact","value":""},{"id":150,"name":"Time of Event (Mountain Time)","value":"05:24:15"},{"id":151,"name":"Denver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605</v>
      </c>
      <c r="B152" s="7">
        <v>4009</v>
      </c>
      <c r="C152" s="24" t="s">
        <v>113</v>
      </c>
      <c r="D152" s="24" t="s">
        <v>606</v>
      </c>
      <c r="E152" s="15">
        <v>42614.227222222224</v>
      </c>
      <c r="F152" s="15">
        <v>42614.243935185186</v>
      </c>
      <c r="G152" s="7">
        <v>1</v>
      </c>
      <c r="H152" s="15" t="s">
        <v>607</v>
      </c>
      <c r="I152" s="15">
        <v>42614.253113425926</v>
      </c>
      <c r="J152" s="7">
        <v>0</v>
      </c>
      <c r="K152" s="132" t="str">
        <f>IF(ISEVEN(B152),(B152-1)&amp;"/"&amp;B152,B152&amp;"/"&amp;(B152+1))</f>
        <v>4009/4010</v>
      </c>
      <c r="L152" s="24" t="str">
        <f>VLOOKUP(A152,'Trips&amp;Operators'!$C$1:$E$10000,3,FALSE)</f>
        <v>YORK</v>
      </c>
      <c r="M152" s="6">
        <f>I152-F152</f>
        <v>9.1782407398568466E-3</v>
      </c>
      <c r="N152" s="7">
        <f>24*60*SUM($M152:$M152)</f>
        <v>13.216666665393859</v>
      </c>
      <c r="O152" s="7"/>
      <c r="P152" s="7"/>
      <c r="Q152" s="25"/>
      <c r="R152" s="25"/>
      <c r="S152" s="37">
        <f>SUM(U152:U152)/IF(AG152="EC",12,1)</f>
        <v>1</v>
      </c>
      <c r="T152" s="52" t="str">
        <f>IF(ISEVEN(LEFT(AD152,4)),"Southbound","NorthBound")</f>
        <v>NorthBound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</v>
      </c>
      <c r="V152" s="106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hh:mm:ss")&amp;"-0600',mode:absolute,to:'"&amp;TEXT(I152+1/24,"yyyy-MM-DD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https://search-rtdc-monitor-bjffxe2xuh6vdkpspy63sjmuny.us-east-1.es.amazonaws.com/_plugin/kibana/#/discover/Steve-Slow-Train-Analysis-(2080s-and-2083s)?_g=(refreshInterval:(display:Off,section:0,value:0),time:(from:'2016-09-01 04:27:12-0600',mode:absolute,to:'2016-09-01 07:04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2" s="54" t="str">
        <f>IF(AA152&lt;IF(AG152="EC",23,5.65),"Y","N")</f>
        <v>N</v>
      </c>
      <c r="X152" s="120">
        <f>VALUE(LEFT(AD152,4))-VALUE(LEFT(AD151,4))</f>
        <v>1</v>
      </c>
      <c r="Y152" s="69">
        <f>RIGHT(D152,LEN(D152)-4)/10000</f>
        <v>0.1172</v>
      </c>
      <c r="Z152" s="69">
        <f>RIGHT(H152,LEN(H152)-4)/10000</f>
        <v>5.8928000000000003</v>
      </c>
      <c r="AA152" s="69">
        <f>ABS(Z152-Y152)</f>
        <v>5.7755999999999998</v>
      </c>
      <c r="AB152" s="66" t="e">
        <f>VLOOKUP(A152,Enforcements!$C$7:$J$21,8,0)</f>
        <v>#N/A</v>
      </c>
      <c r="AC152" s="62" t="e">
        <f>VLOOKUP(A152,Enforcements!$C$7:$E$21,3,0)</f>
        <v>#N/A</v>
      </c>
      <c r="AD152" s="63" t="str">
        <f>IF(LEN(A152)=6,"0"&amp;A152,A152)</f>
        <v>0801-01</v>
      </c>
      <c r="AE152" s="99" t="str">
        <f>"aws s3 cp "&amp;s3_bucket&amp;"/RTDC"&amp;B152&amp;"/"&amp;TEXT(F152,"YYYY-MM-DD")&amp;"/ "&amp;search_path&amp;"\RTDC"&amp;B152&amp;"\"&amp;TEXT(F152,"YYYY-MM-DD")&amp;" --recursive &amp; """&amp;walkandungz&amp;""" "&amp;search_path&amp;"\RTDC"&amp;B152&amp;"\"&amp;TEXT(F152,"YYYY-MM-DD")
&amp;" &amp; "&amp;"aws s3 cp "&amp;s3_bucket&amp;"/RTDC"&amp;B152&amp;"/"&amp;TEXT(F152+1,"YYYY-MM-DD")&amp;"/ "&amp;search_path&amp;"\RTDC"&amp;B152&amp;"\"&amp;TEXT(F152+1,"YYYY-MM-DD")&amp;" --recursive &amp; """&amp;walkandungz&amp;""" "&amp;search_path&amp;"\RTDC"&amp;B152&amp;"\"&amp;TEXT(F152+1,"YYYY-MM-DD")</f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52" s="96" t="str">
        <f>astrogrep_path&amp;" /spath="&amp;search_path&amp;" /stypes=""*"&amp;B152&amp;"*"&amp;TEXT(I152-utc_offset/24,"YYYYMMDD")&amp;"*"" /stext="" "&amp;TEXT(I152-utc_offset/24,"HH")&amp;search_regexp&amp;""" /e /r /s"</f>
        <v>"C:\Program Files (x86)\AstroGrep\AstroGrep.exe" /spath="%USERPROFILE%\AppData\Local\Temp\OnboardLogs" /stypes="*4009*20160901*" /stext=" 12:.+((SYSTEM_STATE.+slice.+state.+changed )|(ment ac)|(system.+state.+changed )|(\|lc)|(penalty)|(\[timeout)|(PRM\|1\|D)|(kpr)|(kdp))" /e /r /s</v>
      </c>
      <c r="AG152" s="1" t="str">
        <f>IFERROR(IF(VALUE(LEFT(AD152,2))&lt;=2,"EC",IF(OR(VALUE(LEFT(AD152,2))=8,VALUE(LEFT(AD152,2))=18),"NW","Other")),"Other")</f>
        <v>NW</v>
      </c>
      <c r="AH152" s="100" t="str">
        <f t="shared" si="15"/>
        <v>"%USERPROFILE%\Documents\GitHub\eaglep3\Utilities\RefineRTDCRunTimes.py" --tripid 801-01 --locoid 4009 --swversion DE.1.0.7.0 --startMP 204:1172 --initTime 2016-09-01T05:27:12 --startdatetime 2016-09-01T05:51:16 --delay 1 --endMP 300:58928 --enddatetime 2016-09-01T06:04:29 --enforcementcount 0 &gt;&gt;C:\Users\stu\Documents\GitHub\eaglep3-reporting\EC\2016-09-01-refined-times.txt</v>
      </c>
      <c r="AI152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{"issue":{"subject":"","project_id":79,"tracker_id":40,"status_id":1,"priority_id":2,"assigned_to_id":23,"start_date":"2016-09-01","description":"","custom_fields":[{"id":1,"name":"Subdivision","value":"NW"},{"id":4,"name":"Milepost","value":"5.7756"},{"id":17,"name":"Train ID","value":"801-01"},{"id":16,"name":"Locomotive ID","value":"4009"},{"id":130,"name":"Impact","value":""},{"id":150,"name":"Time of Event (Mountain Time)","value":"06:04:29"},{"id":151,"name":"Denver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608</v>
      </c>
      <c r="B153" s="7">
        <v>4010</v>
      </c>
      <c r="C153" s="24" t="s">
        <v>113</v>
      </c>
      <c r="D153" s="24" t="s">
        <v>609</v>
      </c>
      <c r="E153" s="15">
        <v>42614.254155092596</v>
      </c>
      <c r="F153" s="15">
        <v>42614.257488425923</v>
      </c>
      <c r="G153" s="7">
        <v>1</v>
      </c>
      <c r="H153" s="15" t="s">
        <v>604</v>
      </c>
      <c r="I153" s="15">
        <v>42614.268252314818</v>
      </c>
      <c r="J153" s="7">
        <v>0</v>
      </c>
      <c r="K153" s="132" t="str">
        <f>IF(ISEVEN(B153),(B153-1)&amp;"/"&amp;B153,B153&amp;"/"&amp;(B153+1))</f>
        <v>4009/4010</v>
      </c>
      <c r="L153" s="24" t="str">
        <f>VLOOKUP(A153,'Trips&amp;Operators'!$C$1:$E$10000,3,FALSE)</f>
        <v>YORK</v>
      </c>
      <c r="M153" s="6">
        <f>I153-F153</f>
        <v>1.0763888894871343E-2</v>
      </c>
      <c r="N153" s="7">
        <f>24*60*SUM($M153:$M153)</f>
        <v>15.500000008614734</v>
      </c>
      <c r="O153" s="7"/>
      <c r="P153" s="7"/>
      <c r="Q153" s="25"/>
      <c r="R153" s="25"/>
      <c r="S153" s="37">
        <f>SUM(U153:U153)/IF(AG153="EC",12,1)</f>
        <v>1</v>
      </c>
      <c r="T153" s="52" t="str">
        <f>IF(ISEVEN(LEFT(AD153,4)),"Southbound","NorthBound")</f>
        <v>Southbound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106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hh:mm:ss")&amp;"-0600',mode:absolute,to:'"&amp;TEXT(I153+1/24,"yyyy-MM-DD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https://search-rtdc-monitor-bjffxe2xuh6vdkpspy63sjmuny.us-east-1.es.amazonaws.com/_plugin/kibana/#/discover/Steve-Slow-Train-Analysis-(2080s-and-2083s)?_g=(refreshInterval:(display:Off,section:0,value:0),time:(from:'2016-09-01 05:05:59-0600',mode:absolute,to:'2016-09-01 07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3" s="54" t="str">
        <f>IF(AA153&lt;IF(AG153="EC",23,5.65),"Y","N")</f>
        <v>N</v>
      </c>
      <c r="X153" s="120">
        <f>VALUE(LEFT(AD153,4))-VALUE(LEFT(AD152,4))</f>
        <v>1</v>
      </c>
      <c r="Y153" s="69">
        <f>RIGHT(D153,LEN(D153)-4)/10000</f>
        <v>5.8624000000000001</v>
      </c>
      <c r="Z153" s="69">
        <f>RIGHT(H153,LEN(H153)-4)/10000</f>
        <v>8.6900000000000005E-2</v>
      </c>
      <c r="AA153" s="69">
        <f>ABS(Z153-Y153)</f>
        <v>5.7755000000000001</v>
      </c>
      <c r="AB153" s="66" t="e">
        <f>VLOOKUP(A153,Enforcements!$C$7:$J$21,8,0)</f>
        <v>#N/A</v>
      </c>
      <c r="AC153" s="62" t="e">
        <f>VLOOKUP(A153,Enforcements!$C$7:$E$21,3,0)</f>
        <v>#N/A</v>
      </c>
      <c r="AD153" s="63" t="str">
        <f>IF(LEN(A153)=6,"0"&amp;A153,A153)</f>
        <v>0802-01</v>
      </c>
      <c r="AE153" s="99" t="str">
        <f>"aws s3 cp "&amp;s3_bucket&amp;"/RTDC"&amp;B153&amp;"/"&amp;TEXT(F153,"YYYY-MM-DD")&amp;"/ "&amp;search_path&amp;"\RTDC"&amp;B153&amp;"\"&amp;TEXT(F153,"YYYY-MM-DD")&amp;" --recursive &amp; """&amp;walkandungz&amp;""" "&amp;search_path&amp;"\RTDC"&amp;B153&amp;"\"&amp;TEXT(F153,"YYYY-MM-DD")
&amp;" &amp; "&amp;"aws s3 cp "&amp;s3_bucket&amp;"/RTDC"&amp;B153&amp;"/"&amp;TEXT(F153+1,"YYYY-MM-DD")&amp;"/ "&amp;search_path&amp;"\RTDC"&amp;B153&amp;"\"&amp;TEXT(F153+1,"YYYY-MM-DD")&amp;" --recursive &amp; """&amp;walkandungz&amp;""" "&amp;search_path&amp;"\RTDC"&amp;B153&amp;"\"&amp;TEXT(F153+1,"YYYY-MM-DD")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53" s="96" t="str">
        <f>astrogrep_path&amp;" /spath="&amp;search_path&amp;" /stypes=""*"&amp;B153&amp;"*"&amp;TEXT(I153-utc_offset/24,"YYYYMMDD")&amp;"*"" /stext="" "&amp;TEXT(I153-utc_offset/24,"HH")&amp;search_regexp&amp;""" /e /r /s"</f>
        <v>"C:\Program Files (x86)\AstroGrep\AstroGrep.exe" /spath="%USERPROFILE%\AppData\Local\Temp\OnboardLogs" /stypes="*4010*20160901*" /stext=" 12:.+((SYSTEM_STATE.+slice.+state.+changed )|(ment ac)|(system.+state.+changed )|(\|lc)|(penalty)|(\[timeout)|(PRM\|1\|D)|(kpr)|(kdp))" /e /r /s</v>
      </c>
      <c r="AG153" s="1" t="str">
        <f>IFERROR(IF(VALUE(LEFT(AD153,2))&lt;=2,"EC",IF(OR(VALUE(LEFT(AD153,2))=8,VALUE(LEFT(AD153,2))=18),"NW","Other")),"Other")</f>
        <v>NW</v>
      </c>
      <c r="AH153" s="100" t="str">
        <f t="shared" si="15"/>
        <v>"%USERPROFILE%\Documents\GitHub\eaglep3\Utilities\RefineRTDCRunTimes.py" --tripid 802-01 --locoid 4010 --swversion DE.1.0.7.0 --startMP 300:58624 --initTime 2016-09-01T06:05:59 --startdatetime 2016-09-01T06:10:47 --delay 1 --endMP 204:869 --enddatetime 2016-09-01T06:26:17 --enforcementcount 0 &gt;&gt;C:\Users\stu\Documents\GitHub\eaglep3-reporting\EC\2016-09-01-refined-times.txt</v>
      </c>
      <c r="AI153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{"issue":{"subject":"","project_id":79,"tracker_id":40,"status_id":1,"priority_id":2,"assigned_to_id":23,"start_date":"2016-09-01","description":"","custom_fields":[{"id":1,"name":"Subdivision","value":"NW"},{"id":4,"name":"Milepost","value":"5.7755"},{"id":17,"name":"Train ID","value":"802-01"},{"id":16,"name":"Locomotive ID","value":"4010"},{"id":130,"name":"Impact","value":""},{"id":150,"name":"Time of Event (Mountain Time)","value":"06:26:17"},{"id":151,"name":"Denver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610</v>
      </c>
      <c r="B154" s="7">
        <v>4014</v>
      </c>
      <c r="C154" s="24" t="s">
        <v>113</v>
      </c>
      <c r="D154" s="24" t="s">
        <v>343</v>
      </c>
      <c r="E154" s="15">
        <v>42614.258587962962</v>
      </c>
      <c r="F154" s="15">
        <v>42614.264791666668</v>
      </c>
      <c r="G154" s="7">
        <v>1</v>
      </c>
      <c r="H154" s="15" t="s">
        <v>348</v>
      </c>
      <c r="I154" s="15">
        <v>42614.274467592593</v>
      </c>
      <c r="J154" s="7">
        <v>0</v>
      </c>
      <c r="K154" s="132" t="str">
        <f>IF(ISEVEN(B154),(B154-1)&amp;"/"&amp;B154,B154&amp;"/"&amp;(B154+1))</f>
        <v>4013/4014</v>
      </c>
      <c r="L154" s="24" t="str">
        <f>VLOOKUP(A154,'Trips&amp;Operators'!$C$1:$E$10000,3,FALSE)</f>
        <v>GEBRETEKLE</v>
      </c>
      <c r="M154" s="6">
        <f>I154-F154</f>
        <v>9.6759259249665774E-3</v>
      </c>
      <c r="N154" s="7">
        <f>24*60*SUM($M154:$M154)</f>
        <v>13.933333331951872</v>
      </c>
      <c r="O154" s="7"/>
      <c r="P154" s="7"/>
      <c r="Q154" s="25"/>
      <c r="R154" s="25"/>
      <c r="S154" s="37">
        <f>SUM(U154:U154)/IF(AG154="EC",12,1)</f>
        <v>1</v>
      </c>
      <c r="T154" s="52" t="str">
        <f>IF(ISEVEN(LEFT(AD154,4)),"Southbound","NorthBound")</f>
        <v>NorthBound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106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hh:mm:ss")&amp;"-0600',mode:absolute,to:'"&amp;TEXT(I154+1/24,"yyyy-MM-DD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https://search-rtdc-monitor-bjffxe2xuh6vdkpspy63sjmuny.us-east-1.es.amazonaws.com/_plugin/kibana/#/discover/Steve-Slow-Train-Analysis-(2080s-and-2083s)?_g=(refreshInterval:(display:Off,section:0,value:0),time:(from:'2016-09-01 05:12:22-0600',mode:absolute,to:'2016-09-01 07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54" s="54" t="str">
        <f>IF(AA154&lt;IF(AG154="EC",23,5.65),"Y","N")</f>
        <v>N</v>
      </c>
      <c r="X154" s="120">
        <f>VALUE(LEFT(AD154,4))-VALUE(LEFT(AD153,4))</f>
        <v>1</v>
      </c>
      <c r="Y154" s="69">
        <f>RIGHT(D154,LEN(D154)-4)/10000</f>
        <v>9.6199999999999994E-2</v>
      </c>
      <c r="Z154" s="69">
        <f>RIGHT(H154,LEN(H154)-4)/10000</f>
        <v>5.899</v>
      </c>
      <c r="AA154" s="69">
        <f>ABS(Z154-Y154)</f>
        <v>5.8028000000000004</v>
      </c>
      <c r="AB154" s="66" t="e">
        <f>VLOOKUP(A154,Enforcements!$C$7:$J$21,8,0)</f>
        <v>#N/A</v>
      </c>
      <c r="AC154" s="62" t="e">
        <f>VLOOKUP(A154,Enforcements!$C$7:$E$21,3,0)</f>
        <v>#N/A</v>
      </c>
      <c r="AD154" s="63" t="str">
        <f>IF(LEN(A154)=6,"0"&amp;A154,A154)</f>
        <v>0803-01</v>
      </c>
      <c r="AE154" s="99" t="str">
        <f>"aws s3 cp "&amp;s3_bucket&amp;"/RTDC"&amp;B154&amp;"/"&amp;TEXT(F154,"YYYY-MM-DD")&amp;"/ "&amp;search_path&amp;"\RTDC"&amp;B154&amp;"\"&amp;TEXT(F154,"YYYY-MM-DD")&amp;" --recursive &amp; """&amp;walkandungz&amp;""" "&amp;search_path&amp;"\RTDC"&amp;B154&amp;"\"&amp;TEXT(F154,"YYYY-MM-DD")
&amp;" &amp; "&amp;"aws s3 cp "&amp;s3_bucket&amp;"/RTDC"&amp;B154&amp;"/"&amp;TEXT(F154+1,"YYYY-MM-DD")&amp;"/ "&amp;search_path&amp;"\RTDC"&amp;B154&amp;"\"&amp;TEXT(F154+1,"YYYY-MM-DD")&amp;" --recursive &amp; """&amp;walkandungz&amp;""" "&amp;search_path&amp;"\RTDC"&amp;B154&amp;"\"&amp;TEXT(F154+1,"YYYY-MM-DD")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54" s="96" t="str">
        <f>astrogrep_path&amp;" /spath="&amp;search_path&amp;" /stypes=""*"&amp;B154&amp;"*"&amp;TEXT(I154-utc_offset/24,"YYYYMMDD")&amp;"*"" /stext="" "&amp;TEXT(I154-utc_offset/24,"HH")&amp;search_regexp&amp;""" /e /r /s"</f>
        <v>"C:\Program Files (x86)\AstroGrep\AstroGrep.exe" /spath="%USERPROFILE%\AppData\Local\Temp\OnboardLogs" /stypes="*4014*20160901*" /stext=" 12:.+((SYSTEM_STATE.+slice.+state.+changed )|(ment ac)|(system.+state.+changed )|(\|lc)|(penalty)|(\[timeout)|(PRM\|1\|D)|(kpr)|(kdp))" /e /r /s</v>
      </c>
      <c r="AG154" s="1" t="str">
        <f>IFERROR(IF(VALUE(LEFT(AD154,2))&lt;=2,"EC",IF(OR(VALUE(LEFT(AD154,2))=8,VALUE(LEFT(AD154,2))=18),"NW","Other")),"Other")</f>
        <v>NW</v>
      </c>
      <c r="AH154" s="100" t="str">
        <f t="shared" si="15"/>
        <v>"%USERPROFILE%\Documents\GitHub\eaglep3\Utilities\RefineRTDCRunTimes.py" --tripid 803-01 --locoid 4014 --swversion DE.1.0.7.0 --startMP 204:962 --initTime 2016-09-01T06:12:22 --startdatetime 2016-09-01T06:21:18 --delay 1 --endMP 300:58990 --enddatetime 2016-09-01T06:35:14 --enforcementcount 0 &gt;&gt;C:\Users\stu\Documents\GitHub\eaglep3-reporting\EC\2016-09-01-refined-times.txt</v>
      </c>
      <c r="AI154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{"issue":{"subject":"","project_id":79,"tracker_id":40,"status_id":1,"priority_id":2,"assigned_to_id":23,"start_date":"2016-09-01","description":"","custom_fields":[{"id":1,"name":"Subdivision","value":"NW"},{"id":4,"name":"Milepost","value":"5.8028"},{"id":17,"name":"Train ID","value":"803-01"},{"id":16,"name":"Locomotive ID","value":"4014"},{"id":130,"name":"Impact","value":""},{"id":150,"name":"Time of Event (Mountain Time)","value":"06:35:14"},{"id":151,"name":"Denver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611</v>
      </c>
      <c r="B155" s="7">
        <v>4013</v>
      </c>
      <c r="C155" s="24" t="s">
        <v>113</v>
      </c>
      <c r="D155" s="24" t="s">
        <v>612</v>
      </c>
      <c r="E155" s="15">
        <v>42614.275879629633</v>
      </c>
      <c r="F155" s="15">
        <v>42614.277581018519</v>
      </c>
      <c r="G155" s="7">
        <v>1</v>
      </c>
      <c r="H155" s="15" t="s">
        <v>277</v>
      </c>
      <c r="I155" s="15">
        <v>42614.288576388892</v>
      </c>
      <c r="J155" s="7">
        <v>0</v>
      </c>
      <c r="K155" s="132" t="str">
        <f>IF(ISEVEN(B155),(B155-1)&amp;"/"&amp;B155,B155&amp;"/"&amp;(B155+1))</f>
        <v>4013/4014</v>
      </c>
      <c r="L155" s="24" t="str">
        <f>VLOOKUP(A155,'Trips&amp;Operators'!$C$1:$E$10000,3,FALSE)</f>
        <v>GEBRETEKLE</v>
      </c>
      <c r="M155" s="6">
        <f>I155-F155</f>
        <v>1.099537037225673E-2</v>
      </c>
      <c r="N155" s="7">
        <f>24*60*SUM($M155:$M155)</f>
        <v>15.833333336049691</v>
      </c>
      <c r="O155" s="7"/>
      <c r="P155" s="7"/>
      <c r="Q155" s="25"/>
      <c r="R155" s="25"/>
      <c r="S155" s="37">
        <f>SUM(U155:U155)/IF(AG155="EC",12,1)</f>
        <v>1</v>
      </c>
      <c r="T155" s="52" t="str">
        <f>IF(ISEVEN(LEFT(AD155,4)),"Southbound","NorthBound")</f>
        <v>Southbound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106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hh:mm:ss")&amp;"-0600',mode:absolute,to:'"&amp;TEXT(I155+1/24,"yyyy-MM-DD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https://search-rtdc-monitor-bjffxe2xuh6vdkpspy63sjmuny.us-east-1.es.amazonaws.com/_plugin/kibana/#/discover/Steve-Slow-Train-Analysis-(2080s-and-2083s)?_g=(refreshInterval:(display:Off,section:0,value:0),time:(from:'2016-09-01 05:37:16-0600',mode:absolute,to:'2016-09-01 07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55" s="54" t="str">
        <f>IF(AA155&lt;IF(AG155="EC",23,5.65),"Y","N")</f>
        <v>N</v>
      </c>
      <c r="X155" s="120">
        <f>VALUE(LEFT(AD155,4))-VALUE(LEFT(AD154,4))</f>
        <v>1</v>
      </c>
      <c r="Y155" s="69">
        <f>RIGHT(D155,LEN(D155)-4)/10000</f>
        <v>5.8666</v>
      </c>
      <c r="Z155" s="69">
        <f>RIGHT(H155,LEN(H155)-4)/10000</f>
        <v>7.2400000000000006E-2</v>
      </c>
      <c r="AA155" s="69">
        <f>ABS(Z155-Y155)</f>
        <v>5.7942</v>
      </c>
      <c r="AB155" s="66" t="e">
        <f>VLOOKUP(A155,Enforcements!$C$7:$J$21,8,0)</f>
        <v>#N/A</v>
      </c>
      <c r="AC155" s="62" t="e">
        <f>VLOOKUP(A155,Enforcements!$C$7:$E$21,3,0)</f>
        <v>#N/A</v>
      </c>
      <c r="AD155" s="63" t="str">
        <f>IF(LEN(A155)=6,"0"&amp;A155,A155)</f>
        <v>0804-01</v>
      </c>
      <c r="AE155" s="99" t="str">
        <f>"aws s3 cp "&amp;s3_bucket&amp;"/RTDC"&amp;B155&amp;"/"&amp;TEXT(F155,"YYYY-MM-DD")&amp;"/ "&amp;search_path&amp;"\RTDC"&amp;B155&amp;"\"&amp;TEXT(F155,"YYYY-MM-DD")&amp;" --recursive &amp; """&amp;walkandungz&amp;""" "&amp;search_path&amp;"\RTDC"&amp;B155&amp;"\"&amp;TEXT(F155,"YYYY-MM-DD")
&amp;" &amp; "&amp;"aws s3 cp "&amp;s3_bucket&amp;"/RTDC"&amp;B155&amp;"/"&amp;TEXT(F155+1,"YYYY-MM-DD")&amp;"/ "&amp;search_path&amp;"\RTDC"&amp;B155&amp;"\"&amp;TEXT(F155+1,"YYYY-MM-DD")&amp;" --recursive &amp; """&amp;walkandungz&amp;""" "&amp;search_path&amp;"\RTDC"&amp;B155&amp;"\"&amp;TEXT(F155+1,"YYYY-MM-DD")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55" s="96" t="str">
        <f>astrogrep_path&amp;" /spath="&amp;search_path&amp;" /stypes=""*"&amp;B155&amp;"*"&amp;TEXT(I155-utc_offset/24,"YYYYMMDD")&amp;"*"" /stext="" "&amp;TEXT(I155-utc_offset/24,"HH")&amp;search_regexp&amp;""" /e /r /s"</f>
        <v>"C:\Program Files (x86)\AstroGrep\AstroGrep.exe" /spath="%USERPROFILE%\AppData\Local\Temp\OnboardLogs" /stypes="*4013*20160901*" /stext=" 12:.+((SYSTEM_STATE.+slice.+state.+changed )|(ment ac)|(system.+state.+changed )|(\|lc)|(penalty)|(\[timeout)|(PRM\|1\|D)|(kpr)|(kdp))" /e /r /s</v>
      </c>
      <c r="AG155" s="1" t="str">
        <f>IFERROR(IF(VALUE(LEFT(AD155,2))&lt;=2,"EC",IF(OR(VALUE(LEFT(AD155,2))=8,VALUE(LEFT(AD155,2))=18),"NW","Other")),"Other")</f>
        <v>NW</v>
      </c>
      <c r="AH155" s="100" t="str">
        <f t="shared" si="15"/>
        <v>"%USERPROFILE%\Documents\GitHub\eaglep3\Utilities\RefineRTDCRunTimes.py" --tripid 804-01 --locoid 4013 --swversion DE.1.0.7.0 --startMP 300:58666 --initTime 2016-09-01T06:37:16 --startdatetime 2016-09-01T06:39:43 --delay 1 --endMP 204:724 --enddatetime 2016-09-01T06:55:33 --enforcementcount 0 &gt;&gt;C:\Users\stu\Documents\GitHub\eaglep3-reporting\EC\2016-09-01-refined-times.txt</v>
      </c>
      <c r="AI155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{"issue":{"subject":"","project_id":79,"tracker_id":40,"status_id":1,"priority_id":2,"assigned_to_id":23,"start_date":"2016-09-01","description":"","custom_fields":[{"id":1,"name":"Subdivision","value":"NW"},{"id":4,"name":"Milepost","value":"5.7942"},{"id":17,"name":"Train ID","value":"804-01"},{"id":16,"name":"Locomotive ID","value":"4013"},{"id":130,"name":"Impact","value":""},{"id":150,"name":"Time of Event (Mountain Time)","value":"06:55:33"},{"id":151,"name":"Denver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613</v>
      </c>
      <c r="B156" s="7">
        <v>4009</v>
      </c>
      <c r="C156" s="24" t="s">
        <v>113</v>
      </c>
      <c r="D156" s="24" t="s">
        <v>614</v>
      </c>
      <c r="E156" s="15">
        <v>42614.269988425927</v>
      </c>
      <c r="F156" s="15">
        <v>42614.28564814815</v>
      </c>
      <c r="G156" s="7">
        <v>1</v>
      </c>
      <c r="H156" s="15" t="s">
        <v>340</v>
      </c>
      <c r="I156" s="15">
        <v>42614.294814814813</v>
      </c>
      <c r="J156" s="7">
        <v>0</v>
      </c>
      <c r="K156" s="132" t="str">
        <f>IF(ISEVEN(B156),(B156-1)&amp;"/"&amp;B156,B156&amp;"/"&amp;(B156+1))</f>
        <v>4009/4010</v>
      </c>
      <c r="L156" s="24" t="str">
        <f>VLOOKUP(A156,'Trips&amp;Operators'!$C$1:$E$10000,3,FALSE)</f>
        <v>YORK</v>
      </c>
      <c r="M156" s="6">
        <f>I156-F156</f>
        <v>9.1666666630771942E-3</v>
      </c>
      <c r="N156" s="7">
        <f>24*60*SUM($M156:$M156)</f>
        <v>13.19999999483116</v>
      </c>
      <c r="O156" s="7"/>
      <c r="P156" s="7"/>
      <c r="Q156" s="25"/>
      <c r="R156" s="25"/>
      <c r="S156" s="37">
        <f>SUM(U156:U156)/IF(AG156="EC",12,1)</f>
        <v>1</v>
      </c>
      <c r="T156" s="52" t="str">
        <f>IF(ISEVEN(LEFT(AD156,4)),"Southbound","NorthBound")</f>
        <v>NorthBound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06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hh:mm:ss")&amp;"-0600',mode:absolute,to:'"&amp;TEXT(I156+1/24,"yyyy-MM-DD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https://search-rtdc-monitor-bjffxe2xuh6vdkpspy63sjmuny.us-east-1.es.amazonaws.com/_plugin/kibana/#/discover/Steve-Slow-Train-Analysis-(2080s-and-2083s)?_g=(refreshInterval:(display:Off,section:0,value:0),time:(from:'2016-09-01 05:28:47-0600',mode:absolute,to:'2016-09-01 08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6" s="54" t="str">
        <f>IF(AA156&lt;IF(AG156="EC",23,5.65),"Y","N")</f>
        <v>N</v>
      </c>
      <c r="X156" s="120">
        <f>VALUE(LEFT(AD156,4))-VALUE(LEFT(AD155,4))</f>
        <v>1</v>
      </c>
      <c r="Y156" s="69">
        <f>RIGHT(D156,LEN(D156)-4)/10000</f>
        <v>0.1174</v>
      </c>
      <c r="Z156" s="69">
        <f>RIGHT(H156,LEN(H156)-4)/10000</f>
        <v>5.8930999999999996</v>
      </c>
      <c r="AA156" s="69">
        <f>ABS(Z156-Y156)</f>
        <v>5.7756999999999996</v>
      </c>
      <c r="AB156" s="66" t="e">
        <f>VLOOKUP(A156,Enforcements!$C$7:$J$21,8,0)</f>
        <v>#N/A</v>
      </c>
      <c r="AC156" s="62" t="e">
        <f>VLOOKUP(A156,Enforcements!$C$7:$E$21,3,0)</f>
        <v>#N/A</v>
      </c>
      <c r="AD156" s="63" t="str">
        <f>IF(LEN(A156)=6,"0"&amp;A156,A156)</f>
        <v>0805-01</v>
      </c>
      <c r="AE156" s="99" t="str">
        <f>"aws s3 cp "&amp;s3_bucket&amp;"/RTDC"&amp;B156&amp;"/"&amp;TEXT(F156,"YYYY-MM-DD")&amp;"/ "&amp;search_path&amp;"\RTDC"&amp;B156&amp;"\"&amp;TEXT(F156,"YYYY-MM-DD")&amp;" --recursive &amp; """&amp;walkandungz&amp;""" "&amp;search_path&amp;"\RTDC"&amp;B156&amp;"\"&amp;TEXT(F156,"YYYY-MM-DD")
&amp;" &amp; "&amp;"aws s3 cp "&amp;s3_bucket&amp;"/RTDC"&amp;B156&amp;"/"&amp;TEXT(F156+1,"YYYY-MM-DD")&amp;"/ "&amp;search_path&amp;"\RTDC"&amp;B156&amp;"\"&amp;TEXT(F156+1,"YYYY-MM-DD")&amp;" --recursive &amp; """&amp;walkandungz&amp;""" "&amp;search_path&amp;"\RTDC"&amp;B156&amp;"\"&amp;TEXT(F156+1,"YYYY-MM-DD")</f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56" s="96" t="str">
        <f>astrogrep_path&amp;" /spath="&amp;search_path&amp;" /stypes=""*"&amp;B156&amp;"*"&amp;TEXT(I156-utc_offset/24,"YYYYMMDD")&amp;"*"" /stext="" "&amp;TEXT(I156-utc_offset/24,"HH")&amp;search_regexp&amp;""" /e /r /s"</f>
        <v>"C:\Program Files (x86)\AstroGrep\AstroGrep.exe" /spath="%USERPROFILE%\AppData\Local\Temp\OnboardLogs" /stypes="*4009*20160901*" /stext=" 13:.+((SYSTEM_STATE.+slice.+state.+changed )|(ment ac)|(system.+state.+changed )|(\|lc)|(penalty)|(\[timeout)|(PRM\|1\|D)|(kpr)|(kdp))" /e /r /s</v>
      </c>
      <c r="AG156" s="1" t="str">
        <f>IFERROR(IF(VALUE(LEFT(AD156,2))&lt;=2,"EC",IF(OR(VALUE(LEFT(AD156,2))=8,VALUE(LEFT(AD156,2))=18),"NW","Other")),"Other")</f>
        <v>NW</v>
      </c>
      <c r="AH156" s="100" t="str">
        <f t="shared" si="15"/>
        <v>"%USERPROFILE%\Documents\GitHub\eaglep3\Utilities\RefineRTDCRunTimes.py" --tripid 805-01 --locoid 4009 --swversion DE.1.0.7.0 --startMP 204:1174 --initTime 2016-09-01T06:28:47 --startdatetime 2016-09-01T06:51:20 --delay 1 --endMP 300:58931 --enddatetime 2016-09-01T07:04:32 --enforcementcount 0 &gt;&gt;C:\Users\stu\Documents\GitHub\eaglep3-reporting\EC\2016-09-01-refined-times.txt</v>
      </c>
      <c r="AI156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{"issue":{"subject":"","project_id":79,"tracker_id":40,"status_id":1,"priority_id":2,"assigned_to_id":23,"start_date":"2016-09-01","description":"","custom_fields":[{"id":1,"name":"Subdivision","value":"NW"},{"id":4,"name":"Milepost","value":"5.7757"},{"id":17,"name":"Train ID","value":"805-01"},{"id":16,"name":"Locomotive ID","value":"4009"},{"id":130,"name":"Impact","value":""},{"id":150,"name":"Time of Event (Mountain Time)","value":"07:04:32"},{"id":151,"name":"Denver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615</v>
      </c>
      <c r="B157" s="7">
        <v>4010</v>
      </c>
      <c r="C157" s="24" t="s">
        <v>113</v>
      </c>
      <c r="D157" s="24" t="s">
        <v>616</v>
      </c>
      <c r="E157" s="15">
        <v>42614.296273148146</v>
      </c>
      <c r="F157" s="15">
        <v>42614.298368055555</v>
      </c>
      <c r="G157" s="7">
        <v>0</v>
      </c>
      <c r="H157" s="15" t="s">
        <v>617</v>
      </c>
      <c r="I157" s="15">
        <v>42614.30940972222</v>
      </c>
      <c r="J157" s="7">
        <v>0</v>
      </c>
      <c r="K157" s="132" t="str">
        <f>IF(ISEVEN(B157),(B157-1)&amp;"/"&amp;B157,B157&amp;"/"&amp;(B157+1))</f>
        <v>4009/4010</v>
      </c>
      <c r="L157" s="24" t="str">
        <f>VLOOKUP(A157,'Trips&amp;Operators'!$C$1:$E$10000,3,FALSE)</f>
        <v>YORK</v>
      </c>
      <c r="M157" s="6">
        <f>I157-F157</f>
        <v>1.1041666664823424E-2</v>
      </c>
      <c r="N157" s="7">
        <f>24*60*SUM($M157:$M157)</f>
        <v>15.899999997345731</v>
      </c>
      <c r="O157" s="7"/>
      <c r="P157" s="7"/>
      <c r="Q157" s="25"/>
      <c r="R157" s="25"/>
      <c r="S157" s="37">
        <f>SUM(U157:U157)/IF(AG157="EC",12,1)</f>
        <v>1</v>
      </c>
      <c r="T157" s="52" t="str">
        <f>IF(ISEVEN(LEFT(AD157,4)),"Southbound","NorthBound")</f>
        <v>Southbound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hh:mm:ss")&amp;"-0600',mode:absolute,to:'"&amp;TEXT(I157+1/24,"yyyy-MM-DD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https://search-rtdc-monitor-bjffxe2xuh6vdkpspy63sjmuny.us-east-1.es.amazonaws.com/_plugin/kibana/#/discover/Steve-Slow-Train-Analysis-(2080s-and-2083s)?_g=(refreshInterval:(display:Off,section:0,value:0),time:(from:'2016-09-01 06:06:38-0600',mode:absolute,to:'2016-09-01 08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7" s="54" t="str">
        <f>IF(AA157&lt;IF(AG157="EC",23,5.65),"Y","N")</f>
        <v>N</v>
      </c>
      <c r="X157" s="120">
        <f>VALUE(LEFT(AD157,4))-VALUE(LEFT(AD156,4))</f>
        <v>1</v>
      </c>
      <c r="Y157" s="69">
        <f>RIGHT(D157,LEN(D157)-4)/10000</f>
        <v>5.8623000000000003</v>
      </c>
      <c r="Z157" s="69">
        <f>RIGHT(H157,LEN(H157)-4)/10000</f>
        <v>8.4500000000000006E-2</v>
      </c>
      <c r="AA157" s="69">
        <f>ABS(Z157-Y157)</f>
        <v>5.7778</v>
      </c>
      <c r="AB157" s="66" t="e">
        <f>VLOOKUP(A157,Enforcements!$C$7:$J$21,8,0)</f>
        <v>#N/A</v>
      </c>
      <c r="AC157" s="62" t="e">
        <f>VLOOKUP(A157,Enforcements!$C$7:$E$21,3,0)</f>
        <v>#N/A</v>
      </c>
      <c r="AD157" s="63" t="str">
        <f>IF(LEN(A157)=6,"0"&amp;A157,A157)</f>
        <v>0806-01</v>
      </c>
      <c r="AE157" s="99" t="str">
        <f>"aws s3 cp "&amp;s3_bucket&amp;"/RTDC"&amp;B157&amp;"/"&amp;TEXT(F157,"YYYY-MM-DD")&amp;"/ "&amp;search_path&amp;"\RTDC"&amp;B157&amp;"\"&amp;TEXT(F157,"YYYY-MM-DD")&amp;" --recursive &amp; """&amp;walkandungz&amp;""" "&amp;search_path&amp;"\RTDC"&amp;B157&amp;"\"&amp;TEXT(F157,"YYYY-MM-DD")
&amp;" &amp; "&amp;"aws s3 cp "&amp;s3_bucket&amp;"/RTDC"&amp;B157&amp;"/"&amp;TEXT(F157+1,"YYYY-MM-DD")&amp;"/ "&amp;search_path&amp;"\RTDC"&amp;B157&amp;"\"&amp;TEXT(F157+1,"YYYY-MM-DD")&amp;" --recursive &amp; """&amp;walkandungz&amp;""" "&amp;search_path&amp;"\RTDC"&amp;B157&amp;"\"&amp;TEXT(F157+1,"YYYY-MM-DD")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57" s="96" t="str">
        <f>astrogrep_path&amp;" /spath="&amp;search_path&amp;" /stypes=""*"&amp;B157&amp;"*"&amp;TEXT(I157-utc_offset/24,"YYYYMMDD")&amp;"*"" /stext="" "&amp;TEXT(I157-utc_offset/24,"HH")&amp;search_regexp&amp;""" /e /r /s"</f>
        <v>"C:\Program Files (x86)\AstroGrep\AstroGrep.exe" /spath="%USERPROFILE%\AppData\Local\Temp\OnboardLogs" /stypes="*4010*20160901*" /stext=" 13:.+((SYSTEM_STATE.+slice.+state.+changed )|(ment ac)|(system.+state.+changed )|(\|lc)|(penalty)|(\[timeout)|(PRM\|1\|D)|(kpr)|(kdp))" /e /r /s</v>
      </c>
      <c r="AG157" s="1" t="str">
        <f>IFERROR(IF(VALUE(LEFT(AD157,2))&lt;=2,"EC",IF(OR(VALUE(LEFT(AD157,2))=8,VALUE(LEFT(AD157,2))=18),"NW","Other")),"Other")</f>
        <v>NW</v>
      </c>
      <c r="AH157" s="100" t="str">
        <f t="shared" si="15"/>
        <v>"%USERPROFILE%\Documents\GitHub\eaglep3\Utilities\RefineRTDCRunTimes.py" --tripid 806-01 --locoid 4010 --swversion DE.1.0.7.0 --startMP 300:58623 --initTime 2016-09-01T07:06:38 --startdatetime 2016-09-01T07:09:39 --delay 0 --endMP 204:845 --enddatetime 2016-09-01T07:25:33 --enforcementcount 0 &gt;&gt;C:\Users\stu\Documents\GitHub\eaglep3-reporting\EC\2016-09-01-refined-times.txt</v>
      </c>
      <c r="AI157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{"issue":{"subject":"","project_id":79,"tracker_id":40,"status_id":1,"priority_id":2,"assigned_to_id":23,"start_date":"2016-09-01","description":"","custom_fields":[{"id":1,"name":"Subdivision","value":"NW"},{"id":4,"name":"Milepost","value":"5.7778"},{"id":17,"name":"Train ID","value":"806-01"},{"id":16,"name":"Locomotive ID","value":"4010"},{"id":130,"name":"Impact","value":""},{"id":150,"name":"Time of Event (Mountain Time)","value":"07:25:33"},{"id":151,"name":"Denver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618</v>
      </c>
      <c r="B158" s="7">
        <v>4014</v>
      </c>
      <c r="C158" s="24" t="s">
        <v>113</v>
      </c>
      <c r="D158" s="24" t="s">
        <v>619</v>
      </c>
      <c r="E158" s="15">
        <v>42614.304849537039</v>
      </c>
      <c r="F158" s="15">
        <v>42614.306469907409</v>
      </c>
      <c r="G158" s="7">
        <v>1</v>
      </c>
      <c r="H158" s="15" t="s">
        <v>620</v>
      </c>
      <c r="I158" s="15">
        <v>42614.316018518519</v>
      </c>
      <c r="J158" s="7">
        <v>0</v>
      </c>
      <c r="K158" s="132" t="str">
        <f>IF(ISEVEN(B158),(B158-1)&amp;"/"&amp;B158,B158&amp;"/"&amp;(B158+1))</f>
        <v>4013/4014</v>
      </c>
      <c r="L158" s="24" t="str">
        <f>VLOOKUP(A158,'Trips&amp;Operators'!$C$1:$E$10000,3,FALSE)</f>
        <v>BEAM</v>
      </c>
      <c r="M158" s="6">
        <f>I158-F158</f>
        <v>9.5486111094942316E-3</v>
      </c>
      <c r="N158" s="7">
        <f>24*60*SUM($M158:$M158)</f>
        <v>13.749999997671694</v>
      </c>
      <c r="O158" s="7"/>
      <c r="P158" s="7"/>
      <c r="Q158" s="25"/>
      <c r="R158" s="25"/>
      <c r="S158" s="37">
        <f>SUM(U158:U158)/IF(AG158="EC",12,1)</f>
        <v>1</v>
      </c>
      <c r="T158" s="52" t="str">
        <f>IF(ISEVEN(LEFT(AD158,4)),"Southbound","NorthBound")</f>
        <v>NorthBound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hh:mm:ss")&amp;"-0600',mode:absolute,to:'"&amp;TEXT(I158+1/24,"yyyy-MM-DD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https://search-rtdc-monitor-bjffxe2xuh6vdkpspy63sjmuny.us-east-1.es.amazonaws.com/_plugin/kibana/#/discover/Steve-Slow-Train-Analysis-(2080s-and-2083s)?_g=(refreshInterval:(display:Off,section:0,value:0),time:(from:'2016-09-01 06:18:59-0600',mode:absolute,to:'2016-09-01 08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58" s="54" t="str">
        <f>IF(AA158&lt;IF(AG158="EC",23,5.65),"Y","N")</f>
        <v>N</v>
      </c>
      <c r="X158" s="120">
        <f>VALUE(LEFT(AD158,4))-VALUE(LEFT(AD157,4))</f>
        <v>1</v>
      </c>
      <c r="Y158" s="69">
        <f>RIGHT(D158,LEN(D158)-4)/10000</f>
        <v>9.8100000000000007E-2</v>
      </c>
      <c r="Z158" s="69">
        <f>RIGHT(H158,LEN(H158)-4)/10000</f>
        <v>5.8993000000000002</v>
      </c>
      <c r="AA158" s="69">
        <f>ABS(Z158-Y158)</f>
        <v>5.8012000000000006</v>
      </c>
      <c r="AB158" s="66" t="e">
        <f>VLOOKUP(A158,Enforcements!$C$7:$J$21,8,0)</f>
        <v>#N/A</v>
      </c>
      <c r="AC158" s="62" t="e">
        <f>VLOOKUP(A158,Enforcements!$C$7:$E$21,3,0)</f>
        <v>#N/A</v>
      </c>
      <c r="AD158" s="63" t="str">
        <f>IF(LEN(A158)=6,"0"&amp;A158,A158)</f>
        <v>0807-01</v>
      </c>
      <c r="AE158" s="99" t="str">
        <f>"aws s3 cp "&amp;s3_bucket&amp;"/RTDC"&amp;B158&amp;"/"&amp;TEXT(F158,"YYYY-MM-DD")&amp;"/ "&amp;search_path&amp;"\RTDC"&amp;B158&amp;"\"&amp;TEXT(F158,"YYYY-MM-DD")&amp;" --recursive &amp; """&amp;walkandungz&amp;""" "&amp;search_path&amp;"\RTDC"&amp;B158&amp;"\"&amp;TEXT(F158,"YYYY-MM-DD")
&amp;" &amp; "&amp;"aws s3 cp "&amp;s3_bucket&amp;"/RTDC"&amp;B158&amp;"/"&amp;TEXT(F158+1,"YYYY-MM-DD")&amp;"/ "&amp;search_path&amp;"\RTDC"&amp;B158&amp;"\"&amp;TEXT(F158+1,"YYYY-MM-DD")&amp;" --recursive &amp; """&amp;walkandungz&amp;""" "&amp;search_path&amp;"\RTDC"&amp;B158&amp;"\"&amp;TEXT(F158+1,"YYYY-MM-DD")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58" s="96" t="str">
        <f>astrogrep_path&amp;" /spath="&amp;search_path&amp;" /stypes=""*"&amp;B158&amp;"*"&amp;TEXT(I158-utc_offset/24,"YYYYMMDD")&amp;"*"" /stext="" "&amp;TEXT(I158-utc_offset/24,"HH")&amp;search_regexp&amp;""" /e /r /s"</f>
        <v>"C:\Program Files (x86)\AstroGrep\AstroGrep.exe" /spath="%USERPROFILE%\AppData\Local\Temp\OnboardLogs" /stypes="*4014*20160901*" /stext=" 13:.+((SYSTEM_STATE.+slice.+state.+changed )|(ment ac)|(system.+state.+changed )|(\|lc)|(penalty)|(\[timeout)|(PRM\|1\|D)|(kpr)|(kdp))" /e /r /s</v>
      </c>
      <c r="AG158" s="1" t="str">
        <f>IFERROR(IF(VALUE(LEFT(AD158,2))&lt;=2,"EC",IF(OR(VALUE(LEFT(AD158,2))=8,VALUE(LEFT(AD158,2))=18),"NW","Other")),"Other")</f>
        <v>NW</v>
      </c>
      <c r="AH158" s="100" t="str">
        <f t="shared" si="15"/>
        <v>"%USERPROFILE%\Documents\GitHub\eaglep3\Utilities\RefineRTDCRunTimes.py" --tripid 807-01 --locoid 4014 --swversion DE.1.0.7.0 --startMP 204:981 --initTime 2016-09-01T07:18:59 --startdatetime 2016-09-01T07:21:19 --delay 1 --endMP 300:58993 --enddatetime 2016-09-01T07:35:04 --enforcementcount 0 &gt;&gt;C:\Users\stu\Documents\GitHub\eaglep3-reporting\EC\2016-09-01-refined-times.txt</v>
      </c>
      <c r="AI158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{"issue":{"subject":"","project_id":79,"tracker_id":40,"status_id":1,"priority_id":2,"assigned_to_id":23,"start_date":"2016-09-01","description":"","custom_fields":[{"id":1,"name":"Subdivision","value":"NW"},{"id":4,"name":"Milepost","value":"5.8012"},{"id":17,"name":"Train ID","value":"807-01"},{"id":16,"name":"Locomotive ID","value":"4014"},{"id":130,"name":"Impact","value":""},{"id":150,"name":"Time of Event (Mountain Time)","value":"07:35:04"},{"id":151,"name":"Denver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621</v>
      </c>
      <c r="B159" s="7">
        <v>4013</v>
      </c>
      <c r="C159" s="24" t="s">
        <v>113</v>
      </c>
      <c r="D159" s="24" t="s">
        <v>622</v>
      </c>
      <c r="E159" s="15">
        <v>42614.317083333335</v>
      </c>
      <c r="F159" s="15">
        <v>42614.318460648145</v>
      </c>
      <c r="G159" s="7">
        <v>1</v>
      </c>
      <c r="H159" s="15" t="s">
        <v>623</v>
      </c>
      <c r="I159" s="15">
        <v>42614.330578703702</v>
      </c>
      <c r="J159" s="7">
        <v>0</v>
      </c>
      <c r="K159" s="132" t="str">
        <f>IF(ISEVEN(B159),(B159-1)&amp;"/"&amp;B159,B159&amp;"/"&amp;(B159+1))</f>
        <v>4013/4014</v>
      </c>
      <c r="L159" s="24" t="str">
        <f>VLOOKUP(A159,'Trips&amp;Operators'!$C$1:$E$10000,3,FALSE)</f>
        <v>BEAM</v>
      </c>
      <c r="M159" s="6">
        <f>I159-F159</f>
        <v>1.2118055557948537E-2</v>
      </c>
      <c r="N159" s="7">
        <f>24*60*SUM($M159:$M159)</f>
        <v>17.450000003445894</v>
      </c>
      <c r="O159" s="7"/>
      <c r="P159" s="7"/>
      <c r="Q159" s="25"/>
      <c r="R159" s="25"/>
      <c r="S159" s="37">
        <f>SUM(U159:U159)/IF(AG159="EC",12,1)</f>
        <v>1</v>
      </c>
      <c r="T159" s="52" t="str">
        <f>IF(ISEVEN(LEFT(AD159,4)),"Southbound","NorthBound")</f>
        <v>Southbound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hh:mm:ss")&amp;"-0600',mode:absolute,to:'"&amp;TEXT(I159+1/24,"yyyy-MM-DD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https://search-rtdc-monitor-bjffxe2xuh6vdkpspy63sjmuny.us-east-1.es.amazonaws.com/_plugin/kibana/#/discover/Steve-Slow-Train-Analysis-(2080s-and-2083s)?_g=(refreshInterval:(display:Off,section:0,value:0),time:(from:'2016-09-01 06:36:36-0600',mode:absolute,to:'2016-09-01 08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59" s="54" t="str">
        <f>IF(AA159&lt;IF(AG159="EC",23,5.65),"Y","N")</f>
        <v>N</v>
      </c>
      <c r="X159" s="120">
        <f>VALUE(LEFT(AD159,4))-VALUE(LEFT(AD158,4))</f>
        <v>1</v>
      </c>
      <c r="Y159" s="69">
        <f>RIGHT(D159,LEN(D159)-4)/10000</f>
        <v>5.8677000000000001</v>
      </c>
      <c r="Z159" s="69">
        <f>RIGHT(H159,LEN(H159)-4)/10000</f>
        <v>7.8899999999999998E-2</v>
      </c>
      <c r="AA159" s="69">
        <f>ABS(Z159-Y159)</f>
        <v>5.7888000000000002</v>
      </c>
      <c r="AB159" s="66" t="e">
        <f>VLOOKUP(A159,Enforcements!$C$7:$J$21,8,0)</f>
        <v>#N/A</v>
      </c>
      <c r="AC159" s="62" t="e">
        <f>VLOOKUP(A159,Enforcements!$C$7:$E$21,3,0)</f>
        <v>#N/A</v>
      </c>
      <c r="AD159" s="63" t="str">
        <f>IF(LEN(A159)=6,"0"&amp;A159,A159)</f>
        <v>0808-01</v>
      </c>
      <c r="AE159" s="99" t="str">
        <f>"aws s3 cp "&amp;s3_bucket&amp;"/RTDC"&amp;B159&amp;"/"&amp;TEXT(F159,"YYYY-MM-DD")&amp;"/ "&amp;search_path&amp;"\RTDC"&amp;B159&amp;"\"&amp;TEXT(F159,"YYYY-MM-DD")&amp;" --recursive &amp; """&amp;walkandungz&amp;""" "&amp;search_path&amp;"\RTDC"&amp;B159&amp;"\"&amp;TEXT(F159,"YYYY-MM-DD")
&amp;" &amp; "&amp;"aws s3 cp "&amp;s3_bucket&amp;"/RTDC"&amp;B159&amp;"/"&amp;TEXT(F159+1,"YYYY-MM-DD")&amp;"/ "&amp;search_path&amp;"\RTDC"&amp;B159&amp;"\"&amp;TEXT(F159+1,"YYYY-MM-DD")&amp;" --recursive &amp; """&amp;walkandungz&amp;""" "&amp;search_path&amp;"\RTDC"&amp;B159&amp;"\"&amp;TEXT(F159+1,"YYYY-MM-DD")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59" s="96" t="str">
        <f>astrogrep_path&amp;" /spath="&amp;search_path&amp;" /stypes=""*"&amp;B159&amp;"*"&amp;TEXT(I159-utc_offset/24,"YYYYMMDD")&amp;"*"" /stext="" "&amp;TEXT(I159-utc_offset/24,"HH")&amp;search_regexp&amp;""" /e /r /s"</f>
        <v>"C:\Program Files (x86)\AstroGrep\AstroGrep.exe" /spath="%USERPROFILE%\AppData\Local\Temp\OnboardLogs" /stypes="*4013*20160901*" /stext=" 13:.+((SYSTEM_STATE.+slice.+state.+changed )|(ment ac)|(system.+state.+changed )|(\|lc)|(penalty)|(\[timeout)|(PRM\|1\|D)|(kpr)|(kdp))" /e /r /s</v>
      </c>
      <c r="AG159" s="1" t="str">
        <f>IFERROR(IF(VALUE(LEFT(AD159,2))&lt;=2,"EC",IF(OR(VALUE(LEFT(AD159,2))=8,VALUE(LEFT(AD159,2))=18),"NW","Other")),"Other")</f>
        <v>NW</v>
      </c>
      <c r="AH159" s="100" t="str">
        <f t="shared" si="15"/>
        <v>"%USERPROFILE%\Documents\GitHub\eaglep3\Utilities\RefineRTDCRunTimes.py" --tripid 808-01 --locoid 4013 --swversion DE.1.0.7.0 --startMP 300:58677 --initTime 2016-09-01T07:36:36 --startdatetime 2016-09-01T07:38:35 --delay 1 --endMP 204:789 --enddatetime 2016-09-01T07:56:02 --enforcementcount 0 &gt;&gt;C:\Users\stu\Documents\GitHub\eaglep3-reporting\EC\2016-09-01-refined-times.txt</v>
      </c>
      <c r="AI159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{"issue":{"subject":"","project_id":79,"tracker_id":40,"status_id":1,"priority_id":2,"assigned_to_id":23,"start_date":"2016-09-01","description":"","custom_fields":[{"id":1,"name":"Subdivision","value":"NW"},{"id":4,"name":"Milepost","value":"5.7888"},{"id":17,"name":"Train ID","value":"808-01"},{"id":16,"name":"Locomotive ID","value":"4013"},{"id":130,"name":"Impact","value":""},{"id":150,"name":"Time of Event (Mountain Time)","value":"07:56:02"},{"id":151,"name":"Denver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624</v>
      </c>
      <c r="B160" s="7">
        <v>4009</v>
      </c>
      <c r="C160" s="24" t="s">
        <v>113</v>
      </c>
      <c r="D160" s="24" t="s">
        <v>625</v>
      </c>
      <c r="E160" s="15">
        <v>42614.311412037037</v>
      </c>
      <c r="F160" s="15">
        <v>42614.327303240738</v>
      </c>
      <c r="G160" s="7">
        <v>1</v>
      </c>
      <c r="H160" s="15" t="s">
        <v>626</v>
      </c>
      <c r="I160" s="15">
        <v>42614.336458333331</v>
      </c>
      <c r="J160" s="7">
        <v>0</v>
      </c>
      <c r="K160" s="132" t="str">
        <f>IF(ISEVEN(B160),(B160-1)&amp;"/"&amp;B160,B160&amp;"/"&amp;(B160+1))</f>
        <v>4009/4010</v>
      </c>
      <c r="L160" s="24" t="str">
        <f>VLOOKUP(A160,'Trips&amp;Operators'!$C$1:$E$10000,3,FALSE)</f>
        <v>YORK</v>
      </c>
      <c r="M160" s="6">
        <f>I160-F160</f>
        <v>9.1550925935734995E-3</v>
      </c>
      <c r="N160" s="7">
        <f>24*60*SUM($M160:$M160)</f>
        <v>13.183333334745839</v>
      </c>
      <c r="O160" s="7"/>
      <c r="P160" s="7"/>
      <c r="Q160" s="25"/>
      <c r="R160" s="25"/>
      <c r="S160" s="37">
        <f>SUM(U160:U160)/IF(AG160="EC",12,1)</f>
        <v>1</v>
      </c>
      <c r="T160" s="52" t="str">
        <f>IF(ISEVEN(LEFT(AD160,4)),"Southbound","NorthBound")</f>
        <v>NorthBound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hh:mm:ss")&amp;"-0600',mode:absolute,to:'"&amp;TEXT(I160+1/24,"yyyy-MM-DD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https://search-rtdc-monitor-bjffxe2xuh6vdkpspy63sjmuny.us-east-1.es.amazonaws.com/_plugin/kibana/#/discover/Steve-Slow-Train-Analysis-(2080s-and-2083s)?_g=(refreshInterval:(display:Off,section:0,value:0),time:(from:'2016-09-01 06:28:26-0600',mode:absolute,to:'2016-09-01 09:04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60" s="54" t="str">
        <f>IF(AA160&lt;IF(AG160="EC",23,5.65),"Y","N")</f>
        <v>N</v>
      </c>
      <c r="X160" s="120">
        <f>VALUE(LEFT(AD160,4))-VALUE(LEFT(AD159,4))</f>
        <v>1</v>
      </c>
      <c r="Y160" s="69">
        <f>RIGHT(D160,LEN(D160)-4)/10000</f>
        <v>0.1123</v>
      </c>
      <c r="Z160" s="69">
        <f>RIGHT(H160,LEN(H160)-4)/10000</f>
        <v>5.8944000000000001</v>
      </c>
      <c r="AA160" s="69">
        <f>ABS(Z160-Y160)</f>
        <v>5.7820999999999998</v>
      </c>
      <c r="AB160" s="66" t="e">
        <f>VLOOKUP(A160,Enforcements!$C$7:$J$21,8,0)</f>
        <v>#N/A</v>
      </c>
      <c r="AC160" s="62" t="e">
        <f>VLOOKUP(A160,Enforcements!$C$7:$E$21,3,0)</f>
        <v>#N/A</v>
      </c>
      <c r="AD160" s="63" t="str">
        <f>IF(LEN(A160)=6,"0"&amp;A160,A160)</f>
        <v>0809-01</v>
      </c>
      <c r="AE160" s="99" t="str">
        <f>"aws s3 cp "&amp;s3_bucket&amp;"/RTDC"&amp;B160&amp;"/"&amp;TEXT(F160,"YYYY-MM-DD")&amp;"/ "&amp;search_path&amp;"\RTDC"&amp;B160&amp;"\"&amp;TEXT(F160,"YYYY-MM-DD")&amp;" --recursive &amp; """&amp;walkandungz&amp;""" "&amp;search_path&amp;"\RTDC"&amp;B160&amp;"\"&amp;TEXT(F160,"YYYY-MM-DD")
&amp;" &amp; "&amp;"aws s3 cp "&amp;s3_bucket&amp;"/RTDC"&amp;B160&amp;"/"&amp;TEXT(F160+1,"YYYY-MM-DD")&amp;"/ "&amp;search_path&amp;"\RTDC"&amp;B160&amp;"\"&amp;TEXT(F160+1,"YYYY-MM-DD")&amp;" --recursive &amp; """&amp;walkandungz&amp;""" "&amp;search_path&amp;"\RTDC"&amp;B160&amp;"\"&amp;TEXT(F160+1,"YYYY-MM-DD")</f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60" s="96" t="str">
        <f>astrogrep_path&amp;" /spath="&amp;search_path&amp;" /stypes=""*"&amp;B160&amp;"*"&amp;TEXT(I160-utc_offset/24,"YYYYMMDD")&amp;"*"" /stext="" "&amp;TEXT(I160-utc_offset/24,"HH")&amp;search_regexp&amp;""" /e /r /s"</f>
        <v>"C:\Program Files (x86)\AstroGrep\AstroGrep.exe" /spath="%USERPROFILE%\AppData\Local\Temp\OnboardLogs" /stypes="*4009*20160901*" /stext=" 14:.+((SYSTEM_STATE.+slice.+state.+changed )|(ment ac)|(system.+state.+changed )|(\|lc)|(penalty)|(\[timeout)|(PRM\|1\|D)|(kpr)|(kdp))" /e /r /s</v>
      </c>
      <c r="AG160" s="1" t="str">
        <f>IFERROR(IF(VALUE(LEFT(AD160,2))&lt;=2,"EC",IF(OR(VALUE(LEFT(AD160,2))=8,VALUE(LEFT(AD160,2))=18),"NW","Other")),"Other")</f>
        <v>NW</v>
      </c>
      <c r="AH160" s="100" t="str">
        <f t="shared" si="15"/>
        <v>"%USERPROFILE%\Documents\GitHub\eaglep3\Utilities\RefineRTDCRunTimes.py" --tripid 809-01 --locoid 4009 --swversion DE.1.0.7.0 --startMP 204:1123 --initTime 2016-09-01T07:28:26 --startdatetime 2016-09-01T07:51:19 --delay 1 --endMP 300:58944 --enddatetime 2016-09-01T08:04:30 --enforcementcount 0 &gt;&gt;C:\Users\stu\Documents\GitHub\eaglep3-reporting\EC\2016-09-01-refined-times.txt</v>
      </c>
      <c r="AI160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{"issue":{"subject":"","project_id":79,"tracker_id":40,"status_id":1,"priority_id":2,"assigned_to_id":23,"start_date":"2016-09-01","description":"","custom_fields":[{"id":1,"name":"Subdivision","value":"NW"},{"id":4,"name":"Milepost","value":"5.7821"},{"id":17,"name":"Train ID","value":"809-01"},{"id":16,"name":"Locomotive ID","value":"4009"},{"id":130,"name":"Impact","value":""},{"id":150,"name":"Time of Event (Mountain Time)","value":"08:04:30"},{"id":151,"name":"Denver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627</v>
      </c>
      <c r="B161" s="7">
        <v>4010</v>
      </c>
      <c r="C161" s="24" t="s">
        <v>113</v>
      </c>
      <c r="D161" s="24" t="s">
        <v>616</v>
      </c>
      <c r="E161" s="15">
        <v>42614.33761574074</v>
      </c>
      <c r="F161" s="15">
        <v>42614.340277777781</v>
      </c>
      <c r="G161" s="7">
        <v>1</v>
      </c>
      <c r="H161" s="15" t="s">
        <v>628</v>
      </c>
      <c r="I161" s="15">
        <v>42614.351805555554</v>
      </c>
      <c r="J161" s="7">
        <v>0</v>
      </c>
      <c r="K161" s="132" t="str">
        <f>IF(ISEVEN(B161),(B161-1)&amp;"/"&amp;B161,B161&amp;"/"&amp;(B161+1))</f>
        <v>4009/4010</v>
      </c>
      <c r="L161" s="24" t="str">
        <f>VLOOKUP(A161,'Trips&amp;Operators'!$C$1:$E$10000,3,FALSE)</f>
        <v>YORK</v>
      </c>
      <c r="M161" s="6">
        <f>I161-F161</f>
        <v>1.1527777773153502E-2</v>
      </c>
      <c r="N161" s="7">
        <f>24*60*SUM($M161:$M161)</f>
        <v>16.599999993341044</v>
      </c>
      <c r="O161" s="7"/>
      <c r="P161" s="7"/>
      <c r="Q161" s="25"/>
      <c r="R161" s="25"/>
      <c r="S161" s="37">
        <f>SUM(U161:U161)/IF(AG161="EC",12,1)</f>
        <v>1</v>
      </c>
      <c r="T161" s="52" t="str">
        <f>IF(ISEVEN(LEFT(AD161,4)),"Southbound","NorthBound")</f>
        <v>Southbound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hh:mm:ss")&amp;"-0600',mode:absolute,to:'"&amp;TEXT(I161+1/24,"yyyy-MM-DD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https://search-rtdc-monitor-bjffxe2xuh6vdkpspy63sjmuny.us-east-1.es.amazonaws.com/_plugin/kibana/#/discover/Steve-Slow-Train-Analysis-(2080s-and-2083s)?_g=(refreshInterval:(display:Off,section:0,value:0),time:(from:'2016-09-01 07:06:10-0600',mode:absolute,to:'2016-09-01 09:26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61" s="54" t="str">
        <f>IF(AA161&lt;IF(AG161="EC",23,5.65),"Y","N")</f>
        <v>N</v>
      </c>
      <c r="X161" s="120">
        <f>VALUE(LEFT(AD161,4))-VALUE(LEFT(AD160,4))</f>
        <v>1</v>
      </c>
      <c r="Y161" s="69">
        <f>RIGHT(D161,LEN(D161)-4)/10000</f>
        <v>5.8623000000000003</v>
      </c>
      <c r="Z161" s="69">
        <f>RIGHT(H161,LEN(H161)-4)/10000</f>
        <v>8.9200000000000002E-2</v>
      </c>
      <c r="AA161" s="69">
        <f>ABS(Z161-Y161)</f>
        <v>5.7731000000000003</v>
      </c>
      <c r="AB161" s="66" t="e">
        <f>VLOOKUP(A161,Enforcements!$C$7:$J$21,8,0)</f>
        <v>#N/A</v>
      </c>
      <c r="AC161" s="62" t="e">
        <f>VLOOKUP(A161,Enforcements!$C$7:$E$21,3,0)</f>
        <v>#N/A</v>
      </c>
      <c r="AD161" s="63" t="str">
        <f>IF(LEN(A161)=6,"0"&amp;A161,A161)</f>
        <v>0810-01</v>
      </c>
      <c r="AE161" s="99" t="str">
        <f>"aws s3 cp "&amp;s3_bucket&amp;"/RTDC"&amp;B161&amp;"/"&amp;TEXT(F161,"YYYY-MM-DD")&amp;"/ "&amp;search_path&amp;"\RTDC"&amp;B161&amp;"\"&amp;TEXT(F161,"YYYY-MM-DD")&amp;" --recursive &amp; """&amp;walkandungz&amp;""" "&amp;search_path&amp;"\RTDC"&amp;B161&amp;"\"&amp;TEXT(F161,"YYYY-MM-DD")
&amp;" &amp; "&amp;"aws s3 cp "&amp;s3_bucket&amp;"/RTDC"&amp;B161&amp;"/"&amp;TEXT(F161+1,"YYYY-MM-DD")&amp;"/ "&amp;search_path&amp;"\RTDC"&amp;B161&amp;"\"&amp;TEXT(F161+1,"YYYY-MM-DD")&amp;" --recursive &amp; """&amp;walkandungz&amp;""" "&amp;search_path&amp;"\RTDC"&amp;B161&amp;"\"&amp;TEXT(F161+1,"YYYY-MM-DD")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61" s="96" t="str">
        <f>astrogrep_path&amp;" /spath="&amp;search_path&amp;" /stypes=""*"&amp;B161&amp;"*"&amp;TEXT(I161-utc_offset/24,"YYYYMMDD")&amp;"*"" /stext="" "&amp;TEXT(I161-utc_offset/24,"HH")&amp;search_regexp&amp;""" /e /r /s"</f>
        <v>"C:\Program Files (x86)\AstroGrep\AstroGrep.exe" /spath="%USERPROFILE%\AppData\Local\Temp\OnboardLogs" /stypes="*4010*20160901*" /stext=" 14:.+((SYSTEM_STATE.+slice.+state.+changed )|(ment ac)|(system.+state.+changed )|(\|lc)|(penalty)|(\[timeout)|(PRM\|1\|D)|(kpr)|(kdp))" /e /r /s</v>
      </c>
      <c r="AG161" s="1" t="str">
        <f>IFERROR(IF(VALUE(LEFT(AD161,2))&lt;=2,"EC",IF(OR(VALUE(LEFT(AD161,2))=8,VALUE(LEFT(AD161,2))=18),"NW","Other")),"Other")</f>
        <v>NW</v>
      </c>
      <c r="AH161" s="100" t="str">
        <f t="shared" si="15"/>
        <v>"%USERPROFILE%\Documents\GitHub\eaglep3\Utilities\RefineRTDCRunTimes.py" --tripid 810-01 --locoid 4010 --swversion DE.1.0.7.0 --startMP 300:58623 --initTime 2016-09-01T08:06:10 --startdatetime 2016-09-01T08:10:00 --delay 1 --endMP 204:892 --enddatetime 2016-09-01T08:26:36 --enforcementcount 0 &gt;&gt;C:\Users\stu\Documents\GitHub\eaglep3-reporting\EC\2016-09-01-refined-times.txt</v>
      </c>
      <c r="AI161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{"issue":{"subject":"","project_id":79,"tracker_id":40,"status_id":1,"priority_id":2,"assigned_to_id":23,"start_date":"2016-09-01","description":"","custom_fields":[{"id":1,"name":"Subdivision","value":"NW"},{"id":4,"name":"Milepost","value":"5.7731"},{"id":17,"name":"Train ID","value":"810-01"},{"id":16,"name":"Locomotive ID","value":"4010"},{"id":130,"name":"Impact","value":""},{"id":150,"name":"Time of Event (Mountain Time)","value":"08:26:36"},{"id":151,"name":"Denver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629</v>
      </c>
      <c r="B162" s="7">
        <v>4014</v>
      </c>
      <c r="C162" s="24" t="s">
        <v>113</v>
      </c>
      <c r="D162" s="24" t="s">
        <v>630</v>
      </c>
      <c r="E162" s="15">
        <v>42614.343101851853</v>
      </c>
      <c r="F162" s="15">
        <v>42614.348113425927</v>
      </c>
      <c r="G162" s="7">
        <v>1</v>
      </c>
      <c r="H162" s="15" t="s">
        <v>349</v>
      </c>
      <c r="I162" s="15">
        <v>42614.357673611114</v>
      </c>
      <c r="J162" s="7">
        <v>0</v>
      </c>
      <c r="K162" s="132" t="str">
        <f>IF(ISEVEN(B162),(B162-1)&amp;"/"&amp;B162,B162&amp;"/"&amp;(B162+1))</f>
        <v>4013/4014</v>
      </c>
      <c r="L162" s="24" t="str">
        <f>VLOOKUP(A162,'Trips&amp;Operators'!$C$1:$E$10000,3,FALSE)</f>
        <v>BEAM</v>
      </c>
      <c r="M162" s="6">
        <f>I162-F162</f>
        <v>9.560185186273884E-3</v>
      </c>
      <c r="N162" s="7">
        <f>24*60*SUM($M162:$M162)</f>
        <v>13.766666668234393</v>
      </c>
      <c r="O162" s="7"/>
      <c r="P162" s="7"/>
      <c r="Q162" s="25"/>
      <c r="R162" s="25"/>
      <c r="S162" s="37">
        <f>SUM(U162:U162)/IF(AG162="EC",12,1)</f>
        <v>1</v>
      </c>
      <c r="T162" s="52" t="str">
        <f>IF(ISEVEN(LEFT(AD162,4)),"Southbound","NorthBound")</f>
        <v>NorthBound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hh:mm:ss")&amp;"-0600',mode:absolute,to:'"&amp;TEXT(I162+1/24,"yyyy-MM-DD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https://search-rtdc-monitor-bjffxe2xuh6vdkpspy63sjmuny.us-east-1.es.amazonaws.com/_plugin/kibana/#/discover/Steve-Slow-Train-Analysis-(2080s-and-2083s)?_g=(refreshInterval:(display:Off,section:0,value:0),time:(from:'2016-09-01 07:14:04-0600',mode:absolute,to:'2016-09-01 09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2" s="54" t="str">
        <f>IF(AA162&lt;IF(AG162="EC",23,5.65),"Y","N")</f>
        <v>N</v>
      </c>
      <c r="X162" s="120">
        <f>VALUE(LEFT(AD162,4))-VALUE(LEFT(AD161,4))</f>
        <v>1</v>
      </c>
      <c r="Y162" s="69">
        <f>RIGHT(D162,LEN(D162)-4)/10000</f>
        <v>0.107</v>
      </c>
      <c r="Z162" s="69">
        <f>RIGHT(H162,LEN(H162)-4)/10000</f>
        <v>5.9001000000000001</v>
      </c>
      <c r="AA162" s="69">
        <f>ABS(Z162-Y162)</f>
        <v>5.7930999999999999</v>
      </c>
      <c r="AB162" s="66" t="e">
        <f>VLOOKUP(A162,Enforcements!$C$7:$J$21,8,0)</f>
        <v>#N/A</v>
      </c>
      <c r="AC162" s="62" t="e">
        <f>VLOOKUP(A162,Enforcements!$C$7:$E$21,3,0)</f>
        <v>#N/A</v>
      </c>
      <c r="AD162" s="63" t="str">
        <f>IF(LEN(A162)=6,"0"&amp;A162,A162)</f>
        <v>0811-01</v>
      </c>
      <c r="AE162" s="99" t="str">
        <f>"aws s3 cp "&amp;s3_bucket&amp;"/RTDC"&amp;B162&amp;"/"&amp;TEXT(F162,"YYYY-MM-DD")&amp;"/ "&amp;search_path&amp;"\RTDC"&amp;B162&amp;"\"&amp;TEXT(F162,"YYYY-MM-DD")&amp;" --recursive &amp; """&amp;walkandungz&amp;""" "&amp;search_path&amp;"\RTDC"&amp;B162&amp;"\"&amp;TEXT(F162,"YYYY-MM-DD")
&amp;" &amp; "&amp;"aws s3 cp "&amp;s3_bucket&amp;"/RTDC"&amp;B162&amp;"/"&amp;TEXT(F162+1,"YYYY-MM-DD")&amp;"/ "&amp;search_path&amp;"\RTDC"&amp;B162&amp;"\"&amp;TEXT(F162+1,"YYYY-MM-DD")&amp;" --recursive &amp; """&amp;walkandungz&amp;""" "&amp;search_path&amp;"\RTDC"&amp;B162&amp;"\"&amp;TEXT(F162+1,"YYYY-MM-DD")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62" s="96" t="str">
        <f>astrogrep_path&amp;" /spath="&amp;search_path&amp;" /stypes=""*"&amp;B162&amp;"*"&amp;TEXT(I162-utc_offset/24,"YYYYMMDD")&amp;"*"" /stext="" "&amp;TEXT(I162-utc_offset/24,"HH")&amp;search_regexp&amp;""" /e /r /s"</f>
        <v>"C:\Program Files (x86)\AstroGrep\AstroGrep.exe" /spath="%USERPROFILE%\AppData\Local\Temp\OnboardLogs" /stypes="*4014*20160901*" /stext=" 14:.+((SYSTEM_STATE.+slice.+state.+changed )|(ment ac)|(system.+state.+changed )|(\|lc)|(penalty)|(\[timeout)|(PRM\|1\|D)|(kpr)|(kdp))" /e /r /s</v>
      </c>
      <c r="AG162" s="1" t="str">
        <f>IFERROR(IF(VALUE(LEFT(AD162,2))&lt;=2,"EC",IF(OR(VALUE(LEFT(AD162,2))=8,VALUE(LEFT(AD162,2))=18),"NW","Other")),"Other")</f>
        <v>NW</v>
      </c>
      <c r="AH162" s="100" t="str">
        <f t="shared" si="15"/>
        <v>"%USERPROFILE%\Documents\GitHub\eaglep3\Utilities\RefineRTDCRunTimes.py" --tripid 811-01 --locoid 4014 --swversion DE.1.0.7.0 --startMP 204:1070 --initTime 2016-09-01T08:14:04 --startdatetime 2016-09-01T08:21:17 --delay 1 --endMP 300:59001 --enddatetime 2016-09-01T08:35:03 --enforcementcount 0 &gt;&gt;C:\Users\stu\Documents\GitHub\eaglep3-reporting\EC\2016-09-01-refined-times.txt</v>
      </c>
      <c r="AI162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{"issue":{"subject":"","project_id":79,"tracker_id":40,"status_id":1,"priority_id":2,"assigned_to_id":23,"start_date":"2016-09-01","description":"","custom_fields":[{"id":1,"name":"Subdivision","value":"NW"},{"id":4,"name":"Milepost","value":"5.7931"},{"id":17,"name":"Train ID","value":"811-01"},{"id":16,"name":"Locomotive ID","value":"4014"},{"id":130,"name":"Impact","value":""},{"id":150,"name":"Time of Event (Mountain Time)","value":"08:35:03"},{"id":151,"name":"Denver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631</v>
      </c>
      <c r="B163" s="7">
        <v>4013</v>
      </c>
      <c r="C163" s="24" t="s">
        <v>113</v>
      </c>
      <c r="D163" s="24" t="s">
        <v>632</v>
      </c>
      <c r="E163" s="15">
        <v>42614.35864583333</v>
      </c>
      <c r="F163" s="15">
        <v>42614.359942129631</v>
      </c>
      <c r="G163" s="7">
        <v>0</v>
      </c>
      <c r="H163" s="15" t="s">
        <v>633</v>
      </c>
      <c r="I163" s="15">
        <v>42614.371412037035</v>
      </c>
      <c r="J163" s="7">
        <v>0</v>
      </c>
      <c r="K163" s="132" t="str">
        <f>IF(ISEVEN(B163),(B163-1)&amp;"/"&amp;B163,B163&amp;"/"&amp;(B163+1))</f>
        <v>4013/4014</v>
      </c>
      <c r="L163" s="24" t="str">
        <f>VLOOKUP(A163,'Trips&amp;Operators'!$C$1:$E$10000,3,FALSE)</f>
        <v>BEAM</v>
      </c>
      <c r="M163" s="6">
        <f>I163-F163</f>
        <v>1.1469907403807156E-2</v>
      </c>
      <c r="N163" s="7">
        <f>24*60*SUM($M163:$M163)</f>
        <v>16.516666661482304</v>
      </c>
      <c r="O163" s="7"/>
      <c r="P163" s="7"/>
      <c r="Q163" s="25"/>
      <c r="R163" s="25"/>
      <c r="S163" s="37">
        <f>SUM(U163:U163)/IF(AG163="EC",12,1)</f>
        <v>1</v>
      </c>
      <c r="T163" s="52" t="str">
        <f>IF(ISEVEN(LEFT(AD163,4)),"Southbound","NorthBound")</f>
        <v>Southbound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hh:mm:ss")&amp;"-0600',mode:absolute,to:'"&amp;TEXT(I163+1/24,"yyyy-MM-DD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https://search-rtdc-monitor-bjffxe2xuh6vdkpspy63sjmuny.us-east-1.es.amazonaws.com/_plugin/kibana/#/discover/Steve-Slow-Train-Analysis-(2080s-and-2083s)?_g=(refreshInterval:(display:Off,section:0,value:0),time:(from:'2016-09-01 07:36:27-0600',mode:absolute,to:'2016-09-01 09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3" s="54" t="str">
        <f>IF(AA163&lt;IF(AG163="EC",23,5.65),"Y","N")</f>
        <v>N</v>
      </c>
      <c r="X163" s="120">
        <f>VALUE(LEFT(AD163,4))-VALUE(LEFT(AD162,4))</f>
        <v>1</v>
      </c>
      <c r="Y163" s="69">
        <f>RIGHT(D163,LEN(D163)-4)/10000</f>
        <v>5.8686999999999996</v>
      </c>
      <c r="Z163" s="69">
        <f>RIGHT(H163,LEN(H163)-4)/10000</f>
        <v>7.9200000000000007E-2</v>
      </c>
      <c r="AA163" s="69">
        <f>ABS(Z163-Y163)</f>
        <v>5.7894999999999994</v>
      </c>
      <c r="AB163" s="66" t="e">
        <f>VLOOKUP(A163,Enforcements!$C$7:$J$21,8,0)</f>
        <v>#N/A</v>
      </c>
      <c r="AC163" s="62" t="e">
        <f>VLOOKUP(A163,Enforcements!$C$7:$E$21,3,0)</f>
        <v>#N/A</v>
      </c>
      <c r="AD163" s="63" t="str">
        <f>IF(LEN(A163)=6,"0"&amp;A163,A163)</f>
        <v>0812-01</v>
      </c>
      <c r="AE163" s="99" t="str">
        <f>"aws s3 cp "&amp;s3_bucket&amp;"/RTDC"&amp;B163&amp;"/"&amp;TEXT(F163,"YYYY-MM-DD")&amp;"/ "&amp;search_path&amp;"\RTDC"&amp;B163&amp;"\"&amp;TEXT(F163,"YYYY-MM-DD")&amp;" --recursive &amp; """&amp;walkandungz&amp;""" "&amp;search_path&amp;"\RTDC"&amp;B163&amp;"\"&amp;TEXT(F163,"YYYY-MM-DD")
&amp;" &amp; "&amp;"aws s3 cp "&amp;s3_bucket&amp;"/RTDC"&amp;B163&amp;"/"&amp;TEXT(F163+1,"YYYY-MM-DD")&amp;"/ "&amp;search_path&amp;"\RTDC"&amp;B163&amp;"\"&amp;TEXT(F163+1,"YYYY-MM-DD")&amp;" --recursive &amp; """&amp;walkandungz&amp;""" "&amp;search_path&amp;"\RTDC"&amp;B163&amp;"\"&amp;TEXT(F163+1,"YYYY-MM-DD")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63" s="96" t="str">
        <f>astrogrep_path&amp;" /spath="&amp;search_path&amp;" /stypes=""*"&amp;B163&amp;"*"&amp;TEXT(I163-utc_offset/24,"YYYYMMDD")&amp;"*"" /stext="" "&amp;TEXT(I163-utc_offset/24,"HH")&amp;search_regexp&amp;""" /e /r /s"</f>
        <v>"C:\Program Files (x86)\AstroGrep\AstroGrep.exe" /spath="%USERPROFILE%\AppData\Local\Temp\OnboardLogs" /stypes="*4013*20160901*" /stext=" 14:.+((SYSTEM_STATE.+slice.+state.+changed )|(ment ac)|(system.+state.+changed )|(\|lc)|(penalty)|(\[timeout)|(PRM\|1\|D)|(kpr)|(kdp))" /e /r /s</v>
      </c>
      <c r="AG163" s="1" t="str">
        <f>IFERROR(IF(VALUE(LEFT(AD163,2))&lt;=2,"EC",IF(OR(VALUE(LEFT(AD163,2))=8,VALUE(LEFT(AD163,2))=18),"NW","Other")),"Other")</f>
        <v>NW</v>
      </c>
      <c r="AH163" s="100" t="str">
        <f t="shared" si="15"/>
        <v>"%USERPROFILE%\Documents\GitHub\eaglep3\Utilities\RefineRTDCRunTimes.py" --tripid 812-01 --locoid 4013 --swversion DE.1.0.7.0 --startMP 300:58687 --initTime 2016-09-01T08:36:27 --startdatetime 2016-09-01T08:38:19 --delay 0 --endMP 204:792 --enddatetime 2016-09-01T08:54:50 --enforcementcount 0 &gt;&gt;C:\Users\stu\Documents\GitHub\eaglep3-reporting\EC\2016-09-01-refined-times.txt</v>
      </c>
      <c r="AI163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{"issue":{"subject":"","project_id":79,"tracker_id":40,"status_id":1,"priority_id":2,"assigned_to_id":23,"start_date":"2016-09-01","description":"","custom_fields":[{"id":1,"name":"Subdivision","value":"NW"},{"id":4,"name":"Milepost","value":"5.7895"},{"id":17,"name":"Train ID","value":"812-01"},{"id":16,"name":"Locomotive ID","value":"4013"},{"id":130,"name":"Impact","value":""},{"id":150,"name":"Time of Event (Mountain Time)","value":"08:54:50"},{"id":151,"name":"Denver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634</v>
      </c>
      <c r="B164" s="7">
        <v>4014</v>
      </c>
      <c r="C164" s="24" t="s">
        <v>113</v>
      </c>
      <c r="D164" s="24" t="s">
        <v>635</v>
      </c>
      <c r="E164" s="15">
        <v>42614.385104166664</v>
      </c>
      <c r="F164" s="15">
        <v>42614.389768518522</v>
      </c>
      <c r="G164" s="7">
        <v>1</v>
      </c>
      <c r="H164" s="15" t="s">
        <v>636</v>
      </c>
      <c r="I164" s="15">
        <v>42614.399236111109</v>
      </c>
      <c r="J164" s="7">
        <v>0</v>
      </c>
      <c r="K164" s="132" t="str">
        <f>IF(ISEVEN(B164),(B164-1)&amp;"/"&amp;B164,B164&amp;"/"&amp;(B164+1))</f>
        <v>4013/4014</v>
      </c>
      <c r="L164" s="24" t="str">
        <f>VLOOKUP(A164,'Trips&amp;Operators'!$C$1:$E$10000,3,FALSE)</f>
        <v>GEBRETEKLE</v>
      </c>
      <c r="M164" s="6">
        <f>I164-F164</f>
        <v>9.4675925865885802E-3</v>
      </c>
      <c r="N164" s="7">
        <f>24*60*SUM($M164:$M164)</f>
        <v>13.633333324687555</v>
      </c>
      <c r="O164" s="7"/>
      <c r="P164" s="7"/>
      <c r="Q164" s="25"/>
      <c r="R164" s="25"/>
      <c r="S164" s="37">
        <f>SUM(U164:U164)/IF(AG164="EC",12,1)</f>
        <v>1</v>
      </c>
      <c r="T164" s="52" t="str">
        <f>IF(ISEVEN(LEFT(AD164,4)),"Southbound","NorthBound")</f>
        <v>NorthBound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hh:mm:ss")&amp;"-0600',mode:absolute,to:'"&amp;TEXT(I164+1/24,"yyyy-MM-DD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https://search-rtdc-monitor-bjffxe2xuh6vdkpspy63sjmuny.us-east-1.es.amazonaws.com/_plugin/kibana/#/discover/Steve-Slow-Train-Analysis-(2080s-and-2083s)?_g=(refreshInterval:(display:Off,section:0,value:0),time:(from:'2016-09-01 08:14:33-0600',mode:absolute,to:'2016-09-01 10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4" s="54" t="str">
        <f>IF(AA164&lt;IF(AG164="EC",23,5.65),"Y","N")</f>
        <v>N</v>
      </c>
      <c r="X164" s="120">
        <f>VALUE(LEFT(AD164,4))-VALUE(LEFT(AD163,4))</f>
        <v>1</v>
      </c>
      <c r="Y164" s="69">
        <f>RIGHT(D164,LEN(D164)-4)/10000</f>
        <v>0.1076</v>
      </c>
      <c r="Z164" s="69">
        <f>RIGHT(H164,LEN(H164)-4)/10000</f>
        <v>5.8973000000000004</v>
      </c>
      <c r="AA164" s="69">
        <f>ABS(Z164-Y164)</f>
        <v>5.7897000000000007</v>
      </c>
      <c r="AB164" s="66" t="e">
        <f>VLOOKUP(A164,Enforcements!$C$7:$J$21,8,0)</f>
        <v>#N/A</v>
      </c>
      <c r="AC164" s="62" t="e">
        <f>VLOOKUP(A164,Enforcements!$C$7:$E$21,3,0)</f>
        <v>#N/A</v>
      </c>
      <c r="AD164" s="63" t="str">
        <f>IF(LEN(A164)=6,"0"&amp;A164,A164)</f>
        <v>0813-01</v>
      </c>
      <c r="AE164" s="99" t="str">
        <f>"aws s3 cp "&amp;s3_bucket&amp;"/RTDC"&amp;B164&amp;"/"&amp;TEXT(F164,"YYYY-MM-DD")&amp;"/ "&amp;search_path&amp;"\RTDC"&amp;B164&amp;"\"&amp;TEXT(F164,"YYYY-MM-DD")&amp;" --recursive &amp; """&amp;walkandungz&amp;""" "&amp;search_path&amp;"\RTDC"&amp;B164&amp;"\"&amp;TEXT(F164,"YYYY-MM-DD")
&amp;" &amp; "&amp;"aws s3 cp "&amp;s3_bucket&amp;"/RTDC"&amp;B164&amp;"/"&amp;TEXT(F164+1,"YYYY-MM-DD")&amp;"/ "&amp;search_path&amp;"\RTDC"&amp;B164&amp;"\"&amp;TEXT(F164+1,"YYYY-MM-DD")&amp;" --recursive &amp; """&amp;walkandungz&amp;""" "&amp;search_path&amp;"\RTDC"&amp;B164&amp;"\"&amp;TEXT(F164+1,"YYYY-MM-DD")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64" s="96" t="str">
        <f>astrogrep_path&amp;" /spath="&amp;search_path&amp;" /stypes=""*"&amp;B164&amp;"*"&amp;TEXT(I164-utc_offset/24,"YYYYMMDD")&amp;"*"" /stext="" "&amp;TEXT(I164-utc_offset/24,"HH")&amp;search_regexp&amp;""" /e /r /s"</f>
        <v>"C:\Program Files (x86)\AstroGrep\AstroGrep.exe" /spath="%USERPROFILE%\AppData\Local\Temp\OnboardLogs" /stypes="*4014*20160901*" /stext=" 15:.+((SYSTEM_STATE.+slice.+state.+changed )|(ment ac)|(system.+state.+changed )|(\|lc)|(penalty)|(\[timeout)|(PRM\|1\|D)|(kpr)|(kdp))" /e /r /s</v>
      </c>
      <c r="AG164" s="1" t="str">
        <f>IFERROR(IF(VALUE(LEFT(AD164,2))&lt;=2,"EC",IF(OR(VALUE(LEFT(AD164,2))=8,VALUE(LEFT(AD164,2))=18),"NW","Other")),"Other")</f>
        <v>NW</v>
      </c>
      <c r="AH164" s="100" t="str">
        <f t="shared" si="15"/>
        <v>"%USERPROFILE%\Documents\GitHub\eaglep3\Utilities\RefineRTDCRunTimes.py" --tripid 813-01 --locoid 4014 --swversion DE.1.0.7.0 --startMP 204:1076 --initTime 2016-09-01T09:14:33 --startdatetime 2016-09-01T09:21:16 --delay 1 --endMP 300:58973 --enddatetime 2016-09-01T09:34:54 --enforcementcount 0 &gt;&gt;C:\Users\stu\Documents\GitHub\eaglep3-reporting\EC\2016-09-01-refined-times.txt</v>
      </c>
      <c r="AI164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{"issue":{"subject":"","project_id":79,"tracker_id":40,"status_id":1,"priority_id":2,"assigned_to_id":23,"start_date":"2016-09-01","description":"","custom_fields":[{"id":1,"name":"Subdivision","value":"NW"},{"id":4,"name":"Milepost","value":"5.7897"},{"id":17,"name":"Train ID","value":"813-01"},{"id":16,"name":"Locomotive ID","value":"4014"},{"id":130,"name":"Impact","value":""},{"id":150,"name":"Time of Event (Mountain Time)","value":"09:34:54"},{"id":151,"name":"Denver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637</v>
      </c>
      <c r="B165" s="7">
        <v>4013</v>
      </c>
      <c r="C165" s="24" t="s">
        <v>113</v>
      </c>
      <c r="D165" s="24" t="s">
        <v>355</v>
      </c>
      <c r="E165" s="15">
        <v>42614.400914351849</v>
      </c>
      <c r="F165" s="15">
        <v>42614.402905092589</v>
      </c>
      <c r="G165" s="7">
        <v>1</v>
      </c>
      <c r="H165" s="15" t="s">
        <v>638</v>
      </c>
      <c r="I165" s="15">
        <v>42614.412951388891</v>
      </c>
      <c r="J165" s="7">
        <v>0</v>
      </c>
      <c r="K165" s="132" t="str">
        <f>IF(ISEVEN(B165),(B165-1)&amp;"/"&amp;B165,B165&amp;"/"&amp;(B165+1))</f>
        <v>4013/4014</v>
      </c>
      <c r="L165" s="24" t="str">
        <f>VLOOKUP(A165,'Trips&amp;Operators'!$C$1:$E$10000,3,FALSE)</f>
        <v>GEBRETEKLE</v>
      </c>
      <c r="M165" s="6">
        <f>I165-F165</f>
        <v>1.004629630187992E-2</v>
      </c>
      <c r="N165" s="7">
        <f>24*60*SUM($M165:$M165)</f>
        <v>14.466666674707085</v>
      </c>
      <c r="O165" s="7"/>
      <c r="P165" s="7"/>
      <c r="Q165" s="25"/>
      <c r="R165" s="25"/>
      <c r="S165" s="37">
        <f>SUM(U165:U165)/IF(AG165="EC",12,1)</f>
        <v>1</v>
      </c>
      <c r="T165" s="52" t="str">
        <f>IF(ISEVEN(LEFT(AD165,4)),"Southbound","NorthBound")</f>
        <v>Southbound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hh:mm:ss")&amp;"-0600',mode:absolute,to:'"&amp;TEXT(I165+1/24,"yyyy-MM-DD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https://search-rtdc-monitor-bjffxe2xuh6vdkpspy63sjmuny.us-east-1.es.amazonaws.com/_plugin/kibana/#/discover/Steve-Slow-Train-Analysis-(2080s-and-2083s)?_g=(refreshInterval:(display:Off,section:0,value:0),time:(from:'2016-09-01 08:37:19-0600',mode:absolute,to:'2016-09-01 10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5" s="54" t="str">
        <f>IF(AA165&lt;IF(AG165="EC",23,5.65),"Y","N")</f>
        <v>N</v>
      </c>
      <c r="X165" s="120">
        <f>VALUE(LEFT(AD165,4))-VALUE(LEFT(AD164,4))</f>
        <v>1</v>
      </c>
      <c r="Y165" s="69">
        <f>RIGHT(D165,LEN(D165)-4)/10000</f>
        <v>5.8662000000000001</v>
      </c>
      <c r="Z165" s="69">
        <f>RIGHT(H165,LEN(H165)-4)/10000</f>
        <v>6.9800000000000001E-2</v>
      </c>
      <c r="AA165" s="69">
        <f>ABS(Z165-Y165)</f>
        <v>5.7964000000000002</v>
      </c>
      <c r="AB165" s="66" t="e">
        <f>VLOOKUP(A165,Enforcements!$C$7:$J$21,8,0)</f>
        <v>#N/A</v>
      </c>
      <c r="AC165" s="62" t="e">
        <f>VLOOKUP(A165,Enforcements!$C$7:$E$21,3,0)</f>
        <v>#N/A</v>
      </c>
      <c r="AD165" s="63" t="str">
        <f>IF(LEN(A165)=6,"0"&amp;A165,A165)</f>
        <v>0814-01</v>
      </c>
      <c r="AE165" s="99" t="str">
        <f>"aws s3 cp "&amp;s3_bucket&amp;"/RTDC"&amp;B165&amp;"/"&amp;TEXT(F165,"YYYY-MM-DD")&amp;"/ "&amp;search_path&amp;"\RTDC"&amp;B165&amp;"\"&amp;TEXT(F165,"YYYY-MM-DD")&amp;" --recursive &amp; """&amp;walkandungz&amp;""" "&amp;search_path&amp;"\RTDC"&amp;B165&amp;"\"&amp;TEXT(F165,"YYYY-MM-DD")
&amp;" &amp; "&amp;"aws s3 cp "&amp;s3_bucket&amp;"/RTDC"&amp;B165&amp;"/"&amp;TEXT(F165+1,"YYYY-MM-DD")&amp;"/ "&amp;search_path&amp;"\RTDC"&amp;B165&amp;"\"&amp;TEXT(F165+1,"YYYY-MM-DD")&amp;" --recursive &amp; """&amp;walkandungz&amp;""" "&amp;search_path&amp;"\RTDC"&amp;B165&amp;"\"&amp;TEXT(F165+1,"YYYY-MM-DD")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65" s="96" t="str">
        <f>astrogrep_path&amp;" /spath="&amp;search_path&amp;" /stypes=""*"&amp;B165&amp;"*"&amp;TEXT(I165-utc_offset/24,"YYYYMMDD")&amp;"*"" /stext="" "&amp;TEXT(I165-utc_offset/24,"HH")&amp;search_regexp&amp;""" /e /r /s"</f>
        <v>"C:\Program Files (x86)\AstroGrep\AstroGrep.exe" /spath="%USERPROFILE%\AppData\Local\Temp\OnboardLogs" /stypes="*4013*20160901*" /stext=" 15:.+((SYSTEM_STATE.+slice.+state.+changed )|(ment ac)|(system.+state.+changed )|(\|lc)|(penalty)|(\[timeout)|(PRM\|1\|D)|(kpr)|(kdp))" /e /r /s</v>
      </c>
      <c r="AG165" s="1" t="str">
        <f>IFERROR(IF(VALUE(LEFT(AD165,2))&lt;=2,"EC",IF(OR(VALUE(LEFT(AD165,2))=8,VALUE(LEFT(AD165,2))=18),"NW","Other")),"Other")</f>
        <v>NW</v>
      </c>
      <c r="AH165" s="100" t="str">
        <f t="shared" si="15"/>
        <v>"%USERPROFILE%\Documents\GitHub\eaglep3\Utilities\RefineRTDCRunTimes.py" --tripid 814-01 --locoid 4013 --swversion DE.1.0.7.0 --startMP 300:58662 --initTime 2016-09-01T09:37:19 --startdatetime 2016-09-01T09:40:11 --delay 1 --endMP 204:698 --enddatetime 2016-09-01T09:54:39 --enforcementcount 0 &gt;&gt;C:\Users\stu\Documents\GitHub\eaglep3-reporting\EC\2016-09-01-refined-times.txt</v>
      </c>
      <c r="AI165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{"issue":{"subject":"","project_id":79,"tracker_id":40,"status_id":1,"priority_id":2,"assigned_to_id":23,"start_date":"2016-09-01","description":"","custom_fields":[{"id":1,"name":"Subdivision","value":"NW"},{"id":4,"name":"Milepost","value":"5.7964"},{"id":17,"name":"Train ID","value":"814-01"},{"id":16,"name":"Locomotive ID","value":"4013"},{"id":130,"name":"Impact","value":""},{"id":150,"name":"Time of Event (Mountain Time)","value":"09:54:39"},{"id":151,"name":"Denver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639</v>
      </c>
      <c r="B166" s="7">
        <v>4014</v>
      </c>
      <c r="C166" s="24" t="s">
        <v>113</v>
      </c>
      <c r="D166" s="24" t="s">
        <v>305</v>
      </c>
      <c r="E166" s="15">
        <v>42614.429236111115</v>
      </c>
      <c r="F166" s="15">
        <v>42614.431435185186</v>
      </c>
      <c r="G166" s="7">
        <v>1</v>
      </c>
      <c r="H166" s="15" t="s">
        <v>303</v>
      </c>
      <c r="I166" s="15">
        <v>42614.441041666665</v>
      </c>
      <c r="J166" s="7">
        <v>0</v>
      </c>
      <c r="K166" s="132" t="str">
        <f>IF(ISEVEN(B166),(B166-1)&amp;"/"&amp;B166,B166&amp;"/"&amp;(B166+1))</f>
        <v>4013/4014</v>
      </c>
      <c r="L166" s="24" t="str">
        <f>VLOOKUP(A166,'Trips&amp;Operators'!$C$1:$E$10000,3,FALSE)</f>
        <v>GEBRETEKLE</v>
      </c>
      <c r="M166" s="6">
        <f>I166-F166</f>
        <v>9.6064814788405783E-3</v>
      </c>
      <c r="N166" s="7">
        <f>24*60*SUM($M166:$M166)</f>
        <v>13.833333329530433</v>
      </c>
      <c r="O166" s="7"/>
      <c r="P166" s="7"/>
      <c r="Q166" s="25"/>
      <c r="R166" s="25"/>
      <c r="S166" s="37">
        <f>SUM(U166:U166)/IF(AG166="EC",12,1)</f>
        <v>1</v>
      </c>
      <c r="T166" s="52" t="str">
        <f>IF(ISEVEN(LEFT(AD166,4)),"Southbound","NorthBound")</f>
        <v>NorthBound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hh:mm:ss")&amp;"-0600',mode:absolute,to:'"&amp;TEXT(I166+1/24,"yyyy-MM-DD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https://search-rtdc-monitor-bjffxe2xuh6vdkpspy63sjmuny.us-east-1.es.amazonaws.com/_plugin/kibana/#/discover/Steve-Slow-Train-Analysis-(2080s-and-2083s)?_g=(refreshInterval:(display:Off,section:0,value:0),time:(from:'2016-09-01 09:18:06-0600',mode:absolute,to:'2016-09-01 11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6" s="54" t="str">
        <f>IF(AA166&lt;IF(AG166="EC",23,5.65),"Y","N")</f>
        <v>N</v>
      </c>
      <c r="X166" s="120">
        <f>VALUE(LEFT(AD166,4))-VALUE(LEFT(AD165,4))</f>
        <v>1</v>
      </c>
      <c r="Y166" s="69">
        <f>RIGHT(D166,LEN(D166)-4)/10000</f>
        <v>9.7199999999999995E-2</v>
      </c>
      <c r="Z166" s="69">
        <f>RIGHT(H166,LEN(H166)-4)/10000</f>
        <v>5.8992000000000004</v>
      </c>
      <c r="AA166" s="69">
        <f>ABS(Z166-Y166)</f>
        <v>5.8020000000000005</v>
      </c>
      <c r="AB166" s="66" t="e">
        <f>VLOOKUP(A166,Enforcements!$C$7:$J$21,8,0)</f>
        <v>#N/A</v>
      </c>
      <c r="AC166" s="62" t="e">
        <f>VLOOKUP(A166,Enforcements!$C$7:$E$21,3,0)</f>
        <v>#N/A</v>
      </c>
      <c r="AD166" s="63" t="str">
        <f>IF(LEN(A166)=6,"0"&amp;A166,A166)</f>
        <v>0815-01</v>
      </c>
      <c r="AE166" s="99" t="str">
        <f>"aws s3 cp "&amp;s3_bucket&amp;"/RTDC"&amp;B166&amp;"/"&amp;TEXT(F166,"YYYY-MM-DD")&amp;"/ "&amp;search_path&amp;"\RTDC"&amp;B166&amp;"\"&amp;TEXT(F166,"YYYY-MM-DD")&amp;" --recursive &amp; """&amp;walkandungz&amp;""" "&amp;search_path&amp;"\RTDC"&amp;B166&amp;"\"&amp;TEXT(F166,"YYYY-MM-DD")
&amp;" &amp; "&amp;"aws s3 cp "&amp;s3_bucket&amp;"/RTDC"&amp;B166&amp;"/"&amp;TEXT(F166+1,"YYYY-MM-DD")&amp;"/ "&amp;search_path&amp;"\RTDC"&amp;B166&amp;"\"&amp;TEXT(F166+1,"YYYY-MM-DD")&amp;" --recursive &amp; """&amp;walkandungz&amp;""" "&amp;search_path&amp;"\RTDC"&amp;B166&amp;"\"&amp;TEXT(F166+1,"YYYY-MM-DD")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66" s="96" t="str">
        <f>astrogrep_path&amp;" /spath="&amp;search_path&amp;" /stypes=""*"&amp;B166&amp;"*"&amp;TEXT(I166-utc_offset/24,"YYYYMMDD")&amp;"*"" /stext="" "&amp;TEXT(I166-utc_offset/24,"HH")&amp;search_regexp&amp;""" /e /r /s"</f>
        <v>"C:\Program Files (x86)\AstroGrep\AstroGrep.exe" /spath="%USERPROFILE%\AppData\Local\Temp\OnboardLogs" /stypes="*4014*20160901*" /stext=" 16:.+((SYSTEM_STATE.+slice.+state.+changed )|(ment ac)|(system.+state.+changed )|(\|lc)|(penalty)|(\[timeout)|(PRM\|1\|D)|(kpr)|(kdp))" /e /r /s</v>
      </c>
      <c r="AG166" s="1" t="str">
        <f>IFERROR(IF(VALUE(LEFT(AD166,2))&lt;=2,"EC",IF(OR(VALUE(LEFT(AD166,2))=8,VALUE(LEFT(AD166,2))=18),"NW","Other")),"Other")</f>
        <v>NW</v>
      </c>
      <c r="AH166" s="100" t="str">
        <f t="shared" si="15"/>
        <v>"%USERPROFILE%\Documents\GitHub\eaglep3\Utilities\RefineRTDCRunTimes.py" --tripid 815-01 --locoid 4014 --swversion DE.1.0.7.0 --startMP 204:972 --initTime 2016-09-01T10:18:06 --startdatetime 2016-09-01T10:21:16 --delay 1 --endMP 300:58992 --enddatetime 2016-09-01T10:35:06 --enforcementcount 0 &gt;&gt;C:\Users\stu\Documents\GitHub\eaglep3-reporting\EC\2016-09-01-refined-times.txt</v>
      </c>
      <c r="AI166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{"issue":{"subject":"","project_id":79,"tracker_id":40,"status_id":1,"priority_id":2,"assigned_to_id":23,"start_date":"2016-09-01","description":"","custom_fields":[{"id":1,"name":"Subdivision","value":"NW"},{"id":4,"name":"Milepost","value":"5.802"},{"id":17,"name":"Train ID","value":"815-01"},{"id":16,"name":"Locomotive ID","value":"4014"},{"id":130,"name":"Impact","value":""},{"id":150,"name":"Time of Event (Mountain Time)","value":"10:35:06"},{"id":151,"name":"Denver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640</v>
      </c>
      <c r="B167" s="7">
        <v>4013</v>
      </c>
      <c r="C167" s="24" t="s">
        <v>113</v>
      </c>
      <c r="D167" s="24" t="s">
        <v>304</v>
      </c>
      <c r="E167" s="15">
        <v>42614.442615740743</v>
      </c>
      <c r="F167" s="15">
        <v>42614.44427083333</v>
      </c>
      <c r="G167" s="7">
        <v>1</v>
      </c>
      <c r="H167" s="15" t="s">
        <v>278</v>
      </c>
      <c r="I167" s="15">
        <v>42614.454641203702</v>
      </c>
      <c r="J167" s="7">
        <v>0</v>
      </c>
      <c r="K167" s="132" t="str">
        <f>IF(ISEVEN(B167),(B167-1)&amp;"/"&amp;B167,B167&amp;"/"&amp;(B167+1))</f>
        <v>4013/4014</v>
      </c>
      <c r="L167" s="24" t="str">
        <f>VLOOKUP(A167,'Trips&amp;Operators'!$C$1:$E$10000,3,FALSE)</f>
        <v>GEBRETEKLE</v>
      </c>
      <c r="M167" s="6">
        <f>I167-F167</f>
        <v>1.0370370371674653E-2</v>
      </c>
      <c r="N167" s="7">
        <f>24*60*SUM($M167:$M167)</f>
        <v>14.933333335211501</v>
      </c>
      <c r="O167" s="7"/>
      <c r="P167" s="7"/>
      <c r="Q167" s="25"/>
      <c r="R167" s="25"/>
      <c r="S167" s="37">
        <f>SUM(U167:U167)/IF(AG167="EC",12,1)</f>
        <v>1</v>
      </c>
      <c r="T167" s="52" t="str">
        <f>IF(ISEVEN(LEFT(AD167,4)),"Southbound","NorthBound")</f>
        <v>Southbound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hh:mm:ss")&amp;"-0600',mode:absolute,to:'"&amp;TEXT(I167+1/24,"yyyy-MM-DD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https://search-rtdc-monitor-bjffxe2xuh6vdkpspy63sjmuny.us-east-1.es.amazonaws.com/_plugin/kibana/#/discover/Steve-Slow-Train-Analysis-(2080s-and-2083s)?_g=(refreshInterval:(display:Off,section:0,value:0),time:(from:'2016-09-01 09:37:22-0600',mode:absolute,to:'2016-09-01 11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7" s="54" t="str">
        <f>IF(AA167&lt;IF(AG167="EC",23,5.65),"Y","N")</f>
        <v>N</v>
      </c>
      <c r="X167" s="120">
        <f>VALUE(LEFT(AD167,4))-VALUE(LEFT(AD166,4))</f>
        <v>1</v>
      </c>
      <c r="Y167" s="69">
        <f>RIGHT(D167,LEN(D167)-4)/10000</f>
        <v>5.8667999999999996</v>
      </c>
      <c r="Z167" s="69">
        <f>RIGHT(H167,LEN(H167)-4)/10000</f>
        <v>6.7799999999999999E-2</v>
      </c>
      <c r="AA167" s="69">
        <f>ABS(Z167-Y167)</f>
        <v>5.7989999999999995</v>
      </c>
      <c r="AB167" s="66" t="e">
        <f>VLOOKUP(A167,Enforcements!$C$7:$J$21,8,0)</f>
        <v>#N/A</v>
      </c>
      <c r="AC167" s="62" t="e">
        <f>VLOOKUP(A167,Enforcements!$C$7:$E$21,3,0)</f>
        <v>#N/A</v>
      </c>
      <c r="AD167" s="63" t="str">
        <f>IF(LEN(A167)=6,"0"&amp;A167,A167)</f>
        <v>0816-01</v>
      </c>
      <c r="AE167" s="99" t="str">
        <f>"aws s3 cp "&amp;s3_bucket&amp;"/RTDC"&amp;B167&amp;"/"&amp;TEXT(F167,"YYYY-MM-DD")&amp;"/ "&amp;search_path&amp;"\RTDC"&amp;B167&amp;"\"&amp;TEXT(F167,"YYYY-MM-DD")&amp;" --recursive &amp; """&amp;walkandungz&amp;""" "&amp;search_path&amp;"\RTDC"&amp;B167&amp;"\"&amp;TEXT(F167,"YYYY-MM-DD")
&amp;" &amp; "&amp;"aws s3 cp "&amp;s3_bucket&amp;"/RTDC"&amp;B167&amp;"/"&amp;TEXT(F167+1,"YYYY-MM-DD")&amp;"/ "&amp;search_path&amp;"\RTDC"&amp;B167&amp;"\"&amp;TEXT(F167+1,"YYYY-MM-DD")&amp;" --recursive &amp; """&amp;walkandungz&amp;""" "&amp;search_path&amp;"\RTDC"&amp;B167&amp;"\"&amp;TEXT(F167+1,"YYYY-MM-DD")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67" s="96" t="str">
        <f>astrogrep_path&amp;" /spath="&amp;search_path&amp;" /stypes=""*"&amp;B167&amp;"*"&amp;TEXT(I167-utc_offset/24,"YYYYMMDD")&amp;"*"" /stext="" "&amp;TEXT(I167-utc_offset/24,"HH")&amp;search_regexp&amp;""" /e /r /s"</f>
        <v>"C:\Program Files (x86)\AstroGrep\AstroGrep.exe" /spath="%USERPROFILE%\AppData\Local\Temp\OnboardLogs" /stypes="*4013*20160901*" /stext=" 16:.+((SYSTEM_STATE.+slice.+state.+changed )|(ment ac)|(system.+state.+changed )|(\|lc)|(penalty)|(\[timeout)|(PRM\|1\|D)|(kpr)|(kdp))" /e /r /s</v>
      </c>
      <c r="AG167" s="1" t="str">
        <f>IFERROR(IF(VALUE(LEFT(AD167,2))&lt;=2,"EC",IF(OR(VALUE(LEFT(AD167,2))=8,VALUE(LEFT(AD167,2))=18),"NW","Other")),"Other")</f>
        <v>NW</v>
      </c>
      <c r="AH167" s="100" t="str">
        <f t="shared" si="15"/>
        <v>"%USERPROFILE%\Documents\GitHub\eaglep3\Utilities\RefineRTDCRunTimes.py" --tripid 816-01 --locoid 4013 --swversion DE.1.0.7.0 --startMP 300:58668 --initTime 2016-09-01T10:37:22 --startdatetime 2016-09-01T10:39:45 --delay 1 --endMP 204:678 --enddatetime 2016-09-01T10:54:41 --enforcementcount 0 &gt;&gt;C:\Users\stu\Documents\GitHub\eaglep3-reporting\EC\2016-09-01-refined-times.txt</v>
      </c>
      <c r="AI167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{"issue":{"subject":"","project_id":79,"tracker_id":40,"status_id":1,"priority_id":2,"assigned_to_id":23,"start_date":"2016-09-01","description":"","custom_fields":[{"id":1,"name":"Subdivision","value":"NW"},{"id":4,"name":"Milepost","value":"5.799"},{"id":17,"name":"Train ID","value":"816-01"},{"id":16,"name":"Locomotive ID","value":"4013"},{"id":130,"name":"Impact","value":""},{"id":150,"name":"Time of Event (Mountain Time)","value":"10:54:41"},{"id":151,"name":"Denver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641</v>
      </c>
      <c r="B168" s="7">
        <v>4014</v>
      </c>
      <c r="C168" s="24" t="s">
        <v>113</v>
      </c>
      <c r="D168" s="24" t="s">
        <v>347</v>
      </c>
      <c r="E168" s="15">
        <v>42614.470972222225</v>
      </c>
      <c r="F168" s="15">
        <v>42614.473067129627</v>
      </c>
      <c r="G168" s="7">
        <v>1</v>
      </c>
      <c r="H168" s="15" t="s">
        <v>345</v>
      </c>
      <c r="I168" s="15">
        <v>42614.483217592591</v>
      </c>
      <c r="J168" s="7">
        <v>0</v>
      </c>
      <c r="K168" s="132" t="str">
        <f>IF(ISEVEN(B168),(B168-1)&amp;"/"&amp;B168,B168&amp;"/"&amp;(B168+1))</f>
        <v>4013/4014</v>
      </c>
      <c r="L168" s="24" t="str">
        <f>VLOOKUP(A168,'Trips&amp;Operators'!$C$1:$E$10000,3,FALSE)</f>
        <v>GEBRETEKLE</v>
      </c>
      <c r="M168" s="6">
        <f>I168-F168</f>
        <v>1.0150462963792961E-2</v>
      </c>
      <c r="N168" s="7">
        <f>24*60*SUM($M168:$M168)</f>
        <v>14.616666667861864</v>
      </c>
      <c r="O168" s="7"/>
      <c r="P168" s="7"/>
      <c r="Q168" s="25"/>
      <c r="R168" s="25"/>
      <c r="S168" s="37">
        <f>SUM(U168:U168)/IF(AG168="EC",12,1)</f>
        <v>1</v>
      </c>
      <c r="T168" s="52" t="str">
        <f>IF(ISEVEN(LEFT(AD168,4)),"Southbound","NorthBound")</f>
        <v>NorthBound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hh:mm:ss")&amp;"-0600',mode:absolute,to:'"&amp;TEXT(I168+1/24,"yyyy-MM-DD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https://search-rtdc-monitor-bjffxe2xuh6vdkpspy63sjmuny.us-east-1.es.amazonaws.com/_plugin/kibana/#/discover/Steve-Slow-Train-Analysis-(2080s-and-2083s)?_g=(refreshInterval:(display:Off,section:0,value:0),time:(from:'2016-09-01 10:18:12-0600',mode:absolute,to:'2016-09-01 12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8" s="54" t="str">
        <f>IF(AA168&lt;IF(AG168="EC",23,5.65),"Y","N")</f>
        <v>N</v>
      </c>
      <c r="X168" s="120">
        <f>VALUE(LEFT(AD168,4))-VALUE(LEFT(AD167,4))</f>
        <v>1</v>
      </c>
      <c r="Y168" s="69">
        <f>RIGHT(D168,LEN(D168)-4)/10000</f>
        <v>9.7900000000000001E-2</v>
      </c>
      <c r="Z168" s="69">
        <f>RIGHT(H168,LEN(H168)-4)/10000</f>
        <v>5.8971</v>
      </c>
      <c r="AA168" s="69">
        <f>ABS(Z168-Y168)</f>
        <v>5.7991999999999999</v>
      </c>
      <c r="AB168" s="66" t="e">
        <f>VLOOKUP(A168,Enforcements!$C$7:$J$21,8,0)</f>
        <v>#N/A</v>
      </c>
      <c r="AC168" s="62" t="e">
        <f>VLOOKUP(A168,Enforcements!$C$7:$E$21,3,0)</f>
        <v>#N/A</v>
      </c>
      <c r="AD168" s="63" t="str">
        <f>IF(LEN(A168)=6,"0"&amp;A168,A168)</f>
        <v>0817-01</v>
      </c>
      <c r="AE168" s="99" t="str">
        <f>"aws s3 cp "&amp;s3_bucket&amp;"/RTDC"&amp;B168&amp;"/"&amp;TEXT(F168,"YYYY-MM-DD")&amp;"/ "&amp;search_path&amp;"\RTDC"&amp;B168&amp;"\"&amp;TEXT(F168,"YYYY-MM-DD")&amp;" --recursive &amp; """&amp;walkandungz&amp;""" "&amp;search_path&amp;"\RTDC"&amp;B168&amp;"\"&amp;TEXT(F168,"YYYY-MM-DD")
&amp;" &amp; "&amp;"aws s3 cp "&amp;s3_bucket&amp;"/RTDC"&amp;B168&amp;"/"&amp;TEXT(F168+1,"YYYY-MM-DD")&amp;"/ "&amp;search_path&amp;"\RTDC"&amp;B168&amp;"\"&amp;TEXT(F168+1,"YYYY-MM-DD")&amp;" --recursive &amp; """&amp;walkandungz&amp;""" "&amp;search_path&amp;"\RTDC"&amp;B168&amp;"\"&amp;TEXT(F168+1,"YYYY-MM-DD")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68" s="96" t="str">
        <f>astrogrep_path&amp;" /spath="&amp;search_path&amp;" /stypes=""*"&amp;B168&amp;"*"&amp;TEXT(I168-utc_offset/24,"YYYYMMDD")&amp;"*"" /stext="" "&amp;TEXT(I168-utc_offset/24,"HH")&amp;search_regexp&amp;""" /e /r /s"</f>
        <v>"C:\Program Files (x86)\AstroGrep\AstroGrep.exe" /spath="%USERPROFILE%\AppData\Local\Temp\OnboardLogs" /stypes="*4014*20160901*" /stext=" 17:.+((SYSTEM_STATE.+slice.+state.+changed )|(ment ac)|(system.+state.+changed )|(\|lc)|(penalty)|(\[timeout)|(PRM\|1\|D)|(kpr)|(kdp))" /e /r /s</v>
      </c>
      <c r="AG168" s="1" t="str">
        <f>IFERROR(IF(VALUE(LEFT(AD168,2))&lt;=2,"EC",IF(OR(VALUE(LEFT(AD168,2))=8,VALUE(LEFT(AD168,2))=18),"NW","Other")),"Other")</f>
        <v>NW</v>
      </c>
      <c r="AH168" s="100" t="str">
        <f t="shared" si="15"/>
        <v>"%USERPROFILE%\Documents\GitHub\eaglep3\Utilities\RefineRTDCRunTimes.py" --tripid 817-01 --locoid 4014 --swversion DE.1.0.7.0 --startMP 204:979 --initTime 2016-09-01T11:18:12 --startdatetime 2016-09-01T11:21:13 --delay 1 --endMP 300:58971 --enddatetime 2016-09-01T11:35:50 --enforcementcount 0 &gt;&gt;C:\Users\stu\Documents\GitHub\eaglep3-reporting\EC\2016-09-01-refined-times.txt</v>
      </c>
      <c r="AI168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{"issue":{"subject":"","project_id":79,"tracker_id":40,"status_id":1,"priority_id":2,"assigned_to_id":23,"start_date":"2016-09-01","description":"","custom_fields":[{"id":1,"name":"Subdivision","value":"NW"},{"id":4,"name":"Milepost","value":"5.7992"},{"id":17,"name":"Train ID","value":"817-01"},{"id":16,"name":"Locomotive ID","value":"4014"},{"id":130,"name":"Impact","value":""},{"id":150,"name":"Time of Event (Mountain Time)","value":"11:35:50"},{"id":151,"name":"Denver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642</v>
      </c>
      <c r="B169" s="7">
        <v>4013</v>
      </c>
      <c r="C169" s="24" t="s">
        <v>113</v>
      </c>
      <c r="D169" s="24" t="s">
        <v>352</v>
      </c>
      <c r="E169" s="15">
        <v>42614.484583333331</v>
      </c>
      <c r="F169" s="15">
        <v>42614.486331018517</v>
      </c>
      <c r="G169" s="7">
        <v>1</v>
      </c>
      <c r="H169" s="15" t="s">
        <v>643</v>
      </c>
      <c r="I169" s="15">
        <v>42614.49664351852</v>
      </c>
      <c r="J169" s="7">
        <v>0</v>
      </c>
      <c r="K169" s="132" t="str">
        <f>IF(ISEVEN(B169),(B169-1)&amp;"/"&amp;B169,B169&amp;"/"&amp;(B169+1))</f>
        <v>4013/4014</v>
      </c>
      <c r="L169" s="24" t="str">
        <f>VLOOKUP(A169,'Trips&amp;Operators'!$C$1:$E$10000,3,FALSE)</f>
        <v>GEBRETEKLE</v>
      </c>
      <c r="M169" s="6">
        <f>I169-F169</f>
        <v>1.0312500002328306E-2</v>
      </c>
      <c r="N169" s="7">
        <f>24*60*SUM($M169:$M169)</f>
        <v>14.850000003352761</v>
      </c>
      <c r="O169" s="7"/>
      <c r="P169" s="7"/>
      <c r="Q169" s="25"/>
      <c r="R169" s="25"/>
      <c r="S169" s="37">
        <f>SUM(U169:U169)/IF(AG169="EC",12,1)</f>
        <v>1</v>
      </c>
      <c r="T169" s="52" t="str">
        <f>IF(ISEVEN(LEFT(AD169,4)),"Southbound","NorthBound")</f>
        <v>Southbound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hh:mm:ss")&amp;"-0600',mode:absolute,to:'"&amp;TEXT(I169+1/24,"yyyy-MM-DD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https://search-rtdc-monitor-bjffxe2xuh6vdkpspy63sjmuny.us-east-1.es.amazonaws.com/_plugin/kibana/#/discover/Steve-Slow-Train-Analysis-(2080s-and-2083s)?_g=(refreshInterval:(display:Off,section:0,value:0),time:(from:'2016-09-01 10:37:48-0600',mode:absolute,to:'2016-09-01 12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9" s="54" t="str">
        <f>IF(AA169&lt;IF(AG169="EC",23,5.65),"Y","N")</f>
        <v>N</v>
      </c>
      <c r="X169" s="120">
        <f>VALUE(LEFT(AD169,4))-VALUE(LEFT(AD168,4))</f>
        <v>1</v>
      </c>
      <c r="Y169" s="69">
        <f>RIGHT(D169,LEN(D169)-4)/10000</f>
        <v>5.8654999999999999</v>
      </c>
      <c r="Z169" s="69">
        <f>RIGHT(H169,LEN(H169)-4)/10000</f>
        <v>6.9900000000000004E-2</v>
      </c>
      <c r="AA169" s="69">
        <f>ABS(Z169-Y169)</f>
        <v>5.7956000000000003</v>
      </c>
      <c r="AB169" s="66" t="e">
        <f>VLOOKUP(A169,Enforcements!$C$7:$J$21,8,0)</f>
        <v>#N/A</v>
      </c>
      <c r="AC169" s="62" t="e">
        <f>VLOOKUP(A169,Enforcements!$C$7:$E$21,3,0)</f>
        <v>#N/A</v>
      </c>
      <c r="AD169" s="63" t="str">
        <f>IF(LEN(A169)=6,"0"&amp;A169,A169)</f>
        <v>0818-01</v>
      </c>
      <c r="AE169" s="99" t="str">
        <f>"aws s3 cp "&amp;s3_bucket&amp;"/RTDC"&amp;B169&amp;"/"&amp;TEXT(F169,"YYYY-MM-DD")&amp;"/ "&amp;search_path&amp;"\RTDC"&amp;B169&amp;"\"&amp;TEXT(F169,"YYYY-MM-DD")&amp;" --recursive &amp; """&amp;walkandungz&amp;""" "&amp;search_path&amp;"\RTDC"&amp;B169&amp;"\"&amp;TEXT(F169,"YYYY-MM-DD")
&amp;" &amp; "&amp;"aws s3 cp "&amp;s3_bucket&amp;"/RTDC"&amp;B169&amp;"/"&amp;TEXT(F169+1,"YYYY-MM-DD")&amp;"/ "&amp;search_path&amp;"\RTDC"&amp;B169&amp;"\"&amp;TEXT(F169+1,"YYYY-MM-DD")&amp;" --recursive &amp; """&amp;walkandungz&amp;""" "&amp;search_path&amp;"\RTDC"&amp;B169&amp;"\"&amp;TEXT(F169+1,"YYYY-MM-DD")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69" s="96" t="str">
        <f>astrogrep_path&amp;" /spath="&amp;search_path&amp;" /stypes=""*"&amp;B169&amp;"*"&amp;TEXT(I169-utc_offset/24,"YYYYMMDD")&amp;"*"" /stext="" "&amp;TEXT(I169-utc_offset/24,"HH")&amp;search_regexp&amp;""" /e /r /s"</f>
        <v>"C:\Program Files (x86)\AstroGrep\AstroGrep.exe" /spath="%USERPROFILE%\AppData\Local\Temp\OnboardLogs" /stypes="*4013*20160901*" /stext=" 17:.+((SYSTEM_STATE.+slice.+state.+changed )|(ment ac)|(system.+state.+changed )|(\|lc)|(penalty)|(\[timeout)|(PRM\|1\|D)|(kpr)|(kdp))" /e /r /s</v>
      </c>
      <c r="AG169" s="1" t="str">
        <f>IFERROR(IF(VALUE(LEFT(AD169,2))&lt;=2,"EC",IF(OR(VALUE(LEFT(AD169,2))=8,VALUE(LEFT(AD169,2))=18),"NW","Other")),"Other")</f>
        <v>NW</v>
      </c>
      <c r="AH169" s="100" t="str">
        <f t="shared" si="15"/>
        <v>"%USERPROFILE%\Documents\GitHub\eaglep3\Utilities\RefineRTDCRunTimes.py" --tripid 818-01 --locoid 4013 --swversion DE.1.0.7.0 --startMP 300:58655 --initTime 2016-09-01T11:37:48 --startdatetime 2016-09-01T11:40:19 --delay 1 --endMP 204:699 --enddatetime 2016-09-01T11:55:10 --enforcementcount 0 &gt;&gt;C:\Users\stu\Documents\GitHub\eaglep3-reporting\EC\2016-09-01-refined-times.txt</v>
      </c>
      <c r="AI169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{"issue":{"subject":"","project_id":79,"tracker_id":40,"status_id":1,"priority_id":2,"assigned_to_id":23,"start_date":"2016-09-01","description":"","custom_fields":[{"id":1,"name":"Subdivision","value":"NW"},{"id":4,"name":"Milepost","value":"5.7956"},{"id":17,"name":"Train ID","value":"818-01"},{"id":16,"name":"Locomotive ID","value":"4013"},{"id":130,"name":"Impact","value":""},{"id":150,"name":"Time of Event (Mountain Time)","value":"11:55:10"},{"id":151,"name":"Denver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644</v>
      </c>
      <c r="B170" s="7">
        <v>4014</v>
      </c>
      <c r="C170" s="24" t="s">
        <v>113</v>
      </c>
      <c r="D170" s="24" t="s">
        <v>645</v>
      </c>
      <c r="E170" s="15">
        <v>42614.512048611112</v>
      </c>
      <c r="F170" s="15">
        <v>42614.514745370368</v>
      </c>
      <c r="G170" s="7">
        <v>1</v>
      </c>
      <c r="H170" s="15" t="s">
        <v>646</v>
      </c>
      <c r="I170" s="15">
        <v>42614.52449074074</v>
      </c>
      <c r="J170" s="7">
        <v>0</v>
      </c>
      <c r="K170" s="132" t="str">
        <f>IF(ISEVEN(B170),(B170-1)&amp;"/"&amp;B170,B170&amp;"/"&amp;(B170+1))</f>
        <v>4013/4014</v>
      </c>
      <c r="L170" s="24" t="str">
        <f>VLOOKUP(A170,'Trips&amp;Operators'!$C$1:$E$10000,3,FALSE)</f>
        <v>GEBRETEKLE</v>
      </c>
      <c r="M170" s="6">
        <f>I170-F170</f>
        <v>9.7453703710925765E-3</v>
      </c>
      <c r="N170" s="7">
        <f>24*60*SUM($M170:$M170)</f>
        <v>14.03333333437331</v>
      </c>
      <c r="O170" s="7"/>
      <c r="P170" s="7"/>
      <c r="Q170" s="25"/>
      <c r="R170" s="25"/>
      <c r="S170" s="37">
        <f>SUM(U170:U170)/IF(AG170="EC",12,1)</f>
        <v>1</v>
      </c>
      <c r="T170" s="52" t="str">
        <f>IF(ISEVEN(LEFT(AD170,4)),"Southbound","NorthBound")</f>
        <v>NorthBound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hh:mm:ss")&amp;"-0600',mode:absolute,to:'"&amp;TEXT(I170+1/24,"yyyy-MM-DD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https://search-rtdc-monitor-bjffxe2xuh6vdkpspy63sjmuny.us-east-1.es.amazonaws.com/_plugin/kibana/#/discover/Steve-Slow-Train-Analysis-(2080s-and-2083s)?_g=(refreshInterval:(display:Off,section:0,value:0),time:(from:'2016-09-01 11:17:21-0600',mode:absolute,to:'2016-09-01 13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0" s="54" t="str">
        <f>IF(AA170&lt;IF(AG170="EC",23,5.65),"Y","N")</f>
        <v>N</v>
      </c>
      <c r="X170" s="120">
        <f>VALUE(LEFT(AD170,4))-VALUE(LEFT(AD169,4))</f>
        <v>1</v>
      </c>
      <c r="Y170" s="69">
        <f>RIGHT(D170,LEN(D170)-4)/10000</f>
        <v>9.7799999999999998E-2</v>
      </c>
      <c r="Z170" s="69">
        <f>RIGHT(H170,LEN(H170)-4)/10000</f>
        <v>5.8983999999999996</v>
      </c>
      <c r="AA170" s="69">
        <f>ABS(Z170-Y170)</f>
        <v>5.8005999999999993</v>
      </c>
      <c r="AB170" s="66" t="e">
        <f>VLOOKUP(A170,Enforcements!$C$7:$J$21,8,0)</f>
        <v>#N/A</v>
      </c>
      <c r="AC170" s="62" t="e">
        <f>VLOOKUP(A170,Enforcements!$C$7:$E$21,3,0)</f>
        <v>#N/A</v>
      </c>
      <c r="AD170" s="63" t="str">
        <f>IF(LEN(A170)=6,"0"&amp;A170,A170)</f>
        <v>0819-01</v>
      </c>
      <c r="AE170" s="99" t="str">
        <f>"aws s3 cp "&amp;s3_bucket&amp;"/RTDC"&amp;B170&amp;"/"&amp;TEXT(F170,"YYYY-MM-DD")&amp;"/ "&amp;search_path&amp;"\RTDC"&amp;B170&amp;"\"&amp;TEXT(F170,"YYYY-MM-DD")&amp;" --recursive &amp; """&amp;walkandungz&amp;""" "&amp;search_path&amp;"\RTDC"&amp;B170&amp;"\"&amp;TEXT(F170,"YYYY-MM-DD")
&amp;" &amp; "&amp;"aws s3 cp "&amp;s3_bucket&amp;"/RTDC"&amp;B170&amp;"/"&amp;TEXT(F170+1,"YYYY-MM-DD")&amp;"/ "&amp;search_path&amp;"\RTDC"&amp;B170&amp;"\"&amp;TEXT(F170+1,"YYYY-MM-DD")&amp;" --recursive &amp; """&amp;walkandungz&amp;""" "&amp;search_path&amp;"\RTDC"&amp;B170&amp;"\"&amp;TEXT(F170+1,"YYYY-MM-DD")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70" s="96" t="str">
        <f>astrogrep_path&amp;" /spath="&amp;search_path&amp;" /stypes=""*"&amp;B170&amp;"*"&amp;TEXT(I170-utc_offset/24,"YYYYMMDD")&amp;"*"" /stext="" "&amp;TEXT(I170-utc_offset/24,"HH")&amp;search_regexp&amp;""" /e /r /s"</f>
        <v>"C:\Program Files (x86)\AstroGrep\AstroGrep.exe" /spath="%USERPROFILE%\AppData\Local\Temp\OnboardLogs" /stypes="*4014*20160901*" /stext=" 18:.+((SYSTEM_STATE.+slice.+state.+changed )|(ment ac)|(system.+state.+changed )|(\|lc)|(penalty)|(\[timeout)|(PRM\|1\|D)|(kpr)|(kdp))" /e /r /s</v>
      </c>
      <c r="AG170" s="1" t="str">
        <f>IFERROR(IF(VALUE(LEFT(AD170,2))&lt;=2,"EC",IF(OR(VALUE(LEFT(AD170,2))=8,VALUE(LEFT(AD170,2))=18),"NW","Other")),"Other")</f>
        <v>NW</v>
      </c>
      <c r="AH170" s="100" t="str">
        <f t="shared" si="15"/>
        <v>"%USERPROFILE%\Documents\GitHub\eaglep3\Utilities\RefineRTDCRunTimes.py" --tripid 819-01 --locoid 4014 --swversion DE.1.0.7.0 --startMP 204:978 --initTime 2016-09-01T12:17:21 --startdatetime 2016-09-01T12:21:14 --delay 1 --endMP 300:58984 --enddatetime 2016-09-01T12:35:16 --enforcementcount 0 &gt;&gt;C:\Users\stu\Documents\GitHub\eaglep3-reporting\EC\2016-09-01-refined-times.txt</v>
      </c>
      <c r="AI170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{"issue":{"subject":"","project_id":79,"tracker_id":40,"status_id":1,"priority_id":2,"assigned_to_id":23,"start_date":"2016-09-01","description":"","custom_fields":[{"id":1,"name":"Subdivision","value":"NW"},{"id":4,"name":"Milepost","value":"5.8006"},{"id":17,"name":"Train ID","value":"819-01"},{"id":16,"name":"Locomotive ID","value":"4014"},{"id":130,"name":"Impact","value":""},{"id":150,"name":"Time of Event (Mountain Time)","value":"12:35:16"},{"id":151,"name":"Denver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647</v>
      </c>
      <c r="B171" s="7">
        <v>4013</v>
      </c>
      <c r="C171" s="24" t="s">
        <v>113</v>
      </c>
      <c r="D171" s="24" t="s">
        <v>622</v>
      </c>
      <c r="E171" s="15">
        <v>42614.52616898148</v>
      </c>
      <c r="F171" s="15">
        <v>42614.528333333335</v>
      </c>
      <c r="G171" s="7">
        <v>1</v>
      </c>
      <c r="H171" s="15" t="s">
        <v>638</v>
      </c>
      <c r="I171" s="15">
        <v>42614.538043981483</v>
      </c>
      <c r="J171" s="7">
        <v>0</v>
      </c>
      <c r="K171" s="132" t="str">
        <f>IF(ISEVEN(B171),(B171-1)&amp;"/"&amp;B171,B171&amp;"/"&amp;(B171+1))</f>
        <v>4013/4014</v>
      </c>
      <c r="L171" s="24" t="str">
        <f>VLOOKUP(A171,'Trips&amp;Operators'!$C$1:$E$10000,3,FALSE)</f>
        <v>GEBRETEKLE</v>
      </c>
      <c r="M171" s="6">
        <f>I171-F171</f>
        <v>9.710648148029577E-3</v>
      </c>
      <c r="N171" s="7">
        <f>24*60*SUM($M171:$M171)</f>
        <v>13.983333333162591</v>
      </c>
      <c r="O171" s="7"/>
      <c r="P171" s="7"/>
      <c r="Q171" s="25"/>
      <c r="R171" s="25"/>
      <c r="S171" s="37">
        <f>SUM(U171:U171)/IF(AG171="EC",12,1)</f>
        <v>1</v>
      </c>
      <c r="T171" s="52" t="str">
        <f>IF(ISEVEN(LEFT(AD171,4)),"Southbound","NorthBound")</f>
        <v>Southbound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hh:mm:ss")&amp;"-0600',mode:absolute,to:'"&amp;TEXT(I171+1/24,"yyyy-MM-DD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https://search-rtdc-monitor-bjffxe2xuh6vdkpspy63sjmuny.us-east-1.es.amazonaws.com/_plugin/kibana/#/discover/Steve-Slow-Train-Analysis-(2080s-and-2083s)?_g=(refreshInterval:(display:Off,section:0,value:0),time:(from:'2016-09-01 11:37:41-0600',mode:absolute,to:'2016-09-01 13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1" s="54" t="str">
        <f>IF(AA171&lt;IF(AG171="EC",23,5.65),"Y","N")</f>
        <v>N</v>
      </c>
      <c r="X171" s="120">
        <f>VALUE(LEFT(AD171,4))-VALUE(LEFT(AD170,4))</f>
        <v>1</v>
      </c>
      <c r="Y171" s="69">
        <f>RIGHT(D171,LEN(D171)-4)/10000</f>
        <v>5.8677000000000001</v>
      </c>
      <c r="Z171" s="69">
        <f>RIGHT(H171,LEN(H171)-4)/10000</f>
        <v>6.9800000000000001E-2</v>
      </c>
      <c r="AA171" s="69">
        <f>ABS(Z171-Y171)</f>
        <v>5.7979000000000003</v>
      </c>
      <c r="AB171" s="66" t="e">
        <f>VLOOKUP(A171,Enforcements!$C$7:$J$21,8,0)</f>
        <v>#N/A</v>
      </c>
      <c r="AC171" s="62" t="e">
        <f>VLOOKUP(A171,Enforcements!$C$7:$E$21,3,0)</f>
        <v>#N/A</v>
      </c>
      <c r="AD171" s="63" t="str">
        <f>IF(LEN(A171)=6,"0"&amp;A171,A171)</f>
        <v>0820-01</v>
      </c>
      <c r="AE171" s="99" t="str">
        <f>"aws s3 cp "&amp;s3_bucket&amp;"/RTDC"&amp;B171&amp;"/"&amp;TEXT(F171,"YYYY-MM-DD")&amp;"/ "&amp;search_path&amp;"\RTDC"&amp;B171&amp;"\"&amp;TEXT(F171,"YYYY-MM-DD")&amp;" --recursive &amp; """&amp;walkandungz&amp;""" "&amp;search_path&amp;"\RTDC"&amp;B171&amp;"\"&amp;TEXT(F171,"YYYY-MM-DD")
&amp;" &amp; "&amp;"aws s3 cp "&amp;s3_bucket&amp;"/RTDC"&amp;B171&amp;"/"&amp;TEXT(F171+1,"YYYY-MM-DD")&amp;"/ "&amp;search_path&amp;"\RTDC"&amp;B171&amp;"\"&amp;TEXT(F171+1,"YYYY-MM-DD")&amp;" --recursive &amp; """&amp;walkandungz&amp;""" "&amp;search_path&amp;"\RTDC"&amp;B171&amp;"\"&amp;TEXT(F171+1,"YYYY-MM-DD")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71" s="96" t="str">
        <f>astrogrep_path&amp;" /spath="&amp;search_path&amp;" /stypes=""*"&amp;B171&amp;"*"&amp;TEXT(I171-utc_offset/24,"YYYYMMDD")&amp;"*"" /stext="" "&amp;TEXT(I171-utc_offset/24,"HH")&amp;search_regexp&amp;""" /e /r /s"</f>
        <v>"C:\Program Files (x86)\AstroGrep\AstroGrep.exe" /spath="%USERPROFILE%\AppData\Local\Temp\OnboardLogs" /stypes="*4013*20160901*" /stext=" 18:.+((SYSTEM_STATE.+slice.+state.+changed )|(ment ac)|(system.+state.+changed )|(\|lc)|(penalty)|(\[timeout)|(PRM\|1\|D)|(kpr)|(kdp))" /e /r /s</v>
      </c>
      <c r="AG171" s="1" t="str">
        <f>IFERROR(IF(VALUE(LEFT(AD171,2))&lt;=2,"EC",IF(OR(VALUE(LEFT(AD171,2))=8,VALUE(LEFT(AD171,2))=18),"NW","Other")),"Other")</f>
        <v>NW</v>
      </c>
      <c r="AH171" s="100" t="str">
        <f t="shared" si="15"/>
        <v>"%USERPROFILE%\Documents\GitHub\eaglep3\Utilities\RefineRTDCRunTimes.py" --tripid 820-01 --locoid 4013 --swversion DE.1.0.7.0 --startMP 300:58677 --initTime 2016-09-01T12:37:41 --startdatetime 2016-09-01T12:40:48 --delay 1 --endMP 204:698 --enddatetime 2016-09-01T12:54:47 --enforcementcount 0 &gt;&gt;C:\Users\stu\Documents\GitHub\eaglep3-reporting\EC\2016-09-01-refined-times.txt</v>
      </c>
      <c r="AI171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{"issue":{"subject":"","project_id":79,"tracker_id":40,"status_id":1,"priority_id":2,"assigned_to_id":23,"start_date":"2016-09-01","description":"","custom_fields":[{"id":1,"name":"Subdivision","value":"NW"},{"id":4,"name":"Milepost","value":"5.7979"},{"id":17,"name":"Train ID","value":"820-01"},{"id":16,"name":"Locomotive ID","value":"4013"},{"id":130,"name":"Impact","value":""},{"id":150,"name":"Time of Event (Mountain Time)","value":"12:54:47"},{"id":151,"name":"Denver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648</v>
      </c>
      <c r="B172" s="7">
        <v>4014</v>
      </c>
      <c r="C172" s="24" t="s">
        <v>113</v>
      </c>
      <c r="D172" s="24" t="s">
        <v>619</v>
      </c>
      <c r="E172" s="15">
        <v>42614.552476851852</v>
      </c>
      <c r="F172" s="15">
        <v>42614.556458333333</v>
      </c>
      <c r="G172" s="7">
        <v>2</v>
      </c>
      <c r="H172" s="15" t="s">
        <v>649</v>
      </c>
      <c r="I172" s="15">
        <v>42614.567129629628</v>
      </c>
      <c r="J172" s="7">
        <v>0</v>
      </c>
      <c r="K172" s="132" t="str">
        <f>IF(ISEVEN(B172),(B172-1)&amp;"/"&amp;B172,B172&amp;"/"&amp;(B172+1))</f>
        <v>4013/4014</v>
      </c>
      <c r="L172" s="24" t="str">
        <f>VLOOKUP(A172,'Trips&amp;Operators'!$C$1:$E$10000,3,FALSE)</f>
        <v>MAHAN</v>
      </c>
      <c r="M172" s="6">
        <f>I172-F172</f>
        <v>1.0671296295186039E-2</v>
      </c>
      <c r="N172" s="7">
        <f>24*60*SUM($M172:$M172)</f>
        <v>15.366666665067896</v>
      </c>
      <c r="O172" s="7"/>
      <c r="P172" s="7"/>
      <c r="Q172" s="25"/>
      <c r="R172" s="25"/>
      <c r="S172" s="37">
        <f>SUM(U172:U172)/IF(AG172="EC",12,1)</f>
        <v>1</v>
      </c>
      <c r="T172" s="52" t="str">
        <f>IF(ISEVEN(LEFT(AD172,4)),"Southbound","NorthBound")</f>
        <v>NorthBound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hh:mm:ss")&amp;"-0600',mode:absolute,to:'"&amp;TEXT(I172+1/24,"yyyy-MM-DD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https://search-rtdc-monitor-bjffxe2xuh6vdkpspy63sjmuny.us-east-1.es.amazonaws.com/_plugin/kibana/#/discover/Steve-Slow-Train-Analysis-(2080s-and-2083s)?_g=(refreshInterval:(display:Off,section:0,value:0),time:(from:'2016-09-01 12:15:34-0600',mode:absolute,to:'2016-09-01 14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2" s="54" t="str">
        <f>IF(AA172&lt;IF(AG172="EC",23,5.65),"Y","N")</f>
        <v>N</v>
      </c>
      <c r="X172" s="120">
        <f>VALUE(LEFT(AD172,4))-VALUE(LEFT(AD171,4))</f>
        <v>1</v>
      </c>
      <c r="Y172" s="69">
        <f>RIGHT(D172,LEN(D172)-4)/10000</f>
        <v>9.8100000000000007E-2</v>
      </c>
      <c r="Z172" s="69">
        <f>RIGHT(H172,LEN(H172)-4)/10000</f>
        <v>5.8963000000000001</v>
      </c>
      <c r="AA172" s="69">
        <f>ABS(Z172-Y172)</f>
        <v>5.7982000000000005</v>
      </c>
      <c r="AB172" s="66" t="e">
        <f>VLOOKUP(A172,Enforcements!$C$7:$J$21,8,0)</f>
        <v>#N/A</v>
      </c>
      <c r="AC172" s="62" t="e">
        <f>VLOOKUP(A172,Enforcements!$C$7:$E$21,3,0)</f>
        <v>#N/A</v>
      </c>
      <c r="AD172" s="63" t="str">
        <f>IF(LEN(A172)=6,"0"&amp;A172,A172)</f>
        <v>0821-01</v>
      </c>
      <c r="AE172" s="99" t="str">
        <f>"aws s3 cp "&amp;s3_bucket&amp;"/RTDC"&amp;B172&amp;"/"&amp;TEXT(F172,"YYYY-MM-DD")&amp;"/ "&amp;search_path&amp;"\RTDC"&amp;B172&amp;"\"&amp;TEXT(F172,"YYYY-MM-DD")&amp;" --recursive &amp; """&amp;walkandungz&amp;""" "&amp;search_path&amp;"\RTDC"&amp;B172&amp;"\"&amp;TEXT(F172,"YYYY-MM-DD")
&amp;" &amp; "&amp;"aws s3 cp "&amp;s3_bucket&amp;"/RTDC"&amp;B172&amp;"/"&amp;TEXT(F172+1,"YYYY-MM-DD")&amp;"/ "&amp;search_path&amp;"\RTDC"&amp;B172&amp;"\"&amp;TEXT(F172+1,"YYYY-MM-DD")&amp;" --recursive &amp; """&amp;walkandungz&amp;""" "&amp;search_path&amp;"\RTDC"&amp;B172&amp;"\"&amp;TEXT(F172+1,"YYYY-MM-DD")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72" s="96" t="str">
        <f>astrogrep_path&amp;" /spath="&amp;search_path&amp;" /stypes=""*"&amp;B172&amp;"*"&amp;TEXT(I172-utc_offset/24,"YYYYMMDD")&amp;"*"" /stext="" "&amp;TEXT(I172-utc_offset/24,"HH")&amp;search_regexp&amp;""" /e /r /s"</f>
        <v>"C:\Program Files (x86)\AstroGrep\AstroGrep.exe" /spath="%USERPROFILE%\AppData\Local\Temp\OnboardLogs" /stypes="*4014*20160901*" /stext=" 19:.+((SYSTEM_STATE.+slice.+state.+changed )|(ment ac)|(system.+state.+changed )|(\|lc)|(penalty)|(\[timeout)|(PRM\|1\|D)|(kpr)|(kdp))" /e /r /s</v>
      </c>
      <c r="AG172" s="1" t="str">
        <f>IFERROR(IF(VALUE(LEFT(AD172,2))&lt;=2,"EC",IF(OR(VALUE(LEFT(AD172,2))=8,VALUE(LEFT(AD172,2))=18),"NW","Other")),"Other")</f>
        <v>NW</v>
      </c>
      <c r="AH172" s="100" t="str">
        <f t="shared" si="15"/>
        <v>"%USERPROFILE%\Documents\GitHub\eaglep3\Utilities\RefineRTDCRunTimes.py" --tripid 821-01 --locoid 4014 --swversion DE.1.0.7.0 --startMP 204:981 --initTime 2016-09-01T13:15:34 --startdatetime 2016-09-01T13:21:18 --delay 2 --endMP 300:58963 --enddatetime 2016-09-01T13:36:40 --enforcementcount 0 &gt;&gt;C:\Users\stu\Documents\GitHub\eaglep3-reporting\EC\2016-09-01-refined-times.txt</v>
      </c>
      <c r="AI172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{"issue":{"subject":"","project_id":79,"tracker_id":40,"status_id":1,"priority_id":2,"assigned_to_id":23,"start_date":"2016-09-01","description":"","custom_fields":[{"id":1,"name":"Subdivision","value":"NW"},{"id":4,"name":"Milepost","value":"5.7982"},{"id":17,"name":"Train ID","value":"821-01"},{"id":16,"name":"Locomotive ID","value":"4014"},{"id":130,"name":"Impact","value":""},{"id":150,"name":"Time of Event (Mountain Time)","value":"13:36:40"},{"id":151,"name":"Denver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650</v>
      </c>
      <c r="B173" s="7">
        <v>4013</v>
      </c>
      <c r="C173" s="24" t="s">
        <v>113</v>
      </c>
      <c r="D173" s="24" t="s">
        <v>651</v>
      </c>
      <c r="E173" s="15">
        <v>42614.570706018516</v>
      </c>
      <c r="F173" s="15">
        <v>42614.572858796295</v>
      </c>
      <c r="G173" s="7">
        <v>1</v>
      </c>
      <c r="H173" s="15" t="s">
        <v>652</v>
      </c>
      <c r="I173" s="15">
        <v>42614.582372685189</v>
      </c>
      <c r="J173" s="7">
        <v>0</v>
      </c>
      <c r="K173" s="132" t="str">
        <f>IF(ISEVEN(B173),(B173-1)&amp;"/"&amp;B173,B173&amp;"/"&amp;(B173+1))</f>
        <v>4013/4014</v>
      </c>
      <c r="L173" s="24" t="str">
        <f>VLOOKUP(A173,'Trips&amp;Operators'!$C$1:$E$10000,3,FALSE)</f>
        <v>MAHAN</v>
      </c>
      <c r="M173" s="6">
        <f>I173-F173</f>
        <v>9.5138888937071897E-3</v>
      </c>
      <c r="N173" s="7">
        <f>24*60*SUM($M173:$M173)</f>
        <v>13.700000006938353</v>
      </c>
      <c r="O173" s="7"/>
      <c r="P173" s="7"/>
      <c r="Q173" s="25"/>
      <c r="R173" s="25"/>
      <c r="S173" s="37">
        <f>SUM(U173:U173)/IF(AG173="EC",12,1)</f>
        <v>1</v>
      </c>
      <c r="T173" s="52" t="str">
        <f>IF(ISEVEN(LEFT(AD173,4)),"Southbound","NorthBound")</f>
        <v>Southbound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https://search-rtdc-monitor-bjffxe2xuh6vdkpspy63sjmuny.us-east-1.es.amazonaws.com/_plugin/kibana/#/discover/Steve-Slow-Train-Analysis-(2080s-and-2083s)?_g=(refreshInterval:(display:Off,section:0,value:0),time:(from:'2016-09-01 12:41:49-0600',mode:absolute,to:'2016-09-01 14:58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3" s="54" t="str">
        <f>IF(AA173&lt;IF(AG173="EC",23,5.65),"Y","N")</f>
        <v>N</v>
      </c>
      <c r="X173" s="120">
        <f>VALUE(LEFT(AD173,4))-VALUE(LEFT(AD172,4))</f>
        <v>1</v>
      </c>
      <c r="Y173" s="69">
        <f>RIGHT(D173,LEN(D173)-4)/10000</f>
        <v>5.8638000000000003</v>
      </c>
      <c r="Z173" s="69">
        <f>RIGHT(H173,LEN(H173)-4)/10000</f>
        <v>7.3599999999999999E-2</v>
      </c>
      <c r="AA173" s="69">
        <f>ABS(Z173-Y173)</f>
        <v>5.7902000000000005</v>
      </c>
      <c r="AB173" s="66" t="e">
        <f>VLOOKUP(A173,Enforcements!$C$7:$J$21,8,0)</f>
        <v>#N/A</v>
      </c>
      <c r="AC173" s="62" t="e">
        <f>VLOOKUP(A173,Enforcements!$C$7:$E$21,3,0)</f>
        <v>#N/A</v>
      </c>
      <c r="AD173" s="63" t="str">
        <f>IF(LEN(A173)=6,"0"&amp;A173,A173)</f>
        <v>0822-01</v>
      </c>
      <c r="AE173" s="99" t="str">
        <f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73" s="96" t="str">
        <f>astrogrep_path&amp;" /spath="&amp;search_path&amp;" /stypes=""*"&amp;B173&amp;"*"&amp;TEXT(I173-utc_offset/24,"YYYYMMDD")&amp;"*"" /stext="" "&amp;TEXT(I173-utc_offset/24,"HH")&amp;search_regexp&amp;""" /e /r /s"</f>
        <v>"C:\Program Files (x86)\AstroGrep\AstroGrep.exe" /spath="%USERPROFILE%\AppData\Local\Temp\OnboardLogs" /stypes="*4013*20160901*" /stext=" 19:.+((SYSTEM_STATE.+slice.+state.+changed )|(ment ac)|(system.+state.+changed )|(\|lc)|(penalty)|(\[timeout)|(PRM\|1\|D)|(kpr)|(kdp))" /e /r /s</v>
      </c>
      <c r="AG173" s="1" t="str">
        <f>IFERROR(IF(VALUE(LEFT(AD173,2))&lt;=2,"EC",IF(OR(VALUE(LEFT(AD173,2))=8,VALUE(LEFT(AD173,2))=18),"NW","Other")),"Other")</f>
        <v>NW</v>
      </c>
      <c r="AH173" s="100" t="str">
        <f t="shared" si="15"/>
        <v>"%USERPROFILE%\Documents\GitHub\eaglep3\Utilities\RefineRTDCRunTimes.py" --tripid 822-01 --locoid 4013 --swversion DE.1.0.7.0 --startMP 300:58638 --initTime 2016-09-01T13:41:49 --startdatetime 2016-09-01T13:44:55 --delay 1 --endMP 204:736 --enddatetime 2016-09-01T13:58:37 --enforcementcount 0 &gt;&gt;C:\Users\stu\Documents\GitHub\eaglep3-reporting\EC\2016-09-01-refined-times.txt</v>
      </c>
      <c r="AI173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{"issue":{"subject":"","project_id":79,"tracker_id":40,"status_id":1,"priority_id":2,"assigned_to_id":23,"start_date":"2016-09-01","description":"","custom_fields":[{"id":1,"name":"Subdivision","value":"NW"},{"id":4,"name":"Milepost","value":"5.7902"},{"id":17,"name":"Train ID","value":"822-01"},{"id":16,"name":"Locomotive ID","value":"4013"},{"id":130,"name":"Impact","value":""},{"id":150,"name":"Time of Event (Mountain Time)","value":"13:58:37"},{"id":151,"name":"Denver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653</v>
      </c>
      <c r="B174" s="7">
        <v>4014</v>
      </c>
      <c r="C174" s="24" t="s">
        <v>113</v>
      </c>
      <c r="D174" s="24" t="s">
        <v>344</v>
      </c>
      <c r="E174" s="15">
        <v>42614.593611111108</v>
      </c>
      <c r="F174" s="15">
        <v>42614.598113425927</v>
      </c>
      <c r="G174" s="7">
        <v>1</v>
      </c>
      <c r="H174" s="15" t="s">
        <v>607</v>
      </c>
      <c r="I174" s="15">
        <v>42614.6093287037</v>
      </c>
      <c r="J174" s="7">
        <v>0</v>
      </c>
      <c r="K174" s="132" t="str">
        <f>IF(ISEVEN(B174),(B174-1)&amp;"/"&amp;B174,B174&amp;"/"&amp;(B174+1))</f>
        <v>4013/4014</v>
      </c>
      <c r="L174" s="24" t="str">
        <f>VLOOKUP(A174,'Trips&amp;Operators'!$C$1:$E$10000,3,FALSE)</f>
        <v>MAHAN</v>
      </c>
      <c r="M174" s="6">
        <f>I174-F174</f>
        <v>1.1215277772862464E-2</v>
      </c>
      <c r="N174" s="7">
        <f>24*60*SUM($M174:$M174)</f>
        <v>16.149999992921948</v>
      </c>
      <c r="O174" s="7"/>
      <c r="P174" s="7"/>
      <c r="Q174" s="25"/>
      <c r="R174" s="25"/>
      <c r="S174" s="37">
        <f>SUM(U174:U174)/IF(AG174="EC",12,1)</f>
        <v>1</v>
      </c>
      <c r="T174" s="52" t="str">
        <f>IF(ISEVEN(LEFT(AD174,4)),"Southbound","NorthBound")</f>
        <v>NorthBound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hh:mm:ss")&amp;"-0600',mode:absolute,to:'"&amp;TEXT(I174+1/24,"yyyy-MM-DD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https://search-rtdc-monitor-bjffxe2xuh6vdkpspy63sjmuny.us-east-1.es.amazonaws.com/_plugin/kibana/#/discover/Steve-Slow-Train-Analysis-(2080s-and-2083s)?_g=(refreshInterval:(display:Off,section:0,value:0),time:(from:'2016-09-01 13:14:48-0600',mode:absolute,to:'2016-09-01 15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4" s="54" t="str">
        <f>IF(AA174&lt;IF(AG174="EC",23,5.65),"Y","N")</f>
        <v>N</v>
      </c>
      <c r="X174" s="120">
        <f>VALUE(LEFT(AD174,4))-VALUE(LEFT(AD173,4))</f>
        <v>1</v>
      </c>
      <c r="Y174" s="69">
        <f>RIGHT(D174,LEN(D174)-4)/10000</f>
        <v>0.1016</v>
      </c>
      <c r="Z174" s="69">
        <f>RIGHT(H174,LEN(H174)-4)/10000</f>
        <v>5.8928000000000003</v>
      </c>
      <c r="AA174" s="69">
        <f>ABS(Z174-Y174)</f>
        <v>5.7911999999999999</v>
      </c>
      <c r="AB174" s="66" t="e">
        <f>VLOOKUP(A174,Enforcements!$C$7:$J$21,8,0)</f>
        <v>#N/A</v>
      </c>
      <c r="AC174" s="62" t="e">
        <f>VLOOKUP(A174,Enforcements!$C$7:$E$21,3,0)</f>
        <v>#N/A</v>
      </c>
      <c r="AD174" s="63" t="str">
        <f>IF(LEN(A174)=6,"0"&amp;A174,A174)</f>
        <v>0823-01</v>
      </c>
      <c r="AE174" s="99" t="str">
        <f>"aws s3 cp "&amp;s3_bucket&amp;"/RTDC"&amp;B174&amp;"/"&amp;TEXT(F174,"YYYY-MM-DD")&amp;"/ "&amp;search_path&amp;"\RTDC"&amp;B174&amp;"\"&amp;TEXT(F174,"YYYY-MM-DD")&amp;" --recursive &amp; """&amp;walkandungz&amp;""" "&amp;search_path&amp;"\RTDC"&amp;B174&amp;"\"&amp;TEXT(F174,"YYYY-MM-DD")
&amp;" &amp; "&amp;"aws s3 cp "&amp;s3_bucket&amp;"/RTDC"&amp;B174&amp;"/"&amp;TEXT(F174+1,"YYYY-MM-DD")&amp;"/ "&amp;search_path&amp;"\RTDC"&amp;B174&amp;"\"&amp;TEXT(F174+1,"YYYY-MM-DD")&amp;" --recursive &amp; """&amp;walkandungz&amp;""" "&amp;search_path&amp;"\RTDC"&amp;B174&amp;"\"&amp;TEXT(F174+1,"YYYY-MM-DD")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74" s="96" t="str">
        <f>astrogrep_path&amp;" /spath="&amp;search_path&amp;" /stypes=""*"&amp;B174&amp;"*"&amp;TEXT(I174-utc_offset/24,"YYYYMMDD")&amp;"*"" /stext="" "&amp;TEXT(I174-utc_offset/24,"HH")&amp;search_regexp&amp;""" /e /r /s"</f>
        <v>"C:\Program Files (x86)\AstroGrep\AstroGrep.exe" /spath="%USERPROFILE%\AppData\Local\Temp\OnboardLogs" /stypes="*4014*20160901*" /stext=" 20:.+((SYSTEM_STATE.+slice.+state.+changed )|(ment ac)|(system.+state.+changed )|(\|lc)|(penalty)|(\[timeout)|(PRM\|1\|D)|(kpr)|(kdp))" /e /r /s</v>
      </c>
      <c r="AG174" s="1" t="str">
        <f>IFERROR(IF(VALUE(LEFT(AD174,2))&lt;=2,"EC",IF(OR(VALUE(LEFT(AD174,2))=8,VALUE(LEFT(AD174,2))=18),"NW","Other")),"Other")</f>
        <v>NW</v>
      </c>
      <c r="AH174" s="100" t="str">
        <f t="shared" si="15"/>
        <v>"%USERPROFILE%\Documents\GitHub\eaglep3\Utilities\RefineRTDCRunTimes.py" --tripid 823-01 --locoid 4014 --swversion DE.1.0.7.0 --startMP 204:1016 --initTime 2016-09-01T14:14:48 --startdatetime 2016-09-01T14:21:17 --delay 1 --endMP 300:58928 --enddatetime 2016-09-01T14:37:26 --enforcementcount 0 &gt;&gt;C:\Users\stu\Documents\GitHub\eaglep3-reporting\EC\2016-09-01-refined-times.txt</v>
      </c>
      <c r="AI174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{"issue":{"subject":"","project_id":79,"tracker_id":40,"status_id":1,"priority_id":2,"assigned_to_id":23,"start_date":"2016-09-01","description":"","custom_fields":[{"id":1,"name":"Subdivision","value":"NW"},{"id":4,"name":"Milepost","value":"5.7912"},{"id":17,"name":"Train ID","value":"823-01"},{"id":16,"name":"Locomotive ID","value":"4014"},{"id":130,"name":"Impact","value":""},{"id":150,"name":"Time of Event (Mountain Time)","value":"14:37:26"},{"id":151,"name":"Denver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654</v>
      </c>
      <c r="B175" s="7">
        <v>4013</v>
      </c>
      <c r="C175" s="24" t="s">
        <v>113</v>
      </c>
      <c r="D175" s="24" t="s">
        <v>603</v>
      </c>
      <c r="E175" s="15">
        <v>42614.610347222224</v>
      </c>
      <c r="F175" s="15">
        <v>42614.639756944445</v>
      </c>
      <c r="G175" s="7">
        <v>1</v>
      </c>
      <c r="H175" s="15" t="s">
        <v>655</v>
      </c>
      <c r="I175" s="15">
        <v>42614.649722222224</v>
      </c>
      <c r="J175" s="7">
        <v>0</v>
      </c>
      <c r="K175" s="132" t="str">
        <f>IF(ISEVEN(B175),(B175-1)&amp;"/"&amp;B175,B175&amp;"/"&amp;(B175+1))</f>
        <v>4013/4014</v>
      </c>
      <c r="L175" s="24" t="str">
        <f>VLOOKUP(A175,'Trips&amp;Operators'!$C$1:$E$10000,3,FALSE)</f>
        <v>MAHAN</v>
      </c>
      <c r="M175" s="6">
        <f>I175-F175</f>
        <v>9.9652777789742686E-3</v>
      </c>
      <c r="N175" s="7">
        <f>24*60*SUM($M175:$M175)</f>
        <v>14.350000001722947</v>
      </c>
      <c r="O175" s="7"/>
      <c r="P175" s="7"/>
      <c r="Q175" s="25"/>
      <c r="R175" s="25"/>
      <c r="S175" s="37">
        <f>SUM(U175:U175)/IF(AG175="EC",12,1)</f>
        <v>1</v>
      </c>
      <c r="T175" s="52" t="str">
        <f>IF(ISEVEN(LEFT(AD175,4)),"Southbound","NorthBound")</f>
        <v>Southbound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hh:mm:ss")&amp;"-0600',mode:absolute,to:'"&amp;TEXT(I175+1/24,"yyyy-MM-DD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https://search-rtdc-monitor-bjffxe2xuh6vdkpspy63sjmuny.us-east-1.es.amazonaws.com/_plugin/kibana/#/discover/Steve-Slow-Train-Analysis-(2080s-and-2083s)?_g=(refreshInterval:(display:Off,section:0,value:0),time:(from:'2016-09-01 13:38:54-0600',mode:absolute,to:'2016-09-01 16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5" s="54" t="str">
        <f>IF(AA175&lt;IF(AG175="EC",23,5.65),"Y","N")</f>
        <v>N</v>
      </c>
      <c r="X175" s="120">
        <f>VALUE(LEFT(AD175,4))-VALUE(LEFT(AD174,4))</f>
        <v>1</v>
      </c>
      <c r="Y175" s="69">
        <f>RIGHT(D175,LEN(D175)-4)/10000</f>
        <v>5.8625999999999996</v>
      </c>
      <c r="Z175" s="69">
        <f>RIGHT(H175,LEN(H175)-4)/10000</f>
        <v>7.4499999999999997E-2</v>
      </c>
      <c r="AA175" s="69">
        <f>ABS(Z175-Y175)</f>
        <v>5.7881</v>
      </c>
      <c r="AB175" s="66" t="e">
        <f>VLOOKUP(A175,Enforcements!$C$7:$J$21,8,0)</f>
        <v>#N/A</v>
      </c>
      <c r="AC175" s="62" t="e">
        <f>VLOOKUP(A175,Enforcements!$C$7:$E$21,3,0)</f>
        <v>#N/A</v>
      </c>
      <c r="AD175" s="63" t="str">
        <f>IF(LEN(A175)=6,"0"&amp;A175,A175)</f>
        <v>0824-01</v>
      </c>
      <c r="AE175" s="99" t="str">
        <f>"aws s3 cp "&amp;s3_bucket&amp;"/RTDC"&amp;B175&amp;"/"&amp;TEXT(F175,"YYYY-MM-DD")&amp;"/ "&amp;search_path&amp;"\RTDC"&amp;B175&amp;"\"&amp;TEXT(F175,"YYYY-MM-DD")&amp;" --recursive &amp; """&amp;walkandungz&amp;""" "&amp;search_path&amp;"\RTDC"&amp;B175&amp;"\"&amp;TEXT(F175,"YYYY-MM-DD")
&amp;" &amp; "&amp;"aws s3 cp "&amp;s3_bucket&amp;"/RTDC"&amp;B175&amp;"/"&amp;TEXT(F175+1,"YYYY-MM-DD")&amp;"/ "&amp;search_path&amp;"\RTDC"&amp;B175&amp;"\"&amp;TEXT(F175+1,"YYYY-MM-DD")&amp;" --recursive &amp; """&amp;walkandungz&amp;""" "&amp;search_path&amp;"\RTDC"&amp;B175&amp;"\"&amp;TEXT(F175+1,"YYYY-MM-DD")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75" s="96" t="str">
        <f>astrogrep_path&amp;" /spath="&amp;search_path&amp;" /stypes=""*"&amp;B175&amp;"*"&amp;TEXT(I175-utc_offset/24,"YYYYMMDD")&amp;"*"" /stext="" "&amp;TEXT(I175-utc_offset/24,"HH")&amp;search_regexp&amp;""" /e /r /s"</f>
        <v>"C:\Program Files (x86)\AstroGrep\AstroGrep.exe" /spath="%USERPROFILE%\AppData\Local\Temp\OnboardLogs" /stypes="*4013*20160901*" /stext=" 21:.+((SYSTEM_STATE.+slice.+state.+changed )|(ment ac)|(system.+state.+changed )|(\|lc)|(penalty)|(\[timeout)|(PRM\|1\|D)|(kpr)|(kdp))" /e /r /s</v>
      </c>
      <c r="AG175" s="1" t="str">
        <f>IFERROR(IF(VALUE(LEFT(AD175,2))&lt;=2,"EC",IF(OR(VALUE(LEFT(AD175,2))=8,VALUE(LEFT(AD175,2))=18),"NW","Other")),"Other")</f>
        <v>NW</v>
      </c>
      <c r="AH175" s="100" t="str">
        <f t="shared" si="15"/>
        <v>"%USERPROFILE%\Documents\GitHub\eaglep3\Utilities\RefineRTDCRunTimes.py" --tripid 824-01 --locoid 4013 --swversion DE.1.0.7.0 --startMP 300:58626 --initTime 2016-09-01T14:38:54 --startdatetime 2016-09-01T15:21:15 --delay 1 --endMP 204:745 --enddatetime 2016-09-01T15:35:36 --enforcementcount 0 &gt;&gt;C:\Users\stu\Documents\GitHub\eaglep3-reporting\EC\2016-09-01-refined-times.txt</v>
      </c>
      <c r="AI175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{"issue":{"subject":"","project_id":79,"tracker_id":40,"status_id":1,"priority_id":2,"assigned_to_id":23,"start_date":"2016-09-01","description":"","custom_fields":[{"id":1,"name":"Subdivision","value":"NW"},{"id":4,"name":"Milepost","value":"5.7881"},{"id":17,"name":"Train ID","value":"824-01"},{"id":16,"name":"Locomotive ID","value":"4013"},{"id":130,"name":"Impact","value":""},{"id":150,"name":"Time of Event (Mountain Time)","value":"15:35:36"},{"id":151,"name":"Denver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656</v>
      </c>
      <c r="B176" s="7">
        <v>4014</v>
      </c>
      <c r="C176" s="24" t="s">
        <v>113</v>
      </c>
      <c r="D176" s="24" t="s">
        <v>657</v>
      </c>
      <c r="E176" s="15">
        <v>42614.637245370373</v>
      </c>
      <c r="F176" s="15">
        <v>42614.639756944445</v>
      </c>
      <c r="G176" s="7">
        <v>0</v>
      </c>
      <c r="H176" s="15" t="s">
        <v>658</v>
      </c>
      <c r="I176" s="15">
        <v>42614.649722222224</v>
      </c>
      <c r="J176" s="7">
        <v>0</v>
      </c>
      <c r="K176" s="132" t="str">
        <f>IF(ISEVEN(B176),(B176-1)&amp;"/"&amp;B176,B176&amp;"/"&amp;(B176+1))</f>
        <v>4013/4014</v>
      </c>
      <c r="L176" s="24" t="str">
        <f>VLOOKUP(A176,'Trips&amp;Operators'!$C$1:$E$10000,3,FALSE)</f>
        <v>MAHAN</v>
      </c>
      <c r="M176" s="6">
        <f>I176-F176</f>
        <v>9.9652777789742686E-3</v>
      </c>
      <c r="N176" s="7">
        <f>24*60*SUM($M176:$M176)</f>
        <v>14.350000001722947</v>
      </c>
      <c r="O176" s="7"/>
      <c r="P176" s="7"/>
      <c r="Q176" s="25"/>
      <c r="R176" s="25"/>
      <c r="S176" s="37">
        <f>SUM(U176:U176)/IF(AG176="EC",12,1)</f>
        <v>1</v>
      </c>
      <c r="T176" s="52" t="str">
        <f>IF(ISEVEN(LEFT(AD176,4)),"Southbound","NorthBound")</f>
        <v>NorthBound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hh:mm:ss")&amp;"-0600',mode:absolute,to:'"&amp;TEXT(I176+1/24,"yyyy-MM-DD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https://search-rtdc-monitor-bjffxe2xuh6vdkpspy63sjmuny.us-east-1.es.amazonaws.com/_plugin/kibana/#/discover/Steve-Slow-Train-Analysis-(2080s-and-2083s)?_g=(refreshInterval:(display:Off,section:0,value:0),time:(from:'2016-09-01 14:17:38-0600',mode:absolute,to:'2016-09-01 16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6" s="54" t="str">
        <f>IF(AA176&lt;IF(AG176="EC",23,5.65),"Y","N")</f>
        <v>N</v>
      </c>
      <c r="X176" s="120">
        <f>VALUE(LEFT(AD176,4))-VALUE(LEFT(AD175,4))</f>
        <v>1</v>
      </c>
      <c r="Y176" s="69">
        <f>RIGHT(D176,LEN(D176)-4)/10000</f>
        <v>0.10349999999999999</v>
      </c>
      <c r="Z176" s="69">
        <f>RIGHT(H176,LEN(H176)-4)/10000</f>
        <v>5.8948</v>
      </c>
      <c r="AA176" s="69">
        <f>ABS(Z176-Y176)</f>
        <v>5.7912999999999997</v>
      </c>
      <c r="AB176" s="66" t="e">
        <f>VLOOKUP(A176,Enforcements!$C$7:$J$21,8,0)</f>
        <v>#N/A</v>
      </c>
      <c r="AC176" s="62" t="e">
        <f>VLOOKUP(A176,Enforcements!$C$7:$E$21,3,0)</f>
        <v>#N/A</v>
      </c>
      <c r="AD176" s="63" t="str">
        <f>IF(LEN(A176)=6,"0"&amp;A176,A176)</f>
        <v>0825-01</v>
      </c>
      <c r="AE176" s="99" t="str">
        <f>"aws s3 cp "&amp;s3_bucket&amp;"/RTDC"&amp;B176&amp;"/"&amp;TEXT(F176,"YYYY-MM-DD")&amp;"/ "&amp;search_path&amp;"\RTDC"&amp;B176&amp;"\"&amp;TEXT(F176,"YYYY-MM-DD")&amp;" --recursive &amp; """&amp;walkandungz&amp;""" "&amp;search_path&amp;"\RTDC"&amp;B176&amp;"\"&amp;TEXT(F176,"YYYY-MM-DD")
&amp;" &amp; "&amp;"aws s3 cp "&amp;s3_bucket&amp;"/RTDC"&amp;B176&amp;"/"&amp;TEXT(F176+1,"YYYY-MM-DD")&amp;"/ "&amp;search_path&amp;"\RTDC"&amp;B176&amp;"\"&amp;TEXT(F176+1,"YYYY-MM-DD")&amp;" --recursive &amp; """&amp;walkandungz&amp;""" "&amp;search_path&amp;"\RTDC"&amp;B176&amp;"\"&amp;TEXT(F176+1,"YYYY-MM-DD")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76" s="96" t="str">
        <f>astrogrep_path&amp;" /spath="&amp;search_path&amp;" /stypes=""*"&amp;B176&amp;"*"&amp;TEXT(I176-utc_offset/24,"YYYYMMDD")&amp;"*"" /stext="" "&amp;TEXT(I176-utc_offset/24,"HH")&amp;search_regexp&amp;""" /e /r /s"</f>
        <v>"C:\Program Files (x86)\AstroGrep\AstroGrep.exe" /spath="%USERPROFILE%\AppData\Local\Temp\OnboardLogs" /stypes="*4014*20160901*" /stext=" 21:.+((SYSTEM_STATE.+slice.+state.+changed )|(ment ac)|(system.+state.+changed )|(\|lc)|(penalty)|(\[timeout)|(PRM\|1\|D)|(kpr)|(kdp))" /e /r /s</v>
      </c>
      <c r="AG176" s="1" t="str">
        <f>IFERROR(IF(VALUE(LEFT(AD176,2))&lt;=2,"EC",IF(OR(VALUE(LEFT(AD176,2))=8,VALUE(LEFT(AD176,2))=18),"NW","Other")),"Other")</f>
        <v>NW</v>
      </c>
      <c r="AH176" s="100" t="str">
        <f t="shared" si="15"/>
        <v>"%USERPROFILE%\Documents\GitHub\eaglep3\Utilities\RefineRTDCRunTimes.py" --tripid 825-01 --locoid 4014 --swversion DE.1.0.7.0 --startMP 204:1035 --initTime 2016-09-01T15:17:38 --startdatetime 2016-09-01T15:21:15 --delay 0 --endMP 300:58948 --enddatetime 2016-09-01T15:35:36 --enforcementcount 0 &gt;&gt;C:\Users\stu\Documents\GitHub\eaglep3-reporting\EC\2016-09-01-refined-times.txt</v>
      </c>
      <c r="AI176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{"issue":{"subject":"","project_id":79,"tracker_id":40,"status_id":1,"priority_id":2,"assigned_to_id":23,"start_date":"2016-09-01","description":"","custom_fields":[{"id":1,"name":"Subdivision","value":"NW"},{"id":4,"name":"Milepost","value":"5.7913"},{"id":17,"name":"Train ID","value":"825-01"},{"id":16,"name":"Locomotive ID","value":"4014"},{"id":130,"name":"Impact","value":""},{"id":150,"name":"Time of Event (Mountain Time)","value":"15:35:36"},{"id":151,"name":"Denver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659</v>
      </c>
      <c r="B177" s="7">
        <v>4013</v>
      </c>
      <c r="C177" s="24" t="s">
        <v>113</v>
      </c>
      <c r="D177" s="24" t="s">
        <v>660</v>
      </c>
      <c r="E177" s="15">
        <v>42614.650810185187</v>
      </c>
      <c r="F177" s="15">
        <v>42614.652557870373</v>
      </c>
      <c r="G177" s="7">
        <v>1</v>
      </c>
      <c r="H177" s="15" t="s">
        <v>661</v>
      </c>
      <c r="I177" s="15">
        <v>42614.664166666669</v>
      </c>
      <c r="J177" s="7">
        <v>0</v>
      </c>
      <c r="K177" s="132" t="str">
        <f>IF(ISEVEN(B177),(B177-1)&amp;"/"&amp;B177,B177&amp;"/"&amp;(B177+1))</f>
        <v>4013/4014</v>
      </c>
      <c r="L177" s="24" t="str">
        <f>VLOOKUP(A177,'Trips&amp;Operators'!$C$1:$E$10000,3,FALSE)</f>
        <v>MAHAN</v>
      </c>
      <c r="M177" s="6">
        <f>I177-F177</f>
        <v>1.1608796296059154E-2</v>
      </c>
      <c r="N177" s="7">
        <f>24*60*SUM($M177:$M177)</f>
        <v>16.716666666325182</v>
      </c>
      <c r="O177" s="7"/>
      <c r="P177" s="7"/>
      <c r="Q177" s="25"/>
      <c r="R177" s="25"/>
      <c r="S177" s="37">
        <f>SUM(U177:U177)/IF(AG177="EC",12,1)</f>
        <v>1</v>
      </c>
      <c r="T177" s="52" t="str">
        <f>IF(ISEVEN(LEFT(AD177,4)),"Southbound","NorthBound")</f>
        <v>Southbound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hh:mm:ss")&amp;"-0600',mode:absolute,to:'"&amp;TEXT(I177+1/24,"yyyy-MM-DD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https://search-rtdc-monitor-bjffxe2xuh6vdkpspy63sjmuny.us-east-1.es.amazonaws.com/_plugin/kibana/#/discover/Steve-Slow-Train-Analysis-(2080s-and-2083s)?_g=(refreshInterval:(display:Off,section:0,value:0),time:(from:'2016-09-01 14:37:10-0600',mode:absolute,to:'2016-09-01 16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7" s="54" t="str">
        <f>IF(AA177&lt;IF(AG177="EC",23,5.65),"Y","N")</f>
        <v>N</v>
      </c>
      <c r="X177" s="120">
        <f>VALUE(LEFT(AD177,4))-VALUE(LEFT(AD176,4))</f>
        <v>1</v>
      </c>
      <c r="Y177" s="69">
        <f>RIGHT(D177,LEN(D177)-4)/10000</f>
        <v>5.8620999999999999</v>
      </c>
      <c r="Z177" s="69">
        <f>RIGHT(H177,LEN(H177)-4)/10000</f>
        <v>7.7799999999999994E-2</v>
      </c>
      <c r="AA177" s="69">
        <f>ABS(Z177-Y177)</f>
        <v>5.7843</v>
      </c>
      <c r="AB177" s="66" t="e">
        <f>VLOOKUP(A177,Enforcements!$C$7:$J$21,8,0)</f>
        <v>#N/A</v>
      </c>
      <c r="AC177" s="62" t="e">
        <f>VLOOKUP(A177,Enforcements!$C$7:$E$21,3,0)</f>
        <v>#N/A</v>
      </c>
      <c r="AD177" s="63" t="str">
        <f>IF(LEN(A177)=6,"0"&amp;A177,A177)</f>
        <v>0826-01</v>
      </c>
      <c r="AE177" s="99" t="str">
        <f>"aws s3 cp "&amp;s3_bucket&amp;"/RTDC"&amp;B177&amp;"/"&amp;TEXT(F177,"YYYY-MM-DD")&amp;"/ "&amp;search_path&amp;"\RTDC"&amp;B177&amp;"\"&amp;TEXT(F177,"YYYY-MM-DD")&amp;" --recursive &amp; """&amp;walkandungz&amp;""" "&amp;search_path&amp;"\RTDC"&amp;B177&amp;"\"&amp;TEXT(F177,"YYYY-MM-DD")
&amp;" &amp; "&amp;"aws s3 cp "&amp;s3_bucket&amp;"/RTDC"&amp;B177&amp;"/"&amp;TEXT(F177+1,"YYYY-MM-DD")&amp;"/ "&amp;search_path&amp;"\RTDC"&amp;B177&amp;"\"&amp;TEXT(F177+1,"YYYY-MM-DD")&amp;" --recursive &amp; """&amp;walkandungz&amp;""" "&amp;search_path&amp;"\RTDC"&amp;B177&amp;"\"&amp;TEXT(F177+1,"YYYY-MM-DD")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77" s="96" t="str">
        <f>astrogrep_path&amp;" /spath="&amp;search_path&amp;" /stypes=""*"&amp;B177&amp;"*"&amp;TEXT(I177-utc_offset/24,"YYYYMMDD")&amp;"*"" /stext="" "&amp;TEXT(I177-utc_offset/24,"HH")&amp;search_regexp&amp;""" /e /r /s"</f>
        <v>"C:\Program Files (x86)\AstroGrep\AstroGrep.exe" /spath="%USERPROFILE%\AppData\Local\Temp\OnboardLogs" /stypes="*4013*20160901*" /stext=" 21:.+((SYSTEM_STATE.+slice.+state.+changed )|(ment ac)|(system.+state.+changed )|(\|lc)|(penalty)|(\[timeout)|(PRM\|1\|D)|(kpr)|(kdp))" /e /r /s</v>
      </c>
      <c r="AG177" s="1" t="str">
        <f>IFERROR(IF(VALUE(LEFT(AD177,2))&lt;=2,"EC",IF(OR(VALUE(LEFT(AD177,2))=8,VALUE(LEFT(AD177,2))=18),"NW","Other")),"Other")</f>
        <v>NW</v>
      </c>
      <c r="AH177" s="100" t="str">
        <f t="shared" si="15"/>
        <v>"%USERPROFILE%\Documents\GitHub\eaglep3\Utilities\RefineRTDCRunTimes.py" --tripid 826-01 --locoid 4013 --swversion DE.1.0.7.0 --startMP 300:58621 --initTime 2016-09-01T15:37:10 --startdatetime 2016-09-01T15:39:41 --delay 1 --endMP 204:778 --enddatetime 2016-09-01T15:56:24 --enforcementcount 0 &gt;&gt;C:\Users\stu\Documents\GitHub\eaglep3-reporting\EC\2016-09-01-refined-times.txt</v>
      </c>
      <c r="AI177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{"issue":{"subject":"","project_id":79,"tracker_id":40,"status_id":1,"priority_id":2,"assigned_to_id":23,"start_date":"2016-09-01","description":"","custom_fields":[{"id":1,"name":"Subdivision","value":"NW"},{"id":4,"name":"Milepost","value":"5.7843"},{"id":17,"name":"Train ID","value":"826-01"},{"id":16,"name":"Locomotive ID","value":"4013"},{"id":130,"name":"Impact","value":""},{"id":150,"name":"Time of Event (Mountain Time)","value":"15:56:24"},{"id":151,"name":"Denver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662</v>
      </c>
      <c r="B178" s="7">
        <v>4009</v>
      </c>
      <c r="C178" s="24" t="s">
        <v>113</v>
      </c>
      <c r="D178" s="24" t="s">
        <v>663</v>
      </c>
      <c r="E178" s="15">
        <v>42614.656157407408</v>
      </c>
      <c r="F178" s="15">
        <v>42614.660590277781</v>
      </c>
      <c r="G178" s="7">
        <v>1</v>
      </c>
      <c r="H178" s="15" t="s">
        <v>664</v>
      </c>
      <c r="I178" s="15">
        <v>42614.669560185182</v>
      </c>
      <c r="J178" s="7">
        <v>0</v>
      </c>
      <c r="K178" s="132" t="str">
        <f>IF(ISEVEN(B178),(B178-1)&amp;"/"&amp;B178,B178&amp;"/"&amp;(B178+1))</f>
        <v>4009/4010</v>
      </c>
      <c r="L178" s="24" t="str">
        <f>VLOOKUP(A178,'Trips&amp;Operators'!$C$1:$E$10000,3,FALSE)</f>
        <v>YANAI</v>
      </c>
      <c r="M178" s="6">
        <f>I178-F178</f>
        <v>8.9699074014788494E-3</v>
      </c>
      <c r="N178" s="7">
        <f>24*60*SUM($M178:$M178)</f>
        <v>12.916666658129543</v>
      </c>
      <c r="O178" s="7"/>
      <c r="P178" s="7"/>
      <c r="Q178" s="25"/>
      <c r="R178" s="25"/>
      <c r="S178" s="37">
        <f>SUM(U178:U178)/IF(AG178="EC",12,1)</f>
        <v>1</v>
      </c>
      <c r="T178" s="52" t="str">
        <f>IF(ISEVEN(LEFT(AD178,4)),"Southbound","NorthBound")</f>
        <v>NorthBound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hh:mm:ss")&amp;"-0600',mode:absolute,to:'"&amp;TEXT(I178+1/24,"yyyy-MM-DD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https://search-rtdc-monitor-bjffxe2xuh6vdkpspy63sjmuny.us-east-1.es.amazonaws.com/_plugin/kibana/#/discover/Steve-Slow-Train-Analysis-(2080s-and-2083s)?_g=(refreshInterval:(display:Off,section:0,value:0),time:(from:'2016-09-01 14:44:52-0600',mode:absolute,to:'2016-09-01 17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78" s="54" t="str">
        <f>IF(AA178&lt;IF(AG178="EC",23,5.65),"Y","N")</f>
        <v>N</v>
      </c>
      <c r="X178" s="120">
        <f>VALUE(LEFT(AD178,4))-VALUE(LEFT(AD177,4))</f>
        <v>1</v>
      </c>
      <c r="Y178" s="69">
        <f>RIGHT(D178,LEN(D178)-4)/10000</f>
        <v>9.4100000000000003E-2</v>
      </c>
      <c r="Z178" s="69">
        <f>RIGHT(H178,LEN(H178)-4)/10000</f>
        <v>5.8945999999999996</v>
      </c>
      <c r="AA178" s="69">
        <f>ABS(Z178-Y178)</f>
        <v>5.8004999999999995</v>
      </c>
      <c r="AB178" s="66" t="e">
        <f>VLOOKUP(A178,Enforcements!$C$7:$J$21,8,0)</f>
        <v>#N/A</v>
      </c>
      <c r="AC178" s="62" t="e">
        <f>VLOOKUP(A178,Enforcements!$C$7:$E$21,3,0)</f>
        <v>#N/A</v>
      </c>
      <c r="AD178" s="63" t="str">
        <f>IF(LEN(A178)=6,"0"&amp;A178,A178)</f>
        <v>0827-01</v>
      </c>
      <c r="AE178" s="99" t="str">
        <f>"aws s3 cp "&amp;s3_bucket&amp;"/RTDC"&amp;B178&amp;"/"&amp;TEXT(F178,"YYYY-MM-DD")&amp;"/ "&amp;search_path&amp;"\RTDC"&amp;B178&amp;"\"&amp;TEXT(F178,"YYYY-MM-DD")&amp;" --recursive &amp; """&amp;walkandungz&amp;""" "&amp;search_path&amp;"\RTDC"&amp;B178&amp;"\"&amp;TEXT(F178,"YYYY-MM-DD")
&amp;" &amp; "&amp;"aws s3 cp "&amp;s3_bucket&amp;"/RTDC"&amp;B178&amp;"/"&amp;TEXT(F178+1,"YYYY-MM-DD")&amp;"/ "&amp;search_path&amp;"\RTDC"&amp;B178&amp;"\"&amp;TEXT(F178+1,"YYYY-MM-DD")&amp;" --recursive &amp; """&amp;walkandungz&amp;""" "&amp;search_path&amp;"\RTDC"&amp;B178&amp;"\"&amp;TEXT(F178+1,"YYYY-MM-DD")</f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78" s="96" t="str">
        <f>astrogrep_path&amp;" /spath="&amp;search_path&amp;" /stypes=""*"&amp;B178&amp;"*"&amp;TEXT(I178-utc_offset/24,"YYYYMMDD")&amp;"*"" /stext="" "&amp;TEXT(I178-utc_offset/24,"HH")&amp;search_regexp&amp;""" /e /r /s"</f>
        <v>"C:\Program Files (x86)\AstroGrep\AstroGrep.exe" /spath="%USERPROFILE%\AppData\Local\Temp\OnboardLogs" /stypes="*4009*20160901*" /stext=" 22:.+((SYSTEM_STATE.+slice.+state.+changed )|(ment ac)|(system.+state.+changed )|(\|lc)|(penalty)|(\[timeout)|(PRM\|1\|D)|(kpr)|(kdp))" /e /r /s</v>
      </c>
      <c r="AG178" s="1" t="str">
        <f>IFERROR(IF(VALUE(LEFT(AD178,2))&lt;=2,"EC",IF(OR(VALUE(LEFT(AD178,2))=8,VALUE(LEFT(AD178,2))=18),"NW","Other")),"Other")</f>
        <v>NW</v>
      </c>
      <c r="AH178" s="100" t="str">
        <f t="shared" si="15"/>
        <v>"%USERPROFILE%\Documents\GitHub\eaglep3\Utilities\RefineRTDCRunTimes.py" --tripid 827-01 --locoid 4009 --swversion DE.1.0.7.0 --startMP 204:941 --initTime 2016-09-01T15:44:52 --startdatetime 2016-09-01T15:51:15 --delay 1 --endMP 300:58946 --enddatetime 2016-09-01T16:04:10 --enforcementcount 0 &gt;&gt;C:\Users\stu\Documents\GitHub\eaglep3-reporting\EC\2016-09-01-refined-times.txt</v>
      </c>
      <c r="AI178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{"issue":{"subject":"","project_id":79,"tracker_id":40,"status_id":1,"priority_id":2,"assigned_to_id":23,"start_date":"2016-09-01","description":"","custom_fields":[{"id":1,"name":"Subdivision","value":"NW"},{"id":4,"name":"Milepost","value":"5.8005"},{"id":17,"name":"Train ID","value":"827-01"},{"id":16,"name":"Locomotive ID","value":"4009"},{"id":130,"name":"Impact","value":""},{"id":150,"name":"Time of Event (Mountain Time)","value":"16:04:10"},{"id":151,"name":"Denver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665</v>
      </c>
      <c r="B179" s="7">
        <v>4010</v>
      </c>
      <c r="C179" s="24" t="s">
        <v>113</v>
      </c>
      <c r="D179" s="24" t="s">
        <v>666</v>
      </c>
      <c r="E179" s="15">
        <v>42614.670567129629</v>
      </c>
      <c r="F179" s="15">
        <v>42614.672060185185</v>
      </c>
      <c r="G179" s="7">
        <v>1</v>
      </c>
      <c r="H179" s="15" t="s">
        <v>667</v>
      </c>
      <c r="I179" s="15">
        <v>42614.684016203704</v>
      </c>
      <c r="J179" s="7">
        <v>0</v>
      </c>
      <c r="K179" s="132" t="str">
        <f>IF(ISEVEN(B179),(B179-1)&amp;"/"&amp;B179,B179&amp;"/"&amp;(B179+1))</f>
        <v>4009/4010</v>
      </c>
      <c r="L179" s="24" t="str">
        <f>VLOOKUP(A179,'Trips&amp;Operators'!$C$1:$E$10000,3,FALSE)</f>
        <v>YANAI</v>
      </c>
      <c r="M179" s="6">
        <f>I179-F179</f>
        <v>1.1956018519413192E-2</v>
      </c>
      <c r="N179" s="7">
        <f>24*60*SUM($M179:$M179)</f>
        <v>17.216666667954996</v>
      </c>
      <c r="O179" s="7"/>
      <c r="P179" s="7"/>
      <c r="Q179" s="25"/>
      <c r="R179" s="25"/>
      <c r="S179" s="37">
        <f>SUM(U179:U179)/IF(AG179="EC",12,1)</f>
        <v>1</v>
      </c>
      <c r="T179" s="52" t="str">
        <f>IF(ISEVEN(LEFT(AD179,4)),"Southbound","NorthBound")</f>
        <v>Southbound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hh:mm:ss")&amp;"-0600',mode:absolute,to:'"&amp;TEXT(I179+1/24,"yyyy-MM-DD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https://search-rtdc-monitor-bjffxe2xuh6vdkpspy63sjmuny.us-east-1.es.amazonaws.com/_plugin/kibana/#/discover/Steve-Slow-Train-Analysis-(2080s-and-2083s)?_g=(refreshInterval:(display:Off,section:0,value:0),time:(from:'2016-09-01 15:05:37-0600',mode:absolute,to:'2016-09-01 17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79" s="54" t="str">
        <f>IF(AA179&lt;IF(AG179="EC",23,5.65),"Y","N")</f>
        <v>N</v>
      </c>
      <c r="X179" s="120">
        <f>VALUE(LEFT(AD179,4))-VALUE(LEFT(AD178,4))</f>
        <v>1</v>
      </c>
      <c r="Y179" s="69">
        <f>RIGHT(D179,LEN(D179)-4)/10000</f>
        <v>5.8632</v>
      </c>
      <c r="Z179" s="69">
        <f>RIGHT(H179,LEN(H179)-4)/10000</f>
        <v>6.5600000000000006E-2</v>
      </c>
      <c r="AA179" s="69">
        <f>ABS(Z179-Y179)</f>
        <v>5.7976000000000001</v>
      </c>
      <c r="AB179" s="66" t="e">
        <f>VLOOKUP(A179,Enforcements!$C$7:$J$21,8,0)</f>
        <v>#N/A</v>
      </c>
      <c r="AC179" s="62" t="e">
        <f>VLOOKUP(A179,Enforcements!$C$7:$E$21,3,0)</f>
        <v>#N/A</v>
      </c>
      <c r="AD179" s="63" t="str">
        <f>IF(LEN(A179)=6,"0"&amp;A179,A179)</f>
        <v>0828-01</v>
      </c>
      <c r="AE179" s="99" t="str">
        <f>"aws s3 cp "&amp;s3_bucket&amp;"/RTDC"&amp;B179&amp;"/"&amp;TEXT(F179,"YYYY-MM-DD")&amp;"/ "&amp;search_path&amp;"\RTDC"&amp;B179&amp;"\"&amp;TEXT(F179,"YYYY-MM-DD")&amp;" --recursive &amp; """&amp;walkandungz&amp;""" "&amp;search_path&amp;"\RTDC"&amp;B179&amp;"\"&amp;TEXT(F179,"YYYY-MM-DD")
&amp;" &amp; "&amp;"aws s3 cp "&amp;s3_bucket&amp;"/RTDC"&amp;B179&amp;"/"&amp;TEXT(F179+1,"YYYY-MM-DD")&amp;"/ "&amp;search_path&amp;"\RTDC"&amp;B179&amp;"\"&amp;TEXT(F179+1,"YYYY-MM-DD")&amp;" --recursive &amp; """&amp;walkandungz&amp;""" "&amp;search_path&amp;"\RTDC"&amp;B179&amp;"\"&amp;TEXT(F179+1,"YYYY-MM-DD")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79" s="96" t="str">
        <f>astrogrep_path&amp;" /spath="&amp;search_path&amp;" /stypes=""*"&amp;B179&amp;"*"&amp;TEXT(I179-utc_offset/24,"YYYYMMDD")&amp;"*"" /stext="" "&amp;TEXT(I179-utc_offset/24,"HH")&amp;search_regexp&amp;""" /e /r /s"</f>
        <v>"C:\Program Files (x86)\AstroGrep\AstroGrep.exe" /spath="%USERPROFILE%\AppData\Local\Temp\OnboardLogs" /stypes="*4010*20160901*" /stext=" 22:.+((SYSTEM_STATE.+slice.+state.+changed )|(ment ac)|(system.+state.+changed )|(\|lc)|(penalty)|(\[timeout)|(PRM\|1\|D)|(kpr)|(kdp))" /e /r /s</v>
      </c>
      <c r="AG179" s="1" t="str">
        <f>IFERROR(IF(VALUE(LEFT(AD179,2))&lt;=2,"EC",IF(OR(VALUE(LEFT(AD179,2))=8,VALUE(LEFT(AD179,2))=18),"NW","Other")),"Other")</f>
        <v>NW</v>
      </c>
      <c r="AH179" s="100" t="str">
        <f t="shared" si="15"/>
        <v>"%USERPROFILE%\Documents\GitHub\eaglep3\Utilities\RefineRTDCRunTimes.py" --tripid 828-01 --locoid 4010 --swversion DE.1.0.7.0 --startMP 300:58632 --initTime 2016-09-01T16:05:37 --startdatetime 2016-09-01T16:07:46 --delay 1 --endMP 204:656 --enddatetime 2016-09-01T16:24:59 --enforcementcount 0 &gt;&gt;C:\Users\stu\Documents\GitHub\eaglep3-reporting\EC\2016-09-01-refined-times.txt</v>
      </c>
      <c r="AI179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{"issue":{"subject":"","project_id":79,"tracker_id":40,"status_id":1,"priority_id":2,"assigned_to_id":23,"start_date":"2016-09-01","description":"","custom_fields":[{"id":1,"name":"Subdivision","value":"NW"},{"id":4,"name":"Milepost","value":"5.7976"},{"id":17,"name":"Train ID","value":"828-01"},{"id":16,"name":"Locomotive ID","value":"4010"},{"id":130,"name":"Impact","value":""},{"id":150,"name":"Time of Event (Mountain Time)","value":"16:24:59"},{"id":151,"name":"Denver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668</v>
      </c>
      <c r="B180" s="7">
        <v>4014</v>
      </c>
      <c r="C180" s="24" t="s">
        <v>113</v>
      </c>
      <c r="D180" s="24" t="s">
        <v>669</v>
      </c>
      <c r="E180" s="15">
        <v>42614.678124999999</v>
      </c>
      <c r="F180" s="15">
        <v>42614.681493055556</v>
      </c>
      <c r="G180" s="7">
        <v>1</v>
      </c>
      <c r="H180" s="15" t="s">
        <v>670</v>
      </c>
      <c r="I180" s="15">
        <v>42614.691562499997</v>
      </c>
      <c r="J180" s="7">
        <v>0</v>
      </c>
      <c r="K180" s="132" t="str">
        <f>IF(ISEVEN(B180),(B180-1)&amp;"/"&amp;B180,B180&amp;"/"&amp;(B180+1))</f>
        <v>4013/4014</v>
      </c>
      <c r="L180" s="24" t="str">
        <f>VLOOKUP(A180,'Trips&amp;Operators'!$C$1:$E$10000,3,FALSE)</f>
        <v>MAHAN</v>
      </c>
      <c r="M180" s="6">
        <f>I180-F180</f>
        <v>1.006944444088731E-2</v>
      </c>
      <c r="N180" s="7">
        <f>24*60*SUM($M180:$M180)</f>
        <v>14.499999994877726</v>
      </c>
      <c r="O180" s="7"/>
      <c r="P180" s="7"/>
      <c r="Q180" s="25"/>
      <c r="R180" s="25"/>
      <c r="S180" s="37">
        <f>SUM(U180:U180)/IF(AG180="EC",12,1)</f>
        <v>1</v>
      </c>
      <c r="T180" s="52" t="str">
        <f>IF(ISEVEN(LEFT(AD180,4)),"Southbound","NorthBound")</f>
        <v>NorthBound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hh:mm:ss")&amp;"-0600',mode:absolute,to:'"&amp;TEXT(I180+1/24,"yyyy-MM-DD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https://search-rtdc-monitor-bjffxe2xuh6vdkpspy63sjmuny.us-east-1.es.amazonaws.com/_plugin/kibana/#/discover/Steve-Slow-Train-Analysis-(2080s-and-2083s)?_g=(refreshInterval:(display:Off,section:0,value:0),time:(from:'2016-09-01 15:16:30-0600',mode:absolute,to:'2016-09-01 17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0" s="54" t="str">
        <f>IF(AA180&lt;IF(AG180="EC",23,5.65),"Y","N")</f>
        <v>N</v>
      </c>
      <c r="X180" s="120">
        <f>VALUE(LEFT(AD180,4))-VALUE(LEFT(AD179,4))</f>
        <v>1</v>
      </c>
      <c r="Y180" s="69">
        <f>RIGHT(D180,LEN(D180)-4)/10000</f>
        <v>0.1051</v>
      </c>
      <c r="Z180" s="69">
        <f>RIGHT(H180,LEN(H180)-4)/10000</f>
        <v>5.8935000000000004</v>
      </c>
      <c r="AA180" s="69">
        <f>ABS(Z180-Y180)</f>
        <v>5.7884000000000002</v>
      </c>
      <c r="AB180" s="66" t="e">
        <f>VLOOKUP(A180,Enforcements!$C$7:$J$21,8,0)</f>
        <v>#N/A</v>
      </c>
      <c r="AC180" s="62" t="e">
        <f>VLOOKUP(A180,Enforcements!$C$7:$E$21,3,0)</f>
        <v>#N/A</v>
      </c>
      <c r="AD180" s="63" t="str">
        <f>IF(LEN(A180)=6,"0"&amp;A180,A180)</f>
        <v>0829-01</v>
      </c>
      <c r="AE180" s="99" t="str">
        <f>"aws s3 cp "&amp;s3_bucket&amp;"/RTDC"&amp;B180&amp;"/"&amp;TEXT(F180,"YYYY-MM-DD")&amp;"/ "&amp;search_path&amp;"\RTDC"&amp;B180&amp;"\"&amp;TEXT(F180,"YYYY-MM-DD")&amp;" --recursive &amp; """&amp;walkandungz&amp;""" "&amp;search_path&amp;"\RTDC"&amp;B180&amp;"\"&amp;TEXT(F180,"YYYY-MM-DD")
&amp;" &amp; "&amp;"aws s3 cp "&amp;s3_bucket&amp;"/RTDC"&amp;B180&amp;"/"&amp;TEXT(F180+1,"YYYY-MM-DD")&amp;"/ "&amp;search_path&amp;"\RTDC"&amp;B180&amp;"\"&amp;TEXT(F180+1,"YYYY-MM-DD")&amp;" --recursive &amp; """&amp;walkandungz&amp;""" "&amp;search_path&amp;"\RTDC"&amp;B180&amp;"\"&amp;TEXT(F180+1,"YYYY-MM-DD")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80" s="96" t="str">
        <f>astrogrep_path&amp;" /spath="&amp;search_path&amp;" /stypes=""*"&amp;B180&amp;"*"&amp;TEXT(I180-utc_offset/24,"YYYYMMDD")&amp;"*"" /stext="" "&amp;TEXT(I180-utc_offset/24,"HH")&amp;search_regexp&amp;""" /e /r /s"</f>
        <v>"C:\Program Files (x86)\AstroGrep\AstroGrep.exe" /spath="%USERPROFILE%\AppData\Local\Temp\OnboardLogs" /stypes="*4014*20160901*" /stext=" 22:.+((SYSTEM_STATE.+slice.+state.+changed )|(ment ac)|(system.+state.+changed )|(\|lc)|(penalty)|(\[timeout)|(PRM\|1\|D)|(kpr)|(kdp))" /e /r /s</v>
      </c>
      <c r="AG180" s="1" t="str">
        <f>IFERROR(IF(VALUE(LEFT(AD180,2))&lt;=2,"EC",IF(OR(VALUE(LEFT(AD180,2))=8,VALUE(LEFT(AD180,2))=18),"NW","Other")),"Other")</f>
        <v>NW</v>
      </c>
      <c r="AH180" s="100" t="str">
        <f t="shared" si="15"/>
        <v>"%USERPROFILE%\Documents\GitHub\eaglep3\Utilities\RefineRTDCRunTimes.py" --tripid 829-01 --locoid 4014 --swversion DE.1.0.7.0 --startMP 204:1051 --initTime 2016-09-01T16:16:30 --startdatetime 2016-09-01T16:21:21 --delay 1 --endMP 300:58935 --enddatetime 2016-09-01T16:35:51 --enforcementcount 0 &gt;&gt;C:\Users\stu\Documents\GitHub\eaglep3-reporting\EC\2016-09-01-refined-times.txt</v>
      </c>
      <c r="AI180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{"issue":{"subject":"","project_id":79,"tracker_id":40,"status_id":1,"priority_id":2,"assigned_to_id":23,"start_date":"2016-09-01","description":"","custom_fields":[{"id":1,"name":"Subdivision","value":"NW"},{"id":4,"name":"Milepost","value":"5.7884"},{"id":17,"name":"Train ID","value":"829-01"},{"id":16,"name":"Locomotive ID","value":"4014"},{"id":130,"name":"Impact","value":""},{"id":150,"name":"Time of Event (Mountain Time)","value":"16:35:51"},{"id":151,"name":"Denver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671</v>
      </c>
      <c r="B181" s="7">
        <v>4013</v>
      </c>
      <c r="C181" s="24" t="s">
        <v>113</v>
      </c>
      <c r="D181" s="24" t="s">
        <v>341</v>
      </c>
      <c r="E181" s="15">
        <v>42614.692453703705</v>
      </c>
      <c r="F181" s="15">
        <v>42614.693692129629</v>
      </c>
      <c r="G181" s="7">
        <v>0</v>
      </c>
      <c r="H181" s="15" t="s">
        <v>672</v>
      </c>
      <c r="I181" s="15">
        <v>42614.705324074072</v>
      </c>
      <c r="J181" s="7">
        <v>0</v>
      </c>
      <c r="K181" s="132" t="str">
        <f>IF(ISEVEN(B181),(B181-1)&amp;"/"&amp;B181,B181&amp;"/"&amp;(B181+1))</f>
        <v>4013/4014</v>
      </c>
      <c r="L181" s="24" t="str">
        <f>VLOOKUP(A181,'Trips&amp;Operators'!$C$1:$E$10000,3,FALSE)</f>
        <v>MAHAN</v>
      </c>
      <c r="M181" s="6">
        <f>I181-F181</f>
        <v>1.1631944442342501E-2</v>
      </c>
      <c r="N181" s="7">
        <f>24*60*SUM($M181:$M181)</f>
        <v>16.749999996973202</v>
      </c>
      <c r="O181" s="7"/>
      <c r="P181" s="7"/>
      <c r="Q181" s="25"/>
      <c r="R181" s="25"/>
      <c r="S181" s="37">
        <f>SUM(U181:U181)/IF(AG181="EC",12,1)</f>
        <v>1</v>
      </c>
      <c r="T181" s="52" t="str">
        <f>IF(ISEVEN(LEFT(AD181,4)),"Southbound","NorthBound")</f>
        <v>Southbound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hh:mm:ss")&amp;"-0600',mode:absolute,to:'"&amp;TEXT(I181+1/24,"yyyy-MM-DD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https://search-rtdc-monitor-bjffxe2xuh6vdkpspy63sjmuny.us-east-1.es.amazonaws.com/_plugin/kibana/#/discover/Steve-Slow-Train-Analysis-(2080s-and-2083s)?_g=(refreshInterval:(display:Off,section:0,value:0),time:(from:'2016-09-01 15:37:08-0600',mode:absolute,to:'2016-09-01 17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1" s="54" t="str">
        <f>IF(AA181&lt;IF(AG181="EC",23,5.65),"Y","N")</f>
        <v>N</v>
      </c>
      <c r="X181" s="120">
        <f>VALUE(LEFT(AD181,4))-VALUE(LEFT(AD180,4))</f>
        <v>1</v>
      </c>
      <c r="Y181" s="69">
        <f>RIGHT(D181,LEN(D181)-4)/10000</f>
        <v>5.8616999999999999</v>
      </c>
      <c r="Z181" s="69">
        <f>RIGHT(H181,LEN(H181)-4)/10000</f>
        <v>7.6399999999999996E-2</v>
      </c>
      <c r="AA181" s="69">
        <f>ABS(Z181-Y181)</f>
        <v>5.7853000000000003</v>
      </c>
      <c r="AB181" s="66" t="e">
        <f>VLOOKUP(A181,Enforcements!$C$7:$J$21,8,0)</f>
        <v>#N/A</v>
      </c>
      <c r="AC181" s="62" t="e">
        <f>VLOOKUP(A181,Enforcements!$C$7:$E$21,3,0)</f>
        <v>#N/A</v>
      </c>
      <c r="AD181" s="63" t="str">
        <f>IF(LEN(A181)=6,"0"&amp;A181,A181)</f>
        <v>0830-01</v>
      </c>
      <c r="AE181" s="99" t="str">
        <f>"aws s3 cp "&amp;s3_bucket&amp;"/RTDC"&amp;B181&amp;"/"&amp;TEXT(F181,"YYYY-MM-DD")&amp;"/ "&amp;search_path&amp;"\RTDC"&amp;B181&amp;"\"&amp;TEXT(F181,"YYYY-MM-DD")&amp;" --recursive &amp; """&amp;walkandungz&amp;""" "&amp;search_path&amp;"\RTDC"&amp;B181&amp;"\"&amp;TEXT(F181,"YYYY-MM-DD")
&amp;" &amp; "&amp;"aws s3 cp "&amp;s3_bucket&amp;"/RTDC"&amp;B181&amp;"/"&amp;TEXT(F181+1,"YYYY-MM-DD")&amp;"/ "&amp;search_path&amp;"\RTDC"&amp;B181&amp;"\"&amp;TEXT(F181+1,"YYYY-MM-DD")&amp;" --recursive &amp; """&amp;walkandungz&amp;""" "&amp;search_path&amp;"\RTDC"&amp;B181&amp;"\"&amp;TEXT(F181+1,"YYYY-MM-DD")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81" s="96" t="str">
        <f>astrogrep_path&amp;" /spath="&amp;search_path&amp;" /stypes=""*"&amp;B181&amp;"*"&amp;TEXT(I181-utc_offset/24,"YYYYMMDD")&amp;"*"" /stext="" "&amp;TEXT(I181-utc_offset/24,"HH")&amp;search_regexp&amp;""" /e /r /s"</f>
        <v>"C:\Program Files (x86)\AstroGrep\AstroGrep.exe" /spath="%USERPROFILE%\AppData\Local\Temp\OnboardLogs" /stypes="*4013*20160901*" /stext=" 22:.+((SYSTEM_STATE.+slice.+state.+changed )|(ment ac)|(system.+state.+changed )|(\|lc)|(penalty)|(\[timeout)|(PRM\|1\|D)|(kpr)|(kdp))" /e /r /s</v>
      </c>
      <c r="AG181" s="1" t="str">
        <f>IFERROR(IF(VALUE(LEFT(AD181,2))&lt;=2,"EC",IF(OR(VALUE(LEFT(AD181,2))=8,VALUE(LEFT(AD181,2))=18),"NW","Other")),"Other")</f>
        <v>NW</v>
      </c>
      <c r="AH181" s="100" t="str">
        <f t="shared" si="15"/>
        <v>"%USERPROFILE%\Documents\GitHub\eaglep3\Utilities\RefineRTDCRunTimes.py" --tripid 830-01 --locoid 4013 --swversion DE.1.0.7.0 --startMP 300:58617 --initTime 2016-09-01T16:37:08 --startdatetime 2016-09-01T16:38:55 --delay 0 --endMP 204:764 --enddatetime 2016-09-01T16:55:40 --enforcementcount 0 &gt;&gt;C:\Users\stu\Documents\GitHub\eaglep3-reporting\EC\2016-09-01-refined-times.txt</v>
      </c>
      <c r="AI181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{"issue":{"subject":"","project_id":79,"tracker_id":40,"status_id":1,"priority_id":2,"assigned_to_id":23,"start_date":"2016-09-01","description":"","custom_fields":[{"id":1,"name":"Subdivision","value":"NW"},{"id":4,"name":"Milepost","value":"5.7853"},{"id":17,"name":"Train ID","value":"830-01"},{"id":16,"name":"Locomotive ID","value":"4013"},{"id":130,"name":"Impact","value":""},{"id":150,"name":"Time of Event (Mountain Time)","value":"16:55:40"},{"id":151,"name":"Denver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673</v>
      </c>
      <c r="B182" s="7">
        <v>4009</v>
      </c>
      <c r="C182" s="24" t="s">
        <v>113</v>
      </c>
      <c r="D182" s="24" t="s">
        <v>306</v>
      </c>
      <c r="E182" s="15">
        <v>42614.69935185185</v>
      </c>
      <c r="F182" s="15">
        <v>42614.702233796299</v>
      </c>
      <c r="G182" s="7">
        <v>1</v>
      </c>
      <c r="H182" s="15" t="s">
        <v>674</v>
      </c>
      <c r="I182" s="15">
        <v>42614.711006944446</v>
      </c>
      <c r="J182" s="7">
        <v>0</v>
      </c>
      <c r="K182" s="132" t="str">
        <f>IF(ISEVEN(B182),(B182-1)&amp;"/"&amp;B182,B182&amp;"/"&amp;(B182+1))</f>
        <v>4009/4010</v>
      </c>
      <c r="L182" s="24" t="str">
        <f>VLOOKUP(A182,'Trips&amp;Operators'!$C$1:$E$10000,3,FALSE)</f>
        <v>YANAI</v>
      </c>
      <c r="M182" s="6">
        <f>I182-F182</f>
        <v>8.7731481471564621E-3</v>
      </c>
      <c r="N182" s="7">
        <f>24*60*SUM($M182:$M182)</f>
        <v>12.633333331905305</v>
      </c>
      <c r="O182" s="7"/>
      <c r="P182" s="7"/>
      <c r="Q182" s="25"/>
      <c r="R182" s="25"/>
      <c r="S182" s="37">
        <f>SUM(U182:U182)/IF(AG182="EC",12,1)</f>
        <v>1</v>
      </c>
      <c r="T182" s="52" t="str">
        <f>IF(ISEVEN(LEFT(AD182,4)),"Southbound","NorthBound")</f>
        <v>NorthBound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hh:mm:ss")&amp;"-0600',mode:absolute,to:'"&amp;TEXT(I182+1/24,"yyyy-MM-DD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https://search-rtdc-monitor-bjffxe2xuh6vdkpspy63sjmuny.us-east-1.es.amazonaws.com/_plugin/kibana/#/discover/Steve-Slow-Train-Analysis-(2080s-and-2083s)?_g=(refreshInterval:(display:Off,section:0,value:0),time:(from:'2016-09-01 15:47:04-0600',mode:absolute,to:'2016-09-01 18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2" s="54" t="str">
        <f>IF(AA182&lt;IF(AG182="EC",23,5.65),"Y","N")</f>
        <v>N</v>
      </c>
      <c r="X182" s="120">
        <f>VALUE(LEFT(AD182,4))-VALUE(LEFT(AD181,4))</f>
        <v>1</v>
      </c>
      <c r="Y182" s="69">
        <f>RIGHT(D182,LEN(D182)-4)/10000</f>
        <v>9.5299999999999996E-2</v>
      </c>
      <c r="Z182" s="69">
        <f>RIGHT(H182,LEN(H182)-4)/10000</f>
        <v>5.8978000000000002</v>
      </c>
      <c r="AA182" s="69">
        <f>ABS(Z182-Y182)</f>
        <v>5.8025000000000002</v>
      </c>
      <c r="AB182" s="66" t="e">
        <f>VLOOKUP(A182,Enforcements!$C$7:$J$21,8,0)</f>
        <v>#N/A</v>
      </c>
      <c r="AC182" s="62" t="e">
        <f>VLOOKUP(A182,Enforcements!$C$7:$E$21,3,0)</f>
        <v>#N/A</v>
      </c>
      <c r="AD182" s="63" t="str">
        <f>IF(LEN(A182)=6,"0"&amp;A182,A182)</f>
        <v>0831-01</v>
      </c>
      <c r="AE182" s="99" t="str">
        <f>"aws s3 cp "&amp;s3_bucket&amp;"/RTDC"&amp;B182&amp;"/"&amp;TEXT(F182,"YYYY-MM-DD")&amp;"/ "&amp;search_path&amp;"\RTDC"&amp;B182&amp;"\"&amp;TEXT(F182,"YYYY-MM-DD")&amp;" --recursive &amp; """&amp;walkandungz&amp;""" "&amp;search_path&amp;"\RTDC"&amp;B182&amp;"\"&amp;TEXT(F182,"YYYY-MM-DD")
&amp;" &amp; "&amp;"aws s3 cp "&amp;s3_bucket&amp;"/RTDC"&amp;B182&amp;"/"&amp;TEXT(F182+1,"YYYY-MM-DD")&amp;"/ "&amp;search_path&amp;"\RTDC"&amp;B182&amp;"\"&amp;TEXT(F182+1,"YYYY-MM-DD")&amp;" --recursive &amp; """&amp;walkandungz&amp;""" "&amp;search_path&amp;"\RTDC"&amp;B182&amp;"\"&amp;TEXT(F182+1,"YYYY-MM-DD")</f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82" s="96" t="str">
        <f>astrogrep_path&amp;" /spath="&amp;search_path&amp;" /stypes=""*"&amp;B182&amp;"*"&amp;TEXT(I182-utc_offset/24,"YYYYMMDD")&amp;"*"" /stext="" "&amp;TEXT(I182-utc_offset/24,"HH")&amp;search_regexp&amp;""" /e /r /s"</f>
        <v>"C:\Program Files (x86)\AstroGrep\AstroGrep.exe" /spath="%USERPROFILE%\AppData\Local\Temp\OnboardLogs" /stypes="*4009*20160901*" /stext=" 23:.+((SYSTEM_STATE.+slice.+state.+changed )|(ment ac)|(system.+state.+changed )|(\|lc)|(penalty)|(\[timeout)|(PRM\|1\|D)|(kpr)|(kdp))" /e /r /s</v>
      </c>
      <c r="AG182" s="1" t="str">
        <f>IFERROR(IF(VALUE(LEFT(AD182,2))&lt;=2,"EC",IF(OR(VALUE(LEFT(AD182,2))=8,VALUE(LEFT(AD182,2))=18),"NW","Other")),"Other")</f>
        <v>NW</v>
      </c>
      <c r="AH182" s="100" t="str">
        <f t="shared" si="15"/>
        <v>"%USERPROFILE%\Documents\GitHub\eaglep3\Utilities\RefineRTDCRunTimes.py" --tripid 831-01 --locoid 4009 --swversion DE.1.0.7.0 --startMP 204:953 --initTime 2016-09-01T16:47:04 --startdatetime 2016-09-01T16:51:13 --delay 1 --endMP 300:58978 --enddatetime 2016-09-01T17:03:51 --enforcementcount 0 &gt;&gt;C:\Users\stu\Documents\GitHub\eaglep3-reporting\EC\2016-09-01-refined-times.txt</v>
      </c>
      <c r="AI182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{"issue":{"subject":"","project_id":79,"tracker_id":40,"status_id":1,"priority_id":2,"assigned_to_id":23,"start_date":"2016-09-01","description":"","custom_fields":[{"id":1,"name":"Subdivision","value":"NW"},{"id":4,"name":"Milepost","value":"5.8025"},{"id":17,"name":"Train ID","value":"831-01"},{"id":16,"name":"Locomotive ID","value":"4009"},{"id":130,"name":"Impact","value":""},{"id":150,"name":"Time of Event (Mountain Time)","value":"17:03:51"},{"id":151,"name":"Denver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675</v>
      </c>
      <c r="B183" s="7">
        <v>4010</v>
      </c>
      <c r="C183" s="24" t="s">
        <v>113</v>
      </c>
      <c r="D183" s="24" t="s">
        <v>353</v>
      </c>
      <c r="E183" s="15">
        <v>42614.712025462963</v>
      </c>
      <c r="F183" s="15">
        <v>42614.713402777779</v>
      </c>
      <c r="G183" s="7">
        <v>1</v>
      </c>
      <c r="H183" s="15" t="s">
        <v>676</v>
      </c>
      <c r="I183" s="15">
        <v>42614.726018518515</v>
      </c>
      <c r="J183" s="7">
        <v>0</v>
      </c>
      <c r="K183" s="132" t="str">
        <f>IF(ISEVEN(B183),(B183-1)&amp;"/"&amp;B183,B183&amp;"/"&amp;(B183+1))</f>
        <v>4009/4010</v>
      </c>
      <c r="L183" s="24" t="str">
        <f>VLOOKUP(A183,'Trips&amp;Operators'!$C$1:$E$10000,3,FALSE)</f>
        <v>YANAI</v>
      </c>
      <c r="M183" s="6">
        <f>I183-F183</f>
        <v>1.261574073578231E-2</v>
      </c>
      <c r="N183" s="7">
        <f>24*60*SUM($M183:$M183)</f>
        <v>18.166666659526527</v>
      </c>
      <c r="O183" s="7"/>
      <c r="P183" s="7"/>
      <c r="Q183" s="25"/>
      <c r="R183" s="25"/>
      <c r="S183" s="37">
        <f>SUM(U183:U183)/IF(AG183="EC",12,1)</f>
        <v>1</v>
      </c>
      <c r="T183" s="52" t="str">
        <f>IF(ISEVEN(LEFT(AD183,4)),"Southbound","NorthBound")</f>
        <v>Southbound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hh:mm:ss")&amp;"-0600',mode:absolute,to:'"&amp;TEXT(I183+1/24,"yyyy-MM-DD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https://search-rtdc-monitor-bjffxe2xuh6vdkpspy63sjmuny.us-east-1.es.amazonaws.com/_plugin/kibana/#/discover/Steve-Slow-Train-Analysis-(2080s-and-2083s)?_g=(refreshInterval:(display:Off,section:0,value:0),time:(from:'2016-09-01 16:05:19-0600',mode:absolute,to:'2016-09-01 18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3" s="54" t="str">
        <f>IF(AA183&lt;IF(AG183="EC",23,5.65),"Y","N")</f>
        <v>N</v>
      </c>
      <c r="X183" s="120">
        <f>VALUE(LEFT(AD183,4))-VALUE(LEFT(AD182,4))</f>
        <v>1</v>
      </c>
      <c r="Y183" s="69">
        <f>RIGHT(D183,LEN(D183)-4)/10000</f>
        <v>5.8658000000000001</v>
      </c>
      <c r="Z183" s="69">
        <f>RIGHT(H183,LEN(H183)-4)/10000</f>
        <v>6.4299999999999996E-2</v>
      </c>
      <c r="AA183" s="69">
        <f>ABS(Z183-Y183)</f>
        <v>5.8014999999999999</v>
      </c>
      <c r="AB183" s="66" t="e">
        <f>VLOOKUP(A183,Enforcements!$C$7:$J$21,8,0)</f>
        <v>#N/A</v>
      </c>
      <c r="AC183" s="62" t="e">
        <f>VLOOKUP(A183,Enforcements!$C$7:$E$21,3,0)</f>
        <v>#N/A</v>
      </c>
      <c r="AD183" s="63" t="str">
        <f>IF(LEN(A183)=6,"0"&amp;A183,A183)</f>
        <v>0832-01</v>
      </c>
      <c r="AE183" s="99" t="str">
        <f>"aws s3 cp "&amp;s3_bucket&amp;"/RTDC"&amp;B183&amp;"/"&amp;TEXT(F183,"YYYY-MM-DD")&amp;"/ "&amp;search_path&amp;"\RTDC"&amp;B183&amp;"\"&amp;TEXT(F183,"YYYY-MM-DD")&amp;" --recursive &amp; """&amp;walkandungz&amp;""" "&amp;search_path&amp;"\RTDC"&amp;B183&amp;"\"&amp;TEXT(F183,"YYYY-MM-DD")
&amp;" &amp; "&amp;"aws s3 cp "&amp;s3_bucket&amp;"/RTDC"&amp;B183&amp;"/"&amp;TEXT(F183+1,"YYYY-MM-DD")&amp;"/ "&amp;search_path&amp;"\RTDC"&amp;B183&amp;"\"&amp;TEXT(F183+1,"YYYY-MM-DD")&amp;" --recursive &amp; """&amp;walkandungz&amp;""" "&amp;search_path&amp;"\RTDC"&amp;B183&amp;"\"&amp;TEXT(F183+1,"YYYY-MM-DD")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83" s="96" t="str">
        <f>astrogrep_path&amp;" /spath="&amp;search_path&amp;" /stypes=""*"&amp;B183&amp;"*"&amp;TEXT(I183-utc_offset/24,"YYYYMMDD")&amp;"*"" /stext="" "&amp;TEXT(I183-utc_offset/24,"HH")&amp;search_regexp&amp;""" /e /r /s"</f>
        <v>"C:\Program Files (x86)\AstroGrep\AstroGrep.exe" /spath="%USERPROFILE%\AppData\Local\Temp\OnboardLogs" /stypes="*4010*20160901*" /stext=" 23:.+((SYSTEM_STATE.+slice.+state.+changed )|(ment ac)|(system.+state.+changed )|(\|lc)|(penalty)|(\[timeout)|(PRM\|1\|D)|(kpr)|(kdp))" /e /r /s</v>
      </c>
      <c r="AG183" s="1" t="str">
        <f>IFERROR(IF(VALUE(LEFT(AD183,2))&lt;=2,"EC",IF(OR(VALUE(LEFT(AD183,2))=8,VALUE(LEFT(AD183,2))=18),"NW","Other")),"Other")</f>
        <v>NW</v>
      </c>
      <c r="AH183" s="100" t="str">
        <f t="shared" si="15"/>
        <v>"%USERPROFILE%\Documents\GitHub\eaglep3\Utilities\RefineRTDCRunTimes.py" --tripid 832-01 --locoid 4010 --swversion DE.1.0.7.0 --startMP 300:58658 --initTime 2016-09-01T17:05:19 --startdatetime 2016-09-01T17:07:18 --delay 1 --endMP 204:643 --enddatetime 2016-09-01T17:25:28 --enforcementcount 0 &gt;&gt;C:\Users\stu\Documents\GitHub\eaglep3-reporting\EC\2016-09-01-refined-times.txt</v>
      </c>
      <c r="AI183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{"issue":{"subject":"","project_id":79,"tracker_id":40,"status_id":1,"priority_id":2,"assigned_to_id":23,"start_date":"2016-09-01","description":"","custom_fields":[{"id":1,"name":"Subdivision","value":"NW"},{"id":4,"name":"Milepost","value":"5.8015"},{"id":17,"name":"Train ID","value":"832-01"},{"id":16,"name":"Locomotive ID","value":"4010"},{"id":130,"name":"Impact","value":""},{"id":150,"name":"Time of Event (Mountain Time)","value":"17:25:28"},{"id":151,"name":"Denver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677</v>
      </c>
      <c r="B184" s="7">
        <v>4014</v>
      </c>
      <c r="C184" s="24" t="s">
        <v>113</v>
      </c>
      <c r="D184" s="24" t="s">
        <v>678</v>
      </c>
      <c r="E184" s="15">
        <v>42614.718043981484</v>
      </c>
      <c r="F184" s="15">
        <v>42614.723090277781</v>
      </c>
      <c r="G184" s="7">
        <v>2</v>
      </c>
      <c r="H184" s="15" t="s">
        <v>351</v>
      </c>
      <c r="I184" s="15">
        <v>42614.73333333333</v>
      </c>
      <c r="J184" s="7">
        <v>0</v>
      </c>
      <c r="K184" s="132" t="str">
        <f>IF(ISEVEN(B184),(B184-1)&amp;"/"&amp;B184,B184&amp;"/"&amp;(B184+1))</f>
        <v>4013/4014</v>
      </c>
      <c r="L184" s="24" t="str">
        <f>VLOOKUP(A184,'Trips&amp;Operators'!$C$1:$E$10000,3,FALSE)</f>
        <v>MAHAN</v>
      </c>
      <c r="M184" s="6">
        <f>I184-F184</f>
        <v>1.024305554892635E-2</v>
      </c>
      <c r="N184" s="7">
        <f>24*60*SUM($M184:$M184)</f>
        <v>14.749999990453944</v>
      </c>
      <c r="O184" s="7"/>
      <c r="P184" s="7"/>
      <c r="Q184" s="25"/>
      <c r="R184" s="25"/>
      <c r="S184" s="37">
        <f>SUM(U184:U184)/IF(AG184="EC",12,1)</f>
        <v>1</v>
      </c>
      <c r="T184" s="52" t="str">
        <f>IF(ISEVEN(LEFT(AD184,4)),"Southbound","NorthBound")</f>
        <v>NorthBound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hh:mm:ss")&amp;"-0600',mode:absolute,to:'"&amp;TEXT(I184+1/24,"yyyy-MM-DD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https://search-rtdc-monitor-bjffxe2xuh6vdkpspy63sjmuny.us-east-1.es.amazonaws.com/_plugin/kibana/#/discover/Steve-Slow-Train-Analysis-(2080s-and-2083s)?_g=(refreshInterval:(display:Off,section:0,value:0),time:(from:'2016-09-01 16:13:59-0600',mode:absolute,to:'2016-09-01 18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4" s="54" t="str">
        <f>IF(AA184&lt;IF(AG184="EC",23,5.65),"Y","N")</f>
        <v>N</v>
      </c>
      <c r="X184" s="120">
        <f>VALUE(LEFT(AD184,4))-VALUE(LEFT(AD183,4))</f>
        <v>1</v>
      </c>
      <c r="Y184" s="69">
        <f>RIGHT(D184,LEN(D184)-4)/10000</f>
        <v>0.1055</v>
      </c>
      <c r="Z184" s="69">
        <f>RIGHT(H184,LEN(H184)-4)/10000</f>
        <v>5.8958000000000004</v>
      </c>
      <c r="AA184" s="69">
        <f>ABS(Z184-Y184)</f>
        <v>5.7903000000000002</v>
      </c>
      <c r="AB184" s="66" t="e">
        <f>VLOOKUP(A184,Enforcements!$C$7:$J$21,8,0)</f>
        <v>#N/A</v>
      </c>
      <c r="AC184" s="62" t="e">
        <f>VLOOKUP(A184,Enforcements!$C$7:$E$21,3,0)</f>
        <v>#N/A</v>
      </c>
      <c r="AD184" s="63" t="str">
        <f>IF(LEN(A184)=6,"0"&amp;A184,A184)</f>
        <v>0833-01</v>
      </c>
      <c r="AE184" s="99" t="str">
        <f>"aws s3 cp "&amp;s3_bucket&amp;"/RTDC"&amp;B184&amp;"/"&amp;TEXT(F184,"YYYY-MM-DD")&amp;"/ "&amp;search_path&amp;"\RTDC"&amp;B184&amp;"\"&amp;TEXT(F184,"YYYY-MM-DD")&amp;" --recursive &amp; """&amp;walkandungz&amp;""" "&amp;search_path&amp;"\RTDC"&amp;B184&amp;"\"&amp;TEXT(F184,"YYYY-MM-DD")
&amp;" &amp; "&amp;"aws s3 cp "&amp;s3_bucket&amp;"/RTDC"&amp;B184&amp;"/"&amp;TEXT(F184+1,"YYYY-MM-DD")&amp;"/ "&amp;search_path&amp;"\RTDC"&amp;B184&amp;"\"&amp;TEXT(F184+1,"YYYY-MM-DD")&amp;" --recursive &amp; """&amp;walkandungz&amp;""" "&amp;search_path&amp;"\RTDC"&amp;B184&amp;"\"&amp;TEXT(F184+1,"YYYY-MM-DD")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84" s="96" t="str">
        <f>astrogrep_path&amp;" /spath="&amp;search_path&amp;" /stypes=""*"&amp;B184&amp;"*"&amp;TEXT(I184-utc_offset/24,"YYYYMMDD")&amp;"*"" /stext="" "&amp;TEXT(I184-utc_offset/24,"HH")&amp;search_regexp&amp;""" /e /r /s"</f>
        <v>"C:\Program Files (x86)\AstroGrep\AstroGrep.exe" /spath="%USERPROFILE%\AppData\Local\Temp\OnboardLogs" /stypes="*4014*20160901*" /stext=" 23:.+((SYSTEM_STATE.+slice.+state.+changed )|(ment ac)|(system.+state.+changed )|(\|lc)|(penalty)|(\[timeout)|(PRM\|1\|D)|(kpr)|(kdp))" /e /r /s</v>
      </c>
      <c r="AG184" s="1" t="str">
        <f>IFERROR(IF(VALUE(LEFT(AD184,2))&lt;=2,"EC",IF(OR(VALUE(LEFT(AD184,2))=8,VALUE(LEFT(AD184,2))=18),"NW","Other")),"Other")</f>
        <v>NW</v>
      </c>
      <c r="AH184" s="100" t="str">
        <f t="shared" si="15"/>
        <v>"%USERPROFILE%\Documents\GitHub\eaglep3\Utilities\RefineRTDCRunTimes.py" --tripid 833-01 --locoid 4014 --swversion DE.1.0.7.0 --startMP 204:1055 --initTime 2016-09-01T17:13:59 --startdatetime 2016-09-01T17:21:15 --delay 2 --endMP 300:58958 --enddatetime 2016-09-01T17:36:00 --enforcementcount 0 &gt;&gt;C:\Users\stu\Documents\GitHub\eaglep3-reporting\EC\2016-09-01-refined-times.txt</v>
      </c>
      <c r="AI184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{"issue":{"subject":"","project_id":79,"tracker_id":40,"status_id":1,"priority_id":2,"assigned_to_id":23,"start_date":"2016-09-01","description":"","custom_fields":[{"id":1,"name":"Subdivision","value":"NW"},{"id":4,"name":"Milepost","value":"5.7903"},{"id":17,"name":"Train ID","value":"833-01"},{"id":16,"name":"Locomotive ID","value":"4014"},{"id":130,"name":"Impact","value":""},{"id":150,"name":"Time of Event (Mountain Time)","value":"17:36:00"},{"id":151,"name":"Denver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679</v>
      </c>
      <c r="B185" s="7">
        <v>4013</v>
      </c>
      <c r="C185" s="24" t="s">
        <v>113</v>
      </c>
      <c r="D185" s="24" t="s">
        <v>680</v>
      </c>
      <c r="E185" s="15">
        <v>42614.734363425923</v>
      </c>
      <c r="F185" s="15">
        <v>42614.736087962963</v>
      </c>
      <c r="G185" s="7">
        <v>1</v>
      </c>
      <c r="H185" s="15" t="s">
        <v>339</v>
      </c>
      <c r="I185" s="15">
        <v>42614.747673611113</v>
      </c>
      <c r="J185" s="7">
        <v>0</v>
      </c>
      <c r="K185" s="132" t="str">
        <f>IF(ISEVEN(B185),(B185-1)&amp;"/"&amp;B185,B185&amp;"/"&amp;(B185+1))</f>
        <v>4013/4014</v>
      </c>
      <c r="L185" s="24" t="str">
        <f>VLOOKUP(A185,'Trips&amp;Operators'!$C$1:$E$10000,3,FALSE)</f>
        <v>MAHAN</v>
      </c>
      <c r="M185" s="6">
        <f>I185-F185</f>
        <v>1.1585648149775807E-2</v>
      </c>
      <c r="N185" s="7">
        <f>24*60*SUM($M185:$M185)</f>
        <v>16.683333335677162</v>
      </c>
      <c r="O185" s="7"/>
      <c r="P185" s="7"/>
      <c r="Q185" s="25"/>
      <c r="R185" s="25"/>
      <c r="S185" s="37">
        <f>SUM(U185:U185)/IF(AG185="EC",12,1)</f>
        <v>1</v>
      </c>
      <c r="T185" s="52" t="str">
        <f>IF(ISEVEN(LEFT(AD185,4)),"Southbound","NorthBound")</f>
        <v>Southbound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hh:mm:ss")&amp;"-0600',mode:absolute,to:'"&amp;TEXT(I185+1/24,"yyyy-MM-DD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https://search-rtdc-monitor-bjffxe2xuh6vdkpspy63sjmuny.us-east-1.es.amazonaws.com/_plugin/kibana/#/discover/Steve-Slow-Train-Analysis-(2080s-and-2083s)?_g=(refreshInterval:(display:Off,section:0,value:0),time:(from:'2016-09-01 16:37:29-0600',mode:absolute,to:'2016-09-01 18:56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5" s="54" t="str">
        <f>IF(AA185&lt;IF(AG185="EC",23,5.65),"Y","N")</f>
        <v>N</v>
      </c>
      <c r="X185" s="120">
        <f>VALUE(LEFT(AD185,4))-VALUE(LEFT(AD184,4))</f>
        <v>1</v>
      </c>
      <c r="Y185" s="69">
        <f>RIGHT(D185,LEN(D185)-4)/10000</f>
        <v>5.8647</v>
      </c>
      <c r="Z185" s="69">
        <f>RIGHT(H185,LEN(H185)-4)/10000</f>
        <v>7.3800000000000004E-2</v>
      </c>
      <c r="AA185" s="69">
        <f>ABS(Z185-Y185)</f>
        <v>5.7908999999999997</v>
      </c>
      <c r="AB185" s="66" t="e">
        <f>VLOOKUP(A185,Enforcements!$C$7:$J$21,8,0)</f>
        <v>#N/A</v>
      </c>
      <c r="AC185" s="62" t="e">
        <f>VLOOKUP(A185,Enforcements!$C$7:$E$21,3,0)</f>
        <v>#N/A</v>
      </c>
      <c r="AD185" s="63" t="str">
        <f>IF(LEN(A185)=6,"0"&amp;A185,A185)</f>
        <v>0834-01</v>
      </c>
      <c r="AE185" s="99" t="str">
        <f>"aws s3 cp "&amp;s3_bucket&amp;"/RTDC"&amp;B185&amp;"/"&amp;TEXT(F185,"YYYY-MM-DD")&amp;"/ "&amp;search_path&amp;"\RTDC"&amp;B185&amp;"\"&amp;TEXT(F185,"YYYY-MM-DD")&amp;" --recursive &amp; """&amp;walkandungz&amp;""" "&amp;search_path&amp;"\RTDC"&amp;B185&amp;"\"&amp;TEXT(F185,"YYYY-MM-DD")
&amp;" &amp; "&amp;"aws s3 cp "&amp;s3_bucket&amp;"/RTDC"&amp;B185&amp;"/"&amp;TEXT(F185+1,"YYYY-MM-DD")&amp;"/ "&amp;search_path&amp;"\RTDC"&amp;B185&amp;"\"&amp;TEXT(F185+1,"YYYY-MM-DD")&amp;" --recursive &amp; """&amp;walkandungz&amp;""" "&amp;search_path&amp;"\RTDC"&amp;B185&amp;"\"&amp;TEXT(F185+1,"YYYY-MM-DD")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85" s="96" t="str">
        <f>astrogrep_path&amp;" /spath="&amp;search_path&amp;" /stypes=""*"&amp;B185&amp;"*"&amp;TEXT(I185-utc_offset/24,"YYYYMMDD")&amp;"*"" /stext="" "&amp;TEXT(I185-utc_offset/24,"HH")&amp;search_regexp&amp;""" /e /r /s"</f>
        <v>"C:\Program Files (x86)\AstroGrep\AstroGrep.exe" /spath="%USERPROFILE%\AppData\Local\Temp\OnboardLogs" /stypes="*4013*20160901*" /stext=" 23:.+((SYSTEM_STATE.+slice.+state.+changed )|(ment ac)|(system.+state.+changed )|(\|lc)|(penalty)|(\[timeout)|(PRM\|1\|D)|(kpr)|(kdp))" /e /r /s</v>
      </c>
      <c r="AG185" s="1" t="str">
        <f>IFERROR(IF(VALUE(LEFT(AD185,2))&lt;=2,"EC",IF(OR(VALUE(LEFT(AD185,2))=8,VALUE(LEFT(AD185,2))=18),"NW","Other")),"Other")</f>
        <v>NW</v>
      </c>
      <c r="AH185" s="100" t="str">
        <f t="shared" si="15"/>
        <v>"%USERPROFILE%\Documents\GitHub\eaglep3\Utilities\RefineRTDCRunTimes.py" --tripid 834-01 --locoid 4013 --swversion DE.1.0.7.0 --startMP 300:58647 --initTime 2016-09-01T17:37:29 --startdatetime 2016-09-01T17:39:58 --delay 1 --endMP 204:738 --enddatetime 2016-09-01T17:56:39 --enforcementcount 0 &gt;&gt;C:\Users\stu\Documents\GitHub\eaglep3-reporting\EC\2016-09-01-refined-times.txt</v>
      </c>
      <c r="AI185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{"issue":{"subject":"","project_id":79,"tracker_id":40,"status_id":1,"priority_id":2,"assigned_to_id":23,"start_date":"2016-09-01","description":"","custom_fields":[{"id":1,"name":"Subdivision","value":"NW"},{"id":4,"name":"Milepost","value":"5.7909"},{"id":17,"name":"Train ID","value":"834-01"},{"id":16,"name":"Locomotive ID","value":"4013"},{"id":130,"name":"Impact","value":""},{"id":150,"name":"Time of Event (Mountain Time)","value":"17:56:39"},{"id":151,"name":"Denver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681</v>
      </c>
      <c r="B186" s="7">
        <v>4009</v>
      </c>
      <c r="C186" s="24" t="s">
        <v>113</v>
      </c>
      <c r="D186" s="24" t="s">
        <v>354</v>
      </c>
      <c r="E186" s="15">
        <v>42614.740474537037</v>
      </c>
      <c r="F186" s="15">
        <v>42614.743923611109</v>
      </c>
      <c r="G186" s="7">
        <v>1</v>
      </c>
      <c r="H186" s="15" t="s">
        <v>664</v>
      </c>
      <c r="I186" s="15">
        <v>42614.752812500003</v>
      </c>
      <c r="J186" s="7">
        <v>0</v>
      </c>
      <c r="K186" s="132" t="str">
        <f>IF(ISEVEN(B186),(B186-1)&amp;"/"&amp;B186,B186&amp;"/"&amp;(B186+1))</f>
        <v>4009/4010</v>
      </c>
      <c r="L186" s="24" t="str">
        <f>VLOOKUP(A186,'Trips&amp;Operators'!$C$1:$E$10000,3,FALSE)</f>
        <v>YANAI</v>
      </c>
      <c r="M186" s="6">
        <f>I186-F186</f>
        <v>8.8888888931251131E-3</v>
      </c>
      <c r="N186" s="7">
        <f>24*60*SUM($M186:$M186)</f>
        <v>12.800000006100163</v>
      </c>
      <c r="O186" s="7"/>
      <c r="P186" s="7"/>
      <c r="Q186" s="25"/>
      <c r="R186" s="25"/>
      <c r="S186" s="37">
        <f>SUM(U186:U186)/IF(AG186="EC",12,1)</f>
        <v>1</v>
      </c>
      <c r="T186" s="52" t="str">
        <f>IF(ISEVEN(LEFT(AD186,4)),"Southbound","NorthBound")</f>
        <v>NorthBound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hh:mm:ss")&amp;"-0600',mode:absolute,to:'"&amp;TEXT(I186+1/24,"yyyy-MM-DD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https://search-rtdc-monitor-bjffxe2xuh6vdkpspy63sjmuny.us-east-1.es.amazonaws.com/_plugin/kibana/#/discover/Steve-Slow-Train-Analysis-(2080s-and-2083s)?_g=(refreshInterval:(display:Off,section:0,value:0),time:(from:'2016-09-01 16:46:17-0600',mode:absolute,to:'2016-09-01 19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6" s="54" t="str">
        <f>IF(AA186&lt;IF(AG186="EC",23,5.65),"Y","N")</f>
        <v>N</v>
      </c>
      <c r="X186" s="120">
        <f>VALUE(LEFT(AD186,4))-VALUE(LEFT(AD185,4))</f>
        <v>1</v>
      </c>
      <c r="Y186" s="69">
        <f>RIGHT(D186,LEN(D186)-4)/10000</f>
        <v>9.2700000000000005E-2</v>
      </c>
      <c r="Z186" s="69">
        <f>RIGHT(H186,LEN(H186)-4)/10000</f>
        <v>5.8945999999999996</v>
      </c>
      <c r="AA186" s="69">
        <f>ABS(Z186-Y186)</f>
        <v>5.8018999999999998</v>
      </c>
      <c r="AB186" s="66" t="e">
        <f>VLOOKUP(A186,Enforcements!$C$7:$J$21,8,0)</f>
        <v>#N/A</v>
      </c>
      <c r="AC186" s="62" t="e">
        <f>VLOOKUP(A186,Enforcements!$C$7:$E$21,3,0)</f>
        <v>#N/A</v>
      </c>
      <c r="AD186" s="63" t="str">
        <f>IF(LEN(A186)=6,"0"&amp;A186,A186)</f>
        <v>0835-01</v>
      </c>
      <c r="AE186" s="99" t="str">
        <f>"aws s3 cp "&amp;s3_bucket&amp;"/RTDC"&amp;B186&amp;"/"&amp;TEXT(F186,"YYYY-MM-DD")&amp;"/ "&amp;search_path&amp;"\RTDC"&amp;B186&amp;"\"&amp;TEXT(F186,"YYYY-MM-DD")&amp;" --recursive &amp; """&amp;walkandungz&amp;""" "&amp;search_path&amp;"\RTDC"&amp;B186&amp;"\"&amp;TEXT(F186,"YYYY-MM-DD")
&amp;" &amp; "&amp;"aws s3 cp "&amp;s3_bucket&amp;"/RTDC"&amp;B186&amp;"/"&amp;TEXT(F186+1,"YYYY-MM-DD")&amp;"/ "&amp;search_path&amp;"\RTDC"&amp;B186&amp;"\"&amp;TEXT(F186+1,"YYYY-MM-DD")&amp;" --recursive &amp; """&amp;walkandungz&amp;""" "&amp;search_path&amp;"\RTDC"&amp;B186&amp;"\"&amp;TEXT(F186+1,"YYYY-MM-DD")</f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86" s="96" t="str">
        <f>astrogrep_path&amp;" /spath="&amp;search_path&amp;" /stypes=""*"&amp;B186&amp;"*"&amp;TEXT(I186-utc_offset/24,"YYYYMMDD")&amp;"*"" /stext="" "&amp;TEXT(I186-utc_offset/24,"HH")&amp;search_regexp&amp;""" /e /r /s"</f>
        <v>"C:\Program Files (x86)\AstroGrep\AstroGrep.exe" /spath="%USERPROFILE%\AppData\Local\Temp\OnboardLogs" /stypes="*4009*20160902*" /stext=" 00:.+((SYSTEM_STATE.+slice.+state.+changed )|(ment ac)|(system.+state.+changed )|(\|lc)|(penalty)|(\[timeout)|(PRM\|1\|D)|(kpr)|(kdp))" /e /r /s</v>
      </c>
      <c r="AG186" s="1" t="str">
        <f>IFERROR(IF(VALUE(LEFT(AD186,2))&lt;=2,"EC",IF(OR(VALUE(LEFT(AD186,2))=8,VALUE(LEFT(AD186,2))=18),"NW","Other")),"Other")</f>
        <v>NW</v>
      </c>
      <c r="AH186" s="100" t="str">
        <f t="shared" si="15"/>
        <v>"%USERPROFILE%\Documents\GitHub\eaglep3\Utilities\RefineRTDCRunTimes.py" --tripid 835-01 --locoid 4009 --swversion DE.1.0.7.0 --startMP 204:927 --initTime 2016-09-01T17:46:17 --startdatetime 2016-09-01T17:51:15 --delay 1 --endMP 300:58946 --enddatetime 2016-09-01T18:04:03 --enforcementcount 0 &gt;&gt;C:\Users\stu\Documents\GitHub\eaglep3-reporting\EC\2016-09-01-refined-times.txt</v>
      </c>
      <c r="AI186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{"issue":{"subject":"","project_id":79,"tracker_id":40,"status_id":1,"priority_id":2,"assigned_to_id":23,"start_date":"2016-09-01","description":"","custom_fields":[{"id":1,"name":"Subdivision","value":"NW"},{"id":4,"name":"Milepost","value":"5.8019"},{"id":17,"name":"Train ID","value":"835-01"},{"id":16,"name":"Locomotive ID","value":"4009"},{"id":130,"name":"Impact","value":""},{"id":150,"name":"Time of Event (Mountain Time)","value":"18:04:03"},{"id":151,"name":"Denver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682</v>
      </c>
      <c r="B187" s="7">
        <v>4010</v>
      </c>
      <c r="C187" s="24" t="s">
        <v>113</v>
      </c>
      <c r="D187" s="24" t="s">
        <v>683</v>
      </c>
      <c r="E187" s="15">
        <v>42614.753703703704</v>
      </c>
      <c r="F187" s="15">
        <v>42614.755266203705</v>
      </c>
      <c r="G187" s="7">
        <v>1</v>
      </c>
      <c r="H187" s="15" t="s">
        <v>684</v>
      </c>
      <c r="I187" s="15">
        <v>42614.767650462964</v>
      </c>
      <c r="J187" s="7">
        <v>0</v>
      </c>
      <c r="K187" s="132" t="str">
        <f>IF(ISEVEN(B187),(B187-1)&amp;"/"&amp;B187,B187&amp;"/"&amp;(B187+1))</f>
        <v>4009/4010</v>
      </c>
      <c r="L187" s="24" t="str">
        <f>VLOOKUP(A187,'Trips&amp;Operators'!$C$1:$E$10000,3,FALSE)</f>
        <v>YANAI</v>
      </c>
      <c r="M187" s="6">
        <f>I187-F187</f>
        <v>1.2384259258396924E-2</v>
      </c>
      <c r="N187" s="7">
        <f>24*60*SUM($M187:$M187)</f>
        <v>17.83333333209157</v>
      </c>
      <c r="O187" s="7"/>
      <c r="P187" s="7"/>
      <c r="Q187" s="25"/>
      <c r="R187" s="25"/>
      <c r="S187" s="37">
        <f>SUM(U187:U187)/IF(AG187="EC",12,1)</f>
        <v>1</v>
      </c>
      <c r="T187" s="52" t="str">
        <f>IF(ISEVEN(LEFT(AD187,4)),"Southbound","NorthBound")</f>
        <v>Southbound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hh:mm:ss")&amp;"-0600',mode:absolute,to:'"&amp;TEXT(I187+1/24,"yyyy-MM-DD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https://search-rtdc-monitor-bjffxe2xuh6vdkpspy63sjmuny.us-east-1.es.amazonaws.com/_plugin/kibana/#/discover/Steve-Slow-Train-Analysis-(2080s-and-2083s)?_g=(refreshInterval:(display:Off,section:0,value:0),time:(from:'2016-09-01 17:05:20-0600',mode:absolute,to:'2016-09-01 19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7" s="54" t="str">
        <f>IF(AA187&lt;IF(AG187="EC",23,5.65),"Y","N")</f>
        <v>N</v>
      </c>
      <c r="X187" s="120">
        <f>VALUE(LEFT(AD187,4))-VALUE(LEFT(AD186,4))</f>
        <v>1</v>
      </c>
      <c r="Y187" s="69">
        <f>RIGHT(D187,LEN(D187)-4)/10000</f>
        <v>5.8640999999999996</v>
      </c>
      <c r="Z187" s="69">
        <f>RIGHT(H187,LEN(H187)-4)/10000</f>
        <v>6.59E-2</v>
      </c>
      <c r="AA187" s="69">
        <f>ABS(Z187-Y187)</f>
        <v>5.7981999999999996</v>
      </c>
      <c r="AB187" s="66" t="e">
        <f>VLOOKUP(A187,Enforcements!$C$7:$J$21,8,0)</f>
        <v>#N/A</v>
      </c>
      <c r="AC187" s="62" t="e">
        <f>VLOOKUP(A187,Enforcements!$C$7:$E$21,3,0)</f>
        <v>#N/A</v>
      </c>
      <c r="AD187" s="63" t="str">
        <f>IF(LEN(A187)=6,"0"&amp;A187,A187)</f>
        <v>0836-01</v>
      </c>
      <c r="AE187" s="99" t="str">
        <f>"aws s3 cp "&amp;s3_bucket&amp;"/RTDC"&amp;B187&amp;"/"&amp;TEXT(F187,"YYYY-MM-DD")&amp;"/ "&amp;search_path&amp;"\RTDC"&amp;B187&amp;"\"&amp;TEXT(F187,"YYYY-MM-DD")&amp;" --recursive &amp; """&amp;walkandungz&amp;""" "&amp;search_path&amp;"\RTDC"&amp;B187&amp;"\"&amp;TEXT(F187,"YYYY-MM-DD")
&amp;" &amp; "&amp;"aws s3 cp "&amp;s3_bucket&amp;"/RTDC"&amp;B187&amp;"/"&amp;TEXT(F187+1,"YYYY-MM-DD")&amp;"/ "&amp;search_path&amp;"\RTDC"&amp;B187&amp;"\"&amp;TEXT(F187+1,"YYYY-MM-DD")&amp;" --recursive &amp; """&amp;walkandungz&amp;""" "&amp;search_path&amp;"\RTDC"&amp;B187&amp;"\"&amp;TEXT(F187+1,"YYYY-MM-DD")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87" s="96" t="str">
        <f>astrogrep_path&amp;" /spath="&amp;search_path&amp;" /stypes=""*"&amp;B187&amp;"*"&amp;TEXT(I187-utc_offset/24,"YYYYMMDD")&amp;"*"" /stext="" "&amp;TEXT(I187-utc_offset/24,"HH")&amp;search_regexp&amp;""" /e /r /s"</f>
        <v>"C:\Program Files (x86)\AstroGrep\AstroGrep.exe" /spath="%USERPROFILE%\AppData\Local\Temp\OnboardLogs" /stypes="*4010*20160902*" /stext=" 00:.+((SYSTEM_STATE.+slice.+state.+changed )|(ment ac)|(system.+state.+changed )|(\|lc)|(penalty)|(\[timeout)|(PRM\|1\|D)|(kpr)|(kdp))" /e /r /s</v>
      </c>
      <c r="AG187" s="1" t="str">
        <f>IFERROR(IF(VALUE(LEFT(AD187,2))&lt;=2,"EC",IF(OR(VALUE(LEFT(AD187,2))=8,VALUE(LEFT(AD187,2))=18),"NW","Other")),"Other")</f>
        <v>NW</v>
      </c>
      <c r="AH187" s="100" t="str">
        <f t="shared" si="15"/>
        <v>"%USERPROFILE%\Documents\GitHub\eaglep3\Utilities\RefineRTDCRunTimes.py" --tripid 836-01 --locoid 4010 --swversion DE.1.0.7.0 --startMP 300:58641 --initTime 2016-09-01T18:05:20 --startdatetime 2016-09-01T18:07:35 --delay 1 --endMP 204:659 --enddatetime 2016-09-01T18:25:25 --enforcementcount 0 &gt;&gt;C:\Users\stu\Documents\GitHub\eaglep3-reporting\EC\2016-09-01-refined-times.txt</v>
      </c>
      <c r="AI187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{"issue":{"subject":"","project_id":79,"tracker_id":40,"status_id":1,"priority_id":2,"assigned_to_id":23,"start_date":"2016-09-01","description":"","custom_fields":[{"id":1,"name":"Subdivision","value":"NW"},{"id":4,"name":"Milepost","value":"5.7982"},{"id":17,"name":"Train ID","value":"836-01"},{"id":16,"name":"Locomotive ID","value":"4010"},{"id":130,"name":"Impact","value":""},{"id":150,"name":"Time of Event (Mountain Time)","value":"18:25:25"},{"id":151,"name":"Denver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685</v>
      </c>
      <c r="B188" s="7">
        <v>4014</v>
      </c>
      <c r="C188" s="24" t="s">
        <v>113</v>
      </c>
      <c r="D188" s="24" t="s">
        <v>686</v>
      </c>
      <c r="E188" s="15">
        <v>42614.762939814813</v>
      </c>
      <c r="F188" s="15">
        <v>42614.764814814815</v>
      </c>
      <c r="G188" s="7">
        <v>1</v>
      </c>
      <c r="H188" s="15" t="s">
        <v>687</v>
      </c>
      <c r="I188" s="15">
        <v>42614.775069444448</v>
      </c>
      <c r="J188" s="7">
        <v>0</v>
      </c>
      <c r="K188" s="132" t="str">
        <f>IF(ISEVEN(B188),(B188-1)&amp;"/"&amp;B188,B188&amp;"/"&amp;(B188+1))</f>
        <v>4013/4014</v>
      </c>
      <c r="L188" s="24" t="str">
        <f>VLOOKUP(A188,'Trips&amp;Operators'!$C$1:$E$10000,3,FALSE)</f>
        <v>MAHAN</v>
      </c>
      <c r="M188" s="6">
        <f>I188-F188</f>
        <v>1.025462963298196E-2</v>
      </c>
      <c r="N188" s="7">
        <f>24*60*SUM($M188:$M188)</f>
        <v>14.766666671494022</v>
      </c>
      <c r="O188" s="7"/>
      <c r="P188" s="7"/>
      <c r="Q188" s="25"/>
      <c r="R188" s="25"/>
      <c r="S188" s="37">
        <f>SUM(U188:U188)/IF(AG188="EC",12,1)</f>
        <v>1</v>
      </c>
      <c r="T188" s="52" t="str">
        <f>IF(ISEVEN(LEFT(AD188,4)),"Southbound","NorthBound")</f>
        <v>NorthBound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hh:mm:ss")&amp;"-0600',mode:absolute,to:'"&amp;TEXT(I188+1/24,"yyyy-MM-DD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https://search-rtdc-monitor-bjffxe2xuh6vdkpspy63sjmuny.us-east-1.es.amazonaws.com/_plugin/kibana/#/discover/Steve-Slow-Train-Analysis-(2080s-and-2083s)?_g=(refreshInterval:(display:Off,section:0,value:0),time:(from:'2016-09-01 17:18:38-0600',mode:absolute,to:'2016-09-01 19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8" s="54" t="str">
        <f>IF(AA188&lt;IF(AG188="EC",23,5.65),"Y","N")</f>
        <v>N</v>
      </c>
      <c r="X188" s="120">
        <f>VALUE(LEFT(AD188,4))-VALUE(LEFT(AD187,4))</f>
        <v>1</v>
      </c>
      <c r="Y188" s="69">
        <f>RIGHT(D188,LEN(D188)-4)/10000</f>
        <v>0.1027</v>
      </c>
      <c r="Z188" s="69">
        <f>RIGHT(H188,LEN(H188)-4)/10000</f>
        <v>5.8975999999999997</v>
      </c>
      <c r="AA188" s="69">
        <f>ABS(Z188-Y188)</f>
        <v>5.7949000000000002</v>
      </c>
      <c r="AB188" s="66" t="e">
        <f>VLOOKUP(A188,Enforcements!$C$7:$J$21,8,0)</f>
        <v>#N/A</v>
      </c>
      <c r="AC188" s="62" t="e">
        <f>VLOOKUP(A188,Enforcements!$C$7:$E$21,3,0)</f>
        <v>#N/A</v>
      </c>
      <c r="AD188" s="63" t="str">
        <f>IF(LEN(A188)=6,"0"&amp;A188,A188)</f>
        <v>0837-01</v>
      </c>
      <c r="AE188" s="99" t="str">
        <f>"aws s3 cp "&amp;s3_bucket&amp;"/RTDC"&amp;B188&amp;"/"&amp;TEXT(F188,"YYYY-MM-DD")&amp;"/ "&amp;search_path&amp;"\RTDC"&amp;B188&amp;"\"&amp;TEXT(F188,"YYYY-MM-DD")&amp;" --recursive &amp; """&amp;walkandungz&amp;""" "&amp;search_path&amp;"\RTDC"&amp;B188&amp;"\"&amp;TEXT(F188,"YYYY-MM-DD")
&amp;" &amp; "&amp;"aws s3 cp "&amp;s3_bucket&amp;"/RTDC"&amp;B188&amp;"/"&amp;TEXT(F188+1,"YYYY-MM-DD")&amp;"/ "&amp;search_path&amp;"\RTDC"&amp;B188&amp;"\"&amp;TEXT(F188+1,"YYYY-MM-DD")&amp;" --recursive &amp; """&amp;walkandungz&amp;""" "&amp;search_path&amp;"\RTDC"&amp;B188&amp;"\"&amp;TEXT(F188+1,"YYYY-MM-DD")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88" s="96" t="str">
        <f>astrogrep_path&amp;" /spath="&amp;search_path&amp;" /stypes=""*"&amp;B188&amp;"*"&amp;TEXT(I188-utc_offset/24,"YYYYMMDD")&amp;"*"" /stext="" "&amp;TEXT(I188-utc_offset/24,"HH")&amp;search_regexp&amp;""" /e /r /s"</f>
        <v>"C:\Program Files (x86)\AstroGrep\AstroGrep.exe" /spath="%USERPROFILE%\AppData\Local\Temp\OnboardLogs" /stypes="*4014*20160902*" /stext=" 00:.+((SYSTEM_STATE.+slice.+state.+changed )|(ment ac)|(system.+state.+changed )|(\|lc)|(penalty)|(\[timeout)|(PRM\|1\|D)|(kpr)|(kdp))" /e /r /s</v>
      </c>
      <c r="AG188" s="1" t="str">
        <f>IFERROR(IF(VALUE(LEFT(AD188,2))&lt;=2,"EC",IF(OR(VALUE(LEFT(AD188,2))=8,VALUE(LEFT(AD188,2))=18),"NW","Other")),"Other")</f>
        <v>NW</v>
      </c>
      <c r="AH188" s="100" t="str">
        <f t="shared" si="15"/>
        <v>"%USERPROFILE%\Documents\GitHub\eaglep3\Utilities\RefineRTDCRunTimes.py" --tripid 837-01 --locoid 4014 --swversion DE.1.0.7.0 --startMP 204:1027 --initTime 2016-09-01T18:18:38 --startdatetime 2016-09-01T18:21:20 --delay 1 --endMP 300:58976 --enddatetime 2016-09-01T18:36:06 --enforcementcount 0 &gt;&gt;C:\Users\stu\Documents\GitHub\eaglep3-reporting\EC\2016-09-01-refined-times.txt</v>
      </c>
      <c r="AI188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{"issue":{"subject":"","project_id":79,"tracker_id":40,"status_id":1,"priority_id":2,"assigned_to_id":23,"start_date":"2016-09-01","description":"","custom_fields":[{"id":1,"name":"Subdivision","value":"NW"},{"id":4,"name":"Milepost","value":"5.7949"},{"id":17,"name":"Train ID","value":"837-01"},{"id":16,"name":"Locomotive ID","value":"4014"},{"id":130,"name":"Impact","value":""},{"id":150,"name":"Time of Event (Mountain Time)","value":"18:36:06"},{"id":151,"name":"Denver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688</v>
      </c>
      <c r="B189" s="7">
        <v>4013</v>
      </c>
      <c r="C189" s="24" t="s">
        <v>113</v>
      </c>
      <c r="D189" s="24" t="s">
        <v>355</v>
      </c>
      <c r="E189" s="15">
        <v>42614.776261574072</v>
      </c>
      <c r="F189" s="15">
        <v>42614.777939814812</v>
      </c>
      <c r="G189" s="7">
        <v>1</v>
      </c>
      <c r="H189" s="15" t="s">
        <v>342</v>
      </c>
      <c r="I189" s="15">
        <v>42614.788923611108</v>
      </c>
      <c r="J189" s="7">
        <v>0</v>
      </c>
      <c r="K189" s="132" t="str">
        <f>IF(ISEVEN(B189),(B189-1)&amp;"/"&amp;B189,B189&amp;"/"&amp;(B189+1))</f>
        <v>4013/4014</v>
      </c>
      <c r="L189" s="24" t="str">
        <f>VLOOKUP(A189,'Trips&amp;Operators'!$C$1:$E$10000,3,FALSE)</f>
        <v>MAHAN</v>
      </c>
      <c r="M189" s="6">
        <f>I189-F189</f>
        <v>1.0983796295477077E-2</v>
      </c>
      <c r="N189" s="7">
        <f>24*60*SUM($M189:$M189)</f>
        <v>15.816666665486991</v>
      </c>
      <c r="O189" s="7"/>
      <c r="P189" s="7"/>
      <c r="Q189" s="25"/>
      <c r="R189" s="25"/>
      <c r="S189" s="37">
        <f>SUM(U189:U189)/IF(AG189="EC",12,1)</f>
        <v>1</v>
      </c>
      <c r="T189" s="52" t="str">
        <f>IF(ISEVEN(LEFT(AD189,4)),"Southbound","NorthBound")</f>
        <v>Southbound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hh:mm:ss")&amp;"-0600',mode:absolute,to:'"&amp;TEXT(I189+1/24,"yyyy-MM-DD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https://search-rtdc-monitor-bjffxe2xuh6vdkpspy63sjmuny.us-east-1.es.amazonaws.com/_plugin/kibana/#/discover/Steve-Slow-Train-Analysis-(2080s-and-2083s)?_g=(refreshInterval:(display:Off,section:0,value:0),time:(from:'2016-09-01 17:37:49-0600',mode:absolute,to:'2016-09-01 19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9" s="54" t="str">
        <f>IF(AA189&lt;IF(AG189="EC",23,5.65),"Y","N")</f>
        <v>N</v>
      </c>
      <c r="X189" s="120">
        <f>VALUE(LEFT(AD189,4))-VALUE(LEFT(AD188,4))</f>
        <v>1</v>
      </c>
      <c r="Y189" s="69">
        <f>RIGHT(D189,LEN(D189)-4)/10000</f>
        <v>5.8662000000000001</v>
      </c>
      <c r="Z189" s="69">
        <f>RIGHT(H189,LEN(H189)-4)/10000</f>
        <v>7.3999999999999996E-2</v>
      </c>
      <c r="AA189" s="69">
        <f>ABS(Z189-Y189)</f>
        <v>5.7922000000000002</v>
      </c>
      <c r="AB189" s="66" t="e">
        <f>VLOOKUP(A189,Enforcements!$C$7:$J$21,8,0)</f>
        <v>#N/A</v>
      </c>
      <c r="AC189" s="62" t="e">
        <f>VLOOKUP(A189,Enforcements!$C$7:$E$21,3,0)</f>
        <v>#N/A</v>
      </c>
      <c r="AD189" s="63" t="str">
        <f>IF(LEN(A189)=6,"0"&amp;A189,A189)</f>
        <v>0838-01</v>
      </c>
      <c r="AE189" s="99" t="str">
        <f>"aws s3 cp "&amp;s3_bucket&amp;"/RTDC"&amp;B189&amp;"/"&amp;TEXT(F189,"YYYY-MM-DD")&amp;"/ "&amp;search_path&amp;"\RTDC"&amp;B189&amp;"\"&amp;TEXT(F189,"YYYY-MM-DD")&amp;" --recursive &amp; """&amp;walkandungz&amp;""" "&amp;search_path&amp;"\RTDC"&amp;B189&amp;"\"&amp;TEXT(F189,"YYYY-MM-DD")
&amp;" &amp; "&amp;"aws s3 cp "&amp;s3_bucket&amp;"/RTDC"&amp;B189&amp;"/"&amp;TEXT(F189+1,"YYYY-MM-DD")&amp;"/ "&amp;search_path&amp;"\RTDC"&amp;B189&amp;"\"&amp;TEXT(F189+1,"YYYY-MM-DD")&amp;" --recursive &amp; """&amp;walkandungz&amp;""" "&amp;search_path&amp;"\RTDC"&amp;B189&amp;"\"&amp;TEXT(F189+1,"YYYY-MM-DD")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89" s="96" t="str">
        <f>astrogrep_path&amp;" /spath="&amp;search_path&amp;" /stypes=""*"&amp;B189&amp;"*"&amp;TEXT(I189-utc_offset/24,"YYYYMMDD")&amp;"*"" /stext="" "&amp;TEXT(I189-utc_offset/24,"HH")&amp;search_regexp&amp;""" /e /r /s"</f>
        <v>"C:\Program Files (x86)\AstroGrep\AstroGrep.exe" /spath="%USERPROFILE%\AppData\Local\Temp\OnboardLogs" /stypes="*4013*20160902*" /stext=" 00:.+((SYSTEM_STATE.+slice.+state.+changed )|(ment ac)|(system.+state.+changed )|(\|lc)|(penalty)|(\[timeout)|(PRM\|1\|D)|(kpr)|(kdp))" /e /r /s</v>
      </c>
      <c r="AG189" s="1" t="str">
        <f>IFERROR(IF(VALUE(LEFT(AD189,2))&lt;=2,"EC",IF(OR(VALUE(LEFT(AD189,2))=8,VALUE(LEFT(AD189,2))=18),"NW","Other")),"Other")</f>
        <v>NW</v>
      </c>
      <c r="AH189" s="100" t="str">
        <f t="shared" si="15"/>
        <v>"%USERPROFILE%\Documents\GitHub\eaglep3\Utilities\RefineRTDCRunTimes.py" --tripid 838-01 --locoid 4013 --swversion DE.1.0.7.0 --startMP 300:58662 --initTime 2016-09-01T18:37:49 --startdatetime 2016-09-01T18:40:14 --delay 1 --endMP 204:740 --enddatetime 2016-09-01T18:56:03 --enforcementcount 0 &gt;&gt;C:\Users\stu\Documents\GitHub\eaglep3-reporting\EC\2016-09-01-refined-times.txt</v>
      </c>
      <c r="AI189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{"issue":{"subject":"","project_id":79,"tracker_id":40,"status_id":1,"priority_id":2,"assigned_to_id":23,"start_date":"2016-09-01","description":"","custom_fields":[{"id":1,"name":"Subdivision","value":"NW"},{"id":4,"name":"Milepost","value":"5.7922"},{"id":17,"name":"Train ID","value":"838-01"},{"id":16,"name":"Locomotive ID","value":"4013"},{"id":130,"name":"Impact","value":""},{"id":150,"name":"Time of Event (Mountain Time)","value":"18:56:03"},{"id":151,"name":"Denver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689</v>
      </c>
      <c r="B190" s="7">
        <v>4009</v>
      </c>
      <c r="C190" s="24" t="s">
        <v>113</v>
      </c>
      <c r="D190" s="24" t="s">
        <v>690</v>
      </c>
      <c r="E190" s="15">
        <v>42614.782361111109</v>
      </c>
      <c r="F190" s="15">
        <v>42614.78564814815</v>
      </c>
      <c r="G190" s="7">
        <v>1</v>
      </c>
      <c r="H190" s="15" t="s">
        <v>346</v>
      </c>
      <c r="I190" s="15">
        <v>42614.794421296298</v>
      </c>
      <c r="J190" s="7">
        <v>0</v>
      </c>
      <c r="K190" s="132" t="str">
        <f>IF(ISEVEN(B190),(B190-1)&amp;"/"&amp;B190,B190&amp;"/"&amp;(B190+1))</f>
        <v>4009/4010</v>
      </c>
      <c r="L190" s="24" t="str">
        <f>VLOOKUP(A190,'Trips&amp;Operators'!$C$1:$E$10000,3,FALSE)</f>
        <v>YANAI</v>
      </c>
      <c r="M190" s="6">
        <f>I190-F190</f>
        <v>8.7731481471564621E-3</v>
      </c>
      <c r="N190" s="7">
        <f>24*60*SUM($M190:$M190)</f>
        <v>12.633333331905305</v>
      </c>
      <c r="O190" s="7"/>
      <c r="P190" s="7"/>
      <c r="Q190" s="25"/>
      <c r="R190" s="25"/>
      <c r="S190" s="37">
        <f>SUM(U190:U190)/IF(AG190="EC",12,1)</f>
        <v>1</v>
      </c>
      <c r="T190" s="52" t="str">
        <f>IF(ISEVEN(LEFT(AD190,4)),"Southbound","NorthBound")</f>
        <v>NorthBound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hh:mm:ss")&amp;"-0600',mode:absolute,to:'"&amp;TEXT(I190+1/24,"yyyy-MM-DD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https://search-rtdc-monitor-bjffxe2xuh6vdkpspy63sjmuny.us-east-1.es.amazonaws.com/_plugin/kibana/#/discover/Steve-Slow-Train-Analysis-(2080s-and-2083s)?_g=(refreshInterval:(display:Off,section:0,value:0),time:(from:'2016-09-01 17:46:36-0600',mode:absolute,to:'2016-09-01 20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90" s="54" t="str">
        <f>IF(AA190&lt;IF(AG190="EC",23,5.65),"Y","N")</f>
        <v>N</v>
      </c>
      <c r="X190" s="120">
        <f>VALUE(LEFT(AD190,4))-VALUE(LEFT(AD189,4))</f>
        <v>1</v>
      </c>
      <c r="Y190" s="69">
        <f>RIGHT(D190,LEN(D190)-4)/10000</f>
        <v>9.2899999999999996E-2</v>
      </c>
      <c r="Z190" s="69">
        <f>RIGHT(H190,LEN(H190)-4)/10000</f>
        <v>5.8968999999999996</v>
      </c>
      <c r="AA190" s="69">
        <f>ABS(Z190-Y190)</f>
        <v>5.8039999999999994</v>
      </c>
      <c r="AB190" s="66" t="e">
        <f>VLOOKUP(A190,Enforcements!$C$7:$J$21,8,0)</f>
        <v>#N/A</v>
      </c>
      <c r="AC190" s="62" t="e">
        <f>VLOOKUP(A190,Enforcements!$C$7:$E$21,3,0)</f>
        <v>#N/A</v>
      </c>
      <c r="AD190" s="63" t="str">
        <f>IF(LEN(A190)=6,"0"&amp;A190,A190)</f>
        <v>0839-01</v>
      </c>
      <c r="AE190" s="99" t="str">
        <f>"aws s3 cp "&amp;s3_bucket&amp;"/RTDC"&amp;B190&amp;"/"&amp;TEXT(F190,"YYYY-MM-DD")&amp;"/ "&amp;search_path&amp;"\RTDC"&amp;B190&amp;"\"&amp;TEXT(F190,"YYYY-MM-DD")&amp;" --recursive &amp; """&amp;walkandungz&amp;""" "&amp;search_path&amp;"\RTDC"&amp;B190&amp;"\"&amp;TEXT(F190,"YYYY-MM-DD")
&amp;" &amp; "&amp;"aws s3 cp "&amp;s3_bucket&amp;"/RTDC"&amp;B190&amp;"/"&amp;TEXT(F190+1,"YYYY-MM-DD")&amp;"/ "&amp;search_path&amp;"\RTDC"&amp;B190&amp;"\"&amp;TEXT(F190+1,"YYYY-MM-DD")&amp;" --recursive &amp; """&amp;walkandungz&amp;""" "&amp;search_path&amp;"\RTDC"&amp;B190&amp;"\"&amp;TEXT(F190+1,"YYYY-MM-DD")</f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90" s="96" t="str">
        <f>astrogrep_path&amp;" /spath="&amp;search_path&amp;" /stypes=""*"&amp;B190&amp;"*"&amp;TEXT(I190-utc_offset/24,"YYYYMMDD")&amp;"*"" /stext="" "&amp;TEXT(I190-utc_offset/24,"HH")&amp;search_regexp&amp;""" /e /r /s"</f>
        <v>"C:\Program Files (x86)\AstroGrep\AstroGrep.exe" /spath="%USERPROFILE%\AppData\Local\Temp\OnboardLogs" /stypes="*4009*20160902*" /stext=" 01:.+((SYSTEM_STATE.+slice.+state.+changed )|(ment ac)|(system.+state.+changed )|(\|lc)|(penalty)|(\[timeout)|(PRM\|1\|D)|(kpr)|(kdp))" /e /r /s</v>
      </c>
      <c r="AG190" s="1" t="str">
        <f>IFERROR(IF(VALUE(LEFT(AD190,2))&lt;=2,"EC",IF(OR(VALUE(LEFT(AD190,2))=8,VALUE(LEFT(AD190,2))=18),"NW","Other")),"Other")</f>
        <v>NW</v>
      </c>
      <c r="AH190" s="100" t="str">
        <f t="shared" si="15"/>
        <v>"%USERPROFILE%\Documents\GitHub\eaglep3\Utilities\RefineRTDCRunTimes.py" --tripid 839-01 --locoid 4009 --swversion DE.1.0.7.0 --startMP 204:929 --initTime 2016-09-01T18:46:36 --startdatetime 2016-09-01T18:51:20 --delay 1 --endMP 300:58969 --enddatetime 2016-09-01T19:03:58 --enforcementcount 0 &gt;&gt;C:\Users\stu\Documents\GitHub\eaglep3-reporting\EC\2016-09-01-refined-times.txt</v>
      </c>
      <c r="AI190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{"issue":{"subject":"","project_id":79,"tracker_id":40,"status_id":1,"priority_id":2,"assigned_to_id":23,"start_date":"2016-09-01","description":"","custom_fields":[{"id":1,"name":"Subdivision","value":"NW"},{"id":4,"name":"Milepost","value":"5.804"},{"id":17,"name":"Train ID","value":"839-01"},{"id":16,"name":"Locomotive ID","value":"4009"},{"id":130,"name":"Impact","value":""},{"id":150,"name":"Time of Event (Mountain Time)","value":"19:03:58"},{"id":151,"name":"Denver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691</v>
      </c>
      <c r="B191" s="7">
        <v>4013</v>
      </c>
      <c r="C191" s="24" t="s">
        <v>113</v>
      </c>
      <c r="D191" s="24" t="s">
        <v>341</v>
      </c>
      <c r="E191" s="15">
        <v>42614.817696759259</v>
      </c>
      <c r="F191" s="15">
        <v>42614.819432870368</v>
      </c>
      <c r="G191" s="7">
        <v>1</v>
      </c>
      <c r="H191" s="15" t="s">
        <v>692</v>
      </c>
      <c r="I191" s="15">
        <v>42614.830833333333</v>
      </c>
      <c r="J191" s="7">
        <v>0</v>
      </c>
      <c r="K191" s="132" t="str">
        <f>IF(ISEVEN(B191),(B191-1)&amp;"/"&amp;B191,B191&amp;"/"&amp;(B191+1))</f>
        <v>4013/4014</v>
      </c>
      <c r="L191" s="24" t="str">
        <f>VLOOKUP(A191,'Trips&amp;Operators'!$C$1:$E$10000,3,FALSE)</f>
        <v>MAHAN</v>
      </c>
      <c r="M191" s="6">
        <f>I191-F191</f>
        <v>1.1400462964957114E-2</v>
      </c>
      <c r="N191" s="7">
        <f>24*60*SUM($M191:$M191)</f>
        <v>16.416666669538245</v>
      </c>
      <c r="O191" s="7"/>
      <c r="P191" s="7"/>
      <c r="Q191" s="25"/>
      <c r="R191" s="25"/>
      <c r="S191" s="37">
        <f>SUM(U191:U191)/IF(AG191="EC",12,1)</f>
        <v>1</v>
      </c>
      <c r="T191" s="52" t="str">
        <f>IF(ISEVEN(LEFT(AD191,4)),"Southbound","NorthBound")</f>
        <v>Southbound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hh:mm:ss")&amp;"-0600',mode:absolute,to:'"&amp;TEXT(I191+1/24,"yyyy-MM-DD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https://search-rtdc-monitor-bjffxe2xuh6vdkpspy63sjmuny.us-east-1.es.amazonaws.com/_plugin/kibana/#/discover/Steve-Slow-Train-Analysis-(2080s-and-2083s)?_g=(refreshInterval:(display:Off,section:0,value:0),time:(from:'2016-09-01 18:37:29-0600',mode:absolute,to:'2016-09-01 20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1" s="54" t="str">
        <f>IF(AA191&lt;IF(AG191="EC",23,5.65),"Y","N")</f>
        <v>N</v>
      </c>
      <c r="X191" s="120">
        <f>VALUE(LEFT(AD191,4))-VALUE(LEFT(AD190,4))</f>
        <v>1</v>
      </c>
      <c r="Y191" s="69">
        <f>RIGHT(D191,LEN(D191)-4)/10000</f>
        <v>5.8616999999999999</v>
      </c>
      <c r="Z191" s="69">
        <f>RIGHT(H191,LEN(H191)-4)/10000</f>
        <v>7.6200000000000004E-2</v>
      </c>
      <c r="AA191" s="69">
        <f>ABS(Z191-Y191)</f>
        <v>5.7854999999999999</v>
      </c>
      <c r="AB191" s="66" t="e">
        <f>VLOOKUP(A191,Enforcements!$C$7:$J$21,8,0)</f>
        <v>#N/A</v>
      </c>
      <c r="AC191" s="62" t="e">
        <f>VLOOKUP(A191,Enforcements!$C$7:$E$21,3,0)</f>
        <v>#N/A</v>
      </c>
      <c r="AD191" s="63" t="str">
        <f>IF(LEN(A191)=6,"0"&amp;A191,A191)</f>
        <v>0840-01</v>
      </c>
      <c r="AE191" s="99" t="str">
        <f>"aws s3 cp "&amp;s3_bucket&amp;"/RTDC"&amp;B191&amp;"/"&amp;TEXT(F191,"YYYY-MM-DD")&amp;"/ "&amp;search_path&amp;"\RTDC"&amp;B191&amp;"\"&amp;TEXT(F191,"YYYY-MM-DD")&amp;" --recursive &amp; """&amp;walkandungz&amp;""" "&amp;search_path&amp;"\RTDC"&amp;B191&amp;"\"&amp;TEXT(F191,"YYYY-MM-DD")
&amp;" &amp; "&amp;"aws s3 cp "&amp;s3_bucket&amp;"/RTDC"&amp;B191&amp;"/"&amp;TEXT(F191+1,"YYYY-MM-DD")&amp;"/ "&amp;search_path&amp;"\RTDC"&amp;B191&amp;"\"&amp;TEXT(F191+1,"YYYY-MM-DD")&amp;" --recursive &amp; """&amp;walkandungz&amp;""" "&amp;search_path&amp;"\RTDC"&amp;B191&amp;"\"&amp;TEXT(F191+1,"YYYY-MM-DD")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91" s="96" t="str">
        <f>astrogrep_path&amp;" /spath="&amp;search_path&amp;" /stypes=""*"&amp;B191&amp;"*"&amp;TEXT(I191-utc_offset/24,"YYYYMMDD")&amp;"*"" /stext="" "&amp;TEXT(I191-utc_offset/24,"HH")&amp;search_regexp&amp;""" /e /r /s"</f>
        <v>"C:\Program Files (x86)\AstroGrep\AstroGrep.exe" /spath="%USERPROFILE%\AppData\Local\Temp\OnboardLogs" /stypes="*4013*20160902*" /stext=" 01:.+((SYSTEM_STATE.+slice.+state.+changed )|(ment ac)|(system.+state.+changed )|(\|lc)|(penalty)|(\[timeout)|(PRM\|1\|D)|(kpr)|(kdp))" /e /r /s</v>
      </c>
      <c r="AG191" s="1" t="str">
        <f>IFERROR(IF(VALUE(LEFT(AD191,2))&lt;=2,"EC",IF(OR(VALUE(LEFT(AD191,2))=8,VALUE(LEFT(AD191,2))=18),"NW","Other")),"Other")</f>
        <v>NW</v>
      </c>
      <c r="AH191" s="100" t="str">
        <f t="shared" si="15"/>
        <v>"%USERPROFILE%\Documents\GitHub\eaglep3\Utilities\RefineRTDCRunTimes.py" --tripid 840-01 --locoid 4013 --swversion DE.1.0.7.0 --startMP 300:58617 --initTime 2016-09-01T19:37:29 --startdatetime 2016-09-01T19:39:59 --delay 1 --endMP 204:762 --enddatetime 2016-09-01T19:56:24 --enforcementcount 0 &gt;&gt;C:\Users\stu\Documents\GitHub\eaglep3-reporting\EC\2016-09-01-refined-times.txt</v>
      </c>
      <c r="AI191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{"issue":{"subject":"","project_id":79,"tracker_id":40,"status_id":1,"priority_id":2,"assigned_to_id":23,"start_date":"2016-09-01","description":"","custom_fields":[{"id":1,"name":"Subdivision","value":"NW"},{"id":4,"name":"Milepost","value":"5.7855"},{"id":17,"name":"Train ID","value":"840-01"},{"id":16,"name":"Locomotive ID","value":"4013"},{"id":130,"name":"Impact","value":""},{"id":150,"name":"Time of Event (Mountain Time)","value":"19:56:24"},{"id":151,"name":"Denver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693</v>
      </c>
      <c r="B192" s="7">
        <v>4014</v>
      </c>
      <c r="C192" s="24" t="s">
        <v>113</v>
      </c>
      <c r="D192" s="24" t="s">
        <v>686</v>
      </c>
      <c r="E192" s="15">
        <v>42614.803541666668</v>
      </c>
      <c r="F192" s="15">
        <v>42614.80641203704</v>
      </c>
      <c r="G192" s="7">
        <v>1</v>
      </c>
      <c r="H192" s="15" t="s">
        <v>626</v>
      </c>
      <c r="I192" s="15">
        <v>42614.816504629627</v>
      </c>
      <c r="J192" s="7">
        <v>0</v>
      </c>
      <c r="K192" s="132" t="str">
        <f>IF(ISEVEN(B192),(B192-1)&amp;"/"&amp;B192,B192&amp;"/"&amp;(B192+1))</f>
        <v>4013/4014</v>
      </c>
      <c r="L192" s="24" t="str">
        <f>VLOOKUP(A192,'Trips&amp;Operators'!$C$1:$E$10000,3,FALSE)</f>
        <v>MAHAN</v>
      </c>
      <c r="M192" s="6">
        <f>I192-F192</f>
        <v>1.0092592587170657E-2</v>
      </c>
      <c r="N192" s="7">
        <f>24*60*SUM($M192:$M192)</f>
        <v>14.533333325525746</v>
      </c>
      <c r="O192" s="7"/>
      <c r="P192" s="7"/>
      <c r="Q192" s="25"/>
      <c r="R192" s="25"/>
      <c r="S192" s="37">
        <f>SUM(U192:U192)/IF(AG192="EC",12,1)</f>
        <v>1</v>
      </c>
      <c r="T192" s="52" t="str">
        <f>IF(ISEVEN(LEFT(AD192,4)),"Southbound","NorthBound")</f>
        <v>NorthBound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hh:mm:ss")&amp;"-0600',mode:absolute,to:'"&amp;TEXT(I192+1/24,"yyyy-MM-DD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https://search-rtdc-monitor-bjffxe2xuh6vdkpspy63sjmuny.us-east-1.es.amazonaws.com/_plugin/kibana/#/discover/Steve-Slow-Train-Analysis-(2080s-and-2083s)?_g=(refreshInterval:(display:Off,section:0,value:0),time:(from:'2016-09-01 18:17:06-0600',mode:absolute,to:'2016-09-01 20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2" s="54" t="str">
        <f>IF(AA192&lt;IF(AG192="EC",23,5.65),"Y","N")</f>
        <v>N</v>
      </c>
      <c r="X192" s="120">
        <f>VALUE(LEFT(AD192,4))-VALUE(LEFT(AD191,4))</f>
        <v>1</v>
      </c>
      <c r="Y192" s="69">
        <f>RIGHT(D192,LEN(D192)-4)/10000</f>
        <v>0.1027</v>
      </c>
      <c r="Z192" s="69">
        <f>RIGHT(H192,LEN(H192)-4)/10000</f>
        <v>5.8944000000000001</v>
      </c>
      <c r="AA192" s="69">
        <f>ABS(Z192-Y192)</f>
        <v>5.7917000000000005</v>
      </c>
      <c r="AB192" s="66" t="e">
        <f>VLOOKUP(A192,Enforcements!$C$7:$J$21,8,0)</f>
        <v>#N/A</v>
      </c>
      <c r="AC192" s="62" t="e">
        <f>VLOOKUP(A192,Enforcements!$C$7:$E$21,3,0)</f>
        <v>#N/A</v>
      </c>
      <c r="AD192" s="63" t="str">
        <f>IF(LEN(A192)=6,"0"&amp;A192,A192)</f>
        <v>0841-01</v>
      </c>
      <c r="AE192" s="99" t="str">
        <f>"aws s3 cp "&amp;s3_bucket&amp;"/RTDC"&amp;B192&amp;"/"&amp;TEXT(F192,"YYYY-MM-DD")&amp;"/ "&amp;search_path&amp;"\RTDC"&amp;B192&amp;"\"&amp;TEXT(F192,"YYYY-MM-DD")&amp;" --recursive &amp; """&amp;walkandungz&amp;""" "&amp;search_path&amp;"\RTDC"&amp;B192&amp;"\"&amp;TEXT(F192,"YYYY-MM-DD")
&amp;" &amp; "&amp;"aws s3 cp "&amp;s3_bucket&amp;"/RTDC"&amp;B192&amp;"/"&amp;TEXT(F192+1,"YYYY-MM-DD")&amp;"/ "&amp;search_path&amp;"\RTDC"&amp;B192&amp;"\"&amp;TEXT(F192+1,"YYYY-MM-DD")&amp;" --recursive &amp; """&amp;walkandungz&amp;""" "&amp;search_path&amp;"\RTDC"&amp;B192&amp;"\"&amp;TEXT(F192+1,"YYYY-MM-DD")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92" s="96" t="str">
        <f>astrogrep_path&amp;" /spath="&amp;search_path&amp;" /stypes=""*"&amp;B192&amp;"*"&amp;TEXT(I192-utc_offset/24,"YYYYMMDD")&amp;"*"" /stext="" "&amp;TEXT(I192-utc_offset/24,"HH")&amp;search_regexp&amp;""" /e /r /s"</f>
        <v>"C:\Program Files (x86)\AstroGrep\AstroGrep.exe" /spath="%USERPROFILE%\AppData\Local\Temp\OnboardLogs" /stypes="*4014*20160902*" /stext=" 01:.+((SYSTEM_STATE.+slice.+state.+changed )|(ment ac)|(system.+state.+changed )|(\|lc)|(penalty)|(\[timeout)|(PRM\|1\|D)|(kpr)|(kdp))" /e /r /s</v>
      </c>
      <c r="AG192" s="1" t="str">
        <f>IFERROR(IF(VALUE(LEFT(AD192,2))&lt;=2,"EC",IF(OR(VALUE(LEFT(AD192,2))=8,VALUE(LEFT(AD192,2))=18),"NW","Other")),"Other")</f>
        <v>NW</v>
      </c>
      <c r="AH192" s="100" t="str">
        <f t="shared" si="15"/>
        <v>"%USERPROFILE%\Documents\GitHub\eaglep3\Utilities\RefineRTDCRunTimes.py" --tripid 841-01 --locoid 4014 --swversion DE.1.0.7.0 --startMP 204:1027 --initTime 2016-09-01T19:17:06 --startdatetime 2016-09-01T19:21:14 --delay 1 --endMP 300:58944 --enddatetime 2016-09-01T19:35:46 --enforcementcount 0 &gt;&gt;C:\Users\stu\Documents\GitHub\eaglep3-reporting\EC\2016-09-01-refined-times.txt</v>
      </c>
      <c r="AI192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{"issue":{"subject":"","project_id":79,"tracker_id":40,"status_id":1,"priority_id":2,"assigned_to_id":23,"start_date":"2016-09-01","description":"","custom_fields":[{"id":1,"name":"Subdivision","value":"NW"},{"id":4,"name":"Milepost","value":"5.7917"},{"id":17,"name":"Train ID","value":"841-01"},{"id":16,"name":"Locomotive ID","value":"4014"},{"id":130,"name":"Impact","value":""},{"id":150,"name":"Time of Event (Mountain Time)","value":"19:35:46"},{"id":151,"name":"Denver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694</v>
      </c>
      <c r="B193" s="7">
        <v>4013</v>
      </c>
      <c r="C193" s="24" t="s">
        <v>113</v>
      </c>
      <c r="D193" s="24" t="s">
        <v>695</v>
      </c>
      <c r="E193" s="15">
        <v>42614.859560185185</v>
      </c>
      <c r="F193" s="15">
        <v>42614.861076388886</v>
      </c>
      <c r="G193" s="7">
        <v>1</v>
      </c>
      <c r="H193" s="15" t="s">
        <v>696</v>
      </c>
      <c r="I193" s="15">
        <v>42614.871736111112</v>
      </c>
      <c r="J193" s="7">
        <v>0</v>
      </c>
      <c r="K193" s="132" t="str">
        <f>IF(ISEVEN(B193),(B193-1)&amp;"/"&amp;B193,B193&amp;"/"&amp;(B193+1))</f>
        <v>4013/4014</v>
      </c>
      <c r="L193" s="24" t="str">
        <f>VLOOKUP(A193,'Trips&amp;Operators'!$C$1:$E$10000,3,FALSE)</f>
        <v>MAHAN</v>
      </c>
      <c r="M193" s="6">
        <f>I193-F193</f>
        <v>1.0659722225682344E-2</v>
      </c>
      <c r="N193" s="7">
        <f>24*60*SUM($M193:$M193)</f>
        <v>15.350000004982576</v>
      </c>
      <c r="O193" s="7"/>
      <c r="P193" s="7"/>
      <c r="Q193" s="25"/>
      <c r="R193" s="25"/>
      <c r="S193" s="37">
        <f>SUM(U193:U193)/IF(AG193="EC",12,1)</f>
        <v>1</v>
      </c>
      <c r="T193" s="52" t="str">
        <f>IF(ISEVEN(LEFT(AD193,4)),"Southbound","NorthBound")</f>
        <v>Southbound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https://search-rtdc-monitor-bjffxe2xuh6vdkpspy63sjmuny.us-east-1.es.amazonaws.com/_plugin/kibana/#/discover/Steve-Slow-Train-Analysis-(2080s-and-2083s)?_g=(refreshInterval:(display:Off,section:0,value:0),time:(from:'2016-09-01 19:37:46-0600',mode:absolute,to:'2016-09-01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3" s="54" t="str">
        <f>IF(AA193&lt;IF(AG193="EC",23,5.65),"Y","N")</f>
        <v>N</v>
      </c>
      <c r="X193" s="120">
        <f>VALUE(LEFT(AD193,4))-VALUE(LEFT(AD192,4))</f>
        <v>1</v>
      </c>
      <c r="Y193" s="69">
        <f>RIGHT(D193,LEN(D193)-4)/10000</f>
        <v>5.8611000000000004</v>
      </c>
      <c r="Z193" s="69">
        <f>RIGHT(H193,LEN(H193)-4)/10000</f>
        <v>7.9699999999999993E-2</v>
      </c>
      <c r="AA193" s="69">
        <f>ABS(Z193-Y193)</f>
        <v>5.7814000000000005</v>
      </c>
      <c r="AB193" s="66" t="e">
        <f>VLOOKUP(A193,Enforcements!$C$7:$J$21,8,0)</f>
        <v>#N/A</v>
      </c>
      <c r="AC193" s="62" t="e">
        <f>VLOOKUP(A193,Enforcements!$C$7:$E$21,3,0)</f>
        <v>#N/A</v>
      </c>
      <c r="AD193" s="63" t="str">
        <f>IF(LEN(A193)=6,"0"&amp;A193,A193)</f>
        <v>0842-01</v>
      </c>
      <c r="AE193" s="99" t="str">
        <f>"aws s3 cp "&amp;s3_bucket&amp;"/RTDC"&amp;B193&amp;"/"&amp;TEXT(F193,"YYYY-MM-DD")&amp;"/ "&amp;search_path&amp;"\RTDC"&amp;B193&amp;"\"&amp;TEXT(F193,"YYYY-MM-DD")&amp;" --recursive &amp; """&amp;walkandungz&amp;""" "&amp;search_path&amp;"\RTDC"&amp;B193&amp;"\"&amp;TEXT(F193,"YYYY-MM-DD")
&amp;" &amp; "&amp;"aws s3 cp "&amp;s3_bucket&amp;"/RTDC"&amp;B193&amp;"/"&amp;TEXT(F193+1,"YYYY-MM-DD")&amp;"/ "&amp;search_path&amp;"\RTDC"&amp;B193&amp;"\"&amp;TEXT(F193+1,"YYYY-MM-DD")&amp;" --recursive &amp; """&amp;walkandungz&amp;""" "&amp;search_path&amp;"\RTDC"&amp;B193&amp;"\"&amp;TEXT(F193+1,"YYYY-MM-DD")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93" s="96" t="str">
        <f>astrogrep_path&amp;" /spath="&amp;search_path&amp;" /stypes=""*"&amp;B193&amp;"*"&amp;TEXT(I193-utc_offset/24,"YYYYMMDD")&amp;"*"" /stext="" "&amp;TEXT(I193-utc_offset/24,"HH")&amp;search_regexp&amp;""" /e /r /s"</f>
        <v>"C:\Program Files (x86)\AstroGrep\AstroGrep.exe" /spath="%USERPROFILE%\AppData\Local\Temp\OnboardLogs" /stypes="*4013*20160902*" /stext=" 02:.+((SYSTEM_STATE.+slice.+state.+changed )|(ment ac)|(system.+state.+changed )|(\|lc)|(penalty)|(\[timeout)|(PRM\|1\|D)|(kpr)|(kdp))" /e /r /s</v>
      </c>
      <c r="AG193" s="1" t="str">
        <f>IFERROR(IF(VALUE(LEFT(AD193,2))&lt;=2,"EC",IF(OR(VALUE(LEFT(AD193,2))=8,VALUE(LEFT(AD193,2))=18),"NW","Other")),"Other")</f>
        <v>NW</v>
      </c>
      <c r="AH193" s="100" t="str">
        <f t="shared" si="15"/>
        <v>"%USERPROFILE%\Documents\GitHub\eaglep3\Utilities\RefineRTDCRunTimes.py" --tripid 842-01 --locoid 4013 --swversion DE.1.0.7.0 --startMP 300:58611 --initTime 2016-09-01T20:37:46 --startdatetime 2016-09-01T20:39:57 --delay 1 --endMP 204:797 --enddatetime 2016-09-01T20:55:18 --enforcementcount 0 &gt;&gt;C:\Users\stu\Documents\GitHub\eaglep3-reporting\EC\2016-09-01-refined-times.txt</v>
      </c>
      <c r="AI193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{"issue":{"subject":"","project_id":79,"tracker_id":40,"status_id":1,"priority_id":2,"assigned_to_id":23,"start_date":"2016-09-01","description":"","custom_fields":[{"id":1,"name":"Subdivision","value":"NW"},{"id":4,"name":"Milepost","value":"5.7814"},{"id":17,"name":"Train ID","value":"842-01"},{"id":16,"name":"Locomotive ID","value":"4013"},{"id":130,"name":"Impact","value":""},{"id":150,"name":"Time of Event (Mountain Time)","value":"20:55:18"},{"id":151,"name":"Denver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697</v>
      </c>
      <c r="B194" s="7">
        <v>4014</v>
      </c>
      <c r="C194" s="24" t="s">
        <v>113</v>
      </c>
      <c r="D194" s="24" t="s">
        <v>698</v>
      </c>
      <c r="E194" s="15">
        <v>42614.842418981483</v>
      </c>
      <c r="F194" s="15">
        <v>42614.84820601852</v>
      </c>
      <c r="G194" s="7">
        <v>1</v>
      </c>
      <c r="H194" s="15" t="s">
        <v>699</v>
      </c>
      <c r="I194" s="15">
        <v>42614.858587962961</v>
      </c>
      <c r="J194" s="7">
        <v>0</v>
      </c>
      <c r="K194" s="132" t="str">
        <f>IF(ISEVEN(B194),(B194-1)&amp;"/"&amp;B194,B194&amp;"/"&amp;(B194+1))</f>
        <v>4013/4014</v>
      </c>
      <c r="L194" s="24" t="str">
        <f>VLOOKUP(A194,'Trips&amp;Operators'!$C$1:$E$10000,3,FALSE)</f>
        <v>MAHAN</v>
      </c>
      <c r="M194" s="6">
        <f>I194-F194</f>
        <v>1.0381944441178348E-2</v>
      </c>
      <c r="N194" s="7">
        <f>24*60*SUM($M194:$M194)</f>
        <v>14.949999995296821</v>
      </c>
      <c r="O194" s="7"/>
      <c r="P194" s="7"/>
      <c r="Q194" s="25"/>
      <c r="R194" s="25"/>
      <c r="S194" s="37">
        <f>SUM(U194:U194)/IF(AG194="EC",12,1)</f>
        <v>1</v>
      </c>
      <c r="T194" s="52" t="str">
        <f>IF(ISEVEN(LEFT(AD194,4)),"Southbound","NorthBound")</f>
        <v>NorthBound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hh:mm:ss")&amp;"-0600',mode:absolute,to:'"&amp;TEXT(I194+1/24,"yyyy-MM-DD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https://search-rtdc-monitor-bjffxe2xuh6vdkpspy63sjmuny.us-east-1.es.amazonaws.com/_plugin/kibana/#/discover/Steve-Slow-Train-Analysis-(2080s-and-2083s)?_g=(refreshInterval:(display:Off,section:0,value:0),time:(from:'2016-09-01 19:13:05-0600',mode:absolute,to:'2016-09-01 21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4" s="54" t="str">
        <f>IF(AA194&lt;IF(AG194="EC",23,5.65),"Y","N")</f>
        <v>N</v>
      </c>
      <c r="X194" s="120">
        <f t="shared" ref="X194:X199" si="17">VALUE(LEFT(AD194,4))-VALUE(LEFT(AD193,4))</f>
        <v>1</v>
      </c>
      <c r="Y194" s="69">
        <f>RIGHT(D194,LEN(D194)-4)/10000</f>
        <v>0.10390000000000001</v>
      </c>
      <c r="Z194" s="69">
        <f>RIGHT(H194,LEN(H194)-4)/10000</f>
        <v>5.8925999999999998</v>
      </c>
      <c r="AA194" s="69">
        <f>ABS(Z194-Y194)</f>
        <v>5.7886999999999995</v>
      </c>
      <c r="AB194" s="66" t="e">
        <f>VLOOKUP(A194,Enforcements!$C$7:$J$21,8,0)</f>
        <v>#N/A</v>
      </c>
      <c r="AC194" s="62" t="e">
        <f>VLOOKUP(A194,Enforcements!$C$7:$E$21,3,0)</f>
        <v>#N/A</v>
      </c>
      <c r="AD194" s="63" t="str">
        <f>IF(LEN(A194)=6,"0"&amp;A194,A194)</f>
        <v>0843-01</v>
      </c>
      <c r="AE194" s="99" t="str">
        <f>"aws s3 cp "&amp;s3_bucket&amp;"/RTDC"&amp;B194&amp;"/"&amp;TEXT(F194,"YYYY-MM-DD")&amp;"/ "&amp;search_path&amp;"\RTDC"&amp;B194&amp;"\"&amp;TEXT(F194,"YYYY-MM-DD")&amp;" --recursive &amp; """&amp;walkandungz&amp;""" "&amp;search_path&amp;"\RTDC"&amp;B194&amp;"\"&amp;TEXT(F194,"YYYY-MM-DD")
&amp;" &amp; "&amp;"aws s3 cp "&amp;s3_bucket&amp;"/RTDC"&amp;B194&amp;"/"&amp;TEXT(F194+1,"YYYY-MM-DD")&amp;"/ "&amp;search_path&amp;"\RTDC"&amp;B194&amp;"\"&amp;TEXT(F194+1,"YYYY-MM-DD")&amp;" --recursive &amp; """&amp;walkandungz&amp;""" "&amp;search_path&amp;"\RTDC"&amp;B194&amp;"\"&amp;TEXT(F194+1,"YYYY-MM-DD")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94" s="96" t="str">
        <f>astrogrep_path&amp;" /spath="&amp;search_path&amp;" /stypes=""*"&amp;B194&amp;"*"&amp;TEXT(I194-utc_offset/24,"YYYYMMDD")&amp;"*"" /stext="" "&amp;TEXT(I194-utc_offset/24,"HH")&amp;search_regexp&amp;""" /e /r /s"</f>
        <v>"C:\Program Files (x86)\AstroGrep\AstroGrep.exe" /spath="%USERPROFILE%\AppData\Local\Temp\OnboardLogs" /stypes="*4014*20160902*" /stext=" 02:.+((SYSTEM_STATE.+slice.+state.+changed )|(ment ac)|(system.+state.+changed )|(\|lc)|(penalty)|(\[timeout)|(PRM\|1\|D)|(kpr)|(kdp))" /e /r /s</v>
      </c>
      <c r="AG194" s="1" t="str">
        <f>IFERROR(IF(VALUE(LEFT(AD194,2))&lt;=2,"EC",IF(OR(VALUE(LEFT(AD194,2))=8,VALUE(LEFT(AD194,2))=18),"NW","Other")),"Other")</f>
        <v>NW</v>
      </c>
      <c r="AH194" s="100" t="str">
        <f t="shared" si="15"/>
        <v>"%USERPROFILE%\Documents\GitHub\eaglep3\Utilities\RefineRTDCRunTimes.py" --tripid 843-01 --locoid 4014 --swversion DE.1.0.7.0 --startMP 204:1039 --initTime 2016-09-01T20:13:05 --startdatetime 2016-09-01T20:21:25 --delay 1 --endMP 300:58926 --enddatetime 2016-09-01T20:36:22 --enforcementcount 0 &gt;&gt;C:\Users\stu\Documents\GitHub\eaglep3-reporting\EC\2016-09-01-refined-times.txt</v>
      </c>
      <c r="AI194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{"issue":{"subject":"","project_id":79,"tracker_id":40,"status_id":1,"priority_id":2,"assigned_to_id":23,"start_date":"2016-09-01","description":"","custom_fields":[{"id":1,"name":"Subdivision","value":"NW"},{"id":4,"name":"Milepost","value":"5.7887"},{"id":17,"name":"Train ID","value":"843-01"},{"id":16,"name":"Locomotive ID","value":"4014"},{"id":130,"name":"Impact","value":""},{"id":150,"name":"Time of Event (Mountain Time)","value":"20:36:22"},{"id":151,"name":"Denver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700</v>
      </c>
      <c r="B195" s="7">
        <v>4013</v>
      </c>
      <c r="C195" s="24" t="s">
        <v>113</v>
      </c>
      <c r="D195" s="24" t="s">
        <v>701</v>
      </c>
      <c r="E195" s="15">
        <v>42614.900590277779</v>
      </c>
      <c r="F195" s="15">
        <v>42614.902094907404</v>
      </c>
      <c r="G195" s="7">
        <v>1</v>
      </c>
      <c r="H195" s="15" t="s">
        <v>350</v>
      </c>
      <c r="I195" s="15">
        <v>42614.913055555553</v>
      </c>
      <c r="J195" s="7">
        <v>0</v>
      </c>
      <c r="K195" s="132" t="str">
        <f>IF(ISEVEN(B195),(B195-1)&amp;"/"&amp;B195,B195&amp;"/"&amp;(B195+1))</f>
        <v>4013/4014</v>
      </c>
      <c r="L195" s="24" t="str">
        <f>VLOOKUP(A195,'Trips&amp;Operators'!$C$1:$E$10000,3,FALSE)</f>
        <v>YANAI</v>
      </c>
      <c r="M195" s="6">
        <f>I195-F195</f>
        <v>1.096064814919373E-2</v>
      </c>
      <c r="N195" s="7">
        <f>24*60*SUM($M195:$M195)</f>
        <v>15.783333334838971</v>
      </c>
      <c r="O195" s="7"/>
      <c r="P195" s="7"/>
      <c r="Q195" s="25"/>
      <c r="R195" s="25"/>
      <c r="S195" s="37">
        <f>SUM(U195:U195)/IF(AG195="EC",12,1)</f>
        <v>1</v>
      </c>
      <c r="T195" s="52" t="str">
        <f>IF(ISEVEN(LEFT(AD195,4)),"Southbound","NorthBound")</f>
        <v>Southbound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hh:mm:ss")&amp;"-0600',mode:absolute,to:'"&amp;TEXT(I195+1/24,"yyyy-MM-DD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https://search-rtdc-monitor-bjffxe2xuh6vdkpspy63sjmuny.us-east-1.es.amazonaws.com/_plugin/kibana/#/discover/Steve-Slow-Train-Analysis-(2080s-and-2083s)?_g=(refreshInterval:(display:Off,section:0,value:0),time:(from:'2016-09-01 20:36:51-0600',mode:absolute,to:'2016-09-01 22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5" s="54" t="str">
        <f>IF(AA195&lt;IF(AG195="EC",23,5.65),"Y","N")</f>
        <v>N</v>
      </c>
      <c r="X195" s="120">
        <f t="shared" si="17"/>
        <v>1</v>
      </c>
      <c r="Y195" s="69">
        <f>RIGHT(D195,LEN(D195)-4)/10000</f>
        <v>5.8639999999999999</v>
      </c>
      <c r="Z195" s="69">
        <f>RIGHT(H195,LEN(H195)-4)/10000</f>
        <v>6.5699999999999995E-2</v>
      </c>
      <c r="AA195" s="69">
        <f>ABS(Z195-Y195)</f>
        <v>5.7983000000000002</v>
      </c>
      <c r="AB195" s="66" t="e">
        <f>VLOOKUP(A195,Enforcements!$C$7:$J$21,8,0)</f>
        <v>#N/A</v>
      </c>
      <c r="AC195" s="62" t="e">
        <f>VLOOKUP(A195,Enforcements!$C$7:$E$21,3,0)</f>
        <v>#N/A</v>
      </c>
      <c r="AD195" s="63" t="str">
        <f>IF(LEN(A195)=6,"0"&amp;A195,A195)</f>
        <v>0844-01</v>
      </c>
      <c r="AE195" s="99" t="str">
        <f>"aws s3 cp "&amp;s3_bucket&amp;"/RTDC"&amp;B195&amp;"/"&amp;TEXT(F195,"YYYY-MM-DD")&amp;"/ "&amp;search_path&amp;"\RTDC"&amp;B195&amp;"\"&amp;TEXT(F195,"YYYY-MM-DD")&amp;" --recursive &amp; """&amp;walkandungz&amp;""" "&amp;search_path&amp;"\RTDC"&amp;B195&amp;"\"&amp;TEXT(F195,"YYYY-MM-DD")
&amp;" &amp; "&amp;"aws s3 cp "&amp;s3_bucket&amp;"/RTDC"&amp;B195&amp;"/"&amp;TEXT(F195+1,"YYYY-MM-DD")&amp;"/ "&amp;search_path&amp;"\RTDC"&amp;B195&amp;"\"&amp;TEXT(F195+1,"YYYY-MM-DD")&amp;" --recursive &amp; """&amp;walkandungz&amp;""" "&amp;search_path&amp;"\RTDC"&amp;B195&amp;"\"&amp;TEXT(F195+1,"YYYY-MM-DD")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95" s="96" t="str">
        <f>astrogrep_path&amp;" /spath="&amp;search_path&amp;" /stypes=""*"&amp;B195&amp;"*"&amp;TEXT(I195-utc_offset/24,"YYYYMMDD")&amp;"*"" /stext="" "&amp;TEXT(I195-utc_offset/24,"HH")&amp;search_regexp&amp;""" /e /r /s"</f>
        <v>"C:\Program Files (x86)\AstroGrep\AstroGrep.exe" /spath="%USERPROFILE%\AppData\Local\Temp\OnboardLogs" /stypes="*4013*20160902*" /stext=" 03:.+((SYSTEM_STATE.+slice.+state.+changed )|(ment ac)|(system.+state.+changed )|(\|lc)|(penalty)|(\[timeout)|(PRM\|1\|D)|(kpr)|(kdp))" /e /r /s</v>
      </c>
      <c r="AG195" s="1" t="str">
        <f>IFERROR(IF(VALUE(LEFT(AD195,2))&lt;=2,"EC",IF(OR(VALUE(LEFT(AD195,2))=8,VALUE(LEFT(AD195,2))=18),"NW","Other")),"Other")</f>
        <v>NW</v>
      </c>
      <c r="AH195" s="100" t="str">
        <f t="shared" si="15"/>
        <v>"%USERPROFILE%\Documents\GitHub\eaglep3\Utilities\RefineRTDCRunTimes.py" --tripid 844-01 --locoid 4013 --swversion DE.1.0.7.0 --startMP 300:58640 --initTime 2016-09-01T21:36:51 --startdatetime 2016-09-01T21:39:01 --delay 1 --endMP 204:657 --enddatetime 2016-09-01T21:54:48 --enforcementcount 0 &gt;&gt;C:\Users\stu\Documents\GitHub\eaglep3-reporting\EC\2016-09-01-refined-times.txt</v>
      </c>
      <c r="AI195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{"issue":{"subject":"","project_id":79,"tracker_id":40,"status_id":1,"priority_id":2,"assigned_to_id":23,"start_date":"2016-09-01","description":"","custom_fields":[{"id":1,"name":"Subdivision","value":"NW"},{"id":4,"name":"Milepost","value":"5.7983"},{"id":17,"name":"Train ID","value":"844-01"},{"id":16,"name":"Locomotive ID","value":"4013"},{"id":130,"name":"Impact","value":""},{"id":150,"name":"Time of Event (Mountain Time)","value":"21:54:48"},{"id":151,"name":"Denver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702</v>
      </c>
      <c r="B196" s="7">
        <v>4014</v>
      </c>
      <c r="C196" s="24" t="s">
        <v>113</v>
      </c>
      <c r="D196" s="24" t="s">
        <v>703</v>
      </c>
      <c r="E196" s="15">
        <v>42614.887175925927</v>
      </c>
      <c r="F196" s="15">
        <v>42614.890405092592</v>
      </c>
      <c r="G196" s="7">
        <v>1</v>
      </c>
      <c r="H196" s="15" t="s">
        <v>704</v>
      </c>
      <c r="I196" s="15">
        <v>42614.899652777778</v>
      </c>
      <c r="J196" s="7">
        <v>0</v>
      </c>
      <c r="K196" s="132" t="str">
        <f>IF(ISEVEN(B196),(B196-1)&amp;"/"&amp;B196,B196&amp;"/"&amp;(B196+1))</f>
        <v>4013/4014</v>
      </c>
      <c r="L196" s="24" t="str">
        <f>VLOOKUP(A196,'Trips&amp;Operators'!$C$1:$E$10000,3,FALSE)</f>
        <v>YANAI</v>
      </c>
      <c r="M196" s="6">
        <f>I196-F196</f>
        <v>9.2476851859828457E-3</v>
      </c>
      <c r="N196" s="7">
        <f>24*60*SUM($M196:$M196)</f>
        <v>13.316666667815298</v>
      </c>
      <c r="O196" s="7"/>
      <c r="P196" s="7"/>
      <c r="Q196" s="25"/>
      <c r="R196" s="25"/>
      <c r="S196" s="37">
        <f>SUM(U196:U196)/IF(AG196="EC",12,1)</f>
        <v>1</v>
      </c>
      <c r="T196" s="52" t="str">
        <f>IF(ISEVEN(LEFT(AD196,4)),"Southbound","NorthBound")</f>
        <v>NorthBound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hh:mm:ss")&amp;"-0600',mode:absolute,to:'"&amp;TEXT(I196+1/24,"yyyy-MM-DD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https://search-rtdc-monitor-bjffxe2xuh6vdkpspy63sjmuny.us-east-1.es.amazonaws.com/_plugin/kibana/#/discover/Steve-Slow-Train-Analysis-(2080s-and-2083s)?_g=(refreshInterval:(display:Off,section:0,value:0),time:(from:'2016-09-01 20:17:32-0600',mode:absolute,to:'2016-09-01 22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6" s="54" t="str">
        <f>IF(AA196&lt;IF(AG196="EC",23,5.65),"Y","N")</f>
        <v>N</v>
      </c>
      <c r="X196" s="120">
        <f t="shared" si="17"/>
        <v>1</v>
      </c>
      <c r="Y196" s="69">
        <f>RIGHT(D196,LEN(D196)-4)/10000</f>
        <v>0.1084</v>
      </c>
      <c r="Z196" s="69">
        <f>RIGHT(H196,LEN(H196)-4)/10000</f>
        <v>5.8952</v>
      </c>
      <c r="AA196" s="69">
        <f>ABS(Z196-Y196)</f>
        <v>5.7868000000000004</v>
      </c>
      <c r="AB196" s="66" t="e">
        <f>VLOOKUP(A196,Enforcements!$C$7:$J$21,8,0)</f>
        <v>#N/A</v>
      </c>
      <c r="AC196" s="62" t="e">
        <f>VLOOKUP(A196,Enforcements!$C$7:$E$21,3,0)</f>
        <v>#N/A</v>
      </c>
      <c r="AD196" s="63" t="str">
        <f>IF(LEN(A196)=6,"0"&amp;A196,A196)</f>
        <v>0845-01</v>
      </c>
      <c r="AE196" s="99" t="str">
        <f>"aws s3 cp "&amp;s3_bucket&amp;"/RTDC"&amp;B196&amp;"/"&amp;TEXT(F196,"YYYY-MM-DD")&amp;"/ "&amp;search_path&amp;"\RTDC"&amp;B196&amp;"\"&amp;TEXT(F196,"YYYY-MM-DD")&amp;" --recursive &amp; """&amp;walkandungz&amp;""" "&amp;search_path&amp;"\RTDC"&amp;B196&amp;"\"&amp;TEXT(F196,"YYYY-MM-DD")
&amp;" &amp; "&amp;"aws s3 cp "&amp;s3_bucket&amp;"/RTDC"&amp;B196&amp;"/"&amp;TEXT(F196+1,"YYYY-MM-DD")&amp;"/ "&amp;search_path&amp;"\RTDC"&amp;B196&amp;"\"&amp;TEXT(F196+1,"YYYY-MM-DD")&amp;" --recursive &amp; """&amp;walkandungz&amp;""" "&amp;search_path&amp;"\RTDC"&amp;B196&amp;"\"&amp;TEXT(F196+1,"YYYY-MM-DD")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96" s="96" t="str">
        <f>astrogrep_path&amp;" /spath="&amp;search_path&amp;" /stypes=""*"&amp;B196&amp;"*"&amp;TEXT(I196-utc_offset/24,"YYYYMMDD")&amp;"*"" /stext="" "&amp;TEXT(I196-utc_offset/24,"HH")&amp;search_regexp&amp;""" /e /r /s"</f>
        <v>"C:\Program Files (x86)\AstroGrep\AstroGrep.exe" /spath="%USERPROFILE%\AppData\Local\Temp\OnboardLogs" /stypes="*4014*20160902*" /stext=" 03:.+((SYSTEM_STATE.+slice.+state.+changed )|(ment ac)|(system.+state.+changed )|(\|lc)|(penalty)|(\[timeout)|(PRM\|1\|D)|(kpr)|(kdp))" /e /r /s</v>
      </c>
      <c r="AG196" s="1" t="str">
        <f>IFERROR(IF(VALUE(LEFT(AD196,2))&lt;=2,"EC",IF(OR(VALUE(LEFT(AD196,2))=8,VALUE(LEFT(AD196,2))=18),"NW","Other")),"Other")</f>
        <v>NW</v>
      </c>
      <c r="AH196" s="100" t="str">
        <f t="shared" si="15"/>
        <v>"%USERPROFILE%\Documents\GitHub\eaglep3\Utilities\RefineRTDCRunTimes.py" --tripid 845-01 --locoid 4014 --swversion DE.1.0.7.0 --startMP 204:1084 --initTime 2016-09-01T21:17:32 --startdatetime 2016-09-01T21:22:11 --delay 1 --endMP 300:58952 --enddatetime 2016-09-01T21:35:30 --enforcementcount 0 &gt;&gt;C:\Users\stu\Documents\GitHub\eaglep3-reporting\EC\2016-09-01-refined-times.txt</v>
      </c>
      <c r="AI196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{"issue":{"subject":"","project_id":79,"tracker_id":40,"status_id":1,"priority_id":2,"assigned_to_id":23,"start_date":"2016-09-01","description":"","custom_fields":[{"id":1,"name":"Subdivision","value":"NW"},{"id":4,"name":"Milepost","value":"5.7868"},{"id":17,"name":"Train ID","value":"845-01"},{"id":16,"name":"Locomotive ID","value":"4014"},{"id":130,"name":"Impact","value":""},{"id":150,"name":"Time of Event (Mountain Time)","value":"21:35:30"},{"id":151,"name":"Denver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705</v>
      </c>
      <c r="B197" s="7">
        <v>4014</v>
      </c>
      <c r="C197" s="24" t="s">
        <v>113</v>
      </c>
      <c r="D197" s="24" t="s">
        <v>690</v>
      </c>
      <c r="E197" s="15">
        <v>42614.928437499999</v>
      </c>
      <c r="F197" s="15">
        <v>42614.931435185186</v>
      </c>
      <c r="G197" s="7">
        <v>1</v>
      </c>
      <c r="H197" s="15" t="s">
        <v>706</v>
      </c>
      <c r="I197" s="15">
        <v>42614.941192129627</v>
      </c>
      <c r="J197" s="7">
        <v>0</v>
      </c>
      <c r="K197" s="132" t="str">
        <f>IF(ISEVEN(B197),(B197-1)&amp;"/"&amp;B197,B197&amp;"/"&amp;(B197+1))</f>
        <v>4013/4014</v>
      </c>
      <c r="L197" s="24" t="str">
        <f>VLOOKUP(A197,'Trips&amp;Operators'!$C$1:$E$10000,3,FALSE)</f>
        <v>YANAI</v>
      </c>
      <c r="M197" s="6">
        <f>I197-F197</f>
        <v>9.7569444405962713E-3</v>
      </c>
      <c r="N197" s="7">
        <f>24*60*SUM($M197:$M197)</f>
        <v>14.049999994458631</v>
      </c>
      <c r="O197" s="7"/>
      <c r="P197" s="7"/>
      <c r="Q197" s="25"/>
      <c r="R197" s="25"/>
      <c r="S197" s="37">
        <f>SUM(U197:U197)/IF(AG197="EC",12,1)</f>
        <v>1</v>
      </c>
      <c r="T197" s="52" t="str">
        <f>IF(ISEVEN(LEFT(AD197,4)),"Southbound","NorthBound")</f>
        <v>NorthBound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hh:mm:ss")&amp;"-0600',mode:absolute,to:'"&amp;TEXT(I197+1/24,"yyyy-MM-DD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https://search-rtdc-monitor-bjffxe2xuh6vdkpspy63sjmuny.us-east-1.es.amazonaws.com/_plugin/kibana/#/discover/Steve-Slow-Train-Analysis-(2080s-and-2083s)?_g=(refreshInterval:(display:Off,section:0,value:0),time:(from:'2016-09-01 21:16:57-0600',mode:absolute,to:'2016-09-01 23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7" s="54" t="str">
        <f>IF(AA197&lt;IF(AG197="EC",23,5.65),"Y","N")</f>
        <v>N</v>
      </c>
      <c r="X197" s="120">
        <f t="shared" si="17"/>
        <v>2</v>
      </c>
      <c r="Y197" s="69">
        <f>RIGHT(D197,LEN(D197)-4)/10000</f>
        <v>9.2899999999999996E-2</v>
      </c>
      <c r="Z197" s="69">
        <f>RIGHT(H197,LEN(H197)-4)/10000</f>
        <v>5.8936999999999999</v>
      </c>
      <c r="AA197" s="69">
        <f>ABS(Z197-Y197)</f>
        <v>5.8007999999999997</v>
      </c>
      <c r="AB197" s="66" t="e">
        <f>VLOOKUP(A197,Enforcements!$C$7:$J$21,8,0)</f>
        <v>#N/A</v>
      </c>
      <c r="AC197" s="62" t="e">
        <f>VLOOKUP(A197,Enforcements!$C$7:$E$21,3,0)</f>
        <v>#N/A</v>
      </c>
      <c r="AD197" s="63" t="str">
        <f>IF(LEN(A197)=6,"0"&amp;A197,A197)</f>
        <v>0847-01</v>
      </c>
      <c r="AE197" s="99" t="str">
        <f>"aws s3 cp "&amp;s3_bucket&amp;"/RTDC"&amp;B197&amp;"/"&amp;TEXT(F197,"YYYY-MM-DD")&amp;"/ "&amp;search_path&amp;"\RTDC"&amp;B197&amp;"\"&amp;TEXT(F197,"YYYY-MM-DD")&amp;" --recursive &amp; """&amp;walkandungz&amp;""" "&amp;search_path&amp;"\RTDC"&amp;B197&amp;"\"&amp;TEXT(F197,"YYYY-MM-DD")
&amp;" &amp; "&amp;"aws s3 cp "&amp;s3_bucket&amp;"/RTDC"&amp;B197&amp;"/"&amp;TEXT(F197+1,"YYYY-MM-DD")&amp;"/ "&amp;search_path&amp;"\RTDC"&amp;B197&amp;"\"&amp;TEXT(F197+1,"YYYY-MM-DD")&amp;" --recursive &amp; """&amp;walkandungz&amp;""" "&amp;search_path&amp;"\RTDC"&amp;B197&amp;"\"&amp;TEXT(F197+1,"YYYY-MM-DD")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97" s="96" t="str">
        <f>astrogrep_path&amp;" /spath="&amp;search_path&amp;" /stypes=""*"&amp;B197&amp;"*"&amp;TEXT(I197-utc_offset/24,"YYYYMMDD")&amp;"*"" /stext="" "&amp;TEXT(I197-utc_offset/24,"HH")&amp;search_regexp&amp;""" /e /r /s"</f>
        <v>"C:\Program Files (x86)\AstroGrep\AstroGrep.exe" /spath="%USERPROFILE%\AppData\Local\Temp\OnboardLogs" /stypes="*4014*20160902*" /stext=" 04:.+((SYSTEM_STATE.+slice.+state.+changed )|(ment ac)|(system.+state.+changed )|(\|lc)|(penalty)|(\[timeout)|(PRM\|1\|D)|(kpr)|(kdp))" /e /r /s</v>
      </c>
      <c r="AG197" s="1" t="str">
        <f>IFERROR(IF(VALUE(LEFT(AD197,2))&lt;=2,"EC",IF(OR(VALUE(LEFT(AD197,2))=8,VALUE(LEFT(AD197,2))=18),"NW","Other")),"Other")</f>
        <v>NW</v>
      </c>
      <c r="AH197" s="100" t="str">
        <f t="shared" si="15"/>
        <v>"%USERPROFILE%\Documents\GitHub\eaglep3\Utilities\RefineRTDCRunTimes.py" --tripid 847-01 --locoid 4014 --swversion DE.1.0.7.0 --startMP 204:929 --initTime 2016-09-01T22:16:57 --startdatetime 2016-09-01T22:21:16 --delay 1 --endMP 300:58937 --enddatetime 2016-09-01T22:35:19 --enforcementcount 0 &gt;&gt;C:\Users\stu\Documents\GitHub\eaglep3-reporting\EC\2016-09-01-refined-times.txt</v>
      </c>
      <c r="AI197" s="149" t="str">
        <f t="shared" si="16"/>
        <v>echo {"issue":{"subject":"","project_id":79,"tracker_id":40,"status_id":1,"priority_id":2,"assigned_to_id":23,"start_date":"2016-09-01","description":"","custom_fields":[{"id":1,"name":"Subdivision","value":"NW"},{"id":4,"name":"Milepost","value":"5.8008"},{"id":17,"name":"Train ID","value":"847-01"},{"id":16,"name":"Locomotive ID","value":"4014"},{"id":130,"name":"Impact","value":""},{"id":150,"name":"Time of Event (Mountain Time)","value":"22:35:19"},{"id":151,"name":"Denver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573</v>
      </c>
      <c r="B198" s="7">
        <v>4044</v>
      </c>
      <c r="C198" s="24" t="s">
        <v>113</v>
      </c>
      <c r="D198" s="24" t="s">
        <v>574</v>
      </c>
      <c r="E198" s="15">
        <v>42614.821979166663</v>
      </c>
      <c r="F198" s="15">
        <v>42614.831226851849</v>
      </c>
      <c r="G198" s="7">
        <v>1</v>
      </c>
      <c r="H198" s="15" t="s">
        <v>575</v>
      </c>
      <c r="I198" s="15">
        <v>42614.835995370369</v>
      </c>
      <c r="J198" s="7">
        <v>0</v>
      </c>
      <c r="K198" s="132" t="str">
        <f>IF(ISEVEN(B198),(B198-1)&amp;"/"&amp;B198,B198&amp;"/"&amp;(B198+1))</f>
        <v>4043/4044</v>
      </c>
      <c r="L198" s="24" t="str">
        <f>VLOOKUP(A198,'Trips&amp;Operators'!$C$1:$E$10000,3,FALSE)</f>
        <v>HOMIK</v>
      </c>
      <c r="M198" s="6">
        <f>I198-F198</f>
        <v>4.7685185199952684E-3</v>
      </c>
      <c r="N198" s="7">
        <f>24*60*SUM($M198:$M198)</f>
        <v>6.8666666687931865</v>
      </c>
      <c r="O198" s="7"/>
      <c r="P198" s="7"/>
      <c r="Q198" s="25"/>
      <c r="R198" s="25"/>
      <c r="S198" s="37">
        <f>SUM(U198:U198)/IF(AG198="EC",12,1)</f>
        <v>1</v>
      </c>
      <c r="T198" s="52" t="str">
        <f>IF(ISEVEN(LEFT(AD198,4)),"Southbound","NorthBound")</f>
        <v>NorthBound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hh:mm:ss")&amp;"-0600',mode:absolute,to:'"&amp;TEXT(I198+1/24,"yyyy-MM-DD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https://search-rtdc-monitor-bjffxe2xuh6vdkpspy63sjmuny.us-east-1.es.amazonaws.com/_plugin/kibana/#/discover/Steve-Slow-Train-Analysis-(2080s-and-2083s)?_g=(refreshInterval:(display:Off,section:0,value:0),time:(from:'2016-09-01 18:43:39-0600',mode:absolute,to:'2016-09-01 21:03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98" s="54" t="str">
        <f>IF(AA198&lt;IF(AG198="EC",23,5.65),"Y","N")</f>
        <v>Y</v>
      </c>
      <c r="X198" s="120">
        <f t="shared" si="17"/>
        <v>-540</v>
      </c>
      <c r="Y198" s="69">
        <f>RIGHT(D198,LEN(D198)-4)/10000</f>
        <v>5.1999999999999998E-2</v>
      </c>
      <c r="Z198" s="69">
        <f>RIGHT(H198,LEN(H198)-4)/10000</f>
        <v>2.3292999999999999</v>
      </c>
      <c r="AA198" s="69">
        <f>ABS(Z198-Y198)</f>
        <v>2.2772999999999999</v>
      </c>
      <c r="AB198" s="66" t="e">
        <f>VLOOKUP(A198,Enforcements!$C$7:$J$21,8,0)</f>
        <v>#N/A</v>
      </c>
      <c r="AC198" s="62" t="e">
        <f>VLOOKUP(A198,Enforcements!$C$7:$E$21,3,0)</f>
        <v>#N/A</v>
      </c>
      <c r="AD198" s="63" t="str">
        <f>IF(LEN(A198)=6,"0"&amp;A198,A198)</f>
        <v>0307-01</v>
      </c>
      <c r="AE198" s="99" t="str">
        <f>"aws s3 cp "&amp;s3_bucket&amp;"/RTDC"&amp;B198&amp;"/"&amp;TEXT(F198,"YYYY-MM-DD")&amp;"/ "&amp;search_path&amp;"\RTDC"&amp;B198&amp;"\"&amp;TEXT(F198,"YYYY-MM-DD")&amp;" --recursive &amp; """&amp;walkandungz&amp;""" "&amp;search_path&amp;"\RTDC"&amp;B198&amp;"\"&amp;TEXT(F198,"YYYY-MM-DD")
&amp;" &amp; "&amp;"aws s3 cp "&amp;s3_bucket&amp;"/RTDC"&amp;B198&amp;"/"&amp;TEXT(F198+1,"YYYY-MM-DD")&amp;"/ "&amp;search_path&amp;"\RTDC"&amp;B198&amp;"\"&amp;TEXT(F198+1,"YYYY-MM-DD")&amp;" --recursive &amp; """&amp;walkandungz&amp;""" "&amp;search_path&amp;"\RTDC"&amp;B198&amp;"\"&amp;TEXT(F198+1,"YYYY-MM-DD")</f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198" s="96" t="str">
        <f>astrogrep_path&amp;" /spath="&amp;search_path&amp;" /stypes=""*"&amp;B198&amp;"*"&amp;TEXT(I198-utc_offset/24,"YYYYMMDD")&amp;"*"" /stext="" "&amp;TEXT(I198-utc_offset/24,"HH")&amp;search_regexp&amp;""" /e /r /s"</f>
        <v>"C:\Program Files (x86)\AstroGrep\AstroGrep.exe" /spath="%USERPROFILE%\AppData\Local\Temp\OnboardLogs" /stypes="*4044*20160902*" /stext=" 02:.+((SYSTEM_STATE.+slice.+state.+changed )|(ment ac)|(system.+state.+changed )|(\|lc)|(penalty)|(\[timeout)|(PRM\|1\|D)|(kpr)|(kdp))" /e /r /s</v>
      </c>
      <c r="AG198" s="1" t="str">
        <f>IFERROR(IF(VALUE(LEFT(AD198,2))&lt;=2,"EC",IF(OR(VALUE(LEFT(AD198,2))=8,VALUE(LEFT(AD198,2))=18),"NW","Other")),"Other")</f>
        <v>Other</v>
      </c>
      <c r="AH198" s="100" t="str">
        <f t="shared" si="15"/>
        <v>"%USERPROFILE%\Documents\GitHub\eaglep3\Utilities\RefineRTDCRunTimes.py" --tripid 307-01 --locoid 4044 --swversion DE.1.0.7.0 --startMP 204:520 --initTime 2016-09-01T19:43:39 --startdatetime 2016-09-01T19:56:58 --delay 1 --endMP 300:23293 --enddatetime 2016-09-01T20:03:50 --enforcementcount 0 &gt;&gt;C:\Users\stu\Documents\GitHub\eaglep3-reporting\EC\2016-09-01-refined-times.txt</v>
      </c>
      <c r="AI198" s="149" t="str">
        <f t="shared" si="16"/>
        <v>echo {"issue":{"subject":"","project_id":79,"tracker_id":40,"status_id":1,"priority_id":2,"assigned_to_id":23,"start_date":"2016-09-01","description":"","custom_fields":[{"id":1,"name":"Subdivision","value":"Other"},{"id":4,"name":"Milepost","value":"2.2773"},{"id":17,"name":"Train ID","value":"307-01"},{"id":16,"name":"Locomotive ID","value":"4044"},{"id":130,"name":"Impact","value":""},{"id":150,"name":"Time of Event (Mountain Time)","value":"20:03:50"},{"id":151,"name":"Denver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576</v>
      </c>
      <c r="B199" s="7">
        <v>4018</v>
      </c>
      <c r="C199" s="24" t="s">
        <v>113</v>
      </c>
      <c r="D199" s="24" t="s">
        <v>456</v>
      </c>
      <c r="E199" s="15">
        <v>42615.030636574076</v>
      </c>
      <c r="F199" s="15">
        <v>42615.040972222225</v>
      </c>
      <c r="G199" s="7">
        <v>1</v>
      </c>
      <c r="H199" s="15" t="s">
        <v>577</v>
      </c>
      <c r="I199" s="15">
        <v>42615.045775462961</v>
      </c>
      <c r="J199" s="7">
        <v>0</v>
      </c>
      <c r="K199" s="132" t="str">
        <f>IF(ISEVEN(B199),(B199-1)&amp;"/"&amp;B199,B199&amp;"/"&amp;(B199+1))</f>
        <v>4017/4018</v>
      </c>
      <c r="L199" s="24" t="str">
        <f>VLOOKUP(A199,'Trips&amp;Operators'!$C$1:$E$10000,3,FALSE)</f>
        <v>HILLS</v>
      </c>
      <c r="M199" s="6">
        <f>I199-F199</f>
        <v>4.8032407357823104E-3</v>
      </c>
      <c r="N199" s="7">
        <f>24*60*SUM($M199:$M199)</f>
        <v>6.9166666595265269</v>
      </c>
      <c r="O199" s="7"/>
      <c r="P199" s="7"/>
      <c r="Q199" s="25"/>
      <c r="R199" s="25"/>
      <c r="S199" s="37">
        <f>SUM(U199:U199)/IF(AG199="EC",12,1)</f>
        <v>1</v>
      </c>
      <c r="T199" s="52" t="str">
        <f>IF(ISEVEN(LEFT(AD199,4)),"Southbound","NorthBound")</f>
        <v>NorthBound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hh:mm:ss")&amp;"-0600',mode:absolute,to:'"&amp;TEXT(I199+1/24,"yyyy-MM-DD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https://search-rtdc-monitor-bjffxe2xuh6vdkpspy63sjmuny.us-east-1.es.amazonaws.com/_plugin/kibana/#/discover/Steve-Slow-Train-Analysis-(2080s-and-2083s)?_g=(refreshInterval:(display:Off,section:0,value:0),time:(from:'2016-09-01 23:44:07-0600',mode:absolute,to:'2016-09-02 02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9" s="54" t="str">
        <f>IF(AA199&lt;IF(AG199="EC",23,5.65),"Y","N")</f>
        <v>Y</v>
      </c>
      <c r="X199" s="120">
        <f t="shared" si="17"/>
        <v>2</v>
      </c>
      <c r="Y199" s="69">
        <f>RIGHT(D199,LEN(D199)-4)/10000</f>
        <v>4.82E-2</v>
      </c>
      <c r="Z199" s="69">
        <f>RIGHT(H199,LEN(H199)-4)/10000</f>
        <v>2.2212000000000001</v>
      </c>
      <c r="AA199" s="69">
        <f>ABS(Z199-Y199)</f>
        <v>2.173</v>
      </c>
      <c r="AB199" s="66" t="e">
        <f>VLOOKUP(A199,Enforcements!$C$7:$J$21,8,0)</f>
        <v>#N/A</v>
      </c>
      <c r="AC199" s="62" t="e">
        <f>VLOOKUP(A199,Enforcements!$C$7:$E$21,3,0)</f>
        <v>#N/A</v>
      </c>
      <c r="AD199" s="63" t="str">
        <f>IF(LEN(A199)=6,"0"&amp;A199,A199)</f>
        <v>0309-01</v>
      </c>
      <c r="AE199" s="99" t="str">
        <f>"aws s3 cp "&amp;s3_bucket&amp;"/RTDC"&amp;B199&amp;"/"&amp;TEXT(F199,"YYYY-MM-DD")&amp;"/ "&amp;search_path&amp;"\RTDC"&amp;B199&amp;"\"&amp;TEXT(F199,"YYYY-MM-DD")&amp;" --recursive &amp; """&amp;walkandungz&amp;""" "&amp;search_path&amp;"\RTDC"&amp;B199&amp;"\"&amp;TEXT(F199,"YYYY-MM-DD")
&amp;" &amp; "&amp;"aws s3 cp "&amp;s3_bucket&amp;"/RTDC"&amp;B199&amp;"/"&amp;TEXT(F199+1,"YYYY-MM-DD")&amp;"/ "&amp;search_path&amp;"\RTDC"&amp;B199&amp;"\"&amp;TEXT(F199+1,"YYYY-MM-DD")&amp;" --recursive &amp; """&amp;walkandungz&amp;""" "&amp;search_path&amp;"\RTDC"&amp;B199&amp;"\"&amp;TEXT(F199+1,"YYYY-MM-DD")</f>
        <v>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 &amp; 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</v>
      </c>
      <c r="AF199" s="96" t="str">
        <f>astrogrep_path&amp;" /spath="&amp;search_path&amp;" /stypes=""*"&amp;B199&amp;"*"&amp;TEXT(I199-utc_offset/24,"YYYYMMDD")&amp;"*"" /stext="" "&amp;TEXT(I199-utc_offset/24,"HH")&amp;search_regexp&amp;""" /e /r /s"</f>
        <v>"C:\Program Files (x86)\AstroGrep\AstroGrep.exe" /spath="%USERPROFILE%\AppData\Local\Temp\OnboardLogs" /stypes="*4018*20160902*" /stext=" 07:.+((SYSTEM_STATE.+slice.+state.+changed )|(ment ac)|(system.+state.+changed )|(\|lc)|(penalty)|(\[timeout)|(PRM\|1\|D)|(kpr)|(kdp))" /e /r /s</v>
      </c>
      <c r="AG199" s="1" t="str">
        <f>IFERROR(IF(VALUE(LEFT(AD199,2))&lt;=2,"EC",IF(OR(VALUE(LEFT(AD199,2))=8,VALUE(LEFT(AD199,2))=18),"NW","Other")),"Other")</f>
        <v>Other</v>
      </c>
      <c r="AH199" s="100" t="str">
        <f t="shared" si="15"/>
        <v>"%USERPROFILE%\Documents\GitHub\eaglep3\Utilities\RefineRTDCRunTimes.py" --tripid 309-01 --locoid 4018 --swversion DE.1.0.7.0 --startMP 204:482 --initTime 2016-09-02T00:44:07 --startdatetime 2016-09-02T00:59:00 --delay 1 --endMP 300:22212 --enddatetime 2016-09-02T01:05:55 --enforcementcount 0 &gt;&gt;C:\Users\stu\Documents\GitHub\eaglep3-reporting\EC\2016-09-01-refined-times.txt</v>
      </c>
      <c r="AI199" s="149" t="str">
        <f t="shared" si="16"/>
        <v>echo {"issue":{"subject":"","project_id":79,"tracker_id":40,"status_id":1,"priority_id":2,"assigned_to_id":23,"start_date":"2016-09-02","description":"","custom_fields":[{"id":1,"name":"Subdivision","value":"Other"},{"id":4,"name":"Milepost","value":"2.173"},{"id":17,"name":"Train ID","value":"309-01"},{"id":16,"name":"Locomotive ID","value":"4018"},{"id":130,"name":"Impact","value":""},{"id":150,"name":"Time of Event (Mountain Time)","value":"01:05:55"},{"id":151,"name":"Denver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578</v>
      </c>
      <c r="B200" s="7">
        <v>4042</v>
      </c>
      <c r="C200" s="24" t="s">
        <v>113</v>
      </c>
      <c r="D200" s="24" t="s">
        <v>579</v>
      </c>
      <c r="E200" s="15">
        <v>42615.046516203707</v>
      </c>
      <c r="F200" s="15">
        <v>25568.958333333332</v>
      </c>
      <c r="G200" s="7">
        <v>1</v>
      </c>
      <c r="H200" s="15" t="s">
        <v>580</v>
      </c>
      <c r="I200" s="15">
        <v>25568.958333333332</v>
      </c>
      <c r="J200" s="7">
        <v>0</v>
      </c>
      <c r="K200" s="132" t="str">
        <f>IF(ISEVEN(B200),(B200-1)&amp;"/"&amp;B200,B200&amp;"/"&amp;(B200+1))</f>
        <v>4041/4042</v>
      </c>
      <c r="L200" s="24" t="str">
        <f>VLOOKUP(A200,'Trips&amp;Operators'!$C$1:$E$10000,3,FALSE)</f>
        <v>COOLAHAN</v>
      </c>
      <c r="M200" s="6">
        <f>I200-F200</f>
        <v>0</v>
      </c>
      <c r="N200" s="7">
        <f>24*60*SUM($M200:$M200)</f>
        <v>0</v>
      </c>
      <c r="O200" s="7"/>
      <c r="P200" s="7"/>
      <c r="Q200" s="25"/>
      <c r="R200" s="25"/>
      <c r="S200" s="37">
        <f>SUM(U200:U200)/IF(AG200="EC",12,1)</f>
        <v>1</v>
      </c>
      <c r="T200" s="52" t="str">
        <f>IF(ISEVEN(LEFT(AD200,4)),"Southbound","NorthBound")</f>
        <v>NorthBound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hh:mm:ss")&amp;"-0600',mode:absolute,to:'"&amp;TEXT(I200+1/24,"yyyy-MM-DD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https://search-rtdc-monitor-bjffxe2xuh6vdkpspy63sjmuny.us-east-1.es.amazonaws.com/_plugin/kibana/#/discover/Steve-Slow-Train-Analysis-(2080s-and-2083s)?_g=(refreshInterval:(display:Off,section:0,value:0),time:(from:'2016-09-02 00:06:59-0600',mode:absolute,to:'1970-01-01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0" s="54" t="str">
        <f>IF(AA200&lt;IF(AG200="EC",23,5.65),"Y","N")</f>
        <v>Y</v>
      </c>
      <c r="X200" s="120">
        <f>VALUE(LEFT(AD200,4))-VALUE(LEFT(AD199,4))</f>
        <v>2</v>
      </c>
      <c r="Y200" s="69">
        <f>RIGHT(D200,LEN(D200)-4)/10000</f>
        <v>9.1600000000000001E-2</v>
      </c>
      <c r="Z200" s="69">
        <f>RIGHT(H200,LEN(H200)-4)/10000</f>
        <v>2.3111000000000002</v>
      </c>
      <c r="AA200" s="69">
        <f>ABS(Z200-Y200)</f>
        <v>2.2195</v>
      </c>
      <c r="AB200" s="66" t="e">
        <f>VLOOKUP(A200,Enforcements!$C$7:$J$21,8,0)</f>
        <v>#N/A</v>
      </c>
      <c r="AC200" s="62" t="e">
        <f>VLOOKUP(A200,Enforcements!$C$7:$E$21,3,0)</f>
        <v>#N/A</v>
      </c>
      <c r="AD200" s="63" t="str">
        <f>IF(LEN(A200)=6,"0"&amp;A200,A200)</f>
        <v>0311-01</v>
      </c>
      <c r="AE200" s="99" t="str">
        <f>"aws s3 cp "&amp;s3_bucket&amp;"/RTDC"&amp;B200&amp;"/"&amp;TEXT(F200,"YYYY-MM-DD")&amp;"/ "&amp;search_path&amp;"\RTDC"&amp;B200&amp;"\"&amp;TEXT(F200,"YYYY-MM-DD")&amp;" --recursive &amp; """&amp;walkandungz&amp;""" "&amp;search_path&amp;"\RTDC"&amp;B200&amp;"\"&amp;TEXT(F200,"YYYY-MM-DD")
&amp;" &amp; "&amp;"aws s3 cp "&amp;s3_bucket&amp;"/RTDC"&amp;B200&amp;"/"&amp;TEXT(F200+1,"YYYY-MM-DD")&amp;"/ "&amp;search_path&amp;"\RTDC"&amp;B200&amp;"\"&amp;TEXT(F200+1,"YYYY-MM-DD")&amp;" --recursive &amp; """&amp;walkandungz&amp;""" "&amp;search_path&amp;"\RTDC"&amp;B200&amp;"\"&amp;TEXT(F200+1,"YYYY-MM-DD")</f>
        <v>aws s3 cp s3://rtdc.mdm.uploadarchive/RTDC4042/1969-12-31/ "%USERPROFILE%\AppData\Local\Temp\OnboardLogs"\RTDC4042\1969-12-31 --recursive &amp; "%USERPROFILE%\Documents\GitHub\mrs-test-scripts\Headless Mode &amp; Sideloading\WalkAndUnGZ.bat" "%USERPROFILE%\AppData\Local\Temp\OnboardLogs"\RTDC4042\1969-12-31 &amp; aws s3 cp s3://rtdc.mdm.uploadarchive/RTDC4042/1970-01-01/ "%USERPROFILE%\AppData\Local\Temp\OnboardLogs"\RTDC4042\1970-01-01 --recursive &amp; "%USERPROFILE%\Documents\GitHub\mrs-test-scripts\Headless Mode &amp; Sideloading\WalkAndUnGZ.bat" "%USERPROFILE%\AppData\Local\Temp\OnboardLogs"\RTDC4042\1970-01-01</v>
      </c>
      <c r="AF200" s="96" t="str">
        <f>astrogrep_path&amp;" /spath="&amp;search_path&amp;" /stypes=""*"&amp;B200&amp;"*"&amp;TEXT(I200-utc_offset/24,"YYYYMMDD")&amp;"*"" /stext="" "&amp;TEXT(I200-utc_offset/24,"HH")&amp;search_regexp&amp;""" /e /r /s"</f>
        <v>"C:\Program Files (x86)\AstroGrep\AstroGrep.exe" /spath="%USERPROFILE%\AppData\Local\Temp\OnboardLogs" /stypes="*4042*19700101*" /stext=" 05:.+((SYSTEM_STATE.+slice.+state.+changed )|(ment ac)|(system.+state.+changed )|(\|lc)|(penalty)|(\[timeout)|(PRM\|1\|D)|(kpr)|(kdp))" /e /r /s</v>
      </c>
      <c r="AG200" s="1" t="str">
        <f>IFERROR(IF(VALUE(LEFT(AD200,2))&lt;=2,"EC",IF(OR(VALUE(LEFT(AD200,2))=8,VALUE(LEFT(AD200,2))=18),"NW","Other")),"Other")</f>
        <v>Other</v>
      </c>
      <c r="AH200" s="100" t="str">
        <f t="shared" si="15"/>
        <v>"%USERPROFILE%\Documents\GitHub\eaglep3\Utilities\RefineRTDCRunTimes.py" --tripid 311-01 --locoid 4042 --swversion DE.1.0.7.0 --startMP 204:916 --initTime 2016-09-02T01:06:59 --startdatetime 1969-12-31T23:00:00 --delay 1 --endMP 300:23111 --enddatetime 1969-12-31T23:00:00 --enforcementcount 0 &gt;&gt;C:\Users\stu\Documents\GitHub\eaglep3-reporting\EC\2016-09-01-refined-times.txt</v>
      </c>
      <c r="AI200" s="149" t="str">
        <f t="shared" si="16"/>
        <v>echo {"issue":{"subject":"","project_id":79,"tracker_id":40,"status_id":1,"priority_id":2,"assigned_to_id":23,"start_date":"1969-12-31","description":"","custom_fields":[{"id":1,"name":"Subdivision","value":"Other"},{"id":4,"name":"Milepost","value":"2.2195"},{"id":17,"name":"Train ID","value":"311-01"},{"id":16,"name":"Locomotive ID","value":"4042"},{"id":130,"name":"Impact","value":""},{"id":150,"name":"Time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581</v>
      </c>
      <c r="B201" s="7">
        <v>4011</v>
      </c>
      <c r="C201" s="24" t="s">
        <v>113</v>
      </c>
      <c r="D201" s="24" t="s">
        <v>582</v>
      </c>
      <c r="E201" s="15">
        <v>42615.066863425927</v>
      </c>
      <c r="F201" s="15">
        <v>25568.958333333332</v>
      </c>
      <c r="G201" s="7">
        <v>1</v>
      </c>
      <c r="H201" s="15" t="s">
        <v>583</v>
      </c>
      <c r="I201" s="15">
        <v>25568.958333333332</v>
      </c>
      <c r="J201" s="7">
        <v>0</v>
      </c>
      <c r="K201" s="132" t="str">
        <f>IF(ISEVEN(B201),(B201-1)&amp;"/"&amp;B201,B201&amp;"/"&amp;(B201+1))</f>
        <v>4011/4012</v>
      </c>
      <c r="L201" s="24" t="str">
        <f>VLOOKUP(A201,'Trips&amp;Operators'!$C$1:$E$10000,3,FALSE)</f>
        <v>STAMBAUGH</v>
      </c>
      <c r="M201" s="6">
        <f>I201-F201</f>
        <v>0</v>
      </c>
      <c r="N201" s="7">
        <f>24*60*SUM($M201:$M201)</f>
        <v>0</v>
      </c>
      <c r="O201" s="7"/>
      <c r="P201" s="7"/>
      <c r="Q201" s="25"/>
      <c r="R201" s="25"/>
      <c r="S201" s="37">
        <f>SUM(U201:U201)/IF(AG201="EC",12,1)</f>
        <v>1</v>
      </c>
      <c r="T201" s="52" t="str">
        <f>IF(ISEVEN(LEFT(AD201,4)),"Southbound","NorthBound")</f>
        <v>NorthBound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https://search-rtdc-monitor-bjffxe2xuh6vdkpspy63sjmuny.us-east-1.es.amazonaws.com/_plugin/kibana/#/discover/Steve-Slow-Train-Analysis-(2080s-and-2083s)?_g=(refreshInterval:(display:Off,section:0,value:0),time:(from:'2016-09-02 00:36:17-0600',mode:absolute,to:'1970-01-01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01" s="54" t="str">
        <f>IF(AA201&lt;IF(AG201="EC",23,5.65),"Y","N")</f>
        <v>Y</v>
      </c>
      <c r="X201" s="120">
        <f>VALUE(LEFT(AD201,4))-VALUE(LEFT(AD200,4))</f>
        <v>2</v>
      </c>
      <c r="Y201" s="69">
        <f>RIGHT(D201,LEN(D201)-4)/10000</f>
        <v>3.8699999999999998E-2</v>
      </c>
      <c r="Z201" s="69">
        <f>RIGHT(H201,LEN(H201)-4)/10000</f>
        <v>2.3121</v>
      </c>
      <c r="AA201" s="69">
        <f>ABS(Z201-Y201)</f>
        <v>2.2734000000000001</v>
      </c>
      <c r="AB201" s="66" t="e">
        <f>VLOOKUP(A201,Enforcements!$C$7:$J$21,8,0)</f>
        <v>#N/A</v>
      </c>
      <c r="AC201" s="62" t="e">
        <f>VLOOKUP(A201,Enforcements!$C$7:$E$21,3,0)</f>
        <v>#N/A</v>
      </c>
      <c r="AD201" s="63" t="str">
        <f>IF(LEN(A201)=6,"0"&amp;A201,A201)</f>
        <v>0313-01</v>
      </c>
      <c r="AE201" s="99" t="str">
        <f>"aws s3 cp "&amp;s3_bucket&amp;"/RTDC"&amp;B201&amp;"/"&amp;TEXT(F201,"YYYY-MM-DD")&amp;"/ "&amp;search_path&amp;"\RTDC"&amp;B201&amp;"\"&amp;TEXT(F201,"YYYY-MM-DD")&amp;" --recursive &amp; """&amp;walkandungz&amp;""" "&amp;search_path&amp;"\RTDC"&amp;B201&amp;"\"&amp;TEXT(F201,"YYYY-MM-DD")
&amp;" &amp; "&amp;"aws s3 cp "&amp;s3_bucket&amp;"/RTDC"&amp;B201&amp;"/"&amp;TEXT(F201+1,"YYYY-MM-DD")&amp;"/ "&amp;search_path&amp;"\RTDC"&amp;B201&amp;"\"&amp;TEXT(F201+1,"YYYY-MM-DD")&amp;" --recursive &amp; """&amp;walkandungz&amp;""" "&amp;search_path&amp;"\RTDC"&amp;B201&amp;"\"&amp;TEXT(F201+1,"YYYY-MM-DD")</f>
        <v>aws s3 cp s3://rtdc.mdm.uploadarchive/RTDC4011/1969-12-31/ "%USERPROFILE%\AppData\Local\Temp\OnboardLogs"\RTDC4011\1969-12-31 --recursive &amp; "%USERPROFILE%\Documents\GitHub\mrs-test-scripts\Headless Mode &amp; Sideloading\WalkAndUnGZ.bat" "%USERPROFILE%\AppData\Local\Temp\OnboardLogs"\RTDC4011\1969-12-31 &amp; aws s3 cp s3://rtdc.mdm.uploadarchive/RTDC4011/1970-01-01/ "%USERPROFILE%\AppData\Local\Temp\OnboardLogs"\RTDC4011\1970-01-01 --recursive &amp; "%USERPROFILE%\Documents\GitHub\mrs-test-scripts\Headless Mode &amp; Sideloading\WalkAndUnGZ.bat" "%USERPROFILE%\AppData\Local\Temp\OnboardLogs"\RTDC4011\1970-01-01</v>
      </c>
      <c r="AF201" s="96" t="str">
        <f>astrogrep_path&amp;" /spath="&amp;search_path&amp;" /stypes=""*"&amp;B201&amp;"*"&amp;TEXT(I201-utc_offset/24,"YYYYMMDD")&amp;"*"" /stext="" "&amp;TEXT(I201-utc_offset/24,"HH")&amp;search_regexp&amp;""" /e /r /s"</f>
        <v>"C:\Program Files (x86)\AstroGrep\AstroGrep.exe" /spath="%USERPROFILE%\AppData\Local\Temp\OnboardLogs" /stypes="*4011*19700101*" /stext=" 05:.+((SYSTEM_STATE.+slice.+state.+changed )|(ment ac)|(system.+state.+changed )|(\|lc)|(penalty)|(\[timeout)|(PRM\|1\|D)|(kpr)|(kdp))" /e /r /s</v>
      </c>
      <c r="AG201" s="1" t="str">
        <f>IFERROR(IF(VALUE(LEFT(AD201,2))&lt;=2,"EC",IF(OR(VALUE(LEFT(AD201,2))=8,VALUE(LEFT(AD201,2))=18),"NW","Other")),"Other")</f>
        <v>Other</v>
      </c>
      <c r="AH201" s="100" t="str">
        <f t="shared" si="15"/>
        <v>"%USERPROFILE%\Documents\GitHub\eaglep3\Utilities\RefineRTDCRunTimes.py" --tripid 313-01 --locoid 4011 --swversion DE.1.0.7.0 --startMP 204:387 --initTime 2016-09-02T01:36:17 --startdatetime 1969-12-31T23:00:00 --delay 1 --endMP 300:23121 --enddatetime 1969-12-31T23:00:00 --enforcementcount 0 &gt;&gt;C:\Users\stu\Documents\GitHub\eaglep3-reporting\EC\2016-09-01-refined-times.txt</v>
      </c>
      <c r="AI201" s="149" t="str">
        <f t="shared" si="16"/>
        <v>echo {"issue":{"subject":"","project_id":79,"tracker_id":40,"status_id":1,"priority_id":2,"assigned_to_id":23,"start_date":"1969-12-31","description":"","custom_fields":[{"id":1,"name":"Subdivision","value":"Other"},{"id":4,"name":"Milepost","value":"2.2734"},{"id":17,"name":"Train ID","value":"313-01"},{"id":16,"name":"Locomotive ID","value":"4011"},{"id":130,"name":"Impact","value":""},{"id":150,"name":"Time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584</v>
      </c>
      <c r="B202" s="7">
        <v>4020</v>
      </c>
      <c r="C202" s="24" t="s">
        <v>113</v>
      </c>
      <c r="D202" s="24" t="s">
        <v>140</v>
      </c>
      <c r="E202" s="15">
        <v>42615.088495370372</v>
      </c>
      <c r="F202" s="15">
        <v>25568.958333333332</v>
      </c>
      <c r="G202" s="7">
        <v>2</v>
      </c>
      <c r="H202" s="15" t="s">
        <v>585</v>
      </c>
      <c r="I202" s="15">
        <v>25568.958333333332</v>
      </c>
      <c r="J202" s="7">
        <v>0</v>
      </c>
      <c r="K202" s="132" t="str">
        <f>IF(ISEVEN(B202),(B202-1)&amp;"/"&amp;B202,B202&amp;"/"&amp;(B202+1))</f>
        <v>4019/4020</v>
      </c>
      <c r="L202" s="24" t="str">
        <f>VLOOKUP(A202,'Trips&amp;Operators'!$C$1:$E$10000,3,FALSE)</f>
        <v>OUN</v>
      </c>
      <c r="M202" s="6">
        <f>I202-F202</f>
        <v>0</v>
      </c>
      <c r="N202" s="7">
        <f>24*60*SUM($M202:$M202)</f>
        <v>0</v>
      </c>
      <c r="O202" s="7"/>
      <c r="P202" s="7"/>
      <c r="Q202" s="25"/>
      <c r="R202" s="25"/>
      <c r="S202" s="37">
        <f>SUM(U202:U202)/IF(AG202="EC",12,1)</f>
        <v>1</v>
      </c>
      <c r="T202" s="52" t="str">
        <f>IF(ISEVEN(LEFT(AD202,4)),"Southbound","NorthBound")</f>
        <v>NorthBound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hh:mm:ss")&amp;"-0600',mode:absolute,to:'"&amp;TEXT(I202+1/24,"yyyy-MM-DD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https://search-rtdc-monitor-bjffxe2xuh6vdkpspy63sjmuny.us-east-1.es.amazonaws.com/_plugin/kibana/#/discover/Steve-Slow-Train-Analysis-(2080s-and-2083s)?_g=(refreshInterval:(display:Off,section:0,value:0),time:(from:'2016-09-02 01:07:26-0600',mode:absolute,to:'1970-01-01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02" s="54" t="str">
        <f>IF(AA202&lt;IF(AG202="EC",23,5.65),"Y","N")</f>
        <v>Y</v>
      </c>
      <c r="X202" s="120">
        <f>VALUE(LEFT(AD202,4))-VALUE(LEFT(AD201,4))</f>
        <v>2</v>
      </c>
      <c r="Y202" s="69">
        <f>RIGHT(D202,LEN(D202)-4)/10000</f>
        <v>4.5699999999999998E-2</v>
      </c>
      <c r="Z202" s="69">
        <f>RIGHT(H202,LEN(H202)-4)/10000</f>
        <v>2.2275999999999998</v>
      </c>
      <c r="AA202" s="69">
        <f>ABS(Z202-Y202)</f>
        <v>2.1818999999999997</v>
      </c>
      <c r="AB202" s="66" t="e">
        <f>VLOOKUP(A202,Enforcements!$C$7:$J$21,8,0)</f>
        <v>#N/A</v>
      </c>
      <c r="AC202" s="62" t="e">
        <f>VLOOKUP(A202,Enforcements!$C$7:$E$21,3,0)</f>
        <v>#N/A</v>
      </c>
      <c r="AD202" s="63" t="str">
        <f>IF(LEN(A202)=6,"0"&amp;A202,A202)</f>
        <v>0315-01</v>
      </c>
      <c r="AE202" s="99" t="str">
        <f>"aws s3 cp "&amp;s3_bucket&amp;"/RTDC"&amp;B202&amp;"/"&amp;TEXT(F202,"YYYY-MM-DD")&amp;"/ "&amp;search_path&amp;"\RTDC"&amp;B202&amp;"\"&amp;TEXT(F202,"YYYY-MM-DD")&amp;" --recursive &amp; """&amp;walkandungz&amp;""" "&amp;search_path&amp;"\RTDC"&amp;B202&amp;"\"&amp;TEXT(F202,"YYYY-MM-DD")
&amp;" &amp; "&amp;"aws s3 cp "&amp;s3_bucket&amp;"/RTDC"&amp;B202&amp;"/"&amp;TEXT(F202+1,"YYYY-MM-DD")&amp;"/ "&amp;search_path&amp;"\RTDC"&amp;B202&amp;"\"&amp;TEXT(F202+1,"YYYY-MM-DD")&amp;" --recursive &amp; """&amp;walkandungz&amp;""" "&amp;search_path&amp;"\RTDC"&amp;B202&amp;"\"&amp;TEXT(F202+1,"YYYY-MM-DD")</f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202" s="96" t="str">
        <f>astrogrep_path&amp;" /spath="&amp;search_path&amp;" /stypes=""*"&amp;B202&amp;"*"&amp;TEXT(I202-utc_offset/24,"YYYYMMDD")&amp;"*"" /stext="" "&amp;TEXT(I202-utc_offset/24,"HH")&amp;search_regexp&amp;""" /e /r /s"</f>
        <v>"C:\Program Files (x86)\AstroGrep\AstroGrep.exe" /spath="%USERPROFILE%\AppData\Local\Temp\OnboardLogs" /stypes="*4020*19700101*" /stext=" 05:.+((SYSTEM_STATE.+slice.+state.+changed )|(ment ac)|(system.+state.+changed )|(\|lc)|(penalty)|(\[timeout)|(PRM\|1\|D)|(kpr)|(kdp))" /e /r /s</v>
      </c>
      <c r="AG202" s="1" t="str">
        <f>IFERROR(IF(VALUE(LEFT(AD202,2))&lt;=2,"EC",IF(OR(VALUE(LEFT(AD202,2))=8,VALUE(LEFT(AD202,2))=18),"NW","Other")),"Other")</f>
        <v>Other</v>
      </c>
      <c r="AH202" s="100" t="str">
        <f t="shared" si="15"/>
        <v>"%USERPROFILE%\Documents\GitHub\eaglep3\Utilities\RefineRTDCRunTimes.py" --tripid 315-01 --locoid 4020 --swversion DE.1.0.7.0 --startMP 204:457 --initTime 2016-09-02T02:07:26 --startdatetime 1969-12-31T23:00:00 --delay 2 --endMP 300:22276 --enddatetime 1969-12-31T23:00:00 --enforcementcount 0 &gt;&gt;C:\Users\stu\Documents\GitHub\eaglep3-reporting\EC\2016-09-01-refined-times.txt</v>
      </c>
      <c r="AI202" s="149" t="str">
        <f t="shared" si="16"/>
        <v>echo {"issue":{"subject":"","project_id":79,"tracker_id":40,"status_id":1,"priority_id":2,"assigned_to_id":23,"start_date":"1969-12-31","description":"","custom_fields":[{"id":1,"name":"Subdivision","value":"Other"},{"id":4,"name":"Milepost","value":"2.1819"},{"id":17,"name":"Train ID","value":"315-01"},{"id":16,"name":"Locomotive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337</v>
      </c>
      <c r="B203" s="7">
        <v>4016</v>
      </c>
      <c r="C203" s="24" t="s">
        <v>113</v>
      </c>
      <c r="D203" s="24" t="s">
        <v>125</v>
      </c>
      <c r="E203" s="15">
        <v>42614.088194444441</v>
      </c>
      <c r="F203" s="15">
        <v>25568.958333333332</v>
      </c>
      <c r="G203" s="7">
        <v>2</v>
      </c>
      <c r="H203" s="15" t="s">
        <v>338</v>
      </c>
      <c r="I203" s="15">
        <v>25568.958333333332</v>
      </c>
      <c r="J203" s="7">
        <v>0</v>
      </c>
      <c r="K203" s="132" t="str">
        <f>IF(ISEVEN(B203),(B203-1)&amp;"/"&amp;B203,B203&amp;"/"&amp;(B203+1))</f>
        <v>4015/4016</v>
      </c>
      <c r="L203" s="24" t="str">
        <f>VLOOKUP(A203,'Trips&amp;Operators'!$C$1:$E$10000,3,FALSE)</f>
        <v>COOLAHAN</v>
      </c>
      <c r="M203" s="6">
        <f>I203-F203</f>
        <v>0</v>
      </c>
      <c r="N203" s="7">
        <f>24*60*SUM($M203:$M203)</f>
        <v>0</v>
      </c>
      <c r="O203" s="7"/>
      <c r="P203" s="7"/>
      <c r="Q203" s="25"/>
      <c r="R203" s="25"/>
      <c r="S203" s="37">
        <f>SUM(U203:U203)/IF(AG203="EC",12,1)</f>
        <v>1</v>
      </c>
      <c r="T203" s="52" t="str">
        <f>IF(ISEVEN(LEFT(AD203,4)),"Southbound","NorthBound")</f>
        <v>NorthBound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https://search-rtdc-monitor-bjffxe2xuh6vdkpspy63sjmuny.us-east-1.es.amazonaws.com/_plugin/kibana/#/discover/Steve-Slow-Train-Analysis-(2080s-and-2083s)?_g=(refreshInterval:(display:Off,section:0,value:0),time:(from:'2016-09-01 01:07:00-0600',mode:absolute,to:'1970-01-01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203" s="54" t="str">
        <f>IF(AA203&lt;IF(AG203="EC",23,5.65),"Y","N")</f>
        <v>Y</v>
      </c>
      <c r="X203" s="120">
        <f>VALUE(LEFT(AD203,4))-VALUE(LEFT(AD202,4))</f>
        <v>0</v>
      </c>
      <c r="Y203" s="69">
        <f>RIGHT(D203,LEN(D203)-4)/10000</f>
        <v>4.5499999999999999E-2</v>
      </c>
      <c r="Z203" s="69">
        <f>RIGHT(H203,LEN(H203)-4)/10000</f>
        <v>2.3311999999999999</v>
      </c>
      <c r="AA203" s="69">
        <f>ABS(Z203-Y203)</f>
        <v>2.2856999999999998</v>
      </c>
      <c r="AB203" s="66" t="e">
        <f>VLOOKUP(A203,Enforcements!$C$7:$J$21,8,0)</f>
        <v>#N/A</v>
      </c>
      <c r="AC203" s="62" t="e">
        <f>VLOOKUP(A203,Enforcements!$C$7:$E$21,3,0)</f>
        <v>#N/A</v>
      </c>
      <c r="AD203" s="63" t="str">
        <f>IF(LEN(A203)=6,"0"&amp;A203,A203)</f>
        <v>0315-31</v>
      </c>
      <c r="AE203" s="99" t="str">
        <f>"aws s3 cp "&amp;s3_bucket&amp;"/RTDC"&amp;B203&amp;"/"&amp;TEXT(F203,"YYYY-MM-DD")&amp;"/ "&amp;search_path&amp;"\RTDC"&amp;B203&amp;"\"&amp;TEXT(F203,"YYYY-MM-DD")&amp;" --recursive &amp; """&amp;walkandungz&amp;""" "&amp;search_path&amp;"\RTDC"&amp;B203&amp;"\"&amp;TEXT(F203,"YYYY-MM-DD")
&amp;" &amp; "&amp;"aws s3 cp "&amp;s3_bucket&amp;"/RTDC"&amp;B203&amp;"/"&amp;TEXT(F203+1,"YYYY-MM-DD")&amp;"/ "&amp;search_path&amp;"\RTDC"&amp;B203&amp;"\"&amp;TEXT(F203+1,"YYYY-MM-DD")&amp;" --recursive &amp; """&amp;walkandungz&amp;""" "&amp;search_path&amp;"\RTDC"&amp;B203&amp;"\"&amp;TEXT(F203+1,"YYYY-MM-DD")</f>
        <v>aws s3 cp s3://rtdc.mdm.uploadarchive/RTDC4016/1969-12-31/ "%USERPROFILE%\AppData\Local\Temp\OnboardLogs"\RTDC4016\1969-12-31 --recursive &amp; "%USERPROFILE%\Documents\GitHub\mrs-test-scripts\Headless Mode &amp; Sideloading\WalkAndUnGZ.bat" "%USERPROFILE%\AppData\Local\Temp\OnboardLogs"\RTDC4016\1969-12-31 &amp; aws s3 cp s3://rtdc.mdm.uploadarchive/RTDC4016/1970-01-01/ "%USERPROFILE%\AppData\Local\Temp\OnboardLogs"\RTDC4016\1970-01-01 --recursive &amp; "%USERPROFILE%\Documents\GitHub\mrs-test-scripts\Headless Mode &amp; Sideloading\WalkAndUnGZ.bat" "%USERPROFILE%\AppData\Local\Temp\OnboardLogs"\RTDC4016\1970-01-01</v>
      </c>
      <c r="AF203" s="96" t="str">
        <f>astrogrep_path&amp;" /spath="&amp;search_path&amp;" /stypes=""*"&amp;B203&amp;"*"&amp;TEXT(I203-utc_offset/24,"YYYYMMDD")&amp;"*"" /stext="" "&amp;TEXT(I203-utc_offset/24,"HH")&amp;search_regexp&amp;""" /e /r /s"</f>
        <v>"C:\Program Files (x86)\AstroGrep\AstroGrep.exe" /spath="%USERPROFILE%\AppData\Local\Temp\OnboardLogs" /stypes="*4016*19700101*" /stext=" 05:.+((SYSTEM_STATE.+slice.+state.+changed )|(ment ac)|(system.+state.+changed )|(\|lc)|(penalty)|(\[timeout)|(PRM\|1\|D)|(kpr)|(kdp))" /e /r /s</v>
      </c>
      <c r="AG203" s="1" t="str">
        <f>IFERROR(IF(VALUE(LEFT(AD203,2))&lt;=2,"EC",IF(OR(VALUE(LEFT(AD203,2))=8,VALUE(LEFT(AD203,2))=18),"NW","Other")),"Other")</f>
        <v>Other</v>
      </c>
      <c r="AH203" s="100" t="str">
        <f t="shared" si="15"/>
        <v>"%USERPROFILE%\Documents\GitHub\eaglep3\Utilities\RefineRTDCRunTimes.py" --tripid 315-31 --locoid 4016 --swversion DE.1.0.7.0 --startMP 204:455 --initTime 2016-09-01T02:07:00 --startdatetime 1969-12-31T23:00:00 --delay 2 --endMP 300:23312 --enddatetime 1969-12-31T23:00:00 --enforcementcount 0 &gt;&gt;C:\Users\stu\Documents\GitHub\eaglep3-reporting\EC\2016-09-01-refined-times.txt</v>
      </c>
      <c r="AI203" s="149" t="str">
        <f t="shared" si="16"/>
        <v>echo {"issue":{"subject":"","project_id":79,"tracker_id":40,"status_id":1,"priority_id":2,"assigned_to_id":23,"start_date":"1969-12-31","description":"","custom_fields":[{"id":1,"name":"Subdivision","value":"Other"},{"id":4,"name":"Milepost","value":"2.2857"},{"id":17,"name":"Train ID","value":"315-31"},{"id":16,"name":"Locomotive ID","value":"4016"},{"id":130,"name":"Impact","value":""},{"id":150,"name":"Time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707</v>
      </c>
      <c r="B204" s="7">
        <v>4013</v>
      </c>
      <c r="C204" s="24" t="s">
        <v>113</v>
      </c>
      <c r="D204" s="24" t="s">
        <v>302</v>
      </c>
      <c r="E204" s="15">
        <v>42614.244733796295</v>
      </c>
      <c r="F204" s="15">
        <v>42614.249305555553</v>
      </c>
      <c r="G204" s="7">
        <v>6</v>
      </c>
      <c r="H204" s="15" t="s">
        <v>708</v>
      </c>
      <c r="I204" s="15">
        <v>42614.256284722222</v>
      </c>
      <c r="J204" s="7">
        <v>0</v>
      </c>
      <c r="K204" s="132" t="str">
        <f>IF(ISEVEN(B204),(B204-1)&amp;"/"&amp;B204,B204&amp;"/"&amp;(B204+1))</f>
        <v>4013/4014</v>
      </c>
      <c r="L204" s="24" t="str">
        <f>VLOOKUP(A204,'Trips&amp;Operators'!$C$1:$E$10000,3,FALSE)</f>
        <v>GEBRETEKLE</v>
      </c>
      <c r="M204" s="6">
        <f>I204-F204</f>
        <v>6.9791666683158837E-3</v>
      </c>
      <c r="N204" s="7">
        <f>24*60*SUM($M204:$M204)</f>
        <v>10.050000002374873</v>
      </c>
      <c r="O204" s="7"/>
      <c r="P204" s="7"/>
      <c r="Q204" s="25"/>
      <c r="R204" s="25"/>
      <c r="S204" s="37">
        <f>SUM(U204:U204)/IF(AG204="EC",12,1)</f>
        <v>1</v>
      </c>
      <c r="T204" s="52" t="str">
        <f>IF(ISEVEN(LEFT(AD204,4)),"Southbound","NorthBound")</f>
        <v>Southbound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https://search-rtdc-monitor-bjffxe2xuh6vdkpspy63sjmuny.us-east-1.es.amazonaws.com/_plugin/kibana/#/discover/Steve-Slow-Train-Analysis-(2080s-and-2083s)?_g=(refreshInterval:(display:Off,section:0,value:0),time:(from:'2016-09-01 04:52:25-0600',mode:absolute,to:'2016-09-01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4" s="54" t="str">
        <f>IF(AA204&lt;IF(AG204="EC",23,5.65),"Y","N")</f>
        <v>Y</v>
      </c>
      <c r="X204" s="120">
        <f>VALUE(LEFT(AD204,4))-VALUE(LEFT(AD203,4))</f>
        <v>587</v>
      </c>
      <c r="Y204" s="69">
        <f>RIGHT(D204,LEN(D204)-4)/10000</f>
        <v>2.3346</v>
      </c>
      <c r="Z204" s="69">
        <f>RIGHT(H204,LEN(H204)-4)/10000</f>
        <v>6.8400000000000002E-2</v>
      </c>
      <c r="AA204" s="69">
        <f>ABS(Z204-Y204)</f>
        <v>2.2662</v>
      </c>
      <c r="AB204" s="66" t="e">
        <f>VLOOKUP(A204,Enforcements!$C$7:$J$21,8,0)</f>
        <v>#N/A</v>
      </c>
      <c r="AC204" s="62" t="e">
        <f>VLOOKUP(A204,Enforcements!$C$7:$E$21,3,0)</f>
        <v>#N/A</v>
      </c>
      <c r="AD204" s="63" t="str">
        <f>IF(LEN(A204)=6,"0"&amp;A204,A204)</f>
        <v>0902-01</v>
      </c>
      <c r="AE204" s="99" t="str">
        <f>"aws s3 cp "&amp;s3_bucket&amp;"/RTDC"&amp;B204&amp;"/"&amp;TEXT(F204,"YYYY-MM-DD")&amp;"/ "&amp;search_path&amp;"\RTDC"&amp;B204&amp;"\"&amp;TEXT(F204,"YYYY-MM-DD")&amp;" --recursive &amp; """&amp;walkandungz&amp;""" "&amp;search_path&amp;"\RTDC"&amp;B204&amp;"\"&amp;TEXT(F204,"YYYY-MM-DD")
&amp;" &amp; "&amp;"aws s3 cp "&amp;s3_bucket&amp;"/RTDC"&amp;B204&amp;"/"&amp;TEXT(F204+1,"YYYY-MM-DD")&amp;"/ "&amp;search_path&amp;"\RTDC"&amp;B204&amp;"\"&amp;TEXT(F204+1,"YYYY-MM-DD")&amp;" --recursive &amp; """&amp;walkandungz&amp;""" "&amp;search_path&amp;"\RTDC"&amp;B204&amp;"\"&amp;TEXT(F204+1,"YYYY-MM-DD")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204" s="96" t="str">
        <f>astrogrep_path&amp;" /spath="&amp;search_path&amp;" /stypes=""*"&amp;B204&amp;"*"&amp;TEXT(I204-utc_offset/24,"YYYYMMDD")&amp;"*"" /stext="" "&amp;TEXT(I204-utc_offset/24,"HH")&amp;search_regexp&amp;""" /e /r /s"</f>
        <v>"C:\Program Files (x86)\AstroGrep\AstroGrep.exe" /spath="%USERPROFILE%\AppData\Local\Temp\OnboardLogs" /stypes="*4013*20160901*" /stext=" 12:.+((SYSTEM_STATE.+slice.+state.+changed )|(ment ac)|(system.+state.+changed )|(\|lc)|(penalty)|(\[timeout)|(PRM\|1\|D)|(kpr)|(kdp))" /e /r /s</v>
      </c>
      <c r="AG204" s="1" t="str">
        <f>IFERROR(IF(VALUE(LEFT(AD204,2))&lt;=2,"EC",IF(OR(VALUE(LEFT(AD204,2))=8,VALUE(LEFT(AD204,2))=18),"NW","Other")),"Other")</f>
        <v>Other</v>
      </c>
      <c r="AH204" s="100" t="str">
        <f t="shared" si="15"/>
        <v>"%USERPROFILE%\Documents\GitHub\eaglep3\Utilities\RefineRTDCRunTimes.py" --tripid 902-01 --locoid 4013 --swversion DE.1.0.7.0 --startMP 300:23346 --initTime 2016-09-01T05:52:25 --startdatetime 2016-09-01T05:59:00 --delay 6 --endMP 204:684 --enddatetime 2016-09-01T06:09:03 --enforcementcount 0 &gt;&gt;C:\Users\stu\Documents\GitHub\eaglep3-reporting\EC\2016-09-01-refined-times.txt</v>
      </c>
      <c r="AI204" s="149" t="str">
        <f t="shared" si="16"/>
        <v>echo {"issue":{"subject":"","project_id":79,"tracker_id":40,"status_id":1,"priority_id":2,"assigned_to_id":23,"start_date":"2016-09-01","description":"","custom_fields":[{"id":1,"name":"Subdivision","value":"Other"},{"id":4,"name":"Milepost","value":"2.2662"},{"id":17,"name":"Train ID","value":"902-01"},{"id":16,"name":"Locomotive ID","value":"4013"},{"id":130,"name":"Impact","value":""},{"id":150,"name":"Time of Event (Mountain Time)","value":"06:09:03"},{"id":151,"name":"Denver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709</v>
      </c>
      <c r="B205" s="7">
        <v>4010</v>
      </c>
      <c r="C205" s="24" t="s">
        <v>113</v>
      </c>
      <c r="D205" s="24" t="s">
        <v>710</v>
      </c>
      <c r="E205" s="15">
        <v>42614.637476851851</v>
      </c>
      <c r="F205" s="15">
        <v>42614.640034722222</v>
      </c>
      <c r="G205" s="7">
        <v>3</v>
      </c>
      <c r="H205" s="15" t="s">
        <v>711</v>
      </c>
      <c r="I205" s="15">
        <v>42614.645439814813</v>
      </c>
      <c r="J205" s="7">
        <v>0</v>
      </c>
      <c r="K205" s="132" t="str">
        <f>IF(ISEVEN(B205),(B205-1)&amp;"/"&amp;B205,B205&amp;"/"&amp;(B205+1))</f>
        <v>4009/4010</v>
      </c>
      <c r="L205" s="24" t="str">
        <f>VLOOKUP(A205,'Trips&amp;Operators'!$C$1:$E$10000,3,FALSE)</f>
        <v>YANAI</v>
      </c>
      <c r="M205" s="6">
        <f>I205-F205</f>
        <v>5.4050925900810398E-3</v>
      </c>
      <c r="N205" s="7">
        <f>24*60*SUM($M205:$M205)</f>
        <v>7.7833333297166973</v>
      </c>
      <c r="O205" s="7"/>
      <c r="P205" s="7"/>
      <c r="Q205" s="25"/>
      <c r="R205" s="25"/>
      <c r="S205" s="37">
        <f>SUM(U205:U205)/IF(AG205="EC",12,1)</f>
        <v>1</v>
      </c>
      <c r="T205" s="52" t="str">
        <f>IF(ISEVEN(LEFT(AD205,4)),"Southbound","NorthBound")</f>
        <v>Southbound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https://search-rtdc-monitor-bjffxe2xuh6vdkpspy63sjmuny.us-east-1.es.amazonaws.com/_plugin/kibana/#/discover/Steve-Slow-Train-Analysis-(2080s-and-2083s)?_g=(refreshInterval:(display:Off,section:0,value:0),time:(from:'2016-09-01 14:17:58-0600',mode:absolute,to:'2016-09-01 16:29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05" s="54" t="str">
        <f>IF(AA205&lt;IF(AG205="EC",23,5.65),"Y","N")</f>
        <v>Y</v>
      </c>
      <c r="X205" s="120">
        <f>VALUE(LEFT(AD205,4))-VALUE(LEFT(AD204,4))</f>
        <v>2</v>
      </c>
      <c r="Y205" s="69">
        <f>RIGHT(D205,LEN(D205)-4)/10000</f>
        <v>2.3620000000000001</v>
      </c>
      <c r="Z205" s="69">
        <f>RIGHT(H205,LEN(H205)-4)/10000</f>
        <v>6.4699999999999994E-2</v>
      </c>
      <c r="AA205" s="69">
        <f>ABS(Z205-Y205)</f>
        <v>2.2972999999999999</v>
      </c>
      <c r="AB205" s="66" t="e">
        <f>VLOOKUP(A205,Enforcements!$C$7:$J$21,8,0)</f>
        <v>#N/A</v>
      </c>
      <c r="AC205" s="62" t="e">
        <f>VLOOKUP(A205,Enforcements!$C$7:$E$21,3,0)</f>
        <v>#N/A</v>
      </c>
      <c r="AD205" s="63" t="str">
        <f>IF(LEN(A205)=6,"0"&amp;A205,A205)</f>
        <v>0904-01</v>
      </c>
      <c r="AE205" s="99" t="str">
        <f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205" s="96" t="str">
        <f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/stypes="*4010*20160901*" /stext=" 21:.+((SYSTEM_STATE.+slice.+state.+changed )|(ment ac)|(system.+state.+changed )|(\|lc)|(penalty)|(\[timeout)|(PRM\|1\|D)|(kpr)|(kdp))" /e /r /s</v>
      </c>
      <c r="AG205" s="1" t="str">
        <f>IFERROR(IF(VALUE(LEFT(AD205,2))&lt;=2,"EC",IF(OR(VALUE(LEFT(AD205,2))=8,VALUE(LEFT(AD205,2))=18),"NW","Other")),"Other")</f>
        <v>Other</v>
      </c>
      <c r="AH205" s="100" t="str">
        <f t="shared" ref="AH205:AH216" si="18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904-01 --locoid 4010 --swversion DE.1.0.7.0 --startMP 300:23620 --initTime 2016-09-01T15:17:58 --startdatetime 2016-09-01T15:21:39 --delay 3 --endMP 204:647 --enddatetime 2016-09-01T15:29:26 --enforcementcount 0 &gt;&gt;C:\Users\stu\Documents\GitHub\eaglep3-reporting\EC\2016-09-01-refined-times.txt</v>
      </c>
      <c r="AI205" s="149" t="str">
        <f t="shared" ref="AI205:AI216" si="19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AA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{"issue":{"subject":"","project_id":79,"tracker_id":40,"status_id":1,"priority_id":2,"assigned_to_id":23,"start_date":"2016-09-01","description":"","custom_fields":[{"id":1,"name":"Subdivision","value":"Other"},{"id":4,"name":"Milepost","value":"2.2973"},{"id":17,"name":"Train ID","value":"904-01"},{"id":16,"name":"Locomotive ID","value":"4010"},{"id":130,"name":"Impact","value":""},{"id":150,"name":"Time of Event (Mountain Time)","value":"15:29:26"},{"id":151,"name":"Denver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712</v>
      </c>
      <c r="B206" s="7">
        <v>4010</v>
      </c>
      <c r="C206" s="24" t="s">
        <v>113</v>
      </c>
      <c r="D206" s="24" t="s">
        <v>353</v>
      </c>
      <c r="E206" s="15">
        <v>42614.795347222222</v>
      </c>
      <c r="F206" s="15">
        <v>42614.797002314815</v>
      </c>
      <c r="G206" s="7">
        <v>1</v>
      </c>
      <c r="H206" s="15" t="s">
        <v>713</v>
      </c>
      <c r="I206" s="15">
        <v>42614.801527777781</v>
      </c>
      <c r="J206" s="7">
        <v>0</v>
      </c>
      <c r="K206" s="132" t="str">
        <f>IF(ISEVEN(B206),(B206-1)&amp;"/"&amp;B206,B206&amp;"/"&amp;(B206+1))</f>
        <v>4009/4010</v>
      </c>
      <c r="L206" s="24" t="str">
        <f>VLOOKUP(A206,'Trips&amp;Operators'!$C$1:$E$10000,3,FALSE)</f>
        <v>YANAI</v>
      </c>
      <c r="M206" s="6">
        <f>I206-F206</f>
        <v>4.5254629658302292E-3</v>
      </c>
      <c r="N206" s="7">
        <f>24*60*SUM($M206:$M206)</f>
        <v>6.5166666707955301</v>
      </c>
      <c r="O206" s="7"/>
      <c r="P206" s="7"/>
      <c r="Q206" s="25"/>
      <c r="R206" s="25"/>
      <c r="S206" s="37">
        <f>SUM(U206:U206)/IF(AG206="EC",12,1)</f>
        <v>0</v>
      </c>
      <c r="T206" s="52" t="str">
        <f>IF(ISEVEN(LEFT(AD206,4)),"Southbound","NorthBound")</f>
        <v>Southbound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06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https://search-rtdc-monitor-bjffxe2xuh6vdkpspy63sjmuny.us-east-1.es.amazonaws.com/_plugin/kibana/#/discover/Steve-Slow-Train-Analysis-(2080s-and-2083s)?_g=(refreshInterval:(display:Off,section:0,value:0),time:(from:'2016-09-01 18:05:18-0600',mode:absolute,to:'2016-09-01 20:14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06" s="54" t="str">
        <f>IF(AA206&lt;IF(AG206="EC",23,5.65),"Y","N")</f>
        <v>Y</v>
      </c>
      <c r="X206" s="120">
        <f>VALUE(LEFT(AD206,4))-VALUE(LEFT(AD205,4))</f>
        <v>2</v>
      </c>
      <c r="Y206" s="69">
        <f>RIGHT(D206,LEN(D206)-4)/10000</f>
        <v>5.8658000000000001</v>
      </c>
      <c r="Z206" s="69">
        <f>RIGHT(H206,LEN(H206)-4)/10000</f>
        <v>2.1619000000000002</v>
      </c>
      <c r="AA206" s="69">
        <f>ABS(Z206-Y206)</f>
        <v>3.7039</v>
      </c>
      <c r="AB206" s="66" t="e">
        <f>VLOOKUP(A206,Enforcements!$C$7:$J$21,8,0)</f>
        <v>#N/A</v>
      </c>
      <c r="AC206" s="62" t="e">
        <f>VLOOKUP(A206,Enforcements!$C$7:$E$21,3,0)</f>
        <v>#N/A</v>
      </c>
      <c r="AD206" s="63" t="str">
        <f>IF(LEN(A206)=6,"0"&amp;A206,A206)</f>
        <v>0906-01</v>
      </c>
      <c r="AE206" s="99" t="str">
        <f>"aws s3 cp "&amp;s3_bucket&amp;"/RTDC"&amp;B206&amp;"/"&amp;TEXT(F206,"YYYY-MM-DD")&amp;"/ "&amp;search_path&amp;"\RTDC"&amp;B206&amp;"\"&amp;TEXT(F206,"YYYY-MM-DD")&amp;" --recursive &amp; """&amp;walkandungz&amp;""" "&amp;search_path&amp;"\RTDC"&amp;B206&amp;"\"&amp;TEXT(F206,"YYYY-MM-DD")
&amp;" &amp; "&amp;"aws s3 cp "&amp;s3_bucket&amp;"/RTDC"&amp;B206&amp;"/"&amp;TEXT(F206+1,"YYYY-MM-DD")&amp;"/ "&amp;search_path&amp;"\RTDC"&amp;B206&amp;"\"&amp;TEXT(F206+1,"YYYY-MM-DD")&amp;" --recursive &amp; """&amp;walkandungz&amp;""" "&amp;search_path&amp;"\RTDC"&amp;B206&amp;"\"&amp;TEXT(F206+1,"YYYY-MM-DD")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206" s="96" t="str">
        <f>astrogrep_path&amp;" /spath="&amp;search_path&amp;" /stypes=""*"&amp;B206&amp;"*"&amp;TEXT(I206-utc_offset/24,"YYYYMMDD")&amp;"*"" /stext="" "&amp;TEXT(I206-utc_offset/24,"HH")&amp;search_regexp&amp;""" /e /r /s"</f>
        <v>"C:\Program Files (x86)\AstroGrep\AstroGrep.exe" /spath="%USERPROFILE%\AppData\Local\Temp\OnboardLogs" /stypes="*4010*20160902*" /stext=" 01:.+((SYSTEM_STATE.+slice.+state.+changed )|(ment ac)|(system.+state.+changed )|(\|lc)|(penalty)|(\[timeout)|(PRM\|1\|D)|(kpr)|(kdp))" /e /r /s</v>
      </c>
      <c r="AG206" s="1" t="str">
        <f>IFERROR(IF(VALUE(LEFT(AD206,2))&lt;=2,"EC",IF(OR(VALUE(LEFT(AD206,2))=8,VALUE(LEFT(AD206,2))=18),"NW","Other")),"Other")</f>
        <v>Other</v>
      </c>
      <c r="AH206" s="100" t="str">
        <f t="shared" si="18"/>
        <v>"%USERPROFILE%\Documents\GitHub\eaglep3\Utilities\RefineRTDCRunTimes.py" --tripid 906-01 --locoid 4010 --swversion DE.1.0.7.0 --startMP 300:58658 --initTime 2016-09-01T19:05:18 --startdatetime 2016-09-01T19:07:41 --delay 1 --endMP 300:21619 --enddatetime 2016-09-01T19:14:12 --enforcementcount 0 &gt;&gt;C:\Users\stu\Documents\GitHub\eaglep3-reporting\EC\2016-09-01-refined-times.txt</v>
      </c>
      <c r="AI206" s="149" t="str">
        <f t="shared" si="19"/>
        <v>echo {"issue":{"subject":"","project_id":79,"tracker_id":40,"status_id":1,"priority_id":2,"assigned_to_id":23,"start_date":"2016-09-01","description":"","custom_fields":[{"id":1,"name":"Subdivision","value":"Other"},{"id":4,"name":"Milepost","value":"3.7039"},{"id":17,"name":"Train ID","value":"906-01"},{"id":16,"name":"Locomotive ID","value":"4010"},{"id":130,"name":"Impact","value":""},{"id":150,"name":"Time of Event (Mountain Time)","value":"19:14:12"},{"id":151,"name":"Denver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714</v>
      </c>
      <c r="B207" s="7">
        <v>4013</v>
      </c>
      <c r="C207" s="24" t="s">
        <v>113</v>
      </c>
      <c r="D207" s="24" t="s">
        <v>666</v>
      </c>
      <c r="E207" s="15">
        <v>42614.942499999997</v>
      </c>
      <c r="F207" s="15">
        <v>42614.943865740737</v>
      </c>
      <c r="G207" s="7">
        <v>1</v>
      </c>
      <c r="H207" s="15" t="s">
        <v>715</v>
      </c>
      <c r="I207" s="15">
        <v>42614.948553240742</v>
      </c>
      <c r="J207" s="7">
        <v>0</v>
      </c>
      <c r="K207" s="132" t="str">
        <f>IF(ISEVEN(B207),(B207-1)&amp;"/"&amp;B207,B207&amp;"/"&amp;(B207+1))</f>
        <v>4013/4014</v>
      </c>
      <c r="L207" s="24" t="str">
        <f>VLOOKUP(A207,'Trips&amp;Operators'!$C$1:$E$10000,3,FALSE)</f>
        <v>YANAI</v>
      </c>
      <c r="M207" s="6">
        <f>I207-F207</f>
        <v>4.6875000043655746E-3</v>
      </c>
      <c r="N207" s="7">
        <f>24*60*SUM($M207:$M207)</f>
        <v>6.7500000062864274</v>
      </c>
      <c r="O207" s="7"/>
      <c r="P207" s="7"/>
      <c r="Q207" s="25"/>
      <c r="R207" s="25"/>
      <c r="S207" s="37">
        <f>SUM(U207:U207)/IF(AG207="EC",12,1)</f>
        <v>0</v>
      </c>
      <c r="T207" s="52" t="str">
        <f>IF(ISEVEN(LEFT(AD207,4)),"Southbound","NorthBound")</f>
        <v>Southbound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06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hh:mm:ss")&amp;"-0600',mode:absolute,to:'"&amp;TEXT(I207+1/24,"yyyy-MM-DD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https://search-rtdc-monitor-bjffxe2xuh6vdkpspy63sjmuny.us-east-1.es.amazonaws.com/_plugin/kibana/#/discover/Steve-Slow-Train-Analysis-(2080s-and-2083s)?_g=(refreshInterval:(display:Off,section:0,value:0),time:(from:'2016-09-01 21:37:12-0600',mode:absolute,to:'2016-09-01 23:45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7" s="54" t="str">
        <f>IF(AA207&lt;IF(AG207="EC",23,5.65),"Y","N")</f>
        <v>Y</v>
      </c>
      <c r="X207" s="120">
        <f>VALUE(LEFT(AD207,4))-VALUE(LEFT(AD206,4))</f>
        <v>2</v>
      </c>
      <c r="Y207" s="69">
        <f>RIGHT(D207,LEN(D207)-4)/10000</f>
        <v>5.8632</v>
      </c>
      <c r="Z207" s="69">
        <f>RIGHT(H207,LEN(H207)-4)/10000</f>
        <v>2.1638000000000002</v>
      </c>
      <c r="AA207" s="69">
        <f>ABS(Z207-Y207)</f>
        <v>3.6993999999999998</v>
      </c>
      <c r="AB207" s="66" t="e">
        <f>VLOOKUP(A207,Enforcements!$C$7:$J$21,8,0)</f>
        <v>#N/A</v>
      </c>
      <c r="AC207" s="62" t="e">
        <f>VLOOKUP(A207,Enforcements!$C$7:$E$21,3,0)</f>
        <v>#N/A</v>
      </c>
      <c r="AD207" s="63" t="str">
        <f>IF(LEN(A207)=6,"0"&amp;A207,A207)</f>
        <v>0908-01</v>
      </c>
      <c r="AE207" s="99" t="str">
        <f>"aws s3 cp "&amp;s3_bucket&amp;"/RTDC"&amp;B207&amp;"/"&amp;TEXT(F207,"YYYY-MM-DD")&amp;"/ "&amp;search_path&amp;"\RTDC"&amp;B207&amp;"\"&amp;TEXT(F207,"YYYY-MM-DD")&amp;" --recursive &amp; """&amp;walkandungz&amp;""" "&amp;search_path&amp;"\RTDC"&amp;B207&amp;"\"&amp;TEXT(F207,"YYYY-MM-DD")
&amp;" &amp; "&amp;"aws s3 cp "&amp;s3_bucket&amp;"/RTDC"&amp;B207&amp;"/"&amp;TEXT(F207+1,"YYYY-MM-DD")&amp;"/ "&amp;search_path&amp;"\RTDC"&amp;B207&amp;"\"&amp;TEXT(F207+1,"YYYY-MM-DD")&amp;" --recursive &amp; """&amp;walkandungz&amp;""" "&amp;search_path&amp;"\RTDC"&amp;B207&amp;"\"&amp;TEXT(F207+1,"YYYY-MM-DD")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207" s="96" t="str">
        <f>astrogrep_path&amp;" /spath="&amp;search_path&amp;" /stypes=""*"&amp;B207&amp;"*"&amp;TEXT(I207-utc_offset/24,"YYYYMMDD")&amp;"*"" /stext="" "&amp;TEXT(I207-utc_offset/24,"HH")&amp;search_regexp&amp;""" /e /r /s"</f>
        <v>"C:\Program Files (x86)\AstroGrep\AstroGrep.exe" /spath="%USERPROFILE%\AppData\Local\Temp\OnboardLogs" /stypes="*4013*20160902*" /stext=" 04:.+((SYSTEM_STATE.+slice.+state.+changed )|(ment ac)|(system.+state.+changed )|(\|lc)|(penalty)|(\[timeout)|(PRM\|1\|D)|(kpr)|(kdp))" /e /r /s</v>
      </c>
      <c r="AG207" s="1" t="str">
        <f>IFERROR(IF(VALUE(LEFT(AD207,2))&lt;=2,"EC",IF(OR(VALUE(LEFT(AD207,2))=8,VALUE(LEFT(AD207,2))=18),"NW","Other")),"Other")</f>
        <v>Other</v>
      </c>
      <c r="AH207" s="100" t="str">
        <f t="shared" si="18"/>
        <v>"%USERPROFILE%\Documents\GitHub\eaglep3\Utilities\RefineRTDCRunTimes.py" --tripid 908-01 --locoid 4013 --swversion DE.1.0.7.0 --startMP 300:58632 --initTime 2016-09-01T22:37:12 --startdatetime 2016-09-01T22:39:10 --delay 1 --endMP 300:21638 --enddatetime 2016-09-01T22:45:55 --enforcementcount 0 &gt;&gt;C:\Users\stu\Documents\GitHub\eaglep3-reporting\EC\2016-09-01-refined-times.txt</v>
      </c>
      <c r="AI207" s="149" t="str">
        <f t="shared" si="19"/>
        <v>echo {"issue":{"subject":"","project_id":79,"tracker_id":40,"status_id":1,"priority_id":2,"assigned_to_id":23,"start_date":"2016-09-01","description":"","custom_fields":[{"id":1,"name":"Subdivision","value":"Other"},{"id":4,"name":"Milepost","value":"3.6994"},{"id":17,"name":"Train ID","value":"908-01"},{"id":16,"name":"Locomotive ID","value":"4013"},{"id":130,"name":"Impact","value":""},{"id":150,"name":"Time of Event (Mountain Time)","value":"22:45:55"},{"id":151,"name":"Denver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586</v>
      </c>
      <c r="B208" s="7">
        <v>4022</v>
      </c>
      <c r="C208" s="24" t="s">
        <v>113</v>
      </c>
      <c r="D208" s="24" t="s">
        <v>587</v>
      </c>
      <c r="E208" s="15">
        <v>42614.756782407407</v>
      </c>
      <c r="F208" s="15">
        <v>42614.767696759256</v>
      </c>
      <c r="G208" s="7">
        <v>1</v>
      </c>
      <c r="H208" s="15" t="s">
        <v>588</v>
      </c>
      <c r="I208" s="15">
        <v>42614.775543981479</v>
      </c>
      <c r="J208" s="7">
        <v>0</v>
      </c>
      <c r="K208" s="132" t="str">
        <f>IF(ISEVEN(B208),(B208-1)&amp;"/"&amp;B208,B208&amp;"/"&amp;(B208+1))</f>
        <v>4021/4022</v>
      </c>
      <c r="L208" s="24" t="str">
        <f>VLOOKUP(A208,'Trips&amp;Operators'!$C$1:$E$10000,3,FALSE)</f>
        <v>ISHMAEL</v>
      </c>
      <c r="M208" s="6">
        <f>I208-F208</f>
        <v>7.8472222230629995E-3</v>
      </c>
      <c r="N208" s="7">
        <f>24*60*SUM($M208:$M208)</f>
        <v>11.300000001210719</v>
      </c>
      <c r="O208" s="7"/>
      <c r="P208" s="7"/>
      <c r="Q208" s="25"/>
      <c r="R208" s="25"/>
      <c r="S208" s="37">
        <f>SUM(U208:U208)/IF(AG208="EC",12,1)</f>
        <v>0</v>
      </c>
      <c r="T208" s="52" t="e">
        <f>IF(ISEVEN(LEFT(AD208,4)),"Southbound","NorthBound")</f>
        <v>#VALUE!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06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hh:mm:ss")&amp;"-0600',mode:absolute,to:'"&amp;TEXT(I208+1/24,"yyyy-MM-DD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https://search-rtdc-monitor-bjffxe2xuh6vdkpspy63sjmuny.us-east-1.es.amazonaws.com/_plugin/kibana/#/discover/Steve-Slow-Train-Analysis-(2080s-and-2083s)?_g=(refreshInterval:(display:Off,section:0,value:0),time:(from:'2016-09-01 17:09:46-0600',mode:absolute,to:'2016-09-01 19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08" s="54" t="str">
        <f>IF(AA208&lt;IF(AG208="EC",23,5.65),"Y","N")</f>
        <v>Y</v>
      </c>
      <c r="X208" s="120" t="e">
        <f>VALUE(LEFT(AD208,4))-VALUE(LEFT(AD207,4))</f>
        <v>#VALUE!</v>
      </c>
      <c r="Y208" s="69">
        <f>RIGHT(D208,LEN(D208)-4)/10000</f>
        <v>0.1166</v>
      </c>
      <c r="Z208" s="69">
        <f>RIGHT(H208,LEN(H208)-4)/10000</f>
        <v>2.5499000000000001</v>
      </c>
      <c r="AA208" s="69">
        <f>ABS(Z208-Y208)</f>
        <v>2.4333</v>
      </c>
      <c r="AB208" s="66" t="e">
        <f>VLOOKUP(A208,Enforcements!$C$7:$J$21,8,0)</f>
        <v>#N/A</v>
      </c>
      <c r="AC208" s="62" t="e">
        <f>VLOOKUP(A208,Enforcements!$C$7:$E$21,3,0)</f>
        <v>#N/A</v>
      </c>
      <c r="AD208" s="63" t="str">
        <f>IF(LEN(A208)=6,"0"&amp;A208,A208)</f>
        <v>50-01</v>
      </c>
      <c r="AE208" s="99" t="str">
        <f>"aws s3 cp "&amp;s3_bucket&amp;"/RTDC"&amp;B208&amp;"/"&amp;TEXT(F208,"YYYY-MM-DD")&amp;"/ "&amp;search_path&amp;"\RTDC"&amp;B208&amp;"\"&amp;TEXT(F208,"YYYY-MM-DD")&amp;" --recursive &amp; """&amp;walkandungz&amp;""" "&amp;search_path&amp;"\RTDC"&amp;B208&amp;"\"&amp;TEXT(F208,"YYYY-MM-DD")
&amp;" &amp; "&amp;"aws s3 cp "&amp;s3_bucket&amp;"/RTDC"&amp;B208&amp;"/"&amp;TEXT(F208+1,"YYYY-MM-DD")&amp;"/ "&amp;search_path&amp;"\RTDC"&amp;B208&amp;"\"&amp;TEXT(F208+1,"YYYY-MM-DD")&amp;" --recursive &amp; """&amp;walkandungz&amp;""" "&amp;search_path&amp;"\RTDC"&amp;B208&amp;"\"&amp;TEXT(F208+1,"YYYY-MM-DD")</f>
        <v>aws s3 cp s3://rtdc.mdm.uploadarchive/RTDC4022/2016-09-01/ "%USERPROFILE%\AppData\Local\Temp\OnboardLogs"\RTDC4022\2016-09-01 --recursive &amp; "%USERPROFILE%\Documents\GitHub\mrs-test-scripts\Headless Mode &amp; Sideloading\WalkAndUnGZ.bat" "%USERPROFILE%\AppData\Local\Temp\OnboardLogs"\RTDC4022\2016-09-01 &amp; aws s3 cp s3://rtdc.mdm.uploadarchive/RTDC4022/2016-09-02/ "%USERPROFILE%\AppData\Local\Temp\OnboardLogs"\RTDC4022\2016-09-02 --recursive &amp; "%USERPROFILE%\Documents\GitHub\mrs-test-scripts\Headless Mode &amp; Sideloading\WalkAndUnGZ.bat" "%USERPROFILE%\AppData\Local\Temp\OnboardLogs"\RTDC4022\2016-09-02</v>
      </c>
      <c r="AF208" s="96" t="str">
        <f>astrogrep_path&amp;" /spath="&amp;search_path&amp;" /stypes=""*"&amp;B208&amp;"*"&amp;TEXT(I208-utc_offset/24,"YYYYMMDD")&amp;"*"" /stext="" "&amp;TEXT(I208-utc_offset/24,"HH")&amp;search_regexp&amp;""" /e /r /s"</f>
        <v>"C:\Program Files (x86)\AstroGrep\AstroGrep.exe" /spath="%USERPROFILE%\AppData\Local\Temp\OnboardLogs" /stypes="*4022*20160902*" /stext=" 00:.+((SYSTEM_STATE.+slice.+state.+changed )|(ment ac)|(system.+state.+changed )|(\|lc)|(penalty)|(\[timeout)|(PRM\|1\|D)|(kpr)|(kdp))" /e /r /s</v>
      </c>
      <c r="AG208" s="1" t="str">
        <f>IFERROR(IF(VALUE(LEFT(AD208,2))&lt;=2,"EC",IF(OR(VALUE(LEFT(AD208,2))=8,VALUE(LEFT(AD208,2))=18),"NW","Other")),"Other")</f>
        <v>Other</v>
      </c>
      <c r="AH208" s="100" t="str">
        <f t="shared" si="18"/>
        <v>"%USERPROFILE%\Documents\GitHub\eaglep3\Utilities\RefineRTDCRunTimes.py" --tripid 50-01 --locoid 4022 --swversion DE.1.0.7.0 --startMP 204:1166 --initTime 2016-09-01T18:09:46 --startdatetime 2016-09-01T18:25:29 --delay 1 --endMP 300:25499 --enddatetime 2016-09-01T18:36:47 --enforcementcount 0 &gt;&gt;C:\Users\stu\Documents\GitHub\eaglep3-reporting\EC\2016-09-01-refined-times.txt</v>
      </c>
      <c r="AI208" s="149" t="str">
        <f t="shared" si="19"/>
        <v>echo {"issue":{"subject":"","project_id":79,"tracker_id":40,"status_id":1,"priority_id":2,"assigned_to_id":23,"start_date":"2016-09-01","description":"","custom_fields":[{"id":1,"name":"Subdivision","value":"Other"},{"id":4,"name":"Milepost","value":"2.4333"},{"id":17,"name":"Train ID","value":"50-01"},{"id":16,"name":"Locomotive ID","value":"4022"},{"id":130,"name":"Impact","value":""},{"id":150,"name":"Time of Event (Mountain Time)","value":"18:36:47"},{"id":151,"name":"Denver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589</v>
      </c>
      <c r="B209" s="7">
        <v>4006</v>
      </c>
      <c r="C209" s="24" t="s">
        <v>113</v>
      </c>
      <c r="D209" s="24" t="s">
        <v>590</v>
      </c>
      <c r="E209" s="15">
        <v>42614.47210648148</v>
      </c>
      <c r="F209" s="15">
        <v>25568.958333333332</v>
      </c>
      <c r="G209" s="7">
        <v>1</v>
      </c>
      <c r="H209" s="15" t="s">
        <v>591</v>
      </c>
      <c r="I209" s="15">
        <v>25568.958333333332</v>
      </c>
      <c r="J209" s="7">
        <v>0</v>
      </c>
      <c r="K209" s="132" t="str">
        <f>IF(ISEVEN(B209),(B209-1)&amp;"/"&amp;B209,B209&amp;"/"&amp;(B209+1))</f>
        <v>4005/4006</v>
      </c>
      <c r="L209" s="24" t="str">
        <f>VLOOKUP(A209,'Trips&amp;Operators'!$C$1:$E$10000,3,FALSE)</f>
        <v>MALAVE</v>
      </c>
      <c r="M209" s="6">
        <f>I209-F209</f>
        <v>0</v>
      </c>
      <c r="N209" s="7">
        <f>24*60*SUM($M209:$M209)</f>
        <v>0</v>
      </c>
      <c r="O209" s="7"/>
      <c r="P209" s="7"/>
      <c r="Q209" s="25"/>
      <c r="R209" s="25"/>
      <c r="S209" s="37">
        <f>SUM(U209:U209)/IF(AG209="EC",12,1)</f>
        <v>0</v>
      </c>
      <c r="T209" s="52" t="e">
        <f>IF(ISEVEN(LEFT(AD209,4)),"Southbound","NorthBound")</f>
        <v>#VALUE!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06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hh:mm:ss")&amp;"-0600',mode:absolute,to:'"&amp;TEXT(I209+1/24,"yyyy-MM-DD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https://search-rtdc-monitor-bjffxe2xuh6vdkpspy63sjmuny.us-east-1.es.amazonaws.com/_plugin/kibana/#/discover/Steve-Slow-Train-Analysis-(2080s-and-2083s)?_g=(refreshInterval:(display:Off,section:0,value:0),time:(from:'2016-09-01 10:19:50-0600',mode:absolute,to:'1970-01-01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4006%22')),sort:!(Time,asc))</v>
      </c>
      <c r="W209" s="54" t="str">
        <f>IF(AA209&lt;IF(AG209="EC",23,5.65),"Y","N")</f>
        <v>Y</v>
      </c>
      <c r="X209" s="120" t="e">
        <f>VALUE(LEFT(AD209,4))-VALUE(LEFT(AD208,4))</f>
        <v>#VALUE!</v>
      </c>
      <c r="Y209" s="69">
        <f>RIGHT(D209,LEN(D209)-4)/10000</f>
        <v>0.11600000000000001</v>
      </c>
      <c r="Z209" s="69">
        <f>RIGHT(H209,LEN(H209)-4)/10000</f>
        <v>2.4260000000000002</v>
      </c>
      <c r="AA209" s="69">
        <f>ABS(Z209-Y209)</f>
        <v>2.31</v>
      </c>
      <c r="AB209" s="66" t="e">
        <f>VLOOKUP(A209,Enforcements!$C$7:$J$21,8,0)</f>
        <v>#N/A</v>
      </c>
      <c r="AC209" s="62" t="e">
        <f>VLOOKUP(A209,Enforcements!$C$7:$E$21,3,0)</f>
        <v>#N/A</v>
      </c>
      <c r="AD209" s="63" t="str">
        <f>IF(LEN(A209)=6,"0"&amp;A209,A209)</f>
        <v>51-01</v>
      </c>
      <c r="AE209" s="99" t="str">
        <f>"aws s3 cp "&amp;s3_bucket&amp;"/RTDC"&amp;B209&amp;"/"&amp;TEXT(F209,"YYYY-MM-DD")&amp;"/ "&amp;search_path&amp;"\RTDC"&amp;B209&amp;"\"&amp;TEXT(F209,"YYYY-MM-DD")&amp;" --recursive &amp; """&amp;walkandungz&amp;""" "&amp;search_path&amp;"\RTDC"&amp;B209&amp;"\"&amp;TEXT(F209,"YYYY-MM-DD")
&amp;" &amp; "&amp;"aws s3 cp "&amp;s3_bucket&amp;"/RTDC"&amp;B209&amp;"/"&amp;TEXT(F209+1,"YYYY-MM-DD")&amp;"/ "&amp;search_path&amp;"\RTDC"&amp;B209&amp;"\"&amp;TEXT(F209+1,"YYYY-MM-DD")&amp;" --recursive &amp; """&amp;walkandungz&amp;""" "&amp;search_path&amp;"\RTDC"&amp;B209&amp;"\"&amp;TEXT(F209+1,"YYYY-MM-DD")</f>
        <v>aws s3 cp s3://rtdc.mdm.uploadarchive/RTDC4006/1969-12-31/ "%USERPROFILE%\AppData\Local\Temp\OnboardLogs"\RTDC4006\1969-12-31 --recursive &amp; "%USERPROFILE%\Documents\GitHub\mrs-test-scripts\Headless Mode &amp; Sideloading\WalkAndUnGZ.bat" "%USERPROFILE%\AppData\Local\Temp\OnboardLogs"\RTDC4006\1969-12-31 &amp; aws s3 cp s3://rtdc.mdm.uploadarchive/RTDC4006/1970-01-01/ "%USERPROFILE%\AppData\Local\Temp\OnboardLogs"\RTDC4006\1970-01-01 --recursive &amp; "%USERPROFILE%\Documents\GitHub\mrs-test-scripts\Headless Mode &amp; Sideloading\WalkAndUnGZ.bat" "%USERPROFILE%\AppData\Local\Temp\OnboardLogs"\RTDC4006\1970-01-01</v>
      </c>
      <c r="AF209" s="96" t="str">
        <f>astrogrep_path&amp;" /spath="&amp;search_path&amp;" /stypes=""*"&amp;B209&amp;"*"&amp;TEXT(I209-utc_offset/24,"YYYYMMDD")&amp;"*"" /stext="" "&amp;TEXT(I209-utc_offset/24,"HH")&amp;search_regexp&amp;""" /e /r /s"</f>
        <v>"C:\Program Files (x86)\AstroGrep\AstroGrep.exe" /spath="%USERPROFILE%\AppData\Local\Temp\OnboardLogs" /stypes="*4006*19700101*" /stext=" 05:.+((SYSTEM_STATE.+slice.+state.+changed )|(ment ac)|(system.+state.+changed )|(\|lc)|(penalty)|(\[timeout)|(PRM\|1\|D)|(kpr)|(kdp))" /e /r /s</v>
      </c>
      <c r="AG209" s="1" t="str">
        <f>IFERROR(IF(VALUE(LEFT(AD209,2))&lt;=2,"EC",IF(OR(VALUE(LEFT(AD209,2))=8,VALUE(LEFT(AD209,2))=18),"NW","Other")),"Other")</f>
        <v>Other</v>
      </c>
      <c r="AH209" s="100" t="str">
        <f t="shared" si="18"/>
        <v>"%USERPROFILE%\Documents\GitHub\eaglep3\Utilities\RefineRTDCRunTimes.py" --tripid 51-01 --locoid 4006 --swversion DE.1.0.7.0 --startMP 204:1160 --initTime 2016-09-01T11:19:50 --startdatetime 1969-12-31T23:00:00 --delay 1 --endMP 300:24260 --enddatetime 1969-12-31T23:00:00 --enforcementcount 0 &gt;&gt;C:\Users\stu\Documents\GitHub\eaglep3-reporting\EC\2016-09-01-refined-times.txt</v>
      </c>
      <c r="AI209" s="149" t="str">
        <f t="shared" si="19"/>
        <v>echo {"issue":{"subject":"","project_id":79,"tracker_id":40,"status_id":1,"priority_id":2,"assigned_to_id":23,"start_date":"1969-12-31","description":"","custom_fields":[{"id":1,"name":"Subdivision","value":"Other"},{"id":4,"name":"Milepost","value":"2.31"},{"id":17,"name":"Train ID","value":"51-01"},{"id":16,"name":"Locomotive ID","value":"4006"},{"id":130,"name":"Impact","value":""},{"id":150,"name":"Time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592</v>
      </c>
      <c r="B210" s="7">
        <v>4022</v>
      </c>
      <c r="C210" s="24" t="s">
        <v>113</v>
      </c>
      <c r="D210" s="24" t="s">
        <v>259</v>
      </c>
      <c r="E210" s="15">
        <v>42614.491481481484</v>
      </c>
      <c r="F210" s="15">
        <v>25568.958333333332</v>
      </c>
      <c r="G210" s="7">
        <v>0</v>
      </c>
      <c r="H210" s="15" t="s">
        <v>588</v>
      </c>
      <c r="I210" s="15">
        <v>25568.958333333332</v>
      </c>
      <c r="J210" s="7">
        <v>0</v>
      </c>
      <c r="K210" s="132" t="str">
        <f>IF(ISEVEN(B210),(B210-1)&amp;"/"&amp;B210,B210&amp;"/"&amp;(B210+1))</f>
        <v>4021/4022</v>
      </c>
      <c r="L210" s="24" t="str">
        <f>VLOOKUP(A210,'Trips&amp;Operators'!$C$1:$E$10000,3,FALSE)</f>
        <v>ROCHA</v>
      </c>
      <c r="M210" s="6">
        <f>I210-F210</f>
        <v>0</v>
      </c>
      <c r="N210" s="7">
        <f>24*60*SUM($M210:$M210)</f>
        <v>0</v>
      </c>
      <c r="O210" s="7"/>
      <c r="P210" s="7"/>
      <c r="Q210" s="25"/>
      <c r="R210" s="25"/>
      <c r="S210" s="37">
        <f>SUM(U210:U210)/IF(AG210="EC",12,1)</f>
        <v>0</v>
      </c>
      <c r="T210" s="52" t="e">
        <f>IF(ISEVEN(LEFT(AD210,4)),"Southbound","NorthBound")</f>
        <v>#VALUE!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hh:mm:ss")&amp;"-0600',mode:absolute,to:'"&amp;TEXT(I210+1/24,"yyyy-MM-DD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https://search-rtdc-monitor-bjffxe2xuh6vdkpspy63sjmuny.us-east-1.es.amazonaws.com/_plugin/kibana/#/discover/Steve-Slow-Train-Analysis-(2080s-and-2083s)?_g=(refreshInterval:(display:Off,section:0,value:0),time:(from:'2016-09-01 10:47:44-0600',mode:absolute,to:'1970-01-01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10" s="54" t="str">
        <f>IF(AA210&lt;IF(AG210="EC",23,5.65),"Y","N")</f>
        <v>Y</v>
      </c>
      <c r="X210" s="120" t="e">
        <f>VALUE(LEFT(AD210,4))-VALUE(LEFT(AD209,4))</f>
        <v>#VALUE!</v>
      </c>
      <c r="Y210" s="69">
        <f>RIGHT(D210,LEN(D210)-4)/10000</f>
        <v>4.4600000000000001E-2</v>
      </c>
      <c r="Z210" s="69">
        <f>RIGHT(H210,LEN(H210)-4)/10000</f>
        <v>2.5499000000000001</v>
      </c>
      <c r="AA210" s="69">
        <f>ABS(Z210-Y210)</f>
        <v>2.5053000000000001</v>
      </c>
      <c r="AB210" s="66" t="e">
        <f>VLOOKUP(A210,Enforcements!$C$7:$J$21,8,0)</f>
        <v>#N/A</v>
      </c>
      <c r="AC210" s="62" t="e">
        <f>VLOOKUP(A210,Enforcements!$C$7:$E$21,3,0)</f>
        <v>#N/A</v>
      </c>
      <c r="AD210" s="63" t="str">
        <f>IF(LEN(A210)=6,"0"&amp;A210,A210)</f>
        <v>53-01</v>
      </c>
      <c r="AE210" s="99" t="str">
        <f>"aws s3 cp "&amp;s3_bucket&amp;"/RTDC"&amp;B210&amp;"/"&amp;TEXT(F210,"YYYY-MM-DD")&amp;"/ "&amp;search_path&amp;"\RTDC"&amp;B210&amp;"\"&amp;TEXT(F210,"YYYY-MM-DD")&amp;" --recursive &amp; """&amp;walkandungz&amp;""" "&amp;search_path&amp;"\RTDC"&amp;B210&amp;"\"&amp;TEXT(F210,"YYYY-MM-DD")
&amp;" &amp; "&amp;"aws s3 cp "&amp;s3_bucket&amp;"/RTDC"&amp;B210&amp;"/"&amp;TEXT(F210+1,"YYYY-MM-DD")&amp;"/ "&amp;search_path&amp;"\RTDC"&amp;B210&amp;"\"&amp;TEXT(F210+1,"YYYY-MM-DD")&amp;" --recursive &amp; """&amp;walkandungz&amp;""" "&amp;search_path&amp;"\RTDC"&amp;B210&amp;"\"&amp;TEXT(F210+1,"YYYY-MM-DD")</f>
        <v>aws s3 cp s3://rtdc.mdm.uploadarchive/RTDC4022/1969-12-31/ "%USERPROFILE%\AppData\Local\Temp\OnboardLogs"\RTDC4022\1969-12-31 --recursive &amp; "%USERPROFILE%\Documents\GitHub\mrs-test-scripts\Headless Mode &amp; Sideloading\WalkAndUnGZ.bat" "%USERPROFILE%\AppData\Local\Temp\OnboardLogs"\RTDC4022\1969-12-31 &amp; aws s3 cp s3://rtdc.mdm.uploadarchive/RTDC4022/1970-01-01/ "%USERPROFILE%\AppData\Local\Temp\OnboardLogs"\RTDC4022\1970-01-01 --recursive &amp; "%USERPROFILE%\Documents\GitHub\mrs-test-scripts\Headless Mode &amp; Sideloading\WalkAndUnGZ.bat" "%USERPROFILE%\AppData\Local\Temp\OnboardLogs"\RTDC4022\1970-01-01</v>
      </c>
      <c r="AF210" s="96" t="str">
        <f>astrogrep_path&amp;" /spath="&amp;search_path&amp;" /stypes=""*"&amp;B210&amp;"*"&amp;TEXT(I210-utc_offset/24,"YYYYMMDD")&amp;"*"" /stext="" "&amp;TEXT(I210-utc_offset/24,"HH")&amp;search_regexp&amp;""" /e /r /s"</f>
        <v>"C:\Program Files (x86)\AstroGrep\AstroGrep.exe" /spath="%USERPROFILE%\AppData\Local\Temp\OnboardLogs" /stypes="*4022*19700101*" /stext=" 05:.+((SYSTEM_STATE.+slice.+state.+changed )|(ment ac)|(system.+state.+changed )|(\|lc)|(penalty)|(\[timeout)|(PRM\|1\|D)|(kpr)|(kdp))" /e /r /s</v>
      </c>
      <c r="AG210" s="1" t="str">
        <f>IFERROR(IF(VALUE(LEFT(AD210,2))&lt;=2,"EC",IF(OR(VALUE(LEFT(AD210,2))=8,VALUE(LEFT(AD210,2))=18),"NW","Other")),"Other")</f>
        <v>Other</v>
      </c>
      <c r="AH210" s="100" t="str">
        <f t="shared" si="18"/>
        <v>"%USERPROFILE%\Documents\GitHub\eaglep3\Utilities\RefineRTDCRunTimes.py" --tripid 53-01 --locoid 4022 --swversion DE.1.0.7.0 --startMP 204:446 --initTime 2016-09-01T11:47:44 --startdatetime 1969-12-31T23:00:00 --delay 0 --endMP 300:25499 --enddatetime 1969-12-31T23:00:00 --enforcementcount 0 &gt;&gt;C:\Users\stu\Documents\GitHub\eaglep3-reporting\EC\2016-09-01-refined-times.txt</v>
      </c>
      <c r="AI210" s="149" t="str">
        <f t="shared" si="19"/>
        <v>echo {"issue":{"subject":"","project_id":79,"tracker_id":40,"status_id":1,"priority_id":2,"assigned_to_id":23,"start_date":"1969-12-31","description":"","custom_fields":[{"id":1,"name":"Subdivision","value":"Other"},{"id":4,"name":"Milepost","value":"2.5053"},{"id":17,"name":"Train ID","value":"53-01"},{"id":16,"name":"Locomotive ID","value":"4022"},{"id":130,"name":"Impact","value":""},{"id":150,"name":"Time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593</v>
      </c>
      <c r="B211" s="7">
        <v>4028</v>
      </c>
      <c r="C211" s="24" t="s">
        <v>113</v>
      </c>
      <c r="D211" s="24" t="s">
        <v>302</v>
      </c>
      <c r="E211" s="15">
        <v>42614.780532407407</v>
      </c>
      <c r="F211" s="15">
        <v>42614.784131944441</v>
      </c>
      <c r="G211" s="7">
        <v>4</v>
      </c>
      <c r="H211" s="15">
        <v>8.5243055555555554</v>
      </c>
      <c r="I211" s="15">
        <v>42614.793356481481</v>
      </c>
      <c r="J211" s="7">
        <v>0</v>
      </c>
      <c r="K211" s="132" t="str">
        <f>IF(ISEVEN(B211),(B211-1)&amp;"/"&amp;B211,B211&amp;"/"&amp;(B211+1))</f>
        <v>4027/4028</v>
      </c>
      <c r="L211" s="24" t="str">
        <f>VLOOKUP(A211,'Trips&amp;Operators'!$C$1:$E$10000,3,FALSE)</f>
        <v>COOPER</v>
      </c>
      <c r="M211" s="6">
        <f>I211-F211</f>
        <v>9.2245370396994986E-3</v>
      </c>
      <c r="N211" s="7">
        <f>24*60*SUM($M211:$M211)</f>
        <v>13.283333337167278</v>
      </c>
      <c r="O211" s="7"/>
      <c r="P211" s="7"/>
      <c r="Q211" s="25"/>
      <c r="R211" s="25"/>
      <c r="S211" s="37">
        <f>SUM(U211:U211)/IF(AG211="EC",12,1)</f>
        <v>0</v>
      </c>
      <c r="T211" s="52" t="e">
        <f>IF(ISEVEN(LEFT(AD211,4)),"Southbound","NorthBound")</f>
        <v>#VALUE!</v>
      </c>
      <c r="U211" s="12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hh:mm:ss")&amp;"-0600',mode:absolute,to:'"&amp;TEXT(I211+1/24,"yyyy-MM-DD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https://search-rtdc-monitor-bjffxe2xuh6vdkpspy63sjmuny.us-east-1.es.amazonaws.com/_plugin/kibana/#/discover/Steve-Slow-Train-Analysis-(2080s-and-2083s)?_g=(refreshInterval:(display:Off,section:0,value:0),time:(from:'2016-09-01 17:43:58-0600',mode:absolute,to:'2016-09-01 20:02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11" s="54" t="str">
        <f>IF(AA211&lt;IF(AG211="EC",23,5.65),"Y","N")</f>
        <v>N</v>
      </c>
      <c r="X211" s="120" t="e">
        <f>VALUE(LEFT(AD211,4))-VALUE(LEFT(AD210,4))</f>
        <v>#VALUE!</v>
      </c>
      <c r="Y211" s="69">
        <f>RIGHT(D211,LEN(D211)-4)/10000</f>
        <v>2.3346</v>
      </c>
      <c r="Z211" s="69">
        <f>RIGHT(H211,LEN(H211)-4)/10000</f>
        <v>43055555.555600002</v>
      </c>
      <c r="AA211" s="69">
        <f>ABS(Z211-Y211)</f>
        <v>43055553.221000001</v>
      </c>
      <c r="AB211" s="66" t="e">
        <f>VLOOKUP(A211,Enforcements!$C$7:$J$21,8,0)</f>
        <v>#N/A</v>
      </c>
      <c r="AC211" s="62" t="e">
        <f>VLOOKUP(A211,Enforcements!$C$7:$E$21,3,0)</f>
        <v>#N/A</v>
      </c>
      <c r="AD211" s="63" t="str">
        <f>IF(LEN(A211)=6,"0"&amp;A211,A211)</f>
        <v>54-01</v>
      </c>
      <c r="AE211" s="99" t="str">
        <f>"aws s3 cp "&amp;s3_bucket&amp;"/RTDC"&amp;B211&amp;"/"&amp;TEXT(F211,"YYYY-MM-DD")&amp;"/ "&amp;search_path&amp;"\RTDC"&amp;B211&amp;"\"&amp;TEXT(F211,"YYYY-MM-DD")&amp;" --recursive &amp; """&amp;walkandungz&amp;""" "&amp;search_path&amp;"\RTDC"&amp;B211&amp;"\"&amp;TEXT(F211,"YYYY-MM-DD")
&amp;" &amp; "&amp;"aws s3 cp "&amp;s3_bucket&amp;"/RTDC"&amp;B211&amp;"/"&amp;TEXT(F211+1,"YYYY-MM-DD")&amp;"/ "&amp;search_path&amp;"\RTDC"&amp;B211&amp;"\"&amp;TEXT(F211+1,"YYYY-MM-DD")&amp;" --recursive &amp; """&amp;walkandungz&amp;""" "&amp;search_path&amp;"\RTDC"&amp;B211&amp;"\"&amp;TEXT(F211+1,"YYYY-MM-DD")</f>
        <v>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 &amp; aws s3 cp s3://rtdc.mdm.uploadarchive/RTDC4028/2016-09-02/ "%USERPROFILE%\AppData\Local\Temp\OnboardLogs"\RTDC4028\2016-09-02 --recursive &amp; "%USERPROFILE%\Documents\GitHub\mrs-test-scripts\Headless Mode &amp; Sideloading\WalkAndUnGZ.bat" "%USERPROFILE%\AppData\Local\Temp\OnboardLogs"\RTDC4028\2016-09-02</v>
      </c>
      <c r="AF211" s="96" t="str">
        <f>astrogrep_path&amp;" /spath="&amp;search_path&amp;" /stypes=""*"&amp;B211&amp;"*"&amp;TEXT(I211-utc_offset/24,"YYYYMMDD")&amp;"*"" /stext="" "&amp;TEXT(I211-utc_offset/24,"HH")&amp;search_regexp&amp;""" /e /r /s"</f>
        <v>"C:\Program Files (x86)\AstroGrep\AstroGrep.exe" /spath="%USERPROFILE%\AppData\Local\Temp\OnboardLogs" /stypes="*4028*20160902*" /stext=" 01:.+((SYSTEM_STATE.+slice.+state.+changed )|(ment ac)|(system.+state.+changed )|(\|lc)|(penalty)|(\[timeout)|(PRM\|1\|D)|(kpr)|(kdp))" /e /r /s</v>
      </c>
      <c r="AG211" s="1" t="str">
        <f>IFERROR(IF(VALUE(LEFT(AD211,2))&lt;=2,"EC",IF(OR(VALUE(LEFT(AD211,2))=8,VALUE(LEFT(AD211,2))=18),"NW","Other")),"Other")</f>
        <v>Other</v>
      </c>
      <c r="AH211" s="100" t="str">
        <f t="shared" si="18"/>
        <v>"%USERPROFILE%\Documents\GitHub\eaglep3\Utilities\RefineRTDCRunTimes.py" --tripid 54-01 --locoid 4028 --swversion DE.1.0.7.0 --startMP 300:23346 --initTime 2016-09-01T18:43:58 --startdatetime 2016-09-01T18:49:09 --delay 4 --endMP 8.52430555555556 --enddatetime 2016-09-01T19:02:26 --enforcementcount 0 &gt;&gt;C:\Users\stu\Documents\GitHub\eaglep3-reporting\EC\2016-09-01-refined-times.txt</v>
      </c>
      <c r="AI211" s="149" t="str">
        <f t="shared" si="19"/>
        <v>echo {"issue":{"subject":"","project_id":79,"tracker_id":40,"status_id":1,"priority_id":2,"assigned_to_id":23,"start_date":"2016-09-01","description":"","custom_fields":[{"id":1,"name":"Subdivision","value":"Other"},{"id":4,"name":"Milepost","value":"43055553.221"},{"id":17,"name":"Train ID","value":"54-01"},{"id":16,"name":"Locomotive ID","value":"4028"},{"id":130,"name":"Impact","value":""},{"id":150,"name":"Time of Event (Mountain Time)","value":"19:02:26"},{"id":151,"name":"Denver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594</v>
      </c>
      <c r="B212" s="7">
        <v>4051</v>
      </c>
      <c r="C212" s="24" t="s">
        <v>595</v>
      </c>
      <c r="D212" s="24" t="s">
        <v>596</v>
      </c>
      <c r="E212" s="15">
        <v>42615.103703703702</v>
      </c>
      <c r="F212" s="15">
        <v>42615.105092592596</v>
      </c>
      <c r="G212" s="7">
        <v>1</v>
      </c>
      <c r="H212" s="15" t="s">
        <v>597</v>
      </c>
      <c r="I212" s="15">
        <v>42615.123518518521</v>
      </c>
      <c r="J212" s="7">
        <v>0</v>
      </c>
      <c r="K212" s="132" t="str">
        <f>IF(ISEVEN(B212),(B212-1)&amp;"/"&amp;B212,B212&amp;"/"&amp;(B212+1))</f>
        <v>4051/4052</v>
      </c>
      <c r="L212" s="24" t="str">
        <f>VLOOKUP(A212,'Trips&amp;Operators'!$C$1:$E$10000,3,FALSE)</f>
        <v>GOLIGHTLY</v>
      </c>
      <c r="M212" s="6">
        <f>I212-F212</f>
        <v>1.8425925925839692E-2</v>
      </c>
      <c r="N212" s="7">
        <f>24*60*SUM($M212:$M212)</f>
        <v>26.533333333209157</v>
      </c>
      <c r="O212" s="7"/>
      <c r="P212" s="7"/>
      <c r="Q212" s="25"/>
      <c r="R212" s="25"/>
      <c r="S212" s="37">
        <f>SUM(U212:U212)/IF(AG212="EC",12,1)</f>
        <v>0</v>
      </c>
      <c r="T212" s="52" t="e">
        <f>IF(ISEVEN(LEFT(AD212,4)),"Southbound","NorthBound")</f>
        <v>#VALUE!</v>
      </c>
      <c r="U212" s="12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6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hh:mm:ss")&amp;"-0600',mode:absolute,to:'"&amp;TEXT(I212+1/24,"yyyy-MM-DD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https://search-rtdc-monitor-bjffxe2xuh6vdkpspy63sjmuny.us-east-1.es.amazonaws.com/_plugin/kibana/#/discover/Steve-Slow-Train-Analysis-(2080s-and-2083s)?_g=(refreshInterval:(display:Off,section:0,value:0),time:(from:'2016-09-02 01:29:20-0600',mode:absolute,to:'2016-09-02 03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2" s="54" t="str">
        <f>IF(AA212&lt;IF(AG212="EC",23,5.65),"Y","N")</f>
        <v>N</v>
      </c>
      <c r="X212" s="120" t="e">
        <f>VALUE(LEFT(AD212,4))-VALUE(LEFT(AD211,4))</f>
        <v>#VALUE!</v>
      </c>
      <c r="Y212" s="69">
        <f>RIGHT(D212,LEN(D212)-4)/10000</f>
        <v>1.0067999999999999</v>
      </c>
      <c r="Z212" s="69">
        <f>RIGHT(H212,LEN(H212)-4)/10000</f>
        <v>12.836600000000001</v>
      </c>
      <c r="AA212" s="69">
        <f>ABS(Z212-Y212)</f>
        <v>11.829800000000001</v>
      </c>
      <c r="AB212" s="66" t="e">
        <f>VLOOKUP(A212,Enforcements!$C$7:$J$21,8,0)</f>
        <v>#N/A</v>
      </c>
      <c r="AC212" s="62" t="e">
        <f>VLOOKUP(A212,Enforcements!$C$7:$E$21,3,0)</f>
        <v>#N/A</v>
      </c>
      <c r="AD212" s="63" t="str">
        <f>IF(LEN(A212)=6,"0"&amp;A212,A212)</f>
        <v>57-01</v>
      </c>
      <c r="AE212" s="99" t="str">
        <f>"aws s3 cp "&amp;s3_bucket&amp;"/RTDC"&amp;B212&amp;"/"&amp;TEXT(F212,"YYYY-MM-DD")&amp;"/ "&amp;search_path&amp;"\RTDC"&amp;B212&amp;"\"&amp;TEXT(F212,"YYYY-MM-DD")&amp;" --recursive &amp; """&amp;walkandungz&amp;""" "&amp;search_path&amp;"\RTDC"&amp;B212&amp;"\"&amp;TEXT(F212,"YYYY-MM-DD")
&amp;" &amp; "&amp;"aws s3 cp "&amp;s3_bucket&amp;"/RTDC"&amp;B212&amp;"/"&amp;TEXT(F212+1,"YYYY-MM-DD")&amp;"/ "&amp;search_path&amp;"\RTDC"&amp;B212&amp;"\"&amp;TEXT(F212+1,"YYYY-MM-DD")&amp;" --recursive &amp; """&amp;walkandungz&amp;""" "&amp;search_path&amp;"\RTDC"&amp;B212&amp;"\"&amp;TEXT(F212+1,"YYYY-MM-DD")</f>
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</c>
      <c r="AF212" s="96" t="str">
        <f>astrogrep_path&amp;" /spath="&amp;search_path&amp;" /stypes=""*"&amp;B212&amp;"*"&amp;TEXT(I212-utc_offset/24,"YYYYMMDD")&amp;"*"" /stext="" "&amp;TEXT(I212-utc_offset/24,"HH")&amp;search_regexp&amp;""" /e /r /s"</f>
        <v>"C:\Program Files (x86)\AstroGrep\AstroGrep.exe" /spath="%USERPROFILE%\AppData\Local\Temp\OnboardLogs" /stypes="*4051*20160902*" /stext=" 08:.+((SYSTEM_STATE.+slice.+state.+changed )|(ment ac)|(system.+state.+changed )|(\|lc)|(penalty)|(\[timeout)|(PRM\|1\|D)|(kpr)|(kdp))" /e /r /s</v>
      </c>
      <c r="AG212" s="1" t="str">
        <f>IFERROR(IF(VALUE(LEFT(AD212,2))&lt;=2,"EC",IF(OR(VALUE(LEFT(AD212,2))=8,VALUE(LEFT(AD212,2))=18),"NW","Other")),"Other")</f>
        <v>Other</v>
      </c>
      <c r="AH212" s="100" t="str">
        <f t="shared" si="18"/>
        <v>"%USERPROFILE%\Documents\GitHub\eaglep3\Utilities\RefineRTDCRunTimes.py" --tripid 57-01 --locoid 4051 --swversion DE.1.0.8.0.ENG1 --startMP 204:10068 --initTime 2016-09-02T02:29:20 --startdatetime 2016-09-02T02:31:20 --delay 1 --endMP 204:128366 --enddatetime 2016-09-02T02:57:52 --enforcementcount 0 &gt;&gt;C:\Users\stu\Documents\GitHub\eaglep3-reporting\EC\2016-09-01-refined-times.txt</v>
      </c>
      <c r="AI212" s="149" t="str">
        <f t="shared" si="19"/>
        <v>echo {"issue":{"subject":"","project_id":79,"tracker_id":40,"status_id":1,"priority_id":2,"assigned_to_id":23,"start_date":"2016-09-02","description":"","custom_fields":[{"id":1,"name":"Subdivision","value":"Other"},{"id":4,"name":"Milepost","value":"11.8298"},{"id":17,"name":"Train ID","value":"57-01"},{"id":16,"name":"Locomotive ID","value":"4051"},{"id":130,"name":"Impact","value":""},{"id":150,"name":"Time of Event (Mountain Time)","value":"02:57:52"},{"id":151,"name":"Denver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594</v>
      </c>
      <c r="B213" s="7">
        <v>4051</v>
      </c>
      <c r="C213" s="24" t="s">
        <v>595</v>
      </c>
      <c r="D213" s="24" t="s">
        <v>327</v>
      </c>
      <c r="E213" s="15">
        <v>42615.055011574077</v>
      </c>
      <c r="F213" s="15">
        <v>42615.084826388891</v>
      </c>
      <c r="G213" s="7">
        <v>1</v>
      </c>
      <c r="H213" s="15" t="s">
        <v>598</v>
      </c>
      <c r="I213" s="15">
        <v>42615.101064814815</v>
      </c>
      <c r="J213" s="7">
        <v>0</v>
      </c>
      <c r="K213" s="132" t="str">
        <f>IF(ISEVEN(B213),(B213-1)&amp;"/"&amp;B213,B213&amp;"/"&amp;(B213+1))</f>
        <v>4051/4052</v>
      </c>
      <c r="L213" s="24" t="str">
        <f>VLOOKUP(A213,'Trips&amp;Operators'!$C$1:$E$10000,3,FALSE)</f>
        <v>GOLIGHTLY</v>
      </c>
      <c r="M213" s="6">
        <f>I213-F213</f>
        <v>1.6238425923802424E-2</v>
      </c>
      <c r="N213" s="7">
        <f>24*60*SUM($M213:$M213)</f>
        <v>23.383333330275491</v>
      </c>
      <c r="O213" s="7"/>
      <c r="P213" s="7"/>
      <c r="Q213" s="25"/>
      <c r="R213" s="25"/>
      <c r="S213" s="37">
        <f>SUM(U213:U213)/IF(AG213="EC",12,1)</f>
        <v>0</v>
      </c>
      <c r="T213" s="52" t="e">
        <f>IF(ISEVEN(LEFT(AD213,4)),"Southbound","NorthBound")</f>
        <v>#VALUE!</v>
      </c>
      <c r="U213" s="12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6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hh:mm:ss")&amp;"-0600',mode:absolute,to:'"&amp;TEXT(I213+1/24,"yyyy-MM-DD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https://search-rtdc-monitor-bjffxe2xuh6vdkpspy63sjmuny.us-east-1.es.amazonaws.com/_plugin/kibana/#/discover/Steve-Slow-Train-Analysis-(2080s-and-2083s)?_g=(refreshInterval:(display:Off,section:0,value:0),time:(from:'2016-09-02 00:19:13-0600',mode:absolute,to:'2016-09-02 03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3" s="54" t="str">
        <f>IF(AA213&lt;IF(AG213="EC",23,5.65),"Y","N")</f>
        <v>N</v>
      </c>
      <c r="X213" s="120" t="e">
        <f>VALUE(LEFT(AD213,4))-VALUE(LEFT(AD212,4))</f>
        <v>#VALUE!</v>
      </c>
      <c r="Y213" s="69">
        <f>RIGHT(D213,LEN(D213)-4)/10000</f>
        <v>4.8399999999999999E-2</v>
      </c>
      <c r="Z213" s="69">
        <f>RIGHT(H213,LEN(H213)-4)/10000</f>
        <v>15.7936</v>
      </c>
      <c r="AA213" s="69">
        <f>ABS(Z213-Y213)</f>
        <v>15.745200000000001</v>
      </c>
      <c r="AB213" s="66" t="e">
        <f>VLOOKUP(A213,Enforcements!$C$7:$J$21,8,0)</f>
        <v>#N/A</v>
      </c>
      <c r="AC213" s="62" t="e">
        <f>VLOOKUP(A213,Enforcements!$C$7:$E$21,3,0)</f>
        <v>#N/A</v>
      </c>
      <c r="AD213" s="63" t="str">
        <f>IF(LEN(A213)=6,"0"&amp;A213,A213)</f>
        <v>57-01</v>
      </c>
      <c r="AE213" s="99" t="str">
        <f>"aws s3 cp "&amp;s3_bucket&amp;"/RTDC"&amp;B213&amp;"/"&amp;TEXT(F213,"YYYY-MM-DD")&amp;"/ "&amp;search_path&amp;"\RTDC"&amp;B213&amp;"\"&amp;TEXT(F213,"YYYY-MM-DD")&amp;" --recursive &amp; """&amp;walkandungz&amp;""" "&amp;search_path&amp;"\RTDC"&amp;B213&amp;"\"&amp;TEXT(F213,"YYYY-MM-DD")
&amp;" &amp; "&amp;"aws s3 cp "&amp;s3_bucket&amp;"/RTDC"&amp;B213&amp;"/"&amp;TEXT(F213+1,"YYYY-MM-DD")&amp;"/ "&amp;search_path&amp;"\RTDC"&amp;B213&amp;"\"&amp;TEXT(F213+1,"YYYY-MM-DD")&amp;" --recursive &amp; """&amp;walkandungz&amp;""" "&amp;search_path&amp;"\RTDC"&amp;B213&amp;"\"&amp;TEXT(F213+1,"YYYY-MM-DD")</f>
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</c>
      <c r="AF213" s="96" t="str">
        <f>astrogrep_path&amp;" /spath="&amp;search_path&amp;" /stypes=""*"&amp;B213&amp;"*"&amp;TEXT(I213-utc_offset/24,"YYYYMMDD")&amp;"*"" /stext="" "&amp;TEXT(I213-utc_offset/24,"HH")&amp;search_regexp&amp;""" /e /r /s"</f>
        <v>"C:\Program Files (x86)\AstroGrep\AstroGrep.exe" /spath="%USERPROFILE%\AppData\Local\Temp\OnboardLogs" /stypes="*4051*20160902*" /stext=" 08:.+((SYSTEM_STATE.+slice.+state.+changed )|(ment ac)|(system.+state.+changed )|(\|lc)|(penalty)|(\[timeout)|(PRM\|1\|D)|(kpr)|(kdp))" /e /r /s</v>
      </c>
      <c r="AG213" s="1" t="str">
        <f>IFERROR(IF(VALUE(LEFT(AD213,2))&lt;=2,"EC",IF(OR(VALUE(LEFT(AD213,2))=8,VALUE(LEFT(AD213,2))=18),"NW","Other")),"Other")</f>
        <v>Other</v>
      </c>
      <c r="AH213" s="100" t="str">
        <f t="shared" si="18"/>
        <v>"%USERPROFILE%\Documents\GitHub\eaglep3\Utilities\RefineRTDCRunTimes.py" --tripid 57-01 --locoid 4051 --swversion DE.1.0.8.0.ENG1 --startMP 204:484 --initTime 2016-09-02T01:19:13 --startdatetime 2016-09-02T02:02:09 --delay 1 --endMP 204:157936 --enddatetime 2016-09-02T02:25:32 --enforcementcount 0 &gt;&gt;C:\Users\stu\Documents\GitHub\eaglep3-reporting\EC\2016-09-01-refined-times.txt</v>
      </c>
      <c r="AI213" s="149" t="str">
        <f t="shared" si="19"/>
        <v>echo {"issue":{"subject":"","project_id":79,"tracker_id":40,"status_id":1,"priority_id":2,"assigned_to_id":23,"start_date":"2016-09-02","description":"","custom_fields":[{"id":1,"name":"Subdivision","value":"Other"},{"id":4,"name":"Milepost","value":"15.7452"},{"id":17,"name":"Train ID","value":"57-01"},{"id":16,"name":"Locomotive ID","value":"4051"},{"id":130,"name":"Impact","value":""},{"id":150,"name":"Time of Event (Mountain Time)","value":"02:25:32"},{"id":151,"name":"Denver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599</v>
      </c>
      <c r="B214" s="7">
        <v>4052</v>
      </c>
      <c r="C214" s="24" t="s">
        <v>595</v>
      </c>
      <c r="D214" s="24" t="s">
        <v>600</v>
      </c>
      <c r="E214" s="15">
        <v>42615.083090277774</v>
      </c>
      <c r="F214" s="15">
        <v>42615.084826388891</v>
      </c>
      <c r="G214" s="7">
        <v>1</v>
      </c>
      <c r="H214" s="15" t="s">
        <v>601</v>
      </c>
      <c r="I214" s="15">
        <v>42615.101064814815</v>
      </c>
      <c r="J214" s="7">
        <v>0</v>
      </c>
      <c r="K214" s="132" t="str">
        <f>IF(ISEVEN(B214),(B214-1)&amp;"/"&amp;B214,B214&amp;"/"&amp;(B214+1))</f>
        <v>4051/4052</v>
      </c>
      <c r="L214" s="24" t="str">
        <f>VLOOKUP(A214,'Trips&amp;Operators'!$C$1:$E$10000,3,FALSE)</f>
        <v>GOLIGHTLY</v>
      </c>
      <c r="M214" s="6">
        <f>I214-F214</f>
        <v>1.6238425923802424E-2</v>
      </c>
      <c r="N214" s="7">
        <f>24*60*SUM($M214:$M214)</f>
        <v>23.383333330275491</v>
      </c>
      <c r="O214" s="7"/>
      <c r="P214" s="7"/>
      <c r="Q214" s="25"/>
      <c r="R214" s="25"/>
      <c r="S214" s="37">
        <f>SUM(U214:U214)/IF(AG214="EC",12,1)</f>
        <v>0</v>
      </c>
      <c r="T214" s="52" t="e">
        <f>IF(ISEVEN(LEFT(AD214,4)),"Southbound","NorthBound")</f>
        <v>#VALUE!</v>
      </c>
      <c r="U214" s="12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hh:mm:ss")&amp;"-0600',mode:absolute,to:'"&amp;TEXT(I214+1/24,"yyyy-MM-DD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https://search-rtdc-monitor-bjffxe2xuh6vdkpspy63sjmuny.us-east-1.es.amazonaws.com/_plugin/kibana/#/discover/Steve-Slow-Train-Analysis-(2080s-and-2083s)?_g=(refreshInterval:(display:Off,section:0,value:0),time:(from:'2016-09-02 00:59:39-0600',mode:absolute,to:'2016-09-02 03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14" s="54" t="str">
        <f>IF(AA214&lt;IF(AG214="EC",23,5.65),"Y","N")</f>
        <v>N</v>
      </c>
      <c r="X214" s="120" t="e">
        <f>VALUE(LEFT(AD214,4))-VALUE(LEFT(AD213,4))</f>
        <v>#VALUE!</v>
      </c>
      <c r="Y214" s="69">
        <f>RIGHT(D214,LEN(D214)-4)/10000</f>
        <v>15.7705</v>
      </c>
      <c r="Z214" s="69">
        <f>RIGHT(H214,LEN(H214)-4)/10000</f>
        <v>0.98099999999999998</v>
      </c>
      <c r="AA214" s="69">
        <f>ABS(Z214-Y214)</f>
        <v>14.7895</v>
      </c>
      <c r="AB214" s="66" t="e">
        <f>VLOOKUP(A214,Enforcements!$C$7:$J$21,8,0)</f>
        <v>#N/A</v>
      </c>
      <c r="AC214" s="62" t="e">
        <f>VLOOKUP(A214,Enforcements!$C$7:$E$21,3,0)</f>
        <v>#N/A</v>
      </c>
      <c r="AD214" s="63" t="str">
        <f>IF(LEN(A214)=6,"0"&amp;A214,A214)</f>
        <v>67-01</v>
      </c>
      <c r="AE214" s="99" t="str">
        <f>"aws s3 cp "&amp;s3_bucket&amp;"/RTDC"&amp;B214&amp;"/"&amp;TEXT(F214,"YYYY-MM-DD")&amp;"/ "&amp;search_path&amp;"\RTDC"&amp;B214&amp;"\"&amp;TEXT(F214,"YYYY-MM-DD")&amp;" --recursive &amp; """&amp;walkandungz&amp;""" "&amp;search_path&amp;"\RTDC"&amp;B214&amp;"\"&amp;TEXT(F214,"YYYY-MM-DD")
&amp;" &amp; "&amp;"aws s3 cp "&amp;s3_bucket&amp;"/RTDC"&amp;B214&amp;"/"&amp;TEXT(F214+1,"YYYY-MM-DD")&amp;"/ "&amp;search_path&amp;"\RTDC"&amp;B214&amp;"\"&amp;TEXT(F214+1,"YYYY-MM-DD")&amp;" --recursive &amp; """&amp;walkandungz&amp;""" "&amp;search_path&amp;"\RTDC"&amp;B214&amp;"\"&amp;TEXT(F214+1,"YYYY-MM-DD")</f>
        <v>aws s3 cp s3://rtdc.mdm.uploadarchive/RTDC4052/2016-09-02/ "%USERPROFILE%\AppData\Local\Temp\OnboardLogs"\RTDC4052\2016-09-02 --recursive &amp; "%USERPROFILE%\Documents\GitHub\mrs-test-scripts\Headless Mode &amp; Sideloading\WalkAndUnGZ.bat" "%USERPROFILE%\AppData\Local\Temp\OnboardLogs"\RTDC4052\2016-09-02 &amp; aws s3 cp s3://rtdc.mdm.uploadarchive/RTDC4052/2016-09-03/ "%USERPROFILE%\AppData\Local\Temp\OnboardLogs"\RTDC4052\2016-09-03 --recursive &amp; "%USERPROFILE%\Documents\GitHub\mrs-test-scripts\Headless Mode &amp; Sideloading\WalkAndUnGZ.bat" "%USERPROFILE%\AppData\Local\Temp\OnboardLogs"\RTDC4052\2016-09-03</v>
      </c>
      <c r="AF214" s="96" t="str">
        <f>astrogrep_path&amp;" /spath="&amp;search_path&amp;" /stypes=""*"&amp;B214&amp;"*"&amp;TEXT(I214-utc_offset/24,"YYYYMMDD")&amp;"*"" /stext="" "&amp;TEXT(I214-utc_offset/24,"HH")&amp;search_regexp&amp;""" /e /r /s"</f>
        <v>"C:\Program Files (x86)\AstroGrep\AstroGrep.exe" /spath="%USERPROFILE%\AppData\Local\Temp\OnboardLogs" /stypes="*4052*20160902*" /stext=" 08:.+((SYSTEM_STATE.+slice.+state.+changed )|(ment ac)|(system.+state.+changed )|(\|lc)|(penalty)|(\[timeout)|(PRM\|1\|D)|(kpr)|(kdp))" /e /r /s</v>
      </c>
      <c r="AG214" s="1" t="str">
        <f>IFERROR(IF(VALUE(LEFT(AD214,2))&lt;=2,"EC",IF(OR(VALUE(LEFT(AD214,2))=8,VALUE(LEFT(AD214,2))=18),"NW","Other")),"Other")</f>
        <v>Other</v>
      </c>
      <c r="AH214" s="100" t="str">
        <f t="shared" si="18"/>
        <v>"%USERPROFILE%\Documents\GitHub\eaglep3\Utilities\RefineRTDCRunTimes.py" --tripid 67-01 --locoid 4052 --swversion DE.1.0.8.0.ENG1 --startMP 204:157705 --initTime 2016-09-02T01:59:39 --startdatetime 2016-09-02T02:02:09 --delay 1 --endMP 204:9810 --enddatetime 2016-09-02T02:25:32 --enforcementcount 0 &gt;&gt;C:\Users\stu\Documents\GitHub\eaglep3-reporting\EC\2016-09-01-refined-times.txt</v>
      </c>
      <c r="AI214" s="149" t="str">
        <f t="shared" si="19"/>
        <v>echo {"issue":{"subject":"","project_id":79,"tracker_id":40,"status_id":1,"priority_id":2,"assigned_to_id":23,"start_date":"2016-09-02","description":"","custom_fields":[{"id":1,"name":"Subdivision","value":"Other"},{"id":4,"name":"Milepost","value":"14.7895"},{"id":17,"name":"Train ID","value":"67-01"},{"id":16,"name":"Locomotive ID","value":"4052"},{"id":130,"name":"Impact","value":""},{"id":150,"name":"Time of Event (Mountain Time)","value":"02:25:32"},{"id":151,"name":"Denver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716</v>
      </c>
      <c r="B215" s="7">
        <v>4051</v>
      </c>
      <c r="C215" s="24" t="s">
        <v>113</v>
      </c>
      <c r="D215" s="24" t="s">
        <v>717</v>
      </c>
      <c r="E215" s="15">
        <v>42614.606851851851</v>
      </c>
      <c r="F215" s="15">
        <v>25568.958333333332</v>
      </c>
      <c r="G215" s="7">
        <v>8</v>
      </c>
      <c r="H215" s="15" t="s">
        <v>718</v>
      </c>
      <c r="I215" s="15">
        <v>25568.958333333332</v>
      </c>
      <c r="J215" s="7">
        <v>0</v>
      </c>
      <c r="K215" s="132" t="str">
        <f>IF(ISEVEN(B215),(B215-1)&amp;"/"&amp;B215,B215&amp;"/"&amp;(B215+1))</f>
        <v>4051/4052</v>
      </c>
      <c r="L215" s="24" t="str">
        <f>VLOOKUP(A215,'Trips&amp;Operators'!$C$1:$E$10000,3,FALSE)</f>
        <v>HAUSER</v>
      </c>
      <c r="M215" s="6">
        <f>I215-F215</f>
        <v>0</v>
      </c>
      <c r="N215" s="7">
        <f>24*60*SUM($M215:$M215)</f>
        <v>0</v>
      </c>
      <c r="O215" s="7"/>
      <c r="P215" s="7"/>
      <c r="Q215" s="25"/>
      <c r="R215" s="25"/>
      <c r="S215" s="37">
        <f>SUM(U215:U215)/IF(AG215="EC",12,1)</f>
        <v>0</v>
      </c>
      <c r="T215" s="52" t="e">
        <f>IF(ISEVEN(LEFT(AD215,4)),"Southbound","NorthBound")</f>
        <v>#VALUE!</v>
      </c>
      <c r="U215" s="12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hh:mm:ss")&amp;"-0600',mode:absolute,to:'"&amp;TEXT(I215+1/24,"yyyy-MM-DD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https://search-rtdc-monitor-bjffxe2xuh6vdkpspy63sjmuny.us-east-1.es.amazonaws.com/_plugin/kibana/#/discover/Steve-Slow-Train-Analysis-(2080s-and-2083s)?_g=(refreshInterval:(display:Off,section:0,value:0),time:(from:'2016-09-01 13:33:52-0600',mode:absolute,to:'1970-01-01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5" s="54" t="str">
        <f>IF(AA215&lt;IF(AG215="EC",23,5.65),"Y","N")</f>
        <v>Y</v>
      </c>
      <c r="X215" s="120" t="e">
        <f>VALUE(LEFT(AD215,4))-VALUE(LEFT(AD214,4))</f>
        <v>#VALUE!</v>
      </c>
      <c r="Y215" s="69">
        <f>RIGHT(D215,LEN(D215)-4)/10000</f>
        <v>2.5436000000000001</v>
      </c>
      <c r="Z215" s="69">
        <f>RIGHT(H215,LEN(H215)-4)/10000</f>
        <v>2.5434000000000001</v>
      </c>
      <c r="AA215" s="69">
        <f>ABS(Z215-Y215)</f>
        <v>1.9999999999997797E-4</v>
      </c>
      <c r="AB215" s="66" t="e">
        <f>VLOOKUP(A215,Enforcements!$C$7:$J$21,8,0)</f>
        <v>#N/A</v>
      </c>
      <c r="AC215" s="62" t="e">
        <f>VLOOKUP(A215,Enforcements!$C$7:$E$21,3,0)</f>
        <v>#N/A</v>
      </c>
      <c r="AD215" s="63" t="str">
        <f>IF(LEN(A215)=6,"0"&amp;A215,A215)</f>
        <v>JOHN-01</v>
      </c>
      <c r="AE215" s="99" t="str">
        <f>"aws s3 cp "&amp;s3_bucket&amp;"/RTDC"&amp;B215&amp;"/"&amp;TEXT(F215,"YYYY-MM-DD")&amp;"/ "&amp;search_path&amp;"\RTDC"&amp;B215&amp;"\"&amp;TEXT(F215,"YYYY-MM-DD")&amp;" --recursive &amp; """&amp;walkandungz&amp;""" "&amp;search_path&amp;"\RTDC"&amp;B215&amp;"\"&amp;TEXT(F215,"YYYY-MM-DD")
&amp;" &amp; "&amp;"aws s3 cp "&amp;s3_bucket&amp;"/RTDC"&amp;B215&amp;"/"&amp;TEXT(F215+1,"YYYY-MM-DD")&amp;"/ "&amp;search_path&amp;"\RTDC"&amp;B215&amp;"\"&amp;TEXT(F215+1,"YYYY-MM-DD")&amp;" --recursive &amp; """&amp;walkandungz&amp;""" "&amp;search_path&amp;"\RTDC"&amp;B215&amp;"\"&amp;TEXT(F215+1,"YYYY-MM-DD")</f>
        <v>aws s3 cp s3://rtdc.mdm.uploadarchive/RTDC4051/1969-12-31/ "%USERPROFILE%\AppData\Local\Temp\OnboardLogs"\RTDC4051\1969-12-31 --recursive &amp; "%USERPROFILE%\Documents\GitHub\mrs-test-scripts\Headless Mode &amp; Sideloading\WalkAndUnGZ.bat" "%USERPROFILE%\AppData\Local\Temp\OnboardLogs"\RTDC4051\1969-12-31 &amp; aws s3 cp s3://rtdc.mdm.uploadarchive/RTDC4051/1970-01-01/ "%USERPROFILE%\AppData\Local\Temp\OnboardLogs"\RTDC4051\1970-01-01 --recursive &amp; "%USERPROFILE%\Documents\GitHub\mrs-test-scripts\Headless Mode &amp; Sideloading\WalkAndUnGZ.bat" "%USERPROFILE%\AppData\Local\Temp\OnboardLogs"\RTDC4051\1970-01-01</v>
      </c>
      <c r="AF215" s="96" t="str">
        <f>astrogrep_path&amp;" /spath="&amp;search_path&amp;" /stypes=""*"&amp;B215&amp;"*"&amp;TEXT(I215-utc_offset/24,"YYYYMMDD")&amp;"*"" /stext="" "&amp;TEXT(I215-utc_offset/24,"HH")&amp;search_regexp&amp;""" /e /r /s"</f>
        <v>"C:\Program Files (x86)\AstroGrep\AstroGrep.exe" /spath="%USERPROFILE%\AppData\Local\Temp\OnboardLogs" /stypes="*4051*19700101*" /stext=" 05:.+((SYSTEM_STATE.+slice.+state.+changed )|(ment ac)|(system.+state.+changed )|(\|lc)|(penalty)|(\[timeout)|(PRM\|1\|D)|(kpr)|(kdp))" /e /r /s</v>
      </c>
      <c r="AG215" s="1" t="str">
        <f>IFERROR(IF(VALUE(LEFT(AD215,2))&lt;=2,"EC",IF(OR(VALUE(LEFT(AD215,2))=8,VALUE(LEFT(AD215,2))=18),"NW","Other")),"Other")</f>
        <v>Other</v>
      </c>
      <c r="AH215" s="100" t="str">
        <f t="shared" si="18"/>
        <v>"%USERPROFILE%\Documents\GitHub\eaglep3\Utilities\RefineRTDCRunTimes.py" --tripid JOHN-01 --locoid 4051 --swversion DE.1.0.7.0 --startMP 300:25436 --initTime 2016-09-01T14:33:52 --startdatetime 1969-12-31T23:00:00 --delay 8 --endMP 300:25434 --enddatetime 1969-12-31T23:00:00 --enforcementcount 0 &gt;&gt;C:\Users\stu\Documents\GitHub\eaglep3-reporting\EC\2016-09-01-refined-times.txt</v>
      </c>
      <c r="AI215" s="149" t="str">
        <f t="shared" si="19"/>
        <v>echo {"issue":{"subject":"","project_id":79,"tracker_id":40,"status_id":1,"priority_id":2,"assigned_to_id":23,"start_date":"1969-12-31","description":"","custom_fields":[{"id":1,"name":"Subdivision","value":"Other"},{"id":4,"name":"Milepost","value":"0.000199999999999978"},{"id":17,"name":"Train ID","value":"JOHN-01"},{"id":16,"name":"Locomotive ID","value":"4051"},{"id":130,"name":"Impact","value":""},{"id":150,"name":"Time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719</v>
      </c>
      <c r="B216" s="7">
        <v>4021</v>
      </c>
      <c r="C216" s="24" t="s">
        <v>113</v>
      </c>
      <c r="D216" s="24" t="s">
        <v>720</v>
      </c>
      <c r="E216" s="15">
        <v>42614.458356481482</v>
      </c>
      <c r="F216" s="15">
        <v>42614.459756944445</v>
      </c>
      <c r="G216" s="7">
        <v>1</v>
      </c>
      <c r="H216" s="15" t="s">
        <v>721</v>
      </c>
      <c r="I216" s="15">
        <v>42614.465439814812</v>
      </c>
      <c r="J216" s="7">
        <v>0</v>
      </c>
      <c r="K216" s="132" t="str">
        <f>IF(ISEVEN(B216),(B216-1)&amp;"/"&amp;B216,B216&amp;"/"&amp;(B216+1))</f>
        <v>4021/4022</v>
      </c>
      <c r="L216" s="24" t="str">
        <f>VLOOKUP(A216,'Trips&amp;Operators'!$C$1:$E$10000,3,FALSE)</f>
        <v>NEWELL</v>
      </c>
      <c r="M216" s="6">
        <f>I216-F216</f>
        <v>5.6828703673090786E-3</v>
      </c>
      <c r="N216" s="7">
        <f>24*60*SUM($M216:$M216)</f>
        <v>8.1833333289250731</v>
      </c>
      <c r="O216" s="7"/>
      <c r="P216" s="7"/>
      <c r="Q216" s="25"/>
      <c r="R216" s="25"/>
      <c r="S216" s="37">
        <f>SUM(U216:U216)/IF(AG216="EC",12,1)</f>
        <v>0</v>
      </c>
      <c r="T216" s="52" t="e">
        <f>IF(ISEVEN(LEFT(AD216,4)),"Southbound","NorthBound")</f>
        <v>#VALUE!</v>
      </c>
      <c r="U216" s="12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hh:mm:ss")&amp;"-0600',mode:absolute,to:'"&amp;TEXT(I216+1/24,"yyyy-MM-DD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https://search-rtdc-monitor-bjffxe2xuh6vdkpspy63sjmuny.us-east-1.es.amazonaws.com/_plugin/kibana/#/discover/Steve-Slow-Train-Analysis-(2080s-and-2083s)?_g=(refreshInterval:(display:Off,section:0,value:0),time:(from:'2016-09-01 10:00:02-0600',mode:absolute,to:'2016-09-01 12:10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16" s="54" t="str">
        <f>IF(AA216&lt;IF(AG216="EC",23,5.65),"Y","N")</f>
        <v>Y</v>
      </c>
      <c r="X216" s="120" t="e">
        <f>VALUE(LEFT(AD216,4))-VALUE(LEFT(AD215,4))</f>
        <v>#VALUE!</v>
      </c>
      <c r="Y216" s="69">
        <f>RIGHT(D216,LEN(D216)-4)/10000</f>
        <v>2.3157999999999999</v>
      </c>
      <c r="Z216" s="69">
        <f>RIGHT(H216,LEN(H216)-4)/10000</f>
        <v>1.44E-2</v>
      </c>
      <c r="AA216" s="69">
        <f>ABS(Z216-Y216)</f>
        <v>2.3013999999999997</v>
      </c>
      <c r="AB216" s="66" t="e">
        <f>VLOOKUP(A216,Enforcements!$C$7:$J$21,8,0)</f>
        <v>#N/A</v>
      </c>
      <c r="AC216" s="62" t="e">
        <f>VLOOKUP(A216,Enforcements!$C$7:$E$21,3,0)</f>
        <v>#N/A</v>
      </c>
      <c r="AD216" s="63" t="str">
        <f>IF(LEN(A216)=6,"0"&amp;A216,A216)</f>
        <v>NEWELL-01</v>
      </c>
      <c r="AE216" s="99" t="str">
        <f>"aws s3 cp "&amp;s3_bucket&amp;"/RTDC"&amp;B216&amp;"/"&amp;TEXT(F216,"YYYY-MM-DD")&amp;"/ "&amp;search_path&amp;"\RTDC"&amp;B216&amp;"\"&amp;TEXT(F216,"YYYY-MM-DD")&amp;" --recursive &amp; """&amp;walkandungz&amp;""" "&amp;search_path&amp;"\RTDC"&amp;B216&amp;"\"&amp;TEXT(F216,"YYYY-MM-DD")
&amp;" &amp; "&amp;"aws s3 cp "&amp;s3_bucket&amp;"/RTDC"&amp;B216&amp;"/"&amp;TEXT(F216+1,"YYYY-MM-DD")&amp;"/ "&amp;search_path&amp;"\RTDC"&amp;B216&amp;"\"&amp;TEXT(F216+1,"YYYY-MM-DD")&amp;" --recursive &amp; """&amp;walkandungz&amp;""" "&amp;search_path&amp;"\RTDC"&amp;B216&amp;"\"&amp;TEXT(F216+1,"YYYY-MM-DD")</f>
        <v>aws s3 cp s3://rtdc.mdm.uploadarchive/RTDC4021/2016-09-01/ "%USERPROFILE%\AppData\Local\Temp\OnboardLogs"\RTDC4021\2016-09-01 --recursive &amp; "%USERPROFILE%\Documents\GitHub\mrs-test-scripts\Headless Mode &amp; Sideloading\WalkAndUnGZ.bat" "%USERPROFILE%\AppData\Local\Temp\OnboardLogs"\RTDC4021\2016-09-01 &amp; aws s3 cp s3://rtdc.mdm.uploadarchive/RTDC4021/2016-09-02/ "%USERPROFILE%\AppData\Local\Temp\OnboardLogs"\RTDC4021\2016-09-02 --recursive &amp; "%USERPROFILE%\Documents\GitHub\mrs-test-scripts\Headless Mode &amp; Sideloading\WalkAndUnGZ.bat" "%USERPROFILE%\AppData\Local\Temp\OnboardLogs"\RTDC4021\2016-09-02</v>
      </c>
      <c r="AF216" s="96" t="str">
        <f>astrogrep_path&amp;" /spath="&amp;search_path&amp;" /stypes=""*"&amp;B216&amp;"*"&amp;TEXT(I216-utc_offset/24,"YYYYMMDD")&amp;"*"" /stext="" "&amp;TEXT(I216-utc_offset/24,"HH")&amp;search_regexp&amp;""" /e /r /s"</f>
        <v>"C:\Program Files (x86)\AstroGrep\AstroGrep.exe" /spath="%USERPROFILE%\AppData\Local\Temp\OnboardLogs" /stypes="*4021*20160901*" /stext=" 17:.+((SYSTEM_STATE.+slice.+state.+changed )|(ment ac)|(system.+state.+changed )|(\|lc)|(penalty)|(\[timeout)|(PRM\|1\|D)|(kpr)|(kdp))" /e /r /s</v>
      </c>
      <c r="AG216" s="1" t="str">
        <f>IFERROR(IF(VALUE(LEFT(AD216,2))&lt;=2,"EC",IF(OR(VALUE(LEFT(AD216,2))=8,VALUE(LEFT(AD216,2))=18),"NW","Other")),"Other")</f>
        <v>Other</v>
      </c>
      <c r="AH216" s="100" t="str">
        <f t="shared" si="18"/>
        <v>"%USERPROFILE%\Documents\GitHub\eaglep3\Utilities\RefineRTDCRunTimes.py" --tripid NEWELL-01 --locoid 4021 --swversion DE.1.0.7.0 --startMP 300:23158 --initTime 2016-09-01T11:00:02 --startdatetime 2016-09-01T11:02:03 --delay 1 --endMP 204:144 --enddatetime 2016-09-01T11:10:14 --enforcementcount 0 &gt;&gt;C:\Users\stu\Documents\GitHub\eaglep3-reporting\EC\2016-09-01-refined-times.txt</v>
      </c>
      <c r="AI216" s="149" t="str">
        <f t="shared" si="19"/>
        <v>echo {"issue":{"subject":"","project_id":79,"tracker_id":40,"status_id":1,"priority_id":2,"assigned_to_id":23,"start_date":"2016-09-01","description":"","custom_fields":[{"id":1,"name":"Subdivision","value":"Other"},{"id":4,"name":"Milepost","value":"2.3014"},{"id":17,"name":"Train ID","value":"NEWELL-01"},{"id":16,"name":"Locomotive ID","value":"4021"},{"id":130,"name":"Impact","value":""},{"id":150,"name":"Time of Event (Mountain Time)","value":"11:10:14"},{"id":151,"name":"Denver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32"/>
      <c r="L217" s="24"/>
      <c r="M217" s="6"/>
      <c r="N217" s="7"/>
      <c r="O217" s="7"/>
      <c r="P217" s="7"/>
      <c r="Q217" s="25"/>
      <c r="R217" s="25"/>
      <c r="S217" s="37"/>
      <c r="T217" s="52"/>
      <c r="U217" s="126"/>
      <c r="V217" s="106"/>
      <c r="W217" s="54"/>
      <c r="X217" s="120"/>
      <c r="Y217" s="69"/>
      <c r="Z217" s="69"/>
      <c r="AA217" s="69"/>
      <c r="AB217" s="66"/>
      <c r="AC217" s="62"/>
      <c r="AD217" s="63"/>
      <c r="AE217" s="99"/>
      <c r="AF217" s="96"/>
      <c r="AG217" s="1"/>
      <c r="AI217" s="149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32"/>
      <c r="L218" s="24"/>
      <c r="M218" s="6"/>
      <c r="N218" s="7"/>
      <c r="O218" s="7"/>
      <c r="P218" s="7"/>
      <c r="Q218" s="25"/>
      <c r="R218" s="25"/>
      <c r="S218" s="37"/>
      <c r="T218" s="52"/>
      <c r="U218" s="126"/>
      <c r="V218" s="106"/>
      <c r="W218" s="54"/>
      <c r="X218" s="120"/>
      <c r="Y218" s="69"/>
      <c r="Z218" s="69"/>
      <c r="AA218" s="69"/>
      <c r="AB218" s="66"/>
      <c r="AC218" s="62"/>
      <c r="AD218" s="63"/>
      <c r="AE218" s="99"/>
      <c r="AF218" s="96"/>
      <c r="AG218" s="1"/>
      <c r="AI218" s="149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32"/>
      <c r="L219" s="24"/>
      <c r="M219" s="6"/>
      <c r="N219" s="7"/>
      <c r="O219" s="7"/>
      <c r="P219" s="7"/>
      <c r="Q219" s="25"/>
      <c r="R219" s="25"/>
      <c r="S219" s="37"/>
      <c r="T219" s="52"/>
      <c r="U219" s="126"/>
      <c r="V219" s="106"/>
      <c r="W219" s="54"/>
      <c r="X219" s="120"/>
      <c r="Y219" s="69"/>
      <c r="Z219" s="69"/>
      <c r="AA219" s="69"/>
      <c r="AB219" s="66"/>
      <c r="AC219" s="62"/>
      <c r="AD219" s="63"/>
      <c r="AE219" s="99"/>
      <c r="AF219" s="96"/>
      <c r="AG219" s="1"/>
      <c r="AI219" s="149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32"/>
      <c r="L220" s="24"/>
      <c r="M220" s="6"/>
      <c r="N220" s="7"/>
      <c r="O220" s="7"/>
      <c r="P220" s="7"/>
      <c r="Q220" s="25"/>
      <c r="R220" s="25"/>
      <c r="S220" s="37"/>
      <c r="T220" s="52"/>
      <c r="U220" s="126"/>
      <c r="V220" s="106"/>
      <c r="W220" s="54"/>
      <c r="X220" s="120"/>
      <c r="Y220" s="69"/>
      <c r="Z220" s="69"/>
      <c r="AA220" s="69"/>
      <c r="AB220" s="66"/>
      <c r="AC220" s="62"/>
      <c r="AD220" s="63"/>
      <c r="AE220" s="99"/>
      <c r="AF220" s="96"/>
      <c r="AG220" s="1"/>
      <c r="AI220" s="149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32"/>
      <c r="L221" s="24"/>
      <c r="M221" s="6"/>
      <c r="N221" s="7"/>
      <c r="O221" s="7"/>
      <c r="P221" s="7"/>
      <c r="Q221" s="25"/>
      <c r="R221" s="25"/>
      <c r="S221" s="37"/>
      <c r="T221" s="52"/>
      <c r="U221" s="126"/>
      <c r="V221" s="106"/>
      <c r="W221" s="54"/>
      <c r="X221" s="120"/>
      <c r="Y221" s="69"/>
      <c r="Z221" s="69"/>
      <c r="AA221" s="69"/>
      <c r="AB221" s="66"/>
      <c r="AC221" s="62"/>
      <c r="AD221" s="63"/>
      <c r="AE221" s="99"/>
      <c r="AF221" s="96"/>
      <c r="AG221" s="1"/>
      <c r="AI221" s="149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32"/>
      <c r="L222" s="24"/>
      <c r="M222" s="6"/>
      <c r="N222" s="7"/>
      <c r="O222" s="7"/>
      <c r="P222" s="7"/>
      <c r="Q222" s="25"/>
      <c r="R222" s="25"/>
      <c r="S222" s="37"/>
      <c r="T222" s="52"/>
      <c r="U222" s="126"/>
      <c r="V222" s="106"/>
      <c r="W222" s="54"/>
      <c r="X222" s="120"/>
      <c r="Y222" s="69"/>
      <c r="Z222" s="69"/>
      <c r="AA222" s="69"/>
      <c r="AB222" s="66"/>
      <c r="AC222" s="62"/>
      <c r="AD222" s="63"/>
      <c r="AE222" s="99"/>
      <c r="AF222" s="96"/>
      <c r="AG222" s="1"/>
      <c r="AI222" s="149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32"/>
      <c r="L223" s="24"/>
      <c r="M223" s="6"/>
      <c r="N223" s="7"/>
      <c r="O223" s="7"/>
      <c r="P223" s="7"/>
      <c r="Q223" s="25"/>
      <c r="R223" s="25"/>
      <c r="S223" s="37"/>
      <c r="T223" s="52"/>
      <c r="U223" s="126"/>
      <c r="V223" s="106"/>
      <c r="W223" s="54"/>
      <c r="X223" s="120"/>
      <c r="Y223" s="69"/>
      <c r="Z223" s="69"/>
      <c r="AA223" s="69"/>
      <c r="AB223" s="66"/>
      <c r="AC223" s="62"/>
      <c r="AD223" s="63"/>
      <c r="AE223" s="99"/>
      <c r="AF223" s="96"/>
      <c r="AG223" s="1"/>
      <c r="AI223" s="149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32"/>
      <c r="L224" s="24"/>
      <c r="M224" s="6"/>
      <c r="N224" s="7"/>
      <c r="O224" s="7"/>
      <c r="P224" s="7"/>
      <c r="Q224" s="25"/>
      <c r="R224" s="25"/>
      <c r="S224" s="37"/>
      <c r="T224" s="52"/>
      <c r="U224" s="126"/>
      <c r="V224" s="106"/>
      <c r="W224" s="54"/>
      <c r="X224" s="120"/>
      <c r="Y224" s="69"/>
      <c r="Z224" s="69"/>
      <c r="AA224" s="69"/>
      <c r="AB224" s="66"/>
      <c r="AC224" s="62"/>
      <c r="AD224" s="63"/>
      <c r="AE224" s="99"/>
      <c r="AF224" s="96"/>
      <c r="AG224" s="1"/>
      <c r="AI224" s="149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32"/>
      <c r="L225" s="24"/>
      <c r="M225" s="6"/>
      <c r="N225" s="7"/>
      <c r="O225" s="7"/>
      <c r="P225" s="7"/>
      <c r="Q225" s="25"/>
      <c r="R225" s="25"/>
      <c r="S225" s="37"/>
      <c r="T225" s="52"/>
      <c r="U225" s="126"/>
      <c r="V225" s="106"/>
      <c r="W225" s="54"/>
      <c r="X225" s="120"/>
      <c r="Y225" s="69"/>
      <c r="Z225" s="69"/>
      <c r="AA225" s="69"/>
      <c r="AB225" s="66"/>
      <c r="AC225" s="62"/>
      <c r="AD225" s="63"/>
      <c r="AE225" s="99"/>
      <c r="AF225" s="96"/>
      <c r="AG225" s="1"/>
      <c r="AI225" s="149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32"/>
      <c r="L226" s="24"/>
      <c r="M226" s="6"/>
      <c r="N226" s="7"/>
      <c r="O226" s="7"/>
      <c r="P226" s="7"/>
      <c r="Q226" s="25"/>
      <c r="R226" s="25"/>
      <c r="S226" s="37"/>
      <c r="T226" s="52"/>
      <c r="U226" s="126"/>
      <c r="V226" s="106"/>
      <c r="W226" s="54"/>
      <c r="X226" s="120"/>
      <c r="Y226" s="69"/>
      <c r="Z226" s="69"/>
      <c r="AA226" s="69"/>
      <c r="AB226" s="66"/>
      <c r="AC226" s="62"/>
      <c r="AD226" s="63"/>
      <c r="AE226" s="99"/>
      <c r="AF226" s="96"/>
      <c r="AG226" s="1"/>
      <c r="AI226" s="149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32"/>
      <c r="L227" s="24"/>
      <c r="M227" s="6"/>
      <c r="N227" s="7"/>
      <c r="O227" s="7"/>
      <c r="P227" s="7"/>
      <c r="Q227" s="25"/>
      <c r="R227" s="25"/>
      <c r="S227" s="37"/>
      <c r="T227" s="52"/>
      <c r="U227" s="126"/>
      <c r="V227" s="106"/>
      <c r="W227" s="54"/>
      <c r="X227" s="120"/>
      <c r="Y227" s="69"/>
      <c r="Z227" s="69"/>
      <c r="AA227" s="69"/>
      <c r="AB227" s="66"/>
      <c r="AC227" s="62"/>
      <c r="AD227" s="63"/>
      <c r="AE227" s="99"/>
      <c r="AF227" s="96"/>
      <c r="AG227" s="1"/>
      <c r="AI227" s="149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32"/>
      <c r="L228" s="24"/>
      <c r="M228" s="6"/>
      <c r="N228" s="7"/>
      <c r="O228" s="7"/>
      <c r="P228" s="7"/>
      <c r="Q228" s="25"/>
      <c r="R228" s="25"/>
      <c r="S228" s="37"/>
      <c r="T228" s="52"/>
      <c r="U228" s="126"/>
      <c r="V228" s="106"/>
      <c r="W228" s="54"/>
      <c r="X228" s="120"/>
      <c r="Y228" s="69"/>
      <c r="Z228" s="69"/>
      <c r="AA228" s="69"/>
      <c r="AB228" s="66"/>
      <c r="AC228" s="62"/>
      <c r="AD228" s="63"/>
      <c r="AE228" s="99"/>
      <c r="AF228" s="96"/>
      <c r="AG228" s="1"/>
      <c r="AI228" s="149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32"/>
      <c r="L229" s="24"/>
      <c r="M229" s="6"/>
      <c r="N229" s="7"/>
      <c r="O229" s="7"/>
      <c r="P229" s="7"/>
      <c r="Q229" s="25"/>
      <c r="R229" s="25"/>
      <c r="S229" s="37"/>
      <c r="T229" s="52"/>
      <c r="U229" s="126"/>
      <c r="V229" s="106"/>
      <c r="W229" s="54"/>
      <c r="X229" s="120"/>
      <c r="Y229" s="69"/>
      <c r="Z229" s="69"/>
      <c r="AA229" s="69"/>
      <c r="AB229" s="66"/>
      <c r="AC229" s="62"/>
      <c r="AD229" s="63"/>
      <c r="AE229" s="99"/>
      <c r="AF229" s="96"/>
      <c r="AG229" s="1"/>
      <c r="AI229" s="149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32"/>
      <c r="L230" s="24"/>
      <c r="M230" s="6"/>
      <c r="N230" s="7"/>
      <c r="O230" s="7"/>
      <c r="P230" s="7"/>
      <c r="Q230" s="25"/>
      <c r="R230" s="25"/>
      <c r="S230" s="37"/>
      <c r="T230" s="52"/>
      <c r="U230" s="126"/>
      <c r="V230" s="106"/>
      <c r="W230" s="54"/>
      <c r="X230" s="120"/>
      <c r="Y230" s="69"/>
      <c r="Z230" s="69"/>
      <c r="AA230" s="69"/>
      <c r="AB230" s="66"/>
      <c r="AC230" s="62"/>
      <c r="AD230" s="63"/>
      <c r="AE230" s="99"/>
      <c r="AF230" s="96"/>
      <c r="AG230" s="1"/>
      <c r="AI230" s="149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32"/>
      <c r="L231" s="24"/>
      <c r="M231" s="6"/>
      <c r="N231" s="7"/>
      <c r="O231" s="7"/>
      <c r="P231" s="7"/>
      <c r="Q231" s="25"/>
      <c r="R231" s="25"/>
      <c r="S231" s="37"/>
      <c r="T231" s="52"/>
      <c r="U231" s="126"/>
      <c r="V231" s="106"/>
      <c r="W231" s="54"/>
      <c r="X231" s="120"/>
      <c r="Y231" s="69"/>
      <c r="Z231" s="69"/>
      <c r="AA231" s="69"/>
      <c r="AB231" s="66"/>
      <c r="AC231" s="62"/>
      <c r="AD231" s="63"/>
      <c r="AE231" s="99"/>
      <c r="AF231" s="96"/>
      <c r="AG231" s="1"/>
      <c r="AI231" s="149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32"/>
      <c r="L232" s="24"/>
      <c r="M232" s="6"/>
      <c r="N232" s="7"/>
      <c r="O232" s="7"/>
      <c r="P232" s="7"/>
      <c r="Q232" s="25"/>
      <c r="R232" s="25"/>
      <c r="S232" s="37"/>
      <c r="T232" s="52"/>
      <c r="U232" s="126"/>
      <c r="V232" s="106"/>
      <c r="W232" s="54"/>
      <c r="X232" s="120"/>
      <c r="Y232" s="69"/>
      <c r="Z232" s="69"/>
      <c r="AA232" s="69"/>
      <c r="AB232" s="66"/>
      <c r="AC232" s="62"/>
      <c r="AD232" s="63"/>
      <c r="AE232" s="99"/>
      <c r="AF232" s="96"/>
      <c r="AG232" s="1"/>
      <c r="AI232" s="149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32"/>
      <c r="L233" s="24"/>
      <c r="M233" s="6"/>
      <c r="N233" s="7"/>
      <c r="O233" s="7"/>
      <c r="P233" s="7"/>
      <c r="Q233" s="25"/>
      <c r="R233" s="25"/>
      <c r="S233" s="37"/>
      <c r="T233" s="52"/>
      <c r="U233" s="126"/>
      <c r="V233" s="106"/>
      <c r="W233" s="54"/>
      <c r="X233" s="120"/>
      <c r="Y233" s="69"/>
      <c r="Z233" s="69"/>
      <c r="AA233" s="69"/>
      <c r="AB233" s="66"/>
      <c r="AC233" s="62"/>
      <c r="AD233" s="63"/>
      <c r="AE233" s="99"/>
      <c r="AF233" s="96"/>
      <c r="AG233" s="1"/>
      <c r="AI233" s="149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32"/>
      <c r="L234" s="24"/>
      <c r="M234" s="6"/>
      <c r="N234" s="7"/>
      <c r="O234" s="7"/>
      <c r="P234" s="7"/>
      <c r="Q234" s="25"/>
      <c r="R234" s="25"/>
      <c r="S234" s="37"/>
      <c r="T234" s="52"/>
      <c r="U234" s="126"/>
      <c r="V234" s="106"/>
      <c r="W234" s="54"/>
      <c r="X234" s="120"/>
      <c r="Y234" s="69"/>
      <c r="Z234" s="69"/>
      <c r="AA234" s="69"/>
      <c r="AB234" s="66"/>
      <c r="AC234" s="62"/>
      <c r="AD234" s="63"/>
      <c r="AE234" s="99"/>
      <c r="AF234" s="96"/>
      <c r="AG234" s="1"/>
      <c r="AI234" s="149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32"/>
      <c r="L235" s="24"/>
      <c r="M235" s="6"/>
      <c r="N235" s="7"/>
      <c r="O235" s="7"/>
      <c r="P235" s="7"/>
      <c r="Q235" s="25"/>
      <c r="R235" s="25"/>
      <c r="S235" s="37"/>
      <c r="T235" s="52"/>
      <c r="U235" s="126"/>
      <c r="V235" s="106"/>
      <c r="W235" s="54"/>
      <c r="X235" s="120"/>
      <c r="Y235" s="69"/>
      <c r="Z235" s="69"/>
      <c r="AA235" s="69"/>
      <c r="AB235" s="66"/>
      <c r="AC235" s="62"/>
      <c r="AD235" s="63"/>
      <c r="AE235" s="99"/>
      <c r="AF235" s="96"/>
      <c r="AG235" s="1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32"/>
      <c r="L236" s="24"/>
      <c r="M236" s="6"/>
      <c r="N236" s="7"/>
      <c r="O236" s="7"/>
      <c r="P236" s="7"/>
      <c r="Q236" s="25"/>
      <c r="R236" s="25"/>
      <c r="S236" s="37"/>
      <c r="T236" s="52"/>
      <c r="U236" s="126"/>
      <c r="V236" s="106"/>
      <c r="W236" s="54"/>
      <c r="X236" s="120"/>
      <c r="Y236" s="69"/>
      <c r="Z236" s="69"/>
      <c r="AA236" s="69"/>
      <c r="AB236" s="66"/>
      <c r="AC236" s="62"/>
      <c r="AD236" s="63"/>
      <c r="AE236" s="99"/>
      <c r="AF236" s="96"/>
      <c r="AG236" s="1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32"/>
      <c r="L237" s="24"/>
      <c r="M237" s="6"/>
      <c r="N237" s="7"/>
      <c r="O237" s="7"/>
      <c r="P237" s="7"/>
      <c r="Q237" s="25"/>
      <c r="R237" s="25"/>
      <c r="S237" s="37"/>
      <c r="T237" s="52"/>
      <c r="U237" s="126"/>
      <c r="V237" s="106"/>
      <c r="W237" s="54"/>
      <c r="X237" s="120"/>
      <c r="Y237" s="69"/>
      <c r="Z237" s="69"/>
      <c r="AA237" s="69"/>
      <c r="AB237" s="66"/>
      <c r="AC237" s="62"/>
      <c r="AD237" s="63"/>
      <c r="AE237" s="99"/>
      <c r="AF237" s="96"/>
      <c r="AG237" s="1"/>
    </row>
  </sheetData>
  <autoFilter ref="A12:AG237">
    <sortState ref="A13:AG238">
      <sortCondition ref="AG13:AG217"/>
      <sortCondition ref="AD13:AD217"/>
    </sortState>
  </autoFilter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4" priority="259" operator="equal">
      <formula>"Y"</formula>
    </cfRule>
  </conditionalFormatting>
  <conditionalFormatting sqref="X13:X1048576">
    <cfRule type="cellIs" dxfId="13" priority="242" operator="greaterThan">
      <formula>1</formula>
    </cfRule>
  </conditionalFormatting>
  <conditionalFormatting sqref="X12:X1048576">
    <cfRule type="cellIs" dxfId="12" priority="239" operator="equal">
      <formula>0</formula>
    </cfRule>
  </conditionalFormatting>
  <conditionalFormatting sqref="A13:S237">
    <cfRule type="expression" dxfId="11" priority="235">
      <formula>$O13&gt;0</formula>
    </cfRule>
  </conditionalFormatting>
  <conditionalFormatting sqref="A13:S237">
    <cfRule type="expression" dxfId="10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Values'!$C$2:$C$13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73"/>
  <sheetViews>
    <sheetView topLeftCell="A2" workbookViewId="0">
      <selection activeCell="M60" sqref="M60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21.570312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.85546875" customWidth="1"/>
    <col min="12" max="12" width="11.85546875" style="30" customWidth="1"/>
    <col min="13" max="13" width="5.140625" style="114" customWidth="1"/>
    <col min="14" max="14" width="30.7109375" customWidth="1"/>
    <col min="15" max="15" width="5" hidden="1" customWidth="1"/>
    <col min="16" max="16" width="5.7109375" style="97" customWidth="1"/>
    <col min="17" max="17" width="5.7109375" style="109" customWidth="1"/>
    <col min="18" max="18" width="6" style="94" customWidth="1"/>
    <col min="19" max="19" width="5.28515625" customWidth="1"/>
    <col min="20" max="20" width="20" style="50" bestFit="1" customWidth="1"/>
    <col min="21" max="21" width="5.28515625" customWidth="1"/>
    <col min="22" max="22" width="6.7109375" customWidth="1"/>
  </cols>
  <sheetData>
    <row r="1" spans="1:26" s="23" customFormat="1" ht="15.75" hidden="1" thickBot="1" x14ac:dyDescent="0.3">
      <c r="A1" s="8"/>
      <c r="F1" s="2"/>
      <c r="G1" s="2"/>
      <c r="H1" s="2"/>
      <c r="J1" s="2"/>
      <c r="L1" s="30"/>
      <c r="M1" s="114"/>
      <c r="P1" s="97"/>
      <c r="Q1" s="109"/>
      <c r="R1" s="94"/>
      <c r="T1" s="50"/>
    </row>
    <row r="2" spans="1:26" s="23" customFormat="1" x14ac:dyDescent="0.25">
      <c r="A2" s="8"/>
      <c r="F2" s="2"/>
      <c r="G2" s="2"/>
      <c r="H2" s="2"/>
      <c r="J2" s="2"/>
      <c r="K2" s="133" t="s">
        <v>87</v>
      </c>
      <c r="L2" s="134"/>
      <c r="M2" s="135">
        <f>COUNTIF($M$7:$M$402,"=Y")</f>
        <v>0</v>
      </c>
      <c r="N2" s="136"/>
      <c r="P2" s="97"/>
      <c r="Q2" s="109"/>
      <c r="R2" s="94"/>
      <c r="T2" s="50"/>
    </row>
    <row r="3" spans="1:26" s="23" customFormat="1" ht="15.75" thickBot="1" x14ac:dyDescent="0.3">
      <c r="A3" s="8"/>
      <c r="F3" s="2"/>
      <c r="G3" s="2"/>
      <c r="H3" s="2"/>
      <c r="J3" s="2"/>
      <c r="K3" s="137" t="s">
        <v>88</v>
      </c>
      <c r="L3" s="138"/>
      <c r="M3" s="139">
        <f>COUNTA($M$7:$M$402)-M2</f>
        <v>62</v>
      </c>
      <c r="N3" s="136"/>
      <c r="P3" s="97"/>
      <c r="Q3" s="109"/>
      <c r="R3" s="94"/>
      <c r="T3" s="50"/>
    </row>
    <row r="4" spans="1:26" s="23" customFormat="1" x14ac:dyDescent="0.25">
      <c r="A4" s="8"/>
      <c r="F4" s="2"/>
      <c r="G4" s="2"/>
      <c r="H4" s="2"/>
      <c r="J4" s="2"/>
      <c r="L4" s="30"/>
      <c r="M4" s="114"/>
      <c r="P4" s="97"/>
      <c r="Q4" s="109"/>
      <c r="R4" s="94"/>
      <c r="T4" s="50"/>
    </row>
    <row r="5" spans="1:26" s="11" customFormat="1" ht="15" customHeight="1" x14ac:dyDescent="0.25">
      <c r="A5" s="164" t="str">
        <f>"Eagle P3 Braking Events - "&amp;TEXT(Variables!$A$2,"YYYY-mm-dd")</f>
        <v>Eagle P3 Braking Events - 2016-09-01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2"/>
      <c r="P5" s="107"/>
      <c r="Q5" s="110"/>
      <c r="R5" s="112"/>
      <c r="T5" s="51"/>
    </row>
    <row r="6" spans="1:26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1" t="s">
        <v>30</v>
      </c>
      <c r="J6" s="152" t="s">
        <v>29</v>
      </c>
      <c r="K6" s="151" t="s">
        <v>28</v>
      </c>
      <c r="L6" s="153" t="s">
        <v>47</v>
      </c>
      <c r="M6" s="154" t="s">
        <v>27</v>
      </c>
      <c r="N6" s="151" t="s">
        <v>24</v>
      </c>
      <c r="O6" s="155"/>
      <c r="P6" s="156" t="s">
        <v>101</v>
      </c>
      <c r="Q6" s="157" t="s">
        <v>61</v>
      </c>
      <c r="R6" s="158" t="s">
        <v>100</v>
      </c>
      <c r="S6" s="151" t="s">
        <v>95</v>
      </c>
      <c r="T6" s="159" t="s">
        <v>96</v>
      </c>
      <c r="U6" s="155" t="s">
        <v>108</v>
      </c>
      <c r="V6" s="155" t="s">
        <v>110</v>
      </c>
      <c r="W6" s="160" t="s">
        <v>217</v>
      </c>
      <c r="X6" s="161" t="s">
        <v>218</v>
      </c>
      <c r="Y6" s="161" t="s">
        <v>190</v>
      </c>
      <c r="Z6" s="161" t="s">
        <v>219</v>
      </c>
    </row>
    <row r="7" spans="1:26" s="1" customFormat="1" x14ac:dyDescent="0.25">
      <c r="A7" s="38">
        <v>42614.405578703707</v>
      </c>
      <c r="B7" s="33" t="s">
        <v>359</v>
      </c>
      <c r="C7" s="33" t="s">
        <v>427</v>
      </c>
      <c r="D7" s="33" t="s">
        <v>365</v>
      </c>
      <c r="E7" s="33" t="s">
        <v>239</v>
      </c>
      <c r="F7" s="49">
        <v>0</v>
      </c>
      <c r="G7" s="49">
        <v>131</v>
      </c>
      <c r="H7" s="49">
        <v>27211</v>
      </c>
      <c r="I7" s="33" t="s">
        <v>238</v>
      </c>
      <c r="J7" s="49">
        <v>27350</v>
      </c>
      <c r="K7" s="33" t="s">
        <v>53</v>
      </c>
      <c r="L7" s="92" t="str">
        <f>VLOOKUP(C7,'Trips&amp;Operators'!$C$1:$E$9999,3,0)</f>
        <v>ARVIDSON</v>
      </c>
      <c r="M7" s="131" t="s">
        <v>86</v>
      </c>
      <c r="N7" s="10" t="s">
        <v>262</v>
      </c>
      <c r="O7" s="33"/>
      <c r="P7" s="108" t="str">
        <f>VLOOKUP(C7,'Train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7" s="111" t="str">
        <f>VLOOKUP(C7,'Train Runs'!$A$13:$AE$10012,22,0)</f>
        <v>https://search-rtdc-monitor-bjffxe2xuh6vdkpspy63sjmuny.us-east-1.es.amazonaws.com/_plugin/kibana/#/discover/Steve-Slow-Train-Analysis-(2080s-and-2083s)?_g=(refreshInterval:(display:Off,section:0,value:0),time:(from:'2016-09-01 08:07:27-0600',mode:absolute,to:'2016-09-01 10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7" s="113" t="str">
        <f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/stypes="*4008*201609011*" /stext=" 15:.+((SYSTEM_STATE.+slice.+state.+changed )|(ment ac)|(system.+state.+changed )|(\|lc)|(penalty)|(\[timeout)|(PRM\|1\|D)|(kpr)|(kdp))" /e /r /s</v>
      </c>
      <c r="S7" s="9" t="str">
        <f>MID(B7,13,4)</f>
        <v>4008</v>
      </c>
      <c r="T7" s="38">
        <f>A7+6/24</f>
        <v>42614.655578703707</v>
      </c>
      <c r="U7" s="52" t="str">
        <f>IF(VALUE(LEFT(IF(LEN(C7)=6,"0"&amp;C7,C7),2))&lt;=2,"EC",IF(OR(VALUE(LEFT(IF(LEN(C7)=6,"0"&amp;C7,C7),2))=8,VALUE(LEFT(IF(LEN(C7)=6,"0"&amp;C7,C7),2))=18),"NW","Other"))</f>
        <v>EC</v>
      </c>
      <c r="V7" s="52" t="str">
        <f>IF(AND(E7="TRACK WARRANT AUTHORITY",G7&lt;10),"OMIT","KEEP")</f>
        <v>KEEP</v>
      </c>
      <c r="W7" s="149" t="str">
        <f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arrival","project_id":79,"tracker_id":40,"status_id":1,"priority_id":2,"assigned_to_id":23,"start_date":"2016-09-01","description":"","custom_fields":[{"id":1,"name":"Subdivision","value":"EC"},{"id":4,"name":"Milepost","value":"2.735"},{"id":17,"name":"Train ID","value":"138-01"},{"id":16,"name":"Locomotive ID","value":"4008"},{"id":130,"name":"Impact","value":""},{"id":150,"name":"Time of Event (Mountain Time)","value":"09:44:02"},{"id":151,"name":"Denver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5"/>
      <c r="Y7" s="55"/>
      <c r="Z7" s="55"/>
    </row>
    <row r="8" spans="1:26" s="1" customFormat="1" x14ac:dyDescent="0.25">
      <c r="A8" s="38">
        <v>42614.456944444442</v>
      </c>
      <c r="B8" s="33" t="s">
        <v>265</v>
      </c>
      <c r="C8" s="33" t="s">
        <v>442</v>
      </c>
      <c r="D8" s="33" t="s">
        <v>49</v>
      </c>
      <c r="E8" s="33" t="s">
        <v>239</v>
      </c>
      <c r="F8" s="49">
        <v>320</v>
      </c>
      <c r="G8" s="49">
        <v>401</v>
      </c>
      <c r="H8" s="49">
        <v>34866</v>
      </c>
      <c r="I8" s="33" t="s">
        <v>238</v>
      </c>
      <c r="J8" s="49">
        <v>33257</v>
      </c>
      <c r="K8" s="33" t="s">
        <v>53</v>
      </c>
      <c r="L8" s="92" t="str">
        <f>VLOOKUP(C8,'Trips&amp;Operators'!$C$1:$E$9999,3,0)</f>
        <v>MALAVE</v>
      </c>
      <c r="M8" s="131" t="s">
        <v>86</v>
      </c>
      <c r="N8" s="10" t="s">
        <v>262</v>
      </c>
      <c r="O8" s="33"/>
      <c r="P8" s="108" t="str">
        <f>VLOOKUP(C8,'Train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8" s="111" t="str">
        <f>VLOOKUP(C8,'Train Runs'!$A$13:$AE$10012,22,0)</f>
        <v>https://search-rtdc-monitor-bjffxe2xuh6vdkpspy63sjmuny.us-east-1.es.amazonaws.com/_plugin/kibana/#/discover/Steve-Slow-Train-Analysis-(2080s-and-2083s)?_g=(refreshInterval:(display:Off,section:0,value:0),time:(from:'2016-09-01 09:23:44-0600',mode:absolute,to:'2016-09-01 12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8" s="113" t="str">
        <f>astrogrep_path&amp;" /spath="&amp;search_path&amp;" /stypes=""*"&amp;S8&amp;"*"&amp;TEXT(A8-utc_offset/24,"YYYYMMDD")&amp;LEFT(TEXT(A8-utc_offset/24,"HH"),1)&amp;"*""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/stypes="*4017*201609011*" /stext=" 16:.+((SYSTEM_STATE.+slice.+state.+changed )|(ment ac)|(system.+state.+changed )|(\|lc)|(penalty)|(\[timeout)|(PRM\|1\|D)|(kpr)|(kdp))" /e /r /s</v>
      </c>
      <c r="S8" s="9" t="str">
        <f>MID(B8,13,4)</f>
        <v>4017</v>
      </c>
      <c r="T8" s="38">
        <f>A8+6/24</f>
        <v>42614.706944444442</v>
      </c>
      <c r="U8" s="52" t="str">
        <f>IF(VALUE(LEFT(IF(LEN(C8)=6,"0"&amp;C8,C8),2))&lt;=2,"EC",IF(OR(VALUE(LEFT(IF(LEN(C8)=6,"0"&amp;C8,C8),2))=8,VALUE(LEFT(IF(LEN(C8)=6,"0"&amp;C8,C8),2))=18),"NW","Other"))</f>
        <v>EC</v>
      </c>
      <c r="V8" s="52" t="str">
        <f>IF(AND(E8="TRACK WARRANT AUTHORITY",G8&lt;10),"OMIT","KEEP")</f>
        <v>KEEP</v>
      </c>
      <c r="W8" s="149" t="str">
        <f>"echo {""issue"":{""subject"":"""&amp;N8&amp;""",""project_id"":79,""tracker_id"":40,""status_id"":"&amp;redmine_status&amp;",""priority_id"":"&amp;redmine_priority&amp;",""assigned_to_id"":"&amp;redmine_assignee&amp;",""start_date"":"""&amp;TEXT(A8,"YYYY-mm-dd")&amp;""",""description"":"""&amp;X8&amp;""",""custom_fields"":[{""id"":1,""name"":""Subdivision"",""value"":"""&amp;U8&amp;"""},{""id"":4,""name"":""Milepost"",""value"":"""&amp;J8/10000&amp;"""},{""id"":17,""name"":""Train ID"",""value"":"""&amp;C8&amp;"""},{""id"":16,""name"":""Locomotive ID"",""value"":"""&amp;S8&amp;"""},{""id"":130,""name"":""Impact"",""value"":"""&amp;Y8&amp;"""},{""id"":150,""name"":""Time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Assigned"",""value"":"""&amp;Z8&amp;"""}]}}"&amp;"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arrival","project_id":79,"tracker_id":40,"status_id":1,"priority_id":2,"assigned_to_id":23,"start_date":"2016-09-01","description":"","custom_fields":[{"id":1,"name":"Subdivision","value":"EC"},{"id":4,"name":"Milepost","value":"3.3257"},{"id":17,"name":"Train ID","value":"148-01"},{"id":16,"name":"Locomotive ID","value":"4017"},{"id":130,"name":"Impact","value":""},{"id":150,"name":"Time of Event (Mountain Time)","value":"10:58:00"},{"id":151,"name":"Denver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5"/>
      <c r="Y8" s="55"/>
      <c r="Z8" s="55"/>
    </row>
    <row r="9" spans="1:26" s="1" customFormat="1" x14ac:dyDescent="0.25">
      <c r="A9" s="38">
        <v>42614.601342592592</v>
      </c>
      <c r="B9" s="33" t="s">
        <v>225</v>
      </c>
      <c r="C9" s="33" t="s">
        <v>490</v>
      </c>
      <c r="D9" s="33" t="s">
        <v>111</v>
      </c>
      <c r="E9" s="33" t="s">
        <v>239</v>
      </c>
      <c r="F9" s="49">
        <v>350</v>
      </c>
      <c r="G9" s="49">
        <v>401</v>
      </c>
      <c r="H9" s="49">
        <v>42914</v>
      </c>
      <c r="I9" s="33" t="s">
        <v>238</v>
      </c>
      <c r="J9" s="49">
        <v>42779</v>
      </c>
      <c r="K9" s="33" t="s">
        <v>52</v>
      </c>
      <c r="L9" s="92" t="str">
        <f>VLOOKUP(C9,'Trips&amp;Operators'!$C$1:$E$9999,3,0)</f>
        <v>SUR</v>
      </c>
      <c r="M9" s="131" t="s">
        <v>86</v>
      </c>
      <c r="N9" s="10" t="s">
        <v>262</v>
      </c>
      <c r="O9" s="33"/>
      <c r="P9" s="108" t="str">
        <f>VLOOKUP(C9,'Train Runs'!$A$13:$AE$10012,31,0)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Q9" s="111" t="str">
        <f>VLOOKUP(C9,'Train Runs'!$A$13:$AE$10012,22,0)</f>
        <v>https://search-rtdc-monitor-bjffxe2xuh6vdkpspy63sjmuny.us-east-1.es.amazonaws.com/_plugin/kibana/#/discover/Steve-Slow-Train-Analysis-(2080s-and-2083s)?_g=(refreshInterval:(display:Off,section:0,value:0),time:(from:'2016-09-01 13:12:39-0600',mode:absolute,to:'2016-09-01 15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9" s="113" t="str">
        <f>astrogrep_path&amp;" /spath="&amp;search_path&amp;" /stypes=""*"&amp;S9&amp;"*"&amp;TEXT(A9-utc_offset/24,"YYYYMMDD")&amp;LEFT(TEXT(A9-utc_offset/24,"HH"),1)&amp;"*""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/stypes="*4020*201609012*" /stext=" 20:.+((SYSTEM_STATE.+slice.+state.+changed )|(ment ac)|(system.+state.+changed )|(\|lc)|(penalty)|(\[timeout)|(PRM\|1\|D)|(kpr)|(kdp))" /e /r /s</v>
      </c>
      <c r="S9" s="9" t="str">
        <f>MID(B9,13,4)</f>
        <v>4020</v>
      </c>
      <c r="T9" s="38">
        <f>A9+6/24</f>
        <v>42614.851342592592</v>
      </c>
      <c r="U9" s="52" t="str">
        <f>IF(VALUE(LEFT(IF(LEN(C9)=6,"0"&amp;C9,C9),2))&lt;=2,"EC",IF(OR(VALUE(LEFT(IF(LEN(C9)=6,"0"&amp;C9,C9),2))=8,VALUE(LEFT(IF(LEN(C9)=6,"0"&amp;C9,C9),2))=18),"NW","Other"))</f>
        <v>EC</v>
      </c>
      <c r="V9" s="52" t="str">
        <f>IF(AND(E9="TRACK WARRANT AUTHORITY",G9&lt;10),"OMIT","KEEP")</f>
        <v>KEEP</v>
      </c>
      <c r="W9" s="149" t="str">
        <f>"echo {""issue"":{""subject"":"""&amp;N9&amp;""",""project_id"":79,""tracker_id"":40,""status_id"":"&amp;redmine_status&amp;",""priority_id"":"&amp;redmine_priority&amp;",""assigned_to_id"":"&amp;redmine_assignee&amp;",""start_date"":"""&amp;TEXT(A9,"YYYY-mm-dd")&amp;""",""description"":"""&amp;X9&amp;""",""custom_fields"":[{""id"":1,""name"":""Subdivision"",""value"":"""&amp;U9&amp;"""},{""id"":4,""name"":""Milepost"",""value"":"""&amp;J9/10000&amp;"""},{""id"":17,""name"":""Train ID"",""value"":"""&amp;C9&amp;"""},{""id"":16,""name"":""Locomotive ID"",""value"":"""&amp;S9&amp;"""},{""id"":130,""name"":""Impact"",""value"":"""&amp;Y9&amp;"""},{""id"":150,""name"":""Time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Assigned"",""value"":"""&amp;Z9&amp;"""}]}}"&amp;"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arrival","project_id":79,"tracker_id":40,"status_id":1,"priority_id":2,"assigned_to_id":23,"start_date":"2016-09-01","description":"","custom_fields":[{"id":1,"name":"Subdivision","value":"EC"},{"id":4,"name":"Milepost","value":"4.2779"},{"id":17,"name":"Train ID","value":"185-01"},{"id":16,"name":"Locomotive ID","value":"4020"},{"id":130,"name":"Impact","value":""},{"id":150,"name":"Time of Event (Mountain Time)","value":"14:25:56"},{"id":151,"name":"Denver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5"/>
      <c r="Y9" s="55"/>
      <c r="Z9" s="55"/>
    </row>
    <row r="10" spans="1:26" s="1" customFormat="1" x14ac:dyDescent="0.25">
      <c r="A10" s="38">
        <v>42614.578622685185</v>
      </c>
      <c r="B10" s="33" t="s">
        <v>224</v>
      </c>
      <c r="C10" s="33" t="s">
        <v>474</v>
      </c>
      <c r="D10" s="33" t="s">
        <v>49</v>
      </c>
      <c r="E10" s="33" t="s">
        <v>239</v>
      </c>
      <c r="F10" s="49">
        <v>0</v>
      </c>
      <c r="G10" s="49">
        <v>560</v>
      </c>
      <c r="H10" s="49">
        <v>44771</v>
      </c>
      <c r="I10" s="33" t="s">
        <v>238</v>
      </c>
      <c r="J10" s="49">
        <v>42961</v>
      </c>
      <c r="K10" s="33" t="s">
        <v>53</v>
      </c>
      <c r="L10" s="92" t="str">
        <f>VLOOKUP(C10,'Trips&amp;Operators'!$C$1:$E$9999,3,0)</f>
        <v>SUR</v>
      </c>
      <c r="M10" s="131" t="s">
        <v>86</v>
      </c>
      <c r="N10" s="10" t="s">
        <v>262</v>
      </c>
      <c r="O10" s="33"/>
      <c r="P10" s="108" t="str">
        <f>VLOOKUP(C10,'Train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10" s="111" t="str">
        <f>VLOOKUP(C10,'Train Runs'!$A$13:$AE$10012,22,0)</f>
        <v>https://search-rtdc-monitor-bjffxe2xuh6vdkpspy63sjmuny.us-east-1.es.amazonaws.com/_plugin/kibana/#/discover/Steve-Slow-Train-Analysis-(2080s-and-2083s)?_g=(refreshInterval:(display:Off,section:0,value:0),time:(from:'2016-09-01 12:14:16-0600',mode:absolute,to:'2016-09-01 15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0" s="113" t="str">
        <f>astrogrep_path&amp;" /spath="&amp;search_path&amp;" /stypes=""*"&amp;S10&amp;"*"&amp;TEXT(A10-utc_offset/24,"YYYYMMDD")&amp;LEFT(TEXT(A10-utc_offset/24,"HH"),1)&amp;"*""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/stypes="*4019*201609011*" /stext=" 19:.+((SYSTEM_STATE.+slice.+state.+changed )|(ment ac)|(system.+state.+changed )|(\|lc)|(penalty)|(\[timeout)|(PRM\|1\|D)|(kpr)|(kdp))" /e /r /s</v>
      </c>
      <c r="S10" s="9" t="str">
        <f>MID(B10,13,4)</f>
        <v>4019</v>
      </c>
      <c r="T10" s="38">
        <f>A10+6/24</f>
        <v>42614.828622685185</v>
      </c>
      <c r="U10" s="52" t="str">
        <f>IF(VALUE(LEFT(IF(LEN(C10)=6,"0"&amp;C10,C10),2))&lt;=2,"EC",IF(OR(VALUE(LEFT(IF(LEN(C10)=6,"0"&amp;C10,C10),2))=8,VALUE(LEFT(IF(LEN(C10)=6,"0"&amp;C10,C10),2))=18),"NW","Other"))</f>
        <v>EC</v>
      </c>
      <c r="V10" s="52" t="str">
        <f>IF(AND(E10="TRACK WARRANT AUTHORITY",G10&lt;10),"OMIT","KEEP")</f>
        <v>KEEP</v>
      </c>
      <c r="W10" s="149" t="str">
        <f>"echo {""issue"":{""subject"":"""&amp;N10&amp;""",""project_id"":79,""tracker_id"":40,""status_id"":"&amp;redmine_status&amp;",""priority_id"":"&amp;redmine_priority&amp;",""assigned_to_id"":"&amp;redmine_assignee&amp;",""start_date"":"""&amp;TEXT(A10,"YYYY-mm-dd")&amp;""",""description"":"""&amp;X10&amp;""",""custom_fields"":[{""id"":1,""name"":""Subdivision"",""value"":"""&amp;U10&amp;"""},{""id"":4,""name"":""Milepost"",""value"":"""&amp;J10/10000&amp;"""},{""id"":17,""name"":""Train ID"",""value"":"""&amp;C10&amp;"""},{""id"":16,""name"":""Locomotive ID"",""value"":"""&amp;S10&amp;"""},{""id"":130,""name"":""Impact"",""value"":"""&amp;Y10&amp;"""},{""id"":150,""name"":""Time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Assigned"",""value"":"""&amp;Z10&amp;"""}]}}"&amp;"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arrival","project_id":79,"tracker_id":40,"status_id":1,"priority_id":2,"assigned_to_id":23,"start_date":"2016-09-01","description":"","custom_fields":[{"id":1,"name":"Subdivision","value":"EC"},{"id":4,"name":"Milepost","value":"4.2961"},{"id":17,"name":"Train ID","value":"172-01"},{"id":16,"name":"Locomotive ID","value":"4019"},{"id":130,"name":"Impact","value":""},{"id":150,"name":"Time of Event (Mountain Time)","value":"13:53:13"},{"id":151,"name":"Denver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5"/>
      <c r="Y10" s="55"/>
      <c r="Z10" s="55"/>
    </row>
    <row r="11" spans="1:26" s="1" customFormat="1" x14ac:dyDescent="0.25">
      <c r="A11" s="38">
        <v>42614.271053240744</v>
      </c>
      <c r="B11" s="33" t="s">
        <v>148</v>
      </c>
      <c r="C11" s="33" t="s">
        <v>400</v>
      </c>
      <c r="D11" s="33" t="s">
        <v>49</v>
      </c>
      <c r="E11" s="33" t="s">
        <v>239</v>
      </c>
      <c r="F11" s="49">
        <v>70</v>
      </c>
      <c r="G11" s="49">
        <v>121</v>
      </c>
      <c r="H11" s="49">
        <v>62905</v>
      </c>
      <c r="I11" s="33" t="s">
        <v>238</v>
      </c>
      <c r="J11" s="49">
        <v>63069</v>
      </c>
      <c r="K11" s="33" t="s">
        <v>52</v>
      </c>
      <c r="L11" s="92" t="str">
        <f>VLOOKUP(C11,'Trips&amp;Operators'!$C$1:$E$9999,3,0)</f>
        <v>STRICKLAND</v>
      </c>
      <c r="M11" s="131" t="s">
        <v>86</v>
      </c>
      <c r="N11" s="10" t="s">
        <v>262</v>
      </c>
      <c r="O11" s="33"/>
      <c r="P11" s="108" t="str">
        <f>VLOOKUP(C11,'Train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11" s="111" t="str">
        <f>VLOOKUP(C11,'Train Runs'!$A$13:$AE$10012,22,0)</f>
        <v>https://search-rtdc-monitor-bjffxe2xuh6vdkpspy63sjmuny.us-east-1.es.amazonaws.com/_plugin/kibana/#/discover/Steve-Slow-Train-Analysis-(2080s-and-2083s)?_g=(refreshInterval:(display:Off,section:0,value:0),time:(from:'2016-09-01 05:09:11-0600',mode:absolute,to:'2016-09-01 07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11" s="113" t="str">
        <f>astrogrep_path&amp;" /spath="&amp;search_path&amp;" /stypes=""*"&amp;S11&amp;"*"&amp;TEXT(A11-utc_offset/24,"YYYYMMDD")&amp;LEFT(TEXT(A11-utc_offset/24,"HH"),1)&amp;"*""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/stypes="*4038*201609011*" /stext=" 12:.+((SYSTEM_STATE.+slice.+state.+changed )|(ment ac)|(system.+state.+changed )|(\|lc)|(penalty)|(\[timeout)|(PRM\|1\|D)|(kpr)|(kdp))" /e /r /s</v>
      </c>
      <c r="S11" s="9" t="str">
        <f>MID(B11,13,4)</f>
        <v>4038</v>
      </c>
      <c r="T11" s="38">
        <f>A11+6/24</f>
        <v>42614.521053240744</v>
      </c>
      <c r="U11" s="52" t="str">
        <f>IF(VALUE(LEFT(IF(LEN(C11)=6,"0"&amp;C11,C11),2))&lt;=2,"EC",IF(OR(VALUE(LEFT(IF(LEN(C11)=6,"0"&amp;C11,C11),2))=8,VALUE(LEFT(IF(LEN(C11)=6,"0"&amp;C11,C11),2))=18),"NW","Other"))</f>
        <v>EC</v>
      </c>
      <c r="V11" s="52" t="str">
        <f>IF(AND(E11="TRACK WARRANT AUTHORITY",G11&lt;10),"OMIT","KEEP")</f>
        <v>KEEP</v>
      </c>
      <c r="W11" s="149" t="str">
        <f>"echo {""issue"":{""subject"":"""&amp;N11&amp;""",""project_id"":79,""tracker_id"":40,""status_id"":"&amp;redmine_status&amp;",""priority_id"":"&amp;redmine_priority&amp;",""assigned_to_id"":"&amp;redmine_assignee&amp;",""start_date"":"""&amp;TEXT(A11,"YYYY-mm-dd")&amp;""",""description"":"""&amp;X11&amp;""",""custom_fields"":[{""id"":1,""name"":""Subdivision"",""value"":"""&amp;U11&amp;"""},{""id"":4,""name"":""Milepost"",""value"":"""&amp;J11/10000&amp;"""},{""id"":17,""name"":""Train ID"",""value"":"""&amp;C11&amp;"""},{""id"":16,""name"":""Locomotive ID"",""value"":"""&amp;S11&amp;"""},{""id"":130,""name"":""Impact"",""value"":"""&amp;Y11&amp;"""},{""id"":150,""name"":""Time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Assigned"",""value"":"""&amp;Z11&amp;"""}]}}"&amp;"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arrival","project_id":79,"tracker_id":40,"status_id":1,"priority_id":2,"assigned_to_id":23,"start_date":"2016-09-01","description":"","custom_fields":[{"id":1,"name":"Subdivision","value":"EC"},{"id":4,"name":"Milepost","value":"6.3069"},{"id":17,"name":"Train ID","value":"121-01"},{"id":16,"name":"Locomotive ID","value":"4038"},{"id":130,"name":"Impact","value":""},{"id":150,"name":"Time of Event (Mountain Time)","value":"06:30:19"},{"id":151,"name":"Denver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5"/>
      <c r="Y11" s="55"/>
      <c r="Z11" s="55"/>
    </row>
    <row r="12" spans="1:26" s="1" customFormat="1" x14ac:dyDescent="0.25">
      <c r="A12" s="38">
        <v>42614.270509259259</v>
      </c>
      <c r="B12" s="33" t="s">
        <v>148</v>
      </c>
      <c r="C12" s="33" t="s">
        <v>400</v>
      </c>
      <c r="D12" s="33" t="s">
        <v>49</v>
      </c>
      <c r="E12" s="33" t="s">
        <v>239</v>
      </c>
      <c r="F12" s="49">
        <v>350</v>
      </c>
      <c r="G12" s="49">
        <v>551</v>
      </c>
      <c r="H12" s="49">
        <v>60735</v>
      </c>
      <c r="I12" s="33" t="s">
        <v>238</v>
      </c>
      <c r="J12" s="49">
        <v>63069</v>
      </c>
      <c r="K12" s="33" t="s">
        <v>52</v>
      </c>
      <c r="L12" s="92" t="str">
        <f>VLOOKUP(C12,'Trips&amp;Operators'!$C$1:$E$9999,3,0)</f>
        <v>STRICKLAND</v>
      </c>
      <c r="M12" s="131" t="s">
        <v>86</v>
      </c>
      <c r="N12" s="10" t="s">
        <v>262</v>
      </c>
      <c r="O12" s="33"/>
      <c r="P12" s="108" t="str">
        <f>VLOOKUP(C12,'Train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12" s="111" t="str">
        <f>VLOOKUP(C12,'Train Runs'!$A$13:$AE$10012,22,0)</f>
        <v>https://search-rtdc-monitor-bjffxe2xuh6vdkpspy63sjmuny.us-east-1.es.amazonaws.com/_plugin/kibana/#/discover/Steve-Slow-Train-Analysis-(2080s-and-2083s)?_g=(refreshInterval:(display:Off,section:0,value:0),time:(from:'2016-09-01 05:09:11-0600',mode:absolute,to:'2016-09-01 07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12" s="113" t="str">
        <f>astrogrep_path&amp;" /spath="&amp;search_path&amp;" /stypes=""*"&amp;S12&amp;"*"&amp;TEXT(A12-utc_offset/24,"YYYYMMDD")&amp;LEFT(TEXT(A12-utc_offset/24,"HH"),1)&amp;"*""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/stypes="*4038*201609011*" /stext=" 12:.+((SYSTEM_STATE.+slice.+state.+changed )|(ment ac)|(system.+state.+changed )|(\|lc)|(penalty)|(\[timeout)|(PRM\|1\|D)|(kpr)|(kdp))" /e /r /s</v>
      </c>
      <c r="S12" s="9" t="str">
        <f>MID(B12,13,4)</f>
        <v>4038</v>
      </c>
      <c r="T12" s="38">
        <f>A12+6/24</f>
        <v>42614.520509259259</v>
      </c>
      <c r="U12" s="52" t="str">
        <f>IF(VALUE(LEFT(IF(LEN(C12)=6,"0"&amp;C12,C12),2))&lt;=2,"EC",IF(OR(VALUE(LEFT(IF(LEN(C12)=6,"0"&amp;C12,C12),2))=8,VALUE(LEFT(IF(LEN(C12)=6,"0"&amp;C12,C12),2))=18),"NW","Other"))</f>
        <v>EC</v>
      </c>
      <c r="V12" s="52" t="str">
        <f>IF(AND(E12="TRACK WARRANT AUTHORITY",G12&lt;10),"OMIT","KEEP")</f>
        <v>KEEP</v>
      </c>
      <c r="W12" s="149" t="str">
        <f>"echo {""issue"":{""subject"":"""&amp;N12&amp;""",""project_id"":79,""tracker_id"":40,""status_id"":"&amp;redmine_status&amp;",""priority_id"":"&amp;redmine_priority&amp;",""assigned_to_id"":"&amp;redmine_assignee&amp;",""start_date"":"""&amp;TEXT(A12,"YYYY-mm-dd")&amp;""",""description"":"""&amp;X12&amp;""",""custom_fields"":[{""id"":1,""name"":""Subdivision"",""value"":"""&amp;U12&amp;"""},{""id"":4,""name"":""Milepost"",""value"":"""&amp;J12/10000&amp;"""},{""id"":17,""name"":""Train ID"",""value"":"""&amp;C12&amp;"""},{""id"":16,""name"":""Locomotive ID"",""value"":"""&amp;S12&amp;"""},{""id"":130,""name"":""Impact"",""value"":"""&amp;Y12&amp;"""},{""id"":150,""name"":""Time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Assigned"",""value"":"""&amp;Z12&amp;"""}]}}"&amp;"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arrival","project_id":79,"tracker_id":40,"status_id":1,"priority_id":2,"assigned_to_id":23,"start_date":"2016-09-01","description":"","custom_fields":[{"id":1,"name":"Subdivision","value":"EC"},{"id":4,"name":"Milepost","value":"6.3069"},{"id":17,"name":"Train ID","value":"121-01"},{"id":16,"name":"Locomotive ID","value":"4038"},{"id":130,"name":"Impact","value":""},{"id":150,"name":"Time of Event (Mountain Time)","value":"06:29:32"},{"id":151,"name":"Denver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5"/>
      <c r="Y12" s="55"/>
      <c r="Z12" s="55"/>
    </row>
    <row r="13" spans="1:26" s="1" customFormat="1" x14ac:dyDescent="0.25">
      <c r="A13" s="38">
        <v>42615.014189814814</v>
      </c>
      <c r="B13" s="33" t="s">
        <v>265</v>
      </c>
      <c r="C13" s="33" t="s">
        <v>562</v>
      </c>
      <c r="D13" s="33" t="s">
        <v>365</v>
      </c>
      <c r="E13" s="33" t="s">
        <v>239</v>
      </c>
      <c r="F13" s="49">
        <v>0</v>
      </c>
      <c r="G13" s="49">
        <v>109</v>
      </c>
      <c r="H13" s="49">
        <v>63205</v>
      </c>
      <c r="I13" s="33" t="s">
        <v>238</v>
      </c>
      <c r="J13" s="49">
        <v>63309</v>
      </c>
      <c r="K13" s="33" t="s">
        <v>53</v>
      </c>
      <c r="L13" s="92" t="str">
        <f>VLOOKUP(C13,'Trips&amp;Operators'!$C$1:$E$9999,3,0)</f>
        <v>HILLS</v>
      </c>
      <c r="M13" s="131" t="s">
        <v>86</v>
      </c>
      <c r="N13" s="10" t="s">
        <v>262</v>
      </c>
      <c r="O13" s="33"/>
      <c r="P13" s="108" t="str">
        <f>VLOOKUP(C13,'Train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13" s="111" t="str">
        <f>VLOOKUP(C13,'Train Runs'!$A$13:$AE$10012,22,0)</f>
        <v>https://search-rtdc-monitor-bjffxe2xuh6vdkpspy63sjmuny.us-east-1.es.amazonaws.com/_plugin/kibana/#/discover/Steve-Slow-Train-Analysis-(2080s-and-2083s)?_g=(refreshInterval:(display:Off,section:0,value:0),time:(from:'2016-09-01 22:45:53-0600',mode:absolute,to:'2016-09-02 01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3" s="113" t="str">
        <f>astrogrep_path&amp;" /spath="&amp;search_path&amp;" /stypes=""*"&amp;S13&amp;"*"&amp;TEXT(A13-utc_offset/24,"YYYYMMDD")&amp;LEFT(TEXT(A13-utc_offset/24,"HH"),1)&amp;"*""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/stypes="*4017*201609020*" /stext=" 06:.+((SYSTEM_STATE.+slice.+state.+changed )|(ment ac)|(system.+state.+changed )|(\|lc)|(penalty)|(\[timeout)|(PRM\|1\|D)|(kpr)|(kdp))" /e /r /s</v>
      </c>
      <c r="S13" s="9" t="str">
        <f>MID(B13,13,4)</f>
        <v>4017</v>
      </c>
      <c r="T13" s="38">
        <f>A13+6/24</f>
        <v>42615.264189814814</v>
      </c>
      <c r="U13" s="52" t="str">
        <f>IF(VALUE(LEFT(IF(LEN(C13)=6,"0"&amp;C13,C13),2))&lt;=2,"EC",IF(OR(VALUE(LEFT(IF(LEN(C13)=6,"0"&amp;C13,C13),2))=8,VALUE(LEFT(IF(LEN(C13)=6,"0"&amp;C13,C13),2))=18),"NW","Other"))</f>
        <v>EC</v>
      </c>
      <c r="V13" s="52" t="str">
        <f>IF(AND(E13="TRACK WARRANT AUTHORITY",G13&lt;10),"OMIT","KEEP")</f>
        <v>KEEP</v>
      </c>
      <c r="W13" s="149" t="str">
        <f>"echo {""issue"":{""subject"":"""&amp;N13&amp;""",""project_id"":79,""tracker_id"":40,""status_id"":"&amp;redmine_status&amp;",""priority_id"":"&amp;redmine_priority&amp;",""assigned_to_id"":"&amp;redmine_assignee&amp;",""start_date"":"""&amp;TEXT(A13,"YYYY-mm-dd")&amp;""",""description"":"""&amp;X13&amp;""",""custom_fields"":[{""id"":1,""name"":""Subdivision"",""value"":"""&amp;U13&amp;"""},{""id"":4,""name"":""Milepost"",""value"":"""&amp;J13/10000&amp;"""},{""id"":17,""name"":""Train ID"",""value"":"""&amp;C13&amp;"""},{""id"":16,""name"":""Locomotive ID"",""value"":"""&amp;S13&amp;"""},{""id"":130,""name"":""Impact"",""value"":"""&amp;Y13&amp;"""},{""id"":150,""name"":""Time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Assigned"",""value"":"""&amp;Z13&amp;"""}]}}"&amp;"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arrival","project_id":79,"tracker_id":40,"status_id":1,"priority_id":2,"assigned_to_id":23,"start_date":"2016-09-02","description":"","custom_fields":[{"id":1,"name":"Subdivision","value":"EC"},{"id":4,"name":"Milepost","value":"6.3309"},{"id":17,"name":"Train ID","value":"238-01"},{"id":16,"name":"Locomotive ID","value":"4017"},{"id":130,"name":"Impact","value":""},{"id":150,"name":"Time of Event (Mountain Time)","value":"00:20:26"},{"id":151,"name":"Denver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5"/>
      <c r="Y13" s="55"/>
      <c r="Z13" s="55"/>
    </row>
    <row r="14" spans="1:26" s="1" customFormat="1" x14ac:dyDescent="0.25">
      <c r="A14" s="38">
        <v>42614.597569444442</v>
      </c>
      <c r="B14" s="33" t="s">
        <v>265</v>
      </c>
      <c r="C14" s="33" t="s">
        <v>478</v>
      </c>
      <c r="D14" s="33" t="s">
        <v>49</v>
      </c>
      <c r="E14" s="33" t="s">
        <v>239</v>
      </c>
      <c r="F14" s="49">
        <v>250</v>
      </c>
      <c r="G14" s="49">
        <v>768</v>
      </c>
      <c r="H14" s="49">
        <v>68728</v>
      </c>
      <c r="I14" s="33" t="s">
        <v>238</v>
      </c>
      <c r="J14" s="49">
        <v>63309</v>
      </c>
      <c r="K14" s="33" t="s">
        <v>53</v>
      </c>
      <c r="L14" s="92" t="str">
        <f>VLOOKUP(C14,'Trips&amp;Operators'!$C$1:$E$9999,3,0)</f>
        <v>SHOOK</v>
      </c>
      <c r="M14" s="131" t="s">
        <v>86</v>
      </c>
      <c r="N14" s="10" t="s">
        <v>262</v>
      </c>
      <c r="O14" s="33"/>
      <c r="P14" s="108" t="str">
        <f>VLOOKUP(C14,'Train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14" s="111" t="str">
        <f>VLOOKUP(C14,'Train Runs'!$A$13:$AE$10012,22,0)</f>
        <v>https://search-rtdc-monitor-bjffxe2xuh6vdkpspy63sjmuny.us-east-1.es.amazonaws.com/_plugin/kibana/#/discover/Steve-Slow-Train-Analysis-(2080s-and-2083s)?_g=(refreshInterval:(display:Off,section:0,value:0),time:(from:'2016-09-01 12:49:14-0600',mode:absolute,to:'2016-09-01 15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4" s="113" t="str">
        <f>astrogrep_path&amp;" /spath="&amp;search_path&amp;" /stypes=""*"&amp;S14&amp;"*"&amp;TEXT(A14-utc_offset/24,"YYYYMMDD")&amp;LEFT(TEXT(A14-utc_offset/24,"HH"),1)&amp;"*""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/stypes="*4017*201609012*" /stext=" 20:.+((SYSTEM_STATE.+slice.+state.+changed )|(ment ac)|(system.+state.+changed )|(\|lc)|(penalty)|(\[timeout)|(PRM\|1\|D)|(kpr)|(kdp))" /e /r /s</v>
      </c>
      <c r="S14" s="9" t="str">
        <f>MID(B14,13,4)</f>
        <v>4017</v>
      </c>
      <c r="T14" s="38">
        <f>A14+6/24</f>
        <v>42614.847569444442</v>
      </c>
      <c r="U14" s="52" t="str">
        <f>IF(VALUE(LEFT(IF(LEN(C14)=6,"0"&amp;C14,C14),2))&lt;=2,"EC",IF(OR(VALUE(LEFT(IF(LEN(C14)=6,"0"&amp;C14,C14),2))=8,VALUE(LEFT(IF(LEN(C14)=6,"0"&amp;C14,C14),2))=18),"NW","Other"))</f>
        <v>EC</v>
      </c>
      <c r="V14" s="52" t="str">
        <f>IF(AND(E14="TRACK WARRANT AUTHORITY",G14&lt;10),"OMIT","KEEP")</f>
        <v>KEEP</v>
      </c>
      <c r="W14" s="149" t="str">
        <f>"echo {""issue"":{""subject"":"""&amp;N14&amp;""",""project_id"":79,""tracker_id"":40,""status_id"":"&amp;redmine_status&amp;",""priority_id"":"&amp;redmine_priority&amp;",""assigned_to_id"":"&amp;redmine_assignee&amp;",""start_date"":"""&amp;TEXT(A14,"YYYY-mm-dd")&amp;""",""description"":"""&amp;X14&amp;""",""custom_fields"":[{""id"":1,""name"":""Subdivision"",""value"":"""&amp;U14&amp;"""},{""id"":4,""name"":""Milepost"",""value"":"""&amp;J14/10000&amp;"""},{""id"":17,""name"":""Train ID"",""value"":"""&amp;C14&amp;"""},{""id"":16,""name"":""Locomotive ID"",""value"":"""&amp;S14&amp;"""},{""id"":130,""name"":""Impact"",""value"":"""&amp;Y14&amp;"""},{""id"":150,""name"":""Time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Assigned"",""value"":"""&amp;Z14&amp;"""}]}}"&amp;"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arrival","project_id":79,"tracker_id":40,"status_id":1,"priority_id":2,"assigned_to_id":23,"start_date":"2016-09-01","description":"","custom_fields":[{"id":1,"name":"Subdivision","value":"EC"},{"id":4,"name":"Milepost","value":"6.3309"},{"id":17,"name":"Train ID","value":"176-01"},{"id":16,"name":"Locomotive ID","value":"4017"},{"id":130,"name":"Impact","value":""},{"id":150,"name":"Time of Event (Mountain Time)","value":"14:20:30"},{"id":151,"name":"Denver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5"/>
      <c r="Y14" s="55"/>
      <c r="Z14" s="55"/>
    </row>
    <row r="15" spans="1:26" s="1" customFormat="1" x14ac:dyDescent="0.25">
      <c r="A15" s="38">
        <v>42614.388310185182</v>
      </c>
      <c r="B15" s="33" t="s">
        <v>142</v>
      </c>
      <c r="C15" s="33" t="s">
        <v>423</v>
      </c>
      <c r="D15" s="33" t="s">
        <v>111</v>
      </c>
      <c r="E15" s="33" t="s">
        <v>239</v>
      </c>
      <c r="F15" s="49">
        <v>400</v>
      </c>
      <c r="G15" s="49">
        <v>455</v>
      </c>
      <c r="H15" s="49">
        <v>78383</v>
      </c>
      <c r="I15" s="33" t="s">
        <v>238</v>
      </c>
      <c r="J15" s="49">
        <v>78469</v>
      </c>
      <c r="K15" s="33" t="s">
        <v>53</v>
      </c>
      <c r="L15" s="92" t="str">
        <f>VLOOKUP(C15,'Trips&amp;Operators'!$C$1:$E$9999,3,0)</f>
        <v>STRICKLAND</v>
      </c>
      <c r="M15" s="131" t="s">
        <v>86</v>
      </c>
      <c r="N15" s="10" t="s">
        <v>262</v>
      </c>
      <c r="O15" s="33"/>
      <c r="P15" s="108" t="str">
        <f>VLOOKUP(C15,'Train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15" s="111" t="str">
        <f>VLOOKUP(C15,'Train Runs'!$A$13:$AE$10012,22,0)</f>
        <v>https://search-rtdc-monitor-bjffxe2xuh6vdkpspy63sjmuny.us-east-1.es.amazonaws.com/_plugin/kibana/#/discover/Steve-Slow-Train-Analysis-(2080s-and-2083s)?_g=(refreshInterval:(display:Off,section:0,value:0),time:(from:'2016-09-01 07:50:24-0600',mode:absolute,to:'2016-09-01 10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15" s="113" t="str">
        <f>astrogrep_path&amp;" /spath="&amp;search_path&amp;" /stypes=""*"&amp;S15&amp;"*"&amp;TEXT(A15-utc_offset/24,"YYYYMMDD")&amp;LEFT(TEXT(A15-utc_offset/24,"HH"),1)&amp;"*""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/stypes="*4037*201609011*" /stext=" 15:.+((SYSTEM_STATE.+slice.+state.+changed )|(ment ac)|(system.+state.+changed )|(\|lc)|(penalty)|(\[timeout)|(PRM\|1\|D)|(kpr)|(kdp))" /e /r /s</v>
      </c>
      <c r="S15" s="9" t="str">
        <f>MID(B15,13,4)</f>
        <v>4037</v>
      </c>
      <c r="T15" s="38">
        <f>A15+6/24</f>
        <v>42614.638310185182</v>
      </c>
      <c r="U15" s="52" t="str">
        <f>IF(VALUE(LEFT(IF(LEN(C15)=6,"0"&amp;C15,C15),2))&lt;=2,"EC",IF(OR(VALUE(LEFT(IF(LEN(C15)=6,"0"&amp;C15,C15),2))=8,VALUE(LEFT(IF(LEN(C15)=6,"0"&amp;C15,C15),2))=18),"NW","Other"))</f>
        <v>EC</v>
      </c>
      <c r="V15" s="52" t="str">
        <f>IF(AND(E15="TRACK WARRANT AUTHORITY",G15&lt;10),"OMIT","KEEP")</f>
        <v>KEEP</v>
      </c>
      <c r="W15" s="149" t="str">
        <f>"echo {""issue"":{""subject"":"""&amp;N15&amp;""",""project_id"":79,""tracker_id"":40,""status_id"":"&amp;redmine_status&amp;",""priority_id"":"&amp;redmine_priority&amp;",""assigned_to_id"":"&amp;redmine_assignee&amp;",""start_date"":"""&amp;TEXT(A15,"YYYY-mm-dd")&amp;""",""description"":"""&amp;X15&amp;""",""custom_fields"":[{""id"":1,""name"":""Subdivision"",""value"":"""&amp;U15&amp;"""},{""id"":4,""name"":""Milepost"",""value"":"""&amp;J15/10000&amp;"""},{""id"":17,""name"":""Train ID"",""value"":"""&amp;C15&amp;"""},{""id"":16,""name"":""Locomotive ID"",""value"":"""&amp;S15&amp;"""},{""id"":130,""name"":""Impact"",""value"":"""&amp;Y15&amp;"""},{""id"":150,""name"":""Time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Assigned"",""value"":"""&amp;Z15&amp;"""}]}}"&amp;"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arrival","project_id":79,"tracker_id":40,"status_id":1,"priority_id":2,"assigned_to_id":23,"start_date":"2016-09-01","description":"","custom_fields":[{"id":1,"name":"Subdivision","value":"EC"},{"id":4,"name":"Milepost","value":"7.8469"},{"id":17,"name":"Train ID","value":"136-01"},{"id":16,"name":"Locomotive ID","value":"4037"},{"id":130,"name":"Impact","value":""},{"id":150,"name":"Time of Event (Mountain Time)","value":"09:19:10"},{"id":151,"name":"Denver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5"/>
      <c r="Y15" s="55"/>
      <c r="Z15" s="55"/>
    </row>
    <row r="16" spans="1:26" s="1" customFormat="1" x14ac:dyDescent="0.25">
      <c r="A16" s="38">
        <v>42614.75141203704</v>
      </c>
      <c r="B16" s="33" t="s">
        <v>224</v>
      </c>
      <c r="C16" s="33" t="s">
        <v>513</v>
      </c>
      <c r="D16" s="33" t="s">
        <v>111</v>
      </c>
      <c r="E16" s="33" t="s">
        <v>239</v>
      </c>
      <c r="F16" s="49">
        <v>0</v>
      </c>
      <c r="G16" s="49">
        <v>273</v>
      </c>
      <c r="H16" s="49">
        <v>109117</v>
      </c>
      <c r="I16" s="33" t="s">
        <v>238</v>
      </c>
      <c r="J16" s="49">
        <v>109135</v>
      </c>
      <c r="K16" s="33" t="s">
        <v>53</v>
      </c>
      <c r="L16" s="92" t="str">
        <f>VLOOKUP(C16,'Trips&amp;Operators'!$C$1:$E$9999,3,0)</f>
        <v>SUR</v>
      </c>
      <c r="M16" s="131" t="s">
        <v>86</v>
      </c>
      <c r="N16" s="10" t="s">
        <v>262</v>
      </c>
      <c r="O16" s="33"/>
      <c r="P16" s="108" t="str">
        <f>VLOOKUP(C16,'Train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16" s="111" t="str">
        <f>VLOOKUP(C16,'Train Runs'!$A$13:$AE$10012,22,0)</f>
        <v>https://search-rtdc-monitor-bjffxe2xuh6vdkpspy63sjmuny.us-east-1.es.amazonaws.com/_plugin/kibana/#/discover/Steve-Slow-Train-Analysis-(2080s-and-2083s)?_g=(refreshInterval:(display:Off,section:0,value:0),time:(from:'2016-09-01 16:31:56-0600',mode:absolute,to:'2016-09-01 19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6" s="113" t="str">
        <f>astrogrep_path&amp;" /spath="&amp;search_path&amp;" /stypes=""*"&amp;S16&amp;"*"&amp;TEXT(A16-utc_offset/24,"YYYYMMDD")&amp;LEFT(TEXT(A16-utc_offset/24,"HH"),1)&amp;"*""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/stypes="*4019*201609020*" /stext=" 00:.+((SYSTEM_STATE.+slice.+state.+changed )|(ment ac)|(system.+state.+changed )|(\|lc)|(penalty)|(\[timeout)|(PRM\|1\|D)|(kpr)|(kdp))" /e /r /s</v>
      </c>
      <c r="S16" s="9" t="str">
        <f>MID(B16,13,4)</f>
        <v>4019</v>
      </c>
      <c r="T16" s="38">
        <f>A16+6/24</f>
        <v>42615.00141203704</v>
      </c>
      <c r="U16" s="52" t="str">
        <f>IF(VALUE(LEFT(IF(LEN(C16)=6,"0"&amp;C16,C16),2))&lt;=2,"EC",IF(OR(VALUE(LEFT(IF(LEN(C16)=6,"0"&amp;C16,C16),2))=8,VALUE(LEFT(IF(LEN(C16)=6,"0"&amp;C16,C16),2))=18),"NW","Other"))</f>
        <v>EC</v>
      </c>
      <c r="V16" s="52" t="str">
        <f>IF(AND(E16="TRACK WARRANT AUTHORITY",G16&lt;10),"OMIT","KEEP")</f>
        <v>KEEP</v>
      </c>
      <c r="W16" s="149" t="str">
        <f>"echo {""issue"":{""subject"":"""&amp;N16&amp;""",""project_id"":79,""tracker_id"":40,""status_id"":"&amp;redmine_status&amp;",""priority_id"":"&amp;redmine_priority&amp;",""assigned_to_id"":"&amp;redmine_assignee&amp;",""start_date"":"""&amp;TEXT(A16,"YYYY-mm-dd")&amp;""",""description"":"""&amp;X16&amp;""",""custom_fields"":[{""id"":1,""name"":""Subdivision"",""value"":"""&amp;U16&amp;"""},{""id"":4,""name"":""Milepost"",""value"":"""&amp;J16/10000&amp;"""},{""id"":17,""name"":""Train ID"",""value"":"""&amp;C16&amp;"""},{""id"":16,""name"":""Locomotive ID"",""value"":"""&amp;S16&amp;"""},{""id"":130,""name"":""Impact"",""value"":"""&amp;Y16&amp;"""},{""id"":150,""name"":""Time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Assigned"",""value"":"""&amp;Z16&amp;"""}]}}"&amp;"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arrival","project_id":79,"tracker_id":40,"status_id":1,"priority_id":2,"assigned_to_id":23,"start_date":"2016-09-01","description":"","custom_fields":[{"id":1,"name":"Subdivision","value":"EC"},{"id":4,"name":"Milepost","value":"10.9135"},{"id":17,"name":"Train ID","value":"206-01"},{"id":16,"name":"Locomotive ID","value":"4019"},{"id":130,"name":"Impact","value":""},{"id":150,"name":"Time of Event (Mountain Time)","value":"18:02:02"},{"id":151,"name":"Denver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6" s="55"/>
      <c r="Y16" s="55"/>
      <c r="Z16" s="55"/>
    </row>
    <row r="17" spans="1:26" s="1" customFormat="1" x14ac:dyDescent="0.25">
      <c r="A17" s="38">
        <v>42614.334444444445</v>
      </c>
      <c r="B17" s="33" t="s">
        <v>359</v>
      </c>
      <c r="C17" s="33" t="s">
        <v>406</v>
      </c>
      <c r="D17" s="33" t="s">
        <v>49</v>
      </c>
      <c r="E17" s="33" t="s">
        <v>56</v>
      </c>
      <c r="F17" s="49">
        <v>450</v>
      </c>
      <c r="G17" s="49">
        <v>501</v>
      </c>
      <c r="H17" s="49">
        <v>15308</v>
      </c>
      <c r="I17" s="33" t="s">
        <v>57</v>
      </c>
      <c r="J17" s="49">
        <v>15167</v>
      </c>
      <c r="K17" s="33" t="s">
        <v>53</v>
      </c>
      <c r="L17" s="92" t="str">
        <f>VLOOKUP(C17,'Trips&amp;Operators'!$C$1:$E$9999,3,0)</f>
        <v>ARVIDSON</v>
      </c>
      <c r="M17" s="131" t="s">
        <v>86</v>
      </c>
      <c r="N17" s="10"/>
      <c r="O17" s="33"/>
      <c r="P17" s="108" t="str">
        <f>VLOOKUP(C17,'Train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17" s="111" t="str">
        <f>VLOOKUP(C17,'Train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06:23:56-0600',mode:absolute,to:'2016-09-01 09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7" s="113" t="str">
        <f>astrogrep_path&amp;" /spath="&amp;search_path&amp;" /stypes=""*"&amp;S17&amp;"*"&amp;TEXT(A17-utc_offset/24,"YYYYMMDD")&amp;LEFT(TEXT(A17-utc_offset/24,"HH"),1)&amp;"*""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/stypes="*4008*201609011*" /stext=" 14:.+((SYSTEM_STATE.+slice.+state.+changed )|(ment ac)|(system.+state.+changed )|(\|lc)|(penalty)|(\[timeout)|(PRM\|1\|D)|(kpr)|(kdp))" /e /r /s</v>
      </c>
      <c r="S17" s="9" t="str">
        <f>MID(B17,13,4)</f>
        <v>4008</v>
      </c>
      <c r="T17" s="38">
        <f>A17+6/24</f>
        <v>42614.584444444445</v>
      </c>
      <c r="U17" s="52" t="str">
        <f>IF(VALUE(LEFT(IF(LEN(C17)=6,"0"&amp;C17,C17),2))&lt;=2,"EC",IF(OR(VALUE(LEFT(IF(LEN(C17)=6,"0"&amp;C17,C17),2))=8,VALUE(LEFT(IF(LEN(C17)=6,"0"&amp;C17,C17),2))=18),"NW","Other"))</f>
        <v>EC</v>
      </c>
      <c r="V17" s="52" t="str">
        <f>IF(AND(E17="TRACK WARRANT AUTHORITY",G17&lt;10),"OMIT","KEEP")</f>
        <v>KEEP</v>
      </c>
      <c r="W17" s="149" t="str">
        <f>"echo {""issue"":{""subject"":"""&amp;N17&amp;""",""project_id"":79,""tracker_id"":40,""status_id"":"&amp;redmine_status&amp;",""priority_id"":"&amp;redmine_priority&amp;",""assigned_to_id"":"&amp;redmine_assignee&amp;",""start_date"":"""&amp;TEXT(A17,"YYYY-mm-dd")&amp;""",""description"":"""&amp;X17&amp;""",""custom_fields"":[{""id"":1,""name"":""Subdivision"",""value"":"""&amp;U17&amp;"""},{""id"":4,""name"":""Milepost"",""value"":"""&amp;J17/10000&amp;"""},{""id"":17,""name"":""Train ID"",""value"":"""&amp;C17&amp;"""},{""id"":16,""name"":""Locomotive ID"",""value"":"""&amp;S17&amp;"""},{""id"":130,""name"":""Impact"",""value"":"""&amp;Y17&amp;"""},{""id"":150,""name"":""Time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Assigned"",""value"":"""&amp;Z17&amp;"""}]}}"&amp;"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{"issue":{"subject":"","project_id":79,"tracker_id":40,"status_id":1,"priority_id":2,"assigned_to_id":23,"start_date":"2016-09-01","description":"","custom_fields":[{"id":1,"name":"Subdivision","value":"EC"},{"id":4,"name":"Milepost","value":"1.5167"},{"id":17,"name":"Train ID","value":"124-01"},{"id":16,"name":"Locomotive ID","value":"4008"},{"id":130,"name":"Impact","value":""},{"id":150,"name":"Time of Event (Mountain Time)","value":"08:01:36"},{"id":151,"name":"Denver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5"/>
      <c r="Y17" s="55"/>
      <c r="Z17" s="55"/>
    </row>
    <row r="18" spans="1:26" s="1" customFormat="1" x14ac:dyDescent="0.25">
      <c r="A18" s="38">
        <v>42615.004374999997</v>
      </c>
      <c r="B18" s="33" t="s">
        <v>266</v>
      </c>
      <c r="C18" s="33" t="s">
        <v>567</v>
      </c>
      <c r="D18" s="33" t="s">
        <v>49</v>
      </c>
      <c r="E18" s="33" t="s">
        <v>56</v>
      </c>
      <c r="F18" s="49">
        <v>300</v>
      </c>
      <c r="G18" s="49">
        <v>353</v>
      </c>
      <c r="H18" s="49">
        <v>20321</v>
      </c>
      <c r="I18" s="33" t="s">
        <v>57</v>
      </c>
      <c r="J18" s="49">
        <v>20338</v>
      </c>
      <c r="K18" s="33" t="s">
        <v>52</v>
      </c>
      <c r="L18" s="92" t="str">
        <f>VLOOKUP(C18,'Trips&amp;Operators'!$C$1:$E$9999,3,0)</f>
        <v>STAMBAUGH</v>
      </c>
      <c r="M18" s="131" t="s">
        <v>86</v>
      </c>
      <c r="N18" s="10"/>
      <c r="O18" s="33"/>
      <c r="P18" s="108" t="str">
        <f>VLOOKUP(C18,'Train Runs'!$A$13:$AE$10012,31,0)</f>
        <v>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 &amp; 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</v>
      </c>
      <c r="Q18" s="111" t="str">
        <f>VLOOKUP(C18,'Train Runs'!$A$13:$AE$10012,22,0)</f>
        <v>https://search-rtdc-monitor-bjffxe2xuh6vdkpspy63sjmuny.us-east-1.es.amazonaws.com/_plugin/kibana/#/discover/Steve-Slow-Train-Analysis-(2080s-and-2083s)?_g=(refreshInterval:(display:Off,section:0,value:0),time:(from:'2016-09-01 22:37:37-0600',mode:absolute,to:'2016-09-02 01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18" s="113" t="str">
        <f>astrogrep_path&amp;" /spath="&amp;search_path&amp;" /stypes=""*"&amp;S18&amp;"*"&amp;TEXT(A18-utc_offset/24,"YYYYMMDD")&amp;LEFT(TEXT(A18-utc_offset/24,"HH"),1)&amp;"*""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/stypes="*4011*201609020*" /stext=" 06:.+((SYSTEM_STATE.+slice.+state.+changed )|(ment ac)|(system.+state.+changed )|(\|lc)|(penalty)|(\[timeout)|(PRM\|1\|D)|(kpr)|(kdp))" /e /r /s</v>
      </c>
      <c r="S18" s="9" t="str">
        <f>MID(B18,13,4)</f>
        <v>4011</v>
      </c>
      <c r="T18" s="38">
        <f>A18+6/24</f>
        <v>42615.254374999997</v>
      </c>
      <c r="U18" s="52" t="str">
        <f>IF(VALUE(LEFT(IF(LEN(C18)=6,"0"&amp;C18,C18),2))&lt;=2,"EC",IF(OR(VALUE(LEFT(IF(LEN(C18)=6,"0"&amp;C18,C18),2))=8,VALUE(LEFT(IF(LEN(C18)=6,"0"&amp;C18,C18),2))=18),"NW","Other"))</f>
        <v>EC</v>
      </c>
      <c r="V18" s="52" t="str">
        <f>IF(AND(E18="TRACK WARRANT AUTHORITY",G18&lt;10),"OMIT","KEEP")</f>
        <v>KEEP</v>
      </c>
      <c r="W18" s="149" t="str">
        <f>"echo {""issue"":{""subject"":"""&amp;N18&amp;""",""project_id"":79,""tracker_id"":40,""status_id"":"&amp;redmine_status&amp;",""priority_id"":"&amp;redmine_priority&amp;",""assigned_to_id"":"&amp;redmine_assignee&amp;",""start_date"":"""&amp;TEXT(A18,"YYYY-mm-dd")&amp;""",""description"":"""&amp;X18&amp;""",""custom_fields"":[{""id"":1,""name"":""Subdivision"",""value"":"""&amp;U18&amp;"""},{""id"":4,""name"":""Milepost"",""value"":"""&amp;J18/10000&amp;"""},{""id"":17,""name"":""Train ID"",""value"":"""&amp;C18&amp;"""},{""id"":16,""name"":""Locomotive ID"",""value"":"""&amp;S18&amp;"""},{""id"":130,""name"":""Impact"",""value"":"""&amp;Y18&amp;"""},{""id"":150,""name"":""Time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Assigned"",""value"":"""&amp;Z18&amp;"""}]}}"&amp;"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{"issue":{"subject":"","project_id":79,"tracker_id":40,"status_id":1,"priority_id":2,"assigned_to_id":23,"start_date":"2016-09-02","description":"","custom_fields":[{"id":1,"name":"Subdivision","value":"EC"},{"id":4,"name":"Milepost","value":"2.0338"},{"id":17,"name":"Train ID","value":"241-01"},{"id":16,"name":"Locomotive ID","value":"4011"},{"id":130,"name":"Impact","value":""},{"id":150,"name":"Time of Event (Mountain Time)","value":"00:06:18"},{"id":151,"name":"Denver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8" s="55"/>
      <c r="Y18" s="55"/>
      <c r="Z18" s="55"/>
    </row>
    <row r="19" spans="1:26" s="1" customFormat="1" x14ac:dyDescent="0.25">
      <c r="A19" s="38">
        <v>42614.312430555554</v>
      </c>
      <c r="B19" s="33" t="s">
        <v>265</v>
      </c>
      <c r="C19" s="33" t="s">
        <v>399</v>
      </c>
      <c r="D19" s="33" t="s">
        <v>49</v>
      </c>
      <c r="E19" s="33" t="s">
        <v>56</v>
      </c>
      <c r="F19" s="49">
        <v>300</v>
      </c>
      <c r="G19" s="49">
        <v>354</v>
      </c>
      <c r="H19" s="49">
        <v>22514</v>
      </c>
      <c r="I19" s="33" t="s">
        <v>57</v>
      </c>
      <c r="J19" s="49">
        <v>21848</v>
      </c>
      <c r="K19" s="33" t="s">
        <v>53</v>
      </c>
      <c r="L19" s="92" t="str">
        <f>VLOOKUP(C19,'Trips&amp;Operators'!$C$1:$E$9999,3,0)</f>
        <v>MALAVE</v>
      </c>
      <c r="M19" s="131" t="s">
        <v>86</v>
      </c>
      <c r="N19" s="10"/>
      <c r="O19" s="33"/>
      <c r="P19" s="108" t="str">
        <f>VLOOKUP(C19,'Train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19" s="111" t="str">
        <f>VLOOKUP(C19,'Train Runs'!$A$13:$AE$10012,22,0)</f>
        <v>https://search-rtdc-monitor-bjffxe2xuh6vdkpspy63sjmuny.us-east-1.es.amazonaws.com/_plugin/kibana/#/discover/Steve-Slow-Train-Analysis-(2080s-and-2083s)?_g=(refreshInterval:(display:Off,section:0,value:0),time:(from:'2016-09-01 05:52:59-0600',mode:absolute,to:'2016-09-01 08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9" s="113" t="str">
        <f>astrogrep_path&amp;" /spath="&amp;search_path&amp;" /stypes=""*"&amp;S19&amp;"*"&amp;TEXT(A19-utc_offset/24,"YYYYMMDD")&amp;LEFT(TEXT(A19-utc_offset/24,"HH"),1)&amp;"*""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/stypes="*4017*201609011*" /stext=" 13:.+((SYSTEM_STATE.+slice.+state.+changed )|(ment ac)|(system.+state.+changed )|(\|lc)|(penalty)|(\[timeout)|(PRM\|1\|D)|(kpr)|(kdp))" /e /r /s</v>
      </c>
      <c r="S19" s="9" t="str">
        <f>MID(B19,13,4)</f>
        <v>4017</v>
      </c>
      <c r="T19" s="38">
        <f>A19+6/24</f>
        <v>42614.562430555554</v>
      </c>
      <c r="U19" s="52" t="str">
        <f>IF(VALUE(LEFT(IF(LEN(C19)=6,"0"&amp;C19,C19),2))&lt;=2,"EC",IF(OR(VALUE(LEFT(IF(LEN(C19)=6,"0"&amp;C19,C19),2))=8,VALUE(LEFT(IF(LEN(C19)=6,"0"&amp;C19,C19),2))=18),"NW","Other"))</f>
        <v>EC</v>
      </c>
      <c r="V19" s="52" t="str">
        <f>IF(AND(E19="TRACK WARRANT AUTHORITY",G19&lt;10),"OMIT","KEEP")</f>
        <v>KEEP</v>
      </c>
      <c r="W19" s="149" t="str">
        <f>"echo {""issue"":{""subject"":"""&amp;N19&amp;""",""project_id"":79,""tracker_id"":40,""status_id"":"&amp;redmine_status&amp;",""priority_id"":"&amp;redmine_priority&amp;",""assigned_to_id"":"&amp;redmine_assignee&amp;",""start_date"":"""&amp;TEXT(A19,"YYYY-mm-dd")&amp;""",""description"":"""&amp;X19&amp;""",""custom_fields"":[{""id"":1,""name"":""Subdivision"",""value"":"""&amp;U19&amp;"""},{""id"":4,""name"":""Milepost"",""value"":"""&amp;J19/10000&amp;"""},{""id"":17,""name"":""Train ID"",""value"":"""&amp;C19&amp;"""},{""id"":16,""name"":""Locomotive ID"",""value"":"""&amp;S19&amp;"""},{""id"":130,""name"":""Impact"",""value"":"""&amp;Y19&amp;"""},{""id"":150,""name"":""Time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Assigned"",""value"":"""&amp;Z19&amp;"""}]}}"&amp;"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{"issue":{"subject":"","project_id":79,"tracker_id":40,"status_id":1,"priority_id":2,"assigned_to_id":23,"start_date":"2016-09-01","description":"","custom_fields":[{"id":1,"name":"Subdivision","value":"EC"},{"id":4,"name":"Milepost","value":"2.1848"},{"id":17,"name":"Train ID","value":"120-01"},{"id":16,"name":"Locomotive ID","value":"4017"},{"id":130,"name":"Impact","value":""},{"id":150,"name":"Time of Event (Mountain Time)","value":"07:29:54"},{"id":151,"name":"Denver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5"/>
      <c r="Y19" s="55"/>
      <c r="Z19" s="55"/>
    </row>
    <row r="20" spans="1:26" s="1" customFormat="1" x14ac:dyDescent="0.25">
      <c r="A20" s="38">
        <v>42614.551921296297</v>
      </c>
      <c r="B20" s="33" t="s">
        <v>359</v>
      </c>
      <c r="C20" s="33" t="s">
        <v>466</v>
      </c>
      <c r="D20" s="33" t="s">
        <v>49</v>
      </c>
      <c r="E20" s="33" t="s">
        <v>56</v>
      </c>
      <c r="F20" s="49">
        <v>300</v>
      </c>
      <c r="G20" s="49">
        <v>416</v>
      </c>
      <c r="H20" s="49">
        <v>22931</v>
      </c>
      <c r="I20" s="33" t="s">
        <v>57</v>
      </c>
      <c r="J20" s="49">
        <v>21848</v>
      </c>
      <c r="K20" s="33" t="s">
        <v>53</v>
      </c>
      <c r="L20" s="92" t="str">
        <f>VLOOKUP(C20,'Trips&amp;Operators'!$C$1:$E$9999,3,0)</f>
        <v>BROWN</v>
      </c>
      <c r="M20" s="131" t="s">
        <v>86</v>
      </c>
      <c r="N20" s="10"/>
      <c r="O20" s="33"/>
      <c r="P20" s="108" t="str">
        <f>VLOOKUP(C20,'Train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20" s="111" t="str">
        <f>VLOOKUP(C20,'Train Runs'!$A$13:$AE$10012,22,0)</f>
        <v>https://search-rtdc-monitor-bjffxe2xuh6vdkpspy63sjmuny.us-east-1.es.amazonaws.com/_plugin/kibana/#/discover/Steve-Slow-Train-Analysis-(2080s-and-2083s)?_g=(refreshInterval:(display:Off,section:0,value:0),time:(from:'2016-09-01 11:22:44-0600',mode:absolute,to:'2016-09-01 14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20" s="113" t="str">
        <f>astrogrep_path&amp;" /spath="&amp;search_path&amp;" /stypes=""*"&amp;S20&amp;"*"&amp;TEXT(A20-utc_offset/24,"YYYYMMDD")&amp;LEFT(TEXT(A20-utc_offset/24,"HH"),1)&amp;"*""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/stypes="*4008*201609011*" /stext=" 19:.+((SYSTEM_STATE.+slice.+state.+changed )|(ment ac)|(system.+state.+changed )|(\|lc)|(penalty)|(\[timeout)|(PRM\|1\|D)|(kpr)|(kdp))" /e /r /s</v>
      </c>
      <c r="S20" s="9" t="str">
        <f>MID(B20,13,4)</f>
        <v>4008</v>
      </c>
      <c r="T20" s="38">
        <f>A20+6/24</f>
        <v>42614.801921296297</v>
      </c>
      <c r="U20" s="52" t="str">
        <f>IF(VALUE(LEFT(IF(LEN(C20)=6,"0"&amp;C20,C20),2))&lt;=2,"EC",IF(OR(VALUE(LEFT(IF(LEN(C20)=6,"0"&amp;C20,C20),2))=8,VALUE(LEFT(IF(LEN(C20)=6,"0"&amp;C20,C20),2))=18),"NW","Other"))</f>
        <v>EC</v>
      </c>
      <c r="V20" s="52" t="str">
        <f>IF(AND(E20="TRACK WARRANT AUTHORITY",G20&lt;10),"OMIT","KEEP")</f>
        <v>KEEP</v>
      </c>
      <c r="W20" s="149" t="str">
        <f>"echo {""issue"":{""subject"":"""&amp;N20&amp;""",""project_id"":79,""tracker_id"":40,""status_id"":"&amp;redmine_status&amp;",""priority_id"":"&amp;redmine_priority&amp;",""assigned_to_id"":"&amp;redmine_assignee&amp;",""start_date"":"""&amp;TEXT(A20,"YYYY-mm-dd")&amp;""",""description"":"""&amp;X20&amp;""",""custom_fields"":[{""id"":1,""name"":""Subdivision"",""value"":"""&amp;U20&amp;"""},{""id"":4,""name"":""Milepost"",""value"":"""&amp;J20/10000&amp;"""},{""id"":17,""name"":""Train ID"",""value"":"""&amp;C20&amp;"""},{""id"":16,""name"":""Locomotive ID"",""value"":"""&amp;S20&amp;"""},{""id"":130,""name"":""Impact"",""value"":"""&amp;Y20&amp;"""},{""id"":150,""name"":""Time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Assigned"",""value"":"""&amp;Z20&amp;"""}]}}"&amp;"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{"issue":{"subject":"","project_id":79,"tracker_id":40,"status_id":1,"priority_id":2,"assigned_to_id":23,"start_date":"2016-09-01","description":"","custom_fields":[{"id":1,"name":"Subdivision","value":"EC"},{"id":4,"name":"Milepost","value":"2.1848"},{"id":17,"name":"Train ID","value":"166-01"},{"id":16,"name":"Locomotive ID","value":"4008"},{"id":130,"name":"Impact","value":""},{"id":150,"name":"Time of Event (Mountain Time)","value":"13:14:46"},{"id":151,"name":"Denver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0" s="55"/>
      <c r="Y20" s="55"/>
      <c r="Z20" s="55"/>
    </row>
    <row r="21" spans="1:26" s="1" customFormat="1" x14ac:dyDescent="0.25">
      <c r="A21" s="38">
        <v>42614.339201388888</v>
      </c>
      <c r="B21" s="33" t="s">
        <v>148</v>
      </c>
      <c r="C21" s="33" t="s">
        <v>422</v>
      </c>
      <c r="D21" s="33" t="s">
        <v>49</v>
      </c>
      <c r="E21" s="33" t="s">
        <v>56</v>
      </c>
      <c r="F21" s="49">
        <v>200</v>
      </c>
      <c r="G21" s="49">
        <v>255</v>
      </c>
      <c r="H21" s="49">
        <v>27207</v>
      </c>
      <c r="I21" s="33" t="s">
        <v>57</v>
      </c>
      <c r="J21" s="49">
        <v>27333</v>
      </c>
      <c r="K21" s="33" t="s">
        <v>52</v>
      </c>
      <c r="L21" s="92" t="str">
        <f>VLOOKUP(C21,'Trips&amp;Operators'!$C$1:$E$9999,3,0)</f>
        <v>STRICKLAND</v>
      </c>
      <c r="M21" s="131" t="s">
        <v>86</v>
      </c>
      <c r="N21" s="10"/>
      <c r="O21" s="33"/>
      <c r="P21" s="108" t="str">
        <f>VLOOKUP(C21,'Train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21" s="111" t="str">
        <f>VLOOKUP(C21,'Train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06:55:35-0600',mode:absolute,to:'2016-09-01 09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1" s="113" t="str">
        <f>astrogrep_path&amp;" /spath="&amp;search_path&amp;" /stypes=""*"&amp;S21&amp;"*"&amp;TEXT(A21-utc_offset/24,"YYYYMMDD")&amp;LEFT(TEXT(A21-utc_offset/24,"HH"),1)&amp;"*""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/stypes="*4038*201609011*" /stext=" 14:.+((SYSTEM_STATE.+slice.+state.+changed )|(ment ac)|(system.+state.+changed )|(\|lc)|(penalty)|(\[timeout)|(PRM\|1\|D)|(kpr)|(kdp))" /e /r /s</v>
      </c>
      <c r="S21" s="9" t="str">
        <f>MID(B21,13,4)</f>
        <v>4038</v>
      </c>
      <c r="T21" s="38">
        <f>A21+6/24</f>
        <v>42614.589201388888</v>
      </c>
      <c r="U21" s="52" t="str">
        <f>IF(VALUE(LEFT(IF(LEN(C21)=6,"0"&amp;C21,C21),2))&lt;=2,"EC",IF(OR(VALUE(LEFT(IF(LEN(C21)=6,"0"&amp;C21,C21),2))=8,VALUE(LEFT(IF(LEN(C21)=6,"0"&amp;C21,C21),2))=18),"NW","Other"))</f>
        <v>EC</v>
      </c>
      <c r="V21" s="52" t="str">
        <f>IF(AND(E21="TRACK WARRANT AUTHORITY",G21&lt;10),"OMIT","KEEP")</f>
        <v>KEEP</v>
      </c>
      <c r="W21" s="149" t="str">
        <f>"echo {""issue"":{""subject"":"""&amp;N21&amp;""",""project_id"":79,""tracker_id"":40,""status_id"":"&amp;redmine_status&amp;",""priority_id"":"&amp;redmine_priority&amp;",""assigned_to_id"":"&amp;redmine_assignee&amp;",""start_date"":"""&amp;TEXT(A21,"YYYY-mm-dd")&amp;""",""description"":"""&amp;X21&amp;""",""custom_fields"":[{""id"":1,""name"":""Subdivision"",""value"":"""&amp;U21&amp;"""},{""id"":4,""name"":""Milepost"",""value"":"""&amp;J21/10000&amp;"""},{""id"":17,""name"":""Train ID"",""value"":"""&amp;C21&amp;"""},{""id"":16,""name"":""Locomotive ID"",""value"":"""&amp;S21&amp;"""},{""id"":130,""name"":""Impact"",""value"":"""&amp;Y21&amp;"""},{""id"":150,""name"":""Time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Assigned"",""value"":"""&amp;Z21&amp;"""}]}}"&amp;"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{"issue":{"subject":"","project_id":79,"tracker_id":40,"status_id":1,"priority_id":2,"assigned_to_id":23,"start_date":"2016-09-01","description":"","custom_fields":[{"id":1,"name":"Subdivision","value":"EC"},{"id":4,"name":"Milepost","value":"2.7333"},{"id":17,"name":"Train ID","value":"135-01"},{"id":16,"name":"Locomotive ID","value":"4038"},{"id":130,"name":"Impact","value":""},{"id":150,"name":"Time of Event (Mountain Time)","value":"08:08:27"},{"id":151,"name":"Denver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5"/>
      <c r="Y21" s="55"/>
      <c r="Z21" s="55"/>
    </row>
    <row r="22" spans="1:26" x14ac:dyDescent="0.25">
      <c r="A22" s="38">
        <v>42614.203564814816</v>
      </c>
      <c r="B22" s="33" t="s">
        <v>148</v>
      </c>
      <c r="C22" s="33" t="s">
        <v>377</v>
      </c>
      <c r="D22" s="33" t="s">
        <v>49</v>
      </c>
      <c r="E22" s="33" t="s">
        <v>56</v>
      </c>
      <c r="F22" s="49">
        <v>400</v>
      </c>
      <c r="G22" s="49">
        <v>460</v>
      </c>
      <c r="H22" s="49">
        <v>115972</v>
      </c>
      <c r="I22" s="33" t="s">
        <v>57</v>
      </c>
      <c r="J22" s="49">
        <v>116838</v>
      </c>
      <c r="K22" s="33" t="s">
        <v>52</v>
      </c>
      <c r="L22" s="92" t="str">
        <f>VLOOKUP(C22,'Trips&amp;Operators'!$C$1:$E$9999,3,0)</f>
        <v>STRICKLAND</v>
      </c>
      <c r="M22" s="131" t="s">
        <v>86</v>
      </c>
      <c r="N22" s="10"/>
      <c r="O22" s="33"/>
      <c r="P22" s="108" t="str">
        <f>VLOOKUP(C22,'Train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22" s="111" t="str">
        <f>VLOOKUP(C22,'Train Runs'!$A$13:$AE$10012,22,0)</f>
        <v>https://search-rtdc-monitor-bjffxe2xuh6vdkpspy63sjmuny.us-east-1.es.amazonaws.com/_plugin/kibana/#/discover/Steve-Slow-Train-Analysis-(2080s-and-2083s)?_g=(refreshInterval:(display:Off,section:0,value:0),time:(from:'2016-09-01 03:22:56-0600',mode:absolute,to:'2016-09-01 06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2" s="113" t="str">
        <f>astrogrep_path&amp;" /spath="&amp;search_path&amp;" /stypes=""*"&amp;S22&amp;"*"&amp;TEXT(A22-utc_offset/24,"YYYYMMDD")&amp;LEFT(TEXT(A22-utc_offset/24,"HH"),1)&amp;"*""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/stypes="*4038*201609011*" /stext=" 10:.+((SYSTEM_STATE.+slice.+state.+changed )|(ment ac)|(system.+state.+changed )|(\|lc)|(penalty)|(\[timeout)|(PRM\|1\|D)|(kpr)|(kdp))" /e /r /s</v>
      </c>
      <c r="S22" s="9" t="str">
        <f>MID(B22,13,4)</f>
        <v>4038</v>
      </c>
      <c r="T22" s="38">
        <f>A22+6/24</f>
        <v>42614.453564814816</v>
      </c>
      <c r="U22" s="52" t="str">
        <f>IF(VALUE(LEFT(IF(LEN(C22)=6,"0"&amp;C22,C22),2))&lt;=2,"EC",IF(OR(VALUE(LEFT(IF(LEN(C22)=6,"0"&amp;C22,C22),2))=8,VALUE(LEFT(IF(LEN(C22)=6,"0"&amp;C22,C22),2))=18),"NW","Other"))</f>
        <v>EC</v>
      </c>
      <c r="V22" s="52" t="str">
        <f>IF(AND(E22="TRACK WARRANT AUTHORITY",G22&lt;10),"OMIT","KEEP")</f>
        <v>KEEP</v>
      </c>
      <c r="W22" s="149" t="str">
        <f>"echo {""issue"":{""subject"":"""&amp;N22&amp;""",""project_id"":79,""tracker_id"":40,""status_id"":"&amp;redmine_status&amp;",""priority_id"":"&amp;redmine_priority&amp;",""assigned_to_id"":"&amp;redmine_assignee&amp;",""start_date"":"""&amp;TEXT(A22,"YYYY-mm-dd")&amp;""",""description"":"""&amp;X22&amp;""",""custom_fields"":[{""id"":1,""name"":""Subdivision"",""value"":"""&amp;U22&amp;"""},{""id"":4,""name"":""Milepost"",""value"":"""&amp;J22/10000&amp;"""},{""id"":17,""name"":""Train ID"",""value"":"""&amp;C22&amp;"""},{""id"":16,""name"":""Locomotive ID"",""value"":"""&amp;S22&amp;"""},{""id"":130,""name"":""Impact"",""value"":"""&amp;Y22&amp;"""},{""id"":150,""name"":""Time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Assigned"",""value"":"""&amp;Z22&amp;"""}]}}"&amp;"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{"issue":{"subject":"","project_id":79,"tracker_id":40,"status_id":1,"priority_id":2,"assigned_to_id":23,"start_date":"2016-09-01","description":"","custom_fields":[{"id":1,"name":"Subdivision","value":"EC"},{"id":4,"name":"Milepost","value":"11.6838"},{"id":17,"name":"Train ID","value":"107-01"},{"id":16,"name":"Locomotive ID","value":"4038"},{"id":130,"name":"Impact","value":""},{"id":150,"name":"Time of Event (Mountain Time)","value":"04:53:08"},{"id":151,"name":"Denver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5"/>
      <c r="Y22" s="55"/>
      <c r="Z22" s="55"/>
    </row>
    <row r="23" spans="1:26" x14ac:dyDescent="0.25">
      <c r="A23" s="38">
        <v>42614.383321759262</v>
      </c>
      <c r="B23" s="33" t="s">
        <v>142</v>
      </c>
      <c r="C23" s="33" t="s">
        <v>423</v>
      </c>
      <c r="D23" s="33" t="s">
        <v>49</v>
      </c>
      <c r="E23" s="33" t="s">
        <v>56</v>
      </c>
      <c r="F23" s="49">
        <v>400</v>
      </c>
      <c r="G23" s="49">
        <v>574</v>
      </c>
      <c r="H23" s="49">
        <v>122582</v>
      </c>
      <c r="I23" s="33" t="s">
        <v>57</v>
      </c>
      <c r="J23" s="49">
        <v>119716</v>
      </c>
      <c r="K23" s="33" t="s">
        <v>53</v>
      </c>
      <c r="L23" s="92" t="str">
        <f>VLOOKUP(C23,'Trips&amp;Operators'!$C$1:$E$9999,3,0)</f>
        <v>STRICKLAND</v>
      </c>
      <c r="M23" s="131" t="s">
        <v>86</v>
      </c>
      <c r="N23" s="10"/>
      <c r="O23" s="33"/>
      <c r="P23" s="108" t="str">
        <f>VLOOKUP(C23,'Train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23" s="111" t="str">
        <f>VLOOKUP(C23,'Train Runs'!$A$13:$AE$10012,22,0)</f>
        <v>https://search-rtdc-monitor-bjffxe2xuh6vdkpspy63sjmuny.us-east-1.es.amazonaws.com/_plugin/kibana/#/discover/Steve-Slow-Train-Analysis-(2080s-and-2083s)?_g=(refreshInterval:(display:Off,section:0,value:0),time:(from:'2016-09-01 07:50:24-0600',mode:absolute,to:'2016-09-01 10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3" s="113" t="str">
        <f>astrogrep_path&amp;" /spath="&amp;search_path&amp;" /stypes=""*"&amp;S23&amp;"*"&amp;TEXT(A23-utc_offset/24,"YYYYMMDD")&amp;LEFT(TEXT(A23-utc_offset/24,"HH"),1)&amp;"*""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/stypes="*4037*201609011*" /stext=" 15:.+((SYSTEM_STATE.+slice.+state.+changed )|(ment ac)|(system.+state.+changed )|(\|lc)|(penalty)|(\[timeout)|(PRM\|1\|D)|(kpr)|(kdp))" /e /r /s</v>
      </c>
      <c r="S23" s="9" t="str">
        <f>MID(B23,13,4)</f>
        <v>4037</v>
      </c>
      <c r="T23" s="38">
        <f>A23+6/24</f>
        <v>42614.633321759262</v>
      </c>
      <c r="U23" s="52" t="str">
        <f>IF(VALUE(LEFT(IF(LEN(C23)=6,"0"&amp;C23,C23),2))&lt;=2,"EC",IF(OR(VALUE(LEFT(IF(LEN(C23)=6,"0"&amp;C23,C23),2))=8,VALUE(LEFT(IF(LEN(C23)=6,"0"&amp;C23,C23),2))=18),"NW","Other"))</f>
        <v>EC</v>
      </c>
      <c r="V23" s="52" t="str">
        <f>IF(AND(E23="TRACK WARRANT AUTHORITY",G23&lt;10),"OMIT","KEEP")</f>
        <v>KEEP</v>
      </c>
      <c r="W23" s="149" t="str">
        <f>"echo {""issue"":{""subject"":"""&amp;N23&amp;""",""project_id"":79,""tracker_id"":40,""status_id"":"&amp;redmine_status&amp;",""priority_id"":"&amp;redmine_priority&amp;",""assigned_to_id"":"&amp;redmine_assignee&amp;",""start_date"":"""&amp;TEXT(A23,"YYYY-mm-dd")&amp;""",""description"":"""&amp;X23&amp;""",""custom_fields"":[{""id"":1,""name"":""Subdivision"",""value"":"""&amp;U23&amp;"""},{""id"":4,""name"":""Milepost"",""value"":"""&amp;J23/10000&amp;"""},{""id"":17,""name"":""Train ID"",""value"":"""&amp;C23&amp;"""},{""id"":16,""name"":""Locomotive ID"",""value"":"""&amp;S23&amp;"""},{""id"":130,""name"":""Impact"",""value"":"""&amp;Y23&amp;"""},{""id"":150,""name"":""Time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Assigned"",""value"":"""&amp;Z23&amp;"""}]}}"&amp;"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{"issue":{"subject":"","project_id":79,"tracker_id":40,"status_id":1,"priority_id":2,"assigned_to_id":23,"start_date":"2016-09-01","description":"","custom_fields":[{"id":1,"name":"Subdivision","value":"EC"},{"id":4,"name":"Milepost","value":"11.9716"},{"id":17,"name":"Train ID","value":"136-01"},{"id":16,"name":"Locomotive ID","value":"4037"},{"id":130,"name":"Impact","value":""},{"id":150,"name":"Time of Event (Mountain Time)","value":"09:11:59"},{"id":151,"name":"Denver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5"/>
      <c r="Y23" s="55"/>
      <c r="Z23" s="55"/>
    </row>
    <row r="24" spans="1:26" x14ac:dyDescent="0.25">
      <c r="A24" s="38">
        <v>42614.308599537035</v>
      </c>
      <c r="B24" s="33" t="s">
        <v>142</v>
      </c>
      <c r="C24" s="33" t="s">
        <v>402</v>
      </c>
      <c r="D24" s="33" t="s">
        <v>49</v>
      </c>
      <c r="E24" s="33" t="s">
        <v>54</v>
      </c>
      <c r="F24" s="49">
        <v>0</v>
      </c>
      <c r="G24" s="49">
        <v>540</v>
      </c>
      <c r="H24" s="49">
        <v>131628</v>
      </c>
      <c r="I24" s="33" t="s">
        <v>55</v>
      </c>
      <c r="J24" s="49">
        <v>127587</v>
      </c>
      <c r="K24" s="33" t="s">
        <v>53</v>
      </c>
      <c r="L24" s="92" t="str">
        <f>VLOOKUP(C24,'Trips&amp;Operators'!$C$1:$E$9999,3,0)</f>
        <v>STRICKLAND</v>
      </c>
      <c r="M24" s="131" t="s">
        <v>86</v>
      </c>
      <c r="N24" s="10" t="s">
        <v>261</v>
      </c>
      <c r="O24" s="33"/>
      <c r="P24" s="108" t="str">
        <f>VLOOKUP(C24,'Train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24" s="111" t="str">
        <f>VLOOKUP(C24,'Train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06:04:41-0600',mode:absolute,to:'2016-09-01 08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4" s="113" t="str">
        <f>astrogrep_path&amp;" /spath="&amp;search_path&amp;" /stypes=""*"&amp;S24&amp;"*"&amp;TEXT(A24-utc_offset/24,"YYYYMMDD")&amp;LEFT(TEXT(A24-utc_offset/24,"HH"),1)&amp;"*""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/stypes="*4037*201609011*" /stext=" 13:.+((SYSTEM_STATE.+slice.+state.+changed )|(ment ac)|(system.+state.+changed )|(\|lc)|(penalty)|(\[timeout)|(PRM\|1\|D)|(kpr)|(kdp))" /e /r /s</v>
      </c>
      <c r="S24" s="9" t="str">
        <f>MID(B24,13,4)</f>
        <v>4037</v>
      </c>
      <c r="T24" s="38">
        <f>A24+6/24</f>
        <v>42614.558599537035</v>
      </c>
      <c r="U24" s="52" t="str">
        <f>IF(VALUE(LEFT(IF(LEN(C24)=6,"0"&amp;C24,C24),2))&lt;=2,"EC",IF(OR(VALUE(LEFT(IF(LEN(C24)=6,"0"&amp;C24,C24),2))=8,VALUE(LEFT(IF(LEN(C24)=6,"0"&amp;C24,C24),2))=18),"NW","Other"))</f>
        <v>EC</v>
      </c>
      <c r="V24" s="52" t="str">
        <f>IF(AND(E24="TRACK WARRANT AUTHORITY",G24&lt;10),"OMIT","KEEP")</f>
        <v>KEEP</v>
      </c>
      <c r="W24" s="149" t="str">
        <f>"echo {""issue"":{""subject"":"""&amp;N24&amp;""",""project_id"":79,""tracker_id"":40,""status_id"":"&amp;redmine_status&amp;",""priority_id"":"&amp;redmine_priority&amp;",""assigned_to_id"":"&amp;redmine_assignee&amp;",""start_date"":"""&amp;TEXT(A24,"YYYY-mm-dd")&amp;""",""description"":"""&amp;X24&amp;""",""custom_fields"":[{""id"":1,""name"":""Subdivision"",""value"":"""&amp;U24&amp;"""},{""id"":4,""name"":""Milepost"",""value"":"""&amp;J24/10000&amp;"""},{""id"":17,""name"":""Train ID"",""value"":"""&amp;C24&amp;"""},{""id"":16,""name"":""Locomotive ID"",""value"":"""&amp;S24&amp;"""},{""id"":130,""name"":""Impact"",""value"":"""&amp;Y24&amp;"""},{""id"":150,""name"":""Time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Assigned"",""value"":"""&amp;Z24&amp;"""}]}}"&amp;" | curl -X POST -H ""Content-Type: application/json"" -H ""X-Redmine-API-Key: "&amp;redm_api_key&amp;""" "&amp;redm_url&amp;" --data @-"</f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ID","value":"122-01"},{"id":16,"name":"Locomotive ID","value":"4037"},{"id":130,"name":"Impact","value":""},{"id":150,"name":"Time of Event (Mountain Time)","value":"07:24:23"},{"id":151,"name":"Denver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5"/>
      <c r="Y24" s="55"/>
      <c r="Z24" s="55"/>
    </row>
    <row r="25" spans="1:26" ht="15" customHeight="1" x14ac:dyDescent="0.25">
      <c r="A25" s="38">
        <v>42614.351006944446</v>
      </c>
      <c r="B25" s="33" t="s">
        <v>224</v>
      </c>
      <c r="C25" s="33" t="s">
        <v>416</v>
      </c>
      <c r="D25" s="33" t="s">
        <v>49</v>
      </c>
      <c r="E25" s="33" t="s">
        <v>54</v>
      </c>
      <c r="F25" s="49">
        <v>0</v>
      </c>
      <c r="G25" s="49">
        <v>338</v>
      </c>
      <c r="H25" s="49">
        <v>128900</v>
      </c>
      <c r="I25" s="33" t="s">
        <v>55</v>
      </c>
      <c r="J25" s="49">
        <v>127587</v>
      </c>
      <c r="K25" s="33" t="s">
        <v>53</v>
      </c>
      <c r="L25" s="92" t="str">
        <f>VLOOKUP(C25,'Trips&amp;Operators'!$C$1:$E$9999,3,0)</f>
        <v>SMITH</v>
      </c>
      <c r="M25" s="131" t="s">
        <v>86</v>
      </c>
      <c r="N25" s="10" t="s">
        <v>261</v>
      </c>
      <c r="O25" s="33"/>
      <c r="P25" s="108" t="str">
        <f>VLOOKUP(C25,'Train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25" s="111" t="str">
        <f>VLOOKUP(C25,'Train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5" s="113" t="str">
        <f>astrogrep_path&amp;" /spath="&amp;search_path&amp;" /stypes=""*"&amp;S25&amp;"*"&amp;TEXT(A25-utc_offset/24,"YYYYMMDD")&amp;LEFT(TEXT(A25-utc_offset/24,"HH"),1)&amp;"*""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/stypes="*4019*201609011*" /stext=" 14:.+((SYSTEM_STATE.+slice.+state.+changed )|(ment ac)|(system.+state.+changed )|(\|lc)|(penalty)|(\[timeout)|(PRM\|1\|D)|(kpr)|(kdp))" /e /r /s</v>
      </c>
      <c r="S25" s="9" t="str">
        <f>MID(B25,13,4)</f>
        <v>4019</v>
      </c>
      <c r="T25" s="38">
        <f>A25+6/24</f>
        <v>42614.601006944446</v>
      </c>
      <c r="U25" s="52" t="str">
        <f>IF(VALUE(LEFT(IF(LEN(C25)=6,"0"&amp;C25,C25),2))&lt;=2,"EC",IF(OR(VALUE(LEFT(IF(LEN(C25)=6,"0"&amp;C25,C25),2))=8,VALUE(LEFT(IF(LEN(C25)=6,"0"&amp;C25,C25),2))=18),"NW","Other"))</f>
        <v>EC</v>
      </c>
      <c r="V25" s="52" t="str">
        <f>IF(AND(E25="TRACK WARRANT AUTHORITY",G25&lt;10),"OMIT","KEEP")</f>
        <v>KEEP</v>
      </c>
      <c r="W25" s="149" t="str">
        <f>"echo {""issue"":{""subject"":"""&amp;N25&amp;""",""project_id"":79,""tracker_id"":40,""status_id"":"&amp;redmine_status&amp;",""priority_id"":"&amp;redmine_priority&amp;",""assigned_to_id"":"&amp;redmine_assignee&amp;",""start_date"":"""&amp;TEXT(A25,"YYYY-mm-dd")&amp;""",""description"":"""&amp;X25&amp;""",""custom_fields"":[{""id"":1,""name"":""Subdivision"",""value"":"""&amp;U25&amp;"""},{""id"":4,""name"":""Milepost"",""value"":"""&amp;J25/10000&amp;"""},{""id"":17,""name"":""Train ID"",""value"":"""&amp;C25&amp;"""},{""id"":16,""name"":""Locomotive ID"",""value"":"""&amp;S25&amp;"""},{""id"":130,""name"":""Impact"",""value"":"""&amp;Y25&amp;"""},{""id"":150,""name"":""Time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Assigned"",""value"":"""&amp;Z25&amp;"""}]}}"&amp;" | curl -X POST -H ""Content-Type: application/json"" -H ""X-Redmine-API-Key: "&amp;redm_api_key&amp;""" "&amp;redm_url&amp;" --data @-"</f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ID","value":"130-01"},{"id":16,"name":"Locomotive ID","value":"4019"},{"id":130,"name":"Impact","value":""},{"id":150,"name":"Time of Event (Mountain Time)","value":"08:25:27"},{"id":151,"name":"Denver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5" s="55"/>
      <c r="Y25" s="55"/>
      <c r="Z25" s="55"/>
    </row>
    <row r="26" spans="1:26" x14ac:dyDescent="0.25">
      <c r="A26" s="38">
        <v>42614.351412037038</v>
      </c>
      <c r="B26" s="33" t="s">
        <v>224</v>
      </c>
      <c r="C26" s="33" t="s">
        <v>416</v>
      </c>
      <c r="D26" s="33" t="s">
        <v>49</v>
      </c>
      <c r="E26" s="33" t="s">
        <v>54</v>
      </c>
      <c r="F26" s="49">
        <v>0</v>
      </c>
      <c r="G26" s="49">
        <v>67</v>
      </c>
      <c r="H26" s="49">
        <v>128108</v>
      </c>
      <c r="I26" s="33" t="s">
        <v>55</v>
      </c>
      <c r="J26" s="49">
        <v>127587</v>
      </c>
      <c r="K26" s="33" t="s">
        <v>53</v>
      </c>
      <c r="L26" s="92" t="str">
        <f>VLOOKUP(C26,'Trips&amp;Operators'!$C$1:$E$9999,3,0)</f>
        <v>SMITH</v>
      </c>
      <c r="M26" s="131" t="s">
        <v>86</v>
      </c>
      <c r="N26" s="10" t="s">
        <v>261</v>
      </c>
      <c r="O26" s="33"/>
      <c r="P26" s="108" t="str">
        <f>VLOOKUP(C26,'Train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26" s="111" t="str">
        <f>VLOOKUP(C26,'Train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6" s="113" t="str">
        <f>astrogrep_path&amp;" /spath="&amp;search_path&amp;" /stypes=""*"&amp;S26&amp;"*"&amp;TEXT(A26-utc_offset/24,"YYYYMMDD")&amp;LEFT(TEXT(A26-utc_offset/24,"HH"),1)&amp;"*""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/stypes="*4019*201609011*" /stext=" 14:.+((SYSTEM_STATE.+slice.+state.+changed )|(ment ac)|(system.+state.+changed )|(\|lc)|(penalty)|(\[timeout)|(PRM\|1\|D)|(kpr)|(kdp))" /e /r /s</v>
      </c>
      <c r="S26" s="9" t="str">
        <f>MID(B26,13,4)</f>
        <v>4019</v>
      </c>
      <c r="T26" s="38">
        <f>A26+6/24</f>
        <v>42614.601412037038</v>
      </c>
      <c r="U26" s="52" t="str">
        <f>IF(VALUE(LEFT(IF(LEN(C26)=6,"0"&amp;C26,C26),2))&lt;=2,"EC",IF(OR(VALUE(LEFT(IF(LEN(C26)=6,"0"&amp;C26,C26),2))=8,VALUE(LEFT(IF(LEN(C26)=6,"0"&amp;C26,C26),2))=18),"NW","Other"))</f>
        <v>EC</v>
      </c>
      <c r="V26" s="52" t="str">
        <f>IF(AND(E26="TRACK WARRANT AUTHORITY",G26&lt;10),"OMIT","KEEP")</f>
        <v>KEEP</v>
      </c>
      <c r="W26" s="149" t="str">
        <f>"echo {""issue"":{""subject"":"""&amp;N26&amp;""",""project_id"":79,""tracker_id"":40,""status_id"":"&amp;redmine_status&amp;",""priority_id"":"&amp;redmine_priority&amp;",""assigned_to_id"":"&amp;redmine_assignee&amp;",""start_date"":"""&amp;TEXT(A26,"YYYY-mm-dd")&amp;""",""description"":"""&amp;X26&amp;""",""custom_fields"":[{""id"":1,""name"":""Subdivision"",""value"":"""&amp;U26&amp;"""},{""id"":4,""name"":""Milepost"",""value"":"""&amp;J26/10000&amp;"""},{""id"":17,""name"":""Train ID"",""value"":"""&amp;C26&amp;"""},{""id"":16,""name"":""Locomotive ID"",""value"":"""&amp;S26&amp;"""},{""id"":130,""name"":""Impact"",""value"":"""&amp;Y26&amp;"""},{""id"":150,""name"":""Time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Assigned"",""value"":"""&amp;Z26&amp;"""}]}}"&amp;" | curl -X POST -H ""Content-Type: application/json"" -H ""X-Redmine-API-Key: "&amp;redm_api_key&amp;""" "&amp;redm_url&amp;" --data @-"</f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ID","value":"130-01"},{"id":16,"name":"Locomotive ID","value":"4019"},{"id":130,"name":"Impact","value":""},{"id":150,"name":"Time of Event (Mountain Time)","value":"08:26:02"},{"id":151,"name":"Denver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6" s="55"/>
      <c r="Y26" s="55"/>
      <c r="Z26" s="55"/>
    </row>
    <row r="27" spans="1:26" x14ac:dyDescent="0.25">
      <c r="A27" s="38">
        <v>42614.641967592594</v>
      </c>
      <c r="B27" s="33" t="s">
        <v>224</v>
      </c>
      <c r="C27" s="33" t="s">
        <v>492</v>
      </c>
      <c r="D27" s="33" t="s">
        <v>49</v>
      </c>
      <c r="E27" s="33" t="s">
        <v>54</v>
      </c>
      <c r="F27" s="49">
        <v>0</v>
      </c>
      <c r="G27" s="49">
        <v>462</v>
      </c>
      <c r="H27" s="49">
        <v>130071</v>
      </c>
      <c r="I27" s="33" t="s">
        <v>55</v>
      </c>
      <c r="J27" s="49">
        <v>127587</v>
      </c>
      <c r="K27" s="33" t="s">
        <v>53</v>
      </c>
      <c r="L27" s="92" t="str">
        <f>VLOOKUP(C27,'Trips&amp;Operators'!$C$1:$E$9999,3,0)</f>
        <v>SUR</v>
      </c>
      <c r="M27" s="131" t="s">
        <v>86</v>
      </c>
      <c r="N27" s="10" t="s">
        <v>261</v>
      </c>
      <c r="O27" s="33"/>
      <c r="P27" s="108" t="str">
        <f>VLOOKUP(C27,'Train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27" s="111" t="str">
        <f>VLOOKUP(C27,'Train Runs'!$A$13:$AE$10012,22,0)</f>
        <v>https://search-rtdc-monitor-bjffxe2xuh6vdkpspy63sjmuny.us-east-1.es.amazonaws.com/_plugin/kibana/#/discover/Steve-Slow-Train-Analysis-(2080s-and-2083s)?_g=(refreshInterval:(display:Off,section:0,value:0),time:(from:'2016-09-01 13:57:11-0600',mode:absolute,to:'2016-09-01 16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7" s="113" t="str">
        <f>astrogrep_path&amp;" /spath="&amp;search_path&amp;" /stypes=""*"&amp;S27&amp;"*"&amp;TEXT(A27-utc_offset/24,"YYYYMMDD")&amp;LEFT(TEXT(A27-utc_offset/24,"HH"),1)&amp;"*""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/stypes="*4019*201609012*" /stext=" 21:.+((SYSTEM_STATE.+slice.+state.+changed )|(ment ac)|(system.+state.+changed )|(\|lc)|(penalty)|(\[timeout)|(PRM\|1\|D)|(kpr)|(kdp))" /e /r /s</v>
      </c>
      <c r="S27" s="9" t="str">
        <f>MID(B27,13,4)</f>
        <v>4019</v>
      </c>
      <c r="T27" s="38">
        <f>A27+6/24</f>
        <v>42614.891967592594</v>
      </c>
      <c r="U27" s="52" t="str">
        <f>IF(VALUE(LEFT(IF(LEN(C27)=6,"0"&amp;C27,C27),2))&lt;=2,"EC",IF(OR(VALUE(LEFT(IF(LEN(C27)=6,"0"&amp;C27,C27),2))=8,VALUE(LEFT(IF(LEN(C27)=6,"0"&amp;C27,C27),2))=18),"NW","Other"))</f>
        <v>EC</v>
      </c>
      <c r="V27" s="52" t="str">
        <f>IF(AND(E27="TRACK WARRANT AUTHORITY",G27&lt;10),"OMIT","KEEP")</f>
        <v>KEEP</v>
      </c>
      <c r="W27" s="149" t="str">
        <f>"echo {""issue"":{""subject"":"""&amp;N27&amp;""",""project_id"":79,""tracker_id"":40,""status_id"":"&amp;redmine_status&amp;",""priority_id"":"&amp;redmine_priority&amp;",""assigned_to_id"":"&amp;redmine_assignee&amp;",""start_date"":"""&amp;TEXT(A27,"YYYY-mm-dd")&amp;""",""description"":"""&amp;X27&amp;""",""custom_fields"":[{""id"":1,""name"":""Subdivision"",""value"":"""&amp;U27&amp;"""},{""id"":4,""name"":""Milepost"",""value"":"""&amp;J27/10000&amp;"""},{""id"":17,""name"":""Train ID"",""value"":"""&amp;C27&amp;"""},{""id"":16,""name"":""Locomotive ID"",""value"":"""&amp;S27&amp;"""},{""id"":130,""name"":""Impact"",""value"":"""&amp;Y27&amp;"""},{""id"":150,""name"":""Time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Assigned"",""value"":"""&amp;Z27&amp;"""}]}}"&amp;" | curl -X POST -H ""Content-Type: application/json"" -H ""X-Redmine-API-Key: "&amp;redm_api_key&amp;""" "&amp;redm_url&amp;" --data @-"</f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ID","value":"186-01"},{"id":16,"name":"Locomotive ID","value":"4019"},{"id":130,"name":"Impact","value":""},{"id":150,"name":"Time of Event (Mountain Time)","value":"15:24:26"},{"id":151,"name":"Denver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7" s="55"/>
      <c r="Y27" s="55"/>
      <c r="Z27" s="55"/>
    </row>
    <row r="28" spans="1:26" x14ac:dyDescent="0.25">
      <c r="A28" s="38">
        <v>42614.345138888886</v>
      </c>
      <c r="B28" s="33" t="s">
        <v>224</v>
      </c>
      <c r="C28" s="33" t="s">
        <v>416</v>
      </c>
      <c r="D28" s="33" t="s">
        <v>49</v>
      </c>
      <c r="E28" s="33" t="s">
        <v>54</v>
      </c>
      <c r="F28" s="49">
        <v>0</v>
      </c>
      <c r="G28" s="49">
        <v>374</v>
      </c>
      <c r="H28" s="49">
        <v>193655</v>
      </c>
      <c r="I28" s="33" t="s">
        <v>55</v>
      </c>
      <c r="J28" s="49">
        <v>191723</v>
      </c>
      <c r="K28" s="33" t="s">
        <v>53</v>
      </c>
      <c r="L28" s="92" t="str">
        <f>VLOOKUP(C28,'Trips&amp;Operators'!$C$1:$E$9999,3,0)</f>
        <v>SMITH</v>
      </c>
      <c r="M28" s="131" t="s">
        <v>86</v>
      </c>
      <c r="N28" s="10" t="s">
        <v>307</v>
      </c>
      <c r="O28" s="33"/>
      <c r="P28" s="108" t="str">
        <f>VLOOKUP(C28,'Train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28" s="111" t="str">
        <f>VLOOKUP(C28,'Train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8" s="113" t="str">
        <f>astrogrep_path&amp;" /spath="&amp;search_path&amp;" /stypes=""*"&amp;S28&amp;"*"&amp;TEXT(A28-utc_offset/24,"YYYYMMDD")&amp;LEFT(TEXT(A28-utc_offset/24,"HH"),1)&amp;"*""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/stypes="*4019*201609011*" /stext=" 14:.+((SYSTEM_STATE.+slice.+state.+changed )|(ment ac)|(system.+state.+changed )|(\|lc)|(penalty)|(\[timeout)|(PRM\|1\|D)|(kpr)|(kdp))" /e /r /s</v>
      </c>
      <c r="S28" s="9" t="str">
        <f>MID(B28,13,4)</f>
        <v>4019</v>
      </c>
      <c r="T28" s="38">
        <f>A28+6/24</f>
        <v>42614.595138888886</v>
      </c>
      <c r="U28" s="52" t="str">
        <f>IF(VALUE(LEFT(IF(LEN(C28)=6,"0"&amp;C28,C28),2))&lt;=2,"EC",IF(OR(VALUE(LEFT(IF(LEN(C28)=6,"0"&amp;C28,C28),2))=8,VALUE(LEFT(IF(LEN(C28)=6,"0"&amp;C28,C28),2))=18),"NW","Other"))</f>
        <v>EC</v>
      </c>
      <c r="V28" s="52" t="str">
        <f>IF(AND(E28="TRACK WARRANT AUTHORITY",G28&lt;10),"OMIT","KEEP")</f>
        <v>KEEP</v>
      </c>
      <c r="W28" s="149" t="str">
        <f>"echo {""issue"":{""subject"":"""&amp;N28&amp;""",""project_id"":79,""tracker_id"":40,""status_id"":"&amp;redmine_status&amp;",""priority_id"":"&amp;redmine_priority&amp;",""assigned_to_id"":"&amp;redmine_assignee&amp;",""start_date"":"""&amp;TEXT(A28,"YYYY-mm-dd")&amp;""",""description"":"""&amp;X28&amp;""",""custom_fields"":[{""id"":1,""name"":""Subdivision"",""value"":"""&amp;U28&amp;"""},{""id"":4,""name"":""Milepost"",""value"":"""&amp;J28/10000&amp;"""},{""id"":17,""name"":""Train ID"",""value"":"""&amp;C28&amp;"""},{""id"":16,""name"":""Locomotive ID"",""value"":"""&amp;S28&amp;"""},{""id"":130,""name"":""Impact"",""value"":"""&amp;Y28&amp;"""},{""id"":150,""name"":""Time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Assigned"",""value"":"""&amp;Z28&amp;"""}]}}"&amp;" | curl -X POST -H ""Content-Type: application/json"" -H ""X-Redmine-API-Key: "&amp;redm_api_key&amp;""" "&amp;redm_url&amp;" --data @-"</f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ID","value":"130-01"},{"id":16,"name":"Locomotive ID","value":"4019"},{"id":130,"name":"Impact","value":""},{"id":150,"name":"Time of Event (Mountain Time)","value":"08:17:00"},{"id":151,"name":"Denver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8" s="55"/>
      <c r="Y28" s="55"/>
      <c r="Z28" s="55"/>
    </row>
    <row r="29" spans="1:26" x14ac:dyDescent="0.25">
      <c r="A29" s="38">
        <v>42614.407685185186</v>
      </c>
      <c r="B29" s="33" t="s">
        <v>356</v>
      </c>
      <c r="C29" s="33" t="s">
        <v>433</v>
      </c>
      <c r="D29" s="33" t="s">
        <v>49</v>
      </c>
      <c r="E29" s="33" t="s">
        <v>54</v>
      </c>
      <c r="F29" s="49">
        <v>0</v>
      </c>
      <c r="G29" s="49">
        <v>306</v>
      </c>
      <c r="H29" s="49">
        <v>193916</v>
      </c>
      <c r="I29" s="33" t="s">
        <v>55</v>
      </c>
      <c r="J29" s="49">
        <v>191723</v>
      </c>
      <c r="K29" s="33" t="s">
        <v>53</v>
      </c>
      <c r="L29" s="92" t="str">
        <f>VLOOKUP(C29,'Trips&amp;Operators'!$C$1:$E$9999,3,0)</f>
        <v>MAELZER</v>
      </c>
      <c r="M29" s="131" t="s">
        <v>86</v>
      </c>
      <c r="N29" s="10" t="s">
        <v>307</v>
      </c>
      <c r="O29" s="33"/>
      <c r="P29" s="108" t="str">
        <f>VLOOKUP(C29,'Train Runs'!$A$13:$AE$10012,31,0)</f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Q29" s="111" t="str">
        <f>VLOOKUP(C29,'Train Runs'!$A$13:$AE$10012,22,0)</f>
        <v>https://search-rtdc-monitor-bjffxe2xuh6vdkpspy63sjmuny.us-east-1.es.amazonaws.com/_plugin/kibana/#/discover/Steve-Slow-Train-Analysis-(2080s-and-2083s)?_g=(refreshInterval:(display:Off,section:0,value:0),time:(from:'2016-09-01 08:29:03-0600',mode:absolute,to:'2016-09-01 11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9" s="113" t="str">
        <f>astrogrep_path&amp;" /spath="&amp;search_path&amp;" /stypes=""*"&amp;S29&amp;"*"&amp;TEXT(A29-utc_offset/24,"YYYYMMDD")&amp;LEFT(TEXT(A29-utc_offset/24,"HH"),1)&amp;"*""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/stypes="*4043*201609011*" /stext=" 15:.+((SYSTEM_STATE.+slice.+state.+changed )|(ment ac)|(system.+state.+changed )|(\|lc)|(penalty)|(\[timeout)|(PRM\|1\|D)|(kpr)|(kdp))" /e /r /s</v>
      </c>
      <c r="S29" s="9" t="str">
        <f>MID(B29,13,4)</f>
        <v>4043</v>
      </c>
      <c r="T29" s="38">
        <f>A29+6/24</f>
        <v>42614.657685185186</v>
      </c>
      <c r="U29" s="52" t="str">
        <f>IF(VALUE(LEFT(IF(LEN(C29)=6,"0"&amp;C29,C29),2))&lt;=2,"EC",IF(OR(VALUE(LEFT(IF(LEN(C29)=6,"0"&amp;C29,C29),2))=8,VALUE(LEFT(IF(LEN(C29)=6,"0"&amp;C29,C29),2))=18),"NW","Other"))</f>
        <v>EC</v>
      </c>
      <c r="V29" s="52" t="str">
        <f>IF(AND(E29="TRACK WARRANT AUTHORITY",G29&lt;10),"OMIT","KEEP")</f>
        <v>KEEP</v>
      </c>
      <c r="W29" s="149" t="str">
        <f>"echo {""issue"":{""subject"":"""&amp;N29&amp;""",""project_id"":79,""tracker_id"":40,""status_id"":"&amp;redmine_status&amp;",""priority_id"":"&amp;redmine_priority&amp;",""assigned_to_id"":"&amp;redmine_assignee&amp;",""start_date"":"""&amp;TEXT(A29,"YYYY-mm-dd")&amp;""",""description"":"""&amp;X29&amp;""",""custom_fields"":[{""id"":1,""name"":""Subdivision"",""value"":"""&amp;U29&amp;"""},{""id"":4,""name"":""Milepost"",""value"":"""&amp;J29/10000&amp;"""},{""id"":17,""name"":""Train ID"",""value"":"""&amp;C29&amp;"""},{""id"":16,""name"":""Locomotive ID"",""value"":"""&amp;S29&amp;"""},{""id"":130,""name"":""Impact"",""value"":"""&amp;Y29&amp;"""},{""id"":150,""name"":""Time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Assigned"",""value"":"""&amp;Z29&amp;"""}]}}"&amp;" | curl -X POST -H ""Content-Type: application/json"" -H ""X-Redmine-API-Key: "&amp;redm_api_key&amp;""" "&amp;redm_url&amp;" --data @-"</f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ID","value":"142-01"},{"id":16,"name":"Locomotive ID","value":"4043"},{"id":130,"name":"Impact","value":""},{"id":150,"name":"Time of Event (Mountain Time)","value":"09:47:04"},{"id":151,"name":"Denver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5"/>
      <c r="Y29" s="55"/>
      <c r="Z29" s="55"/>
    </row>
    <row r="30" spans="1:26" x14ac:dyDescent="0.25">
      <c r="A30" s="38">
        <v>42614.604895833334</v>
      </c>
      <c r="B30" s="33" t="s">
        <v>359</v>
      </c>
      <c r="C30" s="33" t="s">
        <v>483</v>
      </c>
      <c r="D30" s="33" t="s">
        <v>49</v>
      </c>
      <c r="E30" s="33" t="s">
        <v>54</v>
      </c>
      <c r="F30" s="49">
        <v>0</v>
      </c>
      <c r="G30" s="49">
        <v>449</v>
      </c>
      <c r="H30" s="49">
        <v>194163</v>
      </c>
      <c r="I30" s="33" t="s">
        <v>55</v>
      </c>
      <c r="J30" s="49">
        <v>191723</v>
      </c>
      <c r="K30" s="33" t="s">
        <v>53</v>
      </c>
      <c r="L30" s="92" t="str">
        <f>VLOOKUP(C30,'Trips&amp;Operators'!$C$1:$E$9999,3,0)</f>
        <v>BROWN</v>
      </c>
      <c r="M30" s="131" t="s">
        <v>86</v>
      </c>
      <c r="N30" s="10" t="s">
        <v>307</v>
      </c>
      <c r="O30" s="33"/>
      <c r="P30" s="108" t="str">
        <f>VLOOKUP(C30,'Train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30" s="111" t="str">
        <f>VLOOKUP(C30,'Train Runs'!$A$13:$AE$10012,22,0)</f>
        <v>https://search-rtdc-monitor-bjffxe2xuh6vdkpspy63sjmuny.us-east-1.es.amazonaws.com/_plugin/kibana/#/discover/Steve-Slow-Train-Analysis-(2080s-and-2083s)?_g=(refreshInterval:(display:Off,section:0,value:0),time:(from:'2016-09-01 13:08:27-0600',mode:absolute,to:'2016-09-01 16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0" s="113" t="str">
        <f>astrogrep_path&amp;" /spath="&amp;search_path&amp;" /stypes=""*"&amp;S30&amp;"*"&amp;TEXT(A30-utc_offset/24,"YYYYMMDD")&amp;LEFT(TEXT(A30-utc_offset/24,"HH"),1)&amp;"*""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/stypes="*4008*201609012*" /stext=" 20:.+((SYSTEM_STATE.+slice.+state.+changed )|(ment ac)|(system.+state.+changed )|(\|lc)|(penalty)|(\[timeout)|(PRM\|1\|D)|(kpr)|(kdp))" /e /r /s</v>
      </c>
      <c r="S30" s="9" t="str">
        <f>MID(B30,13,4)</f>
        <v>4008</v>
      </c>
      <c r="T30" s="38">
        <f>A30+6/24</f>
        <v>42614.854895833334</v>
      </c>
      <c r="U30" s="52" t="str">
        <f>IF(VALUE(LEFT(IF(LEN(C30)=6,"0"&amp;C30,C30),2))&lt;=2,"EC",IF(OR(VALUE(LEFT(IF(LEN(C30)=6,"0"&amp;C30,C30),2))=8,VALUE(LEFT(IF(LEN(C30)=6,"0"&amp;C30,C30),2))=18),"NW","Other"))</f>
        <v>EC</v>
      </c>
      <c r="V30" s="52" t="str">
        <f>IF(AND(E30="TRACK WARRANT AUTHORITY",G30&lt;10),"OMIT","KEEP")</f>
        <v>KEEP</v>
      </c>
      <c r="W30" s="149" t="str">
        <f>"echo {""issue"":{""subject"":"""&amp;N30&amp;""",""project_id"":79,""tracker_id"":40,""status_id"":"&amp;redmine_status&amp;",""priority_id"":"&amp;redmine_priority&amp;",""assigned_to_id"":"&amp;redmine_assignee&amp;",""start_date"":"""&amp;TEXT(A30,"YYYY-mm-dd")&amp;""",""description"":"""&amp;X30&amp;""",""custom_fields"":[{""id"":1,""name"":""Subdivision"",""value"":"""&amp;U30&amp;"""},{""id"":4,""name"":""Milepost"",""value"":"""&amp;J30/10000&amp;"""},{""id"":17,""name"":""Train ID"",""value"":"""&amp;C30&amp;"""},{""id"":16,""name"":""Locomotive ID"",""value"":"""&amp;S30&amp;"""},{""id"":130,""name"":""Impact"",""value"":"""&amp;Y30&amp;"""},{""id"":150,""name"":""Time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Assigned"",""value"":"""&amp;Z30&amp;"""}]}}"&amp;" | curl -X POST -H ""Content-Type: application/json"" -H ""X-Redmine-API-Key: "&amp;redm_api_key&amp;""" "&amp;redm_url&amp;" --data @-"</f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ID","value":"180-01"},{"id":16,"name":"Locomotive ID","value":"4008"},{"id":130,"name":"Impact","value":""},{"id":150,"name":"Time of Event (Mountain Time)","value":"14:31:03"},{"id":151,"name":"Denver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5"/>
      <c r="Y30" s="55"/>
      <c r="Z30" s="55"/>
    </row>
    <row r="31" spans="1:26" x14ac:dyDescent="0.25">
      <c r="A31" s="38">
        <v>42614.605300925927</v>
      </c>
      <c r="B31" s="33" t="s">
        <v>359</v>
      </c>
      <c r="C31" s="33" t="s">
        <v>483</v>
      </c>
      <c r="D31" s="33" t="s">
        <v>49</v>
      </c>
      <c r="E31" s="33" t="s">
        <v>54</v>
      </c>
      <c r="F31" s="49">
        <v>0</v>
      </c>
      <c r="G31" s="49">
        <v>10</v>
      </c>
      <c r="H31" s="49">
        <v>192873</v>
      </c>
      <c r="I31" s="33" t="s">
        <v>55</v>
      </c>
      <c r="J31" s="49">
        <v>191723</v>
      </c>
      <c r="K31" s="33" t="s">
        <v>53</v>
      </c>
      <c r="L31" s="92" t="str">
        <f>VLOOKUP(C31,'Trips&amp;Operators'!$C$1:$E$9999,3,0)</f>
        <v>BROWN</v>
      </c>
      <c r="M31" s="131" t="s">
        <v>86</v>
      </c>
      <c r="N31" s="10" t="s">
        <v>307</v>
      </c>
      <c r="O31" s="33"/>
      <c r="P31" s="108" t="str">
        <f>VLOOKUP(C31,'Train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31" s="111" t="str">
        <f>VLOOKUP(C31,'Train Runs'!$A$13:$AE$10012,22,0)</f>
        <v>https://search-rtdc-monitor-bjffxe2xuh6vdkpspy63sjmuny.us-east-1.es.amazonaws.com/_plugin/kibana/#/discover/Steve-Slow-Train-Analysis-(2080s-and-2083s)?_g=(refreshInterval:(display:Off,section:0,value:0),time:(from:'2016-09-01 13:08:27-0600',mode:absolute,to:'2016-09-01 16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1" s="113" t="str">
        <f>astrogrep_path&amp;" /spath="&amp;search_path&amp;" /stypes=""*"&amp;S31&amp;"*"&amp;TEXT(A31-utc_offset/24,"YYYYMMDD")&amp;LEFT(TEXT(A31-utc_offset/24,"HH"),1)&amp;"*""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/stypes="*4008*201609012*" /stext=" 20:.+((SYSTEM_STATE.+slice.+state.+changed )|(ment ac)|(system.+state.+changed )|(\|lc)|(penalty)|(\[timeout)|(PRM\|1\|D)|(kpr)|(kdp))" /e /r /s</v>
      </c>
      <c r="S31" s="9" t="str">
        <f>MID(B31,13,4)</f>
        <v>4008</v>
      </c>
      <c r="T31" s="38">
        <f>A31+6/24</f>
        <v>42614.855300925927</v>
      </c>
      <c r="U31" s="52" t="str">
        <f>IF(VALUE(LEFT(IF(LEN(C31)=6,"0"&amp;C31,C31),2))&lt;=2,"EC",IF(OR(VALUE(LEFT(IF(LEN(C31)=6,"0"&amp;C31,C31),2))=8,VALUE(LEFT(IF(LEN(C31)=6,"0"&amp;C31,C31),2))=18),"NW","Other"))</f>
        <v>EC</v>
      </c>
      <c r="V31" s="52" t="str">
        <f>IF(AND(E31="TRACK WARRANT AUTHORITY",G31&lt;10),"OMIT","KEEP")</f>
        <v>KEEP</v>
      </c>
      <c r="W31" s="149" t="str">
        <f>"echo {""issue"":{""subject"":"""&amp;N31&amp;""",""project_id"":79,""tracker_id"":40,""status_id"":"&amp;redmine_status&amp;",""priority_id"":"&amp;redmine_priority&amp;",""assigned_to_id"":"&amp;redmine_assignee&amp;",""start_date"":"""&amp;TEXT(A31,"YYYY-mm-dd")&amp;""",""description"":"""&amp;X31&amp;""",""custom_fields"":[{""id"":1,""name"":""Subdivision"",""value"":"""&amp;U31&amp;"""},{""id"":4,""name"":""Milepost"",""value"":"""&amp;J31/10000&amp;"""},{""id"":17,""name"":""Train ID"",""value"":"""&amp;C31&amp;"""},{""id"":16,""name"":""Locomotive ID"",""value"":"""&amp;S31&amp;"""},{""id"":130,""name"":""Impact"",""value"":"""&amp;Y31&amp;"""},{""id"":150,""name"":""Time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Assigned"",""value"":"""&amp;Z31&amp;"""}]}}"&amp;" | curl -X POST -H ""Content-Type: application/json"" -H ""X-Redmine-API-Key: "&amp;redm_api_key&amp;""" "&amp;redm_url&amp;" --data @-"</f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ID","value":"180-01"},{"id":16,"name":"Locomotive ID","value":"4008"},{"id":130,"name":"Impact","value":""},{"id":150,"name":"Time of Event (Mountain Time)","value":"14:31:38"},{"id":151,"name":"Denver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1" s="55"/>
      <c r="Y31" s="55"/>
      <c r="Z31" s="55"/>
    </row>
    <row r="32" spans="1:26" x14ac:dyDescent="0.25">
      <c r="A32" s="38">
        <v>42614.327962962961</v>
      </c>
      <c r="B32" s="33" t="s">
        <v>142</v>
      </c>
      <c r="C32" s="33" t="s">
        <v>402</v>
      </c>
      <c r="D32" s="33" t="s">
        <v>49</v>
      </c>
      <c r="E32" s="33" t="s">
        <v>50</v>
      </c>
      <c r="F32" s="49">
        <v>0</v>
      </c>
      <c r="G32" s="49">
        <v>61</v>
      </c>
      <c r="H32" s="49">
        <v>245</v>
      </c>
      <c r="I32" s="33" t="s">
        <v>51</v>
      </c>
      <c r="J32" s="49">
        <v>1</v>
      </c>
      <c r="K32" s="33" t="s">
        <v>53</v>
      </c>
      <c r="L32" s="92" t="str">
        <f>VLOOKUP(C32,'Trips&amp;Operators'!$C$1:$E$9999,3,0)</f>
        <v>STRICKLAND</v>
      </c>
      <c r="M32" s="131" t="s">
        <v>86</v>
      </c>
      <c r="N32" s="10"/>
      <c r="O32" s="33"/>
      <c r="P32" s="108" t="str">
        <f>VLOOKUP(C32,'Train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32" s="111" t="str">
        <f>VLOOKUP(C32,'Train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06:04:41-0600',mode:absolute,to:'2016-09-01 08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32" s="113" t="str">
        <f>astrogrep_path&amp;" /spath="&amp;search_path&amp;" /stypes=""*"&amp;S32&amp;"*"&amp;TEXT(A32-utc_offset/24,"YYYYMMDD")&amp;LEFT(TEXT(A32-utc_offset/24,"HH"),1)&amp;"*""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/stypes="*4037*201609011*" /stext=" 13:.+((SYSTEM_STATE.+slice.+state.+changed )|(ment ac)|(system.+state.+changed )|(\|lc)|(penalty)|(\[timeout)|(PRM\|1\|D)|(kpr)|(kdp))" /e /r /s</v>
      </c>
      <c r="S32" s="9" t="str">
        <f>MID(B32,13,4)</f>
        <v>4037</v>
      </c>
      <c r="T32" s="38">
        <f>A32+6/24</f>
        <v>42614.577962962961</v>
      </c>
      <c r="U32" s="52" t="str">
        <f>IF(VALUE(LEFT(IF(LEN(C32)=6,"0"&amp;C32,C32),2))&lt;=2,"EC",IF(OR(VALUE(LEFT(IF(LEN(C32)=6,"0"&amp;C32,C32),2))=8,VALUE(LEFT(IF(LEN(C32)=6,"0"&amp;C32,C32),2))=18),"NW","Other"))</f>
        <v>EC</v>
      </c>
      <c r="V32" s="52" t="str">
        <f>IF(AND(E32="TRACK WARRANT AUTHORITY",G32&lt;10),"OMIT","KEEP")</f>
        <v>KEEP</v>
      </c>
      <c r="W32" s="149" t="str">
        <f>"echo {""issue"":{""subject"":"""&amp;N32&amp;""",""project_id"":79,""tracker_id"":40,""status_id"":"&amp;redmine_status&amp;",""priority_id"":"&amp;redmine_priority&amp;",""assigned_to_id"":"&amp;redmine_assignee&amp;",""start_date"":"""&amp;TEXT(A32,"YYYY-mm-dd")&amp;""",""description"":"""&amp;X32&amp;""",""custom_fields"":[{""id"":1,""name"":""Subdivision"",""value"":"""&amp;U32&amp;"""},{""id"":4,""name"":""Milepost"",""value"":"""&amp;J32/10000&amp;"""},{""id"":17,""name"":""Train ID"",""value"":"""&amp;C32&amp;"""},{""id"":16,""name"":""Locomotive ID"",""value"":"""&amp;S32&amp;"""},{""id"":130,""name"":""Impact"",""value"":"""&amp;Y32&amp;"""},{""id"":150,""name"":""Time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Assigned"",""value"":"""&amp;Z32&amp;"""}]}}"&amp;"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ID","value":"122-01"},{"id":16,"name":"Locomotive ID","value":"4037"},{"id":130,"name":"Impact","value":""},{"id":150,"name":"Time of Event (Mountain Time)","value":"07:52:16"},{"id":151,"name":"Denver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5"/>
      <c r="Y32" s="55"/>
      <c r="Z32" s="55"/>
    </row>
    <row r="33" spans="1:26" ht="15" customHeight="1" x14ac:dyDescent="0.25">
      <c r="A33" s="38">
        <v>42614.346701388888</v>
      </c>
      <c r="B33" s="33" t="s">
        <v>176</v>
      </c>
      <c r="C33" s="33" t="s">
        <v>409</v>
      </c>
      <c r="D33" s="33" t="s">
        <v>49</v>
      </c>
      <c r="E33" s="33" t="s">
        <v>50</v>
      </c>
      <c r="F33" s="49">
        <v>0</v>
      </c>
      <c r="G33" s="49">
        <v>82</v>
      </c>
      <c r="H33" s="49">
        <v>296</v>
      </c>
      <c r="I33" s="33" t="s">
        <v>51</v>
      </c>
      <c r="J33" s="49">
        <v>1</v>
      </c>
      <c r="K33" s="33" t="s">
        <v>53</v>
      </c>
      <c r="L33" s="92" t="str">
        <f>VLOOKUP(C33,'Trips&amp;Operators'!$C$1:$E$9999,3,0)</f>
        <v>STARKS</v>
      </c>
      <c r="M33" s="131" t="s">
        <v>86</v>
      </c>
      <c r="N33" s="10"/>
      <c r="O33" s="33"/>
      <c r="P33" s="108" t="str">
        <f>VLOOKUP(C33,'Train Runs'!$A$13:$AE$10012,31,0)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Q33" s="111" t="str">
        <f>VLOOKUP(C33,'Train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06:37:42-0600',mode:absolute,to:'2016-09-01 09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33" s="113" t="str">
        <f>astrogrep_path&amp;" /spath="&amp;search_path&amp;" /stypes=""*"&amp;S33&amp;"*"&amp;TEXT(A33-utc_offset/24,"YYYYMMDD")&amp;LEFT(TEXT(A33-utc_offset/24,"HH"),1)&amp;"*""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/stypes="*4041*201609011*" /stext=" 14:.+((SYSTEM_STATE.+slice.+state.+changed )|(ment ac)|(system.+state.+changed )|(\|lc)|(penalty)|(\[timeout)|(PRM\|1\|D)|(kpr)|(kdp))" /e /r /s</v>
      </c>
      <c r="S33" s="9" t="str">
        <f>MID(B33,13,4)</f>
        <v>4041</v>
      </c>
      <c r="T33" s="38">
        <f>A33+6/24</f>
        <v>42614.596701388888</v>
      </c>
      <c r="U33" s="52" t="str">
        <f>IF(VALUE(LEFT(IF(LEN(C33)=6,"0"&amp;C33,C33),2))&lt;=2,"EC",IF(OR(VALUE(LEFT(IF(LEN(C33)=6,"0"&amp;C33,C33),2))=8,VALUE(LEFT(IF(LEN(C33)=6,"0"&amp;C33,C33),2))=18),"NW","Other"))</f>
        <v>EC</v>
      </c>
      <c r="V33" s="52" t="str">
        <f>IF(AND(E33="TRACK WARRANT AUTHORITY",G33&lt;10),"OMIT","KEEP")</f>
        <v>KEEP</v>
      </c>
      <c r="W33" s="149" t="str">
        <f>"echo {""issue"":{""subject"":"""&amp;N33&amp;""",""project_id"":79,""tracker_id"":40,""status_id"":"&amp;redmine_status&amp;",""priority_id"":"&amp;redmine_priority&amp;",""assigned_to_id"":"&amp;redmine_assignee&amp;",""start_date"":"""&amp;TEXT(A33,"YYYY-mm-dd")&amp;""",""description"":"""&amp;X33&amp;""",""custom_fields"":[{""id"":1,""name"":""Subdivision"",""value"":"""&amp;U33&amp;"""},{""id"":4,""name"":""Milepost"",""value"":"""&amp;J33/10000&amp;"""},{""id"":17,""name"":""Train ID"",""value"":"""&amp;C33&amp;"""},{""id"":16,""name"":""Locomotive ID"",""value"":"""&amp;S33&amp;"""},{""id"":130,""name"":""Impact"",""value"":"""&amp;Y33&amp;"""},{""id"":150,""name"":""Time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Assigned"",""value"":"""&amp;Z33&amp;"""}]}}"&amp;"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ID","value":"126-01"},{"id":16,"name":"Locomotive ID","value":"4041"},{"id":130,"name":"Impact","value":""},{"id":150,"name":"Time of Event (Mountain Time)","value":"08:19:15"},{"id":151,"name":"Denver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3" s="55"/>
      <c r="Y33" s="55"/>
      <c r="Z33" s="55"/>
    </row>
    <row r="34" spans="1:26" x14ac:dyDescent="0.25">
      <c r="A34" s="38">
        <v>42614.473275462966</v>
      </c>
      <c r="B34" s="33" t="s">
        <v>142</v>
      </c>
      <c r="C34" s="33" t="s">
        <v>444</v>
      </c>
      <c r="D34" s="33" t="s">
        <v>49</v>
      </c>
      <c r="E34" s="33" t="s">
        <v>50</v>
      </c>
      <c r="F34" s="49">
        <v>0</v>
      </c>
      <c r="G34" s="49">
        <v>51</v>
      </c>
      <c r="H34" s="49">
        <v>205</v>
      </c>
      <c r="I34" s="33" t="s">
        <v>51</v>
      </c>
      <c r="J34" s="49">
        <v>1</v>
      </c>
      <c r="K34" s="33" t="s">
        <v>53</v>
      </c>
      <c r="L34" s="92" t="str">
        <f>VLOOKUP(C34,'Trips&amp;Operators'!$C$1:$E$9999,3,0)</f>
        <v>STRICKLAND</v>
      </c>
      <c r="M34" s="131" t="s">
        <v>86</v>
      </c>
      <c r="N34" s="10"/>
      <c r="O34" s="33"/>
      <c r="P34" s="108" t="str">
        <f>VLOOKUP(C34,'Train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34" s="111" t="str">
        <f>VLOOKUP(C34,'Train Runs'!$A$13:$AE$10012,22,0)</f>
        <v>https://search-rtdc-monitor-bjffxe2xuh6vdkpspy63sjmuny.us-east-1.es.amazonaws.com/_plugin/kibana/#/discover/Steve-Slow-Train-Analysis-(2080s-and-2083s)?_g=(refreshInterval:(display:Off,section:0,value:0),time:(from:'2016-09-01 09:32:38-0600',mode:absolute,to:'2016-09-01 12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34" s="113" t="str">
        <f>astrogrep_path&amp;" /spath="&amp;search_path&amp;" /stypes=""*"&amp;S34&amp;"*"&amp;TEXT(A34-utc_offset/24,"YYYYMMDD")&amp;LEFT(TEXT(A34-utc_offset/24,"HH"),1)&amp;"*""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/stypes="*4037*201609011*" /stext=" 17:.+((SYSTEM_STATE.+slice.+state.+changed )|(ment ac)|(system.+state.+changed )|(\|lc)|(penalty)|(\[timeout)|(PRM\|1\|D)|(kpr)|(kdp))" /e /r /s</v>
      </c>
      <c r="S34" s="9" t="str">
        <f>MID(B34,13,4)</f>
        <v>4037</v>
      </c>
      <c r="T34" s="38">
        <f>A34+6/24</f>
        <v>42614.723275462966</v>
      </c>
      <c r="U34" s="52" t="str">
        <f>IF(VALUE(LEFT(IF(LEN(C34)=6,"0"&amp;C34,C34),2))&lt;=2,"EC",IF(OR(VALUE(LEFT(IF(LEN(C34)=6,"0"&amp;C34,C34),2))=8,VALUE(LEFT(IF(LEN(C34)=6,"0"&amp;C34,C34),2))=18),"NW","Other"))</f>
        <v>EC</v>
      </c>
      <c r="V34" s="52" t="str">
        <f>IF(AND(E34="TRACK WARRANT AUTHORITY",G34&lt;10),"OMIT","KEEP")</f>
        <v>KEEP</v>
      </c>
      <c r="W34" s="149" t="str">
        <f>"echo {""issue"":{""subject"":"""&amp;N34&amp;""",""project_id"":79,""tracker_id"":40,""status_id"":"&amp;redmine_status&amp;",""priority_id"":"&amp;redmine_priority&amp;",""assigned_to_id"":"&amp;redmine_assignee&amp;",""start_date"":"""&amp;TEXT(A34,"YYYY-mm-dd")&amp;""",""description"":"""&amp;X34&amp;""",""custom_fields"":[{""id"":1,""name"":""Subdivision"",""value"":"""&amp;U34&amp;"""},{""id"":4,""name"":""Milepost"",""value"":"""&amp;J34/10000&amp;"""},{""id"":17,""name"":""Train ID"",""value"":"""&amp;C34&amp;"""},{""id"":16,""name"":""Locomotive ID"",""value"":"""&amp;S34&amp;"""},{""id"":130,""name"":""Impact"",""value"":"""&amp;Y34&amp;"""},{""id"":150,""name"":""Time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Assigned"",""value"":"""&amp;Z34&amp;"""}]}}"&amp;"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ID","value":"150-01"},{"id":16,"name":"Locomotive ID","value":"4037"},{"id":130,"name":"Impact","value":""},{"id":150,"name":"Time of Event (Mountain Time)","value":"11:21:31"},{"id":151,"name":"Denver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5"/>
      <c r="Y34" s="55"/>
      <c r="Z34" s="55"/>
    </row>
    <row r="35" spans="1:26" ht="15" customHeight="1" x14ac:dyDescent="0.25">
      <c r="A35" s="38">
        <v>42614.587025462963</v>
      </c>
      <c r="B35" s="33" t="s">
        <v>224</v>
      </c>
      <c r="C35" s="33" t="s">
        <v>474</v>
      </c>
      <c r="D35" s="33" t="s">
        <v>49</v>
      </c>
      <c r="E35" s="33" t="s">
        <v>50</v>
      </c>
      <c r="F35" s="49">
        <v>0</v>
      </c>
      <c r="G35" s="49">
        <v>72</v>
      </c>
      <c r="H35" s="49">
        <v>267</v>
      </c>
      <c r="I35" s="33" t="s">
        <v>51</v>
      </c>
      <c r="J35" s="49">
        <v>1</v>
      </c>
      <c r="K35" s="33" t="s">
        <v>53</v>
      </c>
      <c r="L35" s="92" t="str">
        <f>VLOOKUP(C35,'Trips&amp;Operators'!$C$1:$E$9999,3,0)</f>
        <v>SUR</v>
      </c>
      <c r="M35" s="131" t="s">
        <v>86</v>
      </c>
      <c r="N35" s="10"/>
      <c r="O35" s="33"/>
      <c r="P35" s="108" t="str">
        <f>VLOOKUP(C35,'Train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35" s="111" t="str">
        <f>VLOOKUP(C35,'Train Runs'!$A$13:$AE$10012,22,0)</f>
        <v>https://search-rtdc-monitor-bjffxe2xuh6vdkpspy63sjmuny.us-east-1.es.amazonaws.com/_plugin/kibana/#/discover/Steve-Slow-Train-Analysis-(2080s-and-2083s)?_g=(refreshInterval:(display:Off,section:0,value:0),time:(from:'2016-09-01 12:14:16-0600',mode:absolute,to:'2016-09-01 15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35" s="113" t="str">
        <f>astrogrep_path&amp;" /spath="&amp;search_path&amp;" /stypes=""*"&amp;S35&amp;"*"&amp;TEXT(A35-utc_offset/24,"YYYYMMDD")&amp;LEFT(TEXT(A35-utc_offset/24,"HH"),1)&amp;"*""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/stypes="*4019*201609012*" /stext=" 20:.+((SYSTEM_STATE.+slice.+state.+changed )|(ment ac)|(system.+state.+changed )|(\|lc)|(penalty)|(\[timeout)|(PRM\|1\|D)|(kpr)|(kdp))" /e /r /s</v>
      </c>
      <c r="S35" s="9" t="str">
        <f>MID(B35,13,4)</f>
        <v>4019</v>
      </c>
      <c r="T35" s="38">
        <f>A35+6/24</f>
        <v>42614.837025462963</v>
      </c>
      <c r="U35" s="52" t="str">
        <f>IF(VALUE(LEFT(IF(LEN(C35)=6,"0"&amp;C35,C35),2))&lt;=2,"EC",IF(OR(VALUE(LEFT(IF(LEN(C35)=6,"0"&amp;C35,C35),2))=8,VALUE(LEFT(IF(LEN(C35)=6,"0"&amp;C35,C35),2))=18),"NW","Other"))</f>
        <v>EC</v>
      </c>
      <c r="V35" s="52" t="str">
        <f>IF(AND(E35="TRACK WARRANT AUTHORITY",G35&lt;10),"OMIT","KEEP")</f>
        <v>KEEP</v>
      </c>
      <c r="W35" s="149" t="str">
        <f>"echo {""issue"":{""subject"":"""&amp;N35&amp;""",""project_id"":79,""tracker_id"":40,""status_id"":"&amp;redmine_status&amp;",""priority_id"":"&amp;redmine_priority&amp;",""assigned_to_id"":"&amp;redmine_assignee&amp;",""start_date"":"""&amp;TEXT(A35,"YYYY-mm-dd")&amp;""",""description"":"""&amp;X35&amp;""",""custom_fields"":[{""id"":1,""name"":""Subdivision"",""value"":"""&amp;U35&amp;"""},{""id"":4,""name"":""Milepost"",""value"":"""&amp;J35/10000&amp;"""},{""id"":17,""name"":""Train ID"",""value"":"""&amp;C35&amp;"""},{""id"":16,""name"":""Locomotive ID"",""value"":"""&amp;S35&amp;"""},{""id"":130,""name"":""Impact"",""value"":"""&amp;Y35&amp;"""},{""id"":150,""name"":""Time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Assigned"",""value"":"""&amp;Z35&amp;"""}]}}"&amp;"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ID","value":"172-01"},{"id":16,"name":"Locomotive ID","value":"4019"},{"id":130,"name":"Impact","value":""},{"id":150,"name":"Time of Event (Mountain Time)","value":"14:05:19"},{"id":151,"name":"Denver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5" s="55"/>
      <c r="Y35" s="55"/>
      <c r="Z35" s="55"/>
    </row>
    <row r="36" spans="1:26" x14ac:dyDescent="0.25">
      <c r="A36" s="38">
        <v>42614.596770833334</v>
      </c>
      <c r="B36" s="33" t="s">
        <v>115</v>
      </c>
      <c r="C36" s="33" t="s">
        <v>476</v>
      </c>
      <c r="D36" s="33" t="s">
        <v>49</v>
      </c>
      <c r="E36" s="33" t="s">
        <v>50</v>
      </c>
      <c r="F36" s="49">
        <v>0</v>
      </c>
      <c r="G36" s="49">
        <v>49</v>
      </c>
      <c r="H36" s="49">
        <v>178</v>
      </c>
      <c r="I36" s="33" t="s">
        <v>51</v>
      </c>
      <c r="J36" s="49">
        <v>1</v>
      </c>
      <c r="K36" s="33" t="s">
        <v>53</v>
      </c>
      <c r="L36" s="92" t="str">
        <f>VLOOKUP(C36,'Trips&amp;Operators'!$C$1:$E$9999,3,0)</f>
        <v>BONDS</v>
      </c>
      <c r="M36" s="131" t="s">
        <v>86</v>
      </c>
      <c r="N36" s="10"/>
      <c r="O36" s="33"/>
      <c r="P36" s="108" t="str">
        <f>VLOOKUP(C36,'Train Runs'!$A$13:$AE$10012,31,0)</f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Q36" s="111" t="str">
        <f>VLOOKUP(C36,'Train Runs'!$A$13:$AE$10012,22,0)</f>
        <v>https://search-rtdc-monitor-bjffxe2xuh6vdkpspy63sjmuny.us-east-1.es.amazonaws.com/_plugin/kibana/#/discover/Steve-Slow-Train-Analysis-(2080s-and-2083s)?_g=(refreshInterval:(display:Off,section:0,value:0),time:(from:'2016-09-01 12:37:36-0600',mode:absolute,to:'2016-09-01 15:19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36" s="113" t="str">
        <f>astrogrep_path&amp;" /spath="&amp;search_path&amp;" /stypes=""*"&amp;S36&amp;"*"&amp;TEXT(A36-utc_offset/24,"YYYYMMDD")&amp;LEFT(TEXT(A36-utc_offset/24,"HH"),1)&amp;"*""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/stypes="*4032*201609012*" /stext=" 20:.+((SYSTEM_STATE.+slice.+state.+changed )|(ment ac)|(system.+state.+changed )|(\|lc)|(penalty)|(\[timeout)|(PRM\|1\|D)|(kpr)|(kdp))" /e /r /s</v>
      </c>
      <c r="S36" s="9" t="str">
        <f>MID(B36,13,4)</f>
        <v>4032</v>
      </c>
      <c r="T36" s="38">
        <f>A36+6/24</f>
        <v>42614.846770833334</v>
      </c>
      <c r="U36" s="52" t="str">
        <f>IF(VALUE(LEFT(IF(LEN(C36)=6,"0"&amp;C36,C36),2))&lt;=2,"EC",IF(OR(VALUE(LEFT(IF(LEN(C36)=6,"0"&amp;C36,C36),2))=8,VALUE(LEFT(IF(LEN(C36)=6,"0"&amp;C36,C36),2))=18),"NW","Other"))</f>
        <v>EC</v>
      </c>
      <c r="V36" s="52" t="str">
        <f>IF(AND(E36="TRACK WARRANT AUTHORITY",G36&lt;10),"OMIT","KEEP")</f>
        <v>KEEP</v>
      </c>
      <c r="W36" s="149" t="str">
        <f>"echo {""issue"":{""subject"":"""&amp;N36&amp;""",""project_id"":79,""tracker_id"":40,""status_id"":"&amp;redmine_status&amp;",""priority_id"":"&amp;redmine_priority&amp;",""assigned_to_id"":"&amp;redmine_assignee&amp;",""start_date"":"""&amp;TEXT(A36,"YYYY-mm-dd")&amp;""",""description"":"""&amp;X36&amp;""",""custom_fields"":[{""id"":1,""name"":""Subdivision"",""value"":"""&amp;U36&amp;"""},{""id"":4,""name"":""Milepost"",""value"":"""&amp;J36/10000&amp;"""},{""id"":17,""name"":""Train ID"",""value"":"""&amp;C36&amp;"""},{""id"":16,""name"":""Locomotive ID"",""value"":"""&amp;S36&amp;"""},{""id"":130,""name"":""Impact"",""value"":"""&amp;Y36&amp;"""},{""id"":150,""name"":""Time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Assigned"",""value"":"""&amp;Z36&amp;"""}]}}"&amp;"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{"issue":{"subject":"","project_id":79,"tracker_id":40,"status_id":1,"priority_id":2,"assigned_to_id":23,"start_date":"2016-09-01","description":"From 08-24-2016 13:14:05.327 until 13:28:22.128, 61st 2S should have been clear (controls sent to it the entire time was CLEAR). However, it cycled back and forth between PROCEED CAB and STOP. Any ideas why?","custom_fields":[{"id":1,"name":"Subdivision","value":"EC"},{"id":4,"name":"Milepost","value":"0.0001"},{"id":17,"name":"Train ID","value":"174-01"},{"id":16,"name":"Locomotive ID","value":"4032"},{"id":130,"name":"Impact","value":"Enforcement"},{"id":150,"name":"Time of Event (Mountain Time)","value":"14:19:21"},{"id":151,"name":"Denver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36" s="55" t="s">
        <v>222</v>
      </c>
      <c r="Y36" s="55" t="s">
        <v>193</v>
      </c>
      <c r="Z36" s="55" t="s">
        <v>198</v>
      </c>
    </row>
    <row r="37" spans="1:26" x14ac:dyDescent="0.25">
      <c r="A37" s="38">
        <v>42614.783831018518</v>
      </c>
      <c r="B37" s="33" t="s">
        <v>115</v>
      </c>
      <c r="C37" s="33" t="s">
        <v>514</v>
      </c>
      <c r="D37" s="33" t="s">
        <v>49</v>
      </c>
      <c r="E37" s="33" t="s">
        <v>50</v>
      </c>
      <c r="F37" s="49">
        <v>0</v>
      </c>
      <c r="G37" s="49">
        <v>52</v>
      </c>
      <c r="H37" s="49">
        <v>196</v>
      </c>
      <c r="I37" s="33" t="s">
        <v>51</v>
      </c>
      <c r="J37" s="49">
        <v>1</v>
      </c>
      <c r="K37" s="33" t="s">
        <v>53</v>
      </c>
      <c r="L37" s="92" t="str">
        <f>VLOOKUP(C37,'Trips&amp;Operators'!$C$1:$E$9999,3,0)</f>
        <v>KILLION</v>
      </c>
      <c r="M37" s="131" t="s">
        <v>86</v>
      </c>
      <c r="N37" s="10"/>
      <c r="O37" s="33"/>
      <c r="P37" s="108" t="str">
        <f>VLOOKUP(C37,'Train Runs'!$A$13:$AE$10012,31,0)</f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Q37" s="111" t="str">
        <f>VLOOKUP(C37,'Train Runs'!$A$13:$AE$10012,22,0)</f>
        <v>https://search-rtdc-monitor-bjffxe2xuh6vdkpspy63sjmuny.us-east-1.es.amazonaws.com/_plugin/kibana/#/discover/Steve-Slow-Train-Analysis-(2080s-and-2083s)?_g=(refreshInterval:(display:Off,section:0,value:0),time:(from:'2016-09-01 17:02:21-0600',mode:absolute,to:'2016-09-01 19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37" s="113" t="str">
        <f>astrogrep_path&amp;" /spath="&amp;search_path&amp;" /stypes=""*"&amp;S37&amp;"*"&amp;TEXT(A37-utc_offset/24,"YYYYMMDD")&amp;LEFT(TEXT(A37-utc_offset/24,"HH"),1)&amp;"*""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/stypes="*4032*201609020*" /stext=" 00:.+((SYSTEM_STATE.+slice.+state.+changed )|(ment ac)|(system.+state.+changed )|(\|lc)|(penalty)|(\[timeout)|(PRM\|1\|D)|(kpr)|(kdp))" /e /r /s</v>
      </c>
      <c r="S37" s="9" t="str">
        <f>MID(B37,13,4)</f>
        <v>4032</v>
      </c>
      <c r="T37" s="38">
        <f>A37+6/24</f>
        <v>42615.033831018518</v>
      </c>
      <c r="U37" s="52" t="str">
        <f>IF(VALUE(LEFT(IF(LEN(C37)=6,"0"&amp;C37,C37),2))&lt;=2,"EC",IF(OR(VALUE(LEFT(IF(LEN(C37)=6,"0"&amp;C37,C37),2))=8,VALUE(LEFT(IF(LEN(C37)=6,"0"&amp;C37,C37),2))=18),"NW","Other"))</f>
        <v>EC</v>
      </c>
      <c r="V37" s="52" t="str">
        <f>IF(AND(E37="TRACK WARRANT AUTHORITY",G37&lt;10),"OMIT","KEEP")</f>
        <v>KEEP</v>
      </c>
      <c r="W37" s="149" t="str">
        <f>"echo {""issue"":{""subject"":"""&amp;N37&amp;""",""project_id"":79,""tracker_id"":40,""status_id"":"&amp;redmine_status&amp;",""priority_id"":"&amp;redmine_priority&amp;",""assigned_to_id"":"&amp;redmine_assignee&amp;",""start_date"":"""&amp;TEXT(A37,"YYYY-mm-dd")&amp;""",""description"":"""&amp;X37&amp;""",""custom_fields"":[{""id"":1,""name"":""Subdivision"",""value"":"""&amp;U37&amp;"""},{""id"":4,""name"":""Milepost"",""value"":"""&amp;J37/10000&amp;"""},{""id"":17,""name"":""Train ID"",""value"":"""&amp;C37&amp;"""},{""id"":16,""name"":""Locomotive ID"",""value"":"""&amp;S37&amp;"""},{""id"":130,""name"":""Impact"",""value"":"""&amp;Y37&amp;"""},{""id"":150,""name"":""Time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Assigned"",""value"":"""&amp;Z37&amp;"""}]}}"&amp;"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ID","value":"208-01"},{"id":16,"name":"Locomotive ID","value":"4032"},{"id":130,"name":"Impact","value":""},{"id":150,"name":"Time of Event (Mountain Time)","value":"18:48:43"},{"id":151,"name":"Denver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7" s="55"/>
      <c r="Y37" s="55"/>
      <c r="Z37" s="55"/>
    </row>
    <row r="38" spans="1:26" x14ac:dyDescent="0.25">
      <c r="A38" s="38">
        <v>42614.806805555556</v>
      </c>
      <c r="B38" s="33" t="s">
        <v>176</v>
      </c>
      <c r="C38" s="33" t="s">
        <v>522</v>
      </c>
      <c r="D38" s="33" t="s">
        <v>49</v>
      </c>
      <c r="E38" s="33" t="s">
        <v>50</v>
      </c>
      <c r="F38" s="49">
        <v>0</v>
      </c>
      <c r="G38" s="49">
        <v>74</v>
      </c>
      <c r="H38" s="49">
        <v>271</v>
      </c>
      <c r="I38" s="33" t="s">
        <v>51</v>
      </c>
      <c r="J38" s="49">
        <v>1</v>
      </c>
      <c r="K38" s="33" t="s">
        <v>53</v>
      </c>
      <c r="L38" s="92" t="str">
        <f>VLOOKUP(C38,'Trips&amp;Operators'!$C$1:$E$9999,3,0)</f>
        <v>COOLAHAN</v>
      </c>
      <c r="M38" s="131" t="s">
        <v>86</v>
      </c>
      <c r="N38" s="10"/>
      <c r="O38" s="33"/>
      <c r="P38" s="108" t="str">
        <f>VLOOKUP(C38,'Train Runs'!$A$13:$AE$10012,31,0)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Q38" s="111" t="str">
        <f>VLOOKUP(C38,'Train Runs'!$A$13:$AE$10012,22,0)</f>
        <v>https://search-rtdc-monitor-bjffxe2xuh6vdkpspy63sjmuny.us-east-1.es.amazonaws.com/_plugin/kibana/#/discover/Steve-Slow-Train-Analysis-(2080s-and-2083s)?_g=(refreshInterval:(display:Off,section:0,value:0),time:(from:'2016-09-01 17:37:59-0600',mode:absolute,to:'2016-09-01 20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38" s="113" t="str">
        <f>astrogrep_path&amp;" /spath="&amp;search_path&amp;" /stypes=""*"&amp;S38&amp;"*"&amp;TEXT(A38-utc_offset/24,"YYYYMMDD")&amp;LEFT(TEXT(A38-utc_offset/24,"HH"),1)&amp;"*""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/stypes="*4041*201609020*" /stext=" 01:.+((SYSTEM_STATE.+slice.+state.+changed )|(ment ac)|(system.+state.+changed )|(\|lc)|(penalty)|(\[timeout)|(PRM\|1\|D)|(kpr)|(kdp))" /e /r /s</v>
      </c>
      <c r="S38" s="9" t="str">
        <f>MID(B38,13,4)</f>
        <v>4041</v>
      </c>
      <c r="T38" s="38">
        <f>A38+6/24</f>
        <v>42615.056805555556</v>
      </c>
      <c r="U38" s="52" t="str">
        <f>IF(VALUE(LEFT(IF(LEN(C38)=6,"0"&amp;C38,C38),2))&lt;=2,"EC",IF(OR(VALUE(LEFT(IF(LEN(C38)=6,"0"&amp;C38,C38),2))=8,VALUE(LEFT(IF(LEN(C38)=6,"0"&amp;C38,C38),2))=18),"NW","Other"))</f>
        <v>EC</v>
      </c>
      <c r="V38" s="52" t="str">
        <f>IF(AND(E38="TRACK WARRANT AUTHORITY",G38&lt;10),"OMIT","KEEP")</f>
        <v>KEEP</v>
      </c>
      <c r="W38" s="149" t="str">
        <f>"echo {""issue"":{""subject"":"""&amp;N38&amp;""",""project_id"":79,""tracker_id"":40,""status_id"":"&amp;redmine_status&amp;",""priority_id"":"&amp;redmine_priority&amp;",""assigned_to_id"":"&amp;redmine_assignee&amp;",""start_date"":"""&amp;TEXT(A38,"YYYY-mm-dd")&amp;""",""description"":"""&amp;X38&amp;""",""custom_fields"":[{""id"":1,""name"":""Subdivision"",""value"":"""&amp;U38&amp;"""},{""id"":4,""name"":""Milepost"",""value"":"""&amp;J38/10000&amp;"""},{""id"":17,""name"":""Train ID"",""value"":"""&amp;C38&amp;"""},{""id"":16,""name"":""Locomotive ID"",""value"":"""&amp;S38&amp;"""},{""id"":130,""name"":""Impact"",""value"":"""&amp;Y38&amp;"""},{""id"":150,""name"":""Time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Assigned"",""value"":"""&amp;Z38&amp;"""}]}}"&amp;"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ID","value":"214-01"},{"id":16,"name":"Locomotive ID","value":"4041"},{"id":130,"name":"Impact","value":""},{"id":150,"name":"Time of Event (Mountain Time)","value":"19:21:48"},{"id":151,"name":"Denver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8" s="55"/>
      <c r="Y38" s="55"/>
      <c r="Z38" s="55"/>
    </row>
    <row r="39" spans="1:26" ht="15" customHeight="1" x14ac:dyDescent="0.25">
      <c r="A39" s="38">
        <v>42614.830370370371</v>
      </c>
      <c r="B39" s="33" t="s">
        <v>280</v>
      </c>
      <c r="C39" s="33" t="s">
        <v>532</v>
      </c>
      <c r="D39" s="33" t="s">
        <v>49</v>
      </c>
      <c r="E39" s="33" t="s">
        <v>50</v>
      </c>
      <c r="F39" s="49">
        <v>0</v>
      </c>
      <c r="G39" s="49">
        <v>119</v>
      </c>
      <c r="H39" s="49">
        <v>296</v>
      </c>
      <c r="I39" s="33" t="s">
        <v>51</v>
      </c>
      <c r="J39" s="49">
        <v>1</v>
      </c>
      <c r="K39" s="33" t="s">
        <v>53</v>
      </c>
      <c r="L39" s="92" t="str">
        <f>VLOOKUP(C39,'Trips&amp;Operators'!$C$1:$E$9999,3,0)</f>
        <v>STAMBAUGH</v>
      </c>
      <c r="M39" s="131" t="s">
        <v>86</v>
      </c>
      <c r="N39" s="10"/>
      <c r="O39" s="33"/>
      <c r="P39" s="108" t="str">
        <f>VLOOKUP(C39,'Train Runs'!$A$13:$AE$10012,31,0)</f>
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</c>
      <c r="Q39" s="111" t="str">
        <f>VLOOKUP(C39,'Train Runs'!$A$13:$AE$10012,22,0)</f>
        <v>https://search-rtdc-monitor-bjffxe2xuh6vdkpspy63sjmuny.us-east-1.es.amazonaws.com/_plugin/kibana/#/discover/Steve-Slow-Train-Analysis-(2080s-and-2083s)?_g=(refreshInterval:(display:Off,section:0,value:0),time:(from:'2016-09-01 18:16:27-0600',mode:absolute,to:'2016-09-01 20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39" s="113" t="str">
        <f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/stypes="*4012*201609020*" /stext=" 01:.+((SYSTEM_STATE.+slice.+state.+changed )|(ment ac)|(system.+state.+changed )|(\|lc)|(penalty)|(\[timeout)|(PRM\|1\|D)|(kpr)|(kdp))" /e /r /s</v>
      </c>
      <c r="S39" s="9" t="str">
        <f>MID(B39,13,4)</f>
        <v>4012</v>
      </c>
      <c r="T39" s="38">
        <f>A39+6/24</f>
        <v>42615.080370370371</v>
      </c>
      <c r="U39" s="52" t="str">
        <f>IF(VALUE(LEFT(IF(LEN(C39)=6,"0"&amp;C39,C39),2))&lt;=2,"EC",IF(OR(VALUE(LEFT(IF(LEN(C39)=6,"0"&amp;C39,C39),2))=8,VALUE(LEFT(IF(LEN(C39)=6,"0"&amp;C39,C39),2))=18),"NW","Other"))</f>
        <v>EC</v>
      </c>
      <c r="V39" s="52" t="str">
        <f>IF(AND(E39="TRACK WARRANT AUTHORITY",G39&lt;10),"OMIT","KEEP")</f>
        <v>KEEP</v>
      </c>
      <c r="W39" s="149" t="str">
        <f>"echo {""issue"":{""subject"":"""&amp;N39&amp;""",""project_id"":79,""tracker_id"":40,""status_id"":"&amp;redmine_status&amp;",""priority_id"":"&amp;redmine_priority&amp;",""assigned_to_id"":"&amp;redmine_assignee&amp;",""start_date"":"""&amp;TEXT(A39,"YYYY-mm-dd")&amp;""",""description"":"""&amp;X39&amp;""",""custom_fields"":[{""id"":1,""name"":""Subdivision"",""value"":"""&amp;U39&amp;"""},{""id"":4,""name"":""Milepost"",""value"":"""&amp;J39/10000&amp;"""},{""id"":17,""name"":""Train ID"",""value"":"""&amp;C39&amp;"""},{""id"":16,""name"":""Locomotive ID"",""value"":"""&amp;S39&amp;"""},{""id"":130,""name"":""Impact"",""value"":"""&amp;Y39&amp;"""},{""id"":150,""name"":""Time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Assigned"",""value"":"""&amp;Z39&amp;"""}]}}"&amp;"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ID","value":"218-01"},{"id":16,"name":"Locomotive ID","value":"4012"},{"id":130,"name":"Impact","value":""},{"id":150,"name":"Time of Event (Mountain Time)","value":"19:55:44"},{"id":151,"name":"Denver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9" s="55"/>
      <c r="Y39" s="55"/>
      <c r="Z39" s="55"/>
    </row>
    <row r="40" spans="1:26" x14ac:dyDescent="0.25">
      <c r="A40" s="38">
        <v>42614.877233796295</v>
      </c>
      <c r="B40" s="33" t="s">
        <v>176</v>
      </c>
      <c r="C40" s="33" t="s">
        <v>542</v>
      </c>
      <c r="D40" s="33" t="s">
        <v>49</v>
      </c>
      <c r="E40" s="33" t="s">
        <v>50</v>
      </c>
      <c r="F40" s="49">
        <v>0</v>
      </c>
      <c r="G40" s="49">
        <v>64</v>
      </c>
      <c r="H40" s="49">
        <v>229</v>
      </c>
      <c r="I40" s="33" t="s">
        <v>51</v>
      </c>
      <c r="J40" s="49">
        <v>1</v>
      </c>
      <c r="K40" s="33" t="s">
        <v>53</v>
      </c>
      <c r="L40" s="92" t="str">
        <f>VLOOKUP(C40,'Trips&amp;Operators'!$C$1:$E$9999,3,0)</f>
        <v>COOLAHAN</v>
      </c>
      <c r="M40" s="131" t="s">
        <v>86</v>
      </c>
      <c r="N40" s="10"/>
      <c r="O40" s="33"/>
      <c r="P40" s="108" t="str">
        <f>VLOOKUP(C40,'Train Runs'!$A$13:$AE$10012,31,0)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Q40" s="111" t="str">
        <f>VLOOKUP(C40,'Train Runs'!$A$13:$AE$10012,22,0)</f>
        <v>https://search-rtdc-monitor-bjffxe2xuh6vdkpspy63sjmuny.us-east-1.es.amazonaws.com/_plugin/kibana/#/discover/Steve-Slow-Train-Analysis-(2080s-and-2083s)?_g=(refreshInterval:(display:Off,section:0,value:0),time:(from:'2016-09-01 19:20:42-0600',mode:absolute,to:'2016-09-01 22:03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40" s="113" t="str">
        <f>astrogrep_path&amp;" /spath="&amp;search_path&amp;" /stypes=""*"&amp;S40&amp;"*"&amp;TEXT(A40-utc_offset/24,"YYYYMMDD")&amp;LEFT(TEXT(A40-utc_offset/24,"HH"),1)&amp;"*""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/stypes="*4041*201609020*" /stext=" 03:.+((SYSTEM_STATE.+slice.+state.+changed )|(ment ac)|(system.+state.+changed )|(\|lc)|(penalty)|(\[timeout)|(PRM\|1\|D)|(kpr)|(kdp))" /e /r /s</v>
      </c>
      <c r="S40" s="9" t="str">
        <f>MID(B40,13,4)</f>
        <v>4041</v>
      </c>
      <c r="T40" s="38">
        <f>A40+6/24</f>
        <v>42615.127233796295</v>
      </c>
      <c r="U40" s="52" t="str">
        <f>IF(VALUE(LEFT(IF(LEN(C40)=6,"0"&amp;C40,C40),2))&lt;=2,"EC",IF(OR(VALUE(LEFT(IF(LEN(C40)=6,"0"&amp;C40,C40),2))=8,VALUE(LEFT(IF(LEN(C40)=6,"0"&amp;C40,C40),2))=18),"NW","Other"))</f>
        <v>EC</v>
      </c>
      <c r="V40" s="52" t="str">
        <f>IF(AND(E40="TRACK WARRANT AUTHORITY",G40&lt;10),"OMIT","KEEP")</f>
        <v>KEEP</v>
      </c>
      <c r="W40" s="149" t="str">
        <f>"echo {""issue"":{""subject"":"""&amp;N40&amp;""",""project_id"":79,""tracker_id"":40,""status_id"":"&amp;redmine_status&amp;",""priority_id"":"&amp;redmine_priority&amp;",""assigned_to_id"":"&amp;redmine_assignee&amp;",""start_date"":"""&amp;TEXT(A40,"YYYY-mm-dd")&amp;""",""description"":"""&amp;X40&amp;""",""custom_fields"":[{""id"":1,""name"":""Subdivision"",""value"":"""&amp;U40&amp;"""},{""id"":4,""name"":""Milepost"",""value"":"""&amp;J40/10000&amp;"""},{""id"":17,""name"":""Train ID"",""value"":"""&amp;C40&amp;"""},{""id"":16,""name"":""Locomotive ID"",""value"":"""&amp;S40&amp;"""},{""id"":130,""name"":""Impact"",""value"":"""&amp;Y40&amp;"""},{""id"":150,""name"":""Time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Assigned"",""value"":"""&amp;Z40&amp;"""}]}}"&amp;"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ID","value":"224-01"},{"id":16,"name":"Locomotive ID","value":"4041"},{"id":130,"name":"Impact","value":""},{"id":150,"name":"Time of Event (Mountain Time)","value":"21:03:13"},{"id":151,"name":"Denver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0" s="55"/>
      <c r="Y40" s="55"/>
      <c r="Z40" s="55"/>
    </row>
    <row r="41" spans="1:26" x14ac:dyDescent="0.25">
      <c r="A41" s="38">
        <v>42615.064976851849</v>
      </c>
      <c r="B41" s="33" t="s">
        <v>280</v>
      </c>
      <c r="C41" s="33" t="s">
        <v>569</v>
      </c>
      <c r="D41" s="33" t="s">
        <v>49</v>
      </c>
      <c r="E41" s="33" t="s">
        <v>50</v>
      </c>
      <c r="F41" s="49">
        <v>0</v>
      </c>
      <c r="G41" s="49">
        <v>53</v>
      </c>
      <c r="H41" s="49">
        <v>85</v>
      </c>
      <c r="I41" s="33" t="s">
        <v>51</v>
      </c>
      <c r="J41" s="49">
        <v>1</v>
      </c>
      <c r="K41" s="33" t="s">
        <v>53</v>
      </c>
      <c r="L41" s="92" t="str">
        <f>VLOOKUP(C41,'Trips&amp;Operators'!$C$1:$E$9999,3,0)</f>
        <v>STAMBAUGH</v>
      </c>
      <c r="M41" s="131" t="s">
        <v>86</v>
      </c>
      <c r="N41" s="10"/>
      <c r="O41" s="33"/>
      <c r="P41" s="108" t="str">
        <f>VLOOKUP(C41,'Train Runs'!$A$13:$AE$10012,31,0)</f>
        <v>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 &amp; 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</v>
      </c>
      <c r="Q41" s="111" t="str">
        <f>VLOOKUP(C41,'Train Runs'!$A$13:$AE$10012,22,0)</f>
        <v>https://search-rtdc-monitor-bjffxe2xuh6vdkpspy63sjmuny.us-east-1.es.amazonaws.com/_plugin/kibana/#/discover/Steve-Slow-Train-Analysis-(2080s-and-2083s)?_g=(refreshInterval:(display:Off,section:0,value:0),time:(from:'2016-09-01 23:50:01-0600',mode:absolute,to:'2016-09-02 02:33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41" s="113" t="str">
        <f>astrogrep_path&amp;" /spath="&amp;search_path&amp;" /stypes=""*"&amp;S41&amp;"*"&amp;TEXT(A41-utc_offset/24,"YYYYMMDD")&amp;LEFT(TEXT(A41-utc_offset/24,"HH"),1)&amp;"*""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/stypes="*4012*201609020*" /stext=" 07:.+((SYSTEM_STATE.+slice.+state.+changed )|(ment ac)|(system.+state.+changed )|(\|lc)|(penalty)|(\[timeout)|(PRM\|1\|D)|(kpr)|(kdp))" /e /r /s</v>
      </c>
      <c r="S41" s="9" t="str">
        <f>MID(B41,13,4)</f>
        <v>4012</v>
      </c>
      <c r="T41" s="38">
        <f>A41+6/24</f>
        <v>42615.314976851849</v>
      </c>
      <c r="U41" s="52" t="str">
        <f>IF(VALUE(LEFT(IF(LEN(C41)=6,"0"&amp;C41,C41),2))&lt;=2,"EC",IF(OR(VALUE(LEFT(IF(LEN(C41)=6,"0"&amp;C41,C41),2))=8,VALUE(LEFT(IF(LEN(C41)=6,"0"&amp;C41,C41),2))=18),"NW","Other"))</f>
        <v>EC</v>
      </c>
      <c r="V41" s="52" t="str">
        <f>IF(AND(E41="TRACK WARRANT AUTHORITY",G41&lt;10),"OMIT","KEEP")</f>
        <v>KEEP</v>
      </c>
      <c r="W41" s="149" t="str">
        <f>"echo {""issue"":{""subject"":"""&amp;N41&amp;""",""project_id"":79,""tracker_id"":40,""status_id"":"&amp;redmine_status&amp;",""priority_id"":"&amp;redmine_priority&amp;",""assigned_to_id"":"&amp;redmine_assignee&amp;",""start_date"":"""&amp;TEXT(A41,"YYYY-mm-dd")&amp;""",""description"":"""&amp;X41&amp;""",""custom_fields"":[{""id"":1,""name"":""Subdivision"",""value"":"""&amp;U41&amp;"""},{""id"":4,""name"":""Milepost"",""value"":"""&amp;J41/10000&amp;"""},{""id"":17,""name"":""Train ID"",""value"":"""&amp;C41&amp;"""},{""id"":16,""name"":""Locomotive ID"",""value"":"""&amp;S41&amp;"""},{""id"":130,""name"":""Impact"",""value"":"""&amp;Y41&amp;"""},{""id"":150,""name"":""Time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Assigned"",""value"":"""&amp;Z41&amp;"""}]}}"&amp;"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{"issue":{"subject":"","project_id":79,"tracker_id":40,"status_id":1,"priority_id":2,"assigned_to_id":23,"start_date":"2016-09-02","description":"","custom_fields":[{"id":1,"name":"Subdivision","value":"EC"},{"id":4,"name":"Milepost","value":"0.0001"},{"id":17,"name":"Train ID","value":"242-01"},{"id":16,"name":"Locomotive ID","value":"4012"},{"id":130,"name":"Impact","value":""},{"id":150,"name":"Time of Event (Mountain Time)","value":"01:33:34"},{"id":151,"name":"Denver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1" s="55"/>
      <c r="Y41" s="55"/>
      <c r="Z41" s="55"/>
    </row>
    <row r="42" spans="1:26" x14ac:dyDescent="0.25">
      <c r="A42" s="38">
        <v>42614.181712962964</v>
      </c>
      <c r="B42" s="33" t="s">
        <v>225</v>
      </c>
      <c r="C42" s="33" t="s">
        <v>370</v>
      </c>
      <c r="D42" s="33" t="s">
        <v>49</v>
      </c>
      <c r="E42" s="33" t="s">
        <v>50</v>
      </c>
      <c r="F42" s="49">
        <v>0</v>
      </c>
      <c r="G42" s="49">
        <v>54</v>
      </c>
      <c r="H42" s="49">
        <v>233281</v>
      </c>
      <c r="I42" s="33" t="s">
        <v>51</v>
      </c>
      <c r="J42" s="49">
        <v>233491</v>
      </c>
      <c r="K42" s="33" t="s">
        <v>52</v>
      </c>
      <c r="L42" s="92" t="str">
        <f>VLOOKUP(C42,'Trips&amp;Operators'!$C$1:$E$9999,3,0)</f>
        <v>SPECTOR</v>
      </c>
      <c r="M42" s="131" t="s">
        <v>86</v>
      </c>
      <c r="N42" s="10"/>
      <c r="O42" s="33"/>
      <c r="P42" s="108" t="str">
        <f>VLOOKUP(C42,'Train Runs'!$A$13:$AE$10012,31,0)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Q42" s="111" t="str">
        <f>VLOOKUP(C42,'Train Runs'!$A$13:$AE$10012,22,0)</f>
        <v>https://search-rtdc-monitor-bjffxe2xuh6vdkpspy63sjmuny.us-east-1.es.amazonaws.com/_plugin/kibana/#/discover/Steve-Slow-Train-Analysis-(2080s-and-2083s)?_g=(refreshInterval:(display:Off,section:0,value:0),time:(from:'2016-09-01 02:42:24-0600',mode:absolute,to:'2016-09-01 05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42" s="113" t="str">
        <f>astrogrep_path&amp;" /spath="&amp;search_path&amp;" /stypes=""*"&amp;S42&amp;"*"&amp;TEXT(A42-utc_offset/24,"YYYYMMDD")&amp;LEFT(TEXT(A42-utc_offset/24,"HH"),1)&amp;"*""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/stypes="*4020*201609011*" /stext=" 10:.+((SYSTEM_STATE.+slice.+state.+changed )|(ment ac)|(system.+state.+changed )|(\|lc)|(penalty)|(\[timeout)|(PRM\|1\|D)|(kpr)|(kdp))" /e /r /s</v>
      </c>
      <c r="S42" s="9" t="str">
        <f>MID(B42,13,4)</f>
        <v>4020</v>
      </c>
      <c r="T42" s="38">
        <f>A42+6/24</f>
        <v>42614.431712962964</v>
      </c>
      <c r="U42" s="52" t="str">
        <f>IF(VALUE(LEFT(IF(LEN(C42)=6,"0"&amp;C42,C42),2))&lt;=2,"EC",IF(OR(VALUE(LEFT(IF(LEN(C42)=6,"0"&amp;C42,C42),2))=8,VALUE(LEFT(IF(LEN(C42)=6,"0"&amp;C42,C42),2))=18),"NW","Other"))</f>
        <v>EC</v>
      </c>
      <c r="V42" s="52" t="str">
        <f>IF(AND(E42="TRACK WARRANT AUTHORITY",G42&lt;10),"OMIT","KEEP")</f>
        <v>KEEP</v>
      </c>
      <c r="W42" s="149" t="str">
        <f>"echo {""issue"":{""subject"":"""&amp;N42&amp;""",""project_id"":79,""tracker_id"":40,""status_id"":"&amp;redmine_status&amp;",""priority_id"":"&amp;redmine_priority&amp;",""assigned_to_id"":"&amp;redmine_assignee&amp;",""start_date"":"""&amp;TEXT(A42,"YYYY-mm-dd")&amp;""",""description"":"""&amp;X42&amp;""",""custom_fields"":[{""id"":1,""name"":""Subdivision"",""value"":"""&amp;U42&amp;"""},{""id"":4,""name"":""Milepost"",""value"":"""&amp;J42/10000&amp;"""},{""id"":17,""name"":""Train ID"",""value"":"""&amp;C42&amp;"""},{""id"":16,""name"":""Locomotive ID"",""value"":"""&amp;S42&amp;"""},{""id"":130,""name"":""Impact"",""value"":"""&amp;Y42&amp;"""},{""id"":150,""name"":""Time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Assigned"",""value"":"""&amp;Z42&amp;"""}]}}"&amp;"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ID","value":"103-01"},{"id":16,"name":"Locomotive ID","value":"4020"},{"id":130,"name":"Impact","value":""},{"id":150,"name":"Time of Event (Mountain Time)","value":"04:21:40"},{"id":151,"name":"Denver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2" s="55"/>
      <c r="Y42" s="55"/>
      <c r="Z42" s="55"/>
    </row>
    <row r="43" spans="1:26" x14ac:dyDescent="0.25">
      <c r="A43" s="38">
        <v>42614.26494212963</v>
      </c>
      <c r="B43" s="33" t="s">
        <v>114</v>
      </c>
      <c r="C43" s="33" t="s">
        <v>393</v>
      </c>
      <c r="D43" s="33" t="s">
        <v>49</v>
      </c>
      <c r="E43" s="33" t="s">
        <v>50</v>
      </c>
      <c r="F43" s="49">
        <v>0</v>
      </c>
      <c r="G43" s="49">
        <v>44</v>
      </c>
      <c r="H43" s="49">
        <v>233328</v>
      </c>
      <c r="I43" s="33" t="s">
        <v>51</v>
      </c>
      <c r="J43" s="49">
        <v>233491</v>
      </c>
      <c r="K43" s="33" t="s">
        <v>52</v>
      </c>
      <c r="L43" s="92" t="str">
        <f>VLOOKUP(C43,'Trips&amp;Operators'!$C$1:$E$9999,3,0)</f>
        <v>SPECTOR</v>
      </c>
      <c r="M43" s="131" t="s">
        <v>86</v>
      </c>
      <c r="N43" s="10"/>
      <c r="O43" s="33"/>
      <c r="P43" s="108" t="str">
        <f>VLOOKUP(C43,'Train Runs'!$A$13:$AE$10012,31,0)</f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Q43" s="111" t="str">
        <f>VLOOKUP(C43,'Train Runs'!$A$13:$AE$10012,22,0)</f>
        <v>https://search-rtdc-monitor-bjffxe2xuh6vdkpspy63sjmuny.us-east-1.es.amazonaws.com/_plugin/kibana/#/discover/Steve-Slow-Train-Analysis-(2080s-and-2083s)?_g=(refreshInterval:(display:Off,section:0,value:0),time:(from:'2016-09-01 04:33:01-0600',mode:absolute,to:'2016-09-01 07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43" s="113" t="str">
        <f>astrogrep_path&amp;" /spath="&amp;search_path&amp;" /stypes=""*"&amp;S43&amp;"*"&amp;TEXT(A43-utc_offset/24,"YYYYMMDD")&amp;LEFT(TEXT(A43-utc_offset/24,"HH"),1)&amp;"*""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/stypes="*4031*201609011*" /stext=" 12:.+((SYSTEM_STATE.+slice.+state.+changed )|(ment ac)|(system.+state.+changed )|(\|lc)|(penalty)|(\[timeout)|(PRM\|1\|D)|(kpr)|(kdp))" /e /r /s</v>
      </c>
      <c r="S43" s="9" t="str">
        <f>MID(B43,13,4)</f>
        <v>4031</v>
      </c>
      <c r="T43" s="38">
        <f>A43+6/24</f>
        <v>42614.51494212963</v>
      </c>
      <c r="U43" s="52" t="str">
        <f>IF(VALUE(LEFT(IF(LEN(C43)=6,"0"&amp;C43,C43),2))&lt;=2,"EC",IF(OR(VALUE(LEFT(IF(LEN(C43)=6,"0"&amp;C43,C43),2))=8,VALUE(LEFT(IF(LEN(C43)=6,"0"&amp;C43,C43),2))=18),"NW","Other"))</f>
        <v>EC</v>
      </c>
      <c r="V43" s="52" t="str">
        <f>IF(AND(E43="TRACK WARRANT AUTHORITY",G43&lt;10),"OMIT","KEEP")</f>
        <v>KEEP</v>
      </c>
      <c r="W43" s="149" t="str">
        <f>"echo {""issue"":{""subject"":"""&amp;N43&amp;""",""project_id"":79,""tracker_id"":40,""status_id"":"&amp;redmine_status&amp;",""priority_id"":"&amp;redmine_priority&amp;",""assigned_to_id"":"&amp;redmine_assignee&amp;",""start_date"":"""&amp;TEXT(A43,"YYYY-mm-dd")&amp;""",""description"":"""&amp;X43&amp;""",""custom_fields"":[{""id"":1,""name"":""Subdivision"",""value"":"""&amp;U43&amp;"""},{""id"":4,""name"":""Milepost"",""value"":"""&amp;J43/10000&amp;"""},{""id"":17,""name"":""Train ID"",""value"":"""&amp;C43&amp;"""},{""id"":16,""name"":""Locomotive ID"",""value"":"""&amp;S43&amp;"""},{""id"":130,""name"":""Impact"",""value"":"""&amp;Y43&amp;"""},{""id"":150,""name"":""Time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Assigned"",""value"":"""&amp;Z43&amp;"""}]}}"&amp;"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ID","value":"117-01"},{"id":16,"name":"Locomotive ID","value":"4031"},{"id":130,"name":"Impact","value":""},{"id":150,"name":"Time of Event (Mountain Time)","value":"06:21:31"},{"id":151,"name":"Denver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3" s="55"/>
      <c r="Y43" s="55"/>
      <c r="Z43" s="55"/>
    </row>
    <row r="44" spans="1:26" x14ac:dyDescent="0.25">
      <c r="A44" s="38">
        <v>42614.276365740741</v>
      </c>
      <c r="B44" s="33" t="s">
        <v>264</v>
      </c>
      <c r="C44" s="33" t="s">
        <v>397</v>
      </c>
      <c r="D44" s="33" t="s">
        <v>49</v>
      </c>
      <c r="E44" s="33" t="s">
        <v>50</v>
      </c>
      <c r="F44" s="49">
        <v>0</v>
      </c>
      <c r="G44" s="49">
        <v>110</v>
      </c>
      <c r="H44" s="49">
        <v>232998</v>
      </c>
      <c r="I44" s="33" t="s">
        <v>51</v>
      </c>
      <c r="J44" s="49">
        <v>233491</v>
      </c>
      <c r="K44" s="33" t="s">
        <v>52</v>
      </c>
      <c r="L44" s="92" t="str">
        <f>VLOOKUP(C44,'Trips&amp;Operators'!$C$1:$E$9999,3,0)</f>
        <v>MALAVE</v>
      </c>
      <c r="M44" s="131" t="s">
        <v>86</v>
      </c>
      <c r="N44" s="10"/>
      <c r="O44" s="33"/>
      <c r="P44" s="108" t="str">
        <f>VLOOKUP(C44,'Train Runs'!$A$13:$AE$10012,31,0)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Q44" s="111" t="str">
        <f>VLOOKUP(C44,'Train Runs'!$A$13:$AE$10012,22,0)</f>
        <v>https://search-rtdc-monitor-bjffxe2xuh6vdkpspy63sjmuny.us-east-1.es.amazonaws.com/_plugin/kibana/#/discover/Steve-Slow-Train-Analysis-(2080s-and-2083s)?_g=(refreshInterval:(display:Off,section:0,value:0),time:(from:'2016-09-01 04:56:10-0600',mode:absolute,to:'2016-09-01 07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44" s="113" t="str">
        <f>astrogrep_path&amp;" /spath="&amp;search_path&amp;" /stypes=""*"&amp;S44&amp;"*"&amp;TEXT(A44-utc_offset/24,"YYYYMMDD")&amp;LEFT(TEXT(A44-utc_offset/24,"HH"),1)&amp;"*""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/stypes="*4018*201609011*" /stext=" 12:.+((SYSTEM_STATE.+slice.+state.+changed )|(ment ac)|(system.+state.+changed )|(\|lc)|(penalty)|(\[timeout)|(PRM\|1\|D)|(kpr)|(kdp))" /e /r /s</v>
      </c>
      <c r="S44" s="9" t="str">
        <f>MID(B44,13,4)</f>
        <v>4018</v>
      </c>
      <c r="T44" s="38">
        <f>A44+6/24</f>
        <v>42614.526365740741</v>
      </c>
      <c r="U44" s="52" t="str">
        <f>IF(VALUE(LEFT(IF(LEN(C44)=6,"0"&amp;C44,C44),2))&lt;=2,"EC",IF(OR(VALUE(LEFT(IF(LEN(C44)=6,"0"&amp;C44,C44),2))=8,VALUE(LEFT(IF(LEN(C44)=6,"0"&amp;C44,C44),2))=18),"NW","Other"))</f>
        <v>EC</v>
      </c>
      <c r="V44" s="52" t="str">
        <f>IF(AND(E44="TRACK WARRANT AUTHORITY",G44&lt;10),"OMIT","KEEP")</f>
        <v>KEEP</v>
      </c>
      <c r="W44" s="149" t="str">
        <f>"echo {""issue"":{""subject"":"""&amp;N44&amp;""",""project_id"":79,""tracker_id"":40,""status_id"":"&amp;redmine_status&amp;",""priority_id"":"&amp;redmine_priority&amp;",""assigned_to_id"":"&amp;redmine_assignee&amp;",""start_date"":"""&amp;TEXT(A44,"YYYY-mm-dd")&amp;""",""description"":"""&amp;X44&amp;""",""custom_fields"":[{""id"":1,""name"":""Subdivision"",""value"":"""&amp;U44&amp;"""},{""id"":4,""name"":""Milepost"",""value"":"""&amp;J44/10000&amp;"""},{""id"":17,""name"":""Train ID"",""value"":"""&amp;C44&amp;"""},{""id"":16,""name"":""Locomotive ID"",""value"":"""&amp;S44&amp;"""},{""id"":130,""name"":""Impact"",""value"":"""&amp;Y44&amp;"""},{""id"":150,""name"":""Time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Assigned"",""value"":"""&amp;Z44&amp;"""}]}}"&amp;"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ID","value":"119-01"},{"id":16,"name":"Locomotive ID","value":"4018"},{"id":130,"name":"Impact","value":""},{"id":150,"name":"Time of Event (Mountain Time)","value":"06:37:58"},{"id":151,"name":"Denver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4" s="55"/>
      <c r="Y44" s="55"/>
      <c r="Z44" s="55"/>
    </row>
    <row r="45" spans="1:26" x14ac:dyDescent="0.25">
      <c r="A45" s="38">
        <v>42614.360937500001</v>
      </c>
      <c r="B45" s="33" t="s">
        <v>148</v>
      </c>
      <c r="C45" s="33" t="s">
        <v>422</v>
      </c>
      <c r="D45" s="33" t="s">
        <v>49</v>
      </c>
      <c r="E45" s="33" t="s">
        <v>50</v>
      </c>
      <c r="F45" s="49">
        <v>0</v>
      </c>
      <c r="G45" s="49">
        <v>37</v>
      </c>
      <c r="H45" s="49">
        <v>233304</v>
      </c>
      <c r="I45" s="33" t="s">
        <v>51</v>
      </c>
      <c r="J45" s="49">
        <v>233491</v>
      </c>
      <c r="K45" s="33" t="s">
        <v>52</v>
      </c>
      <c r="L45" s="92" t="str">
        <f>VLOOKUP(C45,'Trips&amp;Operators'!$C$1:$E$9999,3,0)</f>
        <v>STRICKLAND</v>
      </c>
      <c r="M45" s="131" t="s">
        <v>86</v>
      </c>
      <c r="N45" s="10"/>
      <c r="O45" s="33"/>
      <c r="P45" s="108" t="str">
        <f>VLOOKUP(C45,'Train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45" s="111" t="str">
        <f>VLOOKUP(C45,'Train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06:55:35-0600',mode:absolute,to:'2016-09-01 09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45" s="113" t="str">
        <f>astrogrep_path&amp;" /spath="&amp;search_path&amp;" /stypes=""*"&amp;S45&amp;"*"&amp;TEXT(A45-utc_offset/24,"YYYYMMDD")&amp;LEFT(TEXT(A45-utc_offset/24,"HH"),1)&amp;"*""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/stypes="*4038*201609011*" /stext=" 14:.+((SYSTEM_STATE.+slice.+state.+changed )|(ment ac)|(system.+state.+changed )|(\|lc)|(penalty)|(\[timeout)|(PRM\|1\|D)|(kpr)|(kdp))" /e /r /s</v>
      </c>
      <c r="S45" s="9" t="str">
        <f>MID(B45,13,4)</f>
        <v>4038</v>
      </c>
      <c r="T45" s="38">
        <f>A45+6/24</f>
        <v>42614.610937500001</v>
      </c>
      <c r="U45" s="52" t="str">
        <f>IF(VALUE(LEFT(IF(LEN(C45)=6,"0"&amp;C45,C45),2))&lt;=2,"EC",IF(OR(VALUE(LEFT(IF(LEN(C45)=6,"0"&amp;C45,C45),2))=8,VALUE(LEFT(IF(LEN(C45)=6,"0"&amp;C45,C45),2))=18),"NW","Other"))</f>
        <v>EC</v>
      </c>
      <c r="V45" s="52" t="str">
        <f>IF(AND(E45="TRACK WARRANT AUTHORITY",G45&lt;10),"OMIT","KEEP")</f>
        <v>KEEP</v>
      </c>
      <c r="W45" s="149" t="str">
        <f>"echo {""issue"":{""subject"":"""&amp;N45&amp;""",""project_id"":79,""tracker_id"":40,""status_id"":"&amp;redmine_status&amp;",""priority_id"":"&amp;redmine_priority&amp;",""assigned_to_id"":"&amp;redmine_assignee&amp;",""start_date"":"""&amp;TEXT(A45,"YYYY-mm-dd")&amp;""",""description"":"""&amp;X45&amp;""",""custom_fields"":[{""id"":1,""name"":""Subdivision"",""value"":"""&amp;U45&amp;"""},{""id"":4,""name"":""Milepost"",""value"":"""&amp;J45/10000&amp;"""},{""id"":17,""name"":""Train ID"",""value"":"""&amp;C45&amp;"""},{""id"":16,""name"":""Locomotive ID"",""value"":"""&amp;S45&amp;"""},{""id"":130,""name"":""Impact"",""value"":"""&amp;Y45&amp;"""},{""id"":150,""name"":""Time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Assigned"",""value"":"""&amp;Z45&amp;"""}]}}"&amp;"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ID","value":"135-01"},{"id":16,"name":"Locomotive ID","value":"4038"},{"id":130,"name":"Impact","value":""},{"id":150,"name":"Time of Event (Mountain Time)","value":"08:39:45"},{"id":151,"name":"Denver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5" s="55"/>
      <c r="Y45" s="55"/>
      <c r="Z45" s="55"/>
    </row>
    <row r="46" spans="1:26" x14ac:dyDescent="0.25">
      <c r="A46" s="38">
        <v>42614.379675925928</v>
      </c>
      <c r="B46" s="33" t="s">
        <v>147</v>
      </c>
      <c r="C46" s="33" t="s">
        <v>429</v>
      </c>
      <c r="D46" s="33" t="s">
        <v>49</v>
      </c>
      <c r="E46" s="33" t="s">
        <v>50</v>
      </c>
      <c r="F46" s="49">
        <v>0</v>
      </c>
      <c r="G46" s="49">
        <v>54</v>
      </c>
      <c r="H46" s="49">
        <v>233287</v>
      </c>
      <c r="I46" s="33" t="s">
        <v>51</v>
      </c>
      <c r="J46" s="49">
        <v>233491</v>
      </c>
      <c r="K46" s="33" t="s">
        <v>52</v>
      </c>
      <c r="L46" s="92" t="str">
        <f>VLOOKUP(C46,'Trips&amp;Operators'!$C$1:$E$9999,3,0)</f>
        <v>STARKS</v>
      </c>
      <c r="M46" s="131" t="s">
        <v>86</v>
      </c>
      <c r="N46" s="10"/>
      <c r="O46" s="33"/>
      <c r="P46" s="108" t="str">
        <f>VLOOKUP(C46,'Train Runs'!$A$13:$AE$10012,31,0)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Q46" s="111" t="str">
        <f>VLOOKUP(C46,'Train Runs'!$A$13:$AE$10012,22,0)</f>
        <v>https://search-rtdc-monitor-bjffxe2xuh6vdkpspy63sjmuny.us-east-1.es.amazonaws.com/_plugin/kibana/#/discover/Steve-Slow-Train-Analysis-(2080s-and-2083s)?_g=(refreshInterval:(display:Off,section:0,value:0),time:(from:'2016-09-01 07:26:27-0600',mode:absolute,to:'2016-09-01 10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6" s="113" t="str">
        <f>astrogrep_path&amp;" /spath="&amp;search_path&amp;" /stypes=""*"&amp;S46&amp;"*"&amp;TEXT(A46-utc_offset/24,"YYYYMMDD")&amp;LEFT(TEXT(A46-utc_offset/24,"HH"),1)&amp;"*""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/stypes="*4042*201609011*" /stext=" 15:.+((SYSTEM_STATE.+slice.+state.+changed )|(ment ac)|(system.+state.+changed )|(\|lc)|(penalty)|(\[timeout)|(PRM\|1\|D)|(kpr)|(kdp))" /e /r /s</v>
      </c>
      <c r="S46" s="9" t="str">
        <f>MID(B46,13,4)</f>
        <v>4042</v>
      </c>
      <c r="T46" s="38">
        <f>A46+6/24</f>
        <v>42614.629675925928</v>
      </c>
      <c r="U46" s="52" t="str">
        <f>IF(VALUE(LEFT(IF(LEN(C46)=6,"0"&amp;C46,C46),2))&lt;=2,"EC",IF(OR(VALUE(LEFT(IF(LEN(C46)=6,"0"&amp;C46,C46),2))=8,VALUE(LEFT(IF(LEN(C46)=6,"0"&amp;C46,C46),2))=18),"NW","Other"))</f>
        <v>EC</v>
      </c>
      <c r="V46" s="52" t="str">
        <f>IF(AND(E46="TRACK WARRANT AUTHORITY",G46&lt;10),"OMIT","KEEP")</f>
        <v>KEEP</v>
      </c>
      <c r="W46" s="149" t="str">
        <f>"echo {""issue"":{""subject"":"""&amp;N46&amp;""",""project_id"":79,""tracker_id"":40,""status_id"":"&amp;redmine_status&amp;",""priority_id"":"&amp;redmine_priority&amp;",""assigned_to_id"":"&amp;redmine_assignee&amp;",""start_date"":"""&amp;TEXT(A46,"YYYY-mm-dd")&amp;""",""description"":"""&amp;X46&amp;""",""custom_fields"":[{""id"":1,""name"":""Subdivision"",""value"":"""&amp;U46&amp;"""},{""id"":4,""name"":""Milepost"",""value"":"""&amp;J46/10000&amp;"""},{""id"":17,""name"":""Train ID"",""value"":"""&amp;C46&amp;"""},{""id"":16,""name"":""Locomotive ID"",""value"":"""&amp;S46&amp;"""},{""id"":130,""name"":""Impact"",""value"":"""&amp;Y46&amp;"""},{""id"":150,""name"":""Time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Assigned"",""value"":"""&amp;Z46&amp;"""}]}}"&amp;"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ID","value":"139-01"},{"id":16,"name":"Locomotive ID","value":"4042"},{"id":130,"name":"Impact","value":""},{"id":150,"name":"Time of Event (Mountain Time)","value":"09:06:44"},{"id":151,"name":"Denver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6" s="55"/>
      <c r="Y46" s="55"/>
      <c r="Z46" s="55"/>
    </row>
    <row r="47" spans="1:26" x14ac:dyDescent="0.25">
      <c r="A47" s="38">
        <v>42614.494687500002</v>
      </c>
      <c r="B47" s="33" t="s">
        <v>264</v>
      </c>
      <c r="C47" s="33" t="s">
        <v>458</v>
      </c>
      <c r="D47" s="33" t="s">
        <v>49</v>
      </c>
      <c r="E47" s="33" t="s">
        <v>50</v>
      </c>
      <c r="F47" s="49">
        <v>0</v>
      </c>
      <c r="G47" s="49">
        <v>33</v>
      </c>
      <c r="H47" s="49">
        <v>233387</v>
      </c>
      <c r="I47" s="33" t="s">
        <v>51</v>
      </c>
      <c r="J47" s="49">
        <v>233491</v>
      </c>
      <c r="K47" s="33" t="s">
        <v>52</v>
      </c>
      <c r="L47" s="92" t="str">
        <f>VLOOKUP(C47,'Trips&amp;Operators'!$C$1:$E$9999,3,0)</f>
        <v>SHOOK</v>
      </c>
      <c r="M47" s="131" t="s">
        <v>86</v>
      </c>
      <c r="N47" s="10"/>
      <c r="O47" s="33"/>
      <c r="P47" s="108" t="str">
        <f>VLOOKUP(C47,'Train Runs'!$A$13:$AE$10012,31,0)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Q47" s="111" t="str">
        <f>VLOOKUP(C47,'Train Runs'!$A$13:$AE$10012,22,0)</f>
        <v>https://search-rtdc-monitor-bjffxe2xuh6vdkpspy63sjmuny.us-east-1.es.amazonaws.com/_plugin/kibana/#/discover/Steve-Slow-Train-Analysis-(2080s-and-2083s)?_g=(refreshInterval:(display:Off,section:0,value:0),time:(from:'2016-09-01 10:10:14-0600',mode:absolute,to:'2016-09-01 12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47" s="113" t="str">
        <f>astrogrep_path&amp;" /spath="&amp;search_path&amp;" /stypes=""*"&amp;S47&amp;"*"&amp;TEXT(A47-utc_offset/24,"YYYYMMDD")&amp;LEFT(TEXT(A47-utc_offset/24,"HH"),1)&amp;"*""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/stypes="*4018*201609011*" /stext=" 17:.+((SYSTEM_STATE.+slice.+state.+changed )|(ment ac)|(system.+state.+changed )|(\|lc)|(penalty)|(\[timeout)|(PRM\|1\|D)|(kpr)|(kdp))" /e /r /s</v>
      </c>
      <c r="S47" s="9" t="str">
        <f>MID(B47,13,4)</f>
        <v>4018</v>
      </c>
      <c r="T47" s="38">
        <f>A47+6/24</f>
        <v>42614.744687500002</v>
      </c>
      <c r="U47" s="52" t="str">
        <f>IF(VALUE(LEFT(IF(LEN(C47)=6,"0"&amp;C47,C47),2))&lt;=2,"EC",IF(OR(VALUE(LEFT(IF(LEN(C47)=6,"0"&amp;C47,C47),2))=8,VALUE(LEFT(IF(LEN(C47)=6,"0"&amp;C47,C47),2))=18),"NW","Other"))</f>
        <v>EC</v>
      </c>
      <c r="V47" s="52" t="str">
        <f>IF(AND(E47="TRACK WARRANT AUTHORITY",G47&lt;10),"OMIT","KEEP")</f>
        <v>KEEP</v>
      </c>
      <c r="W47" s="149" t="str">
        <f>"echo {""issue"":{""subject"":"""&amp;N47&amp;""",""project_id"":79,""tracker_id"":40,""status_id"":"&amp;redmine_status&amp;",""priority_id"":"&amp;redmine_priority&amp;",""assigned_to_id"":"&amp;redmine_assignee&amp;",""start_date"":"""&amp;TEXT(A47,"YYYY-mm-dd")&amp;""",""description"":"""&amp;X47&amp;""",""custom_fields"":[{""id"":1,""name"":""Subdivision"",""value"":"""&amp;U47&amp;"""},{""id"":4,""name"":""Milepost"",""value"":"""&amp;J47/10000&amp;"""},{""id"":17,""name"":""Train ID"",""value"":"""&amp;C47&amp;"""},{""id"":16,""name"":""Locomotive ID"",""value"":"""&amp;S47&amp;"""},{""id"":130,""name"":""Impact"",""value"":"""&amp;Y47&amp;"""},{""id"":150,""name"":""Time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Assigned"",""value"":"""&amp;Z47&amp;"""}]}}"&amp;"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ID","value":"161-01"},{"id":16,"name":"Locomotive ID","value":"4018"},{"id":130,"name":"Impact","value":""},{"id":150,"name":"Time of Event (Mountain Time)","value":"11:52:21"},{"id":151,"name":"Denver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7" s="55"/>
      <c r="Y47" s="55"/>
      <c r="Z47" s="55"/>
    </row>
    <row r="48" spans="1:26" x14ac:dyDescent="0.25">
      <c r="A48" s="38">
        <v>42614.505277777775</v>
      </c>
      <c r="B48" s="33" t="s">
        <v>148</v>
      </c>
      <c r="C48" s="33" t="s">
        <v>462</v>
      </c>
      <c r="D48" s="33" t="s">
        <v>49</v>
      </c>
      <c r="E48" s="33" t="s">
        <v>50</v>
      </c>
      <c r="F48" s="49">
        <v>0</v>
      </c>
      <c r="G48" s="49">
        <v>53</v>
      </c>
      <c r="H48" s="49">
        <v>233319</v>
      </c>
      <c r="I48" s="33" t="s">
        <v>51</v>
      </c>
      <c r="J48" s="49">
        <v>233491</v>
      </c>
      <c r="K48" s="33" t="s">
        <v>52</v>
      </c>
      <c r="L48" s="92" t="str">
        <f>VLOOKUP(C48,'Trips&amp;Operators'!$C$1:$E$9999,3,0)</f>
        <v>MOSES</v>
      </c>
      <c r="M48" s="131" t="s">
        <v>86</v>
      </c>
      <c r="N48" s="10"/>
      <c r="O48" s="33"/>
      <c r="P48" s="108" t="str">
        <f>VLOOKUP(C48,'Train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48" s="111" t="str">
        <f>VLOOKUP(C48,'Train Runs'!$A$13:$AE$10012,22,0)</f>
        <v>https://search-rtdc-monitor-bjffxe2xuh6vdkpspy63sjmuny.us-east-1.es.amazonaws.com/_plugin/kibana/#/discover/Steve-Slow-Train-Analysis-(2080s-and-2083s)?_g=(refreshInterval:(display:Off,section:0,value:0),time:(from:'2016-09-01 10:25:09-0600',mode:absolute,to:'2016-09-01 13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48" s="113" t="str">
        <f>astrogrep_path&amp;" /spath="&amp;search_path&amp;" /stypes=""*"&amp;S48&amp;"*"&amp;TEXT(A48-utc_offset/24,"YYYYMMDD")&amp;LEFT(TEXT(A48-utc_offset/24,"HH"),1)&amp;"*"" /stext="" "&amp;TEXT(A48-utc_offset/24,"HH")&amp;search_regexp&amp;""" /e /r /s"</f>
        <v>"C:\Program Files (x86)\AstroGrep\AstroGrep.exe" /spath="%USERPROFILE%\AppData\Local\Temp\OnboardLogs" /stypes="*4038*201609011*" /stext=" 18:.+((SYSTEM_STATE.+slice.+state.+changed )|(ment ac)|(system.+state.+changed )|(\|lc)|(penalty)|(\[timeout)|(PRM\|1\|D)|(kpr)|(kdp))" /e /r /s</v>
      </c>
      <c r="S48" s="9" t="str">
        <f>MID(B48,13,4)</f>
        <v>4038</v>
      </c>
      <c r="T48" s="38">
        <f>A48+6/24</f>
        <v>42614.755277777775</v>
      </c>
      <c r="U48" s="52" t="str">
        <f>IF(VALUE(LEFT(IF(LEN(C48)=6,"0"&amp;C48,C48),2))&lt;=2,"EC",IF(OR(VALUE(LEFT(IF(LEN(C48)=6,"0"&amp;C48,C48),2))=8,VALUE(LEFT(IF(LEN(C48)=6,"0"&amp;C48,C48),2))=18),"NW","Other"))</f>
        <v>EC</v>
      </c>
      <c r="V48" s="52" t="str">
        <f>IF(AND(E48="TRACK WARRANT AUTHORITY",G48&lt;10),"OMIT","KEEP")</f>
        <v>KEEP</v>
      </c>
      <c r="W48" s="149" t="str">
        <f>"echo {""issue"":{""subject"":"""&amp;N48&amp;""",""project_id"":79,""tracker_id"":40,""status_id"":"&amp;redmine_status&amp;",""priority_id"":"&amp;redmine_priority&amp;",""assigned_to_id"":"&amp;redmine_assignee&amp;",""start_date"":"""&amp;TEXT(A48,"YYYY-mm-dd")&amp;""",""description"":"""&amp;X48&amp;""",""custom_fields"":[{""id"":1,""name"":""Subdivision"",""value"":"""&amp;U48&amp;"""},{""id"":4,""name"":""Milepost"",""value"":"""&amp;J48/10000&amp;"""},{""id"":17,""name"":""Train ID"",""value"":"""&amp;C48&amp;"""},{""id"":16,""name"":""Locomotive ID"",""value"":"""&amp;S48&amp;"""},{""id"":130,""name"":""Impact"",""value"":"""&amp;Y48&amp;"""},{""id"":150,""name"":""Time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Assigned"",""value"":"""&amp;Z48&amp;"""}]}}"&amp;"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ID","value":"163-01"},{"id":16,"name":"Locomotive ID","value":"4038"},{"id":130,"name":"Impact","value":""},{"id":150,"name":"Time of Event (Mountain Time)","value":"12:07:36"},{"id":151,"name":"Denver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8" s="55"/>
      <c r="Y48" s="55"/>
      <c r="Z48" s="55"/>
    </row>
    <row r="49" spans="1:26" x14ac:dyDescent="0.25">
      <c r="A49" s="38">
        <v>42614.746562499997</v>
      </c>
      <c r="B49" s="33" t="s">
        <v>114</v>
      </c>
      <c r="C49" s="33" t="s">
        <v>512</v>
      </c>
      <c r="D49" s="33" t="s">
        <v>49</v>
      </c>
      <c r="E49" s="33" t="s">
        <v>50</v>
      </c>
      <c r="F49" s="49">
        <v>0</v>
      </c>
      <c r="G49" s="49">
        <v>59</v>
      </c>
      <c r="H49" s="49">
        <v>233234</v>
      </c>
      <c r="I49" s="33" t="s">
        <v>51</v>
      </c>
      <c r="J49" s="49">
        <v>233491</v>
      </c>
      <c r="K49" s="33" t="s">
        <v>52</v>
      </c>
      <c r="L49" s="92" t="str">
        <f>VLOOKUP(C49,'Trips&amp;Operators'!$C$1:$E$9999,3,0)</f>
        <v>KILLION</v>
      </c>
      <c r="M49" s="131" t="s">
        <v>86</v>
      </c>
      <c r="N49" s="10"/>
      <c r="O49" s="33"/>
      <c r="P49" s="108" t="str">
        <f>VLOOKUP(C49,'Train Runs'!$A$13:$AE$10012,31,0)</f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Q49" s="111" t="str">
        <f>VLOOKUP(C49,'Train Runs'!$A$13:$AE$10012,22,0)</f>
        <v>https://search-rtdc-monitor-bjffxe2xuh6vdkpspy63sjmuny.us-east-1.es.amazonaws.com/_plugin/kibana/#/discover/Steve-Slow-Train-Analysis-(2080s-and-2083s)?_g=(refreshInterval:(display:Off,section:0,value:0),time:(from:'2016-09-01 15:52:18-0600',mode:absolute,to:'2016-09-01 18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49" s="113" t="str">
        <f>astrogrep_path&amp;" /spath="&amp;search_path&amp;" /stypes=""*"&amp;S49&amp;"*"&amp;TEXT(A49-utc_offset/24,"YYYYMMDD")&amp;LEFT(TEXT(A49-utc_offset/24,"HH"),1)&amp;"*"" /stext="" "&amp;TEXT(A49-utc_offset/24,"HH")&amp;search_regexp&amp;""" /e /r /s"</f>
        <v>"C:\Program Files (x86)\AstroGrep\AstroGrep.exe" /spath="%USERPROFILE%\AppData\Local\Temp\OnboardLogs" /stypes="*4031*201609012*" /stext=" 23:.+((SYSTEM_STATE.+slice.+state.+changed )|(ment ac)|(system.+state.+changed )|(\|lc)|(penalty)|(\[timeout)|(PRM\|1\|D)|(kpr)|(kdp))" /e /r /s</v>
      </c>
      <c r="S49" s="9" t="str">
        <f>MID(B49,13,4)</f>
        <v>4031</v>
      </c>
      <c r="T49" s="38">
        <f>A49+6/24</f>
        <v>42614.996562499997</v>
      </c>
      <c r="U49" s="52" t="str">
        <f>IF(VALUE(LEFT(IF(LEN(C49)=6,"0"&amp;C49,C49),2))&lt;=2,"EC",IF(OR(VALUE(LEFT(IF(LEN(C49)=6,"0"&amp;C49,C49),2))=8,VALUE(LEFT(IF(LEN(C49)=6,"0"&amp;C49,C49),2))=18),"NW","Other"))</f>
        <v>EC</v>
      </c>
      <c r="V49" s="52" t="str">
        <f>IF(AND(E49="TRACK WARRANT AUTHORITY",G49&lt;10),"OMIT","KEEP")</f>
        <v>KEEP</v>
      </c>
      <c r="W49" s="149" t="str">
        <f>"echo {""issue"":{""subject"":"""&amp;N49&amp;""",""project_id"":79,""tracker_id"":40,""status_id"":"&amp;redmine_status&amp;",""priority_id"":"&amp;redmine_priority&amp;",""assigned_to_id"":"&amp;redmine_assignee&amp;",""start_date"":"""&amp;TEXT(A49,"YYYY-mm-dd")&amp;""",""description"":"""&amp;X49&amp;""",""custom_fields"":[{""id"":1,""name"":""Subdivision"",""value"":"""&amp;U49&amp;"""},{""id"":4,""name"":""Milepost"",""value"":"""&amp;J49/10000&amp;"""},{""id"":17,""name"":""Train ID"",""value"":"""&amp;C49&amp;"""},{""id"":16,""name"":""Locomotive ID"",""value"":"""&amp;S49&amp;"""},{""id"":130,""name"":""Impact"",""value"":"""&amp;Y49&amp;"""},{""id"":150,""name"":""Time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Assigned"",""value"":"""&amp;Z49&amp;"""}]}}"&amp;"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ID","value":"205-01"},{"id":16,"name":"Locomotive ID","value":"4031"},{"id":130,"name":"Impact","value":""},{"id":150,"name":"Time of Event (Mountain Time)","value":"17:55:03"},{"id":151,"name":"Denver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9" s="55"/>
      <c r="Y49" s="55"/>
      <c r="Z49" s="55"/>
    </row>
    <row r="50" spans="1:26" x14ac:dyDescent="0.25">
      <c r="A50" s="38">
        <v>42614.941307870373</v>
      </c>
      <c r="B50" s="33" t="s">
        <v>266</v>
      </c>
      <c r="C50" s="33" t="s">
        <v>554</v>
      </c>
      <c r="D50" s="33" t="s">
        <v>49</v>
      </c>
      <c r="E50" s="33" t="s">
        <v>50</v>
      </c>
      <c r="F50" s="49">
        <v>0</v>
      </c>
      <c r="G50" s="49">
        <v>150</v>
      </c>
      <c r="H50" s="49">
        <v>232842</v>
      </c>
      <c r="I50" s="33" t="s">
        <v>51</v>
      </c>
      <c r="J50" s="49">
        <v>233491</v>
      </c>
      <c r="K50" s="33" t="s">
        <v>52</v>
      </c>
      <c r="L50" s="92" t="str">
        <f>VLOOKUP(C50,'Trips&amp;Operators'!$C$1:$E$9999,3,0)</f>
        <v>STAMBAUGH</v>
      </c>
      <c r="M50" s="131" t="s">
        <v>86</v>
      </c>
      <c r="N50" s="10"/>
      <c r="O50" s="33"/>
      <c r="P50" s="108" t="str">
        <f>VLOOKUP(C50,'Train Runs'!$A$13:$AE$10012,31,0)</f>
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</c>
      <c r="Q50" s="111" t="str">
        <f>VLOOKUP(C50,'Train Runs'!$A$13:$AE$10012,22,0)</f>
        <v>https://search-rtdc-monitor-bjffxe2xuh6vdkpspy63sjmuny.us-east-1.es.amazonaws.com/_plugin/kibana/#/discover/Steve-Slow-Train-Analysis-(2080s-and-2083s)?_g=(refreshInterval:(display:Off,section:0,value:0),time:(from:'2016-09-01 20:50:35-0600',mode:absolute,to:'2016-09-01 23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50" s="113" t="str">
        <f>astrogrep_path&amp;" /spath="&amp;search_path&amp;" /stypes=""*"&amp;S50&amp;"*"&amp;TEXT(A50-utc_offset/24,"YYYYMMDD")&amp;LEFT(TEXT(A50-utc_offset/24,"HH"),1)&amp;"*"" /stext="" "&amp;TEXT(A50-utc_offset/24,"HH")&amp;search_regexp&amp;""" /e /r /s"</f>
        <v>"C:\Program Files (x86)\AstroGrep\AstroGrep.exe" /spath="%USERPROFILE%\AppData\Local\Temp\OnboardLogs" /stypes="*4011*201609020*" /stext=" 04:.+((SYSTEM_STATE.+slice.+state.+changed )|(ment ac)|(system.+state.+changed )|(\|lc)|(penalty)|(\[timeout)|(PRM\|1\|D)|(kpr)|(kdp))" /e /r /s</v>
      </c>
      <c r="S50" s="9" t="str">
        <f>MID(B50,13,4)</f>
        <v>4011</v>
      </c>
      <c r="T50" s="38">
        <f>A50+6/24</f>
        <v>42615.191307870373</v>
      </c>
      <c r="U50" s="52" t="str">
        <f>IF(VALUE(LEFT(IF(LEN(C50)=6,"0"&amp;C50,C50),2))&lt;=2,"EC",IF(OR(VALUE(LEFT(IF(LEN(C50)=6,"0"&amp;C50,C50),2))=8,VALUE(LEFT(IF(LEN(C50)=6,"0"&amp;C50,C50),2))=18),"NW","Other"))</f>
        <v>EC</v>
      </c>
      <c r="V50" s="52" t="str">
        <f>IF(AND(E50="TRACK WARRANT AUTHORITY",G50&lt;10),"OMIT","KEEP")</f>
        <v>KEEP</v>
      </c>
      <c r="W50" s="149" t="str">
        <f>"echo {""issue"":{""subject"":"""&amp;N50&amp;""",""project_id"":79,""tracker_id"":40,""status_id"":"&amp;redmine_status&amp;",""priority_id"":"&amp;redmine_priority&amp;",""assigned_to_id"":"&amp;redmine_assignee&amp;",""start_date"":"""&amp;TEXT(A50,"YYYY-mm-dd")&amp;""",""description"":"""&amp;X50&amp;""",""custom_fields"":[{""id"":1,""name"":""Subdivision"",""value"":"""&amp;U50&amp;"""},{""id"":4,""name"":""Milepost"",""value"":"""&amp;J50/10000&amp;"""},{""id"":17,""name"":""Train ID"",""value"":"""&amp;C50&amp;"""},{""id"":16,""name"":""Locomotive ID"",""value"":"""&amp;S50&amp;"""},{""id"":130,""name"":""Impact"",""value"":"""&amp;Y50&amp;"""},{""id"":150,""name"":""Time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Assigned"",""value"":"""&amp;Z50&amp;"""}]}}"&amp;"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ID","value":"233-01"},{"id":16,"name":"Locomotive ID","value":"4011"},{"id":130,"name":"Impact","value":""},{"id":150,"name":"Time of Event (Mountain Time)","value":"22:35:29"},{"id":151,"name":"Denver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0" s="55"/>
      <c r="Y50" s="55"/>
      <c r="Z50" s="55"/>
    </row>
    <row r="51" spans="1:26" x14ac:dyDescent="0.25">
      <c r="A51" s="38">
        <v>42614.347905092596</v>
      </c>
      <c r="B51" s="33" t="s">
        <v>169</v>
      </c>
      <c r="C51" s="33" t="s">
        <v>627</v>
      </c>
      <c r="D51" s="33" t="s">
        <v>49</v>
      </c>
      <c r="E51" s="33" t="s">
        <v>239</v>
      </c>
      <c r="F51" s="49">
        <v>280</v>
      </c>
      <c r="G51" s="49">
        <v>480</v>
      </c>
      <c r="H51" s="49">
        <v>17160</v>
      </c>
      <c r="I51" s="33" t="s">
        <v>238</v>
      </c>
      <c r="J51" s="49">
        <v>15777</v>
      </c>
      <c r="K51" s="33" t="s">
        <v>53</v>
      </c>
      <c r="L51" s="92" t="str">
        <f>VLOOKUP(C51,'Trips&amp;Operators'!$C$1:$E$9999,3,0)</f>
        <v>YORK</v>
      </c>
      <c r="M51" s="131" t="s">
        <v>86</v>
      </c>
      <c r="N51" s="10" t="s">
        <v>262</v>
      </c>
      <c r="O51" s="33"/>
      <c r="P51" s="108" t="str">
        <f>VLOOKUP(C51,'Train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51" s="111" t="str">
        <f>VLOOKUP(C51,'Train Runs'!$A$13:$AE$10012,22,0)</f>
        <v>https://search-rtdc-monitor-bjffxe2xuh6vdkpspy63sjmuny.us-east-1.es.amazonaws.com/_plugin/kibana/#/discover/Steve-Slow-Train-Analysis-(2080s-and-2083s)?_g=(refreshInterval:(display:Off,section:0,value:0),time:(from:'2016-09-01 07:06:10-0600',mode:absolute,to:'2016-09-01 09:26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51" s="113" t="str">
        <f>astrogrep_path&amp;" /spath="&amp;search_path&amp;" /stypes=""*"&amp;S51&amp;"*"&amp;TEXT(A51-utc_offset/24,"YYYYMMDD")&amp;LEFT(TEXT(A51-utc_offset/24,"HH"),1)&amp;"*"" /stext="" "&amp;TEXT(A51-utc_offset/24,"HH")&amp;search_regexp&amp;""" /e /r /s"</f>
        <v>"C:\Program Files (x86)\AstroGrep\AstroGrep.exe" /spath="%USERPROFILE%\AppData\Local\Temp\OnboardLogs" /stypes="*4010*201609011*" /stext=" 14:.+((SYSTEM_STATE.+slice.+state.+changed )|(ment ac)|(system.+state.+changed )|(\|lc)|(penalty)|(\[timeout)|(PRM\|1\|D)|(kpr)|(kdp))" /e /r /s</v>
      </c>
      <c r="S51" s="9" t="str">
        <f>MID(B51,13,4)</f>
        <v>4010</v>
      </c>
      <c r="T51" s="38">
        <f>A51+6/24</f>
        <v>42614.597905092596</v>
      </c>
      <c r="U51" s="52" t="str">
        <f>IF(VALUE(LEFT(IF(LEN(C51)=6,"0"&amp;C51,C51),2))&lt;=2,"EC",IF(OR(VALUE(LEFT(IF(LEN(C51)=6,"0"&amp;C51,C51),2))=8,VALUE(LEFT(IF(LEN(C51)=6,"0"&amp;C51,C51),2))=18),"NW","Other"))</f>
        <v>NW</v>
      </c>
      <c r="V51" s="52" t="str">
        <f>IF(AND(E51="TRACK WARRANT AUTHORITY",G51&lt;10),"OMIT","KEEP")</f>
        <v>KEEP</v>
      </c>
      <c r="W51" s="149" t="str">
        <f>"echo {""issue"":{""subject"":"""&amp;N51&amp;""",""project_id"":79,""tracker_id"":40,""status_id"":"&amp;redmine_status&amp;",""priority_id"":"&amp;redmine_priority&amp;",""assigned_to_id"":"&amp;redmine_assignee&amp;",""start_date"":"""&amp;TEXT(A51,"YYYY-mm-dd")&amp;""",""description"":"""&amp;X51&amp;""",""custom_fields"":[{""id"":1,""name"":""Subdivision"",""value"":"""&amp;U51&amp;"""},{""id"":4,""name"":""Milepost"",""value"":"""&amp;J51/10000&amp;"""},{""id"":17,""name"":""Train ID"",""value"":"""&amp;C51&amp;"""},{""id"":16,""name"":""Locomotive ID"",""value"":"""&amp;S51&amp;"""},{""id"":130,""name"":""Impact"",""value"":"""&amp;Y51&amp;"""},{""id"":150,""name"":""Time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Assigned"",""value"":"""&amp;Z51&amp;"""}]}}"&amp;"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arrival","project_id":79,"tracker_id":40,"status_id":1,"priority_id":2,"assigned_to_id":23,"start_date":"2016-09-01","description":"","custom_fields":[{"id":1,"name":"Subdivision","value":"NW"},{"id":4,"name":"Milepost","value":"1.5777"},{"id":17,"name":"Train ID","value":"810-01"},{"id":16,"name":"Locomotive ID","value":"4010"},{"id":130,"name":"Impact","value":""},{"id":150,"name":"Time of Event (Mountain Time)","value":"08:20:59"},{"id":151,"name":"Denver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1" s="55"/>
      <c r="Y51" s="55"/>
      <c r="Z51" s="55"/>
    </row>
    <row r="52" spans="1:26" x14ac:dyDescent="0.25">
      <c r="A52" s="38">
        <v>42614.261481481481</v>
      </c>
      <c r="B52" s="33" t="s">
        <v>169</v>
      </c>
      <c r="C52" s="33" t="s">
        <v>608</v>
      </c>
      <c r="D52" s="33" t="s">
        <v>111</v>
      </c>
      <c r="E52" s="33" t="s">
        <v>56</v>
      </c>
      <c r="F52" s="49">
        <v>400</v>
      </c>
      <c r="G52" s="49">
        <v>453</v>
      </c>
      <c r="H52" s="49">
        <v>39100</v>
      </c>
      <c r="I52" s="33" t="s">
        <v>57</v>
      </c>
      <c r="J52" s="49">
        <v>40977</v>
      </c>
      <c r="K52" s="33" t="s">
        <v>53</v>
      </c>
      <c r="L52" s="92" t="str">
        <f>VLOOKUP(C52,'Trips&amp;Operators'!$C$1:$E$9999,3,0)</f>
        <v>YORK</v>
      </c>
      <c r="M52" s="131" t="s">
        <v>86</v>
      </c>
      <c r="N52" s="10"/>
      <c r="O52" s="33"/>
      <c r="P52" s="108" t="str">
        <f>VLOOKUP(C52,'Train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52" s="111" t="str">
        <f>VLOOKUP(C52,'Train Runs'!$A$13:$AE$10012,22,0)</f>
        <v>https://search-rtdc-monitor-bjffxe2xuh6vdkpspy63sjmuny.us-east-1.es.amazonaws.com/_plugin/kibana/#/discover/Steve-Slow-Train-Analysis-(2080s-and-2083s)?_g=(refreshInterval:(display:Off,section:0,value:0),time:(from:'2016-09-01 05:05:59-0600',mode:absolute,to:'2016-09-01 07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52" s="113" t="str">
        <f>astrogrep_path&amp;" /spath="&amp;search_path&amp;" /stypes=""*"&amp;S52&amp;"*"&amp;TEXT(A52-utc_offset/24,"YYYYMMDD")&amp;LEFT(TEXT(A52-utc_offset/24,"HH"),1)&amp;"*"" /stext="" "&amp;TEXT(A52-utc_offset/24,"HH")&amp;search_regexp&amp;""" /e /r /s"</f>
        <v>"C:\Program Files (x86)\AstroGrep\AstroGrep.exe" /spath="%USERPROFILE%\AppData\Local\Temp\OnboardLogs" /stypes="*4010*201609011*" /stext=" 12:.+((SYSTEM_STATE.+slice.+state.+changed )|(ment ac)|(system.+state.+changed )|(\|lc)|(penalty)|(\[timeout)|(PRM\|1\|D)|(kpr)|(kdp))" /e /r /s</v>
      </c>
      <c r="S52" s="9" t="str">
        <f>MID(B52,13,4)</f>
        <v>4010</v>
      </c>
      <c r="T52" s="38">
        <f>A52+6/24</f>
        <v>42614.511481481481</v>
      </c>
      <c r="U52" s="52" t="str">
        <f>IF(VALUE(LEFT(IF(LEN(C52)=6,"0"&amp;C52,C52),2))&lt;=2,"EC",IF(OR(VALUE(LEFT(IF(LEN(C52)=6,"0"&amp;C52,C52),2))=8,VALUE(LEFT(IF(LEN(C52)=6,"0"&amp;C52,C52),2))=18),"NW","Other"))</f>
        <v>NW</v>
      </c>
      <c r="V52" s="52" t="str">
        <f>IF(AND(E52="TRACK WARRANT AUTHORITY",G52&lt;10),"OMIT","KEEP")</f>
        <v>KEEP</v>
      </c>
      <c r="W52" s="149" t="str">
        <f>"echo {""issue"":{""subject"":"""&amp;N52&amp;""",""project_id"":79,""tracker_id"":40,""status_id"":"&amp;redmine_status&amp;",""priority_id"":"&amp;redmine_priority&amp;",""assigned_to_id"":"&amp;redmine_assignee&amp;",""start_date"":"""&amp;TEXT(A52,"YYYY-mm-dd")&amp;""",""description"":"""&amp;X52&amp;""",""custom_fields"":[{""id"":1,""name"":""Subdivision"",""value"":"""&amp;U52&amp;"""},{""id"":4,""name"":""Milepost"",""value"":"""&amp;J52/10000&amp;"""},{""id"":17,""name"":""Train ID"",""value"":"""&amp;C52&amp;"""},{""id"":16,""name"":""Locomotive ID"",""value"":"""&amp;S52&amp;"""},{""id"":130,""name"":""Impact"",""value"":"""&amp;Y52&amp;"""},{""id"":150,""name"":""Time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Assigned"",""value"":"""&amp;Z52&amp;"""}]}}"&amp;"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{"issue":{"subject":"","project_id":79,"tracker_id":40,"status_id":1,"priority_id":2,"assigned_to_id":23,"start_date":"2016-09-01","description":"","custom_fields":[{"id":1,"name":"Subdivision","value":"NW"},{"id":4,"name":"Milepost","value":"4.0977"},{"id":17,"name":"Train ID","value":"802-01"},{"id":16,"name":"Locomotive ID","value":"4010"},{"id":130,"name":"Impact","value":""},{"id":150,"name":"Time of Event (Mountain Time)","value":"06:16:32"},{"id":151,"name":"Denver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2" s="55"/>
      <c r="Y52" s="55"/>
      <c r="Z52" s="55"/>
    </row>
    <row r="53" spans="1:26" x14ac:dyDescent="0.25">
      <c r="A53" s="38">
        <v>42614.605740740742</v>
      </c>
      <c r="B53" s="33" t="s">
        <v>112</v>
      </c>
      <c r="C53" s="33" t="s">
        <v>653</v>
      </c>
      <c r="D53" s="33" t="s">
        <v>49</v>
      </c>
      <c r="E53" s="33" t="s">
        <v>56</v>
      </c>
      <c r="F53" s="49">
        <v>400</v>
      </c>
      <c r="G53" s="49">
        <v>451</v>
      </c>
      <c r="H53" s="49">
        <v>47727</v>
      </c>
      <c r="I53" s="33" t="s">
        <v>57</v>
      </c>
      <c r="J53" s="49">
        <v>47808</v>
      </c>
      <c r="K53" s="33" t="s">
        <v>52</v>
      </c>
      <c r="L53" s="92" t="str">
        <f>VLOOKUP(C53,'Trips&amp;Operators'!$C$1:$E$9999,3,0)</f>
        <v>MAHAN</v>
      </c>
      <c r="M53" s="131" t="s">
        <v>86</v>
      </c>
      <c r="N53" s="10"/>
      <c r="O53" s="33"/>
      <c r="P53" s="108" t="str">
        <f>VLOOKUP(C53,'Train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53" s="111" t="str">
        <f>VLOOKUP(C53,'Train Runs'!$A$13:$AE$10012,22,0)</f>
        <v>https://search-rtdc-monitor-bjffxe2xuh6vdkpspy63sjmuny.us-east-1.es.amazonaws.com/_plugin/kibana/#/discover/Steve-Slow-Train-Analysis-(2080s-and-2083s)?_g=(refreshInterval:(display:Off,section:0,value:0),time:(from:'2016-09-01 13:14:48-0600',mode:absolute,to:'2016-09-01 15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3" s="113" t="str">
        <f>astrogrep_path&amp;" /spath="&amp;search_path&amp;" /stypes=""*"&amp;S53&amp;"*"&amp;TEXT(A53-utc_offset/24,"YYYYMMDD")&amp;LEFT(TEXT(A53-utc_offset/24,"HH"),1)&amp;"*"" /stext="" "&amp;TEXT(A53-utc_offset/24,"HH")&amp;search_regexp&amp;""" /e /r /s"</f>
        <v>"C:\Program Files (x86)\AstroGrep\AstroGrep.exe" /spath="%USERPROFILE%\AppData\Local\Temp\OnboardLogs" /stypes="*4014*201609012*" /stext=" 20:.+((SYSTEM_STATE.+slice.+state.+changed )|(ment ac)|(system.+state.+changed )|(\|lc)|(penalty)|(\[timeout)|(PRM\|1\|D)|(kpr)|(kdp))" /e /r /s</v>
      </c>
      <c r="S53" s="9" t="str">
        <f>MID(B53,13,4)</f>
        <v>4014</v>
      </c>
      <c r="T53" s="38">
        <f>A53+6/24</f>
        <v>42614.855740740742</v>
      </c>
      <c r="U53" s="52" t="str">
        <f>IF(VALUE(LEFT(IF(LEN(C53)=6,"0"&amp;C53,C53),2))&lt;=2,"EC",IF(OR(VALUE(LEFT(IF(LEN(C53)=6,"0"&amp;C53,C53),2))=8,VALUE(LEFT(IF(LEN(C53)=6,"0"&amp;C53,C53),2))=18),"NW","Other"))</f>
        <v>NW</v>
      </c>
      <c r="V53" s="52" t="str">
        <f>IF(AND(E53="TRACK WARRANT AUTHORITY",G53&lt;10),"OMIT","KEEP")</f>
        <v>KEEP</v>
      </c>
      <c r="W53" s="149" t="str">
        <f>"echo {""issue"":{""subject"":"""&amp;N53&amp;""",""project_id"":79,""tracker_id"":40,""status_id"":"&amp;redmine_status&amp;",""priority_id"":"&amp;redmine_priority&amp;",""assigned_to_id"":"&amp;redmine_assignee&amp;",""start_date"":"""&amp;TEXT(A53,"YYYY-mm-dd")&amp;""",""description"":"""&amp;X53&amp;""",""custom_fields"":[{""id"":1,""name"":""Subdivision"",""value"":"""&amp;U53&amp;"""},{""id"":4,""name"":""Milepost"",""value"":"""&amp;J53/10000&amp;"""},{""id"":17,""name"":""Train ID"",""value"":"""&amp;C53&amp;"""},{""id"":16,""name"":""Locomotive ID"",""value"":"""&amp;S53&amp;"""},{""id"":130,""name"":""Impact"",""value"":"""&amp;Y53&amp;"""},{""id"":150,""name"":""Time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Assigned"",""value"":"""&amp;Z53&amp;"""}]}}"&amp;"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{"issue":{"subject":"","project_id":79,"tracker_id":40,"status_id":1,"priority_id":2,"assigned_to_id":23,"start_date":"2016-09-01","description":"","custom_fields":[{"id":1,"name":"Subdivision","value":"NW"},{"id":4,"name":"Milepost","value":"4.7808"},{"id":17,"name":"Train ID","value":"823-01"},{"id":16,"name":"Locomotive ID","value":"4014"},{"id":130,"name":"Impact","value":""},{"id":150,"name":"Time of Event (Mountain Time)","value":"14:32:16"},{"id":151,"name":"Denver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3" s="55"/>
      <c r="Y53" s="55"/>
      <c r="Z53" s="55"/>
    </row>
    <row r="54" spans="1:26" x14ac:dyDescent="0.25">
      <c r="A54" s="38">
        <v>42614.43886574074</v>
      </c>
      <c r="B54" s="33" t="s">
        <v>112</v>
      </c>
      <c r="C54" s="33" t="s">
        <v>639</v>
      </c>
      <c r="D54" s="33" t="s">
        <v>49</v>
      </c>
      <c r="E54" s="33" t="s">
        <v>56</v>
      </c>
      <c r="F54" s="49">
        <v>150</v>
      </c>
      <c r="G54" s="49">
        <v>340</v>
      </c>
      <c r="H54" s="49">
        <v>56038</v>
      </c>
      <c r="I54" s="33" t="s">
        <v>57</v>
      </c>
      <c r="J54" s="49">
        <v>57008</v>
      </c>
      <c r="K54" s="33" t="s">
        <v>52</v>
      </c>
      <c r="L54" s="92" t="str">
        <f>VLOOKUP(C54,'Trips&amp;Operators'!$C$1:$E$9999,3,0)</f>
        <v>GEBRETEKLE</v>
      </c>
      <c r="M54" s="131" t="s">
        <v>86</v>
      </c>
      <c r="N54" s="10"/>
      <c r="O54" s="33"/>
      <c r="P54" s="108" t="str">
        <f>VLOOKUP(C54,'Train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54" s="111" t="str">
        <f>VLOOKUP(C54,'Train Runs'!$A$13:$AE$10012,22,0)</f>
        <v>https://search-rtdc-monitor-bjffxe2xuh6vdkpspy63sjmuny.us-east-1.es.amazonaws.com/_plugin/kibana/#/discover/Steve-Slow-Train-Analysis-(2080s-and-2083s)?_g=(refreshInterval:(display:Off,section:0,value:0),time:(from:'2016-09-01 09:18:06-0600',mode:absolute,to:'2016-09-01 11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4" s="113" t="str">
        <f>astrogrep_path&amp;" /spath="&amp;search_path&amp;" /stypes=""*"&amp;S54&amp;"*"&amp;TEXT(A54-utc_offset/24,"YYYYMMDD")&amp;LEFT(TEXT(A54-utc_offset/24,"HH"),1)&amp;"*"" /stext="" "&amp;TEXT(A54-utc_offset/24,"HH")&amp;search_regexp&amp;""" /e /r /s"</f>
        <v>"C:\Program Files (x86)\AstroGrep\AstroGrep.exe" /spath="%USERPROFILE%\AppData\Local\Temp\OnboardLogs" /stypes="*4014*201609011*" /stext=" 16:.+((SYSTEM_STATE.+slice.+state.+changed )|(ment ac)|(system.+state.+changed )|(\|lc)|(penalty)|(\[timeout)|(PRM\|1\|D)|(kpr)|(kdp))" /e /r /s</v>
      </c>
      <c r="S54" s="9" t="str">
        <f>MID(B54,13,4)</f>
        <v>4014</v>
      </c>
      <c r="T54" s="38">
        <f>A54+6/24</f>
        <v>42614.68886574074</v>
      </c>
      <c r="U54" s="52" t="str">
        <f>IF(VALUE(LEFT(IF(LEN(C54)=6,"0"&amp;C54,C54),2))&lt;=2,"EC",IF(OR(VALUE(LEFT(IF(LEN(C54)=6,"0"&amp;C54,C54),2))=8,VALUE(LEFT(IF(LEN(C54)=6,"0"&amp;C54,C54),2))=18),"NW","Other"))</f>
        <v>NW</v>
      </c>
      <c r="V54" s="52" t="str">
        <f>IF(AND(E54="TRACK WARRANT AUTHORITY",G54&lt;10),"OMIT","KEEP")</f>
        <v>KEEP</v>
      </c>
      <c r="W54" s="149" t="str">
        <f>"echo {""issue"":{""subject"":"""&amp;N54&amp;""",""project_id"":79,""tracker_id"":40,""status_id"":"&amp;redmine_status&amp;",""priority_id"":"&amp;redmine_priority&amp;",""assigned_to_id"":"&amp;redmine_assignee&amp;",""start_date"":"""&amp;TEXT(A54,"YYYY-mm-dd")&amp;""",""description"":"""&amp;X54&amp;""",""custom_fields"":[{""id"":1,""name"":""Subdivision"",""value"":"""&amp;U54&amp;"""},{""id"":4,""name"":""Milepost"",""value"":"""&amp;J54/10000&amp;"""},{""id"":17,""name"":""Train ID"",""value"":"""&amp;C54&amp;"""},{""id"":16,""name"":""Locomotive ID"",""value"":"""&amp;S54&amp;"""},{""id"":130,""name"":""Impact"",""value"":"""&amp;Y54&amp;"""},{""id"":150,""name"":""Time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Assigned"",""value"":"""&amp;Z54&amp;"""}]}}"&amp;"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ID","value":"815-01"},{"id":16,"name":"Locomotive ID","value":"4014"},{"id":130,"name":"Impact","value":""},{"id":150,"name":"Time of Event (Mountain Time)","value":"10:31:58"},{"id":151,"name":"Denver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4" s="55"/>
      <c r="Y54" s="55"/>
      <c r="Z54" s="55"/>
    </row>
    <row r="55" spans="1:26" x14ac:dyDescent="0.25">
      <c r="A55" s="38">
        <v>42614.48097222222</v>
      </c>
      <c r="B55" s="33" t="s">
        <v>112</v>
      </c>
      <c r="C55" s="33" t="s">
        <v>641</v>
      </c>
      <c r="D55" s="33" t="s">
        <v>49</v>
      </c>
      <c r="E55" s="33" t="s">
        <v>56</v>
      </c>
      <c r="F55" s="49">
        <v>150</v>
      </c>
      <c r="G55" s="49">
        <v>322</v>
      </c>
      <c r="H55" s="49">
        <v>56145</v>
      </c>
      <c r="I55" s="33" t="s">
        <v>57</v>
      </c>
      <c r="J55" s="49">
        <v>57008</v>
      </c>
      <c r="K55" s="33" t="s">
        <v>52</v>
      </c>
      <c r="L55" s="92" t="str">
        <f>VLOOKUP(C55,'Trips&amp;Operators'!$C$1:$E$9999,3,0)</f>
        <v>GEBRETEKLE</v>
      </c>
      <c r="M55" s="131" t="s">
        <v>86</v>
      </c>
      <c r="N55" s="10"/>
      <c r="O55" s="33"/>
      <c r="P55" s="108" t="str">
        <f>VLOOKUP(C55,'Train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55" s="111" t="str">
        <f>VLOOKUP(C55,'Train Runs'!$A$13:$AE$10012,22,0)</f>
        <v>https://search-rtdc-monitor-bjffxe2xuh6vdkpspy63sjmuny.us-east-1.es.amazonaws.com/_plugin/kibana/#/discover/Steve-Slow-Train-Analysis-(2080s-and-2083s)?_g=(refreshInterval:(display:Off,section:0,value:0),time:(from:'2016-09-01 10:18:12-0600',mode:absolute,to:'2016-09-01 12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5" s="113" t="str">
        <f>astrogrep_path&amp;" /spath="&amp;search_path&amp;" /stypes=""*"&amp;S55&amp;"*"&amp;TEXT(A55-utc_offset/24,"YYYYMMDD")&amp;LEFT(TEXT(A55-utc_offset/24,"HH"),1)&amp;"*"" /stext="" "&amp;TEXT(A55-utc_offset/24,"HH")&amp;search_regexp&amp;""" /e /r /s"</f>
        <v>"C:\Program Files (x86)\AstroGrep\AstroGrep.exe" /spath="%USERPROFILE%\AppData\Local\Temp\OnboardLogs" /stypes="*4014*201609011*" /stext=" 17:.+((SYSTEM_STATE.+slice.+state.+changed )|(ment ac)|(system.+state.+changed )|(\|lc)|(penalty)|(\[timeout)|(PRM\|1\|D)|(kpr)|(kdp))" /e /r /s</v>
      </c>
      <c r="S55" s="9" t="str">
        <f>MID(B55,13,4)</f>
        <v>4014</v>
      </c>
      <c r="T55" s="38">
        <f>A55+6/24</f>
        <v>42614.73097222222</v>
      </c>
      <c r="U55" s="52" t="str">
        <f>IF(VALUE(LEFT(IF(LEN(C55)=6,"0"&amp;C55,C55),2))&lt;=2,"EC",IF(OR(VALUE(LEFT(IF(LEN(C55)=6,"0"&amp;C55,C55),2))=8,VALUE(LEFT(IF(LEN(C55)=6,"0"&amp;C55,C55),2))=18),"NW","Other"))</f>
        <v>NW</v>
      </c>
      <c r="V55" s="52" t="str">
        <f>IF(AND(E55="TRACK WARRANT AUTHORITY",G55&lt;10),"OMIT","KEEP")</f>
        <v>KEEP</v>
      </c>
      <c r="W55" s="149" t="str">
        <f>"echo {""issue"":{""subject"":"""&amp;N55&amp;""",""project_id"":79,""tracker_id"":40,""status_id"":"&amp;redmine_status&amp;",""priority_id"":"&amp;redmine_priority&amp;",""assigned_to_id"":"&amp;redmine_assignee&amp;",""start_date"":"""&amp;TEXT(A55,"YYYY-mm-dd")&amp;""",""description"":"""&amp;X55&amp;""",""custom_fields"":[{""id"":1,""name"":""Subdivision"",""value"":"""&amp;U55&amp;"""},{""id"":4,""name"":""Milepost"",""value"":"""&amp;J55/10000&amp;"""},{""id"":17,""name"":""Train ID"",""value"":"""&amp;C55&amp;"""},{""id"":16,""name"":""Locomotive ID"",""value"":"""&amp;S55&amp;"""},{""id"":130,""name"":""Impact"",""value"":"""&amp;Y55&amp;"""},{""id"":150,""name"":""Time of Event (Mountain Time)"",""value"":"""&amp;TEXT(A55,"hh:mm:ss")&amp;"""},{""id"":151,""name"":""Denver Issue ID"",""value"":"""&amp;"""},{""id"":178,""name"":""Operational Impact"",""value"":"""&amp;redmine_op_impact&amp;"""},{""id"":179,""name"":""Denver Segment Assigned"",""value"":"""&amp;Z55&amp;"""}]}}"&amp;"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ID","value":"817-01"},{"id":16,"name":"Locomotive ID","value":"4014"},{"id":130,"name":"Impact","value":""},{"id":150,"name":"Time of Event (Mountain Time)","value":"11:32:36"},{"id":151,"name":"Denver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5" s="55"/>
      <c r="Y55" s="55"/>
      <c r="Z55" s="55"/>
    </row>
    <row r="56" spans="1:26" x14ac:dyDescent="0.25">
      <c r="A56" s="38">
        <v>42614.565034722225</v>
      </c>
      <c r="B56" s="33" t="s">
        <v>112</v>
      </c>
      <c r="C56" s="33" t="s">
        <v>648</v>
      </c>
      <c r="D56" s="33" t="s">
        <v>49</v>
      </c>
      <c r="E56" s="33" t="s">
        <v>56</v>
      </c>
      <c r="F56" s="49">
        <v>150</v>
      </c>
      <c r="G56" s="49">
        <v>310</v>
      </c>
      <c r="H56" s="49">
        <v>56255</v>
      </c>
      <c r="I56" s="33" t="s">
        <v>57</v>
      </c>
      <c r="J56" s="49">
        <v>57008</v>
      </c>
      <c r="K56" s="33" t="s">
        <v>52</v>
      </c>
      <c r="L56" s="92" t="str">
        <f>VLOOKUP(C56,'Trips&amp;Operators'!$C$1:$E$9999,3,0)</f>
        <v>MAHAN</v>
      </c>
      <c r="M56" s="131" t="s">
        <v>86</v>
      </c>
      <c r="N56" s="10"/>
      <c r="O56" s="33"/>
      <c r="P56" s="108" t="str">
        <f>VLOOKUP(C56,'Train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56" s="111" t="str">
        <f>VLOOKUP(C56,'Train Runs'!$A$13:$AE$10012,22,0)</f>
        <v>https://search-rtdc-monitor-bjffxe2xuh6vdkpspy63sjmuny.us-east-1.es.amazonaws.com/_plugin/kibana/#/discover/Steve-Slow-Train-Analysis-(2080s-and-2083s)?_g=(refreshInterval:(display:Off,section:0,value:0),time:(from:'2016-09-01 12:15:34-0600',mode:absolute,to:'2016-09-01 14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6" s="113" t="str">
        <f>astrogrep_path&amp;" /spath="&amp;search_path&amp;" /stypes=""*"&amp;S56&amp;"*"&amp;TEXT(A56-utc_offset/24,"YYYYMMDD")&amp;LEFT(TEXT(A56-utc_offset/24,"HH"),1)&amp;"*"" /stext="" "&amp;TEXT(A56-utc_offset/24,"HH")&amp;search_regexp&amp;""" /e /r /s"</f>
        <v>"C:\Program Files (x86)\AstroGrep\AstroGrep.exe" /spath="%USERPROFILE%\AppData\Local\Temp\OnboardLogs" /stypes="*4014*201609011*" /stext=" 19:.+((SYSTEM_STATE.+slice.+state.+changed )|(ment ac)|(system.+state.+changed )|(\|lc)|(penalty)|(\[timeout)|(PRM\|1\|D)|(kpr)|(kdp))" /e /r /s</v>
      </c>
      <c r="S56" s="9" t="str">
        <f>MID(B56,13,4)</f>
        <v>4014</v>
      </c>
      <c r="T56" s="38">
        <f>A56+6/24</f>
        <v>42614.815034722225</v>
      </c>
      <c r="U56" s="52" t="str">
        <f>IF(VALUE(LEFT(IF(LEN(C56)=6,"0"&amp;C56,C56),2))&lt;=2,"EC",IF(OR(VALUE(LEFT(IF(LEN(C56)=6,"0"&amp;C56,C56),2))=8,VALUE(LEFT(IF(LEN(C56)=6,"0"&amp;C56,C56),2))=18),"NW","Other"))</f>
        <v>NW</v>
      </c>
      <c r="V56" s="52" t="str">
        <f>IF(AND(E56="TRACK WARRANT AUTHORITY",G56&lt;10),"OMIT","KEEP")</f>
        <v>KEEP</v>
      </c>
      <c r="W56" s="149" t="str">
        <f>"echo {""issue"":{""subject"":"""&amp;N56&amp;""",""project_id"":79,""tracker_id"":40,""status_id"":"&amp;redmine_status&amp;",""priority_id"":"&amp;redmine_priority&amp;",""assigned_to_id"":"&amp;redmine_assignee&amp;",""start_date"":"""&amp;TEXT(A56,"YYYY-mm-dd")&amp;""",""description"":"""&amp;X56&amp;""",""custom_fields"":[{""id"":1,""name"":""Subdivision"",""value"":"""&amp;U56&amp;"""},{""id"":4,""name"":""Milepost"",""value"":"""&amp;J56/10000&amp;"""},{""id"":17,""name"":""Train ID"",""value"":"""&amp;C56&amp;"""},{""id"":16,""name"":""Locomotive ID"",""value"":"""&amp;S56&amp;"""},{""id"":130,""name"":""Impact"",""value"":"""&amp;Y56&amp;"""},{""id"":150,""name"":""Time of Event (Mountain Time)"",""value"":"""&amp;TEXT(A56,"hh:mm:ss")&amp;"""},{""id"":151,""name"":""Denver Issue ID"",""value"":"""&amp;"""},{""id"":178,""name"":""Operational Impact"",""value"":"""&amp;redmine_op_impact&amp;"""},{""id"":179,""name"":""Denver Segment Assigned"",""value"":"""&amp;Z56&amp;"""}]}}"&amp;"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ID","value":"821-01"},{"id":16,"name":"Locomotive ID","value":"4014"},{"id":130,"name":"Impact","value":""},{"id":150,"name":"Time of Event (Mountain Time)","value":"13:33:39"},{"id":151,"name":"Denver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6" s="55"/>
      <c r="Y56" s="55"/>
      <c r="Z56" s="55"/>
    </row>
    <row r="57" spans="1:26" x14ac:dyDescent="0.25">
      <c r="A57" s="38">
        <v>42614.667685185188</v>
      </c>
      <c r="B57" s="33" t="s">
        <v>168</v>
      </c>
      <c r="C57" s="33" t="s">
        <v>662</v>
      </c>
      <c r="D57" s="33" t="s">
        <v>49</v>
      </c>
      <c r="E57" s="33" t="s">
        <v>56</v>
      </c>
      <c r="F57" s="49">
        <v>150</v>
      </c>
      <c r="G57" s="49">
        <v>338</v>
      </c>
      <c r="H57" s="49">
        <v>56196</v>
      </c>
      <c r="I57" s="33" t="s">
        <v>57</v>
      </c>
      <c r="J57" s="49">
        <v>57008</v>
      </c>
      <c r="K57" s="33" t="s">
        <v>52</v>
      </c>
      <c r="L57" s="92" t="str">
        <f>VLOOKUP(C57,'Trips&amp;Operators'!$C$1:$E$9999,3,0)</f>
        <v>YANAI</v>
      </c>
      <c r="M57" s="131" t="s">
        <v>86</v>
      </c>
      <c r="N57" s="10"/>
      <c r="O57" s="33"/>
      <c r="P57" s="108" t="str">
        <f>VLOOKUP(C57,'Train Runs'!$A$13:$AE$10012,31,0)</f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Q57" s="111" t="str">
        <f>VLOOKUP(C57,'Train Runs'!$A$13:$AE$10012,22,0)</f>
        <v>https://search-rtdc-monitor-bjffxe2xuh6vdkpspy63sjmuny.us-east-1.es.amazonaws.com/_plugin/kibana/#/discover/Steve-Slow-Train-Analysis-(2080s-and-2083s)?_g=(refreshInterval:(display:Off,section:0,value:0),time:(from:'2016-09-01 14:44:52-0600',mode:absolute,to:'2016-09-01 17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57" s="113" t="str">
        <f>astrogrep_path&amp;" /spath="&amp;search_path&amp;" /stypes=""*"&amp;S57&amp;"*"&amp;TEXT(A57-utc_offset/24,"YYYYMMDD")&amp;LEFT(TEXT(A57-utc_offset/24,"HH"),1)&amp;"*"" /stext="" "&amp;TEXT(A57-utc_offset/24,"HH")&amp;search_regexp&amp;""" /e /r /s"</f>
        <v>"C:\Program Files (x86)\AstroGrep\AstroGrep.exe" /spath="%USERPROFILE%\AppData\Local\Temp\OnboardLogs" /stypes="*4009*201609012*" /stext=" 22:.+((SYSTEM_STATE.+slice.+state.+changed )|(ment ac)|(system.+state.+changed )|(\|lc)|(penalty)|(\[timeout)|(PRM\|1\|D)|(kpr)|(kdp))" /e /r /s</v>
      </c>
      <c r="S57" s="9" t="str">
        <f>MID(B57,13,4)</f>
        <v>4009</v>
      </c>
      <c r="T57" s="38">
        <f>A57+6/24</f>
        <v>42614.917685185188</v>
      </c>
      <c r="U57" s="52" t="str">
        <f>IF(VALUE(LEFT(IF(LEN(C57)=6,"0"&amp;C57,C57),2))&lt;=2,"EC",IF(OR(VALUE(LEFT(IF(LEN(C57)=6,"0"&amp;C57,C57),2))=8,VALUE(LEFT(IF(LEN(C57)=6,"0"&amp;C57,C57),2))=18),"NW","Other"))</f>
        <v>NW</v>
      </c>
      <c r="V57" s="52" t="str">
        <f>IF(AND(E57="TRACK WARRANT AUTHORITY",G57&lt;10),"OMIT","KEEP")</f>
        <v>KEEP</v>
      </c>
      <c r="W57" s="149" t="str">
        <f>"echo {""issue"":{""subject"":"""&amp;N57&amp;""",""project_id"":79,""tracker_id"":40,""status_id"":"&amp;redmine_status&amp;",""priority_id"":"&amp;redmine_priority&amp;",""assigned_to_id"":"&amp;redmine_assignee&amp;",""start_date"":"""&amp;TEXT(A57,"YYYY-mm-dd")&amp;""",""description"":"""&amp;X57&amp;""",""custom_fields"":[{""id"":1,""name"":""Subdivision"",""value"":"""&amp;U57&amp;"""},{""id"":4,""name"":""Milepost"",""value"":"""&amp;J57/10000&amp;"""},{""id"":17,""name"":""Train ID"",""value"":"""&amp;C57&amp;"""},{""id"":16,""name"":""Locomotive ID"",""value"":"""&amp;S57&amp;"""},{""id"":130,""name"":""Impact"",""value"":"""&amp;Y57&amp;"""},{""id"":150,""name"":""Time of Event (Mountain Time)"",""value"":"""&amp;TEXT(A57,"hh:mm:ss")&amp;"""},{""id"":151,""name"":""Denver Issue ID"",""value"":"""&amp;"""},{""id"":178,""name"":""Operational Impact"",""value"":"""&amp;redmine_op_impact&amp;"""},{""id"":179,""name"":""Denver Segment Assigned"",""value"":"""&amp;Z57&amp;"""}]}}"&amp;"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ID","value":"827-01"},{"id":16,"name":"Locomotive ID","value":"4009"},{"id":130,"name":"Impact","value":""},{"id":150,"name":"Time of Event (Mountain Time)","value":"16:01:28"},{"id":151,"name":"Denver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7" s="55"/>
      <c r="Y57" s="55"/>
      <c r="Z57" s="55"/>
    </row>
    <row r="58" spans="1:26" x14ac:dyDescent="0.25">
      <c r="A58" s="38">
        <v>42614.755520833336</v>
      </c>
      <c r="B58" s="33" t="s">
        <v>169</v>
      </c>
      <c r="C58" s="33" t="s">
        <v>682</v>
      </c>
      <c r="D58" s="33" t="s">
        <v>111</v>
      </c>
      <c r="E58" s="33" t="s">
        <v>56</v>
      </c>
      <c r="F58" s="49">
        <v>150</v>
      </c>
      <c r="G58" s="49">
        <v>200</v>
      </c>
      <c r="H58" s="49">
        <v>58125</v>
      </c>
      <c r="I58" s="33" t="s">
        <v>57</v>
      </c>
      <c r="J58" s="49">
        <v>59050</v>
      </c>
      <c r="K58" s="33" t="s">
        <v>53</v>
      </c>
      <c r="L58" s="92" t="str">
        <f>VLOOKUP(C58,'Trips&amp;Operators'!$C$1:$E$9999,3,0)</f>
        <v>YANAI</v>
      </c>
      <c r="M58" s="131" t="s">
        <v>86</v>
      </c>
      <c r="N58" s="10"/>
      <c r="O58" s="33"/>
      <c r="P58" s="108" t="str">
        <f>VLOOKUP(C58,'Train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58" s="111" t="str">
        <f>VLOOKUP(C58,'Train Runs'!$A$13:$AE$10012,22,0)</f>
        <v>https://search-rtdc-monitor-bjffxe2xuh6vdkpspy63sjmuny.us-east-1.es.amazonaws.com/_plugin/kibana/#/discover/Steve-Slow-Train-Analysis-(2080s-and-2083s)?_g=(refreshInterval:(display:Off,section:0,value:0),time:(from:'2016-09-01 17:05:20-0600',mode:absolute,to:'2016-09-01 19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58" s="113" t="str">
        <f>astrogrep_path&amp;" /spath="&amp;search_path&amp;" /stypes=""*"&amp;S58&amp;"*"&amp;TEXT(A58-utc_offset/24,"YYYYMMDD")&amp;LEFT(TEXT(A58-utc_offset/24,"HH"),1)&amp;"*"" /stext="" "&amp;TEXT(A58-utc_offset/24,"HH")&amp;search_regexp&amp;""" /e /r /s"</f>
        <v>"C:\Program Files (x86)\AstroGrep\AstroGrep.exe" /spath="%USERPROFILE%\AppData\Local\Temp\OnboardLogs" /stypes="*4010*201609020*" /stext=" 00:.+((SYSTEM_STATE.+slice.+state.+changed )|(ment ac)|(system.+state.+changed )|(\|lc)|(penalty)|(\[timeout)|(PRM\|1\|D)|(kpr)|(kdp))" /e /r /s</v>
      </c>
      <c r="S58" s="9" t="str">
        <f>MID(B58,13,4)</f>
        <v>4010</v>
      </c>
      <c r="T58" s="38">
        <f>A58+6/24</f>
        <v>42615.005520833336</v>
      </c>
      <c r="U58" s="52" t="str">
        <f>IF(VALUE(LEFT(IF(LEN(C58)=6,"0"&amp;C58,C58),2))&lt;=2,"EC",IF(OR(VALUE(LEFT(IF(LEN(C58)=6,"0"&amp;C58,C58),2))=8,VALUE(LEFT(IF(LEN(C58)=6,"0"&amp;C58,C58),2))=18),"NW","Other"))</f>
        <v>NW</v>
      </c>
      <c r="V58" s="52" t="str">
        <f>IF(AND(E58="TRACK WARRANT AUTHORITY",G58&lt;10),"OMIT","KEEP")</f>
        <v>KEEP</v>
      </c>
      <c r="W58" s="149" t="str">
        <f>"echo {""issue"":{""subject"":"""&amp;N58&amp;""",""project_id"":79,""tracker_id"":40,""status_id"":"&amp;redmine_status&amp;",""priority_id"":"&amp;redmine_priority&amp;",""assigned_to_id"":"&amp;redmine_assignee&amp;",""start_date"":"""&amp;TEXT(A58,"YYYY-mm-dd")&amp;""",""description"":"""&amp;X58&amp;""",""custom_fields"":[{""id"":1,""name"":""Subdivision"",""value"":"""&amp;U58&amp;"""},{""id"":4,""name"":""Milepost"",""value"":"""&amp;J58/10000&amp;"""},{""id"":17,""name"":""Train ID"",""value"":"""&amp;C58&amp;"""},{""id"":16,""name"":""Locomotive ID"",""value"":"""&amp;S58&amp;"""},{""id"":130,""name"":""Impact"",""value"":"""&amp;Y58&amp;"""},{""id"":150,""name"":""Time of Event (Mountain Time)"",""value"":"""&amp;TEXT(A58,"hh:mm:ss")&amp;"""},{""id"":151,""name"":""Denver Issue ID"",""value"":"""&amp;"""},{""id"":178,""name"":""Operational Impact"",""value"":"""&amp;redmine_op_impact&amp;"""},{""id"":179,""name"":""Denver Segment Assigned"",""value"":"""&amp;Z58&amp;"""}]}}"&amp;"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{"issue":{"subject":"","project_id":79,"tracker_id":40,"status_id":1,"priority_id":2,"assigned_to_id":23,"start_date":"2016-09-01","description":"","custom_fields":[{"id":1,"name":"Subdivision","value":"NW"},{"id":4,"name":"Milepost","value":"5.905"},{"id":17,"name":"Train ID","value":"836-01"},{"id":16,"name":"Locomotive ID","value":"4010"},{"id":130,"name":"Impact","value":""},{"id":150,"name":"Time of Event (Mountain Time)","value":"18:07:57"},{"id":151,"name":"Denver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8" s="55"/>
      <c r="Y58" s="55"/>
      <c r="Z58" s="55"/>
    </row>
    <row r="59" spans="1:26" x14ac:dyDescent="0.25">
      <c r="A59" s="38">
        <v>42614.328680555554</v>
      </c>
      <c r="B59" s="33" t="s">
        <v>90</v>
      </c>
      <c r="C59" s="33" t="s">
        <v>621</v>
      </c>
      <c r="D59" s="33" t="s">
        <v>49</v>
      </c>
      <c r="E59" s="33" t="s">
        <v>54</v>
      </c>
      <c r="F59" s="49">
        <v>0</v>
      </c>
      <c r="G59" s="49">
        <v>117</v>
      </c>
      <c r="H59" s="49">
        <v>5119</v>
      </c>
      <c r="I59" s="33" t="s">
        <v>55</v>
      </c>
      <c r="J59" s="49">
        <v>4790</v>
      </c>
      <c r="K59" s="33" t="s">
        <v>53</v>
      </c>
      <c r="L59" s="92" t="str">
        <f>VLOOKUP(C59,'Trips&amp;Operators'!$C$1:$E$9999,3,0)</f>
        <v>BEAM</v>
      </c>
      <c r="M59" s="131" t="s">
        <v>86</v>
      </c>
      <c r="N59" s="10" t="s">
        <v>750</v>
      </c>
      <c r="O59" s="33"/>
      <c r="P59" s="108" t="str">
        <f>VLOOKUP(C59,'Train Runs'!$A$13:$AE$10012,31,0)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Q59" s="111" t="str">
        <f>VLOOKUP(C59,'Train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06:36:36-0600',mode:absolute,to:'2016-09-01 08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59" s="113" t="str">
        <f>astrogrep_path&amp;" /spath="&amp;search_path&amp;" /stypes=""*"&amp;S59&amp;"*"&amp;TEXT(A59-utc_offset/24,"YYYYMMDD")&amp;LEFT(TEXT(A59-utc_offset/24,"HH"),1)&amp;"*"" /stext="" "&amp;TEXT(A59-utc_offset/24,"HH")&amp;search_regexp&amp;""" /e /r /s"</f>
        <v>"C:\Program Files (x86)\AstroGrep\AstroGrep.exe" /spath="%USERPROFILE%\AppData\Local\Temp\OnboardLogs" /stypes="*4013*201609011*" /stext=" 13:.+((SYSTEM_STATE.+slice.+state.+changed )|(ment ac)|(system.+state.+changed )|(\|lc)|(penalty)|(\[timeout)|(PRM\|1\|D)|(kpr)|(kdp))" /e /r /s</v>
      </c>
      <c r="S59" s="9" t="str">
        <f>MID(B59,13,4)</f>
        <v>4013</v>
      </c>
      <c r="T59" s="38">
        <f>A59+6/24</f>
        <v>42614.578680555554</v>
      </c>
      <c r="U59" s="52" t="str">
        <f>IF(VALUE(LEFT(IF(LEN(C59)=6,"0"&amp;C59,C59),2))&lt;=2,"EC",IF(OR(VALUE(LEFT(IF(LEN(C59)=6,"0"&amp;C59,C59),2))=8,VALUE(LEFT(IF(LEN(C59)=6,"0"&amp;C59,C59),2))=18),"NW","Other"))</f>
        <v>NW</v>
      </c>
      <c r="V59" s="52" t="str">
        <f>IF(AND(E59="TRACK WARRANT AUTHORITY",G59&lt;10),"OMIT","KEEP")</f>
        <v>KEEP</v>
      </c>
      <c r="W59" s="149" t="str">
        <f>"echo {""issue"":{""subject"":"""&amp;N59&amp;""",""project_id"":79,""tracker_id"":40,""status_id"":"&amp;redmine_status&amp;",""priority_id"":"&amp;redmine_priority&amp;",""assigned_to_id"":"&amp;redmine_assignee&amp;",""start_date"":"""&amp;TEXT(A59,"YYYY-mm-dd")&amp;""",""description"":"""&amp;X59&amp;""",""custom_fields"":[{""id"":1,""name"":""Subdivision"",""value"":"""&amp;U59&amp;"""},{""id"":4,""name"":""Milepost"",""value"":"""&amp;J59/10000&amp;"""},{""id"":17,""name"":""Train ID"",""value"":"""&amp;C59&amp;"""},{""id"":16,""name"":""Locomotive ID"",""value"":"""&amp;S59&amp;"""},{""id"":130,""name"":""Impact"",""value"":"""&amp;Y59&amp;"""},{""id"":150,""name"":""Time of Event (Mountain Time)"",""value"":"""&amp;TEXT(A59,"hh:mm:ss")&amp;"""},{""id"":151,""name"":""Denver Issue ID"",""value"":"""&amp;"""},{""id"":178,""name"":""Operational Impact"",""value"":"""&amp;redmine_op_impact&amp;"""},{""id"":179,""name"":""Denver Segment Assigned"",""value"":"""&amp;Z59&amp;"""}]}}"&amp;" | curl -X POST -H ""Content-Type: application/json"" -H ""X-Redmine-API-Key: "&amp;redm_api_key&amp;""" "&amp;redm_url&amp;" --data @-"</f>
        <v>echo {"issue":{"subject":"DUS 28S was STOP, cleared shortly","project_id":79,"tracker_id":40,"status_id":1,"priority_id":2,"assigned_to_id":23,"start_date":"2016-09-01","description":"","custom_fields":[{"id":1,"name":"Subdivision","value":"NW"},{"id":4,"name":"Milepost","value":"0.479"},{"id":17,"name":"Train ID","value":"808-01"},{"id":16,"name":"Locomotive ID","value":"4013"},{"id":130,"name":"Impact","value":""},{"id":150,"name":"Time of Event (Mountain Time)","value":"07:53:18"},{"id":151,"name":"Denver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9" s="55"/>
      <c r="Y59" s="55"/>
      <c r="Z59" s="55"/>
    </row>
    <row r="60" spans="1:26" x14ac:dyDescent="0.25">
      <c r="A60" s="38">
        <v>42614.755914351852</v>
      </c>
      <c r="B60" s="33" t="s">
        <v>169</v>
      </c>
      <c r="C60" s="33" t="s">
        <v>682</v>
      </c>
      <c r="D60" s="33" t="s">
        <v>49</v>
      </c>
      <c r="E60" s="33" t="s">
        <v>54</v>
      </c>
      <c r="F60" s="49">
        <v>0</v>
      </c>
      <c r="G60" s="49">
        <v>61</v>
      </c>
      <c r="H60" s="49">
        <v>57806</v>
      </c>
      <c r="I60" s="33" t="s">
        <v>55</v>
      </c>
      <c r="J60" s="49">
        <v>41769</v>
      </c>
      <c r="K60" s="33" t="s">
        <v>53</v>
      </c>
      <c r="L60" s="92" t="str">
        <f>VLOOKUP(C60,'Trips&amp;Operators'!$C$1:$E$9999,3,0)</f>
        <v>YANAI</v>
      </c>
      <c r="M60" s="131" t="s">
        <v>86</v>
      </c>
      <c r="N60" s="10" t="s">
        <v>751</v>
      </c>
      <c r="O60" s="33"/>
      <c r="P60" s="108" t="str">
        <f>VLOOKUP(C60,'Train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60" s="111" t="str">
        <f>VLOOKUP(C60,'Train Runs'!$A$13:$AE$10012,22,0)</f>
        <v>https://search-rtdc-monitor-bjffxe2xuh6vdkpspy63sjmuny.us-east-1.es.amazonaws.com/_plugin/kibana/#/discover/Steve-Slow-Train-Analysis-(2080s-and-2083s)?_g=(refreshInterval:(display:Off,section:0,value:0),time:(from:'2016-09-01 17:05:20-0600',mode:absolute,to:'2016-09-01 19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60" s="113" t="str">
        <f>astrogrep_path&amp;" /spath="&amp;search_path&amp;" /stypes=""*"&amp;S60&amp;"*"&amp;TEXT(A60-utc_offset/24,"YYYYMMDD")&amp;LEFT(TEXT(A60-utc_offset/24,"HH"),1)&amp;"*"" /stext="" "&amp;TEXT(A60-utc_offset/24,"HH")&amp;search_regexp&amp;""" /e /r /s"</f>
        <v>"C:\Program Files (x86)\AstroGrep\AstroGrep.exe" /spath="%USERPROFILE%\AppData\Local\Temp\OnboardLogs" /stypes="*4010*201609020*" /stext=" 00:.+((SYSTEM_STATE.+slice.+state.+changed )|(ment ac)|(system.+state.+changed )|(\|lc)|(penalty)|(\[timeout)|(PRM\|1\|D)|(kpr)|(kdp))" /e /r /s</v>
      </c>
      <c r="S60" s="9" t="str">
        <f>MID(B60,13,4)</f>
        <v>4010</v>
      </c>
      <c r="T60" s="38">
        <f>A60+6/24</f>
        <v>42615.005914351852</v>
      </c>
      <c r="U60" s="52" t="str">
        <f>IF(VALUE(LEFT(IF(LEN(C60)=6,"0"&amp;C60,C60),2))&lt;=2,"EC",IF(OR(VALUE(LEFT(IF(LEN(C60)=6,"0"&amp;C60,C60),2))=8,VALUE(LEFT(IF(LEN(C60)=6,"0"&amp;C60,C60),2))=18),"NW","Other"))</f>
        <v>NW</v>
      </c>
      <c r="V60" s="52" t="str">
        <f>IF(AND(E60="TRACK WARRANT AUTHORITY",G60&lt;10),"OMIT","KEEP")</f>
        <v>KEEP</v>
      </c>
      <c r="W60" s="149" t="str">
        <f>"echo {""issue"":{""subject"":"""&amp;N60&amp;""",""project_id"":79,""tracker_id"":40,""status_id"":"&amp;redmine_status&amp;",""priority_id"":"&amp;redmine_priority&amp;",""assigned_to_id"":"&amp;redmine_assignee&amp;",""start_date"":"""&amp;TEXT(A60,"YYYY-mm-dd")&amp;""",""description"":"""&amp;X60&amp;""",""custom_fields"":[{""id"":1,""name"":""Subdivision"",""value"":"""&amp;U60&amp;"""},{""id"":4,""name"":""Milepost"",""value"":"""&amp;J60/10000&amp;"""},{""id"":17,""name"":""Train ID"",""value"":"""&amp;C60&amp;"""},{""id"":16,""name"":""Locomotive ID"",""value"":"""&amp;S60&amp;"""},{""id"":130,""name"":""Impact"",""value"":"""&amp;Y60&amp;"""},{""id"":150,""name"":""Time of Event (Mountain Time)"",""value"":"""&amp;TEXT(A60,"hh:mm:ss")&amp;"""},{""id"":151,""name"":""Denver Issue ID"",""value"":"""&amp;"""},{""id"":178,""name"":""Operational Impact"",""value"":"""&amp;redmine_op_impact&amp;"""},{""id"":179,""name"":""Denver Segment Assigned"",""value"":"""&amp;Z60&amp;"""}]}}"&amp;" | curl -X POST -H ""Content-Type: application/json"" -H ""X-Redmine-API-Key: "&amp;redm_api_key&amp;""" "&amp;redm_url&amp;" --data @-"</f>
        <v>echo {"issue":{"subject":"Pecos 6S  was STOP, cleared shortly","project_id":79,"tracker_id":40,"status_id":1,"priority_id":2,"assigned_to_id":23,"start_date":"2016-09-01","description":"","custom_fields":[{"id":1,"name":"Subdivision","value":"NW"},{"id":4,"name":"Milepost","value":"4.1769"},{"id":17,"name":"Train ID","value":"836-01"},{"id":16,"name":"Locomotive ID","value":"4010"},{"id":130,"name":"Impact","value":""},{"id":150,"name":"Time of Event (Mountain Time)","value":"18:08:31"},{"id":151,"name":"Denver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0" s="55"/>
      <c r="Y60" s="55"/>
      <c r="Z60" s="55"/>
    </row>
    <row r="61" spans="1:26" x14ac:dyDescent="0.25">
      <c r="A61" s="38">
        <v>42614.722314814811</v>
      </c>
      <c r="B61" s="33" t="s">
        <v>169</v>
      </c>
      <c r="C61" s="33" t="s">
        <v>675</v>
      </c>
      <c r="D61" s="33" t="s">
        <v>49</v>
      </c>
      <c r="E61" s="33" t="s">
        <v>722</v>
      </c>
      <c r="F61" s="49">
        <v>100</v>
      </c>
      <c r="G61" s="49">
        <v>286</v>
      </c>
      <c r="H61" s="49">
        <v>12113</v>
      </c>
      <c r="I61" s="33" t="s">
        <v>238</v>
      </c>
      <c r="J61" s="49">
        <v>11000</v>
      </c>
      <c r="K61" s="33" t="s">
        <v>53</v>
      </c>
      <c r="L61" s="92" t="str">
        <f>VLOOKUP(C61,'Trips&amp;Operators'!$C$1:$E$9999,3,0)</f>
        <v>YANAI</v>
      </c>
      <c r="M61" s="131" t="s">
        <v>86</v>
      </c>
      <c r="N61" s="10"/>
      <c r="O61" s="33"/>
      <c r="P61" s="108" t="str">
        <f>VLOOKUP(C61,'Train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61" s="111" t="str">
        <f>VLOOKUP(C61,'Train Runs'!$A$13:$AE$10012,22,0)</f>
        <v>https://search-rtdc-monitor-bjffxe2xuh6vdkpspy63sjmuny.us-east-1.es.amazonaws.com/_plugin/kibana/#/discover/Steve-Slow-Train-Analysis-(2080s-and-2083s)?_g=(refreshInterval:(display:Off,section:0,value:0),time:(from:'2016-09-01 16:05:19-0600',mode:absolute,to:'2016-09-01 18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61" s="113" t="str">
        <f>astrogrep_path&amp;" /spath="&amp;search_path&amp;" /stypes=""*"&amp;S61&amp;"*"&amp;TEXT(A61-utc_offset/24,"YYYYMMDD")&amp;LEFT(TEXT(A61-utc_offset/24,"HH"),1)&amp;"*"" /stext="" "&amp;TEXT(A61-utc_offset/24,"HH")&amp;search_regexp&amp;""" /e /r /s"</f>
        <v>"C:\Program Files (x86)\AstroGrep\AstroGrep.exe" /spath="%USERPROFILE%\AppData\Local\Temp\OnboardLogs" /stypes="*4010*201609012*" /stext=" 23:.+((SYSTEM_STATE.+slice.+state.+changed )|(ment ac)|(system.+state.+changed )|(\|lc)|(penalty)|(\[timeout)|(PRM\|1\|D)|(kpr)|(kdp))" /e /r /s</v>
      </c>
      <c r="S61" s="9" t="str">
        <f>MID(B61,13,4)</f>
        <v>4010</v>
      </c>
      <c r="T61" s="38">
        <f>A61+6/24</f>
        <v>42614.972314814811</v>
      </c>
      <c r="U61" s="52" t="str">
        <f>IF(VALUE(LEFT(IF(LEN(C61)=6,"0"&amp;C61,C61),2))&lt;=2,"EC",IF(OR(VALUE(LEFT(IF(LEN(C61)=6,"0"&amp;C61,C61),2))=8,VALUE(LEFT(IF(LEN(C61)=6,"0"&amp;C61,C61),2))=18),"NW","Other"))</f>
        <v>NW</v>
      </c>
      <c r="V61" s="52" t="str">
        <f>IF(AND(E61="TRACK WARRANT AUTHORITY",G61&lt;10),"OMIT","KEEP")</f>
        <v>KEEP</v>
      </c>
      <c r="W61" s="149" t="str">
        <f>"echo {""issue"":{""subject"":"""&amp;N61&amp;""",""project_id"":79,""tracker_id"":40,""status_id"":"&amp;redmine_status&amp;",""priority_id"":"&amp;redmine_priority&amp;",""assigned_to_id"":"&amp;redmine_assignee&amp;",""start_date"":"""&amp;TEXT(A61,"YYYY-mm-dd")&amp;""",""description"":"""&amp;X61&amp;""",""custom_fields"":[{""id"":1,""name"":""Subdivision"",""value"":"""&amp;U61&amp;"""},{""id"":4,""name"":""Milepost"",""value"":"""&amp;J61/10000&amp;"""},{""id"":17,""name"":""Train ID"",""value"":"""&amp;C61&amp;"""},{""id"":16,""name"":""Locomotive ID"",""value"":"""&amp;S61&amp;"""},{""id"":130,""name"":""Impact"",""value"":"""&amp;Y61&amp;"""},{""id"":150,""name"":""Time of Event (Mountain Time)"",""value"":"""&amp;TEXT(A61,"hh:mm:ss")&amp;"""},{""id"":151,""name"":""Denver Issue ID"",""value"":"""&amp;"""},{""id"":178,""name"":""Operational Impact"",""value"":"""&amp;redmine_op_impact&amp;"""},{""id"":179,""name"":""Denver Segment Assigned"",""value"":"""&amp;Z61&amp;"""}]}}"&amp;"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{"issue":{"subject":"","project_id":79,"tracker_id":40,"status_id":1,"priority_id":2,"assigned_to_id":23,"start_date":"2016-09-01","description":"","custom_fields":[{"id":1,"name":"Subdivision","value":"NW"},{"id":4,"name":"Milepost","value":"1.1"},{"id":17,"name":"Train ID","value":"832-01"},{"id":16,"name":"Locomotive ID","value":"4010"},{"id":130,"name":"Impact","value":""},{"id":150,"name":"Time of Event (Mountain Time)","value":"17:20:08"},{"id":151,"name":"Denver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1" s="55"/>
      <c r="Y61" s="55"/>
      <c r="Z61" s="55"/>
    </row>
    <row r="62" spans="1:26" x14ac:dyDescent="0.25">
      <c r="A62" s="38">
        <v>42614.684016203704</v>
      </c>
      <c r="B62" s="33" t="s">
        <v>169</v>
      </c>
      <c r="C62" s="33" t="s">
        <v>665</v>
      </c>
      <c r="D62" s="33" t="s">
        <v>49</v>
      </c>
      <c r="E62" s="33" t="s">
        <v>50</v>
      </c>
      <c r="F62" s="49">
        <v>0</v>
      </c>
      <c r="G62" s="49">
        <v>42</v>
      </c>
      <c r="H62" s="49">
        <v>663</v>
      </c>
      <c r="I62" s="33" t="s">
        <v>51</v>
      </c>
      <c r="J62" s="49">
        <v>575</v>
      </c>
      <c r="K62" s="33" t="s">
        <v>53</v>
      </c>
      <c r="L62" s="92" t="str">
        <f>VLOOKUP(C62,'Trips&amp;Operators'!$C$1:$E$9999,3,0)</f>
        <v>YANAI</v>
      </c>
      <c r="M62" s="131" t="s">
        <v>86</v>
      </c>
      <c r="N62" s="10"/>
      <c r="O62" s="33"/>
      <c r="P62" s="108" t="str">
        <f>VLOOKUP(C62,'Train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62" s="111" t="str">
        <f>VLOOKUP(C62,'Train Runs'!$A$13:$AE$10012,22,0)</f>
        <v>https://search-rtdc-monitor-bjffxe2xuh6vdkpspy63sjmuny.us-east-1.es.amazonaws.com/_plugin/kibana/#/discover/Steve-Slow-Train-Analysis-(2080s-and-2083s)?_g=(refreshInterval:(display:Off,section:0,value:0),time:(from:'2016-09-01 15:05:37-0600',mode:absolute,to:'2016-09-01 17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62" s="113" t="str">
        <f>astrogrep_path&amp;" /spath="&amp;search_path&amp;" /stypes=""*"&amp;S62&amp;"*"&amp;TEXT(A62-utc_offset/24,"YYYYMMDD")&amp;LEFT(TEXT(A62-utc_offset/24,"HH"),1)&amp;"*"" /stext="" "&amp;TEXT(A62-utc_offset/24,"HH")&amp;search_regexp&amp;""" /e /r /s"</f>
        <v>"C:\Program Files (x86)\AstroGrep\AstroGrep.exe" /spath="%USERPROFILE%\AppData\Local\Temp\OnboardLogs" /stypes="*4010*201609012*" /stext=" 22:.+((SYSTEM_STATE.+slice.+state.+changed )|(ment ac)|(system.+state.+changed )|(\|lc)|(penalty)|(\[timeout)|(PRM\|1\|D)|(kpr)|(kdp))" /e /r /s</v>
      </c>
      <c r="S62" s="9" t="str">
        <f>MID(B62,13,4)</f>
        <v>4010</v>
      </c>
      <c r="T62" s="38">
        <f>A62+6/24</f>
        <v>42614.934016203704</v>
      </c>
      <c r="U62" s="52" t="str">
        <f>IF(VALUE(LEFT(IF(LEN(C62)=6,"0"&amp;C62,C62),2))&lt;=2,"EC",IF(OR(VALUE(LEFT(IF(LEN(C62)=6,"0"&amp;C62,C62),2))=8,VALUE(LEFT(IF(LEN(C62)=6,"0"&amp;C62,C62),2))=18),"NW","Other"))</f>
        <v>NW</v>
      </c>
      <c r="V62" s="52" t="str">
        <f>IF(AND(E62="TRACK WARRANT AUTHORITY",G62&lt;10),"OMIT","KEEP")</f>
        <v>KEEP</v>
      </c>
      <c r="W62" s="149" t="str">
        <f>"echo {""issue"":{""subject"":"""&amp;N62&amp;""",""project_id"":79,""tracker_id"":40,""status_id"":"&amp;redmine_status&amp;",""priority_id"":"&amp;redmine_priority&amp;",""assigned_to_id"":"&amp;redmine_assignee&amp;",""start_date"":"""&amp;TEXT(A62,"YYYY-mm-dd")&amp;""",""description"":"""&amp;X62&amp;""",""custom_fields"":[{""id"":1,""name"":""Subdivision"",""value"":"""&amp;U62&amp;"""},{""id"":4,""name"":""Milepost"",""value"":"""&amp;J62/10000&amp;"""},{""id"":17,""name"":""Train ID"",""value"":"""&amp;C62&amp;"""},{""id"":16,""name"":""Locomotive ID"",""value"":"""&amp;S62&amp;"""},{""id"":130,""name"":""Impact"",""value"":"""&amp;Y62&amp;"""},{""id"":150,""name"":""Time of Event (Mountain Time)"",""value"":"""&amp;TEXT(A62,"hh:mm:ss")&amp;"""},{""id"":151,""name"":""Denver Issue ID"",""value"":"""&amp;"""},{""id"":178,""name"":""Operational Impact"",""value"":"""&amp;redmine_op_impact&amp;"""},{""id"":179,""name"":""Denver Segment Assigned"",""value"":"""&amp;Z62&amp;"""}]}}"&amp;"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{"issue":{"subject":"","project_id":79,"tracker_id":40,"status_id":1,"priority_id":2,"assigned_to_id":23,"start_date":"2016-09-01","description":"","custom_fields":[{"id":1,"name":"Subdivision","value":"NW"},{"id":4,"name":"Milepost","value":"0.0575"},{"id":17,"name":"Train ID","value":"828-01"},{"id":16,"name":"Locomotive ID","value":"4010"},{"id":130,"name":"Impact","value":""},{"id":150,"name":"Time of Event (Mountain Time)","value":"16:24:59"},{"id":151,"name":"Denver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2" s="55"/>
      <c r="Y62" s="55"/>
      <c r="Z62" s="55"/>
    </row>
    <row r="63" spans="1:26" x14ac:dyDescent="0.25">
      <c r="A63" s="38">
        <v>42614.524502314816</v>
      </c>
      <c r="B63" s="33" t="s">
        <v>112</v>
      </c>
      <c r="C63" s="33" t="s">
        <v>644</v>
      </c>
      <c r="D63" s="33" t="s">
        <v>49</v>
      </c>
      <c r="E63" s="33" t="s">
        <v>50</v>
      </c>
      <c r="F63" s="49">
        <v>0</v>
      </c>
      <c r="G63" s="49">
        <v>11</v>
      </c>
      <c r="H63" s="49">
        <v>59012</v>
      </c>
      <c r="I63" s="33" t="s">
        <v>51</v>
      </c>
      <c r="J63" s="49">
        <v>59048</v>
      </c>
      <c r="K63" s="33" t="s">
        <v>52</v>
      </c>
      <c r="L63" s="92" t="str">
        <f>VLOOKUP(C63,'Trips&amp;Operators'!$C$1:$E$9999,3,0)</f>
        <v>GEBRETEKLE</v>
      </c>
      <c r="M63" s="131" t="s">
        <v>86</v>
      </c>
      <c r="N63" s="10"/>
      <c r="O63" s="33"/>
      <c r="P63" s="108" t="str">
        <f>VLOOKUP(C63,'Train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63" s="111" t="str">
        <f>VLOOKUP(C63,'Train Runs'!$A$13:$AE$10012,22,0)</f>
        <v>https://search-rtdc-monitor-bjffxe2xuh6vdkpspy63sjmuny.us-east-1.es.amazonaws.com/_plugin/kibana/#/discover/Steve-Slow-Train-Analysis-(2080s-and-2083s)?_g=(refreshInterval:(display:Off,section:0,value:0),time:(from:'2016-09-01 11:17:21-0600',mode:absolute,to:'2016-09-01 13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63" s="113" t="str">
        <f>astrogrep_path&amp;" /spath="&amp;search_path&amp;" /stypes=""*"&amp;S63&amp;"*"&amp;TEXT(A63-utc_offset/24,"YYYYMMDD")&amp;LEFT(TEXT(A63-utc_offset/24,"HH"),1)&amp;"*"" /stext="" "&amp;TEXT(A63-utc_offset/24,"HH")&amp;search_regexp&amp;""" /e /r /s"</f>
        <v>"C:\Program Files (x86)\AstroGrep\AstroGrep.exe" /spath="%USERPROFILE%\AppData\Local\Temp\OnboardLogs" /stypes="*4014*201609011*" /stext=" 18:.+((SYSTEM_STATE.+slice.+state.+changed )|(ment ac)|(system.+state.+changed )|(\|lc)|(penalty)|(\[timeout)|(PRM\|1\|D)|(kpr)|(kdp))" /e /r /s</v>
      </c>
      <c r="S63" s="9" t="str">
        <f>MID(B63,13,4)</f>
        <v>4014</v>
      </c>
      <c r="T63" s="38">
        <f>A63+6/24</f>
        <v>42614.774502314816</v>
      </c>
      <c r="U63" s="52" t="str">
        <f>IF(VALUE(LEFT(IF(LEN(C63)=6,"0"&amp;C63,C63),2))&lt;=2,"EC",IF(OR(VALUE(LEFT(IF(LEN(C63)=6,"0"&amp;C63,C63),2))=8,VALUE(LEFT(IF(LEN(C63)=6,"0"&amp;C63,C63),2))=18),"NW","Other"))</f>
        <v>NW</v>
      </c>
      <c r="V63" s="52" t="str">
        <f>IF(AND(E63="TRACK WARRANT AUTHORITY",G63&lt;10),"OMIT","KEEP")</f>
        <v>KEEP</v>
      </c>
      <c r="W63" s="149" t="str">
        <f>"echo {""issue"":{""subject"":"""&amp;N63&amp;""",""project_id"":79,""tracker_id"":40,""status_id"":"&amp;redmine_status&amp;",""priority_id"":"&amp;redmine_priority&amp;",""assigned_to_id"":"&amp;redmine_assignee&amp;",""start_date"":"""&amp;TEXT(A63,"YYYY-mm-dd")&amp;""",""description"":"""&amp;X63&amp;""",""custom_fields"":[{""id"":1,""name"":""Subdivision"",""value"":"""&amp;U63&amp;"""},{""id"":4,""name"":""Milepost"",""value"":"""&amp;J63/10000&amp;"""},{""id"":17,""name"":""Train ID"",""value"":"""&amp;C63&amp;"""},{""id"":16,""name"":""Locomotive ID"",""value"":"""&amp;S63&amp;"""},{""id"":130,""name"":""Impact"",""value"":"""&amp;Y63&amp;"""},{""id"":150,""name"":""Time of Event (Mountain Time)"",""value"":"""&amp;TEXT(A63,"hh:mm:ss")&amp;"""},{""id"":151,""name"":""Denver Issue ID"",""value"":"""&amp;"""},{""id"":178,""name"":""Operational Impact"",""value"":"""&amp;redmine_op_impact&amp;"""},{""id"":179,""name"":""Denver Segment Assigned"",""value"":"""&amp;Z63&amp;"""}]}}"&amp;"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{"issue":{"subject":"","project_id":79,"tracker_id":40,"status_id":1,"priority_id":2,"assigned_to_id":23,"start_date":"2016-09-01","description":"","custom_fields":[{"id":1,"name":"Subdivision","value":"NW"},{"id":4,"name":"Milepost","value":"5.9048"},{"id":17,"name":"Train ID","value":"819-01"},{"id":16,"name":"Locomotive ID","value":"4014"},{"id":130,"name":"Impact","value":""},{"id":150,"name":"Time of Event (Mountain Time)","value":"12:35:17"},{"id":151,"name":"Denver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3" s="55"/>
      <c r="Y63" s="55"/>
      <c r="Z63" s="55"/>
    </row>
    <row r="64" spans="1:26" x14ac:dyDescent="0.25">
      <c r="A64" s="38">
        <v>42614.794432870367</v>
      </c>
      <c r="B64" s="33" t="s">
        <v>168</v>
      </c>
      <c r="C64" s="33" t="s">
        <v>689</v>
      </c>
      <c r="D64" s="33" t="s">
        <v>49</v>
      </c>
      <c r="E64" s="33" t="s">
        <v>50</v>
      </c>
      <c r="F64" s="49">
        <v>0</v>
      </c>
      <c r="G64" s="49">
        <v>38</v>
      </c>
      <c r="H64" s="49">
        <v>58975</v>
      </c>
      <c r="I64" s="33" t="s">
        <v>51</v>
      </c>
      <c r="J64" s="49">
        <v>59048</v>
      </c>
      <c r="K64" s="33" t="s">
        <v>52</v>
      </c>
      <c r="L64" s="92" t="str">
        <f>VLOOKUP(C64,'Trips&amp;Operators'!$C$1:$E$9999,3,0)</f>
        <v>YANAI</v>
      </c>
      <c r="M64" s="131" t="s">
        <v>86</v>
      </c>
      <c r="N64" s="10"/>
      <c r="O64" s="33"/>
      <c r="P64" s="108" t="str">
        <f>VLOOKUP(C64,'Train Runs'!$A$13:$AE$10012,31,0)</f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Q64" s="111" t="str">
        <f>VLOOKUP(C64,'Train Runs'!$A$13:$AE$10012,22,0)</f>
        <v>https://search-rtdc-monitor-bjffxe2xuh6vdkpspy63sjmuny.us-east-1.es.amazonaws.com/_plugin/kibana/#/discover/Steve-Slow-Train-Analysis-(2080s-and-2083s)?_g=(refreshInterval:(display:Off,section:0,value:0),time:(from:'2016-09-01 17:46:36-0600',mode:absolute,to:'2016-09-01 20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64" s="113" t="str">
        <f>astrogrep_path&amp;" /spath="&amp;search_path&amp;" /stypes=""*"&amp;S64&amp;"*"&amp;TEXT(A64-utc_offset/24,"YYYYMMDD")&amp;LEFT(TEXT(A64-utc_offset/24,"HH"),1)&amp;"*"" /stext="" "&amp;TEXT(A64-utc_offset/24,"HH")&amp;search_regexp&amp;""" /e /r /s"</f>
        <v>"C:\Program Files (x86)\AstroGrep\AstroGrep.exe" /spath="%USERPROFILE%\AppData\Local\Temp\OnboardLogs" /stypes="*4009*201609020*" /stext=" 01:.+((SYSTEM_STATE.+slice.+state.+changed )|(ment ac)|(system.+state.+changed )|(\|lc)|(penalty)|(\[timeout)|(PRM\|1\|D)|(kpr)|(kdp))" /e /r /s</v>
      </c>
      <c r="S64" s="9" t="str">
        <f>MID(B64,13,4)</f>
        <v>4009</v>
      </c>
      <c r="T64" s="38">
        <f>A64+6/24</f>
        <v>42615.044432870367</v>
      </c>
      <c r="U64" s="52" t="str">
        <f>IF(VALUE(LEFT(IF(LEN(C64)=6,"0"&amp;C64,C64),2))&lt;=2,"EC",IF(OR(VALUE(LEFT(IF(LEN(C64)=6,"0"&amp;C64,C64),2))=8,VALUE(LEFT(IF(LEN(C64)=6,"0"&amp;C64,C64),2))=18),"NW","Other"))</f>
        <v>NW</v>
      </c>
      <c r="V64" s="52" t="str">
        <f>IF(AND(E64="TRACK WARRANT AUTHORITY",G64&lt;10),"OMIT","KEEP")</f>
        <v>KEEP</v>
      </c>
      <c r="W64" s="149" t="str">
        <f>"echo {""issue"":{""subject"":"""&amp;N64&amp;""",""project_id"":79,""tracker_id"":40,""status_id"":"&amp;redmine_status&amp;",""priority_id"":"&amp;redmine_priority&amp;",""assigned_to_id"":"&amp;redmine_assignee&amp;",""start_date"":"""&amp;TEXT(A64,"YYYY-mm-dd")&amp;""",""description"":"""&amp;X64&amp;""",""custom_fields"":[{""id"":1,""name"":""Subdivision"",""value"":"""&amp;U64&amp;"""},{""id"":4,""name"":""Milepost"",""value"":"""&amp;J64/10000&amp;"""},{""id"":17,""name"":""Train ID"",""value"":"""&amp;C64&amp;"""},{""id"":16,""name"":""Locomotive ID"",""value"":"""&amp;S64&amp;"""},{""id"":130,""name"":""Impact"",""value"":"""&amp;Y64&amp;"""},{""id"":150,""name"":""Time of Event (Mountain Time)"",""value"":"""&amp;TEXT(A64,"hh:mm:ss")&amp;"""},{""id"":151,""name"":""Denver Issue ID"",""value"":"""&amp;"""},{""id"":178,""name"":""Operational Impact"",""value"":"""&amp;redmine_op_impact&amp;"""},{""id"":179,""name"":""Denver Segment Assigned"",""value"":"""&amp;Z64&amp;"""}]}}"&amp;"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{"issue":{"subject":"","project_id":79,"tracker_id":40,"status_id":1,"priority_id":2,"assigned_to_id":23,"start_date":"2016-09-01","description":"","custom_fields":[{"id":1,"name":"Subdivision","value":"NW"},{"id":4,"name":"Milepost","value":"5.9048"},{"id":17,"name":"Train ID","value":"839-01"},{"id":16,"name":"Locomotive ID","value":"4009"},{"id":130,"name":"Impact","value":""},{"id":150,"name":"Time of Event (Mountain Time)","value":"19:03:59"},{"id":151,"name":"Denver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4" s="55"/>
      <c r="Y64" s="55"/>
      <c r="Z64" s="55"/>
    </row>
    <row r="65" spans="1:26" x14ac:dyDescent="0.25">
      <c r="A65" s="38">
        <v>42614.250601851854</v>
      </c>
      <c r="B65" s="33" t="s">
        <v>90</v>
      </c>
      <c r="C65" s="33" t="s">
        <v>707</v>
      </c>
      <c r="D65" s="33" t="s">
        <v>49</v>
      </c>
      <c r="E65" s="33" t="s">
        <v>239</v>
      </c>
      <c r="F65" s="49">
        <v>280</v>
      </c>
      <c r="G65" s="49">
        <v>467</v>
      </c>
      <c r="H65" s="49">
        <v>17067</v>
      </c>
      <c r="I65" s="33" t="s">
        <v>238</v>
      </c>
      <c r="J65" s="49">
        <v>15777</v>
      </c>
      <c r="K65" s="33" t="s">
        <v>53</v>
      </c>
      <c r="L65" s="92" t="str">
        <f>VLOOKUP(C65,'Trips&amp;Operators'!$C$1:$E$9999,3,0)</f>
        <v>GEBRETEKLE</v>
      </c>
      <c r="M65" s="131" t="s">
        <v>86</v>
      </c>
      <c r="N65" s="10"/>
      <c r="O65" s="33"/>
      <c r="P65" s="108" t="str">
        <f>VLOOKUP(C65,'Train Runs'!$A$13:$AE$10012,31,0)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Q65" s="111" t="str">
        <f>VLOOKUP(C65,'Train Runs'!$A$13:$AE$10012,22,0)</f>
        <v>https://search-rtdc-monitor-bjffxe2xuh6vdkpspy63sjmuny.us-east-1.es.amazonaws.com/_plugin/kibana/#/discover/Steve-Slow-Train-Analysis-(2080s-and-2083s)?_g=(refreshInterval:(display:Off,section:0,value:0),time:(from:'2016-09-01 04:52:25-0600',mode:absolute,to:'2016-09-01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65" s="113" t="str">
        <f>astrogrep_path&amp;" /spath="&amp;search_path&amp;" /stypes=""*"&amp;S65&amp;"*"&amp;TEXT(A65-utc_offset/24,"YYYYMMDD")&amp;LEFT(TEXT(A65-utc_offset/24,"HH"),1)&amp;"*"" /stext="" "&amp;TEXT(A65-utc_offset/24,"HH")&amp;search_regexp&amp;""" /e /r /s"</f>
        <v>"C:\Program Files (x86)\AstroGrep\AstroGrep.exe" /spath="%USERPROFILE%\AppData\Local\Temp\OnboardLogs" /stypes="*4013*201609011*" /stext=" 12:.+((SYSTEM_STATE.+slice.+state.+changed )|(ment ac)|(system.+state.+changed )|(\|lc)|(penalty)|(\[timeout)|(PRM\|1\|D)|(kpr)|(kdp))" /e /r /s</v>
      </c>
      <c r="S65" s="9" t="str">
        <f>MID(B65,13,4)</f>
        <v>4013</v>
      </c>
      <c r="T65" s="38">
        <f>A65+6/24</f>
        <v>42614.500601851854</v>
      </c>
      <c r="U65" s="52" t="str">
        <f>IF(VALUE(LEFT(IF(LEN(C65)=6,"0"&amp;C65,C65),2))&lt;=2,"EC",IF(OR(VALUE(LEFT(IF(LEN(C65)=6,"0"&amp;C65,C65),2))=8,VALUE(LEFT(IF(LEN(C65)=6,"0"&amp;C65,C65),2))=18),"NW","Other"))</f>
        <v>Other</v>
      </c>
      <c r="V65" s="52" t="str">
        <f>IF(AND(E65="TRACK WARRANT AUTHORITY",G65&lt;10),"OMIT","KEEP")</f>
        <v>KEEP</v>
      </c>
      <c r="W65" s="149" t="str">
        <f>"echo {""issue"":{""subject"":"""&amp;N65&amp;""",""project_id"":79,""tracker_id"":40,""status_id"":"&amp;redmine_status&amp;",""priority_id"":"&amp;redmine_priority&amp;",""assigned_to_id"":"&amp;redmine_assignee&amp;",""start_date"":"""&amp;TEXT(A65,"YYYY-mm-dd")&amp;""",""description"":"""&amp;X65&amp;""",""custom_fields"":[{""id"":1,""name"":""Subdivision"",""value"":"""&amp;U65&amp;"""},{""id"":4,""name"":""Milepost"",""value"":"""&amp;J65/10000&amp;"""},{""id"":17,""name"":""Train ID"",""value"":"""&amp;C65&amp;"""},{""id"":16,""name"":""Locomotive ID"",""value"":"""&amp;S65&amp;"""},{""id"":130,""name"":""Impact"",""value"":"""&amp;Y65&amp;"""},{""id"":150,""name"":""Time of Event (Mountain Time)"",""value"":"""&amp;TEXT(A65,"hh:mm:ss")&amp;"""},{""id"":151,""name"":""Denver Issue ID"",""value"":"""&amp;"""},{""id"":178,""name"":""Operational Impact"",""value"":"""&amp;redmine_op_impact&amp;"""},{""id"":179,""name"":""Denver Segment Assigned"",""value"":"""&amp;Z65&amp;"""}]}}"&amp;"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{"issue":{"subject":"","project_id":79,"tracker_id":40,"status_id":1,"priority_id":2,"assigned_to_id":23,"start_date":"2016-09-01","description":"","custom_fields":[{"id":1,"name":"Subdivision","value":"Other"},{"id":4,"name":"Milepost","value":"1.5777"},{"id":17,"name":"Train ID","value":"902-01"},{"id":16,"name":"Locomotive ID","value":"4013"},{"id":130,"name":"Impact","value":""},{"id":150,"name":"Time of Event (Mountain Time)","value":"06:00:52"},{"id":151,"name":"Denver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5" s="55"/>
      <c r="Y65" s="55"/>
      <c r="Z65" s="55"/>
    </row>
    <row r="66" spans="1:26" x14ac:dyDescent="0.25">
      <c r="A66" s="38">
        <v>42615.070763888885</v>
      </c>
      <c r="B66" s="33" t="s">
        <v>723</v>
      </c>
      <c r="C66" s="33" t="s">
        <v>594</v>
      </c>
      <c r="D66" s="33" t="s">
        <v>49</v>
      </c>
      <c r="E66" s="33" t="s">
        <v>54</v>
      </c>
      <c r="F66" s="49">
        <v>0</v>
      </c>
      <c r="G66" s="49">
        <v>591</v>
      </c>
      <c r="H66" s="49">
        <v>103798</v>
      </c>
      <c r="I66" s="33" t="s">
        <v>55</v>
      </c>
      <c r="J66" s="49">
        <v>107939</v>
      </c>
      <c r="K66" s="33" t="s">
        <v>52</v>
      </c>
      <c r="L66" s="92" t="str">
        <f>VLOOKUP(C66,'Trips&amp;Operators'!$C$1:$E$9999,3,0)</f>
        <v>GOLIGHTLY</v>
      </c>
      <c r="M66" s="131" t="s">
        <v>86</v>
      </c>
      <c r="N66" s="10"/>
      <c r="O66" s="33"/>
      <c r="P66" s="108" t="str">
        <f>VLOOKUP(C66,'Train Runs'!$A$13:$AE$10012,31,0)</f>
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</c>
      <c r="Q66" s="111" t="str">
        <f>VLOOKUP(C66,'Train Runs'!$A$13:$AE$10012,22,0)</f>
        <v>https://search-rtdc-monitor-bjffxe2xuh6vdkpspy63sjmuny.us-east-1.es.amazonaws.com/_plugin/kibana/#/discover/Steve-Slow-Train-Analysis-(2080s-and-2083s)?_g=(refreshInterval:(display:Off,section:0,value:0),time:(from:'2016-09-02 01:29:20-0600',mode:absolute,to:'2016-09-02 03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R66" s="113" t="str">
        <f>astrogrep_path&amp;" /spath="&amp;search_path&amp;" /stypes=""*"&amp;S66&amp;"*"&amp;TEXT(A66-utc_offset/24,"YYYYMMDD")&amp;LEFT(TEXT(A66-utc_offset/24,"HH"),1)&amp;"*"" /stext="" "&amp;TEXT(A66-utc_offset/24,"HH")&amp;search_regexp&amp;""" /e /r /s"</f>
        <v>"C:\Program Files (x86)\AstroGrep\AstroGrep.exe" /spath="%USERPROFILE%\AppData\Local\Temp\OnboardLogs" /stypes="*4051*201609020*" /stext=" 07:.+((SYSTEM_STATE.+slice.+state.+changed )|(ment ac)|(system.+state.+changed )|(\|lc)|(penalty)|(\[timeout)|(PRM\|1\|D)|(kpr)|(kdp))" /e /r /s</v>
      </c>
      <c r="S66" s="9" t="str">
        <f>MID(B66,13,4)</f>
        <v>4051</v>
      </c>
      <c r="T66" s="38">
        <f>A66+6/24</f>
        <v>42615.320763888885</v>
      </c>
      <c r="U66" s="52" t="str">
        <f>IF(VALUE(LEFT(IF(LEN(C66)=6,"0"&amp;C66,C66),2))&lt;=2,"EC",IF(OR(VALUE(LEFT(IF(LEN(C66)=6,"0"&amp;C66,C66),2))=8,VALUE(LEFT(IF(LEN(C66)=6,"0"&amp;C66,C66),2))=18),"NW","Other"))</f>
        <v>Other</v>
      </c>
      <c r="V66" s="52" t="str">
        <f>IF(AND(E66="TRACK WARRANT AUTHORITY",G66&lt;10),"OMIT","KEEP")</f>
        <v>KEEP</v>
      </c>
      <c r="W66" s="149" t="str">
        <f>"echo {""issue"":{""subject"":"""&amp;N66&amp;""",""project_id"":79,""tracker_id"":40,""status_id"":"&amp;redmine_status&amp;",""priority_id"":"&amp;redmine_priority&amp;",""assigned_to_id"":"&amp;redmine_assignee&amp;",""start_date"":"""&amp;TEXT(A66,"YYYY-mm-dd")&amp;""",""description"":"""&amp;X66&amp;""",""custom_fields"":[{""id"":1,""name"":""Subdivision"",""value"":"""&amp;U66&amp;"""},{""id"":4,""name"":""Milepost"",""value"":"""&amp;J66/10000&amp;"""},{""id"":17,""name"":""Train ID"",""value"":"""&amp;C66&amp;"""},{""id"":16,""name"":""Locomotive ID"",""value"":"""&amp;S66&amp;"""},{""id"":130,""name"":""Impact"",""value"":"""&amp;Y66&amp;"""},{""id"":150,""name"":""Time of Event (Mountain Time)"",""value"":"""&amp;TEXT(A66,"hh:mm:ss")&amp;"""},{""id"":151,""name"":""Denver Issue ID"",""value"":"""&amp;"""},{""id"":178,""name"":""Operational Impact"",""value"":"""&amp;redmine_op_impact&amp;"""},{""id"":179,""name"":""Denver Segment Assigned"",""value"":"""&amp;Z66&amp;"""}]}}"&amp;"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{"issue":{"subject":"","project_id":79,"tracker_id":40,"status_id":1,"priority_id":2,"assigned_to_id":23,"start_date":"2016-09-02","description":"","custom_fields":[{"id":1,"name":"Subdivision","value":"Other"},{"id":4,"name":"Milepost","value":"10.7939"},{"id":17,"name":"Train ID","value":"57-01"},{"id":16,"name":"Locomotive ID","value":"4051"},{"id":130,"name":"Impact","value":""},{"id":150,"name":"Time of Event (Mountain Time)","value":"01:41:54"},{"id":151,"name":"Denver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6" s="55"/>
      <c r="Y66" s="55"/>
      <c r="Z66" s="55"/>
    </row>
    <row r="67" spans="1:26" x14ac:dyDescent="0.25">
      <c r="A67" s="38">
        <v>42615.070069444446</v>
      </c>
      <c r="B67" s="33" t="s">
        <v>266</v>
      </c>
      <c r="C67" s="33" t="s">
        <v>581</v>
      </c>
      <c r="D67" s="33" t="s">
        <v>49</v>
      </c>
      <c r="E67" s="33" t="s">
        <v>722</v>
      </c>
      <c r="F67" s="49">
        <v>100</v>
      </c>
      <c r="G67" s="49">
        <v>364</v>
      </c>
      <c r="H67" s="49">
        <v>7902</v>
      </c>
      <c r="I67" s="33" t="s">
        <v>238</v>
      </c>
      <c r="J67" s="49">
        <v>10701</v>
      </c>
      <c r="K67" s="33" t="s">
        <v>52</v>
      </c>
      <c r="L67" s="92" t="str">
        <f>VLOOKUP(C67,'Trips&amp;Operators'!$C$1:$E$9999,3,0)</f>
        <v>STAMBAUGH</v>
      </c>
      <c r="M67" s="131" t="s">
        <v>86</v>
      </c>
      <c r="N67" s="10"/>
      <c r="O67" s="33"/>
      <c r="P67" s="108" t="str">
        <f>VLOOKUP(C67,'Train Runs'!$A$13:$AE$10012,31,0)</f>
        <v>aws s3 cp s3://rtdc.mdm.uploadarchive/RTDC4011/1969-12-31/ "%USERPROFILE%\AppData\Local\Temp\OnboardLogs"\RTDC4011\1969-12-31 --recursive &amp; "%USERPROFILE%\Documents\GitHub\mrs-test-scripts\Headless Mode &amp; Sideloading\WalkAndUnGZ.bat" "%USERPROFILE%\AppData\Local\Temp\OnboardLogs"\RTDC4011\1969-12-31 &amp; aws s3 cp s3://rtdc.mdm.uploadarchive/RTDC4011/1970-01-01/ "%USERPROFILE%\AppData\Local\Temp\OnboardLogs"\RTDC4011\1970-01-01 --recursive &amp; "%USERPROFILE%\Documents\GitHub\mrs-test-scripts\Headless Mode &amp; Sideloading\WalkAndUnGZ.bat" "%USERPROFILE%\AppData\Local\Temp\OnboardLogs"\RTDC4011\1970-01-01</v>
      </c>
      <c r="Q67" s="111" t="str">
        <f>VLOOKUP(C67,'Train Runs'!$A$13:$AE$10012,22,0)</f>
        <v>https://search-rtdc-monitor-bjffxe2xuh6vdkpspy63sjmuny.us-east-1.es.amazonaws.com/_plugin/kibana/#/discover/Steve-Slow-Train-Analysis-(2080s-and-2083s)?_g=(refreshInterval:(display:Off,section:0,value:0),time:(from:'2016-09-02 00:36:17-0600',mode:absolute,to:'1970-01-01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67" s="113" t="str">
        <f>astrogrep_path&amp;" /spath="&amp;search_path&amp;" /stypes=""*"&amp;S67&amp;"*"&amp;TEXT(A67-utc_offset/24,"YYYYMMDD")&amp;LEFT(TEXT(A67-utc_offset/24,"HH"),1)&amp;"*"" /stext="" "&amp;TEXT(A67-utc_offset/24,"HH")&amp;search_regexp&amp;""" /e /r /s"</f>
        <v>"C:\Program Files (x86)\AstroGrep\AstroGrep.exe" /spath="%USERPROFILE%\AppData\Local\Temp\OnboardLogs" /stypes="*4011*201609020*" /stext=" 07:.+((SYSTEM_STATE.+slice.+state.+changed )|(ment ac)|(system.+state.+changed )|(\|lc)|(penalty)|(\[timeout)|(PRM\|1\|D)|(kpr)|(kdp))" /e /r /s</v>
      </c>
      <c r="S67" s="9" t="str">
        <f>MID(B67,13,4)</f>
        <v>4011</v>
      </c>
      <c r="T67" s="38">
        <f>A67+6/24</f>
        <v>42615.320069444446</v>
      </c>
      <c r="U67" s="52" t="str">
        <f>IF(VALUE(LEFT(IF(LEN(C67)=6,"0"&amp;C67,C67),2))&lt;=2,"EC",IF(OR(VALUE(LEFT(IF(LEN(C67)=6,"0"&amp;C67,C67),2))=8,VALUE(LEFT(IF(LEN(C67)=6,"0"&amp;C67,C67),2))=18),"NW","Other"))</f>
        <v>Other</v>
      </c>
      <c r="V67" s="52" t="str">
        <f>IF(AND(E67="TRACK WARRANT AUTHORITY",G67&lt;10),"OMIT","KEEP")</f>
        <v>KEEP</v>
      </c>
      <c r="W67" s="149" t="str">
        <f>"echo {""issue"":{""subject"":"""&amp;N67&amp;""",""project_id"":79,""tracker_id"":40,""status_id"":"&amp;redmine_status&amp;",""priority_id"":"&amp;redmine_priority&amp;",""assigned_to_id"":"&amp;redmine_assignee&amp;",""start_date"":"""&amp;TEXT(A67,"YYYY-mm-dd")&amp;""",""description"":"""&amp;X67&amp;""",""custom_fields"":[{""id"":1,""name"":""Subdivision"",""value"":"""&amp;U67&amp;"""},{""id"":4,""name"":""Milepost"",""value"":"""&amp;J67/10000&amp;"""},{""id"":17,""name"":""Train ID"",""value"":"""&amp;C67&amp;"""},{""id"":16,""name"":""Locomotive ID"",""value"":"""&amp;S67&amp;"""},{""id"":130,""name"":""Impact"",""value"":"""&amp;Y67&amp;"""},{""id"":150,""name"":""Time of Event (Mountain Time)"",""value"":"""&amp;TEXT(A67,"hh:mm:ss")&amp;"""},{""id"":151,""name"":""Denver Issue ID"",""value"":"""&amp;"""},{""id"":178,""name"":""Operational Impact"",""value"":"""&amp;redmine_op_impact&amp;"""},{""id"":179,""name"":""Denver Segment Assigned"",""value"":"""&amp;Z67&amp;"""}]}}"&amp;"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{"issue":{"subject":"","project_id":79,"tracker_id":40,"status_id":1,"priority_id":2,"assigned_to_id":23,"start_date":"2016-09-02","description":"","custom_fields":[{"id":1,"name":"Subdivision","value":"Other"},{"id":4,"name":"Milepost","value":"1.0701"},{"id":17,"name":"Train ID","value":"313-01"},{"id":16,"name":"Locomotive ID","value":"4011"},{"id":130,"name":"Impact","value":""},{"id":150,"name":"Time of Event (Mountain Time)","value":"01:40:54"},{"id":151,"name":"Denver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7" s="55"/>
      <c r="Y67" s="55"/>
      <c r="Z67" s="55"/>
    </row>
    <row r="68" spans="1:26" x14ac:dyDescent="0.25">
      <c r="A68" s="38">
        <v>42614.256284722222</v>
      </c>
      <c r="B68" s="33" t="s">
        <v>90</v>
      </c>
      <c r="C68" s="33" t="s">
        <v>707</v>
      </c>
      <c r="D68" s="33" t="s">
        <v>49</v>
      </c>
      <c r="E68" s="33" t="s">
        <v>50</v>
      </c>
      <c r="F68" s="49">
        <v>0</v>
      </c>
      <c r="G68" s="49">
        <v>28</v>
      </c>
      <c r="H68" s="49">
        <v>668</v>
      </c>
      <c r="I68" s="33" t="s">
        <v>51</v>
      </c>
      <c r="J68" s="49">
        <v>575</v>
      </c>
      <c r="K68" s="33" t="s">
        <v>53</v>
      </c>
      <c r="L68" s="92" t="str">
        <f>VLOOKUP(C68,'Trips&amp;Operators'!$C$1:$E$9999,3,0)</f>
        <v>GEBRETEKLE</v>
      </c>
      <c r="M68" s="131" t="s">
        <v>86</v>
      </c>
      <c r="N68" s="10"/>
      <c r="O68" s="33"/>
      <c r="P68" s="108" t="str">
        <f>VLOOKUP(C68,'Train Runs'!$A$13:$AE$10012,31,0)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Q68" s="111" t="str">
        <f>VLOOKUP(C68,'Train Runs'!$A$13:$AE$10012,22,0)</f>
        <v>https://search-rtdc-monitor-bjffxe2xuh6vdkpspy63sjmuny.us-east-1.es.amazonaws.com/_plugin/kibana/#/discover/Steve-Slow-Train-Analysis-(2080s-and-2083s)?_g=(refreshInterval:(display:Off,section:0,value:0),time:(from:'2016-09-01 04:52:25-0600',mode:absolute,to:'2016-09-01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68" s="113" t="str">
        <f>astrogrep_path&amp;" /spath="&amp;search_path&amp;" /stypes=""*"&amp;S68&amp;"*"&amp;TEXT(A68-utc_offset/24,"YYYYMMDD")&amp;LEFT(TEXT(A68-utc_offset/24,"HH"),1)&amp;"*"" /stext="" "&amp;TEXT(A68-utc_offset/24,"HH")&amp;search_regexp&amp;""" /e /r /s"</f>
        <v>"C:\Program Files (x86)\AstroGrep\AstroGrep.exe" /spath="%USERPROFILE%\AppData\Local\Temp\OnboardLogs" /stypes="*4013*201609011*" /stext=" 12:.+((SYSTEM_STATE.+slice.+state.+changed )|(ment ac)|(system.+state.+changed )|(\|lc)|(penalty)|(\[timeout)|(PRM\|1\|D)|(kpr)|(kdp))" /e /r /s</v>
      </c>
      <c r="S68" s="9" t="str">
        <f>MID(B68,13,4)</f>
        <v>4013</v>
      </c>
      <c r="T68" s="38">
        <f>A68+6/24</f>
        <v>42614.506284722222</v>
      </c>
      <c r="U68" s="52" t="str">
        <f>IF(VALUE(LEFT(IF(LEN(C68)=6,"0"&amp;C68,C68),2))&lt;=2,"EC",IF(OR(VALUE(LEFT(IF(LEN(C68)=6,"0"&amp;C68,C68),2))=8,VALUE(LEFT(IF(LEN(C68)=6,"0"&amp;C68,C68),2))=18),"NW","Other"))</f>
        <v>Other</v>
      </c>
      <c r="V68" s="52" t="str">
        <f>IF(AND(E68="TRACK WARRANT AUTHORITY",G68&lt;10),"OMIT","KEEP")</f>
        <v>KEEP</v>
      </c>
      <c r="W68" s="149" t="str">
        <f>"echo {""issue"":{""subject"":"""&amp;N68&amp;""",""project_id"":79,""tracker_id"":40,""status_id"":"&amp;redmine_status&amp;",""priority_id"":"&amp;redmine_priority&amp;",""assigned_to_id"":"&amp;redmine_assignee&amp;",""start_date"":"""&amp;TEXT(A68,"YYYY-mm-dd")&amp;""",""description"":"""&amp;X68&amp;""",""custom_fields"":[{""id"":1,""name"":""Subdivision"",""value"":"""&amp;U68&amp;"""},{""id"":4,""name"":""Milepost"",""value"":"""&amp;J68/10000&amp;"""},{""id"":17,""name"":""Train ID"",""value"":"""&amp;C68&amp;"""},{""id"":16,""name"":""Locomotive ID"",""value"":"""&amp;S68&amp;"""},{""id"":130,""name"":""Impact"",""value"":"""&amp;Y68&amp;"""},{""id"":150,""name"":""Time of Event (Mountain Time)"",""value"":"""&amp;TEXT(A68,"hh:mm:ss")&amp;"""},{""id"":151,""name"":""Denver Issue ID"",""value"":"""&amp;"""},{""id"":178,""name"":""Operational Impact"",""value"":"""&amp;redmine_op_impact&amp;"""},{""id"":179,""name"":""Denver Segment Assigned"",""value"":"""&amp;Z68&amp;"""}]}}"&amp;"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{"issue":{"subject":"","project_id":79,"tracker_id":40,"status_id":1,"priority_id":2,"assigned_to_id":23,"start_date":"2016-09-01","description":"","custom_fields":[{"id":1,"name":"Subdivision","value":"Other"},{"id":4,"name":"Milepost","value":"0.0575"},{"id":17,"name":"Train ID","value":"902-01"},{"id":16,"name":"Locomotive ID","value":"4013"},{"id":130,"name":"Impact","value":""},{"id":150,"name":"Time of Event (Mountain Time)","value":"06:09:03"},{"id":151,"name":"Denver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8" s="55"/>
      <c r="Y68" s="55"/>
      <c r="Z68" s="55"/>
    </row>
    <row r="69" spans="1:26" x14ac:dyDescent="0.25">
      <c r="A69" s="38"/>
      <c r="B69" s="33"/>
      <c r="C69" s="33"/>
      <c r="D69" s="33"/>
      <c r="E69" s="33"/>
      <c r="F69" s="49"/>
      <c r="G69" s="49"/>
      <c r="H69" s="49"/>
      <c r="I69" s="33"/>
      <c r="J69" s="49"/>
      <c r="K69" s="33"/>
      <c r="L69" s="92"/>
      <c r="M69" s="131"/>
      <c r="N69" s="10"/>
      <c r="O69" s="33"/>
      <c r="P69" s="108"/>
      <c r="Q69" s="111"/>
      <c r="R69" s="113"/>
      <c r="S69" s="9"/>
      <c r="T69" s="38"/>
      <c r="U69" s="52"/>
      <c r="V69" s="52"/>
      <c r="W69" s="149"/>
      <c r="X69" s="55"/>
      <c r="Y69" s="55"/>
      <c r="Z69" s="55"/>
    </row>
    <row r="70" spans="1:26" x14ac:dyDescent="0.25">
      <c r="A70" s="38"/>
      <c r="B70" s="33"/>
      <c r="C70" s="33"/>
      <c r="D70" s="33"/>
      <c r="E70" s="33"/>
      <c r="F70" s="49"/>
      <c r="G70" s="49"/>
      <c r="H70" s="49"/>
      <c r="I70" s="33"/>
      <c r="J70" s="49"/>
      <c r="K70" s="33"/>
      <c r="L70" s="92"/>
      <c r="M70" s="131"/>
      <c r="N70" s="10"/>
      <c r="O70" s="33"/>
      <c r="P70" s="108"/>
      <c r="Q70" s="111"/>
      <c r="R70" s="113"/>
      <c r="S70" s="9"/>
      <c r="T70" s="38"/>
      <c r="U70" s="52"/>
      <c r="V70" s="52"/>
      <c r="W70" s="149"/>
      <c r="X70" s="55"/>
      <c r="Y70" s="55"/>
      <c r="Z70" s="55"/>
    </row>
    <row r="71" spans="1:26" x14ac:dyDescent="0.25">
      <c r="A71" s="38"/>
      <c r="B71" s="33"/>
      <c r="C71" s="33"/>
      <c r="D71" s="33"/>
      <c r="E71" s="33"/>
      <c r="F71" s="49"/>
      <c r="G71" s="49"/>
      <c r="H71" s="49"/>
      <c r="I71" s="33"/>
      <c r="J71" s="49"/>
      <c r="K71" s="33"/>
      <c r="L71" s="92"/>
      <c r="M71" s="131"/>
      <c r="N71" s="10"/>
      <c r="O71" s="33"/>
      <c r="P71" s="108"/>
      <c r="Q71" s="111"/>
      <c r="R71" s="113"/>
      <c r="S71" s="9"/>
      <c r="T71" s="38"/>
      <c r="U71" s="52"/>
      <c r="V71" s="52"/>
      <c r="W71" s="149"/>
      <c r="X71" s="55"/>
      <c r="Y71" s="55"/>
      <c r="Z71" s="55"/>
    </row>
    <row r="72" spans="1:26" x14ac:dyDescent="0.25">
      <c r="A72" s="38"/>
      <c r="B72" s="33"/>
      <c r="C72" s="33"/>
      <c r="D72" s="33"/>
      <c r="E72" s="33"/>
      <c r="F72" s="49"/>
      <c r="G72" s="49"/>
      <c r="H72" s="49"/>
      <c r="I72" s="33"/>
      <c r="J72" s="49"/>
      <c r="K72" s="33"/>
      <c r="L72" s="92"/>
      <c r="M72" s="131"/>
      <c r="N72" s="10"/>
      <c r="O72" s="33"/>
      <c r="P72" s="108"/>
      <c r="Q72" s="111"/>
      <c r="R72" s="113"/>
      <c r="S72" s="9"/>
      <c r="T72" s="38"/>
      <c r="U72" s="52"/>
      <c r="V72" s="52"/>
      <c r="W72" s="149"/>
      <c r="X72" s="55"/>
      <c r="Y72" s="55"/>
      <c r="Z72" s="55"/>
    </row>
    <row r="73" spans="1:26" x14ac:dyDescent="0.25">
      <c r="B73" s="23"/>
      <c r="C73" s="23"/>
      <c r="D73" s="23"/>
      <c r="E73" s="23"/>
      <c r="I73" s="23"/>
      <c r="K73" s="23"/>
    </row>
  </sheetData>
  <autoFilter ref="A6:Z68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8" priority="14" operator="equal">
      <formula>"Y"</formula>
    </cfRule>
  </conditionalFormatting>
  <conditionalFormatting sqref="A7:N72">
    <cfRule type="expression" dxfId="7" priority="7">
      <formula>$M7="Y"</formula>
    </cfRule>
  </conditionalFormatting>
  <conditionalFormatting sqref="M2:M3">
    <cfRule type="cellIs" dxfId="6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Z7:Z53</xm:sqref>
        </x14:dataValidation>
        <x14:dataValidation type="list" allowBlank="1" showInputMessage="1" showErrorMessage="1">
          <x14:formula1>
            <xm:f>'Redmine List Values'!$A$2:$A$7</xm:f>
          </x14:formula1>
          <xm:sqref>Y7:Y53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4"/>
  <sheetViews>
    <sheetView workbookViewId="0">
      <selection activeCell="E18" sqref="E18"/>
    </sheetView>
  </sheetViews>
  <sheetFormatPr defaultRowHeight="15" x14ac:dyDescent="0.25"/>
  <cols>
    <col min="1" max="1" width="9.140625" style="114"/>
    <col min="2" max="2" width="9.140625" style="2" customWidth="1"/>
    <col min="3" max="3" width="8" style="130" bestFit="1" customWidth="1"/>
    <col min="4" max="4" width="9.85546875" style="121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3" customFormat="1" x14ac:dyDescent="0.25">
      <c r="A1" s="114"/>
      <c r="B1" s="165" t="str">
        <f>"Trips that did not appear in PTC Data "&amp;TEXT(Variables!$A$2,"YYYY-mm-dd")</f>
        <v>Trips that did not appear in PTC Data 2016-09-01</v>
      </c>
      <c r="C1" s="165"/>
      <c r="D1" s="165"/>
      <c r="E1" s="165"/>
      <c r="F1" s="165"/>
    </row>
    <row r="2" spans="1:11" s="26" customFormat="1" ht="45" x14ac:dyDescent="0.25">
      <c r="A2" s="163" t="s">
        <v>260</v>
      </c>
      <c r="B2" s="140" t="s">
        <v>64</v>
      </c>
      <c r="C2" s="127" t="s">
        <v>65</v>
      </c>
      <c r="D2" s="12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121</v>
      </c>
    </row>
    <row r="3" spans="1:11" x14ac:dyDescent="0.25">
      <c r="A3" s="114">
        <v>198</v>
      </c>
      <c r="B3" s="2" t="str">
        <f>A3&amp;"-"&amp;IF(DAY(Variables!$A$2)&lt;10,0,"")&amp;DAY(Variables!$A$2)</f>
        <v>198-01</v>
      </c>
      <c r="C3" s="129"/>
      <c r="D3" s="12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22198-01%22)),sort:!(Time,asc))</v>
      </c>
      <c r="J3" s="23"/>
      <c r="K3" s="23"/>
    </row>
    <row r="4" spans="1:11" x14ac:dyDescent="0.25">
      <c r="A4" s="114">
        <v>201</v>
      </c>
      <c r="B4" s="2" t="str">
        <f>A4&amp;"-"&amp;IF(DAY(Variables!$A$2)&lt;10,0,"")&amp;DAY(Variables!$A$2)</f>
        <v>201-01</v>
      </c>
      <c r="C4" s="129"/>
      <c r="D4" s="12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22201-01%22)),sort:!(Time,asc))</v>
      </c>
      <c r="J4" s="23"/>
      <c r="K4" s="23"/>
    </row>
    <row r="5" spans="1:11" x14ac:dyDescent="0.25">
      <c r="A5" s="114">
        <v>202</v>
      </c>
      <c r="B5" s="2" t="str">
        <f>A5&amp;"-"&amp;IF(DAY(Variables!$A$2)&lt;10,0,"")&amp;DAY(Variables!$A$2)</f>
        <v>202-01</v>
      </c>
      <c r="C5" s="129"/>
      <c r="D5" s="12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22202-01%22)),sort:!(Time,asc))</v>
      </c>
      <c r="J5" s="23"/>
      <c r="K5" s="23"/>
    </row>
    <row r="6" spans="1:11" x14ac:dyDescent="0.25">
      <c r="A6" s="114">
        <v>203</v>
      </c>
      <c r="B6" s="2" t="str">
        <f>A6&amp;"-"&amp;IF(DAY(Variables!$A$2)&lt;10,0,"")&amp;DAY(Variables!$A$2)</f>
        <v>203-01</v>
      </c>
      <c r="C6" s="129"/>
      <c r="D6" s="12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22203-01%22)),sort:!(Time,asc))</v>
      </c>
      <c r="J6" s="23"/>
      <c r="K6" s="23"/>
    </row>
    <row r="7" spans="1:11" x14ac:dyDescent="0.25">
      <c r="A7" s="114">
        <v>204</v>
      </c>
      <c r="B7" s="2" t="str">
        <f>A7&amp;"-"&amp;IF(DAY(Variables!$A$2)&lt;10,0,"")&amp;DAY(Variables!$A$2)</f>
        <v>204-01</v>
      </c>
      <c r="C7" s="129"/>
      <c r="D7" s="12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22204-01%22)),sort:!(Time,asc))</v>
      </c>
      <c r="J7" s="23"/>
      <c r="K7" s="23"/>
    </row>
    <row r="8" spans="1:11" x14ac:dyDescent="0.25">
      <c r="A8" s="114">
        <v>207</v>
      </c>
      <c r="B8" s="2" t="str">
        <f>A8&amp;"-"&amp;IF(DAY(Variables!$A$2)&lt;10,0,"")&amp;DAY(Variables!$A$2)</f>
        <v>207-01</v>
      </c>
      <c r="C8" s="129"/>
      <c r="D8" s="12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ref="I8:I12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8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22207-01%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-01</v>
      </c>
      <c r="C9" s="129"/>
      <c r="D9" s="12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-01</v>
      </c>
      <c r="C10" s="129"/>
      <c r="D10" s="12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-01</v>
      </c>
      <c r="C11" s="129"/>
      <c r="D11" s="129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-01</v>
      </c>
      <c r="C12" s="129"/>
      <c r="D12" s="129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C37" s="114"/>
      <c r="D37" s="114"/>
      <c r="I37" s="23"/>
      <c r="J37" s="23"/>
      <c r="K37" s="23"/>
    </row>
    <row r="38" spans="3:11" x14ac:dyDescent="0.25">
      <c r="C38" s="114"/>
      <c r="D38" s="114"/>
      <c r="I38" s="23"/>
      <c r="J38" s="23"/>
      <c r="K38" s="23"/>
    </row>
    <row r="39" spans="3:11" x14ac:dyDescent="0.25">
      <c r="C39" s="114"/>
      <c r="D39" s="114"/>
      <c r="I39" s="23"/>
      <c r="J39" s="23"/>
      <c r="K39" s="23"/>
    </row>
    <row r="40" spans="3:11" x14ac:dyDescent="0.25">
      <c r="C40" s="114"/>
      <c r="D40" s="114"/>
      <c r="I40" s="23"/>
      <c r="J40" s="23"/>
      <c r="K40" s="23"/>
    </row>
    <row r="41" spans="3:11" x14ac:dyDescent="0.25">
      <c r="C41" s="114"/>
      <c r="D41" s="114"/>
      <c r="I41" s="23"/>
      <c r="J41" s="23"/>
      <c r="K41" s="23"/>
    </row>
    <row r="42" spans="3:11" x14ac:dyDescent="0.25">
      <c r="C42" s="114"/>
      <c r="D42" s="114"/>
      <c r="I42" s="23"/>
      <c r="J42" s="23"/>
      <c r="K42" s="23"/>
    </row>
    <row r="43" spans="3:11" x14ac:dyDescent="0.25">
      <c r="C43" s="114"/>
      <c r="D43" s="114"/>
      <c r="I43" s="23"/>
      <c r="J43" s="23"/>
      <c r="K43" s="23"/>
    </row>
    <row r="44" spans="3:11" x14ac:dyDescent="0.25">
      <c r="C44" s="114"/>
      <c r="D44" s="114"/>
      <c r="I44" s="23"/>
      <c r="J44" s="23"/>
      <c r="K44" s="23"/>
    </row>
    <row r="45" spans="3:11" x14ac:dyDescent="0.25">
      <c r="C45" s="114"/>
      <c r="D45" s="114"/>
      <c r="I45" s="23"/>
      <c r="J45" s="23"/>
      <c r="K45" s="23"/>
    </row>
    <row r="46" spans="3:11" x14ac:dyDescent="0.25">
      <c r="C46" s="114"/>
      <c r="D46" s="114"/>
      <c r="I46" s="23"/>
      <c r="J46" s="23"/>
      <c r="K46" s="23"/>
    </row>
    <row r="47" spans="3:11" x14ac:dyDescent="0.25">
      <c r="C47" s="114"/>
      <c r="D47" s="114"/>
      <c r="I47" s="23"/>
      <c r="J47" s="23"/>
      <c r="K47" s="23"/>
    </row>
    <row r="48" spans="3:11" x14ac:dyDescent="0.25">
      <c r="C48" s="114"/>
      <c r="D48" s="114"/>
      <c r="I48" s="23"/>
      <c r="J48" s="23"/>
      <c r="K48" s="23"/>
    </row>
    <row r="49" spans="3:11" x14ac:dyDescent="0.25">
      <c r="C49" s="114"/>
      <c r="D49" s="114"/>
      <c r="I49" s="23"/>
      <c r="J49" s="23"/>
      <c r="K49" s="23"/>
    </row>
    <row r="50" spans="3:11" x14ac:dyDescent="0.25">
      <c r="C50" s="114"/>
      <c r="D50" s="114"/>
      <c r="I50" s="23"/>
      <c r="J50" s="23"/>
      <c r="K50" s="23"/>
    </row>
    <row r="51" spans="3:11" x14ac:dyDescent="0.25">
      <c r="C51" s="114"/>
      <c r="D51" s="114"/>
      <c r="I51" s="23"/>
      <c r="J51" s="23"/>
      <c r="K51" s="23"/>
    </row>
    <row r="52" spans="3:11" x14ac:dyDescent="0.25">
      <c r="C52" s="114"/>
      <c r="D52" s="114"/>
      <c r="I52" s="23"/>
      <c r="J52" s="23"/>
      <c r="K52" s="23"/>
    </row>
    <row r="53" spans="3:11" x14ac:dyDescent="0.25">
      <c r="C53" s="114"/>
      <c r="D53" s="114"/>
      <c r="I53" s="23"/>
      <c r="J53" s="23"/>
      <c r="K53" s="23"/>
    </row>
    <row r="54" spans="3:11" x14ac:dyDescent="0.25">
      <c r="C54" s="114"/>
      <c r="D54" s="114"/>
      <c r="I54" s="23"/>
      <c r="J54" s="23"/>
      <c r="K54" s="23"/>
    </row>
    <row r="55" spans="3:11" x14ac:dyDescent="0.25">
      <c r="C55" s="114"/>
      <c r="D55" s="114"/>
      <c r="I55" s="23"/>
      <c r="J55" s="23"/>
      <c r="K55" s="23"/>
    </row>
    <row r="56" spans="3:11" x14ac:dyDescent="0.25">
      <c r="C56" s="114"/>
      <c r="D56" s="114"/>
      <c r="I56" s="23"/>
      <c r="J56" s="23"/>
      <c r="K56" s="23"/>
    </row>
    <row r="57" spans="3:11" x14ac:dyDescent="0.25">
      <c r="C57" s="114"/>
      <c r="D57" s="114"/>
      <c r="I57" s="23"/>
      <c r="J57" s="23"/>
      <c r="K57" s="23"/>
    </row>
    <row r="58" spans="3:11" x14ac:dyDescent="0.25">
      <c r="C58" s="114"/>
      <c r="D58" s="114"/>
      <c r="I58" s="23"/>
      <c r="J58" s="23"/>
      <c r="K58" s="23"/>
    </row>
    <row r="59" spans="3:11" x14ac:dyDescent="0.25">
      <c r="C59" s="114"/>
      <c r="D59" s="114"/>
      <c r="I59" s="23"/>
      <c r="J59" s="23"/>
      <c r="K59" s="23"/>
    </row>
    <row r="60" spans="3:11" x14ac:dyDescent="0.25">
      <c r="C60" s="114"/>
      <c r="D60" s="114"/>
      <c r="I60" s="23"/>
      <c r="J60" s="23"/>
      <c r="K60" s="23"/>
    </row>
    <row r="61" spans="3:11" x14ac:dyDescent="0.25">
      <c r="C61" s="114"/>
      <c r="D61" s="114"/>
      <c r="I61" s="23"/>
      <c r="J61" s="23"/>
      <c r="K61" s="23"/>
    </row>
    <row r="62" spans="3:11" x14ac:dyDescent="0.25">
      <c r="C62" s="114"/>
      <c r="D62" s="114"/>
      <c r="I62" s="23"/>
      <c r="J62" s="23"/>
      <c r="K62" s="23"/>
    </row>
    <row r="63" spans="3:11" x14ac:dyDescent="0.25">
      <c r="C63" s="114"/>
      <c r="D63" s="114"/>
      <c r="I63" s="23"/>
      <c r="J63" s="23"/>
      <c r="K63" s="23"/>
    </row>
    <row r="64" spans="3:11" x14ac:dyDescent="0.25">
      <c r="C64" s="114"/>
      <c r="D64" s="114"/>
      <c r="I64" s="23"/>
      <c r="J64" s="23"/>
      <c r="K64" s="23"/>
    </row>
    <row r="65" spans="3:11" x14ac:dyDescent="0.25">
      <c r="C65" s="114"/>
      <c r="D65" s="114"/>
      <c r="I65" s="23"/>
      <c r="J65" s="23"/>
      <c r="K65" s="23"/>
    </row>
    <row r="66" spans="3:11" x14ac:dyDescent="0.25">
      <c r="C66" s="114"/>
      <c r="D66" s="114"/>
      <c r="I66" s="23"/>
      <c r="J66" s="23"/>
      <c r="K66" s="23"/>
    </row>
    <row r="67" spans="3:11" x14ac:dyDescent="0.25">
      <c r="C67" s="114"/>
      <c r="D67" s="114"/>
      <c r="I67" s="23"/>
      <c r="J67" s="23"/>
      <c r="K67" s="23"/>
    </row>
    <row r="68" spans="3:11" x14ac:dyDescent="0.25">
      <c r="C68" s="114"/>
      <c r="D68" s="114"/>
      <c r="I68" s="23"/>
      <c r="J68" s="23"/>
      <c r="K68" s="23"/>
    </row>
    <row r="69" spans="3:11" x14ac:dyDescent="0.25">
      <c r="C69" s="114"/>
      <c r="D69" s="114"/>
      <c r="I69" s="23"/>
      <c r="J69" s="23"/>
      <c r="K69" s="23"/>
    </row>
    <row r="70" spans="3:11" x14ac:dyDescent="0.25">
      <c r="C70" s="114"/>
      <c r="D70" s="114"/>
      <c r="I70" s="23"/>
      <c r="J70" s="23"/>
      <c r="K70" s="23"/>
    </row>
    <row r="71" spans="3:11" x14ac:dyDescent="0.25">
      <c r="C71" s="114"/>
      <c r="D71" s="114"/>
      <c r="I71" s="23"/>
      <c r="J71" s="23"/>
      <c r="K71" s="23"/>
    </row>
    <row r="72" spans="3:11" x14ac:dyDescent="0.25">
      <c r="C72" s="114"/>
      <c r="D72" s="114"/>
      <c r="I72" s="23"/>
      <c r="J72" s="23"/>
      <c r="K72" s="23"/>
    </row>
    <row r="73" spans="3:11" x14ac:dyDescent="0.25">
      <c r="C73" s="114"/>
      <c r="D73" s="114"/>
      <c r="I73" s="23"/>
      <c r="J73" s="23"/>
      <c r="K73" s="23"/>
    </row>
    <row r="74" spans="3:11" x14ac:dyDescent="0.25">
      <c r="I74" s="23"/>
      <c r="J74" s="23"/>
      <c r="K74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724</v>
      </c>
      <c r="B1" s="23" t="s">
        <v>725</v>
      </c>
      <c r="C1" s="23" t="s">
        <v>0</v>
      </c>
      <c r="D1" s="23" t="s">
        <v>726</v>
      </c>
      <c r="E1" s="23" t="s">
        <v>727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42614.03707175926</v>
      </c>
      <c r="B2" s="23" t="s">
        <v>357</v>
      </c>
      <c r="C2" s="23" t="s">
        <v>332</v>
      </c>
      <c r="D2" s="23">
        <v>2000000</v>
      </c>
      <c r="E2" s="23" t="s">
        <v>141</v>
      </c>
      <c r="F2" s="23" t="str">
        <f t="shared" ref="F2:F65" si="0">B2</f>
        <v>rtdc.l.rtdc.4001:itc</v>
      </c>
      <c r="G2" s="8">
        <f t="shared" ref="G2:G65" si="1">A2</f>
        <v>42614.03707175926</v>
      </c>
    </row>
    <row r="3" spans="1:7" x14ac:dyDescent="0.25">
      <c r="A3" s="8">
        <v>42614.04755787037</v>
      </c>
      <c r="B3" s="23" t="s">
        <v>91</v>
      </c>
      <c r="C3" s="23" t="s">
        <v>335</v>
      </c>
      <c r="D3" s="23">
        <v>1230000</v>
      </c>
      <c r="E3" s="23" t="s">
        <v>165</v>
      </c>
      <c r="F3" s="23" t="str">
        <f t="shared" si="0"/>
        <v>rtdc.l.rtdc.4029:itc</v>
      </c>
      <c r="G3" s="8">
        <f t="shared" si="1"/>
        <v>42614.04755787037</v>
      </c>
    </row>
    <row r="4" spans="1:7" x14ac:dyDescent="0.25">
      <c r="A4" s="8">
        <v>42614.055694444447</v>
      </c>
      <c r="B4" s="23" t="s">
        <v>279</v>
      </c>
      <c r="C4" s="23" t="s">
        <v>334</v>
      </c>
      <c r="D4" s="23">
        <v>1290000</v>
      </c>
      <c r="E4" s="23" t="s">
        <v>252</v>
      </c>
      <c r="F4" s="23" t="str">
        <f t="shared" si="0"/>
        <v>rtdc.l.rtdc.4015:itc</v>
      </c>
      <c r="G4" s="8">
        <f t="shared" si="1"/>
        <v>42614.055694444447</v>
      </c>
    </row>
    <row r="5" spans="1:7" x14ac:dyDescent="0.25">
      <c r="A5" s="8">
        <v>42614.068113425928</v>
      </c>
      <c r="B5" s="23" t="s">
        <v>172</v>
      </c>
      <c r="C5" s="23" t="s">
        <v>336</v>
      </c>
      <c r="D5" s="23">
        <v>2000000</v>
      </c>
      <c r="E5" s="23" t="s">
        <v>141</v>
      </c>
      <c r="F5" s="23" t="str">
        <f t="shared" si="0"/>
        <v>rtdc.l.rtdc.4002:itc</v>
      </c>
      <c r="G5" s="8">
        <f t="shared" si="1"/>
        <v>42614.068113425928</v>
      </c>
    </row>
    <row r="6" spans="1:7" x14ac:dyDescent="0.25">
      <c r="A6" s="8">
        <v>42614.088703703703</v>
      </c>
      <c r="B6" s="23" t="s">
        <v>286</v>
      </c>
      <c r="C6" s="23" t="s">
        <v>337</v>
      </c>
      <c r="D6" s="23">
        <v>1290000</v>
      </c>
      <c r="E6" s="23" t="s">
        <v>252</v>
      </c>
      <c r="F6" s="23" t="str">
        <f t="shared" si="0"/>
        <v>rtdc.l.rtdc.4016:itc</v>
      </c>
      <c r="G6" s="8">
        <f t="shared" si="1"/>
        <v>42614.088703703703</v>
      </c>
    </row>
    <row r="7" spans="1:7" x14ac:dyDescent="0.25">
      <c r="A7" s="8">
        <v>42614.131041666667</v>
      </c>
      <c r="B7" s="23" t="s">
        <v>147</v>
      </c>
      <c r="C7" s="23" t="s">
        <v>366</v>
      </c>
      <c r="D7" s="23">
        <v>2010000</v>
      </c>
      <c r="E7" s="23" t="s">
        <v>361</v>
      </c>
      <c r="F7" s="23" t="str">
        <f t="shared" si="0"/>
        <v>rtdc.l.rtdc.4042:itc</v>
      </c>
      <c r="G7" s="8">
        <f t="shared" si="1"/>
        <v>42614.131041666667</v>
      </c>
    </row>
    <row r="8" spans="1:7" x14ac:dyDescent="0.25">
      <c r="A8" s="8">
        <v>42614.155231481483</v>
      </c>
      <c r="B8" s="23" t="s">
        <v>225</v>
      </c>
      <c r="C8" s="23" t="s">
        <v>370</v>
      </c>
      <c r="D8" s="23">
        <v>1090000</v>
      </c>
      <c r="E8" s="23" t="s">
        <v>263</v>
      </c>
      <c r="F8" s="23" t="str">
        <f t="shared" si="0"/>
        <v>rtdc.l.rtdc.4020:itc</v>
      </c>
      <c r="G8" s="8">
        <f t="shared" si="1"/>
        <v>42614.155231481483</v>
      </c>
    </row>
    <row r="9" spans="1:7" ht="15.75" thickBot="1" x14ac:dyDescent="0.3">
      <c r="A9" s="27">
        <v>42614.166886574072</v>
      </c>
      <c r="B9" s="23" t="s">
        <v>356</v>
      </c>
      <c r="C9" s="23" t="s">
        <v>368</v>
      </c>
      <c r="D9" s="23">
        <v>2010000</v>
      </c>
      <c r="E9" s="23" t="s">
        <v>361</v>
      </c>
      <c r="F9" s="23" t="str">
        <f t="shared" si="0"/>
        <v>rtdc.l.rtdc.4043:itc</v>
      </c>
      <c r="G9" s="8">
        <f t="shared" si="1"/>
        <v>42614.166886574072</v>
      </c>
    </row>
    <row r="10" spans="1:7" x14ac:dyDescent="0.25">
      <c r="A10" s="8">
        <v>42614.175798611112</v>
      </c>
      <c r="B10" s="23" t="s">
        <v>264</v>
      </c>
      <c r="C10" s="23" t="s">
        <v>372</v>
      </c>
      <c r="D10" s="23">
        <v>1310000</v>
      </c>
      <c r="E10" s="23" t="s">
        <v>728</v>
      </c>
      <c r="F10" s="23" t="str">
        <f t="shared" si="0"/>
        <v>rtdc.l.rtdc.4018:itc</v>
      </c>
      <c r="G10" s="8">
        <f t="shared" si="1"/>
        <v>42614.175798611112</v>
      </c>
    </row>
    <row r="11" spans="1:7" x14ac:dyDescent="0.25">
      <c r="A11" s="8">
        <v>42614.183379629627</v>
      </c>
      <c r="B11" s="23" t="s">
        <v>148</v>
      </c>
      <c r="C11" s="23" t="s">
        <v>377</v>
      </c>
      <c r="D11" s="23">
        <v>1760000</v>
      </c>
      <c r="E11" s="23" t="s">
        <v>362</v>
      </c>
      <c r="F11" s="23" t="str">
        <f t="shared" si="0"/>
        <v>rtdc.l.rtdc.4038:itc</v>
      </c>
      <c r="G11" s="8">
        <f t="shared" si="1"/>
        <v>42614.183379629627</v>
      </c>
    </row>
    <row r="12" spans="1:7" x14ac:dyDescent="0.25">
      <c r="A12" s="8">
        <v>42614.196840277778</v>
      </c>
      <c r="B12" s="23" t="s">
        <v>360</v>
      </c>
      <c r="C12" s="23" t="s">
        <v>380</v>
      </c>
      <c r="D12" s="23">
        <v>2260000</v>
      </c>
      <c r="E12" s="23" t="s">
        <v>185</v>
      </c>
      <c r="F12" s="23" t="str">
        <f t="shared" si="0"/>
        <v>rtdc.l.rtdc.4007:itc</v>
      </c>
      <c r="G12" s="8">
        <f t="shared" si="1"/>
        <v>42614.196840277778</v>
      </c>
    </row>
    <row r="13" spans="1:7" x14ac:dyDescent="0.25">
      <c r="A13" s="8">
        <v>42614.204189814816</v>
      </c>
      <c r="B13" s="23" t="s">
        <v>147</v>
      </c>
      <c r="C13" s="23" t="s">
        <v>383</v>
      </c>
      <c r="D13" s="23">
        <v>1110000</v>
      </c>
      <c r="E13" s="23" t="s">
        <v>250</v>
      </c>
      <c r="F13" s="23" t="str">
        <f t="shared" si="0"/>
        <v>rtdc.l.rtdc.4042:itc</v>
      </c>
      <c r="G13" s="8">
        <f t="shared" si="1"/>
        <v>42614.204189814816</v>
      </c>
    </row>
    <row r="14" spans="1:7" x14ac:dyDescent="0.25">
      <c r="A14" s="8">
        <v>42614.208518518521</v>
      </c>
      <c r="B14" s="23" t="s">
        <v>147</v>
      </c>
      <c r="C14" s="23" t="s">
        <v>383</v>
      </c>
      <c r="D14" s="23">
        <v>1110000</v>
      </c>
      <c r="E14" s="23" t="s">
        <v>250</v>
      </c>
      <c r="F14" s="23" t="str">
        <f t="shared" si="0"/>
        <v>rtdc.l.rtdc.4042:itc</v>
      </c>
      <c r="G14" s="8">
        <f t="shared" si="1"/>
        <v>42614.208518518521</v>
      </c>
    </row>
    <row r="15" spans="1:7" x14ac:dyDescent="0.25">
      <c r="A15" s="8">
        <v>42614.210520833331</v>
      </c>
      <c r="B15" s="23" t="s">
        <v>169</v>
      </c>
      <c r="C15" s="23" t="s">
        <v>602</v>
      </c>
      <c r="D15" s="23">
        <v>1830000</v>
      </c>
      <c r="E15" s="23" t="s">
        <v>729</v>
      </c>
      <c r="F15" s="23" t="str">
        <f t="shared" si="0"/>
        <v>rtdc.l.rtdc.4010:itc</v>
      </c>
      <c r="G15" s="8">
        <f t="shared" si="1"/>
        <v>42614.210520833331</v>
      </c>
    </row>
    <row r="16" spans="1:7" x14ac:dyDescent="0.25">
      <c r="A16" s="8">
        <v>42614.211956018517</v>
      </c>
      <c r="B16" s="23" t="s">
        <v>280</v>
      </c>
      <c r="C16" s="23" t="s">
        <v>375</v>
      </c>
      <c r="D16" s="23">
        <v>1310000</v>
      </c>
      <c r="E16" s="23" t="s">
        <v>728</v>
      </c>
      <c r="F16" s="23" t="str">
        <f t="shared" si="0"/>
        <v>rtdc.l.rtdc.4012:itc</v>
      </c>
      <c r="G16" s="8">
        <f t="shared" si="1"/>
        <v>42614.211956018517</v>
      </c>
    </row>
    <row r="17" spans="1:7" x14ac:dyDescent="0.25">
      <c r="A17" s="8">
        <v>42614.214386574073</v>
      </c>
      <c r="B17" s="23" t="s">
        <v>358</v>
      </c>
      <c r="C17" s="23" t="s">
        <v>386</v>
      </c>
      <c r="D17" s="23">
        <v>2010000</v>
      </c>
      <c r="E17" s="23" t="s">
        <v>361</v>
      </c>
      <c r="F17" s="23" t="str">
        <f t="shared" si="0"/>
        <v>rtdc.l.rtdc.4044:itc</v>
      </c>
      <c r="G17" s="8">
        <f t="shared" si="1"/>
        <v>42614.214386574073</v>
      </c>
    </row>
    <row r="18" spans="1:7" x14ac:dyDescent="0.25">
      <c r="A18" s="8">
        <v>42614.224791666667</v>
      </c>
      <c r="B18" s="23" t="s">
        <v>142</v>
      </c>
      <c r="C18" s="23" t="s">
        <v>379</v>
      </c>
      <c r="D18" s="23">
        <v>1760000</v>
      </c>
      <c r="E18" s="23" t="s">
        <v>362</v>
      </c>
      <c r="F18" s="23" t="str">
        <f t="shared" si="0"/>
        <v>rtdc.l.rtdc.4037:itc</v>
      </c>
      <c r="G18" s="8">
        <f t="shared" si="1"/>
        <v>42614.224791666667</v>
      </c>
    </row>
    <row r="19" spans="1:7" x14ac:dyDescent="0.25">
      <c r="A19" s="8">
        <v>42614.225856481484</v>
      </c>
      <c r="B19" s="23" t="s">
        <v>225</v>
      </c>
      <c r="C19" s="23" t="s">
        <v>390</v>
      </c>
      <c r="D19" s="23">
        <v>2230000</v>
      </c>
      <c r="E19" s="23" t="s">
        <v>281</v>
      </c>
      <c r="F19" s="23" t="str">
        <f t="shared" si="0"/>
        <v>rtdc.l.rtdc.4020:itc</v>
      </c>
      <c r="G19" s="8">
        <f t="shared" si="1"/>
        <v>42614.225856481484</v>
      </c>
    </row>
    <row r="20" spans="1:7" x14ac:dyDescent="0.25">
      <c r="A20" s="8">
        <v>42614.227673611109</v>
      </c>
      <c r="B20" s="23" t="s">
        <v>168</v>
      </c>
      <c r="C20" s="23" t="s">
        <v>605</v>
      </c>
      <c r="D20" s="23">
        <v>1830000</v>
      </c>
      <c r="E20" s="23" t="s">
        <v>729</v>
      </c>
      <c r="F20" s="23" t="str">
        <f t="shared" si="0"/>
        <v>rtdc.l.rtdc.4009:itc</v>
      </c>
      <c r="G20" s="8">
        <f t="shared" si="1"/>
        <v>42614.227673611109</v>
      </c>
    </row>
    <row r="21" spans="1:7" x14ac:dyDescent="0.25">
      <c r="A21" s="8">
        <v>42614.231724537036</v>
      </c>
      <c r="B21" s="23" t="s">
        <v>114</v>
      </c>
      <c r="C21" s="23" t="s">
        <v>393</v>
      </c>
      <c r="D21" s="23">
        <v>1090000</v>
      </c>
      <c r="E21" s="23" t="s">
        <v>263</v>
      </c>
      <c r="F21" s="23" t="str">
        <f t="shared" si="0"/>
        <v>rtdc.l.rtdc.4031:itc</v>
      </c>
      <c r="G21" s="8">
        <f t="shared" si="1"/>
        <v>42614.231724537036</v>
      </c>
    </row>
    <row r="22" spans="1:7" x14ac:dyDescent="0.25">
      <c r="A22" s="29">
        <v>42614.235833333332</v>
      </c>
      <c r="B22" s="23" t="s">
        <v>359</v>
      </c>
      <c r="C22" s="23" t="s">
        <v>382</v>
      </c>
      <c r="D22" s="23">
        <v>2260000</v>
      </c>
      <c r="E22" s="23" t="s">
        <v>185</v>
      </c>
      <c r="F22" s="23" t="str">
        <f t="shared" si="0"/>
        <v>rtdc.l.rtdc.4008:itc</v>
      </c>
      <c r="G22" s="8">
        <f t="shared" si="1"/>
        <v>42614.235833333332</v>
      </c>
    </row>
    <row r="23" spans="1:7" x14ac:dyDescent="0.25">
      <c r="A23" s="8">
        <v>42614.245335648149</v>
      </c>
      <c r="B23" s="23" t="s">
        <v>90</v>
      </c>
      <c r="C23" s="23" t="s">
        <v>707</v>
      </c>
      <c r="D23" s="23">
        <v>1100000</v>
      </c>
      <c r="E23" s="23" t="s">
        <v>282</v>
      </c>
      <c r="F23" s="23" t="str">
        <f t="shared" si="0"/>
        <v>rtdc.l.rtdc.4013:itc</v>
      </c>
      <c r="G23" s="8">
        <f t="shared" si="1"/>
        <v>42614.245335648149</v>
      </c>
    </row>
    <row r="24" spans="1:7" x14ac:dyDescent="0.25">
      <c r="A24" s="8">
        <v>42614.245625000003</v>
      </c>
      <c r="B24" s="23" t="s">
        <v>176</v>
      </c>
      <c r="C24" s="23" t="s">
        <v>385</v>
      </c>
      <c r="D24" s="23">
        <v>1110000</v>
      </c>
      <c r="E24" s="23" t="s">
        <v>250</v>
      </c>
      <c r="F24" s="23" t="str">
        <f t="shared" si="0"/>
        <v>rtdc.l.rtdc.4041:itc</v>
      </c>
      <c r="G24" s="8">
        <f t="shared" si="1"/>
        <v>42614.245625000003</v>
      </c>
    </row>
    <row r="25" spans="1:7" x14ac:dyDescent="0.25">
      <c r="A25" s="8">
        <v>42614.24763888889</v>
      </c>
      <c r="B25" s="23" t="s">
        <v>264</v>
      </c>
      <c r="C25" s="23" t="s">
        <v>397</v>
      </c>
      <c r="D25" s="23">
        <v>1310000</v>
      </c>
      <c r="E25" s="23" t="s">
        <v>728</v>
      </c>
      <c r="F25" s="23" t="str">
        <f t="shared" si="0"/>
        <v>rtdc.l.rtdc.4018:itc</v>
      </c>
      <c r="G25" s="8">
        <f t="shared" si="1"/>
        <v>42614.24763888889</v>
      </c>
    </row>
    <row r="26" spans="1:7" x14ac:dyDescent="0.25">
      <c r="A26" s="8">
        <v>42614.250636574077</v>
      </c>
      <c r="B26" s="23" t="s">
        <v>356</v>
      </c>
      <c r="C26" s="23" t="s">
        <v>389</v>
      </c>
      <c r="D26" s="23">
        <v>2010000</v>
      </c>
      <c r="E26" s="23" t="s">
        <v>361</v>
      </c>
      <c r="F26" s="23" t="str">
        <f t="shared" si="0"/>
        <v>rtdc.l.rtdc.4043:itc</v>
      </c>
      <c r="G26" s="8">
        <f t="shared" si="1"/>
        <v>42614.250636574077</v>
      </c>
    </row>
    <row r="27" spans="1:7" x14ac:dyDescent="0.25">
      <c r="A27" s="8">
        <v>42614.254537037035</v>
      </c>
      <c r="B27" s="23" t="s">
        <v>169</v>
      </c>
      <c r="C27" s="23" t="s">
        <v>608</v>
      </c>
      <c r="D27" s="23">
        <v>1830000</v>
      </c>
      <c r="E27" s="23" t="s">
        <v>729</v>
      </c>
      <c r="F27" s="23" t="str">
        <f t="shared" si="0"/>
        <v>rtdc.l.rtdc.4010:itc</v>
      </c>
      <c r="G27" s="8">
        <f t="shared" si="1"/>
        <v>42614.254537037035</v>
      </c>
    </row>
    <row r="28" spans="1:7" x14ac:dyDescent="0.25">
      <c r="A28" s="8">
        <v>42614.256863425922</v>
      </c>
      <c r="B28" s="23" t="s">
        <v>148</v>
      </c>
      <c r="C28" s="23" t="s">
        <v>400</v>
      </c>
      <c r="D28" s="23">
        <v>1760000</v>
      </c>
      <c r="E28" s="23" t="s">
        <v>362</v>
      </c>
      <c r="F28" s="23" t="str">
        <f t="shared" si="0"/>
        <v>rtdc.l.rtdc.4038:itc</v>
      </c>
      <c r="G28" s="8">
        <f t="shared" si="1"/>
        <v>42614.256863425922</v>
      </c>
    </row>
    <row r="29" spans="1:7" x14ac:dyDescent="0.25">
      <c r="A29" s="8">
        <v>42614.259201388886</v>
      </c>
      <c r="B29" s="23" t="s">
        <v>112</v>
      </c>
      <c r="C29" s="23" t="s">
        <v>610</v>
      </c>
      <c r="D29" s="23">
        <v>1100000</v>
      </c>
      <c r="E29" s="23" t="s">
        <v>282</v>
      </c>
      <c r="F29" s="23" t="str">
        <f t="shared" si="0"/>
        <v>rtdc.l.rtdc.4014:itc</v>
      </c>
      <c r="G29" s="8">
        <f t="shared" si="1"/>
        <v>42614.259201388886</v>
      </c>
    </row>
    <row r="30" spans="1:7" x14ac:dyDescent="0.25">
      <c r="A30" s="8">
        <v>42614.264907407407</v>
      </c>
      <c r="B30" s="23" t="s">
        <v>224</v>
      </c>
      <c r="C30" s="23" t="s">
        <v>392</v>
      </c>
      <c r="D30" s="23">
        <v>2230000</v>
      </c>
      <c r="E30" s="23" t="s">
        <v>281</v>
      </c>
      <c r="F30" s="23" t="str">
        <f t="shared" si="0"/>
        <v>rtdc.l.rtdc.4019:itc</v>
      </c>
      <c r="G30" s="8">
        <f t="shared" si="1"/>
        <v>42614.264907407407</v>
      </c>
    </row>
    <row r="31" spans="1:7" x14ac:dyDescent="0.25">
      <c r="A31" s="8">
        <v>42614.26898148148</v>
      </c>
      <c r="B31" s="23" t="s">
        <v>360</v>
      </c>
      <c r="C31" s="23" t="s">
        <v>404</v>
      </c>
      <c r="D31" s="23">
        <v>2260000</v>
      </c>
      <c r="E31" s="23" t="s">
        <v>185</v>
      </c>
      <c r="F31" s="23" t="str">
        <f t="shared" si="0"/>
        <v>rtdc.l.rtdc.4007:itc</v>
      </c>
      <c r="G31" s="8">
        <f t="shared" si="1"/>
        <v>42614.26898148148</v>
      </c>
    </row>
    <row r="32" spans="1:7" x14ac:dyDescent="0.25">
      <c r="A32" s="8">
        <v>42614.270300925928</v>
      </c>
      <c r="B32" s="23" t="s">
        <v>168</v>
      </c>
      <c r="C32" s="23" t="s">
        <v>613</v>
      </c>
      <c r="D32" s="23">
        <v>1830000</v>
      </c>
      <c r="E32" s="23" t="s">
        <v>729</v>
      </c>
      <c r="F32" s="23" t="str">
        <f t="shared" si="0"/>
        <v>rtdc.l.rtdc.4009:itc</v>
      </c>
      <c r="G32" s="8">
        <f t="shared" si="1"/>
        <v>42614.270300925928</v>
      </c>
    </row>
    <row r="33" spans="1:7" x14ac:dyDescent="0.25">
      <c r="A33" s="8">
        <v>42614.276226851849</v>
      </c>
      <c r="B33" s="23" t="s">
        <v>90</v>
      </c>
      <c r="C33" s="23" t="s">
        <v>611</v>
      </c>
      <c r="D33" s="23">
        <v>1100000</v>
      </c>
      <c r="E33" s="23" t="s">
        <v>282</v>
      </c>
      <c r="F33" s="23" t="str">
        <f t="shared" si="0"/>
        <v>rtdc.l.rtdc.4013:itc</v>
      </c>
      <c r="G33" s="8">
        <f t="shared" si="1"/>
        <v>42614.276226851849</v>
      </c>
    </row>
    <row r="34" spans="1:7" x14ac:dyDescent="0.25">
      <c r="A34" s="8">
        <v>42614.277824074074</v>
      </c>
      <c r="B34" s="23" t="s">
        <v>147</v>
      </c>
      <c r="C34" s="23" t="s">
        <v>408</v>
      </c>
      <c r="D34" s="23">
        <v>1110000</v>
      </c>
      <c r="E34" s="23" t="s">
        <v>250</v>
      </c>
      <c r="F34" s="23" t="str">
        <f t="shared" si="0"/>
        <v>rtdc.l.rtdc.4042:itc</v>
      </c>
      <c r="G34" s="8">
        <f t="shared" si="1"/>
        <v>42614.277824074074</v>
      </c>
    </row>
    <row r="35" spans="1:7" x14ac:dyDescent="0.25">
      <c r="A35" s="8">
        <v>42614.278807870367</v>
      </c>
      <c r="B35" s="23" t="s">
        <v>115</v>
      </c>
      <c r="C35" s="23" t="s">
        <v>394</v>
      </c>
      <c r="D35" s="23">
        <v>1090000</v>
      </c>
      <c r="E35" s="23" t="s">
        <v>263</v>
      </c>
      <c r="F35" s="23" t="str">
        <f t="shared" si="0"/>
        <v>rtdc.l.rtdc.4032:itc</v>
      </c>
      <c r="G35" s="8">
        <f t="shared" si="1"/>
        <v>42614.278807870367</v>
      </c>
    </row>
    <row r="36" spans="1:7" x14ac:dyDescent="0.25">
      <c r="A36" s="8">
        <v>42614.287222222221</v>
      </c>
      <c r="B36" s="23" t="s">
        <v>265</v>
      </c>
      <c r="C36" s="23" t="s">
        <v>399</v>
      </c>
      <c r="D36" s="23">
        <v>1310000</v>
      </c>
      <c r="E36" s="23" t="s">
        <v>728</v>
      </c>
      <c r="F36" s="23" t="str">
        <f t="shared" si="0"/>
        <v>rtdc.l.rtdc.4017:itc</v>
      </c>
      <c r="G36" s="8">
        <f t="shared" si="1"/>
        <v>42614.287222222221</v>
      </c>
    </row>
    <row r="37" spans="1:7" x14ac:dyDescent="0.25">
      <c r="A37" s="8">
        <v>42614.288611111115</v>
      </c>
      <c r="B37" s="23" t="s">
        <v>358</v>
      </c>
      <c r="C37" s="23" t="s">
        <v>412</v>
      </c>
      <c r="D37" s="23">
        <v>2010000</v>
      </c>
      <c r="E37" s="23" t="s">
        <v>361</v>
      </c>
      <c r="F37" s="23" t="str">
        <f t="shared" si="0"/>
        <v>rtdc.l.rtdc.4044:itc</v>
      </c>
      <c r="G37" s="8">
        <f t="shared" si="1"/>
        <v>42614.288611111115</v>
      </c>
    </row>
    <row r="38" spans="1:7" x14ac:dyDescent="0.25">
      <c r="A38" s="8">
        <v>42614.295624999999</v>
      </c>
      <c r="B38" s="23" t="s">
        <v>142</v>
      </c>
      <c r="C38" s="23" t="s">
        <v>402</v>
      </c>
      <c r="D38" s="23">
        <v>1760000</v>
      </c>
      <c r="E38" s="23" t="s">
        <v>362</v>
      </c>
      <c r="F38" s="23" t="str">
        <f t="shared" si="0"/>
        <v>rtdc.l.rtdc.4037:itc</v>
      </c>
      <c r="G38" s="8">
        <f t="shared" si="1"/>
        <v>42614.295624999999</v>
      </c>
    </row>
    <row r="39" spans="1:7" x14ac:dyDescent="0.25">
      <c r="A39" s="8">
        <v>42614.296597222223</v>
      </c>
      <c r="B39" s="23" t="s">
        <v>169</v>
      </c>
      <c r="C39" s="23" t="s">
        <v>615</v>
      </c>
      <c r="D39" s="23">
        <v>1830000</v>
      </c>
      <c r="E39" s="23" t="s">
        <v>729</v>
      </c>
      <c r="F39" s="23" t="str">
        <f t="shared" si="0"/>
        <v>rtdc.l.rtdc.4010:itc</v>
      </c>
      <c r="G39" s="8">
        <f t="shared" si="1"/>
        <v>42614.296597222223</v>
      </c>
    </row>
    <row r="40" spans="1:7" x14ac:dyDescent="0.25">
      <c r="A40" s="8">
        <v>42614.299710648149</v>
      </c>
      <c r="B40" s="28" t="s">
        <v>225</v>
      </c>
      <c r="C40" s="23" t="s">
        <v>415</v>
      </c>
      <c r="D40" s="23">
        <v>2230000</v>
      </c>
      <c r="E40" s="23" t="s">
        <v>281</v>
      </c>
      <c r="F40" s="23" t="str">
        <f t="shared" si="0"/>
        <v>rtdc.l.rtdc.4020:itc</v>
      </c>
      <c r="G40" s="8">
        <f t="shared" si="1"/>
        <v>42614.299710648149</v>
      </c>
    </row>
    <row r="41" spans="1:7" x14ac:dyDescent="0.25">
      <c r="A41" s="8">
        <v>42614.305231481485</v>
      </c>
      <c r="B41" s="23" t="s">
        <v>112</v>
      </c>
      <c r="C41" s="23" t="s">
        <v>618</v>
      </c>
      <c r="D41" s="23">
        <v>1340000</v>
      </c>
      <c r="E41" s="23" t="s">
        <v>730</v>
      </c>
      <c r="F41" s="23" t="str">
        <f t="shared" si="0"/>
        <v>rtdc.l.rtdc.4014:itc</v>
      </c>
      <c r="G41" s="8">
        <f t="shared" si="1"/>
        <v>42614.305231481485</v>
      </c>
    </row>
    <row r="42" spans="1:7" x14ac:dyDescent="0.25">
      <c r="A42" s="8">
        <v>42614.308761574073</v>
      </c>
      <c r="B42" s="23" t="s">
        <v>359</v>
      </c>
      <c r="C42" s="23" t="s">
        <v>406</v>
      </c>
      <c r="D42" s="23">
        <v>2260000</v>
      </c>
      <c r="E42" s="23" t="s">
        <v>185</v>
      </c>
      <c r="F42" s="23" t="str">
        <f t="shared" si="0"/>
        <v>rtdc.l.rtdc.4008:itc</v>
      </c>
      <c r="G42" s="8">
        <f t="shared" si="1"/>
        <v>42614.308761574073</v>
      </c>
    </row>
    <row r="43" spans="1:7" x14ac:dyDescent="0.25">
      <c r="A43" s="8">
        <v>42614.31177083333</v>
      </c>
      <c r="B43" s="23" t="s">
        <v>168</v>
      </c>
      <c r="C43" s="23" t="s">
        <v>624</v>
      </c>
      <c r="D43" s="23">
        <v>1830000</v>
      </c>
      <c r="E43" s="23" t="s">
        <v>729</v>
      </c>
      <c r="F43" s="23" t="str">
        <f t="shared" si="0"/>
        <v>rtdc.l.rtdc.4009:itc</v>
      </c>
      <c r="G43" s="8">
        <f t="shared" si="1"/>
        <v>42614.31177083333</v>
      </c>
    </row>
    <row r="44" spans="1:7" x14ac:dyDescent="0.25">
      <c r="A44" s="8">
        <v>42614.317627314813</v>
      </c>
      <c r="B44" s="23" t="s">
        <v>90</v>
      </c>
      <c r="C44" s="23" t="s">
        <v>621</v>
      </c>
      <c r="D44" s="23">
        <v>1340000</v>
      </c>
      <c r="E44" s="23" t="s">
        <v>730</v>
      </c>
      <c r="F44" s="23" t="str">
        <f t="shared" si="0"/>
        <v>rtdc.l.rtdc.4013:itc</v>
      </c>
      <c r="G44" s="8">
        <f t="shared" si="1"/>
        <v>42614.317627314813</v>
      </c>
    </row>
    <row r="45" spans="1:7" x14ac:dyDescent="0.25">
      <c r="A45" s="8">
        <v>42614.318240740744</v>
      </c>
      <c r="B45" s="23" t="s">
        <v>176</v>
      </c>
      <c r="C45" s="23" t="s">
        <v>409</v>
      </c>
      <c r="D45" s="23">
        <v>1110000</v>
      </c>
      <c r="E45" s="23" t="s">
        <v>250</v>
      </c>
      <c r="F45" s="23" t="str">
        <f t="shared" si="0"/>
        <v>rtdc.l.rtdc.4041:itc</v>
      </c>
      <c r="G45" s="8">
        <f t="shared" si="1"/>
        <v>42614.318240740744</v>
      </c>
    </row>
    <row r="46" spans="1:7" x14ac:dyDescent="0.25">
      <c r="A46" s="8">
        <v>42614.321944444448</v>
      </c>
      <c r="B46" s="23" t="s">
        <v>264</v>
      </c>
      <c r="C46" s="23" t="s">
        <v>419</v>
      </c>
      <c r="D46" s="23">
        <v>1310000</v>
      </c>
      <c r="E46" s="23" t="s">
        <v>728</v>
      </c>
      <c r="F46" s="23" t="str">
        <f t="shared" si="0"/>
        <v>rtdc.l.rtdc.4018:itc</v>
      </c>
      <c r="G46" s="8">
        <f t="shared" si="1"/>
        <v>42614.321944444448</v>
      </c>
    </row>
    <row r="47" spans="1:7" x14ac:dyDescent="0.25">
      <c r="A47" s="8">
        <v>42614.323645833334</v>
      </c>
      <c r="B47" s="23" t="s">
        <v>356</v>
      </c>
      <c r="C47" s="23" t="s">
        <v>414</v>
      </c>
      <c r="D47" s="23">
        <v>2010000</v>
      </c>
      <c r="E47" s="23" t="s">
        <v>361</v>
      </c>
      <c r="F47" s="23" t="str">
        <f t="shared" si="0"/>
        <v>rtdc.l.rtdc.4043:itc</v>
      </c>
      <c r="G47" s="8">
        <f t="shared" si="1"/>
        <v>42614.323645833334</v>
      </c>
    </row>
    <row r="48" spans="1:7" x14ac:dyDescent="0.25">
      <c r="A48" s="8">
        <v>42614.329027777778</v>
      </c>
      <c r="B48" s="23" t="s">
        <v>224</v>
      </c>
      <c r="C48" s="23" t="s">
        <v>416</v>
      </c>
      <c r="D48" s="23">
        <v>2230000</v>
      </c>
      <c r="E48" s="23" t="s">
        <v>281</v>
      </c>
      <c r="F48" s="23" t="str">
        <f t="shared" si="0"/>
        <v>rtdc.l.rtdc.4019:itc</v>
      </c>
      <c r="G48" s="8">
        <f t="shared" si="1"/>
        <v>42614.329027777778</v>
      </c>
    </row>
    <row r="49" spans="1:7" x14ac:dyDescent="0.25">
      <c r="A49" s="8">
        <v>42614.33079861111</v>
      </c>
      <c r="B49" s="23" t="s">
        <v>148</v>
      </c>
      <c r="C49" s="23" t="s">
        <v>422</v>
      </c>
      <c r="D49" s="23">
        <v>1760000</v>
      </c>
      <c r="E49" s="23" t="s">
        <v>362</v>
      </c>
      <c r="F49" s="23" t="str">
        <f t="shared" si="0"/>
        <v>rtdc.l.rtdc.4038:itc</v>
      </c>
      <c r="G49" s="8">
        <f t="shared" si="1"/>
        <v>42614.33079861111</v>
      </c>
    </row>
    <row r="50" spans="1:7" x14ac:dyDescent="0.25">
      <c r="A50" s="8">
        <v>42614.338043981479</v>
      </c>
      <c r="B50" s="23" t="s">
        <v>169</v>
      </c>
      <c r="C50" s="23" t="s">
        <v>627</v>
      </c>
      <c r="D50" s="23">
        <v>1830000</v>
      </c>
      <c r="E50" s="23" t="s">
        <v>729</v>
      </c>
      <c r="F50" s="23" t="str">
        <f t="shared" si="0"/>
        <v>rtdc.l.rtdc.4010:itc</v>
      </c>
      <c r="G50" s="8">
        <f t="shared" si="1"/>
        <v>42614.338043981479</v>
      </c>
    </row>
    <row r="51" spans="1:7" x14ac:dyDescent="0.25">
      <c r="A51" s="8">
        <v>42614.342129629629</v>
      </c>
      <c r="B51" s="23" t="s">
        <v>360</v>
      </c>
      <c r="C51" s="23" t="s">
        <v>424</v>
      </c>
      <c r="D51" s="23">
        <v>2260000</v>
      </c>
      <c r="E51" s="23" t="s">
        <v>185</v>
      </c>
      <c r="F51" s="23" t="str">
        <f t="shared" si="0"/>
        <v>rtdc.l.rtdc.4007:itc</v>
      </c>
      <c r="G51" s="8">
        <f t="shared" si="1"/>
        <v>42614.342129629629</v>
      </c>
    </row>
    <row r="52" spans="1:7" x14ac:dyDescent="0.25">
      <c r="A52" s="8">
        <v>42614.343506944446</v>
      </c>
      <c r="B52" s="23" t="s">
        <v>112</v>
      </c>
      <c r="C52" s="23" t="s">
        <v>629</v>
      </c>
      <c r="D52" s="23">
        <v>1340000</v>
      </c>
      <c r="E52" s="23" t="s">
        <v>730</v>
      </c>
      <c r="F52" s="23" t="str">
        <f t="shared" si="0"/>
        <v>rtdc.l.rtdc.4014:itc</v>
      </c>
      <c r="G52" s="8">
        <f t="shared" si="1"/>
        <v>42614.343506944446</v>
      </c>
    </row>
    <row r="53" spans="1:7" x14ac:dyDescent="0.25">
      <c r="A53" s="8">
        <v>42614.345335648148</v>
      </c>
      <c r="B53" s="23" t="s">
        <v>115</v>
      </c>
      <c r="C53" s="23" t="s">
        <v>418</v>
      </c>
      <c r="D53" s="23">
        <v>1090000</v>
      </c>
      <c r="E53" s="23" t="s">
        <v>263</v>
      </c>
      <c r="F53" s="23" t="str">
        <f t="shared" si="0"/>
        <v>rtdc.l.rtdc.4032:itc</v>
      </c>
      <c r="G53" s="8">
        <f t="shared" si="1"/>
        <v>42614.345335648148</v>
      </c>
    </row>
    <row r="54" spans="1:7" x14ac:dyDescent="0.25">
      <c r="A54" s="8">
        <v>42614.352118055554</v>
      </c>
      <c r="B54" s="23" t="s">
        <v>147</v>
      </c>
      <c r="C54" s="23" t="s">
        <v>429</v>
      </c>
      <c r="D54" s="23">
        <v>1110000</v>
      </c>
      <c r="E54" s="23" t="s">
        <v>250</v>
      </c>
      <c r="F54" s="23" t="str">
        <f t="shared" si="0"/>
        <v>rtdc.l.rtdc.4042:itc</v>
      </c>
      <c r="G54" s="8">
        <f t="shared" si="1"/>
        <v>42614.352118055554</v>
      </c>
    </row>
    <row r="55" spans="1:7" x14ac:dyDescent="0.25">
      <c r="A55" s="8">
        <v>42614.358935185184</v>
      </c>
      <c r="B55" s="23" t="s">
        <v>90</v>
      </c>
      <c r="C55" s="23" t="s">
        <v>631</v>
      </c>
      <c r="D55" s="23">
        <v>1340000</v>
      </c>
      <c r="E55" s="23" t="s">
        <v>730</v>
      </c>
      <c r="F55" s="23" t="str">
        <f t="shared" si="0"/>
        <v>rtdc.l.rtdc.4013:itc</v>
      </c>
      <c r="G55" s="8">
        <f t="shared" si="1"/>
        <v>42614.358935185184</v>
      </c>
    </row>
    <row r="56" spans="1:7" x14ac:dyDescent="0.25">
      <c r="A56" s="8">
        <v>42614.360185185185</v>
      </c>
      <c r="B56" s="23" t="s">
        <v>358</v>
      </c>
      <c r="C56" s="23" t="s">
        <v>432</v>
      </c>
      <c r="D56" s="23">
        <v>2010000</v>
      </c>
      <c r="E56" s="23" t="s">
        <v>361</v>
      </c>
      <c r="F56" s="23" t="str">
        <f t="shared" si="0"/>
        <v>rtdc.l.rtdc.4044:itc</v>
      </c>
      <c r="G56" s="8">
        <f t="shared" si="1"/>
        <v>42614.360185185185</v>
      </c>
    </row>
    <row r="57" spans="1:7" x14ac:dyDescent="0.25">
      <c r="A57" s="8">
        <v>42614.360868055555</v>
      </c>
      <c r="B57" s="23" t="s">
        <v>265</v>
      </c>
      <c r="C57" s="23" t="s">
        <v>420</v>
      </c>
      <c r="D57" s="23">
        <v>1310000</v>
      </c>
      <c r="E57" s="23" t="s">
        <v>728</v>
      </c>
      <c r="F57" s="23" t="str">
        <f t="shared" si="0"/>
        <v>rtdc.l.rtdc.4017:itc</v>
      </c>
      <c r="G57" s="8">
        <f t="shared" si="1"/>
        <v>42614.360868055555</v>
      </c>
    </row>
    <row r="58" spans="1:7" x14ac:dyDescent="0.25">
      <c r="A58" s="8">
        <v>42614.36886574074</v>
      </c>
      <c r="B58" s="23" t="s">
        <v>142</v>
      </c>
      <c r="C58" s="23" t="s">
        <v>423</v>
      </c>
      <c r="D58" s="23">
        <v>1760000</v>
      </c>
      <c r="E58" s="23" t="s">
        <v>362</v>
      </c>
      <c r="F58" s="23" t="str">
        <f t="shared" si="0"/>
        <v>rtdc.l.rtdc.4037:itc</v>
      </c>
      <c r="G58" s="8">
        <f t="shared" si="1"/>
        <v>42614.36886574074</v>
      </c>
    </row>
    <row r="59" spans="1:7" x14ac:dyDescent="0.25">
      <c r="A59" s="8">
        <v>42614.371493055558</v>
      </c>
      <c r="B59" s="23" t="s">
        <v>225</v>
      </c>
      <c r="C59" s="23" t="s">
        <v>434</v>
      </c>
      <c r="D59" s="23">
        <v>2230000</v>
      </c>
      <c r="E59" s="23" t="s">
        <v>281</v>
      </c>
      <c r="F59" s="23" t="str">
        <f t="shared" si="0"/>
        <v>rtdc.l.rtdc.4020:itc</v>
      </c>
      <c r="G59" s="8">
        <f t="shared" si="1"/>
        <v>42614.371493055558</v>
      </c>
    </row>
    <row r="60" spans="1:7" x14ac:dyDescent="0.25">
      <c r="A60" s="8">
        <v>42614.380636574075</v>
      </c>
      <c r="B60" s="23" t="s">
        <v>359</v>
      </c>
      <c r="C60" s="23" t="s">
        <v>427</v>
      </c>
      <c r="D60" s="23">
        <v>2260000</v>
      </c>
      <c r="E60" s="23" t="s">
        <v>185</v>
      </c>
      <c r="F60" s="23" t="str">
        <f t="shared" si="0"/>
        <v>rtdc.l.rtdc.4008:itc</v>
      </c>
      <c r="G60" s="8">
        <f t="shared" si="1"/>
        <v>42614.380636574075</v>
      </c>
    </row>
    <row r="61" spans="1:7" x14ac:dyDescent="0.25">
      <c r="A61" s="8">
        <v>42614.384652777779</v>
      </c>
      <c r="B61" s="23" t="s">
        <v>114</v>
      </c>
      <c r="C61" s="23" t="s">
        <v>437</v>
      </c>
      <c r="D61" s="23">
        <v>1090000</v>
      </c>
      <c r="E61" s="23" t="s">
        <v>263</v>
      </c>
      <c r="F61" s="23" t="str">
        <f t="shared" si="0"/>
        <v>rtdc.l.rtdc.4031:itc</v>
      </c>
      <c r="G61" s="8">
        <f t="shared" si="1"/>
        <v>42614.384652777779</v>
      </c>
    </row>
    <row r="62" spans="1:7" x14ac:dyDescent="0.25">
      <c r="A62" s="8">
        <v>42614.385821759257</v>
      </c>
      <c r="B62" s="23" t="s">
        <v>112</v>
      </c>
      <c r="C62" s="23" t="s">
        <v>634</v>
      </c>
      <c r="D62" s="23">
        <v>1100000</v>
      </c>
      <c r="E62" s="23" t="s">
        <v>282</v>
      </c>
      <c r="F62" s="23" t="str">
        <f t="shared" si="0"/>
        <v>rtdc.l.rtdc.4014:itc</v>
      </c>
      <c r="G62" s="8">
        <f t="shared" si="1"/>
        <v>42614.385821759257</v>
      </c>
    </row>
    <row r="63" spans="1:7" x14ac:dyDescent="0.25">
      <c r="A63" s="8">
        <v>42614.389270833337</v>
      </c>
      <c r="B63" s="23" t="s">
        <v>176</v>
      </c>
      <c r="C63" s="23" t="s">
        <v>431</v>
      </c>
      <c r="D63" s="23">
        <v>1110000</v>
      </c>
      <c r="E63" s="23" t="s">
        <v>250</v>
      </c>
      <c r="F63" s="23" t="str">
        <f t="shared" si="0"/>
        <v>rtdc.l.rtdc.4041:itc</v>
      </c>
      <c r="G63" s="8">
        <f t="shared" si="1"/>
        <v>42614.389270833337</v>
      </c>
    </row>
    <row r="64" spans="1:7" x14ac:dyDescent="0.25">
      <c r="A64" s="29">
        <v>42614.394317129627</v>
      </c>
      <c r="B64" s="23" t="s">
        <v>264</v>
      </c>
      <c r="C64" s="23" t="s">
        <v>440</v>
      </c>
      <c r="D64" s="23">
        <v>1310000</v>
      </c>
      <c r="E64" s="23" t="s">
        <v>728</v>
      </c>
      <c r="F64" s="23" t="str">
        <f t="shared" si="0"/>
        <v>rtdc.l.rtdc.4018:itc</v>
      </c>
      <c r="G64" s="8">
        <f t="shared" si="1"/>
        <v>42614.394317129627</v>
      </c>
    </row>
    <row r="65" spans="1:7" x14ac:dyDescent="0.25">
      <c r="A65" s="8">
        <v>42614.395462962966</v>
      </c>
      <c r="B65" s="23" t="s">
        <v>356</v>
      </c>
      <c r="C65" s="23" t="s">
        <v>433</v>
      </c>
      <c r="D65" s="23">
        <v>2010000</v>
      </c>
      <c r="E65" s="23" t="s">
        <v>361</v>
      </c>
      <c r="F65" s="23" t="str">
        <f t="shared" si="0"/>
        <v>rtdc.l.rtdc.4043:itc</v>
      </c>
      <c r="G65" s="8">
        <f t="shared" si="1"/>
        <v>42614.395462962966</v>
      </c>
    </row>
    <row r="66" spans="1:7" x14ac:dyDescent="0.25">
      <c r="A66" s="8">
        <v>42614.401631944442</v>
      </c>
      <c r="B66" s="23" t="s">
        <v>90</v>
      </c>
      <c r="C66" s="23" t="s">
        <v>637</v>
      </c>
      <c r="D66" s="23">
        <v>1100000</v>
      </c>
      <c r="E66" s="23" t="s">
        <v>282</v>
      </c>
      <c r="F66" s="23" t="str">
        <f t="shared" ref="F66:F129" si="2">B66</f>
        <v>rtdc.l.rtdc.4013:itc</v>
      </c>
      <c r="G66" s="8">
        <f t="shared" ref="G66:G129" si="3">A66</f>
        <v>42614.401631944442</v>
      </c>
    </row>
    <row r="67" spans="1:7" x14ac:dyDescent="0.25">
      <c r="A67" s="8">
        <v>42614.404143518521</v>
      </c>
      <c r="B67" s="23" t="s">
        <v>148</v>
      </c>
      <c r="C67" s="23" t="s">
        <v>443</v>
      </c>
      <c r="D67" s="23">
        <v>1760000</v>
      </c>
      <c r="E67" s="23" t="s">
        <v>362</v>
      </c>
      <c r="F67" s="23" t="str">
        <f t="shared" si="2"/>
        <v>rtdc.l.rtdc.4038:itc</v>
      </c>
      <c r="G67" s="8">
        <f t="shared" si="3"/>
        <v>42614.404143518521</v>
      </c>
    </row>
    <row r="68" spans="1:7" x14ac:dyDescent="0.25">
      <c r="A68" s="8">
        <v>42614.40902777778</v>
      </c>
      <c r="B68" s="23" t="s">
        <v>224</v>
      </c>
      <c r="C68" s="23" t="s">
        <v>435</v>
      </c>
      <c r="D68" s="23">
        <v>2230000</v>
      </c>
      <c r="E68" s="23" t="s">
        <v>281</v>
      </c>
      <c r="F68" s="23" t="str">
        <f t="shared" si="2"/>
        <v>rtdc.l.rtdc.4019:itc</v>
      </c>
      <c r="G68" s="8">
        <f t="shared" si="3"/>
        <v>42614.40902777778</v>
      </c>
    </row>
    <row r="69" spans="1:7" x14ac:dyDescent="0.25">
      <c r="A69" s="8">
        <v>42614.416041666664</v>
      </c>
      <c r="B69" s="23" t="s">
        <v>360</v>
      </c>
      <c r="C69" s="23" t="s">
        <v>446</v>
      </c>
      <c r="D69" s="23">
        <v>2260000</v>
      </c>
      <c r="E69" s="23" t="s">
        <v>185</v>
      </c>
      <c r="F69" s="23" t="str">
        <f t="shared" si="2"/>
        <v>rtdc.l.rtdc.4007:itc</v>
      </c>
      <c r="G69" s="8">
        <f t="shared" si="3"/>
        <v>42614.416041666664</v>
      </c>
    </row>
    <row r="70" spans="1:7" x14ac:dyDescent="0.25">
      <c r="A70" s="8">
        <v>42614.419722222221</v>
      </c>
      <c r="B70" s="23" t="s">
        <v>115</v>
      </c>
      <c r="C70" s="23" t="s">
        <v>438</v>
      </c>
      <c r="D70" s="23">
        <v>1090000</v>
      </c>
      <c r="E70" s="23" t="s">
        <v>263</v>
      </c>
      <c r="F70" s="23" t="str">
        <f t="shared" si="2"/>
        <v>rtdc.l.rtdc.4032:itc</v>
      </c>
      <c r="G70" s="8">
        <f t="shared" si="3"/>
        <v>42614.419722222221</v>
      </c>
    </row>
    <row r="71" spans="1:7" x14ac:dyDescent="0.25">
      <c r="A71" s="8">
        <v>42614.423333333332</v>
      </c>
      <c r="B71" s="23" t="s">
        <v>147</v>
      </c>
      <c r="C71" s="23" t="s">
        <v>448</v>
      </c>
      <c r="D71" s="23">
        <v>1110000</v>
      </c>
      <c r="E71" s="23" t="s">
        <v>250</v>
      </c>
      <c r="F71" s="23" t="str">
        <f t="shared" si="2"/>
        <v>rtdc.l.rtdc.4042:itc</v>
      </c>
      <c r="G71" s="8">
        <f t="shared" si="3"/>
        <v>42614.423333333332</v>
      </c>
    </row>
    <row r="72" spans="1:7" x14ac:dyDescent="0.25">
      <c r="A72" s="8">
        <v>42614.429837962962</v>
      </c>
      <c r="B72" s="23" t="s">
        <v>112</v>
      </c>
      <c r="C72" s="23" t="s">
        <v>639</v>
      </c>
      <c r="D72" s="23">
        <v>1100000</v>
      </c>
      <c r="E72" s="23" t="s">
        <v>282</v>
      </c>
      <c r="F72" s="23" t="str">
        <f t="shared" si="2"/>
        <v>rtdc.l.rtdc.4014:itc</v>
      </c>
      <c r="G72" s="8">
        <f t="shared" si="3"/>
        <v>42614.429837962962</v>
      </c>
    </row>
    <row r="73" spans="1:7" x14ac:dyDescent="0.25">
      <c r="A73" s="8">
        <v>42614.433495370373</v>
      </c>
      <c r="B73" s="23" t="s">
        <v>265</v>
      </c>
      <c r="C73" s="23" t="s">
        <v>442</v>
      </c>
      <c r="D73" s="23">
        <v>1310000</v>
      </c>
      <c r="E73" s="23" t="s">
        <v>728</v>
      </c>
      <c r="F73" s="23" t="str">
        <f t="shared" si="2"/>
        <v>rtdc.l.rtdc.4017:itc</v>
      </c>
      <c r="G73" s="8">
        <f t="shared" si="3"/>
        <v>42614.433495370373</v>
      </c>
    </row>
    <row r="74" spans="1:7" x14ac:dyDescent="0.25">
      <c r="A74" s="8">
        <v>42614.434756944444</v>
      </c>
      <c r="B74" s="23" t="s">
        <v>358</v>
      </c>
      <c r="C74" s="23" t="s">
        <v>450</v>
      </c>
      <c r="D74" s="23">
        <v>1830000</v>
      </c>
      <c r="E74" s="23" t="s">
        <v>729</v>
      </c>
      <c r="F74" s="23" t="str">
        <f t="shared" si="2"/>
        <v>rtdc.l.rtdc.4044:itc</v>
      </c>
      <c r="G74" s="8">
        <f t="shared" si="3"/>
        <v>42614.434756944444</v>
      </c>
    </row>
    <row r="75" spans="1:7" x14ac:dyDescent="0.25">
      <c r="A75" s="8">
        <v>42614.440185185187</v>
      </c>
      <c r="B75" s="23" t="s">
        <v>142</v>
      </c>
      <c r="C75" s="23" t="s">
        <v>444</v>
      </c>
      <c r="D75" s="23">
        <v>1760000</v>
      </c>
      <c r="E75" s="23" t="s">
        <v>362</v>
      </c>
      <c r="F75" s="23" t="str">
        <f t="shared" si="2"/>
        <v>rtdc.l.rtdc.4037:itc</v>
      </c>
      <c r="G75" s="8">
        <f t="shared" si="3"/>
        <v>42614.440185185187</v>
      </c>
    </row>
    <row r="76" spans="1:7" x14ac:dyDescent="0.25">
      <c r="A76" s="8">
        <v>42614.443148148152</v>
      </c>
      <c r="B76" s="23" t="s">
        <v>90</v>
      </c>
      <c r="C76" s="23" t="s">
        <v>640</v>
      </c>
      <c r="D76" s="23">
        <v>1100000</v>
      </c>
      <c r="E76" s="23" t="s">
        <v>282</v>
      </c>
      <c r="F76" s="23" t="str">
        <f t="shared" si="2"/>
        <v>rtdc.l.rtdc.4013:itc</v>
      </c>
      <c r="G76" s="8">
        <f t="shared" si="3"/>
        <v>42614.443148148152</v>
      </c>
    </row>
    <row r="77" spans="1:7" x14ac:dyDescent="0.25">
      <c r="A77" s="8">
        <v>42614.44431712963</v>
      </c>
      <c r="B77" s="23" t="s">
        <v>225</v>
      </c>
      <c r="C77" s="23" t="s">
        <v>453</v>
      </c>
      <c r="D77" s="23">
        <v>2230000</v>
      </c>
      <c r="E77" s="23" t="s">
        <v>281</v>
      </c>
      <c r="F77" s="23" t="str">
        <f t="shared" si="2"/>
        <v>rtdc.l.rtdc.4020:itc</v>
      </c>
      <c r="G77" s="8">
        <f t="shared" si="3"/>
        <v>42614.44431712963</v>
      </c>
    </row>
    <row r="78" spans="1:7" x14ac:dyDescent="0.25">
      <c r="A78" s="8">
        <v>42614.453425925924</v>
      </c>
      <c r="B78" s="23" t="s">
        <v>359</v>
      </c>
      <c r="C78" s="23" t="s">
        <v>447</v>
      </c>
      <c r="D78" s="23">
        <v>2260000</v>
      </c>
      <c r="E78" s="23" t="s">
        <v>185</v>
      </c>
      <c r="F78" s="23" t="str">
        <f t="shared" si="2"/>
        <v>rtdc.l.rtdc.4008:itc</v>
      </c>
      <c r="G78" s="8">
        <f t="shared" si="3"/>
        <v>42614.453425925924</v>
      </c>
    </row>
    <row r="79" spans="1:7" x14ac:dyDescent="0.25">
      <c r="A79" s="8">
        <v>42614.45511574074</v>
      </c>
      <c r="B79" s="23" t="s">
        <v>731</v>
      </c>
      <c r="C79" s="23" t="s">
        <v>719</v>
      </c>
      <c r="D79" s="23">
        <v>1810000</v>
      </c>
      <c r="E79" s="23" t="s">
        <v>732</v>
      </c>
      <c r="F79" s="23" t="str">
        <f t="shared" si="2"/>
        <v>rtdc.l.rtdc.4021:itc</v>
      </c>
      <c r="G79" s="8">
        <f t="shared" si="3"/>
        <v>42614.45511574074</v>
      </c>
    </row>
    <row r="80" spans="1:7" x14ac:dyDescent="0.25">
      <c r="A80" s="8">
        <v>42614.455601851849</v>
      </c>
      <c r="B80" s="23" t="s">
        <v>114</v>
      </c>
      <c r="C80" s="23" t="s">
        <v>455</v>
      </c>
      <c r="D80" s="23">
        <v>2140000</v>
      </c>
      <c r="E80" s="23" t="s">
        <v>363</v>
      </c>
      <c r="F80" s="23" t="str">
        <f t="shared" si="2"/>
        <v>rtdc.l.rtdc.4031:itc</v>
      </c>
      <c r="G80" s="8">
        <f t="shared" si="3"/>
        <v>42614.455601851849</v>
      </c>
    </row>
    <row r="81" spans="1:7" x14ac:dyDescent="0.25">
      <c r="A81" s="8">
        <v>42614.458703703705</v>
      </c>
      <c r="B81" s="23" t="s">
        <v>731</v>
      </c>
      <c r="C81" s="23" t="s">
        <v>719</v>
      </c>
      <c r="D81" s="23">
        <v>1810000</v>
      </c>
      <c r="E81" s="23" t="s">
        <v>732</v>
      </c>
      <c r="F81" s="23" t="str">
        <f t="shared" si="2"/>
        <v>rtdc.l.rtdc.4021:itc</v>
      </c>
      <c r="G81" s="8">
        <f t="shared" si="3"/>
        <v>42614.458703703705</v>
      </c>
    </row>
    <row r="82" spans="1:7" x14ac:dyDescent="0.25">
      <c r="A82" s="8">
        <v>42614.463379629633</v>
      </c>
      <c r="B82" s="23" t="s">
        <v>176</v>
      </c>
      <c r="C82" s="23" t="s">
        <v>449</v>
      </c>
      <c r="D82" s="23">
        <v>1110000</v>
      </c>
      <c r="E82" s="23" t="s">
        <v>250</v>
      </c>
      <c r="F82" s="23" t="str">
        <f t="shared" si="2"/>
        <v>rtdc.l.rtdc.4041:itc</v>
      </c>
      <c r="G82" s="8">
        <f t="shared" si="3"/>
        <v>42614.463379629633</v>
      </c>
    </row>
    <row r="83" spans="1:7" x14ac:dyDescent="0.25">
      <c r="A83" s="8">
        <v>42614.464502314811</v>
      </c>
      <c r="B83" s="23" t="s">
        <v>356</v>
      </c>
      <c r="C83" s="23" t="s">
        <v>452</v>
      </c>
      <c r="D83" s="23">
        <v>1830000</v>
      </c>
      <c r="E83" s="23" t="s">
        <v>729</v>
      </c>
      <c r="F83" s="23" t="str">
        <f t="shared" si="2"/>
        <v>rtdc.l.rtdc.4043:itc</v>
      </c>
      <c r="G83" s="8">
        <f t="shared" si="3"/>
        <v>42614.464502314811</v>
      </c>
    </row>
    <row r="84" spans="1:7" x14ac:dyDescent="0.25">
      <c r="A84" s="8">
        <v>42614.466006944444</v>
      </c>
      <c r="B84" s="23" t="s">
        <v>264</v>
      </c>
      <c r="C84" s="23" t="s">
        <v>458</v>
      </c>
      <c r="D84" s="23">
        <v>2020000</v>
      </c>
      <c r="E84" s="23" t="s">
        <v>733</v>
      </c>
      <c r="F84" s="23" t="str">
        <f t="shared" si="2"/>
        <v>rtdc.l.rtdc.4018:itc</v>
      </c>
      <c r="G84" s="8">
        <f t="shared" si="3"/>
        <v>42614.466006944444</v>
      </c>
    </row>
    <row r="85" spans="1:7" x14ac:dyDescent="0.25">
      <c r="A85" s="8">
        <v>42614.471354166664</v>
      </c>
      <c r="B85" s="23" t="s">
        <v>112</v>
      </c>
      <c r="C85" s="23" t="s">
        <v>641</v>
      </c>
      <c r="D85" s="23">
        <v>1100000</v>
      </c>
      <c r="E85" s="23" t="s">
        <v>282</v>
      </c>
      <c r="F85" s="23" t="str">
        <f t="shared" si="2"/>
        <v>rtdc.l.rtdc.4014:itc</v>
      </c>
      <c r="G85" s="8">
        <f t="shared" si="3"/>
        <v>42614.471354166664</v>
      </c>
    </row>
    <row r="86" spans="1:7" x14ac:dyDescent="0.25">
      <c r="A86" s="8">
        <v>42614.472534722219</v>
      </c>
      <c r="B86" s="23" t="s">
        <v>267</v>
      </c>
      <c r="C86" s="23" t="s">
        <v>589</v>
      </c>
      <c r="D86" s="23">
        <v>1310000</v>
      </c>
      <c r="E86" s="23" t="s">
        <v>728</v>
      </c>
      <c r="F86" s="23" t="str">
        <f t="shared" si="2"/>
        <v>rtdc.l.rtdc.4006:itc</v>
      </c>
      <c r="G86" s="8">
        <f t="shared" si="3"/>
        <v>42614.472534722219</v>
      </c>
    </row>
    <row r="87" spans="1:7" x14ac:dyDescent="0.25">
      <c r="A87" s="8">
        <v>42614.476435185185</v>
      </c>
      <c r="B87" s="23" t="s">
        <v>148</v>
      </c>
      <c r="C87" s="23" t="s">
        <v>462</v>
      </c>
      <c r="D87" s="23">
        <v>2040000</v>
      </c>
      <c r="E87" s="23" t="s">
        <v>364</v>
      </c>
      <c r="F87" s="23" t="str">
        <f t="shared" si="2"/>
        <v>rtdc.l.rtdc.4038:itc</v>
      </c>
      <c r="G87" s="8">
        <f t="shared" si="3"/>
        <v>42614.476435185185</v>
      </c>
    </row>
    <row r="88" spans="1:7" x14ac:dyDescent="0.25">
      <c r="A88" s="8">
        <v>42614.482256944444</v>
      </c>
      <c r="B88" s="23" t="s">
        <v>224</v>
      </c>
      <c r="C88" s="23" t="s">
        <v>454</v>
      </c>
      <c r="D88" s="23">
        <v>2230000</v>
      </c>
      <c r="E88" s="23" t="s">
        <v>281</v>
      </c>
      <c r="F88" s="23" t="str">
        <f t="shared" si="2"/>
        <v>rtdc.l.rtdc.4019:itc</v>
      </c>
      <c r="G88" s="8">
        <f t="shared" si="3"/>
        <v>42614.482256944444</v>
      </c>
    </row>
    <row r="89" spans="1:7" x14ac:dyDescent="0.25">
      <c r="A89" s="8">
        <v>42614.485185185185</v>
      </c>
      <c r="B89" s="23" t="s">
        <v>90</v>
      </c>
      <c r="C89" s="23" t="s">
        <v>642</v>
      </c>
      <c r="D89" s="23">
        <v>1100000</v>
      </c>
      <c r="E89" s="23" t="s">
        <v>282</v>
      </c>
      <c r="F89" s="23" t="str">
        <f t="shared" si="2"/>
        <v>rtdc.l.rtdc.4013:itc</v>
      </c>
      <c r="G89" s="8">
        <f t="shared" si="3"/>
        <v>42614.485185185185</v>
      </c>
    </row>
    <row r="90" spans="1:7" x14ac:dyDescent="0.25">
      <c r="A90" s="8">
        <v>42614.486331018517</v>
      </c>
      <c r="B90" s="23" t="s">
        <v>360</v>
      </c>
      <c r="C90" s="23" t="s">
        <v>465</v>
      </c>
      <c r="D90" s="23">
        <v>2270000</v>
      </c>
      <c r="E90" s="23" t="s">
        <v>285</v>
      </c>
      <c r="F90" s="23" t="str">
        <f t="shared" si="2"/>
        <v>rtdc.l.rtdc.4007:itc</v>
      </c>
      <c r="G90" s="8">
        <f t="shared" si="3"/>
        <v>42614.486331018517</v>
      </c>
    </row>
    <row r="91" spans="1:7" x14ac:dyDescent="0.25">
      <c r="A91" s="8">
        <v>42614.490868055553</v>
      </c>
      <c r="B91" s="23" t="s">
        <v>734</v>
      </c>
      <c r="C91" s="23" t="s">
        <v>592</v>
      </c>
      <c r="D91" s="23">
        <v>900000</v>
      </c>
      <c r="E91" s="23" t="s">
        <v>283</v>
      </c>
      <c r="F91" s="23" t="str">
        <f t="shared" si="2"/>
        <v>rtdc.l.rtdc.4022:itc</v>
      </c>
      <c r="G91" s="8">
        <f t="shared" si="3"/>
        <v>42614.490868055553</v>
      </c>
    </row>
    <row r="92" spans="1:7" x14ac:dyDescent="0.25">
      <c r="A92" s="8">
        <v>42614.491493055553</v>
      </c>
      <c r="B92" s="23" t="s">
        <v>115</v>
      </c>
      <c r="C92" s="23" t="s">
        <v>457</v>
      </c>
      <c r="D92" s="23">
        <v>2140000</v>
      </c>
      <c r="E92" s="23" t="s">
        <v>363</v>
      </c>
      <c r="F92" s="23" t="str">
        <f t="shared" si="2"/>
        <v>rtdc.l.rtdc.4032:itc</v>
      </c>
      <c r="G92" s="8">
        <f t="shared" si="3"/>
        <v>42614.491493055553</v>
      </c>
    </row>
    <row r="93" spans="1:7" x14ac:dyDescent="0.25">
      <c r="A93" s="8">
        <v>42614.491747685184</v>
      </c>
      <c r="B93" s="23" t="s">
        <v>734</v>
      </c>
      <c r="C93" s="23" t="s">
        <v>592</v>
      </c>
      <c r="D93" s="23">
        <v>900000</v>
      </c>
      <c r="E93" s="23" t="s">
        <v>283</v>
      </c>
      <c r="F93" s="23" t="str">
        <f t="shared" si="2"/>
        <v>rtdc.l.rtdc.4022:itc</v>
      </c>
      <c r="G93" s="8">
        <f t="shared" si="3"/>
        <v>42614.491747685184</v>
      </c>
    </row>
    <row r="94" spans="1:7" x14ac:dyDescent="0.25">
      <c r="A94" s="8">
        <v>42614.497060185182</v>
      </c>
      <c r="B94" s="23" t="s">
        <v>147</v>
      </c>
      <c r="C94" s="23" t="s">
        <v>468</v>
      </c>
      <c r="D94" s="23">
        <v>1140000</v>
      </c>
      <c r="E94" s="23" t="s">
        <v>251</v>
      </c>
      <c r="F94" s="23" t="str">
        <f t="shared" si="2"/>
        <v>rtdc.l.rtdc.4042:itc</v>
      </c>
      <c r="G94" s="8">
        <f t="shared" si="3"/>
        <v>42614.497060185182</v>
      </c>
    </row>
    <row r="95" spans="1:7" x14ac:dyDescent="0.25">
      <c r="A95" s="8">
        <v>42614.501979166664</v>
      </c>
      <c r="B95" s="23" t="s">
        <v>265</v>
      </c>
      <c r="C95" s="23" t="s">
        <v>460</v>
      </c>
      <c r="D95" s="23">
        <v>2020000</v>
      </c>
      <c r="E95" s="23" t="s">
        <v>733</v>
      </c>
      <c r="F95" s="23" t="str">
        <f t="shared" si="2"/>
        <v>rtdc.l.rtdc.4017:itc</v>
      </c>
      <c r="G95" s="8">
        <f t="shared" si="3"/>
        <v>42614.501979166664</v>
      </c>
    </row>
    <row r="96" spans="1:7" x14ac:dyDescent="0.25">
      <c r="A96" s="8">
        <v>42614.50576388889</v>
      </c>
      <c r="B96" s="23" t="s">
        <v>358</v>
      </c>
      <c r="C96" s="23" t="s">
        <v>471</v>
      </c>
      <c r="D96" s="23">
        <v>2100000</v>
      </c>
      <c r="E96" s="23" t="s">
        <v>137</v>
      </c>
      <c r="F96" s="23" t="str">
        <f t="shared" si="2"/>
        <v>rtdc.l.rtdc.4044:itc</v>
      </c>
      <c r="G96" s="8">
        <f t="shared" si="3"/>
        <v>42614.50576388889</v>
      </c>
    </row>
    <row r="97" spans="1:7" x14ac:dyDescent="0.25">
      <c r="A97" s="8">
        <v>42614.512372685182</v>
      </c>
      <c r="B97" s="23" t="s">
        <v>112</v>
      </c>
      <c r="C97" s="23" t="s">
        <v>644</v>
      </c>
      <c r="D97" s="23">
        <v>1100000</v>
      </c>
      <c r="E97" s="23" t="s">
        <v>282</v>
      </c>
      <c r="F97" s="23" t="str">
        <f t="shared" si="2"/>
        <v>rtdc.l.rtdc.4014:itc</v>
      </c>
      <c r="G97" s="8">
        <f t="shared" si="3"/>
        <v>42614.512372685182</v>
      </c>
    </row>
    <row r="98" spans="1:7" x14ac:dyDescent="0.25">
      <c r="A98" s="8">
        <v>42614.516226851854</v>
      </c>
      <c r="B98" s="23" t="s">
        <v>359</v>
      </c>
      <c r="C98" s="23" t="s">
        <v>466</v>
      </c>
      <c r="D98" s="23">
        <v>2270000</v>
      </c>
      <c r="E98" s="23" t="s">
        <v>285</v>
      </c>
      <c r="F98" s="23" t="str">
        <f t="shared" si="2"/>
        <v>rtdc.l.rtdc.4008:itc</v>
      </c>
      <c r="G98" s="8">
        <f t="shared" si="3"/>
        <v>42614.516226851854</v>
      </c>
    </row>
    <row r="99" spans="1:7" x14ac:dyDescent="0.25">
      <c r="A99" s="8">
        <v>42614.516226851854</v>
      </c>
      <c r="B99" s="23" t="s">
        <v>142</v>
      </c>
      <c r="C99" s="23" t="s">
        <v>464</v>
      </c>
      <c r="D99" s="23">
        <v>2040000</v>
      </c>
      <c r="E99" s="23" t="s">
        <v>364</v>
      </c>
      <c r="F99" s="23" t="str">
        <f t="shared" si="2"/>
        <v>rtdc.l.rtdc.4037:itc</v>
      </c>
      <c r="G99" s="8">
        <f t="shared" si="3"/>
        <v>42614.516226851854</v>
      </c>
    </row>
    <row r="100" spans="1:7" x14ac:dyDescent="0.25">
      <c r="A100" s="8">
        <v>42614.516851851855</v>
      </c>
      <c r="B100" s="23" t="s">
        <v>225</v>
      </c>
      <c r="C100" s="23" t="s">
        <v>473</v>
      </c>
      <c r="D100" s="23">
        <v>910000</v>
      </c>
      <c r="E100" s="23" t="s">
        <v>735</v>
      </c>
      <c r="F100" s="23" t="str">
        <f t="shared" si="2"/>
        <v>rtdc.l.rtdc.4020:itc</v>
      </c>
      <c r="G100" s="8">
        <f t="shared" si="3"/>
        <v>42614.516851851855</v>
      </c>
    </row>
    <row r="101" spans="1:7" x14ac:dyDescent="0.25">
      <c r="A101" s="8">
        <v>42614.526643518519</v>
      </c>
      <c r="B101" s="23" t="s">
        <v>90</v>
      </c>
      <c r="C101" s="23" t="s">
        <v>647</v>
      </c>
      <c r="D101" s="23">
        <v>1100000</v>
      </c>
      <c r="E101" s="23" t="s">
        <v>282</v>
      </c>
      <c r="F101" s="23" t="str">
        <f t="shared" si="2"/>
        <v>rtdc.l.rtdc.4013:itc</v>
      </c>
      <c r="G101" s="8">
        <f t="shared" si="3"/>
        <v>42614.526643518519</v>
      </c>
    </row>
    <row r="102" spans="1:7" x14ac:dyDescent="0.25">
      <c r="A102" s="8">
        <v>42614.527511574073</v>
      </c>
      <c r="B102" s="23" t="s">
        <v>114</v>
      </c>
      <c r="C102" s="23" t="s">
        <v>475</v>
      </c>
      <c r="D102" s="23">
        <v>2140000</v>
      </c>
      <c r="E102" s="23" t="s">
        <v>363</v>
      </c>
      <c r="F102" s="23" t="str">
        <f t="shared" si="2"/>
        <v>rtdc.l.rtdc.4031:itc</v>
      </c>
      <c r="G102" s="8">
        <f t="shared" si="3"/>
        <v>42614.527511574073</v>
      </c>
    </row>
    <row r="103" spans="1:7" x14ac:dyDescent="0.25">
      <c r="A103" s="8">
        <v>42614.530439814815</v>
      </c>
      <c r="B103" s="23" t="s">
        <v>176</v>
      </c>
      <c r="C103" s="23" t="s">
        <v>470</v>
      </c>
      <c r="D103" s="23">
        <v>1140000</v>
      </c>
      <c r="E103" s="23" t="s">
        <v>251</v>
      </c>
      <c r="F103" s="23" t="str">
        <f t="shared" si="2"/>
        <v>rtdc.l.rtdc.4041:itc</v>
      </c>
      <c r="G103" s="8">
        <f t="shared" si="3"/>
        <v>42614.530439814815</v>
      </c>
    </row>
    <row r="104" spans="1:7" x14ac:dyDescent="0.25">
      <c r="A104" s="8">
        <v>42614.538437499999</v>
      </c>
      <c r="B104" s="23" t="s">
        <v>264</v>
      </c>
      <c r="C104" s="23" t="s">
        <v>477</v>
      </c>
      <c r="D104" s="23">
        <v>2020000</v>
      </c>
      <c r="E104" s="23" t="s">
        <v>733</v>
      </c>
      <c r="F104" s="23" t="str">
        <f t="shared" si="2"/>
        <v>rtdc.l.rtdc.4018:itc</v>
      </c>
      <c r="G104" s="8">
        <f t="shared" si="3"/>
        <v>42614.538437499999</v>
      </c>
    </row>
    <row r="105" spans="1:7" x14ac:dyDescent="0.25">
      <c r="A105" s="8">
        <v>42614.543391203704</v>
      </c>
      <c r="B105" s="23" t="s">
        <v>356</v>
      </c>
      <c r="C105" s="23" t="s">
        <v>472</v>
      </c>
      <c r="D105" s="23">
        <v>2100000</v>
      </c>
      <c r="E105" s="23" t="s">
        <v>137</v>
      </c>
      <c r="F105" s="23" t="str">
        <f t="shared" si="2"/>
        <v>rtdc.l.rtdc.4043:itc</v>
      </c>
      <c r="G105" s="8">
        <f t="shared" si="3"/>
        <v>42614.543391203704</v>
      </c>
    </row>
    <row r="106" spans="1:7" x14ac:dyDescent="0.25">
      <c r="A106" s="8">
        <v>42614.550405092596</v>
      </c>
      <c r="B106" s="23" t="s">
        <v>148</v>
      </c>
      <c r="C106" s="23" t="s">
        <v>479</v>
      </c>
      <c r="D106" s="23">
        <v>2040000</v>
      </c>
      <c r="E106" s="23" t="s">
        <v>364</v>
      </c>
      <c r="F106" s="23" t="str">
        <f t="shared" si="2"/>
        <v>rtdc.l.rtdc.4038:itc</v>
      </c>
      <c r="G106" s="8">
        <f t="shared" si="3"/>
        <v>42614.550405092596</v>
      </c>
    </row>
    <row r="107" spans="1:7" x14ac:dyDescent="0.25">
      <c r="A107" s="8">
        <v>42614.552233796298</v>
      </c>
      <c r="B107" s="23" t="s">
        <v>224</v>
      </c>
      <c r="C107" s="23" t="s">
        <v>474</v>
      </c>
      <c r="D107" s="23">
        <v>910000</v>
      </c>
      <c r="E107" s="23" t="s">
        <v>735</v>
      </c>
      <c r="F107" s="23" t="str">
        <f t="shared" si="2"/>
        <v>rtdc.l.rtdc.4019:itc</v>
      </c>
      <c r="G107" s="8">
        <f t="shared" si="3"/>
        <v>42614.552233796298</v>
      </c>
    </row>
    <row r="108" spans="1:7" x14ac:dyDescent="0.25">
      <c r="A108" s="8">
        <v>42614.553240740737</v>
      </c>
      <c r="B108" s="23" t="s">
        <v>112</v>
      </c>
      <c r="C108" s="23" t="s">
        <v>648</v>
      </c>
      <c r="D108" s="23">
        <v>2280000</v>
      </c>
      <c r="E108" s="23" t="s">
        <v>284</v>
      </c>
      <c r="F108" s="23" t="str">
        <f t="shared" si="2"/>
        <v>rtdc.l.rtdc.4014:itc</v>
      </c>
      <c r="G108" s="8">
        <f t="shared" si="3"/>
        <v>42614.553240740737</v>
      </c>
    </row>
    <row r="109" spans="1:7" x14ac:dyDescent="0.25">
      <c r="A109" s="8">
        <v>42614.558125000003</v>
      </c>
      <c r="B109" s="23" t="s">
        <v>360</v>
      </c>
      <c r="C109" s="23" t="s">
        <v>482</v>
      </c>
      <c r="D109" s="23">
        <v>2270000</v>
      </c>
      <c r="E109" s="23" t="s">
        <v>285</v>
      </c>
      <c r="F109" s="23" t="str">
        <f t="shared" si="2"/>
        <v>rtdc.l.rtdc.4007:itc</v>
      </c>
      <c r="G109" s="8">
        <f t="shared" si="3"/>
        <v>42614.558125000003</v>
      </c>
    </row>
    <row r="110" spans="1:7" x14ac:dyDescent="0.25">
      <c r="A110" s="8">
        <v>42614.568414351852</v>
      </c>
      <c r="B110" s="23" t="s">
        <v>115</v>
      </c>
      <c r="C110" s="23" t="s">
        <v>476</v>
      </c>
      <c r="D110" s="23">
        <v>940000</v>
      </c>
      <c r="E110" s="23" t="s">
        <v>736</v>
      </c>
      <c r="F110" s="23" t="str">
        <f t="shared" si="2"/>
        <v>rtdc.l.rtdc.4032:itc</v>
      </c>
      <c r="G110" s="8">
        <f t="shared" si="3"/>
        <v>42614.568414351852</v>
      </c>
    </row>
    <row r="111" spans="1:7" x14ac:dyDescent="0.25">
      <c r="A111" s="8">
        <v>42614.570532407408</v>
      </c>
      <c r="B111" s="23" t="s">
        <v>147</v>
      </c>
      <c r="C111" s="23" t="s">
        <v>484</v>
      </c>
      <c r="D111" s="23">
        <v>1140000</v>
      </c>
      <c r="E111" s="23" t="s">
        <v>251</v>
      </c>
      <c r="F111" s="23" t="str">
        <f t="shared" si="2"/>
        <v>rtdc.l.rtdc.4042:itc</v>
      </c>
      <c r="G111" s="8">
        <f t="shared" si="3"/>
        <v>42614.570532407408</v>
      </c>
    </row>
    <row r="112" spans="1:7" x14ac:dyDescent="0.25">
      <c r="A112" s="8">
        <v>42614.571250000001</v>
      </c>
      <c r="B112" s="23" t="s">
        <v>90</v>
      </c>
      <c r="C112" s="23" t="s">
        <v>650</v>
      </c>
      <c r="D112" s="23">
        <v>2280000</v>
      </c>
      <c r="E112" s="23" t="s">
        <v>284</v>
      </c>
      <c r="F112" s="23" t="str">
        <f t="shared" si="2"/>
        <v>rtdc.l.rtdc.4013:itc</v>
      </c>
      <c r="G112" s="8">
        <f t="shared" si="3"/>
        <v>42614.571250000001</v>
      </c>
    </row>
    <row r="113" spans="1:7" x14ac:dyDescent="0.25">
      <c r="A113" s="8">
        <v>42614.576238425929</v>
      </c>
      <c r="B113" s="23" t="s">
        <v>265</v>
      </c>
      <c r="C113" s="23" t="s">
        <v>478</v>
      </c>
      <c r="D113" s="23">
        <v>2020000</v>
      </c>
      <c r="E113" s="23" t="s">
        <v>733</v>
      </c>
      <c r="F113" s="23" t="str">
        <f t="shared" si="2"/>
        <v>rtdc.l.rtdc.4017:itc</v>
      </c>
      <c r="G113" s="8">
        <f t="shared" si="3"/>
        <v>42614.576238425929</v>
      </c>
    </row>
    <row r="114" spans="1:7" x14ac:dyDescent="0.25">
      <c r="A114" s="8">
        <v>42614.579988425925</v>
      </c>
      <c r="B114" s="23" t="s">
        <v>358</v>
      </c>
      <c r="C114" s="23" t="s">
        <v>488</v>
      </c>
      <c r="D114" s="23">
        <v>2100000</v>
      </c>
      <c r="E114" s="23" t="s">
        <v>137</v>
      </c>
      <c r="F114" s="23" t="str">
        <f t="shared" si="2"/>
        <v>rtdc.l.rtdc.4044:itc</v>
      </c>
      <c r="G114" s="8">
        <f t="shared" si="3"/>
        <v>42614.579988425925</v>
      </c>
    </row>
    <row r="115" spans="1:7" x14ac:dyDescent="0.25">
      <c r="A115" s="8">
        <v>42614.588634259257</v>
      </c>
      <c r="B115" s="23" t="s">
        <v>142</v>
      </c>
      <c r="C115" s="23" t="s">
        <v>480</v>
      </c>
      <c r="D115" s="23">
        <v>2040000</v>
      </c>
      <c r="E115" s="23" t="s">
        <v>364</v>
      </c>
      <c r="F115" s="23" t="str">
        <f t="shared" si="2"/>
        <v>rtdc.l.rtdc.4037:itc</v>
      </c>
      <c r="G115" s="8">
        <f t="shared" si="3"/>
        <v>42614.588634259257</v>
      </c>
    </row>
    <row r="116" spans="1:7" x14ac:dyDescent="0.25">
      <c r="A116" s="8">
        <v>42614.588900462964</v>
      </c>
      <c r="B116" s="23" t="s">
        <v>225</v>
      </c>
      <c r="C116" s="23" t="s">
        <v>490</v>
      </c>
      <c r="D116" s="23">
        <v>910000</v>
      </c>
      <c r="E116" s="23" t="s">
        <v>735</v>
      </c>
      <c r="F116" s="23" t="str">
        <f t="shared" si="2"/>
        <v>rtdc.l.rtdc.4020:itc</v>
      </c>
      <c r="G116" s="8">
        <f t="shared" si="3"/>
        <v>42614.588900462964</v>
      </c>
    </row>
    <row r="117" spans="1:7" x14ac:dyDescent="0.25">
      <c r="A117" s="8">
        <v>42614.589849537035</v>
      </c>
      <c r="B117" s="23" t="s">
        <v>359</v>
      </c>
      <c r="C117" s="23" t="s">
        <v>483</v>
      </c>
      <c r="D117" s="23">
        <v>2270000</v>
      </c>
      <c r="E117" s="23" t="s">
        <v>285</v>
      </c>
      <c r="F117" s="23" t="str">
        <f t="shared" si="2"/>
        <v>rtdc.l.rtdc.4008:itc</v>
      </c>
      <c r="G117" s="8">
        <f t="shared" si="3"/>
        <v>42614.589849537035</v>
      </c>
    </row>
    <row r="118" spans="1:7" x14ac:dyDescent="0.25">
      <c r="A118" s="8">
        <v>42614.592418981483</v>
      </c>
      <c r="B118" s="23" t="s">
        <v>225</v>
      </c>
      <c r="C118" s="23" t="s">
        <v>490</v>
      </c>
      <c r="D118" s="23">
        <v>910000</v>
      </c>
      <c r="E118" s="23" t="s">
        <v>735</v>
      </c>
      <c r="F118" s="23" t="str">
        <f t="shared" si="2"/>
        <v>rtdc.l.rtdc.4020:itc</v>
      </c>
      <c r="G118" s="8">
        <f t="shared" si="3"/>
        <v>42614.592418981483</v>
      </c>
    </row>
    <row r="119" spans="1:7" x14ac:dyDescent="0.25">
      <c r="A119" s="8">
        <v>42614.594155092593</v>
      </c>
      <c r="B119" s="23" t="s">
        <v>112</v>
      </c>
      <c r="C119" s="23" t="s">
        <v>653</v>
      </c>
      <c r="D119" s="23">
        <v>2280000</v>
      </c>
      <c r="E119" s="23" t="s">
        <v>284</v>
      </c>
      <c r="F119" s="23" t="str">
        <f t="shared" si="2"/>
        <v>rtdc.l.rtdc.4014:itc</v>
      </c>
      <c r="G119" s="8">
        <f t="shared" si="3"/>
        <v>42614.594155092593</v>
      </c>
    </row>
    <row r="120" spans="1:7" x14ac:dyDescent="0.25">
      <c r="A120" s="8">
        <v>42614.600208333337</v>
      </c>
      <c r="B120" s="23" t="s">
        <v>114</v>
      </c>
      <c r="C120" s="23" t="s">
        <v>494</v>
      </c>
      <c r="D120" s="23">
        <v>940000</v>
      </c>
      <c r="E120" s="23" t="s">
        <v>736</v>
      </c>
      <c r="F120" s="23" t="str">
        <f t="shared" si="2"/>
        <v>rtdc.l.rtdc.4031:itc</v>
      </c>
      <c r="G120" s="8">
        <f t="shared" si="3"/>
        <v>42614.600208333337</v>
      </c>
    </row>
    <row r="121" spans="1:7" x14ac:dyDescent="0.25">
      <c r="A121" s="8">
        <v>42614.606215277781</v>
      </c>
      <c r="B121" s="23" t="s">
        <v>176</v>
      </c>
      <c r="C121" s="23" t="s">
        <v>486</v>
      </c>
      <c r="D121" s="23">
        <v>1140000</v>
      </c>
      <c r="E121" s="23" t="s">
        <v>251</v>
      </c>
      <c r="F121" s="23" t="str">
        <f t="shared" si="2"/>
        <v>rtdc.l.rtdc.4041:itc</v>
      </c>
      <c r="G121" s="8">
        <f t="shared" si="3"/>
        <v>42614.606215277781</v>
      </c>
    </row>
    <row r="122" spans="1:7" x14ac:dyDescent="0.25">
      <c r="A122" s="8">
        <v>42614.610358796293</v>
      </c>
      <c r="B122" s="28" t="s">
        <v>264</v>
      </c>
      <c r="C122" s="23" t="s">
        <v>497</v>
      </c>
      <c r="D122" s="23">
        <v>2020000</v>
      </c>
      <c r="E122" s="23" t="s">
        <v>733</v>
      </c>
      <c r="F122" s="23" t="str">
        <f t="shared" si="2"/>
        <v>rtdc.l.rtdc.4018:itc</v>
      </c>
      <c r="G122" s="8">
        <f t="shared" si="3"/>
        <v>42614.610358796293</v>
      </c>
    </row>
    <row r="123" spans="1:7" x14ac:dyDescent="0.25">
      <c r="A123" s="8">
        <v>42614.610856481479</v>
      </c>
      <c r="B123" s="23" t="s">
        <v>90</v>
      </c>
      <c r="C123" s="23" t="s">
        <v>654</v>
      </c>
      <c r="D123" s="23">
        <v>2280000</v>
      </c>
      <c r="E123" s="23" t="s">
        <v>284</v>
      </c>
      <c r="F123" s="23" t="str">
        <f t="shared" si="2"/>
        <v>rtdc.l.rtdc.4013:itc</v>
      </c>
      <c r="G123" s="8">
        <f t="shared" si="3"/>
        <v>42614.610856481479</v>
      </c>
    </row>
    <row r="124" spans="1:7" x14ac:dyDescent="0.25">
      <c r="A124" s="8">
        <v>42614.611805555556</v>
      </c>
      <c r="B124" s="23" t="s">
        <v>723</v>
      </c>
      <c r="C124" s="23" t="s">
        <v>716</v>
      </c>
      <c r="D124" s="23">
        <v>0</v>
      </c>
      <c r="E124" s="23" t="s">
        <v>737</v>
      </c>
      <c r="F124" s="23" t="str">
        <f t="shared" si="2"/>
        <v>rtdc.l.rtdc.4051:itc</v>
      </c>
      <c r="G124" s="8">
        <f t="shared" si="3"/>
        <v>42614.611805555556</v>
      </c>
    </row>
    <row r="125" spans="1:7" x14ac:dyDescent="0.25">
      <c r="A125" s="8">
        <v>42614.615972222222</v>
      </c>
      <c r="B125" s="23" t="s">
        <v>356</v>
      </c>
      <c r="C125" s="23" t="s">
        <v>489</v>
      </c>
      <c r="D125" s="23">
        <v>2100000</v>
      </c>
      <c r="E125" s="23" t="s">
        <v>137</v>
      </c>
      <c r="F125" s="23" t="str">
        <f t="shared" si="2"/>
        <v>rtdc.l.rtdc.4043:itc</v>
      </c>
      <c r="G125" s="8">
        <f t="shared" si="3"/>
        <v>42614.615972222222</v>
      </c>
    </row>
    <row r="126" spans="1:7" x14ac:dyDescent="0.25">
      <c r="A126" s="8">
        <v>42614.623437499999</v>
      </c>
      <c r="B126" s="23" t="s">
        <v>224</v>
      </c>
      <c r="C126" s="23" t="s">
        <v>492</v>
      </c>
      <c r="D126" s="23">
        <v>910000</v>
      </c>
      <c r="E126" s="23" t="s">
        <v>735</v>
      </c>
      <c r="F126" s="23" t="str">
        <f t="shared" si="2"/>
        <v>rtdc.l.rtdc.4019:itc</v>
      </c>
      <c r="G126" s="8">
        <f t="shared" si="3"/>
        <v>42614.623437499999</v>
      </c>
    </row>
    <row r="127" spans="1:7" x14ac:dyDescent="0.25">
      <c r="A127" s="8">
        <v>42614.624259259261</v>
      </c>
      <c r="B127" s="23" t="s">
        <v>148</v>
      </c>
      <c r="C127" s="23" t="s">
        <v>501</v>
      </c>
      <c r="D127" s="23">
        <v>2040000</v>
      </c>
      <c r="E127" s="23" t="s">
        <v>364</v>
      </c>
      <c r="F127" s="23" t="str">
        <f t="shared" si="2"/>
        <v>rtdc.l.rtdc.4038:itc</v>
      </c>
      <c r="G127" s="8">
        <f t="shared" si="3"/>
        <v>42614.624259259261</v>
      </c>
    </row>
    <row r="128" spans="1:7" x14ac:dyDescent="0.25">
      <c r="A128" s="8">
        <v>42614.630833333336</v>
      </c>
      <c r="B128" s="23" t="s">
        <v>360</v>
      </c>
      <c r="C128" s="23" t="s">
        <v>504</v>
      </c>
      <c r="D128" s="23">
        <v>2270000</v>
      </c>
      <c r="E128" s="23" t="s">
        <v>285</v>
      </c>
      <c r="F128" s="23" t="str">
        <f t="shared" si="2"/>
        <v>rtdc.l.rtdc.4007:itc</v>
      </c>
      <c r="G128" s="8">
        <f t="shared" si="3"/>
        <v>42614.630833333336</v>
      </c>
    </row>
    <row r="129" spans="1:7" x14ac:dyDescent="0.25">
      <c r="A129" s="8">
        <v>42614.636087962965</v>
      </c>
      <c r="B129" s="23" t="s">
        <v>112</v>
      </c>
      <c r="C129" s="23" t="s">
        <v>654</v>
      </c>
      <c r="D129" s="23">
        <v>2280000</v>
      </c>
      <c r="E129" s="23" t="s">
        <v>284</v>
      </c>
      <c r="F129" s="23" t="str">
        <f t="shared" si="2"/>
        <v>rtdc.l.rtdc.4014:itc</v>
      </c>
      <c r="G129" s="8">
        <f t="shared" si="3"/>
        <v>42614.636087962965</v>
      </c>
    </row>
    <row r="130" spans="1:7" x14ac:dyDescent="0.25">
      <c r="A130" s="8">
        <v>42614.636840277781</v>
      </c>
      <c r="B130" s="23" t="s">
        <v>112</v>
      </c>
      <c r="C130" s="23" t="s">
        <v>654</v>
      </c>
      <c r="D130" s="23">
        <v>2280000</v>
      </c>
      <c r="E130" s="23" t="s">
        <v>284</v>
      </c>
      <c r="F130" s="23" t="str">
        <f t="shared" ref="F130:F193" si="4">B130</f>
        <v>rtdc.l.rtdc.4014:itc</v>
      </c>
      <c r="G130" s="8">
        <f t="shared" ref="G130:G193" si="5">A130</f>
        <v>42614.636840277781</v>
      </c>
    </row>
    <row r="131" spans="1:7" x14ac:dyDescent="0.25">
      <c r="A131" s="8">
        <v>42614.63753472222</v>
      </c>
      <c r="B131" s="23" t="s">
        <v>112</v>
      </c>
      <c r="C131" s="23" t="s">
        <v>656</v>
      </c>
      <c r="D131" s="23">
        <v>2280000</v>
      </c>
      <c r="E131" s="23" t="s">
        <v>284</v>
      </c>
      <c r="F131" s="23" t="str">
        <f t="shared" si="4"/>
        <v>rtdc.l.rtdc.4014:itc</v>
      </c>
      <c r="G131" s="8">
        <f t="shared" si="5"/>
        <v>42614.63753472222</v>
      </c>
    </row>
    <row r="132" spans="1:7" x14ac:dyDescent="0.25">
      <c r="A132" s="8">
        <v>42614.638449074075</v>
      </c>
      <c r="B132" s="23" t="s">
        <v>169</v>
      </c>
      <c r="C132" s="23" t="s">
        <v>709</v>
      </c>
      <c r="D132" s="23">
        <v>1230000</v>
      </c>
      <c r="E132" s="23" t="s">
        <v>165</v>
      </c>
      <c r="F132" s="23" t="str">
        <f t="shared" si="4"/>
        <v>rtdc.l.rtdc.4010:itc</v>
      </c>
      <c r="G132" s="8">
        <f t="shared" si="5"/>
        <v>42614.638449074075</v>
      </c>
    </row>
    <row r="133" spans="1:7" x14ac:dyDescent="0.25">
      <c r="A133" s="8">
        <v>42614.63863425926</v>
      </c>
      <c r="B133" s="23" t="s">
        <v>115</v>
      </c>
      <c r="C133" s="23" t="s">
        <v>496</v>
      </c>
      <c r="D133" s="23">
        <v>940000</v>
      </c>
      <c r="E133" s="23" t="s">
        <v>736</v>
      </c>
      <c r="F133" s="23" t="str">
        <f t="shared" si="4"/>
        <v>rtdc.l.rtdc.4032:itc</v>
      </c>
      <c r="G133" s="8">
        <f t="shared" si="5"/>
        <v>42614.63863425926</v>
      </c>
    </row>
    <row r="134" spans="1:7" x14ac:dyDescent="0.25">
      <c r="A134" s="8">
        <v>42614.64403935185</v>
      </c>
      <c r="B134" s="23" t="s">
        <v>147</v>
      </c>
      <c r="C134" s="23" t="s">
        <v>507</v>
      </c>
      <c r="D134" s="23">
        <v>1140000</v>
      </c>
      <c r="E134" s="23" t="s">
        <v>251</v>
      </c>
      <c r="F134" s="23" t="str">
        <f t="shared" si="4"/>
        <v>rtdc.l.rtdc.4042:itc</v>
      </c>
      <c r="G134" s="8">
        <f t="shared" si="5"/>
        <v>42614.64403935185</v>
      </c>
    </row>
    <row r="135" spans="1:7" x14ac:dyDescent="0.25">
      <c r="A135" s="8">
        <v>42614.648414351854</v>
      </c>
      <c r="B135" s="23" t="s">
        <v>265</v>
      </c>
      <c r="C135" s="23" t="s">
        <v>499</v>
      </c>
      <c r="D135" s="23">
        <v>2020000</v>
      </c>
      <c r="E135" s="23" t="s">
        <v>733</v>
      </c>
      <c r="F135" s="23" t="str">
        <f t="shared" si="4"/>
        <v>rtdc.l.rtdc.4017:itc</v>
      </c>
      <c r="G135" s="8">
        <f t="shared" si="5"/>
        <v>42614.648414351854</v>
      </c>
    </row>
    <row r="136" spans="1:7" x14ac:dyDescent="0.25">
      <c r="A136" s="8">
        <v>42614.651203703703</v>
      </c>
      <c r="B136" s="23" t="s">
        <v>90</v>
      </c>
      <c r="C136" s="23" t="s">
        <v>659</v>
      </c>
      <c r="D136" s="23">
        <v>2280000</v>
      </c>
      <c r="E136" s="23" t="s">
        <v>284</v>
      </c>
      <c r="F136" s="23" t="str">
        <f t="shared" si="4"/>
        <v>rtdc.l.rtdc.4013:itc</v>
      </c>
      <c r="G136" s="8">
        <f t="shared" si="5"/>
        <v>42614.651203703703</v>
      </c>
    </row>
    <row r="137" spans="1:7" x14ac:dyDescent="0.25">
      <c r="A137" s="8">
        <v>42614.652777777781</v>
      </c>
      <c r="B137" s="23" t="s">
        <v>358</v>
      </c>
      <c r="C137" s="23" t="s">
        <v>509</v>
      </c>
      <c r="D137" s="23">
        <v>2100000</v>
      </c>
      <c r="E137" s="23" t="s">
        <v>137</v>
      </c>
      <c r="F137" s="23" t="str">
        <f t="shared" si="4"/>
        <v>rtdc.l.rtdc.4044:itc</v>
      </c>
      <c r="G137" s="8">
        <f t="shared" si="5"/>
        <v>42614.652777777781</v>
      </c>
    </row>
    <row r="138" spans="1:7" x14ac:dyDescent="0.25">
      <c r="A138" s="8">
        <v>42614.656793981485</v>
      </c>
      <c r="B138" s="23" t="s">
        <v>168</v>
      </c>
      <c r="C138" s="23" t="s">
        <v>662</v>
      </c>
      <c r="D138" s="23">
        <v>1230000</v>
      </c>
      <c r="E138" s="23" t="s">
        <v>165</v>
      </c>
      <c r="F138" s="23" t="str">
        <f t="shared" si="4"/>
        <v>rtdc.l.rtdc.4009:itc</v>
      </c>
      <c r="G138" s="8">
        <f t="shared" si="5"/>
        <v>42614.656793981485</v>
      </c>
    </row>
    <row r="139" spans="1:7" x14ac:dyDescent="0.25">
      <c r="A139" s="8">
        <v>42614.660428240742</v>
      </c>
      <c r="B139" s="23" t="s">
        <v>142</v>
      </c>
      <c r="C139" s="23" t="s">
        <v>502</v>
      </c>
      <c r="D139" s="23">
        <v>2040000</v>
      </c>
      <c r="E139" s="23" t="s">
        <v>364</v>
      </c>
      <c r="F139" s="23" t="str">
        <f t="shared" si="4"/>
        <v>rtdc.l.rtdc.4037:itc</v>
      </c>
      <c r="G139" s="8">
        <f t="shared" si="5"/>
        <v>42614.660428240742</v>
      </c>
    </row>
    <row r="140" spans="1:7" x14ac:dyDescent="0.25">
      <c r="A140" s="8">
        <v>42614.66202546296</v>
      </c>
      <c r="B140" s="23" t="s">
        <v>225</v>
      </c>
      <c r="C140" s="23" t="s">
        <v>510</v>
      </c>
      <c r="D140" s="23">
        <v>910000</v>
      </c>
      <c r="E140" s="23" t="s">
        <v>735</v>
      </c>
      <c r="F140" s="23" t="str">
        <f t="shared" si="4"/>
        <v>rtdc.l.rtdc.4020:itc</v>
      </c>
      <c r="G140" s="8">
        <f t="shared" si="5"/>
        <v>42614.66202546296</v>
      </c>
    </row>
    <row r="141" spans="1:7" x14ac:dyDescent="0.25">
      <c r="A141" s="8">
        <v>42614.662106481483</v>
      </c>
      <c r="B141" s="23" t="s">
        <v>359</v>
      </c>
      <c r="C141" s="23" t="s">
        <v>505</v>
      </c>
      <c r="D141" s="23">
        <v>2270000</v>
      </c>
      <c r="E141" s="23" t="s">
        <v>285</v>
      </c>
      <c r="F141" s="23" t="str">
        <f t="shared" si="4"/>
        <v>rtdc.l.rtdc.4008:itc</v>
      </c>
      <c r="G141" s="8">
        <f t="shared" si="5"/>
        <v>42614.662106481483</v>
      </c>
    </row>
    <row r="142" spans="1:7" x14ac:dyDescent="0.25">
      <c r="A142" s="8">
        <v>42614.671041666668</v>
      </c>
      <c r="B142" s="23" t="s">
        <v>169</v>
      </c>
      <c r="C142" s="23" t="s">
        <v>665</v>
      </c>
      <c r="D142" s="23">
        <v>1230000</v>
      </c>
      <c r="E142" s="23" t="s">
        <v>165</v>
      </c>
      <c r="F142" s="23" t="str">
        <f t="shared" si="4"/>
        <v>rtdc.l.rtdc.4010:itc</v>
      </c>
      <c r="G142" s="8">
        <f t="shared" si="5"/>
        <v>42614.671041666668</v>
      </c>
    </row>
    <row r="143" spans="1:7" x14ac:dyDescent="0.25">
      <c r="A143" s="8">
        <v>42614.678506944445</v>
      </c>
      <c r="B143" s="23" t="s">
        <v>112</v>
      </c>
      <c r="C143" s="23" t="s">
        <v>668</v>
      </c>
      <c r="D143" s="23">
        <v>2280000</v>
      </c>
      <c r="E143" s="23" t="s">
        <v>284</v>
      </c>
      <c r="F143" s="23" t="str">
        <f t="shared" si="4"/>
        <v>rtdc.l.rtdc.4014:itc</v>
      </c>
      <c r="G143" s="8">
        <f t="shared" si="5"/>
        <v>42614.678506944445</v>
      </c>
    </row>
    <row r="144" spans="1:7" x14ac:dyDescent="0.25">
      <c r="A144" s="8">
        <v>42614.680879629632</v>
      </c>
      <c r="B144" s="23" t="s">
        <v>176</v>
      </c>
      <c r="C144" s="23" t="s">
        <v>508</v>
      </c>
      <c r="D144" s="23">
        <v>1140000</v>
      </c>
      <c r="E144" s="23" t="s">
        <v>251</v>
      </c>
      <c r="F144" s="23" t="str">
        <f t="shared" si="4"/>
        <v>rtdc.l.rtdc.4041:itc</v>
      </c>
      <c r="G144" s="8">
        <f t="shared" si="5"/>
        <v>42614.680879629632</v>
      </c>
    </row>
    <row r="145" spans="1:7" x14ac:dyDescent="0.25">
      <c r="A145" s="8">
        <v>42614.692789351851</v>
      </c>
      <c r="B145" s="23" t="s">
        <v>90</v>
      </c>
      <c r="C145" s="23" t="s">
        <v>671</v>
      </c>
      <c r="D145" s="23">
        <v>2280000</v>
      </c>
      <c r="E145" s="23" t="s">
        <v>284</v>
      </c>
      <c r="F145" s="23" t="str">
        <f t="shared" si="4"/>
        <v>rtdc.l.rtdc.4013:itc</v>
      </c>
      <c r="G145" s="8">
        <f t="shared" si="5"/>
        <v>42614.692789351851</v>
      </c>
    </row>
    <row r="146" spans="1:7" x14ac:dyDescent="0.25">
      <c r="A146" s="8">
        <v>42614.696909722225</v>
      </c>
      <c r="B146" s="23" t="s">
        <v>114</v>
      </c>
      <c r="C146" s="23" t="s">
        <v>512</v>
      </c>
      <c r="D146" s="23">
        <v>2030000</v>
      </c>
      <c r="E146" s="23" t="s">
        <v>249</v>
      </c>
      <c r="F146" s="23" t="str">
        <f t="shared" si="4"/>
        <v>rtdc.l.rtdc.4031:itc</v>
      </c>
      <c r="G146" s="8">
        <f t="shared" si="5"/>
        <v>42614.696909722225</v>
      </c>
    </row>
    <row r="147" spans="1:7" x14ac:dyDescent="0.25">
      <c r="A147" s="8">
        <v>42614.698125000003</v>
      </c>
      <c r="B147" s="23" t="s">
        <v>114</v>
      </c>
      <c r="C147" s="23" t="s">
        <v>738</v>
      </c>
      <c r="D147" s="23">
        <v>2030000</v>
      </c>
      <c r="E147" s="23" t="s">
        <v>249</v>
      </c>
      <c r="F147" s="23" t="str">
        <f t="shared" si="4"/>
        <v>rtdc.l.rtdc.4031:itc</v>
      </c>
      <c r="G147" s="8">
        <f t="shared" si="5"/>
        <v>42614.698125000003</v>
      </c>
    </row>
    <row r="148" spans="1:7" x14ac:dyDescent="0.25">
      <c r="A148" s="8">
        <v>42614.699664351851</v>
      </c>
      <c r="B148" s="23" t="s">
        <v>168</v>
      </c>
      <c r="C148" s="23" t="s">
        <v>673</v>
      </c>
      <c r="D148" s="23">
        <v>1230000</v>
      </c>
      <c r="E148" s="23" t="s">
        <v>165</v>
      </c>
      <c r="F148" s="23" t="str">
        <f t="shared" si="4"/>
        <v>rtdc.l.rtdc.4009:itc</v>
      </c>
      <c r="G148" s="8">
        <f t="shared" si="5"/>
        <v>42614.699664351851</v>
      </c>
    </row>
    <row r="149" spans="1:7" x14ac:dyDescent="0.25">
      <c r="A149" s="8">
        <v>42614.699837962966</v>
      </c>
      <c r="B149" s="23" t="s">
        <v>114</v>
      </c>
      <c r="C149" s="23" t="s">
        <v>512</v>
      </c>
      <c r="D149" s="23">
        <v>2030000</v>
      </c>
      <c r="E149" s="23" t="s">
        <v>249</v>
      </c>
      <c r="F149" s="23" t="str">
        <f t="shared" si="4"/>
        <v>rtdc.l.rtdc.4031:itc</v>
      </c>
      <c r="G149" s="8">
        <f t="shared" si="5"/>
        <v>42614.699837962966</v>
      </c>
    </row>
    <row r="150" spans="1:7" x14ac:dyDescent="0.25">
      <c r="A150" s="8">
        <v>42614.700682870367</v>
      </c>
      <c r="B150" s="23" t="s">
        <v>114</v>
      </c>
      <c r="C150" s="23" t="s">
        <v>738</v>
      </c>
      <c r="D150" s="23">
        <v>2030000</v>
      </c>
      <c r="E150" s="23" t="s">
        <v>249</v>
      </c>
      <c r="F150" s="23" t="str">
        <f t="shared" si="4"/>
        <v>rtdc.l.rtdc.4031:itc</v>
      </c>
      <c r="G150" s="8">
        <f t="shared" si="5"/>
        <v>42614.700682870367</v>
      </c>
    </row>
    <row r="151" spans="1:7" x14ac:dyDescent="0.25">
      <c r="A151" s="8">
        <v>42614.702361111114</v>
      </c>
      <c r="B151" s="23" t="s">
        <v>114</v>
      </c>
      <c r="C151" s="23" t="s">
        <v>512</v>
      </c>
      <c r="D151" s="23">
        <v>2030000</v>
      </c>
      <c r="E151" s="23" t="s">
        <v>249</v>
      </c>
      <c r="F151" s="23" t="str">
        <f t="shared" si="4"/>
        <v>rtdc.l.rtdc.4031:itc</v>
      </c>
      <c r="G151" s="8">
        <f t="shared" si="5"/>
        <v>42614.702361111114</v>
      </c>
    </row>
    <row r="152" spans="1:7" x14ac:dyDescent="0.25">
      <c r="A152" s="8">
        <v>42614.703368055554</v>
      </c>
      <c r="B152" s="23" t="s">
        <v>114</v>
      </c>
      <c r="C152" s="23" t="s">
        <v>512</v>
      </c>
      <c r="D152" s="23">
        <v>2030000</v>
      </c>
      <c r="E152" s="23" t="s">
        <v>249</v>
      </c>
      <c r="F152" s="23" t="str">
        <f t="shared" si="4"/>
        <v>rtdc.l.rtdc.4031:itc</v>
      </c>
      <c r="G152" s="8">
        <f t="shared" si="5"/>
        <v>42614.703368055554</v>
      </c>
    </row>
    <row r="153" spans="1:7" x14ac:dyDescent="0.25">
      <c r="A153" s="8">
        <v>42614.70716435185</v>
      </c>
      <c r="B153" s="23" t="s">
        <v>356</v>
      </c>
      <c r="C153" s="23" t="s">
        <v>511</v>
      </c>
      <c r="D153" s="23">
        <v>2100000</v>
      </c>
      <c r="E153" s="23" t="s">
        <v>137</v>
      </c>
      <c r="F153" s="23" t="str">
        <f t="shared" si="4"/>
        <v>rtdc.l.rtdc.4043:itc</v>
      </c>
      <c r="G153" s="8">
        <f t="shared" si="5"/>
        <v>42614.70716435185</v>
      </c>
    </row>
    <row r="154" spans="1:7" x14ac:dyDescent="0.25">
      <c r="A154" s="8">
        <v>42614.712500000001</v>
      </c>
      <c r="B154" s="23" t="s">
        <v>169</v>
      </c>
      <c r="C154" s="23" t="s">
        <v>675</v>
      </c>
      <c r="D154" s="23">
        <v>1230000</v>
      </c>
      <c r="E154" s="23" t="s">
        <v>165</v>
      </c>
      <c r="F154" s="23" t="str">
        <f t="shared" si="4"/>
        <v>rtdc.l.rtdc.4010:itc</v>
      </c>
      <c r="G154" s="8">
        <f t="shared" si="5"/>
        <v>42614.712500000001</v>
      </c>
    </row>
    <row r="155" spans="1:7" x14ac:dyDescent="0.25">
      <c r="A155" s="8">
        <v>42614.717002314814</v>
      </c>
      <c r="B155" s="23" t="s">
        <v>264</v>
      </c>
      <c r="C155" s="23" t="s">
        <v>516</v>
      </c>
      <c r="D155" s="23">
        <v>2220000</v>
      </c>
      <c r="E155" s="23" t="s">
        <v>287</v>
      </c>
      <c r="F155" s="23" t="str">
        <f t="shared" si="4"/>
        <v>rtdc.l.rtdc.4018:itc</v>
      </c>
      <c r="G155" s="8">
        <f t="shared" si="5"/>
        <v>42614.717002314814</v>
      </c>
    </row>
    <row r="156" spans="1:7" x14ac:dyDescent="0.25">
      <c r="A156" s="8">
        <v>42614.718900462962</v>
      </c>
      <c r="B156" s="23" t="s">
        <v>112</v>
      </c>
      <c r="C156" s="23" t="s">
        <v>677</v>
      </c>
      <c r="D156" s="23">
        <v>2280000</v>
      </c>
      <c r="E156" s="23" t="s">
        <v>284</v>
      </c>
      <c r="F156" s="23" t="str">
        <f t="shared" si="4"/>
        <v>rtdc.l.rtdc.4014:itc</v>
      </c>
      <c r="G156" s="8">
        <f t="shared" si="5"/>
        <v>42614.718900462962</v>
      </c>
    </row>
    <row r="157" spans="1:7" x14ac:dyDescent="0.25">
      <c r="A157" s="8">
        <v>42614.722002314818</v>
      </c>
      <c r="B157" s="23" t="s">
        <v>264</v>
      </c>
      <c r="C157" s="23" t="s">
        <v>516</v>
      </c>
      <c r="D157" s="23">
        <v>2220000</v>
      </c>
      <c r="E157" s="23" t="s">
        <v>287</v>
      </c>
      <c r="F157" s="23" t="str">
        <f t="shared" si="4"/>
        <v>rtdc.l.rtdc.4018:itc</v>
      </c>
      <c r="G157" s="8">
        <f t="shared" si="5"/>
        <v>42614.722002314818</v>
      </c>
    </row>
    <row r="158" spans="1:7" x14ac:dyDescent="0.25">
      <c r="A158" s="8">
        <v>42614.729583333334</v>
      </c>
      <c r="B158" s="23" t="s">
        <v>148</v>
      </c>
      <c r="C158" s="23" t="s">
        <v>518</v>
      </c>
      <c r="D158" s="23">
        <v>2040000</v>
      </c>
      <c r="E158" s="23" t="s">
        <v>364</v>
      </c>
      <c r="F158" s="23" t="str">
        <f t="shared" si="4"/>
        <v>rtdc.l.rtdc.4038:itc</v>
      </c>
      <c r="G158" s="8">
        <f t="shared" si="5"/>
        <v>42614.729583333334</v>
      </c>
    </row>
    <row r="159" spans="1:7" x14ac:dyDescent="0.25">
      <c r="A159" s="8">
        <v>42614.731064814812</v>
      </c>
      <c r="B159" s="23" t="s">
        <v>224</v>
      </c>
      <c r="C159" s="23" t="s">
        <v>513</v>
      </c>
      <c r="D159" s="23">
        <v>910000</v>
      </c>
      <c r="E159" s="23" t="s">
        <v>735</v>
      </c>
      <c r="F159" s="23" t="str">
        <f t="shared" si="4"/>
        <v>rtdc.l.rtdc.4019:itc</v>
      </c>
      <c r="G159" s="8">
        <f t="shared" si="5"/>
        <v>42614.731064814812</v>
      </c>
    </row>
    <row r="160" spans="1:7" x14ac:dyDescent="0.25">
      <c r="A160" s="8">
        <v>42614.735034722224</v>
      </c>
      <c r="B160" s="23" t="s">
        <v>90</v>
      </c>
      <c r="C160" s="23" t="s">
        <v>679</v>
      </c>
      <c r="D160" s="23">
        <v>2280000</v>
      </c>
      <c r="E160" s="23" t="s">
        <v>284</v>
      </c>
      <c r="F160" s="23" t="str">
        <f t="shared" si="4"/>
        <v>rtdc.l.rtdc.4013:itc</v>
      </c>
      <c r="G160" s="8">
        <f t="shared" si="5"/>
        <v>42614.735034722224</v>
      </c>
    </row>
    <row r="161" spans="1:7" x14ac:dyDescent="0.25">
      <c r="A161" s="8">
        <v>42614.738634259258</v>
      </c>
      <c r="B161" s="23" t="s">
        <v>147</v>
      </c>
      <c r="C161" s="23" t="s">
        <v>521</v>
      </c>
      <c r="D161" s="23">
        <v>1290000</v>
      </c>
      <c r="E161" s="23" t="s">
        <v>252</v>
      </c>
      <c r="F161" s="23" t="str">
        <f t="shared" si="4"/>
        <v>rtdc.l.rtdc.4042:itc</v>
      </c>
      <c r="G161" s="8">
        <f t="shared" si="5"/>
        <v>42614.738634259258</v>
      </c>
    </row>
    <row r="162" spans="1:7" x14ac:dyDescent="0.25">
      <c r="A162" s="8">
        <v>42614.739629629628</v>
      </c>
      <c r="B162" s="23" t="s">
        <v>147</v>
      </c>
      <c r="C162" s="23" t="s">
        <v>521</v>
      </c>
      <c r="D162" s="23">
        <v>1290000</v>
      </c>
      <c r="E162" s="23" t="s">
        <v>252</v>
      </c>
      <c r="F162" s="23" t="str">
        <f t="shared" si="4"/>
        <v>rtdc.l.rtdc.4042:itc</v>
      </c>
      <c r="G162" s="8">
        <f t="shared" si="5"/>
        <v>42614.739629629628</v>
      </c>
    </row>
    <row r="163" spans="1:7" x14ac:dyDescent="0.25">
      <c r="A163" s="8">
        <v>42614.740833333337</v>
      </c>
      <c r="B163" s="23" t="s">
        <v>168</v>
      </c>
      <c r="C163" s="23" t="s">
        <v>681</v>
      </c>
      <c r="D163" s="23">
        <v>1230000</v>
      </c>
      <c r="E163" s="23" t="s">
        <v>165</v>
      </c>
      <c r="F163" s="23" t="str">
        <f t="shared" si="4"/>
        <v>rtdc.l.rtdc.4009:itc</v>
      </c>
      <c r="G163" s="8">
        <f t="shared" si="5"/>
        <v>42614.740833333337</v>
      </c>
    </row>
    <row r="164" spans="1:7" x14ac:dyDescent="0.25">
      <c r="A164" s="8">
        <v>42614.750914351855</v>
      </c>
      <c r="B164" s="23" t="s">
        <v>115</v>
      </c>
      <c r="C164" s="23" t="s">
        <v>514</v>
      </c>
      <c r="D164" s="23">
        <v>2030000</v>
      </c>
      <c r="E164" s="23" t="s">
        <v>249</v>
      </c>
      <c r="F164" s="23" t="str">
        <f t="shared" si="4"/>
        <v>rtdc.l.rtdc.4032:itc</v>
      </c>
      <c r="G164" s="8">
        <f t="shared" si="5"/>
        <v>42614.750914351855</v>
      </c>
    </row>
    <row r="165" spans="1:7" x14ac:dyDescent="0.25">
      <c r="A165" s="8">
        <v>42614.752071759256</v>
      </c>
      <c r="B165" s="23" t="s">
        <v>115</v>
      </c>
      <c r="C165" s="23" t="s">
        <v>514</v>
      </c>
      <c r="D165" s="23">
        <v>2030000</v>
      </c>
      <c r="E165" s="23" t="s">
        <v>249</v>
      </c>
      <c r="F165" s="23" t="str">
        <f t="shared" si="4"/>
        <v>rtdc.l.rtdc.4032:itc</v>
      </c>
      <c r="G165" s="8">
        <f t="shared" si="5"/>
        <v>42614.752071759256</v>
      </c>
    </row>
    <row r="166" spans="1:7" x14ac:dyDescent="0.25">
      <c r="A166" s="8">
        <v>42614.752708333333</v>
      </c>
      <c r="B166" s="23" t="s">
        <v>358</v>
      </c>
      <c r="C166" s="23" t="s">
        <v>524</v>
      </c>
      <c r="D166" s="23">
        <v>730000</v>
      </c>
      <c r="E166" s="23" t="s">
        <v>739</v>
      </c>
      <c r="F166" s="23" t="str">
        <f t="shared" si="4"/>
        <v>rtdc.l.rtdc.4044:itc</v>
      </c>
      <c r="G166" s="8">
        <f t="shared" si="5"/>
        <v>42614.752708333333</v>
      </c>
    </row>
    <row r="167" spans="1:7" x14ac:dyDescent="0.25">
      <c r="A167" s="8">
        <v>42614.754374999997</v>
      </c>
      <c r="B167" s="23" t="s">
        <v>169</v>
      </c>
      <c r="C167" s="23" t="s">
        <v>682</v>
      </c>
      <c r="D167" s="23">
        <v>1230000</v>
      </c>
      <c r="E167" s="23" t="s">
        <v>165</v>
      </c>
      <c r="F167" s="23" t="str">
        <f t="shared" si="4"/>
        <v>rtdc.l.rtdc.4010:itc</v>
      </c>
      <c r="G167" s="8">
        <f t="shared" si="5"/>
        <v>42614.754374999997</v>
      </c>
    </row>
    <row r="168" spans="1:7" x14ac:dyDescent="0.25">
      <c r="A168" s="8">
        <v>42614.756388888891</v>
      </c>
      <c r="B168" s="23" t="s">
        <v>265</v>
      </c>
      <c r="C168" s="23" t="s">
        <v>517</v>
      </c>
      <c r="D168" s="23">
        <v>2220000</v>
      </c>
      <c r="E168" s="23" t="s">
        <v>287</v>
      </c>
      <c r="F168" s="23" t="str">
        <f t="shared" si="4"/>
        <v>rtdc.l.rtdc.4017:itc</v>
      </c>
      <c r="G168" s="8">
        <f t="shared" si="5"/>
        <v>42614.756388888891</v>
      </c>
    </row>
    <row r="169" spans="1:7" x14ac:dyDescent="0.25">
      <c r="A169" s="8">
        <v>42614.75744212963</v>
      </c>
      <c r="B169" s="23" t="s">
        <v>734</v>
      </c>
      <c r="C169" s="23" t="s">
        <v>586</v>
      </c>
      <c r="D169" s="23">
        <v>2100000</v>
      </c>
      <c r="E169" s="23" t="s">
        <v>137</v>
      </c>
      <c r="F169" s="23" t="str">
        <f t="shared" si="4"/>
        <v>rtdc.l.rtdc.4022:itc</v>
      </c>
      <c r="G169" s="8">
        <f t="shared" si="5"/>
        <v>42614.75744212963</v>
      </c>
    </row>
    <row r="170" spans="1:7" x14ac:dyDescent="0.25">
      <c r="A170" s="8">
        <v>42614.761574074073</v>
      </c>
      <c r="B170" s="23" t="s">
        <v>266</v>
      </c>
      <c r="C170" s="23" t="s">
        <v>529</v>
      </c>
      <c r="D170" s="23">
        <v>2000000</v>
      </c>
      <c r="E170" s="23" t="s">
        <v>141</v>
      </c>
      <c r="F170" s="23" t="str">
        <f t="shared" si="4"/>
        <v>rtdc.l.rtdc.4011:itc</v>
      </c>
      <c r="G170" s="8">
        <f t="shared" si="5"/>
        <v>42614.761574074073</v>
      </c>
    </row>
    <row r="171" spans="1:7" x14ac:dyDescent="0.25">
      <c r="A171" s="8">
        <v>42614.763495370367</v>
      </c>
      <c r="B171" s="23" t="s">
        <v>112</v>
      </c>
      <c r="C171" s="23" t="s">
        <v>685</v>
      </c>
      <c r="D171" s="23">
        <v>2280000</v>
      </c>
      <c r="E171" s="23" t="s">
        <v>284</v>
      </c>
      <c r="F171" s="23" t="str">
        <f t="shared" si="4"/>
        <v>rtdc.l.rtdc.4014:itc</v>
      </c>
      <c r="G171" s="8">
        <f t="shared" si="5"/>
        <v>42614.763495370367</v>
      </c>
    </row>
    <row r="172" spans="1:7" x14ac:dyDescent="0.25">
      <c r="A172" s="8">
        <v>42614.763599537036</v>
      </c>
      <c r="B172" s="23" t="s">
        <v>266</v>
      </c>
      <c r="C172" s="23" t="s">
        <v>529</v>
      </c>
      <c r="D172" s="23">
        <v>2000000</v>
      </c>
      <c r="E172" s="23" t="s">
        <v>141</v>
      </c>
      <c r="F172" s="23" t="str">
        <f t="shared" si="4"/>
        <v>rtdc.l.rtdc.4011:itc</v>
      </c>
      <c r="G172" s="8">
        <f t="shared" si="5"/>
        <v>42614.763599537036</v>
      </c>
    </row>
    <row r="173" spans="1:7" x14ac:dyDescent="0.25">
      <c r="A173" s="8">
        <v>42614.771608796298</v>
      </c>
      <c r="B173" s="23" t="s">
        <v>142</v>
      </c>
      <c r="C173" s="23" t="s">
        <v>520</v>
      </c>
      <c r="D173" s="23">
        <v>2040000</v>
      </c>
      <c r="E173" s="23" t="s">
        <v>364</v>
      </c>
      <c r="F173" s="23" t="str">
        <f t="shared" si="4"/>
        <v>rtdc.l.rtdc.4037:itc</v>
      </c>
      <c r="G173" s="8">
        <f t="shared" si="5"/>
        <v>42614.771608796298</v>
      </c>
    </row>
    <row r="174" spans="1:7" x14ac:dyDescent="0.25">
      <c r="A174" s="8">
        <v>42614.771620370368</v>
      </c>
      <c r="B174" s="23" t="s">
        <v>360</v>
      </c>
      <c r="C174" s="23" t="s">
        <v>740</v>
      </c>
      <c r="D174" s="23">
        <v>1810000</v>
      </c>
      <c r="E174" s="23" t="s">
        <v>732</v>
      </c>
      <c r="F174" s="23" t="str">
        <f t="shared" si="4"/>
        <v>rtdc.l.rtdc.4007:itc</v>
      </c>
      <c r="G174" s="8">
        <f t="shared" si="5"/>
        <v>42614.771620370368</v>
      </c>
    </row>
    <row r="175" spans="1:7" x14ac:dyDescent="0.25">
      <c r="A175" s="8">
        <v>42614.772511574076</v>
      </c>
      <c r="B175" s="23" t="s">
        <v>225</v>
      </c>
      <c r="C175" s="23" t="s">
        <v>535</v>
      </c>
      <c r="D175" s="23">
        <v>2110000</v>
      </c>
      <c r="E175" s="23" t="s">
        <v>741</v>
      </c>
      <c r="F175" s="23" t="str">
        <f t="shared" si="4"/>
        <v>rtdc.l.rtdc.4020:itc</v>
      </c>
      <c r="G175" s="8">
        <f t="shared" si="5"/>
        <v>42614.772511574076</v>
      </c>
    </row>
    <row r="176" spans="1:7" x14ac:dyDescent="0.25">
      <c r="A176" s="8">
        <v>42614.776724537034</v>
      </c>
      <c r="B176" s="23" t="s">
        <v>90</v>
      </c>
      <c r="C176" s="23" t="s">
        <v>688</v>
      </c>
      <c r="D176" s="23">
        <v>2280000</v>
      </c>
      <c r="E176" s="23" t="s">
        <v>284</v>
      </c>
      <c r="F176" s="23" t="str">
        <f t="shared" si="4"/>
        <v>rtdc.l.rtdc.4013:itc</v>
      </c>
      <c r="G176" s="8">
        <f t="shared" si="5"/>
        <v>42614.776724537034</v>
      </c>
    </row>
    <row r="177" spans="1:7" x14ac:dyDescent="0.25">
      <c r="A177" s="8">
        <v>42614.777418981481</v>
      </c>
      <c r="B177" s="23" t="s">
        <v>176</v>
      </c>
      <c r="C177" s="23" t="s">
        <v>522</v>
      </c>
      <c r="D177" s="23">
        <v>1290000</v>
      </c>
      <c r="E177" s="23" t="s">
        <v>252</v>
      </c>
      <c r="F177" s="23" t="str">
        <f t="shared" si="4"/>
        <v>rtdc.l.rtdc.4041:itc</v>
      </c>
      <c r="G177" s="8">
        <f t="shared" si="5"/>
        <v>42614.777418981481</v>
      </c>
    </row>
    <row r="178" spans="1:7" x14ac:dyDescent="0.25">
      <c r="A178" s="8">
        <v>42614.781076388892</v>
      </c>
      <c r="B178" s="23" t="s">
        <v>230</v>
      </c>
      <c r="C178" s="23" t="s">
        <v>593</v>
      </c>
      <c r="D178" s="23">
        <v>1170000</v>
      </c>
      <c r="E178" s="23" t="s">
        <v>742</v>
      </c>
      <c r="F178" s="23" t="str">
        <f t="shared" si="4"/>
        <v>rtdc.l.rtdc.4028:itc</v>
      </c>
      <c r="G178" s="8">
        <f t="shared" si="5"/>
        <v>42614.781076388892</v>
      </c>
    </row>
    <row r="179" spans="1:7" x14ac:dyDescent="0.25">
      <c r="A179" s="8">
        <v>42614.782465277778</v>
      </c>
      <c r="B179" s="23" t="s">
        <v>356</v>
      </c>
      <c r="C179" s="23" t="s">
        <v>526</v>
      </c>
      <c r="D179" s="23">
        <v>730000</v>
      </c>
      <c r="E179" s="23" t="s">
        <v>739</v>
      </c>
      <c r="F179" s="23" t="str">
        <f t="shared" si="4"/>
        <v>rtdc.l.rtdc.4043:itc</v>
      </c>
      <c r="G179" s="8">
        <f t="shared" si="5"/>
        <v>42614.782465277778</v>
      </c>
    </row>
    <row r="180" spans="1:7" x14ac:dyDescent="0.25">
      <c r="A180" s="8">
        <v>42614.782754629632</v>
      </c>
      <c r="B180" s="23" t="s">
        <v>168</v>
      </c>
      <c r="C180" s="23" t="s">
        <v>689</v>
      </c>
      <c r="D180" s="23">
        <v>1230000</v>
      </c>
      <c r="E180" s="23" t="s">
        <v>165</v>
      </c>
      <c r="F180" s="23" t="str">
        <f t="shared" si="4"/>
        <v>rtdc.l.rtdc.4009:itc</v>
      </c>
      <c r="G180" s="8">
        <f t="shared" si="5"/>
        <v>42614.782754629632</v>
      </c>
    </row>
    <row r="181" spans="1:7" x14ac:dyDescent="0.25">
      <c r="A181" s="8">
        <v>42614.791805555556</v>
      </c>
      <c r="B181" s="23" t="s">
        <v>264</v>
      </c>
      <c r="C181" s="23" t="s">
        <v>537</v>
      </c>
      <c r="D181" s="23">
        <v>2220000</v>
      </c>
      <c r="E181" s="23" t="s">
        <v>287</v>
      </c>
      <c r="F181" s="23" t="str">
        <f t="shared" si="4"/>
        <v>rtdc.l.rtdc.4018:itc</v>
      </c>
      <c r="G181" s="8">
        <f t="shared" si="5"/>
        <v>42614.791805555556</v>
      </c>
    </row>
    <row r="182" spans="1:7" x14ac:dyDescent="0.25">
      <c r="A182" s="8">
        <v>42614.795243055552</v>
      </c>
      <c r="B182" s="23" t="s">
        <v>114</v>
      </c>
      <c r="C182" s="23" t="s">
        <v>743</v>
      </c>
      <c r="D182" s="23">
        <v>2030000</v>
      </c>
      <c r="E182" s="23" t="s">
        <v>249</v>
      </c>
      <c r="F182" s="23" t="str">
        <f t="shared" si="4"/>
        <v>rtdc.l.rtdc.4031:itc</v>
      </c>
      <c r="G182" s="8">
        <f t="shared" si="5"/>
        <v>42614.795243055552</v>
      </c>
    </row>
    <row r="183" spans="1:7" x14ac:dyDescent="0.25">
      <c r="A183" s="8">
        <v>42614.796076388891</v>
      </c>
      <c r="B183" s="23" t="s">
        <v>169</v>
      </c>
      <c r="C183" s="23" t="s">
        <v>712</v>
      </c>
      <c r="D183" s="23">
        <v>1230000</v>
      </c>
      <c r="E183" s="23" t="s">
        <v>165</v>
      </c>
      <c r="F183" s="23" t="str">
        <f t="shared" si="4"/>
        <v>rtdc.l.rtdc.4010:itc</v>
      </c>
      <c r="G183" s="8">
        <f t="shared" si="5"/>
        <v>42614.796076388891</v>
      </c>
    </row>
    <row r="184" spans="1:7" x14ac:dyDescent="0.25">
      <c r="A184" s="8">
        <v>42614.803576388891</v>
      </c>
      <c r="B184" s="23" t="s">
        <v>280</v>
      </c>
      <c r="C184" s="23" t="s">
        <v>532</v>
      </c>
      <c r="D184" s="23">
        <v>2000000</v>
      </c>
      <c r="E184" s="23" t="s">
        <v>141</v>
      </c>
      <c r="F184" s="23" t="str">
        <f t="shared" si="4"/>
        <v>rtdc.l.rtdc.4012:itc</v>
      </c>
      <c r="G184" s="8">
        <f t="shared" si="5"/>
        <v>42614.803576388891</v>
      </c>
    </row>
    <row r="185" spans="1:7" x14ac:dyDescent="0.25">
      <c r="A185" s="8">
        <v>42614.803877314815</v>
      </c>
      <c r="B185" s="23" t="s">
        <v>112</v>
      </c>
      <c r="C185" s="23" t="s">
        <v>693</v>
      </c>
      <c r="D185" s="23">
        <v>2280000</v>
      </c>
      <c r="E185" s="23" t="s">
        <v>284</v>
      </c>
      <c r="F185" s="23" t="str">
        <f t="shared" si="4"/>
        <v>rtdc.l.rtdc.4014:itc</v>
      </c>
      <c r="G185" s="8">
        <f t="shared" si="5"/>
        <v>42614.803877314815</v>
      </c>
    </row>
    <row r="186" spans="1:7" x14ac:dyDescent="0.25">
      <c r="A186" s="8">
        <v>42614.808159722219</v>
      </c>
      <c r="B186" s="23" t="s">
        <v>224</v>
      </c>
      <c r="C186" s="23" t="s">
        <v>536</v>
      </c>
      <c r="D186" s="23">
        <v>2110000</v>
      </c>
      <c r="E186" s="23" t="s">
        <v>741</v>
      </c>
      <c r="F186" s="23" t="str">
        <f t="shared" si="4"/>
        <v>rtdc.l.rtdc.4019:itc</v>
      </c>
      <c r="G186" s="8">
        <f t="shared" si="5"/>
        <v>42614.808159722219</v>
      </c>
    </row>
    <row r="187" spans="1:7" x14ac:dyDescent="0.25">
      <c r="A187" s="8">
        <v>42614.809328703705</v>
      </c>
      <c r="B187" s="23" t="s">
        <v>147</v>
      </c>
      <c r="C187" s="23" t="s">
        <v>539</v>
      </c>
      <c r="D187" s="23">
        <v>1290000</v>
      </c>
      <c r="E187" s="23" t="s">
        <v>252</v>
      </c>
      <c r="F187" s="23" t="str">
        <f t="shared" si="4"/>
        <v>rtdc.l.rtdc.4042:itc</v>
      </c>
      <c r="G187" s="8">
        <f t="shared" si="5"/>
        <v>42614.809328703705</v>
      </c>
    </row>
    <row r="188" spans="1:7" x14ac:dyDescent="0.25">
      <c r="A188" s="8">
        <v>42614.818194444444</v>
      </c>
      <c r="B188" s="23" t="s">
        <v>90</v>
      </c>
      <c r="C188" s="23" t="s">
        <v>691</v>
      </c>
      <c r="D188" s="23">
        <v>2280000</v>
      </c>
      <c r="E188" s="23" t="s">
        <v>284</v>
      </c>
      <c r="F188" s="23" t="str">
        <f t="shared" si="4"/>
        <v>rtdc.l.rtdc.4013:itc</v>
      </c>
      <c r="G188" s="8">
        <f t="shared" si="5"/>
        <v>42614.818194444444</v>
      </c>
    </row>
    <row r="189" spans="1:7" x14ac:dyDescent="0.25">
      <c r="A189" s="8">
        <v>42614.82236111111</v>
      </c>
      <c r="B189" s="23" t="s">
        <v>358</v>
      </c>
      <c r="C189" s="23" t="s">
        <v>573</v>
      </c>
      <c r="D189" s="23">
        <v>730000</v>
      </c>
      <c r="E189" s="23" t="s">
        <v>739</v>
      </c>
      <c r="F189" s="23" t="str">
        <f t="shared" si="4"/>
        <v>rtdc.l.rtdc.4044:itc</v>
      </c>
      <c r="G189" s="8">
        <f t="shared" si="5"/>
        <v>42614.82236111111</v>
      </c>
    </row>
    <row r="190" spans="1:7" x14ac:dyDescent="0.25">
      <c r="A190" s="8">
        <v>42614.826238425929</v>
      </c>
      <c r="B190" s="23" t="s">
        <v>265</v>
      </c>
      <c r="C190" s="23" t="s">
        <v>538</v>
      </c>
      <c r="D190" s="23">
        <v>2220000</v>
      </c>
      <c r="E190" s="23" t="s">
        <v>287</v>
      </c>
      <c r="F190" s="23" t="str">
        <f t="shared" si="4"/>
        <v>rtdc.l.rtdc.4017:itc</v>
      </c>
      <c r="G190" s="8">
        <f t="shared" si="5"/>
        <v>42614.826238425929</v>
      </c>
    </row>
    <row r="191" spans="1:7" x14ac:dyDescent="0.25">
      <c r="A191" s="8">
        <v>42614.832465277781</v>
      </c>
      <c r="B191" s="23" t="s">
        <v>266</v>
      </c>
      <c r="C191" s="23" t="s">
        <v>543</v>
      </c>
      <c r="D191" s="23">
        <v>2000000</v>
      </c>
      <c r="E191" s="23" t="s">
        <v>141</v>
      </c>
      <c r="F191" s="23" t="str">
        <f t="shared" si="4"/>
        <v>rtdc.l.rtdc.4011:itc</v>
      </c>
      <c r="G191" s="8">
        <f t="shared" si="5"/>
        <v>42614.832465277781</v>
      </c>
    </row>
    <row r="192" spans="1:7" x14ac:dyDescent="0.25">
      <c r="A192" s="8">
        <v>42614.842743055553</v>
      </c>
      <c r="B192" s="23" t="s">
        <v>112</v>
      </c>
      <c r="C192" s="23" t="s">
        <v>697</v>
      </c>
      <c r="D192" s="23">
        <v>2280000</v>
      </c>
      <c r="E192" s="23" t="s">
        <v>284</v>
      </c>
      <c r="F192" s="23" t="str">
        <f t="shared" si="4"/>
        <v>rtdc.l.rtdc.4014:itc</v>
      </c>
      <c r="G192" s="8">
        <f t="shared" si="5"/>
        <v>42614.842743055553</v>
      </c>
    </row>
    <row r="193" spans="1:7" x14ac:dyDescent="0.25">
      <c r="A193" s="8">
        <v>42614.84815972222</v>
      </c>
      <c r="B193" s="23" t="s">
        <v>176</v>
      </c>
      <c r="C193" s="23" t="s">
        <v>542</v>
      </c>
      <c r="D193" s="23">
        <v>1290000</v>
      </c>
      <c r="E193" s="23" t="s">
        <v>252</v>
      </c>
      <c r="F193" s="23" t="str">
        <f t="shared" si="4"/>
        <v>rtdc.l.rtdc.4041:itc</v>
      </c>
      <c r="G193" s="8">
        <f t="shared" si="5"/>
        <v>42614.84815972222</v>
      </c>
    </row>
    <row r="194" spans="1:7" x14ac:dyDescent="0.25">
      <c r="A194" s="8">
        <v>42614.849710648145</v>
      </c>
      <c r="B194" s="23" t="s">
        <v>225</v>
      </c>
      <c r="C194" s="23" t="s">
        <v>547</v>
      </c>
      <c r="D194" s="23">
        <v>2110000</v>
      </c>
      <c r="E194" s="23" t="s">
        <v>741</v>
      </c>
      <c r="F194" s="23" t="str">
        <f t="shared" ref="F194:F235" si="6">B194</f>
        <v>rtdc.l.rtdc.4020:itc</v>
      </c>
      <c r="G194" s="8">
        <f t="shared" ref="G194:G235" si="7">A194</f>
        <v>42614.849710648145</v>
      </c>
    </row>
    <row r="195" spans="1:7" x14ac:dyDescent="0.25">
      <c r="A195" s="8">
        <v>42614.859884259262</v>
      </c>
      <c r="B195" s="23" t="s">
        <v>90</v>
      </c>
      <c r="C195" s="23" t="s">
        <v>694</v>
      </c>
      <c r="D195" s="23">
        <v>2280000</v>
      </c>
      <c r="E195" s="23" t="s">
        <v>284</v>
      </c>
      <c r="F195" s="23" t="str">
        <f t="shared" si="6"/>
        <v>rtdc.l.rtdc.4013:itc</v>
      </c>
      <c r="G195" s="8">
        <f t="shared" si="7"/>
        <v>42614.859884259262</v>
      </c>
    </row>
    <row r="196" spans="1:7" x14ac:dyDescent="0.25">
      <c r="A196" s="8">
        <v>42614.869884259257</v>
      </c>
      <c r="B196" s="23" t="s">
        <v>280</v>
      </c>
      <c r="C196" s="23" t="s">
        <v>545</v>
      </c>
      <c r="D196" s="23">
        <v>2000000</v>
      </c>
      <c r="E196" s="23" t="s">
        <v>141</v>
      </c>
      <c r="F196" s="23" t="str">
        <f t="shared" si="6"/>
        <v>rtdc.l.rtdc.4012:itc</v>
      </c>
      <c r="G196" s="8">
        <f t="shared" si="7"/>
        <v>42614.869884259257</v>
      </c>
    </row>
    <row r="197" spans="1:7" x14ac:dyDescent="0.25">
      <c r="A197" s="8">
        <v>42614.871192129627</v>
      </c>
      <c r="B197" s="23" t="s">
        <v>264</v>
      </c>
      <c r="C197" s="23" t="s">
        <v>550</v>
      </c>
      <c r="D197" s="23">
        <v>2220000</v>
      </c>
      <c r="E197" s="23" t="s">
        <v>287</v>
      </c>
      <c r="F197" s="23" t="str">
        <f t="shared" si="6"/>
        <v>rtdc.l.rtdc.4018:itc</v>
      </c>
      <c r="G197" s="8">
        <f t="shared" si="7"/>
        <v>42614.871192129627</v>
      </c>
    </row>
    <row r="198" spans="1:7" x14ac:dyDescent="0.25">
      <c r="A198" s="8">
        <v>42614.887650462966</v>
      </c>
      <c r="B198" s="23" t="s">
        <v>112</v>
      </c>
      <c r="C198" s="23" t="s">
        <v>702</v>
      </c>
      <c r="D198" s="23">
        <v>1230000</v>
      </c>
      <c r="E198" s="23" t="s">
        <v>165</v>
      </c>
      <c r="F198" s="23" t="str">
        <f t="shared" si="6"/>
        <v>rtdc.l.rtdc.4014:itc</v>
      </c>
      <c r="G198" s="8">
        <f t="shared" si="7"/>
        <v>42614.887650462966</v>
      </c>
    </row>
    <row r="199" spans="1:7" x14ac:dyDescent="0.25">
      <c r="A199" s="8">
        <v>42614.889606481483</v>
      </c>
      <c r="B199" s="23" t="s">
        <v>224</v>
      </c>
      <c r="C199" s="23" t="s">
        <v>549</v>
      </c>
      <c r="D199" s="23">
        <v>2110000</v>
      </c>
      <c r="E199" s="23" t="s">
        <v>741</v>
      </c>
      <c r="F199" s="23" t="str">
        <f t="shared" si="6"/>
        <v>rtdc.l.rtdc.4019:itc</v>
      </c>
      <c r="G199" s="8">
        <f t="shared" si="7"/>
        <v>42614.889606481483</v>
      </c>
    </row>
    <row r="200" spans="1:7" x14ac:dyDescent="0.25">
      <c r="A200" s="8">
        <v>42614.889780092592</v>
      </c>
      <c r="B200" s="23" t="s">
        <v>112</v>
      </c>
      <c r="C200" s="23" t="s">
        <v>702</v>
      </c>
      <c r="D200" s="23">
        <v>1230000</v>
      </c>
      <c r="E200" s="23" t="s">
        <v>165</v>
      </c>
      <c r="F200" s="23" t="str">
        <f t="shared" si="6"/>
        <v>rtdc.l.rtdc.4014:itc</v>
      </c>
      <c r="G200" s="8">
        <f t="shared" si="7"/>
        <v>42614.889780092592</v>
      </c>
    </row>
    <row r="201" spans="1:7" x14ac:dyDescent="0.25">
      <c r="A201" s="8">
        <v>42614.892743055556</v>
      </c>
      <c r="B201" s="23" t="s">
        <v>147</v>
      </c>
      <c r="C201" s="23" t="s">
        <v>552</v>
      </c>
      <c r="D201" s="23">
        <v>1290000</v>
      </c>
      <c r="E201" s="23" t="s">
        <v>252</v>
      </c>
      <c r="F201" s="23" t="str">
        <f t="shared" si="6"/>
        <v>rtdc.l.rtdc.4042:itc</v>
      </c>
      <c r="G201" s="8">
        <f t="shared" si="7"/>
        <v>42614.892743055556</v>
      </c>
    </row>
    <row r="202" spans="1:7" x14ac:dyDescent="0.25">
      <c r="A202" s="29">
        <v>42614.901030092595</v>
      </c>
      <c r="B202" s="23" t="s">
        <v>90</v>
      </c>
      <c r="C202" s="23" t="s">
        <v>700</v>
      </c>
      <c r="D202" s="23">
        <v>1230000</v>
      </c>
      <c r="E202" s="23" t="s">
        <v>165</v>
      </c>
      <c r="F202" s="23" t="str">
        <f t="shared" si="6"/>
        <v>rtdc.l.rtdc.4013:itc</v>
      </c>
      <c r="G202" s="8">
        <f t="shared" si="7"/>
        <v>42614.901030092595</v>
      </c>
    </row>
    <row r="203" spans="1:7" x14ac:dyDescent="0.25">
      <c r="A203" s="8">
        <v>42614.908310185187</v>
      </c>
      <c r="B203" s="23" t="s">
        <v>265</v>
      </c>
      <c r="C203" s="23" t="s">
        <v>551</v>
      </c>
      <c r="D203" s="23">
        <v>2220000</v>
      </c>
      <c r="E203" s="23" t="s">
        <v>287</v>
      </c>
      <c r="F203" s="23" t="str">
        <f t="shared" si="6"/>
        <v>rtdc.l.rtdc.4017:itc</v>
      </c>
      <c r="G203" s="8">
        <f t="shared" si="7"/>
        <v>42614.908310185187</v>
      </c>
    </row>
    <row r="204" spans="1:7" x14ac:dyDescent="0.25">
      <c r="A204" s="8">
        <v>42614.910555555558</v>
      </c>
      <c r="B204" s="23" t="s">
        <v>266</v>
      </c>
      <c r="C204" s="23" t="s">
        <v>554</v>
      </c>
      <c r="D204" s="23">
        <v>2000000</v>
      </c>
      <c r="E204" s="23" t="s">
        <v>141</v>
      </c>
      <c r="F204" s="23" t="str">
        <f t="shared" si="6"/>
        <v>rtdc.l.rtdc.4011:itc</v>
      </c>
      <c r="G204" s="8">
        <f t="shared" si="7"/>
        <v>42614.910555555558</v>
      </c>
    </row>
    <row r="205" spans="1:7" x14ac:dyDescent="0.25">
      <c r="A205" s="8">
        <v>42614.928912037038</v>
      </c>
      <c r="B205" s="23" t="s">
        <v>112</v>
      </c>
      <c r="C205" s="23" t="s">
        <v>705</v>
      </c>
      <c r="D205" s="23">
        <v>1230000</v>
      </c>
      <c r="E205" s="23" t="s">
        <v>165</v>
      </c>
      <c r="F205" s="23" t="str">
        <f t="shared" si="6"/>
        <v>rtdc.l.rtdc.4014:itc</v>
      </c>
      <c r="G205" s="8">
        <f t="shared" si="7"/>
        <v>42614.928912037038</v>
      </c>
    </row>
    <row r="206" spans="1:7" x14ac:dyDescent="0.25">
      <c r="A206" s="8">
        <v>42614.930509259262</v>
      </c>
      <c r="B206" s="23" t="s">
        <v>176</v>
      </c>
      <c r="C206" s="23" t="s">
        <v>553</v>
      </c>
      <c r="D206" s="23">
        <v>1290000</v>
      </c>
      <c r="E206" s="23" t="s">
        <v>252</v>
      </c>
      <c r="F206" s="23" t="str">
        <f t="shared" si="6"/>
        <v>rtdc.l.rtdc.4041:itc</v>
      </c>
      <c r="G206" s="8">
        <f t="shared" si="7"/>
        <v>42614.930509259262</v>
      </c>
    </row>
    <row r="207" spans="1:7" x14ac:dyDescent="0.25">
      <c r="A207" s="8">
        <v>42614.932280092595</v>
      </c>
      <c r="B207" s="23" t="s">
        <v>225</v>
      </c>
      <c r="C207" s="23" t="s">
        <v>558</v>
      </c>
      <c r="D207" s="23">
        <v>2110000</v>
      </c>
      <c r="E207" s="23" t="s">
        <v>741</v>
      </c>
      <c r="F207" s="23" t="str">
        <f t="shared" si="6"/>
        <v>rtdc.l.rtdc.4020:itc</v>
      </c>
      <c r="G207" s="8">
        <f t="shared" si="7"/>
        <v>42614.932280092595</v>
      </c>
    </row>
    <row r="208" spans="1:7" x14ac:dyDescent="0.25">
      <c r="A208" s="8">
        <v>42614.942835648151</v>
      </c>
      <c r="B208" s="23" t="s">
        <v>90</v>
      </c>
      <c r="C208" s="23" t="s">
        <v>714</v>
      </c>
      <c r="D208" s="23">
        <v>1230000</v>
      </c>
      <c r="E208" s="23" t="s">
        <v>165</v>
      </c>
      <c r="F208" s="23" t="str">
        <f t="shared" si="6"/>
        <v>rtdc.l.rtdc.4013:itc</v>
      </c>
      <c r="G208" s="8">
        <f t="shared" si="7"/>
        <v>42614.942835648151</v>
      </c>
    </row>
    <row r="209" spans="1:7" x14ac:dyDescent="0.25">
      <c r="A209" s="8">
        <v>42614.952546296299</v>
      </c>
      <c r="B209" s="23" t="s">
        <v>280</v>
      </c>
      <c r="C209" s="23" t="s">
        <v>555</v>
      </c>
      <c r="D209" s="23">
        <v>2000000</v>
      </c>
      <c r="E209" s="23" t="s">
        <v>141</v>
      </c>
      <c r="F209" s="23" t="str">
        <f t="shared" si="6"/>
        <v>rtdc.l.rtdc.4012:itc</v>
      </c>
      <c r="G209" s="8">
        <f t="shared" si="7"/>
        <v>42614.952546296299</v>
      </c>
    </row>
    <row r="210" spans="1:7" x14ac:dyDescent="0.25">
      <c r="A210" s="8">
        <v>42614.954062500001</v>
      </c>
      <c r="B210" s="23" t="s">
        <v>264</v>
      </c>
      <c r="C210" s="23" t="s">
        <v>560</v>
      </c>
      <c r="D210" s="23">
        <v>2220000</v>
      </c>
      <c r="E210" s="23" t="s">
        <v>287</v>
      </c>
      <c r="F210" s="23" t="str">
        <f t="shared" si="6"/>
        <v>rtdc.l.rtdc.4018:itc</v>
      </c>
      <c r="G210" s="8">
        <f t="shared" si="7"/>
        <v>42614.954062500001</v>
      </c>
    </row>
    <row r="211" spans="1:7" x14ac:dyDescent="0.25">
      <c r="A211" s="8">
        <v>42614.970324074071</v>
      </c>
      <c r="B211" s="23" t="s">
        <v>224</v>
      </c>
      <c r="C211" s="23" t="s">
        <v>559</v>
      </c>
      <c r="D211" s="23">
        <v>2110000</v>
      </c>
      <c r="E211" s="23" t="s">
        <v>741</v>
      </c>
      <c r="F211" s="23" t="str">
        <f t="shared" si="6"/>
        <v>rtdc.l.rtdc.4019:itc</v>
      </c>
      <c r="G211" s="8">
        <f t="shared" si="7"/>
        <v>42614.970324074071</v>
      </c>
    </row>
    <row r="212" spans="1:7" x14ac:dyDescent="0.25">
      <c r="A212" s="8">
        <v>42614.976643518516</v>
      </c>
      <c r="B212" s="23" t="s">
        <v>147</v>
      </c>
      <c r="C212" s="23" t="s">
        <v>564</v>
      </c>
      <c r="D212" s="23">
        <v>1290000</v>
      </c>
      <c r="E212" s="23" t="s">
        <v>252</v>
      </c>
      <c r="F212" s="23" t="str">
        <f t="shared" si="6"/>
        <v>rtdc.l.rtdc.4042:itc</v>
      </c>
      <c r="G212" s="8">
        <f t="shared" si="7"/>
        <v>42614.976643518516</v>
      </c>
    </row>
    <row r="213" spans="1:7" x14ac:dyDescent="0.25">
      <c r="A213" s="8">
        <v>42614.984837962962</v>
      </c>
      <c r="B213" s="23" t="s">
        <v>266</v>
      </c>
      <c r="C213" s="23" t="s">
        <v>567</v>
      </c>
      <c r="D213" s="23">
        <v>2000000</v>
      </c>
      <c r="E213" s="23" t="s">
        <v>141</v>
      </c>
      <c r="F213" s="23" t="str">
        <f t="shared" si="6"/>
        <v>rtdc.l.rtdc.4011:itc</v>
      </c>
      <c r="G213" s="8">
        <f t="shared" si="7"/>
        <v>42614.984837962962</v>
      </c>
    </row>
    <row r="214" spans="1:7" x14ac:dyDescent="0.25">
      <c r="A214" s="8">
        <v>42614.990833333337</v>
      </c>
      <c r="B214" s="23" t="s">
        <v>265</v>
      </c>
      <c r="C214" s="23" t="s">
        <v>562</v>
      </c>
      <c r="D214" s="23">
        <v>2220000</v>
      </c>
      <c r="E214" s="23" t="s">
        <v>287</v>
      </c>
      <c r="F214" s="23" t="str">
        <f t="shared" si="6"/>
        <v>rtdc.l.rtdc.4017:itc</v>
      </c>
      <c r="G214" s="8">
        <f t="shared" si="7"/>
        <v>42614.990833333337</v>
      </c>
    </row>
    <row r="215" spans="1:7" x14ac:dyDescent="0.25">
      <c r="A215" s="8">
        <v>42615.015486111108</v>
      </c>
      <c r="B215" s="23" t="s">
        <v>176</v>
      </c>
      <c r="C215" s="23" t="s">
        <v>565</v>
      </c>
      <c r="D215" s="23">
        <v>1290000</v>
      </c>
      <c r="E215" s="23" t="s">
        <v>252</v>
      </c>
      <c r="F215" s="23" t="str">
        <f t="shared" si="6"/>
        <v>rtdc.l.rtdc.4041:itc</v>
      </c>
      <c r="G215" s="8">
        <f t="shared" si="7"/>
        <v>42615.015486111108</v>
      </c>
    </row>
    <row r="216" spans="1:7" x14ac:dyDescent="0.25">
      <c r="A216" s="8">
        <v>42615.015625</v>
      </c>
      <c r="B216" s="23" t="s">
        <v>225</v>
      </c>
      <c r="C216" s="23" t="s">
        <v>571</v>
      </c>
      <c r="D216" s="23">
        <v>2110000</v>
      </c>
      <c r="E216" s="23" t="s">
        <v>741</v>
      </c>
      <c r="F216" s="23" t="str">
        <f t="shared" si="6"/>
        <v>rtdc.l.rtdc.4020:itc</v>
      </c>
      <c r="G216" s="8">
        <f t="shared" si="7"/>
        <v>42615.015625</v>
      </c>
    </row>
    <row r="217" spans="1:7" x14ac:dyDescent="0.25">
      <c r="A217" s="8">
        <v>42615.025381944448</v>
      </c>
      <c r="B217" s="23" t="s">
        <v>723</v>
      </c>
      <c r="C217" s="23" t="s">
        <v>594</v>
      </c>
      <c r="D217" s="23">
        <v>1410000</v>
      </c>
      <c r="E217" s="23" t="s">
        <v>744</v>
      </c>
      <c r="F217" s="23" t="str">
        <f t="shared" si="6"/>
        <v>rtdc.l.rtdc.4051:itc</v>
      </c>
      <c r="G217" s="8">
        <f t="shared" si="7"/>
        <v>42615.025381944448</v>
      </c>
    </row>
    <row r="218" spans="1:7" x14ac:dyDescent="0.25">
      <c r="A218" s="8">
        <v>42615.030995370369</v>
      </c>
      <c r="B218" s="23" t="s">
        <v>264</v>
      </c>
      <c r="C218" s="23" t="s">
        <v>576</v>
      </c>
      <c r="D218" s="23">
        <v>2220000</v>
      </c>
      <c r="E218" s="23" t="s">
        <v>287</v>
      </c>
      <c r="F218" s="23" t="str">
        <f t="shared" si="6"/>
        <v>rtdc.l.rtdc.4018:itc</v>
      </c>
      <c r="G218" s="8">
        <f t="shared" si="7"/>
        <v>42615.030995370369</v>
      </c>
    </row>
    <row r="219" spans="1:7" x14ac:dyDescent="0.25">
      <c r="A219" s="8">
        <v>42615.03534722222</v>
      </c>
      <c r="B219" s="23" t="s">
        <v>280</v>
      </c>
      <c r="C219" s="23" t="s">
        <v>569</v>
      </c>
      <c r="D219" s="23">
        <v>2000000</v>
      </c>
      <c r="E219" s="23" t="s">
        <v>141</v>
      </c>
      <c r="F219" s="23" t="str">
        <f t="shared" si="6"/>
        <v>rtdc.l.rtdc.4012:itc</v>
      </c>
      <c r="G219" s="8">
        <f t="shared" si="7"/>
        <v>42615.03534722222</v>
      </c>
    </row>
    <row r="220" spans="1:7" x14ac:dyDescent="0.25">
      <c r="A220" s="8">
        <v>42615.047013888892</v>
      </c>
      <c r="B220" s="23" t="s">
        <v>147</v>
      </c>
      <c r="C220" s="23" t="s">
        <v>578</v>
      </c>
      <c r="D220" s="23">
        <v>1290000</v>
      </c>
      <c r="E220" s="23" t="s">
        <v>252</v>
      </c>
      <c r="F220" s="23" t="str">
        <f t="shared" si="6"/>
        <v>rtdc.l.rtdc.4042:itc</v>
      </c>
      <c r="G220" s="8">
        <f t="shared" si="7"/>
        <v>42615.047013888892</v>
      </c>
    </row>
    <row r="221" spans="1:7" x14ac:dyDescent="0.25">
      <c r="A221" s="8">
        <v>42615.054201388892</v>
      </c>
      <c r="B221" s="23" t="s">
        <v>224</v>
      </c>
      <c r="C221" s="23" t="s">
        <v>572</v>
      </c>
      <c r="D221" s="23">
        <v>2110000</v>
      </c>
      <c r="E221" s="23" t="s">
        <v>741</v>
      </c>
      <c r="F221" s="23" t="str">
        <f t="shared" si="6"/>
        <v>rtdc.l.rtdc.4019:itc</v>
      </c>
      <c r="G221" s="8">
        <f t="shared" si="7"/>
        <v>42615.054201388892</v>
      </c>
    </row>
    <row r="222" spans="1:7" x14ac:dyDescent="0.25">
      <c r="A222" s="8">
        <v>42615.055636574078</v>
      </c>
      <c r="B222" s="23" t="s">
        <v>723</v>
      </c>
      <c r="C222" s="23" t="s">
        <v>594</v>
      </c>
      <c r="D222" s="23">
        <v>1410000</v>
      </c>
      <c r="E222" s="23" t="s">
        <v>744</v>
      </c>
      <c r="F222" s="23" t="str">
        <f t="shared" si="6"/>
        <v>rtdc.l.rtdc.4051:itc</v>
      </c>
      <c r="G222" s="8">
        <f t="shared" si="7"/>
        <v>42615.055636574078</v>
      </c>
    </row>
    <row r="223" spans="1:7" x14ac:dyDescent="0.25">
      <c r="A223" s="8">
        <v>42615.067175925928</v>
      </c>
      <c r="B223" s="23" t="s">
        <v>266</v>
      </c>
      <c r="C223" s="23" t="s">
        <v>581</v>
      </c>
      <c r="D223" s="23">
        <v>2000000</v>
      </c>
      <c r="E223" s="23" t="s">
        <v>141</v>
      </c>
      <c r="F223" s="23" t="str">
        <f t="shared" si="6"/>
        <v>rtdc.l.rtdc.4011:itc</v>
      </c>
      <c r="G223" s="8">
        <f t="shared" si="7"/>
        <v>42615.067175925928</v>
      </c>
    </row>
    <row r="224" spans="1:7" x14ac:dyDescent="0.25">
      <c r="A224" s="8">
        <v>42615.080740740741</v>
      </c>
      <c r="B224" t="s">
        <v>745</v>
      </c>
      <c r="C224" t="s">
        <v>594</v>
      </c>
      <c r="D224">
        <v>1410000</v>
      </c>
      <c r="E224" t="s">
        <v>744</v>
      </c>
      <c r="F224" s="23" t="str">
        <f t="shared" si="6"/>
        <v>rtdc.l.rtdc.4052:itc</v>
      </c>
      <c r="G224" s="8">
        <f t="shared" si="7"/>
        <v>42615.080740740741</v>
      </c>
    </row>
    <row r="225" spans="1:7" x14ac:dyDescent="0.25">
      <c r="A225" s="8">
        <v>42615.083506944444</v>
      </c>
      <c r="B225" t="s">
        <v>745</v>
      </c>
      <c r="C225" t="s">
        <v>599</v>
      </c>
      <c r="D225">
        <v>1410000</v>
      </c>
      <c r="E225" t="s">
        <v>744</v>
      </c>
      <c r="F225" s="23" t="str">
        <f t="shared" si="6"/>
        <v>rtdc.l.rtdc.4052:itc</v>
      </c>
      <c r="G225" s="8">
        <f t="shared" si="7"/>
        <v>42615.083506944444</v>
      </c>
    </row>
    <row r="226" spans="1:7" x14ac:dyDescent="0.25">
      <c r="A226" s="8">
        <v>42615.089606481481</v>
      </c>
      <c r="B226" t="s">
        <v>225</v>
      </c>
      <c r="C226" t="s">
        <v>584</v>
      </c>
      <c r="D226">
        <v>2110000</v>
      </c>
      <c r="E226" t="s">
        <v>741</v>
      </c>
      <c r="F226" s="23" t="str">
        <f t="shared" si="6"/>
        <v>rtdc.l.rtdc.4020:itc</v>
      </c>
      <c r="G226" s="8">
        <f t="shared" si="7"/>
        <v>42615.089606481481</v>
      </c>
    </row>
    <row r="227" spans="1:7" x14ac:dyDescent="0.25">
      <c r="A227" s="8">
        <v>42615.104004629633</v>
      </c>
      <c r="B227" t="s">
        <v>723</v>
      </c>
      <c r="C227" t="s">
        <v>594</v>
      </c>
      <c r="D227">
        <v>1410000</v>
      </c>
      <c r="E227" t="s">
        <v>744</v>
      </c>
      <c r="F227" s="23" t="str">
        <f t="shared" si="6"/>
        <v>rtdc.l.rtdc.4051:itc</v>
      </c>
      <c r="G227" s="8">
        <f t="shared" si="7"/>
        <v>42615.104004629633</v>
      </c>
    </row>
    <row r="228" spans="1:7" x14ac:dyDescent="0.25">
      <c r="F228" s="23">
        <f t="shared" si="6"/>
        <v>0</v>
      </c>
      <c r="G228" s="8">
        <f t="shared" si="7"/>
        <v>0</v>
      </c>
    </row>
    <row r="229" spans="1:7" x14ac:dyDescent="0.25">
      <c r="F229" s="23">
        <f t="shared" si="6"/>
        <v>0</v>
      </c>
      <c r="G229" s="8">
        <f t="shared" si="7"/>
        <v>0</v>
      </c>
    </row>
    <row r="230" spans="1:7" x14ac:dyDescent="0.25">
      <c r="A230" s="8">
        <v>42609.025173611109</v>
      </c>
      <c r="B230" t="s">
        <v>179</v>
      </c>
      <c r="C230" t="s">
        <v>231</v>
      </c>
      <c r="D230">
        <v>2090000</v>
      </c>
      <c r="E230" t="s">
        <v>182</v>
      </c>
      <c r="F230" s="23" t="str">
        <f t="shared" si="6"/>
        <v>rtdc.l.rtdc.4003:itc</v>
      </c>
      <c r="G230" s="8">
        <f t="shared" si="7"/>
        <v>42609.025173611109</v>
      </c>
    </row>
    <row r="231" spans="1:7" x14ac:dyDescent="0.25">
      <c r="A231" s="8">
        <v>42609.036296296297</v>
      </c>
      <c r="B231" t="s">
        <v>229</v>
      </c>
      <c r="C231" t="s">
        <v>232</v>
      </c>
      <c r="D231">
        <v>1800000</v>
      </c>
      <c r="E231" t="s">
        <v>170</v>
      </c>
      <c r="F231" s="23" t="str">
        <f t="shared" si="6"/>
        <v>rtdc.l.rtdc.4039:itc</v>
      </c>
      <c r="G231" s="8">
        <f t="shared" si="7"/>
        <v>42609.036296296297</v>
      </c>
    </row>
    <row r="232" spans="1:7" x14ac:dyDescent="0.25">
      <c r="A232" s="8">
        <v>42609.039699074077</v>
      </c>
      <c r="B232" t="s">
        <v>179</v>
      </c>
      <c r="C232" t="s">
        <v>231</v>
      </c>
      <c r="D232">
        <v>2090000</v>
      </c>
      <c r="E232" t="s">
        <v>182</v>
      </c>
      <c r="F232" s="23" t="str">
        <f t="shared" si="6"/>
        <v>rtdc.l.rtdc.4003:itc</v>
      </c>
      <c r="G232" s="8">
        <f t="shared" si="7"/>
        <v>42609.039699074077</v>
      </c>
    </row>
    <row r="233" spans="1:7" x14ac:dyDescent="0.25">
      <c r="A233" s="8">
        <v>42609.050162037034</v>
      </c>
      <c r="B233" t="s">
        <v>172</v>
      </c>
      <c r="C233" t="s">
        <v>233</v>
      </c>
      <c r="D233">
        <v>1230000</v>
      </c>
      <c r="E233" t="s">
        <v>165</v>
      </c>
      <c r="F233" s="23" t="str">
        <f t="shared" si="6"/>
        <v>rtdc.l.rtdc.4002:itc</v>
      </c>
      <c r="G233" s="8">
        <f t="shared" si="7"/>
        <v>42609.050162037034</v>
      </c>
    </row>
    <row r="234" spans="1:7" x14ac:dyDescent="0.25">
      <c r="A234" s="8">
        <v>42609.068136574075</v>
      </c>
      <c r="B234" t="s">
        <v>230</v>
      </c>
      <c r="C234" t="s">
        <v>234</v>
      </c>
      <c r="D234">
        <v>2260000</v>
      </c>
      <c r="E234" t="s">
        <v>185</v>
      </c>
      <c r="F234" s="23" t="str">
        <f t="shared" si="6"/>
        <v>rtdc.l.rtdc.4028:itc</v>
      </c>
      <c r="G234" s="8">
        <f t="shared" si="7"/>
        <v>42609.068136574075</v>
      </c>
    </row>
    <row r="235" spans="1:7" x14ac:dyDescent="0.25">
      <c r="A235" s="8">
        <v>42609.071516203701</v>
      </c>
      <c r="B235" t="s">
        <v>228</v>
      </c>
      <c r="C235" t="s">
        <v>235</v>
      </c>
      <c r="D235">
        <v>1800000</v>
      </c>
      <c r="E235" t="s">
        <v>170</v>
      </c>
      <c r="F235" s="23" t="str">
        <f t="shared" si="6"/>
        <v>rtdc.l.rtdc.4040:itc</v>
      </c>
      <c r="G235" s="8">
        <f t="shared" si="7"/>
        <v>42609.071516203701</v>
      </c>
    </row>
    <row r="236" spans="1:7" x14ac:dyDescent="0.25">
      <c r="A236" s="8">
        <v>42609.076782407406</v>
      </c>
      <c r="B236" t="s">
        <v>184</v>
      </c>
      <c r="C236" t="s">
        <v>236</v>
      </c>
      <c r="D236">
        <v>2090000</v>
      </c>
      <c r="E236" t="s">
        <v>182</v>
      </c>
      <c r="F236" s="23" t="str">
        <f t="shared" ref="F236:F265" si="8">B236</f>
        <v>rtdc.l.rtdc.4004:itc</v>
      </c>
      <c r="G236" s="8">
        <f t="shared" ref="G236:G265" si="9">A236</f>
        <v>42609.076782407406</v>
      </c>
    </row>
    <row r="237" spans="1:7" x14ac:dyDescent="0.25">
      <c r="A237" s="8">
        <v>42609.10533564815</v>
      </c>
      <c r="B237" t="s">
        <v>93</v>
      </c>
      <c r="C237" t="s">
        <v>237</v>
      </c>
      <c r="D237">
        <v>2260000</v>
      </c>
      <c r="E237" t="s">
        <v>185</v>
      </c>
      <c r="F237" s="23" t="str">
        <f t="shared" si="8"/>
        <v>rtdc.l.rtdc.4027:itc</v>
      </c>
      <c r="G237" s="8">
        <f t="shared" si="9"/>
        <v>42609.10533564815</v>
      </c>
    </row>
    <row r="238" spans="1:7" x14ac:dyDescent="0.25">
      <c r="F238" s="23">
        <f t="shared" si="8"/>
        <v>0</v>
      </c>
      <c r="G238" s="8">
        <f t="shared" si="9"/>
        <v>0</v>
      </c>
    </row>
    <row r="239" spans="1:7" x14ac:dyDescent="0.25">
      <c r="A239" s="8">
        <v>42594.971458333333</v>
      </c>
      <c r="B239" t="s">
        <v>90</v>
      </c>
      <c r="C239" t="s">
        <v>153</v>
      </c>
      <c r="D239">
        <v>2100000</v>
      </c>
      <c r="E239" t="s">
        <v>137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142</v>
      </c>
      <c r="C240" t="s">
        <v>154</v>
      </c>
      <c r="D240">
        <v>1300000</v>
      </c>
      <c r="E240" t="s">
        <v>139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114</v>
      </c>
      <c r="C241" t="s">
        <v>156</v>
      </c>
      <c r="D241">
        <v>2000000</v>
      </c>
      <c r="E241" t="s">
        <v>141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155</v>
      </c>
      <c r="D242">
        <v>1230000</v>
      </c>
      <c r="E242" t="s">
        <v>165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112</v>
      </c>
      <c r="C243" t="s">
        <v>158</v>
      </c>
      <c r="D243">
        <v>2100000</v>
      </c>
      <c r="E243" t="s">
        <v>137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148</v>
      </c>
      <c r="C244" t="s">
        <v>160</v>
      </c>
      <c r="D244">
        <v>1300000</v>
      </c>
      <c r="E244" t="s">
        <v>139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115</v>
      </c>
      <c r="C245" t="s">
        <v>157</v>
      </c>
      <c r="D245">
        <v>2000000</v>
      </c>
      <c r="E245" t="s">
        <v>141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162</v>
      </c>
      <c r="D246">
        <v>1230000</v>
      </c>
      <c r="E246" t="s">
        <v>165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159</v>
      </c>
      <c r="D247">
        <v>2100000</v>
      </c>
      <c r="E247" t="s">
        <v>137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114</v>
      </c>
      <c r="C248" t="s">
        <v>163</v>
      </c>
      <c r="D248">
        <v>2000000</v>
      </c>
      <c r="E248" t="s">
        <v>141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142</v>
      </c>
      <c r="C249" t="s">
        <v>161</v>
      </c>
      <c r="D249">
        <v>1300000</v>
      </c>
      <c r="E249" t="s">
        <v>139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112</v>
      </c>
      <c r="C250" t="s">
        <v>166</v>
      </c>
      <c r="D250">
        <v>2100000</v>
      </c>
      <c r="E250" t="s">
        <v>137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148</v>
      </c>
      <c r="C251" t="s">
        <v>164</v>
      </c>
      <c r="D251">
        <v>1300000</v>
      </c>
      <c r="E251" t="s">
        <v>139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M3" sqref="M3:M14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116</v>
      </c>
      <c r="D1" s="74" t="s">
        <v>117</v>
      </c>
      <c r="J1" s="34" t="s">
        <v>118</v>
      </c>
      <c r="K1" s="34" t="s">
        <v>72</v>
      </c>
      <c r="L1" s="34" t="s">
        <v>73</v>
      </c>
      <c r="O1" s="77" t="s">
        <v>119</v>
      </c>
    </row>
    <row r="2" spans="1:16" ht="15.75" thickBot="1" x14ac:dyDescent="0.3">
      <c r="A2" s="14">
        <v>42614</v>
      </c>
      <c r="B2" s="4"/>
      <c r="C2" s="75">
        <v>50</v>
      </c>
      <c r="D2" s="76">
        <v>25</v>
      </c>
      <c r="F2" t="s">
        <v>143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120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144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145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146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130</v>
      </c>
    </row>
    <row r="20" spans="10:13" x14ac:dyDescent="0.25">
      <c r="J20" t="s">
        <v>99</v>
      </c>
      <c r="M20" s="70" t="s">
        <v>173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129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126</v>
      </c>
      <c r="K24" s="23"/>
      <c r="M24" s="70" t="s">
        <v>128</v>
      </c>
    </row>
    <row r="25" spans="10:13" x14ac:dyDescent="0.25">
      <c r="J25" t="s">
        <v>226</v>
      </c>
      <c r="M25" s="70" t="b">
        <v>1</v>
      </c>
    </row>
    <row r="26" spans="10:13" x14ac:dyDescent="0.25">
      <c r="J26" t="s">
        <v>227</v>
      </c>
      <c r="M26" s="70" t="str">
        <f>"C:\Users\stu\Documents\GitHub\eaglep3-reporting\EC\"&amp;TEXT(A2,"yyyy-mm-dd")&amp;"-refined-times.txt"</f>
        <v>C:\Users\stu\Documents\GitHub\eaglep3-reporting\EC\2016-09-01-refined-times.txt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190</v>
      </c>
      <c r="B1" s="142" t="s">
        <v>191</v>
      </c>
      <c r="C1" s="143" t="s">
        <v>192</v>
      </c>
      <c r="H1" t="s">
        <v>186</v>
      </c>
      <c r="I1" s="144" t="s">
        <v>188</v>
      </c>
      <c r="J1"/>
    </row>
    <row r="2" spans="1:11" x14ac:dyDescent="0.25">
      <c r="A2" s="143" t="s">
        <v>193</v>
      </c>
      <c r="B2" s="143" t="s">
        <v>194</v>
      </c>
      <c r="C2" s="143" t="s">
        <v>195</v>
      </c>
      <c r="H2" t="s">
        <v>187</v>
      </c>
      <c r="I2" s="114" t="s">
        <v>189</v>
      </c>
      <c r="J2"/>
    </row>
    <row r="3" spans="1:11" x14ac:dyDescent="0.25">
      <c r="A3" s="143" t="s">
        <v>196</v>
      </c>
      <c r="B3" s="143" t="s">
        <v>197</v>
      </c>
      <c r="C3" s="143" t="s">
        <v>198</v>
      </c>
      <c r="H3" t="s">
        <v>213</v>
      </c>
      <c r="I3" s="114">
        <v>1</v>
      </c>
      <c r="J3"/>
      <c r="K3" s="70"/>
    </row>
    <row r="4" spans="1:11" x14ac:dyDescent="0.25">
      <c r="A4" s="143" t="s">
        <v>199</v>
      </c>
      <c r="C4" s="143" t="s">
        <v>200</v>
      </c>
      <c r="H4" t="s">
        <v>214</v>
      </c>
      <c r="I4" s="114">
        <v>2</v>
      </c>
      <c r="J4"/>
      <c r="K4" s="70"/>
    </row>
    <row r="5" spans="1:11" x14ac:dyDescent="0.25">
      <c r="A5" s="143" t="s">
        <v>201</v>
      </c>
      <c r="C5" s="143" t="s">
        <v>202</v>
      </c>
      <c r="H5" t="s">
        <v>215</v>
      </c>
      <c r="I5" s="114">
        <v>23</v>
      </c>
      <c r="J5"/>
      <c r="K5" s="70"/>
    </row>
    <row r="6" spans="1:11" x14ac:dyDescent="0.25">
      <c r="A6" s="143" t="s">
        <v>203</v>
      </c>
      <c r="C6" s="143" t="s">
        <v>204</v>
      </c>
      <c r="H6" s="146" t="s">
        <v>216</v>
      </c>
      <c r="I6" s="147" t="s">
        <v>194</v>
      </c>
    </row>
    <row r="7" spans="1:11" x14ac:dyDescent="0.25">
      <c r="A7" s="143" t="s">
        <v>205</v>
      </c>
      <c r="C7" s="143" t="s">
        <v>206</v>
      </c>
    </row>
    <row r="8" spans="1:11" x14ac:dyDescent="0.25">
      <c r="C8" s="143" t="s">
        <v>207</v>
      </c>
    </row>
    <row r="9" spans="1:11" x14ac:dyDescent="0.25">
      <c r="C9" s="143" t="s">
        <v>208</v>
      </c>
    </row>
    <row r="10" spans="1:11" x14ac:dyDescent="0.25">
      <c r="C10" s="143" t="s">
        <v>209</v>
      </c>
    </row>
    <row r="11" spans="1:11" x14ac:dyDescent="0.25">
      <c r="C11" s="143" t="s">
        <v>210</v>
      </c>
    </row>
    <row r="12" spans="1:11" x14ac:dyDescent="0.25">
      <c r="C12" s="143" t="s">
        <v>211</v>
      </c>
    </row>
    <row r="13" spans="1:11" x14ac:dyDescent="0.25">
      <c r="C13" s="143" t="s">
        <v>212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2016-09-02T14:39:57Z</dcterms:modified>
</cp:coreProperties>
</file>