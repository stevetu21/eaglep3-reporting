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10" i="1" l="1"/>
  <c r="S185" i="1"/>
  <c r="S183" i="1"/>
  <c r="P183" i="1"/>
  <c r="X161" i="1"/>
  <c r="K160" i="1"/>
  <c r="L160" i="1"/>
  <c r="M160" i="1"/>
  <c r="N160" i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X153" i="1"/>
  <c r="X154" i="1"/>
  <c r="X155" i="1"/>
  <c r="K154" i="1"/>
  <c r="L154" i="1"/>
  <c r="M154" i="1"/>
  <c r="N154" i="1"/>
  <c r="V154" i="1"/>
  <c r="AA154" i="1"/>
  <c r="AB154" i="1"/>
  <c r="AC154" i="1"/>
  <c r="AD154" i="1"/>
  <c r="T154" i="1" s="1"/>
  <c r="AE154" i="1"/>
  <c r="AF154" i="1"/>
  <c r="AH154" i="1"/>
  <c r="AM154" i="1"/>
  <c r="AN154" i="1"/>
  <c r="AO154" i="1"/>
  <c r="K152" i="1"/>
  <c r="L152" i="1"/>
  <c r="M152" i="1"/>
  <c r="N152" i="1"/>
  <c r="V152" i="1"/>
  <c r="X152" i="1"/>
  <c r="AA152" i="1"/>
  <c r="AB152" i="1"/>
  <c r="AC152" i="1"/>
  <c r="AD152" i="1"/>
  <c r="T152" i="1" s="1"/>
  <c r="AE152" i="1"/>
  <c r="AF152" i="1"/>
  <c r="AH152" i="1"/>
  <c r="AM152" i="1"/>
  <c r="AN152" i="1"/>
  <c r="AO152" i="1"/>
  <c r="P145" i="1"/>
  <c r="AF145" i="1"/>
  <c r="P142" i="1"/>
  <c r="X125" i="1"/>
  <c r="K124" i="1"/>
  <c r="L124" i="1"/>
  <c r="M124" i="1"/>
  <c r="N124" i="1"/>
  <c r="V124" i="1"/>
  <c r="AA124" i="1"/>
  <c r="AB124" i="1"/>
  <c r="AC124" i="1"/>
  <c r="AD124" i="1"/>
  <c r="T124" i="1" s="1"/>
  <c r="AE124" i="1"/>
  <c r="AF124" i="1"/>
  <c r="AH124" i="1"/>
  <c r="AM124" i="1"/>
  <c r="AN124" i="1"/>
  <c r="AO124" i="1"/>
  <c r="K209" i="1"/>
  <c r="L209" i="1"/>
  <c r="M209" i="1"/>
  <c r="N209" i="1"/>
  <c r="V209" i="1"/>
  <c r="Y209" i="1"/>
  <c r="Z209" i="1"/>
  <c r="AA209" i="1" s="1"/>
  <c r="AB209" i="1"/>
  <c r="AC209" i="1"/>
  <c r="AD209" i="1"/>
  <c r="T209" i="1" s="1"/>
  <c r="AE209" i="1"/>
  <c r="AF209" i="1"/>
  <c r="AH209" i="1"/>
  <c r="AM209" i="1"/>
  <c r="AN209" i="1"/>
  <c r="AO209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R14" i="3" s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R15" i="3" s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S7" i="3" s="1"/>
  <c r="Y49" i="1"/>
  <c r="Z49" i="1"/>
  <c r="AB49" i="1"/>
  <c r="AC49" i="1"/>
  <c r="AD49" i="1"/>
  <c r="AE49" i="1"/>
  <c r="R7" i="3" s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11" i="3" s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S16" i="3" s="1"/>
  <c r="Y56" i="1"/>
  <c r="Z56" i="1"/>
  <c r="AB56" i="1"/>
  <c r="AC56" i="1"/>
  <c r="AD56" i="1"/>
  <c r="T56" i="1" s="1"/>
  <c r="AE56" i="1"/>
  <c r="R8" i="3" s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AA59" i="1" s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/>
  <c r="V63" i="1"/>
  <c r="Y63" i="1"/>
  <c r="AA63" i="1" s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S12" i="3" s="1"/>
  <c r="Y66" i="1"/>
  <c r="Z66" i="1"/>
  <c r="AB66" i="1"/>
  <c r="AC66" i="1"/>
  <c r="AD66" i="1"/>
  <c r="AE66" i="1"/>
  <c r="R12" i="3" s="1"/>
  <c r="AF66" i="1"/>
  <c r="AH66" i="1"/>
  <c r="AM66" i="1"/>
  <c r="AN66" i="1"/>
  <c r="AO66" i="1"/>
  <c r="K67" i="1"/>
  <c r="L67" i="1"/>
  <c r="M67" i="1"/>
  <c r="N67" i="1"/>
  <c r="V67" i="1"/>
  <c r="Y67" i="1"/>
  <c r="AA67" i="1" s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R17" i="3" s="1"/>
  <c r="AF68" i="1"/>
  <c r="AH68" i="1"/>
  <c r="AM68" i="1"/>
  <c r="AN68" i="1"/>
  <c r="AO68" i="1"/>
  <c r="K69" i="1"/>
  <c r="L69" i="1"/>
  <c r="M69" i="1"/>
  <c r="N69" i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S18" i="3" s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AA85" i="1" s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S19" i="3" s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/>
  <c r="V93" i="1"/>
  <c r="Y93" i="1"/>
  <c r="AA93" i="1" s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/>
  <c r="V95" i="1"/>
  <c r="Y95" i="1"/>
  <c r="AA95" i="1" s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/>
  <c r="V101" i="1"/>
  <c r="Y101" i="1"/>
  <c r="AA101" i="1" s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/>
  <c r="V103" i="1"/>
  <c r="Y103" i="1"/>
  <c r="AA103" i="1" s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/>
  <c r="V109" i="1"/>
  <c r="Y109" i="1"/>
  <c r="Z109" i="1"/>
  <c r="AA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/>
  <c r="V111" i="1"/>
  <c r="S20" i="3" s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S10" i="3" s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23" i="1"/>
  <c r="AM123" i="1"/>
  <c r="AN123" i="1"/>
  <c r="AO123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X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V145" i="1"/>
  <c r="Y145" i="1"/>
  <c r="Z145" i="1"/>
  <c r="AB145" i="1"/>
  <c r="AC145" i="1"/>
  <c r="AD145" i="1"/>
  <c r="AE145" i="1"/>
  <c r="AH145" i="1"/>
  <c r="AM145" i="1"/>
  <c r="AN145" i="1"/>
  <c r="AO145" i="1"/>
  <c r="K146" i="1"/>
  <c r="L146" i="1"/>
  <c r="M146" i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S13" i="3" s="1"/>
  <c r="Y147" i="1"/>
  <c r="Z147" i="1"/>
  <c r="AB147" i="1"/>
  <c r="AC147" i="1"/>
  <c r="AD147" i="1"/>
  <c r="AE147" i="1"/>
  <c r="R13" i="3" s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/>
  <c r="V149" i="1"/>
  <c r="Y149" i="1"/>
  <c r="Z149" i="1"/>
  <c r="AA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/>
  <c r="V151" i="1"/>
  <c r="Y151" i="1"/>
  <c r="Z151" i="1"/>
  <c r="AA151" i="1"/>
  <c r="AB151" i="1"/>
  <c r="AC151" i="1"/>
  <c r="AD151" i="1"/>
  <c r="AE151" i="1"/>
  <c r="AF151" i="1"/>
  <c r="AH151" i="1"/>
  <c r="AM151" i="1"/>
  <c r="AN151" i="1"/>
  <c r="AO151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5" i="1"/>
  <c r="L155" i="1"/>
  <c r="M155" i="1"/>
  <c r="N155" i="1"/>
  <c r="V155" i="1"/>
  <c r="Y155" i="1"/>
  <c r="AA155" i="1" s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AA157" i="1" s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59" i="1"/>
  <c r="AM159" i="1"/>
  <c r="AN159" i="1"/>
  <c r="AO159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1" i="1"/>
  <c r="AM161" i="1"/>
  <c r="AN161" i="1"/>
  <c r="AO161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2" i="1"/>
  <c r="AM162" i="1"/>
  <c r="AN162" i="1"/>
  <c r="AO162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3" i="1"/>
  <c r="AM163" i="1"/>
  <c r="AN163" i="1"/>
  <c r="AO163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4" i="1"/>
  <c r="AM164" i="1"/>
  <c r="AN164" i="1"/>
  <c r="AO164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5" i="1"/>
  <c r="AM165" i="1"/>
  <c r="AN165" i="1"/>
  <c r="AO165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6" i="1"/>
  <c r="AM166" i="1"/>
  <c r="AN166" i="1"/>
  <c r="AO166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7" i="1"/>
  <c r="AM167" i="1"/>
  <c r="AN167" i="1"/>
  <c r="AO16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8" i="1"/>
  <c r="AM168" i="1"/>
  <c r="AN168" i="1"/>
  <c r="AO168" i="1"/>
  <c r="K221" i="1"/>
  <c r="L221" i="1"/>
  <c r="M221" i="1"/>
  <c r="N221" i="1" s="1"/>
  <c r="V221" i="1"/>
  <c r="Y221" i="1"/>
  <c r="AA221" i="1" s="1"/>
  <c r="Z221" i="1"/>
  <c r="AB221" i="1"/>
  <c r="AC221" i="1"/>
  <c r="AD221" i="1"/>
  <c r="T221" i="1" s="1"/>
  <c r="AE221" i="1"/>
  <c r="AF221" i="1"/>
  <c r="AH169" i="1"/>
  <c r="AM169" i="1"/>
  <c r="AN169" i="1"/>
  <c r="AO16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0" i="1"/>
  <c r="AM170" i="1"/>
  <c r="AN170" i="1"/>
  <c r="AO17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1" i="1"/>
  <c r="AM171" i="1"/>
  <c r="AN171" i="1"/>
  <c r="AO171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172" i="1"/>
  <c r="AM172" i="1"/>
  <c r="AN172" i="1"/>
  <c r="AO17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3" i="1"/>
  <c r="AM173" i="1"/>
  <c r="AN173" i="1"/>
  <c r="AO17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4" i="1"/>
  <c r="AM174" i="1"/>
  <c r="AN174" i="1"/>
  <c r="AO174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5" i="1"/>
  <c r="AM175" i="1"/>
  <c r="AN175" i="1"/>
  <c r="AO175" i="1"/>
  <c r="K234" i="1"/>
  <c r="L234" i="1"/>
  <c r="M234" i="1"/>
  <c r="N234" i="1" s="1"/>
  <c r="V234" i="1"/>
  <c r="Y234" i="1"/>
  <c r="Z234" i="1"/>
  <c r="AA234" i="1" s="1"/>
  <c r="AB234" i="1"/>
  <c r="AC234" i="1"/>
  <c r="AD234" i="1"/>
  <c r="T234" i="1" s="1"/>
  <c r="AE234" i="1"/>
  <c r="AF234" i="1"/>
  <c r="AH176" i="1"/>
  <c r="AM176" i="1"/>
  <c r="AN176" i="1"/>
  <c r="AO176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7" i="1"/>
  <c r="AM177" i="1"/>
  <c r="AN177" i="1"/>
  <c r="AO177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78" i="1"/>
  <c r="AM178" i="1"/>
  <c r="AN178" i="1"/>
  <c r="AO178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79" i="1"/>
  <c r="AM179" i="1"/>
  <c r="AN179" i="1"/>
  <c r="AO179" i="1"/>
  <c r="K238" i="1"/>
  <c r="L238" i="1"/>
  <c r="M238" i="1"/>
  <c r="N238" i="1" s="1"/>
  <c r="V238" i="1"/>
  <c r="S38" i="3" s="1"/>
  <c r="Y238" i="1"/>
  <c r="Z238" i="1"/>
  <c r="AA238" i="1" s="1"/>
  <c r="AB238" i="1"/>
  <c r="AC238" i="1"/>
  <c r="AD238" i="1"/>
  <c r="T238" i="1" s="1"/>
  <c r="AE238" i="1"/>
  <c r="R38" i="3" s="1"/>
  <c r="AF238" i="1"/>
  <c r="AH180" i="1"/>
  <c r="AM180" i="1"/>
  <c r="AN180" i="1"/>
  <c r="AO180" i="1"/>
  <c r="K239" i="1"/>
  <c r="L239" i="1"/>
  <c r="M239" i="1"/>
  <c r="N239" i="1" s="1"/>
  <c r="V239" i="1"/>
  <c r="Y239" i="1"/>
  <c r="Z239" i="1"/>
  <c r="AA239" i="1" s="1"/>
  <c r="AB239" i="1"/>
  <c r="AC239" i="1"/>
  <c r="AD239" i="1"/>
  <c r="T239" i="1" s="1"/>
  <c r="AE239" i="1"/>
  <c r="AF239" i="1"/>
  <c r="AH181" i="1"/>
  <c r="AM181" i="1"/>
  <c r="AN181" i="1"/>
  <c r="AO181" i="1"/>
  <c r="K240" i="1"/>
  <c r="L240" i="1"/>
  <c r="M240" i="1"/>
  <c r="N240" i="1" s="1"/>
  <c r="V240" i="1"/>
  <c r="S39" i="3" s="1"/>
  <c r="Y240" i="1"/>
  <c r="Z240" i="1"/>
  <c r="AA240" i="1" s="1"/>
  <c r="AB240" i="1"/>
  <c r="AC240" i="1"/>
  <c r="AD240" i="1"/>
  <c r="T240" i="1" s="1"/>
  <c r="AE240" i="1"/>
  <c r="R39" i="3" s="1"/>
  <c r="AF240" i="1"/>
  <c r="AH182" i="1"/>
  <c r="AM182" i="1"/>
  <c r="AN182" i="1"/>
  <c r="AO182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3" i="1"/>
  <c r="AM183" i="1"/>
  <c r="AN183" i="1"/>
  <c r="AO183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4" i="1"/>
  <c r="AM184" i="1"/>
  <c r="AN184" i="1"/>
  <c r="AO184" i="1"/>
  <c r="K243" i="1"/>
  <c r="L243" i="1"/>
  <c r="M243" i="1"/>
  <c r="N243" i="1"/>
  <c r="V243" i="1"/>
  <c r="Y243" i="1"/>
  <c r="Z243" i="1"/>
  <c r="AA243" i="1"/>
  <c r="AB243" i="1"/>
  <c r="AC243" i="1"/>
  <c r="AD243" i="1"/>
  <c r="AE243" i="1"/>
  <c r="AF243" i="1"/>
  <c r="AH185" i="1"/>
  <c r="AM185" i="1"/>
  <c r="AN185" i="1"/>
  <c r="AO185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6" i="1"/>
  <c r="AM186" i="1"/>
  <c r="AN186" i="1"/>
  <c r="AO186" i="1"/>
  <c r="K245" i="1"/>
  <c r="L245" i="1"/>
  <c r="M245" i="1"/>
  <c r="N245" i="1"/>
  <c r="V245" i="1"/>
  <c r="Y245" i="1"/>
  <c r="AA245" i="1" s="1"/>
  <c r="Z245" i="1"/>
  <c r="AB245" i="1"/>
  <c r="AC245" i="1"/>
  <c r="AD245" i="1"/>
  <c r="AE245" i="1"/>
  <c r="AF245" i="1"/>
  <c r="AH187" i="1"/>
  <c r="AM187" i="1"/>
  <c r="AN187" i="1"/>
  <c r="AO187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88" i="1"/>
  <c r="AM188" i="1"/>
  <c r="AN188" i="1"/>
  <c r="AO188" i="1"/>
  <c r="K247" i="1"/>
  <c r="L247" i="1"/>
  <c r="M247" i="1"/>
  <c r="N247" i="1" s="1"/>
  <c r="V247" i="1"/>
  <c r="Y247" i="1"/>
  <c r="Z247" i="1"/>
  <c r="AA247" i="1" s="1"/>
  <c r="AB247" i="1"/>
  <c r="AC247" i="1"/>
  <c r="AD247" i="1"/>
  <c r="AE247" i="1"/>
  <c r="AF247" i="1"/>
  <c r="AH189" i="1"/>
  <c r="AM189" i="1"/>
  <c r="AN189" i="1"/>
  <c r="AO189" i="1"/>
  <c r="K248" i="1"/>
  <c r="L248" i="1"/>
  <c r="M248" i="1"/>
  <c r="N248" i="1" s="1"/>
  <c r="V248" i="1"/>
  <c r="S42" i="3" s="1"/>
  <c r="Y248" i="1"/>
  <c r="Z248" i="1"/>
  <c r="AB248" i="1"/>
  <c r="AC248" i="1"/>
  <c r="AD248" i="1"/>
  <c r="AE248" i="1"/>
  <c r="R36" i="3" s="1"/>
  <c r="AF248" i="1"/>
  <c r="AH190" i="1"/>
  <c r="AM190" i="1"/>
  <c r="AN190" i="1"/>
  <c r="AO190" i="1"/>
  <c r="K249" i="1"/>
  <c r="L249" i="1"/>
  <c r="M249" i="1"/>
  <c r="N249" i="1" s="1"/>
  <c r="V249" i="1"/>
  <c r="Y249" i="1"/>
  <c r="AA249" i="1" s="1"/>
  <c r="Z249" i="1"/>
  <c r="AB249" i="1"/>
  <c r="AC249" i="1"/>
  <c r="AD249" i="1"/>
  <c r="AE249" i="1"/>
  <c r="AF249" i="1"/>
  <c r="AH191" i="1"/>
  <c r="AM191" i="1"/>
  <c r="AN191" i="1"/>
  <c r="AO191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2" i="1"/>
  <c r="AM192" i="1"/>
  <c r="AN192" i="1"/>
  <c r="AO192" i="1"/>
  <c r="K251" i="1"/>
  <c r="L251" i="1"/>
  <c r="M251" i="1"/>
  <c r="N251" i="1"/>
  <c r="V251" i="1"/>
  <c r="Y251" i="1"/>
  <c r="AA251" i="1" s="1"/>
  <c r="Z251" i="1"/>
  <c r="AB251" i="1"/>
  <c r="AC251" i="1"/>
  <c r="AD251" i="1"/>
  <c r="AE251" i="1"/>
  <c r="AF251" i="1"/>
  <c r="AH193" i="1"/>
  <c r="AM193" i="1"/>
  <c r="AN193" i="1"/>
  <c r="AO193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4" i="1"/>
  <c r="AM194" i="1"/>
  <c r="AN194" i="1"/>
  <c r="AO194" i="1"/>
  <c r="K253" i="1"/>
  <c r="L253" i="1"/>
  <c r="M253" i="1"/>
  <c r="N253" i="1"/>
  <c r="V253" i="1"/>
  <c r="S41" i="3" s="1"/>
  <c r="Y253" i="1"/>
  <c r="AA253" i="1" s="1"/>
  <c r="Z253" i="1"/>
  <c r="AB253" i="1"/>
  <c r="AC253" i="1"/>
  <c r="AD253" i="1"/>
  <c r="AE253" i="1"/>
  <c r="R41" i="3" s="1"/>
  <c r="AF253" i="1"/>
  <c r="AH195" i="1"/>
  <c r="AM195" i="1"/>
  <c r="AN195" i="1"/>
  <c r="AO195" i="1"/>
  <c r="K254" i="1"/>
  <c r="L254" i="1"/>
  <c r="M254" i="1"/>
  <c r="N254" i="1" s="1"/>
  <c r="V254" i="1"/>
  <c r="Y254" i="1"/>
  <c r="Z254" i="1"/>
  <c r="AA254" i="1" s="1"/>
  <c r="AB254" i="1"/>
  <c r="AC254" i="1"/>
  <c r="AD254" i="1"/>
  <c r="AE254" i="1"/>
  <c r="AF254" i="1"/>
  <c r="AH196" i="1"/>
  <c r="AM196" i="1"/>
  <c r="AN196" i="1"/>
  <c r="AO196" i="1"/>
  <c r="K255" i="1"/>
  <c r="L255" i="1"/>
  <c r="M255" i="1"/>
  <c r="N255" i="1" s="1"/>
  <c r="V255" i="1"/>
  <c r="Y255" i="1"/>
  <c r="Z255" i="1"/>
  <c r="AA255" i="1" s="1"/>
  <c r="AB255" i="1"/>
  <c r="AC255" i="1"/>
  <c r="AD255" i="1"/>
  <c r="AE255" i="1"/>
  <c r="AF255" i="1"/>
  <c r="AH197" i="1"/>
  <c r="AM197" i="1"/>
  <c r="AN197" i="1"/>
  <c r="AO197" i="1"/>
  <c r="K256" i="1"/>
  <c r="L256" i="1"/>
  <c r="M256" i="1"/>
  <c r="N256" i="1" s="1"/>
  <c r="V256" i="1"/>
  <c r="Y256" i="1"/>
  <c r="Z256" i="1"/>
  <c r="AA256" i="1" s="1"/>
  <c r="AB256" i="1"/>
  <c r="AC256" i="1"/>
  <c r="AD256" i="1"/>
  <c r="AE256" i="1"/>
  <c r="AF256" i="1"/>
  <c r="AH198" i="1"/>
  <c r="AM198" i="1"/>
  <c r="AN198" i="1"/>
  <c r="AO198" i="1"/>
  <c r="K159" i="1"/>
  <c r="L159" i="1"/>
  <c r="M159" i="1"/>
  <c r="N159" i="1" s="1"/>
  <c r="V159" i="1"/>
  <c r="Y159" i="1"/>
  <c r="Z159" i="1"/>
  <c r="AB159" i="1"/>
  <c r="AC159" i="1"/>
  <c r="AD159" i="1"/>
  <c r="AE159" i="1"/>
  <c r="R21" i="3" s="1"/>
  <c r="AF159" i="1"/>
  <c r="AH199" i="1"/>
  <c r="AM199" i="1"/>
  <c r="AN199" i="1"/>
  <c r="AO199" i="1"/>
  <c r="K161" i="1"/>
  <c r="L161" i="1"/>
  <c r="M161" i="1"/>
  <c r="N161" i="1" s="1"/>
  <c r="V161" i="1"/>
  <c r="S27" i="3" s="1"/>
  <c r="Y161" i="1"/>
  <c r="Z161" i="1"/>
  <c r="AB161" i="1"/>
  <c r="AC161" i="1"/>
  <c r="AD161" i="1"/>
  <c r="AE161" i="1"/>
  <c r="R27" i="3" s="1"/>
  <c r="AF161" i="1"/>
  <c r="AH200" i="1"/>
  <c r="AM200" i="1"/>
  <c r="AN200" i="1"/>
  <c r="AO200" i="1"/>
  <c r="K162" i="1"/>
  <c r="L162" i="1"/>
  <c r="M162" i="1"/>
  <c r="N162" i="1"/>
  <c r="V162" i="1"/>
  <c r="Y162" i="1"/>
  <c r="AA162" i="1" s="1"/>
  <c r="Z162" i="1"/>
  <c r="AB162" i="1"/>
  <c r="AC162" i="1"/>
  <c r="AD162" i="1"/>
  <c r="AE162" i="1"/>
  <c r="AF162" i="1"/>
  <c r="AH201" i="1"/>
  <c r="AM201" i="1"/>
  <c r="AN201" i="1"/>
  <c r="AO201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2" i="1"/>
  <c r="AM202" i="1"/>
  <c r="AN202" i="1"/>
  <c r="AO202" i="1"/>
  <c r="K164" i="1"/>
  <c r="L164" i="1"/>
  <c r="M164" i="1"/>
  <c r="N164" i="1"/>
  <c r="V164" i="1"/>
  <c r="S29" i="3" s="1"/>
  <c r="Y164" i="1"/>
  <c r="AA164" i="1" s="1"/>
  <c r="Z164" i="1"/>
  <c r="AB164" i="1"/>
  <c r="AC164" i="1"/>
  <c r="AD164" i="1"/>
  <c r="AE164" i="1"/>
  <c r="R29" i="3" s="1"/>
  <c r="AF164" i="1"/>
  <c r="AH203" i="1"/>
  <c r="AM203" i="1"/>
  <c r="AN203" i="1"/>
  <c r="AO203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4" i="1"/>
  <c r="AM204" i="1"/>
  <c r="AN204" i="1"/>
  <c r="AO204" i="1"/>
  <c r="K166" i="1"/>
  <c r="L166" i="1"/>
  <c r="M166" i="1"/>
  <c r="V166" i="1"/>
  <c r="Y166" i="1"/>
  <c r="Z166" i="1"/>
  <c r="AA166" i="1" s="1"/>
  <c r="AB166" i="1"/>
  <c r="AC166" i="1"/>
  <c r="AD166" i="1"/>
  <c r="AE166" i="1"/>
  <c r="AF166" i="1"/>
  <c r="AH205" i="1"/>
  <c r="AM205" i="1"/>
  <c r="AN205" i="1"/>
  <c r="AO20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6" i="1"/>
  <c r="AM206" i="1"/>
  <c r="AN206" i="1"/>
  <c r="AO206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7" i="1"/>
  <c r="AM207" i="1"/>
  <c r="AN207" i="1"/>
  <c r="AO207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8" i="1"/>
  <c r="AM208" i="1"/>
  <c r="AN208" i="1"/>
  <c r="AO208" i="1"/>
  <c r="K257" i="1"/>
  <c r="L257" i="1"/>
  <c r="M257" i="1"/>
  <c r="N257" i="1"/>
  <c r="V257" i="1"/>
  <c r="Y257" i="1"/>
  <c r="Z257" i="1"/>
  <c r="AB257" i="1"/>
  <c r="AC257" i="1"/>
  <c r="AD257" i="1"/>
  <c r="AE257" i="1"/>
  <c r="AF257" i="1"/>
  <c r="AH210" i="1"/>
  <c r="AM210" i="1"/>
  <c r="AN210" i="1"/>
  <c r="AO210" i="1"/>
  <c r="K258" i="1"/>
  <c r="L258" i="1"/>
  <c r="M258" i="1"/>
  <c r="N258" i="1"/>
  <c r="V258" i="1"/>
  <c r="Y258" i="1"/>
  <c r="Z258" i="1"/>
  <c r="AB258" i="1"/>
  <c r="AC258" i="1"/>
  <c r="AD258" i="1"/>
  <c r="AE258" i="1"/>
  <c r="AF258" i="1"/>
  <c r="AH211" i="1"/>
  <c r="AM211" i="1"/>
  <c r="AN211" i="1"/>
  <c r="AO21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12" i="1"/>
  <c r="AM212" i="1"/>
  <c r="AN212" i="1"/>
  <c r="AO21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13" i="1"/>
  <c r="AM213" i="1"/>
  <c r="AN213" i="1"/>
  <c r="AO21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4" i="1"/>
  <c r="AM214" i="1"/>
  <c r="AN214" i="1"/>
  <c r="AO21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5" i="1"/>
  <c r="AM215" i="1"/>
  <c r="AN215" i="1"/>
  <c r="AO21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6" i="1"/>
  <c r="AM216" i="1"/>
  <c r="AN216" i="1"/>
  <c r="AO21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7" i="1"/>
  <c r="AM217" i="1"/>
  <c r="AN217" i="1"/>
  <c r="AO217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8" i="1"/>
  <c r="AM218" i="1"/>
  <c r="AN218" i="1"/>
  <c r="AO218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9" i="1"/>
  <c r="AM219" i="1"/>
  <c r="AN219" i="1"/>
  <c r="AO21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20" i="1"/>
  <c r="AM220" i="1"/>
  <c r="AN220" i="1"/>
  <c r="AO22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1" i="1"/>
  <c r="AM221" i="1"/>
  <c r="AN221" i="1"/>
  <c r="AO221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2" i="1"/>
  <c r="AM222" i="1"/>
  <c r="AN222" i="1"/>
  <c r="AO222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3" i="1"/>
  <c r="AM223" i="1"/>
  <c r="AN223" i="1"/>
  <c r="AO223" i="1"/>
  <c r="K182" i="1"/>
  <c r="L182" i="1"/>
  <c r="M182" i="1"/>
  <c r="N182" i="1" s="1"/>
  <c r="V182" i="1"/>
  <c r="S24" i="3" s="1"/>
  <c r="Y182" i="1"/>
  <c r="Z182" i="1"/>
  <c r="AA182" i="1" s="1"/>
  <c r="AB182" i="1"/>
  <c r="AC182" i="1"/>
  <c r="AD182" i="1"/>
  <c r="AE182" i="1"/>
  <c r="R24" i="3" s="1"/>
  <c r="AF182" i="1"/>
  <c r="AH224" i="1"/>
  <c r="AM224" i="1"/>
  <c r="AN224" i="1"/>
  <c r="AO224" i="1"/>
  <c r="K183" i="1"/>
  <c r="L183" i="1"/>
  <c r="M183" i="1"/>
  <c r="V183" i="1"/>
  <c r="S22" i="3" s="1"/>
  <c r="Y183" i="1"/>
  <c r="Z183" i="1"/>
  <c r="AA183" i="1" s="1"/>
  <c r="AB183" i="1"/>
  <c r="AC183" i="1"/>
  <c r="AD183" i="1"/>
  <c r="AE183" i="1"/>
  <c r="R22" i="3" s="1"/>
  <c r="AF183" i="1"/>
  <c r="AH225" i="1"/>
  <c r="AM225" i="1"/>
  <c r="AN225" i="1"/>
  <c r="AO225" i="1"/>
  <c r="K184" i="1"/>
  <c r="L184" i="1"/>
  <c r="M184" i="1"/>
  <c r="V184" i="1"/>
  <c r="Y184" i="1"/>
  <c r="Z184" i="1"/>
  <c r="AA184" i="1" s="1"/>
  <c r="AB184" i="1"/>
  <c r="AC184" i="1"/>
  <c r="AD184" i="1"/>
  <c r="AE184" i="1"/>
  <c r="AF184" i="1"/>
  <c r="AH226" i="1"/>
  <c r="AM226" i="1"/>
  <c r="AN226" i="1"/>
  <c r="AO226" i="1"/>
  <c r="K185" i="1"/>
  <c r="L185" i="1"/>
  <c r="M185" i="1"/>
  <c r="N185" i="1" s="1"/>
  <c r="V185" i="1"/>
  <c r="S25" i="3" s="1"/>
  <c r="Y185" i="1"/>
  <c r="Z185" i="1"/>
  <c r="AA185" i="1" s="1"/>
  <c r="AB185" i="1"/>
  <c r="AC185" i="1"/>
  <c r="AD185" i="1"/>
  <c r="AE185" i="1"/>
  <c r="R25" i="3" s="1"/>
  <c r="AF185" i="1"/>
  <c r="AH227" i="1"/>
  <c r="AM227" i="1"/>
  <c r="AN227" i="1"/>
  <c r="AO227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228" i="1"/>
  <c r="AM228" i="1"/>
  <c r="AN228" i="1"/>
  <c r="AO228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229" i="1"/>
  <c r="AM229" i="1"/>
  <c r="AN229" i="1"/>
  <c r="AO229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30" i="1"/>
  <c r="AM230" i="1"/>
  <c r="AN230" i="1"/>
  <c r="AO230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31" i="1"/>
  <c r="AM231" i="1"/>
  <c r="AN231" i="1"/>
  <c r="AO231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232" i="1"/>
  <c r="AM232" i="1"/>
  <c r="AN232" i="1"/>
  <c r="AO232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33" i="1"/>
  <c r="AM233" i="1"/>
  <c r="AN233" i="1"/>
  <c r="AO233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234" i="1"/>
  <c r="AM234" i="1"/>
  <c r="AN234" i="1"/>
  <c r="AO234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AF193" i="1"/>
  <c r="AH235" i="1"/>
  <c r="AM235" i="1"/>
  <c r="AN235" i="1"/>
  <c r="AO235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236" i="1"/>
  <c r="AM236" i="1"/>
  <c r="AN236" i="1"/>
  <c r="AO236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237" i="1"/>
  <c r="AM237" i="1"/>
  <c r="AN237" i="1"/>
  <c r="AO237" i="1"/>
  <c r="K196" i="1"/>
  <c r="L196" i="1"/>
  <c r="M196" i="1"/>
  <c r="N196" i="1" s="1"/>
  <c r="V196" i="1"/>
  <c r="S30" i="3" s="1"/>
  <c r="Y196" i="1"/>
  <c r="Z196" i="1"/>
  <c r="AA196" i="1" s="1"/>
  <c r="AB196" i="1"/>
  <c r="AC196" i="1"/>
  <c r="AD196" i="1"/>
  <c r="AE196" i="1"/>
  <c r="R30" i="3" s="1"/>
  <c r="AF196" i="1"/>
  <c r="AH238" i="1"/>
  <c r="AM238" i="1"/>
  <c r="AN238" i="1"/>
  <c r="AO238" i="1"/>
  <c r="K197" i="1"/>
  <c r="L197" i="1"/>
  <c r="M197" i="1"/>
  <c r="N197" i="1" s="1"/>
  <c r="V197" i="1"/>
  <c r="S28" i="3" s="1"/>
  <c r="Y197" i="1"/>
  <c r="Z197" i="1"/>
  <c r="AA197" i="1" s="1"/>
  <c r="AB197" i="1"/>
  <c r="AC197" i="1"/>
  <c r="AD197" i="1"/>
  <c r="T197" i="1" s="1"/>
  <c r="AE197" i="1"/>
  <c r="R28" i="3" s="1"/>
  <c r="AF197" i="1"/>
  <c r="AH239" i="1"/>
  <c r="AM239" i="1"/>
  <c r="AN239" i="1"/>
  <c r="AO239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40" i="1"/>
  <c r="AM240" i="1"/>
  <c r="AN240" i="1"/>
  <c r="AO240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41" i="1"/>
  <c r="AM241" i="1"/>
  <c r="AN241" i="1"/>
  <c r="AO241" i="1"/>
  <c r="K200" i="1"/>
  <c r="L200" i="1"/>
  <c r="M200" i="1"/>
  <c r="N200" i="1" s="1"/>
  <c r="V200" i="1"/>
  <c r="S31" i="3" s="1"/>
  <c r="Y200" i="1"/>
  <c r="Z200" i="1"/>
  <c r="AA200" i="1" s="1"/>
  <c r="AB200" i="1"/>
  <c r="AC200" i="1"/>
  <c r="AD200" i="1"/>
  <c r="T200" i="1" s="1"/>
  <c r="AE200" i="1"/>
  <c r="R31" i="3" s="1"/>
  <c r="AF200" i="1"/>
  <c r="AH242" i="1"/>
  <c r="AM242" i="1"/>
  <c r="AN242" i="1"/>
  <c r="AO242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43" i="1"/>
  <c r="AM243" i="1"/>
  <c r="AN243" i="1"/>
  <c r="AO243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44" i="1"/>
  <c r="AM244" i="1"/>
  <c r="AN244" i="1"/>
  <c r="AO24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45" i="1"/>
  <c r="AM245" i="1"/>
  <c r="AN245" i="1"/>
  <c r="AO245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46" i="1"/>
  <c r="AM246" i="1"/>
  <c r="AN246" i="1"/>
  <c r="AO246" i="1"/>
  <c r="K205" i="1"/>
  <c r="L205" i="1"/>
  <c r="M205" i="1"/>
  <c r="V205" i="1"/>
  <c r="S26" i="3" s="1"/>
  <c r="Y205" i="1"/>
  <c r="Z205" i="1"/>
  <c r="AA205" i="1" s="1"/>
  <c r="AB205" i="1"/>
  <c r="AC205" i="1"/>
  <c r="AD205" i="1"/>
  <c r="T205" i="1" s="1"/>
  <c r="AE205" i="1"/>
  <c r="R26" i="3" s="1"/>
  <c r="AF205" i="1"/>
  <c r="AH247" i="1"/>
  <c r="AM247" i="1"/>
  <c r="AN247" i="1"/>
  <c r="AO247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48" i="1"/>
  <c r="AM248" i="1"/>
  <c r="AN248" i="1"/>
  <c r="AO248" i="1"/>
  <c r="K207" i="1"/>
  <c r="L207" i="1"/>
  <c r="M207" i="1"/>
  <c r="N207" i="1" s="1"/>
  <c r="V207" i="1"/>
  <c r="S23" i="3" s="1"/>
  <c r="Y207" i="1"/>
  <c r="Z207" i="1"/>
  <c r="AA207" i="1" s="1"/>
  <c r="AB207" i="1"/>
  <c r="AC207" i="1"/>
  <c r="AD207" i="1"/>
  <c r="T207" i="1" s="1"/>
  <c r="AE207" i="1"/>
  <c r="R23" i="3" s="1"/>
  <c r="AF207" i="1"/>
  <c r="AH249" i="1"/>
  <c r="AM249" i="1"/>
  <c r="AN249" i="1"/>
  <c r="AO249" i="1"/>
  <c r="K208" i="1"/>
  <c r="L208" i="1"/>
  <c r="M208" i="1"/>
  <c r="V208" i="1"/>
  <c r="Y208" i="1"/>
  <c r="Z208" i="1"/>
  <c r="AA208" i="1"/>
  <c r="AB208" i="1"/>
  <c r="AC208" i="1"/>
  <c r="AD208" i="1"/>
  <c r="T208" i="1" s="1"/>
  <c r="AE208" i="1"/>
  <c r="AF208" i="1"/>
  <c r="AH250" i="1"/>
  <c r="AM250" i="1"/>
  <c r="AN250" i="1"/>
  <c r="AO250" i="1"/>
  <c r="K210" i="1"/>
  <c r="L210" i="1"/>
  <c r="M210" i="1"/>
  <c r="N210" i="1"/>
  <c r="V210" i="1"/>
  <c r="Y210" i="1"/>
  <c r="Z210" i="1"/>
  <c r="AA210" i="1"/>
  <c r="AB210" i="1"/>
  <c r="AC210" i="1"/>
  <c r="AD210" i="1"/>
  <c r="T210" i="1" s="1"/>
  <c r="AE210" i="1"/>
  <c r="AF210" i="1"/>
  <c r="AH251" i="1"/>
  <c r="AM251" i="1"/>
  <c r="AN251" i="1"/>
  <c r="AO251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52" i="1"/>
  <c r="AM252" i="1"/>
  <c r="AN252" i="1"/>
  <c r="AO252" i="1"/>
  <c r="K259" i="1"/>
  <c r="L259" i="1"/>
  <c r="M259" i="1"/>
  <c r="N259" i="1"/>
  <c r="V259" i="1"/>
  <c r="Y259" i="1"/>
  <c r="Z259" i="1"/>
  <c r="AB259" i="1"/>
  <c r="AC259" i="1"/>
  <c r="AD259" i="1"/>
  <c r="T259" i="1" s="1"/>
  <c r="AE259" i="1"/>
  <c r="AF259" i="1"/>
  <c r="AH253" i="1"/>
  <c r="AM253" i="1"/>
  <c r="AN253" i="1"/>
  <c r="AO253" i="1"/>
  <c r="K227" i="1"/>
  <c r="L227" i="1"/>
  <c r="M227" i="1"/>
  <c r="N227" i="1"/>
  <c r="V227" i="1"/>
  <c r="S35" i="3" s="1"/>
  <c r="Y227" i="1"/>
  <c r="Z227" i="1"/>
  <c r="AA227" i="1"/>
  <c r="AB227" i="1"/>
  <c r="AC227" i="1"/>
  <c r="AD227" i="1"/>
  <c r="T227" i="1" s="1"/>
  <c r="AE227" i="1"/>
  <c r="R35" i="3" s="1"/>
  <c r="AF227" i="1"/>
  <c r="AH254" i="1"/>
  <c r="AM254" i="1"/>
  <c r="AN254" i="1"/>
  <c r="AO254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255" i="1"/>
  <c r="AM255" i="1"/>
  <c r="AN255" i="1"/>
  <c r="AO255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256" i="1"/>
  <c r="AM256" i="1"/>
  <c r="AN256" i="1"/>
  <c r="AO256" i="1"/>
  <c r="K230" i="1"/>
  <c r="L230" i="1"/>
  <c r="M230" i="1"/>
  <c r="N230" i="1" s="1"/>
  <c r="V230" i="1"/>
  <c r="S33" i="3" s="1"/>
  <c r="Y230" i="1"/>
  <c r="Z230" i="1"/>
  <c r="AB230" i="1"/>
  <c r="AC230" i="1"/>
  <c r="AD230" i="1"/>
  <c r="T230" i="1" s="1"/>
  <c r="AE230" i="1"/>
  <c r="R33" i="3" s="1"/>
  <c r="AF230" i="1"/>
  <c r="AH257" i="1"/>
  <c r="AM257" i="1"/>
  <c r="AN257" i="1"/>
  <c r="AO257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258" i="1"/>
  <c r="AM258" i="1"/>
  <c r="AN258" i="1"/>
  <c r="AO258" i="1"/>
  <c r="K232" i="1"/>
  <c r="L232" i="1"/>
  <c r="M232" i="1"/>
  <c r="N232" i="1"/>
  <c r="V232" i="1"/>
  <c r="Y232" i="1"/>
  <c r="AA232" i="1" s="1"/>
  <c r="Z232" i="1"/>
  <c r="AB232" i="1"/>
  <c r="AC232" i="1"/>
  <c r="AD232" i="1"/>
  <c r="T232" i="1" s="1"/>
  <c r="AE232" i="1"/>
  <c r="AF232" i="1"/>
  <c r="AH259" i="1"/>
  <c r="AM259" i="1"/>
  <c r="AN259" i="1"/>
  <c r="AO259" i="1"/>
  <c r="M34" i="3"/>
  <c r="R34" i="3"/>
  <c r="S34" i="3"/>
  <c r="U34" i="3"/>
  <c r="T34" i="3" s="1"/>
  <c r="V34" i="3"/>
  <c r="X34" i="3"/>
  <c r="M35" i="3"/>
  <c r="U35" i="3"/>
  <c r="V35" i="3"/>
  <c r="X35" i="3"/>
  <c r="M21" i="3"/>
  <c r="S21" i="3"/>
  <c r="U21" i="3"/>
  <c r="AC21" i="3" s="1"/>
  <c r="V21" i="3"/>
  <c r="X21" i="3"/>
  <c r="M32" i="3"/>
  <c r="R32" i="3"/>
  <c r="S32" i="3"/>
  <c r="U32" i="3"/>
  <c r="AC32" i="3" s="1"/>
  <c r="V32" i="3"/>
  <c r="X32" i="3"/>
  <c r="M14" i="3"/>
  <c r="S14" i="3"/>
  <c r="U14" i="3"/>
  <c r="V14" i="3"/>
  <c r="X14" i="3"/>
  <c r="M27" i="3"/>
  <c r="U27" i="3"/>
  <c r="V27" i="3"/>
  <c r="X27" i="3"/>
  <c r="M29" i="3"/>
  <c r="U29" i="3"/>
  <c r="AC29" i="3" s="1"/>
  <c r="V29" i="3"/>
  <c r="X29" i="3"/>
  <c r="M7" i="3"/>
  <c r="U7" i="3"/>
  <c r="AC7" i="3" s="1"/>
  <c r="V7" i="3"/>
  <c r="X7" i="3"/>
  <c r="M11" i="3"/>
  <c r="R11" i="3"/>
  <c r="U11" i="3"/>
  <c r="AD11" i="3" s="1"/>
  <c r="V11" i="3"/>
  <c r="X11" i="3"/>
  <c r="M15" i="3"/>
  <c r="S15" i="3"/>
  <c r="U15" i="3"/>
  <c r="V15" i="3"/>
  <c r="X15" i="3"/>
  <c r="M38" i="3"/>
  <c r="U38" i="3"/>
  <c r="AC38" i="3" s="1"/>
  <c r="V38" i="3"/>
  <c r="X38" i="3"/>
  <c r="M8" i="3"/>
  <c r="S8" i="3"/>
  <c r="U8" i="3"/>
  <c r="AC8" i="3" s="1"/>
  <c r="V8" i="3"/>
  <c r="X8" i="3"/>
  <c r="M16" i="3"/>
  <c r="R16" i="3"/>
  <c r="U16" i="3"/>
  <c r="T16" i="3" s="1"/>
  <c r="V16" i="3"/>
  <c r="X16" i="3"/>
  <c r="M39" i="3"/>
  <c r="U39" i="3"/>
  <c r="AC39" i="3" s="1"/>
  <c r="V39" i="3"/>
  <c r="X39" i="3"/>
  <c r="M12" i="3"/>
  <c r="U12" i="3"/>
  <c r="AC12" i="3" s="1"/>
  <c r="V12" i="3"/>
  <c r="X12" i="3"/>
  <c r="M17" i="3"/>
  <c r="S17" i="3"/>
  <c r="U17" i="3"/>
  <c r="AC17" i="3" s="1"/>
  <c r="V17" i="3"/>
  <c r="X17" i="3"/>
  <c r="M41" i="3"/>
  <c r="U41" i="3"/>
  <c r="AD41" i="3" s="1"/>
  <c r="V41" i="3"/>
  <c r="X41" i="3"/>
  <c r="M18" i="3"/>
  <c r="R18" i="3"/>
  <c r="U18" i="3"/>
  <c r="AC18" i="3" s="1"/>
  <c r="V18" i="3"/>
  <c r="X18" i="3"/>
  <c r="M37" i="3"/>
  <c r="U37" i="3"/>
  <c r="AC37" i="3" s="1"/>
  <c r="V37" i="3"/>
  <c r="X37" i="3"/>
  <c r="M24" i="3"/>
  <c r="U24" i="3"/>
  <c r="AC24" i="3" s="1"/>
  <c r="V24" i="3"/>
  <c r="X24" i="3"/>
  <c r="M22" i="3"/>
  <c r="U22" i="3"/>
  <c r="T22" i="3" s="1"/>
  <c r="V22" i="3"/>
  <c r="X22" i="3"/>
  <c r="M19" i="3"/>
  <c r="R19" i="3"/>
  <c r="U19" i="3"/>
  <c r="T19" i="3" s="1"/>
  <c r="V19" i="3"/>
  <c r="X19" i="3"/>
  <c r="M25" i="3"/>
  <c r="U25" i="3"/>
  <c r="V25" i="3"/>
  <c r="X25" i="3"/>
  <c r="M33" i="3"/>
  <c r="U33" i="3"/>
  <c r="AC33" i="3" s="1"/>
  <c r="V33" i="3"/>
  <c r="X33" i="3"/>
  <c r="M36" i="3"/>
  <c r="U36" i="3"/>
  <c r="T36" i="3" s="1"/>
  <c r="V36" i="3"/>
  <c r="X36" i="3"/>
  <c r="M42" i="3"/>
  <c r="U42" i="3"/>
  <c r="T42" i="3" s="1"/>
  <c r="V42" i="3"/>
  <c r="X42" i="3"/>
  <c r="M20" i="3"/>
  <c r="R20" i="3"/>
  <c r="U20" i="3"/>
  <c r="AD20" i="3" s="1"/>
  <c r="V20" i="3"/>
  <c r="X20" i="3"/>
  <c r="M30" i="3"/>
  <c r="U30" i="3"/>
  <c r="AC30" i="3" s="1"/>
  <c r="V30" i="3"/>
  <c r="X30" i="3"/>
  <c r="M9" i="3"/>
  <c r="R9" i="3"/>
  <c r="U9" i="3"/>
  <c r="T9" i="3" s="1"/>
  <c r="V9" i="3"/>
  <c r="X9" i="3"/>
  <c r="M10" i="3"/>
  <c r="R10" i="3"/>
  <c r="U10" i="3"/>
  <c r="T10" i="3" s="1"/>
  <c r="V10" i="3"/>
  <c r="X10" i="3"/>
  <c r="M28" i="3"/>
  <c r="U28" i="3"/>
  <c r="V28" i="3"/>
  <c r="X28" i="3"/>
  <c r="M31" i="3"/>
  <c r="U31" i="3"/>
  <c r="T31" i="3" s="1"/>
  <c r="V31" i="3"/>
  <c r="X31" i="3"/>
  <c r="M23" i="3"/>
  <c r="U23" i="3"/>
  <c r="AC23" i="3" s="1"/>
  <c r="V23" i="3"/>
  <c r="X23" i="3"/>
  <c r="M26" i="3"/>
  <c r="U26" i="3"/>
  <c r="T26" i="3" s="1"/>
  <c r="V26" i="3"/>
  <c r="X26" i="3"/>
  <c r="M13" i="3"/>
  <c r="U13" i="3"/>
  <c r="AC13" i="3" s="1"/>
  <c r="V13" i="3"/>
  <c r="X13" i="3"/>
  <c r="AG160" i="1"/>
  <c r="AG154" i="1"/>
  <c r="AG152" i="1"/>
  <c r="AG124" i="1"/>
  <c r="AG209" i="1"/>
  <c r="AG114" i="1"/>
  <c r="AG139" i="1"/>
  <c r="AG61" i="1"/>
  <c r="AG147" i="1"/>
  <c r="AG214" i="1"/>
  <c r="AG222" i="1"/>
  <c r="AG38" i="1"/>
  <c r="AG46" i="1"/>
  <c r="AG54" i="1"/>
  <c r="AG39" i="1"/>
  <c r="AG47" i="1"/>
  <c r="AG55" i="1"/>
  <c r="AG26" i="1"/>
  <c r="AG19" i="1"/>
  <c r="AG57" i="1"/>
  <c r="AG66" i="1"/>
  <c r="AG72" i="1"/>
  <c r="AG76" i="1"/>
  <c r="AG80" i="1"/>
  <c r="AG84" i="1"/>
  <c r="AG88" i="1"/>
  <c r="AG92" i="1"/>
  <c r="AG96" i="1"/>
  <c r="AG100" i="1"/>
  <c r="AG104" i="1"/>
  <c r="AG108" i="1"/>
  <c r="AG112" i="1"/>
  <c r="AG116" i="1"/>
  <c r="AG120" i="1"/>
  <c r="AG125" i="1"/>
  <c r="AG129" i="1"/>
  <c r="AG133" i="1"/>
  <c r="AG137" i="1"/>
  <c r="AG20" i="1"/>
  <c r="AG58" i="1"/>
  <c r="AG29" i="1"/>
  <c r="AG65" i="1"/>
  <c r="AG141" i="1"/>
  <c r="AG145" i="1"/>
  <c r="AG149" i="1"/>
  <c r="AG155" i="1"/>
  <c r="AG212" i="1"/>
  <c r="AG217" i="1"/>
  <c r="AG220" i="1"/>
  <c r="AG224" i="1"/>
  <c r="AG234" i="1"/>
  <c r="AG238" i="1"/>
  <c r="AG242" i="1"/>
  <c r="AG246" i="1"/>
  <c r="AG250" i="1"/>
  <c r="AG254" i="1"/>
  <c r="AG161" i="1"/>
  <c r="AG165" i="1"/>
  <c r="AG169" i="1"/>
  <c r="AG175" i="1"/>
  <c r="AG183" i="1"/>
  <c r="AG191" i="1"/>
  <c r="AG199" i="1"/>
  <c r="AG207" i="1"/>
  <c r="AG230" i="1"/>
  <c r="AG202" i="1"/>
  <c r="AG211" i="1"/>
  <c r="AG257" i="1"/>
  <c r="AG176" i="1"/>
  <c r="AG184" i="1"/>
  <c r="AG192" i="1"/>
  <c r="AG40" i="1"/>
  <c r="AG48" i="1"/>
  <c r="AG33" i="1"/>
  <c r="AG41" i="1"/>
  <c r="AG14" i="1"/>
  <c r="AG30" i="1"/>
  <c r="AG23" i="1"/>
  <c r="AG60" i="1"/>
  <c r="AG73" i="1"/>
  <c r="AG77" i="1"/>
  <c r="AG81" i="1"/>
  <c r="AG89" i="1"/>
  <c r="AG93" i="1"/>
  <c r="AG101" i="1"/>
  <c r="AG109" i="1"/>
  <c r="AG117" i="1"/>
  <c r="AG126" i="1"/>
  <c r="AG134" i="1"/>
  <c r="AG24" i="1"/>
  <c r="AG17" i="1"/>
  <c r="AG67" i="1"/>
  <c r="AG146" i="1"/>
  <c r="AG150" i="1"/>
  <c r="AG213" i="1"/>
  <c r="AG221" i="1"/>
  <c r="AG235" i="1"/>
  <c r="AG243" i="1"/>
  <c r="AG247" i="1"/>
  <c r="AG255" i="1"/>
  <c r="AG166" i="1"/>
  <c r="AG177" i="1"/>
  <c r="AG193" i="1"/>
  <c r="AG210" i="1"/>
  <c r="AG232" i="1"/>
  <c r="AG170" i="1"/>
  <c r="AG186" i="1"/>
  <c r="AG98" i="1"/>
  <c r="AG131" i="1"/>
  <c r="AG21" i="1"/>
  <c r="AG151" i="1"/>
  <c r="AG49" i="1"/>
  <c r="AG68" i="1"/>
  <c r="AG85" i="1"/>
  <c r="AG97" i="1"/>
  <c r="AG105" i="1"/>
  <c r="AG113" i="1"/>
  <c r="AG121" i="1"/>
  <c r="AG130" i="1"/>
  <c r="AG138" i="1"/>
  <c r="AG59" i="1"/>
  <c r="AG142" i="1"/>
  <c r="AG156" i="1"/>
  <c r="AG219" i="1"/>
  <c r="AG225" i="1"/>
  <c r="AG239" i="1"/>
  <c r="AG251" i="1"/>
  <c r="AG162" i="1"/>
  <c r="AG258" i="1"/>
  <c r="AG185" i="1"/>
  <c r="AG201" i="1"/>
  <c r="AG204" i="1"/>
  <c r="AG227" i="1"/>
  <c r="AG178" i="1"/>
  <c r="AG194" i="1"/>
  <c r="AG34" i="1"/>
  <c r="AG42" i="1"/>
  <c r="AG50" i="1"/>
  <c r="AG35" i="1"/>
  <c r="AG43" i="1"/>
  <c r="AG51" i="1"/>
  <c r="AG18" i="1"/>
  <c r="AG56" i="1"/>
  <c r="AG27" i="1"/>
  <c r="AG62" i="1"/>
  <c r="AG70" i="1"/>
  <c r="AG74" i="1"/>
  <c r="AG78" i="1"/>
  <c r="AG82" i="1"/>
  <c r="AG86" i="1"/>
  <c r="AG90" i="1"/>
  <c r="AG94" i="1"/>
  <c r="AG102" i="1"/>
  <c r="AG106" i="1"/>
  <c r="AG110" i="1"/>
  <c r="AG118" i="1"/>
  <c r="AG122" i="1"/>
  <c r="AG127" i="1"/>
  <c r="AG135" i="1"/>
  <c r="AG28" i="1"/>
  <c r="AG69" i="1"/>
  <c r="AG143" i="1"/>
  <c r="AG157" i="1"/>
  <c r="AG216" i="1"/>
  <c r="AG36" i="1"/>
  <c r="AG45" i="1"/>
  <c r="AG31" i="1"/>
  <c r="AG79" i="1"/>
  <c r="AG95" i="1"/>
  <c r="AG111" i="1"/>
  <c r="AG128" i="1"/>
  <c r="AG32" i="1"/>
  <c r="AG144" i="1"/>
  <c r="AG215" i="1"/>
  <c r="AG233" i="1"/>
  <c r="AG241" i="1"/>
  <c r="AG249" i="1"/>
  <c r="AG159" i="1"/>
  <c r="AG168" i="1"/>
  <c r="AG181" i="1"/>
  <c r="AG197" i="1"/>
  <c r="AG228" i="1"/>
  <c r="AG208" i="1"/>
  <c r="AG174" i="1"/>
  <c r="AG190" i="1"/>
  <c r="AG44" i="1"/>
  <c r="AG53" i="1"/>
  <c r="AG64" i="1"/>
  <c r="AG83" i="1"/>
  <c r="AG99" i="1"/>
  <c r="AG115" i="1"/>
  <c r="AG132" i="1"/>
  <c r="AG25" i="1"/>
  <c r="AG148" i="1"/>
  <c r="AG218" i="1"/>
  <c r="AG236" i="1"/>
  <c r="AG244" i="1"/>
  <c r="AG252" i="1"/>
  <c r="AG163" i="1"/>
  <c r="AG171" i="1"/>
  <c r="AG187" i="1"/>
  <c r="AG203" i="1"/>
  <c r="AG198" i="1"/>
  <c r="AG229" i="1"/>
  <c r="AG180" i="1"/>
  <c r="AG196" i="1"/>
  <c r="AG52" i="1"/>
  <c r="AG22" i="1"/>
  <c r="AG71" i="1"/>
  <c r="AG87" i="1"/>
  <c r="AG103" i="1"/>
  <c r="AG119" i="1"/>
  <c r="AG136" i="1"/>
  <c r="AG63" i="1"/>
  <c r="AG153" i="1"/>
  <c r="AG223" i="1"/>
  <c r="AG237" i="1"/>
  <c r="AG245" i="1"/>
  <c r="AG253" i="1"/>
  <c r="AG164" i="1"/>
  <c r="AG173" i="1"/>
  <c r="AG189" i="1"/>
  <c r="AG205" i="1"/>
  <c r="AG200" i="1"/>
  <c r="AG231" i="1"/>
  <c r="AG182" i="1"/>
  <c r="AG37" i="1"/>
  <c r="AG15" i="1"/>
  <c r="AG75" i="1"/>
  <c r="AG91" i="1"/>
  <c r="AG107" i="1"/>
  <c r="AG123" i="1"/>
  <c r="AG16" i="1"/>
  <c r="AG140" i="1"/>
  <c r="AG158" i="1"/>
  <c r="AG226" i="1"/>
  <c r="AG240" i="1"/>
  <c r="AG248" i="1"/>
  <c r="AG256" i="1"/>
  <c r="AG167" i="1"/>
  <c r="AG179" i="1"/>
  <c r="AG195" i="1"/>
  <c r="AG259" i="1"/>
  <c r="AG206" i="1"/>
  <c r="AG172" i="1"/>
  <c r="AG188" i="1"/>
  <c r="W35" i="3"/>
  <c r="W18" i="3"/>
  <c r="W21" i="3"/>
  <c r="W37" i="3"/>
  <c r="W13" i="3"/>
  <c r="W33" i="3"/>
  <c r="W14" i="3"/>
  <c r="W7" i="3"/>
  <c r="W23" i="3"/>
  <c r="W27" i="3"/>
  <c r="W19" i="3"/>
  <c r="W29" i="3"/>
  <c r="W25" i="3"/>
  <c r="W8" i="3"/>
  <c r="W30" i="3"/>
  <c r="W11" i="3"/>
  <c r="W16" i="3"/>
  <c r="W36" i="3"/>
  <c r="W15" i="3"/>
  <c r="W42" i="3"/>
  <c r="W38" i="3"/>
  <c r="W20" i="3"/>
  <c r="W17" i="3"/>
  <c r="W31" i="3"/>
  <c r="W41" i="3"/>
  <c r="W22" i="3"/>
  <c r="W26" i="3"/>
  <c r="W39" i="3"/>
  <c r="W10" i="3"/>
  <c r="W12" i="3"/>
  <c r="W28" i="3"/>
  <c r="W24" i="3"/>
  <c r="W34" i="3"/>
  <c r="W32" i="3"/>
  <c r="W9" i="3"/>
  <c r="X160" i="1" l="1"/>
  <c r="AI160" i="1"/>
  <c r="U160" i="1"/>
  <c r="S160" i="1" s="1"/>
  <c r="W160" i="1"/>
  <c r="AI154" i="1"/>
  <c r="U154" i="1"/>
  <c r="S154" i="1" s="1"/>
  <c r="W154" i="1"/>
  <c r="U152" i="1"/>
  <c r="S152" i="1" s="1"/>
  <c r="AI152" i="1"/>
  <c r="W152" i="1"/>
  <c r="AD36" i="3"/>
  <c r="S9" i="3"/>
  <c r="AD33" i="3"/>
  <c r="T33" i="3"/>
  <c r="AI124" i="1"/>
  <c r="U124" i="1"/>
  <c r="S124" i="1" s="1"/>
  <c r="W124" i="1"/>
  <c r="X124" i="1"/>
  <c r="AD37" i="3"/>
  <c r="R42" i="3"/>
  <c r="S36" i="3"/>
  <c r="AD29" i="3"/>
  <c r="S37" i="3"/>
  <c r="AE15" i="3"/>
  <c r="AE27" i="3"/>
  <c r="AI209" i="1"/>
  <c r="U209" i="1"/>
  <c r="S209" i="1" s="1"/>
  <c r="W209" i="1"/>
  <c r="X209" i="1"/>
  <c r="AE28" i="3"/>
  <c r="AC26" i="3"/>
  <c r="AE35" i="3"/>
  <c r="AC28" i="3"/>
  <c r="AD32" i="3"/>
  <c r="T24" i="3"/>
  <c r="R37" i="3"/>
  <c r="AE31" i="3"/>
  <c r="AE36" i="3"/>
  <c r="AD28" i="3"/>
  <c r="AD24" i="3"/>
  <c r="AC34" i="3"/>
  <c r="AA259" i="1"/>
  <c r="AA127" i="1"/>
  <c r="AA117" i="1"/>
  <c r="AA90" i="1"/>
  <c r="AA88" i="1"/>
  <c r="AA70" i="1"/>
  <c r="AA69" i="1"/>
  <c r="AA62" i="1"/>
  <c r="AA61" i="1"/>
  <c r="AA57" i="1"/>
  <c r="AA53" i="1"/>
  <c r="AA49" i="1"/>
  <c r="AA45" i="1"/>
  <c r="AA41" i="1"/>
  <c r="AA37" i="1"/>
  <c r="AA33" i="1"/>
  <c r="AA29" i="1"/>
  <c r="AA25" i="1"/>
  <c r="AA21" i="1"/>
  <c r="AA17" i="1"/>
  <c r="AA163" i="1"/>
  <c r="AA161" i="1"/>
  <c r="AA159" i="1"/>
  <c r="AA244" i="1"/>
  <c r="AA242" i="1"/>
  <c r="AA241" i="1"/>
  <c r="AA217" i="1"/>
  <c r="AA153" i="1"/>
  <c r="AA148" i="1"/>
  <c r="AA147" i="1"/>
  <c r="AA131" i="1"/>
  <c r="AA110" i="1"/>
  <c r="AA108" i="1"/>
  <c r="AA107" i="1"/>
  <c r="AA94" i="1"/>
  <c r="AA92" i="1"/>
  <c r="AA91" i="1"/>
  <c r="AA74" i="1"/>
  <c r="AA72" i="1"/>
  <c r="AA64" i="1"/>
  <c r="AA54" i="1"/>
  <c r="AA50" i="1"/>
  <c r="AA46" i="1"/>
  <c r="AA42" i="1"/>
  <c r="AA38" i="1"/>
  <c r="AA34" i="1"/>
  <c r="AA30" i="1"/>
  <c r="AA26" i="1"/>
  <c r="AA22" i="1"/>
  <c r="AA18" i="1"/>
  <c r="AA230" i="1"/>
  <c r="AA167" i="1"/>
  <c r="AA165" i="1"/>
  <c r="AA248" i="1"/>
  <c r="AA246" i="1"/>
  <c r="AA236" i="1"/>
  <c r="AA226" i="1"/>
  <c r="AA222" i="1"/>
  <c r="AA218" i="1"/>
  <c r="AA140" i="1"/>
  <c r="AA139" i="1"/>
  <c r="AA133" i="1"/>
  <c r="AA125" i="1"/>
  <c r="AA115" i="1"/>
  <c r="AA114" i="1"/>
  <c r="AA76" i="1"/>
  <c r="AA75" i="1"/>
  <c r="AA66" i="1"/>
  <c r="AA65" i="1"/>
  <c r="AA55" i="1"/>
  <c r="AA51" i="1"/>
  <c r="AA47" i="1"/>
  <c r="AA43" i="1"/>
  <c r="AA39" i="1"/>
  <c r="AA35" i="1"/>
  <c r="AA31" i="1"/>
  <c r="AA27" i="1"/>
  <c r="AA23" i="1"/>
  <c r="AA19" i="1"/>
  <c r="AA15" i="1"/>
  <c r="AA169" i="1"/>
  <c r="AA168" i="1"/>
  <c r="AA252" i="1"/>
  <c r="AA250" i="1"/>
  <c r="AA237" i="1"/>
  <c r="AA219" i="1"/>
  <c r="AA215" i="1"/>
  <c r="AA158" i="1"/>
  <c r="AA141" i="1"/>
  <c r="AA134" i="1"/>
  <c r="AA116" i="1"/>
  <c r="AA102" i="1"/>
  <c r="AA100" i="1"/>
  <c r="AA99" i="1"/>
  <c r="AA86" i="1"/>
  <c r="AA84" i="1"/>
  <c r="AA83" i="1"/>
  <c r="AA68" i="1"/>
  <c r="AA60" i="1"/>
  <c r="AA56" i="1"/>
  <c r="AA52" i="1"/>
  <c r="AA48" i="1"/>
  <c r="AA44" i="1"/>
  <c r="AA40" i="1"/>
  <c r="AA36" i="1"/>
  <c r="AA32" i="1"/>
  <c r="AA28" i="1"/>
  <c r="AA24" i="1"/>
  <c r="AA20" i="1"/>
  <c r="AA16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258" i="1"/>
  <c r="AA257" i="1"/>
  <c r="AA235" i="1"/>
  <c r="AA225" i="1"/>
  <c r="AA213" i="1"/>
  <c r="AA150" i="1"/>
  <c r="X140" i="1"/>
  <c r="T140" i="1"/>
  <c r="X135" i="1"/>
  <c r="X197" i="1"/>
  <c r="AA233" i="1"/>
  <c r="AA223" i="1"/>
  <c r="AA156" i="1"/>
  <c r="X137" i="1"/>
  <c r="T137" i="1"/>
  <c r="AA121" i="1"/>
  <c r="AA120" i="1"/>
  <c r="AA119" i="1"/>
  <c r="AA80" i="1"/>
  <c r="AA79" i="1"/>
  <c r="AA78" i="1"/>
  <c r="AA77" i="1"/>
  <c r="AA14" i="1"/>
  <c r="AA220" i="1"/>
  <c r="X220" i="1"/>
  <c r="AA146" i="1"/>
  <c r="AA145" i="1"/>
  <c r="AA144" i="1"/>
  <c r="X138" i="1"/>
  <c r="AA136" i="1"/>
  <c r="AA130" i="1"/>
  <c r="AA129" i="1"/>
  <c r="AA128" i="1"/>
  <c r="AA113" i="1"/>
  <c r="AA112" i="1"/>
  <c r="AA111" i="1"/>
  <c r="AA58" i="1"/>
  <c r="AI238" i="1"/>
  <c r="AI236" i="1"/>
  <c r="AI234" i="1"/>
  <c r="AI232" i="1"/>
  <c r="AI230" i="1"/>
  <c r="AI228" i="1"/>
  <c r="AI226" i="1"/>
  <c r="AI224" i="1"/>
  <c r="AI222" i="1"/>
  <c r="AI220" i="1"/>
  <c r="AI218" i="1"/>
  <c r="AI216" i="1"/>
  <c r="AI214" i="1"/>
  <c r="AI212" i="1"/>
  <c r="AI210" i="1"/>
  <c r="AI258" i="1"/>
  <c r="U231" i="1"/>
  <c r="S231" i="1" s="1"/>
  <c r="U229" i="1"/>
  <c r="S229" i="1" s="1"/>
  <c r="AI256" i="1"/>
  <c r="AI254" i="1"/>
  <c r="U227" i="1"/>
  <c r="S227" i="1" s="1"/>
  <c r="U211" i="1"/>
  <c r="S211" i="1" s="1"/>
  <c r="AI252" i="1"/>
  <c r="AI250" i="1"/>
  <c r="U208" i="1"/>
  <c r="U206" i="1"/>
  <c r="S206" i="1" s="1"/>
  <c r="AI248" i="1"/>
  <c r="AI246" i="1"/>
  <c r="U204" i="1"/>
  <c r="S204" i="1" s="1"/>
  <c r="U202" i="1"/>
  <c r="S202" i="1" s="1"/>
  <c r="AI244" i="1"/>
  <c r="AI242" i="1"/>
  <c r="U200" i="1"/>
  <c r="S200" i="1" s="1"/>
  <c r="AI240" i="1"/>
  <c r="U198" i="1"/>
  <c r="S198" i="1" s="1"/>
  <c r="U232" i="1"/>
  <c r="S232" i="1" s="1"/>
  <c r="AI259" i="1"/>
  <c r="U230" i="1"/>
  <c r="S230" i="1" s="1"/>
  <c r="AI257" i="1"/>
  <c r="U228" i="1"/>
  <c r="S228" i="1" s="1"/>
  <c r="AI255" i="1"/>
  <c r="U259" i="1"/>
  <c r="S259" i="1" s="1"/>
  <c r="AI253" i="1"/>
  <c r="U210" i="1"/>
  <c r="S210" i="1" s="1"/>
  <c r="AI251" i="1"/>
  <c r="U207" i="1"/>
  <c r="S207" i="1" s="1"/>
  <c r="AI249" i="1"/>
  <c r="U205" i="1"/>
  <c r="AI247" i="1"/>
  <c r="U203" i="1"/>
  <c r="S203" i="1" s="1"/>
  <c r="AI245" i="1"/>
  <c r="U201" i="1"/>
  <c r="S201" i="1" s="1"/>
  <c r="AI243" i="1"/>
  <c r="U199" i="1"/>
  <c r="S199" i="1" s="1"/>
  <c r="AI241" i="1"/>
  <c r="U197" i="1"/>
  <c r="S197" i="1" s="1"/>
  <c r="AI239" i="1"/>
  <c r="AI237" i="1"/>
  <c r="AI235" i="1"/>
  <c r="AI233" i="1"/>
  <c r="AI231" i="1"/>
  <c r="AI229" i="1"/>
  <c r="AI227" i="1"/>
  <c r="AI225" i="1"/>
  <c r="AI223" i="1"/>
  <c r="AI221" i="1"/>
  <c r="AI219" i="1"/>
  <c r="AI217" i="1"/>
  <c r="AI215" i="1"/>
  <c r="AI213" i="1"/>
  <c r="AI211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U242" i="1"/>
  <c r="S242" i="1" s="1"/>
  <c r="AI184" i="1"/>
  <c r="U241" i="1"/>
  <c r="S241" i="1" s="1"/>
  <c r="AI183" i="1"/>
  <c r="AI182" i="1"/>
  <c r="U240" i="1"/>
  <c r="S240" i="1" s="1"/>
  <c r="AI181" i="1"/>
  <c r="U239" i="1"/>
  <c r="S239" i="1" s="1"/>
  <c r="AI180" i="1"/>
  <c r="U238" i="1"/>
  <c r="S238" i="1" s="1"/>
  <c r="AI179" i="1"/>
  <c r="U237" i="1"/>
  <c r="S237" i="1" s="1"/>
  <c r="AI178" i="1"/>
  <c r="U236" i="1"/>
  <c r="S236" i="1" s="1"/>
  <c r="AI177" i="1"/>
  <c r="U235" i="1"/>
  <c r="S235" i="1" s="1"/>
  <c r="AI176" i="1"/>
  <c r="U234" i="1"/>
  <c r="S234" i="1" s="1"/>
  <c r="AI175" i="1"/>
  <c r="U233" i="1"/>
  <c r="S233" i="1" s="1"/>
  <c r="AI174" i="1"/>
  <c r="U226" i="1"/>
  <c r="S226" i="1" s="1"/>
  <c r="AI173" i="1"/>
  <c r="U225" i="1"/>
  <c r="S225" i="1" s="1"/>
  <c r="AI172" i="1"/>
  <c r="U224" i="1"/>
  <c r="S224" i="1" s="1"/>
  <c r="AI171" i="1"/>
  <c r="U223" i="1"/>
  <c r="S223" i="1" s="1"/>
  <c r="AI170" i="1"/>
  <c r="U222" i="1"/>
  <c r="S222" i="1" s="1"/>
  <c r="AI169" i="1"/>
  <c r="U221" i="1"/>
  <c r="S221" i="1" s="1"/>
  <c r="AI168" i="1"/>
  <c r="U220" i="1"/>
  <c r="S220" i="1" s="1"/>
  <c r="AI166" i="1"/>
  <c r="AI164" i="1"/>
  <c r="AI167" i="1"/>
  <c r="AI165" i="1"/>
  <c r="AI163" i="1"/>
  <c r="AI162" i="1"/>
  <c r="AI161" i="1"/>
  <c r="AI159" i="1"/>
  <c r="AI158" i="1"/>
  <c r="AI157" i="1"/>
  <c r="AI156" i="1"/>
  <c r="AI155" i="1"/>
  <c r="AI153" i="1"/>
  <c r="AI151" i="1"/>
  <c r="AI150" i="1"/>
  <c r="AI149" i="1"/>
  <c r="AI148" i="1"/>
  <c r="AI147" i="1"/>
  <c r="W147" i="1"/>
  <c r="AI146" i="1"/>
  <c r="AI145" i="1"/>
  <c r="U144" i="1"/>
  <c r="S144" i="1" s="1"/>
  <c r="AI144" i="1"/>
  <c r="U143" i="1"/>
  <c r="AI143" i="1"/>
  <c r="U142" i="1"/>
  <c r="S142" i="1" s="1"/>
  <c r="AI142" i="1"/>
  <c r="U141" i="1"/>
  <c r="S141" i="1" s="1"/>
  <c r="AI141" i="1"/>
  <c r="U140" i="1"/>
  <c r="S140" i="1" s="1"/>
  <c r="AI140" i="1"/>
  <c r="AI69" i="1"/>
  <c r="AI67" i="1"/>
  <c r="AI65" i="1"/>
  <c r="AI63" i="1"/>
  <c r="AI61" i="1"/>
  <c r="U59" i="1"/>
  <c r="S59" i="1" s="1"/>
  <c r="AI59" i="1"/>
  <c r="AI29" i="1"/>
  <c r="AI25" i="1"/>
  <c r="AI21" i="1"/>
  <c r="AI17" i="1"/>
  <c r="AI58" i="1"/>
  <c r="U58" i="1"/>
  <c r="S58" i="1" s="1"/>
  <c r="AI32" i="1"/>
  <c r="AI28" i="1"/>
  <c r="AI24" i="1"/>
  <c r="AI20" i="1"/>
  <c r="AI16" i="1"/>
  <c r="U139" i="1"/>
  <c r="S139" i="1" s="1"/>
  <c r="AI139" i="1"/>
  <c r="U138" i="1"/>
  <c r="S138" i="1" s="1"/>
  <c r="AI138" i="1"/>
  <c r="U137" i="1"/>
  <c r="S137" i="1" s="1"/>
  <c r="AI137" i="1"/>
  <c r="U136" i="1"/>
  <c r="S136" i="1" s="1"/>
  <c r="AI136" i="1"/>
  <c r="U135" i="1"/>
  <c r="S135" i="1" s="1"/>
  <c r="AI135" i="1"/>
  <c r="AI134" i="1"/>
  <c r="AI133" i="1"/>
  <c r="AI132" i="1"/>
  <c r="AI131" i="1"/>
  <c r="AI130" i="1"/>
  <c r="AI129" i="1"/>
  <c r="AI128" i="1"/>
  <c r="AI127" i="1"/>
  <c r="AI126" i="1"/>
  <c r="AI125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W81" i="1"/>
  <c r="AI81" i="1"/>
  <c r="AI80" i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AI70" i="1"/>
  <c r="AI68" i="1"/>
  <c r="AI66" i="1"/>
  <c r="AI64" i="1"/>
  <c r="AI62" i="1"/>
  <c r="AI60" i="1"/>
  <c r="U57" i="1"/>
  <c r="S57" i="1" s="1"/>
  <c r="AI57" i="1"/>
  <c r="AI31" i="1"/>
  <c r="AI27" i="1"/>
  <c r="AI23" i="1"/>
  <c r="AI19" i="1"/>
  <c r="AI15" i="1"/>
  <c r="U56" i="1"/>
  <c r="S56" i="1" s="1"/>
  <c r="AI56" i="1"/>
  <c r="W56" i="1"/>
  <c r="AI30" i="1"/>
  <c r="AI26" i="1"/>
  <c r="AI22" i="1"/>
  <c r="AI18" i="1"/>
  <c r="AI14" i="1"/>
  <c r="AI55" i="1"/>
  <c r="AI53" i="1"/>
  <c r="AI51" i="1"/>
  <c r="AI49" i="1"/>
  <c r="AI47" i="1"/>
  <c r="AI45" i="1"/>
  <c r="AI43" i="1"/>
  <c r="AI41" i="1"/>
  <c r="AI39" i="1"/>
  <c r="AI37" i="1"/>
  <c r="AI35" i="1"/>
  <c r="AI33" i="1"/>
  <c r="AI54" i="1"/>
  <c r="W54" i="1"/>
  <c r="AI52" i="1"/>
  <c r="W52" i="1"/>
  <c r="AI50" i="1"/>
  <c r="W50" i="1"/>
  <c r="AI48" i="1"/>
  <c r="W48" i="1"/>
  <c r="AI46" i="1"/>
  <c r="W46" i="1"/>
  <c r="AI44" i="1"/>
  <c r="W44" i="1"/>
  <c r="AI42" i="1"/>
  <c r="W42" i="1"/>
  <c r="AI40" i="1"/>
  <c r="W40" i="1"/>
  <c r="AI38" i="1"/>
  <c r="W38" i="1"/>
  <c r="AI36" i="1"/>
  <c r="W36" i="1"/>
  <c r="AI34" i="1"/>
  <c r="W34" i="1"/>
  <c r="W227" i="1"/>
  <c r="W208" i="1"/>
  <c r="W259" i="1"/>
  <c r="W232" i="1"/>
  <c r="W228" i="1"/>
  <c r="W210" i="1"/>
  <c r="W167" i="1"/>
  <c r="W163" i="1"/>
  <c r="W256" i="1"/>
  <c r="W252" i="1"/>
  <c r="W248" i="1"/>
  <c r="W244" i="1"/>
  <c r="W205" i="1"/>
  <c r="W204" i="1"/>
  <c r="W203" i="1"/>
  <c r="W202" i="1"/>
  <c r="W201" i="1"/>
  <c r="W200" i="1"/>
  <c r="W199" i="1"/>
  <c r="W198" i="1"/>
  <c r="W197" i="1"/>
  <c r="W166" i="1"/>
  <c r="W162" i="1"/>
  <c r="W255" i="1"/>
  <c r="W251" i="1"/>
  <c r="W247" i="1"/>
  <c r="W243" i="1"/>
  <c r="W231" i="1"/>
  <c r="W207" i="1"/>
  <c r="W206" i="1"/>
  <c r="W230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258" i="1"/>
  <c r="W257" i="1"/>
  <c r="W169" i="1"/>
  <c r="W165" i="1"/>
  <c r="W161" i="1"/>
  <c r="W254" i="1"/>
  <c r="W250" i="1"/>
  <c r="W246" i="1"/>
  <c r="W242" i="1"/>
  <c r="W229" i="1"/>
  <c r="W211" i="1"/>
  <c r="W168" i="1"/>
  <c r="W164" i="1"/>
  <c r="W159" i="1"/>
  <c r="W253" i="1"/>
  <c r="W249" i="1"/>
  <c r="W245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T159" i="1"/>
  <c r="U159" i="1" s="1"/>
  <c r="S159" i="1" s="1"/>
  <c r="X159" i="1"/>
  <c r="T256" i="1"/>
  <c r="U256" i="1" s="1"/>
  <c r="S256" i="1" s="1"/>
  <c r="X256" i="1"/>
  <c r="T255" i="1"/>
  <c r="U255" i="1" s="1"/>
  <c r="S255" i="1" s="1"/>
  <c r="X255" i="1"/>
  <c r="T254" i="1"/>
  <c r="U254" i="1" s="1"/>
  <c r="S254" i="1" s="1"/>
  <c r="X254" i="1"/>
  <c r="T253" i="1"/>
  <c r="U253" i="1" s="1"/>
  <c r="S253" i="1" s="1"/>
  <c r="X253" i="1"/>
  <c r="T252" i="1"/>
  <c r="U252" i="1" s="1"/>
  <c r="S252" i="1" s="1"/>
  <c r="X252" i="1"/>
  <c r="T251" i="1"/>
  <c r="U251" i="1" s="1"/>
  <c r="S251" i="1" s="1"/>
  <c r="X251" i="1"/>
  <c r="T250" i="1"/>
  <c r="U250" i="1" s="1"/>
  <c r="S250" i="1" s="1"/>
  <c r="X250" i="1"/>
  <c r="T249" i="1"/>
  <c r="U249" i="1" s="1"/>
  <c r="S249" i="1" s="1"/>
  <c r="X249" i="1"/>
  <c r="T248" i="1"/>
  <c r="U248" i="1" s="1"/>
  <c r="S248" i="1" s="1"/>
  <c r="X248" i="1"/>
  <c r="T247" i="1"/>
  <c r="U247" i="1" s="1"/>
  <c r="S247" i="1" s="1"/>
  <c r="X247" i="1"/>
  <c r="T246" i="1"/>
  <c r="U246" i="1" s="1"/>
  <c r="S246" i="1" s="1"/>
  <c r="X246" i="1"/>
  <c r="T245" i="1"/>
  <c r="U245" i="1" s="1"/>
  <c r="S245" i="1" s="1"/>
  <c r="X245" i="1"/>
  <c r="T244" i="1"/>
  <c r="U244" i="1" s="1"/>
  <c r="S244" i="1" s="1"/>
  <c r="X244" i="1"/>
  <c r="T243" i="1"/>
  <c r="U243" i="1" s="1"/>
  <c r="S243" i="1" s="1"/>
  <c r="X243" i="1"/>
  <c r="W240" i="1"/>
  <c r="W158" i="1"/>
  <c r="W153" i="1"/>
  <c r="W148" i="1"/>
  <c r="T195" i="1"/>
  <c r="U195" i="1" s="1"/>
  <c r="S195" i="1" s="1"/>
  <c r="X195" i="1"/>
  <c r="T191" i="1"/>
  <c r="U191" i="1" s="1"/>
  <c r="S191" i="1" s="1"/>
  <c r="X191" i="1"/>
  <c r="T187" i="1"/>
  <c r="U187" i="1" s="1"/>
  <c r="S187" i="1" s="1"/>
  <c r="X187" i="1"/>
  <c r="T183" i="1"/>
  <c r="U183" i="1" s="1"/>
  <c r="X183" i="1"/>
  <c r="T179" i="1"/>
  <c r="U179" i="1" s="1"/>
  <c r="S179" i="1" s="1"/>
  <c r="X179" i="1"/>
  <c r="T173" i="1"/>
  <c r="U173" i="1" s="1"/>
  <c r="S173" i="1" s="1"/>
  <c r="X173" i="1"/>
  <c r="T171" i="1"/>
  <c r="U171" i="1" s="1"/>
  <c r="S171" i="1" s="1"/>
  <c r="X171" i="1"/>
  <c r="T258" i="1"/>
  <c r="U258" i="1" s="1"/>
  <c r="S258" i="1" s="1"/>
  <c r="X258" i="1"/>
  <c r="W239" i="1"/>
  <c r="W219" i="1"/>
  <c r="W218" i="1"/>
  <c r="W217" i="1"/>
  <c r="W216" i="1"/>
  <c r="W215" i="1"/>
  <c r="W214" i="1"/>
  <c r="W157" i="1"/>
  <c r="W151" i="1"/>
  <c r="T193" i="1"/>
  <c r="U193" i="1" s="1"/>
  <c r="S193" i="1" s="1"/>
  <c r="X193" i="1"/>
  <c r="T189" i="1"/>
  <c r="U189" i="1" s="1"/>
  <c r="S189" i="1" s="1"/>
  <c r="X189" i="1"/>
  <c r="T185" i="1"/>
  <c r="U185" i="1" s="1"/>
  <c r="X185" i="1"/>
  <c r="T181" i="1"/>
  <c r="U181" i="1" s="1"/>
  <c r="S181" i="1" s="1"/>
  <c r="X181" i="1"/>
  <c r="T177" i="1"/>
  <c r="U177" i="1" s="1"/>
  <c r="S177" i="1" s="1"/>
  <c r="X177" i="1"/>
  <c r="T175" i="1"/>
  <c r="U175" i="1" s="1"/>
  <c r="S175" i="1" s="1"/>
  <c r="X175" i="1"/>
  <c r="X232" i="1"/>
  <c r="X231" i="1"/>
  <c r="X230" i="1"/>
  <c r="X229" i="1"/>
  <c r="X228" i="1"/>
  <c r="X227" i="1"/>
  <c r="X259" i="1"/>
  <c r="X211" i="1"/>
  <c r="X208" i="1"/>
  <c r="X207" i="1"/>
  <c r="X206" i="1"/>
  <c r="X205" i="1"/>
  <c r="X204" i="1"/>
  <c r="X203" i="1"/>
  <c r="X202" i="1"/>
  <c r="X201" i="1"/>
  <c r="X200" i="1"/>
  <c r="X199" i="1"/>
  <c r="X198" i="1"/>
  <c r="W238" i="1"/>
  <c r="W237" i="1"/>
  <c r="W236" i="1"/>
  <c r="W235" i="1"/>
  <c r="W234" i="1"/>
  <c r="W233" i="1"/>
  <c r="W226" i="1"/>
  <c r="W225" i="1"/>
  <c r="W224" i="1"/>
  <c r="W223" i="1"/>
  <c r="W222" i="1"/>
  <c r="W220" i="1"/>
  <c r="W213" i="1"/>
  <c r="W156" i="1"/>
  <c r="W150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X190" i="1"/>
  <c r="T188" i="1"/>
  <c r="U188" i="1" s="1"/>
  <c r="S188" i="1" s="1"/>
  <c r="X188" i="1"/>
  <c r="T186" i="1"/>
  <c r="U186" i="1" s="1"/>
  <c r="S186" i="1" s="1"/>
  <c r="X186" i="1"/>
  <c r="T184" i="1"/>
  <c r="U184" i="1" s="1"/>
  <c r="X184" i="1"/>
  <c r="T182" i="1"/>
  <c r="U182" i="1" s="1"/>
  <c r="S182" i="1" s="1"/>
  <c r="X182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257" i="1"/>
  <c r="U257" i="1" s="1"/>
  <c r="S257" i="1" s="1"/>
  <c r="X257" i="1"/>
  <c r="W241" i="1"/>
  <c r="W221" i="1"/>
  <c r="W212" i="1"/>
  <c r="W155" i="1"/>
  <c r="W149" i="1"/>
  <c r="T218" i="1"/>
  <c r="U218" i="1" s="1"/>
  <c r="S218" i="1" s="1"/>
  <c r="X218" i="1"/>
  <c r="T216" i="1"/>
  <c r="U216" i="1" s="1"/>
  <c r="S216" i="1" s="1"/>
  <c r="X216" i="1"/>
  <c r="W141" i="1"/>
  <c r="W140" i="1"/>
  <c r="W121" i="1"/>
  <c r="W120" i="1"/>
  <c r="W119" i="1"/>
  <c r="X242" i="1"/>
  <c r="X241" i="1"/>
  <c r="X240" i="1"/>
  <c r="X239" i="1"/>
  <c r="X238" i="1"/>
  <c r="X237" i="1"/>
  <c r="X236" i="1"/>
  <c r="X235" i="1"/>
  <c r="X234" i="1"/>
  <c r="X233" i="1"/>
  <c r="X226" i="1"/>
  <c r="X225" i="1"/>
  <c r="X224" i="1"/>
  <c r="X223" i="1"/>
  <c r="X222" i="1"/>
  <c r="X221" i="1"/>
  <c r="W138" i="1"/>
  <c r="W134" i="1"/>
  <c r="W133" i="1"/>
  <c r="W132" i="1"/>
  <c r="W117" i="1"/>
  <c r="W116" i="1"/>
  <c r="W115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W146" i="1"/>
  <c r="W145" i="1"/>
  <c r="W144" i="1"/>
  <c r="W143" i="1"/>
  <c r="W139" i="1"/>
  <c r="W136" i="1"/>
  <c r="W135" i="1"/>
  <c r="W130" i="1"/>
  <c r="W129" i="1"/>
  <c r="W128" i="1"/>
  <c r="W113" i="1"/>
  <c r="W112" i="1"/>
  <c r="W111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T153" i="1"/>
  <c r="U153" i="1" s="1"/>
  <c r="S153" i="1" s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X146" i="1"/>
  <c r="T145" i="1"/>
  <c r="U145" i="1" s="1"/>
  <c r="X145" i="1"/>
  <c r="W142" i="1"/>
  <c r="W137" i="1"/>
  <c r="W126" i="1"/>
  <c r="W125" i="1"/>
  <c r="W123" i="1"/>
  <c r="X144" i="1"/>
  <c r="X143" i="1"/>
  <c r="X142" i="1"/>
  <c r="X141" i="1"/>
  <c r="X136" i="1"/>
  <c r="T132" i="1"/>
  <c r="U132" i="1" s="1"/>
  <c r="S132" i="1" s="1"/>
  <c r="X132" i="1"/>
  <c r="T128" i="1"/>
  <c r="U128" i="1" s="1"/>
  <c r="S128" i="1" s="1"/>
  <c r="X128" i="1"/>
  <c r="T123" i="1"/>
  <c r="U123" i="1" s="1"/>
  <c r="S123" i="1" s="1"/>
  <c r="X123" i="1"/>
  <c r="T119" i="1"/>
  <c r="U119" i="1" s="1"/>
  <c r="S119" i="1" s="1"/>
  <c r="X119" i="1"/>
  <c r="T115" i="1"/>
  <c r="U115" i="1" s="1"/>
  <c r="S115" i="1" s="1"/>
  <c r="X115" i="1"/>
  <c r="T111" i="1"/>
  <c r="U111" i="1" s="1"/>
  <c r="S111" i="1" s="1"/>
  <c r="X111" i="1"/>
  <c r="W108" i="1"/>
  <c r="W104" i="1"/>
  <c r="W100" i="1"/>
  <c r="W96" i="1"/>
  <c r="W92" i="1"/>
  <c r="W88" i="1"/>
  <c r="W84" i="1"/>
  <c r="T133" i="1"/>
  <c r="U133" i="1" s="1"/>
  <c r="S133" i="1" s="1"/>
  <c r="X133" i="1"/>
  <c r="T129" i="1"/>
  <c r="U129" i="1" s="1"/>
  <c r="S129" i="1" s="1"/>
  <c r="X129" i="1"/>
  <c r="T125" i="1"/>
  <c r="U125" i="1" s="1"/>
  <c r="S125" i="1" s="1"/>
  <c r="T120" i="1"/>
  <c r="U120" i="1" s="1"/>
  <c r="S120" i="1" s="1"/>
  <c r="X120" i="1"/>
  <c r="T116" i="1"/>
  <c r="U116" i="1" s="1"/>
  <c r="S116" i="1" s="1"/>
  <c r="X116" i="1"/>
  <c r="T112" i="1"/>
  <c r="U112" i="1" s="1"/>
  <c r="S112" i="1" s="1"/>
  <c r="X112" i="1"/>
  <c r="W107" i="1"/>
  <c r="W103" i="1"/>
  <c r="W99" i="1"/>
  <c r="W95" i="1"/>
  <c r="W91" i="1"/>
  <c r="W87" i="1"/>
  <c r="W83" i="1"/>
  <c r="T134" i="1"/>
  <c r="U134" i="1" s="1"/>
  <c r="S134" i="1" s="1"/>
  <c r="X134" i="1"/>
  <c r="W131" i="1"/>
  <c r="T130" i="1"/>
  <c r="U130" i="1" s="1"/>
  <c r="S130" i="1" s="1"/>
  <c r="X130" i="1"/>
  <c r="W127" i="1"/>
  <c r="T126" i="1"/>
  <c r="U126" i="1" s="1"/>
  <c r="S126" i="1" s="1"/>
  <c r="X126" i="1"/>
  <c r="W122" i="1"/>
  <c r="T121" i="1"/>
  <c r="U121" i="1" s="1"/>
  <c r="S121" i="1" s="1"/>
  <c r="X121" i="1"/>
  <c r="W118" i="1"/>
  <c r="T117" i="1"/>
  <c r="U117" i="1" s="1"/>
  <c r="S117" i="1" s="1"/>
  <c r="X117" i="1"/>
  <c r="W114" i="1"/>
  <c r="T113" i="1"/>
  <c r="U113" i="1" s="1"/>
  <c r="S113" i="1" s="1"/>
  <c r="X113" i="1"/>
  <c r="W110" i="1"/>
  <c r="W106" i="1"/>
  <c r="W102" i="1"/>
  <c r="W98" i="1"/>
  <c r="W94" i="1"/>
  <c r="W90" i="1"/>
  <c r="W86" i="1"/>
  <c r="W82" i="1"/>
  <c r="T131" i="1"/>
  <c r="U131" i="1" s="1"/>
  <c r="S131" i="1" s="1"/>
  <c r="X131" i="1"/>
  <c r="T127" i="1"/>
  <c r="U127" i="1" s="1"/>
  <c r="S127" i="1" s="1"/>
  <c r="X127" i="1"/>
  <c r="T122" i="1"/>
  <c r="U122" i="1" s="1"/>
  <c r="S122" i="1" s="1"/>
  <c r="X122" i="1"/>
  <c r="T118" i="1"/>
  <c r="U118" i="1" s="1"/>
  <c r="S118" i="1" s="1"/>
  <c r="X118" i="1"/>
  <c r="T114" i="1"/>
  <c r="U114" i="1" s="1"/>
  <c r="S114" i="1" s="1"/>
  <c r="X114" i="1"/>
  <c r="W109" i="1"/>
  <c r="W105" i="1"/>
  <c r="W101" i="1"/>
  <c r="W97" i="1"/>
  <c r="W93" i="1"/>
  <c r="W89" i="1"/>
  <c r="W85" i="1"/>
  <c r="W80" i="1"/>
  <c r="W79" i="1"/>
  <c r="W78" i="1"/>
  <c r="W77" i="1"/>
  <c r="W76" i="1"/>
  <c r="W72" i="1"/>
  <c r="W57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W75" i="1"/>
  <c r="W71" i="1"/>
  <c r="W55" i="1"/>
  <c r="W53" i="1"/>
  <c r="W51" i="1"/>
  <c r="W49" i="1"/>
  <c r="W47" i="1"/>
  <c r="W45" i="1"/>
  <c r="W43" i="1"/>
  <c r="W41" i="1"/>
  <c r="W39" i="1"/>
  <c r="W37" i="1"/>
  <c r="W35" i="1"/>
  <c r="W33" i="1"/>
  <c r="W74" i="1"/>
  <c r="W70" i="1"/>
  <c r="W68" i="1"/>
  <c r="W66" i="1"/>
  <c r="W64" i="1"/>
  <c r="W62" i="1"/>
  <c r="W60" i="1"/>
  <c r="W58" i="1"/>
  <c r="W73" i="1"/>
  <c r="W69" i="1"/>
  <c r="W67" i="1"/>
  <c r="W65" i="1"/>
  <c r="W63" i="1"/>
  <c r="W61" i="1"/>
  <c r="W59" i="1"/>
  <c r="W31" i="1"/>
  <c r="W27" i="1"/>
  <c r="W23" i="1"/>
  <c r="W19" i="1"/>
  <c r="W15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W30" i="1"/>
  <c r="W26" i="1"/>
  <c r="W22" i="1"/>
  <c r="W18" i="1"/>
  <c r="W14" i="1"/>
  <c r="W29" i="1"/>
  <c r="W25" i="1"/>
  <c r="W21" i="1"/>
  <c r="W17" i="1"/>
  <c r="X78" i="1"/>
  <c r="X77" i="1"/>
  <c r="X76" i="1"/>
  <c r="X75" i="1"/>
  <c r="X74" i="1"/>
  <c r="X73" i="1"/>
  <c r="X72" i="1"/>
  <c r="X7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W32" i="1"/>
  <c r="W28" i="1"/>
  <c r="W24" i="1"/>
  <c r="W20" i="1"/>
  <c r="W16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T18" i="1"/>
  <c r="U18" i="1" s="1"/>
  <c r="S18" i="1" s="1"/>
  <c r="X18" i="1"/>
  <c r="T16" i="1"/>
  <c r="U16" i="1" s="1"/>
  <c r="S16" i="1" s="1"/>
  <c r="X16" i="1"/>
  <c r="T14" i="1"/>
  <c r="U14" i="1" s="1"/>
  <c r="S14" i="1" s="1"/>
  <c r="X59" i="1"/>
  <c r="X58" i="1"/>
  <c r="X57" i="1"/>
  <c r="X56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T17" i="1"/>
  <c r="U17" i="1" s="1"/>
  <c r="S17" i="1" s="1"/>
  <c r="X17" i="1"/>
  <c r="T15" i="1"/>
  <c r="U15" i="1" s="1"/>
  <c r="S15" i="1" s="1"/>
  <c r="X15" i="1"/>
  <c r="AD16" i="3"/>
  <c r="T30" i="3"/>
  <c r="AE32" i="3"/>
  <c r="AC41" i="3"/>
  <c r="T41" i="3"/>
  <c r="AC16" i="3"/>
  <c r="AC11" i="3"/>
  <c r="T11" i="3"/>
  <c r="AD12" i="3"/>
  <c r="AE19" i="3"/>
  <c r="AD13" i="3"/>
  <c r="AE11" i="3"/>
  <c r="AD9" i="3"/>
  <c r="AC19" i="3"/>
  <c r="AD25" i="3"/>
  <c r="AE23" i="3"/>
  <c r="AD21" i="3"/>
  <c r="AE20" i="3"/>
  <c r="AD17" i="3"/>
  <c r="AE16" i="3"/>
  <c r="AD15" i="3"/>
  <c r="T7" i="3"/>
  <c r="AC27" i="3"/>
  <c r="T32" i="3"/>
  <c r="AC35" i="3"/>
  <c r="AD8" i="3"/>
  <c r="T23" i="3"/>
  <c r="AD19" i="3"/>
  <c r="T8" i="3"/>
  <c r="AC15" i="3"/>
  <c r="AC14" i="3"/>
  <c r="T14" i="3"/>
  <c r="AC10" i="3"/>
  <c r="AC42" i="3"/>
  <c r="AE39" i="3"/>
  <c r="AC9" i="3"/>
  <c r="AC36" i="3"/>
  <c r="AC22" i="3"/>
  <c r="AE24" i="3"/>
  <c r="AD23" i="3"/>
  <c r="T17" i="3"/>
  <c r="AE12" i="3"/>
  <c r="Y26" i="3"/>
  <c r="Y36" i="3"/>
  <c r="Y23" i="3"/>
  <c r="Y9" i="3"/>
  <c r="Y22" i="3"/>
  <c r="Y16" i="3"/>
  <c r="Y7" i="3"/>
  <c r="Y32" i="3"/>
  <c r="Y41" i="3"/>
  <c r="Y11" i="3"/>
  <c r="Y14" i="3"/>
  <c r="Y34" i="3"/>
  <c r="Y31" i="3"/>
  <c r="Y30" i="3"/>
  <c r="Y33" i="3"/>
  <c r="Y24" i="3"/>
  <c r="Y17" i="3"/>
  <c r="Y8" i="3"/>
  <c r="Y13" i="3"/>
  <c r="Y28" i="3"/>
  <c r="Y20" i="3"/>
  <c r="Y25" i="3"/>
  <c r="Y37" i="3"/>
  <c r="Y12" i="3"/>
  <c r="Y38" i="3"/>
  <c r="Y29" i="3"/>
  <c r="Y21" i="3"/>
  <c r="Y10" i="3"/>
  <c r="Y42" i="3"/>
  <c r="Y19" i="3"/>
  <c r="Y18" i="3"/>
  <c r="Y39" i="3"/>
  <c r="Y15" i="3"/>
  <c r="Y27" i="3"/>
  <c r="Y35" i="3"/>
  <c r="AD42" i="3"/>
  <c r="T13" i="3"/>
  <c r="AE42" i="3"/>
  <c r="AD38" i="3"/>
  <c r="T28" i="3"/>
  <c r="AE38" i="3"/>
  <c r="AC25" i="3"/>
  <c r="AD30" i="3"/>
  <c r="T25" i="3"/>
  <c r="AE30" i="3"/>
  <c r="AC31" i="3"/>
  <c r="AD39" i="3"/>
  <c r="AC20" i="3"/>
  <c r="AD34" i="3"/>
  <c r="T20" i="3"/>
  <c r="AE34" i="3"/>
  <c r="AE18" i="3"/>
  <c r="AE14" i="3"/>
  <c r="T29" i="3"/>
  <c r="AE10" i="3"/>
  <c r="T21" i="3"/>
  <c r="AD35" i="3"/>
  <c r="AD31" i="3"/>
  <c r="AD27" i="3"/>
  <c r="AE26" i="3"/>
  <c r="T37" i="3"/>
  <c r="AE22" i="3"/>
  <c r="T12" i="3"/>
  <c r="T38" i="3"/>
  <c r="AE41" i="3"/>
  <c r="AE37" i="3"/>
  <c r="AE33" i="3"/>
  <c r="AE29" i="3"/>
  <c r="AD26" i="3"/>
  <c r="AE25" i="3"/>
  <c r="T18" i="3"/>
  <c r="AD22" i="3"/>
  <c r="AE21" i="3"/>
  <c r="T39" i="3"/>
  <c r="AD18" i="3"/>
  <c r="AE17" i="3"/>
  <c r="T15" i="3"/>
  <c r="AD14" i="3"/>
  <c r="AE13" i="3"/>
  <c r="T27" i="3"/>
  <c r="AD10" i="3"/>
  <c r="AE9" i="3"/>
  <c r="T35" i="3"/>
  <c r="AE8" i="3"/>
  <c r="S145" i="1" l="1"/>
  <c r="M40" i="3"/>
  <c r="U40" i="3"/>
  <c r="V40" i="3"/>
  <c r="X40" i="3"/>
  <c r="T40" i="3" l="1"/>
  <c r="AE40" i="3"/>
  <c r="AD40" i="3"/>
  <c r="R40" i="3"/>
  <c r="S40" i="3"/>
  <c r="AC40" i="3"/>
  <c r="W40" i="3"/>
  <c r="Y40" i="3" l="1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N23" i="3" s="1"/>
  <c r="G232" i="4"/>
  <c r="G233" i="4"/>
  <c r="G234" i="4"/>
  <c r="G235" i="4"/>
  <c r="N26" i="3" s="1"/>
  <c r="G236" i="4"/>
  <c r="G237" i="4"/>
  <c r="N13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34" i="3" s="1"/>
  <c r="G24" i="4"/>
  <c r="G25" i="4"/>
  <c r="G26" i="4"/>
  <c r="G27" i="4"/>
  <c r="G28" i="4"/>
  <c r="N35" i="3" s="1"/>
  <c r="G29" i="4"/>
  <c r="G30" i="4"/>
  <c r="G31" i="4"/>
  <c r="G32" i="4"/>
  <c r="N21" i="3" s="1"/>
  <c r="G33" i="4"/>
  <c r="G34" i="4"/>
  <c r="N14" i="3" s="1"/>
  <c r="G35" i="4"/>
  <c r="G36" i="4"/>
  <c r="G37" i="4"/>
  <c r="G38" i="4"/>
  <c r="N32" i="3" s="1"/>
  <c r="G39" i="4"/>
  <c r="G40" i="4"/>
  <c r="G41" i="4"/>
  <c r="G42" i="4"/>
  <c r="G43" i="4"/>
  <c r="G44" i="4"/>
  <c r="N27" i="3" s="1"/>
  <c r="G45" i="4"/>
  <c r="G46" i="4"/>
  <c r="G47" i="4"/>
  <c r="G48" i="4"/>
  <c r="G49" i="4"/>
  <c r="G50" i="4"/>
  <c r="N29" i="3" s="1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15" i="3" s="1"/>
  <c r="G70" i="4"/>
  <c r="G71" i="4"/>
  <c r="N7" i="3" s="1"/>
  <c r="G72" i="4"/>
  <c r="G73" i="4"/>
  <c r="G74" i="4"/>
  <c r="G75" i="4"/>
  <c r="N11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38" i="3" s="1"/>
  <c r="G90" i="4"/>
  <c r="G91" i="4"/>
  <c r="G92" i="4"/>
  <c r="G93" i="4"/>
  <c r="G94" i="4"/>
  <c r="G95" i="4"/>
  <c r="G96" i="4"/>
  <c r="G97" i="4"/>
  <c r="G98" i="4"/>
  <c r="G99" i="4"/>
  <c r="G100" i="4"/>
  <c r="G101" i="4"/>
  <c r="N39" i="3" s="1"/>
  <c r="G102" i="4"/>
  <c r="G103" i="4"/>
  <c r="G104" i="4"/>
  <c r="G105" i="4"/>
  <c r="G106" i="4"/>
  <c r="G107" i="4"/>
  <c r="N17" i="3" s="1"/>
  <c r="G108" i="4"/>
  <c r="N12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41" i="3" s="1"/>
  <c r="G122" i="4"/>
  <c r="G123" i="4"/>
  <c r="N18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N24" i="3" s="1"/>
  <c r="G141" i="4"/>
  <c r="G142" i="4"/>
  <c r="G143" i="4"/>
  <c r="G144" i="4"/>
  <c r="G145" i="4"/>
  <c r="G146" i="4"/>
  <c r="N22" i="3" s="1"/>
  <c r="G147" i="4"/>
  <c r="N19" i="3" s="1"/>
  <c r="G148" i="4"/>
  <c r="G149" i="4"/>
  <c r="G150" i="4"/>
  <c r="G151" i="4"/>
  <c r="G152" i="4"/>
  <c r="G153" i="4"/>
  <c r="N25" i="3" s="1"/>
  <c r="G154" i="4"/>
  <c r="G155" i="4"/>
  <c r="G156" i="4"/>
  <c r="G157" i="4"/>
  <c r="G158" i="4"/>
  <c r="G159" i="4"/>
  <c r="G160" i="4"/>
  <c r="G161" i="4"/>
  <c r="G162" i="4"/>
  <c r="N33" i="3" s="1"/>
  <c r="G163" i="4"/>
  <c r="G164" i="4"/>
  <c r="G165" i="4"/>
  <c r="G166" i="4"/>
  <c r="G167" i="4"/>
  <c r="G168" i="4"/>
  <c r="G169" i="4"/>
  <c r="G170" i="4"/>
  <c r="G171" i="4"/>
  <c r="G172" i="4"/>
  <c r="N20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30" i="3" s="1"/>
  <c r="G197" i="4"/>
  <c r="G198" i="4"/>
  <c r="G199" i="4"/>
  <c r="G200" i="4"/>
  <c r="G201" i="4"/>
  <c r="N28" i="3" s="1"/>
  <c r="G202" i="4"/>
  <c r="G203" i="4"/>
  <c r="G204" i="4"/>
  <c r="G205" i="4"/>
  <c r="G206" i="4"/>
  <c r="G207" i="4"/>
  <c r="G208" i="4"/>
  <c r="G209" i="4"/>
  <c r="G210" i="4"/>
  <c r="G211" i="4"/>
  <c r="N31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8" i="3" l="1"/>
  <c r="N16" i="3"/>
  <c r="N36" i="3"/>
  <c r="N42" i="3"/>
  <c r="N37" i="3"/>
  <c r="N9" i="3"/>
  <c r="N10" i="3"/>
  <c r="N4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<sst xmlns="http://schemas.openxmlformats.org/spreadsheetml/2006/main" count="2811" uniqueCount="1020">
  <si>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</si>
  <si>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</si>
  <si>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</si>
  <si>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</si>
  <si>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</si>
  <si>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</si>
  <si>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</si>
  <si>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</si>
  <si>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</si>
  <si>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</si>
  <si>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</si>
  <si>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</si>
  <si>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</si>
  <si>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</si>
  <si>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</si>
  <si>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</si>
  <si>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</si>
  <si>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</si>
  <si>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</si>
  <si>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</si>
  <si>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</si>
  <si>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</si>
  <si>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</si>
  <si>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</si>
  <si>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</si>
  <si>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</si>
  <si>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</si>
  <si>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</si>
  <si>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</si>
  <si>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</si>
  <si>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</si>
  <si>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</si>
  <si>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</si>
  <si>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</si>
  <si>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</si>
  <si>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</si>
  <si>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</si>
  <si>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</si>
  <si>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</si>
  <si>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</si>
  <si>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</si>
  <si>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</si>
  <si>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</si>
  <si>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</si>
  <si>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</si>
  <si>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</si>
  <si>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</si>
  <si>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</si>
  <si>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</si>
  <si>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</si>
  <si>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</si>
  <si>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</si>
  <si>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</si>
  <si>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</si>
  <si>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</si>
  <si>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</si>
  <si>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</si>
  <si>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</si>
  <si>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</si>
  <si>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</si>
  <si>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</si>
  <si>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</si>
  <si>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</si>
  <si>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</si>
  <si>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</si>
  <si>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</si>
  <si>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</si>
  <si>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</si>
  <si>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</si>
  <si>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</si>
  <si>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</si>
  <si>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</si>
  <si>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</si>
  <si>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</si>
  <si>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</si>
  <si>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</si>
  <si>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</si>
  <si>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</si>
  <si>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</si>
  <si>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</si>
  <si>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</si>
  <si>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</si>
  <si>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</si>
  <si>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</si>
  <si>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</si>
  <si>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</si>
  <si>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</si>
  <si>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</si>
  <si>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</si>
  <si>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</si>
  <si>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</si>
  <si>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</si>
  <si>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</si>
  <si>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</si>
  <si>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</si>
  <si>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</si>
  <si>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</si>
  <si>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</si>
  <si>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</si>
  <si>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</si>
  <si>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</si>
  <si>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</si>
  <si>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</si>
  <si>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</si>
  <si>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</si>
  <si>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</si>
  <si>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</si>
  <si>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</si>
  <si>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</si>
  <si>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</si>
  <si>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</si>
  <si>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</si>
  <si>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</si>
  <si>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</si>
  <si>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</si>
  <si>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</si>
  <si>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</si>
  <si>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</si>
  <si>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</si>
  <si>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</si>
  <si>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</si>
  <si>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</si>
  <si>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</si>
  <si>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</si>
  <si>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</si>
  <si>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</si>
  <si>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</si>
  <si>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</si>
  <si>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</si>
  <si>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</si>
  <si>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</si>
  <si>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</si>
  <si>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</si>
  <si>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</si>
  <si>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</si>
  <si>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</si>
  <si>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</si>
  <si>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</si>
  <si>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</si>
  <si>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</si>
  <si>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</si>
  <si>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</si>
  <si>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</si>
  <si>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</si>
  <si>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</si>
  <si>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</si>
  <si>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</si>
  <si>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</si>
  <si>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</si>
  <si>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</si>
  <si>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</si>
  <si>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</si>
  <si>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</si>
  <si>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</si>
  <si>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</si>
  <si>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</si>
  <si>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</si>
  <si>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</si>
  <si>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</si>
  <si>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</si>
  <si>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</si>
  <si>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</si>
  <si>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</si>
  <si>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</si>
  <si>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</si>
  <si>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</si>
  <si>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</si>
  <si>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</si>
  <si>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</si>
  <si>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</si>
  <si>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</si>
  <si>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</si>
  <si>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</si>
  <si>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</si>
  <si>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</si>
  <si>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</si>
  <si>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</si>
  <si>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</si>
  <si>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</si>
  <si>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</si>
  <si>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</si>
  <si>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</si>
  <si>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</si>
  <si>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</si>
  <si>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</si>
  <si>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</si>
  <si>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</si>
  <si>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</si>
  <si>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</si>
  <si>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</si>
  <si>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</si>
  <si>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</si>
  <si>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</si>
  <si>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</si>
  <si>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</si>
  <si>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</si>
  <si>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</si>
  <si>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</si>
  <si>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</si>
  <si>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</si>
  <si>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</si>
  <si>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</si>
  <si>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</si>
  <si>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</si>
  <si>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</si>
  <si>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</si>
  <si>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</si>
  <si>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</si>
  <si>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</si>
  <si>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</si>
  <si>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</si>
  <si>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</si>
  <si>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</si>
  <si>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</si>
  <si>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</si>
  <si>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</si>
  <si>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</si>
  <si>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</si>
  <si>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</si>
  <si>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</si>
  <si>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</si>
  <si>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</si>
  <si>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</si>
  <si>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</si>
  <si>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</si>
  <si>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</si>
  <si>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</si>
  <si>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</si>
  <si>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</si>
  <si>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</si>
  <si>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</si>
  <si>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</si>
  <si>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</si>
  <si>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</si>
  <si>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</si>
  <si>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</si>
  <si>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</si>
  <si>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</si>
  <si>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</si>
  <si>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</si>
  <si>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</si>
  <si>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</si>
  <si>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</si>
  <si>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</si>
  <si>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</si>
  <si>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</si>
  <si>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</si>
  <si>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</si>
  <si>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</si>
  <si>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</si>
  <si>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</si>
  <si>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</si>
  <si>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</si>
  <si>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</si>
  <si>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</si>
  <si>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</si>
  <si>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</si>
  <si>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</si>
  <si>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</si>
  <si>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</si>
  <si>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</si>
  <si>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</si>
  <si>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</si>
  <si>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</si>
  <si>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</si>
  <si>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</si>
  <si>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</si>
  <si>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</si>
  <si>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</si>
  <si>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</si>
  <si>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</si>
  <si>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</si>
  <si>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</si>
  <si>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</si>
  <si>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</si>
  <si>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</si>
  <si>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</si>
  <si>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</si>
  <si>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</si>
  <si>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</si>
  <si>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</si>
  <si>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</si>
  <si>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</si>
  <si>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</si>
  <si>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</si>
  <si>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</si>
  <si>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</si>
  <si>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</si>
  <si>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</si>
  <si>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</si>
  <si>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</si>
  <si>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</si>
  <si>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</si>
  <si>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</si>
  <si>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</si>
  <si>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</si>
  <si>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</si>
  <si>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</si>
  <si>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</si>
  <si>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</si>
  <si>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</si>
  <si>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</si>
  <si>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</si>
  <si>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</si>
  <si>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</si>
  <si>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</si>
  <si>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</si>
  <si>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</si>
  <si>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</si>
  <si>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</si>
  <si>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</si>
  <si>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</si>
  <si>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</si>
  <si>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</si>
  <si>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</si>
  <si>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</si>
  <si>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</si>
  <si>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</si>
  <si>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</si>
  <si>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</si>
  <si>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</si>
  <si>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</si>
  <si>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</si>
  <si>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</si>
  <si>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</si>
  <si>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</si>
  <si>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</si>
  <si>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</si>
  <si>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</si>
  <si>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</si>
  <si>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</si>
  <si>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</si>
  <si>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</si>
  <si>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</si>
  <si>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</si>
  <si>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</si>
  <si>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</si>
  <si>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</si>
  <si>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</si>
  <si>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</si>
  <si>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</si>
  <si>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</si>
  <si>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</si>
  <si>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</si>
  <si>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</si>
  <si>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</si>
  <si>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</si>
  <si>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</si>
  <si>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</si>
  <si>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</si>
  <si>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</si>
  <si>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</si>
  <si>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</si>
  <si>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</si>
  <si>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</si>
  <si>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</si>
  <si>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</si>
  <si>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</si>
  <si>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</si>
  <si>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</si>
  <si>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</si>
  <si>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</si>
  <si>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</si>
  <si>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</si>
  <si>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</si>
  <si>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</si>
  <si>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</si>
  <si>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</si>
  <si>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</si>
  <si>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</si>
  <si>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</si>
  <si>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</si>
  <si>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</si>
  <si>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</si>
  <si>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</si>
  <si>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</si>
  <si>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</si>
  <si>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</si>
  <si>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</si>
  <si>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</si>
  <si>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</si>
  <si>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</si>
  <si>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</si>
  <si>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</si>
  <si>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</si>
  <si>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</si>
  <si>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</si>
  <si>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</si>
  <si>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</si>
  <si>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</si>
  <si>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204:233000</t>
  </si>
  <si>
    <t>204:233291</t>
  </si>
  <si>
    <t>204:233297</t>
  </si>
  <si>
    <t>204:467</t>
  </si>
  <si>
    <t>204:473</t>
  </si>
  <si>
    <t>rtdc.l.rtdc.4061:itc</t>
  </si>
  <si>
    <t>rtdc.l.rtdc.4055:itc</t>
  </si>
  <si>
    <t>204:469</t>
  </si>
  <si>
    <t>204:232992</t>
  </si>
  <si>
    <t>Wi-MAX data drop</t>
  </si>
  <si>
    <t>MICHAEL</t>
  </si>
  <si>
    <t>rtdc.l.rtdc.4008:itc</t>
  </si>
  <si>
    <t>204:475</t>
  </si>
  <si>
    <t>204:233308</t>
  </si>
  <si>
    <t>204:233302</t>
  </si>
  <si>
    <t>204:233010</t>
  </si>
  <si>
    <t>204:160</t>
  </si>
  <si>
    <t>YANAI</t>
  </si>
  <si>
    <t>IAN</t>
  </si>
  <si>
    <t>LEVERE</t>
  </si>
  <si>
    <t>CRAIG</t>
  </si>
  <si>
    <t>LEVIN</t>
  </si>
  <si>
    <t>SCOTT</t>
  </si>
  <si>
    <t>204:233325</t>
  </si>
  <si>
    <t>204:437</t>
  </si>
  <si>
    <t>204:233336</t>
  </si>
  <si>
    <t>204:232980</t>
  </si>
  <si>
    <t>300:58933</t>
  </si>
  <si>
    <t>rtdc.l.rtdc.4007:itc</t>
  </si>
  <si>
    <t>BIRKHOLZ</t>
  </si>
  <si>
    <t>NADINE</t>
  </si>
  <si>
    <t>clear-night</t>
  </si>
  <si>
    <t>Clear</t>
  </si>
  <si>
    <t>204:232983</t>
  </si>
  <si>
    <t>rtdc.l.rtdc.4066:itc</t>
  </si>
  <si>
    <t>rtdc.l.rtdc.4018:itc</t>
  </si>
  <si>
    <t>rtdc.l.rtdc.4017:itc</t>
  </si>
  <si>
    <t>rtdc.l.rtdc.4065:itc</t>
  </si>
  <si>
    <t>309-04</t>
  </si>
  <si>
    <t>MCREYNOLDS</t>
  </si>
  <si>
    <t>KYLE</t>
  </si>
  <si>
    <t>WHITED</t>
  </si>
  <si>
    <t>DUSTIN</t>
  </si>
  <si>
    <t>242-04</t>
  </si>
  <si>
    <t>307-04</t>
  </si>
  <si>
    <t>244-04</t>
  </si>
  <si>
    <t>311-04</t>
  </si>
  <si>
    <t>50-05</t>
  </si>
  <si>
    <t>300-05</t>
  </si>
  <si>
    <t>204:233306</t>
  </si>
  <si>
    <t>204:233017</t>
  </si>
  <si>
    <t>204:233280</t>
  </si>
  <si>
    <t>204:232975</t>
  </si>
  <si>
    <t>204:233314</t>
  </si>
  <si>
    <t>204:233305</t>
  </si>
  <si>
    <t>204:233316</t>
  </si>
  <si>
    <t>204:719</t>
  </si>
  <si>
    <t>204:992</t>
  </si>
  <si>
    <t>300:58963</t>
  </si>
  <si>
    <t>%REDMINEAPIKEY%</t>
  </si>
  <si>
    <t>rtdc.l.rtdc.4036:itc</t>
  </si>
  <si>
    <t>204:232971</t>
  </si>
  <si>
    <t>204:163</t>
  </si>
  <si>
    <t>204:232977</t>
  </si>
  <si>
    <t>204:464</t>
  </si>
  <si>
    <t>204:233295</t>
  </si>
  <si>
    <t>204:232991</t>
  </si>
  <si>
    <t>204:233013</t>
  </si>
  <si>
    <t>204:971</t>
  </si>
  <si>
    <t>300:58615</t>
  </si>
  <si>
    <t>rtdc.l.rtdc.4024:itc</t>
  </si>
  <si>
    <t>rtdc.l.rtdc.4052:itc</t>
  </si>
  <si>
    <t>rtdc.l.rtdc.4051:itc</t>
  </si>
  <si>
    <t>rtdc.l.rtdc.4023:itc</t>
  </si>
  <si>
    <t>rtdc.l.rtdc.4046:itc</t>
  </si>
  <si>
    <t>rtdc.l.rtdc.4016:itc</t>
  </si>
  <si>
    <t>YANG</t>
  </si>
  <si>
    <t>JAN</t>
  </si>
  <si>
    <t>BROWN</t>
  </si>
  <si>
    <t>JACOB</t>
  </si>
  <si>
    <t>GUZMAN</t>
  </si>
  <si>
    <t>DANNY</t>
  </si>
  <si>
    <t>STEWART</t>
  </si>
  <si>
    <t>204:232985</t>
  </si>
  <si>
    <t>204:165</t>
  </si>
  <si>
    <t>204:233347</t>
  </si>
  <si>
    <t>204:233021</t>
  </si>
  <si>
    <t>204:232972</t>
  </si>
  <si>
    <t>204:233303</t>
  </si>
  <si>
    <t>204:232984</t>
  </si>
  <si>
    <t>204:233327</t>
  </si>
  <si>
    <t>204:232994</t>
  </si>
  <si>
    <t>300:23312</t>
  </si>
  <si>
    <t>204:670</t>
  </si>
  <si>
    <t>300:58937</t>
  </si>
  <si>
    <t>204:965</t>
  </si>
  <si>
    <t>204:981</t>
  </si>
  <si>
    <t>300:58960</t>
  </si>
  <si>
    <t>204:939</t>
  </si>
  <si>
    <t>300:58958</t>
  </si>
  <si>
    <t>300:58948</t>
  </si>
  <si>
    <t>300:58943</t>
  </si>
  <si>
    <t>rtdc.l.rtdc.4043:itc</t>
  </si>
  <si>
    <t>rtdc.l.rtdc.4019:itc</t>
  </si>
  <si>
    <t>rtdc.l.rtdc.4035:itc</t>
  </si>
  <si>
    <t>rtdc.l.rtdc.4020:itc</t>
  </si>
  <si>
    <t>309-10</t>
  </si>
  <si>
    <t>rtdc.l.rtdc.4044:itc</t>
  </si>
  <si>
    <t>FORTUNATO</t>
  </si>
  <si>
    <t>FRANK</t>
  </si>
  <si>
    <t>GEBRETEKLE</t>
  </si>
  <si>
    <t>DAGNEW</t>
  </si>
  <si>
    <t>ROMERO</t>
  </si>
  <si>
    <t>CHAD</t>
  </si>
  <si>
    <t>DE LA ROSA</t>
  </si>
  <si>
    <t>ALEX</t>
  </si>
  <si>
    <t>BRUDER</t>
  </si>
  <si>
    <t>RICHARD</t>
  </si>
  <si>
    <t>MOSES</t>
  </si>
  <si>
    <t>BRADLEY</t>
  </si>
  <si>
    <t>NEWELL</t>
  </si>
  <si>
    <t>ZEWDU</t>
  </si>
  <si>
    <t>DEREJE</t>
  </si>
  <si>
    <t>ROBINSON</t>
  </si>
  <si>
    <t>KADDIBA</t>
  </si>
  <si>
    <t>242-10</t>
  </si>
  <si>
    <t>307-10</t>
  </si>
  <si>
    <t>244-10</t>
  </si>
  <si>
    <t>311-10</t>
  </si>
  <si>
    <t>clear-day</t>
  </si>
  <si>
    <t>204:735</t>
  </si>
  <si>
    <t>204:233315</t>
  </si>
  <si>
    <t>204:233284</t>
  </si>
  <si>
    <t>204:170</t>
  </si>
  <si>
    <t>204:442</t>
  </si>
  <si>
    <t>204:233002</t>
  </si>
  <si>
    <t>204:233282</t>
  </si>
  <si>
    <t>204:232965</t>
  </si>
  <si>
    <t>204:233320</t>
  </si>
  <si>
    <t>204:233304</t>
  </si>
  <si>
    <t>204:233006</t>
  </si>
  <si>
    <t>204:232990</t>
  </si>
  <si>
    <t>204:449</t>
  </si>
  <si>
    <t>204:233003</t>
  </si>
  <si>
    <t>204:462</t>
  </si>
  <si>
    <t>204:232982</t>
  </si>
  <si>
    <t>204:491</t>
  </si>
  <si>
    <t>204:233310</t>
  </si>
  <si>
    <t>204:232989</t>
  </si>
  <si>
    <t>204:233321</t>
  </si>
  <si>
    <t>204:232998</t>
  </si>
  <si>
    <t>204:233389</t>
  </si>
  <si>
    <t>204:233334</t>
  </si>
  <si>
    <t>204:233309</t>
  </si>
  <si>
    <t>204:233298</t>
  </si>
  <si>
    <t>204:232996</t>
  </si>
  <si>
    <t>204:233319</t>
  </si>
  <si>
    <t>204:233289</t>
  </si>
  <si>
    <t>204:233393</t>
  </si>
  <si>
    <t>204:232987</t>
  </si>
  <si>
    <t>300:23346</t>
  </si>
  <si>
    <t>204:140</t>
  </si>
  <si>
    <t>204:117</t>
  </si>
  <si>
    <t>204:439</t>
  </si>
  <si>
    <t>300:58672</t>
  </si>
  <si>
    <t>300:58651</t>
  </si>
  <si>
    <t>204:976</t>
  </si>
  <si>
    <t>204:979</t>
  </si>
  <si>
    <t>300:58988</t>
  </si>
  <si>
    <t>204:673</t>
  </si>
  <si>
    <t>300:58655</t>
  </si>
  <si>
    <t>204:675</t>
  </si>
  <si>
    <t>300:58649</t>
  </si>
  <si>
    <t>204:708</t>
  </si>
  <si>
    <t>300:58952</t>
  </si>
  <si>
    <t>300:24237</t>
  </si>
  <si>
    <t>300:28789</t>
  </si>
  <si>
    <t>300:58628</t>
  </si>
  <si>
    <t>start /low /b %USERPROFILE%\Documents\GitHub\eaglep3\Utilities\DownloadLogsFromS3.py --loco 4035 --day 2017-10-11</t>
  </si>
  <si>
    <t>Onboard en route failure</t>
  </si>
  <si>
    <t>rtdc.l.rtdc.4005:itc</t>
  </si>
  <si>
    <t>52-11</t>
  </si>
  <si>
    <t>308-11</t>
  </si>
  <si>
    <t>SIGNAL</t>
  </si>
  <si>
    <t>Signal based authority (5)</t>
  </si>
  <si>
    <t>901-11</t>
  </si>
  <si>
    <t>800-11</t>
  </si>
  <si>
    <t>801-11</t>
  </si>
  <si>
    <t>108-11</t>
  </si>
  <si>
    <t>802-11</t>
  </si>
  <si>
    <t>805-11</t>
  </si>
  <si>
    <t>137-11</t>
  </si>
  <si>
    <t>139-11</t>
  </si>
  <si>
    <t>132-11</t>
  </si>
  <si>
    <t>rtdc.l.rtdc.4001:itc</t>
  </si>
  <si>
    <t>60-11</t>
  </si>
  <si>
    <t>rtdc.l.rtdc.4013:itc</t>
  </si>
  <si>
    <t>144-11</t>
  </si>
  <si>
    <t>62-11</t>
  </si>
  <si>
    <t>rtdc.l.rtdc.4045:itc</t>
  </si>
  <si>
    <t>154-11</t>
  </si>
  <si>
    <t>rtdc.l.rtdc.4015:itc</t>
  </si>
  <si>
    <t>156-11</t>
  </si>
  <si>
    <t>73-11</t>
  </si>
  <si>
    <t>164-11</t>
  </si>
  <si>
    <t>71-11</t>
  </si>
  <si>
    <t>822-11</t>
  </si>
  <si>
    <t>823-11</t>
  </si>
  <si>
    <t>178-11</t>
  </si>
  <si>
    <t>824-11</t>
  </si>
  <si>
    <t>904-11</t>
  </si>
  <si>
    <t>rtdc.l.rtdc.4014:itc</t>
  </si>
  <si>
    <t>199-11</t>
  </si>
  <si>
    <t>835-11</t>
  </si>
  <si>
    <t>208-11</t>
  </si>
  <si>
    <t>836-11</t>
  </si>
  <si>
    <t>839-11</t>
  </si>
  <si>
    <t>845-11</t>
  </si>
  <si>
    <t>844-11</t>
  </si>
  <si>
    <t>rtdc.l.rtdc.4032:itc</t>
  </si>
  <si>
    <t>233-11</t>
  </si>
  <si>
    <t>300-11</t>
  </si>
  <si>
    <t>rtdc.l.rtdc.4006:itc</t>
  </si>
  <si>
    <t>51-11</t>
  </si>
  <si>
    <t>ACKERMAN</t>
  </si>
  <si>
    <t>JARED</t>
  </si>
  <si>
    <t>101-11</t>
  </si>
  <si>
    <t>302-11</t>
  </si>
  <si>
    <t>THOMPSON</t>
  </si>
  <si>
    <t>LESTER</t>
  </si>
  <si>
    <t>53-11</t>
  </si>
  <si>
    <t>54-11</t>
  </si>
  <si>
    <t>103-11</t>
  </si>
  <si>
    <t>rtdc.l.rtdc.4031:itc</t>
  </si>
  <si>
    <t>304-11</t>
  </si>
  <si>
    <t>306-11</t>
  </si>
  <si>
    <t>105-11</t>
  </si>
  <si>
    <t>102-11</t>
  </si>
  <si>
    <t>WENDY</t>
  </si>
  <si>
    <t>107-11</t>
  </si>
  <si>
    <t>109-11</t>
  </si>
  <si>
    <t>104-11</t>
  </si>
  <si>
    <t>310-11</t>
  </si>
  <si>
    <t>LAMAR</t>
  </si>
  <si>
    <t>NEKESHA</t>
  </si>
  <si>
    <t>106-11</t>
  </si>
  <si>
    <t>111-11</t>
  </si>
  <si>
    <t>113-11</t>
  </si>
  <si>
    <t>312-11</t>
  </si>
  <si>
    <t>110-11</t>
  </si>
  <si>
    <t>115-11</t>
  </si>
  <si>
    <t>117-11</t>
  </si>
  <si>
    <t>902-11</t>
  </si>
  <si>
    <t>112-11</t>
  </si>
  <si>
    <t>114-11</t>
  </si>
  <si>
    <t>119-11</t>
  </si>
  <si>
    <t>803-11</t>
  </si>
  <si>
    <t>121-11</t>
  </si>
  <si>
    <t>116-11</t>
  </si>
  <si>
    <t>118-11</t>
  </si>
  <si>
    <t>123-11</t>
  </si>
  <si>
    <t>804-11</t>
  </si>
  <si>
    <t>120-11</t>
  </si>
  <si>
    <t>125-11</t>
  </si>
  <si>
    <t>127-11</t>
  </si>
  <si>
    <t>807-11</t>
  </si>
  <si>
    <t>806-11</t>
  </si>
  <si>
    <t>122-11</t>
  </si>
  <si>
    <t>124-11</t>
  </si>
  <si>
    <t>129-11</t>
  </si>
  <si>
    <t>131-11</t>
  </si>
  <si>
    <t>808-11</t>
  </si>
  <si>
    <t>809-11</t>
  </si>
  <si>
    <t>128-11</t>
  </si>
  <si>
    <t>133-11</t>
  </si>
  <si>
    <t>126-11</t>
  </si>
  <si>
    <t>135-11</t>
  </si>
  <si>
    <t>811-11</t>
  </si>
  <si>
    <t>810-11</t>
  </si>
  <si>
    <t>130-11</t>
  </si>
  <si>
    <t>134-11</t>
  </si>
  <si>
    <t>812-11</t>
  </si>
  <si>
    <t>903-11</t>
  </si>
  <si>
    <t>141-11</t>
  </si>
  <si>
    <t>136-11</t>
  </si>
  <si>
    <t>813-11</t>
  </si>
  <si>
    <t>143-11</t>
  </si>
  <si>
    <t>138-11</t>
  </si>
  <si>
    <t>145-11</t>
  </si>
  <si>
    <t>140-11</t>
  </si>
  <si>
    <t>147-11</t>
  </si>
  <si>
    <t>142-11</t>
  </si>
  <si>
    <t>814-11</t>
  </si>
  <si>
    <t>153-11</t>
  </si>
  <si>
    <t>149-11</t>
  </si>
  <si>
    <t>146-11</t>
  </si>
  <si>
    <t>151-11</t>
  </si>
  <si>
    <t>815-11</t>
  </si>
  <si>
    <t>rtdc.l.rtdc.4002:itc</t>
  </si>
  <si>
    <t>61-11</t>
  </si>
  <si>
    <t>BEAM</t>
  </si>
  <si>
    <t>ROSS</t>
  </si>
  <si>
    <t>148-11</t>
  </si>
  <si>
    <t>155-11</t>
  </si>
  <si>
    <t>816-11</t>
  </si>
  <si>
    <t>59-11</t>
  </si>
  <si>
    <t>HUFFSMITH</t>
  </si>
  <si>
    <t>MONTY</t>
  </si>
  <si>
    <t>150-11</t>
  </si>
  <si>
    <t>157-11</t>
  </si>
  <si>
    <t>152-11</t>
  </si>
  <si>
    <t>159-11</t>
  </si>
  <si>
    <t>817-11</t>
  </si>
  <si>
    <t>161-11</t>
  </si>
  <si>
    <t>63-11</t>
  </si>
  <si>
    <t>163-11</t>
  </si>
  <si>
    <t>818-11</t>
  </si>
  <si>
    <t>158-11</t>
  </si>
  <si>
    <t>165-11</t>
  </si>
  <si>
    <t>64-11</t>
  </si>
  <si>
    <t>DELGADO</t>
  </si>
  <si>
    <t>DIANAH</t>
  </si>
  <si>
    <t>160-11</t>
  </si>
  <si>
    <t>167-11</t>
  </si>
  <si>
    <t>819-11</t>
  </si>
  <si>
    <t>162-11</t>
  </si>
  <si>
    <t>169-11</t>
  </si>
  <si>
    <t>65-11</t>
  </si>
  <si>
    <t>166-11</t>
  </si>
  <si>
    <t>171-11</t>
  </si>
  <si>
    <t>820-11</t>
  </si>
  <si>
    <t>173-11</t>
  </si>
  <si>
    <t>KILLION</t>
  </si>
  <si>
    <t>DAVID</t>
  </si>
  <si>
    <t>72-11</t>
  </si>
  <si>
    <t>81-11</t>
  </si>
  <si>
    <t>168-11</t>
  </si>
  <si>
    <t>175-11</t>
  </si>
  <si>
    <t>821-11</t>
  </si>
  <si>
    <t>170-11</t>
  </si>
  <si>
    <t>177-11</t>
  </si>
  <si>
    <t>179-11</t>
  </si>
  <si>
    <t>172-11</t>
  </si>
  <si>
    <t>174-11</t>
  </si>
  <si>
    <t>181-11</t>
  </si>
  <si>
    <t>183-11</t>
  </si>
  <si>
    <t>176-11</t>
  </si>
  <si>
    <t>70-11</t>
  </si>
  <si>
    <t>180-11</t>
  </si>
  <si>
    <t>185-11</t>
  </si>
  <si>
    <t>187-11</t>
  </si>
  <si>
    <t>189-11</t>
  </si>
  <si>
    <t>184-11</t>
  </si>
  <si>
    <t>182-11</t>
  </si>
  <si>
    <t>191-11</t>
  </si>
  <si>
    <t>825-11</t>
  </si>
  <si>
    <t>186-11</t>
  </si>
  <si>
    <t>193-11</t>
  </si>
  <si>
    <t>188-11</t>
  </si>
  <si>
    <t>826-11</t>
  </si>
  <si>
    <t>195-11</t>
  </si>
  <si>
    <t>827-11</t>
  </si>
  <si>
    <t>197-11</t>
  </si>
  <si>
    <t>190-11</t>
  </si>
  <si>
    <t>194-11</t>
  </si>
  <si>
    <t>192-11</t>
  </si>
  <si>
    <t>828-11</t>
  </si>
  <si>
    <t>829-11</t>
  </si>
  <si>
    <t>201-11</t>
  </si>
  <si>
    <t>196-11</t>
  </si>
  <si>
    <t>203-11</t>
  </si>
  <si>
    <t>198-11</t>
  </si>
  <si>
    <t>830-11</t>
  </si>
  <si>
    <t>831-11</t>
  </si>
  <si>
    <t>205-11</t>
  </si>
  <si>
    <t>75-11</t>
  </si>
  <si>
    <t>207-11</t>
  </si>
  <si>
    <t>200-11</t>
  </si>
  <si>
    <t>832-11</t>
  </si>
  <si>
    <t>833-11</t>
  </si>
  <si>
    <t>202-11</t>
  </si>
  <si>
    <t>209-11</t>
  </si>
  <si>
    <t>77-11</t>
  </si>
  <si>
    <t>204-11</t>
  </si>
  <si>
    <t>211-11</t>
  </si>
  <si>
    <t>834-11</t>
  </si>
  <si>
    <t>206-11</t>
  </si>
  <si>
    <t>213-11</t>
  </si>
  <si>
    <t>215-11</t>
  </si>
  <si>
    <t>210-11</t>
  </si>
  <si>
    <t>837-11</t>
  </si>
  <si>
    <t>74-11</t>
  </si>
  <si>
    <t>212-11</t>
  </si>
  <si>
    <t>217-11</t>
  </si>
  <si>
    <t>219-11</t>
  </si>
  <si>
    <t>LOPES</t>
  </si>
  <si>
    <t>KIMBERLY</t>
  </si>
  <si>
    <t>838-11</t>
  </si>
  <si>
    <t>214-11</t>
  </si>
  <si>
    <t>301-11</t>
  </si>
  <si>
    <t>216-11</t>
  </si>
  <si>
    <t>221-11</t>
  </si>
  <si>
    <t>906-11</t>
  </si>
  <si>
    <t>841-11</t>
  </si>
  <si>
    <t>218-11</t>
  </si>
  <si>
    <t>303-11</t>
  </si>
  <si>
    <t>220-11</t>
  </si>
  <si>
    <t>223-11</t>
  </si>
  <si>
    <t>840-11</t>
  </si>
  <si>
    <t>305-11</t>
  </si>
  <si>
    <t>222-11</t>
  </si>
  <si>
    <t>225-11</t>
  </si>
  <si>
    <t>843-11</t>
  </si>
  <si>
    <t>224-11</t>
  </si>
  <si>
    <t>227-11</t>
  </si>
  <si>
    <t>842-11</t>
  </si>
  <si>
    <t>226-11</t>
  </si>
  <si>
    <t>229-11</t>
  </si>
  <si>
    <t>231-11</t>
  </si>
  <si>
    <t>228-11</t>
  </si>
  <si>
    <t>230-11</t>
  </si>
  <si>
    <t>847-11</t>
  </si>
  <si>
    <t>235-11</t>
  </si>
  <si>
    <t>232-11</t>
  </si>
  <si>
    <t>846-11</t>
  </si>
  <si>
    <t>234-11</t>
  </si>
  <si>
    <t>237-11</t>
  </si>
  <si>
    <t>849-11</t>
  </si>
  <si>
    <t>236-11</t>
  </si>
  <si>
    <t>239-11</t>
  </si>
  <si>
    <t>908-11</t>
  </si>
  <si>
    <t>238-11</t>
  </si>
  <si>
    <t>241-11</t>
  </si>
  <si>
    <t>240-11</t>
  </si>
  <si>
    <t>243-11</t>
  </si>
  <si>
    <t>313-11</t>
  </si>
  <si>
    <t>88-11</t>
  </si>
  <si>
    <t>89-11</t>
  </si>
  <si>
    <t>242-11</t>
  </si>
  <si>
    <t>307-11</t>
  </si>
  <si>
    <t>244-11</t>
  </si>
  <si>
    <t>309-11</t>
  </si>
  <si>
    <t>311-11</t>
  </si>
  <si>
    <t>300-12</t>
  </si>
  <si>
    <t>204:180</t>
  </si>
  <si>
    <t>204:438</t>
  </si>
  <si>
    <t>204:174</t>
  </si>
  <si>
    <t>204:233272</t>
  </si>
  <si>
    <t>204:129</t>
  </si>
  <si>
    <t>204:233301</t>
  </si>
  <si>
    <t>204:232963</t>
  </si>
  <si>
    <t>204:233042</t>
  </si>
  <si>
    <t>204:138</t>
  </si>
  <si>
    <t>204:233293</t>
  </si>
  <si>
    <t>204:232978</t>
  </si>
  <si>
    <t>204:233324</t>
  </si>
  <si>
    <t>204:440</t>
  </si>
  <si>
    <t>204:137</t>
  </si>
  <si>
    <t>204:231</t>
  </si>
  <si>
    <t>204:233011</t>
  </si>
  <si>
    <t>204:564</t>
  </si>
  <si>
    <t>204:486</t>
  </si>
  <si>
    <t>204:529</t>
  </si>
  <si>
    <t>204:191</t>
  </si>
  <si>
    <t>204:233278</t>
  </si>
  <si>
    <t>204:233351</t>
  </si>
  <si>
    <t>204:233043</t>
  </si>
  <si>
    <t>204:427</t>
  </si>
  <si>
    <t>204:233048</t>
  </si>
  <si>
    <t>204:233331</t>
  </si>
  <si>
    <t>204:233055</t>
  </si>
  <si>
    <t>204:484</t>
  </si>
  <si>
    <t>204:233261</t>
  </si>
  <si>
    <t>204:232967</t>
  </si>
  <si>
    <t>204:233019</t>
  </si>
  <si>
    <t>204:233363</t>
  </si>
  <si>
    <t>204:233047</t>
  </si>
  <si>
    <t>204:169</t>
  </si>
  <si>
    <t>204:444</t>
  </si>
  <si>
    <t>204:233076</t>
  </si>
  <si>
    <t>204:233368</t>
  </si>
  <si>
    <t>204:233036</t>
  </si>
  <si>
    <t>204:233374</t>
  </si>
  <si>
    <t>204:127869</t>
  </si>
  <si>
    <t>204:233355</t>
  </si>
  <si>
    <t>204:86354</t>
  </si>
  <si>
    <t>204:488</t>
  </si>
  <si>
    <t>204:233397</t>
  </si>
  <si>
    <t>204:233069</t>
  </si>
  <si>
    <t>300:23160</t>
  </si>
  <si>
    <t>300:23459</t>
  </si>
  <si>
    <t>300:23301</t>
  </si>
  <si>
    <t>300:23143</t>
  </si>
  <si>
    <t>204:480</t>
  </si>
  <si>
    <t>300:23497</t>
  </si>
  <si>
    <t>300:22518</t>
  </si>
  <si>
    <t>300:21771</t>
  </si>
  <si>
    <t>204:477</t>
  </si>
  <si>
    <t>300:23489</t>
  </si>
  <si>
    <t>300:23538</t>
  </si>
  <si>
    <t>204:433</t>
  </si>
  <si>
    <t>300:23308</t>
  </si>
  <si>
    <t>204:3501</t>
  </si>
  <si>
    <t>204:3181</t>
  </si>
  <si>
    <t>204:875</t>
  </si>
  <si>
    <t>204:1181</t>
  </si>
  <si>
    <t>300:5353</t>
  </si>
  <si>
    <t>204:3007</t>
  </si>
  <si>
    <t>204:1481</t>
  </si>
  <si>
    <t>204:3370</t>
  </si>
  <si>
    <t>300:23154</t>
  </si>
  <si>
    <t>204:911</t>
  </si>
  <si>
    <t>204:1229</t>
  </si>
  <si>
    <t>300:23478</t>
  </si>
  <si>
    <t>204:1090</t>
  </si>
  <si>
    <t>300:24207</t>
  </si>
  <si>
    <t>300:22737</t>
  </si>
  <si>
    <t>204:874</t>
  </si>
  <si>
    <t>204:1190</t>
  </si>
  <si>
    <t>300:24246</t>
  </si>
  <si>
    <t>300:112187</t>
  </si>
  <si>
    <t>204:146</t>
  </si>
  <si>
    <t>300:112260</t>
  </si>
  <si>
    <t>300:39068</t>
  </si>
  <si>
    <t>300:112178</t>
  </si>
  <si>
    <t>300:39062</t>
  </si>
  <si>
    <t>300:112185</t>
  </si>
  <si>
    <t>300:28797</t>
  </si>
  <si>
    <t>300:29275</t>
  </si>
  <si>
    <t>300:32951</t>
  </si>
  <si>
    <t>300:32941</t>
  </si>
  <si>
    <t>300:112502</t>
  </si>
  <si>
    <t>300:112496</t>
  </si>
  <si>
    <t>300:39389</t>
  </si>
  <si>
    <t>300:112507</t>
  </si>
  <si>
    <t>300:112189</t>
  </si>
  <si>
    <t>300:28713</t>
  </si>
  <si>
    <t>300:29775</t>
  </si>
  <si>
    <t>300:112517</t>
  </si>
  <si>
    <t>300:22741</t>
  </si>
  <si>
    <t>204:1035</t>
  </si>
  <si>
    <t>204:1162</t>
  </si>
  <si>
    <t>204:638</t>
  </si>
  <si>
    <t>300:58678</t>
  </si>
  <si>
    <t>204:633</t>
  </si>
  <si>
    <t>204:997</t>
  </si>
  <si>
    <t>300:58961</t>
  </si>
  <si>
    <t>204:734</t>
  </si>
  <si>
    <t>204:927</t>
  </si>
  <si>
    <t>300:57259</t>
  </si>
  <si>
    <t>204:696</t>
  </si>
  <si>
    <t>204:1004</t>
  </si>
  <si>
    <t>300:58653</t>
  </si>
  <si>
    <t>204:703</t>
  </si>
  <si>
    <t>300:5358</t>
  </si>
  <si>
    <t>204:1154</t>
  </si>
  <si>
    <t>300:5657</t>
  </si>
  <si>
    <t>300:58677</t>
  </si>
  <si>
    <t>204:1000</t>
  </si>
  <si>
    <t>300:58965</t>
  </si>
  <si>
    <t>300:58647</t>
  </si>
  <si>
    <t>204:705</t>
  </si>
  <si>
    <t>300:58973</t>
  </si>
  <si>
    <t>204:1020</t>
  </si>
  <si>
    <t>300:58611</t>
  </si>
  <si>
    <t>300:58967</t>
  </si>
  <si>
    <t>204:715</t>
  </si>
  <si>
    <t>204:962</t>
  </si>
  <si>
    <t>204:4574</t>
  </si>
  <si>
    <t>204:1963</t>
  </si>
  <si>
    <t>204:4788</t>
  </si>
  <si>
    <t>204:4707</t>
  </si>
  <si>
    <t>204:986</t>
  </si>
  <si>
    <t>300:58975</t>
  </si>
  <si>
    <t>204:692</t>
  </si>
  <si>
    <t>204:897</t>
  </si>
  <si>
    <t>300:58664</t>
  </si>
  <si>
    <t>300:58969</t>
  </si>
  <si>
    <t>300:58640</t>
  </si>
  <si>
    <t>204:687</t>
  </si>
  <si>
    <t>300:58656</t>
  </si>
  <si>
    <t>204:920</t>
  </si>
  <si>
    <t>300:58935</t>
  </si>
  <si>
    <t>300:58623</t>
  </si>
  <si>
    <t>300:58645</t>
  </si>
  <si>
    <t>204:699</t>
  </si>
  <si>
    <t>300:58954</t>
  </si>
  <si>
    <t>204:701</t>
  </si>
  <si>
    <t>300:58658</t>
  </si>
  <si>
    <t>204:1002</t>
  </si>
  <si>
    <t>300:58643</t>
  </si>
  <si>
    <t>300:58448</t>
  </si>
  <si>
    <t>300:58456</t>
  </si>
  <si>
    <t>204:1879</t>
  </si>
  <si>
    <t>204:1880</t>
  </si>
  <si>
    <t>204:423</t>
  </si>
  <si>
    <t>204:403</t>
  </si>
  <si>
    <t>300:4983</t>
  </si>
  <si>
    <t>204:919</t>
  </si>
  <si>
    <t>300:29989</t>
  </si>
  <si>
    <t>300:23563</t>
  </si>
  <si>
    <t>204:1775</t>
  </si>
  <si>
    <t>300:24199</t>
  </si>
  <si>
    <t>300:23731</t>
  </si>
  <si>
    <t>204:4697</t>
  </si>
  <si>
    <t>300:28795</t>
  </si>
  <si>
    <t>300:58634</t>
  </si>
  <si>
    <t>start /low /b %USERPROFILE%\Documents\GitHub\eaglep3\Utilities\DownloadLogsFromS3.py --loco 4045 --day 2017-10-11</t>
  </si>
  <si>
    <t>start /low /b %USERPROFILE%\Documents\GitHub\eaglep3\Utilities\DownloadLogsFromS3.py --loco 4013 --day 2017-10-11</t>
  </si>
  <si>
    <t>start /low /b %USERPROFILE%\Documents\GitHub\eaglep3\Utilities\DownloadLogsFromS3.py --loco 4043 --day 2017-10-11</t>
  </si>
  <si>
    <t>start /low /b %USERPROFILE%\Documents\GitHub\eaglep3\Utilities\DownloadLogsFromS3.py --loco 4063 --day 2017-10-11</t>
  </si>
  <si>
    <t>start /low /b %USERPROFILE%\Documents\GitHub\eaglep3\Utilities\DownloadLogsFromS3.py --loco 4064 --day 2017-10-11</t>
  </si>
  <si>
    <t>start /low /b %USERPROFILE%\Documents\GitHub\eaglep3\Utilities\DownloadLogsFromS3.py --loco 4018 --day 2017-10-11</t>
  </si>
  <si>
    <t>start /low /b %USERPROFILE%\Documents\GitHub\eaglep3\Utilities\DownloadLogsFromS3.py --loco 4017 --day 2017-10-12</t>
  </si>
  <si>
    <t>start /low /b %USERPROFILE%\Documents\GitHub\eaglep3\Utilities\DownloadLogsFromS3.py --loco 4046 --day 2017-10-11</t>
  </si>
  <si>
    <t>start /low /b %USERPROFILE%\Documents\GitHub\eaglep3\Utilities\DownloadLogsFromS3.py --loco 4032 --day 2017-10-12</t>
  </si>
  <si>
    <t>start /low /b %USERPROFILE%\Documents\GitHub\eaglep3\Utilities\DownloadLogsFromS3.py --loco 4023 --day 2017-10-11</t>
  </si>
  <si>
    <t>start /low /b %USERPROFILE%\Documents\GitHub\eaglep3\Utilities\DownloadLogsFromS3.py --loco 4015 --day 2017-10-11</t>
  </si>
  <si>
    <t>start /low /b %USERPROFILE%\Documents\GitHub\eaglep3\Utilities\DownloadLogsFromS3.py --loco 4014 --day 2017-10-11</t>
  </si>
  <si>
    <t>start /low /b %USERPROFILE%\Documents\GitHub\eaglep3\Utilities\DownloadLogsFromS3.py --loco 4064 --day 2017-10-12</t>
  </si>
  <si>
    <t>start /low /b %USERPROFILE%\Documents\GitHub\eaglep3\Utilities\DownloadLogsFromS3.py --loco 4063 --day 2017-10-12</t>
  </si>
  <si>
    <t>start /low /b %USERPROFILE%\Documents\GitHub\eaglep3\Utilities\DownloadLogsFromS3.py --loco 4043 --day 2017-10-12</t>
  </si>
  <si>
    <t>start /low /b %USERPROFILE%\Documents\GitHub\eaglep3\Utilities\DownloadLogsFromS3.py --loco 4044 --day 2017-10-11</t>
  </si>
  <si>
    <t>start /low /b %USERPROFILE%\Documents\GitHub\eaglep3\Utilities\DownloadLogsFromS3.py --loco 4044 --day 2017-10-12</t>
  </si>
  <si>
    <t>Minor onboard en route failure during init, re-init successful</t>
  </si>
  <si>
    <t>Poor GPS under Wewatta St. overpass</t>
  </si>
  <si>
    <t>Went active too close to Signal 2S at S. Westminster</t>
  </si>
  <si>
    <t>Poor GPS at DUS</t>
  </si>
  <si>
    <t>Unhealthy crossing banner at Chambers due to train stop at 40th\</t>
  </si>
  <si>
    <t>Observed Wi-MAX data drop, unhealthy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</si>
</sst>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73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=""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69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43019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43019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COUNTIFS($N$13:$N$9412,"&gt;0",$AG$13:$AG$9412,I1)</f>
        <v>142</v>
      </c>
      <c r="K5" s="39"/>
      <c r="L5" s="172"/>
      <c r="M5" s="40">
        <f>AVERAGEIFS($N$13:$N$9412,$AG$13:$AG$9412,I1)</f>
        <v>36.935798122078623</v>
      </c>
      <c r="N5" s="38">
        <f t="array" ref="N5">MIN(IF($AG$13:$AG$9412=I1,IF(ISNUMBER($N$13:$N$9412),IF($N$13:$N$9412&gt;0,$N$13:$N$9412))))</f>
        <v>34.066666667349637</v>
      </c>
      <c r="O5" s="3">
        <f t="array" ref="O5">MAX(IF($AG$13:$AG$9412=I1,IF(ISNUMBER($N$13:$N$9412),IF($N$13:$N$9412&gt;0,$N$13:$N$9412))))</f>
        <v>41.016666668001562</v>
      </c>
      <c r="P5" s="2"/>
      <c r="R5" s="163" t="s">
        <v>17</v>
      </c>
      <c r="S5" s="207">
        <f>COUNTIFS($N$13:$N$9412,"&gt;0",$AG$13:$AG$9412,R1)</f>
        <v>48</v>
      </c>
      <c r="T5" s="172"/>
      <c r="U5" s="195"/>
      <c r="V5" s="211">
        <f>AVERAGEIFS($N$13:$N$9412,$AG$13:$AG$9412,R1)</f>
        <v>14.246180555492174</v>
      </c>
      <c r="W5" s="212">
        <f t="array" ref="W5">MIN(IF($AG$13:$AG$9412=R1,IF(ISNUMBER($N$13:$N$9412),IF($N$13:$N$9412&gt;0,$N$13:$N$9412))))</f>
        <v>10.31666666851379</v>
      </c>
      <c r="X5" s="200">
        <f t="array" ref="X5">MAX(IF($AG$13:$AG$9412=R1,IF(ISNUMBER($N$13:$N$9412),IF($N$13:$N$9412&gt;0,$N$13:$N$9412))))</f>
        <v>23.816666660131887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COUNT($O$13:$O$174)</f>
        <v>0</v>
      </c>
      <c r="K6" s="39"/>
      <c r="L6" s="172"/>
      <c r="M6" s="40">
        <f>IFERROR(AVERAGE($O$13:$O$174),0)</f>
        <v>0</v>
      </c>
      <c r="N6" s="38">
        <f>MIN($O$13:$O$174)</f>
        <v>0</v>
      </c>
      <c r="O6" s="3">
        <f>MAX($O$13:$O$174)</f>
        <v>0</v>
      </c>
      <c r="P6" s="2"/>
      <c r="R6" s="164" t="s">
        <v>43</v>
      </c>
      <c r="S6" s="207">
        <f>COUNT($O$13:$O$174)</f>
        <v>0</v>
      </c>
      <c r="T6" s="172"/>
      <c r="U6" s="195"/>
      <c r="V6" s="211">
        <f>IFERROR(AVERAGE($O$13:$O$174),0)</f>
        <v>0</v>
      </c>
      <c r="W6" s="212">
        <f>MIN($O$13:$O$174)</f>
        <v>0</v>
      </c>
      <c r="X6" s="200">
        <f>MAX($O$13:$O$174)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COUNTIFS($P$13:$P$9412,"&gt;0",$AG$13:$AG$9412,I1)</f>
        <v>2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COUNTIFS($P$13:$P$9412,"&gt;0",$AG$13:$AG$9412,R1)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36.935798122078623</v>
      </c>
      <c r="N8" s="38">
        <f>N5</f>
        <v>34.066666667349637</v>
      </c>
      <c r="O8" s="3">
        <f>O5</f>
        <v>41.016666668001562</v>
      </c>
      <c r="P8" s="2"/>
      <c r="R8" s="163" t="s">
        <v>16</v>
      </c>
      <c r="S8" s="207">
        <f>S5</f>
        <v>48</v>
      </c>
      <c r="T8" s="172"/>
      <c r="U8" s="195"/>
      <c r="V8" s="211">
        <f>V5</f>
        <v>14.246180555492174</v>
      </c>
      <c r="W8" s="212">
        <f>W5</f>
        <v>10.31666666851379</v>
      </c>
      <c r="X8" s="200">
        <f>X5</f>
        <v>23.816666660131887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5" t="str">
        <f>"Eagle P3 System Performance - "&amp;TEXT(Variables!A2,"yyyy-mm-dd")</f>
        <v>Eagle P3 System Performance - 2017-10-11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AVERAGE(S13:S110)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616</v>
      </c>
      <c r="B13" s="7">
        <v>4046</v>
      </c>
      <c r="C13" s="21" t="s">
        <v>194</v>
      </c>
      <c r="D13" s="21" t="s">
        <v>520</v>
      </c>
      <c r="E13" s="13">
        <v>43019.133229166669</v>
      </c>
      <c r="F13" s="13">
        <v>43019.13559027778</v>
      </c>
      <c r="G13" s="7">
        <v>70</v>
      </c>
      <c r="H13" s="21" t="s">
        <v>413</v>
      </c>
      <c r="I13" s="13">
        <v>43019.16</v>
      </c>
      <c r="J13" s="7">
        <v>0</v>
      </c>
      <c r="K13" s="89" t="str">
        <f>IF(ISEVEN(B13),(B13-1)&amp;"/"&amp;B13,B13&amp;"/"&amp;(B13+1))</f>
        <v>4045/4046</v>
      </c>
      <c r="L13" s="185" t="str">
        <f>VLOOKUP(A13,'Trips&amp;Operators'!$C$1:$G$99911,5,FALSE)</f>
        <v>ROCHA YAOTL</v>
      </c>
      <c r="M13" s="6">
        <f>I13-F13</f>
        <v>2.4409722223936114E-2</v>
      </c>
      <c r="N13" s="7">
        <f>24*60*SUM($M13:$M13)</f>
        <v>35.150000002468005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-11T02:11:51-0600',mode:absolute,to:'2017-10-11T04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7.3499999999999996E-2</v>
      </c>
      <c r="Z13" s="204">
        <f>RIGHT(H13,LEN(H13)-4)/10000</f>
        <v>23.3325</v>
      </c>
      <c r="AA13" s="204">
        <f>ABS(Z13-Y13)</f>
        <v>23.259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/stypes="app*4046*20171011*"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4046 --swversion DE.1.0.9.0 --startMP 204:735 --initTime 2017-10-11T03:11:51 --startdatetime 2017-10-11T03:15:15 --delay 70 --endMP 204:233325 --enddatetime 2017-10-11T03:50:24 --enforcementcount 0 &gt;&gt;%USERPROFILE%\Documents\GitHub\eaglep3-reporting\EC\2017-10-11-refined-times.txt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{"issue":{"subject":"","project_id":79,"tracker_id":40,"status_id":1,"priority_id":2,"assigned_to_id":338,"start_date":"2017-10-11","description":"","custom_fields":[{"id":1,"name":"Subdivision","value":"EC"},{"id":4,"name":"Milepost","value":"23.3325"},{"id":17,"name":"Train ID","value":"101-11"},{"id":16,"name":"Locomotive ID","value":"4046"},{"id":130,"name":"Impact","value":""},{"id":150,"name":"Time of Event (Mountain Time)","value":"03:50:24"},{"id":151,"name":"Denver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4046 --day 2017-10-11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09:50:24"},{"id":29,"name":"Sharepoint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-11T02:11:51-0600',mode:absolute,to:'2017-10-11T04:50:24-0600'))&amp;_a=(columns:!('Message%20ID',Summary),filters:!(),index:'emp_*',interval:auto,query:(query_string:(analyze_wildcard:!t,query:'%22rtdc.l.rtdc.4046%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627</v>
      </c>
      <c r="B14" s="7">
        <v>4045</v>
      </c>
      <c r="C14" s="21" t="s">
        <v>194</v>
      </c>
      <c r="D14" s="21" t="s">
        <v>530</v>
      </c>
      <c r="E14" s="13">
        <v>43019.174004629633</v>
      </c>
      <c r="F14" s="13">
        <v>43019.175312500003</v>
      </c>
      <c r="G14" s="7">
        <v>55</v>
      </c>
      <c r="H14" s="21" t="s">
        <v>358</v>
      </c>
      <c r="I14" s="13">
        <v>43019.201192129629</v>
      </c>
      <c r="J14" s="7">
        <v>0</v>
      </c>
      <c r="K14" s="89" t="str">
        <f>IF(ISEVEN(B14),(B14-1)&amp;"/"&amp;B14,B14&amp;"/"&amp;(B14+1))</f>
        <v>4045/4046</v>
      </c>
      <c r="L14" s="185" t="str">
        <f>VLOOKUP(A14,'Trips&amp;Operators'!$C$1:$G$99911,5,FALSE)</f>
        <v>ROCHA YAOTL</v>
      </c>
      <c r="M14" s="6">
        <f>I14-F14</f>
        <v>2.5879629625706002E-2</v>
      </c>
      <c r="N14" s="7">
        <f>24*60*SUM($M14:$M14)</f>
        <v>37.266666661016643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-11T03:10:34-0600',mode:absolute,to:'2017-10-11T05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23.300599999999999</v>
      </c>
      <c r="Z14" s="204">
        <f>RIGHT(H14,LEN(H14)-4)/10000</f>
        <v>1.5599999999999999E-2</v>
      </c>
      <c r="AA14" s="204">
        <f>ABS(Z14-Y14)</f>
        <v>23.285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/stypes="app*4045*20171011*"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4045 --swversion DE.1.0.9.0 --startMP 204:233006 --initTime 2017-10-11T04:10:34 --startdatetime 2017-10-11T04:12:27 --delay 55 --endMP 204:156 --enddatetime 2017-10-11T04:49:43 --enforcementcount 0 &gt;&gt;%USERPROFILE%\Documents\GitHub\eaglep3-reporting\EC\2017-10-11-refined-times.txt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{"issue":{"subject":"","project_id":79,"tracker_id":40,"status_id":1,"priority_id":2,"assigned_to_id":338,"start_date":"2017-10-11","description":"","custom_fields":[{"id":1,"name":"Subdivision","value":"EC"},{"id":4,"name":"Milepost","value":"0.0156"},{"id":17,"name":"Train ID","value":"102-11"},{"id":16,"name":"Locomotive ID","value":"4045"},{"id":130,"name":"Impact","value":""},{"id":150,"name":"Time of Event (Mountain Time)","value":"04:49:43"},{"id":151,"name":"Denver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4045 --day 2017-10-11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10:49:43"},{"id":29,"name":"Sharepoint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-11T03:10:34-0600',mode:absolute,to:'2017-10-11T05:49:43-0600'))&amp;_a=(columns:!('Message%20ID',Summary),filters:!(),index:'emp_*',interval:auto,query:(query_string:(analyze_wildcard:!t,query:'%22rtdc.l.rtdc.4045%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622</v>
      </c>
      <c r="B15" s="7">
        <v>4014</v>
      </c>
      <c r="C15" s="21" t="s">
        <v>194</v>
      </c>
      <c r="D15" s="21" t="s">
        <v>370</v>
      </c>
      <c r="E15" s="13">
        <v>43019.154189814813</v>
      </c>
      <c r="F15" s="13">
        <v>43019.156608796293</v>
      </c>
      <c r="G15" s="7">
        <v>81</v>
      </c>
      <c r="H15" s="21" t="s">
        <v>443</v>
      </c>
      <c r="I15" s="13">
        <v>43019.181863425925</v>
      </c>
      <c r="J15" s="7">
        <v>0</v>
      </c>
      <c r="K15" s="89" t="str">
        <f>IF(ISEVEN(B15),(B15-1)&amp;"/"&amp;B15,B15&amp;"/"&amp;(B15+1))</f>
        <v>4013/4014</v>
      </c>
      <c r="L15" s="185" t="str">
        <f>VLOOKUP(A15,'Trips&amp;Operators'!$C$1:$G$99911,5,FALSE)</f>
        <v>THOMPSON LESTER</v>
      </c>
      <c r="M15" s="6">
        <f>I15-F15</f>
        <v>2.5254629632399883E-2</v>
      </c>
      <c r="N15" s="7">
        <f>24*60*SUM($M15:$M15)</f>
        <v>36.366666670655832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-11T02:42:02-0600',mode:absolute,to:'2017-10-11T05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4.5100000000000001E-2</v>
      </c>
      <c r="Z15" s="204">
        <f>RIGHT(H15,LEN(H15)-4)/10000</f>
        <v>23.331399999999999</v>
      </c>
      <c r="AA15" s="204">
        <f>ABS(Z15-Y15)</f>
        <v>23.286299999999997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/stypes="app*4014*20171011*"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103-11 --locoid 4014 --swversion DE.1.0.9.0 --startMP 204:451 --initTime 2017-10-11T03:42:02 --startdatetime 2017-10-11T03:45:31 --delay 81 --endMP 204:233314 --enddatetime 2017-10-11T04:21:53 --enforcementcount 0 &gt;&gt;%USERPROFILE%\Documents\GitHub\eaglep3-reporting\EC\2017-10-11-refined-times.txt</v>
      </c>
      <c r="AI15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{"issue":{"subject":"","project_id":79,"tracker_id":40,"status_id":1,"priority_id":2,"assigned_to_id":338,"start_date":"2017-10-11","description":"","custom_fields":[{"id":1,"name":"Subdivision","value":"EC"},{"id":4,"name":"Milepost","value":"23.3314"},{"id":17,"name":"Train ID","value":"103-11"},{"id":16,"name":"Locomotive ID","value":"4014"},{"id":130,"name":"Impact","value":""},{"id":150,"name":"Time of Event (Mountain Time)","value":"04:21:53"},{"id":151,"name":"Denver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4014 --day 2017-10-11</v>
      </c>
      <c r="AN15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10:21:53"},{"id":29,"name":"Sharepoint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-11T02:42:02-0600',mode:absolute,to:'2017-10-11T05:21:53-0600'))&amp;_a=(columns:!('Message%20ID',Summary),filters:!(),index:'emp_*',interval:auto,query:(query_string:(analyze_wildcard:!t,query:'%22rtdc.l.rtdc.4014%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631</v>
      </c>
      <c r="B16" s="7">
        <v>4013</v>
      </c>
      <c r="C16" s="21" t="s">
        <v>194</v>
      </c>
      <c r="D16" s="21" t="s">
        <v>549</v>
      </c>
      <c r="E16" s="13">
        <v>43019.193842592591</v>
      </c>
      <c r="F16" s="13">
        <v>43019.196168981478</v>
      </c>
      <c r="G16" s="7">
        <v>63</v>
      </c>
      <c r="H16" s="21" t="s">
        <v>336</v>
      </c>
      <c r="I16" s="13">
        <v>43019.223321759258</v>
      </c>
      <c r="J16" s="7">
        <v>0</v>
      </c>
      <c r="K16" s="89" t="str">
        <f>IF(ISEVEN(B16),(B16-1)&amp;"/"&amp;B16,B16&amp;"/"&amp;(B16+1))</f>
        <v>4013/4014</v>
      </c>
      <c r="L16" s="185" t="str">
        <f>VLOOKUP(A16,'Trips&amp;Operators'!$C$1:$G$99911,5,FALSE)</f>
        <v>THOMPSON LESTER</v>
      </c>
      <c r="M16" s="6">
        <f>I16-F16</f>
        <v>2.715277778042946E-2</v>
      </c>
      <c r="N16" s="7">
        <f>24*60*SUM($M16:$M16)</f>
        <v>39.100000003818423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-11T03:39:08-0600',mode:absolute,to:'2017-10-11T06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23.2987</v>
      </c>
      <c r="Z16" s="204">
        <f>RIGHT(H16,LEN(H16)-4)/10000</f>
        <v>1.49E-2</v>
      </c>
      <c r="AA16" s="204">
        <f>ABS(Z16-Y16)</f>
        <v>23.283799999999999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/stypes="app*4013*20171011*"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104-11 --locoid 4013 --swversion DE.1.0.9.0 --startMP 204:232987 --initTime 2017-10-11T04:39:08 --startdatetime 2017-10-11T04:42:29 --delay 63 --endMP 204:149 --enddatetime 2017-10-11T05:21:35 --enforcementcount 0 &gt;&gt;%USERPROFILE%\Documents\GitHub\eaglep3-reporting\EC\2017-10-11-refined-times.txt</v>
      </c>
      <c r="AI16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{"issue":{"subject":"","project_id":79,"tracker_id":40,"status_id":1,"priority_id":2,"assigned_to_id":338,"start_date":"2017-10-11","description":"","custom_fields":[{"id":1,"name":"Subdivision","value":"EC"},{"id":4,"name":"Milepost","value":"0.0149"},{"id":17,"name":"Train ID","value":"104-11"},{"id":16,"name":"Locomotive ID","value":"4013"},{"id":130,"name":"Impact","value":""},{"id":150,"name":"Time of Event (Mountain Time)","value":"05:21:35"},{"id":151,"name":"Denver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4013 --day 2017-10-11</v>
      </c>
      <c r="AN16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-11T03:39:08-0600',mode:absolute,to:'2017-10-11T06:21:35-0600'))&amp;_a=(columns:!('Message%20ID',Summary),filters:!(),index:'emp_*',interval:auto,query:(query_string:(analyze_wildcard:!t,query:'%22rtdc.l.rtdc.4013%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626</v>
      </c>
      <c r="B17" s="7">
        <v>4032</v>
      </c>
      <c r="C17" s="21" t="s">
        <v>194</v>
      </c>
      <c r="D17" s="21" t="s">
        <v>380</v>
      </c>
      <c r="E17" s="13">
        <v>43019.170381944445</v>
      </c>
      <c r="F17" s="13">
        <v>43019.177511574075</v>
      </c>
      <c r="G17" s="7">
        <v>56</v>
      </c>
      <c r="H17" s="21" t="s">
        <v>439</v>
      </c>
      <c r="I17" s="13">
        <v>43019.201863425929</v>
      </c>
      <c r="J17" s="7">
        <v>0</v>
      </c>
      <c r="K17" s="89" t="str">
        <f>IF(ISEVEN(B17),(B17-1)&amp;"/"&amp;B17,B17&amp;"/"&amp;(B17+1))</f>
        <v>4031/4032</v>
      </c>
      <c r="L17" s="185" t="str">
        <f>VLOOKUP(A17,'Trips&amp;Operators'!$C$1:$G$99911,5,FALSE)</f>
        <v>YORK EDGAR</v>
      </c>
      <c r="M17" s="6">
        <f>I17-F17</f>
        <v>2.4351851854589768E-2</v>
      </c>
      <c r="N17" s="7">
        <f>24*60*SUM($M17:$M17)</f>
        <v>35.066666670609266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-11T03:05:21-0600',mode:absolute,to:'2017-10-11T05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4.5699999999999998E-2</v>
      </c>
      <c r="Z17" s="204">
        <f>RIGHT(H17,LEN(H17)-4)/10000</f>
        <v>23.3306</v>
      </c>
      <c r="AA17" s="204">
        <f>ABS(Z17-Y17)</f>
        <v>23.2849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/stypes="app*4032*20171011*"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105-11 --locoid 4032 --swversion DE.1.0.9.0 --startMP 204:457 --initTime 2017-10-11T04:05:21 --startdatetime 2017-10-11T04:15:37 --delay 56 --endMP 204:233306 --enddatetime 2017-10-11T04:50:41 --enforcementcount 0 &gt;&gt;%USERPROFILE%\Documents\GitHub\eaglep3-reporting\EC\2017-10-11-refined-times.txt</v>
      </c>
      <c r="AI17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{"issue":{"subject":"","project_id":79,"tracker_id":40,"status_id":1,"priority_id":2,"assigned_to_id":338,"start_date":"2017-10-11","description":"","custom_fields":[{"id":1,"name":"Subdivision","value":"EC"},{"id":4,"name":"Milepost","value":"23.3306"},{"id":17,"name":"Train ID","value":"105-11"},{"id":16,"name":"Locomotive ID","value":"4032"},{"id":130,"name":"Impact","value":""},{"id":150,"name":"Time of Event (Mountain Time)","value":"04:50:41"},{"id":151,"name":"Denver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4032 --day 2017-10-11</v>
      </c>
      <c r="AN17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10:50:41"},{"id":29,"name":"Sharepoint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-11T03:05:21-0600',mode:absolute,to:'2017-10-11T05:50:41-0600'))&amp;_a=(columns:!('Message%20ID',Summary),filters:!(),index:'emp_*',interval:auto,query:(query_string:(analyze_wildcard:!t,query:'%22rtdc.l.rtdc.4032%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635</v>
      </c>
      <c r="B18" s="7">
        <v>4031</v>
      </c>
      <c r="C18" s="21" t="s">
        <v>194</v>
      </c>
      <c r="D18" s="21" t="s">
        <v>473</v>
      </c>
      <c r="E18" s="13">
        <v>43019.202719907407</v>
      </c>
      <c r="F18" s="13">
        <v>43019.216840277775</v>
      </c>
      <c r="G18" s="7">
        <v>69</v>
      </c>
      <c r="H18" s="21" t="s">
        <v>339</v>
      </c>
      <c r="I18" s="13">
        <v>43019.244143518517</v>
      </c>
      <c r="J18" s="7">
        <v>0</v>
      </c>
      <c r="K18" s="89" t="str">
        <f>IF(ISEVEN(B18),(B18-1)&amp;"/"&amp;B18,B18&amp;"/"&amp;(B18+1))</f>
        <v>4031/4032</v>
      </c>
      <c r="L18" s="185" t="str">
        <f>VLOOKUP(A18,'Trips&amp;Operators'!$C$1:$G$99911,5,FALSE)</f>
        <v>YORK EDGAR</v>
      </c>
      <c r="M18" s="6">
        <f>I18-F18</f>
        <v>2.7303240742185153E-2</v>
      </c>
      <c r="N18" s="7">
        <f>24*60*SUM($M18:$M18)</f>
        <v>39.31666666874662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-11T03:51:55-0600',mode:absolute,to:'2017-10-11T06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23.298500000000001</v>
      </c>
      <c r="Z18" s="204">
        <f>RIGHT(H18,LEN(H18)-4)/10000</f>
        <v>1.47E-2</v>
      </c>
      <c r="AA18" s="204">
        <f>ABS(Z18-Y18)</f>
        <v>23.283799999999999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/stypes="app*4031*20171011*"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106-11 --locoid 4031 --swversion DE.1.0.9.0 --startMP 204:232985 --initTime 2017-10-11T04:51:55 --startdatetime 2017-10-11T05:12:15 --delay 69 --endMP 204:147 --enddatetime 2017-10-11T05:51:34 --enforcementcount 0 &gt;&gt;%USERPROFILE%\Documents\GitHub\eaglep3-reporting\EC\2017-10-11-refined-times.txt</v>
      </c>
      <c r="AI18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ID","value":"106-11"},{"id":16,"name":"Locomotive ID","value":"4031"},{"id":130,"name":"Impact","value":""},{"id":150,"name":"Time of Event (Mountain Time)","value":"05:51:34"},{"id":151,"name":"Denver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4031 --day 2017-10-11</v>
      </c>
      <c r="AN18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-11T03:51:55-0600',mode:absolute,to:'2017-10-11T06:51:34-0600'))&amp;_a=(columns:!('Message%20ID',Summary),filters:!(),index:'emp_*',interval:auto,query:(query_string:(analyze_wildcard:!t,query:'%22rtdc.l.rtdc.4031%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629</v>
      </c>
      <c r="B19" s="7">
        <v>4036</v>
      </c>
      <c r="C19" s="21" t="s">
        <v>194</v>
      </c>
      <c r="D19" s="21" t="s">
        <v>363</v>
      </c>
      <c r="E19" s="13">
        <v>43019.181817129633</v>
      </c>
      <c r="F19" s="13">
        <v>43019.187719907408</v>
      </c>
      <c r="G19" s="7">
        <v>85</v>
      </c>
      <c r="H19" s="21" t="s">
        <v>528</v>
      </c>
      <c r="I19" s="13">
        <v>43019.21261574074</v>
      </c>
      <c r="J19" s="7">
        <v>0</v>
      </c>
      <c r="K19" s="89" t="str">
        <f>IF(ISEVEN(B19),(B19-1)&amp;"/"&amp;B19,B19&amp;"/"&amp;(B19+1))</f>
        <v>4035/4036</v>
      </c>
      <c r="L19" s="185" t="str">
        <f>VLOOKUP(A19,'Trips&amp;Operators'!$C$1:$G$99911,5,FALSE)</f>
        <v>YANG JAN</v>
      </c>
      <c r="M19" s="6">
        <f>I19-F19</f>
        <v>2.4895833332266193E-2</v>
      </c>
      <c r="N19" s="7">
        <f>24*60*SUM($M19:$M19)</f>
        <v>35.849999998463318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-11T03:21:49-0600',mode:absolute,to:'2017-10-11T06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4.5999999999999999E-2</v>
      </c>
      <c r="Z19" s="204">
        <f>RIGHT(H19,LEN(H19)-4)/10000</f>
        <v>23.332000000000001</v>
      </c>
      <c r="AA19" s="204">
        <f>ABS(Z19-Y19)</f>
        <v>23.286000000000001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/stypes="app*4036*20171011*"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107-11 --locoid 4036 --swversion DE.1.0.9.0 --startMP 204:460 --initTime 2017-10-11T04:21:49 --startdatetime 2017-10-11T04:30:19 --delay 85 --endMP 204:233320 --enddatetime 2017-10-11T05:06:10 --enforcementcount 0 &gt;&gt;%USERPROFILE%\Documents\GitHub\eaglep3-reporting\EC\2017-10-11-refined-times.txt</v>
      </c>
      <c r="AI19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{"issue":{"subject":"","project_id":79,"tracker_id":40,"status_id":1,"priority_id":2,"assigned_to_id":338,"start_date":"2017-10-11","description":"","custom_fields":[{"id":1,"name":"Subdivision","value":"EC"},{"id":4,"name":"Milepost","value":"23.332"},{"id":17,"name":"Train ID","value":"107-11"},{"id":16,"name":"Locomotive ID","value":"4036"},{"id":130,"name":"Impact","value":""},{"id":150,"name":"Time of Event (Mountain Time)","value":"05:06:10"},{"id":151,"name":"Denver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4036 --day 2017-10-11</v>
      </c>
      <c r="AN19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-11T03:21:49-0600',mode:absolute,to:'2017-10-11T06:06:10-0600'))&amp;_a=(columns:!('Message%20ID',Summary),filters:!(),index:'emp_*',interval:auto,query:(query_string:(analyze_wildcard:!t,query:'%22rtdc.l.rtdc.4036%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578</v>
      </c>
      <c r="B20" s="7">
        <v>4035</v>
      </c>
      <c r="C20" s="21" t="s">
        <v>194</v>
      </c>
      <c r="D20" s="21" t="s">
        <v>479</v>
      </c>
      <c r="E20" s="13">
        <v>43019.221192129633</v>
      </c>
      <c r="F20" s="13">
        <v>43019.227268518516</v>
      </c>
      <c r="G20" s="7">
        <v>56</v>
      </c>
      <c r="H20" s="21" t="s">
        <v>834</v>
      </c>
      <c r="I20" s="13">
        <v>43019.253750000003</v>
      </c>
      <c r="J20" s="7">
        <v>0</v>
      </c>
      <c r="K20" s="89" t="str">
        <f>IF(ISEVEN(B20),(B20-1)&amp;"/"&amp;B20,B20&amp;"/"&amp;(B20+1))</f>
        <v>4035/4036</v>
      </c>
      <c r="L20" s="185" t="str">
        <f>VLOOKUP(A20,'Trips&amp;Operators'!$C$1:$G$99911,5,FALSE)</f>
        <v>YANG JAN</v>
      </c>
      <c r="M20" s="6">
        <f>I20-F20</f>
        <v>2.6481481487280689E-2</v>
      </c>
      <c r="N20" s="7">
        <f>24*60*SUM($M20:$M20)</f>
        <v>38.133333341684192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-11T04:18:31-0600',mode:absolute,to:'2017-10-11T07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23.298400000000001</v>
      </c>
      <c r="Z20" s="204">
        <f>RIGHT(H20,LEN(H20)-4)/10000</f>
        <v>1.7999999999999999E-2</v>
      </c>
      <c r="AA20" s="204">
        <f>ABS(Z20-Y20)</f>
        <v>23.2804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/stypes="app*4035*20171011*"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108-11 --locoid 4035 --swversion DE.1.0.9.0 --startMP 204:232984 --initTime 2017-10-11T05:18:31 --startdatetime 2017-10-11T05:27:16 --delay 56 --endMP 204:180 --enddatetime 2017-10-11T06:05:24 --enforcementcount 0 &gt;&gt;%USERPROFILE%\Documents\GitHub\eaglep3-reporting\EC\2017-10-11-refined-times.txt</v>
      </c>
      <c r="AI20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{"issue":{"subject":"","project_id":79,"tracker_id":40,"status_id":1,"priority_id":2,"assigned_to_id":338,"start_date":"2017-10-11","description":"","custom_fields":[{"id":1,"name":"Subdivision","value":"EC"},{"id":4,"name":"Milepost","value":"0.018"},{"id":17,"name":"Train ID","value":"108-11"},{"id":16,"name":"Locomotive ID","value":"4035"},{"id":130,"name":"Impact","value":""},{"id":150,"name":"Time of Event (Mountain Time)","value":"06:05:24"},{"id":151,"name":"Denver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4035 --day 2017-10-11</v>
      </c>
      <c r="AN20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-11T04:18:31-0600',mode:absolute,to:'2017-10-11T07:05:24-0600'))&amp;_a=(columns:!('Message%20ID',Summary),filters:!(),index:'emp_*',interval:auto,query:(query_string:(analyze_wildcard:!t,query:'%22rtdc.l.rtdc.4035%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630</v>
      </c>
      <c r="B21" s="7">
        <v>4018</v>
      </c>
      <c r="C21" s="21" t="s">
        <v>194</v>
      </c>
      <c r="D21" s="21" t="s">
        <v>375</v>
      </c>
      <c r="E21" s="13">
        <v>43019.191331018519</v>
      </c>
      <c r="F21" s="13">
        <v>43019.198136574072</v>
      </c>
      <c r="G21" s="7">
        <v>69</v>
      </c>
      <c r="H21" s="21" t="s">
        <v>537</v>
      </c>
      <c r="I21" s="13">
        <v>43019.224074074074</v>
      </c>
      <c r="J21" s="7">
        <v>0</v>
      </c>
      <c r="K21" s="89" t="str">
        <f>IF(ISEVEN(B21),(B21-1)&amp;"/"&amp;B21,B21&amp;"/"&amp;(B21+1))</f>
        <v>4017/4018</v>
      </c>
      <c r="L21" s="185" t="str">
        <f>VLOOKUP(A21,'Trips&amp;Operators'!$C$1:$G$99911,5,FALSE)</f>
        <v>DAVIS WENDY</v>
      </c>
      <c r="M21" s="6">
        <f>I21-F21</f>
        <v>2.5937500002328306E-2</v>
      </c>
      <c r="N21" s="7">
        <f>24*60*SUM($M21:$M21)</f>
        <v>37.350000003352761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-11T03:35:31-0600',mode:absolute,to:'2017-10-11T06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4.6600000000000003E-2</v>
      </c>
      <c r="Z21" s="204">
        <f>RIGHT(H21,LEN(H21)-4)/10000</f>
        <v>23.331</v>
      </c>
      <c r="AA21" s="204">
        <f>ABS(Z21-Y21)</f>
        <v>23.284399999999998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/stypes="app*4018*20171011*"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109-11 --locoid 4018 --swversion DE.1.0.9.0 --startMP 204:466 --initTime 2017-10-11T04:35:31 --startdatetime 2017-10-11T04:45:19 --delay 69 --endMP 204:233310 --enddatetime 2017-10-11T05:22:40 --enforcementcount 0 &gt;&gt;%USERPROFILE%\Documents\GitHub\eaglep3-reporting\EC\2017-10-11-refined-times.txt</v>
      </c>
      <c r="AI21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{"issue":{"subject":"","project_id":79,"tracker_id":40,"status_id":1,"priority_id":2,"assigned_to_id":338,"start_date":"2017-10-11","description":"","custom_fields":[{"id":1,"name":"Subdivision","value":"EC"},{"id":4,"name":"Milepost","value":"23.331"},{"id":17,"name":"Train ID","value":"109-11"},{"id":16,"name":"Locomotive ID","value":"4018"},{"id":130,"name":"Impact","value":""},{"id":150,"name":"Time of Event (Mountain Time)","value":"05:22:40"},{"id":151,"name":"Denver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4018 --day 2017-10-11</v>
      </c>
      <c r="AN21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-11T03:35:31-0600',mode:absolute,to:'2017-10-11T06:22:40-0600'))&amp;_a=(columns:!('Message%20ID',Summary),filters:!(),index:'emp_*',interval:auto,query:(query_string:(analyze_wildcard:!t,query:'%22rtdc.l.rtdc.4018%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639</v>
      </c>
      <c r="B22" s="7">
        <v>4017</v>
      </c>
      <c r="C22" s="21" t="s">
        <v>194</v>
      </c>
      <c r="D22" s="21" t="s">
        <v>456</v>
      </c>
      <c r="E22" s="13">
        <v>43019.226307870369</v>
      </c>
      <c r="F22" s="13">
        <v>43019.237835648149</v>
      </c>
      <c r="G22" s="7">
        <v>65</v>
      </c>
      <c r="H22" s="21" t="s">
        <v>523</v>
      </c>
      <c r="I22" s="13">
        <v>43019.265428240738</v>
      </c>
      <c r="J22" s="7">
        <v>0</v>
      </c>
      <c r="K22" s="89" t="str">
        <f>IF(ISEVEN(B22),(B22-1)&amp;"/"&amp;B22,B22&amp;"/"&amp;(B22+1))</f>
        <v>4017/4018</v>
      </c>
      <c r="L22" s="185" t="str">
        <f>VLOOKUP(A22,'Trips&amp;Operators'!$C$1:$G$99911,5,FALSE)</f>
        <v>DAVIS WENDY</v>
      </c>
      <c r="M22" s="6">
        <f>I22-F22</f>
        <v>2.7592592588916887E-2</v>
      </c>
      <c r="N22" s="7">
        <f>24*60*SUM($M22:$M22)</f>
        <v>39.733333328040317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-11T04:25:53-0600',mode:absolute,to:'2017-10-11T07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23.299099999999999</v>
      </c>
      <c r="Z22" s="204">
        <f>RIGHT(H22,LEN(H22)-4)/10000</f>
        <v>1.7000000000000001E-2</v>
      </c>
      <c r="AA22" s="204">
        <f>ABS(Z22-Y22)</f>
        <v>23.2821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/stypes="app*4017*20171011*"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110-11 --locoid 4017 --swversion DE.1.0.9.0 --startMP 204:232991 --initTime 2017-10-11T05:25:53 --startdatetime 2017-10-11T05:42:29 --delay 65 --endMP 204:170 --enddatetime 2017-10-11T06:22:13 --enforcementcount 0 &gt;&gt;%USERPROFILE%\Documents\GitHub\eaglep3-reporting\EC\2017-10-11-refined-times.txt</v>
      </c>
      <c r="AI22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{"issue":{"subject":"","project_id":79,"tracker_id":40,"status_id":1,"priority_id":2,"assigned_to_id":338,"start_date":"2017-10-11","description":"","custom_fields":[{"id":1,"name":"Subdivision","value":"EC"},{"id":4,"name":"Milepost","value":"0.017"},{"id":17,"name":"Train ID","value":"110-11"},{"id":16,"name":"Locomotive ID","value":"4017"},{"id":130,"name":"Impact","value":""},{"id":150,"name":"Time of Event (Mountain Time)","value":"06:22:13"},{"id":151,"name":"Denver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4017 --day 2017-10-11</v>
      </c>
      <c r="AN22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-11T04:25:53-0600',mode:absolute,to:'2017-10-11T07:22:13-0600'))&amp;_a=(columns:!('Message%20ID',Summary),filters:!(),index:'emp_*',interval:auto,query:(query_string:(analyze_wildcard:!t,query:'%22rtdc.l.rtdc.4017%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636</v>
      </c>
      <c r="B23" s="7">
        <v>4046</v>
      </c>
      <c r="C23" s="21" t="s">
        <v>194</v>
      </c>
      <c r="D23" s="21" t="s">
        <v>835</v>
      </c>
      <c r="E23" s="13">
        <v>43019.204409722224</v>
      </c>
      <c r="F23" s="13">
        <v>43019.208495370367</v>
      </c>
      <c r="G23" s="7">
        <v>87</v>
      </c>
      <c r="H23" s="21" t="s">
        <v>371</v>
      </c>
      <c r="I23" s="13">
        <v>43019.232523148145</v>
      </c>
      <c r="J23" s="7">
        <v>0</v>
      </c>
      <c r="K23" s="89" t="str">
        <f>IF(ISEVEN(B23),(B23-1)&amp;"/"&amp;B23,B23&amp;"/"&amp;(B23+1))</f>
        <v>4045/4046</v>
      </c>
      <c r="L23" s="185" t="str">
        <f>VLOOKUP(A23,'Trips&amp;Operators'!$C$1:$G$99911,5,FALSE)</f>
        <v>ROCHA YAOTL</v>
      </c>
      <c r="M23" s="6">
        <f>I23-F23</f>
        <v>2.4027777777519077E-2</v>
      </c>
      <c r="N23" s="7">
        <f>24*60*SUM($M23:$M23)</f>
        <v>34.599999999627471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-11T03:54:21-0600',mode:absolute,to:'2017-10-11T06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4.3799999999999999E-2</v>
      </c>
      <c r="Z23" s="204">
        <f>RIGHT(H23,LEN(H23)-4)/10000</f>
        <v>23.331199999999999</v>
      </c>
      <c r="AA23" s="204">
        <f>ABS(Z23-Y23)</f>
        <v>23.287399999999998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/stypes="app*4046*20171011*"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111-11 --locoid 4046 --swversion DE.1.0.9.0 --startMP 204:438 --initTime 2017-10-11T04:54:21 --startdatetime 2017-10-11T05:00:14 --delay 87 --endMP 204:233312 --enddatetime 2017-10-11T05:34:50 --enforcementcount 0 &gt;&gt;%USERPROFILE%\Documents\GitHub\eaglep3-reporting\EC\2017-10-11-refined-times.txt</v>
      </c>
      <c r="AI23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{"issue":{"subject":"","project_id":79,"tracker_id":40,"status_id":1,"priority_id":2,"assigned_to_id":338,"start_date":"2017-10-11","description":"","custom_fields":[{"id":1,"name":"Subdivision","value":"EC"},{"id":4,"name":"Milepost","value":"23.3312"},{"id":17,"name":"Train ID","value":"111-11"},{"id":16,"name":"Locomotive ID","value":"4046"},{"id":130,"name":"Impact","value":""},{"id":150,"name":"Time of Event (Mountain Time)","value":"05:34:50"},{"id":151,"name":"Denver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4046 --day 2017-10-11</v>
      </c>
      <c r="AN23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-11T03:54:21-0600',mode:absolute,to:'2017-10-11T06:34:50-0600'))&amp;_a=(columns:!('Message%20ID',Summary),filters:!(),index:'emp_*',interval:auto,query:(query_string:(analyze_wildcard:!t,query:'%22rtdc.l.rtdc.4046%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643</v>
      </c>
      <c r="B24" s="7">
        <v>4045</v>
      </c>
      <c r="C24" s="21" t="s">
        <v>194</v>
      </c>
      <c r="D24" s="21" t="s">
        <v>442</v>
      </c>
      <c r="E24" s="13">
        <v>43019.245312500003</v>
      </c>
      <c r="F24" s="13">
        <v>43019.248101851852</v>
      </c>
      <c r="G24" s="7">
        <v>67</v>
      </c>
      <c r="H24" s="21" t="s">
        <v>836</v>
      </c>
      <c r="I24" s="13">
        <v>43019.274189814816</v>
      </c>
      <c r="J24" s="7">
        <v>0</v>
      </c>
      <c r="K24" s="89" t="str">
        <f>IF(ISEVEN(B24),(B24-1)&amp;"/"&amp;B24,B24&amp;"/"&amp;(B24+1))</f>
        <v>4045/4046</v>
      </c>
      <c r="L24" s="185" t="str">
        <f>VLOOKUP(A24,'Trips&amp;Operators'!$C$1:$G$99911,5,FALSE)</f>
        <v>ROCHA YAOTL</v>
      </c>
      <c r="M24" s="6">
        <f>I24-F24</f>
        <v>2.6087962964083999E-2</v>
      </c>
      <c r="N24" s="7">
        <f>24*60*SUM($M24:$M24)</f>
        <v>37.566666668280959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-11T04:53:15-0600',mode:absolute,to:'2017-10-11T07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23.297499999999999</v>
      </c>
      <c r="Z24" s="204">
        <f>RIGHT(H24,LEN(H24)-4)/10000</f>
        <v>1.7399999999999999E-2</v>
      </c>
      <c r="AA24" s="204">
        <f>ABS(Z24-Y24)</f>
        <v>23.280100000000001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/stypes="app*4045*20171011*"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112-11 --locoid 4045 --swversion DE.1.0.9.0 --startMP 204:232975 --initTime 2017-10-11T05:53:15 --startdatetime 2017-10-11T05:57:16 --delay 67 --endMP 204:174 --enddatetime 2017-10-11T06:34:50 --enforcementcount 0 &gt;&gt;%USERPROFILE%\Documents\GitHub\eaglep3-reporting\EC\2017-10-11-refined-times.txt</v>
      </c>
      <c r="AI24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{"issue":{"subject":"","project_id":79,"tracker_id":40,"status_id":1,"priority_id":2,"assigned_to_id":338,"start_date":"2017-10-11","description":"","custom_fields":[{"id":1,"name":"Subdivision","value":"EC"},{"id":4,"name":"Milepost","value":"0.0174"},{"id":17,"name":"Train ID","value":"112-11"},{"id":16,"name":"Locomotive ID","value":"4045"},{"id":130,"name":"Impact","value":""},{"id":150,"name":"Time of Event (Mountain Time)","value":"06:34:50"},{"id":151,"name":"Denver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4045 --day 2017-10-11</v>
      </c>
      <c r="AN24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-11T04:53:15-0600',mode:absolute,to:'2017-10-11T07:34:50-0600'))&amp;_a=(columns:!('Message%20ID',Summary),filters:!(),index:'emp_*',interval:auto,query:(query_string:(analyze_wildcard:!t,query:'%22rtdc.l.rtdc.4045%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637</v>
      </c>
      <c r="B25" s="7">
        <v>4016</v>
      </c>
      <c r="C25" s="21" t="s">
        <v>194</v>
      </c>
      <c r="D25" s="21" t="s">
        <v>393</v>
      </c>
      <c r="E25" s="13">
        <v>43019.209710648145</v>
      </c>
      <c r="F25" s="13">
        <v>43019.218923611108</v>
      </c>
      <c r="G25" s="7">
        <v>54</v>
      </c>
      <c r="H25" s="21" t="s">
        <v>529</v>
      </c>
      <c r="I25" s="13">
        <v>43019.244722222225</v>
      </c>
      <c r="J25" s="7">
        <v>0</v>
      </c>
      <c r="K25" s="89" t="str">
        <f>IF(ISEVEN(B25),(B25-1)&amp;"/"&amp;B25,B25&amp;"/"&amp;(B25+1))</f>
        <v>4015/4016</v>
      </c>
      <c r="L25" s="185" t="str">
        <f>VLOOKUP(A25,'Trips&amp;Operators'!$C$1:$G$99911,5,FALSE)</f>
        <v>YANAI IAN</v>
      </c>
      <c r="M25" s="6">
        <f>I25-F25</f>
        <v>2.5798611117352266E-2</v>
      </c>
      <c r="N25" s="7">
        <f>24*60*SUM($M25:$M25)</f>
        <v>37.150000008987263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-11T04:01:59-0600',mode:absolute,to:'2017-10-11T06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4.6699999999999998E-2</v>
      </c>
      <c r="Z25" s="204">
        <f>RIGHT(H25,LEN(H25)-4)/10000</f>
        <v>23.330400000000001</v>
      </c>
      <c r="AA25" s="204">
        <f>ABS(Z25-Y25)</f>
        <v>23.2837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/stypes="app*4016*20171011*"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113-11 --locoid 4016 --swversion DE.1.0.9.0 --startMP 204:467 --initTime 2017-10-11T05:01:59 --startdatetime 2017-10-11T05:15:15 --delay 54 --endMP 204:233304 --enddatetime 2017-10-11T05:52:24 --enforcementcount 0 &gt;&gt;%USERPROFILE%\Documents\GitHub\eaglep3-reporting\EC\2017-10-11-refined-times.txt</v>
      </c>
      <c r="AI25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{"issue":{"subject":"","project_id":79,"tracker_id":40,"status_id":1,"priority_id":2,"assigned_to_id":338,"start_date":"2017-10-11","description":"","custom_fields":[{"id":1,"name":"Subdivision","value":"EC"},{"id":4,"name":"Milepost","value":"23.3304"},{"id":17,"name":"Train ID","value":"113-11"},{"id":16,"name":"Locomotive ID","value":"4016"},{"id":130,"name":"Impact","value":""},{"id":150,"name":"Time of Event (Mountain Time)","value":"05:52:24"},{"id":151,"name":"Denver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4016 --day 2017-10-11</v>
      </c>
      <c r="AN25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-11T04:01:59-0600',mode:absolute,to:'2017-10-11T06:52:24-0600'))&amp;_a=(columns:!('Message%20ID',Summary),filters:!(),index:'emp_*',interval:auto,query:(query_string:(analyze_wildcard:!t,query:'%22rtdc.l.rtdc.4016%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644</v>
      </c>
      <c r="B26" s="7">
        <v>4015</v>
      </c>
      <c r="C26" s="21" t="s">
        <v>194</v>
      </c>
      <c r="D26" s="21" t="s">
        <v>440</v>
      </c>
      <c r="E26" s="13">
        <v>43019.245937500003</v>
      </c>
      <c r="F26" s="13">
        <v>43019.25849537037</v>
      </c>
      <c r="G26" s="7">
        <v>49</v>
      </c>
      <c r="H26" s="21" t="s">
        <v>364</v>
      </c>
      <c r="I26" s="13">
        <v>43019.284236111111</v>
      </c>
      <c r="J26" s="7">
        <v>0</v>
      </c>
      <c r="K26" s="89" t="str">
        <f>IF(ISEVEN(B26),(B26-1)&amp;"/"&amp;B26,B26&amp;"/"&amp;(B26+1))</f>
        <v>4015/4016</v>
      </c>
      <c r="L26" s="185" t="str">
        <f>VLOOKUP(A26,'Trips&amp;Operators'!$C$1:$G$99911,5,FALSE)</f>
        <v>YANAI IAN</v>
      </c>
      <c r="M26" s="6">
        <f>I26-F26</f>
        <v>2.5740740740729962E-2</v>
      </c>
      <c r="N26" s="7">
        <f>24*60*SUM($M26:$M26)</f>
        <v>37.066666666651145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-11T04:54:09-0600',mode:absolute,to:'2017-10-11T07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23.3017</v>
      </c>
      <c r="Z26" s="204">
        <f>RIGHT(H26,LEN(H26)-4)/10000</f>
        <v>1.5800000000000002E-2</v>
      </c>
      <c r="AA26" s="204">
        <f>ABS(Z26-Y26)</f>
        <v>23.285900000000002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/stypes="app*4015*20171011*"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114-11 --locoid 4015 --swversion DE.1.0.9.0 --startMP 204:233017 --initTime 2017-10-11T05:54:09 --startdatetime 2017-10-11T06:12:14 --delay 49 --endMP 204:158 --enddatetime 2017-10-11T06:49:18 --enforcementcount 0 &gt;&gt;%USERPROFILE%\Documents\GitHub\eaglep3-reporting\EC\2017-10-11-refined-times.txt</v>
      </c>
      <c r="AI26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{"issue":{"subject":"","project_id":79,"tracker_id":40,"status_id":1,"priority_id":2,"assigned_to_id":338,"start_date":"2017-10-11","description":"","custom_fields":[{"id":1,"name":"Subdivision","value":"EC"},{"id":4,"name":"Milepost","value":"0.0158"},{"id":17,"name":"Train ID","value":"114-11"},{"id":16,"name":"Locomotive ID","value":"4015"},{"id":130,"name":"Impact","value":""},{"id":150,"name":"Time of Event (Mountain Time)","value":"06:49:18"},{"id":151,"name":"Denver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4015 --day 2017-10-11</v>
      </c>
      <c r="AN26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-11T04:54:09-0600',mode:absolute,to:'2017-10-11T07:49:18-0600'))&amp;_a=(columns:!('Message%20ID',Summary),filters:!(),index:'emp_*',interval:auto,query:(query_string:(analyze_wildcard:!t,query:'%22rtdc.l.rtdc.4015%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640</v>
      </c>
      <c r="B27" s="7">
        <v>4014</v>
      </c>
      <c r="C27" s="21" t="s">
        <v>194</v>
      </c>
      <c r="D27" s="21" t="s">
        <v>354</v>
      </c>
      <c r="E27" s="13">
        <v>43019.227083333331</v>
      </c>
      <c r="F27" s="13">
        <v>43019.229421296295</v>
      </c>
      <c r="G27" s="7">
        <v>69</v>
      </c>
      <c r="H27" s="21" t="s">
        <v>837</v>
      </c>
      <c r="I27" s="13">
        <v>43019.254363425927</v>
      </c>
      <c r="J27" s="7">
        <v>0</v>
      </c>
      <c r="K27" s="89" t="str">
        <f>IF(ISEVEN(B27),(B27-1)&amp;"/"&amp;B27,B27&amp;"/"&amp;(B27+1))</f>
        <v>4013/4014</v>
      </c>
      <c r="L27" s="185" t="str">
        <f>VLOOKUP(A27,'Trips&amp;Operators'!$C$1:$G$99911,5,FALSE)</f>
        <v>THOMPSON LESTER</v>
      </c>
      <c r="M27" s="6">
        <f>I27-F27</f>
        <v>2.4942129632108845E-2</v>
      </c>
      <c r="N27" s="7">
        <f>24*60*SUM($M27:$M27)</f>
        <v>35.916666670236737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-11T04:27:00-0600',mode:absolute,to:'2017-10-11T07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4.58E-2</v>
      </c>
      <c r="Z27" s="204">
        <f>RIGHT(H27,LEN(H27)-4)/10000</f>
        <v>23.327200000000001</v>
      </c>
      <c r="AA27" s="204">
        <f>ABS(Z27-Y27)</f>
        <v>23.281400000000001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/stypes="app*4014*20171011*"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115-11 --locoid 4014 --swversion DE.1.0.9.0 --startMP 204:458 --initTime 2017-10-11T05:27:00 --startdatetime 2017-10-11T05:30:22 --delay 69 --endMP 204:233272 --enddatetime 2017-10-11T06:06:17 --enforcementcount 0 &gt;&gt;%USERPROFILE%\Documents\GitHub\eaglep3-reporting\EC\2017-10-11-refined-times.txt</v>
      </c>
      <c r="AI27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{"issue":{"subject":"","project_id":79,"tracker_id":40,"status_id":1,"priority_id":2,"assigned_to_id":338,"start_date":"2017-10-11","description":"","custom_fields":[{"id":1,"name":"Subdivision","value":"EC"},{"id":4,"name":"Milepost","value":"23.3272"},{"id":17,"name":"Train ID","value":"115-11"},{"id":16,"name":"Locomotive ID","value":"4014"},{"id":130,"name":"Impact","value":""},{"id":150,"name":"Time of Event (Mountain Time)","value":"06:06:17"},{"id":151,"name":"Denver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4014 --day 2017-10-11</v>
      </c>
      <c r="AN27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-11T04:27:00-0600',mode:absolute,to:'2017-10-11T07:06:17-0600'))&amp;_a=(columns:!('Message%20ID',Summary),filters:!(),index:'emp_*',interval:auto,query:(query_string:(analyze_wildcard:!t,query:'%22rtdc.l.rtdc.4014%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648</v>
      </c>
      <c r="B28" s="7">
        <v>4013</v>
      </c>
      <c r="C28" s="21" t="s">
        <v>194</v>
      </c>
      <c r="D28" s="21" t="s">
        <v>527</v>
      </c>
      <c r="E28" s="13">
        <v>43019.264687499999</v>
      </c>
      <c r="F28" s="13">
        <v>43019.268958333334</v>
      </c>
      <c r="G28" s="7">
        <v>53</v>
      </c>
      <c r="H28" s="21" t="s">
        <v>836</v>
      </c>
      <c r="I28" s="13">
        <v>43019.297060185185</v>
      </c>
      <c r="J28" s="7">
        <v>0</v>
      </c>
      <c r="K28" s="89" t="str">
        <f>IF(ISEVEN(B28),(B28-1)&amp;"/"&amp;B28,B28&amp;"/"&amp;(B28+1))</f>
        <v>4013/4014</v>
      </c>
      <c r="L28" s="185" t="str">
        <f>VLOOKUP(A28,'Trips&amp;Operators'!$C$1:$G$99911,5,FALSE)</f>
        <v>THOMPSON LESTER</v>
      </c>
      <c r="M28" s="6">
        <f>I28-F28</f>
        <v>2.810185185080627E-2</v>
      </c>
      <c r="N28" s="7">
        <f>24*60*SUM($M28:$M28)</f>
        <v>40.466666665161029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-11T05:21:09-0600',mode:absolute,to:'2017-10-11T08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23.296500000000002</v>
      </c>
      <c r="Z28" s="204">
        <f>RIGHT(H28,LEN(H28)-4)/10000</f>
        <v>1.7399999999999999E-2</v>
      </c>
      <c r="AA28" s="204">
        <f>ABS(Z28-Y28)</f>
        <v>23.279100000000003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/stypes="app*4013*20171011*"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116-11 --locoid 4013 --swversion DE.1.0.9.0 --startMP 204:232965 --initTime 2017-10-11T06:21:09 --startdatetime 2017-10-11T06:27:18 --delay 53 --endMP 204:174 --enddatetime 2017-10-11T07:07:46 --enforcementcount 0 &gt;&gt;%USERPROFILE%\Documents\GitHub\eaglep3-reporting\EC\2017-10-11-refined-times.txt</v>
      </c>
      <c r="AI28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{"issue":{"subject":"","project_id":79,"tracker_id":40,"status_id":1,"priority_id":2,"assigned_to_id":338,"start_date":"2017-10-11","description":"","custom_fields":[{"id":1,"name":"Subdivision","value":"EC"},{"id":4,"name":"Milepost","value":"0.0174"},{"id":17,"name":"Train ID","value":"116-11"},{"id":16,"name":"Locomotive ID","value":"4013"},{"id":130,"name":"Impact","value":""},{"id":150,"name":"Time of Event (Mountain Time)","value":"07:07:46"},{"id":151,"name":"Denver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4013 --day 2017-10-11</v>
      </c>
      <c r="AN28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-11T05:21:09-0600',mode:absolute,to:'2017-10-11T08:07:46-0600'))&amp;_a=(columns:!('Message%20ID',Summary),filters:!(),index:'emp_*',interval:auto,query:(query_string:(analyze_wildcard:!t,query:'%22rtdc.l.rtdc.4013%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641</v>
      </c>
      <c r="B29" s="7">
        <v>4024</v>
      </c>
      <c r="C29" s="21" t="s">
        <v>194</v>
      </c>
      <c r="D29" s="21" t="s">
        <v>363</v>
      </c>
      <c r="E29" s="13">
        <v>43019.231400462966</v>
      </c>
      <c r="F29" s="13">
        <v>43019.23978009259</v>
      </c>
      <c r="G29" s="7">
        <v>57</v>
      </c>
      <c r="H29" s="21" t="s">
        <v>546</v>
      </c>
      <c r="I29" s="13">
        <v>43019.265706018516</v>
      </c>
      <c r="J29" s="7">
        <v>0</v>
      </c>
      <c r="K29" s="89" t="str">
        <f>IF(ISEVEN(B29),(B29-1)&amp;"/"&amp;B29,B29&amp;"/"&amp;(B29+1))</f>
        <v>4023/4024</v>
      </c>
      <c r="L29" s="185" t="str">
        <f>VLOOKUP(A29,'Trips&amp;Operators'!$C$1:$G$99911,5,FALSE)</f>
        <v>FORTUNATO FRANK</v>
      </c>
      <c r="M29" s="6">
        <f>I29-F29</f>
        <v>2.5925925925548654E-2</v>
      </c>
      <c r="N29" s="7">
        <f>24*60*SUM($M29:$M29)</f>
        <v>37.333333332790062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-11T04:33:13-0600',mode:absolute,to:'2017-10-11T07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4.5999999999999999E-2</v>
      </c>
      <c r="Z29" s="204">
        <f>RIGHT(H29,LEN(H29)-4)/10000</f>
        <v>23.331900000000001</v>
      </c>
      <c r="AA29" s="204">
        <f>ABS(Z29-Y29)</f>
        <v>23.285900000000002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s3://rtdc.mdm.uploadarchive.raw/RTDC4024/ "%USERPROFILE%\AppData\Local\Temp\OnboardLogs"\RTDC4024\2017-10-11 --exclude "*" --recursive --include "*20171011*" &amp; "%USERPROFILE%\Documents\GitHub\mrs-test-scripts\Headless Mode &amp; Sideloading\WalkAndUnGZ.bat" "%USERPROFILE%\AppData\Local\Temp\OnboardLogs"\RTDC4024\2017-10-11 &amp; aws s3 cp s3://rtdc.mdm.uploadarchive.raw/RTDC4024/ "%USERPROFILE%\AppData\Local\Temp\OnboardLogs"\RTDC4024\2017-10-12 --exclude "*" --recursive --include "*20171012*" &amp; "%USERPROFILE%\Documents\GitHub\mrs-test-scripts\Headless Mode &amp; Sideloading\WalkAndUnGZ.bat" "%USERPROFILE%\AppData\Local\Temp\OnboardLogs"\RTDC4024\2017-10-12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/stypes="app*4024*20171011*"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117-11 --locoid 4024 --swversion DE.1.0.9.0 --startMP 204:460 --initTime 2017-10-11T05:33:13 --startdatetime 2017-10-11T05:45:17 --delay 57 --endMP 204:233319 --enddatetime 2017-10-11T06:22:37 --enforcementcount 0 &gt;&gt;%USERPROFILE%\Documents\GitHub\eaglep3-reporting\EC\2017-10-11-refined-times.txt</v>
      </c>
      <c r="AI29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{"issue":{"subject":"","project_id":79,"tracker_id":40,"status_id":1,"priority_id":2,"assigned_to_id":338,"start_date":"2017-10-11","description":"","custom_fields":[{"id":1,"name":"Subdivision","value":"EC"},{"id":4,"name":"Milepost","value":"23.3319"},{"id":17,"name":"Train ID","value":"117-11"},{"id":16,"name":"Locomotive ID","value":"4024"},{"id":130,"name":"Impact","value":""},{"id":150,"name":"Time of Event (Mountain Time)","value":"06:22:37"},{"id":151,"name":"Denver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4024 --day 2017-10-11</v>
      </c>
      <c r="AN29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-11T04:33:13-0600',mode:absolute,to:'2017-10-11T07:22:37-0600'))&amp;_a=(columns:!('Message%20ID',Summary),filters:!(),index:'emp_*',interval:auto,query:(query_string:(analyze_wildcard:!t,query:'%22rtdc.l.rtdc.4024%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649</v>
      </c>
      <c r="B30" s="7">
        <v>4023</v>
      </c>
      <c r="C30" s="21" t="s">
        <v>194</v>
      </c>
      <c r="D30" s="21" t="s">
        <v>390</v>
      </c>
      <c r="E30" s="13">
        <v>43019.266979166663</v>
      </c>
      <c r="F30" s="13">
        <v>43019.279386574075</v>
      </c>
      <c r="G30" s="7">
        <v>54</v>
      </c>
      <c r="H30" s="21" t="s">
        <v>838</v>
      </c>
      <c r="I30" s="13">
        <v>43019.306018518517</v>
      </c>
      <c r="J30" s="7">
        <v>0</v>
      </c>
      <c r="K30" s="89" t="str">
        <f>IF(ISEVEN(B30),(B30-1)&amp;"/"&amp;B30,B30&amp;"/"&amp;(B30+1))</f>
        <v>4023/4024</v>
      </c>
      <c r="L30" s="185" t="str">
        <f>VLOOKUP(A30,'Trips&amp;Operators'!$C$1:$G$99911,5,FALSE)</f>
        <v>FORTUNATO FRANK</v>
      </c>
      <c r="M30" s="6">
        <f>I30-F30</f>
        <v>2.6631944441760425E-2</v>
      </c>
      <c r="N30" s="7">
        <f>24*60*SUM($M30:$M30)</f>
        <v>38.349999996135011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-11T05:24:27-0600',mode:absolute,to:'2017-10-11T08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23.3</v>
      </c>
      <c r="Z30" s="204">
        <f>RIGHT(H30,LEN(H30)-4)/10000</f>
        <v>1.29E-2</v>
      </c>
      <c r="AA30" s="204">
        <f>ABS(Z30-Y30)</f>
        <v>23.287100000000002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s3://rtdc.mdm.uploadarchive.raw/RTDC4023/ "%USERPROFILE%\AppData\Local\Temp\OnboardLogs"\RTDC4023\2017-10-11 --exclude "*" --recursive --include "*20171011*" &amp; "%USERPROFILE%\Documents\GitHub\mrs-test-scripts\Headless Mode &amp; Sideloading\WalkAndUnGZ.bat" "%USERPROFILE%\AppData\Local\Temp\OnboardLogs"\RTDC4023\2017-10-11 &amp; aws s3 cp s3://rtdc.mdm.uploadarchive.raw/RTDC4023/ "%USERPROFILE%\AppData\Local\Temp\OnboardLogs"\RTDC4023\2017-10-12 --exclude "*" --recursive --include "*20171012*" &amp; "%USERPROFILE%\Documents\GitHub\mrs-test-scripts\Headless Mode &amp; Sideloading\WalkAndUnGZ.bat" "%USERPROFILE%\AppData\Local\Temp\OnboardLogs"\RTDC4023\2017-10-12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/stypes="app*4023*20171011*"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118-11 --locoid 4023 --swversion DE.1.0.9.0 --startMP 204:233000 --initTime 2017-10-11T06:24:27 --startdatetime 2017-10-11T06:42:19 --delay 54 --endMP 204:129 --enddatetime 2017-10-11T07:20:40 --enforcementcount 0 &gt;&gt;%USERPROFILE%\Documents\GitHub\eaglep3-reporting\EC\2017-10-11-refined-times.txt</v>
      </c>
      <c r="AI30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{"issue":{"subject":"","project_id":79,"tracker_id":40,"status_id":1,"priority_id":2,"assigned_to_id":338,"start_date":"2017-10-11","description":"","custom_fields":[{"id":1,"name":"Subdivision","value":"EC"},{"id":4,"name":"Milepost","value":"0.0129"},{"id":17,"name":"Train ID","value":"118-11"},{"id":16,"name":"Locomotive ID","value":"4023"},{"id":130,"name":"Impact","value":""},{"id":150,"name":"Time of Event (Mountain Time)","value":"07:20:40"},{"id":151,"name":"Denver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4023 --day 2017-10-11</v>
      </c>
      <c r="AN30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-11T05:24:27-0600',mode:absolute,to:'2017-10-11T08:20:40-0600'))&amp;_a=(columns:!('Message%20ID',Summary),filters:!(),index:'emp_*',interval:auto,query:(query_string:(analyze_wildcard:!t,query:'%22rtdc.l.rtdc.4023%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645</v>
      </c>
      <c r="B31" s="7">
        <v>4032</v>
      </c>
      <c r="C31" s="21" t="s">
        <v>194</v>
      </c>
      <c r="D31" s="21" t="s">
        <v>345</v>
      </c>
      <c r="E31" s="13">
        <v>43019.245023148149</v>
      </c>
      <c r="F31" s="13">
        <v>43019.250185185185</v>
      </c>
      <c r="G31" s="7">
        <v>245</v>
      </c>
      <c r="H31" s="21" t="s">
        <v>839</v>
      </c>
      <c r="I31" s="13">
        <v>43019.274386574078</v>
      </c>
      <c r="J31" s="7">
        <v>0</v>
      </c>
      <c r="K31" s="89" t="str">
        <f>IF(ISEVEN(B31),(B31-1)&amp;"/"&amp;B31,B31&amp;"/"&amp;(B31+1))</f>
        <v>4031/4032</v>
      </c>
      <c r="L31" s="185" t="str">
        <f>VLOOKUP(A31,'Trips&amp;Operators'!$C$1:$G$99911,5,FALSE)</f>
        <v>YORK EDGAR</v>
      </c>
      <c r="M31" s="6">
        <f>I31-F31</f>
        <v>2.4201388892834075E-2</v>
      </c>
      <c r="N31" s="7">
        <f>24*60*SUM($M31:$M31)</f>
        <v>34.850000005681068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-11T04:52:50-0600',mode:absolute,to:'2017-10-11T07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4.5499999999999999E-2</v>
      </c>
      <c r="Z31" s="204">
        <f>RIGHT(H31,LEN(H31)-4)/10000</f>
        <v>23.330100000000002</v>
      </c>
      <c r="AA31" s="204">
        <f>ABS(Z31-Y31)</f>
        <v>23.284600000000001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/stypes="app*4032*20171011*"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119-11 --locoid 4032 --swversion DE.1.0.9.0 --startMP 204:455 --initTime 2017-10-11T05:52:50 --startdatetime 2017-10-11T06:00:16 --delay 245 --endMP 204:233301 --enddatetime 2017-10-11T06:35:07 --enforcementcount 0 &gt;&gt;%USERPROFILE%\Documents\GitHub\eaglep3-reporting\EC\2017-10-11-refined-times.txt</v>
      </c>
      <c r="AI31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{"issue":{"subject":"","project_id":79,"tracker_id":40,"status_id":1,"priority_id":2,"assigned_to_id":338,"start_date":"2017-10-11","description":"","custom_fields":[{"id":1,"name":"Subdivision","value":"EC"},{"id":4,"name":"Milepost","value":"23.3301"},{"id":17,"name":"Train ID","value":"119-11"},{"id":16,"name":"Locomotive ID","value":"4032"},{"id":130,"name":"Impact","value":""},{"id":150,"name":"Time of Event (Mountain Time)","value":"06:35:07"},{"id":151,"name":"Denver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4032 --day 2017-10-11</v>
      </c>
      <c r="AN31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-11T04:52:50-0600',mode:absolute,to:'2017-10-11T07:35:07-0600'))&amp;_a=(columns:!('Message%20ID',Summary),filters:!(),index:'emp_*',interval:auto,query:(query_string:(analyze_wildcard:!t,query:'%22rtdc.l.rtdc.4032%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652</v>
      </c>
      <c r="B32" s="7">
        <v>4031</v>
      </c>
      <c r="C32" s="21" t="s">
        <v>194</v>
      </c>
      <c r="D32" s="21" t="s">
        <v>840</v>
      </c>
      <c r="E32" s="13">
        <v>43019.275243055556</v>
      </c>
      <c r="F32" s="13">
        <v>43019.289780092593</v>
      </c>
      <c r="G32" s="7">
        <v>44</v>
      </c>
      <c r="H32" s="21" t="s">
        <v>406</v>
      </c>
      <c r="I32" s="13">
        <v>43019.316111111111</v>
      </c>
      <c r="J32" s="7">
        <v>0</v>
      </c>
      <c r="K32" s="89" t="str">
        <f>IF(ISEVEN(B32),(B32-1)&amp;"/"&amp;B32,B32&amp;"/"&amp;(B32+1))</f>
        <v>4031/4032</v>
      </c>
      <c r="L32" s="185" t="str">
        <f>VLOOKUP(A32,'Trips&amp;Operators'!$C$1:$G$99911,5,FALSE)</f>
        <v>YORK EDGAR</v>
      </c>
      <c r="M32" s="6">
        <f>I32-F32</f>
        <v>2.6331018518249039E-2</v>
      </c>
      <c r="N32" s="7">
        <f>24*60*SUM($M32:$M32)</f>
        <v>37.916666666278616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-11T05:36:21-0600',mode:absolute,to:'2017-10-11T08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23.296299999999999</v>
      </c>
      <c r="Z32" s="204">
        <f>RIGHT(H32,LEN(H32)-4)/10000</f>
        <v>1.6E-2</v>
      </c>
      <c r="AA32" s="204">
        <f>ABS(Z32-Y32)</f>
        <v>23.2803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/stypes="app*4031*20171011*"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120-11 --locoid 4031 --swversion DE.1.0.9.0 --startMP 204:232963 --initTime 2017-10-11T06:36:21 --startdatetime 2017-10-11T06:57:17 --delay 44 --endMP 204:160 --enddatetime 2017-10-11T07:35:12 --enforcementcount 0 &gt;&gt;%USERPROFILE%\Documents\GitHub\eaglep3-reporting\EC\2017-10-11-refined-times.txt</v>
      </c>
      <c r="AI32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{"issue":{"subject":"","project_id":79,"tracker_id":40,"status_id":1,"priority_id":2,"assigned_to_id":338,"start_date":"2017-10-11","description":"","custom_fields":[{"id":1,"name":"Subdivision","value":"EC"},{"id":4,"name":"Milepost","value":"0.016"},{"id":17,"name":"Train ID","value":"120-11"},{"id":16,"name":"Locomotive ID","value":"4031"},{"id":130,"name":"Impact","value":""},{"id":150,"name":"Time of Event (Mountain Time)","value":"07:35:12"},{"id":151,"name":"Denver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4031 --day 2017-10-11</v>
      </c>
      <c r="AN32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-11T05:36:21-0600',mode:absolute,to:'2017-10-11T08:35:12-0600'))&amp;_a=(columns:!('Message%20ID',Summary),filters:!(),index:'emp_*',interval:auto,query:(query_string:(analyze_wildcard:!t,query:'%22rtdc.l.rtdc.4031%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647</v>
      </c>
      <c r="B33" s="7">
        <v>4036</v>
      </c>
      <c r="C33" s="21" t="s">
        <v>194</v>
      </c>
      <c r="D33" s="21" t="s">
        <v>402</v>
      </c>
      <c r="E33" s="13">
        <v>43019.256516203706</v>
      </c>
      <c r="F33" s="13">
        <v>43019.260798611111</v>
      </c>
      <c r="G33" s="7">
        <v>54</v>
      </c>
      <c r="H33" s="21" t="s">
        <v>480</v>
      </c>
      <c r="I33" s="13">
        <v>43019.286215277774</v>
      </c>
      <c r="J33" s="7">
        <v>0</v>
      </c>
      <c r="K33" s="89" t="str">
        <f>IF(ISEVEN(B33),(B33-1)&amp;"/"&amp;B33,B33&amp;"/"&amp;(B33+1))</f>
        <v>4035/4036</v>
      </c>
      <c r="L33" s="185" t="str">
        <f>VLOOKUP(A33,'Trips&amp;Operators'!$C$1:$G$99911,5,FALSE)</f>
        <v>YANG JAN</v>
      </c>
      <c r="M33" s="6">
        <f>I33-F33</f>
        <v>2.5416666663659271E-2</v>
      </c>
      <c r="N33" s="7">
        <f>24*60*SUM($M33:$M33)</f>
        <v>36.59999999566935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-11T05:09:23-0600',mode:absolute,to:'2017-10-11T07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4.7500000000000001E-2</v>
      </c>
      <c r="Z33" s="204">
        <f>RIGHT(H33,LEN(H33)-4)/10000</f>
        <v>23.332699999999999</v>
      </c>
      <c r="AA33" s="204">
        <f>ABS(Z33-Y33)</f>
        <v>23.2852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/stypes="app*4036*20171011*"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121-11 --locoid 4036 --swversion DE.1.0.9.0 --startMP 204:475 --initTime 2017-10-11T06:09:23 --startdatetime 2017-10-11T06:15:33 --delay 54 --endMP 204:233327 --enddatetime 2017-10-11T06:52:09 --enforcementcount 0 &gt;&gt;%USERPROFILE%\Documents\GitHub\eaglep3-reporting\EC\2017-10-11-refined-times.txt</v>
      </c>
      <c r="AI33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{"issue":{"subject":"","project_id":79,"tracker_id":40,"status_id":1,"priority_id":2,"assigned_to_id":338,"start_date":"2017-10-11","description":"","custom_fields":[{"id":1,"name":"Subdivision","value":"EC"},{"id":4,"name":"Milepost","value":"23.3327"},{"id":17,"name":"Train ID","value":"121-11"},{"id":16,"name":"Locomotive ID","value":"4036"},{"id":130,"name":"Impact","value":""},{"id":150,"name":"Time of Event (Mountain Time)","value":"06:52:09"},{"id":151,"name":"Denver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4036 --day 2017-10-11</v>
      </c>
      <c r="AN33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-11T05:09:23-0600',mode:absolute,to:'2017-10-11T07:52:09-0600'))&amp;_a=(columns:!('Message%20ID',Summary),filters:!(),index:'emp_*',interval:auto,query:(query_string:(analyze_wildcard:!t,query:'%22rtdc.l.rtdc.4036%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657</v>
      </c>
      <c r="B34" s="7">
        <v>4035</v>
      </c>
      <c r="C34" s="21" t="s">
        <v>194</v>
      </c>
      <c r="D34" s="21" t="s">
        <v>540</v>
      </c>
      <c r="E34" s="13">
        <v>43019.296261574076</v>
      </c>
      <c r="F34" s="13">
        <v>43019.30023148148</v>
      </c>
      <c r="G34" s="7">
        <v>55</v>
      </c>
      <c r="H34" s="21" t="s">
        <v>356</v>
      </c>
      <c r="I34" s="13">
        <v>43019.327222222222</v>
      </c>
      <c r="J34" s="7">
        <v>0</v>
      </c>
      <c r="K34" s="89" t="str">
        <f>IF(ISEVEN(B34),(B34-1)&amp;"/"&amp;B34,B34&amp;"/"&amp;(B34+1))</f>
        <v>4035/4036</v>
      </c>
      <c r="L34" s="185" t="str">
        <f>VLOOKUP(A34,'Trips&amp;Operators'!$C$1:$G$99911,5,FALSE)</f>
        <v>YANG JAN</v>
      </c>
      <c r="M34" s="6">
        <f>I34-F34</f>
        <v>2.6990740741894115E-2</v>
      </c>
      <c r="N34" s="7">
        <f>24*60*SUM($M34:$M34)</f>
        <v>38.866666668327525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-11T06:06:37-0600',mode:absolute,to:'2017-10-11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23.299800000000001</v>
      </c>
      <c r="Z34" s="204">
        <f>RIGHT(H34,LEN(H34)-4)/10000</f>
        <v>1.4500000000000001E-2</v>
      </c>
      <c r="AA34" s="204">
        <f>ABS(Z34-Y34)</f>
        <v>23.285299999999999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/stypes="app*4035*20171011*"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122-11 --locoid 4035 --swversion DE.1.0.9.0 --startMP 204:232998 --initTime 2017-10-11T07:06:37 --startdatetime 2017-10-11T07:12:20 --delay 55 --endMP 204:145 --enddatetime 2017-10-11T07:51:12 --enforcementcount 0 &gt;&gt;%USERPROFILE%\Documents\GitHub\eaglep3-reporting\EC\2017-10-11-refined-times.txt</v>
      </c>
      <c r="AI34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{"issue":{"subject":"","project_id":79,"tracker_id":40,"status_id":1,"priority_id":2,"assigned_to_id":338,"start_date":"2017-10-11","description":"","custom_fields":[{"id":1,"name":"Subdivision","value":"EC"},{"id":4,"name":"Milepost","value":"0.0145"},{"id":17,"name":"Train ID","value":"122-11"},{"id":16,"name":"Locomotive ID","value":"4035"},{"id":130,"name":"Impact","value":""},{"id":150,"name":"Time of Event (Mountain Time)","value":"07:51:12"},{"id":151,"name":"Denver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4035 --day 2017-10-11</v>
      </c>
      <c r="AN34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-11T06:06:37-0600',mode:absolute,to:'2017-10-11T08:51:12-0600'))&amp;_a=(columns:!('Message%20ID',Summary),filters:!(),index:'emp_*',interval:auto,query:(query_string:(analyze_wildcard:!t,query:'%22rtdc.l.rtdc.4035%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650</v>
      </c>
      <c r="B35" s="7">
        <v>4018</v>
      </c>
      <c r="C35" s="21" t="s">
        <v>194</v>
      </c>
      <c r="D35" s="21" t="s">
        <v>454</v>
      </c>
      <c r="E35" s="13">
        <v>43019.267476851855</v>
      </c>
      <c r="F35" s="13">
        <v>43019.270972222221</v>
      </c>
      <c r="G35" s="7">
        <v>53</v>
      </c>
      <c r="H35" s="21" t="s">
        <v>441</v>
      </c>
      <c r="I35" s="13">
        <v>43019.296793981484</v>
      </c>
      <c r="J35" s="7">
        <v>0</v>
      </c>
      <c r="K35" s="89" t="str">
        <f>IF(ISEVEN(B35),(B35-1)&amp;"/"&amp;B35,B35&amp;"/"&amp;(B35+1))</f>
        <v>4017/4018</v>
      </c>
      <c r="L35" s="185" t="str">
        <f>VLOOKUP(A35,'Trips&amp;Operators'!$C$1:$G$99911,5,FALSE)</f>
        <v>DAVIS WENDY</v>
      </c>
      <c r="M35" s="6">
        <f>I35-F35</f>
        <v>2.5821759263635613E-2</v>
      </c>
      <c r="N35" s="7">
        <f>24*60*SUM($M35:$M35)</f>
        <v>37.183333339635283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-11T05:25:10-0600',mode:absolute,to:'2017-10-11T08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4.6399999999999997E-2</v>
      </c>
      <c r="Z35" s="204">
        <f>RIGHT(H35,LEN(H35)-4)/10000</f>
        <v>23.327999999999999</v>
      </c>
      <c r="AA35" s="204">
        <f>ABS(Z35-Y35)</f>
        <v>23.281600000000001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/stypes="app*4018*20171011*"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123-11 --locoid 4018 --swversion DE.1.0.9.0 --startMP 204:464 --initTime 2017-10-11T06:25:10 --startdatetime 2017-10-11T06:30:12 --delay 53 --endMP 204:233280 --enddatetime 2017-10-11T07:07:23 --enforcementcount 0 &gt;&gt;%USERPROFILE%\Documents\GitHub\eaglep3-reporting\EC\2017-10-11-refined-times.txt</v>
      </c>
      <c r="AI35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{"issue":{"subject":"","project_id":79,"tracker_id":40,"status_id":1,"priority_id":2,"assigned_to_id":338,"start_date":"2017-10-11","description":"","custom_fields":[{"id":1,"name":"Subdivision","value":"EC"},{"id":4,"name":"Milepost","value":"23.328"},{"id":17,"name":"Train ID","value":"123-11"},{"id":16,"name":"Locomotive ID","value":"4018"},{"id":130,"name":"Impact","value":""},{"id":150,"name":"Time of Event (Mountain Time)","value":"07:07:23"},{"id":151,"name":"Denver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4018 --day 2017-10-11</v>
      </c>
      <c r="AN35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-11T05:25:10-0600',mode:absolute,to:'2017-10-11T08:07:23-0600'))&amp;_a=(columns:!('Message%20ID',Summary),filters:!(),index:'emp_*',interval:auto,query:(query_string:(analyze_wildcard:!t,query:'%22rtdc.l.rtdc.4018%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658</v>
      </c>
      <c r="B36" s="7">
        <v>4017</v>
      </c>
      <c r="C36" s="21" t="s">
        <v>194</v>
      </c>
      <c r="D36" s="21" t="s">
        <v>442</v>
      </c>
      <c r="E36" s="13">
        <v>43019.298356481479</v>
      </c>
      <c r="F36" s="13">
        <v>43019.310648148145</v>
      </c>
      <c r="G36" s="7">
        <v>51</v>
      </c>
      <c r="H36" s="21" t="s">
        <v>337</v>
      </c>
      <c r="I36" s="13">
        <v>43019.33798611111</v>
      </c>
      <c r="J36" s="7">
        <v>0</v>
      </c>
      <c r="K36" s="89" t="str">
        <f>IF(ISEVEN(B36),(B36-1)&amp;"/"&amp;B36,B36&amp;"/"&amp;(B36+1))</f>
        <v>4017/4018</v>
      </c>
      <c r="L36" s="185" t="str">
        <f>VLOOKUP(A36,'Trips&amp;Operators'!$C$1:$G$99911,5,FALSE)</f>
        <v>DAVIS WENDY</v>
      </c>
      <c r="M36" s="6">
        <f>I36-F36</f>
        <v>2.7337962965248153E-2</v>
      </c>
      <c r="N36" s="7">
        <f>24*60*SUM($M36:$M36)</f>
        <v>39.36666666995734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-11T06:09:38-0600',mode:absolute,to:'2017-10-11T09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23.297499999999999</v>
      </c>
      <c r="Z36" s="204">
        <f>RIGHT(H36,LEN(H36)-4)/10000</f>
        <v>1.43E-2</v>
      </c>
      <c r="AA36" s="204">
        <f>ABS(Z36-Y36)</f>
        <v>23.283200000000001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/stypes="app*4017*20171011*"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124-11 --locoid 4017 --swversion DE.1.0.9.0 --startMP 204:232975 --initTime 2017-10-11T07:09:38 --startdatetime 2017-10-11T07:27:20 --delay 51 --endMP 204:143 --enddatetime 2017-10-11T08:06:42 --enforcementcount 0 &gt;&gt;%USERPROFILE%\Documents\GitHub\eaglep3-reporting\EC\2017-10-11-refined-times.txt</v>
      </c>
      <c r="AI36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{"issue":{"subject":"","project_id":79,"tracker_id":40,"status_id":1,"priority_id":2,"assigned_to_id":338,"start_date":"2017-10-11","description":"","custom_fields":[{"id":1,"name":"Subdivision","value":"EC"},{"id":4,"name":"Milepost","value":"0.0143"},{"id":17,"name":"Train ID","value":"124-11"},{"id":16,"name":"Locomotive ID","value":"4017"},{"id":130,"name":"Impact","value":""},{"id":150,"name":"Time of Event (Mountain Time)","value":"08:06:42"},{"id":151,"name":"Denver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4017 --day 2017-10-11</v>
      </c>
      <c r="AN36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-11T06:09:38-0600',mode:absolute,to:'2017-10-11T09:06:42-0600'))&amp;_a=(columns:!('Message%20ID',Summary),filters:!(),index:'emp_*',interval:auto,query:(query_string:(analyze_wildcard:!t,query:'%22rtdc.l.rtdc.4017%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653</v>
      </c>
      <c r="B37" s="7">
        <v>4046</v>
      </c>
      <c r="C37" s="21" t="s">
        <v>194</v>
      </c>
      <c r="D37" s="21" t="s">
        <v>393</v>
      </c>
      <c r="E37" s="13">
        <v>43019.279826388891</v>
      </c>
      <c r="F37" s="13">
        <v>43019.281481481485</v>
      </c>
      <c r="G37" s="7">
        <v>48</v>
      </c>
      <c r="H37" s="21" t="s">
        <v>541</v>
      </c>
      <c r="I37" s="13">
        <v>43019.306284722225</v>
      </c>
      <c r="J37" s="7">
        <v>0</v>
      </c>
      <c r="K37" s="89" t="str">
        <f>IF(ISEVEN(B37),(B37-1)&amp;"/"&amp;B37,B37&amp;"/"&amp;(B37+1))</f>
        <v>4045/4046</v>
      </c>
      <c r="L37" s="185" t="str">
        <f>VLOOKUP(A37,'Trips&amp;Operators'!$C$1:$G$99911,5,FALSE)</f>
        <v>ROCHA YAOTL</v>
      </c>
      <c r="M37" s="6">
        <f>I37-F37</f>
        <v>2.4803240739856847E-2</v>
      </c>
      <c r="N37" s="7">
        <f>24*60*SUM($M37:$M37)</f>
        <v>35.716666665393859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-11T05:42:57-0600',mode:absolute,to:'2017-10-11T08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4.6699999999999998E-2</v>
      </c>
      <c r="Z37" s="204">
        <f>RIGHT(H37,LEN(H37)-4)/10000</f>
        <v>23.338899999999999</v>
      </c>
      <c r="AA37" s="204">
        <f>ABS(Z37-Y37)</f>
        <v>23.292199999999998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/stypes="app*4046*20171011*"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125-11 --locoid 4046 --swversion DE.1.0.9.0 --startMP 204:467 --initTime 2017-10-11T06:42:57 --startdatetime 2017-10-11T06:45:20 --delay 48 --endMP 204:233389 --enddatetime 2017-10-11T07:21:03 --enforcementcount 0 &gt;&gt;%USERPROFILE%\Documents\GitHub\eaglep3-reporting\EC\2017-10-11-refined-times.txt</v>
      </c>
      <c r="AI37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{"issue":{"subject":"","project_id":79,"tracker_id":40,"status_id":1,"priority_id":2,"assigned_to_id":338,"start_date":"2017-10-11","description":"","custom_fields":[{"id":1,"name":"Subdivision","value":"EC"},{"id":4,"name":"Milepost","value":"23.3389"},{"id":17,"name":"Train ID","value":"125-11"},{"id":16,"name":"Locomotive ID","value":"4046"},{"id":130,"name":"Impact","value":""},{"id":150,"name":"Time of Event (Mountain Time)","value":"07:21:03"},{"id":151,"name":"Denver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4046 --day 2017-10-11</v>
      </c>
      <c r="AN37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-11T05:42:57-0600',mode:absolute,to:'2017-10-11T08:21:03-0600'))&amp;_a=(columns:!('Message%20ID',Summary),filters:!(),index:'emp_*',interval:auto,query:(query_string:(analyze_wildcard:!t,query:'%22rtdc.l.rtdc.4046%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665</v>
      </c>
      <c r="B38" s="7">
        <v>4045</v>
      </c>
      <c r="C38" s="21" t="s">
        <v>194</v>
      </c>
      <c r="D38" s="21" t="s">
        <v>841</v>
      </c>
      <c r="E38" s="13">
        <v>43019.318506944444</v>
      </c>
      <c r="F38" s="13">
        <v>43019.321030092593</v>
      </c>
      <c r="G38" s="7">
        <v>60</v>
      </c>
      <c r="H38" s="21" t="s">
        <v>406</v>
      </c>
      <c r="I38" s="13">
        <v>43019.346712962964</v>
      </c>
      <c r="J38" s="7">
        <v>0</v>
      </c>
      <c r="K38" s="89" t="str">
        <f>IF(ISEVEN(B38),(B38-1)&amp;"/"&amp;B38,B38&amp;"/"&amp;(B38+1))</f>
        <v>4045/4046</v>
      </c>
      <c r="L38" s="185" t="str">
        <f>VLOOKUP(A38,'Trips&amp;Operators'!$C$1:$G$99911,5,FALSE)</f>
        <v>ROCHA YAOTL</v>
      </c>
      <c r="M38" s="6">
        <f>I38-F38</f>
        <v>2.5682870371383615E-2</v>
      </c>
      <c r="N38" s="7">
        <f>24*60*SUM($M38:$M38)</f>
        <v>36.983333334792405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-11T06:38:39-0600',mode:absolute,to:'2017-10-11T09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23.304200000000002</v>
      </c>
      <c r="Z38" s="204">
        <f>RIGHT(H38,LEN(H38)-4)/10000</f>
        <v>1.6E-2</v>
      </c>
      <c r="AA38" s="204">
        <f>ABS(Z38-Y38)</f>
        <v>23.288200000000003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/stypes="app*4045*20171011*"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126-11 --locoid 4045 --swversion DE.1.0.9.0 --startMP 204:233042 --initTime 2017-10-11T07:38:39 --startdatetime 2017-10-11T07:42:17 --delay 60 --endMP 204:160 --enddatetime 2017-10-11T08:19:16 --enforcementcount 0 &gt;&gt;%USERPROFILE%\Documents\GitHub\eaglep3-reporting\EC\2017-10-11-refined-times.txt</v>
      </c>
      <c r="AI38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{"issue":{"subject":"","project_id":79,"tracker_id":40,"status_id":1,"priority_id":2,"assigned_to_id":338,"start_date":"2017-10-11","description":"","custom_fields":[{"id":1,"name":"Subdivision","value":"EC"},{"id":4,"name":"Milepost","value":"0.016"},{"id":17,"name":"Train ID","value":"126-11"},{"id":16,"name":"Locomotive ID","value":"4045"},{"id":130,"name":"Impact","value":""},{"id":150,"name":"Time of Event (Mountain Time)","value":"08:19:16"},{"id":151,"name":"Denver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4045 --day 2017-10-11</v>
      </c>
      <c r="AN38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-11T06:38:39-0600',mode:absolute,to:'2017-10-11T09:19:16-0600'))&amp;_a=(columns:!('Message%20ID',Summary),filters:!(),index:'emp_*',interval:auto,query:(query_string:(analyze_wildcard:!t,query:'%22rtdc.l.rtdc.4045%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654</v>
      </c>
      <c r="B39" s="7">
        <v>4016</v>
      </c>
      <c r="C39" s="21" t="s">
        <v>194</v>
      </c>
      <c r="D39" s="21" t="s">
        <v>363</v>
      </c>
      <c r="E39" s="13">
        <v>43019.28597222222</v>
      </c>
      <c r="F39" s="13">
        <v>43019.291805555556</v>
      </c>
      <c r="G39" s="7">
        <v>93</v>
      </c>
      <c r="H39" s="21" t="s">
        <v>543</v>
      </c>
      <c r="I39" s="13">
        <v>43019.315682870372</v>
      </c>
      <c r="J39" s="7">
        <v>0</v>
      </c>
      <c r="K39" s="89" t="str">
        <f>IF(ISEVEN(B39),(B39-1)&amp;"/"&amp;B39,B39&amp;"/"&amp;(B39+1))</f>
        <v>4015/4016</v>
      </c>
      <c r="L39" s="185" t="str">
        <f>VLOOKUP(A39,'Trips&amp;Operators'!$C$1:$G$99911,5,FALSE)</f>
        <v>YANAI IAN</v>
      </c>
      <c r="M39" s="6">
        <f>I39-F39</f>
        <v>2.3877314815763384E-2</v>
      </c>
      <c r="N39" s="7">
        <f>24*60*SUM($M39:$M39)</f>
        <v>34.383333334699273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-11T05:51:48-0600',mode:absolute,to:'2017-10-11T08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4.5999999999999999E-2</v>
      </c>
      <c r="Z39" s="204">
        <f>RIGHT(H39,LEN(H39)-4)/10000</f>
        <v>23.3309</v>
      </c>
      <c r="AA39" s="204">
        <f>ABS(Z39-Y39)</f>
        <v>23.2849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/stypes="app*4016*20171011*"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127-11 --locoid 4016 --swversion DE.1.0.9.0 --startMP 204:460 --initTime 2017-10-11T06:51:48 --startdatetime 2017-10-11T07:00:12 --delay 93 --endMP 204:233309 --enddatetime 2017-10-11T07:34:35 --enforcementcount 0 &gt;&gt;%USERPROFILE%\Documents\GitHub\eaglep3-reporting\EC\2017-10-11-refined-times.txt</v>
      </c>
      <c r="AI39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{"issue":{"subject":"","project_id":79,"tracker_id":40,"status_id":1,"priority_id":2,"assigned_to_id":338,"start_date":"2017-10-11","description":"","custom_fields":[{"id":1,"name":"Subdivision","value":"EC"},{"id":4,"name":"Milepost","value":"23.3309"},{"id":17,"name":"Train ID","value":"127-11"},{"id":16,"name":"Locomotive ID","value":"4016"},{"id":130,"name":"Impact","value":""},{"id":150,"name":"Time of Event (Mountain Time)","value":"07:34:35"},{"id":151,"name":"Denver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4016 --day 2017-10-11</v>
      </c>
      <c r="AN39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-11T05:51:48-0600',mode:absolute,to:'2017-10-11T08:34:35-0600'))&amp;_a=(columns:!('Message%20ID',Summary),filters:!(),index:'emp_*',interval:auto,query:(query_string:(analyze_wildcard:!t,query:'%22rtdc.l.rtdc.4016%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663</v>
      </c>
      <c r="B40" s="7">
        <v>4015</v>
      </c>
      <c r="C40" s="21" t="s">
        <v>194</v>
      </c>
      <c r="D40" s="21" t="s">
        <v>531</v>
      </c>
      <c r="E40" s="13">
        <v>43019.317106481481</v>
      </c>
      <c r="F40" s="13">
        <v>43019.331423611111</v>
      </c>
      <c r="G40" s="7">
        <v>50</v>
      </c>
      <c r="H40" s="21" t="s">
        <v>842</v>
      </c>
      <c r="I40" s="13">
        <v>43019.357430555552</v>
      </c>
      <c r="J40" s="7">
        <v>0</v>
      </c>
      <c r="K40" s="89" t="str">
        <f>IF(ISEVEN(B40),(B40-1)&amp;"/"&amp;B40,B40&amp;"/"&amp;(B40+1))</f>
        <v>4015/4016</v>
      </c>
      <c r="L40" s="185" t="str">
        <f>VLOOKUP(A40,'Trips&amp;Operators'!$C$1:$G$99911,5,FALSE)</f>
        <v>YANAI IAN</v>
      </c>
      <c r="M40" s="6">
        <f>I40-F40</f>
        <v>2.6006944441178348E-2</v>
      </c>
      <c r="N40" s="7">
        <f>24*60*SUM($M40:$M40)</f>
        <v>37.449999995296821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-11T06:36:38-0600',mode:absolute,to:'2017-10-11T09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23.298999999999999</v>
      </c>
      <c r="Z40" s="204">
        <f>RIGHT(H40,LEN(H40)-4)/10000</f>
        <v>1.38E-2</v>
      </c>
      <c r="AA40" s="204">
        <f>ABS(Z40-Y40)</f>
        <v>23.2852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/stypes="app*4015*20171011*"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128-11 --locoid 4015 --swversion DE.1.0.9.0 --startMP 204:232990 --initTime 2017-10-11T07:36:38 --startdatetime 2017-10-11T07:57:15 --delay 50 --endMP 204:138 --enddatetime 2017-10-11T08:34:42 --enforcementcount 0 &gt;&gt;%USERPROFILE%\Documents\GitHub\eaglep3-reporting\EC\2017-10-11-refined-times.txt</v>
      </c>
      <c r="AI40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{"issue":{"subject":"","project_id":79,"tracker_id":40,"status_id":1,"priority_id":2,"assigned_to_id":338,"start_date":"2017-10-11","description":"","custom_fields":[{"id":1,"name":"Subdivision","value":"EC"},{"id":4,"name":"Milepost","value":"0.0138"},{"id":17,"name":"Train ID","value":"128-11"},{"id":16,"name":"Locomotive ID","value":"4015"},{"id":130,"name":"Impact","value":""},{"id":150,"name":"Time of Event (Mountain Time)","value":"08:34:42"},{"id":151,"name":"Denver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4015 --day 2017-10-11</v>
      </c>
      <c r="AN40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-11T06:36:38-0600',mode:absolute,to:'2017-10-11T09:34:42-0600'))&amp;_a=(columns:!('Message%20ID',Summary),filters:!(),index:'emp_*',interval:auto,query:(query_string:(analyze_wildcard:!t,query:'%22rtdc.l.rtdc.4015%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659</v>
      </c>
      <c r="B41" s="7">
        <v>4014</v>
      </c>
      <c r="C41" s="21" t="s">
        <v>194</v>
      </c>
      <c r="D41" s="21" t="s">
        <v>345</v>
      </c>
      <c r="E41" s="13">
        <v>43019.301759259259</v>
      </c>
      <c r="F41" s="13">
        <v>43019.302997685183</v>
      </c>
      <c r="G41" s="7">
        <v>51</v>
      </c>
      <c r="H41" s="21" t="s">
        <v>843</v>
      </c>
      <c r="I41" s="13">
        <v>43019.328055555554</v>
      </c>
      <c r="J41" s="7">
        <v>0</v>
      </c>
      <c r="K41" s="89" t="str">
        <f>IF(ISEVEN(B41),(B41-1)&amp;"/"&amp;B41,B41&amp;"/"&amp;(B41+1))</f>
        <v>4013/4014</v>
      </c>
      <c r="L41" s="185" t="str">
        <f>VLOOKUP(A41,'Trips&amp;Operators'!$C$1:$G$99911,5,FALSE)</f>
        <v>THOMPSON LESTER</v>
      </c>
      <c r="M41" s="6">
        <f>I41-F41</f>
        <v>2.5057870370801538E-2</v>
      </c>
      <c r="N41" s="7">
        <f>24*60*SUM($M41:$M41)</f>
        <v>36.083333333954215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-11T06:14:32-0600',mode:absolute,to:'2017-10-11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4.5499999999999999E-2</v>
      </c>
      <c r="Z41" s="204">
        <f>RIGHT(H41,LEN(H41)-4)/10000</f>
        <v>23.3293</v>
      </c>
      <c r="AA41" s="204">
        <f>ABS(Z41-Y41)</f>
        <v>23.283799999999999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/stypes="app*4014*20171011*"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129-11 --locoid 4014 --swversion DE.1.0.9.0 --startMP 204:455 --initTime 2017-10-11T07:14:32 --startdatetime 2017-10-11T07:16:19 --delay 51 --endMP 204:233293 --enddatetime 2017-10-11T07:52:24 --enforcementcount 0 &gt;&gt;%USERPROFILE%\Documents\GitHub\eaglep3-reporting\EC\2017-10-11-refined-times.txt</v>
      </c>
      <c r="AI41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{"issue":{"subject":"","project_id":79,"tracker_id":40,"status_id":1,"priority_id":2,"assigned_to_id":338,"start_date":"2017-10-11","description":"","custom_fields":[{"id":1,"name":"Subdivision","value":"EC"},{"id":4,"name":"Milepost","value":"23.3293"},{"id":17,"name":"Train ID","value":"129-11"},{"id":16,"name":"Locomotive ID","value":"4014"},{"id":130,"name":"Impact","value":""},{"id":150,"name":"Time of Event (Mountain Time)","value":"07:52:24"},{"id":151,"name":"Denver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4014 --day 2017-10-11</v>
      </c>
      <c r="AN41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-11T06:14:32-0600',mode:absolute,to:'2017-10-11T08:52:24-0600'))&amp;_a=(columns:!('Message%20ID',Summary),filters:!(),index:'emp_*',interval:auto,query:(query_string:(analyze_wildcard:!t,query:'%22rtdc.l.rtdc.4014%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669</v>
      </c>
      <c r="B42" s="7">
        <v>4013</v>
      </c>
      <c r="C42" s="21" t="s">
        <v>194</v>
      </c>
      <c r="D42" s="21" t="s">
        <v>456</v>
      </c>
      <c r="E42" s="13">
        <v>43019.33934027778</v>
      </c>
      <c r="F42" s="13">
        <v>43019.341828703706</v>
      </c>
      <c r="G42" s="7">
        <v>51</v>
      </c>
      <c r="H42" s="21" t="s">
        <v>335</v>
      </c>
      <c r="I42" s="13">
        <v>43019.368900462963</v>
      </c>
      <c r="J42" s="7">
        <v>0</v>
      </c>
      <c r="K42" s="89" t="str">
        <f>IF(ISEVEN(B42),(B42-1)&amp;"/"&amp;B42,B42&amp;"/"&amp;(B42+1))</f>
        <v>4013/4014</v>
      </c>
      <c r="L42" s="185" t="str">
        <f>VLOOKUP(A42,'Trips&amp;Operators'!$C$1:$G$99911,5,FALSE)</f>
        <v>THOMPSON LESTER</v>
      </c>
      <c r="M42" s="6">
        <f>I42-F42</f>
        <v>2.7071759257523809E-2</v>
      </c>
      <c r="N42" s="7">
        <f>24*60*SUM($M42:$M42)</f>
        <v>38.983333330834284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-11T07:08:39-0600',mode:absolute,to:'2017-10-11T09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23.299099999999999</v>
      </c>
      <c r="Z42" s="204">
        <f>RIGHT(H42,LEN(H42)-4)/10000</f>
        <v>1.4999999999999999E-2</v>
      </c>
      <c r="AA42" s="204">
        <f>ABS(Z42-Y42)</f>
        <v>23.284099999999999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/stypes="app*4013*20171011*"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130-11 --locoid 4013 --swversion DE.1.0.9.0 --startMP 204:232991 --initTime 2017-10-11T08:08:39 --startdatetime 2017-10-11T08:12:14 --delay 51 --endMP 204:150 --enddatetime 2017-10-11T08:51:13 --enforcementcount 0 &gt;&gt;%USERPROFILE%\Documents\GitHub\eaglep3-reporting\EC\2017-10-11-refined-times.txt</v>
      </c>
      <c r="AI42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{"issue":{"subject":"","project_id":79,"tracker_id":40,"status_id":1,"priority_id":2,"assigned_to_id":338,"start_date":"2017-10-11","description":"","custom_fields":[{"id":1,"name":"Subdivision","value":"EC"},{"id":4,"name":"Milepost","value":"0.015"},{"id":17,"name":"Train ID","value":"130-11"},{"id":16,"name":"Locomotive ID","value":"4013"},{"id":130,"name":"Impact","value":""},{"id":150,"name":"Time of Event (Mountain Time)","value":"08:51:13"},{"id":151,"name":"Denver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4013 --day 2017-10-11</v>
      </c>
      <c r="AN42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-11T07:08:39-0600',mode:absolute,to:'2017-10-11T09:51:13-0600'))&amp;_a=(columns:!('Message%20ID',Summary),filters:!(),index:'emp_*',interval:auto,query:(query_string:(analyze_wildcard:!t,query:'%22rtdc.l.rtdc.4013%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660</v>
      </c>
      <c r="B43" s="7">
        <v>4024</v>
      </c>
      <c r="C43" s="21" t="s">
        <v>194</v>
      </c>
      <c r="D43" s="21" t="s">
        <v>334</v>
      </c>
      <c r="E43" s="13">
        <v>43019.30773148148</v>
      </c>
      <c r="F43" s="13">
        <v>43019.312673611108</v>
      </c>
      <c r="G43" s="7">
        <v>76</v>
      </c>
      <c r="H43" s="21" t="s">
        <v>542</v>
      </c>
      <c r="I43" s="13">
        <v>43019.336956018517</v>
      </c>
      <c r="J43" s="7">
        <v>0</v>
      </c>
      <c r="K43" s="89" t="str">
        <f>IF(ISEVEN(B43),(B43-1)&amp;"/"&amp;B43,B43&amp;"/"&amp;(B43+1))</f>
        <v>4023/4024</v>
      </c>
      <c r="L43" s="185" t="str">
        <f>VLOOKUP(A43,'Trips&amp;Operators'!$C$1:$G$99911,5,FALSE)</f>
        <v>FORTUNATO FRANK</v>
      </c>
      <c r="M43" s="6">
        <f>I43-F43</f>
        <v>2.4282407408463769E-2</v>
      </c>
      <c r="N43" s="7">
        <f>24*60*SUM($M43:$M43)</f>
        <v>34.966666668187827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-11T06:23:08-0600',mode:absolute,to:'2017-10-11T09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4.4600000000000001E-2</v>
      </c>
      <c r="Z43" s="204">
        <f>RIGHT(H43,LEN(H43)-4)/10000</f>
        <v>23.333400000000001</v>
      </c>
      <c r="AA43" s="204">
        <f>ABS(Z43-Y43)</f>
        <v>23.288800000000002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s3://rtdc.mdm.uploadarchive.raw/RTDC4024/ "%USERPROFILE%\AppData\Local\Temp\OnboardLogs"\RTDC4024\2017-10-11 --exclude "*" --recursive --include "*20171011*" &amp; "%USERPROFILE%\Documents\GitHub\mrs-test-scripts\Headless Mode &amp; Sideloading\WalkAndUnGZ.bat" "%USERPROFILE%\AppData\Local\Temp\OnboardLogs"\RTDC4024\2017-10-11 &amp; aws s3 cp s3://rtdc.mdm.uploadarchive.raw/RTDC4024/ "%USERPROFILE%\AppData\Local\Temp\OnboardLogs"\RTDC4024\2017-10-12 --exclude "*" --recursive --include "*20171012*" &amp; "%USERPROFILE%\Documents\GitHub\mrs-test-scripts\Headless Mode &amp; Sideloading\WalkAndUnGZ.bat" "%USERPROFILE%\AppData\Local\Temp\OnboardLogs"\RTDC4024\2017-10-12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/stypes="app*4024*20171011*"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131-11 --locoid 4024 --swversion DE.1.0.9.0 --startMP 204:446 --initTime 2017-10-11T07:23:08 --startdatetime 2017-10-11T07:30:15 --delay 76 --endMP 204:233334 --enddatetime 2017-10-11T08:05:13 --enforcementcount 0 &gt;&gt;%USERPROFILE%\Documents\GitHub\eaglep3-reporting\EC\2017-10-11-refined-times.txt</v>
      </c>
      <c r="AI43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{"issue":{"subject":"","project_id":79,"tracker_id":40,"status_id":1,"priority_id":2,"assigned_to_id":338,"start_date":"2017-10-11","description":"","custom_fields":[{"id":1,"name":"Subdivision","value":"EC"},{"id":4,"name":"Milepost","value":"23.3334"},{"id":17,"name":"Train ID","value":"131-11"},{"id":16,"name":"Locomotive ID","value":"4024"},{"id":130,"name":"Impact","value":""},{"id":150,"name":"Time of Event (Mountain Time)","value":"08:05:13"},{"id":151,"name":"Denver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4024 --day 2017-10-11</v>
      </c>
      <c r="AN43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-11T06:23:08-0600',mode:absolute,to:'2017-10-11T09:05:13-0600'))&amp;_a=(columns:!('Message%20ID',Summary),filters:!(),index:'emp_*',interval:auto,query:(query_string:(analyze_wildcard:!t,query:'%22rtdc.l.rtdc.4024%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583</v>
      </c>
      <c r="B44" s="7">
        <v>4023</v>
      </c>
      <c r="C44" s="21" t="s">
        <v>194</v>
      </c>
      <c r="D44" s="21" t="s">
        <v>416</v>
      </c>
      <c r="E44" s="13">
        <v>43019.338530092595</v>
      </c>
      <c r="F44" s="13">
        <v>43019.352256944447</v>
      </c>
      <c r="G44" s="7">
        <v>54</v>
      </c>
      <c r="H44" s="21" t="s">
        <v>339</v>
      </c>
      <c r="I44" s="13">
        <v>43019.379212962966</v>
      </c>
      <c r="J44" s="7">
        <v>0</v>
      </c>
      <c r="K44" s="89" t="str">
        <f>IF(ISEVEN(B44),(B44-1)&amp;"/"&amp;B44,B44&amp;"/"&amp;(B44+1))</f>
        <v>4023/4024</v>
      </c>
      <c r="L44" s="185" t="str">
        <f>VLOOKUP(A44,'Trips&amp;Operators'!$C$1:$G$99911,5,FALSE)</f>
        <v>FORTUNATO FRANK</v>
      </c>
      <c r="M44" s="6">
        <f>I44-F44</f>
        <v>2.6956018518831115E-2</v>
      </c>
      <c r="N44" s="7">
        <f>24*60*SUM($M44:$M44)</f>
        <v>38.816666667116806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-11T07:07:29-0600',mode:absolute,to:'2017-10-11T10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23.297999999999998</v>
      </c>
      <c r="Z44" s="204">
        <f>RIGHT(H44,LEN(H44)-4)/10000</f>
        <v>1.47E-2</v>
      </c>
      <c r="AA44" s="204">
        <f>ABS(Z44-Y44)</f>
        <v>23.283299999999997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s3://rtdc.mdm.uploadarchive.raw/RTDC4023/ "%USERPROFILE%\AppData\Local\Temp\OnboardLogs"\RTDC4023\2017-10-11 --exclude "*" --recursive --include "*20171011*" &amp; "%USERPROFILE%\Documents\GitHub\mrs-test-scripts\Headless Mode &amp; Sideloading\WalkAndUnGZ.bat" "%USERPROFILE%\AppData\Local\Temp\OnboardLogs"\RTDC4023\2017-10-11 &amp; aws s3 cp s3://rtdc.mdm.uploadarchive.raw/RTDC4023/ "%USERPROFILE%\AppData\Local\Temp\OnboardLogs"\RTDC4023\2017-10-12 --exclude "*" --recursive --include "*20171012*" &amp; "%USERPROFILE%\Documents\GitHub\mrs-test-scripts\Headless Mode &amp; Sideloading\WalkAndUnGZ.bat" "%USERPROFILE%\AppData\Local\Temp\OnboardLogs"\RTDC4023\2017-10-12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/stypes="app*4023*20171011*"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132-11 --locoid 4023 --swversion DE.1.0.9.0 --startMP 204:232980 --initTime 2017-10-11T08:07:29 --startdatetime 2017-10-11T08:27:15 --delay 54 --endMP 204:147 --enddatetime 2017-10-11T09:06:04 --enforcementcount 0 &gt;&gt;%USERPROFILE%\Documents\GitHub\eaglep3-reporting\EC\2017-10-11-refined-times.txt</v>
      </c>
      <c r="AI44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ID","value":"132-11"},{"id":16,"name":"Locomotive ID","value":"4023"},{"id":130,"name":"Impact","value":""},{"id":150,"name":"Time of Event (Mountain Time)","value":"09:06:04"},{"id":151,"name":"Denver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4023 --day 2017-10-11</v>
      </c>
      <c r="AN44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-11T07:07:29-0600',mode:absolute,to:'2017-10-11T10:06:04-0600'))&amp;_a=(columns:!('Message%20ID',Summary),filters:!(),index:'emp_*',interval:auto,query:(query_string:(analyze_wildcard:!t,query:'%22rtdc.l.rtdc.4023%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664</v>
      </c>
      <c r="B45" s="7">
        <v>4032</v>
      </c>
      <c r="C45" s="21" t="s">
        <v>194</v>
      </c>
      <c r="D45" s="21" t="s">
        <v>397</v>
      </c>
      <c r="E45" s="13">
        <v>43019.317407407405</v>
      </c>
      <c r="F45" s="13">
        <v>43019.323159722226</v>
      </c>
      <c r="G45" s="7">
        <v>55</v>
      </c>
      <c r="H45" s="21" t="s">
        <v>403</v>
      </c>
      <c r="I45" s="13">
        <v>43019.347696759258</v>
      </c>
      <c r="J45" s="7">
        <v>0</v>
      </c>
      <c r="K45" s="89" t="str">
        <f>IF(ISEVEN(B45),(B45-1)&amp;"/"&amp;B45,B45&amp;"/"&amp;(B45+1))</f>
        <v>4031/4032</v>
      </c>
      <c r="L45" s="185" t="str">
        <f>VLOOKUP(A45,'Trips&amp;Operators'!$C$1:$G$99911,5,FALSE)</f>
        <v>YORK EDGAR</v>
      </c>
      <c r="M45" s="6">
        <f>I45-F45</f>
        <v>2.4537037032132503E-2</v>
      </c>
      <c r="N45" s="7">
        <f>24*60*SUM($M45:$M45)</f>
        <v>35.333333326270804</v>
      </c>
      <c r="O45" s="7"/>
      <c r="P45" s="7"/>
      <c r="Q45" s="22"/>
      <c r="R45" s="174" t="s">
        <v>1019</v>
      </c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-11T06:37:04-0600',mode:absolute,to:'2017-10-11T09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4.6899999999999997E-2</v>
      </c>
      <c r="Z45" s="204">
        <f>RIGHT(H45,LEN(H45)-4)/10000</f>
        <v>23.3308</v>
      </c>
      <c r="AA45" s="204">
        <f>ABS(Z45-Y45)</f>
        <v>23.283899999999999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/stypes="app*4032*20171011*"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133-11 --locoid 4032 --swversion DE.1.0.9.0 --startMP 204:469 --initTime 2017-10-11T07:37:04 --startdatetime 2017-10-11T07:45:21 --delay 55 --endMP 204:233308 --enddatetime 2017-10-11T08:20:41 --enforcementcount 0 &gt;&gt;%USERPROFILE%\Documents\GitHub\eaglep3-reporting\EC\2017-10-11-refined-times.txt</v>
      </c>
      <c r="AI45" s="96" t="str">
        <f t="shared" si="6"/>
        <v>echo {"issue":{"subject":"Observed Wi-MAX data drop, unhealthy banner","project_id":79,"tracker_id":40,"status_id":1,"priority_id":2,"assigned_to_id":338,"start_date":"2017-10-11","description":"","custom_fields":[{"id":1,"name":"Subdivision","value":"EC"},{"id":4,"name":"Milepost","value":"23.3308"},{"id":17,"name":"Train ID","value":"133-11"},{"id":16,"name":"Locomotive ID","value":"4032"},{"id":130,"name":"Impact","value":""},{"id":150,"name":"Time of Event (Mountain Time)","value":"08:20:41"},{"id":151,"name":"Denver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4032 --day 2017-10-11</v>
      </c>
      <c r="AN45" s="151" t="str">
        <f t="shared" si="8"/>
        <v>echo {"issue":{"subject":"Observed Wi-MAX data drop, unhealthy banner","project_id":30,"tracker_id":4,"status_id":1,"priority_id":1,"assigned_to_id":10,"start_date":"2017-10-11","description":"","custom_fields":[{"id":30,"name":"Category","value":"Issue"},{"id":3,"name":"Functional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-11T06:37:04-0600',mode:absolute,to:'2017-10-11T09:20:41-0600'))&amp;_a=(columns:!('Message%20ID',Summary),filters:!(),index:'emp_*',interval:auto,query:(query_string:(analyze_wildcard:!t,query:'%22rtdc.l.rtdc.4032%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670</v>
      </c>
      <c r="B46" s="7">
        <v>4031</v>
      </c>
      <c r="C46" s="21" t="s">
        <v>194</v>
      </c>
      <c r="D46" s="21" t="s">
        <v>453</v>
      </c>
      <c r="E46" s="13">
        <v>43019.348668981482</v>
      </c>
      <c r="F46" s="13">
        <v>43019.36277777778</v>
      </c>
      <c r="G46" s="7">
        <v>65</v>
      </c>
      <c r="H46" s="21" t="s">
        <v>406</v>
      </c>
      <c r="I46" s="13">
        <v>43019.38826388889</v>
      </c>
      <c r="J46" s="7">
        <v>0</v>
      </c>
      <c r="K46" s="89" t="str">
        <f>IF(ISEVEN(B46),(B46-1)&amp;"/"&amp;B46,B46&amp;"/"&amp;(B46+1))</f>
        <v>4031/4032</v>
      </c>
      <c r="L46" s="185" t="str">
        <f>VLOOKUP(A46,'Trips&amp;Operators'!$C$1:$G$99911,5,FALSE)</f>
        <v>YORK EDGAR</v>
      </c>
      <c r="M46" s="6">
        <f>I46-F46</f>
        <v>2.548611110978527E-2</v>
      </c>
      <c r="N46" s="7">
        <f>24*60*SUM($M46:$M46)</f>
        <v>36.699999998090789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-11T07:22:05-0600',mode:absolute,to:'2017-10-11T10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23.297699999999999</v>
      </c>
      <c r="Z46" s="204">
        <f>RIGHT(H46,LEN(H46)-4)/10000</f>
        <v>1.6E-2</v>
      </c>
      <c r="AA46" s="204">
        <f>ABS(Z46-Y46)</f>
        <v>23.281700000000001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/stypes="app*4031*20171011*"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134-11 --locoid 4031 --swversion DE.1.0.9.0 --startMP 204:232977 --initTime 2017-10-11T08:22:05 --startdatetime 2017-10-11T08:42:24 --delay 65 --endMP 204:160 --enddatetime 2017-10-11T09:19:06 --enforcementcount 0 &gt;&gt;%USERPROFILE%\Documents\GitHub\eaglep3-reporting\EC\2017-10-11-refined-times.txt</v>
      </c>
      <c r="AI46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{"issue":{"subject":"","project_id":79,"tracker_id":40,"status_id":1,"priority_id":2,"assigned_to_id":338,"start_date":"2017-10-11","description":"","custom_fields":[{"id":1,"name":"Subdivision","value":"EC"},{"id":4,"name":"Milepost","value":"0.016"},{"id":17,"name":"Train ID","value":"134-11"},{"id":16,"name":"Locomotive ID","value":"4031"},{"id":130,"name":"Impact","value":""},{"id":150,"name":"Time of Event (Mountain Time)","value":"09:19:06"},{"id":151,"name":"Denver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4031 --day 2017-10-11</v>
      </c>
      <c r="AN46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-11T07:22:05-0600',mode:absolute,to:'2017-10-11T10:19:06-0600'))&amp;_a=(columns:!('Message%20ID',Summary),filters:!(),index:'emp_*',interval:auto,query:(query_string:(analyze_wildcard:!t,query:'%22rtdc.l.rtdc.4031%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666</v>
      </c>
      <c r="B47" s="7">
        <v>4036</v>
      </c>
      <c r="C47" s="21" t="s">
        <v>194</v>
      </c>
      <c r="D47" s="21" t="s">
        <v>376</v>
      </c>
      <c r="E47" s="13">
        <v>43019.329872685186</v>
      </c>
      <c r="F47" s="13">
        <v>43019.333599537036</v>
      </c>
      <c r="G47" s="7">
        <v>82</v>
      </c>
      <c r="H47" s="21" t="s">
        <v>522</v>
      </c>
      <c r="I47" s="13">
        <v>43019.357939814814</v>
      </c>
      <c r="J47" s="7">
        <v>0</v>
      </c>
      <c r="K47" s="89" t="str">
        <f>IF(ISEVEN(B47),(B47-1)&amp;"/"&amp;B47,B47&amp;"/"&amp;(B47+1))</f>
        <v>4035/4036</v>
      </c>
      <c r="L47" s="185" t="str">
        <f>VLOOKUP(A47,'Trips&amp;Operators'!$C$1:$G$99911,5,FALSE)</f>
        <v>YANG JAN</v>
      </c>
      <c r="M47" s="6">
        <f>I47-F47</f>
        <v>2.4340277777810115E-2</v>
      </c>
      <c r="N47" s="7">
        <f>24*60*SUM($M47:$M47)</f>
        <v>35.050000000046566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-11T06:55:01-0600',mode:absolute,to:'2017-10-11T09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4.4699999999999997E-2</v>
      </c>
      <c r="Z47" s="204">
        <f>RIGHT(H47,LEN(H47)-4)/10000</f>
        <v>23.328399999999998</v>
      </c>
      <c r="AA47" s="204">
        <f>ABS(Z47-Y47)</f>
        <v>23.2837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/stypes="app*4036*20171011*"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135-11 --locoid 4036 --swversion DE.1.0.9.0 --startMP 204:447 --initTime 2017-10-11T07:55:01 --startdatetime 2017-10-11T08:00:23 --delay 82 --endMP 204:233284 --enddatetime 2017-10-11T08:35:26 --enforcementcount 0 &gt;&gt;%USERPROFILE%\Documents\GitHub\eaglep3-reporting\EC\2017-10-11-refined-times.txt</v>
      </c>
      <c r="AI47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{"issue":{"subject":"","project_id":79,"tracker_id":40,"status_id":1,"priority_id":2,"assigned_to_id":338,"start_date":"2017-10-11","description":"","custom_fields":[{"id":1,"name":"Subdivision","value":"EC"},{"id":4,"name":"Milepost","value":"23.3284"},{"id":17,"name":"Train ID","value":"135-11"},{"id":16,"name":"Locomotive ID","value":"4036"},{"id":130,"name":"Impact","value":""},{"id":150,"name":"Time of Event (Mountain Time)","value":"08:35:26"},{"id":151,"name":"Denver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4036 --day 2017-10-11</v>
      </c>
      <c r="AN47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-11T06:55:01-0600',mode:absolute,to:'2017-10-11T09:35:26-0600'))&amp;_a=(columns:!('Message%20ID',Summary),filters:!(),index:'emp_*',interval:auto,query:(query_string:(analyze_wildcard:!t,query:'%22rtdc.l.rtdc.4036%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674</v>
      </c>
      <c r="B48" s="7">
        <v>4035</v>
      </c>
      <c r="C48" s="21" t="s">
        <v>194</v>
      </c>
      <c r="D48" s="21" t="s">
        <v>442</v>
      </c>
      <c r="E48" s="13">
        <v>43019.366307870368</v>
      </c>
      <c r="F48" s="13">
        <v>43019.373229166667</v>
      </c>
      <c r="G48" s="7">
        <v>88</v>
      </c>
      <c r="H48" s="21" t="s">
        <v>374</v>
      </c>
      <c r="I48" s="13">
        <v>43019.399780092594</v>
      </c>
      <c r="J48" s="7">
        <v>0</v>
      </c>
      <c r="K48" s="89" t="str">
        <f>IF(ISEVEN(B48),(B48-1)&amp;"/"&amp;B48,B48&amp;"/"&amp;(B48+1))</f>
        <v>4035/4036</v>
      </c>
      <c r="L48" s="185" t="str">
        <f>VLOOKUP(A48,'Trips&amp;Operators'!$C$1:$G$99911,5,FALSE)</f>
        <v>YANG JAN</v>
      </c>
      <c r="M48" s="6">
        <f>I48-F48</f>
        <v>2.6550925926130731E-2</v>
      </c>
      <c r="N48" s="7">
        <f>24*60*SUM($M48:$M48)</f>
        <v>38.233333333628252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-11T07:47:29-0600',mode:absolute,to:'2017-10-11T10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23.297499999999999</v>
      </c>
      <c r="Z48" s="204">
        <f>RIGHT(H48,LEN(H48)-4)/10000</f>
        <v>1.54E-2</v>
      </c>
      <c r="AA48" s="204">
        <f>ABS(Z48-Y48)</f>
        <v>23.2821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/stypes="app*4035*20171011*"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136-11 --locoid 4035 --swversion DE.1.0.9.0 --startMP 204:232975 --initTime 2017-10-11T08:47:29 --startdatetime 2017-10-11T08:57:27 --delay 88 --endMP 204:154 --enddatetime 2017-10-11T09:35:41 --enforcementcount 0 &gt;&gt;%USERPROFILE%\Documents\GitHub\eaglep3-reporting\EC\2017-10-11-refined-times.txt</v>
      </c>
      <c r="AI48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{"issue":{"subject":"","project_id":79,"tracker_id":40,"status_id":1,"priority_id":2,"assigned_to_id":338,"start_date":"2017-10-11","description":"","custom_fields":[{"id":1,"name":"Subdivision","value":"EC"},{"id":4,"name":"Milepost","value":"0.0154"},{"id":17,"name":"Train ID","value":"136-11"},{"id":16,"name":"Locomotive ID","value":"4035"},{"id":130,"name":"Impact","value":""},{"id":150,"name":"Time of Event (Mountain Time)","value":"09:35:41"},{"id":151,"name":"Denver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4035 --day 2017-10-11</v>
      </c>
      <c r="AN48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-11T07:47:29-0600',mode:absolute,to:'2017-10-11T10:35:41-0600'))&amp;_a=(columns:!('Message%20ID',Summary),filters:!(),index:'emp_*',interval:auto,query:(query_string:(analyze_wildcard:!t,query:'%22rtdc.l.rtdc.4035%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581</v>
      </c>
      <c r="B49" s="7">
        <v>4018</v>
      </c>
      <c r="C49" s="21" t="s">
        <v>194</v>
      </c>
      <c r="D49" s="21" t="s">
        <v>393</v>
      </c>
      <c r="E49" s="13">
        <v>43019.339618055557</v>
      </c>
      <c r="F49" s="13">
        <v>43019.343912037039</v>
      </c>
      <c r="G49" s="7">
        <v>57</v>
      </c>
      <c r="H49" s="21" t="s">
        <v>529</v>
      </c>
      <c r="I49" s="13">
        <v>43019.371446759258</v>
      </c>
      <c r="J49" s="7">
        <v>0</v>
      </c>
      <c r="K49" s="89" t="str">
        <f>IF(ISEVEN(B49),(B49-1)&amp;"/"&amp;B49,B49&amp;"/"&amp;(B49+1))</f>
        <v>4017/4018</v>
      </c>
      <c r="L49" s="185" t="str">
        <f>VLOOKUP(A49,'Trips&amp;Operators'!$C$1:$G$99911,5,FALSE)</f>
        <v>DAVIS WENDY</v>
      </c>
      <c r="M49" s="6">
        <f>I49-F49</f>
        <v>2.753472221957054E-2</v>
      </c>
      <c r="N49" s="7">
        <f>24*60*SUM($M49:$M49)</f>
        <v>39.649999996181577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-11T07:09:03-0600',mode:absolute,to:'2017-10-11T09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4.6699999999999998E-2</v>
      </c>
      <c r="Z49" s="204">
        <f>RIGHT(H49,LEN(H49)-4)/10000</f>
        <v>23.330400000000001</v>
      </c>
      <c r="AA49" s="204">
        <f>ABS(Z49-Y49)</f>
        <v>23.2837</v>
      </c>
      <c r="AB49" s="54" t="str">
        <f>VLOOKUP(A49,Enforcements!$C$7:$K$11,8,0)</f>
        <v>Bulletin (2)</v>
      </c>
      <c r="AC49" s="51" t="str">
        <f>VLOOKUP(A49,Enforcements!$C$7:$E$11,3,0)</f>
        <v>GRADE CROSSING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/stypes="app*4018*20171011*"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137-11 --locoid 4018 --swversion DE.1.0.9.0 --startMP 204:467 --initTime 2017-10-11T08:09:03 --startdatetime 2017-10-11T08:15:14 --delay 57 --endMP 204:233304 --enddatetime 2017-10-11T08:54:53 --enforcementcount 0 &gt;&gt;%USERPROFILE%\Documents\GitHub\eaglep3-reporting\EC\2017-10-11-refined-times.txt</v>
      </c>
      <c r="AI49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{"issue":{"subject":"","project_id":79,"tracker_id":40,"status_id":1,"priority_id":2,"assigned_to_id":338,"start_date":"2017-10-11","description":"","custom_fields":[{"id":1,"name":"Subdivision","value":"EC"},{"id":4,"name":"Milepost","value":"23.3304"},{"id":17,"name":"Train ID","value":"137-11"},{"id":16,"name":"Locomotive ID","value":"4018"},{"id":130,"name":"Impact","value":""},{"id":150,"name":"Time of Event (Mountain Time)","value":"08:54:53"},{"id":151,"name":"Denver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4018 --day 2017-10-11</v>
      </c>
      <c r="AN49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-11T07:09:03-0600',mode:absolute,to:'2017-10-11T09:54:53-0600'))&amp;_a=(columns:!('Message%20ID',Summary),filters:!(),index:'emp_*',interval:auto,query:(query_string:(analyze_wildcard:!t,query:'%22rtdc.l.rtdc.4018%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677</v>
      </c>
      <c r="B50" s="7">
        <v>4017</v>
      </c>
      <c r="C50" s="21" t="s">
        <v>194</v>
      </c>
      <c r="D50" s="21" t="s">
        <v>423</v>
      </c>
      <c r="E50" s="13">
        <v>43019.379560185182</v>
      </c>
      <c r="F50" s="13">
        <v>43019.38349537037</v>
      </c>
      <c r="G50" s="7">
        <v>148</v>
      </c>
      <c r="H50" s="21" t="s">
        <v>356</v>
      </c>
      <c r="I50" s="13">
        <v>43019.410983796297</v>
      </c>
      <c r="J50" s="7">
        <v>0</v>
      </c>
      <c r="K50" s="89" t="str">
        <f>IF(ISEVEN(B50),(B50-1)&amp;"/"&amp;B50,B50&amp;"/"&amp;(B50+1))</f>
        <v>4017/4018</v>
      </c>
      <c r="L50" s="185" t="str">
        <f>VLOOKUP(A50,'Trips&amp;Operators'!$C$1:$G$99911,5,FALSE)</f>
        <v>DAVIS WENDY</v>
      </c>
      <c r="M50" s="6">
        <f>I50-F50</f>
        <v>2.7488425927003846E-2</v>
      </c>
      <c r="N50" s="7">
        <f>24*60*SUM($M50:$M50)</f>
        <v>39.583333334885538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-11T08:06:34-0600',mode:absolute,to:'2017-10-11T10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23.298300000000001</v>
      </c>
      <c r="Z50" s="204">
        <f>RIGHT(H50,LEN(H50)-4)/10000</f>
        <v>1.4500000000000001E-2</v>
      </c>
      <c r="AA50" s="204">
        <f>ABS(Z50-Y50)</f>
        <v>23.283799999999999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/stypes="app*4017*20171011*"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138-11 --locoid 4017 --swversion DE.1.0.9.0 --startMP 204:232983 --initTime 2017-10-11T09:06:34 --startdatetime 2017-10-11T09:12:14 --delay 148 --endMP 204:145 --enddatetime 2017-10-11T09:51:49 --enforcementcount 0 &gt;&gt;%USERPROFILE%\Documents\GitHub\eaglep3-reporting\EC\2017-10-11-refined-times.txt</v>
      </c>
      <c r="AI50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{"issue":{"subject":"","project_id":79,"tracker_id":40,"status_id":1,"priority_id":2,"assigned_to_id":338,"start_date":"2017-10-11","description":"","custom_fields":[{"id":1,"name":"Subdivision","value":"EC"},{"id":4,"name":"Milepost","value":"0.0145"},{"id":17,"name":"Train ID","value":"138-11"},{"id":16,"name":"Locomotive ID","value":"4017"},{"id":130,"name":"Impact","value":""},{"id":150,"name":"Time of Event (Mountain Time)","value":"09:51:49"},{"id":151,"name":"Denver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4017 --day 2017-10-11</v>
      </c>
      <c r="AN50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-11T08:06:34-0600',mode:absolute,to:'2017-10-11T10:51:49-0600'))&amp;_a=(columns:!('Message%20ID',Summary),filters:!(),index:'emp_*',interval:auto,query:(query_string:(analyze_wildcard:!t,query:'%22rtdc.l.rtdc.4017%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582</v>
      </c>
      <c r="B51" s="7">
        <v>4046</v>
      </c>
      <c r="C51" s="21" t="s">
        <v>194</v>
      </c>
      <c r="D51" s="21" t="s">
        <v>532</v>
      </c>
      <c r="E51" s="13">
        <v>43019.352337962962</v>
      </c>
      <c r="F51" s="13">
        <v>43019.35434027778</v>
      </c>
      <c r="G51" s="7">
        <v>71</v>
      </c>
      <c r="H51" s="21" t="s">
        <v>391</v>
      </c>
      <c r="I51" s="13">
        <v>43019.379178240742</v>
      </c>
      <c r="J51" s="7">
        <v>0</v>
      </c>
      <c r="K51" s="89" t="str">
        <f>IF(ISEVEN(B51),(B51-1)&amp;"/"&amp;B51,B51&amp;"/"&amp;(B51+1))</f>
        <v>4045/4046</v>
      </c>
      <c r="L51" s="185" t="str">
        <f>VLOOKUP(A51,'Trips&amp;Operators'!$C$1:$G$99911,5,FALSE)</f>
        <v>ROCHA YAOTL</v>
      </c>
      <c r="M51" s="6">
        <f>I51-F51</f>
        <v>2.4837962962919846E-2</v>
      </c>
      <c r="N51" s="7">
        <f>24*60*SUM($M51:$M51)</f>
        <v>35.766666666604578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-11T07:27:22-0600',mode:absolute,to:'2017-10-11T10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4.4900000000000002E-2</v>
      </c>
      <c r="Z51" s="204">
        <f>RIGHT(H51,LEN(H51)-4)/10000</f>
        <v>23.3291</v>
      </c>
      <c r="AA51" s="204">
        <f>ABS(Z51-Y51)</f>
        <v>23.284200000000002</v>
      </c>
      <c r="AB51" s="54" t="str">
        <f>VLOOKUP(A51,Enforcements!$C$7:$K$11,8,0)</f>
        <v>Speed (6)</v>
      </c>
      <c r="AC51" s="51" t="str">
        <f>VLOOKUP(A51,Enforcements!$C$7:$E$11,3,0)</f>
        <v>PERMANENT SPEED RESTRICTION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/stypes="app*4046*20171011*"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139-11 --locoid 4046 --swversion DE.1.0.9.0 --startMP 204:449 --initTime 2017-10-11T08:27:22 --startdatetime 2017-10-11T08:30:15 --delay 71 --endMP 204:233291 --enddatetime 2017-10-11T09:06:01 --enforcementcount 0 &gt;&gt;%USERPROFILE%\Documents\GitHub\eaglep3-reporting\EC\2017-10-11-refined-times.txt</v>
      </c>
      <c r="AI51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{"issue":{"subject":"","project_id":79,"tracker_id":40,"status_id":1,"priority_id":2,"assigned_to_id":338,"start_date":"2017-10-11","description":"","custom_fields":[{"id":1,"name":"Subdivision","value":"EC"},{"id":4,"name":"Milepost","value":"23.3291"},{"id":17,"name":"Train ID","value":"139-11"},{"id":16,"name":"Locomotive ID","value":"4046"},{"id":130,"name":"Impact","value":""},{"id":150,"name":"Time of Event (Mountain Time)","value":"09:06:01"},{"id":151,"name":"Denver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4046 --day 2017-10-11</v>
      </c>
      <c r="AN51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-11T07:27:22-0600',mode:absolute,to:'2017-10-11T10:06:01-0600'))&amp;_a=(columns:!('Message%20ID',Summary),filters:!(),index:'emp_*',interval:auto,query:(query_string:(analyze_wildcard:!t,query:'%22rtdc.l.rtdc.4046%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679</v>
      </c>
      <c r="B52" s="7">
        <v>4045</v>
      </c>
      <c r="C52" s="21" t="s">
        <v>194</v>
      </c>
      <c r="D52" s="21" t="s">
        <v>844</v>
      </c>
      <c r="E52" s="13">
        <v>43019.388182870367</v>
      </c>
      <c r="F52" s="13">
        <v>43019.39402777778</v>
      </c>
      <c r="G52" s="7">
        <v>87</v>
      </c>
      <c r="H52" s="21" t="s">
        <v>356</v>
      </c>
      <c r="I52" s="13">
        <v>43019.419976851852</v>
      </c>
      <c r="J52" s="7">
        <v>0</v>
      </c>
      <c r="K52" s="89" t="str">
        <f>IF(ISEVEN(B52),(B52-1)&amp;"/"&amp;B52,B52&amp;"/"&amp;(B52+1))</f>
        <v>4045/4046</v>
      </c>
      <c r="L52" s="185" t="str">
        <f>VLOOKUP(A52,'Trips&amp;Operators'!$C$1:$G$99911,5,FALSE)</f>
        <v>ROCHA YAOTL</v>
      </c>
      <c r="M52" s="6">
        <f>I52-F52</f>
        <v>2.5949074071832001E-2</v>
      </c>
      <c r="N52" s="7">
        <f>24*60*SUM($M52:$M52)</f>
        <v>37.366666663438082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-11T08:18:59-0600',mode:absolute,to:'2017-10-11T11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23.297799999999999</v>
      </c>
      <c r="Z52" s="204">
        <f>RIGHT(H52,LEN(H52)-4)/10000</f>
        <v>1.4500000000000001E-2</v>
      </c>
      <c r="AA52" s="204">
        <f>ABS(Z52-Y52)</f>
        <v>23.283299999999997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/stypes="app*4045*20171011*"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140-11 --locoid 4045 --swversion DE.1.0.9.0 --startMP 204:232978 --initTime 2017-10-11T09:18:59 --startdatetime 2017-10-11T09:27:24 --delay 87 --endMP 204:145 --enddatetime 2017-10-11T10:04:46 --enforcementcount 0 &gt;&gt;%USERPROFILE%\Documents\GitHub\eaglep3-reporting\EC\2017-10-11-refined-times.txt</v>
      </c>
      <c r="AI52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{"issue":{"subject":"","project_id":79,"tracker_id":40,"status_id":1,"priority_id":2,"assigned_to_id":338,"start_date":"2017-10-11","description":"","custom_fields":[{"id":1,"name":"Subdivision","value":"EC"},{"id":4,"name":"Milepost","value":"0.0145"},{"id":17,"name":"Train ID","value":"140-11"},{"id":16,"name":"Locomotive ID","value":"4045"},{"id":130,"name":"Impact","value":""},{"id":150,"name":"Time of Event (Mountain Time)","value":"10:04:46"},{"id":151,"name":"Denver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4045 --day 2017-10-11</v>
      </c>
      <c r="AN52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-11T08:18:59-0600',mode:absolute,to:'2017-10-11T11:04:46-0600'))&amp;_a=(columns:!('Message%20ID',Summary),filters:!(),index:'emp_*',interval:auto,query:(query_string:(analyze_wildcard:!t,query:'%22rtdc.l.rtdc.4045%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673</v>
      </c>
      <c r="B53" s="7">
        <v>4016</v>
      </c>
      <c r="C53" s="21" t="s">
        <v>194</v>
      </c>
      <c r="D53" s="21" t="s">
        <v>370</v>
      </c>
      <c r="E53" s="13">
        <v>43019.36010416667</v>
      </c>
      <c r="F53" s="13">
        <v>43019.364745370367</v>
      </c>
      <c r="G53" s="7">
        <v>47</v>
      </c>
      <c r="H53" s="21" t="s">
        <v>443</v>
      </c>
      <c r="I53" s="13">
        <v>43019.389282407406</v>
      </c>
      <c r="J53" s="7">
        <v>0</v>
      </c>
      <c r="K53" s="89" t="str">
        <f>IF(ISEVEN(B53),(B53-1)&amp;"/"&amp;B53,B53&amp;"/"&amp;(B53+1))</f>
        <v>4015/4016</v>
      </c>
      <c r="L53" s="185" t="str">
        <f>VLOOKUP(A53,'Trips&amp;Operators'!$C$1:$G$99911,5,FALSE)</f>
        <v>YANAI IAN</v>
      </c>
      <c r="M53" s="6">
        <f>I53-F53</f>
        <v>2.453703703940846E-2</v>
      </c>
      <c r="N53" s="7">
        <f>24*60*SUM($M53:$M53)</f>
        <v>35.333333336748183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-11T07:38:33-0600',mode:absolute,to:'2017-10-11T10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4.5100000000000001E-2</v>
      </c>
      <c r="Z53" s="204">
        <f>RIGHT(H53,LEN(H53)-4)/10000</f>
        <v>23.331399999999999</v>
      </c>
      <c r="AA53" s="204">
        <f>ABS(Z53-Y53)</f>
        <v>23.286299999999997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/stypes="app*4016*20171011*"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141-11 --locoid 4016 --swversion DE.1.0.9.0 --startMP 204:451 --initTime 2017-10-11T08:38:33 --startdatetime 2017-10-11T08:45:14 --delay 47 --endMP 204:233314 --enddatetime 2017-10-11T09:20:34 --enforcementcount 0 &gt;&gt;%USERPROFILE%\Documents\GitHub\eaglep3-reporting\EC\2017-10-11-refined-times.txt</v>
      </c>
      <c r="AI53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{"issue":{"subject":"","project_id":79,"tracker_id":40,"status_id":1,"priority_id":2,"assigned_to_id":338,"start_date":"2017-10-11","description":"","custom_fields":[{"id":1,"name":"Subdivision","value":"EC"},{"id":4,"name":"Milepost","value":"23.3314"},{"id":17,"name":"Train ID","value":"141-11"},{"id":16,"name":"Locomotive ID","value":"4016"},{"id":130,"name":"Impact","value":""},{"id":150,"name":"Time of Event (Mountain Time)","value":"09:20:34"},{"id":151,"name":"Denver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4016 --day 2017-10-11</v>
      </c>
      <c r="AN53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-11T07:38:33-0600',mode:absolute,to:'2017-10-11T10:20:34-0600'))&amp;_a=(columns:!('Message%20ID',Summary),filters:!(),index:'emp_*',interval:auto,query:(query_string:(analyze_wildcard:!t,query:'%22rtdc.l.rtdc.4016%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681</v>
      </c>
      <c r="B54" s="7">
        <v>4015</v>
      </c>
      <c r="C54" s="21" t="s">
        <v>194</v>
      </c>
      <c r="D54" s="21" t="s">
        <v>540</v>
      </c>
      <c r="E54" s="13">
        <v>43019.390335648146</v>
      </c>
      <c r="F54" s="13">
        <v>43019.404328703706</v>
      </c>
      <c r="G54" s="7">
        <v>93</v>
      </c>
      <c r="H54" s="21" t="s">
        <v>339</v>
      </c>
      <c r="I54" s="13">
        <v>43019.4297337963</v>
      </c>
      <c r="J54" s="7">
        <v>0</v>
      </c>
      <c r="K54" s="89" t="str">
        <f>IF(ISEVEN(B54),(B54-1)&amp;"/"&amp;B54,B54&amp;"/"&amp;(B54+1))</f>
        <v>4015/4016</v>
      </c>
      <c r="L54" s="185" t="str">
        <f>VLOOKUP(A54,'Trips&amp;Operators'!$C$1:$G$99911,5,FALSE)</f>
        <v>YANAI IAN</v>
      </c>
      <c r="M54" s="6">
        <f>I54-F54</f>
        <v>2.5405092594155576E-2</v>
      </c>
      <c r="N54" s="7">
        <f>24*60*SUM($M54:$M54)</f>
        <v>36.58333333558403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-11T08:22:05-0600',mode:absolute,to:'2017-10-11T11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23.299800000000001</v>
      </c>
      <c r="Z54" s="204">
        <f>RIGHT(H54,LEN(H54)-4)/10000</f>
        <v>1.47E-2</v>
      </c>
      <c r="AA54" s="204">
        <f>ABS(Z54-Y54)</f>
        <v>23.2851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/stypes="app*4015*20171011*"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142-11 --locoid 4015 --swversion DE.1.0.9.0 --startMP 204:232998 --initTime 2017-10-11T09:22:05 --startdatetime 2017-10-11T09:42:14 --delay 93 --endMP 204:147 --enddatetime 2017-10-11T10:18:49 --enforcementcount 0 &gt;&gt;%USERPROFILE%\Documents\GitHub\eaglep3-reporting\EC\2017-10-11-refined-times.txt</v>
      </c>
      <c r="AI54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ID","value":"142-11"},{"id":16,"name":"Locomotive ID","value":"4015"},{"id":130,"name":"Impact","value":""},{"id":150,"name":"Time of Event (Mountain Time)","value":"10:18:49"},{"id":151,"name":"Denver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4015 --day 2017-10-11</v>
      </c>
      <c r="AN54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-11T08:22:05-0600',mode:absolute,to:'2017-10-11T11:18:49-0600'))&amp;_a=(columns:!('Message%20ID',Summary),filters:!(),index:'emp_*',interval:auto,query:(query_string:(analyze_wildcard:!t,query:'%22rtdc.l.rtdc.4015%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676</v>
      </c>
      <c r="B55" s="7">
        <v>4014</v>
      </c>
      <c r="C55" s="21" t="s">
        <v>194</v>
      </c>
      <c r="D55" s="21" t="s">
        <v>414</v>
      </c>
      <c r="E55" s="13">
        <v>43019.373020833336</v>
      </c>
      <c r="F55" s="13">
        <v>43019.375428240739</v>
      </c>
      <c r="G55" s="7">
        <v>50</v>
      </c>
      <c r="H55" s="21" t="s">
        <v>845</v>
      </c>
      <c r="I55" s="13">
        <v>43019.400069444448</v>
      </c>
      <c r="J55" s="7">
        <v>0</v>
      </c>
      <c r="K55" s="89" t="str">
        <f>IF(ISEVEN(B55),(B55-1)&amp;"/"&amp;B55,B55&amp;"/"&amp;(B55+1))</f>
        <v>4013/4014</v>
      </c>
      <c r="L55" s="185" t="str">
        <f>VLOOKUP(A55,'Trips&amp;Operators'!$C$1:$G$99911,5,FALSE)</f>
        <v>THOMPSON LESTER</v>
      </c>
      <c r="M55" s="6">
        <f>I55-F55</f>
        <v>2.4641203708597459E-2</v>
      </c>
      <c r="N55" s="7">
        <f>24*60*SUM($M55:$M55)</f>
        <v>35.483333340380341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-11T07:57:09-0600',mode:absolute,to:'2017-10-11T10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4.3700000000000003E-2</v>
      </c>
      <c r="Z55" s="204">
        <f>RIGHT(H55,LEN(H55)-4)/10000</f>
        <v>23.3324</v>
      </c>
      <c r="AA55" s="204">
        <f>ABS(Z55-Y55)</f>
        <v>23.288699999999999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/stypes="app*4014*20171011*"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143-11 --locoid 4014 --swversion DE.1.0.9.0 --startMP 204:437 --initTime 2017-10-11T08:57:09 --startdatetime 2017-10-11T09:00:37 --delay 50 --endMP 204:233324 --enddatetime 2017-10-11T09:36:06 --enforcementcount 0 &gt;&gt;%USERPROFILE%\Documents\GitHub\eaglep3-reporting\EC\2017-10-11-refined-times.txt</v>
      </c>
      <c r="AI55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{"issue":{"subject":"","project_id":79,"tracker_id":40,"status_id":1,"priority_id":2,"assigned_to_id":338,"start_date":"2017-10-11","description":"","custom_fields":[{"id":1,"name":"Subdivision","value":"EC"},{"id":4,"name":"Milepost","value":"23.3324"},{"id":17,"name":"Train ID","value":"143-11"},{"id":16,"name":"Locomotive ID","value":"4014"},{"id":130,"name":"Impact","value":""},{"id":150,"name":"Time of Event (Mountain Time)","value":"09:36:06"},{"id":151,"name":"Denver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4014 --day 2017-10-11</v>
      </c>
      <c r="AN55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-11T07:57:09-0600',mode:absolute,to:'2017-10-11T10:36:06-0600'))&amp;_a=(columns:!('Message%20ID',Summary),filters:!(),index:'emp_*',interval:auto,query:(query_string:(analyze_wildcard:!t,query:'%22rtdc.l.rtdc.4014%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587</v>
      </c>
      <c r="B56" s="7">
        <v>4013</v>
      </c>
      <c r="C56" s="21" t="s">
        <v>194</v>
      </c>
      <c r="D56" s="21" t="s">
        <v>442</v>
      </c>
      <c r="E56" s="13">
        <v>43019.411249999997</v>
      </c>
      <c r="F56" s="13">
        <v>43019.414849537039</v>
      </c>
      <c r="G56" s="7">
        <v>53</v>
      </c>
      <c r="H56" s="21" t="s">
        <v>355</v>
      </c>
      <c r="I56" s="13">
        <v>43019.442291666666</v>
      </c>
      <c r="J56" s="7">
        <v>0</v>
      </c>
      <c r="K56" s="89" t="str">
        <f>IF(ISEVEN(B56),(B56-1)&amp;"/"&amp;B56,B56&amp;"/"&amp;(B56+1))</f>
        <v>4013/4014</v>
      </c>
      <c r="L56" s="185" t="str">
        <f>VLOOKUP(A56,'Trips&amp;Operators'!$C$1:$G$99911,5,FALSE)</f>
        <v>THOMPSON LESTER</v>
      </c>
      <c r="M56" s="6">
        <f>I56-F56</f>
        <v>2.7442129627161194E-2</v>
      </c>
      <c r="N56" s="7">
        <f>24*60*SUM($M56:$M56)</f>
        <v>39.516666663112119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-11T08:52:12-0600',mode:absolute,to:'2017-10-11T11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23.297499999999999</v>
      </c>
      <c r="Z56" s="204">
        <f>RIGHT(H56,LEN(H56)-4)/10000</f>
        <v>1.52E-2</v>
      </c>
      <c r="AA56" s="204">
        <f>ABS(Z56-Y56)</f>
        <v>23.282299999999999</v>
      </c>
      <c r="AB56" s="54" t="str">
        <f>VLOOKUP(A56,Enforcements!$C$7:$K$11,8,0)</f>
        <v>Bulletin (2)</v>
      </c>
      <c r="AC56" s="51" t="str">
        <f>VLOOKUP(A56,Enforcements!$C$7:$E$11,3,0)</f>
        <v>GRADE CROSSING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/stypes="app*4013*20171011*"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144-11 --locoid 4013 --swversion DE.1.0.9.0 --startMP 204:232975 --initTime 2017-10-11T09:52:12 --startdatetime 2017-10-11T09:57:23 --delay 53 --endMP 204:152 --enddatetime 2017-10-11T10:36:54 --enforcementcount 0 &gt;&gt;%USERPROFILE%\Documents\GitHub\eaglep3-reporting\EC\2017-10-11-refined-times.txt</v>
      </c>
      <c r="AI56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{"issue":{"subject":"","project_id":79,"tracker_id":40,"status_id":1,"priority_id":2,"assigned_to_id":338,"start_date":"2017-10-11","description":"","custom_fields":[{"id":1,"name":"Subdivision","value":"EC"},{"id":4,"name":"Milepost","value":"0.0152"},{"id":17,"name":"Train ID","value":"144-11"},{"id":16,"name":"Locomotive ID","value":"4013"},{"id":130,"name":"Impact","value":""},{"id":150,"name":"Time of Event (Mountain Time)","value":"10:36:54"},{"id":151,"name":"Denver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4013 --day 2017-10-11</v>
      </c>
      <c r="AN56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-11T08:52:12-0600',mode:absolute,to:'2017-10-11T11:36:54-0600'))&amp;_a=(columns:!('Message%20ID',Summary),filters:!(),index:'emp_*',interval:auto,query:(query_string:(analyze_wildcard:!t,query:'%22rtdc.l.rtdc.4013%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678</v>
      </c>
      <c r="B57" s="7">
        <v>4024</v>
      </c>
      <c r="C57" s="21" t="s">
        <v>194</v>
      </c>
      <c r="D57" s="21" t="s">
        <v>846</v>
      </c>
      <c r="E57" s="13">
        <v>43019.380925925929</v>
      </c>
      <c r="F57" s="13">
        <v>43019.385671296295</v>
      </c>
      <c r="G57" s="7">
        <v>50</v>
      </c>
      <c r="H57" s="21" t="s">
        <v>403</v>
      </c>
      <c r="I57" s="13">
        <v>43019.410381944443</v>
      </c>
      <c r="J57" s="7">
        <v>0</v>
      </c>
      <c r="K57" s="89" t="str">
        <f>IF(ISEVEN(B57),(B57-1)&amp;"/"&amp;B57,B57&amp;"/"&amp;(B57+1))</f>
        <v>4023/4024</v>
      </c>
      <c r="L57" s="185" t="str">
        <f>VLOOKUP(A57,'Trips&amp;Operators'!$C$1:$G$99911,5,FALSE)</f>
        <v>FORTUNATO FRANK</v>
      </c>
      <c r="M57" s="6">
        <f>I57-F57</f>
        <v>2.47106481474475E-2</v>
      </c>
      <c r="N57" s="7">
        <f>24*60*SUM($M57:$M57)</f>
        <v>35.583333332324401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-11T08:08:32-0600',mode:absolute,to:'2017-10-11T10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4.3999999999999997E-2</v>
      </c>
      <c r="Z57" s="204">
        <f>RIGHT(H57,LEN(H57)-4)/10000</f>
        <v>23.3308</v>
      </c>
      <c r="AA57" s="204">
        <f>ABS(Z57-Y57)</f>
        <v>23.286799999999999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s3://rtdc.mdm.uploadarchive.raw/RTDC4024/ "%USERPROFILE%\AppData\Local\Temp\OnboardLogs"\RTDC4024\2017-10-11 --exclude "*" --recursive --include "*20171011*" &amp; "%USERPROFILE%\Documents\GitHub\mrs-test-scripts\Headless Mode &amp; Sideloading\WalkAndUnGZ.bat" "%USERPROFILE%\AppData\Local\Temp\OnboardLogs"\RTDC4024\2017-10-11 &amp; aws s3 cp s3://rtdc.mdm.uploadarchive.raw/RTDC4024/ "%USERPROFILE%\AppData\Local\Temp\OnboardLogs"\RTDC4024\2017-10-12 --exclude "*" --recursive --include "*20171012*" &amp; "%USERPROFILE%\Documents\GitHub\mrs-test-scripts\Headless Mode &amp; Sideloading\WalkAndUnGZ.bat" "%USERPROFILE%\AppData\Local\Temp\OnboardLogs"\RTDC4024\2017-10-12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/stypes="app*4024*20171011*"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145-11 --locoid 4024 --swversion DE.1.0.9.0 --startMP 204:440 --initTime 2017-10-11T09:08:32 --startdatetime 2017-10-11T09:15:22 --delay 50 --endMP 204:233308 --enddatetime 2017-10-11T09:50:57 --enforcementcount 0 &gt;&gt;%USERPROFILE%\Documents\GitHub\eaglep3-reporting\EC\2017-10-11-refined-times.txt</v>
      </c>
      <c r="AI57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{"issue":{"subject":"","project_id":79,"tracker_id":40,"status_id":1,"priority_id":2,"assigned_to_id":338,"start_date":"2017-10-11","description":"","custom_fields":[{"id":1,"name":"Subdivision","value":"EC"},{"id":4,"name":"Milepost","value":"23.3308"},{"id":17,"name":"Train ID","value":"145-11"},{"id":16,"name":"Locomotive ID","value":"4024"},{"id":130,"name":"Impact","value":""},{"id":150,"name":"Time of Event (Mountain Time)","value":"09:50:57"},{"id":151,"name":"Denver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4024 --day 2017-10-11</v>
      </c>
      <c r="AN57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-11T08:08:32-0600',mode:absolute,to:'2017-10-11T10:50:57-0600'))&amp;_a=(columns:!('Message%20ID',Summary),filters:!(),index:'emp_*',interval:auto,query:(query_string:(analyze_wildcard:!t,query:'%22rtdc.l.rtdc.4024%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685</v>
      </c>
      <c r="B58" s="7">
        <v>4023</v>
      </c>
      <c r="C58" s="21" t="s">
        <v>194</v>
      </c>
      <c r="D58" s="21" t="s">
        <v>545</v>
      </c>
      <c r="E58" s="13">
        <v>43019.411678240744</v>
      </c>
      <c r="F58" s="13">
        <v>43019.425324074073</v>
      </c>
      <c r="G58" s="7">
        <v>65</v>
      </c>
      <c r="H58" s="21" t="s">
        <v>847</v>
      </c>
      <c r="I58" s="13">
        <v>43019.45380787037</v>
      </c>
      <c r="J58" s="7">
        <v>0</v>
      </c>
      <c r="K58" s="89" t="str">
        <f>IF(ISEVEN(B58),(B58-1)&amp;"/"&amp;B58,B58&amp;"/"&amp;(B58+1))</f>
        <v>4023/4024</v>
      </c>
      <c r="L58" s="185" t="str">
        <f>VLOOKUP(A58,'Trips&amp;Operators'!$C$1:$G$99911,5,FALSE)</f>
        <v>FORTUNATO FRANK</v>
      </c>
      <c r="M58" s="6">
        <f>I58-F58</f>
        <v>2.8483796297223307E-2</v>
      </c>
      <c r="N58" s="7">
        <f>24*60*SUM($M58:$M58)</f>
        <v>41.016666668001562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-11T08:52:49-0600',mode:absolute,to:'2017-10-11T11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23.299600000000002</v>
      </c>
      <c r="Z58" s="204">
        <f>RIGHT(H58,LEN(H58)-4)/10000</f>
        <v>1.37E-2</v>
      </c>
      <c r="AA58" s="204">
        <f>ABS(Z58-Y58)</f>
        <v>23.285900000000002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s3://rtdc.mdm.uploadarchive.raw/RTDC4023/ "%USERPROFILE%\AppData\Local\Temp\OnboardLogs"\RTDC4023\2017-10-11 --exclude "*" --recursive --include "*20171011*" &amp; "%USERPROFILE%\Documents\GitHub\mrs-test-scripts\Headless Mode &amp; Sideloading\WalkAndUnGZ.bat" "%USERPROFILE%\AppData\Local\Temp\OnboardLogs"\RTDC4023\2017-10-11 &amp; aws s3 cp s3://rtdc.mdm.uploadarchive.raw/RTDC4023/ "%USERPROFILE%\AppData\Local\Temp\OnboardLogs"\RTDC4023\2017-10-12 --exclude "*" --recursive --include "*20171012*" &amp; "%USERPROFILE%\Documents\GitHub\mrs-test-scripts\Headless Mode &amp; Sideloading\WalkAndUnGZ.bat" "%USERPROFILE%\AppData\Local\Temp\OnboardLogs"\RTDC4023\2017-10-12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/stypes="app*4023*20171011*"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146-11 --locoid 4023 --swversion DE.1.0.9.0 --startMP 204:232996 --initTime 2017-10-11T09:52:49 --startdatetime 2017-10-11T10:12:28 --delay 65 --endMP 204:137 --enddatetime 2017-10-11T10:53:29 --enforcementcount 0 &gt;&gt;%USERPROFILE%\Documents\GitHub\eaglep3-reporting\EC\2017-10-11-refined-times.txt</v>
      </c>
      <c r="AI58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{"issue":{"subject":"","project_id":79,"tracker_id":40,"status_id":1,"priority_id":2,"assigned_to_id":338,"start_date":"2017-10-11","description":"","custom_fields":[{"id":1,"name":"Subdivision","value":"EC"},{"id":4,"name":"Milepost","value":"0.0137"},{"id":17,"name":"Train ID","value":"146-11"},{"id":16,"name":"Locomotive ID","value":"4023"},{"id":130,"name":"Impact","value":""},{"id":150,"name":"Time of Event (Mountain Time)","value":"10:53:29"},{"id":151,"name":"Denver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4023 --day 2017-10-11</v>
      </c>
      <c r="AN58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-11T08:52:49-0600',mode:absolute,to:'2017-10-11T11:53:29-0600'))&amp;_a=(columns:!('Message%20ID',Summary),filters:!(),index:'emp_*',interval:auto,query:(query_string:(analyze_wildcard:!t,query:'%22rtdc.l.rtdc.4023%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680</v>
      </c>
      <c r="B59" s="7">
        <v>4032</v>
      </c>
      <c r="C59" s="21" t="s">
        <v>194</v>
      </c>
      <c r="D59" s="21" t="s">
        <v>375</v>
      </c>
      <c r="E59" s="13">
        <v>43019.389398148145</v>
      </c>
      <c r="F59" s="13">
        <v>43019.39603009259</v>
      </c>
      <c r="G59" s="7">
        <v>50</v>
      </c>
      <c r="H59" s="21" t="s">
        <v>391</v>
      </c>
      <c r="I59" s="13">
        <v>43019.419687499998</v>
      </c>
      <c r="J59" s="7">
        <v>0</v>
      </c>
      <c r="K59" s="89" t="str">
        <f>IF(ISEVEN(B59),(B59-1)&amp;"/"&amp;B59,B59&amp;"/"&amp;(B59+1))</f>
        <v>4031/4032</v>
      </c>
      <c r="L59" s="185" t="str">
        <f>VLOOKUP(A59,'Trips&amp;Operators'!$C$1:$G$99911,5,FALSE)</f>
        <v>YORK EDGAR</v>
      </c>
      <c r="M59" s="6">
        <f>I59-F59</f>
        <v>2.3657407407881692E-2</v>
      </c>
      <c r="N59" s="7">
        <f>24*60*SUM($M59:$M59)</f>
        <v>34.066666667349637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-11T08:20:44-0600',mode:absolute,to:'2017-10-11T11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4.6600000000000003E-2</v>
      </c>
      <c r="Z59" s="204">
        <f>RIGHT(H59,LEN(H59)-4)/10000</f>
        <v>23.3291</v>
      </c>
      <c r="AA59" s="204">
        <f>ABS(Z59-Y59)</f>
        <v>23.282499999999999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/stypes="app*4032*20171011*"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147-11 --locoid 4032 --swversion DE.1.0.9.0 --startMP 204:466 --initTime 2017-10-11T09:20:44 --startdatetime 2017-10-11T09:30:17 --delay 50 --endMP 204:233291 --enddatetime 2017-10-11T10:04:21 --enforcementcount 0 &gt;&gt;%USERPROFILE%\Documents\GitHub\eaglep3-reporting\EC\2017-10-11-refined-times.txt</v>
      </c>
      <c r="AI59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{"issue":{"subject":"","project_id":79,"tracker_id":40,"status_id":1,"priority_id":2,"assigned_to_id":338,"start_date":"2017-10-11","description":"","custom_fields":[{"id":1,"name":"Subdivision","value":"EC"},{"id":4,"name":"Milepost","value":"23.3291"},{"id":17,"name":"Train ID","value":"147-11"},{"id":16,"name":"Locomotive ID","value":"4032"},{"id":130,"name":"Impact","value":""},{"id":150,"name":"Time of Event (Mountain Time)","value":"10:04:21"},{"id":151,"name":"Denver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4032 --day 2017-10-11</v>
      </c>
      <c r="AN59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-11T08:20:44-0600',mode:absolute,to:'2017-10-11T11:04:21-0600'))&amp;_a=(columns:!('Message%20ID',Summary),filters:!(),index:'emp_*',interval:auto,query:(query_string:(analyze_wildcard:!t,query:'%22rtdc.l.rtdc.4032%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692</v>
      </c>
      <c r="B60" s="7">
        <v>4031</v>
      </c>
      <c r="C60" s="21" t="s">
        <v>194</v>
      </c>
      <c r="D60" s="21" t="s">
        <v>453</v>
      </c>
      <c r="E60" s="13">
        <v>43019.420636574076</v>
      </c>
      <c r="F60" s="13">
        <v>43019.435682870368</v>
      </c>
      <c r="G60" s="7">
        <v>52</v>
      </c>
      <c r="H60" s="21" t="s">
        <v>335</v>
      </c>
      <c r="I60" s="13">
        <v>43019.461354166669</v>
      </c>
      <c r="J60" s="7">
        <v>0</v>
      </c>
      <c r="K60" s="89" t="str">
        <f>IF(ISEVEN(B60),(B60-1)&amp;"/"&amp;B60,B60&amp;"/"&amp;(B60+1))</f>
        <v>4031/4032</v>
      </c>
      <c r="L60" s="185" t="str">
        <f>VLOOKUP(A60,'Trips&amp;Operators'!$C$1:$G$99911,5,FALSE)</f>
        <v>YORK EDGAR</v>
      </c>
      <c r="M60" s="6">
        <f>I60-F60</f>
        <v>2.567129630187992E-2</v>
      </c>
      <c r="N60" s="7">
        <f>24*60*SUM($M60:$M60)</f>
        <v>36.966666674707085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-11T09:05:43-0600',mode:absolute,to:'2017-10-11T12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23.297699999999999</v>
      </c>
      <c r="Z60" s="204">
        <f>RIGHT(H60,LEN(H60)-4)/10000</f>
        <v>1.4999999999999999E-2</v>
      </c>
      <c r="AA60" s="204">
        <f>ABS(Z60-Y60)</f>
        <v>23.282699999999998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/stypes="app*4031*20171011*"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148-11 --locoid 4031 --swversion DE.1.0.9.0 --startMP 204:232977 --initTime 2017-10-11T10:05:43 --startdatetime 2017-10-11T10:27:23 --delay 52 --endMP 204:150 --enddatetime 2017-10-11T11:04:21 --enforcementcount 0 &gt;&gt;%USERPROFILE%\Documents\GitHub\eaglep3-reporting\EC\2017-10-11-refined-times.txt</v>
      </c>
      <c r="AI60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{"issue":{"subject":"","project_id":79,"tracker_id":40,"status_id":1,"priority_id":2,"assigned_to_id":338,"start_date":"2017-10-11","description":"","custom_fields":[{"id":1,"name":"Subdivision","value":"EC"},{"id":4,"name":"Milepost","value":"0.015"},{"id":17,"name":"Train ID","value":"148-11"},{"id":16,"name":"Locomotive ID","value":"4031"},{"id":130,"name":"Impact","value":""},{"id":150,"name":"Time of Event (Mountain Time)","value":"11:04:21"},{"id":151,"name":"Denver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4031 --day 2017-10-11</v>
      </c>
      <c r="AN60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-11T09:05:43-0600',mode:absolute,to:'2017-10-11T12:04:21-0600'))&amp;_a=(columns:!('Message%20ID',Summary),filters:!(),index:'emp_*',interval:auto,query:(query_string:(analyze_wildcard:!t,query:'%22rtdc.l.rtdc.4031%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684</v>
      </c>
      <c r="B61" s="7">
        <v>4036</v>
      </c>
      <c r="C61" s="21" t="s">
        <v>194</v>
      </c>
      <c r="D61" s="21" t="s">
        <v>454</v>
      </c>
      <c r="E61" s="13">
        <v>43019.402627314812</v>
      </c>
      <c r="F61" s="13">
        <v>43019.406805555554</v>
      </c>
      <c r="G61" s="7">
        <v>74</v>
      </c>
      <c r="H61" s="21" t="s">
        <v>539</v>
      </c>
      <c r="I61" s="13">
        <v>43019.431851851848</v>
      </c>
      <c r="J61" s="7">
        <v>0</v>
      </c>
      <c r="K61" s="89" t="str">
        <f>IF(ISEVEN(B61),(B61-1)&amp;"/"&amp;B61,B61&amp;"/"&amp;(B61+1))</f>
        <v>4035/4036</v>
      </c>
      <c r="L61" s="185" t="str">
        <f>VLOOKUP(A61,'Trips&amp;Operators'!$C$1:$G$99911,5,FALSE)</f>
        <v>YANG JAN</v>
      </c>
      <c r="M61" s="6">
        <f>I61-F61</f>
        <v>2.5046296294021886E-2</v>
      </c>
      <c r="N61" s="7">
        <f>24*60*SUM($M61:$M61)</f>
        <v>36.066666663391516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-11T08:39:47-0600',mode:absolute,to:'2017-10-11T11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4.6399999999999997E-2</v>
      </c>
      <c r="Z61" s="204">
        <f>RIGHT(H61,LEN(H61)-4)/10000</f>
        <v>23.332100000000001</v>
      </c>
      <c r="AA61" s="204">
        <f>ABS(Z61-Y61)</f>
        <v>23.285700000000002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/stypes="app*4036*20171011*"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149-11 --locoid 4036 --swversion DE.1.0.9.0 --startMP 204:464 --initTime 2017-10-11T09:39:47 --startdatetime 2017-10-11T09:45:48 --delay 74 --endMP 204:233321 --enddatetime 2017-10-11T10:21:52 --enforcementcount 0 &gt;&gt;%USERPROFILE%\Documents\GitHub\eaglep3-reporting\EC\2017-10-11-refined-times.txt</v>
      </c>
      <c r="AI61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{"issue":{"subject":"","project_id":79,"tracker_id":40,"status_id":1,"priority_id":2,"assigned_to_id":338,"start_date":"2017-10-11","description":"","custom_fields":[{"id":1,"name":"Subdivision","value":"EC"},{"id":4,"name":"Milepost","value":"23.3321"},{"id":17,"name":"Train ID","value":"149-11"},{"id":16,"name":"Locomotive ID","value":"4036"},{"id":130,"name":"Impact","value":""},{"id":150,"name":"Time of Event (Mountain Time)","value":"10:21:52"},{"id":151,"name":"Denver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4036 --day 2017-10-11</v>
      </c>
      <c r="AN61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-11T08:39:47-0600',mode:absolute,to:'2017-10-11T11:21:52-0600'))&amp;_a=(columns:!('Message%20ID',Summary),filters:!(),index:'emp_*',interval:auto,query:(query_string:(analyze_wildcard:!t,query:'%22rtdc.l.rtdc.4036%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698</v>
      </c>
      <c r="B62" s="7">
        <v>4035</v>
      </c>
      <c r="C62" s="21" t="s">
        <v>194</v>
      </c>
      <c r="D62" s="21" t="s">
        <v>540</v>
      </c>
      <c r="E62" s="13">
        <v>43019.440625000003</v>
      </c>
      <c r="F62" s="13">
        <v>43019.44604166667</v>
      </c>
      <c r="G62" s="7">
        <v>58</v>
      </c>
      <c r="H62" s="21" t="s">
        <v>335</v>
      </c>
      <c r="I62" s="13">
        <v>43019.47278935185</v>
      </c>
      <c r="J62" s="7">
        <v>0</v>
      </c>
      <c r="K62" s="89" t="str">
        <f>IF(ISEVEN(B62),(B62-1)&amp;"/"&amp;B62,B62&amp;"/"&amp;(B62+1))</f>
        <v>4035/4036</v>
      </c>
      <c r="L62" s="185" t="str">
        <f>VLOOKUP(A62,'Trips&amp;Operators'!$C$1:$G$99911,5,FALSE)</f>
        <v>YANG JAN</v>
      </c>
      <c r="M62" s="6">
        <f>I62-F62</f>
        <v>2.6747685180453118E-2</v>
      </c>
      <c r="N62" s="7">
        <f>24*60*SUM($M62:$M62)</f>
        <v>38.51666665985249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-11T09:34:30-0600',mode:absolute,to:'2017-10-11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23.299800000000001</v>
      </c>
      <c r="Z62" s="204">
        <f>RIGHT(H62,LEN(H62)-4)/10000</f>
        <v>1.4999999999999999E-2</v>
      </c>
      <c r="AA62" s="204">
        <f>ABS(Z62-Y62)</f>
        <v>23.284800000000001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/stypes="app*4035*20171011*"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150-11 --locoid 4035 --swversion DE.1.0.9.0 --startMP 204:232998 --initTime 2017-10-11T10:34:30 --startdatetime 2017-10-11T10:42:18 --delay 58 --endMP 204:150 --enddatetime 2017-10-11T11:20:49 --enforcementcount 0 &gt;&gt;%USERPROFILE%\Documents\GitHub\eaglep3-reporting\EC\2017-10-11-refined-times.txt</v>
      </c>
      <c r="AI62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{"issue":{"subject":"","project_id":79,"tracker_id":40,"status_id":1,"priority_id":2,"assigned_to_id":338,"start_date":"2017-10-11","description":"","custom_fields":[{"id":1,"name":"Subdivision","value":"EC"},{"id":4,"name":"Milepost","value":"0.015"},{"id":17,"name":"Train ID","value":"150-11"},{"id":16,"name":"Locomotive ID","value":"4035"},{"id":130,"name":"Impact","value":""},{"id":150,"name":"Time of Event (Mountain Time)","value":"11:20:49"},{"id":151,"name":"Denver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4035 --day 2017-10-11</v>
      </c>
      <c r="AN62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-11T09:34:30-0600',mode:absolute,to:'2017-10-11T12:20:49-0600'))&amp;_a=(columns:!('Message%20ID',Summary),filters:!(),index:'emp_*',interval:auto,query:(query_string:(analyze_wildcard:!t,query:'%22rtdc.l.rtdc.4035%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686</v>
      </c>
      <c r="B63" s="7">
        <v>4018</v>
      </c>
      <c r="C63" s="21" t="s">
        <v>194</v>
      </c>
      <c r="D63" s="21" t="s">
        <v>454</v>
      </c>
      <c r="E63" s="13">
        <v>43019.412557870368</v>
      </c>
      <c r="F63" s="13">
        <v>43019.416828703703</v>
      </c>
      <c r="G63" s="7">
        <v>53</v>
      </c>
      <c r="H63" s="21" t="s">
        <v>526</v>
      </c>
      <c r="I63" s="13">
        <v>43019.442141203705</v>
      </c>
      <c r="J63" s="7">
        <v>0</v>
      </c>
      <c r="K63" s="89" t="str">
        <f>IF(ISEVEN(B63),(B63-1)&amp;"/"&amp;B63,B63&amp;"/"&amp;(B63+1))</f>
        <v>4017/4018</v>
      </c>
      <c r="L63" s="185" t="str">
        <f>VLOOKUP(A63,'Trips&amp;Operators'!$C$1:$G$99911,5,FALSE)</f>
        <v>DAVIS WENDY</v>
      </c>
      <c r="M63" s="6">
        <f>I63-F63</f>
        <v>2.531250000174623E-2</v>
      </c>
      <c r="N63" s="7">
        <f>24*60*SUM($M63:$M63)</f>
        <v>36.450000002514571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-11T08:54:05-0600',mode:absolute,to:'2017-10-11T11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4.6399999999999997E-2</v>
      </c>
      <c r="Z63" s="204">
        <f>RIGHT(H63,LEN(H63)-4)/10000</f>
        <v>23.328199999999999</v>
      </c>
      <c r="AA63" s="204">
        <f>ABS(Z63-Y63)</f>
        <v>23.2818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/stypes="app*4018*20171011*"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151-11 --locoid 4018 --swversion DE.1.0.9.0 --startMP 204:464 --initTime 2017-10-11T09:54:05 --startdatetime 2017-10-11T10:00:14 --delay 53 --endMP 204:233282 --enddatetime 2017-10-11T10:36:41 --enforcementcount 0 &gt;&gt;%USERPROFILE%\Documents\GitHub\eaglep3-reporting\EC\2017-10-11-refined-times.txt</v>
      </c>
      <c r="AI63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{"issue":{"subject":"","project_id":79,"tracker_id":40,"status_id":1,"priority_id":2,"assigned_to_id":338,"start_date":"2017-10-11","description":"","custom_fields":[{"id":1,"name":"Subdivision","value":"EC"},{"id":4,"name":"Milepost","value":"23.3282"},{"id":17,"name":"Train ID","value":"151-11"},{"id":16,"name":"Locomotive ID","value":"4018"},{"id":130,"name":"Impact","value":""},{"id":150,"name":"Time of Event (Mountain Time)","value":"10:36:41"},{"id":151,"name":"Denver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4018 --day 2017-10-11</v>
      </c>
      <c r="AN63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-11T08:54:05-0600',mode:absolute,to:'2017-10-11T11:36:41-0600'))&amp;_a=(columns:!('Message%20ID',Summary),filters:!(),index:'emp_*',interval:auto,query:(query_string:(analyze_wildcard:!t,query:'%22rtdc.l.rtdc.4018%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700</v>
      </c>
      <c r="B64" s="7">
        <v>4017</v>
      </c>
      <c r="C64" s="21" t="s">
        <v>194</v>
      </c>
      <c r="D64" s="21" t="s">
        <v>451</v>
      </c>
      <c r="E64" s="13">
        <v>43019.44835648148</v>
      </c>
      <c r="F64" s="13">
        <v>43019.456458333334</v>
      </c>
      <c r="G64" s="7">
        <v>108</v>
      </c>
      <c r="H64" s="21" t="s">
        <v>406</v>
      </c>
      <c r="I64" s="13">
        <v>43019.484178240738</v>
      </c>
      <c r="J64" s="7">
        <v>0</v>
      </c>
      <c r="K64" s="89" t="str">
        <f>IF(ISEVEN(B64),(B64-1)&amp;"/"&amp;B64,B64&amp;"/"&amp;(B64+1))</f>
        <v>4017/4018</v>
      </c>
      <c r="L64" s="185" t="str">
        <f>VLOOKUP(A64,'Trips&amp;Operators'!$C$1:$G$99911,5,FALSE)</f>
        <v>DAVIS WENDY</v>
      </c>
      <c r="M64" s="6">
        <f>I64-F64</f>
        <v>2.7719907404389232E-2</v>
      </c>
      <c r="N64" s="7">
        <f>24*60*SUM($M64:$M64)</f>
        <v>39.916666662320495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-11T09:45:38-0600',mode:absolute,to:'2017-10-11T12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23.2971</v>
      </c>
      <c r="Z64" s="204">
        <f>RIGHT(H64,LEN(H64)-4)/10000</f>
        <v>1.6E-2</v>
      </c>
      <c r="AA64" s="204">
        <f>ABS(Z64-Y64)</f>
        <v>23.281100000000002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/stypes="app*4017*20171011*"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152-11 --locoid 4017 --swversion DE.1.0.9.0 --startMP 204:232971 --initTime 2017-10-11T10:45:38 --startdatetime 2017-10-11T10:57:18 --delay 108 --endMP 204:160 --enddatetime 2017-10-11T11:37:13 --enforcementcount 0 &gt;&gt;%USERPROFILE%\Documents\GitHub\eaglep3-reporting\EC\2017-10-11-refined-times.txt</v>
      </c>
      <c r="AI64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{"issue":{"subject":"","project_id":79,"tracker_id":40,"status_id":1,"priority_id":2,"assigned_to_id":338,"start_date":"2017-10-11","description":"","custom_fields":[{"id":1,"name":"Subdivision","value":"EC"},{"id":4,"name":"Milepost","value":"0.016"},{"id":17,"name":"Train ID","value":"152-11"},{"id":16,"name":"Locomotive ID","value":"4017"},{"id":130,"name":"Impact","value":""},{"id":150,"name":"Time of Event (Mountain Time)","value":"11:37:13"},{"id":151,"name":"Denver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4017 --day 2017-10-11</v>
      </c>
      <c r="AN64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-11T09:45:38-0600',mode:absolute,to:'2017-10-11T12:37:13-0600'))&amp;_a=(columns:!('Message%20ID',Summary),filters:!(),index:'emp_*',interval:auto,query:(query_string:(analyze_wildcard:!t,query:'%22rtdc.l.rtdc.4017%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683</v>
      </c>
      <c r="B65" s="7">
        <v>4046</v>
      </c>
      <c r="C65" s="21" t="s">
        <v>194</v>
      </c>
      <c r="D65" s="21" t="s">
        <v>397</v>
      </c>
      <c r="E65" s="13">
        <v>43019.422500000001</v>
      </c>
      <c r="F65" s="13">
        <v>43019.427245370367</v>
      </c>
      <c r="G65" s="7">
        <v>63</v>
      </c>
      <c r="H65" s="21" t="s">
        <v>544</v>
      </c>
      <c r="I65" s="13">
        <v>43019.452037037037</v>
      </c>
      <c r="J65" s="7">
        <v>0</v>
      </c>
      <c r="K65" s="89" t="str">
        <f>IF(ISEVEN(B65),(B65-1)&amp;"/"&amp;B65,B65&amp;"/"&amp;(B65+1))</f>
        <v>4045/4046</v>
      </c>
      <c r="L65" s="185" t="str">
        <f>VLOOKUP(A65,'Trips&amp;Operators'!$C$1:$G$99911,5,FALSE)</f>
        <v>LAMAR NEKESHA</v>
      </c>
      <c r="M65" s="6">
        <f>I65-F65</f>
        <v>2.4791666670353152E-2</v>
      </c>
      <c r="N65" s="7">
        <f>24*60*SUM($M65:$M65)</f>
        <v>35.700000005308539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-11T09:08:24-0600',mode:absolute,to:'2017-10-11T11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4.6899999999999997E-2</v>
      </c>
      <c r="Z65" s="204">
        <f>RIGHT(H65,LEN(H65)-4)/10000</f>
        <v>23.329799999999999</v>
      </c>
      <c r="AA65" s="204">
        <f>ABS(Z65-Y65)</f>
        <v>23.282899999999998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/stypes="app*4046*20171011*"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153-11 --locoid 4046 --swversion DE.1.0.9.0 --startMP 204:469 --initTime 2017-10-11T10:08:24 --startdatetime 2017-10-11T10:15:14 --delay 63 --endMP 204:233298 --enddatetime 2017-10-11T10:50:56 --enforcementcount 0 &gt;&gt;%USERPROFILE%\Documents\GitHub\eaglep3-reporting\EC\2017-10-11-refined-times.txt</v>
      </c>
      <c r="AI65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{"issue":{"subject":"","project_id":79,"tracker_id":40,"status_id":1,"priority_id":2,"assigned_to_id":338,"start_date":"2017-10-11","description":"","custom_fields":[{"id":1,"name":"Subdivision","value":"EC"},{"id":4,"name":"Milepost","value":"23.3298"},{"id":17,"name":"Train ID","value":"153-11"},{"id":16,"name":"Locomotive ID","value":"4046"},{"id":130,"name":"Impact","value":""},{"id":150,"name":"Time of Event (Mountain Time)","value":"10:50:56"},{"id":151,"name":"Denver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4046 --day 2017-10-11</v>
      </c>
      <c r="AN65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-11T09:08:24-0600',mode:absolute,to:'2017-10-11T11:50:56-0600'))&amp;_a=(columns:!('Message%20ID',Summary),filters:!(),index:'emp_*',interval:auto,query:(query_string:(analyze_wildcard:!t,query:'%22rtdc.l.rtdc.4046%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590</v>
      </c>
      <c r="B66" s="7">
        <v>4045</v>
      </c>
      <c r="C66" s="21" t="s">
        <v>194</v>
      </c>
      <c r="D66" s="21" t="s">
        <v>477</v>
      </c>
      <c r="E66" s="13">
        <v>43019.463761574072</v>
      </c>
      <c r="F66" s="13">
        <v>43019.466851851852</v>
      </c>
      <c r="G66" s="7">
        <v>67</v>
      </c>
      <c r="H66" s="21" t="s">
        <v>474</v>
      </c>
      <c r="I66" s="13">
        <v>43019.494097222225</v>
      </c>
      <c r="J66" s="7">
        <v>0</v>
      </c>
      <c r="K66" s="89" t="str">
        <f>IF(ISEVEN(B66),(B66-1)&amp;"/"&amp;B66,B66&amp;"/"&amp;(B66+1))</f>
        <v>4045/4046</v>
      </c>
      <c r="L66" s="185" t="str">
        <f>VLOOKUP(A66,'Trips&amp;Operators'!$C$1:$G$99911,5,FALSE)</f>
        <v>LAMAR NEKESHA</v>
      </c>
      <c r="M66" s="6">
        <f>I66-F66</f>
        <v>2.7245370372838806E-2</v>
      </c>
      <c r="N66" s="7">
        <f>24*60*SUM($M66:$M66)</f>
        <v>39.233333336887881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-11T10:07:49-0600',mode:absolute,to:'2017-10-11T12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23.2972</v>
      </c>
      <c r="Z66" s="204">
        <f>RIGHT(H66,LEN(H66)-4)/10000</f>
        <v>1.6500000000000001E-2</v>
      </c>
      <c r="AA66" s="204">
        <f>ABS(Z66-Y66)</f>
        <v>23.2807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/stypes="app*4045*20171011*"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154-11 --locoid 4045 --swversion DE.1.0.9.0 --startMP 204:232972 --initTime 2017-10-11T11:07:49 --startdatetime 2017-10-11T11:12:16 --delay 67 --endMP 204:165 --enddatetime 2017-10-11T11:51:30 --enforcementcount 0 &gt;&gt;%USERPROFILE%\Documents\GitHub\eaglep3-reporting\EC\2017-10-11-refined-times.txt</v>
      </c>
      <c r="AI66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{"issue":{"subject":"","project_id":79,"tracker_id":40,"status_id":1,"priority_id":2,"assigned_to_id":338,"start_date":"2017-10-11","description":"","custom_fields":[{"id":1,"name":"Subdivision","value":"EC"},{"id":4,"name":"Milepost","value":"0.0165"},{"id":17,"name":"Train ID","value":"154-11"},{"id":16,"name":"Locomotive ID","value":"4045"},{"id":130,"name":"Impact","value":""},{"id":150,"name":"Time of Event (Mountain Time)","value":"11:51:30"},{"id":151,"name":"Denver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4045 --day 2017-10-11</v>
      </c>
      <c r="AN66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-11T10:07:49-0600',mode:absolute,to:'2017-10-11T12:51:30-0600'))&amp;_a=(columns:!('Message%20ID',Summary),filters:!(),index:'emp_*',interval:auto,query:(query_string:(analyze_wildcard:!t,query:'%22rtdc.l.rtdc.4045%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693</v>
      </c>
      <c r="B67" s="7">
        <v>4016</v>
      </c>
      <c r="C67" s="21" t="s">
        <v>194</v>
      </c>
      <c r="D67" s="21" t="s">
        <v>345</v>
      </c>
      <c r="E67" s="13">
        <v>43019.433472222219</v>
      </c>
      <c r="F67" s="13">
        <v>43019.437650462962</v>
      </c>
      <c r="G67" s="7">
        <v>54</v>
      </c>
      <c r="H67" s="21" t="s">
        <v>445</v>
      </c>
      <c r="I67" s="13">
        <v>43019.46166666667</v>
      </c>
      <c r="J67" s="7">
        <v>0</v>
      </c>
      <c r="K67" s="89" t="str">
        <f>IF(ISEVEN(B67),(B67-1)&amp;"/"&amp;B67,B67&amp;"/"&amp;(B67+1))</f>
        <v>4015/4016</v>
      </c>
      <c r="L67" s="185" t="str">
        <f>VLOOKUP(A67,'Trips&amp;Operators'!$C$1:$G$99911,5,FALSE)</f>
        <v>YANAI IAN</v>
      </c>
      <c r="M67" s="6">
        <f>I67-F67</f>
        <v>2.4016203708015382E-2</v>
      </c>
      <c r="N67" s="7">
        <f>24*60*SUM($M67:$M67)</f>
        <v>34.58333333954215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-11T09:24:12-0600',mode:absolute,to:'2017-10-11T12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4.5499999999999999E-2</v>
      </c>
      <c r="Z67" s="204">
        <f>RIGHT(H67,LEN(H67)-4)/10000</f>
        <v>23.331600000000002</v>
      </c>
      <c r="AA67" s="204">
        <f>ABS(Z67-Y67)</f>
        <v>23.286100000000001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/stypes="app*4016*20171011*"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155-11 --locoid 4016 --swversion DE.1.0.9.0 --startMP 204:455 --initTime 2017-10-11T10:24:12 --startdatetime 2017-10-11T10:30:13 --delay 54 --endMP 204:233316 --enddatetime 2017-10-11T11:04:48 --enforcementcount 0 &gt;&gt;%USERPROFILE%\Documents\GitHub\eaglep3-reporting\EC\2017-10-11-refined-times.txt</v>
      </c>
      <c r="AI67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{"issue":{"subject":"","project_id":79,"tracker_id":40,"status_id":1,"priority_id":2,"assigned_to_id":338,"start_date":"2017-10-11","description":"","custom_fields":[{"id":1,"name":"Subdivision","value":"EC"},{"id":4,"name":"Milepost","value":"23.3316"},{"id":17,"name":"Train ID","value":"155-11"},{"id":16,"name":"Locomotive ID","value":"4016"},{"id":130,"name":"Impact","value":""},{"id":150,"name":"Time of Event (Mountain Time)","value":"11:04:48"},{"id":151,"name":"Denver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4016 --day 2017-10-11</v>
      </c>
      <c r="AN67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-11T09:24:12-0600',mode:absolute,to:'2017-10-11T12:04:48-0600'))&amp;_a=(columns:!('Message%20ID',Summary),filters:!(),index:'emp_*',interval:auto,query:(query_string:(analyze_wildcard:!t,query:'%22rtdc.l.rtdc.4016%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592</v>
      </c>
      <c r="B68" s="7">
        <v>4015</v>
      </c>
      <c r="C68" s="21" t="s">
        <v>194</v>
      </c>
      <c r="D68" s="21" t="s">
        <v>531</v>
      </c>
      <c r="E68" s="13">
        <v>43019.46261574074</v>
      </c>
      <c r="F68" s="13">
        <v>43019.477256944447</v>
      </c>
      <c r="G68" s="7">
        <v>61</v>
      </c>
      <c r="H68" s="21" t="s">
        <v>848</v>
      </c>
      <c r="I68" s="13">
        <v>43019.50304398148</v>
      </c>
      <c r="J68" s="7">
        <v>0</v>
      </c>
      <c r="K68" s="89" t="str">
        <f>IF(ISEVEN(B68),(B68-1)&amp;"/"&amp;B68,B68&amp;"/"&amp;(B68+1))</f>
        <v>4015/4016</v>
      </c>
      <c r="L68" s="185" t="str">
        <f>VLOOKUP(A68,'Trips&amp;Operators'!$C$1:$G$99911,5,FALSE)</f>
        <v>YANAI IAN</v>
      </c>
      <c r="M68" s="6">
        <f>I68-F68</f>
        <v>2.5787037033296656E-2</v>
      </c>
      <c r="N68" s="7">
        <f>24*60*SUM($M68:$M68)</f>
        <v>37.133333327947184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-11T10:06:10-0600',mode:absolute,to:'2017-10-11T13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23.298999999999999</v>
      </c>
      <c r="Z68" s="204">
        <f>RIGHT(H68,LEN(H68)-4)/10000</f>
        <v>2.3099999999999999E-2</v>
      </c>
      <c r="AA68" s="204">
        <f>ABS(Z68-Y68)</f>
        <v>23.2759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/stypes="app*4015*20171011*"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156-11 --locoid 4015 --swversion DE.1.0.9.0 --startMP 204:232990 --initTime 2017-10-11T11:06:10 --startdatetime 2017-10-11T11:27:15 --delay 61 --endMP 204:231 --enddatetime 2017-10-11T12:04:23 --enforcementcount 0 &gt;&gt;%USERPROFILE%\Documents\GitHub\eaglep3-reporting\EC\2017-10-11-refined-times.txt</v>
      </c>
      <c r="AI68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{"issue":{"subject":"","project_id":79,"tracker_id":40,"status_id":1,"priority_id":2,"assigned_to_id":338,"start_date":"2017-10-11","description":"","custom_fields":[{"id":1,"name":"Subdivision","value":"EC"},{"id":4,"name":"Milepost","value":"0.0231"},{"id":17,"name":"Train ID","value":"156-11"},{"id":16,"name":"Locomotive ID","value":"4015"},{"id":130,"name":"Impact","value":""},{"id":150,"name":"Time of Event (Mountain Time)","value":"12:04:23"},{"id":151,"name":"Denver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4015 --day 2017-10-11</v>
      </c>
      <c r="AN68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-11T10:06:10-0600',mode:absolute,to:'2017-10-11T13:04:23-0600'))&amp;_a=(columns:!('Message%20ID',Summary),filters:!(),index:'emp_*',interval:auto,query:(query_string:(analyze_wildcard:!t,query:'%22rtdc.l.rtdc.4015%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699</v>
      </c>
      <c r="B69" s="7">
        <v>4014</v>
      </c>
      <c r="C69" s="21" t="s">
        <v>194</v>
      </c>
      <c r="D69" s="21" t="s">
        <v>375</v>
      </c>
      <c r="E69" s="13">
        <v>43019.444976851853</v>
      </c>
      <c r="F69" s="13">
        <v>43019.448761574073</v>
      </c>
      <c r="G69" s="7">
        <v>70</v>
      </c>
      <c r="H69" s="21" t="s">
        <v>415</v>
      </c>
      <c r="I69" s="13">
        <v>43019.474965277775</v>
      </c>
      <c r="J69" s="7">
        <v>0</v>
      </c>
      <c r="K69" s="89" t="str">
        <f>IF(ISEVEN(B69),(B69-1)&amp;"/"&amp;B69,B69&amp;"/"&amp;(B69+1))</f>
        <v>4013/4014</v>
      </c>
      <c r="L69" s="185" t="str">
        <f>VLOOKUP(A69,'Trips&amp;Operators'!$C$1:$G$99911,5,FALSE)</f>
        <v>DAVIS MICHAEL</v>
      </c>
      <c r="M69" s="6">
        <f>I69-F69</f>
        <v>2.6203703702776693E-2</v>
      </c>
      <c r="N69" s="7">
        <f>24*60*SUM($M69:$M69)</f>
        <v>37.733333331998438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-11T09:40:46-0600',mode:absolute,to:'2017-10-11T12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4.6600000000000003E-2</v>
      </c>
      <c r="Z69" s="204">
        <f>RIGHT(H69,LEN(H69)-4)/10000</f>
        <v>23.333600000000001</v>
      </c>
      <c r="AA69" s="204">
        <f>ABS(Z69-Y69)</f>
        <v>23.286999999999999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/stypes="app*4014*20171011*"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157-11 --locoid 4014 --swversion DE.1.0.9.0 --startMP 204:466 --initTime 2017-10-11T10:40:46 --startdatetime 2017-10-11T10:46:13 --delay 70 --endMP 204:233336 --enddatetime 2017-10-11T11:23:57 --enforcementcount 0 &gt;&gt;%USERPROFILE%\Documents\GitHub\eaglep3-reporting\EC\2017-10-11-refined-times.txt</v>
      </c>
      <c r="AI69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{"issue":{"subject":"","project_id":79,"tracker_id":40,"status_id":1,"priority_id":2,"assigned_to_id":338,"start_date":"2017-10-11","description":"","custom_fields":[{"id":1,"name":"Subdivision","value":"EC"},{"id":4,"name":"Milepost","value":"23.3336"},{"id":17,"name":"Train ID","value":"157-11"},{"id":16,"name":"Locomotive ID","value":"4014"},{"id":130,"name":"Impact","value":""},{"id":150,"name":"Time of Event (Mountain Time)","value":"11:23:57"},{"id":151,"name":"Denver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4014 --day 2017-10-11</v>
      </c>
      <c r="AN69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-11T09:40:46-0600',mode:absolute,to:'2017-10-11T12:23:57-0600'))&amp;_a=(columns:!('Message%20ID',Summary),filters:!(),index:'emp_*',interval:auto,query:(query_string:(analyze_wildcard:!t,query:'%22rtdc.l.rtdc.4014%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707</v>
      </c>
      <c r="B70" s="7">
        <v>4013</v>
      </c>
      <c r="C70" s="21" t="s">
        <v>194</v>
      </c>
      <c r="D70" s="21" t="s">
        <v>849</v>
      </c>
      <c r="E70" s="13">
        <v>43019.484756944446</v>
      </c>
      <c r="F70" s="13">
        <v>43019.488020833334</v>
      </c>
      <c r="G70" s="7">
        <v>81</v>
      </c>
      <c r="H70" s="21" t="s">
        <v>374</v>
      </c>
      <c r="I70" s="13">
        <v>43019.515162037038</v>
      </c>
      <c r="J70" s="7">
        <v>0</v>
      </c>
      <c r="K70" s="89" t="str">
        <f>IF(ISEVEN(B70),(B70-1)&amp;"/"&amp;B70,B70&amp;"/"&amp;(B70+1))</f>
        <v>4013/4014</v>
      </c>
      <c r="L70" s="185" t="str">
        <f>VLOOKUP(A70,'Trips&amp;Operators'!$C$1:$G$99911,5,FALSE)</f>
        <v>DAVIS MICHAEL</v>
      </c>
      <c r="M70" s="6">
        <f>I70-F70</f>
        <v>2.7141203703649808E-2</v>
      </c>
      <c r="N70" s="7">
        <f>24*60*SUM($M70:$M70)</f>
        <v>39.083333333255723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-11T10:38:03-0600',mode:absolute,to:'2017-10-11T13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23.301100000000002</v>
      </c>
      <c r="Z70" s="204">
        <f>RIGHT(H70,LEN(H70)-4)/10000</f>
        <v>1.54E-2</v>
      </c>
      <c r="AA70" s="204">
        <f>ABS(Z70-Y70)</f>
        <v>23.285700000000002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/stypes="app*4013*20171011*"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158-11 --locoid 4013 --swversion DE.1.0.9.0 --startMP 204:233011 --initTime 2017-10-11T11:38:03 --startdatetime 2017-10-11T11:42:45 --delay 81 --endMP 204:154 --enddatetime 2017-10-11T12:21:50 --enforcementcount 0 &gt;&gt;%USERPROFILE%\Documents\GitHub\eaglep3-reporting\EC\2017-10-11-refined-times.txt</v>
      </c>
      <c r="AI70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{"issue":{"subject":"","project_id":79,"tracker_id":40,"status_id":1,"priority_id":2,"assigned_to_id":338,"start_date":"2017-10-11","description":"","custom_fields":[{"id":1,"name":"Subdivision","value":"EC"},{"id":4,"name":"Milepost","value":"0.0154"},{"id":17,"name":"Train ID","value":"158-11"},{"id":16,"name":"Locomotive ID","value":"4013"},{"id":130,"name":"Impact","value":""},{"id":150,"name":"Time of Event (Mountain Time)","value":"12:21:50"},{"id":151,"name":"Denver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4013 --day 2017-10-11</v>
      </c>
      <c r="AN70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-11T10:38:03-0600',mode:absolute,to:'2017-10-11T13:21:50-0600'))&amp;_a=(columns:!('Message%20ID',Summary),filters:!(),index:'emp_*',interval:auto,query:(query_string:(analyze_wildcard:!t,query:'%22rtdc.l.rtdc.4013%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701</v>
      </c>
      <c r="B71" s="7">
        <v>4008</v>
      </c>
      <c r="C71" s="21" t="s">
        <v>194</v>
      </c>
      <c r="D71" s="21" t="s">
        <v>846</v>
      </c>
      <c r="E71" s="13">
        <v>43019.454629629632</v>
      </c>
      <c r="F71" s="13">
        <v>43019.458657407406</v>
      </c>
      <c r="G71" s="7">
        <v>72</v>
      </c>
      <c r="H71" s="21" t="s">
        <v>455</v>
      </c>
      <c r="I71" s="13">
        <v>43019.483773148146</v>
      </c>
      <c r="J71" s="7">
        <v>0</v>
      </c>
      <c r="K71" s="89" t="str">
        <f>IF(ISEVEN(B71),(B71-1)&amp;"/"&amp;B71,B71&amp;"/"&amp;(B71+1))</f>
        <v>4007/4008</v>
      </c>
      <c r="L71" s="185" t="str">
        <f>VLOOKUP(A71,'Trips&amp;Operators'!$C$1:$G$99911,5,FALSE)</f>
        <v>MOSES BRADLEY</v>
      </c>
      <c r="M71" s="6">
        <f>I71-F71</f>
        <v>2.5115740740147885E-2</v>
      </c>
      <c r="N71" s="7">
        <f>24*60*SUM($M71:$M71)</f>
        <v>36.166666665812954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-11T09:54:40-0600',mode:absolute,to:'2017-10-11T12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4.3999999999999997E-2</v>
      </c>
      <c r="Z71" s="204">
        <f>RIGHT(H71,LEN(H71)-4)/10000</f>
        <v>23.329499999999999</v>
      </c>
      <c r="AA71" s="204">
        <f>ABS(Z71-Y71)</f>
        <v>23.285499999999999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/stypes="app*4008*20171011*"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159-11 --locoid 4008 --swversion DE.1.0.9.0 --startMP 204:440 --initTime 2017-10-11T10:54:40 --startdatetime 2017-10-11T11:00:28 --delay 72 --endMP 204:233295 --enddatetime 2017-10-11T11:36:38 --enforcementcount 0 &gt;&gt;%USERPROFILE%\Documents\GitHub\eaglep3-reporting\EC\2017-10-11-refined-times.txt</v>
      </c>
      <c r="AI71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{"issue":{"subject":"","project_id":79,"tracker_id":40,"status_id":1,"priority_id":2,"assigned_to_id":338,"start_date":"2017-10-11","description":"","custom_fields":[{"id":1,"name":"Subdivision","value":"EC"},{"id":4,"name":"Milepost","value":"23.3295"},{"id":17,"name":"Train ID","value":"159-11"},{"id":16,"name":"Locomotive ID","value":"4008"},{"id":130,"name":"Impact","value":""},{"id":150,"name":"Time of Event (Mountain Time)","value":"11:36:38"},{"id":151,"name":"Denver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4008 --day 2017-10-11</v>
      </c>
      <c r="AN71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-11T09:54:40-0600',mode:absolute,to:'2017-10-11T12:36:38-0600'))&amp;_a=(columns:!('Message%20ID',Summary),filters:!(),index:'emp_*',interval:auto,query:(query_string:(analyze_wildcard:!t,query:'%22rtdc.l.rtdc.4008%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712</v>
      </c>
      <c r="B72" s="7">
        <v>4007</v>
      </c>
      <c r="C72" s="21" t="s">
        <v>194</v>
      </c>
      <c r="D72" s="21" t="s">
        <v>416</v>
      </c>
      <c r="E72" s="13">
        <v>43019.494456018518</v>
      </c>
      <c r="F72" s="13">
        <v>43019.498229166667</v>
      </c>
      <c r="G72" s="7">
        <v>105</v>
      </c>
      <c r="H72" s="21" t="s">
        <v>336</v>
      </c>
      <c r="I72" s="13">
        <v>43019.525081018517</v>
      </c>
      <c r="J72" s="7">
        <v>0</v>
      </c>
      <c r="K72" s="89" t="str">
        <f>IF(ISEVEN(B72),(B72-1)&amp;"/"&amp;B72,B72&amp;"/"&amp;(B72+1))</f>
        <v>4007/4008</v>
      </c>
      <c r="L72" s="185" t="str">
        <f>VLOOKUP(A72,'Trips&amp;Operators'!$C$1:$G$99911,5,FALSE)</f>
        <v>MOSES BRADLEY</v>
      </c>
      <c r="M72" s="6">
        <f>I72-F72</f>
        <v>2.6851851849642117E-2</v>
      </c>
      <c r="N72" s="7">
        <f>24*60*SUM($M72:$M72)</f>
        <v>38.666666663484648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-11T10:52:01-0600',mode:absolute,to:'2017-10-11T13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23.297999999999998</v>
      </c>
      <c r="Z72" s="204">
        <f>RIGHT(H72,LEN(H72)-4)/10000</f>
        <v>1.49E-2</v>
      </c>
      <c r="AA72" s="204">
        <f>ABS(Z72-Y72)</f>
        <v>23.283099999999997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s3://rtdc.mdm.uploadarchive.raw/RTDC4007/ "%USERPROFILE%\AppData\Local\Temp\OnboardLogs"\RTDC4007\2017-10-11 --exclude "*" --recursive --include "*20171011*" &amp; "%USERPROFILE%\Documents\GitHub\mrs-test-scripts\Headless Mode &amp; Sideloading\WalkAndUnGZ.bat" "%USERPROFILE%\AppData\Local\Temp\OnboardLogs"\RTDC4007\2017-10-11 &amp; aws s3 cp s3://rtdc.mdm.uploadarchive.raw/RTDC4007/ "%USERPROFILE%\AppData\Local\Temp\OnboardLogs"\RTDC4007\2017-10-12 --exclude "*" --recursive --include "*20171012*" &amp; "%USERPROFILE%\Documents\GitHub\mrs-test-scripts\Headless Mode &amp; Sideloading\WalkAndUnGZ.bat" "%USERPROFILE%\AppData\Local\Temp\OnboardLogs"\RTDC4007\2017-10-12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/stypes="app*4007*20171011*"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160-11 --locoid 4007 --swversion DE.1.0.9.0 --startMP 204:232980 --initTime 2017-10-11T11:52:01 --startdatetime 2017-10-11T11:57:27 --delay 105 --endMP 204:149 --enddatetime 2017-10-11T12:36:07 --enforcementcount 0 &gt;&gt;%USERPROFILE%\Documents\GitHub\eaglep3-reporting\EC\2017-10-11-refined-times.txt</v>
      </c>
      <c r="AI72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{"issue":{"subject":"","project_id":79,"tracker_id":40,"status_id":1,"priority_id":2,"assigned_to_id":338,"start_date":"2017-10-11","description":"","custom_fields":[{"id":1,"name":"Subdivision","value":"EC"},{"id":4,"name":"Milepost","value":"0.0149"},{"id":17,"name":"Train ID","value":"160-11"},{"id":16,"name":"Locomotive ID","value":"4007"},{"id":130,"name":"Impact","value":""},{"id":150,"name":"Time of Event (Mountain Time)","value":"12:36:07"},{"id":151,"name":"Denver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4007 --day 2017-10-11</v>
      </c>
      <c r="AN72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-11T10:52:01-0600',mode:absolute,to:'2017-10-11T13:36:07-0600'))&amp;_a=(columns:!('Message%20ID',Summary),filters:!(),index:'emp_*',interval:auto,query:(query_string:(analyze_wildcard:!t,query:'%22rtdc.l.rtdc.4007%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703</v>
      </c>
      <c r="B73" s="7">
        <v>4032</v>
      </c>
      <c r="C73" s="21" t="s">
        <v>194</v>
      </c>
      <c r="D73" s="21" t="s">
        <v>372</v>
      </c>
      <c r="E73" s="13">
        <v>43019.464062500003</v>
      </c>
      <c r="F73" s="13">
        <v>43019.468923611108</v>
      </c>
      <c r="G73" s="7">
        <v>162</v>
      </c>
      <c r="H73" s="21" t="s">
        <v>439</v>
      </c>
      <c r="I73" s="13">
        <v>43019.493668981479</v>
      </c>
      <c r="J73" s="7">
        <v>0</v>
      </c>
      <c r="K73" s="89" t="str">
        <f>IF(ISEVEN(B73),(B73-1)&amp;"/"&amp;B73,B73&amp;"/"&amp;(B73+1))</f>
        <v>4031/4032</v>
      </c>
      <c r="L73" s="185" t="str">
        <f>VLOOKUP(A73,'Trips&amp;Operators'!$C$1:$G$99911,5,FALSE)</f>
        <v>BRUDER RICHARD</v>
      </c>
      <c r="M73" s="6">
        <f>I73-F73</f>
        <v>2.47453703705105E-2</v>
      </c>
      <c r="N73" s="7">
        <f>24*60*SUM($M73:$M73)</f>
        <v>35.63333333353512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-11T10:08:15-0600',mode:absolute,to:'2017-10-11T12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4.7100000000000003E-2</v>
      </c>
      <c r="Z73" s="204">
        <f>RIGHT(H73,LEN(H73)-4)/10000</f>
        <v>23.3306</v>
      </c>
      <c r="AA73" s="204">
        <f>ABS(Z73-Y73)</f>
        <v>23.2835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/stypes="app*4032*20171011*"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161-11 --locoid 4032 --swversion DE.1.0.9.0 --startMP 204:471 --initTime 2017-10-11T11:08:15 --startdatetime 2017-10-11T11:15:15 --delay 162 --endMP 204:233306 --enddatetime 2017-10-11T11:50:53 --enforcementcount 0 &gt;&gt;%USERPROFILE%\Documents\GitHub\eaglep3-reporting\EC\2017-10-11-refined-times.txt</v>
      </c>
      <c r="AI73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{"issue":{"subject":"","project_id":79,"tracker_id":40,"status_id":1,"priority_id":2,"assigned_to_id":338,"start_date":"2017-10-11","description":"","custom_fields":[{"id":1,"name":"Subdivision","value":"EC"},{"id":4,"name":"Milepost","value":"23.3306"},{"id":17,"name":"Train ID","value":"161-11"},{"id":16,"name":"Locomotive ID","value":"4032"},{"id":130,"name":"Impact","value":""},{"id":150,"name":"Time of Event (Mountain Time)","value":"11:50:53"},{"id":151,"name":"Denver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4032 --day 2017-10-11</v>
      </c>
      <c r="AN73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-11T10:08:15-0600',mode:absolute,to:'2017-10-11T12:50:53-0600'))&amp;_a=(columns:!('Message%20ID',Summary),filters:!(),index:'emp_*',interval:auto,query:(query_string:(analyze_wildcard:!t,query:'%22rtdc.l.rtdc.4032%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715</v>
      </c>
      <c r="B74" s="7">
        <v>4031</v>
      </c>
      <c r="C74" s="21" t="s">
        <v>194</v>
      </c>
      <c r="D74" s="21" t="s">
        <v>545</v>
      </c>
      <c r="E74" s="13">
        <v>43019.50508101852</v>
      </c>
      <c r="F74" s="13">
        <v>43019.508506944447</v>
      </c>
      <c r="G74" s="7">
        <v>88</v>
      </c>
      <c r="H74" s="21" t="s">
        <v>339</v>
      </c>
      <c r="I74" s="13">
        <v>43019.534259259257</v>
      </c>
      <c r="J74" s="7">
        <v>0</v>
      </c>
      <c r="K74" s="89" t="str">
        <f>IF(ISEVEN(B74),(B74-1)&amp;"/"&amp;B74,B74&amp;"/"&amp;(B74+1))</f>
        <v>4031/4032</v>
      </c>
      <c r="L74" s="185" t="str">
        <f>VLOOKUP(A74,'Trips&amp;Operators'!$C$1:$G$99911,5,FALSE)</f>
        <v>BRUDER RICHARD</v>
      </c>
      <c r="M74" s="6">
        <f>I74-F74</f>
        <v>2.5752314810233656E-2</v>
      </c>
      <c r="N74" s="7">
        <f>24*60*SUM($M74:$M74)</f>
        <v>37.083333326736465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-11T11:07:19-0600',mode:absolute,to:'2017-10-11T13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23.299600000000002</v>
      </c>
      <c r="Z74" s="204">
        <f>RIGHT(H74,LEN(H74)-4)/10000</f>
        <v>1.47E-2</v>
      </c>
      <c r="AA74" s="204">
        <f>ABS(Z74-Y74)</f>
        <v>23.2849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/stypes="app*4031*20171011*"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162-11 --locoid 4031 --swversion DE.1.0.9.0 --startMP 204:232996 --initTime 2017-10-11T12:07:19 --startdatetime 2017-10-11T12:12:15 --delay 88 --endMP 204:147 --enddatetime 2017-10-11T12:49:20 --enforcementcount 0 &gt;&gt;%USERPROFILE%\Documents\GitHub\eaglep3-reporting\EC\2017-10-11-refined-times.txt</v>
      </c>
      <c r="AI74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ID","value":"162-11"},{"id":16,"name":"Locomotive ID","value":"4031"},{"id":130,"name":"Impact","value":""},{"id":150,"name":"Time of Event (Mountain Time)","value":"12:49:20"},{"id":151,"name":"Denver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4031 --day 2017-10-11</v>
      </c>
      <c r="AN74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-11T11:07:19-0600',mode:absolute,to:'2017-10-11T13:49:20-0600'))&amp;_a=(columns:!('Message%20ID',Summary),filters:!(),index:'emp_*',interval:auto,query:(query_string:(analyze_wildcard:!t,query:'%22rtdc.l.rtdc.4031%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705</v>
      </c>
      <c r="B75" s="7">
        <v>4036</v>
      </c>
      <c r="C75" s="21" t="s">
        <v>194</v>
      </c>
      <c r="D75" s="21" t="s">
        <v>380</v>
      </c>
      <c r="E75" s="13">
        <v>43019.474814814814</v>
      </c>
      <c r="F75" s="13">
        <v>43019.479398148149</v>
      </c>
      <c r="G75" s="7">
        <v>89</v>
      </c>
      <c r="H75" s="21" t="s">
        <v>522</v>
      </c>
      <c r="I75" s="13">
        <v>43019.503958333335</v>
      </c>
      <c r="J75" s="7">
        <v>0</v>
      </c>
      <c r="K75" s="89" t="str">
        <f>IF(ISEVEN(B75),(B75-1)&amp;"/"&amp;B75,B75&amp;"/"&amp;(B75+1))</f>
        <v>4035/4036</v>
      </c>
      <c r="L75" s="185" t="str">
        <f>VLOOKUP(A75,'Trips&amp;Operators'!$C$1:$G$99911,5,FALSE)</f>
        <v>STEWART MICHAEL</v>
      </c>
      <c r="M75" s="6">
        <f>I75-F75</f>
        <v>2.4560185185691807E-2</v>
      </c>
      <c r="N75" s="7">
        <f>24*60*SUM($M75:$M75)</f>
        <v>35.366666667396203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-11T10:23:44-0600',mode:absolute,to:'2017-10-11T13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4.5699999999999998E-2</v>
      </c>
      <c r="Z75" s="204">
        <f>RIGHT(H75,LEN(H75)-4)/10000</f>
        <v>23.328399999999998</v>
      </c>
      <c r="AA75" s="204">
        <f>ABS(Z75-Y75)</f>
        <v>23.282699999999998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/stypes="app*4036*20171011*"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163-11 --locoid 4036 --swversion DE.1.0.9.0 --startMP 204:457 --initTime 2017-10-11T11:23:44 --startdatetime 2017-10-11T11:30:20 --delay 89 --endMP 204:233284 --enddatetime 2017-10-11T12:05:42 --enforcementcount 0 &gt;&gt;%USERPROFILE%\Documents\GitHub\eaglep3-reporting\EC\2017-10-11-refined-times.txt</v>
      </c>
      <c r="AI75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{"issue":{"subject":"","project_id":79,"tracker_id":40,"status_id":1,"priority_id":2,"assigned_to_id":338,"start_date":"2017-10-11","description":"","custom_fields":[{"id":1,"name":"Subdivision","value":"EC"},{"id":4,"name":"Milepost","value":"23.3284"},{"id":17,"name":"Train ID","value":"163-11"},{"id":16,"name":"Locomotive ID","value":"4036"},{"id":130,"name":"Impact","value":""},{"id":150,"name":"Time of Event (Mountain Time)","value":"12:05:42"},{"id":151,"name":"Denver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4036 --day 2017-10-11</v>
      </c>
      <c r="AN75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-11T10:23:44-0600',mode:absolute,to:'2017-10-11T13:05:42-0600'))&amp;_a=(columns:!('Message%20ID',Summary),filters:!(),index:'emp_*',interval:auto,query:(query_string:(analyze_wildcard:!t,query:'%22rtdc.l.rtdc.4036%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594</v>
      </c>
      <c r="B76" s="7">
        <v>4035</v>
      </c>
      <c r="C76" s="21" t="s">
        <v>194</v>
      </c>
      <c r="D76" s="21" t="s">
        <v>442</v>
      </c>
      <c r="E76" s="13">
        <v>43019.515092592592</v>
      </c>
      <c r="F76" s="13">
        <v>43019.518969907411</v>
      </c>
      <c r="G76" s="7">
        <v>88</v>
      </c>
      <c r="H76" s="21" t="s">
        <v>850</v>
      </c>
      <c r="I76" s="13">
        <v>43019.54587962963</v>
      </c>
      <c r="J76" s="7">
        <v>0</v>
      </c>
      <c r="K76" s="89" t="str">
        <f>IF(ISEVEN(B76),(B76-1)&amp;"/"&amp;B76,B76&amp;"/"&amp;(B76+1))</f>
        <v>4035/4036</v>
      </c>
      <c r="L76" s="185" t="str">
        <f>VLOOKUP(A76,'Trips&amp;Operators'!$C$1:$G$99911,5,FALSE)</f>
        <v>STEWART MICHAEL</v>
      </c>
      <c r="M76" s="6">
        <f>I76-F76</f>
        <v>2.6909722218988463E-2</v>
      </c>
      <c r="N76" s="7">
        <f>24*60*SUM($M76:$M76)</f>
        <v>38.749999995343387</v>
      </c>
      <c r="O76" s="7"/>
      <c r="P76" s="7"/>
      <c r="Q76" s="22"/>
      <c r="R76" s="174" t="s">
        <v>1018</v>
      </c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-11T11:21:44-0600',mode:absolute,to:'2017-10-11T14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23.297499999999999</v>
      </c>
      <c r="Z76" s="204">
        <f>RIGHT(H76,LEN(H76)-4)/10000</f>
        <v>5.6399999999999999E-2</v>
      </c>
      <c r="AA76" s="204">
        <f>ABS(Z76-Y76)</f>
        <v>23.241099999999999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/stypes="app*4035*20171011*"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164-11 --locoid 4035 --swversion DE.1.0.9.0 --startMP 204:232975 --initTime 2017-10-11T12:21:44 --startdatetime 2017-10-11T12:27:19 --delay 88 --endMP 204:564 --enddatetime 2017-10-11T13:06:04 --enforcementcount 0 &gt;&gt;%USERPROFILE%\Documents\GitHub\eaglep3-reporting\EC\2017-10-11-refined-times.txt</v>
      </c>
      <c r="AI76" s="96" t="str">
        <f t="shared" si="6"/>
        <v>echo {"issue":{"subject":"Unhealthy crossing banner at Chambers due to train stop at 40th\","project_id":79,"tracker_id":40,"status_id":1,"priority_id":2,"assigned_to_id":338,"start_date":"2017-10-11","description":"","custom_fields":[{"id":1,"name":"Subdivision","value":"EC"},{"id":4,"name":"Milepost","value":"0.0564"},{"id":17,"name":"Train ID","value":"164-11"},{"id":16,"name":"Locomotive ID","value":"4035"},{"id":130,"name":"Impact","value":""},{"id":150,"name":"Time of Event (Mountain Time)","value":"13:06:04"},{"id":151,"name":"Denver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4035 --day 2017-10-11</v>
      </c>
      <c r="AN76" s="151" t="str">
        <f t="shared" si="8"/>
        <v>echo {"issue":{"subject":"Unhealthy crossing banner at Chambers due to train stop at 40th\","project_id":30,"tracker_id":4,"status_id":1,"priority_id":1,"assigned_to_id":10,"start_date":"2017-10-11","description":"","custom_fields":[{"id":30,"name":"Category","value":"Issue"},{"id":3,"name":"Functional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-11T11:21:44-0600',mode:absolute,to:'2017-10-11T14:06:04-0600'))&amp;_a=(columns:!('Message%20ID',Summary),filters:!(),index:'emp_*',interval:auto,query:(query_string:(analyze_wildcard:!t,query:'%22rtdc.l.rtdc.4035%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708</v>
      </c>
      <c r="B77" s="7">
        <v>4018</v>
      </c>
      <c r="C77" s="21" t="s">
        <v>194</v>
      </c>
      <c r="D77" s="21" t="s">
        <v>354</v>
      </c>
      <c r="E77" s="13">
        <v>43019.485497685186</v>
      </c>
      <c r="F77" s="13">
        <v>43019.489756944444</v>
      </c>
      <c r="G77" s="7">
        <v>92</v>
      </c>
      <c r="H77" s="21" t="s">
        <v>537</v>
      </c>
      <c r="I77" s="13">
        <v>43019.514270833337</v>
      </c>
      <c r="J77" s="7">
        <v>0</v>
      </c>
      <c r="K77" s="89" t="str">
        <f>IF(ISEVEN(B77),(B77-1)&amp;"/"&amp;B77,B77&amp;"/"&amp;(B77+1))</f>
        <v>4017/4018</v>
      </c>
      <c r="L77" s="185" t="str">
        <f>VLOOKUP(A77,'Trips&amp;Operators'!$C$1:$G$99911,5,FALSE)</f>
        <v>GUZMAN DANNY</v>
      </c>
      <c r="M77" s="6">
        <f>I77-F77</f>
        <v>2.4513888893125113E-2</v>
      </c>
      <c r="N77" s="7">
        <f>24*60*SUM($M77:$M77)</f>
        <v>35.300000006100163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-11T10:39:07-0600',mode:absolute,to:'2017-10-11T13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4.58E-2</v>
      </c>
      <c r="Z77" s="204">
        <f>RIGHT(H77,LEN(H77)-4)/10000</f>
        <v>23.331</v>
      </c>
      <c r="AA77" s="204">
        <f>ABS(Z77-Y77)</f>
        <v>23.2852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/stypes="app*4018*20171011*"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165-11 --locoid 4018 --swversion DE.1.0.9.0 --startMP 204:458 --initTime 2017-10-11T11:39:07 --startdatetime 2017-10-11T11:45:15 --delay 92 --endMP 204:233310 --enddatetime 2017-10-11T12:20:33 --enforcementcount 0 &gt;&gt;%USERPROFILE%\Documents\GitHub\eaglep3-reporting\EC\2017-10-11-refined-times.txt</v>
      </c>
      <c r="AI77" s="96" t="str">
        <f t="shared" si="6"/>
        <v>echo {"issue":{"subject":"","project_id":79,"tracker_id":40,"status_id":1,"priority_id":2,"assigned_to_id":338,"start_date":"2017-10-11","description":"","custom_fields":[{"id":1,"name":"Subdivision","value":"EC"},{"id":4,"name":"Milepost","value":"23.331"},{"id":17,"name":"Train ID","value":"165-11"},{"id":16,"name":"Locomotive ID","value":"4018"},{"id":130,"name":"Impact","value":""},{"id":150,"name":"Time of Event (Mountain Time)","value":"12:20:33"},{"id":151,"name":"Denver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4018 --day 2017-10-11</v>
      </c>
      <c r="AN77" s="151" t="str">
        <f t="shared" si="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-11T10:39:07-0600',mode:absolute,to:'2017-10-11T13:20:33-0600'))&amp;_a=(columns:!('Message%20ID',Summary),filters:!(),index:'emp_*',interval:auto,query:(query_string:(analyze_wildcard:!t,query:'%22rtdc.l.rtdc.4018%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718</v>
      </c>
      <c r="B78" s="7">
        <v>4017</v>
      </c>
      <c r="C78" s="21" t="s">
        <v>194</v>
      </c>
      <c r="D78" s="21" t="s">
        <v>456</v>
      </c>
      <c r="E78" s="13">
        <v>43019.515833333331</v>
      </c>
      <c r="F78" s="13">
        <v>43019.529317129629</v>
      </c>
      <c r="G78" s="7">
        <v>74</v>
      </c>
      <c r="H78" s="21" t="s">
        <v>339</v>
      </c>
      <c r="I78" s="13">
        <v>43019.555324074077</v>
      </c>
      <c r="J78" s="7">
        <v>0</v>
      </c>
      <c r="K78" s="89" t="str">
        <f>IF(ISEVEN(B78),(B78-1)&amp;"/"&amp;B78,B78&amp;"/"&amp;(B78+1))</f>
        <v>4017/4018</v>
      </c>
      <c r="L78" s="185" t="str">
        <f>VLOOKUP(A78,'Trips&amp;Operators'!$C$1:$G$99911,5,FALSE)</f>
        <v>GUZMAN DANNY</v>
      </c>
      <c r="M78" s="6">
        <f>I78-F78</f>
        <v>2.6006944448454306E-2</v>
      </c>
      <c r="N78" s="7">
        <f>24*60*SUM($M78:$M78)</f>
        <v>37.4500000057742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-11T11:22:48-0600',mode:absolute,to:'2017-10-11T14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23.299099999999999</v>
      </c>
      <c r="Z78" s="204">
        <f>RIGHT(H78,LEN(H78)-4)/10000</f>
        <v>1.47E-2</v>
      </c>
      <c r="AA78" s="204">
        <f>ABS(Z78-Y78)</f>
        <v>23.284399999999998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/stypes="app*4017*20171011*"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2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166-11 --locoid 4017 --swversion DE.1.0.9.0 --startMP 204:232991 --initTime 2017-10-11T12:22:48 --startdatetime 2017-10-11T12:42:13 --delay 74 --endMP 204:147 --enddatetime 2017-10-11T13:19:40 --enforcementcount 0 &gt;&gt;%USERPROFILE%\Documents\GitHub\eaglep3-reporting\EC\2017-10-11-refined-times.txt</v>
      </c>
      <c r="AI78" s="96" t="str">
        <f t="shared" ref="AI78:AI142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ID","value":"166-11"},{"id":16,"name":"Locomotive ID","value":"4017"},{"id":130,"name":"Impact","value":""},{"id":150,"name":"Time of Event (Mountain Time)","value":"13:19:40"},{"id":151,"name":"Denver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2" si="12">"start /low /b "&amp;dls3logs&amp;" --loco "&amp;B78&amp;" --day "&amp;TEXT(F78,"YYYY-MM-DD")</f>
        <v>start /low /b %USERPROFILE%\Documents\GitHub\eaglep3\Utilities\DownloadLogsFromS3.py --loco 4017 --day 2017-10-11</v>
      </c>
      <c r="AN78" s="151" t="str">
        <f t="shared" ref="AN78:AN142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2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-11T11:22:48-0600',mode:absolute,to:'2017-10-11T14:19:40-0600'))&amp;_a=(columns:!('Message%20ID',Summary),filters:!(),index:'emp_*',interval:auto,query:(query_string:(analyze_wildcard:!t,query:'%22rtdc.l.rtdc.4017%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713</v>
      </c>
      <c r="B79" s="7">
        <v>4046</v>
      </c>
      <c r="C79" s="21" t="s">
        <v>194</v>
      </c>
      <c r="D79" s="21" t="s">
        <v>851</v>
      </c>
      <c r="E79" s="13">
        <v>43019.498252314814</v>
      </c>
      <c r="F79" s="13">
        <v>43019.500173611108</v>
      </c>
      <c r="G79" s="7">
        <v>64</v>
      </c>
      <c r="H79" s="21" t="s">
        <v>443</v>
      </c>
      <c r="I79" s="13">
        <v>43019.523842592593</v>
      </c>
      <c r="J79" s="7">
        <v>0</v>
      </c>
      <c r="K79" s="89" t="str">
        <f>IF(ISEVEN(B79),(B79-1)&amp;"/"&amp;B79,B79&amp;"/"&amp;(B79+1))</f>
        <v>4045/4046</v>
      </c>
      <c r="L79" s="185" t="str">
        <f>VLOOKUP(A79,'Trips&amp;Operators'!$C$1:$G$99911,5,FALSE)</f>
        <v>LEVIN SCOTT</v>
      </c>
      <c r="M79" s="6">
        <f>I79-F79</f>
        <v>2.3668981484661344E-2</v>
      </c>
      <c r="N79" s="7">
        <f>24*60*SUM($M79:$M79)</f>
        <v>34.083333337912336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-11T10:57:29-0600',mode:absolute,to:'2017-10-11T13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4.8599999999999997E-2</v>
      </c>
      <c r="Z79" s="204">
        <f>RIGHT(H79,LEN(H79)-4)/10000</f>
        <v>23.331399999999999</v>
      </c>
      <c r="AA79" s="204">
        <f>ABS(Z79-Y79)</f>
        <v>23.282799999999998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/stypes="app*4046*20171011*"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167-11 --locoid 4046 --swversion DE.1.0.9.0 --startMP 204:486 --initTime 2017-10-11T11:57:29 --startdatetime 2017-10-11T12:00:15 --delay 64 --endMP 204:233314 --enddatetime 2017-10-11T12:34:20 --enforcementcount 0 &gt;&gt;%USERPROFILE%\Documents\GitHub\eaglep3-reporting\EC\2017-10-11-refined-times.txt</v>
      </c>
      <c r="AI79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{"issue":{"subject":"","project_id":79,"tracker_id":40,"status_id":1,"priority_id":2,"assigned_to_id":338,"start_date":"2017-10-11","description":"","custom_fields":[{"id":1,"name":"Subdivision","value":"EC"},{"id":4,"name":"Milepost","value":"23.3314"},{"id":17,"name":"Train ID","value":"167-11"},{"id":16,"name":"Locomotive ID","value":"4046"},{"id":130,"name":"Impact","value":""},{"id":150,"name":"Time of Event (Mountain Time)","value":"12:34:20"},{"id":151,"name":"Denver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4046 --day 2017-10-11</v>
      </c>
      <c r="AN79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-11T10:57:29-0600',mode:absolute,to:'2017-10-11T13:34:20-0600'))&amp;_a=(columns:!('Message%20ID',Summary),filters:!(),index:'emp_*',interval:auto,query:(query_string:(analyze_wildcard:!t,query:'%22rtdc.l.rtdc.4046%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726</v>
      </c>
      <c r="B80" s="7">
        <v>4045</v>
      </c>
      <c r="C80" s="21" t="s">
        <v>194</v>
      </c>
      <c r="D80" s="21" t="s">
        <v>533</v>
      </c>
      <c r="E80" s="13">
        <v>43019.532048611109</v>
      </c>
      <c r="F80" s="13">
        <v>43019.539814814816</v>
      </c>
      <c r="G80" s="7">
        <v>83</v>
      </c>
      <c r="H80" s="21" t="s">
        <v>339</v>
      </c>
      <c r="I80" s="13">
        <v>43019.566516203704</v>
      </c>
      <c r="J80" s="7">
        <v>0</v>
      </c>
      <c r="K80" s="89" t="str">
        <f>IF(ISEVEN(B80),(B80-1)&amp;"/"&amp;B80,B80&amp;"/"&amp;(B80+1))</f>
        <v>4045/4046</v>
      </c>
      <c r="L80" s="185" t="str">
        <f>VLOOKUP(A80,'Trips&amp;Operators'!$C$1:$G$99911,5,FALSE)</f>
        <v>LEVIN SCOTT</v>
      </c>
      <c r="M80" s="6">
        <f>I80-F80</f>
        <v>2.6701388887886424E-2</v>
      </c>
      <c r="N80" s="7">
        <f>24*60*SUM($M80:$M80)</f>
        <v>38.44999999855645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-11T11:46:09-0600',mode:absolute,to:'2017-10-11T14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23.3003</v>
      </c>
      <c r="Z80" s="204">
        <f>RIGHT(H80,LEN(H80)-4)/10000</f>
        <v>1.47E-2</v>
      </c>
      <c r="AA80" s="204">
        <f>ABS(Z80-Y80)</f>
        <v>23.285599999999999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/stypes="app*4045*20171011*"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168-11 --locoid 4045 --swversion DE.1.0.9.0 --startMP 204:233003 --initTime 2017-10-11T12:46:09 --startdatetime 2017-10-11T12:57:20 --delay 83 --endMP 204:147 --enddatetime 2017-10-11T13:35:47 --enforcementcount 0 &gt;&gt;%USERPROFILE%\Documents\GitHub\eaglep3-reporting\EC\2017-10-11-refined-times.txt</v>
      </c>
      <c r="AI80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ID","value":"168-11"},{"id":16,"name":"Locomotive ID","value":"4045"},{"id":130,"name":"Impact","value":""},{"id":150,"name":"Time of Event (Mountain Time)","value":"13:35:47"},{"id":151,"name":"Denver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4045 --day 2017-10-11</v>
      </c>
      <c r="AN80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-11T11:46:09-0600',mode:absolute,to:'2017-10-11T14:35:47-0600'))&amp;_a=(columns:!('Message%20ID',Summary),filters:!(),index:'emp_*',interval:auto,query:(query_string:(analyze_wildcard:!t,query:'%22rtdc.l.rtdc.4045%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716</v>
      </c>
      <c r="B81" s="7">
        <v>4016</v>
      </c>
      <c r="C81" s="21" t="s">
        <v>194</v>
      </c>
      <c r="D81" s="21" t="s">
        <v>852</v>
      </c>
      <c r="E81" s="13">
        <v>43019.505497685182</v>
      </c>
      <c r="F81" s="13">
        <v>43019.51059027778</v>
      </c>
      <c r="G81" s="7">
        <v>73</v>
      </c>
      <c r="H81" s="21" t="s">
        <v>537</v>
      </c>
      <c r="I81" s="13">
        <v>43019.535000000003</v>
      </c>
      <c r="J81" s="7">
        <v>0</v>
      </c>
      <c r="K81" s="89" t="str">
        <f>IF(ISEVEN(B81),(B81-1)&amp;"/"&amp;B81,B81&amp;"/"&amp;(B81+1))</f>
        <v>4015/4016</v>
      </c>
      <c r="L81" s="185" t="str">
        <f>VLOOKUP(A81,'Trips&amp;Operators'!$C$1:$G$99911,5,FALSE)</f>
        <v>DELGADO DIANAH</v>
      </c>
      <c r="M81" s="6">
        <f>I81-F81</f>
        <v>2.4409722223936114E-2</v>
      </c>
      <c r="N81" s="7">
        <f>24*60*SUM($M81:$M81)</f>
        <v>35.150000002468005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-11T11:07:55-0600',mode:absolute,to:'2017-10-11T13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5.2900000000000003E-2</v>
      </c>
      <c r="Z81" s="204">
        <f>RIGHT(H81,LEN(H81)-4)/10000</f>
        <v>23.331</v>
      </c>
      <c r="AA81" s="204">
        <f>ABS(Z81-Y81)</f>
        <v>23.278099999999998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/stypes="app*4016*20171011*"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169-11 --locoid 4016 --swversion DE.1.0.9.0 --startMP 204:529 --initTime 2017-10-11T12:07:55 --startdatetime 2017-10-11T12:15:15 --delay 73 --endMP 204:233310 --enddatetime 2017-10-11T12:50:24 --enforcementcount 0 &gt;&gt;%USERPROFILE%\Documents\GitHub\eaglep3-reporting\EC\2017-10-11-refined-times.txt</v>
      </c>
      <c r="AI81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{"issue":{"subject":"","project_id":79,"tracker_id":40,"status_id":1,"priority_id":2,"assigned_to_id":338,"start_date":"2017-10-11","description":"","custom_fields":[{"id":1,"name":"Subdivision","value":"EC"},{"id":4,"name":"Milepost","value":"23.331"},{"id":17,"name":"Train ID","value":"169-11"},{"id":16,"name":"Locomotive ID","value":"4016"},{"id":130,"name":"Impact","value":""},{"id":150,"name":"Time of Event (Mountain Time)","value":"12:50:24"},{"id":151,"name":"Denver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4016 --day 2017-10-11</v>
      </c>
      <c r="AN81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-11T11:07:55-0600',mode:absolute,to:'2017-10-11T13:50:24-0600'))&amp;_a=(columns:!('Message%20ID',Summary),filters:!(),index:'emp_*',interval:auto,query:(query_string:(analyze_wildcard:!t,query:'%22rtdc.l.rtdc.4016%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729</v>
      </c>
      <c r="B82" s="7">
        <v>4015</v>
      </c>
      <c r="C82" s="21" t="s">
        <v>194</v>
      </c>
      <c r="D82" s="21" t="s">
        <v>530</v>
      </c>
      <c r="E82" s="13">
        <v>43019.547789351855</v>
      </c>
      <c r="F82" s="13">
        <v>43019.550173611111</v>
      </c>
      <c r="G82" s="7">
        <v>78</v>
      </c>
      <c r="H82" s="21" t="s">
        <v>842</v>
      </c>
      <c r="I82" s="13">
        <v>43019.575833333336</v>
      </c>
      <c r="J82" s="7">
        <v>0</v>
      </c>
      <c r="K82" s="89" t="str">
        <f>IF(ISEVEN(B82),(B82-1)&amp;"/"&amp;B82,B82&amp;"/"&amp;(B82+1))</f>
        <v>4015/4016</v>
      </c>
      <c r="L82" s="185" t="str">
        <f>VLOOKUP(A82,'Trips&amp;Operators'!$C$1:$G$99911,5,FALSE)</f>
        <v>DELGADO DIANAH</v>
      </c>
      <c r="M82" s="6">
        <f>I82-F82</f>
        <v>2.5659722225100268E-2</v>
      </c>
      <c r="N82" s="7">
        <f>24*60*SUM($M82:$M82)</f>
        <v>36.950000004144385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-11T12:08:49-0600',mode:absolute,to:'2017-10-11T14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23.300599999999999</v>
      </c>
      <c r="Z82" s="204">
        <f>RIGHT(H82,LEN(H82)-4)/10000</f>
        <v>1.38E-2</v>
      </c>
      <c r="AA82" s="204">
        <f>ABS(Z82-Y82)</f>
        <v>23.286799999999999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/stypes="app*4015*20171011*"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170-11 --locoid 4015 --swversion DE.1.0.9.0 --startMP 204:233006 --initTime 2017-10-11T13:08:49 --startdatetime 2017-10-11T13:12:15 --delay 78 --endMP 204:138 --enddatetime 2017-10-11T13:49:12 --enforcementcount 0 &gt;&gt;%USERPROFILE%\Documents\GitHub\eaglep3-reporting\EC\2017-10-11-refined-times.txt</v>
      </c>
      <c r="AI82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{"issue":{"subject":"","project_id":79,"tracker_id":40,"status_id":1,"priority_id":2,"assigned_to_id":338,"start_date":"2017-10-11","description":"","custom_fields":[{"id":1,"name":"Subdivision","value":"EC"},{"id":4,"name":"Milepost","value":"0.0138"},{"id":17,"name":"Train ID","value":"170-11"},{"id":16,"name":"Locomotive ID","value":"4015"},{"id":130,"name":"Impact","value":""},{"id":150,"name":"Time of Event (Mountain Time)","value":"13:49:12"},{"id":151,"name":"Denver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4015 --day 2017-10-11</v>
      </c>
      <c r="AN82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-11T12:08:49-0600',mode:absolute,to:'2017-10-11T14:49:12-0600'))&amp;_a=(columns:!('Message%20ID',Summary),filters:!(),index:'emp_*',interval:auto,query:(query_string:(analyze_wildcard:!t,query:'%22rtdc.l.rtdc.4015%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719</v>
      </c>
      <c r="B83" s="7">
        <v>4014</v>
      </c>
      <c r="C83" s="21" t="s">
        <v>194</v>
      </c>
      <c r="D83" s="21" t="s">
        <v>372</v>
      </c>
      <c r="E83" s="13">
        <v>43019.517060185186</v>
      </c>
      <c r="F83" s="13">
        <v>43019.521435185183</v>
      </c>
      <c r="G83" s="7">
        <v>80</v>
      </c>
      <c r="H83" s="21" t="s">
        <v>839</v>
      </c>
      <c r="I83" s="13">
        <v>43019.546817129631</v>
      </c>
      <c r="J83" s="7">
        <v>0</v>
      </c>
      <c r="K83" s="89" t="str">
        <f>IF(ISEVEN(B83),(B83-1)&amp;"/"&amp;B83,B83&amp;"/"&amp;(B83+1))</f>
        <v>4013/4014</v>
      </c>
      <c r="L83" s="185" t="str">
        <f>VLOOKUP(A83,'Trips&amp;Operators'!$C$1:$G$99911,5,FALSE)</f>
        <v>DAVIS MICHAEL</v>
      </c>
      <c r="M83" s="6">
        <f>I83-F83</f>
        <v>2.5381944447872229E-2</v>
      </c>
      <c r="N83" s="7">
        <f>24*60*SUM($M83:$M83)</f>
        <v>36.55000000493601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-11T11:24:34-0600',mode:absolute,to:'2017-10-11T14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4.7100000000000003E-2</v>
      </c>
      <c r="Z83" s="204">
        <f>RIGHT(H83,LEN(H83)-4)/10000</f>
        <v>23.330100000000002</v>
      </c>
      <c r="AA83" s="204">
        <f>ABS(Z83-Y83)</f>
        <v>23.283000000000001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/stypes="app*4014*20171011*"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171-11 --locoid 4014 --swversion DE.1.0.9.0 --startMP 204:471 --initTime 2017-10-11T12:24:34 --startdatetime 2017-10-11T12:30:52 --delay 80 --endMP 204:233301 --enddatetime 2017-10-11T13:07:25 --enforcementcount 0 &gt;&gt;%USERPROFILE%\Documents\GitHub\eaglep3-reporting\EC\2017-10-11-refined-times.txt</v>
      </c>
      <c r="AI83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{"issue":{"subject":"","project_id":79,"tracker_id":40,"status_id":1,"priority_id":2,"assigned_to_id":338,"start_date":"2017-10-11","description":"","custom_fields":[{"id":1,"name":"Subdivision","value":"EC"},{"id":4,"name":"Milepost","value":"23.3301"},{"id":17,"name":"Train ID","value":"171-11"},{"id":16,"name":"Locomotive ID","value":"4014"},{"id":130,"name":"Impact","value":""},{"id":150,"name":"Time of Event (Mountain Time)","value":"13:07:25"},{"id":151,"name":"Denver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4014 --day 2017-10-11</v>
      </c>
      <c r="AN83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-11T11:24:34-0600',mode:absolute,to:'2017-10-11T14:07:25-0600'))&amp;_a=(columns:!('Message%20ID',Summary),filters:!(),index:'emp_*',interval:auto,query:(query_string:(analyze_wildcard:!t,query:'%22rtdc.l.rtdc.4014%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732</v>
      </c>
      <c r="B84" s="7">
        <v>4013</v>
      </c>
      <c r="C84" s="21" t="s">
        <v>194</v>
      </c>
      <c r="D84" s="21" t="s">
        <v>533</v>
      </c>
      <c r="E84" s="13">
        <v>43019.558020833334</v>
      </c>
      <c r="F84" s="13">
        <v>43019.560868055552</v>
      </c>
      <c r="G84" s="7">
        <v>68</v>
      </c>
      <c r="H84" s="21" t="s">
        <v>339</v>
      </c>
      <c r="I84" s="13">
        <v>43019.589155092595</v>
      </c>
      <c r="J84" s="7">
        <v>0</v>
      </c>
      <c r="K84" s="89" t="str">
        <f>IF(ISEVEN(B84),(B84-1)&amp;"/"&amp;B84,B84&amp;"/"&amp;(B84+1))</f>
        <v>4013/4014</v>
      </c>
      <c r="L84" s="185" t="str">
        <f>VLOOKUP(A84,'Trips&amp;Operators'!$C$1:$G$99911,5,FALSE)</f>
        <v>DAVIS MICHAEL</v>
      </c>
      <c r="M84" s="6">
        <f>I84-F84</f>
        <v>2.828703704290092E-2</v>
      </c>
      <c r="N84" s="7">
        <f>24*60*SUM($M84:$M84)</f>
        <v>40.733333341777325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-11T12:23:33-0600',mode:absolute,to:'2017-10-11T15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23.3003</v>
      </c>
      <c r="Z84" s="204">
        <f>RIGHT(H84,LEN(H84)-4)/10000</f>
        <v>1.47E-2</v>
      </c>
      <c r="AA84" s="204">
        <f>ABS(Z84-Y84)</f>
        <v>23.285599999999999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/stypes="app*4013*20171011*"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172-11 --locoid 4013 --swversion DE.1.0.9.0 --startMP 204:233003 --initTime 2017-10-11T13:23:33 --startdatetime 2017-10-11T13:27:39 --delay 68 --endMP 204:147 --enddatetime 2017-10-11T14:08:23 --enforcementcount 0 &gt;&gt;%USERPROFILE%\Documents\GitHub\eaglep3-reporting\EC\2017-10-11-refined-times.txt</v>
      </c>
      <c r="AI84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ID","value":"172-11"},{"id":16,"name":"Locomotive ID","value":"4013"},{"id":130,"name":"Impact","value":""},{"id":150,"name":"Time of Event (Mountain Time)","value":"14:08:23"},{"id":151,"name":"Denver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4013 --day 2017-10-11</v>
      </c>
      <c r="AN84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-11T12:23:33-0600',mode:absolute,to:'2017-10-11T15:08:23-0600'))&amp;_a=(columns:!('Message%20ID',Summary),filters:!(),index:'emp_*',interval:auto,query:(query_string:(analyze_wildcard:!t,query:'%22rtdc.l.rtdc.4013%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721</v>
      </c>
      <c r="B85" s="7">
        <v>4008</v>
      </c>
      <c r="C85" s="21" t="s">
        <v>194</v>
      </c>
      <c r="D85" s="21" t="s">
        <v>376</v>
      </c>
      <c r="E85" s="13">
        <v>43019.527615740742</v>
      </c>
      <c r="F85" s="13">
        <v>43019.531655092593</v>
      </c>
      <c r="G85" s="7">
        <v>76</v>
      </c>
      <c r="H85" s="21" t="s">
        <v>404</v>
      </c>
      <c r="I85" s="13">
        <v>43019.55741898148</v>
      </c>
      <c r="J85" s="7">
        <v>0</v>
      </c>
      <c r="K85" s="89" t="str">
        <f>IF(ISEVEN(B85),(B85-1)&amp;"/"&amp;B85,B85&amp;"/"&amp;(B85+1))</f>
        <v>4007/4008</v>
      </c>
      <c r="L85" s="185" t="str">
        <f>VLOOKUP(A85,'Trips&amp;Operators'!$C$1:$G$99911,5,FALSE)</f>
        <v>KILLION DAVID</v>
      </c>
      <c r="M85" s="6">
        <f>I85-F85</f>
        <v>2.5763888887013309E-2</v>
      </c>
      <c r="N85" s="7">
        <f>24*60*SUM($M85:$M85)</f>
        <v>37.099999997299165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-11T11:39:46-0600',mode:absolute,to:'2017-10-11T14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4.4699999999999997E-2</v>
      </c>
      <c r="Z85" s="204">
        <f>RIGHT(H85,LEN(H85)-4)/10000</f>
        <v>23.330200000000001</v>
      </c>
      <c r="AA85" s="204">
        <f>ABS(Z85-Y85)</f>
        <v>23.285500000000003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/stypes="app*4008*20171011*"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173-11 --locoid 4008 --swversion DE.1.0.9.0 --startMP 204:447 --initTime 2017-10-11T12:39:46 --startdatetime 2017-10-11T12:45:35 --delay 76 --endMP 204:233302 --enddatetime 2017-10-11T13:22:41 --enforcementcount 0 &gt;&gt;%USERPROFILE%\Documents\GitHub\eaglep3-reporting\EC\2017-10-11-refined-times.txt</v>
      </c>
      <c r="AI85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{"issue":{"subject":"","project_id":79,"tracker_id":40,"status_id":1,"priority_id":2,"assigned_to_id":338,"start_date":"2017-10-11","description":"","custom_fields":[{"id":1,"name":"Subdivision","value":"EC"},{"id":4,"name":"Milepost","value":"23.3302"},{"id":17,"name":"Train ID","value":"173-11"},{"id":16,"name":"Locomotive ID","value":"4008"},{"id":130,"name":"Impact","value":""},{"id":150,"name":"Time of Event (Mountain Time)","value":"13:22:41"},{"id":151,"name":"Denver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4008 --day 2017-10-11</v>
      </c>
      <c r="AN85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-11T11:39:46-0600',mode:absolute,to:'2017-10-11T14:22:41-0600'))&amp;_a=(columns:!('Message%20ID',Summary),filters:!(),index:'emp_*',interval:auto,query:(query_string:(analyze_wildcard:!t,query:'%22rtdc.l.rtdc.4008%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733</v>
      </c>
      <c r="B86" s="7">
        <v>4007</v>
      </c>
      <c r="C86" s="21" t="s">
        <v>194</v>
      </c>
      <c r="D86" s="21" t="s">
        <v>538</v>
      </c>
      <c r="E86" s="13">
        <v>43019.562650462962</v>
      </c>
      <c r="F86" s="13">
        <v>43019.571134259262</v>
      </c>
      <c r="G86" s="7">
        <v>65</v>
      </c>
      <c r="H86" s="21" t="s">
        <v>339</v>
      </c>
      <c r="I86" s="13">
        <v>43019.597037037034</v>
      </c>
      <c r="J86" s="7">
        <v>0</v>
      </c>
      <c r="K86" s="89" t="str">
        <f>IF(ISEVEN(B86),(B86-1)&amp;"/"&amp;B86,B86&amp;"/"&amp;(B86+1))</f>
        <v>4007/4008</v>
      </c>
      <c r="L86" s="185" t="str">
        <f>VLOOKUP(A86,'Trips&amp;Operators'!$C$1:$G$99911,5,FALSE)</f>
        <v>KILLION DAVID</v>
      </c>
      <c r="M86" s="6">
        <f>I86-F86</f>
        <v>2.5902777771989349E-2</v>
      </c>
      <c r="N86" s="7">
        <f>24*60*SUM($M86:$M86)</f>
        <v>37.299999991664663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-11T12:30:13-0600',mode:absolute,to:'2017-10-11T15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23.2989</v>
      </c>
      <c r="Z86" s="204">
        <f>RIGHT(H86,LEN(H86)-4)/10000</f>
        <v>1.47E-2</v>
      </c>
      <c r="AA86" s="204">
        <f>ABS(Z86-Y86)</f>
        <v>23.284199999999998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s3://rtdc.mdm.uploadarchive.raw/RTDC4007/ "%USERPROFILE%\AppData\Local\Temp\OnboardLogs"\RTDC4007\2017-10-11 --exclude "*" --recursive --include "*20171011*" &amp; "%USERPROFILE%\Documents\GitHub\mrs-test-scripts\Headless Mode &amp; Sideloading\WalkAndUnGZ.bat" "%USERPROFILE%\AppData\Local\Temp\OnboardLogs"\RTDC4007\2017-10-11 &amp; aws s3 cp s3://rtdc.mdm.uploadarchive.raw/RTDC4007/ "%USERPROFILE%\AppData\Local\Temp\OnboardLogs"\RTDC4007\2017-10-12 --exclude "*" --recursive --include "*20171012*" &amp; "%USERPROFILE%\Documents\GitHub\mrs-test-scripts\Headless Mode &amp; Sideloading\WalkAndUnGZ.bat" "%USERPROFILE%\AppData\Local\Temp\OnboardLogs"\RTDC4007\2017-10-12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/stypes="app*4007*20171011*"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174-11 --locoid 4007 --swversion DE.1.0.9.0 --startMP 204:232989 --initTime 2017-10-11T13:30:13 --startdatetime 2017-10-11T13:42:26 --delay 65 --endMP 204:147 --enddatetime 2017-10-11T14:19:44 --enforcementcount 0 &gt;&gt;%USERPROFILE%\Documents\GitHub\eaglep3-reporting\EC\2017-10-11-refined-times.txt</v>
      </c>
      <c r="AI86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ID","value":"174-11"},{"id":16,"name":"Locomotive ID","value":"4007"},{"id":130,"name":"Impact","value":""},{"id":150,"name":"Time of Event (Mountain Time)","value":"14:19:44"},{"id":151,"name":"Denver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4007 --day 2017-10-11</v>
      </c>
      <c r="AN86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-11T12:30:13-0600',mode:absolute,to:'2017-10-11T15:19:44-0600'))&amp;_a=(columns:!('Message%20ID',Summary),filters:!(),index:'emp_*',interval:auto,query:(query_string:(analyze_wildcard:!t,query:'%22rtdc.l.rtdc.4007%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727</v>
      </c>
      <c r="B87" s="7">
        <v>4032</v>
      </c>
      <c r="C87" s="21" t="s">
        <v>194</v>
      </c>
      <c r="D87" s="21" t="s">
        <v>376</v>
      </c>
      <c r="E87" s="13">
        <v>43019.536620370367</v>
      </c>
      <c r="F87" s="13">
        <v>43019.54184027778</v>
      </c>
      <c r="G87" s="7">
        <v>95</v>
      </c>
      <c r="H87" s="21" t="s">
        <v>528</v>
      </c>
      <c r="I87" s="13">
        <v>43019.566620370373</v>
      </c>
      <c r="J87" s="7">
        <v>0</v>
      </c>
      <c r="K87" s="89" t="str">
        <f>IF(ISEVEN(B87),(B87-1)&amp;"/"&amp;B87,B87&amp;"/"&amp;(B87+1))</f>
        <v>4031/4032</v>
      </c>
      <c r="L87" s="185" t="str">
        <f>VLOOKUP(A87,'Trips&amp;Operators'!$C$1:$G$99911,5,FALSE)</f>
        <v>BRUDER RICHARD</v>
      </c>
      <c r="M87" s="6">
        <f>I87-F87</f>
        <v>2.4780092593573499E-2</v>
      </c>
      <c r="N87" s="7">
        <f>24*60*SUM($M87:$M87)</f>
        <v>35.683333334745839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-11T11:52:44-0600',mode:absolute,to:'2017-10-11T14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4.4699999999999997E-2</v>
      </c>
      <c r="Z87" s="204">
        <f>RIGHT(H87,LEN(H87)-4)/10000</f>
        <v>23.332000000000001</v>
      </c>
      <c r="AA87" s="204">
        <f>ABS(Z87-Y87)</f>
        <v>23.287300000000002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/stypes="app*4032*20171011*"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175-11 --locoid 4032 --swversion DE.1.0.9.0 --startMP 204:447 --initTime 2017-10-11T12:52:44 --startdatetime 2017-10-11T13:00:15 --delay 95 --endMP 204:233320 --enddatetime 2017-10-11T13:35:56 --enforcementcount 0 &gt;&gt;%USERPROFILE%\Documents\GitHub\eaglep3-reporting\EC\2017-10-11-refined-times.txt</v>
      </c>
      <c r="AI87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{"issue":{"subject":"","project_id":79,"tracker_id":40,"status_id":1,"priority_id":2,"assigned_to_id":338,"start_date":"2017-10-11","description":"","custom_fields":[{"id":1,"name":"Subdivision","value":"EC"},{"id":4,"name":"Milepost","value":"23.332"},{"id":17,"name":"Train ID","value":"175-11"},{"id":16,"name":"Locomotive ID","value":"4032"},{"id":130,"name":"Impact","value":""},{"id":150,"name":"Time of Event (Mountain Time)","value":"13:35:56"},{"id":151,"name":"Denver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4032 --day 2017-10-11</v>
      </c>
      <c r="AN87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-10-11T11:52:44-0600',mode:absolute,to:'2017-10-11T14:35:56-0600'))&amp;_a=(columns:!('Message%20ID',Summary),filters:!(),index:'emp_*',interval:auto,query:(query_string:(analyze_wildcard:!t,query:'%22rtdc.l.rtdc.4032%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736</v>
      </c>
      <c r="B88" s="7">
        <v>4031</v>
      </c>
      <c r="C88" s="21" t="s">
        <v>194</v>
      </c>
      <c r="D88" s="21" t="s">
        <v>844</v>
      </c>
      <c r="E88" s="13">
        <v>43019.578217592592</v>
      </c>
      <c r="F88" s="13">
        <v>43019.581435185188</v>
      </c>
      <c r="G88" s="7">
        <v>62</v>
      </c>
      <c r="H88" s="21" t="s">
        <v>361</v>
      </c>
      <c r="I88" s="13">
        <v>43019.607615740744</v>
      </c>
      <c r="J88" s="7">
        <v>0</v>
      </c>
      <c r="K88" s="89" t="str">
        <f>IF(ISEVEN(B88),(B88-1)&amp;"/"&amp;B88,B88&amp;"/"&amp;(B88+1))</f>
        <v>4031/4032</v>
      </c>
      <c r="L88" s="185" t="str">
        <f>VLOOKUP(A88,'Trips&amp;Operators'!$C$1:$G$99911,5,FALSE)</f>
        <v>BRUDER RICHARD</v>
      </c>
      <c r="M88" s="6">
        <f>I88-F88</f>
        <v>2.6180555556493346E-2</v>
      </c>
      <c r="N88" s="7">
        <f>24*60*SUM($M88:$M88)</f>
        <v>37.700000001350418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-11T12:52:38-0600',mode:absolute,to:'2017-10-11T15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23.297799999999999</v>
      </c>
      <c r="Z88" s="204">
        <f>RIGHT(H88,LEN(H88)-4)/10000</f>
        <v>1.61E-2</v>
      </c>
      <c r="AA88" s="204">
        <f>ABS(Z88-Y88)</f>
        <v>23.281699999999997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/stypes="app*4031*20171011*"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176-11 --locoid 4031 --swversion DE.1.0.9.0 --startMP 204:232978 --initTime 2017-10-11T13:52:38 --startdatetime 2017-10-11T13:57:16 --delay 62 --endMP 204:161 --enddatetime 2017-10-11T14:34:58 --enforcementcount 0 &gt;&gt;%USERPROFILE%\Documents\GitHub\eaglep3-reporting\EC\2017-10-11-refined-times.txt</v>
      </c>
      <c r="AI88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{"issue":{"subject":"","project_id":79,"tracker_id":40,"status_id":1,"priority_id":2,"assigned_to_id":338,"start_date":"2017-10-11","description":"","custom_fields":[{"id":1,"name":"Subdivision","value":"EC"},{"id":4,"name":"Milepost","value":"0.0161"},{"id":17,"name":"Train ID","value":"176-11"},{"id":16,"name":"Locomotive ID","value":"4031"},{"id":130,"name":"Impact","value":""},{"id":150,"name":"Time of Event (Mountain Time)","value":"14:34:58"},{"id":151,"name":"Denver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4031 --day 2017-10-11</v>
      </c>
      <c r="AN88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-11T12:52:38-0600',mode:absolute,to:'2017-10-11T15:34:58-0600'))&amp;_a=(columns:!('Message%20ID',Summary),filters:!(),index:'emp_*',interval:auto,query:(query_string:(analyze_wildcard:!t,query:'%22rtdc.l.rtdc.4031%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730</v>
      </c>
      <c r="B89" s="7">
        <v>4036</v>
      </c>
      <c r="C89" s="21" t="s">
        <v>194</v>
      </c>
      <c r="D89" s="21" t="s">
        <v>454</v>
      </c>
      <c r="E89" s="13">
        <v>43019.548530092594</v>
      </c>
      <c r="F89" s="13">
        <v>43019.552418981482</v>
      </c>
      <c r="G89" s="7">
        <v>71</v>
      </c>
      <c r="H89" s="21" t="s">
        <v>547</v>
      </c>
      <c r="I89" s="13">
        <v>43019.577569444446</v>
      </c>
      <c r="J89" s="7">
        <v>0</v>
      </c>
      <c r="K89" s="89" t="str">
        <f>IF(ISEVEN(B89),(B89-1)&amp;"/"&amp;B89,B89&amp;"/"&amp;(B89+1))</f>
        <v>4035/4036</v>
      </c>
      <c r="L89" s="185" t="str">
        <f>VLOOKUP(A89,'Trips&amp;Operators'!$C$1:$G$99911,5,FALSE)</f>
        <v>STEWART MICHAEL</v>
      </c>
      <c r="M89" s="6">
        <f>I89-F89</f>
        <v>2.5150462963210884E-2</v>
      </c>
      <c r="N89" s="7">
        <f>24*60*SUM($M89:$M89)</f>
        <v>36.216666667023674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-11T12:09:53-0600',mode:absolute,to:'2017-10-11T14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4.6399999999999997E-2</v>
      </c>
      <c r="Z89" s="204">
        <f>RIGHT(H89,LEN(H89)-4)/10000</f>
        <v>23.328900000000001</v>
      </c>
      <c r="AA89" s="204">
        <f>ABS(Z89-Y89)</f>
        <v>23.282500000000002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/stypes="app*4036*20171011*"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177-11 --locoid 4036 --swversion DE.1.0.9.0 --startMP 204:464 --initTime 2017-10-11T13:09:53 --startdatetime 2017-10-11T13:15:29 --delay 71 --endMP 204:233289 --enddatetime 2017-10-11T13:51:42 --enforcementcount 0 &gt;&gt;%USERPROFILE%\Documents\GitHub\eaglep3-reporting\EC\2017-10-11-refined-times.txt</v>
      </c>
      <c r="AI89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{"issue":{"subject":"","project_id":79,"tracker_id":40,"status_id":1,"priority_id":2,"assigned_to_id":338,"start_date":"2017-10-11","description":"","custom_fields":[{"id":1,"name":"Subdivision","value":"EC"},{"id":4,"name":"Milepost","value":"23.3289"},{"id":17,"name":"Train ID","value":"177-11"},{"id":16,"name":"Locomotive ID","value":"4036"},{"id":130,"name":"Impact","value":""},{"id":150,"name":"Time of Event (Mountain Time)","value":"13:51:42"},{"id":151,"name":"Denver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4036 --day 2017-10-11</v>
      </c>
      <c r="AN89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-11T12:09:53-0600',mode:absolute,to:'2017-10-11T14:51:42-0600'))&amp;_a=(columns:!('Message%20ID',Summary),filters:!(),index:'emp_*',interval:auto,query:(query_string:(analyze_wildcard:!t,query:'%22rtdc.l.rtdc.4036%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598</v>
      </c>
      <c r="B90" s="7">
        <v>4035</v>
      </c>
      <c r="C90" s="21" t="s">
        <v>194</v>
      </c>
      <c r="D90" s="21" t="s">
        <v>549</v>
      </c>
      <c r="E90" s="13">
        <v>43019.588287037041</v>
      </c>
      <c r="F90" s="13">
        <v>43019.591886574075</v>
      </c>
      <c r="G90" s="7">
        <v>56</v>
      </c>
      <c r="H90" s="21" t="s">
        <v>853</v>
      </c>
      <c r="I90" s="13">
        <v>43019.618460648147</v>
      </c>
      <c r="J90" s="7">
        <v>0</v>
      </c>
      <c r="K90" s="89" t="str">
        <f>IF(ISEVEN(B90),(B90-1)&amp;"/"&amp;B90,B90&amp;"/"&amp;(B90+1))</f>
        <v>4035/4036</v>
      </c>
      <c r="L90" s="185" t="str">
        <f>VLOOKUP(A90,'Trips&amp;Operators'!$C$1:$G$99911,5,FALSE)</f>
        <v>STEWART MICHAEL</v>
      </c>
      <c r="M90" s="6">
        <f>I90-F90</f>
        <v>2.6574074072414078E-2</v>
      </c>
      <c r="N90" s="7">
        <f>24*60*SUM($M90:$M90)</f>
        <v>38.266666664276272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-11T13:07:08-0600',mode:absolute,to:'2017-10-11T15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23.2987</v>
      </c>
      <c r="Z90" s="204">
        <f>RIGHT(H90,LEN(H90)-4)/10000</f>
        <v>1.9099999999999999E-2</v>
      </c>
      <c r="AA90" s="204">
        <f>ABS(Z90-Y90)</f>
        <v>23.279599999999999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/stypes="app*4035*20171011*"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178-11 --locoid 4035 --swversion DE.1.0.9.0 --startMP 204:232987 --initTime 2017-10-11T14:07:08 --startdatetime 2017-10-11T14:12:19 --delay 56 --endMP 204:191 --enddatetime 2017-10-11T14:50:35 --enforcementcount 0 &gt;&gt;%USERPROFILE%\Documents\GitHub\eaglep3-reporting\EC\2017-10-11-refined-times.txt</v>
      </c>
      <c r="AI90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{"issue":{"subject":"","project_id":79,"tracker_id":40,"status_id":1,"priority_id":2,"assigned_to_id":338,"start_date":"2017-10-11","description":"","custom_fields":[{"id":1,"name":"Subdivision","value":"EC"},{"id":4,"name":"Milepost","value":"0.0191"},{"id":17,"name":"Train ID","value":"178-11"},{"id":16,"name":"Locomotive ID","value":"4035"},{"id":130,"name":"Impact","value":""},{"id":150,"name":"Time of Event (Mountain Time)","value":"14:50:35"},{"id":151,"name":"Denver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4035 --day 2017-10-11</v>
      </c>
      <c r="AN90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-11T13:07:08-0600',mode:absolute,to:'2017-10-11T15:50:35-0600'))&amp;_a=(columns:!('Message%20ID',Summary),filters:!(),index:'emp_*',interval:auto,query:(query_string:(analyze_wildcard:!t,query:'%22rtdc.l.rtdc.4035%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731</v>
      </c>
      <c r="B91" s="7">
        <v>4018</v>
      </c>
      <c r="C91" s="21" t="s">
        <v>194</v>
      </c>
      <c r="D91" s="21" t="s">
        <v>534</v>
      </c>
      <c r="E91" s="13">
        <v>43019.557916666665</v>
      </c>
      <c r="F91" s="13">
        <v>43019.562696759262</v>
      </c>
      <c r="G91" s="7">
        <v>47</v>
      </c>
      <c r="H91" s="21" t="s">
        <v>854</v>
      </c>
      <c r="I91" s="13">
        <v>43019.586747685185</v>
      </c>
      <c r="J91" s="7">
        <v>0</v>
      </c>
      <c r="K91" s="89" t="str">
        <f>IF(ISEVEN(B91),(B91-1)&amp;"/"&amp;B91,B91&amp;"/"&amp;(B91+1))</f>
        <v>4017/4018</v>
      </c>
      <c r="L91" s="185" t="str">
        <f>VLOOKUP(A91,'Trips&amp;Operators'!$C$1:$G$99911,5,FALSE)</f>
        <v>GUZMAN DANNY</v>
      </c>
      <c r="M91" s="6">
        <f>I91-F91</f>
        <v>2.4050925923802424E-2</v>
      </c>
      <c r="N91" s="7">
        <f>24*60*SUM($M91:$M91)</f>
        <v>34.633333330275491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-11T12:23:24-0600',mode:absolute,to:'2017-10-11T15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4.6199999999999998E-2</v>
      </c>
      <c r="Z91" s="204">
        <f>RIGHT(H91,LEN(H91)-4)/10000</f>
        <v>23.3278</v>
      </c>
      <c r="AA91" s="204">
        <f>ABS(Z91-Y91)</f>
        <v>23.281600000000001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/stypes="app*4018*20171011*"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179-11 --locoid 4018 --swversion DE.1.0.9.0 --startMP 204:462 --initTime 2017-10-11T13:23:24 --startdatetime 2017-10-11T13:30:17 --delay 47 --endMP 204:233278 --enddatetime 2017-10-11T14:04:55 --enforcementcount 0 &gt;&gt;%USERPROFILE%\Documents\GitHub\eaglep3-reporting\EC\2017-10-11-refined-times.txt</v>
      </c>
      <c r="AI91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{"issue":{"subject":"","project_id":79,"tracker_id":40,"status_id":1,"priority_id":2,"assigned_to_id":338,"start_date":"2017-10-11","description":"","custom_fields":[{"id":1,"name":"Subdivision","value":"EC"},{"id":4,"name":"Milepost","value":"23.3278"},{"id":17,"name":"Train ID","value":"179-11"},{"id":16,"name":"Locomotive ID","value":"4018"},{"id":130,"name":"Impact","value":""},{"id":150,"name":"Time of Event (Mountain Time)","value":"14:04:55"},{"id":151,"name":"Denver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4018 --day 2017-10-11</v>
      </c>
      <c r="AN91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-11T12:23:24-0600',mode:absolute,to:'2017-10-11T15:04:55-0600'))&amp;_a=(columns:!('Message%20ID',Summary),filters:!(),index:'emp_*',interval:auto,query:(query_string:(analyze_wildcard:!t,query:'%22rtdc.l.rtdc.4018%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738</v>
      </c>
      <c r="B92" s="7">
        <v>4017</v>
      </c>
      <c r="C92" s="21" t="s">
        <v>194</v>
      </c>
      <c r="D92" s="21" t="s">
        <v>479</v>
      </c>
      <c r="E92" s="13">
        <v>43019.58861111111</v>
      </c>
      <c r="F92" s="13">
        <v>43019.60224537037</v>
      </c>
      <c r="G92" s="7">
        <v>59</v>
      </c>
      <c r="H92" s="21" t="s">
        <v>356</v>
      </c>
      <c r="I92" s="13">
        <v>43019.628460648149</v>
      </c>
      <c r="J92" s="7">
        <v>0</v>
      </c>
      <c r="K92" s="89" t="str">
        <f>IF(ISEVEN(B92),(B92-1)&amp;"/"&amp;B92,B92&amp;"/"&amp;(B92+1))</f>
        <v>4017/4018</v>
      </c>
      <c r="L92" s="185" t="str">
        <f>VLOOKUP(A92,'Trips&amp;Operators'!$C$1:$G$99911,5,FALSE)</f>
        <v>GUZMAN DANNY</v>
      </c>
      <c r="M92" s="6">
        <f>I92-F92</f>
        <v>2.6215277779556345E-2</v>
      </c>
      <c r="N92" s="7">
        <f>24*60*SUM($M92:$M92)</f>
        <v>37.750000002561137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-11T13:07:36-0600',mode:absolute,to:'2017-10-11T16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23.298400000000001</v>
      </c>
      <c r="Z92" s="204">
        <f>RIGHT(H92,LEN(H92)-4)/10000</f>
        <v>1.4500000000000001E-2</v>
      </c>
      <c r="AA92" s="204">
        <f>ABS(Z92-Y92)</f>
        <v>23.283899999999999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/stypes="app*4017*20171011*"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180-11 --locoid 4017 --swversion DE.1.0.9.0 --startMP 204:232984 --initTime 2017-10-11T14:07:36 --startdatetime 2017-10-11T14:27:14 --delay 59 --endMP 204:145 --enddatetime 2017-10-11T15:04:59 --enforcementcount 0 &gt;&gt;%USERPROFILE%\Documents\GitHub\eaglep3-reporting\EC\2017-10-11-refined-times.txt</v>
      </c>
      <c r="AI92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{"issue":{"subject":"","project_id":79,"tracker_id":40,"status_id":1,"priority_id":2,"assigned_to_id":338,"start_date":"2017-10-11","description":"","custom_fields":[{"id":1,"name":"Subdivision","value":"EC"},{"id":4,"name":"Milepost","value":"0.0145"},{"id":17,"name":"Train ID","value":"180-11"},{"id":16,"name":"Locomotive ID","value":"4017"},{"id":130,"name":"Impact","value":""},{"id":150,"name":"Time of Event (Mountain Time)","value":"15:04:59"},{"id":151,"name":"Denver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4017 --day 2017-10-11</v>
      </c>
      <c r="AN92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-11T13:07:36-0600',mode:absolute,to:'2017-10-11T16:04:59-0600'))&amp;_a=(columns:!('Message%20ID',Summary),filters:!(),index:'emp_*',interval:auto,query:(query_string:(analyze_wildcard:!t,query:'%22rtdc.l.rtdc.4017%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734</v>
      </c>
      <c r="B93" s="7">
        <v>4046</v>
      </c>
      <c r="C93" s="21" t="s">
        <v>194</v>
      </c>
      <c r="D93" s="21" t="s">
        <v>354</v>
      </c>
      <c r="E93" s="13">
        <v>43019.570150462961</v>
      </c>
      <c r="F93" s="13">
        <v>43019.573217592595</v>
      </c>
      <c r="G93" s="7">
        <v>64</v>
      </c>
      <c r="H93" s="21" t="s">
        <v>855</v>
      </c>
      <c r="I93" s="13">
        <v>43019.598101851851</v>
      </c>
      <c r="J93" s="7">
        <v>0</v>
      </c>
      <c r="K93" s="89" t="str">
        <f>IF(ISEVEN(B93),(B93-1)&amp;"/"&amp;B93,B93&amp;"/"&amp;(B93+1))</f>
        <v>4045/4046</v>
      </c>
      <c r="L93" s="185" t="str">
        <f>VLOOKUP(A93,'Trips&amp;Operators'!$C$1:$G$99911,5,FALSE)</f>
        <v>LEVIN SCOTT</v>
      </c>
      <c r="M93" s="6">
        <f>I93-F93</f>
        <v>2.488425925548654E-2</v>
      </c>
      <c r="N93" s="7">
        <f>24*60*SUM($M93:$M93)</f>
        <v>35.833333327900618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-11T12:41:01-0600',mode:absolute,to:'2017-10-11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4.58E-2</v>
      </c>
      <c r="Z93" s="204">
        <f>RIGHT(H93,LEN(H93)-4)/10000</f>
        <v>23.335100000000001</v>
      </c>
      <c r="AA93" s="204">
        <f>ABS(Z93-Y93)</f>
        <v>23.289300000000001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/stypes="app*4046*20171011*"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181-11 --locoid 4046 --swversion DE.1.0.9.0 --startMP 204:458 --initTime 2017-10-11T13:41:01 --startdatetime 2017-10-11T13:45:26 --delay 64 --endMP 204:233351 --enddatetime 2017-10-11T14:21:16 --enforcementcount 0 &gt;&gt;%USERPROFILE%\Documents\GitHub\eaglep3-reporting\EC\2017-10-11-refined-times.txt</v>
      </c>
      <c r="AI93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{"issue":{"subject":"","project_id":79,"tracker_id":40,"status_id":1,"priority_id":2,"assigned_to_id":338,"start_date":"2017-10-11","description":"","custom_fields":[{"id":1,"name":"Subdivision","value":"EC"},{"id":4,"name":"Milepost","value":"23.3351"},{"id":17,"name":"Train ID","value":"181-11"},{"id":16,"name":"Locomotive ID","value":"4046"},{"id":130,"name":"Impact","value":""},{"id":150,"name":"Time of Event (Mountain Time)","value":"14:21:16"},{"id":151,"name":"Denver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4046 --day 2017-10-11</v>
      </c>
      <c r="AN93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-11T12:41:01-0600',mode:absolute,to:'2017-10-11T15:21:16-0600'))&amp;_a=(columns:!('Message%20ID',Summary),filters:!(),index:'emp_*',interval:auto,query:(query_string:(analyze_wildcard:!t,query:'%22rtdc.l.rtdc.4046%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743</v>
      </c>
      <c r="B94" s="7">
        <v>4045</v>
      </c>
      <c r="C94" s="21" t="s">
        <v>194</v>
      </c>
      <c r="D94" s="21" t="s">
        <v>856</v>
      </c>
      <c r="E94" s="13">
        <v>43019.609907407408</v>
      </c>
      <c r="F94" s="13">
        <v>43019.612673611111</v>
      </c>
      <c r="G94" s="7">
        <v>87</v>
      </c>
      <c r="H94" s="21" t="s">
        <v>842</v>
      </c>
      <c r="I94" s="13">
        <v>43019.638425925928</v>
      </c>
      <c r="J94" s="7">
        <v>0</v>
      </c>
      <c r="K94" s="89" t="str">
        <f>IF(ISEVEN(B94),(B94-1)&amp;"/"&amp;B94,B94&amp;"/"&amp;(B94+1))</f>
        <v>4045/4046</v>
      </c>
      <c r="L94" s="185" t="str">
        <f>VLOOKUP(A94,'Trips&amp;Operators'!$C$1:$G$99911,5,FALSE)</f>
        <v>LEVIN SCOTT</v>
      </c>
      <c r="M94" s="6">
        <f>I94-F94</f>
        <v>2.5752314817509614E-2</v>
      </c>
      <c r="N94" s="7">
        <f>24*60*SUM($M94:$M94)</f>
        <v>37.083333337213844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-11T13:38:16-0600',mode:absolute,to:'2017-10-11T16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23.304300000000001</v>
      </c>
      <c r="Z94" s="204">
        <f>RIGHT(H94,LEN(H94)-4)/10000</f>
        <v>1.38E-2</v>
      </c>
      <c r="AA94" s="204">
        <f>ABS(Z94-Y94)</f>
        <v>23.290500000000002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/stypes="app*4045*20171011*"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182-11 --locoid 4045 --swversion DE.1.0.9.0 --startMP 204:233043 --initTime 2017-10-11T14:38:16 --startdatetime 2017-10-11T14:42:15 --delay 87 --endMP 204:138 --enddatetime 2017-10-11T15:19:20 --enforcementcount 0 &gt;&gt;%USERPROFILE%\Documents\GitHub\eaglep3-reporting\EC\2017-10-11-refined-times.txt</v>
      </c>
      <c r="AI94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{"issue":{"subject":"","project_id":79,"tracker_id":40,"status_id":1,"priority_id":2,"assigned_to_id":338,"start_date":"2017-10-11","description":"","custom_fields":[{"id":1,"name":"Subdivision","value":"EC"},{"id":4,"name":"Milepost","value":"0.0138"},{"id":17,"name":"Train ID","value":"182-11"},{"id":16,"name":"Locomotive ID","value":"4045"},{"id":130,"name":"Impact","value":""},{"id":150,"name":"Time of Event (Mountain Time)","value":"15:19:20"},{"id":151,"name":"Denver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4045 --day 2017-10-11</v>
      </c>
      <c r="AN94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-11T13:38:16-0600',mode:absolute,to:'2017-10-11T16:19:20-0600'))&amp;_a=(columns:!('Message%20ID',Summary),filters:!(),index:'emp_*',interval:auto,query:(query_string:(analyze_wildcard:!t,query:'%22rtdc.l.rtdc.4045%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735</v>
      </c>
      <c r="B95" s="7">
        <v>4016</v>
      </c>
      <c r="C95" s="21" t="s">
        <v>194</v>
      </c>
      <c r="D95" s="21" t="s">
        <v>857</v>
      </c>
      <c r="E95" s="13">
        <v>43019.577974537038</v>
      </c>
      <c r="F95" s="13">
        <v>43019.584039351852</v>
      </c>
      <c r="G95" s="7">
        <v>80</v>
      </c>
      <c r="H95" s="21" t="s">
        <v>475</v>
      </c>
      <c r="I95" s="13">
        <v>43019.608437499999</v>
      </c>
      <c r="J95" s="7">
        <v>0</v>
      </c>
      <c r="K95" s="89" t="str">
        <f>IF(ISEVEN(B95),(B95-1)&amp;"/"&amp;B95,B95&amp;"/"&amp;(B95+1))</f>
        <v>4015/4016</v>
      </c>
      <c r="L95" s="185" t="str">
        <f>VLOOKUP(A95,'Trips&amp;Operators'!$C$1:$G$99911,5,FALSE)</f>
        <v>DELGADO DIANAH</v>
      </c>
      <c r="M95" s="6">
        <f>I95-F95</f>
        <v>2.4398148147156462E-2</v>
      </c>
      <c r="N95" s="7">
        <f>24*60*SUM($M95:$M95)</f>
        <v>35.133333331905305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-11T12:52:17-0600',mode:absolute,to:'2017-10-11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4.2700000000000002E-2</v>
      </c>
      <c r="Z95" s="204">
        <f>RIGHT(H95,LEN(H95)-4)/10000</f>
        <v>23.334700000000002</v>
      </c>
      <c r="AA95" s="204">
        <f>ABS(Z95-Y95)</f>
        <v>23.292000000000002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/stypes="app*4016*20171011*"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183-11 --locoid 4016 --swversion DE.1.0.9.0 --startMP 204:427 --initTime 2017-10-11T13:52:17 --startdatetime 2017-10-11T14:01:01 --delay 80 --endMP 204:233347 --enddatetime 2017-10-11T14:36:09 --enforcementcount 0 &gt;&gt;%USERPROFILE%\Documents\GitHub\eaglep3-reporting\EC\2017-10-11-refined-times.txt</v>
      </c>
      <c r="AI95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{"issue":{"subject":"","project_id":79,"tracker_id":40,"status_id":1,"priority_id":2,"assigned_to_id":338,"start_date":"2017-10-11","description":"","custom_fields":[{"id":1,"name":"Subdivision","value":"EC"},{"id":4,"name":"Milepost","value":"23.3347"},{"id":17,"name":"Train ID","value":"183-11"},{"id":16,"name":"Locomotive ID","value":"4016"},{"id":130,"name":"Impact","value":""},{"id":150,"name":"Time of Event (Mountain Time)","value":"14:36:09"},{"id":151,"name":"Denver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4016 --day 2017-10-11</v>
      </c>
      <c r="AN95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-11T12:52:17-0600',mode:absolute,to:'2017-10-11T15:36:09-0600'))&amp;_a=(columns:!('Message%20ID',Summary),filters:!(),index:'emp_*',interval:auto,query:(query_string:(analyze_wildcard:!t,query:'%22rtdc.l.rtdc.4016%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742</v>
      </c>
      <c r="B96" s="7">
        <v>4015</v>
      </c>
      <c r="C96" s="21" t="s">
        <v>194</v>
      </c>
      <c r="D96" s="21" t="s">
        <v>858</v>
      </c>
      <c r="E96" s="13">
        <v>43019.610069444447</v>
      </c>
      <c r="F96" s="13">
        <v>43019.623090277775</v>
      </c>
      <c r="G96" s="7">
        <v>48</v>
      </c>
      <c r="H96" s="21" t="s">
        <v>335</v>
      </c>
      <c r="I96" s="13">
        <v>43019.648298611108</v>
      </c>
      <c r="J96" s="7">
        <v>0</v>
      </c>
      <c r="K96" s="89" t="str">
        <f>IF(ISEVEN(B96),(B96-1)&amp;"/"&amp;B96,B96&amp;"/"&amp;(B96+1))</f>
        <v>4015/4016</v>
      </c>
      <c r="L96" s="185" t="str">
        <f>VLOOKUP(A96,'Trips&amp;Operators'!$C$1:$G$99911,5,FALSE)</f>
        <v>DELGADO DIANAH</v>
      </c>
      <c r="M96" s="6">
        <f>I96-F96</f>
        <v>2.5208333332557231E-2</v>
      </c>
      <c r="N96" s="7">
        <f>24*60*SUM($M96:$M96)</f>
        <v>36.299999998882413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-11T13:38:30-0600',mode:absolute,to:'2017-10-11T16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23.3048</v>
      </c>
      <c r="Z96" s="204">
        <f>RIGHT(H96,LEN(H96)-4)/10000</f>
        <v>1.4999999999999999E-2</v>
      </c>
      <c r="AA96" s="204">
        <f>ABS(Z96-Y96)</f>
        <v>23.2898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/stypes="app*4015*20171011*"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184-11 --locoid 4015 --swversion DE.1.0.9.0 --startMP 204:233048 --initTime 2017-10-11T14:38:30 --startdatetime 2017-10-11T14:57:15 --delay 48 --endMP 204:150 --enddatetime 2017-10-11T15:33:33 --enforcementcount 0 &gt;&gt;%USERPROFILE%\Documents\GitHub\eaglep3-reporting\EC\2017-10-11-refined-times.txt</v>
      </c>
      <c r="AI96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{"issue":{"subject":"","project_id":79,"tracker_id":40,"status_id":1,"priority_id":2,"assigned_to_id":338,"start_date":"2017-10-11","description":"","custom_fields":[{"id":1,"name":"Subdivision","value":"EC"},{"id":4,"name":"Milepost","value":"0.015"},{"id":17,"name":"Train ID","value":"184-11"},{"id":16,"name":"Locomotive ID","value":"4015"},{"id":130,"name":"Impact","value":""},{"id":150,"name":"Time of Event (Mountain Time)","value":"15:33:33"},{"id":151,"name":"Denver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4015 --day 2017-10-11</v>
      </c>
      <c r="AN96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-11T13:38:30-0600',mode:absolute,to:'2017-10-11T16:33:33-0600'))&amp;_a=(columns:!('Message%20ID',Summary),filters:!(),index:'emp_*',interval:auto,query:(query_string:(analyze_wildcard:!t,query:'%22rtdc.l.rtdc.4015%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739</v>
      </c>
      <c r="B97" s="7">
        <v>4014</v>
      </c>
      <c r="C97" s="21" t="s">
        <v>194</v>
      </c>
      <c r="D97" s="21" t="s">
        <v>524</v>
      </c>
      <c r="E97" s="13">
        <v>43019.591423611113</v>
      </c>
      <c r="F97" s="13">
        <v>43019.594074074077</v>
      </c>
      <c r="G97" s="7">
        <v>88</v>
      </c>
      <c r="H97" s="21" t="s">
        <v>859</v>
      </c>
      <c r="I97" s="13">
        <v>43019.618854166663</v>
      </c>
      <c r="J97" s="7">
        <v>0</v>
      </c>
      <c r="K97" s="89" t="str">
        <f>IF(ISEVEN(B97),(B97-1)&amp;"/"&amp;B97,B97&amp;"/"&amp;(B97+1))</f>
        <v>4013/4014</v>
      </c>
      <c r="L97" s="185" t="str">
        <f>VLOOKUP(A97,'Trips&amp;Operators'!$C$1:$G$99911,5,FALSE)</f>
        <v>ZEWDU DEREJE</v>
      </c>
      <c r="M97" s="6">
        <f>I97-F97</f>
        <v>2.4780092586297542E-2</v>
      </c>
      <c r="N97" s="7">
        <f>24*60*SUM($M97:$M97)</f>
        <v>35.68333332426846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-11T13:11:39-0600',mode:absolute,to:'2017-10-11T15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4.4200000000000003E-2</v>
      </c>
      <c r="Z97" s="204">
        <f>RIGHT(H97,LEN(H97)-4)/10000</f>
        <v>23.333100000000002</v>
      </c>
      <c r="AA97" s="204">
        <f>ABS(Z97-Y97)</f>
        <v>23.288900000000002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/stypes="app*4014*20171011*"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185-11 --locoid 4014 --swversion DE.1.0.9.0 --startMP 204:442 --initTime 2017-10-11T14:11:39 --startdatetime 2017-10-11T14:15:28 --delay 88 --endMP 204:233331 --enddatetime 2017-10-11T14:51:09 --enforcementcount 0 &gt;&gt;%USERPROFILE%\Documents\GitHub\eaglep3-reporting\EC\2017-10-11-refined-times.txt</v>
      </c>
      <c r="AI97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{"issue":{"subject":"","project_id":79,"tracker_id":40,"status_id":1,"priority_id":2,"assigned_to_id":338,"start_date":"2017-10-11","description":"","custom_fields":[{"id":1,"name":"Subdivision","value":"EC"},{"id":4,"name":"Milepost","value":"23.3331"},{"id":17,"name":"Train ID","value":"185-11"},{"id":16,"name":"Locomotive ID","value":"4014"},{"id":130,"name":"Impact","value":""},{"id":150,"name":"Time of Event (Mountain Time)","value":"14:51:09"},{"id":151,"name":"Denver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4014 --day 2017-10-11</v>
      </c>
      <c r="AN97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-11T13:11:39-0600',mode:absolute,to:'2017-10-11T15:51:09-0600'))&amp;_a=(columns:!('Message%20ID',Summary),filters:!(),index:'emp_*',interval:auto,query:(query_string:(analyze_wildcard:!t,query:'%22rtdc.l.rtdc.4014%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3">
      <c r="A98" s="32" t="s">
        <v>746</v>
      </c>
      <c r="B98" s="7">
        <v>4013</v>
      </c>
      <c r="C98" s="21" t="s">
        <v>194</v>
      </c>
      <c r="D98" s="21" t="s">
        <v>860</v>
      </c>
      <c r="E98" s="13">
        <v>43019.630393518521</v>
      </c>
      <c r="F98" s="13">
        <v>43019.633553240739</v>
      </c>
      <c r="G98" s="7">
        <v>79</v>
      </c>
      <c r="H98" s="21" t="s">
        <v>336</v>
      </c>
      <c r="I98" s="13">
        <v>43019.659768518519</v>
      </c>
      <c r="J98" s="7">
        <v>0</v>
      </c>
      <c r="K98" s="89" t="str">
        <f>IF(ISEVEN(B98),(B98-1)&amp;"/"&amp;B98,B98&amp;"/"&amp;(B98+1))</f>
        <v>4013/4014</v>
      </c>
      <c r="L98" s="185" t="str">
        <f>VLOOKUP(A98,'Trips&amp;Operators'!$C$1:$G$99911,5,FALSE)</f>
        <v>ZEWDU DEREJE</v>
      </c>
      <c r="M98" s="6">
        <f>I98-F98</f>
        <v>2.6215277779556345E-2</v>
      </c>
      <c r="N98" s="7">
        <f>24*60*SUM($M98:$M98)</f>
        <v>37.750000002561137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-11T14:07:46-0600',mode:absolute,to:'2017-10-11T16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23.305499999999999</v>
      </c>
      <c r="Z98" s="204">
        <f>RIGHT(H98,LEN(H98)-4)/10000</f>
        <v>1.49E-2</v>
      </c>
      <c r="AA98" s="204">
        <f>ABS(Z98-Y98)</f>
        <v>23.290599999999998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/stypes="app*4013*20171011*"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186-11 --locoid 4013 --swversion DE.1.0.9.0 --startMP 204:233055 --initTime 2017-10-11T15:07:46 --startdatetime 2017-10-11T15:12:19 --delay 79 --endMP 204:149 --enddatetime 2017-10-11T15:50:04 --enforcementcount 0 &gt;&gt;%USERPROFILE%\Documents\GitHub\eaglep3-reporting\EC\2017-10-11-refined-times.txt</v>
      </c>
      <c r="AI98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{"issue":{"subject":"","project_id":79,"tracker_id":40,"status_id":1,"priority_id":2,"assigned_to_id":338,"start_date":"2017-10-11","description":"","custom_fields":[{"id":1,"name":"Subdivision","value":"EC"},{"id":4,"name":"Milepost","value":"0.0149"},{"id":17,"name":"Train ID","value":"186-11"},{"id":16,"name":"Locomotive ID","value":"4013"},{"id":130,"name":"Impact","value":""},{"id":150,"name":"Time of Event (Mountain Time)","value":"15:50:04"},{"id":151,"name":"Denver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4013 --day 2017-10-11</v>
      </c>
      <c r="AN98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-10-11T14:07:46-0600',mode:absolute,to:'2017-10-11T16:50:04-0600'))&amp;_a=(columns:!('Message%20ID',Summary),filters:!(),index:'emp_*',interval:auto,query:(query_string:(analyze_wildcard:!t,query:'%22rtdc.l.rtdc.4013%22')),sort:!(Time.ISO8601,asc))</v>
      </c>
    </row>
    <row r="99" spans="1:91" s="20" customFormat="1" x14ac:dyDescent="0.3">
      <c r="A99" s="32" t="s">
        <v>740</v>
      </c>
      <c r="B99" s="7">
        <v>4008</v>
      </c>
      <c r="C99" s="21" t="s">
        <v>194</v>
      </c>
      <c r="D99" s="21" t="s">
        <v>534</v>
      </c>
      <c r="E99" s="13">
        <v>43019.598726851851</v>
      </c>
      <c r="F99" s="13">
        <v>43019.604351851849</v>
      </c>
      <c r="G99" s="7">
        <v>74</v>
      </c>
      <c r="H99" s="21" t="s">
        <v>839</v>
      </c>
      <c r="I99" s="13">
        <v>43019.629560185182</v>
      </c>
      <c r="J99" s="7">
        <v>0</v>
      </c>
      <c r="K99" s="89" t="str">
        <f>IF(ISEVEN(B99),(B99-1)&amp;"/"&amp;B99,B99&amp;"/"&amp;(B99+1))</f>
        <v>4007/4008</v>
      </c>
      <c r="L99" s="185" t="str">
        <f>VLOOKUP(A99,'Trips&amp;Operators'!$C$1:$G$99911,5,FALSE)</f>
        <v>KILLION DAVID</v>
      </c>
      <c r="M99" s="6">
        <f>I99-F99</f>
        <v>2.5208333332557231E-2</v>
      </c>
      <c r="N99" s="7">
        <f>24*60*SUM($M99:$M99)</f>
        <v>36.299999998882413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-11T13:22:10-0600',mode:absolute,to:'2017-10-11T16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4.6199999999999998E-2</v>
      </c>
      <c r="Z99" s="204">
        <f>RIGHT(H99,LEN(H99)-4)/10000</f>
        <v>23.330100000000002</v>
      </c>
      <c r="AA99" s="204">
        <f>ABS(Z99-Y99)</f>
        <v>23.283900000000003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/stypes="app*4008*20171011*"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187-11 --locoid 4008 --swversion DE.1.0.9.0 --startMP 204:462 --initTime 2017-10-11T14:22:10 --startdatetime 2017-10-11T14:30:16 --delay 74 --endMP 204:233301 --enddatetime 2017-10-11T15:06:34 --enforcementcount 0 &gt;&gt;%USERPROFILE%\Documents\GitHub\eaglep3-reporting\EC\2017-10-11-refined-times.txt</v>
      </c>
      <c r="AI99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{"issue":{"subject":"","project_id":79,"tracker_id":40,"status_id":1,"priority_id":2,"assigned_to_id":338,"start_date":"2017-10-11","description":"","custom_fields":[{"id":1,"name":"Subdivision","value":"EC"},{"id":4,"name":"Milepost","value":"23.3301"},{"id":17,"name":"Train ID","value":"187-11"},{"id":16,"name":"Locomotive ID","value":"4008"},{"id":130,"name":"Impact","value":""},{"id":150,"name":"Time of Event (Mountain Time)","value":"15:06:34"},{"id":151,"name":"Denver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12"/>
        <v>start /low /b %USERPROFILE%\Documents\GitHub\eaglep3\Utilities\DownloadLogsFromS3.py --loco 4008 --day 2017-10-11</v>
      </c>
      <c r="AN99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-11T13:22:10-0600',mode:absolute,to:'2017-10-11T16:06:34-0600'))&amp;_a=(columns:!('Message%20ID',Summary),filters:!(),index:'emp_*',interval:auto,query:(query_string:(analyze_wildcard:!t,query:'%22rtdc.l.rtdc.4008%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3">
      <c r="A100" s="32" t="s">
        <v>748</v>
      </c>
      <c r="B100" s="7">
        <v>4007</v>
      </c>
      <c r="C100" s="21" t="s">
        <v>194</v>
      </c>
      <c r="D100" s="21" t="s">
        <v>844</v>
      </c>
      <c r="E100" s="13">
        <v>43019.635393518518</v>
      </c>
      <c r="F100" s="13">
        <v>43019.643958333334</v>
      </c>
      <c r="G100" s="7">
        <v>54</v>
      </c>
      <c r="H100" s="21" t="s">
        <v>335</v>
      </c>
      <c r="I100" s="13">
        <v>43019.669942129629</v>
      </c>
      <c r="J100" s="7">
        <v>0</v>
      </c>
      <c r="K100" s="89" t="str">
        <f>IF(ISEVEN(B100),(B100-1)&amp;"/"&amp;B100,B100&amp;"/"&amp;(B100+1))</f>
        <v>4007/4008</v>
      </c>
      <c r="L100" s="185" t="str">
        <f>VLOOKUP(A100,'Trips&amp;Operators'!$C$1:$G$99911,5,FALSE)</f>
        <v>KILLION DAVID</v>
      </c>
      <c r="M100" s="6">
        <f>I100-F100</f>
        <v>2.5983796294895001E-2</v>
      </c>
      <c r="N100" s="7">
        <f>24*60*SUM($M100:$M100)</f>
        <v>37.416666664648801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-11T14:14:58-0600',mode:absolute,to:'2017-10-11T17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23.297799999999999</v>
      </c>
      <c r="Z100" s="204">
        <f>RIGHT(H100,LEN(H100)-4)/10000</f>
        <v>1.4999999999999999E-2</v>
      </c>
      <c r="AA100" s="204">
        <f>ABS(Z100-Y100)</f>
        <v>23.282799999999998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s3://rtdc.mdm.uploadarchive.raw/RTDC4007/ "%USERPROFILE%\AppData\Local\Temp\OnboardLogs"\RTDC4007\2017-10-11 --exclude "*" --recursive --include "*20171011*" &amp; "%USERPROFILE%\Documents\GitHub\mrs-test-scripts\Headless Mode &amp; Sideloading\WalkAndUnGZ.bat" "%USERPROFILE%\AppData\Local\Temp\OnboardLogs"\RTDC4007\2017-10-11 &amp; aws s3 cp s3://rtdc.mdm.uploadarchive.raw/RTDC4007/ "%USERPROFILE%\AppData\Local\Temp\OnboardLogs"\RTDC4007\2017-10-12 --exclude "*" --recursive --include "*20171012*" &amp; "%USERPROFILE%\Documents\GitHub\mrs-test-scripts\Headless Mode &amp; Sideloading\WalkAndUnGZ.bat" "%USERPROFILE%\AppData\Local\Temp\OnboardLogs"\RTDC4007\2017-10-12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/stypes="app*4007*20171011*"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188-11 --locoid 4007 --swversion DE.1.0.9.0 --startMP 204:232978 --initTime 2017-10-11T15:14:58 --startdatetime 2017-10-11T15:27:18 --delay 54 --endMP 204:150 --enddatetime 2017-10-11T16:04:43 --enforcementcount 0 &gt;&gt;%USERPROFILE%\Documents\GitHub\eaglep3-reporting\EC\2017-10-11-refined-times.txt</v>
      </c>
      <c r="AI100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{"issue":{"subject":"","project_id":79,"tracker_id":40,"status_id":1,"priority_id":2,"assigned_to_id":338,"start_date":"2017-10-11","description":"","custom_fields":[{"id":1,"name":"Subdivision","value":"EC"},{"id":4,"name":"Milepost","value":"0.015"},{"id":17,"name":"Train ID","value":"188-11"},{"id":16,"name":"Locomotive ID","value":"4007"},{"id":130,"name":"Impact","value":""},{"id":150,"name":"Time of Event (Mountain Time)","value":"16:04:43"},{"id":151,"name":"Denver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12"/>
        <v>start /low /b %USERPROFILE%\Documents\GitHub\eaglep3\Utilities\DownloadLogsFromS3.py --loco 4007 --day 2017-10-11</v>
      </c>
      <c r="AN100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-11T14:14:58-0600',mode:absolute,to:'2017-10-11T17:04:43-0600'))&amp;_a=(columns:!('Message%20ID',Summary),filters:!(),index:'emp_*',interval:auto,query:(query_string:(analyze_wildcard:!t,query:'%22rtdc.l.rtdc.4007%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32" t="s">
        <v>741</v>
      </c>
      <c r="B101" s="7">
        <v>4032</v>
      </c>
      <c r="C101" s="21" t="s">
        <v>194</v>
      </c>
      <c r="D101" s="21" t="s">
        <v>354</v>
      </c>
      <c r="E101" s="13">
        <v>43019.609814814816</v>
      </c>
      <c r="F101" s="13">
        <v>43019.614745370367</v>
      </c>
      <c r="G101" s="7">
        <v>81</v>
      </c>
      <c r="H101" s="21" t="s">
        <v>547</v>
      </c>
      <c r="I101" s="13">
        <v>43019.639328703706</v>
      </c>
      <c r="J101" s="7">
        <v>0</v>
      </c>
      <c r="K101" s="89" t="str">
        <f>IF(ISEVEN(B101),(B101-1)&amp;"/"&amp;B101,B101&amp;"/"&amp;(B101+1))</f>
        <v>4031/4032</v>
      </c>
      <c r="L101" s="185" t="str">
        <f>VLOOKUP(A101,'Trips&amp;Operators'!$C$1:$G$99911,5,FALSE)</f>
        <v>BRUDER RICHARD</v>
      </c>
      <c r="M101" s="6">
        <f>I101-F101</f>
        <v>2.4583333339251112E-2</v>
      </c>
      <c r="N101" s="7">
        <f>24*60*SUM($M101:$M101)</f>
        <v>35.400000008521602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-11T13:38:08-0600',mode:absolute,to:'2017-10-11T16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4.58E-2</v>
      </c>
      <c r="Z101" s="204">
        <f>RIGHT(H101,LEN(H101)-4)/10000</f>
        <v>23.328900000000001</v>
      </c>
      <c r="AA101" s="204">
        <f>ABS(Z101-Y101)</f>
        <v>23.283100000000001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/stypes="app*4032*20171011*"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189-11 --locoid 4032 --swversion DE.1.0.9.0 --startMP 204:458 --initTime 2017-10-11T14:38:08 --startdatetime 2017-10-11T14:45:14 --delay 81 --endMP 204:233289 --enddatetime 2017-10-11T15:20:38 --enforcementcount 0 &gt;&gt;%USERPROFILE%\Documents\GitHub\eaglep3-reporting\EC\2017-10-11-refined-times.txt</v>
      </c>
      <c r="AI101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{"issue":{"subject":"","project_id":79,"tracker_id":40,"status_id":1,"priority_id":2,"assigned_to_id":338,"start_date":"2017-10-11","description":"","custom_fields":[{"id":1,"name":"Subdivision","value":"EC"},{"id":4,"name":"Milepost","value":"23.3289"},{"id":17,"name":"Train ID","value":"189-11"},{"id":16,"name":"Locomotive ID","value":"4032"},{"id":130,"name":"Impact","value":""},{"id":150,"name":"Time of Event (Mountain Time)","value":"15:20:38"},{"id":151,"name":"Denver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12"/>
        <v>start /low /b %USERPROFILE%\Documents\GitHub\eaglep3\Utilities\DownloadLogsFromS3.py --loco 4032 --day 2017-10-11</v>
      </c>
      <c r="AN101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-11T13:38:08-0600',mode:absolute,to:'2017-10-11T16:20:38-0600'))&amp;_a=(columns:!('Message%20ID',Summary),filters:!(),index:'emp_*',interval:auto,query:(query_string:(analyze_wildcard:!t,query:'%22rtdc.l.rtdc.4032%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753</v>
      </c>
      <c r="B102" s="7">
        <v>4031</v>
      </c>
      <c r="C102" s="21" t="s">
        <v>194</v>
      </c>
      <c r="D102" s="21" t="s">
        <v>481</v>
      </c>
      <c r="E102" s="13">
        <v>43019.649687500001</v>
      </c>
      <c r="F102" s="13">
        <v>43019.654386574075</v>
      </c>
      <c r="G102" s="7">
        <v>52</v>
      </c>
      <c r="H102" s="21" t="s">
        <v>367</v>
      </c>
      <c r="I102" s="13">
        <v>43019.679965277777</v>
      </c>
      <c r="J102" s="7">
        <v>0</v>
      </c>
      <c r="K102" s="89" t="str">
        <f>IF(ISEVEN(B102),(B102-1)&amp;"/"&amp;B102,B102&amp;"/"&amp;(B102+1))</f>
        <v>4031/4032</v>
      </c>
      <c r="L102" s="185" t="str">
        <f>VLOOKUP(A102,'Trips&amp;Operators'!$C$1:$G$99911,5,FALSE)</f>
        <v>BRUDER RICHARD</v>
      </c>
      <c r="M102" s="6">
        <f>I102-F102</f>
        <v>2.5578703702194616E-2</v>
      </c>
      <c r="N102" s="7">
        <f>24*60*SUM($M102:$M102)</f>
        <v>36.833333331160247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-11T14:35:33-0600',mode:absolute,to:'2017-10-11T17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23.299399999999999</v>
      </c>
      <c r="Z102" s="204">
        <f>RIGHT(H102,LEN(H102)-4)/10000</f>
        <v>1.3899999999999999E-2</v>
      </c>
      <c r="AA102" s="204">
        <f>ABS(Z102-Y102)</f>
        <v>23.285499999999999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/stypes="app*4031*20171011*"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190-11 --locoid 4031 --swversion DE.1.0.9.0 --startMP 204:232994 --initTime 2017-10-11T15:35:33 --startdatetime 2017-10-11T15:42:19 --delay 52 --endMP 204:139 --enddatetime 2017-10-11T16:19:09 --enforcementcount 0 &gt;&gt;%USERPROFILE%\Documents\GitHub\eaglep3-reporting\EC\2017-10-11-refined-times.txt</v>
      </c>
      <c r="AI102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{"issue":{"subject":"","project_id":79,"tracker_id":40,"status_id":1,"priority_id":2,"assigned_to_id":338,"start_date":"2017-10-11","description":"","custom_fields":[{"id":1,"name":"Subdivision","value":"EC"},{"id":4,"name":"Milepost","value":"0.0139"},{"id":17,"name":"Train ID","value":"190-11"},{"id":16,"name":"Locomotive ID","value":"4031"},{"id":130,"name":"Impact","value":""},{"id":150,"name":"Time of Event (Mountain Time)","value":"16:19:09"},{"id":151,"name":"Denver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2"/>
        <v>start /low /b %USERPROFILE%\Documents\GitHub\eaglep3\Utilities\DownloadLogsFromS3.py --loco 4031 --day 2017-10-11</v>
      </c>
      <c r="AN102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-11T14:35:33-0600',mode:absolute,to:'2017-10-11T17:19:09-0600'))&amp;_a=(columns:!('Message%20ID',Summary),filters:!(),index:'emp_*',interval:auto,query:(query_string:(analyze_wildcard:!t,query:'%22rtdc.l.rtdc.4031%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744</v>
      </c>
      <c r="B103" s="7">
        <v>4036</v>
      </c>
      <c r="C103" s="21" t="s">
        <v>194</v>
      </c>
      <c r="D103" s="21" t="s">
        <v>861</v>
      </c>
      <c r="E103" s="13">
        <v>43019.620486111111</v>
      </c>
      <c r="F103" s="13">
        <v>43019.625219907408</v>
      </c>
      <c r="G103" s="7">
        <v>71</v>
      </c>
      <c r="H103" s="21" t="s">
        <v>862</v>
      </c>
      <c r="I103" s="13">
        <v>43019.650451388887</v>
      </c>
      <c r="J103" s="7">
        <v>0</v>
      </c>
      <c r="K103" s="89" t="str">
        <f>IF(ISEVEN(B103),(B103-1)&amp;"/"&amp;B103,B103&amp;"/"&amp;(B103+1))</f>
        <v>4035/4036</v>
      </c>
      <c r="L103" s="185" t="str">
        <f>VLOOKUP(A103,'Trips&amp;Operators'!$C$1:$G$99911,5,FALSE)</f>
        <v>STEWART MICHAEL</v>
      </c>
      <c r="M103" s="6">
        <f>I103-F103</f>
        <v>2.5231481478840578E-2</v>
      </c>
      <c r="N103" s="7">
        <f>24*60*SUM($M103:$M103)</f>
        <v>36.333333329530433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-11T13:53:30-0600',mode:absolute,to:'2017-10-11T16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4.8399999999999999E-2</v>
      </c>
      <c r="Z103" s="204">
        <f>RIGHT(H103,LEN(H103)-4)/10000</f>
        <v>23.3261</v>
      </c>
      <c r="AA103" s="204">
        <f>ABS(Z103-Y103)</f>
        <v>23.277699999999999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/stypes="app*4036*20171011*"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191-11 --locoid 4036 --swversion DE.1.0.9.0 --startMP 204:484 --initTime 2017-10-11T14:53:30 --startdatetime 2017-10-11T15:00:19 --delay 71 --endMP 204:233261 --enddatetime 2017-10-11T15:36:39 --enforcementcount 0 &gt;&gt;%USERPROFILE%\Documents\GitHub\eaglep3-reporting\EC\2017-10-11-refined-times.txt</v>
      </c>
      <c r="AI103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{"issue":{"subject":"","project_id":79,"tracker_id":40,"status_id":1,"priority_id":2,"assigned_to_id":338,"start_date":"2017-10-11","description":"","custom_fields":[{"id":1,"name":"Subdivision","value":"EC"},{"id":4,"name":"Milepost","value":"23.3261"},{"id":17,"name":"Train ID","value":"191-11"},{"id":16,"name":"Locomotive ID","value":"4036"},{"id":130,"name":"Impact","value":""},{"id":150,"name":"Time of Event (Mountain Time)","value":"15:36:39"},{"id":151,"name":"Denver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4036 --day 2017-10-11</v>
      </c>
      <c r="AN103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-11T13:53:30-0600',mode:absolute,to:'2017-10-11T16:36:39-0600'))&amp;_a=(columns:!('Message%20ID',Summary),filters:!(),index:'emp_*',interval:auto,query:(query_string:(analyze_wildcard:!t,query:'%22rtdc.l.rtdc.4036%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755</v>
      </c>
      <c r="B104" s="7">
        <v>4035</v>
      </c>
      <c r="C104" s="21" t="s">
        <v>194</v>
      </c>
      <c r="D104" s="21" t="s">
        <v>863</v>
      </c>
      <c r="E104" s="13">
        <v>43019.661469907405</v>
      </c>
      <c r="F104" s="13">
        <v>43019.664814814816</v>
      </c>
      <c r="G104" s="7">
        <v>68</v>
      </c>
      <c r="H104" s="21" t="s">
        <v>452</v>
      </c>
      <c r="I104" s="13">
        <v>43019.69127314815</v>
      </c>
      <c r="J104" s="7">
        <v>0</v>
      </c>
      <c r="K104" s="89" t="str">
        <f>IF(ISEVEN(B104),(B104-1)&amp;"/"&amp;B104,B104&amp;"/"&amp;(B104+1))</f>
        <v>4035/4036</v>
      </c>
      <c r="L104" s="185" t="str">
        <f>VLOOKUP(A104,'Trips&amp;Operators'!$C$1:$G$99911,5,FALSE)</f>
        <v>STEWART MICHAEL</v>
      </c>
      <c r="M104" s="6">
        <f>I104-F104</f>
        <v>2.6458333333721384E-2</v>
      </c>
      <c r="N104" s="7">
        <f>24*60*SUM($M104:$M104)</f>
        <v>38.100000000558794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-11T14:52:31-0600',mode:absolute,to:'2017-10-11T17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23.296700000000001</v>
      </c>
      <c r="Z104" s="204">
        <f>RIGHT(H104,LEN(H104)-4)/10000</f>
        <v>1.6299999999999999E-2</v>
      </c>
      <c r="AA104" s="204">
        <f>ABS(Z104-Y104)</f>
        <v>23.2804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/stypes="app*4035*20171011*"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192-11 --locoid 4035 --swversion DE.1.0.9.0 --startMP 204:232967 --initTime 2017-10-11T15:52:31 --startdatetime 2017-10-11T15:57:20 --delay 68 --endMP 204:163 --enddatetime 2017-10-11T16:35:26 --enforcementcount 0 &gt;&gt;%USERPROFILE%\Documents\GitHub\eaglep3-reporting\EC\2017-10-11-refined-times.txt</v>
      </c>
      <c r="AI104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{"issue":{"subject":"","project_id":79,"tracker_id":40,"status_id":1,"priority_id":2,"assigned_to_id":338,"start_date":"2017-10-11","description":"","custom_fields":[{"id":1,"name":"Subdivision","value":"EC"},{"id":4,"name":"Milepost","value":"0.0163"},{"id":17,"name":"Train ID","value":"192-11"},{"id":16,"name":"Locomotive ID","value":"4035"},{"id":130,"name":"Impact","value":""},{"id":150,"name":"Time of Event (Mountain Time)","value":"16:35:26"},{"id":151,"name":"Denver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4035 --day 2017-10-11</v>
      </c>
      <c r="AN104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-11T14:52:31-0600',mode:absolute,to:'2017-10-11T17:35:26-0600'))&amp;_a=(columns:!('Message%20ID',Summary),filters:!(),index:'emp_*',interval:auto,query:(query_string:(analyze_wildcard:!t,query:'%22rtdc.l.rtdc.4035%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747</v>
      </c>
      <c r="B105" s="7">
        <v>4018</v>
      </c>
      <c r="C105" s="21" t="s">
        <v>194</v>
      </c>
      <c r="D105" s="21" t="s">
        <v>376</v>
      </c>
      <c r="E105" s="13">
        <v>43019.630671296298</v>
      </c>
      <c r="F105" s="13">
        <v>43019.635636574072</v>
      </c>
      <c r="G105" s="7">
        <v>58</v>
      </c>
      <c r="H105" s="21" t="s">
        <v>529</v>
      </c>
      <c r="I105" s="13">
        <v>43019.660173611112</v>
      </c>
      <c r="J105" s="7">
        <v>0</v>
      </c>
      <c r="K105" s="89" t="str">
        <f>IF(ISEVEN(B105),(B105-1)&amp;"/"&amp;B105,B105&amp;"/"&amp;(B105+1))</f>
        <v>4017/4018</v>
      </c>
      <c r="L105" s="185" t="str">
        <f>VLOOKUP(A105,'Trips&amp;Operators'!$C$1:$G$99911,5,FALSE)</f>
        <v>GUZMAN DANNY</v>
      </c>
      <c r="M105" s="6">
        <f>I105-F105</f>
        <v>2.453703703940846E-2</v>
      </c>
      <c r="N105" s="7">
        <f>24*60*SUM($M105:$M105)</f>
        <v>35.333333336748183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-11T14:08:10-0600',mode:absolute,to:'2017-10-11T16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4.4699999999999997E-2</v>
      </c>
      <c r="Z105" s="204">
        <f>RIGHT(H105,LEN(H105)-4)/10000</f>
        <v>23.330400000000001</v>
      </c>
      <c r="AA105" s="204">
        <f>ABS(Z105-Y105)</f>
        <v>23.285700000000002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/stypes="app*4018*20171011*"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193-11 --locoid 4018 --swversion DE.1.0.9.0 --startMP 204:447 --initTime 2017-10-11T15:08:10 --startdatetime 2017-10-11T15:15:19 --delay 58 --endMP 204:233304 --enddatetime 2017-10-11T15:50:39 --enforcementcount 0 &gt;&gt;%USERPROFILE%\Documents\GitHub\eaglep3-reporting\EC\2017-10-11-refined-times.txt</v>
      </c>
      <c r="AI105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{"issue":{"subject":"","project_id":79,"tracker_id":40,"status_id":1,"priority_id":2,"assigned_to_id":338,"start_date":"2017-10-11","description":"","custom_fields":[{"id":1,"name":"Subdivision","value":"EC"},{"id":4,"name":"Milepost","value":"23.3304"},{"id":17,"name":"Train ID","value":"193-11"},{"id":16,"name":"Locomotive ID","value":"4018"},{"id":130,"name":"Impact","value":""},{"id":150,"name":"Time of Event (Mountain Time)","value":"15:50:39"},{"id":151,"name":"Denver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4018 --day 2017-10-11</v>
      </c>
      <c r="AN105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-11T14:08:10-0600',mode:absolute,to:'2017-10-11T16:50:39-0600'))&amp;_a=(columns:!('Message%20ID',Summary),filters:!(),index:'emp_*',interval:auto,query:(query_string:(analyze_wildcard:!t,query:'%22rtdc.l.rtdc.4018%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754</v>
      </c>
      <c r="B106" s="7">
        <v>4017</v>
      </c>
      <c r="C106" s="21" t="s">
        <v>194</v>
      </c>
      <c r="D106" s="21" t="s">
        <v>456</v>
      </c>
      <c r="E106" s="13">
        <v>43019.661122685182</v>
      </c>
      <c r="F106" s="13">
        <v>43019.675162037034</v>
      </c>
      <c r="G106" s="7">
        <v>50</v>
      </c>
      <c r="H106" s="21" t="s">
        <v>367</v>
      </c>
      <c r="I106" s="13">
        <v>43019.702280092592</v>
      </c>
      <c r="J106" s="7">
        <v>0</v>
      </c>
      <c r="K106" s="89" t="str">
        <f>IF(ISEVEN(B106),(B106-1)&amp;"/"&amp;B106,B106&amp;"/"&amp;(B106+1))</f>
        <v>4017/4018</v>
      </c>
      <c r="L106" s="185" t="str">
        <f>VLOOKUP(A106,'Trips&amp;Operators'!$C$1:$G$99911,5,FALSE)</f>
        <v>GUZMAN DANNY</v>
      </c>
      <c r="M106" s="6">
        <f>I106-F106</f>
        <v>2.7118055557366461E-2</v>
      </c>
      <c r="N106" s="7">
        <f>24*60*SUM($M106:$M106)</f>
        <v>39.050000002607703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-11T14:52:01-0600',mode:absolute,to:'2017-10-11T17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23.299099999999999</v>
      </c>
      <c r="Z106" s="204">
        <f>RIGHT(H106,LEN(H106)-4)/10000</f>
        <v>1.3899999999999999E-2</v>
      </c>
      <c r="AA106" s="204">
        <f>ABS(Z106-Y106)</f>
        <v>23.2852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/stypes="app*4017*20171011*"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194-11 --locoid 4017 --swversion DE.1.0.9.0 --startMP 204:232991 --initTime 2017-10-11T15:52:01 --startdatetime 2017-10-11T16:12:14 --delay 50 --endMP 204:139 --enddatetime 2017-10-11T16:51:17 --enforcementcount 0 &gt;&gt;%USERPROFILE%\Documents\GitHub\eaglep3-reporting\EC\2017-10-11-refined-times.txt</v>
      </c>
      <c r="AI106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{"issue":{"subject":"","project_id":79,"tracker_id":40,"status_id":1,"priority_id":2,"assigned_to_id":338,"start_date":"2017-10-11","description":"","custom_fields":[{"id":1,"name":"Subdivision","value":"EC"},{"id":4,"name":"Milepost","value":"0.0139"},{"id":17,"name":"Train ID","value":"194-11"},{"id":16,"name":"Locomotive ID","value":"4017"},{"id":130,"name":"Impact","value":""},{"id":150,"name":"Time of Event (Mountain Time)","value":"16:51:17"},{"id":151,"name":"Denver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4017 --day 2017-10-11</v>
      </c>
      <c r="AN106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-11T14:52:01-0600',mode:absolute,to:'2017-10-11T17:51:17-0600'))&amp;_a=(columns:!('Message%20ID',Summary),filters:!(),index:'emp_*',interval:auto,query:(query_string:(analyze_wildcard:!t,query:'%22rtdc.l.rtdc.4017%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750</v>
      </c>
      <c r="B107" s="7">
        <v>4046</v>
      </c>
      <c r="C107" s="21" t="s">
        <v>194</v>
      </c>
      <c r="D107" s="21" t="s">
        <v>334</v>
      </c>
      <c r="E107" s="13">
        <v>43019.643414351849</v>
      </c>
      <c r="F107" s="13">
        <v>43019.646064814813</v>
      </c>
      <c r="G107" s="7">
        <v>74</v>
      </c>
      <c r="H107" s="21" t="s">
        <v>855</v>
      </c>
      <c r="I107" s="13">
        <v>43019.670671296299</v>
      </c>
      <c r="J107" s="7">
        <v>0</v>
      </c>
      <c r="K107" s="89" t="str">
        <f>IF(ISEVEN(B107),(B107-1)&amp;"/"&amp;B107,B107&amp;"/"&amp;(B107+1))</f>
        <v>4045/4046</v>
      </c>
      <c r="L107" s="185" t="str">
        <f>VLOOKUP(A107,'Trips&amp;Operators'!$C$1:$G$99911,5,FALSE)</f>
        <v>LEVIN SCOTT</v>
      </c>
      <c r="M107" s="6">
        <f>I107-F107</f>
        <v>2.4606481485534459E-2</v>
      </c>
      <c r="N107" s="7">
        <f>24*60*SUM($M107:$M107)</f>
        <v>35.433333339169621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-11T14:26:31-0600',mode:absolute,to:'2017-10-11T17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4.4600000000000001E-2</v>
      </c>
      <c r="Z107" s="204">
        <f>RIGHT(H107,LEN(H107)-4)/10000</f>
        <v>23.335100000000001</v>
      </c>
      <c r="AA107" s="204">
        <f>ABS(Z107-Y107)</f>
        <v>23.290500000000002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/stypes="app*4046*20171011*"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195-11 --locoid 4046 --swversion DE.1.0.9.0 --startMP 204:446 --initTime 2017-10-11T15:26:31 --startdatetime 2017-10-11T15:30:20 --delay 74 --endMP 204:233351 --enddatetime 2017-10-11T16:05:46 --enforcementcount 0 &gt;&gt;%USERPROFILE%\Documents\GitHub\eaglep3-reporting\EC\2017-10-11-refined-times.txt</v>
      </c>
      <c r="AI107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{"issue":{"subject":"","project_id":79,"tracker_id":40,"status_id":1,"priority_id":2,"assigned_to_id":338,"start_date":"2017-10-11","description":"","custom_fields":[{"id":1,"name":"Subdivision","value":"EC"},{"id":4,"name":"Milepost","value":"23.3351"},{"id":17,"name":"Train ID","value":"195-11"},{"id":16,"name":"Locomotive ID","value":"4046"},{"id":130,"name":"Impact","value":""},{"id":150,"name":"Time of Event (Mountain Time)","value":"16:05:46"},{"id":151,"name":"Denver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4046 --day 2017-10-11</v>
      </c>
      <c r="AN107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-10-11T14:26:31-0600',mode:absolute,to:'2017-10-11T17:05:46-0600'))&amp;_a=(columns:!('Message%20ID',Summary),filters:!(),index:'emp_*',interval:auto,query:(query_string:(analyze_wildcard:!t,query:'%22rtdc.l.rtdc.4046%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759</v>
      </c>
      <c r="B108" s="7">
        <v>4045</v>
      </c>
      <c r="C108" s="21" t="s">
        <v>194</v>
      </c>
      <c r="D108" s="21" t="s">
        <v>864</v>
      </c>
      <c r="E108" s="13">
        <v>43019.679537037038</v>
      </c>
      <c r="F108" s="13">
        <v>43019.686238425929</v>
      </c>
      <c r="G108" s="7">
        <v>53</v>
      </c>
      <c r="H108" s="21" t="s">
        <v>339</v>
      </c>
      <c r="I108" s="13">
        <v>43019.712708333333</v>
      </c>
      <c r="J108" s="7">
        <v>0</v>
      </c>
      <c r="K108" s="89" t="str">
        <f>IF(ISEVEN(B108),(B108-1)&amp;"/"&amp;B108,B108&amp;"/"&amp;(B108+1))</f>
        <v>4045/4046</v>
      </c>
      <c r="L108" s="185" t="str">
        <f>VLOOKUP(A108,'Trips&amp;Operators'!$C$1:$G$99911,5,FALSE)</f>
        <v>LEVIN SCOTT</v>
      </c>
      <c r="M108" s="6">
        <f>I108-F108</f>
        <v>2.6469907403225079E-2</v>
      </c>
      <c r="N108" s="7">
        <f>24*60*SUM($M108:$M108)</f>
        <v>38.116666660644114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-11T15:18:32-0600',mode:absolute,to:'2017-10-11T18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23.3019</v>
      </c>
      <c r="Z108" s="204">
        <f>RIGHT(H108,LEN(H108)-4)/10000</f>
        <v>1.47E-2</v>
      </c>
      <c r="AA108" s="204">
        <f>ABS(Z108-Y108)</f>
        <v>23.287199999999999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/stypes="app*4045*20171011*"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196-11 --locoid 4045 --swversion DE.1.0.9.0 --startMP 204:233019 --initTime 2017-10-11T16:18:32 --startdatetime 2017-10-11T16:28:11 --delay 53 --endMP 204:147 --enddatetime 2017-10-11T17:06:18 --enforcementcount 0 &gt;&gt;%USERPROFILE%\Documents\GitHub\eaglep3-reporting\EC\2017-10-11-refined-times.txt</v>
      </c>
      <c r="AI108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ID","value":"196-11"},{"id":16,"name":"Locomotive ID","value":"4045"},{"id":130,"name":"Impact","value":""},{"id":150,"name":"Time of Event (Mountain Time)","value":"17:06:18"},{"id":151,"name":"Denver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4045 --day 2017-10-11</v>
      </c>
      <c r="AN108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-11T15:18:32-0600',mode:absolute,to:'2017-10-11T18:06:18-0600'))&amp;_a=(columns:!('Message%20ID',Summary),filters:!(),index:'emp_*',interval:auto,query:(query_string:(analyze_wildcard:!t,query:'%22rtdc.l.rtdc.4045%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752</v>
      </c>
      <c r="B109" s="7">
        <v>4016</v>
      </c>
      <c r="C109" s="21" t="s">
        <v>194</v>
      </c>
      <c r="D109" s="21" t="s">
        <v>376</v>
      </c>
      <c r="E109" s="13">
        <v>43019.649525462963</v>
      </c>
      <c r="F109" s="13">
        <v>43019.656400462962</v>
      </c>
      <c r="G109" s="7">
        <v>59</v>
      </c>
      <c r="H109" s="21" t="s">
        <v>865</v>
      </c>
      <c r="I109" s="13">
        <v>43019.680972222224</v>
      </c>
      <c r="J109" s="7">
        <v>0</v>
      </c>
      <c r="K109" s="89" t="str">
        <f>IF(ISEVEN(B109),(B109-1)&amp;"/"&amp;B109,B109&amp;"/"&amp;(B109+1))</f>
        <v>4015/4016</v>
      </c>
      <c r="L109" s="185" t="str">
        <f>VLOOKUP(A109,'Trips&amp;Operators'!$C$1:$G$99911,5,FALSE)</f>
        <v>DELGADO DIANAH</v>
      </c>
      <c r="M109" s="6">
        <f>I109-F109</f>
        <v>2.457175926247146E-2</v>
      </c>
      <c r="N109" s="7">
        <f>24*60*SUM($M109:$M109)</f>
        <v>35.383333337958902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-11T14:35:19-0600',mode:absolute,to:'2017-10-11T17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4.4699999999999997E-2</v>
      </c>
      <c r="Z109" s="204">
        <f>RIGHT(H109,LEN(H109)-4)/10000</f>
        <v>23.336300000000001</v>
      </c>
      <c r="AA109" s="204">
        <f>ABS(Z109-Y109)</f>
        <v>23.291600000000003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/stypes="app*4016*20171011*"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197-11 --locoid 4016 --swversion DE.1.0.9.0 --startMP 204:447 --initTime 2017-10-11T15:35:19 --startdatetime 2017-10-11T15:45:13 --delay 59 --endMP 204:233363 --enddatetime 2017-10-11T16:20:36 --enforcementcount 0 &gt;&gt;%USERPROFILE%\Documents\GitHub\eaglep3-reporting\EC\2017-10-11-refined-times.txt</v>
      </c>
      <c r="AI109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{"issue":{"subject":"","project_id":79,"tracker_id":40,"status_id":1,"priority_id":2,"assigned_to_id":338,"start_date":"2017-10-11","description":"","custom_fields":[{"id":1,"name":"Subdivision","value":"EC"},{"id":4,"name":"Milepost","value":"23.3363"},{"id":17,"name":"Train ID","value":"197-11"},{"id":16,"name":"Locomotive ID","value":"4016"},{"id":130,"name":"Impact","value":""},{"id":150,"name":"Time of Event (Mountain Time)","value":"16:20:36"},{"id":151,"name":"Denver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4016 --day 2017-10-11</v>
      </c>
      <c r="AN109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-11T14:35:19-0600',mode:absolute,to:'2017-10-11T17:20:36-0600'))&amp;_a=(columns:!('Message%20ID',Summary),filters:!(),index:'emp_*',interval:auto,query:(query_string:(analyze_wildcard:!t,query:'%22rtdc.l.rtdc.4016%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761</v>
      </c>
      <c r="B110" s="7">
        <v>4015</v>
      </c>
      <c r="C110" s="21" t="s">
        <v>194</v>
      </c>
      <c r="D110" s="21" t="s">
        <v>866</v>
      </c>
      <c r="E110" s="13">
        <v>43019.68304398148</v>
      </c>
      <c r="F110" s="13">
        <v>43019.696180555555</v>
      </c>
      <c r="G110" s="7">
        <v>851</v>
      </c>
      <c r="H110" s="21" t="s">
        <v>406</v>
      </c>
      <c r="I110" s="13">
        <v>43019.722141203703</v>
      </c>
      <c r="J110" s="7">
        <v>0</v>
      </c>
      <c r="K110" s="89" t="str">
        <f>IF(ISEVEN(B110),(B110-1)&amp;"/"&amp;B110,B110&amp;"/"&amp;(B110+1))</f>
        <v>4015/4016</v>
      </c>
      <c r="L110" s="185" t="str">
        <f>VLOOKUP(A110,'Trips&amp;Operators'!$C$1:$G$99911,5,FALSE)</f>
        <v>DELGADO DIANAH</v>
      </c>
      <c r="M110" s="6">
        <f>I110-F110</f>
        <v>2.5960648148611654E-2</v>
      </c>
      <c r="N110" s="7">
        <f>24*60*SUM($M110:$M110)</f>
        <v>37.383333334000781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-11T15:23:35-0600',mode:absolute,to:'2017-10-11T18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23.3047</v>
      </c>
      <c r="Z110" s="204">
        <f>RIGHT(H110,LEN(H110)-4)/10000</f>
        <v>1.6E-2</v>
      </c>
      <c r="AA110" s="204">
        <f>ABS(Z110-Y110)</f>
        <v>23.288700000000002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/stypes="app*4015*20171011*"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198-11 --locoid 4015 --swversion DE.1.0.9.0 --startMP 204:233047 --initTime 2017-10-11T16:23:35 --startdatetime 2017-10-11T16:42:30 --delay 851 --endMP 204:160 --enddatetime 2017-10-11T17:19:53 --enforcementcount 0 &gt;&gt;%USERPROFILE%\Documents\GitHub\eaglep3-reporting\EC\2017-10-11-refined-times.txt</v>
      </c>
      <c r="AI110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{"issue":{"subject":"","project_id":79,"tracker_id":40,"status_id":1,"priority_id":2,"assigned_to_id":338,"start_date":"2017-10-11","description":"","custom_fields":[{"id":1,"name":"Subdivision","value":"EC"},{"id":4,"name":"Milepost","value":"0.016"},{"id":17,"name":"Train ID","value":"198-11"},{"id":16,"name":"Locomotive ID","value":"4015"},{"id":130,"name":"Impact","value":""},{"id":150,"name":"Time of Event (Mountain Time)","value":"17:19:53"},{"id":151,"name":"Denver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4015 --day 2017-10-11</v>
      </c>
      <c r="AN110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-11T15:23:35-0600',mode:absolute,to:'2017-10-11T18:19:53-0600'))&amp;_a=(columns:!('Message%20ID',Summary),filters:!(),index:'emp_*',interval:auto,query:(query_string:(analyze_wildcard:!t,query:'%22rtdc.l.rtdc.4015%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602</v>
      </c>
      <c r="B111" s="7">
        <v>4014</v>
      </c>
      <c r="C111" s="21" t="s">
        <v>194</v>
      </c>
      <c r="D111" s="21" t="s">
        <v>375</v>
      </c>
      <c r="E111" s="13">
        <v>43019.662222222221</v>
      </c>
      <c r="F111" s="13">
        <v>43019.669224537036</v>
      </c>
      <c r="G111" s="7">
        <v>105</v>
      </c>
      <c r="H111" s="21" t="s">
        <v>444</v>
      </c>
      <c r="I111" s="13">
        <v>43019.694560185184</v>
      </c>
      <c r="J111" s="7">
        <v>0</v>
      </c>
      <c r="K111" s="89" t="str">
        <f>IF(ISEVEN(B111),(B111-1)&amp;"/"&amp;B111,B111&amp;"/"&amp;(B111+1))</f>
        <v>4013/4014</v>
      </c>
      <c r="L111" s="185" t="str">
        <f>VLOOKUP(A111,'Trips&amp;Operators'!$C$1:$G$99911,5,FALSE)</f>
        <v>ZEWDU DEREJE</v>
      </c>
      <c r="M111" s="6">
        <f>I111-F111</f>
        <v>2.5335648148029577E-2</v>
      </c>
      <c r="N111" s="7">
        <f>24*60*SUM($M111:$M111)</f>
        <v>36.483333333162591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-11T14:53:36-0600',mode:absolute,to:'2017-10-11T17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4.6600000000000003E-2</v>
      </c>
      <c r="Z111" s="204">
        <f>RIGHT(H111,LEN(H111)-4)/10000</f>
        <v>23.330500000000001</v>
      </c>
      <c r="AA111" s="204">
        <f>ABS(Z111-Y111)</f>
        <v>23.283899999999999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/stypes="app*4014*20171011*" /stext=" 22:.+((SYSTEM_STATE.+slice.+state.+changed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199-11 --locoid 4014 --swversion DE.1.0.9.0 --startMP 204:466 --initTime 2017-10-11T15:53:36 --startdatetime 2017-10-11T16:03:41 --delay 105 --endMP 204:233305 --enddatetime 2017-10-11T16:40:10 --enforcementcount 0 &gt;&gt;%USERPROFILE%\Documents\GitHub\eaglep3-reporting\EC\2017-10-11-refined-times.txt</v>
      </c>
      <c r="AI111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{"issue":{"subject":"","project_id":79,"tracker_id":40,"status_id":1,"priority_id":2,"assigned_to_id":338,"start_date":"2017-10-11","description":"","custom_fields":[{"id":1,"name":"Subdivision","value":"EC"},{"id":4,"name":"Milepost","value":"23.3305"},{"id":17,"name":"Train ID","value":"199-11"},{"id":16,"name":"Locomotive ID","value":"4014"},{"id":130,"name":"Impact","value":""},{"id":150,"name":"Time of Event (Mountain Time)","value":"16:40:10"},{"id":151,"name":"Denver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4014 --day 2017-10-11</v>
      </c>
      <c r="AN111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-11T14:53:36-0600',mode:absolute,to:'2017-10-11T17:40:10-0600'))&amp;_a=(columns:!('Message%20ID',Summary),filters:!(),index:'emp_*',interval:auto,query:(query_string:(analyze_wildcard:!t,query:'%22rtdc.l.rtdc.4014%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767</v>
      </c>
      <c r="B112" s="7">
        <v>4013</v>
      </c>
      <c r="C112" s="21" t="s">
        <v>194</v>
      </c>
      <c r="D112" s="21" t="s">
        <v>453</v>
      </c>
      <c r="E112" s="13">
        <v>43019.70417824074</v>
      </c>
      <c r="F112" s="13">
        <v>43019.706493055557</v>
      </c>
      <c r="G112" s="7">
        <v>78</v>
      </c>
      <c r="H112" s="21" t="s">
        <v>474</v>
      </c>
      <c r="I112" s="13">
        <v>43019.733148148145</v>
      </c>
      <c r="J112" s="7">
        <v>0</v>
      </c>
      <c r="K112" s="89" t="str">
        <f>IF(ISEVEN(B112),(B112-1)&amp;"/"&amp;B112,B112&amp;"/"&amp;(B112+1))</f>
        <v>4013/4014</v>
      </c>
      <c r="L112" s="185" t="str">
        <f>VLOOKUP(A112,'Trips&amp;Operators'!$C$1:$G$99911,5,FALSE)</f>
        <v>ZEWDU DEREJE</v>
      </c>
      <c r="M112" s="6">
        <f>I112-F112</f>
        <v>2.6655092588043772E-2</v>
      </c>
      <c r="N112" s="7">
        <f>24*60*SUM($M112:$M112)</f>
        <v>38.383333326783031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-11T15:54:01-0600',mode:absolute,to:'2017-10-11T18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23.297699999999999</v>
      </c>
      <c r="Z112" s="204">
        <f>RIGHT(H112,LEN(H112)-4)/10000</f>
        <v>1.6500000000000001E-2</v>
      </c>
      <c r="AA112" s="204">
        <f>ABS(Z112-Y112)</f>
        <v>23.281199999999998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/stypes="app*4013*20171011*"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200-11 --locoid 4013 --swversion DE.1.0.9.0 --startMP 204:232977 --initTime 2017-10-11T16:54:01 --startdatetime 2017-10-11T16:57:21 --delay 78 --endMP 204:165 --enddatetime 2017-10-11T17:35:44 --enforcementcount 0 &gt;&gt;%USERPROFILE%\Documents\GitHub\eaglep3-reporting\EC\2017-10-11-refined-times.txt</v>
      </c>
      <c r="AI112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{"issue":{"subject":"","project_id":79,"tracker_id":40,"status_id":1,"priority_id":2,"assigned_to_id":338,"start_date":"2017-10-11","description":"","custom_fields":[{"id":1,"name":"Subdivision","value":"EC"},{"id":4,"name":"Milepost","value":"0.0165"},{"id":17,"name":"Train ID","value":"200-11"},{"id":16,"name":"Locomotive ID","value":"4013"},{"id":130,"name":"Impact","value":""},{"id":150,"name":"Time of Event (Mountain Time)","value":"17:35:44"},{"id":151,"name":"Denver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4013 --day 2017-10-11</v>
      </c>
      <c r="AN112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-11T15:54:01-0600',mode:absolute,to:'2017-10-11T18:35:44-0600'))&amp;_a=(columns:!('Message%20ID',Summary),filters:!(),index:'emp_*',interval:auto,query:(query_string:(analyze_wildcard:!t,query:'%22rtdc.l.rtdc.4013%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758</v>
      </c>
      <c r="B113" s="7">
        <v>4008</v>
      </c>
      <c r="C113" s="21" t="s">
        <v>194</v>
      </c>
      <c r="D113" s="21" t="s">
        <v>454</v>
      </c>
      <c r="E113" s="13">
        <v>43019.672418981485</v>
      </c>
      <c r="F113" s="13">
        <v>43019.677268518521</v>
      </c>
      <c r="G113" s="7">
        <v>52</v>
      </c>
      <c r="H113" s="21" t="s">
        <v>371</v>
      </c>
      <c r="I113" s="13">
        <v>43019.703530092593</v>
      </c>
      <c r="J113" s="7">
        <v>0</v>
      </c>
      <c r="K113" s="89" t="str">
        <f>IF(ISEVEN(B113),(B113-1)&amp;"/"&amp;B113,B113&amp;"/"&amp;(B113+1))</f>
        <v>4007/4008</v>
      </c>
      <c r="L113" s="185" t="str">
        <f>VLOOKUP(A113,'Trips&amp;Operators'!$C$1:$G$99911,5,FALSE)</f>
        <v>KILLION DAVID</v>
      </c>
      <c r="M113" s="6">
        <f>I113-F113</f>
        <v>2.626157407212304E-2</v>
      </c>
      <c r="N113" s="7">
        <f>24*60*SUM($M113:$M113)</f>
        <v>37.816666663857177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-11T15:08:17-0600',mode:absolute,to:'2017-10-11T17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4.6399999999999997E-2</v>
      </c>
      <c r="Z113" s="204">
        <f>RIGHT(H113,LEN(H113)-4)/10000</f>
        <v>23.331199999999999</v>
      </c>
      <c r="AA113" s="204">
        <f>ABS(Z113-Y113)</f>
        <v>23.284800000000001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/stypes="app*4008*20171011*" /stext=" 22:.+((SYSTEM_STATE.+slice.+state.+changed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201-11 --locoid 4008 --swversion DE.1.0.9.0 --startMP 204:464 --initTime 2017-10-11T16:08:17 --startdatetime 2017-10-11T16:15:16 --delay 52 --endMP 204:233312 --enddatetime 2017-10-11T16:53:05 --enforcementcount 0 &gt;&gt;%USERPROFILE%\Documents\GitHub\eaglep3-reporting\EC\2017-10-11-refined-times.txt</v>
      </c>
      <c r="AI113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{"issue":{"subject":"","project_id":79,"tracker_id":40,"status_id":1,"priority_id":2,"assigned_to_id":338,"start_date":"2017-10-11","description":"","custom_fields":[{"id":1,"name":"Subdivision","value":"EC"},{"id":4,"name":"Milepost","value":"23.3312"},{"id":17,"name":"Train ID","value":"201-11"},{"id":16,"name":"Locomotive ID","value":"4008"},{"id":130,"name":"Impact","value":""},{"id":150,"name":"Time of Event (Mountain Time)","value":"16:53:05"},{"id":151,"name":"Denver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4008 --day 2017-10-11</v>
      </c>
      <c r="AN113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-10-11T15:08:17-0600',mode:absolute,to:'2017-10-11T17:53:05-0600'))&amp;_a=(columns:!('Message%20ID',Summary),filters:!(),index:'emp_*',interval:auto,query:(query_string:(analyze_wildcard:!t,query:'%22rtdc.l.rtdc.4008%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770</v>
      </c>
      <c r="B114" s="7">
        <v>4007</v>
      </c>
      <c r="C114" s="21" t="s">
        <v>194</v>
      </c>
      <c r="D114" s="21" t="s">
        <v>540</v>
      </c>
      <c r="E114" s="13">
        <v>43019.709583333337</v>
      </c>
      <c r="F114" s="13">
        <v>43019.716944444444</v>
      </c>
      <c r="G114" s="7">
        <v>63</v>
      </c>
      <c r="H114" s="21" t="s">
        <v>355</v>
      </c>
      <c r="I114" s="13">
        <v>43019.744375000002</v>
      </c>
      <c r="J114" s="7">
        <v>0</v>
      </c>
      <c r="K114" s="89" t="str">
        <f>IF(ISEVEN(B114),(B114-1)&amp;"/"&amp;B114,B114&amp;"/"&amp;(B114+1))</f>
        <v>4007/4008</v>
      </c>
      <c r="L114" s="185" t="str">
        <f>VLOOKUP(A114,'Trips&amp;Operators'!$C$1:$G$99911,5,FALSE)</f>
        <v>KILLION DAVID</v>
      </c>
      <c r="M114" s="6">
        <f>I114-F114</f>
        <v>2.7430555557657499E-2</v>
      </c>
      <c r="N114" s="7">
        <f>24*60*SUM($M114:$M114)</f>
        <v>39.500000003026798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-11T16:01:48-0600',mode:absolute,to:'2017-10-11T18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23.299800000000001</v>
      </c>
      <c r="Z114" s="204">
        <f>RIGHT(H114,LEN(H114)-4)/10000</f>
        <v>1.52E-2</v>
      </c>
      <c r="AA114" s="204">
        <f>ABS(Z114-Y114)</f>
        <v>23.284600000000001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s3://rtdc.mdm.uploadarchive.raw/RTDC4007/ "%USERPROFILE%\AppData\Local\Temp\OnboardLogs"\RTDC4007\2017-10-11 --exclude "*" --recursive --include "*20171011*" &amp; "%USERPROFILE%\Documents\GitHub\mrs-test-scripts\Headless Mode &amp; Sideloading\WalkAndUnGZ.bat" "%USERPROFILE%\AppData\Local\Temp\OnboardLogs"\RTDC4007\2017-10-11 &amp; aws s3 cp s3://rtdc.mdm.uploadarchive.raw/RTDC4007/ "%USERPROFILE%\AppData\Local\Temp\OnboardLogs"\RTDC4007\2017-10-12 --exclude "*" --recursive --include "*20171012*" &amp; "%USERPROFILE%\Documents\GitHub\mrs-test-scripts\Headless Mode &amp; Sideloading\WalkAndUnGZ.bat" "%USERPROFILE%\AppData\Local\Temp\OnboardLogs"\RTDC4007\2017-10-12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/stypes="app*4007*20171011*" /stext=" 23:.+((SYSTEM_STATE.+slice.+state.+changed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202-11 --locoid 4007 --swversion DE.1.0.9.0 --startMP 204:232998 --initTime 2017-10-11T17:01:48 --startdatetime 2017-10-11T17:12:24 --delay 63 --endMP 204:152 --enddatetime 2017-10-11T17:51:54 --enforcementcount 0 &gt;&gt;%USERPROFILE%\Documents\GitHub\eaglep3-reporting\EC\2017-10-11-refined-times.txt</v>
      </c>
      <c r="AI114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{"issue":{"subject":"","project_id":79,"tracker_id":40,"status_id":1,"priority_id":2,"assigned_to_id":338,"start_date":"2017-10-11","description":"","custom_fields":[{"id":1,"name":"Subdivision","value":"EC"},{"id":4,"name":"Milepost","value":"0.0152"},{"id":17,"name":"Train ID","value":"202-11"},{"id":16,"name":"Locomotive ID","value":"4007"},{"id":130,"name":"Impact","value":""},{"id":150,"name":"Time of Event (Mountain Time)","value":"17:51:54"},{"id":151,"name":"Denver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4007 --day 2017-10-11</v>
      </c>
      <c r="AN114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-11T16:01:48-0600',mode:absolute,to:'2017-10-11T18:51:54-0600'))&amp;_a=(columns:!('Message%20ID',Summary),filters:!(),index:'emp_*',interval:auto,query:(query_string:(analyze_wildcard:!t,query:'%22rtdc.l.rtdc.4007%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760</v>
      </c>
      <c r="B115" s="7">
        <v>4032</v>
      </c>
      <c r="C115" s="21" t="s">
        <v>194</v>
      </c>
      <c r="D115" s="21" t="s">
        <v>393</v>
      </c>
      <c r="E115" s="13">
        <v>43019.682719907411</v>
      </c>
      <c r="F115" s="13">
        <v>43019.687673611108</v>
      </c>
      <c r="G115" s="7">
        <v>69</v>
      </c>
      <c r="H115" s="21" t="s">
        <v>392</v>
      </c>
      <c r="I115" s="13">
        <v>43019.712523148148</v>
      </c>
      <c r="J115" s="7">
        <v>0</v>
      </c>
      <c r="K115" s="89" t="str">
        <f>IF(ISEVEN(B115),(B115-1)&amp;"/"&amp;B115,B115&amp;"/"&amp;(B115+1))</f>
        <v>4031/4032</v>
      </c>
      <c r="L115" s="185" t="str">
        <f>VLOOKUP(A115,'Trips&amp;Operators'!$C$1:$G$99911,5,FALSE)</f>
        <v>BRUDER RICHARD</v>
      </c>
      <c r="M115" s="6">
        <f>I115-F115</f>
        <v>2.4849537039699499E-2</v>
      </c>
      <c r="N115" s="7">
        <f>24*60*SUM($M115:$M115)</f>
        <v>35.783333337167278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-11T15:23:07-0600',mode:absolute,to:'2017-10-11T18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4.6699999999999998E-2</v>
      </c>
      <c r="Z115" s="204">
        <f>RIGHT(H115,LEN(H115)-4)/10000</f>
        <v>23.329699999999999</v>
      </c>
      <c r="AA115" s="204">
        <f>ABS(Z115-Y115)</f>
        <v>23.282999999999998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/stypes="app*4032*20171011*"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203-11 --locoid 4032 --swversion DE.1.0.9.0 --startMP 204:467 --initTime 2017-10-11T16:23:07 --startdatetime 2017-10-11T16:30:15 --delay 69 --endMP 204:233297 --enddatetime 2017-10-11T17:06:02 --enforcementcount 0 &gt;&gt;%USERPROFILE%\Documents\GitHub\eaglep3-reporting\EC\2017-10-11-refined-times.txt</v>
      </c>
      <c r="AI115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{"issue":{"subject":"","project_id":79,"tracker_id":40,"status_id":1,"priority_id":2,"assigned_to_id":338,"start_date":"2017-10-11","description":"","custom_fields":[{"id":1,"name":"Subdivision","value":"EC"},{"id":4,"name":"Milepost","value":"23.3297"},{"id":17,"name":"Train ID","value":"203-11"},{"id":16,"name":"Locomotive ID","value":"4032"},{"id":130,"name":"Impact","value":""},{"id":150,"name":"Time of Event (Mountain Time)","value":"17:06:02"},{"id":151,"name":"Denver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4032 --day 2017-10-11</v>
      </c>
      <c r="AN115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-11T15:23:07-0600',mode:absolute,to:'2017-10-11T18:06:02-0600'))&amp;_a=(columns:!('Message%20ID',Summary),filters:!(),index:'emp_*',interval:auto,query:(query_string:(analyze_wildcard:!t,query:'%22rtdc.l.rtdc.4032%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773</v>
      </c>
      <c r="B116" s="7">
        <v>4031</v>
      </c>
      <c r="C116" s="21" t="s">
        <v>194</v>
      </c>
      <c r="D116" s="21" t="s">
        <v>844</v>
      </c>
      <c r="E116" s="13">
        <v>43019.723715277774</v>
      </c>
      <c r="F116" s="13">
        <v>43019.727268518516</v>
      </c>
      <c r="G116" s="7">
        <v>58</v>
      </c>
      <c r="H116" s="21" t="s">
        <v>339</v>
      </c>
      <c r="I116" s="13">
        <v>43019.752500000002</v>
      </c>
      <c r="J116" s="7">
        <v>0</v>
      </c>
      <c r="K116" s="89" t="str">
        <f>IF(ISEVEN(B116),(B116-1)&amp;"/"&amp;B116,B116&amp;"/"&amp;(B116+1))</f>
        <v>4031/4032</v>
      </c>
      <c r="L116" s="185" t="str">
        <f>VLOOKUP(A116,'Trips&amp;Operators'!$C$1:$G$99911,5,FALSE)</f>
        <v>BRUDER RICHARD</v>
      </c>
      <c r="M116" s="6">
        <f>I116-F116</f>
        <v>2.5231481486116536E-2</v>
      </c>
      <c r="N116" s="7">
        <f>24*60*SUM($M116:$M116)</f>
        <v>36.333333340007812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-11T16:22:09-0600',mode:absolute,to:'2017-10-11T19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23.297799999999999</v>
      </c>
      <c r="Z116" s="204">
        <f>RIGHT(H116,LEN(H116)-4)/10000</f>
        <v>1.47E-2</v>
      </c>
      <c r="AA116" s="204">
        <f>ABS(Z116-Y116)</f>
        <v>23.283099999999997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/stypes="app*4031*20171012*" /stext=" 00:.+((SYSTEM_STATE.+slice.+state.+changed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204-11 --locoid 4031 --swversion DE.1.0.9.0 --startMP 204:232978 --initTime 2017-10-11T17:22:09 --startdatetime 2017-10-11T17:27:16 --delay 58 --endMP 204:147 --enddatetime 2017-10-11T18:03:36 --enforcementcount 0 &gt;&gt;%USERPROFILE%\Documents\GitHub\eaglep3-reporting\EC\2017-10-11-refined-times.txt</v>
      </c>
      <c r="AI116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ID","value":"204-11"},{"id":16,"name":"Locomotive ID","value":"4031"},{"id":130,"name":"Impact","value":""},{"id":150,"name":"Time of Event (Mountain Time)","value":"18:03:36"},{"id":151,"name":"Denver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4031 --day 2017-10-11</v>
      </c>
      <c r="AN116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-11T16:22:09-0600',mode:absolute,to:'2017-10-11T19:03:36-0600'))&amp;_a=(columns:!('Message%20ID',Summary),filters:!(),index:'emp_*',interval:auto,query:(query_string:(analyze_wildcard:!t,query:'%22rtdc.l.rtdc.4031%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764</v>
      </c>
      <c r="B117" s="7">
        <v>4036</v>
      </c>
      <c r="C117" s="21" t="s">
        <v>194</v>
      </c>
      <c r="D117" s="21" t="s">
        <v>375</v>
      </c>
      <c r="E117" s="13">
        <v>43019.693576388891</v>
      </c>
      <c r="F117" s="13">
        <v>43019.698148148149</v>
      </c>
      <c r="G117" s="7">
        <v>59</v>
      </c>
      <c r="H117" s="21" t="s">
        <v>391</v>
      </c>
      <c r="I117" s="13">
        <v>43019.724236111113</v>
      </c>
      <c r="J117" s="7">
        <v>0</v>
      </c>
      <c r="K117" s="89" t="str">
        <f>IF(ISEVEN(B117),(B117-1)&amp;"/"&amp;B117,B117&amp;"/"&amp;(B117+1))</f>
        <v>4035/4036</v>
      </c>
      <c r="L117" s="185" t="str">
        <f>VLOOKUP(A117,'Trips&amp;Operators'!$C$1:$G$99911,5,FALSE)</f>
        <v>STEWART MICHAEL</v>
      </c>
      <c r="M117" s="6">
        <f>I117-F117</f>
        <v>2.6087962964083999E-2</v>
      </c>
      <c r="N117" s="7">
        <f>24*60*SUM($M117:$M117)</f>
        <v>37.566666668280959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-11T15:38:45-0600',mode:absolute,to:'2017-10-11T18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4.6600000000000003E-2</v>
      </c>
      <c r="Z117" s="204">
        <f>RIGHT(H117,LEN(H117)-4)/10000</f>
        <v>23.3291</v>
      </c>
      <c r="AA117" s="204">
        <f>ABS(Z117-Y117)</f>
        <v>23.282499999999999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/stypes="app*4036*20171011*" /stext=" 23:.+((SYSTEM_STATE.+slice.+state.+changed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205-11 --locoid 4036 --swversion DE.1.0.9.0 --startMP 204:466 --initTime 2017-10-11T16:38:45 --startdatetime 2017-10-11T16:45:20 --delay 59 --endMP 204:233291 --enddatetime 2017-10-11T17:22:54 --enforcementcount 0 &gt;&gt;%USERPROFILE%\Documents\GitHub\eaglep3-reporting\EC\2017-10-11-refined-times.txt</v>
      </c>
      <c r="AI117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{"issue":{"subject":"","project_id":79,"tracker_id":40,"status_id":1,"priority_id":2,"assigned_to_id":338,"start_date":"2017-10-11","description":"","custom_fields":[{"id":1,"name":"Subdivision","value":"EC"},{"id":4,"name":"Milepost","value":"23.3291"},{"id":17,"name":"Train ID","value":"205-11"},{"id":16,"name":"Locomotive ID","value":"4036"},{"id":130,"name":"Impact","value":""},{"id":150,"name":"Time of Event (Mountain Time)","value":"17:22:54"},{"id":151,"name":"Denver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4036 --day 2017-10-11</v>
      </c>
      <c r="AN117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-10-11T15:38:45-0600',mode:absolute,to:'2017-10-11T18:22:54-0600'))&amp;_a=(columns:!('Message%20ID',Summary),filters:!(),index:'emp_*',interval:auto,query:(query_string:(analyze_wildcard:!t,query:'%22rtdc.l.rtdc.4036%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776</v>
      </c>
      <c r="B118" s="7">
        <v>4035</v>
      </c>
      <c r="C118" s="21" t="s">
        <v>194</v>
      </c>
      <c r="D118" s="21" t="s">
        <v>473</v>
      </c>
      <c r="E118" s="13">
        <v>43019.73369212963</v>
      </c>
      <c r="F118" s="13">
        <v>43019.737800925926</v>
      </c>
      <c r="G118" s="7">
        <v>70</v>
      </c>
      <c r="H118" s="21" t="s">
        <v>358</v>
      </c>
      <c r="I118" s="13">
        <v>43019.764803240738</v>
      </c>
      <c r="J118" s="7">
        <v>0</v>
      </c>
      <c r="K118" s="89" t="str">
        <f>IF(ISEVEN(B118),(B118-1)&amp;"/"&amp;B118,B118&amp;"/"&amp;(B118+1))</f>
        <v>4035/4036</v>
      </c>
      <c r="L118" s="185" t="str">
        <f>VLOOKUP(A118,'Trips&amp;Operators'!$C$1:$G$99911,5,FALSE)</f>
        <v>STEWART MICHAEL</v>
      </c>
      <c r="M118" s="6">
        <f>I118-F118</f>
        <v>2.700231481139781E-2</v>
      </c>
      <c r="N118" s="7">
        <f>24*60*SUM($M118:$M118)</f>
        <v>38.883333328412846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-11T16:36:31-0600',mode:absolute,to:'2017-10-11T19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23.298500000000001</v>
      </c>
      <c r="Z118" s="204">
        <f>RIGHT(H118,LEN(H118)-4)/10000</f>
        <v>1.5599999999999999E-2</v>
      </c>
      <c r="AA118" s="204">
        <f>ABS(Z118-Y118)</f>
        <v>23.282900000000001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/stypes="app*4035*20171012*" /stext=" 00:.+((SYSTEM_STATE.+slice.+state.+changed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206-11 --locoid 4035 --swversion DE.1.0.9.0 --startMP 204:232985 --initTime 2017-10-11T17:36:31 --startdatetime 2017-10-11T17:42:26 --delay 70 --endMP 204:156 --enddatetime 2017-10-11T18:21:19 --enforcementcount 0 &gt;&gt;%USERPROFILE%\Documents\GitHub\eaglep3-reporting\EC\2017-10-11-refined-times.txt</v>
      </c>
      <c r="AI118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{"issue":{"subject":"","project_id":79,"tracker_id":40,"status_id":1,"priority_id":2,"assigned_to_id":338,"start_date":"2017-10-11","description":"","custom_fields":[{"id":1,"name":"Subdivision","value":"EC"},{"id":4,"name":"Milepost","value":"0.0156"},{"id":17,"name":"Train ID","value":"206-11"},{"id":16,"name":"Locomotive ID","value":"4035"},{"id":130,"name":"Impact","value":""},{"id":150,"name":"Time of Event (Mountain Time)","value":"18:21:19"},{"id":151,"name":"Denver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4035 --day 2017-10-11</v>
      </c>
      <c r="AN118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-11T16:36:31-0600',mode:absolute,to:'2017-10-11T19:21:19-0600'))&amp;_a=(columns:!('Message%20ID',Summary),filters:!(),index:'emp_*',interval:auto,query:(query_string:(analyze_wildcard:!t,query:'%22rtdc.l.rtdc.4035%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766</v>
      </c>
      <c r="B119" s="7">
        <v>4018</v>
      </c>
      <c r="C119" s="21" t="s">
        <v>194</v>
      </c>
      <c r="D119" s="21" t="s">
        <v>380</v>
      </c>
      <c r="E119" s="13">
        <v>43019.704039351855</v>
      </c>
      <c r="F119" s="13">
        <v>43019.708495370367</v>
      </c>
      <c r="G119" s="7">
        <v>50</v>
      </c>
      <c r="H119" s="21" t="s">
        <v>478</v>
      </c>
      <c r="I119" s="13">
        <v>43019.733553240738</v>
      </c>
      <c r="J119" s="7">
        <v>0</v>
      </c>
      <c r="K119" s="89" t="str">
        <f>IF(ISEVEN(B119),(B119-1)&amp;"/"&amp;B119,B119&amp;"/"&amp;(B119+1))</f>
        <v>4017/4018</v>
      </c>
      <c r="L119" s="185" t="str">
        <f>VLOOKUP(A119,'Trips&amp;Operators'!$C$1:$G$99911,5,FALSE)</f>
        <v>GUZMAN DANNY</v>
      </c>
      <c r="M119" s="6">
        <f>I119-F119</f>
        <v>2.5057870370801538E-2</v>
      </c>
      <c r="N119" s="7">
        <f>24*60*SUM($M119:$M119)</f>
        <v>36.083333333954215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-11T15:53:49-0600',mode:absolute,to:'2017-10-11T18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4.5699999999999998E-2</v>
      </c>
      <c r="Z119" s="204">
        <f>RIGHT(H119,LEN(H119)-4)/10000</f>
        <v>23.330300000000001</v>
      </c>
      <c r="AA119" s="204">
        <f>ABS(Z119-Y119)</f>
        <v>23.284600000000001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/stypes="app*4018*20171011*" /stext=" 23:.+((SYSTEM_STATE.+slice.+state.+changed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207-11 --locoid 4018 --swversion DE.1.0.9.0 --startMP 204:457 --initTime 2017-10-11T16:53:49 --startdatetime 2017-10-11T17:00:14 --delay 50 --endMP 204:233303 --enddatetime 2017-10-11T17:36:19 --enforcementcount 0 &gt;&gt;%USERPROFILE%\Documents\GitHub\eaglep3-reporting\EC\2017-10-11-refined-times.txt</v>
      </c>
      <c r="AI119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{"issue":{"subject":"","project_id":79,"tracker_id":40,"status_id":1,"priority_id":2,"assigned_to_id":338,"start_date":"2017-10-11","description":"","custom_fields":[{"id":1,"name":"Subdivision","value":"EC"},{"id":4,"name":"Milepost","value":"23.3303"},{"id":17,"name":"Train ID","value":"207-11"},{"id":16,"name":"Locomotive ID","value":"4018"},{"id":130,"name":"Impact","value":""},{"id":150,"name":"Time of Event (Mountain Time)","value":"17:36:19"},{"id":151,"name":"Denver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4018 --day 2017-10-11</v>
      </c>
      <c r="AN119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-11T15:53:49-0600',mode:absolute,to:'2017-10-11T18:36:19-0600'))&amp;_a=(columns:!('Message%20ID',Summary),filters:!(),index:'emp_*',interval:auto,query:(query_string:(analyze_wildcard:!t,query:'%22rtdc.l.rtdc.4018%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604</v>
      </c>
      <c r="B120" s="7">
        <v>4017</v>
      </c>
      <c r="C120" s="21" t="s">
        <v>194</v>
      </c>
      <c r="D120" s="21" t="s">
        <v>453</v>
      </c>
      <c r="E120" s="13">
        <v>43019.735219907408</v>
      </c>
      <c r="F120" s="13">
        <v>43019.748090277775</v>
      </c>
      <c r="G120" s="7">
        <v>47</v>
      </c>
      <c r="H120" s="21" t="s">
        <v>867</v>
      </c>
      <c r="I120" s="13">
        <v>43019.774513888886</v>
      </c>
      <c r="J120" s="7">
        <v>0</v>
      </c>
      <c r="K120" s="89" t="str">
        <f>IF(ISEVEN(B120),(B120-1)&amp;"/"&amp;B120,B120&amp;"/"&amp;(B120+1))</f>
        <v>4017/4018</v>
      </c>
      <c r="L120" s="185" t="str">
        <f>VLOOKUP(A120,'Trips&amp;Operators'!$C$1:$G$99911,5,FALSE)</f>
        <v>GUZMAN DANNY</v>
      </c>
      <c r="M120" s="6">
        <f>I120-F120</f>
        <v>2.6423611110658385E-2</v>
      </c>
      <c r="N120" s="7">
        <f>24*60*SUM($M120:$M120)</f>
        <v>38.049999999348074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-11T16:38:43-0600',mode:absolute,to:'2017-10-11T19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23.297699999999999</v>
      </c>
      <c r="Z120" s="204">
        <f>RIGHT(H120,LEN(H120)-4)/10000</f>
        <v>1.6899999999999998E-2</v>
      </c>
      <c r="AA120" s="204">
        <f>ABS(Z120-Y120)</f>
        <v>23.280799999999999</v>
      </c>
      <c r="AB120" s="54" t="str">
        <f>VLOOKUP(A120,Enforcements!$C$7:$K$11,8,0)</f>
        <v>Bulletin (2)</v>
      </c>
      <c r="AC120" s="51" t="str">
        <f>VLOOKUP(A120,Enforcements!$C$7:$E$11,3,0)</f>
        <v>GRADE CROSSING</v>
      </c>
      <c r="AD120" s="179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/stypes="app*4017*20171012*"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208-11 --locoid 4017 --swversion DE.1.0.9.0 --startMP 204:232977 --initTime 2017-10-11T17:38:43 --startdatetime 2017-10-11T17:57:15 --delay 47 --endMP 204:169 --enddatetime 2017-10-11T18:35:18 --enforcementcount 0 &gt;&gt;%USERPROFILE%\Documents\GitHub\eaglep3-reporting\EC\2017-10-11-refined-times.txt</v>
      </c>
      <c r="AI120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{"issue":{"subject":"","project_id":79,"tracker_id":40,"status_id":1,"priority_id":2,"assigned_to_id":338,"start_date":"2017-10-11","description":"","custom_fields":[{"id":1,"name":"Subdivision","value":"EC"},{"id":4,"name":"Milepost","value":"0.0169"},{"id":17,"name":"Train ID","value":"208-11"},{"id":16,"name":"Locomotive ID","value":"4017"},{"id":130,"name":"Impact","value":""},{"id":150,"name":"Time of Event (Mountain Time)","value":"18:35:18"},{"id":151,"name":"Denver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4017 --day 2017-10-11</v>
      </c>
      <c r="AN120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-11T16:38:43-0600',mode:absolute,to:'2017-10-11T19:35:18-0600'))&amp;_a=(columns:!('Message%20ID',Summary),filters:!(),index:'emp_*',interval:auto,query:(query_string:(analyze_wildcard:!t,query:'%22rtdc.l.rtdc.4017%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771</v>
      </c>
      <c r="B121" s="7">
        <v>4046</v>
      </c>
      <c r="C121" s="21" t="s">
        <v>194</v>
      </c>
      <c r="D121" s="21" t="s">
        <v>397</v>
      </c>
      <c r="E121" s="13">
        <v>43019.716365740744</v>
      </c>
      <c r="F121" s="13">
        <v>43019.718912037039</v>
      </c>
      <c r="G121" s="7">
        <v>62</v>
      </c>
      <c r="H121" s="21" t="s">
        <v>403</v>
      </c>
      <c r="I121" s="13">
        <v>43019.743773148148</v>
      </c>
      <c r="J121" s="7">
        <v>0</v>
      </c>
      <c r="K121" s="89" t="str">
        <f>IF(ISEVEN(B121),(B121-1)&amp;"/"&amp;B121,B121&amp;"/"&amp;(B121+1))</f>
        <v>4045/4046</v>
      </c>
      <c r="L121" s="185" t="str">
        <f>VLOOKUP(A121,'Trips&amp;Operators'!$C$1:$G$99911,5,FALSE)</f>
        <v>LEVIN SCOTT</v>
      </c>
      <c r="M121" s="6">
        <f>I121-F121</f>
        <v>2.4861111109203193E-2</v>
      </c>
      <c r="N121" s="7">
        <f>24*60*SUM($M121:$M121)</f>
        <v>35.799999997252598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-11T16:11:34-0600',mode:absolute,to:'2017-10-11T18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4.6899999999999997E-2</v>
      </c>
      <c r="Z121" s="204">
        <f>RIGHT(H121,LEN(H121)-4)/10000</f>
        <v>23.3308</v>
      </c>
      <c r="AA121" s="204">
        <f>ABS(Z121-Y121)</f>
        <v>23.283899999999999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/stypes="app*4046*20171011*" /stext=" 23:.+((SYSTEM_STATE.+slice.+state.+changed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209-11 --locoid 4046 --swversion DE.1.0.9.0 --startMP 204:469 --initTime 2017-10-11T17:11:34 --startdatetime 2017-10-11T17:15:14 --delay 62 --endMP 204:233308 --enddatetime 2017-10-11T17:51:02 --enforcementcount 0 &gt;&gt;%USERPROFILE%\Documents\GitHub\eaglep3-reporting\EC\2017-10-11-refined-times.txt</v>
      </c>
      <c r="AI121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{"issue":{"subject":"","project_id":79,"tracker_id":40,"status_id":1,"priority_id":2,"assigned_to_id":338,"start_date":"2017-10-11","description":"","custom_fields":[{"id":1,"name":"Subdivision","value":"EC"},{"id":4,"name":"Milepost","value":"23.3308"},{"id":17,"name":"Train ID","value":"209-11"},{"id":16,"name":"Locomotive ID","value":"4046"},{"id":130,"name":"Impact","value":""},{"id":150,"name":"Time of Event (Mountain Time)","value":"17:51:02"},{"id":151,"name":"Denver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4046 --day 2017-10-11</v>
      </c>
      <c r="AN121" s="151" t="str">
        <f t="shared" si="1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-11T16:11:34-0600',mode:absolute,to:'2017-10-11T18:51:02-0600'))&amp;_a=(columns:!('Message%20ID',Summary),filters:!(),index:'emp_*',interval:auto,query:(query_string:(analyze_wildcard:!t,query:'%22rtdc.l.rtdc.4046%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779</v>
      </c>
      <c r="B122" s="7">
        <v>4045</v>
      </c>
      <c r="C122" s="21" t="s">
        <v>194</v>
      </c>
      <c r="D122" s="21" t="s">
        <v>545</v>
      </c>
      <c r="E122" s="13">
        <v>43019.748043981483</v>
      </c>
      <c r="F122" s="13">
        <v>43019.758518518516</v>
      </c>
      <c r="G122" s="7">
        <v>55</v>
      </c>
      <c r="H122" s="21" t="s">
        <v>364</v>
      </c>
      <c r="I122" s="13">
        <v>43019.784131944441</v>
      </c>
      <c r="J122" s="7">
        <v>0</v>
      </c>
      <c r="K122" s="89" t="str">
        <f>IF(ISEVEN(B122),(B122-1)&amp;"/"&amp;B122,B122&amp;"/"&amp;(B122+1))</f>
        <v>4045/4046</v>
      </c>
      <c r="L122" s="185" t="str">
        <f>VLOOKUP(A122,'Trips&amp;Operators'!$C$1:$G$99911,5,FALSE)</f>
        <v>LEVIN SCOTT</v>
      </c>
      <c r="M122" s="6">
        <f>I122-F122</f>
        <v>2.5613425925257616E-2</v>
      </c>
      <c r="N122" s="7">
        <f>24*60*SUM($M122:$M122)</f>
        <v>36.883333332370967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-11T16:57:11-0600',mode:absolute,to:'2017-10-11T19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23.299600000000002</v>
      </c>
      <c r="Z122" s="204">
        <f>RIGHT(H122,LEN(H122)-4)/10000</f>
        <v>1.5800000000000002E-2</v>
      </c>
      <c r="AA122" s="204">
        <f>ABS(Z122-Y122)</f>
        <v>23.283800000000003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/stypes="app*4045*20171012*"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210-11 --locoid 4045 --swversion DE.1.0.9.0 --startMP 204:232996 --initTime 2017-10-11T17:57:11 --startdatetime 2017-10-11T18:12:16 --delay 55 --endMP 204:158 --enddatetime 2017-10-11T18:49:09 --enforcementcount 0 &gt;&gt;%USERPROFILE%\Documents\GitHub\eaglep3-reporting\EC\2017-10-11-refined-times.txt</v>
      </c>
      <c r="AI122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{"issue":{"subject":"","project_id":79,"tracker_id":40,"status_id":1,"priority_id":2,"assigned_to_id":338,"start_date":"2017-10-11","description":"","custom_fields":[{"id":1,"name":"Subdivision","value":"EC"},{"id":4,"name":"Milepost","value":"0.0158"},{"id":17,"name":"Train ID","value":"210-11"},{"id":16,"name":"Locomotive ID","value":"4045"},{"id":130,"name":"Impact","value":""},{"id":150,"name":"Time of Event (Mountain Time)","value":"18:49:09"},{"id":151,"name":"Denver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4045 --day 2017-10-11</v>
      </c>
      <c r="AN122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-11T16:57:11-0600',mode:absolute,to:'2017-10-11T19:49:09-0600'))&amp;_a=(columns:!('Message%20ID',Summary),filters:!(),index:'emp_*',interval:auto,query:(query_string:(analyze_wildcard:!t,query:'%22rtdc.l.rtdc.4045%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774</v>
      </c>
      <c r="B123" s="7">
        <v>4016</v>
      </c>
      <c r="C123" s="21" t="s">
        <v>194</v>
      </c>
      <c r="D123" s="21" t="s">
        <v>868</v>
      </c>
      <c r="E123" s="13">
        <v>43019.724768518521</v>
      </c>
      <c r="F123" s="13">
        <v>43019.729502314818</v>
      </c>
      <c r="G123" s="7">
        <v>72</v>
      </c>
      <c r="H123" s="21" t="s">
        <v>526</v>
      </c>
      <c r="I123" s="13">
        <v>43019.75408564815</v>
      </c>
      <c r="J123" s="7">
        <v>0</v>
      </c>
      <c r="K123" s="89" t="str">
        <f>IF(ISEVEN(B123),(B123-1)&amp;"/"&amp;B123,B123&amp;"/"&amp;(B123+1))</f>
        <v>4015/4016</v>
      </c>
      <c r="L123" s="185" t="str">
        <f>VLOOKUP(A123,'Trips&amp;Operators'!$C$1:$G$99911,5,FALSE)</f>
        <v>DELGADO DIANAH</v>
      </c>
      <c r="M123" s="6">
        <f>I123-F123</f>
        <v>2.4583333331975155E-2</v>
      </c>
      <c r="N123" s="7">
        <f>24*60*SUM($M123:$M123)</f>
        <v>35.399999998044223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-11T16:23:40-0600',mode:absolute,to:'2017-10-11T19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4.4400000000000002E-2</v>
      </c>
      <c r="Z123" s="204">
        <f>RIGHT(H123,LEN(H123)-4)/10000</f>
        <v>23.328199999999999</v>
      </c>
      <c r="AA123" s="204">
        <f>ABS(Z123-Y123)</f>
        <v>23.283799999999999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/stypes="app*4016*20171012*"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211-11 --locoid 4016 --swversion DE.1.0.9.0 --startMP 204:444 --initTime 2017-10-11T17:23:40 --startdatetime 2017-10-11T17:30:29 --delay 72 --endMP 204:233282 --enddatetime 2017-10-11T18:05:53 --enforcementcount 0 &gt;&gt;%USERPROFILE%\Documents\GitHub\eaglep3-reporting\EC\2017-10-11-refined-times.txt</v>
      </c>
      <c r="AI123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{"issue":{"subject":"","project_id":79,"tracker_id":40,"status_id":1,"priority_id":2,"assigned_to_id":338,"start_date":"2017-10-11","description":"","custom_fields":[{"id":1,"name":"Subdivision","value":"EC"},{"id":4,"name":"Milepost","value":"23.3282"},{"id":17,"name":"Train ID","value":"211-11"},{"id":16,"name":"Locomotive ID","value":"4016"},{"id":130,"name":"Impact","value":""},{"id":150,"name":"Time of Event (Mountain Time)","value":"18:05:53"},{"id":151,"name":"Denver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4016 --day 2017-10-11</v>
      </c>
      <c r="AN123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-11T16:23:40-0600',mode:absolute,to:'2017-10-11T19:05:53-0600'))&amp;_a=(columns:!('Message%20ID',Summary),filters:!(),index:'emp_*',interval:auto,query:(query_string:(analyze_wildcard:!t,query:'%22rtdc.l.rtdc.4016%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782</v>
      </c>
      <c r="B124" s="7">
        <v>4015</v>
      </c>
      <c r="C124" s="21" t="s">
        <v>194</v>
      </c>
      <c r="D124" s="21" t="s">
        <v>868</v>
      </c>
      <c r="E124" s="13">
        <v>43019.724768518521</v>
      </c>
      <c r="F124" s="13">
        <v>43019.768923611111</v>
      </c>
      <c r="G124" s="7">
        <v>72</v>
      </c>
      <c r="H124" s="21" t="s">
        <v>526</v>
      </c>
      <c r="I124" s="13">
        <v>43019.795069444444</v>
      </c>
      <c r="J124" s="7">
        <v>0</v>
      </c>
      <c r="K124" s="89" t="str">
        <f>IF(ISEVEN(B124),(B124-1)&amp;"/"&amp;B124,B124&amp;"/"&amp;(B124+1))</f>
        <v>4015/4016</v>
      </c>
      <c r="L124" s="185" t="str">
        <f>VLOOKUP(A124,'Trips&amp;Operators'!$C$1:$G$99911,5,FALSE)</f>
        <v>DELGADO DIANAH</v>
      </c>
      <c r="M124" s="6">
        <f>I124-F124</f>
        <v>2.6145833333430346E-2</v>
      </c>
      <c r="N124" s="7">
        <f>24*60*SUM($M124:$M124)</f>
        <v>37.650000000139698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-11T16:23:40-0600',mode:absolute,to:'2017-10-11T20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v>23.299600000000002</v>
      </c>
      <c r="Z124" s="204">
        <v>1.5800000000000002E-2</v>
      </c>
      <c r="AA124" s="204">
        <f>ABS(Z124-Y124)</f>
        <v>23.283800000000003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/stypes="app*4015*20171012*" /stext=" 01:.+((SYSTEM_STATE.+slice.+state.+changed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ref="AH124" si="15"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212-11 --locoid 4015 --swversion DE.1.0.9.0 --startMP 204:444 --initTime 2017-10-11T17:23:40 --startdatetime 2017-10-11T18:27:15 --delay 72 --endMP 204:233282 --enddatetime 2017-10-11T19:04:54 --enforcementcount 0 &gt;&gt;%USERPROFILE%\Documents\GitHub\eaglep3-reporting\EC\2017-10-11-refined-times.txt</v>
      </c>
      <c r="AI124" s="96" t="str">
        <f t="shared" ref="AI124" si="16"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{"issue":{"subject":"","project_id":79,"tracker_id":40,"status_id":1,"priority_id":2,"assigned_to_id":338,"start_date":"2017-10-11","description":"","custom_fields":[{"id":1,"name":"Subdivision","value":"EC"},{"id":4,"name":"Milepost","value":"0.0158"},{"id":17,"name":"Train ID","value":"212-11"},{"id":16,"name":"Locomotive ID","value":"4015"},{"id":130,"name":"Impact","value":""},{"id":150,"name":"Time of Event (Mountain Time)","value":"19:04:54"},{"id":151,"name":"Denver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ref="AM124" si="17">"start /low /b "&amp;dls3logs&amp;" --loco "&amp;B124&amp;" --day "&amp;TEXT(F124,"YYYY-MM-DD")</f>
        <v>start /low /b %USERPROFILE%\Documents\GitHub\eaglep3\Utilities\DownloadLogsFromS3.py --loco 4015 --day 2017-10-11</v>
      </c>
      <c r="AN124" s="151" t="str">
        <f t="shared" ref="AN124" si="18">"echo {""issue"":{""subject"":"""&amp;R124&amp;""",""project_id"":30,""tracker_id"":4,""status_id"":"&amp;redmine_status_wcr&amp;",""priority_id"":"&amp;redmine_priority_wcr&amp;",""assigned_to_id"":"&amp;redmine_assignee_wcr&amp;",""start_date"":"""&amp;TEXT(I124-utc_offset/24,"YYYY-mm-dd")&amp;""",""description"":"""&amp;AJ124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ref="AO124" si="19"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Message%20ID',Summary),filters:!(),index:'emp_*',interval:auto,query:"&amp;"(query_string:(analyze_wildcard:!t,query:'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-11T16:23:40-0600',mode:absolute,to:'2017-10-11T20:04:54-0600'))&amp;_a=(columns:!('Message%20ID',Summary),filters:!(),index:'emp_*',interval:auto,query:(query_string:(analyze_wildcard:!t,query:'%22rtdc.l.rtdc.4015%22')),sort:!(Time.ISO8601,asc))</v>
      </c>
    </row>
    <row r="125" spans="1:91" s="20" customFormat="1" x14ac:dyDescent="0.3">
      <c r="A125" s="32" t="s">
        <v>777</v>
      </c>
      <c r="B125" s="7">
        <v>4014</v>
      </c>
      <c r="C125" s="21" t="s">
        <v>194</v>
      </c>
      <c r="D125" s="21" t="s">
        <v>375</v>
      </c>
      <c r="E125" s="13">
        <v>43019.735648148147</v>
      </c>
      <c r="F125" s="13">
        <v>43019.739814814813</v>
      </c>
      <c r="G125" s="7">
        <v>100</v>
      </c>
      <c r="H125" s="21" t="s">
        <v>548</v>
      </c>
      <c r="I125" s="13">
        <v>43019.764317129629</v>
      </c>
      <c r="J125" s="7">
        <v>0</v>
      </c>
      <c r="K125" s="89" t="str">
        <f>IF(ISEVEN(B125),(B125-1)&amp;"/"&amp;B125,B125&amp;"/"&amp;(B125+1))</f>
        <v>4013/4014</v>
      </c>
      <c r="L125" s="185" t="str">
        <f>VLOOKUP(A125,'Trips&amp;Operators'!$C$1:$G$99911,5,FALSE)</f>
        <v>DUNCAN SHEILA</v>
      </c>
      <c r="M125" s="6">
        <f>I125-F125</f>
        <v>2.4502314816345461E-2</v>
      </c>
      <c r="N125" s="7">
        <f>24*60*SUM($M125:$M125)</f>
        <v>35.283333335537463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-11T16:39:20-0600',mode:absolute,to:'2017-10-11T19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4.6600000000000003E-2</v>
      </c>
      <c r="Z125" s="204">
        <f>RIGHT(H125,LEN(H125)-4)/10000</f>
        <v>23.339300000000001</v>
      </c>
      <c r="AA125" s="204">
        <f>ABS(Z125-Y125)</f>
        <v>23.2927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/stypes="app*4014*20171012*"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213-11 --locoid 4014 --swversion DE.1.0.9.0 --startMP 204:466 --initTime 2017-10-11T17:39:20 --startdatetime 2017-10-11T17:45:20 --delay 100 --endMP 204:233393 --enddatetime 2017-10-11T18:20:37 --enforcementcount 0 &gt;&gt;%USERPROFILE%\Documents\GitHub\eaglep3-reporting\EC\2017-10-11-refined-times.txt</v>
      </c>
      <c r="AI125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{"issue":{"subject":"","project_id":79,"tracker_id":40,"status_id":1,"priority_id":2,"assigned_to_id":338,"start_date":"2017-10-11","description":"","custom_fields":[{"id":1,"name":"Subdivision","value":"EC"},{"id":4,"name":"Milepost","value":"23.3393"},{"id":17,"name":"Train ID","value":"213-11"},{"id":16,"name":"Locomotive ID","value":"4014"},{"id":130,"name":"Impact","value":""},{"id":150,"name":"Time of Event (Mountain Time)","value":"18:20:37"},{"id":151,"name":"Denver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4014 --day 2017-10-11</v>
      </c>
      <c r="AN125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-11T16:39:20-0600',mode:absolute,to:'2017-10-11T19:20:37-0600'))&amp;_a=(columns:!('Message%20ID',Summary),filters:!(),index:'emp_*',interval:auto,query:(query_string:(analyze_wildcard:!t,query:'%22rtdc.l.rtdc.4014%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788</v>
      </c>
      <c r="B126" s="7">
        <v>4013</v>
      </c>
      <c r="C126" s="21" t="s">
        <v>194</v>
      </c>
      <c r="D126" s="21" t="s">
        <v>869</v>
      </c>
      <c r="E126" s="13">
        <v>43019.773217592592</v>
      </c>
      <c r="F126" s="13">
        <v>43019.779340277775</v>
      </c>
      <c r="G126" s="7">
        <v>66</v>
      </c>
      <c r="H126" s="21" t="s">
        <v>335</v>
      </c>
      <c r="I126" s="13">
        <v>43019.8049537037</v>
      </c>
      <c r="J126" s="7">
        <v>0</v>
      </c>
      <c r="K126" s="89" t="str">
        <f>IF(ISEVEN(B126),(B126-1)&amp;"/"&amp;B126,B126&amp;"/"&amp;(B126+1))</f>
        <v>4013/4014</v>
      </c>
      <c r="L126" s="185" t="str">
        <f>VLOOKUP(A126,'Trips&amp;Operators'!$C$1:$G$99911,5,FALSE)</f>
        <v>DUNCAN SHEILA</v>
      </c>
      <c r="M126" s="6">
        <f>I126-F126</f>
        <v>2.5613425925257616E-2</v>
      </c>
      <c r="N126" s="7">
        <f>24*60*SUM($M126:$M126)</f>
        <v>36.883333332370967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-11T17:33:26-0600',mode:absolute,to:'2017-10-11T20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23.307600000000001</v>
      </c>
      <c r="Z126" s="204">
        <f>RIGHT(H126,LEN(H126)-4)/10000</f>
        <v>1.4999999999999999E-2</v>
      </c>
      <c r="AA126" s="204">
        <f>ABS(Z126-Y126)</f>
        <v>23.2926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/stypes="app*4013*20171012*"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214-11 --locoid 4013 --swversion DE.1.0.9.0 --startMP 204:233076 --initTime 2017-10-11T18:33:26 --startdatetime 2017-10-11T18:42:15 --delay 66 --endMP 204:150 --enddatetime 2017-10-11T19:19:08 --enforcementcount 0 &gt;&gt;%USERPROFILE%\Documents\GitHub\eaglep3-reporting\EC\2017-10-11-refined-times.txt</v>
      </c>
      <c r="AI126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{"issue":{"subject":"","project_id":79,"tracker_id":40,"status_id":1,"priority_id":2,"assigned_to_id":338,"start_date":"2017-10-11","description":"","custom_fields":[{"id":1,"name":"Subdivision","value":"EC"},{"id":4,"name":"Milepost","value":"0.015"},{"id":17,"name":"Train ID","value":"214-11"},{"id":16,"name":"Locomotive ID","value":"4013"},{"id":130,"name":"Impact","value":""},{"id":150,"name":"Time of Event (Mountain Time)","value":"19:19:08"},{"id":151,"name":"Denver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4013 --day 2017-10-11</v>
      </c>
      <c r="AN126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-10-11T17:33:26-0600',mode:absolute,to:'2017-10-11T20:19:08-0600'))&amp;_a=(columns:!('Message%20ID',Summary),filters:!(),index:'emp_*',interval:auto,query:(query_string:(analyze_wildcard:!t,query:'%22rtdc.l.rtdc.4013%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778</v>
      </c>
      <c r="B127" s="7">
        <v>4008</v>
      </c>
      <c r="C127" s="21" t="s">
        <v>194</v>
      </c>
      <c r="D127" s="21" t="s">
        <v>354</v>
      </c>
      <c r="E127" s="13">
        <v>43019.74591435185</v>
      </c>
      <c r="F127" s="13">
        <v>43019.750405092593</v>
      </c>
      <c r="G127" s="7">
        <v>64</v>
      </c>
      <c r="H127" s="21" t="s">
        <v>445</v>
      </c>
      <c r="I127" s="13">
        <v>43019.775659722225</v>
      </c>
      <c r="J127" s="7">
        <v>0</v>
      </c>
      <c r="K127" s="89" t="str">
        <f>IF(ISEVEN(B127),(B127-1)&amp;"/"&amp;B127,B127&amp;"/"&amp;(B127+1))</f>
        <v>4007/4008</v>
      </c>
      <c r="L127" s="185" t="str">
        <f>VLOOKUP(A127,'Trips&amp;Operators'!$C$1:$G$99911,5,FALSE)</f>
        <v>KILLION DAVID</v>
      </c>
      <c r="M127" s="6">
        <f>I127-F127</f>
        <v>2.5254629632399883E-2</v>
      </c>
      <c r="N127" s="7">
        <f>24*60*SUM($M127:$M127)</f>
        <v>36.366666670655832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-11T16:54:07-0600',mode:absolute,to:'2017-10-11T19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4.58E-2</v>
      </c>
      <c r="Z127" s="204">
        <f>RIGHT(H127,LEN(H127)-4)/10000</f>
        <v>23.331600000000002</v>
      </c>
      <c r="AA127" s="204">
        <f>ABS(Z127-Y127)</f>
        <v>23.285800000000002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/stypes="app*4008*20171012*"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215-11 --locoid 4008 --swversion DE.1.0.9.0 --startMP 204:458 --initTime 2017-10-11T17:54:07 --startdatetime 2017-10-11T18:00:35 --delay 64 --endMP 204:233316 --enddatetime 2017-10-11T18:36:57 --enforcementcount 0 &gt;&gt;%USERPROFILE%\Documents\GitHub\eaglep3-reporting\EC\2017-10-11-refined-times.txt</v>
      </c>
      <c r="AI127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{"issue":{"subject":"","project_id":79,"tracker_id":40,"status_id":1,"priority_id":2,"assigned_to_id":338,"start_date":"2017-10-11","description":"","custom_fields":[{"id":1,"name":"Subdivision","value":"EC"},{"id":4,"name":"Milepost","value":"23.3316"},{"id":17,"name":"Train ID","value":"215-11"},{"id":16,"name":"Locomotive ID","value":"4008"},{"id":130,"name":"Impact","value":""},{"id":150,"name":"Time of Event (Mountain Time)","value":"18:36:57"},{"id":151,"name":"Denver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4008 --day 2017-10-11</v>
      </c>
      <c r="AN127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-11T16:54:07-0600',mode:absolute,to:'2017-10-11T19:36:57-0600'))&amp;_a=(columns:!('Message%20ID',Summary),filters:!(),index:'emp_*',interval:auto,query:(query_string:(analyze_wildcard:!t,query:'%22rtdc.l.rtdc.4008%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790</v>
      </c>
      <c r="B128" s="7">
        <v>4007</v>
      </c>
      <c r="C128" s="21" t="s">
        <v>194</v>
      </c>
      <c r="D128" s="21" t="s">
        <v>398</v>
      </c>
      <c r="E128" s="13">
        <v>43019.781111111108</v>
      </c>
      <c r="F128" s="13">
        <v>43019.79</v>
      </c>
      <c r="G128" s="7">
        <v>61</v>
      </c>
      <c r="H128" s="21" t="s">
        <v>336</v>
      </c>
      <c r="I128" s="13">
        <v>43019.816377314812</v>
      </c>
      <c r="J128" s="7">
        <v>0</v>
      </c>
      <c r="K128" s="89" t="str">
        <f>IF(ISEVEN(B128),(B128-1)&amp;"/"&amp;B128,B128&amp;"/"&amp;(B128+1))</f>
        <v>4007/4008</v>
      </c>
      <c r="L128" s="185" t="str">
        <f>VLOOKUP(A128,'Trips&amp;Operators'!$C$1:$G$99911,5,FALSE)</f>
        <v>KILLION DAVID</v>
      </c>
      <c r="M128" s="6">
        <f>I128-F128</f>
        <v>2.6377314810815733E-2</v>
      </c>
      <c r="N128" s="7">
        <f>24*60*SUM($M128:$M128)</f>
        <v>37.983333327574655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-11T17:44:48-0600',mode:absolute,to:'2017-10-11T20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23.299199999999999</v>
      </c>
      <c r="Z128" s="204">
        <f>RIGHT(H128,LEN(H128)-4)/10000</f>
        <v>1.49E-2</v>
      </c>
      <c r="AA128" s="204">
        <f>ABS(Z128-Y128)</f>
        <v>23.284299999999998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s3://rtdc.mdm.uploadarchive.raw/RTDC4007/ "%USERPROFILE%\AppData\Local\Temp\OnboardLogs"\RTDC4007\2017-10-11 --exclude "*" --recursive --include "*20171011*" &amp; "%USERPROFILE%\Documents\GitHub\mrs-test-scripts\Headless Mode &amp; Sideloading\WalkAndUnGZ.bat" "%USERPROFILE%\AppData\Local\Temp\OnboardLogs"\RTDC4007\2017-10-11 &amp; aws s3 cp s3://rtdc.mdm.uploadarchive.raw/RTDC4007/ "%USERPROFILE%\AppData\Local\Temp\OnboardLogs"\RTDC4007\2017-10-12 --exclude "*" --recursive --include "*20171012*" &amp; "%USERPROFILE%\Documents\GitHub\mrs-test-scripts\Headless Mode &amp; Sideloading\WalkAndUnGZ.bat" "%USERPROFILE%\AppData\Local\Temp\OnboardLogs"\RTDC4007\2017-10-12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/stypes="app*4007*20171012*"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216-11 --locoid 4007 --swversion DE.1.0.9.0 --startMP 204:232992 --initTime 2017-10-11T18:44:48 --startdatetime 2017-10-11T18:57:36 --delay 61 --endMP 204:149 --enddatetime 2017-10-11T19:35:35 --enforcementcount 0 &gt;&gt;%USERPROFILE%\Documents\GitHub\eaglep3-reporting\EC\2017-10-11-refined-times.txt</v>
      </c>
      <c r="AI128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{"issue":{"subject":"","project_id":79,"tracker_id":40,"status_id":1,"priority_id":2,"assigned_to_id":338,"start_date":"2017-10-11","description":"","custom_fields":[{"id":1,"name":"Subdivision","value":"EC"},{"id":4,"name":"Milepost","value":"0.0149"},{"id":17,"name":"Train ID","value":"216-11"},{"id":16,"name":"Locomotive ID","value":"4007"},{"id":130,"name":"Impact","value":""},{"id":150,"name":"Time of Event (Mountain Time)","value":"19:35:35"},{"id":151,"name":"Denver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4007 --day 2017-10-11</v>
      </c>
      <c r="AN128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-11T17:44:48-0600',mode:absolute,to:'2017-10-11T20:35:35-0600'))&amp;_a=(columns:!('Message%20ID',Summary),filters:!(),index:'emp_*',interval:auto,query:(query_string:(analyze_wildcard:!t,query:'%22rtdc.l.rtdc.4007%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783</v>
      </c>
      <c r="B129" s="7">
        <v>4032</v>
      </c>
      <c r="C129" s="21" t="s">
        <v>194</v>
      </c>
      <c r="D129" s="21" t="s">
        <v>394</v>
      </c>
      <c r="E129" s="13">
        <v>43019.755856481483</v>
      </c>
      <c r="F129" s="13">
        <v>43019.760729166665</v>
      </c>
      <c r="G129" s="7">
        <v>93</v>
      </c>
      <c r="H129" s="21" t="s">
        <v>537</v>
      </c>
      <c r="I129" s="13">
        <v>43019.785405092596</v>
      </c>
      <c r="J129" s="7">
        <v>0</v>
      </c>
      <c r="K129" s="89" t="str">
        <f>IF(ISEVEN(B129),(B129-1)&amp;"/"&amp;B129,B129&amp;"/"&amp;(B129+1))</f>
        <v>4031/4032</v>
      </c>
      <c r="L129" s="185" t="str">
        <f>VLOOKUP(A129,'Trips&amp;Operators'!$C$1:$G$99911,5,FALSE)</f>
        <v>LOZA FIDEL</v>
      </c>
      <c r="M129" s="6">
        <f>I129-F129</f>
        <v>2.4675925931660458E-2</v>
      </c>
      <c r="N129" s="7">
        <f>24*60*SUM($M129:$M129)</f>
        <v>35.53333334159106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-11T17:08:26-0600',mode:absolute,to:'2017-10-11T19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4.7300000000000002E-2</v>
      </c>
      <c r="Z129" s="204">
        <f>RIGHT(H129,LEN(H129)-4)/10000</f>
        <v>23.331</v>
      </c>
      <c r="AA129" s="204">
        <f>ABS(Z129-Y129)</f>
        <v>23.2837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/stypes="app*4032*20171012*" /stext=" 00:.+((SYSTEM_STATE.+slice.+state.+changed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217-11 --locoid 4032 --swversion DE.1.0.9.0 --startMP 204:473 --initTime 2017-10-11T18:08:26 --startdatetime 2017-10-11T18:15:27 --delay 93 --endMP 204:233310 --enddatetime 2017-10-11T18:50:59 --enforcementcount 0 &gt;&gt;%USERPROFILE%\Documents\GitHub\eaglep3-reporting\EC\2017-10-11-refined-times.txt</v>
      </c>
      <c r="AI129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{"issue":{"subject":"","project_id":79,"tracker_id":40,"status_id":1,"priority_id":2,"assigned_to_id":338,"start_date":"2017-10-11","description":"","custom_fields":[{"id":1,"name":"Subdivision","value":"EC"},{"id":4,"name":"Milepost","value":"23.331"},{"id":17,"name":"Train ID","value":"217-11"},{"id":16,"name":"Locomotive ID","value":"4032"},{"id":130,"name":"Impact","value":""},{"id":150,"name":"Time of Event (Mountain Time)","value":"18:50:59"},{"id":151,"name":"Denver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4032 --day 2017-10-11</v>
      </c>
      <c r="AN129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-10-11T17:08:26-0600',mode:absolute,to:'2017-10-11T19:50:59-0600'))&amp;_a=(columns:!('Message%20ID',Summary),filters:!(),index:'emp_*',interval:auto,query:(query_string:(analyze_wildcard:!t,query:'%22rtdc.l.rtdc.4032%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794</v>
      </c>
      <c r="B130" s="7">
        <v>4031</v>
      </c>
      <c r="C130" s="21" t="s">
        <v>194</v>
      </c>
      <c r="D130" s="21" t="s">
        <v>540</v>
      </c>
      <c r="E130" s="13">
        <v>43019.796655092592</v>
      </c>
      <c r="F130" s="13">
        <v>43019.800254629627</v>
      </c>
      <c r="G130" s="7">
        <v>149</v>
      </c>
      <c r="H130" s="21" t="s">
        <v>337</v>
      </c>
      <c r="I130" s="13">
        <v>43019.82608796296</v>
      </c>
      <c r="J130" s="7">
        <v>0</v>
      </c>
      <c r="K130" s="89" t="str">
        <f>IF(ISEVEN(B130),(B130-1)&amp;"/"&amp;B130,B130&amp;"/"&amp;(B130+1))</f>
        <v>4031/4032</v>
      </c>
      <c r="L130" s="185" t="str">
        <f>VLOOKUP(A130,'Trips&amp;Operators'!$C$1:$G$99911,5,FALSE)</f>
        <v>LOZA FIDEL</v>
      </c>
      <c r="M130" s="6">
        <f>I130-F130</f>
        <v>2.5833333333139308E-2</v>
      </c>
      <c r="N130" s="7">
        <f>24*60*SUM($M130:$M130)</f>
        <v>37.199999999720603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-11T18:07:11-0600',mode:absolute,to:'2017-10-11T20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23.299800000000001</v>
      </c>
      <c r="Z130" s="204">
        <f>RIGHT(H130,LEN(H130)-4)/10000</f>
        <v>1.43E-2</v>
      </c>
      <c r="AA130" s="204">
        <f>ABS(Z130-Y130)</f>
        <v>23.285500000000003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/stypes="app*4031*20171012*"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218-11 --locoid 4031 --swversion DE.1.0.9.0 --startMP 204:232998 --initTime 2017-10-11T19:07:11 --startdatetime 2017-10-11T19:12:22 --delay 149 --endMP 204:143 --enddatetime 2017-10-11T19:49:34 --enforcementcount 0 &gt;&gt;%USERPROFILE%\Documents\GitHub\eaglep3-reporting\EC\2017-10-11-refined-times.txt</v>
      </c>
      <c r="AI130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{"issue":{"subject":"","project_id":79,"tracker_id":40,"status_id":1,"priority_id":2,"assigned_to_id":338,"start_date":"2017-10-11","description":"","custom_fields":[{"id":1,"name":"Subdivision","value":"EC"},{"id":4,"name":"Milepost","value":"0.0143"},{"id":17,"name":"Train ID","value":"218-11"},{"id":16,"name":"Locomotive ID","value":"4031"},{"id":130,"name":"Impact","value":""},{"id":150,"name":"Time of Event (Mountain Time)","value":"19:49:34"},{"id":151,"name":"Denver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4031 --day 2017-10-11</v>
      </c>
      <c r="AN130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-10-11T18:07:11-0600',mode:absolute,to:'2017-10-11T20:49:34-0600'))&amp;_a=(columns:!('Message%20ID',Summary),filters:!(),index:'emp_*',interval:auto,query:(query_string:(analyze_wildcard:!t,query:'%22rtdc.l.rtdc.4031%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784</v>
      </c>
      <c r="B131" s="7">
        <v>4036</v>
      </c>
      <c r="C131" s="21" t="s">
        <v>194</v>
      </c>
      <c r="D131" s="21" t="s">
        <v>338</v>
      </c>
      <c r="E131" s="13">
        <v>43019.766736111109</v>
      </c>
      <c r="F131" s="13">
        <v>43019.771018518521</v>
      </c>
      <c r="G131" s="7">
        <v>84</v>
      </c>
      <c r="H131" s="21" t="s">
        <v>528</v>
      </c>
      <c r="I131" s="13">
        <v>43019.796331018515</v>
      </c>
      <c r="J131" s="7">
        <v>0</v>
      </c>
      <c r="K131" s="89" t="str">
        <f>IF(ISEVEN(B131),(B131-1)&amp;"/"&amp;B131,B131&amp;"/"&amp;(B131+1))</f>
        <v>4035/4036</v>
      </c>
      <c r="L131" s="185" t="str">
        <f>VLOOKUP(A131,'Trips&amp;Operators'!$C$1:$G$99911,5,FALSE)</f>
        <v>LOPES KIMBERLY</v>
      </c>
      <c r="M131" s="6">
        <f>I131-F131</f>
        <v>2.5312499994470272E-2</v>
      </c>
      <c r="N131" s="7">
        <f>24*60*SUM($M131:$M131)</f>
        <v>36.449999992037192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-11T17:24:06-0600',mode:absolute,to:'2017-10-11T20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4.53E-2</v>
      </c>
      <c r="Z131" s="204">
        <f>RIGHT(H131,LEN(H131)-4)/10000</f>
        <v>23.332000000000001</v>
      </c>
      <c r="AA131" s="204">
        <f>ABS(Z131-Y131)</f>
        <v>23.2867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/stypes="app*4036*20171012*"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219-11 --locoid 4036 --swversion DE.1.0.9.0 --startMP 204:453 --initTime 2017-10-11T18:24:06 --startdatetime 2017-10-11T18:30:16 --delay 84 --endMP 204:233320 --enddatetime 2017-10-11T19:06:43 --enforcementcount 0 &gt;&gt;%USERPROFILE%\Documents\GitHub\eaglep3-reporting\EC\2017-10-11-refined-times.txt</v>
      </c>
      <c r="AI131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{"issue":{"subject":"","project_id":79,"tracker_id":40,"status_id":1,"priority_id":2,"assigned_to_id":338,"start_date":"2017-10-11","description":"","custom_fields":[{"id":1,"name":"Subdivision","value":"EC"},{"id":4,"name":"Milepost","value":"23.332"},{"id":17,"name":"Train ID","value":"219-11"},{"id":16,"name":"Locomotive ID","value":"4036"},{"id":130,"name":"Impact","value":""},{"id":150,"name":"Time of Event (Mountain Time)","value":"19:06:43"},{"id":151,"name":"Denver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4036 --day 2017-10-11</v>
      </c>
      <c r="AN131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-10-11T17:24:06-0600',mode:absolute,to:'2017-10-11T20:06:43-0600'))&amp;_a=(columns:!('Message%20ID',Summary),filters:!(),index:'emp_*',interval:auto,query:(query_string:(analyze_wildcard:!t,query:'%22rtdc.l.rtdc.4036%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796</v>
      </c>
      <c r="B132" s="7">
        <v>4035</v>
      </c>
      <c r="C132" s="21" t="s">
        <v>194</v>
      </c>
      <c r="D132" s="21" t="s">
        <v>533</v>
      </c>
      <c r="E132" s="13">
        <v>43019.802291666667</v>
      </c>
      <c r="F132" s="13">
        <v>43019.810590277775</v>
      </c>
      <c r="G132" s="7">
        <v>125</v>
      </c>
      <c r="H132" s="21" t="s">
        <v>374</v>
      </c>
      <c r="I132" s="13">
        <v>43019.837013888886</v>
      </c>
      <c r="J132" s="7">
        <v>0</v>
      </c>
      <c r="K132" s="89" t="str">
        <f>IF(ISEVEN(B132),(B132-1)&amp;"/"&amp;B132,B132&amp;"/"&amp;(B132+1))</f>
        <v>4035/4036</v>
      </c>
      <c r="L132" s="185" t="str">
        <f>VLOOKUP(A132,'Trips&amp;Operators'!$C$1:$G$99911,5,FALSE)</f>
        <v>LOPES KIMBERLY</v>
      </c>
      <c r="M132" s="6">
        <f>I132-F132</f>
        <v>2.6423611110658385E-2</v>
      </c>
      <c r="N132" s="7">
        <f>24*60*SUM($M132:$M132)</f>
        <v>38.049999999348074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-11T18:15:18-0600',mode:absolute,to:'2017-10-11T21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23.3003</v>
      </c>
      <c r="Z132" s="204">
        <f>RIGHT(H132,LEN(H132)-4)/10000</f>
        <v>1.54E-2</v>
      </c>
      <c r="AA132" s="204">
        <f>ABS(Z132-Y132)</f>
        <v>23.2849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/stypes="app*4035*20171012*"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220-11 --locoid 4035 --swversion DE.1.0.9.0 --startMP 204:233003 --initTime 2017-10-11T19:15:18 --startdatetime 2017-10-11T19:27:15 --delay 125 --endMP 204:154 --enddatetime 2017-10-11T20:05:18 --enforcementcount 0 &gt;&gt;%USERPROFILE%\Documents\GitHub\eaglep3-reporting\EC\2017-10-11-refined-times.txt</v>
      </c>
      <c r="AI132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{"issue":{"subject":"","project_id":79,"tracker_id":40,"status_id":1,"priority_id":2,"assigned_to_id":338,"start_date":"2017-10-11","description":"","custom_fields":[{"id":1,"name":"Subdivision","value":"EC"},{"id":4,"name":"Milepost","value":"0.0154"},{"id":17,"name":"Train ID","value":"220-11"},{"id":16,"name":"Locomotive ID","value":"4035"},{"id":130,"name":"Impact","value":""},{"id":150,"name":"Time of Event (Mountain Time)","value":"20:05:18"},{"id":151,"name":"Denver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4035 --day 2017-10-11</v>
      </c>
      <c r="AN132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02:05:18"},{"id":29,"name":"Sharepoint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-11T18:15:18-0600',mode:absolute,to:'2017-10-11T21:05:18-0600'))&amp;_a=(columns:!('Message%20ID',Summary),filters:!(),index:'emp_*',interval:auto,query:(query_string:(analyze_wildcard:!t,query:'%22rtdc.l.rtdc.4035%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791</v>
      </c>
      <c r="B133" s="7">
        <v>4046</v>
      </c>
      <c r="C133" s="21" t="s">
        <v>194</v>
      </c>
      <c r="D133" s="21" t="s">
        <v>363</v>
      </c>
      <c r="E133" s="13">
        <v>43019.786238425928</v>
      </c>
      <c r="F133" s="13">
        <v>43019.791909722226</v>
      </c>
      <c r="G133" s="7">
        <v>101</v>
      </c>
      <c r="H133" s="21" t="s">
        <v>529</v>
      </c>
      <c r="I133" s="13">
        <v>43019.816712962966</v>
      </c>
      <c r="J133" s="7">
        <v>0</v>
      </c>
      <c r="K133" s="89" t="str">
        <f>IF(ISEVEN(B133),(B133-1)&amp;"/"&amp;B133,B133&amp;"/"&amp;(B133+1))</f>
        <v>4045/4046</v>
      </c>
      <c r="L133" s="185" t="str">
        <f>VLOOKUP(A133,'Trips&amp;Operators'!$C$1:$G$99911,5,FALSE)</f>
        <v>ANDERS STEVEN</v>
      </c>
      <c r="M133" s="6">
        <f>I133-F133</f>
        <v>2.4803240739856847E-2</v>
      </c>
      <c r="N133" s="7">
        <f>24*60*SUM($M133:$M133)</f>
        <v>35.716666665393859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-11T17:52:11-0600',mode:absolute,to:'2017-10-11T20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4.5999999999999999E-2</v>
      </c>
      <c r="Z133" s="204">
        <f>RIGHT(H133,LEN(H133)-4)/10000</f>
        <v>23.330400000000001</v>
      </c>
      <c r="AA133" s="204">
        <f>ABS(Z133-Y133)</f>
        <v>23.284400000000002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/stypes="app*4046*20171012*"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221-11 --locoid 4046 --swversion DE.1.0.9.0 --startMP 204:460 --initTime 2017-10-11T18:52:11 --startdatetime 2017-10-11T19:00:21 --delay 101 --endMP 204:233304 --enddatetime 2017-10-11T19:36:04 --enforcementcount 0 &gt;&gt;%USERPROFILE%\Documents\GitHub\eaglep3-reporting\EC\2017-10-11-refined-times.txt</v>
      </c>
      <c r="AI133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{"issue":{"subject":"","project_id":79,"tracker_id":40,"status_id":1,"priority_id":2,"assigned_to_id":338,"start_date":"2017-10-11","description":"","custom_fields":[{"id":1,"name":"Subdivision","value":"EC"},{"id":4,"name":"Milepost","value":"23.3304"},{"id":17,"name":"Train ID","value":"221-11"},{"id":16,"name":"Locomotive ID","value":"4046"},{"id":130,"name":"Impact","value":""},{"id":150,"name":"Time of Event (Mountain Time)","value":"19:36:04"},{"id":151,"name":"Denver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4046 --day 2017-10-11</v>
      </c>
      <c r="AN133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-11T17:52:11-0600',mode:absolute,to:'2017-10-11T20:36:04-0600'))&amp;_a=(columns:!('Message%20ID',Summary),filters:!(),index:'emp_*',interval:auto,query:(query_string:(analyze_wildcard:!t,query:'%22rtdc.l.rtdc.4046%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800</v>
      </c>
      <c r="B134" s="7">
        <v>4045</v>
      </c>
      <c r="C134" s="21" t="s">
        <v>194</v>
      </c>
      <c r="D134" s="21" t="s">
        <v>481</v>
      </c>
      <c r="E134" s="13">
        <v>43019.829513888886</v>
      </c>
      <c r="F134" s="13">
        <v>43019.83148148148</v>
      </c>
      <c r="G134" s="7">
        <v>62</v>
      </c>
      <c r="H134" s="21" t="s">
        <v>406</v>
      </c>
      <c r="I134" s="13">
        <v>43019.858020833337</v>
      </c>
      <c r="J134" s="7">
        <v>0</v>
      </c>
      <c r="K134" s="89" t="str">
        <f>IF(ISEVEN(B134),(B134-1)&amp;"/"&amp;B134,B134&amp;"/"&amp;(B134+1))</f>
        <v>4045/4046</v>
      </c>
      <c r="L134" s="185" t="str">
        <f>VLOOKUP(A134,'Trips&amp;Operators'!$C$1:$G$99911,5,FALSE)</f>
        <v>ANDERS STEVEN</v>
      </c>
      <c r="M134" s="6">
        <f>I134-F134</f>
        <v>2.6539351856627036E-2</v>
      </c>
      <c r="N134" s="7">
        <f>24*60*SUM($M134:$M134)</f>
        <v>38.216666673542932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-11T18:54:30-0600',mode:absolute,to:'2017-10-11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23.299399999999999</v>
      </c>
      <c r="Z134" s="204">
        <f>RIGHT(H134,LEN(H134)-4)/10000</f>
        <v>1.6E-2</v>
      </c>
      <c r="AA134" s="204">
        <f>ABS(Z134-Y134)</f>
        <v>23.2834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/stypes="app*4045*20171012*"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222-11 --locoid 4045 --swversion DE.1.0.9.0 --startMP 204:232994 --initTime 2017-10-11T19:54:30 --startdatetime 2017-10-11T19:57:20 --delay 62 --endMP 204:160 --enddatetime 2017-10-11T20:35:33 --enforcementcount 0 &gt;&gt;%USERPROFILE%\Documents\GitHub\eaglep3-reporting\EC\2017-10-11-refined-times.txt</v>
      </c>
      <c r="AI134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{"issue":{"subject":"","project_id":79,"tracker_id":40,"status_id":1,"priority_id":2,"assigned_to_id":338,"start_date":"2017-10-11","description":"","custom_fields":[{"id":1,"name":"Subdivision","value":"EC"},{"id":4,"name":"Milepost","value":"0.016"},{"id":17,"name":"Train ID","value":"222-11"},{"id":16,"name":"Locomotive ID","value":"4045"},{"id":130,"name":"Impact","value":""},{"id":150,"name":"Time of Event (Mountain Time)","value":"20:35:33"},{"id":151,"name":"Denver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4045 --day 2017-10-11</v>
      </c>
      <c r="AN134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-11T18:54:30-0600',mode:absolute,to:'2017-10-11T21:35:33-0600'))&amp;_a=(columns:!('Message%20ID',Summary),filters:!(),index:'emp_*',interval:auto,query:(query_string:(analyze_wildcard:!t,query:'%22rtdc.l.rtdc.4045%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797</v>
      </c>
      <c r="B135" s="7">
        <v>4014</v>
      </c>
      <c r="C135" s="21" t="s">
        <v>194</v>
      </c>
      <c r="D135" s="21" t="s">
        <v>536</v>
      </c>
      <c r="E135" s="13">
        <v>43019.808252314811</v>
      </c>
      <c r="F135" s="13">
        <v>43019.812650462962</v>
      </c>
      <c r="G135" s="7">
        <v>46</v>
      </c>
      <c r="H135" s="21" t="s">
        <v>855</v>
      </c>
      <c r="I135" s="13">
        <v>43019.83803240741</v>
      </c>
      <c r="J135" s="7">
        <v>0</v>
      </c>
      <c r="K135" s="89" t="str">
        <f>IF(ISEVEN(B135),(B135-1)&amp;"/"&amp;B135,B135&amp;"/"&amp;(B135+1))</f>
        <v>4013/4014</v>
      </c>
      <c r="L135" s="185" t="str">
        <f>VLOOKUP(A135,'Trips&amp;Operators'!$C$1:$G$99911,5,FALSE)</f>
        <v>DUNCAN SHEILA</v>
      </c>
      <c r="M135" s="6">
        <f>I135-F135</f>
        <v>2.5381944447872229E-2</v>
      </c>
      <c r="N135" s="7">
        <f>24*60*SUM($M135:$M135)</f>
        <v>36.55000000493601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-11T18:23:53-0600',mode:absolute,to:'2017-10-11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4.9099999999999998E-2</v>
      </c>
      <c r="Z135" s="204">
        <f>RIGHT(H135,LEN(H135)-4)/10000</f>
        <v>23.335100000000001</v>
      </c>
      <c r="AA135" s="204">
        <f>ABS(Z135-Y135)</f>
        <v>23.286000000000001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/stypes="app*4014*20171012*"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0"/>
        <v>"%USERPROFILE%\Documents\GitHub\eaglep3\Utilities\RefineRTDCRunTimes.py" --tripid 223-11 --locoid 4014 --swversion DE.1.0.9.0 --startMP 204:491 --initTime 2017-10-11T19:23:53 --startdatetime 2017-10-11T19:30:13 --delay 46 --endMP 204:233351 --enddatetime 2017-10-11T20:06:46 --enforcementcount 0 &gt;&gt;%USERPROFILE%\Documents\GitHub\eaglep3-reporting\EC\2017-10-11-refined-times.txt</v>
      </c>
      <c r="AI135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{"issue":{"subject":"","project_id":79,"tracker_id":40,"status_id":1,"priority_id":2,"assigned_to_id":338,"start_date":"2017-10-11","description":"","custom_fields":[{"id":1,"name":"Subdivision","value":"EC"},{"id":4,"name":"Milepost","value":"23.3351"},{"id":17,"name":"Train ID","value":"223-11"},{"id":16,"name":"Locomotive ID","value":"4014"},{"id":130,"name":"Impact","value":""},{"id":150,"name":"Time of Event (Mountain Time)","value":"20:06:46"},{"id":151,"name":"Denver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2"/>
        <v>start /low /b %USERPROFILE%\Documents\GitHub\eaglep3\Utilities\DownloadLogsFromS3.py --loco 4014 --day 2017-10-11</v>
      </c>
      <c r="AN135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4"/>
        <v>https://d0f6bd738d7f1b3e5a7ca70fe4ff75f0.us-east-1.aws.found.io/app/kibana#/discover/Steve-Slow-Train-Analysis-(2080s-and-2083s)?_g=(refreshInterval:(display:Off,pause:!f,section:0,value:0),time:(from:'2017-10-11T18:23:53-0600',mode:absolute,to:'2017-10-11T21:06:46-0600'))&amp;_a=(columns:!('Message%20ID',Summary),filters:!(),index:'emp_*',interval:auto,query:(query_string:(analyze_wildcard:!t,query:'%22rtdc.l.rtdc.4014%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803</v>
      </c>
      <c r="B136" s="7">
        <v>4013</v>
      </c>
      <c r="C136" s="21" t="s">
        <v>194</v>
      </c>
      <c r="D136" s="21" t="s">
        <v>476</v>
      </c>
      <c r="E136" s="13">
        <v>43019.840358796297</v>
      </c>
      <c r="F136" s="13">
        <v>43019.852280092593</v>
      </c>
      <c r="G136" s="7">
        <v>56</v>
      </c>
      <c r="H136" s="21" t="s">
        <v>339</v>
      </c>
      <c r="I136" s="13">
        <v>43019.877638888887</v>
      </c>
      <c r="J136" s="7">
        <v>0</v>
      </c>
      <c r="K136" s="89" t="str">
        <f>IF(ISEVEN(B136),(B136-1)&amp;"/"&amp;B136,B136&amp;"/"&amp;(B136+1))</f>
        <v>4013/4014</v>
      </c>
      <c r="L136" s="185" t="str">
        <f>VLOOKUP(A136,'Trips&amp;Operators'!$C$1:$G$99911,5,FALSE)</f>
        <v>DUNCAN SHEILA</v>
      </c>
      <c r="M136" s="6">
        <f>I136-F136</f>
        <v>2.5358796294312924E-2</v>
      </c>
      <c r="N136" s="7">
        <f>24*60*SUM($M136:$M136)</f>
        <v>36.516666663810611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-11T19:10:07-0600',mode:absolute,to:'2017-10-11T22:03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23.302099999999999</v>
      </c>
      <c r="Z136" s="204">
        <f>RIGHT(H136,LEN(H136)-4)/10000</f>
        <v>1.47E-2</v>
      </c>
      <c r="AA136" s="204">
        <f>ABS(Z136-Y136)</f>
        <v>23.287399999999998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/stypes="app*4013*20171012*"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224-11 --locoid 4013 --swversion DE.1.0.9.0 --startMP 204:233021 --initTime 2017-10-11T20:10:07 --startdatetime 2017-10-11T20:27:17 --delay 56 --endMP 204:147 --enddatetime 2017-10-11T21:03:48 --enforcementcount 0 &gt;&gt;%USERPROFILE%\Documents\GitHub\eaglep3-reporting\EC\2017-10-11-refined-times.txt</v>
      </c>
      <c r="AI136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ID","value":"224-11"},{"id":16,"name":"Locomotive ID","value":"4013"},{"id":130,"name":"Impact","value":""},{"id":150,"name":"Time of Event (Mountain Time)","value":"21:03:48"},{"id":151,"name":"Denver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4013 --day 2017-10-11</v>
      </c>
      <c r="AN136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03:03:48"},{"id":29,"name":"Sharepoint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-11T19:10:07-0600',mode:absolute,to:'2017-10-11T22:03:48-0600'))&amp;_a=(columns:!('Message%20ID',Summary),filters:!(),index:'emp_*',interval:auto,query:(query_string:(analyze_wildcard:!t,query:'%22rtdc.l.rtdc.4013%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801</v>
      </c>
      <c r="B137" s="7">
        <v>4032</v>
      </c>
      <c r="C137" s="21" t="s">
        <v>194</v>
      </c>
      <c r="D137" s="21" t="s">
        <v>363</v>
      </c>
      <c r="E137" s="13">
        <v>43019.829583333332</v>
      </c>
      <c r="F137" s="13">
        <v>43019.83353009259</v>
      </c>
      <c r="G137" s="7">
        <v>74</v>
      </c>
      <c r="H137" s="21" t="s">
        <v>870</v>
      </c>
      <c r="I137" s="13">
        <v>43019.857569444444</v>
      </c>
      <c r="J137" s="7">
        <v>0</v>
      </c>
      <c r="K137" s="89" t="str">
        <f>IF(ISEVEN(B137),(B137-1)&amp;"/"&amp;B137,B137&amp;"/"&amp;(B137+1))</f>
        <v>4031/4032</v>
      </c>
      <c r="L137" s="185" t="str">
        <f>VLOOKUP(A137,'Trips&amp;Operators'!$C$1:$G$99911,5,FALSE)</f>
        <v>LOZA FIDEL</v>
      </c>
      <c r="M137" s="6">
        <f>I137-F137</f>
        <v>2.4039351854298729E-2</v>
      </c>
      <c r="N137" s="7">
        <f>24*60*SUM($M137:$M137)</f>
        <v>34.61666667019017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-11T18:54:36-0600',mode:absolute,to:'2017-10-11T21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4.5999999999999999E-2</v>
      </c>
      <c r="Z137" s="204">
        <f>RIGHT(H137,LEN(H137)-4)/10000</f>
        <v>23.3368</v>
      </c>
      <c r="AA137" s="204">
        <f>ABS(Z137-Y137)</f>
        <v>23.290800000000001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/stypes="app*4032*20171012*"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225-11 --locoid 4032 --swversion DE.1.0.9.0 --startMP 204:460 --initTime 2017-10-11T19:54:36 --startdatetime 2017-10-11T20:00:17 --delay 74 --endMP 204:233368 --enddatetime 2017-10-11T20:34:54 --enforcementcount 0 &gt;&gt;%USERPROFILE%\Documents\GitHub\eaglep3-reporting\EC\2017-10-11-refined-times.txt</v>
      </c>
      <c r="AI137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{"issue":{"subject":"","project_id":79,"tracker_id":40,"status_id":1,"priority_id":2,"assigned_to_id":338,"start_date":"2017-10-11","description":"","custom_fields":[{"id":1,"name":"Subdivision","value":"EC"},{"id":4,"name":"Milepost","value":"23.3368"},{"id":17,"name":"Train ID","value":"225-11"},{"id":16,"name":"Locomotive ID","value":"4032"},{"id":130,"name":"Impact","value":""},{"id":150,"name":"Time of Event (Mountain Time)","value":"20:34:54"},{"id":151,"name":"Denver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4032 --day 2017-10-11</v>
      </c>
      <c r="AN137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02:34:54"},{"id":29,"name":"Sharepoint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-10-11T18:54:36-0600',mode:absolute,to:'2017-10-11T21:34:54-0600'))&amp;_a=(columns:!('Message%20ID',Summary),filters:!(),index:'emp_*',interval:auto,query:(query_string:(analyze_wildcard:!t,query:'%22rtdc.l.rtdc.4032%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806</v>
      </c>
      <c r="B138" s="7">
        <v>4031</v>
      </c>
      <c r="C138" s="21" t="s">
        <v>194</v>
      </c>
      <c r="D138" s="21" t="s">
        <v>871</v>
      </c>
      <c r="E138" s="13">
        <v>43019.871087962965</v>
      </c>
      <c r="F138" s="13">
        <v>43019.873171296298</v>
      </c>
      <c r="G138" s="7">
        <v>96</v>
      </c>
      <c r="H138" s="21" t="s">
        <v>452</v>
      </c>
      <c r="I138" s="13">
        <v>43019.899305555555</v>
      </c>
      <c r="J138" s="7">
        <v>0</v>
      </c>
      <c r="K138" s="89" t="str">
        <f>IF(ISEVEN(B138),(B138-1)&amp;"/"&amp;B138,B138&amp;"/"&amp;(B138+1))</f>
        <v>4031/4032</v>
      </c>
      <c r="L138" s="185" t="str">
        <f>VLOOKUP(A138,'Trips&amp;Operators'!$C$1:$G$99911,5,FALSE)</f>
        <v>LOZA FIDEL</v>
      </c>
      <c r="M138" s="6">
        <f>I138-F138</f>
        <v>2.6134259256650694E-2</v>
      </c>
      <c r="N138" s="7">
        <f>24*60*SUM($M138:$M138)</f>
        <v>37.633333329576999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-11T19:54:22-0600',mode:absolute,to:'2017-10-11T22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23.303599999999999</v>
      </c>
      <c r="Z138" s="204">
        <f>RIGHT(H138,LEN(H138)-4)/10000</f>
        <v>1.6299999999999999E-2</v>
      </c>
      <c r="AA138" s="204">
        <f>ABS(Z138-Y138)</f>
        <v>23.287299999999998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/stypes="app*4031*20171012*"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226-11 --locoid 4031 --swversion DE.1.0.9.0 --startMP 204:233036 --initTime 2017-10-11T20:54:22 --startdatetime 2017-10-11T20:57:22 --delay 96 --endMP 204:163 --enddatetime 2017-10-11T21:35:00 --enforcementcount 0 &gt;&gt;%USERPROFILE%\Documents\GitHub\eaglep3-reporting\EC\2017-10-11-refined-times.txt</v>
      </c>
      <c r="AI138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{"issue":{"subject":"","project_id":79,"tracker_id":40,"status_id":1,"priority_id":2,"assigned_to_id":338,"start_date":"2017-10-11","description":"","custom_fields":[{"id":1,"name":"Subdivision","value":"EC"},{"id":4,"name":"Milepost","value":"0.0163"},{"id":17,"name":"Train ID","value":"226-11"},{"id":16,"name":"Locomotive ID","value":"4031"},{"id":130,"name":"Impact","value":""},{"id":150,"name":"Time of Event (Mountain Time)","value":"21:35:00"},{"id":151,"name":"Denver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4031 --day 2017-10-11</v>
      </c>
      <c r="AN138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-11T19:54:22-0600',mode:absolute,to:'2017-10-11T22:35:00-0600'))&amp;_a=(columns:!('Message%20ID',Summary),filters:!(),index:'emp_*',interval:auto,query:(query_string:(analyze_wildcard:!t,query:'%22rtdc.l.rtdc.4031%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804</v>
      </c>
      <c r="B139" s="7">
        <v>4036</v>
      </c>
      <c r="C139" s="21" t="s">
        <v>194</v>
      </c>
      <c r="D139" s="21" t="s">
        <v>345</v>
      </c>
      <c r="E139" s="13">
        <v>43019.842418981483</v>
      </c>
      <c r="F139" s="13">
        <v>43019.854409722226</v>
      </c>
      <c r="G139" s="7">
        <v>49</v>
      </c>
      <c r="H139" s="21" t="s">
        <v>872</v>
      </c>
      <c r="I139" s="13">
        <v>43019.879212962966</v>
      </c>
      <c r="J139" s="7">
        <v>0</v>
      </c>
      <c r="K139" s="89" t="str">
        <f>IF(ISEVEN(B139),(B139-1)&amp;"/"&amp;B139,B139&amp;"/"&amp;(B139+1))</f>
        <v>4035/4036</v>
      </c>
      <c r="L139" s="185" t="str">
        <f>VLOOKUP(A139,'Trips&amp;Operators'!$C$1:$G$99911,5,FALSE)</f>
        <v>LOPES KIMBERLY</v>
      </c>
      <c r="M139" s="6">
        <f>I139-F139</f>
        <v>2.4803240739856847E-2</v>
      </c>
      <c r="N139" s="7">
        <f>24*60*SUM($M139:$M139)</f>
        <v>35.716666665393859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-11T19:13:05-0600',mode:absolute,to:'2017-10-11T22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4.5499999999999999E-2</v>
      </c>
      <c r="Z139" s="204">
        <f>RIGHT(H139,LEN(H139)-4)/10000</f>
        <v>23.337399999999999</v>
      </c>
      <c r="AA139" s="204">
        <f>ABS(Z139-Y139)</f>
        <v>23.291899999999998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/stypes="app*4036*20171012*"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227-11 --locoid 4036 --swversion DE.1.0.9.0 --startMP 204:455 --initTime 2017-10-11T20:13:05 --startdatetime 2017-10-11T20:30:21 --delay 49 --endMP 204:233374 --enddatetime 2017-10-11T21:06:04 --enforcementcount 0 &gt;&gt;%USERPROFILE%\Documents\GitHub\eaglep3-reporting\EC\2017-10-11-refined-times.txt</v>
      </c>
      <c r="AI139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{"issue":{"subject":"","project_id":79,"tracker_id":40,"status_id":1,"priority_id":2,"assigned_to_id":338,"start_date":"2017-10-11","description":"","custom_fields":[{"id":1,"name":"Subdivision","value":"EC"},{"id":4,"name":"Milepost","value":"23.3374"},{"id":17,"name":"Train ID","value":"227-11"},{"id":16,"name":"Locomotive ID","value":"4036"},{"id":130,"name":"Impact","value":""},{"id":150,"name":"Time of Event (Mountain Time)","value":"21:06:04"},{"id":151,"name":"Denver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4036 --day 2017-10-11</v>
      </c>
      <c r="AN139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-10-11T19:13:05-0600',mode:absolute,to:'2017-10-11T22:06:04-0600'))&amp;_a=(columns:!('Message%20ID',Summary),filters:!(),index:'emp_*',interval:auto,query:(query_string:(analyze_wildcard:!t,query:'%22rtdc.l.rtdc.4036%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809</v>
      </c>
      <c r="B140" s="7">
        <v>4035</v>
      </c>
      <c r="C140" s="21" t="s">
        <v>194</v>
      </c>
      <c r="D140" s="21" t="s">
        <v>841</v>
      </c>
      <c r="E140" s="13">
        <v>43019.887384259258</v>
      </c>
      <c r="F140" s="13">
        <v>43019.894050925926</v>
      </c>
      <c r="G140" s="7">
        <v>64</v>
      </c>
      <c r="H140" s="21" t="s">
        <v>355</v>
      </c>
      <c r="I140" s="13">
        <v>43019.921006944445</v>
      </c>
      <c r="J140" s="7">
        <v>0</v>
      </c>
      <c r="K140" s="89" t="str">
        <f>IF(ISEVEN(B140),(B140-1)&amp;"/"&amp;B140,B140&amp;"/"&amp;(B140+1))</f>
        <v>4035/4036</v>
      </c>
      <c r="L140" s="185" t="str">
        <f>VLOOKUP(A140,'Trips&amp;Operators'!$C$1:$G$99911,5,FALSE)</f>
        <v>LOPES KIMBERLY</v>
      </c>
      <c r="M140" s="6">
        <f>I140-F140</f>
        <v>2.6956018518831115E-2</v>
      </c>
      <c r="N140" s="7">
        <f>24*60*SUM($M140:$M140)</f>
        <v>38.816666667116806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-11T20:17:50-0600',mode:absolute,to:'2017-10-11T23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23.304200000000002</v>
      </c>
      <c r="Z140" s="204">
        <f>RIGHT(H140,LEN(H140)-4)/10000</f>
        <v>1.52E-2</v>
      </c>
      <c r="AA140" s="204">
        <f>ABS(Z140-Y140)</f>
        <v>23.289000000000001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/stypes="app*4035*20171012*"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228-11 --locoid 4035 --swversion DE.1.0.9.0 --startMP 204:233042 --initTime 2017-10-11T21:17:50 --startdatetime 2017-10-11T21:27:26 --delay 64 --endMP 204:152 --enddatetime 2017-10-11T22:06:15 --enforcementcount 0 &gt;&gt;%USERPROFILE%\Documents\GitHub\eaglep3-reporting\EC\2017-10-11-refined-times.txt</v>
      </c>
      <c r="AI140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{"issue":{"subject":"","project_id":79,"tracker_id":40,"status_id":1,"priority_id":2,"assigned_to_id":338,"start_date":"2017-10-11","description":"","custom_fields":[{"id":1,"name":"Subdivision","value":"EC"},{"id":4,"name":"Milepost","value":"0.0152"},{"id":17,"name":"Train ID","value":"228-11"},{"id":16,"name":"Locomotive ID","value":"4035"},{"id":130,"name":"Impact","value":""},{"id":150,"name":"Time of Event (Mountain Time)","value":"22:06:15"},{"id":151,"name":"Denver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4035 --day 2017-10-11</v>
      </c>
      <c r="AN140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-11T20:17:50-0600',mode:absolute,to:'2017-10-11T23:06:15-0600'))&amp;_a=(columns:!('Message%20ID',Summary),filters:!(),index:'emp_*',interval:auto,query:(query_string:(analyze_wildcard:!t,query:'%22rtdc.l.rtdc.4035%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807</v>
      </c>
      <c r="B141" s="7">
        <v>4046</v>
      </c>
      <c r="C141" s="21" t="s">
        <v>194</v>
      </c>
      <c r="D141" s="21" t="s">
        <v>363</v>
      </c>
      <c r="E141" s="13">
        <v>43019.871840277781</v>
      </c>
      <c r="F141" s="13">
        <v>43019.875497685185</v>
      </c>
      <c r="G141" s="7">
        <v>101</v>
      </c>
      <c r="H141" s="21" t="s">
        <v>854</v>
      </c>
      <c r="I141" s="13">
        <v>43019.900555555556</v>
      </c>
      <c r="J141" s="7">
        <v>0</v>
      </c>
      <c r="K141" s="89" t="str">
        <f>IF(ISEVEN(B141),(B141-1)&amp;"/"&amp;B141,B141&amp;"/"&amp;(B141+1))</f>
        <v>4045/4046</v>
      </c>
      <c r="L141" s="185" t="str">
        <f>VLOOKUP(A141,'Trips&amp;Operators'!$C$1:$G$99911,5,FALSE)</f>
        <v>ANDERS STEVEN</v>
      </c>
      <c r="M141" s="6">
        <f>I141-F141</f>
        <v>2.5057870370801538E-2</v>
      </c>
      <c r="N141" s="7">
        <f>24*60*SUM($M141:$M141)</f>
        <v>36.083333333954215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-11T19:55:27-0600',mode:absolute,to:'2017-10-11T22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4.5999999999999999E-2</v>
      </c>
      <c r="Z141" s="204">
        <f>RIGHT(H141,LEN(H141)-4)/10000</f>
        <v>23.3278</v>
      </c>
      <c r="AA141" s="204">
        <f>ABS(Z141-Y141)</f>
        <v>23.2818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/stypes="app*4046*20171012*"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229-11 --locoid 4046 --swversion DE.1.0.9.0 --startMP 204:460 --initTime 2017-10-11T20:55:27 --startdatetime 2017-10-11T21:00:43 --delay 101 --endMP 204:233278 --enddatetime 2017-10-11T21:36:48 --enforcementcount 0 &gt;&gt;%USERPROFILE%\Documents\GitHub\eaglep3-reporting\EC\2017-10-11-refined-times.txt</v>
      </c>
      <c r="AI141" s="96" t="str">
        <f t="shared" si="11"/>
        <v>echo {"issue":{"subject":"","project_id":79,"tracker_id":40,"status_id":1,"priority_id":2,"assigned_to_id":338,"start_date":"2017-10-11","description":"","custom_fields":[{"id":1,"name":"Subdivision","value":"EC"},{"id":4,"name":"Milepost","value":"23.3278"},{"id":17,"name":"Train ID","value":"229-11"},{"id":16,"name":"Locomotive ID","value":"4046"},{"id":130,"name":"Impact","value":""},{"id":150,"name":"Time of Event (Mountain Time)","value":"21:36:48"},{"id":151,"name":"Denver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4046 --day 2017-10-11</v>
      </c>
      <c r="AN141" s="151" t="str">
        <f t="shared" si="1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-10-11T19:55:27-0600',mode:absolute,to:'2017-10-11T22:36:48-0600'))&amp;_a=(columns:!('Message%20ID',Summary),filters:!(),index:'emp_*',interval:auto,query:(query_string:(analyze_wildcard:!t,query:'%22rtdc.l.rtdc.4046%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810</v>
      </c>
      <c r="B142" s="7">
        <v>4045</v>
      </c>
      <c r="C142" s="21" t="s">
        <v>194</v>
      </c>
      <c r="D142" s="21" t="s">
        <v>873</v>
      </c>
      <c r="E142" s="13">
        <v>43019.930775462963</v>
      </c>
      <c r="F142" s="13">
        <v>43019.93241898148</v>
      </c>
      <c r="G142" s="7">
        <v>68</v>
      </c>
      <c r="H142" s="21" t="s">
        <v>842</v>
      </c>
      <c r="I142" s="13">
        <v>43019.949282407404</v>
      </c>
      <c r="J142" s="7">
        <v>0</v>
      </c>
      <c r="K142" s="89" t="str">
        <f>IF(ISEVEN(B142),(B142-1)&amp;"/"&amp;B142,B142&amp;"/"&amp;(B142+1))</f>
        <v>4045/4046</v>
      </c>
      <c r="L142" s="185" t="str">
        <f>VLOOKUP(A142,'Trips&amp;Operators'!$C$1:$G$99911,5,FALSE)</f>
        <v>ANDERS STEVEN</v>
      </c>
      <c r="M142" s="6">
        <f>I142-F142</f>
        <v>1.6863425924384501E-2</v>
      </c>
      <c r="N142" s="7"/>
      <c r="O142" s="7"/>
      <c r="P142" s="7">
        <f>24*60*SUM($M142:$M142)</f>
        <v>24.283333331113681</v>
      </c>
      <c r="Q142" s="22"/>
      <c r="R142" s="174" t="s">
        <v>569</v>
      </c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-11T21:20:19-0600',mode:absolute,to:'2017-10-11T23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2" s="204" t="str">
        <f>IF(AA142&lt;VLOOKUP(AG142,Variables!$AC$3:$AD$8,2,FALSE),"Y","N")</f>
        <v>Y</v>
      </c>
      <c r="X142" s="204">
        <f>VALUE(LEFT(AD142,4))-VALUE(LEFT(AD141,4))</f>
        <v>1</v>
      </c>
      <c r="Y142" s="204">
        <f>RIGHT(D142,LEN(D142)-4)/10000</f>
        <v>12.786899999999999</v>
      </c>
      <c r="Z142" s="204">
        <f>RIGHT(H142,LEN(H142)-4)/10000</f>
        <v>1.38E-2</v>
      </c>
      <c r="AA142" s="204">
        <f>ABS(Z142-Y142)</f>
        <v>12.773099999999999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/stypes="app*4045*20171012*"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0"/>
        <v>"%USERPROFILE%\Documents\GitHub\eaglep3\Utilities\RefineRTDCRunTimes.py" --tripid 230-11 --locoid 4045 --swversion DE.1.0.9.0 --startMP 204:127869 --initTime 2017-10-11T22:20:19 --startdatetime 2017-10-11T22:22:41 --delay 68 --endMP 204:138 --enddatetime 2017-10-11T22:46:58 --enforcementcount 0 &gt;&gt;%USERPROFILE%\Documents\GitHub\eaglep3-reporting\EC\2017-10-11-refined-times.txt</v>
      </c>
      <c r="AI142" s="96" t="str">
        <f t="shared" si="11"/>
        <v>echo {"issue":{"subject":"Onboard en route failure","project_id":79,"tracker_id":40,"status_id":1,"priority_id":2,"assigned_to_id":338,"start_date":"2017-10-11","description":"","custom_fields":[{"id":1,"name":"Subdivision","value":"EC"},{"id":4,"name":"Milepost","value":"0.0138"},{"id":17,"name":"Train ID","value":"230-11"},{"id":16,"name":"Locomotive ID","value":"4045"},{"id":130,"name":"Impact","value":""},{"id":150,"name":"Time of Event (Mountain Time)","value":"22:46:58"},{"id":151,"name":"Denver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2"/>
        <v>start /low /b %USERPROFILE%\Documents\GitHub\eaglep3\Utilities\DownloadLogsFromS3.py --loco 4045 --day 2017-10-11</v>
      </c>
      <c r="AN142" s="151" t="str">
        <f t="shared" si="13"/>
        <v>echo {"issue":{"subject":"Onboard en route failure","project_id":30,"tracker_id":4,"status_id":1,"priority_id":1,"assigned_to_id":10,"start_date":"2017-10-12","description":"","custom_fields":[{"id":30,"name":"Category","value":"Issue"},{"id":3,"name":"Functional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04:46:58"},{"id":29,"name":"Sharepoint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4"/>
        <v>https://d0f6bd738d7f1b3e5a7ca70fe4ff75f0.us-east-1.aws.found.io/app/kibana#/discover/Steve-Slow-Train-Analysis-(2080s-and-2083s)?_g=(refreshInterval:(display:Off,pause:!f,section:0,value:0),time:(from:'2017-10-11T21:20:19-0600',mode:absolute,to:'2017-10-11T23:46:58-0600'))&amp;_a=(columns:!('Message%20ID',Summary),filters:!(),index:'emp_*',interval:auto,query:(query_string:(analyze_wildcard:!t,query:'%22rtdc.l.rtdc.4045%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810</v>
      </c>
      <c r="B143" s="7">
        <v>4045</v>
      </c>
      <c r="C143" s="21" t="s">
        <v>194</v>
      </c>
      <c r="D143" s="21" t="s">
        <v>538</v>
      </c>
      <c r="E143" s="13">
        <v>43019.912361111114</v>
      </c>
      <c r="F143" s="13">
        <v>43019.93241898148</v>
      </c>
      <c r="G143" s="7">
        <v>64</v>
      </c>
      <c r="H143" s="21" t="s">
        <v>538</v>
      </c>
      <c r="I143" s="13">
        <v>43019.949282407404</v>
      </c>
      <c r="J143" s="7">
        <v>0</v>
      </c>
      <c r="K143" s="89" t="str">
        <f>IF(ISEVEN(B143),(B143-1)&amp;"/"&amp;B143,B143&amp;"/"&amp;(B143+1))</f>
        <v>4045/4046</v>
      </c>
      <c r="L143" s="185" t="str">
        <f>VLOOKUP(A143,'Trips&amp;Operators'!$C$1:$G$99911,5,FALSE)</f>
        <v>ANDERS STEVEN</v>
      </c>
      <c r="M143" s="6">
        <f>I143-F143</f>
        <v>1.6863425924384501E-2</v>
      </c>
      <c r="N143" s="7"/>
      <c r="O143" s="7"/>
      <c r="P143" s="7"/>
      <c r="Q143" s="22"/>
      <c r="R143" s="174"/>
      <c r="S143" s="221"/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-11T20:53:48-0600',mode:absolute,to:'2017-10-11T23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3" s="204" t="str">
        <f>IF(AA143&lt;VLOOKUP(AG143,Variables!$AC$3:$AD$8,2,FALSE),"Y","N")</f>
        <v>Y</v>
      </c>
      <c r="X143" s="204">
        <f>VALUE(LEFT(AD143,4))-VALUE(LEFT(AD142,4))</f>
        <v>0</v>
      </c>
      <c r="Y143" s="204">
        <f>RIGHT(D143,LEN(D143)-4)/10000</f>
        <v>23.2989</v>
      </c>
      <c r="Z143" s="204">
        <f>RIGHT(H143,LEN(H143)-4)/10000</f>
        <v>23.2989</v>
      </c>
      <c r="AA143" s="204">
        <f>ABS(Z143-Y143)</f>
        <v>0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/stypes="app*4045*20171012*"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ref="AH143:AH210" si="2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230-11 --locoid 4045 --swversion DE.1.0.9.0 --startMP 204:232989 --initTime 2017-10-11T21:53:48 --startdatetime 2017-10-11T22:22:41 --delay 64 --endMP 204:232989 --enddatetime 2017-10-11T22:46:58 --enforcementcount 0 &gt;&gt;%USERPROFILE%\Documents\GitHub\eaglep3-reporting\EC\2017-10-11-refined-times.txt</v>
      </c>
      <c r="AI143" s="96" t="str">
        <f t="shared" ref="AI143:AI210" si="2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{"issue":{"subject":"","project_id":79,"tracker_id":40,"status_id":1,"priority_id":2,"assigned_to_id":338,"start_date":"2017-10-11","description":"","custom_fields":[{"id":1,"name":"Subdivision","value":"EC"},{"id":4,"name":"Milepost","value":"23.2989"},{"id":17,"name":"Train ID","value":"230-11"},{"id":16,"name":"Locomotive ID","value":"4045"},{"id":130,"name":"Impact","value":""},{"id":150,"name":"Time of Event (Mountain Time)","value":"22:46:58"},{"id":151,"name":"Denver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10" si="22">"start /low /b "&amp;dls3logs&amp;" --loco "&amp;B143&amp;" --day "&amp;TEXT(F143,"YYYY-MM-DD")</f>
        <v>start /low /b %USERPROFILE%\Documents\GitHub\eaglep3\Utilities\DownloadLogsFromS3.py --loco 4045 --day 2017-10-11</v>
      </c>
      <c r="AN143" s="151" t="str">
        <f t="shared" ref="AN143:AN210" si="2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04:46:58"},{"id":29,"name":"Sharepoint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10" si="2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-11T20:53:48-0600',mode:absolute,to:'2017-10-11T23:46:58-0600'))&amp;_a=(columns:!('Message%20ID',Summary),filters:!(),index:'emp_*',interval:auto,query:(query_string:(analyze_wildcard:!t,query:'%22rtdc.l.rtdc.4045%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808</v>
      </c>
      <c r="B144" s="7">
        <v>4014</v>
      </c>
      <c r="C144" s="21" t="s">
        <v>194</v>
      </c>
      <c r="D144" s="21" t="s">
        <v>338</v>
      </c>
      <c r="E144" s="13">
        <v>43019.882592592592</v>
      </c>
      <c r="F144" s="13">
        <v>43019.896145833336</v>
      </c>
      <c r="G144" s="7">
        <v>105</v>
      </c>
      <c r="H144" s="21" t="s">
        <v>874</v>
      </c>
      <c r="I144" s="13">
        <v>43019.922025462962</v>
      </c>
      <c r="J144" s="7">
        <v>0</v>
      </c>
      <c r="K144" s="89" t="str">
        <f>IF(ISEVEN(B144),(B144-1)&amp;"/"&amp;B144,B144&amp;"/"&amp;(B144+1))</f>
        <v>4013/4014</v>
      </c>
      <c r="L144" s="185" t="str">
        <f>VLOOKUP(A144,'Trips&amp;Operators'!$C$1:$G$99911,5,FALSE)</f>
        <v>NICHOLSON WESLEY</v>
      </c>
      <c r="M144" s="6">
        <f>I144-F144</f>
        <v>2.5879629625706002E-2</v>
      </c>
      <c r="N144" s="7">
        <f>24*60*SUM($M144:$M144)</f>
        <v>37.266666661016643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-11T20:10:56-0600',mode:absolute,to:'2017-10-11T23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4.53E-2</v>
      </c>
      <c r="Z144" s="204">
        <f>RIGHT(H144,LEN(H144)-4)/10000</f>
        <v>23.3355</v>
      </c>
      <c r="AA144" s="204">
        <f>ABS(Z144-Y144)</f>
        <v>23.290199999999999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/stypes="app*4014*20171012*"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20"/>
        <v>"%USERPROFILE%\Documents\GitHub\eaglep3\Utilities\RefineRTDCRunTimes.py" --tripid 231-11 --locoid 4014 --swversion DE.1.0.9.0 --startMP 204:453 --initTime 2017-10-11T21:10:56 --startdatetime 2017-10-11T21:30:27 --delay 105 --endMP 204:233355 --enddatetime 2017-10-11T22:07:43 --enforcementcount 0 &gt;&gt;%USERPROFILE%\Documents\GitHub\eaglep3-reporting\EC\2017-10-11-refined-times.txt</v>
      </c>
      <c r="AI144" s="96" t="str">
        <f t="shared" si="21"/>
        <v>echo {"issue":{"subject":"","project_id":79,"tracker_id":40,"status_id":1,"priority_id":2,"assigned_to_id":338,"start_date":"2017-10-11","description":"","custom_fields":[{"id":1,"name":"Subdivision","value":"EC"},{"id":4,"name":"Milepost","value":"23.3355"},{"id":17,"name":"Train ID","value":"231-11"},{"id":16,"name":"Locomotive ID","value":"4014"},{"id":130,"name":"Impact","value":""},{"id":150,"name":"Time of Event (Mountain Time)","value":"22:07:43"},{"id":151,"name":"Denver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22"/>
        <v>start /low /b %USERPROFILE%\Documents\GitHub\eaglep3\Utilities\DownloadLogsFromS3.py --loco 4014 --day 2017-10-11</v>
      </c>
      <c r="AN144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04:07:43"},{"id":29,"name":"Sharepoint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24"/>
        <v>https://d0f6bd738d7f1b3e5a7ca70fe4ff75f0.us-east-1.aws.found.io/app/kibana#/discover/Steve-Slow-Train-Analysis-(2080s-and-2083s)?_g=(refreshInterval:(display:Off,pause:!f,section:0,value:0),time:(from:'2017-10-11T20:10:56-0600',mode:absolute,to:'2017-10-11T23:07:43-0600'))&amp;_a=(columns:!('Message%20ID',Summary),filters:!(),index:'emp_*',interval:auto,query:(query_string:(analyze_wildcard:!t,query:'%22rtdc.l.rtdc.4014%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813</v>
      </c>
      <c r="B145" s="7">
        <v>4013</v>
      </c>
      <c r="C145" s="21" t="s">
        <v>194</v>
      </c>
      <c r="D145" s="21" t="s">
        <v>535</v>
      </c>
      <c r="E145" s="13">
        <v>43019.931400462963</v>
      </c>
      <c r="F145" s="13">
        <v>43019.958194444444</v>
      </c>
      <c r="G145" s="7">
        <v>93</v>
      </c>
      <c r="H145" s="21" t="s">
        <v>535</v>
      </c>
      <c r="I145" s="13">
        <v>43019.973310185182</v>
      </c>
      <c r="J145" s="7">
        <v>0</v>
      </c>
      <c r="K145" s="89" t="str">
        <f>IF(ISEVEN(B145),(B145-1)&amp;"/"&amp;B145,B145&amp;"/"&amp;(B145+1))</f>
        <v>4013/4014</v>
      </c>
      <c r="L145" s="185" t="str">
        <f>VLOOKUP(A145,'Trips&amp;Operators'!$C$1:$G$99911,5,FALSE)</f>
        <v>NICHOLSON WESLEY</v>
      </c>
      <c r="M145" s="6">
        <f>I145-F145</f>
        <v>1.5115740738110617E-2</v>
      </c>
      <c r="N145" s="7"/>
      <c r="O145" s="7"/>
      <c r="P145" s="7">
        <f>24*60*SUM($M145:$M145)</f>
        <v>21.766666662879288</v>
      </c>
      <c r="Q145" s="22"/>
      <c r="R145" s="174" t="s">
        <v>569</v>
      </c>
      <c r="S145" s="221">
        <f>1/IF(AG145="EC",12,1)*SUM(U145:U146)</f>
        <v>0.83333333333333326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-11T21:21:13-0600',mode:absolute,to:'2017-10-12T00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5" s="204" t="str">
        <f>IF(AA145&lt;VLOOKUP(AG145,Variables!$AC$3:$AD$8,2,FALSE),"Y","N")</f>
        <v>Y</v>
      </c>
      <c r="X145" s="204">
        <f>VALUE(LEFT(AD145,4))-VALUE(LEFT(AD144,4))</f>
        <v>1</v>
      </c>
      <c r="Y145" s="204">
        <f>RIGHT(D145,LEN(D145)-4)/10000</f>
        <v>23.298200000000001</v>
      </c>
      <c r="Z145" s="204">
        <f>RIGHT(H145,LEN(H145)-4)/10000</f>
        <v>23.298200000000001</v>
      </c>
      <c r="AA145" s="204">
        <f>ABS(Z145-Y145)</f>
        <v>0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/stypes="app*4013*20171012*"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0"/>
        <v>"%USERPROFILE%\Documents\GitHub\eaglep3\Utilities\RefineRTDCRunTimes.py" --tripid 232-11 --locoid 4013 --swversion DE.1.0.9.0 --startMP 204:232982 --initTime 2017-10-11T22:21:13 --startdatetime 2017-10-11T22:59:48 --delay 93 --endMP 204:232982 --enddatetime 2017-10-11T23:21:34 --enforcementcount 0 &gt;&gt;%USERPROFILE%\Documents\GitHub\eaglep3-reporting\EC\2017-10-11-refined-times.txt</v>
      </c>
      <c r="AI145" s="96" t="str">
        <f t="shared" si="21"/>
        <v>echo {"issue":{"subject":"Onboard en route failure","project_id":79,"tracker_id":40,"status_id":1,"priority_id":2,"assigned_to_id":338,"start_date":"2017-10-11","description":"","custom_fields":[{"id":1,"name":"Subdivision","value":"EC"},{"id":4,"name":"Milepost","value":"23.2982"},{"id":17,"name":"Train ID","value":"232-11"},{"id":16,"name":"Locomotive ID","value":"4013"},{"id":130,"name":"Impact","value":""},{"id":150,"name":"Time of Event (Mountain Time)","value":"23:21:34"},{"id":151,"name":"Denver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2"/>
        <v>start /low /b %USERPROFILE%\Documents\GitHub\eaglep3\Utilities\DownloadLogsFromS3.py --loco 4013 --day 2017-10-11</v>
      </c>
      <c r="AN145" s="151" t="str">
        <f t="shared" si="23"/>
        <v>echo {"issue":{"subject":"Onboard en route failure","project_id":30,"tracker_id":4,"status_id":1,"priority_id":1,"assigned_to_id":10,"start_date":"2017-10-12","description":"","custom_fields":[{"id":30,"name":"Category","value":"Issue"},{"id":3,"name":"Functional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05:21:34"},{"id":29,"name":"Sharepoint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24"/>
        <v>https://d0f6bd738d7f1b3e5a7ca70fe4ff75f0.us-east-1.aws.found.io/app/kibana#/discover/Steve-Slow-Train-Analysis-(2080s-and-2083s)?_g=(refreshInterval:(display:Off,pause:!f,section:0,value:0),time:(from:'2017-10-11T21:21:13-0600',mode:absolute,to:'2017-10-12T00:21:34-0600'))&amp;_a=(columns:!('Message%20ID',Summary),filters:!(),index:'emp_*',interval:auto,query:(query_string:(analyze_wildcard:!t,query:'%22rtdc.l.rtdc.4013%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813</v>
      </c>
      <c r="B146" s="7">
        <v>4013</v>
      </c>
      <c r="C146" s="21" t="s">
        <v>194</v>
      </c>
      <c r="D146" s="21" t="s">
        <v>875</v>
      </c>
      <c r="E146" s="13">
        <v>43019.95103009259</v>
      </c>
      <c r="F146" s="13">
        <v>43019.958194444444</v>
      </c>
      <c r="G146" s="7">
        <v>87</v>
      </c>
      <c r="H146" s="21" t="s">
        <v>339</v>
      </c>
      <c r="I146" s="13">
        <v>43019.973310185182</v>
      </c>
      <c r="J146" s="7">
        <v>0</v>
      </c>
      <c r="K146" s="89" t="str">
        <f>IF(ISEVEN(B146),(B146-1)&amp;"/"&amp;B146,B146&amp;"/"&amp;(B146+1))</f>
        <v>4013/4014</v>
      </c>
      <c r="L146" s="185" t="str">
        <f>VLOOKUP(A146,'Trips&amp;Operators'!$C$1:$G$99911,5,FALSE)</f>
        <v>NICHOLSON WESLEY</v>
      </c>
      <c r="M146" s="6">
        <f>I146-F146</f>
        <v>1.5115740738110617E-2</v>
      </c>
      <c r="N146" s="7"/>
      <c r="O146" s="7"/>
      <c r="P146" s="7"/>
      <c r="Q146" s="22"/>
      <c r="R146" s="174"/>
      <c r="S146" s="221"/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10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-11T21:49:29-0600',mode:absolute,to:'2017-10-12T00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6" s="204" t="str">
        <f>IF(AA146&lt;VLOOKUP(AG146,Variables!$AC$3:$AD$8,2,FALSE),"Y","N")</f>
        <v>Y</v>
      </c>
      <c r="X146" s="204">
        <f>VALUE(LEFT(AD146,4))-VALUE(LEFT(AD145,4))</f>
        <v>0</v>
      </c>
      <c r="Y146" s="204">
        <f>RIGHT(D146,LEN(D146)-4)/10000</f>
        <v>8.6354000000000006</v>
      </c>
      <c r="Z146" s="204">
        <f>RIGHT(H146,LEN(H146)-4)/10000</f>
        <v>1.47E-2</v>
      </c>
      <c r="AA146" s="204">
        <f>ABS(Z146-Y146)</f>
        <v>8.6207000000000011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232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/stypes="app*4013*20171012*"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0"/>
        <v>"%USERPROFILE%\Documents\GitHub\eaglep3\Utilities\RefineRTDCRunTimes.py" --tripid 232-11 --locoid 4013 --swversion DE.1.0.9.0 --startMP 204:86354 --initTime 2017-10-11T22:49:29 --startdatetime 2017-10-11T22:59:48 --delay 87 --endMP 204:147 --enddatetime 2017-10-11T23:21:34 --enforcementcount 0 &gt;&gt;%USERPROFILE%\Documents\GitHub\eaglep3-reporting\EC\2017-10-11-refined-times.txt</v>
      </c>
      <c r="AI146" s="96" t="str">
        <f t="shared" si="21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ID","value":"232-11"},{"id":16,"name":"Locomotive ID","value":"4013"},{"id":130,"name":"Impact","value":""},{"id":150,"name":"Time of Event (Mountain Time)","value":"23:21:34"},{"id":151,"name":"Denver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2"/>
        <v>start /low /b %USERPROFILE%\Documents\GitHub\eaglep3\Utilities\DownloadLogsFromS3.py --loco 4013 --day 2017-10-11</v>
      </c>
      <c r="AN146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05:21:34"},{"id":29,"name":"Sharepoint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24"/>
        <v>https://d0f6bd738d7f1b3e5a7ca70fe4ff75f0.us-east-1.aws.found.io/app/kibana#/discover/Steve-Slow-Train-Analysis-(2080s-and-2083s)?_g=(refreshInterval:(display:Off,pause:!f,section:0,value:0),time:(from:'2017-10-11T21:49:29-0600',mode:absolute,to:'2017-10-12T00:21:34-0600'))&amp;_a=(columns:!('Message%20ID',Summary),filters:!(),index:'emp_*',interval:auto,query:(query_string:(analyze_wildcard:!t,query:'%22rtdc.l.rtdc.4013%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610</v>
      </c>
      <c r="B147" s="7">
        <v>4032</v>
      </c>
      <c r="C147" s="21" t="s">
        <v>194</v>
      </c>
      <c r="D147" s="21" t="s">
        <v>334</v>
      </c>
      <c r="E147" s="13">
        <v>43019.902071759258</v>
      </c>
      <c r="F147" s="13">
        <v>43019.916875000003</v>
      </c>
      <c r="G147" s="7">
        <v>71</v>
      </c>
      <c r="H147" s="21" t="s">
        <v>859</v>
      </c>
      <c r="I147" s="13">
        <v>43019.941874999997</v>
      </c>
      <c r="J147" s="7">
        <v>0</v>
      </c>
      <c r="K147" s="89" t="str">
        <f>IF(ISEVEN(B147),(B147-1)&amp;"/"&amp;B147,B147&amp;"/"&amp;(B147+1))</f>
        <v>4031/4032</v>
      </c>
      <c r="L147" s="185" t="str">
        <f>VLOOKUP(A147,'Trips&amp;Operators'!$C$1:$G$99911,5,FALSE)</f>
        <v>LOZA FIDEL</v>
      </c>
      <c r="M147" s="6">
        <f>I147-F147</f>
        <v>2.4999999994179234E-2</v>
      </c>
      <c r="N147" s="7">
        <f>24*60*SUM($M147:$M147)</f>
        <v>35.999999991618097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-11T20:38:59-0600',mode:absolute,to:'2017-10-11T23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4.4600000000000001E-2</v>
      </c>
      <c r="Z147" s="204">
        <f>RIGHT(H147,LEN(H147)-4)/10000</f>
        <v>23.333100000000002</v>
      </c>
      <c r="AA147" s="204">
        <f>ABS(Z147-Y147)</f>
        <v>23.288500000000003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233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/stypes="app*4032*20171012*" /stext=" 04:.+((SYSTEM_STATE.+slice.+state.+changed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0"/>
        <v>"%USERPROFILE%\Documents\GitHub\eaglep3\Utilities\RefineRTDCRunTimes.py" --tripid 233-11 --locoid 4032 --swversion DE.1.0.9.0 --startMP 204:446 --initTime 2017-10-11T21:38:59 --startdatetime 2017-10-11T22:00:18 --delay 71 --endMP 204:233331 --enddatetime 2017-10-11T22:36:18 --enforcementcount 0 &gt;&gt;%USERPROFILE%\Documents\GitHub\eaglep3-reporting\EC\2017-10-11-refined-times.txt</v>
      </c>
      <c r="AI147" s="96" t="str">
        <f t="shared" si="21"/>
        <v>echo {"issue":{"subject":"","project_id":79,"tracker_id":40,"status_id":1,"priority_id":2,"assigned_to_id":338,"start_date":"2017-10-11","description":"","custom_fields":[{"id":1,"name":"Subdivision","value":"EC"},{"id":4,"name":"Milepost","value":"23.3331"},{"id":17,"name":"Train ID","value":"233-11"},{"id":16,"name":"Locomotive ID","value":"4032"},{"id":130,"name":"Impact","value":""},{"id":150,"name":"Time of Event (Mountain Time)","value":"22:36:18"},{"id":151,"name":"Denver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22"/>
        <v>start /low /b %USERPROFILE%\Documents\GitHub\eaglep3\Utilities\DownloadLogsFromS3.py --loco 4032 --day 2017-10-11</v>
      </c>
      <c r="AN147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04:36:18"},{"id":29,"name":"Sharepoint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24"/>
        <v>https://d0f6bd738d7f1b3e5a7ca70fe4ff75f0.us-east-1.aws.found.io/app/kibana#/discover/Steve-Slow-Train-Analysis-(2080s-and-2083s)?_g=(refreshInterval:(display:Off,pause:!f,section:0,value:0),time:(from:'2017-10-11T20:38:59-0600',mode:absolute,to:'2017-10-11T23:36:18-0600'))&amp;_a=(columns:!('Message%20ID',Summary),filters:!(),index:'emp_*',interval:auto,query:(query_string:(analyze_wildcard:!t,query:'%22rtdc.l.rtdc.4032%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815</v>
      </c>
      <c r="B148" s="7">
        <v>4031</v>
      </c>
      <c r="C148" s="21" t="s">
        <v>194</v>
      </c>
      <c r="D148" s="21" t="s">
        <v>405</v>
      </c>
      <c r="E148" s="13">
        <v>43019.952233796299</v>
      </c>
      <c r="F148" s="13">
        <v>43019.95652777778</v>
      </c>
      <c r="G148" s="7">
        <v>56</v>
      </c>
      <c r="H148" s="21" t="s">
        <v>374</v>
      </c>
      <c r="I148" s="13">
        <v>43019.982499999998</v>
      </c>
      <c r="J148" s="7">
        <v>0</v>
      </c>
      <c r="K148" s="89" t="str">
        <f>IF(ISEVEN(B148),(B148-1)&amp;"/"&amp;B148,B148&amp;"/"&amp;(B148+1))</f>
        <v>4031/4032</v>
      </c>
      <c r="L148" s="185" t="str">
        <f>VLOOKUP(A148,'Trips&amp;Operators'!$C$1:$G$99911,5,FALSE)</f>
        <v>LOZA FIDEL</v>
      </c>
      <c r="M148" s="6">
        <f>I148-F148</f>
        <v>2.5972222218115348E-2</v>
      </c>
      <c r="N148" s="7">
        <f>24*60*SUM($M148:$M148)</f>
        <v>37.399999994086102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-11T21:51:13-0600',mode:absolute,to:'2017-10-12T00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23.300999999999998</v>
      </c>
      <c r="Z148" s="204">
        <f>RIGHT(H148,LEN(H148)-4)/10000</f>
        <v>1.54E-2</v>
      </c>
      <c r="AA148" s="204">
        <f>ABS(Z148-Y148)</f>
        <v>23.285599999999999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234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/stypes="app*4031*20171012*"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20"/>
        <v>"%USERPROFILE%\Documents\GitHub\eaglep3\Utilities\RefineRTDCRunTimes.py" --tripid 234-11 --locoid 4031 --swversion DE.1.0.9.0 --startMP 204:233010 --initTime 2017-10-11T22:51:13 --startdatetime 2017-10-11T22:57:24 --delay 56 --endMP 204:154 --enddatetime 2017-10-11T23:34:48 --enforcementcount 0 &gt;&gt;%USERPROFILE%\Documents\GitHub\eaglep3-reporting\EC\2017-10-11-refined-times.txt</v>
      </c>
      <c r="AI148" s="96" t="str">
        <f t="shared" si="21"/>
        <v>echo {"issue":{"subject":"","project_id":79,"tracker_id":40,"status_id":1,"priority_id":2,"assigned_to_id":338,"start_date":"2017-10-11","description":"","custom_fields":[{"id":1,"name":"Subdivision","value":"EC"},{"id":4,"name":"Milepost","value":"0.0154"},{"id":17,"name":"Train ID","value":"234-11"},{"id":16,"name":"Locomotive ID","value":"4031"},{"id":130,"name":"Impact","value":""},{"id":150,"name":"Time of Event (Mountain Time)","value":"23:34:48"},{"id":151,"name":"Denver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22"/>
        <v>start /low /b %USERPROFILE%\Documents\GitHub\eaglep3\Utilities\DownloadLogsFromS3.py --loco 4031 --day 2017-10-11</v>
      </c>
      <c r="AN148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05:34:48"},{"id":29,"name":"Sharepoint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24"/>
        <v>https://d0f6bd738d7f1b3e5a7ca70fe4ff75f0.us-east-1.aws.found.io/app/kibana#/discover/Steve-Slow-Train-Analysis-(2080s-and-2083s)?_g=(refreshInterval:(display:Off,pause:!f,section:0,value:0),time:(from:'2017-10-11T21:51:13-0600',mode:absolute,to:'2017-10-12T00:34:48-0600'))&amp;_a=(columns:!('Message%20ID',Summary),filters:!(),index:'emp_*',interval:auto,query:(query_string:(analyze_wildcard:!t,query:'%22rtdc.l.rtdc.4031%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812</v>
      </c>
      <c r="B149" s="7">
        <v>4036</v>
      </c>
      <c r="C149" s="21" t="s">
        <v>194</v>
      </c>
      <c r="D149" s="21" t="s">
        <v>454</v>
      </c>
      <c r="E149" s="13">
        <v>43019.923645833333</v>
      </c>
      <c r="F149" s="13">
        <v>43019.937754629631</v>
      </c>
      <c r="G149" s="7">
        <v>74</v>
      </c>
      <c r="H149" s="21" t="s">
        <v>521</v>
      </c>
      <c r="I149" s="13">
        <v>43019.963159722225</v>
      </c>
      <c r="J149" s="7">
        <v>0</v>
      </c>
      <c r="K149" s="89" t="str">
        <f>IF(ISEVEN(B149),(B149-1)&amp;"/"&amp;B149,B149&amp;"/"&amp;(B149+1))</f>
        <v>4035/4036</v>
      </c>
      <c r="L149" s="185" t="str">
        <f>VLOOKUP(A149,'Trips&amp;Operators'!$C$1:$G$99911,5,FALSE)</f>
        <v>MCREYNOLDS KYLE</v>
      </c>
      <c r="M149" s="6">
        <f>I149-F149</f>
        <v>2.5405092594155576E-2</v>
      </c>
      <c r="N149" s="7">
        <f>24*60*SUM($M149:$M149)</f>
        <v>36.58333333558403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-11T21:10:03-0600',mode:absolute,to:'2017-10-12T00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4.6399999999999997E-2</v>
      </c>
      <c r="Z149" s="204">
        <f>RIGHT(H149,LEN(H149)-4)/10000</f>
        <v>23.331499999999998</v>
      </c>
      <c r="AA149" s="204">
        <f>ABS(Z149-Y149)</f>
        <v>23.2851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235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 &amp; 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/stypes="app*4036*20171012*"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0"/>
        <v>"%USERPROFILE%\Documents\GitHub\eaglep3\Utilities\RefineRTDCRunTimes.py" --tripid 235-11 --locoid 4036 --swversion DE.1.0.9.0 --startMP 204:464 --initTime 2017-10-11T22:10:03 --startdatetime 2017-10-11T22:30:22 --delay 74 --endMP 204:233315 --enddatetime 2017-10-11T23:06:57 --enforcementcount 0 &gt;&gt;%USERPROFILE%\Documents\GitHub\eaglep3-reporting\EC\2017-10-11-refined-times.txt</v>
      </c>
      <c r="AI149" s="96" t="str">
        <f t="shared" si="21"/>
        <v>echo {"issue":{"subject":"","project_id":79,"tracker_id":40,"status_id":1,"priority_id":2,"assigned_to_id":338,"start_date":"2017-10-11","description":"","custom_fields":[{"id":1,"name":"Subdivision","value":"EC"},{"id":4,"name":"Milepost","value":"23.3315"},{"id":17,"name":"Train ID","value":"235-11"},{"id":16,"name":"Locomotive ID","value":"4036"},{"id":130,"name":"Impact","value":""},{"id":150,"name":"Time of Event (Mountain Time)","value":"23:06:57"},{"id":151,"name":"Denver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22"/>
        <v>start /low /b %USERPROFILE%\Documents\GitHub\eaglep3\Utilities\DownloadLogsFromS3.py --loco 4036 --day 2017-10-11</v>
      </c>
      <c r="AN149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05:06:57"},{"id":29,"name":"Sharepoint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24"/>
        <v>https://d0f6bd738d7f1b3e5a7ca70fe4ff75f0.us-east-1.aws.found.io/app/kibana#/discover/Steve-Slow-Train-Analysis-(2080s-and-2083s)?_g=(refreshInterval:(display:Off,pause:!f,section:0,value:0),time:(from:'2017-10-11T21:10:03-0600',mode:absolute,to:'2017-10-12T00:06:57-0600'))&amp;_a=(columns:!('Message%20ID',Summary),filters:!(),index:'emp_*',interval:auto,query:(query_string:(analyze_wildcard:!t,query:'%22rtdc.l.rtdc.4036%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818</v>
      </c>
      <c r="B150" s="7">
        <v>4035</v>
      </c>
      <c r="C150" s="21" t="s">
        <v>194</v>
      </c>
      <c r="D150" s="21" t="s">
        <v>525</v>
      </c>
      <c r="E150" s="13">
        <v>43019.968229166669</v>
      </c>
      <c r="F150" s="13">
        <v>43019.97724537037</v>
      </c>
      <c r="G150" s="7">
        <v>77</v>
      </c>
      <c r="H150" s="21" t="s">
        <v>355</v>
      </c>
      <c r="I150" s="13">
        <v>43020.003541666665</v>
      </c>
      <c r="J150" s="7">
        <v>0</v>
      </c>
      <c r="K150" s="89" t="str">
        <f>IF(ISEVEN(B150),(B150-1)&amp;"/"&amp;B150,B150&amp;"/"&amp;(B150+1))</f>
        <v>4035/4036</v>
      </c>
      <c r="L150" s="185" t="str">
        <f>VLOOKUP(A150,'Trips&amp;Operators'!$C$1:$G$99911,5,FALSE)</f>
        <v>MCREYNOLDS KYLE</v>
      </c>
      <c r="M150" s="6">
        <f>I150-F150</f>
        <v>2.6296296295186039E-2</v>
      </c>
      <c r="N150" s="7">
        <f>24*60*SUM($M150:$M150)</f>
        <v>37.866666665067896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-11T22:14:15-0600',mode:absolute,to:'2017-10-12T01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23.3002</v>
      </c>
      <c r="Z150" s="204">
        <f>RIGHT(H150,LEN(H150)-4)/10000</f>
        <v>1.52E-2</v>
      </c>
      <c r="AA150" s="204">
        <f>ABS(Z150-Y150)</f>
        <v>23.285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236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/stypes="app*4035*20171012*"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20"/>
        <v>"%USERPROFILE%\Documents\GitHub\eaglep3\Utilities\RefineRTDCRunTimes.py" --tripid 236-11 --locoid 4035 --swversion DE.1.0.9.0 --startMP 204:233002 --initTime 2017-10-11T23:14:15 --startdatetime 2017-10-11T23:27:14 --delay 77 --endMP 204:152 --enddatetime 2017-10-12T00:05:06 --enforcementcount 0 &gt;&gt;%USERPROFILE%\Documents\GitHub\eaglep3-reporting\EC\2017-10-11-refined-times.txt</v>
      </c>
      <c r="AI150" s="96" t="str">
        <f t="shared" si="21"/>
        <v>echo {"issue":{"subject":"","project_id":79,"tracker_id":40,"status_id":1,"priority_id":2,"assigned_to_id":338,"start_date":"2017-10-12","description":"","custom_fields":[{"id":1,"name":"Subdivision","value":"EC"},{"id":4,"name":"Milepost","value":"0.0152"},{"id":17,"name":"Train ID","value":"236-11"},{"id":16,"name":"Locomotive ID","value":"4035"},{"id":130,"name":"Impact","value":""},{"id":150,"name":"Time of Event (Mountain Time)","value":"00:05:06"},{"id":151,"name":"Denver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22"/>
        <v>start /low /b %USERPROFILE%\Documents\GitHub\eaglep3\Utilities\DownloadLogsFromS3.py --loco 4035 --day 2017-10-11</v>
      </c>
      <c r="AN150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06:05:06"},{"id":29,"name":"Sharepoint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24"/>
        <v>https://d0f6bd738d7f1b3e5a7ca70fe4ff75f0.us-east-1.aws.found.io/app/kibana#/discover/Steve-Slow-Train-Analysis-(2080s-and-2083s)?_g=(refreshInterval:(display:Off,pause:!f,section:0,value:0),time:(from:'2017-10-11T22:14:15-0600',mode:absolute,to:'2017-10-12T01:05:06-0600'))&amp;_a=(columns:!('Message%20ID',Summary),filters:!(),index:'emp_*',interval:auto,query:(query_string:(analyze_wildcard:!t,query:'%22rtdc.l.rtdc.4035%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816</v>
      </c>
      <c r="B151" s="7">
        <v>4046</v>
      </c>
      <c r="C151" s="21" t="s">
        <v>194</v>
      </c>
      <c r="D151" s="21" t="s">
        <v>524</v>
      </c>
      <c r="E151" s="13">
        <v>43019.953773148147</v>
      </c>
      <c r="F151" s="13">
        <v>43019.958634259259</v>
      </c>
      <c r="G151" s="7">
        <v>61</v>
      </c>
      <c r="H151" s="21" t="s">
        <v>478</v>
      </c>
      <c r="I151" s="13">
        <v>43019.982997685183</v>
      </c>
      <c r="J151" s="7">
        <v>0</v>
      </c>
      <c r="K151" s="89" t="str">
        <f>IF(ISEVEN(B151),(B151-1)&amp;"/"&amp;B151,B151&amp;"/"&amp;(B151+1))</f>
        <v>4045/4046</v>
      </c>
      <c r="L151" s="185" t="str">
        <f>VLOOKUP(A151,'Trips&amp;Operators'!$C$1:$G$99911,5,FALSE)</f>
        <v>ANDERS STEVEN</v>
      </c>
      <c r="M151" s="6">
        <f>I151-F151</f>
        <v>2.4363425924093463E-2</v>
      </c>
      <c r="N151" s="7">
        <f>24*60*SUM($M151:$M151)</f>
        <v>35.083333330694586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-11T21:53:26-0600',mode:absolute,to:'2017-10-12T00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4.4200000000000003E-2</v>
      </c>
      <c r="Z151" s="204">
        <f>RIGHT(H151,LEN(H151)-4)/10000</f>
        <v>23.330300000000001</v>
      </c>
      <c r="AA151" s="204">
        <f>ABS(Z151-Y151)</f>
        <v>23.286100000000001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/stypes="app*4046*20171012*" /stext=" 05:.+((SYSTEM_STATE.+slice.+state.+changed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0"/>
        <v>"%USERPROFILE%\Documents\GitHub\eaglep3\Utilities\RefineRTDCRunTimes.py" --tripid 237-11 --locoid 4046 --swversion DE.1.0.9.0 --startMP 204:442 --initTime 2017-10-11T22:53:26 --startdatetime 2017-10-11T23:00:26 --delay 61 --endMP 204:233303 --enddatetime 2017-10-11T23:35:31 --enforcementcount 0 &gt;&gt;%USERPROFILE%\Documents\GitHub\eaglep3-reporting\EC\2017-10-11-refined-times.txt</v>
      </c>
      <c r="AI151" s="96" t="str">
        <f t="shared" si="21"/>
        <v>echo {"issue":{"subject":"","project_id":79,"tracker_id":40,"status_id":1,"priority_id":2,"assigned_to_id":338,"start_date":"2017-10-11","description":"","custom_fields":[{"id":1,"name":"Subdivision","value":"EC"},{"id":4,"name":"Milepost","value":"23.3303"},{"id":17,"name":"Train ID","value":"237-11"},{"id":16,"name":"Locomotive ID","value":"4046"},{"id":130,"name":"Impact","value":""},{"id":150,"name":"Time of Event (Mountain Time)","value":"23:35:31"},{"id":151,"name":"Denver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22"/>
        <v>start /low /b %USERPROFILE%\Documents\GitHub\eaglep3\Utilities\DownloadLogsFromS3.py --loco 4046 --day 2017-10-11</v>
      </c>
      <c r="AN151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05:35:31"},{"id":29,"name":"Sharepoint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24"/>
        <v>https://d0f6bd738d7f1b3e5a7ca70fe4ff75f0.us-east-1.aws.found.io/app/kibana#/discover/Steve-Slow-Train-Analysis-(2080s-and-2083s)?_g=(refreshInterval:(display:Off,pause:!f,section:0,value:0),time:(from:'2017-10-11T21:53:26-0600',mode:absolute,to:'2017-10-12T00:35:31-0600'))&amp;_a=(columns:!('Message%20ID',Summary),filters:!(),index:'emp_*',interval:auto,query:(query_string:(analyze_wildcard:!t,query:'%22rtdc.l.rtdc.4046%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821</v>
      </c>
      <c r="B152" s="7">
        <v>4045</v>
      </c>
      <c r="C152" s="21" t="s">
        <v>194</v>
      </c>
      <c r="D152" s="21" t="s">
        <v>524</v>
      </c>
      <c r="E152" s="13">
        <v>43019.953773148147</v>
      </c>
      <c r="F152" s="13">
        <v>43019.998206018521</v>
      </c>
      <c r="G152" s="7">
        <v>61</v>
      </c>
      <c r="H152" s="21" t="s">
        <v>478</v>
      </c>
      <c r="I152" s="13">
        <v>43020.025416666664</v>
      </c>
      <c r="J152" s="7">
        <v>0</v>
      </c>
      <c r="K152" s="89" t="str">
        <f>IF(ISEVEN(B152),(B152-1)&amp;"/"&amp;B152,B152&amp;"/"&amp;(B152+1))</f>
        <v>4045/4046</v>
      </c>
      <c r="L152" s="185" t="str">
        <f>VLOOKUP(A152,'Trips&amp;Operators'!$C$1:$G$99911,5,FALSE)</f>
        <v>ANDERS STEVEN</v>
      </c>
      <c r="M152" s="6">
        <f>I152-F152</f>
        <v>2.7210648142499849E-2</v>
      </c>
      <c r="N152" s="7">
        <f>24*60*SUM($M152:$M152)</f>
        <v>39.183333325199783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-11T21:53:26-0600',mode:absolute,to:'2017-10-12T01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v>23.3002</v>
      </c>
      <c r="Z152" s="204">
        <v>1.52E-2</v>
      </c>
      <c r="AA152" s="204">
        <f>ABS(Z152-Y152)</f>
        <v>23.285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/stypes="app*4045*20171012*"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ref="AH152" si="25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238-11 --locoid 4045 --swversion DE.1.0.9.0 --startMP 204:442 --initTime 2017-10-11T22:53:26 --startdatetime 2017-10-11T23:57:25 --delay 61 --endMP 204:233303 --enddatetime 2017-10-12T00:36:36 --enforcementcount 0 &gt;&gt;%USERPROFILE%\Documents\GitHub\eaglep3-reporting\EC\2017-10-11-refined-times.txt</v>
      </c>
      <c r="AI152" s="96" t="str">
        <f t="shared" ref="AI152" si="26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{"issue":{"subject":"","project_id":79,"tracker_id":40,"status_id":1,"priority_id":2,"assigned_to_id":338,"start_date":"2017-10-12","description":"","custom_fields":[{"id":1,"name":"Subdivision","value":"EC"},{"id":4,"name":"Milepost","value":"0.0152"},{"id":17,"name":"Train ID","value":"238-11"},{"id":16,"name":"Locomotive ID","value":"4045"},{"id":130,"name":"Impact","value":""},{"id":150,"name":"Time of Event (Mountain Time)","value":"00:36:36"},{"id":151,"name":"Denver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ref="AM152" si="27">"start /low /b "&amp;dls3logs&amp;" --loco "&amp;B152&amp;" --day "&amp;TEXT(F152,"YYYY-MM-DD")</f>
        <v>start /low /b %USERPROFILE%\Documents\GitHub\eaglep3\Utilities\DownloadLogsFromS3.py --loco 4045 --day 2017-10-11</v>
      </c>
      <c r="AN152" s="151" t="str">
        <f t="shared" ref="AN152" si="28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06:36:36"},{"id":29,"name":"Sharepoint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ref="AO152" si="29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-11T21:53:26-0600',mode:absolute,to:'2017-10-12T01:36:36-0600'))&amp;_a=(columns:!('Message%20ID',Summary),filters:!(),index:'emp_*',interval:auto,query:(query_string:(analyze_wildcard:!t,query:'%22rtdc.l.rtdc.4045%22')),sort:!(Time.ISO8601,asc))</v>
      </c>
    </row>
    <row r="153" spans="1:91" s="20" customFormat="1" x14ac:dyDescent="0.3">
      <c r="A153" s="32" t="s">
        <v>819</v>
      </c>
      <c r="B153" s="7">
        <v>4014</v>
      </c>
      <c r="C153" s="21" t="s">
        <v>194</v>
      </c>
      <c r="D153" s="21" t="s">
        <v>876</v>
      </c>
      <c r="E153" s="13">
        <v>43019.973657407405</v>
      </c>
      <c r="F153" s="13">
        <v>43019.979328703703</v>
      </c>
      <c r="G153" s="7">
        <v>75</v>
      </c>
      <c r="H153" s="21" t="s">
        <v>855</v>
      </c>
      <c r="I153" s="13">
        <v>43020.003437500003</v>
      </c>
      <c r="J153" s="7">
        <v>0</v>
      </c>
      <c r="K153" s="89" t="str">
        <f>IF(ISEVEN(B153),(B153-1)&amp;"/"&amp;B153,B153&amp;"/"&amp;(B153+1))</f>
        <v>4013/4014</v>
      </c>
      <c r="L153" s="185" t="str">
        <f>VLOOKUP(A153,'Trips&amp;Operators'!$C$1:$G$99911,5,FALSE)</f>
        <v>DUNCAN SHEILA</v>
      </c>
      <c r="M153" s="6">
        <f>I153-F153</f>
        <v>2.4108796300424729E-2</v>
      </c>
      <c r="N153" s="7">
        <f>24*60*SUM($M153:$M153)</f>
        <v>34.716666672611609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-11T22:22:04-0600',mode:absolute,to:'2017-10-12T01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3" s="204" t="str">
        <f>IF(AA153&lt;VLOOKUP(AG153,Variables!$AC$3:$AD$8,2,FALSE),"Y","N")</f>
        <v>N</v>
      </c>
      <c r="X153" s="204">
        <f t="shared" ref="X153:X155" si="30">VALUE(LEFT(AD153,4))-VALUE(LEFT(AD152,4))</f>
        <v>1</v>
      </c>
      <c r="Y153" s="204">
        <f>RIGHT(D153,LEN(D153)-4)/10000</f>
        <v>4.8800000000000003E-2</v>
      </c>
      <c r="Z153" s="204">
        <f>RIGHT(H153,LEN(H153)-4)/10000</f>
        <v>23.335100000000001</v>
      </c>
      <c r="AA153" s="204">
        <f>ABS(Z153-Y153)</f>
        <v>23.286300000000001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/stypes="app*4014*20171012*"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20"/>
        <v>"%USERPROFILE%\Documents\GitHub\eaglep3\Utilities\RefineRTDCRunTimes.py" --tripid 239-11 --locoid 4014 --swversion DE.1.0.9.0 --startMP 204:488 --initTime 2017-10-11T23:22:04 --startdatetime 2017-10-11T23:30:14 --delay 75 --endMP 204:233351 --enddatetime 2017-10-12T00:04:57 --enforcementcount 0 &gt;&gt;%USERPROFILE%\Documents\GitHub\eaglep3-reporting\EC\2017-10-11-refined-times.txt</v>
      </c>
      <c r="AI153" s="96" t="str">
        <f t="shared" si="21"/>
        <v>echo {"issue":{"subject":"","project_id":79,"tracker_id":40,"status_id":1,"priority_id":2,"assigned_to_id":338,"start_date":"2017-10-12","description":"","custom_fields":[{"id":1,"name":"Subdivision","value":"EC"},{"id":4,"name":"Milepost","value":"23.3351"},{"id":17,"name":"Train ID","value":"239-11"},{"id":16,"name":"Locomotive ID","value":"4014"},{"id":130,"name":"Impact","value":""},{"id":150,"name":"Time of Event (Mountain Time)","value":"00:04:57"},{"id":151,"name":"Denver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22"/>
        <v>start /low /b %USERPROFILE%\Documents\GitHub\eaglep3\Utilities\DownloadLogsFromS3.py --loco 4014 --day 2017-10-11</v>
      </c>
      <c r="AN153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06:04:57"},{"id":29,"name":"Sharepoint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24"/>
        <v>https://d0f6bd738d7f1b3e5a7ca70fe4ff75f0.us-east-1.aws.found.io/app/kibana#/discover/Steve-Slow-Train-Analysis-(2080s-and-2083s)?_g=(refreshInterval:(display:Off,pause:!f,section:0,value:0),time:(from:'2017-10-11T22:22:04-0600',mode:absolute,to:'2017-10-12T01:04:57-0600'))&amp;_a=(columns:!('Message%20ID',Summary),filters:!(),index:'emp_*',interval:auto,query:(query_string:(analyze_wildcard:!t,query:'%22rtdc.l.rtdc.4014%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823</v>
      </c>
      <c r="B154" s="7">
        <v>4013</v>
      </c>
      <c r="C154" s="21" t="s">
        <v>194</v>
      </c>
      <c r="D154" s="21" t="s">
        <v>876</v>
      </c>
      <c r="E154" s="13">
        <v>43019.973657407405</v>
      </c>
      <c r="F154" s="13">
        <v>43020.019166666665</v>
      </c>
      <c r="G154" s="7">
        <v>75</v>
      </c>
      <c r="H154" s="21" t="s">
        <v>855</v>
      </c>
      <c r="I154" s="13">
        <v>43020.044814814813</v>
      </c>
      <c r="J154" s="7">
        <v>0</v>
      </c>
      <c r="K154" s="89" t="str">
        <f>IF(ISEVEN(B154),(B154-1)&amp;"/"&amp;B154,B154&amp;"/"&amp;(B154+1))</f>
        <v>4013/4014</v>
      </c>
      <c r="L154" s="185" t="str">
        <f>VLOOKUP(A154,'Trips&amp;Operators'!$C$1:$G$99911,5,FALSE)</f>
        <v>DUNCAN SHEILA</v>
      </c>
      <c r="M154" s="6">
        <f>I154-F154</f>
        <v>2.5648148148320615E-2</v>
      </c>
      <c r="N154" s="7">
        <f>24*60*SUM($M154:$M154)</f>
        <v>36.933333333581686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-11T22:22:04-0600',mode:absolute,to:'2017-10-12T02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4" s="204" t="str">
        <f>IF(AA154&lt;VLOOKUP(AG154,Variables!$AC$3:$AD$8,2,FALSE),"Y","N")</f>
        <v>N</v>
      </c>
      <c r="X154" s="204">
        <f t="shared" si="30"/>
        <v>1</v>
      </c>
      <c r="Y154" s="204">
        <v>23.3002</v>
      </c>
      <c r="Z154" s="204">
        <v>1.52E-2</v>
      </c>
      <c r="AA154" s="204">
        <f>ABS(Z154-Y154)</f>
        <v>23.285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 &amp; aws s3 cp s3://rtdc.mdm.uploadarchive.raw/RTDC4013/ "%USERPROFILE%\AppData\Local\Temp\OnboardLogs"\RTDC4013\2017-10-13 --exclude "*" --recursive --include "*20171013*" &amp; "%USERPROFILE%\Documents\GitHub\mrs-test-scripts\Headless Mode &amp; Sideloading\WalkAndUnGZ.bat" "%USERPROFILE%\AppData\Local\Temp\OnboardLogs"\RTDC4013\2017-10-13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/stypes="app*4013*20171012*"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ref="AH154" si="31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240-11 --locoid 4013 --swversion DE.1.0.9.0 --startMP 204:488 --initTime 2017-10-11T23:22:04 --startdatetime 2017-10-12T00:27:36 --delay 75 --endMP 204:233351 --enddatetime 2017-10-12T01:04:32 --enforcementcount 0 &gt;&gt;%USERPROFILE%\Documents\GitHub\eaglep3-reporting\EC\2017-10-11-refined-times.txt</v>
      </c>
      <c r="AI154" s="96" t="str">
        <f t="shared" ref="AI154" si="32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{"issue":{"subject":"","project_id":79,"tracker_id":40,"status_id":1,"priority_id":2,"assigned_to_id":338,"start_date":"2017-10-12","description":"","custom_fields":[{"id":1,"name":"Subdivision","value":"EC"},{"id":4,"name":"Milepost","value":"0.0152"},{"id":17,"name":"Train ID","value":"240-11"},{"id":16,"name":"Locomotive ID","value":"4013"},{"id":130,"name":"Impact","value":""},{"id":150,"name":"Time of Event (Mountain Time)","value":"01:04:32"},{"id":151,"name":"Denver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ref="AM154" si="33">"start /low /b "&amp;dls3logs&amp;" --loco "&amp;B154&amp;" --day "&amp;TEXT(F154,"YYYY-MM-DD")</f>
        <v>start /low /b %USERPROFILE%\Documents\GitHub\eaglep3\Utilities\DownloadLogsFromS3.py --loco 4013 --day 2017-10-12</v>
      </c>
      <c r="AN154" s="151" t="str">
        <f t="shared" ref="AN154" si="34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07:04:32"},{"id":29,"name":"Sharepoint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ref="AO154" si="35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-11T22:22:04-0600',mode:absolute,to:'2017-10-12T02:04:32-0600'))&amp;_a=(columns:!('Message%20ID',Summary),filters:!(),index:'emp_*',interval:auto,query:(query_string:(analyze_wildcard:!t,query:'%22rtdc.l.rtdc.4013%22')),sort:!(Time.ISO8601,asc))</v>
      </c>
    </row>
    <row r="155" spans="1:91" s="20" customFormat="1" x14ac:dyDescent="0.3">
      <c r="A155" s="32" t="s">
        <v>822</v>
      </c>
      <c r="B155" s="7">
        <v>4032</v>
      </c>
      <c r="C155" s="21" t="s">
        <v>194</v>
      </c>
      <c r="D155" s="21" t="s">
        <v>354</v>
      </c>
      <c r="E155" s="13">
        <v>43019.987557870372</v>
      </c>
      <c r="F155" s="13">
        <v>43020.000231481485</v>
      </c>
      <c r="G155" s="7">
        <v>71</v>
      </c>
      <c r="H155" s="21" t="s">
        <v>877</v>
      </c>
      <c r="I155" s="13">
        <v>43020.024016203701</v>
      </c>
      <c r="J155" s="7">
        <v>0</v>
      </c>
      <c r="K155" s="89" t="str">
        <f>IF(ISEVEN(B155),(B155-1)&amp;"/"&amp;B155,B155&amp;"/"&amp;(B155+1))</f>
        <v>4031/4032</v>
      </c>
      <c r="L155" s="185" t="str">
        <f>VLOOKUP(A155,'Trips&amp;Operators'!$C$1:$G$99911,5,FALSE)</f>
        <v>LOZA FIDEL</v>
      </c>
      <c r="M155" s="6">
        <f>I155-F155</f>
        <v>2.378472221607808E-2</v>
      </c>
      <c r="N155" s="7">
        <f>24*60*SUM($M155:$M155)</f>
        <v>34.249999991152436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-11T22:42:05-0600',mode:absolute,to:'2017-10-12T01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204" t="str">
        <f>IF(AA155&lt;VLOOKUP(AG155,Variables!$AC$3:$AD$8,2,FALSE),"Y","N")</f>
        <v>N</v>
      </c>
      <c r="X155" s="204">
        <f t="shared" si="30"/>
        <v>1</v>
      </c>
      <c r="Y155" s="204">
        <f>RIGHT(D155,LEN(D155)-4)/10000</f>
        <v>4.58E-2</v>
      </c>
      <c r="Z155" s="204">
        <f>RIGHT(H155,LEN(H155)-4)/10000</f>
        <v>23.339700000000001</v>
      </c>
      <c r="AA155" s="204">
        <f>ABS(Z155-Y155)</f>
        <v>23.293900000000001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 &amp; 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/stypes="app*4032*20171012*" /stext=" 06:.+((SYSTEM_STATE.+slice.+state.+changed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0"/>
        <v>"%USERPROFILE%\Documents\GitHub\eaglep3\Utilities\RefineRTDCRunTimes.py" --tripid 241-11 --locoid 4032 --swversion DE.1.0.9.0 --startMP 204:458 --initTime 2017-10-11T23:42:05 --startdatetime 2017-10-12T00:00:20 --delay 71 --endMP 204:233397 --enddatetime 2017-10-12T00:34:35 --enforcementcount 0 &gt;&gt;%USERPROFILE%\Documents\GitHub\eaglep3-reporting\EC\2017-10-11-refined-times.txt</v>
      </c>
      <c r="AI155" s="96" t="str">
        <f t="shared" si="21"/>
        <v>echo {"issue":{"subject":"","project_id":79,"tracker_id":40,"status_id":1,"priority_id":2,"assigned_to_id":338,"start_date":"2017-10-12","description":"","custom_fields":[{"id":1,"name":"Subdivision","value":"EC"},{"id":4,"name":"Milepost","value":"23.3397"},{"id":17,"name":"Train ID","value":"241-11"},{"id":16,"name":"Locomotive ID","value":"4032"},{"id":130,"name":"Impact","value":""},{"id":150,"name":"Time of Event (Mountain Time)","value":"00:34:35"},{"id":151,"name":"Denver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22"/>
        <v>start /low /b %USERPROFILE%\Documents\GitHub\eaglep3\Utilities\DownloadLogsFromS3.py --loco 4032 --day 2017-10-12</v>
      </c>
      <c r="AN155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06:34:35"},{"id":29,"name":"Sharepoint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24"/>
        <v>https://d0f6bd738d7f1b3e5a7ca70fe4ff75f0.us-east-1.aws.found.io/app/kibana#/discover/Steve-Slow-Train-Analysis-(2080s-and-2083s)?_g=(refreshInterval:(display:Off,pause:!f,section:0,value:0),time:(from:'2017-10-11T22:42:05-0600',mode:absolute,to:'2017-10-12T01:34:35-0600'))&amp;_a=(columns:!('Message%20ID',Summary),filters:!(),index:'emp_*',interval:auto,query:(query_string:(analyze_wildcard:!t,query:'%22rtdc.l.rtdc.4032%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828</v>
      </c>
      <c r="B156" s="7">
        <v>4031</v>
      </c>
      <c r="C156" s="21" t="s">
        <v>194</v>
      </c>
      <c r="D156" s="21" t="s">
        <v>878</v>
      </c>
      <c r="E156" s="13">
        <v>43020.038564814815</v>
      </c>
      <c r="F156" s="13">
        <v>43020.040034722224</v>
      </c>
      <c r="G156" s="7">
        <v>58</v>
      </c>
      <c r="H156" s="21" t="s">
        <v>358</v>
      </c>
      <c r="I156" s="13">
        <v>43020.065104166664</v>
      </c>
      <c r="J156" s="7">
        <v>0</v>
      </c>
      <c r="K156" s="89" t="str">
        <f>IF(ISEVEN(B156),(B156-1)&amp;"/"&amp;B156,B156&amp;"/"&amp;(B156+1))</f>
        <v>4031/4032</v>
      </c>
      <c r="L156" s="185" t="str">
        <f>VLOOKUP(A156,'Trips&amp;Operators'!$C$1:$G$99911,5,FALSE)</f>
        <v>LOZA FIDEL</v>
      </c>
      <c r="M156" s="6">
        <f>I156-F156</f>
        <v>2.5069444440305233E-2</v>
      </c>
      <c r="N156" s="7">
        <f>24*60*SUM($M156:$M156)</f>
        <v>36.099999994039536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-11T23:55:32-0600',mode:absolute,to:'2017-10-12T02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23.306899999999999</v>
      </c>
      <c r="Z156" s="204">
        <f>RIGHT(H156,LEN(H156)-4)/10000</f>
        <v>1.5599999999999999E-2</v>
      </c>
      <c r="AA156" s="204">
        <f>ABS(Z156-Y156)</f>
        <v>23.2913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 &amp; aws s3 cp s3://rtdc.mdm.uploadarchive.raw/RTDC4031/ "%USERPROFILE%\AppData\Local\Temp\OnboardLogs"\RTDC4031\2017-10-13 --exclude "*" --recursive --include "*20171013*" &amp; "%USERPROFILE%\Documents\GitHub\mrs-test-scripts\Headless Mode &amp; Sideloading\WalkAndUnGZ.bat" "%USERPROFILE%\AppData\Local\Temp\OnboardLogs"\RTDC4031\2017-10-13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/stypes="app*4031*20171012*"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20"/>
        <v>"%USERPROFILE%\Documents\GitHub\eaglep3\Utilities\RefineRTDCRunTimes.py" --tripid 242-11 --locoid 4031 --swversion DE.1.0.9.0 --startMP 204:233069 --initTime 2017-10-12T00:55:32 --startdatetime 2017-10-12T00:57:39 --delay 58 --endMP 204:156 --enddatetime 2017-10-12T01:33:45 --enforcementcount 0 &gt;&gt;%USERPROFILE%\Documents\GitHub\eaglep3-reporting\EC\2017-10-11-refined-times.txt</v>
      </c>
      <c r="AI156" s="96" t="str">
        <f t="shared" si="21"/>
        <v>echo {"issue":{"subject":"","project_id":79,"tracker_id":40,"status_id":1,"priority_id":2,"assigned_to_id":338,"start_date":"2017-10-12","description":"","custom_fields":[{"id":1,"name":"Subdivision","value":"EC"},{"id":4,"name":"Milepost","value":"0.0156"},{"id":17,"name":"Train ID","value":"242-11"},{"id":16,"name":"Locomotive ID","value":"4031"},{"id":130,"name":"Impact","value":""},{"id":150,"name":"Time of Event (Mountain Time)","value":"01:33:45"},{"id":151,"name":"Denver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22"/>
        <v>start /low /b %USERPROFILE%\Documents\GitHub\eaglep3\Utilities\DownloadLogsFromS3.py --loco 4031 --day 2017-10-12</v>
      </c>
      <c r="AN156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07:33:45"},{"id":29,"name":"Sharepoint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24"/>
        <v>https://d0f6bd738d7f1b3e5a7ca70fe4ff75f0.us-east-1.aws.found.io/app/kibana#/discover/Steve-Slow-Train-Analysis-(2080s-and-2083s)?_g=(refreshInterval:(display:Off,pause:!f,section:0,value:0),time:(from:'2017-10-11T23:55:32-0600',mode:absolute,to:'2017-10-12T02:33:45-0600'))&amp;_a=(columns:!('Message%20ID',Summary),filters:!(),index:'emp_*',interval:auto,query:(query_string:(analyze_wildcard:!t,query:'%22rtdc.l.rtdc.4031%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824</v>
      </c>
      <c r="B157" s="7">
        <v>4036</v>
      </c>
      <c r="C157" s="21" t="s">
        <v>194</v>
      </c>
      <c r="D157" s="21" t="s">
        <v>375</v>
      </c>
      <c r="E157" s="13">
        <v>43020.006111111114</v>
      </c>
      <c r="F157" s="13">
        <v>43020.021180555559</v>
      </c>
      <c r="G157" s="7">
        <v>81</v>
      </c>
      <c r="H157" s="21" t="s">
        <v>480</v>
      </c>
      <c r="I157" s="13">
        <v>43020.04519675926</v>
      </c>
      <c r="J157" s="7">
        <v>0</v>
      </c>
      <c r="K157" s="89" t="str">
        <f>IF(ISEVEN(B157),(B157-1)&amp;"/"&amp;B157,B157&amp;"/"&amp;(B157+1))</f>
        <v>4035/4036</v>
      </c>
      <c r="L157" s="185" t="str">
        <f>VLOOKUP(A157,'Trips&amp;Operators'!$C$1:$G$99911,5,FALSE)</f>
        <v>LOPES KIMBERLY</v>
      </c>
      <c r="M157" s="6">
        <f>I157-F157</f>
        <v>2.4016203700739425E-2</v>
      </c>
      <c r="N157" s="7">
        <f>24*60*SUM($M157:$M157)</f>
        <v>34.583333329064772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-11T23:08:48-0600',mode:absolute,to:'2017-10-12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4.6600000000000003E-2</v>
      </c>
      <c r="Z157" s="204">
        <f>RIGHT(H157,LEN(H157)-4)/10000</f>
        <v>23.332699999999999</v>
      </c>
      <c r="AA157" s="204">
        <f>ABS(Z157-Y157)</f>
        <v>23.286099999999998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 &amp; 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/stypes="app*4036*20171012*"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0"/>
        <v>"%USERPROFILE%\Documents\GitHub\eaglep3\Utilities\RefineRTDCRunTimes.py" --tripid 243-11 --locoid 4036 --swversion DE.1.0.9.0 --startMP 204:466 --initTime 2017-10-12T00:08:48 --startdatetime 2017-10-12T00:30:30 --delay 81 --endMP 204:233327 --enddatetime 2017-10-12T01:05:05 --enforcementcount 0 &gt;&gt;%USERPROFILE%\Documents\GitHub\eaglep3-reporting\EC\2017-10-11-refined-times.txt</v>
      </c>
      <c r="AI157" s="96" t="str">
        <f t="shared" si="21"/>
        <v>echo {"issue":{"subject":"","project_id":79,"tracker_id":40,"status_id":1,"priority_id":2,"assigned_to_id":338,"start_date":"2017-10-12","description":"","custom_fields":[{"id":1,"name":"Subdivision","value":"EC"},{"id":4,"name":"Milepost","value":"23.3327"},{"id":17,"name":"Train ID","value":"243-11"},{"id":16,"name":"Locomotive ID","value":"4036"},{"id":130,"name":"Impact","value":""},{"id":150,"name":"Time of Event (Mountain Time)","value":"01:05:05"},{"id":151,"name":"Denver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2"/>
        <v>start /low /b %USERPROFILE%\Documents\GitHub\eaglep3\Utilities\DownloadLogsFromS3.py --loco 4036 --day 2017-10-12</v>
      </c>
      <c r="AN157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07:05:05"},{"id":29,"name":"Sharepoint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24"/>
        <v>https://d0f6bd738d7f1b3e5a7ca70fe4ff75f0.us-east-1.aws.found.io/app/kibana#/discover/Steve-Slow-Train-Analysis-(2080s-and-2083s)?_g=(refreshInterval:(display:Off,pause:!f,section:0,value:0),time:(from:'2017-10-11T23:08:48-0600',mode:absolute,to:'2017-10-12T02:05:05-0600'))&amp;_a=(columns:!('Message%20ID',Summary),filters:!(),index:'emp_*',interval:auto,query:(query_string:(analyze_wildcard:!t,query:'%22rtdc.l.rtdc.4036%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830</v>
      </c>
      <c r="B158" s="7">
        <v>4035</v>
      </c>
      <c r="C158" s="21" t="s">
        <v>194</v>
      </c>
      <c r="D158" s="21" t="s">
        <v>457</v>
      </c>
      <c r="E158" s="13">
        <v>43020.050081018519</v>
      </c>
      <c r="F158" s="13">
        <v>43020.060601851852</v>
      </c>
      <c r="G158" s="7">
        <v>108</v>
      </c>
      <c r="H158" s="21" t="s">
        <v>551</v>
      </c>
      <c r="I158" s="13">
        <v>43020.087152777778</v>
      </c>
      <c r="J158" s="7">
        <v>0</v>
      </c>
      <c r="K158" s="89" t="str">
        <f>IF(ISEVEN(B158),(B158-1)&amp;"/"&amp;B158,B158&amp;"/"&amp;(B158+1))</f>
        <v>4035/4036</v>
      </c>
      <c r="L158" s="185" t="str">
        <f>VLOOKUP(A158,'Trips&amp;Operators'!$C$1:$G$99911,5,FALSE)</f>
        <v>LOPES KIMBERLY</v>
      </c>
      <c r="M158" s="6">
        <f>I158-F158</f>
        <v>2.6550925926130731E-2</v>
      </c>
      <c r="N158" s="7">
        <f>24*60*SUM($M158:$M158)</f>
        <v>38.233333333628252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-12T00:12:07-0600',mode:absolute,to:'2017-10-12T03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</v>
      </c>
      <c r="Y158" s="204">
        <f>RIGHT(D158,LEN(D158)-4)/10000</f>
        <v>23.301300000000001</v>
      </c>
      <c r="Z158" s="204">
        <f>RIGHT(H158,LEN(H158)-4)/10000</f>
        <v>1.4E-2</v>
      </c>
      <c r="AA158" s="204">
        <f>ABS(Z158-Y158)</f>
        <v>23.287300000000002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 &amp; aws s3 cp s3://rtdc.mdm.uploadarchive.raw/RTDC4035/ "%USERPROFILE%\AppData\Local\Temp\OnboardLogs"\RTDC4035\2017-10-13 --exclude "*" --recursive --include "*20171013*" &amp; "%USERPROFILE%\Documents\GitHub\mrs-test-scripts\Headless Mode &amp; Sideloading\WalkAndUnGZ.bat" "%USERPROFILE%\AppData\Local\Temp\OnboardLogs"\RTDC4035\2017-10-13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/stypes="app*4035*20171012*" /stext=" 08:.+((SYSTEM_STATE.+slice.+state.+changed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20"/>
        <v>"%USERPROFILE%\Documents\GitHub\eaglep3\Utilities\RefineRTDCRunTimes.py" --tripid 244-11 --locoid 4035 --swversion DE.1.0.9.0 --startMP 204:233013 --initTime 2017-10-12T01:12:07 --startdatetime 2017-10-12T01:27:16 --delay 108 --endMP 204:140 --enddatetime 2017-10-12T02:05:30 --enforcementcount 0 &gt;&gt;%USERPROFILE%\Documents\GitHub\eaglep3-reporting\EC\2017-10-11-refined-times.txt</v>
      </c>
      <c r="AI158" s="96" t="str">
        <f t="shared" si="21"/>
        <v>echo {"issue":{"subject":"","project_id":79,"tracker_id":40,"status_id":1,"priority_id":2,"assigned_to_id":338,"start_date":"2017-10-12","description":"","custom_fields":[{"id":1,"name":"Subdivision","value":"EC"},{"id":4,"name":"Milepost","value":"0.014"},{"id":17,"name":"Train ID","value":"244-11"},{"id":16,"name":"Locomotive ID","value":"4035"},{"id":130,"name":"Impact","value":""},{"id":150,"name":"Time of Event (Mountain Time)","value":"02:05:30"},{"id":151,"name":"Denver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2"/>
        <v>start /low /b %USERPROFILE%\Documents\GitHub\eaglep3\Utilities\DownloadLogsFromS3.py --loco 4035 --day 2017-10-12</v>
      </c>
      <c r="AN158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08:05:30"},{"id":29,"name":"Sharepoint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24"/>
        <v>https://d0f6bd738d7f1b3e5a7ca70fe4ff75f0.us-east-1.aws.found.io/app/kibana#/discover/Steve-Slow-Train-Analysis-(2080s-and-2083s)?_g=(refreshInterval:(display:Off,pause:!f,section:0,value:0),time:(from:'2017-10-12T00:12:07-0600',mode:absolute,to:'2017-10-12T03:05:30-0600'))&amp;_a=(columns:!('Message%20ID',Summary),filters:!(),index:'emp_*',interval:auto,query:(query_string:(analyze_wildcard:!t,query:'%22rtdc.l.rtdc.4035%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576</v>
      </c>
      <c r="B159" s="7">
        <v>4043</v>
      </c>
      <c r="C159" s="21" t="s">
        <v>194</v>
      </c>
      <c r="D159" s="21" t="s">
        <v>554</v>
      </c>
      <c r="E159" s="13">
        <v>43019.211192129631</v>
      </c>
      <c r="F159" s="13">
        <v>43019.215833333335</v>
      </c>
      <c r="G159" s="7">
        <v>69</v>
      </c>
      <c r="H159" s="21" t="s">
        <v>932</v>
      </c>
      <c r="I159" s="13">
        <v>43019.226469907408</v>
      </c>
      <c r="J159" s="7">
        <v>0</v>
      </c>
      <c r="K159" s="89" t="str">
        <f>IF(ISEVEN(B159),(B159-1)&amp;"/"&amp;B159,B159&amp;"/"&amp;(B159+1))</f>
        <v>4043/4044</v>
      </c>
      <c r="L159" s="185" t="str">
        <f>VLOOKUP(A159,'Trips&amp;Operators'!$C$1:$G$99911,5,FALSE)</f>
        <v>LAMAR NEKESHA</v>
      </c>
      <c r="M159" s="6">
        <f>I159-F159</f>
        <v>1.063657407212304E-2</v>
      </c>
      <c r="N159" s="7">
        <f>24*60*SUM($M159:$M159)</f>
        <v>15.316666663857177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-11T04:04:07-0600',mode:absolute,to:'2017-10-11T06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556</v>
      </c>
      <c r="Y159" s="204">
        <f>RIGHT(D159,LEN(D159)-4)/10000</f>
        <v>5.8672000000000004</v>
      </c>
      <c r="Z159" s="204">
        <f>RIGHT(H159,LEN(H159)-4)/10000</f>
        <v>6.3799999999999996E-2</v>
      </c>
      <c r="AA159" s="204">
        <f>ABS(Z159-Y159)</f>
        <v>5.8034000000000008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/stypes="app*4043*20171011*"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20"/>
        <v>"%USERPROFILE%\Documents\GitHub\eaglep3\Utilities\RefineRTDCRunTimes.py" --tripid 800-11 --locoid 4043 --swversion DE.1.0.9.0 --startMP 300:58672 --initTime 2017-10-11T05:04:07 --startdatetime 2017-10-11T05:10:48 --delay 69 --endMP 204:638 --enddatetime 2017-10-11T05:26:07 --enforcementcount 0 &gt;&gt;%USERPROFILE%\Documents\GitHub\eaglep3-reporting\EC\2017-10-11-refined-times.txt</v>
      </c>
      <c r="AI159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{"issue":{"subject":"","project_id":79,"tracker_id":40,"status_id":1,"priority_id":2,"assigned_to_id":338,"start_date":"2017-10-11","description":"","custom_fields":[{"id":1,"name":"Subdivision","value":"NW"},{"id":4,"name":"Milepost","value":"0.0638"},{"id":17,"name":"Train ID","value":"800-11"},{"id":16,"name":"Locomotive ID","value":"4043"},{"id":130,"name":"Impact","value":""},{"id":150,"name":"Time of Event (Mountain Time)","value":"05:26:07"},{"id":151,"name":"Denver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2"/>
        <v>start /low /b %USERPROFILE%\Documents\GitHub\eaglep3\Utilities\DownloadLogsFromS3.py --loco 4043 --day 2017-10-11</v>
      </c>
      <c r="AN159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24"/>
        <v>https://d0f6bd738d7f1b3e5a7ca70fe4ff75f0.us-east-1.aws.found.io/app/kibana#/discover/Steve-Slow-Train-Analysis-(2080s-and-2083s)?_g=(refreshInterval:(display:Off,pause:!f,section:0,value:0),time:(from:'2017-10-11T04:04:07-0600',mode:absolute,to:'2017-10-11T06:26:07-0600'))&amp;_a=(columns:!('Message%20ID',Summary),filters:!(),index:'emp_*',interval:auto,query:(query_string:(analyze_wildcard:!t,query:'%22rtdc.l.rtdc.4043%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577</v>
      </c>
      <c r="B160" s="7">
        <v>4044</v>
      </c>
      <c r="C160" s="21" t="s">
        <v>194</v>
      </c>
      <c r="D160" s="21" t="s">
        <v>554</v>
      </c>
      <c r="E160" s="13">
        <v>43019.211192129631</v>
      </c>
      <c r="F160" s="13">
        <v>43019.235636574071</v>
      </c>
      <c r="G160" s="7">
        <v>69</v>
      </c>
      <c r="H160" s="21" t="s">
        <v>932</v>
      </c>
      <c r="I160" s="13">
        <v>43019.245393518519</v>
      </c>
      <c r="J160" s="7">
        <v>0</v>
      </c>
      <c r="K160" s="89" t="str">
        <f>IF(ISEVEN(B160),(B160-1)&amp;"/"&amp;B160,B160&amp;"/"&amp;(B160+1))</f>
        <v>4043/4044</v>
      </c>
      <c r="L160" s="185" t="str">
        <f>VLOOKUP(A160,'Trips&amp;Operators'!$C$1:$G$99911,5,FALSE)</f>
        <v>LAMAR NEKESHA</v>
      </c>
      <c r="M160" s="6">
        <f>I160-F160</f>
        <v>9.7569444478722289E-3</v>
      </c>
      <c r="N160" s="7">
        <f>24*60*SUM($M160:$M160)</f>
        <v>14.05000000493601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-11T04:04:07-0600',mode:absolute,to:'2017-10-11T06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v>9.9699999999999997E-2</v>
      </c>
      <c r="Z160" s="204">
        <v>5.8960999999999997</v>
      </c>
      <c r="AA160" s="204">
        <f>ABS(Z160-Y160)</f>
        <v>5.7963999999999993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/stypes="app*4044*20171011*" /stext=" 11:.+((SYSTEM_STATE.+slice.+state.+changed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ref="AH160" si="36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801-11 --locoid 4044 --swversion DE.1.0.9.0 --startMP 300:58672 --initTime 2017-10-11T05:04:07 --startdatetime 2017-10-11T05:39:19 --delay 69 --endMP 204:638 --enddatetime 2017-10-11T05:53:22 --enforcementcount 0 &gt;&gt;%USERPROFILE%\Documents\GitHub\eaglep3-reporting\EC\2017-10-11-refined-times.txt</v>
      </c>
      <c r="AI160" s="96" t="str">
        <f t="shared" ref="AI160" si="37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{"issue":{"subject":"","project_id":79,"tracker_id":40,"status_id":1,"priority_id":2,"assigned_to_id":338,"start_date":"2017-10-11","description":"","custom_fields":[{"id":1,"name":"Subdivision","value":"NW"},{"id":4,"name":"Milepost","value":"5.8961"},{"id":17,"name":"Train ID","value":"801-11"},{"id":16,"name":"Locomotive ID","value":"4044"},{"id":130,"name":"Impact","value":""},{"id":150,"name":"Time of Event (Mountain Time)","value":"05:53:22"},{"id":151,"name":"Denver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ref="AM160" si="38">"start /low /b "&amp;dls3logs&amp;" --loco "&amp;B160&amp;" --day "&amp;TEXT(F160,"YYYY-MM-DD")</f>
        <v>start /low /b %USERPROFILE%\Documents\GitHub\eaglep3\Utilities\DownloadLogsFromS3.py --loco 4044 --day 2017-10-11</v>
      </c>
      <c r="AN160" s="151" t="str">
        <f t="shared" ref="AN160" si="39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ref="AO160" si="40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-11T04:04:07-0600',mode:absolute,to:'2017-10-11T06:53:22-0600'))&amp;_a=(columns:!('Message%20ID',Summary),filters:!(),index:'emp_*',interval:auto,query:(query_string:(analyze_wildcard:!t,query:'%22rtdc.l.rtdc.4044%22')),sort:!(Time.ISO8601,asc))</v>
      </c>
    </row>
    <row r="161" spans="1:91" s="20" customFormat="1" x14ac:dyDescent="0.3">
      <c r="A161" s="32" t="s">
        <v>579</v>
      </c>
      <c r="B161" s="7">
        <v>4043</v>
      </c>
      <c r="C161" s="21" t="s">
        <v>194</v>
      </c>
      <c r="D161" s="21" t="s">
        <v>933</v>
      </c>
      <c r="E161" s="13">
        <v>43019.255243055559</v>
      </c>
      <c r="F161" s="13">
        <v>43019.257476851853</v>
      </c>
      <c r="G161" s="7">
        <v>63</v>
      </c>
      <c r="H161" s="21" t="s">
        <v>934</v>
      </c>
      <c r="I161" s="13">
        <v>43019.267210648148</v>
      </c>
      <c r="J161" s="7">
        <v>0</v>
      </c>
      <c r="K161" s="89" t="str">
        <f>IF(ISEVEN(B161),(B161-1)&amp;"/"&amp;B161,B161&amp;"/"&amp;(B161+1))</f>
        <v>4043/4044</v>
      </c>
      <c r="L161" s="185" t="str">
        <f>VLOOKUP(A161,'Trips&amp;Operators'!$C$1:$G$99911,5,FALSE)</f>
        <v>LAMAR NEKESHA</v>
      </c>
      <c r="M161" s="6">
        <f>I161-F161</f>
        <v>9.7337962943129241E-3</v>
      </c>
      <c r="N161" s="7">
        <f>24*60*SUM($M161:$M161)</f>
        <v>14.016666663810611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-11T05:07:33-0600',mode:absolute,to:'2017-10-11T07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5.8677999999999999</v>
      </c>
      <c r="Z161" s="204">
        <f>RIGHT(H161,LEN(H161)-4)/10000</f>
        <v>6.3299999999999995E-2</v>
      </c>
      <c r="AA161" s="204">
        <f>ABS(Z161-Y161)</f>
        <v>5.8045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/stypes="app*4043*20171011*"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0"/>
        <v>"%USERPROFILE%\Documents\GitHub\eaglep3\Utilities\RefineRTDCRunTimes.py" --tripid 802-11 --locoid 4043 --swversion DE.1.0.9.0 --startMP 300:58678 --initTime 2017-10-11T06:07:33 --startdatetime 2017-10-11T06:10:46 --delay 63 --endMP 204:633 --enddatetime 2017-10-11T06:24:47 --enforcementcount 0 &gt;&gt;%USERPROFILE%\Documents\GitHub\eaglep3-reporting\EC\2017-10-11-refined-times.txt</v>
      </c>
      <c r="AI161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{"issue":{"subject":"","project_id":79,"tracker_id":40,"status_id":1,"priority_id":2,"assigned_to_id":338,"start_date":"2017-10-11","description":"","custom_fields":[{"id":1,"name":"Subdivision","value":"NW"},{"id":4,"name":"Milepost","value":"0.0633"},{"id":17,"name":"Train ID","value":"802-11"},{"id":16,"name":"Locomotive ID","value":"4043"},{"id":130,"name":"Impact","value":""},{"id":150,"name":"Time of Event (Mountain Time)","value":"06:24:47"},{"id":151,"name":"Denver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2"/>
        <v>start /low /b %USERPROFILE%\Documents\GitHub\eaglep3\Utilities\DownloadLogsFromS3.py --loco 4043 --day 2017-10-11</v>
      </c>
      <c r="AN161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24"/>
        <v>https://d0f6bd738d7f1b3e5a7ca70fe4ff75f0.us-east-1.aws.found.io/app/kibana#/discover/Steve-Slow-Train-Analysis-(2080s-and-2083s)?_g=(refreshInterval:(display:Off,pause:!f,section:0,value:0),time:(from:'2017-10-11T05:07:33-0600',mode:absolute,to:'2017-10-11T07:24:47-0600'))&amp;_a=(columns:!('Message%20ID',Summary),filters:!(),index:'emp_*',interval:auto,query:(query_string:(analyze_wildcard:!t,query:'%22rtdc.l.rtdc.4043%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646</v>
      </c>
      <c r="B162" s="7">
        <v>4064</v>
      </c>
      <c r="C162" s="21" t="s">
        <v>194</v>
      </c>
      <c r="D162" s="21" t="s">
        <v>935</v>
      </c>
      <c r="E162" s="13">
        <v>43019.248715277776</v>
      </c>
      <c r="F162" s="13">
        <v>43019.256481481483</v>
      </c>
      <c r="G162" s="7">
        <v>94</v>
      </c>
      <c r="H162" s="21" t="s">
        <v>936</v>
      </c>
      <c r="I162" s="13">
        <v>43019.266712962963</v>
      </c>
      <c r="J162" s="7">
        <v>0</v>
      </c>
      <c r="K162" s="89" t="str">
        <f>IF(ISEVEN(B162),(B162-1)&amp;"/"&amp;B162,B162&amp;"/"&amp;(B162+1))</f>
        <v>4063/4064</v>
      </c>
      <c r="L162" s="185" t="str">
        <f>VLOOKUP(A162,'Trips&amp;Operators'!$C$1:$G$99911,5,FALSE)</f>
        <v>GEBRETEKLE DAGNEW</v>
      </c>
      <c r="M162" s="6">
        <f>I162-F162</f>
        <v>1.0231481479422655E-2</v>
      </c>
      <c r="N162" s="7">
        <f>24*60*SUM($M162:$M162)</f>
        <v>14.733333330368623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-11T04:58:09-0600',mode:absolute,to:'2017-10-11T07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9.9699999999999997E-2</v>
      </c>
      <c r="Z162" s="204">
        <f>RIGHT(H162,LEN(H162)-4)/10000</f>
        <v>5.8960999999999997</v>
      </c>
      <c r="AA162" s="204">
        <f>ABS(Z162-Y162)</f>
        <v>5.7963999999999993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/stypes="app*4064*20171011*"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0"/>
        <v>"%USERPROFILE%\Documents\GitHub\eaglep3\Utilities\RefineRTDCRunTimes.py" --tripid 803-11 --locoid 4064 --swversion DE.1.0.9.0 --startMP 204:997 --initTime 2017-10-11T05:58:09 --startdatetime 2017-10-11T06:09:20 --delay 94 --endMP 300:58961 --enddatetime 2017-10-11T06:24:04 --enforcementcount 0 &gt;&gt;%USERPROFILE%\Documents\GitHub\eaglep3-reporting\EC\2017-10-11-refined-times.txt</v>
      </c>
      <c r="AI162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{"issue":{"subject":"","project_id":79,"tracker_id":40,"status_id":1,"priority_id":2,"assigned_to_id":338,"start_date":"2017-10-11","description":"","custom_fields":[{"id":1,"name":"Subdivision","value":"NW"},{"id":4,"name":"Milepost","value":"5.8961"},{"id":17,"name":"Train ID","value":"803-11"},{"id":16,"name":"Locomotive ID","value":"4064"},{"id":130,"name":"Impact","value":""},{"id":150,"name":"Time of Event (Mountain Time)","value":"06:24:04"},{"id":151,"name":"Denver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2"/>
        <v>start /low /b %USERPROFILE%\Documents\GitHub\eaglep3\Utilities\DownloadLogsFromS3.py --loco 4064 --day 2017-10-11</v>
      </c>
      <c r="AN162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24"/>
        <v>https://d0f6bd738d7f1b3e5a7ca70fe4ff75f0.us-east-1.aws.found.io/app/kibana#/discover/Steve-Slow-Train-Analysis-(2080s-and-2083s)?_g=(refreshInterval:(display:Off,pause:!f,section:0,value:0),time:(from:'2017-10-11T04:58:09-0600',mode:absolute,to:'2017-10-11T07:24:04-0600'))&amp;_a=(columns:!('Message%20ID',Summary),filters:!(),index:'emp_*',interval:auto,query:(query_string:(analyze_wildcard:!t,query:'%22rtdc.l.rtdc.4064%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651</v>
      </c>
      <c r="B163" s="7">
        <v>4063</v>
      </c>
      <c r="C163" s="21" t="s">
        <v>194</v>
      </c>
      <c r="D163" s="21" t="s">
        <v>555</v>
      </c>
      <c r="E163" s="13">
        <v>43019.268067129633</v>
      </c>
      <c r="F163" s="13">
        <v>43019.279363425929</v>
      </c>
      <c r="G163" s="7">
        <v>56</v>
      </c>
      <c r="H163" s="21" t="s">
        <v>937</v>
      </c>
      <c r="I163" s="13">
        <v>43019.288252314815</v>
      </c>
      <c r="J163" s="7">
        <v>0</v>
      </c>
      <c r="K163" s="89" t="str">
        <f>IF(ISEVEN(B163),(B163-1)&amp;"/"&amp;B163,B163&amp;"/"&amp;(B163+1))</f>
        <v>4063/4064</v>
      </c>
      <c r="L163" s="185" t="str">
        <f>VLOOKUP(A163,'Trips&amp;Operators'!$C$1:$G$99911,5,FALSE)</f>
        <v>GEBRETEKLE DAGNEW</v>
      </c>
      <c r="M163" s="6">
        <f>I163-F163</f>
        <v>8.8888888858491555E-3</v>
      </c>
      <c r="N163" s="7">
        <f>24*60*SUM($M163:$M163)</f>
        <v>12.799999995622784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-11T05:26:01-0600',mode:absolute,to:'2017-10-11T07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5.8651</v>
      </c>
      <c r="Z163" s="204">
        <f>RIGHT(H163,LEN(H163)-4)/10000</f>
        <v>7.3400000000000007E-2</v>
      </c>
      <c r="AA163" s="204">
        <f>ABS(Z163-Y163)</f>
        <v>5.7916999999999996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/stypes="app*4063*20171011*"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0"/>
        <v>"%USERPROFILE%\Documents\GitHub\eaglep3\Utilities\RefineRTDCRunTimes.py" --tripid 804-11 --locoid 4063 --swversion DE.1.0.9.0 --startMP 300:58651 --initTime 2017-10-11T06:26:01 --startdatetime 2017-10-11T06:42:17 --delay 56 --endMP 204:734 --enddatetime 2017-10-11T06:55:05 --enforcementcount 0 &gt;&gt;%USERPROFILE%\Documents\GitHub\eaglep3-reporting\EC\2017-10-11-refined-times.txt</v>
      </c>
      <c r="AI163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{"issue":{"subject":"","project_id":79,"tracker_id":40,"status_id":1,"priority_id":2,"assigned_to_id":338,"start_date":"2017-10-11","description":"","custom_fields":[{"id":1,"name":"Subdivision","value":"NW"},{"id":4,"name":"Milepost","value":"0.0734"},{"id":17,"name":"Train ID","value":"804-11"},{"id":16,"name":"Locomotive ID","value":"4063"},{"id":130,"name":"Impact","value":""},{"id":150,"name":"Time of Event (Mountain Time)","value":"06:55:05"},{"id":151,"name":"Denver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2"/>
        <v>start /low /b %USERPROFILE%\Documents\GitHub\eaglep3\Utilities\DownloadLogsFromS3.py --loco 4063 --day 2017-10-11</v>
      </c>
      <c r="AN163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24"/>
        <v>https://d0f6bd738d7f1b3e5a7ca70fe4ff75f0.us-east-1.aws.found.io/app/kibana#/discover/Steve-Slow-Train-Analysis-(2080s-and-2083s)?_g=(refreshInterval:(display:Off,pause:!f,section:0,value:0),time:(from:'2017-10-11T05:26:01-0600',mode:absolute,to:'2017-10-11T07:55:05-0600'))&amp;_a=(columns:!('Message%20ID',Summary),filters:!(),index:'emp_*',interval:auto,query:(query_string:(analyze_wildcard:!t,query:'%22rtdc.l.rtdc.4063%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580</v>
      </c>
      <c r="B164" s="7">
        <v>4044</v>
      </c>
      <c r="C164" s="21" t="s">
        <v>194</v>
      </c>
      <c r="D164" s="21" t="s">
        <v>938</v>
      </c>
      <c r="E164" s="13">
        <v>43019.273854166669</v>
      </c>
      <c r="F164" s="13">
        <v>43019.277245370373</v>
      </c>
      <c r="G164" s="7">
        <v>76</v>
      </c>
      <c r="H164" s="21" t="s">
        <v>417</v>
      </c>
      <c r="I164" s="13">
        <v>43019.287083333336</v>
      </c>
      <c r="J164" s="7">
        <v>0</v>
      </c>
      <c r="K164" s="89" t="str">
        <f>IF(ISEVEN(B164),(B164-1)&amp;"/"&amp;B164,B164&amp;"/"&amp;(B164+1))</f>
        <v>4043/4044</v>
      </c>
      <c r="L164" s="185" t="str">
        <f>VLOOKUP(A164,'Trips&amp;Operators'!$C$1:$G$99911,5,FALSE)</f>
        <v>LAMAR NEKESHA</v>
      </c>
      <c r="M164" s="6">
        <f>I164-F164</f>
        <v>9.8379629635019228E-3</v>
      </c>
      <c r="N164" s="7">
        <f>24*60*SUM($M164:$M164)</f>
        <v>14.166666667442769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-11T05:34:21-0600',mode:absolute,to:'2017-10-11T07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9.2700000000000005E-2</v>
      </c>
      <c r="Z164" s="204">
        <f>RIGHT(H164,LEN(H164)-4)/10000</f>
        <v>5.8933</v>
      </c>
      <c r="AA164" s="204">
        <f>ABS(Z164-Y164)</f>
        <v>5.8006000000000002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/stypes="app*4044*20171011*"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0"/>
        <v>"%USERPROFILE%\Documents\GitHub\eaglep3\Utilities\RefineRTDCRunTimes.py" --tripid 805-11 --locoid 4044 --swversion DE.1.0.9.0 --startMP 204:927 --initTime 2017-10-11T06:34:21 --startdatetime 2017-10-11T06:39:14 --delay 76 --endMP 300:58933 --enddatetime 2017-10-11T06:53:24 --enforcementcount 0 &gt;&gt;%USERPROFILE%\Documents\GitHub\eaglep3-reporting\EC\2017-10-11-refined-times.txt</v>
      </c>
      <c r="AI164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{"issue":{"subject":"","project_id":79,"tracker_id":40,"status_id":1,"priority_id":2,"assigned_to_id":338,"start_date":"2017-10-11","description":"","custom_fields":[{"id":1,"name":"Subdivision","value":"NW"},{"id":4,"name":"Milepost","value":"5.8933"},{"id":17,"name":"Train ID","value":"805-11"},{"id":16,"name":"Locomotive ID","value":"4044"},{"id":130,"name":"Impact","value":""},{"id":150,"name":"Time of Event (Mountain Time)","value":"06:53:24"},{"id":151,"name":"Denver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2"/>
        <v>start /low /b %USERPROFILE%\Documents\GitHub\eaglep3\Utilities\DownloadLogsFromS3.py --loco 4044 --day 2017-10-11</v>
      </c>
      <c r="AN164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12:53:24"},{"id":29,"name":"Sharepoint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24"/>
        <v>https://d0f6bd738d7f1b3e5a7ca70fe4ff75f0.us-east-1.aws.found.io/app/kibana#/discover/Steve-Slow-Train-Analysis-(2080s-and-2083s)?_g=(refreshInterval:(display:Off,pause:!f,section:0,value:0),time:(from:'2017-10-11T05:34:21-0600',mode:absolute,to:'2017-10-11T07:53:24-0600'))&amp;_a=(columns:!('Message%20ID',Summary),filters:!(),index:'emp_*',interval:auto,query:(query_string:(analyze_wildcard:!t,query:'%22rtdc.l.rtdc.4044%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656</v>
      </c>
      <c r="B165" s="7">
        <v>4043</v>
      </c>
      <c r="C165" s="21" t="s">
        <v>194</v>
      </c>
      <c r="D165" s="21" t="s">
        <v>939</v>
      </c>
      <c r="E165" s="13">
        <v>43019.299317129633</v>
      </c>
      <c r="F165" s="13">
        <v>43019.30097222222</v>
      </c>
      <c r="G165" s="7">
        <v>62</v>
      </c>
      <c r="H165" s="21" t="s">
        <v>940</v>
      </c>
      <c r="I165" s="13">
        <v>43019.310208333336</v>
      </c>
      <c r="J165" s="7">
        <v>0</v>
      </c>
      <c r="K165" s="89" t="str">
        <f>IF(ISEVEN(B165),(B165-1)&amp;"/"&amp;B165,B165&amp;"/"&amp;(B165+1))</f>
        <v>4043/4044</v>
      </c>
      <c r="L165" s="185" t="str">
        <f>VLOOKUP(A165,'Trips&amp;Operators'!$C$1:$G$99911,5,FALSE)</f>
        <v>LAMAR NEKESHA</v>
      </c>
      <c r="M165" s="6">
        <f>I165-F165</f>
        <v>9.236111116479151E-3</v>
      </c>
      <c r="N165" s="7">
        <f>24*60*SUM($M165:$M165)</f>
        <v>13.300000007729977</v>
      </c>
      <c r="O165" s="7"/>
      <c r="P165" s="7"/>
      <c r="Q165" s="22"/>
      <c r="R165" s="174" t="s">
        <v>1014</v>
      </c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-11T06:11:01-0600',mode:absolute,to:'2017-10-11T08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5.7259000000000002</v>
      </c>
      <c r="Z165" s="204">
        <f>RIGHT(H165,LEN(H165)-4)/10000</f>
        <v>6.9599999999999995E-2</v>
      </c>
      <c r="AA165" s="204">
        <f>ABS(Z165-Y165)</f>
        <v>5.6562999999999999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/stypes="app*4043*20171011*"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0"/>
        <v>"%USERPROFILE%\Documents\GitHub\eaglep3\Utilities\RefineRTDCRunTimes.py" --tripid 806-11 --locoid 4043 --swversion DE.1.0.9.0 --startMP 300:57259 --initTime 2017-10-11T07:11:01 --startdatetime 2017-10-11T07:13:24 --delay 62 --endMP 204:696 --enddatetime 2017-10-11T07:26:42 --enforcementcount 0 &gt;&gt;%USERPROFILE%\Documents\GitHub\eaglep3-reporting\EC\2017-10-11-refined-times.txt</v>
      </c>
      <c r="AI165" s="96" t="str">
        <f t="shared" si="21"/>
        <v>echo {"issue":{"subject":"Minor onboard en route failure during init, re-init successful","project_id":79,"tracker_id":40,"status_id":1,"priority_id":2,"assigned_to_id":338,"start_date":"2017-10-11","description":"","custom_fields":[{"id":1,"name":"Subdivision","value":"NW"},{"id":4,"name":"Milepost","value":"0.0696"},{"id":17,"name":"Train ID","value":"806-11"},{"id":16,"name":"Locomotive ID","value":"4043"},{"id":130,"name":"Impact","value":""},{"id":150,"name":"Time of Event (Mountain Time)","value":"07:26:42"},{"id":151,"name":"Denver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2"/>
        <v>start /low /b %USERPROFILE%\Documents\GitHub\eaglep3\Utilities\DownloadLogsFromS3.py --loco 4043 --day 2017-10-11</v>
      </c>
      <c r="AN165" s="151" t="str">
        <f t="shared" si="23"/>
        <v>echo {"issue":{"subject":"Minor onboard en route failure during init, re-init successful","project_id":30,"tracker_id":4,"status_id":1,"priority_id":1,"assigned_to_id":10,"start_date":"2017-10-11","description":"","custom_fields":[{"id":30,"name":"Category","value":"Issue"},{"id":3,"name":"Functional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24"/>
        <v>https://d0f6bd738d7f1b3e5a7ca70fe4ff75f0.us-east-1.aws.found.io/app/kibana#/discover/Steve-Slow-Train-Analysis-(2080s-and-2083s)?_g=(refreshInterval:(display:Off,pause:!f,section:0,value:0),time:(from:'2017-10-11T06:11:01-0600',mode:absolute,to:'2017-10-11T08:26:42-0600'))&amp;_a=(columns:!('Message%20ID',Summary),filters:!(),index:'emp_*',interval:auto,query:(query_string:(analyze_wildcard:!t,query:'%22rtdc.l.rtdc.4043%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656</v>
      </c>
      <c r="B166" s="7">
        <v>4043</v>
      </c>
      <c r="C166" s="21" t="s">
        <v>194</v>
      </c>
      <c r="D166" s="21" t="s">
        <v>459</v>
      </c>
      <c r="E166" s="13">
        <v>43019.296261574076</v>
      </c>
      <c r="F166" s="13">
        <v>43019.30097222222</v>
      </c>
      <c r="G166" s="7">
        <v>52</v>
      </c>
      <c r="H166" s="21" t="s">
        <v>459</v>
      </c>
      <c r="I166" s="13">
        <v>43019.310208333336</v>
      </c>
      <c r="J166" s="7">
        <v>0</v>
      </c>
      <c r="K166" s="89" t="str">
        <f>IF(ISEVEN(B166),(B166-1)&amp;"/"&amp;B166,B166&amp;"/"&amp;(B166+1))</f>
        <v>4043/4044</v>
      </c>
      <c r="L166" s="185" t="str">
        <f>VLOOKUP(A166,'Trips&amp;Operators'!$C$1:$G$99911,5,FALSE)</f>
        <v>LAMAR NEKESHA</v>
      </c>
      <c r="M166" s="6">
        <f>I166-F166</f>
        <v>9.236111116479151E-3</v>
      </c>
      <c r="N166" s="7"/>
      <c r="O166" s="7"/>
      <c r="P166" s="7"/>
      <c r="Q166" s="22"/>
      <c r="R166" s="174"/>
      <c r="S166" s="221"/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0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-11T06:06:37-0600',mode:absolute,to:'2017-10-11T08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204" t="str">
        <f>IF(AA166&lt;VLOOKUP(AG166,Variables!$AC$3:$AD$8,2,FALSE),"Y","N")</f>
        <v>Y</v>
      </c>
      <c r="X166" s="204">
        <f>VALUE(LEFT(AD166,4))-VALUE(LEFT(AD165,4))</f>
        <v>0</v>
      </c>
      <c r="Y166" s="204">
        <f>RIGHT(D166,LEN(D166)-4)/10000</f>
        <v>5.8615000000000004</v>
      </c>
      <c r="Z166" s="204">
        <f>RIGHT(H166,LEN(H166)-4)/10000</f>
        <v>5.8615000000000004</v>
      </c>
      <c r="AA166" s="204">
        <f>ABS(Z166-Y166)</f>
        <v>0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806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/stypes="app*4043*20171011*"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0"/>
        <v>"%USERPROFILE%\Documents\GitHub\eaglep3\Utilities\RefineRTDCRunTimes.py" --tripid 806-11 --locoid 4043 --swversion DE.1.0.9.0 --startMP 300:58615 --initTime 2017-10-11T07:06:37 --startdatetime 2017-10-11T07:13:24 --delay 52 --endMP 300:58615 --enddatetime 2017-10-11T07:26:42 --enforcementcount 0 &gt;&gt;%USERPROFILE%\Documents\GitHub\eaglep3-reporting\EC\2017-10-11-refined-times.txt</v>
      </c>
      <c r="AI166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{"issue":{"subject":"","project_id":79,"tracker_id":40,"status_id":1,"priority_id":2,"assigned_to_id":338,"start_date":"2017-10-11","description":"","custom_fields":[{"id":1,"name":"Subdivision","value":"NW"},{"id":4,"name":"Milepost","value":"5.8615"},{"id":17,"name":"Train ID","value":"806-11"},{"id":16,"name":"Locomotive ID","value":"4043"},{"id":130,"name":"Impact","value":""},{"id":150,"name":"Time of Event (Mountain Time)","value":"07:26:42"},{"id":151,"name":"Denver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2"/>
        <v>start /low /b %USERPROFILE%\Documents\GitHub\eaglep3\Utilities\DownloadLogsFromS3.py --loco 4043 --day 2017-10-11</v>
      </c>
      <c r="AN166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24"/>
        <v>https://d0f6bd738d7f1b3e5a7ca70fe4ff75f0.us-east-1.aws.found.io/app/kibana#/discover/Steve-Slow-Train-Analysis-(2080s-and-2083s)?_g=(refreshInterval:(display:Off,pause:!f,section:0,value:0),time:(from:'2017-10-11T06:06:37-0600',mode:absolute,to:'2017-10-11T08:26:42-0600'))&amp;_a=(columns:!('Message%20ID',Summary),filters:!(),index:'emp_*',interval:auto,query:(query_string:(analyze_wildcard:!t,query:'%22rtdc.l.rtdc.4043%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655</v>
      </c>
      <c r="B167" s="7">
        <v>4064</v>
      </c>
      <c r="C167" s="21" t="s">
        <v>194</v>
      </c>
      <c r="D167" s="21" t="s">
        <v>941</v>
      </c>
      <c r="E167" s="13">
        <v>43019.289988425924</v>
      </c>
      <c r="F167" s="13">
        <v>43019.298171296294</v>
      </c>
      <c r="G167" s="7">
        <v>55</v>
      </c>
      <c r="H167" s="21" t="s">
        <v>448</v>
      </c>
      <c r="I167" s="13">
        <v>43019.309537037036</v>
      </c>
      <c r="J167" s="7">
        <v>0</v>
      </c>
      <c r="K167" s="89" t="str">
        <f>IF(ISEVEN(B167),(B167-1)&amp;"/"&amp;B167,B167&amp;"/"&amp;(B167+1))</f>
        <v>4063/4064</v>
      </c>
      <c r="L167" s="185" t="str">
        <f>VLOOKUP(A167,'Trips&amp;Operators'!$C$1:$G$99911,5,FALSE)</f>
        <v>GEBRETEKLE DAGNEW</v>
      </c>
      <c r="M167" s="6">
        <f>I167-F167</f>
        <v>1.1365740741894115E-2</v>
      </c>
      <c r="N167" s="7">
        <f>24*60*SUM($M167:$M167)</f>
        <v>16.366666668327525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-11T05:57:35-0600',mode:absolute,to:'2017-10-11T08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0.1004</v>
      </c>
      <c r="Z167" s="204">
        <f>RIGHT(H167,LEN(H167)-4)/10000</f>
        <v>5.8963000000000001</v>
      </c>
      <c r="AA167" s="204">
        <f>ABS(Z167-Y167)</f>
        <v>5.7959000000000005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807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/stypes="app*4064*20171011*"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0"/>
        <v>"%USERPROFILE%\Documents\GitHub\eaglep3\Utilities\RefineRTDCRunTimes.py" --tripid 807-11 --locoid 4064 --swversion DE.1.0.9.0 --startMP 204:1004 --initTime 2017-10-11T06:57:35 --startdatetime 2017-10-11T07:09:22 --delay 55 --endMP 300:58963 --enddatetime 2017-10-11T07:25:44 --enforcementcount 0 &gt;&gt;%USERPROFILE%\Documents\GitHub\eaglep3-reporting\EC\2017-10-11-refined-times.txt</v>
      </c>
      <c r="AI167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{"issue":{"subject":"","project_id":79,"tracker_id":40,"status_id":1,"priority_id":2,"assigned_to_id":338,"start_date":"2017-10-11","description":"","custom_fields":[{"id":1,"name":"Subdivision","value":"NW"},{"id":4,"name":"Milepost","value":"5.8963"},{"id":17,"name":"Train ID","value":"807-11"},{"id":16,"name":"Locomotive ID","value":"4064"},{"id":130,"name":"Impact","value":""},{"id":150,"name":"Time of Event (Mountain Time)","value":"07:25:44"},{"id":151,"name":"Denver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2"/>
        <v>start /low /b %USERPROFILE%\Documents\GitHub\eaglep3\Utilities\DownloadLogsFromS3.py --loco 4064 --day 2017-10-11</v>
      </c>
      <c r="AN167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24"/>
        <v>https://d0f6bd738d7f1b3e5a7ca70fe4ff75f0.us-east-1.aws.found.io/app/kibana#/discover/Steve-Slow-Train-Analysis-(2080s-and-2083s)?_g=(refreshInterval:(display:Off,pause:!f,section:0,value:0),time:(from:'2017-10-11T05:57:35-0600',mode:absolute,to:'2017-10-11T08:25:44-0600'))&amp;_a=(columns:!('Message%20ID',Summary),filters:!(),index:'emp_*',interval:auto,query:(query_string:(analyze_wildcard:!t,query:'%22rtdc.l.rtdc.4064%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661</v>
      </c>
      <c r="B168" s="7">
        <v>4063</v>
      </c>
      <c r="C168" s="21" t="s">
        <v>194</v>
      </c>
      <c r="D168" s="21" t="s">
        <v>942</v>
      </c>
      <c r="E168" s="13">
        <v>43019.311643518522</v>
      </c>
      <c r="F168" s="13">
        <v>43019.314409722225</v>
      </c>
      <c r="G168" s="7">
        <v>71</v>
      </c>
      <c r="H168" s="21" t="s">
        <v>943</v>
      </c>
      <c r="I168" s="13">
        <v>43019.329594907409</v>
      </c>
      <c r="J168" s="7">
        <v>0</v>
      </c>
      <c r="K168" s="89" t="str">
        <f>IF(ISEVEN(B168),(B168-1)&amp;"/"&amp;B168,B168&amp;"/"&amp;(B168+1))</f>
        <v>4063/4064</v>
      </c>
      <c r="L168" s="185" t="str">
        <f>VLOOKUP(A168,'Trips&amp;Operators'!$C$1:$G$99911,5,FALSE)</f>
        <v>GEBRETEKLE DAGNEW</v>
      </c>
      <c r="M168" s="6">
        <f>I168-F168</f>
        <v>1.5185185184236616E-2</v>
      </c>
      <c r="N168" s="7">
        <f>24*60*SUM($M168:$M168)</f>
        <v>21.866666665300727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-11T06:28:46-0600',mode:absolute,to:'2017-10-11T08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5.8653000000000004</v>
      </c>
      <c r="Z168" s="204">
        <f>RIGHT(H168,LEN(H168)-4)/10000</f>
        <v>7.0300000000000001E-2</v>
      </c>
      <c r="AA168" s="204">
        <f>ABS(Z168-Y168)</f>
        <v>5.7950000000000008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808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/stypes="app*4063*20171011*"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0"/>
        <v>"%USERPROFILE%\Documents\GitHub\eaglep3\Utilities\RefineRTDCRunTimes.py" --tripid 808-11 --locoid 4063 --swversion DE.1.0.9.0 --startMP 300:58653 --initTime 2017-10-11T07:28:46 --startdatetime 2017-10-11T07:32:45 --delay 71 --endMP 204:703 --enddatetime 2017-10-11T07:54:37 --enforcementcount 0 &gt;&gt;%USERPROFILE%\Documents\GitHub\eaglep3-reporting\EC\2017-10-11-refined-times.txt</v>
      </c>
      <c r="AI168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{"issue":{"subject":"","project_id":79,"tracker_id":40,"status_id":1,"priority_id":2,"assigned_to_id":338,"start_date":"2017-10-11","description":"","custom_fields":[{"id":1,"name":"Subdivision","value":"NW"},{"id":4,"name":"Milepost","value":"0.0703"},{"id":17,"name":"Train ID","value":"808-11"},{"id":16,"name":"Locomotive ID","value":"4063"},{"id":130,"name":"Impact","value":""},{"id":150,"name":"Time of Event (Mountain Time)","value":"07:54:37"},{"id":151,"name":"Denver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2"/>
        <v>start /low /b %USERPROFILE%\Documents\GitHub\eaglep3\Utilities\DownloadLogsFromS3.py --loco 4063 --day 2017-10-11</v>
      </c>
      <c r="AN168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24"/>
        <v>https://d0f6bd738d7f1b3e5a7ca70fe4ff75f0.us-east-1.aws.found.io/app/kibana#/discover/Steve-Slow-Train-Analysis-(2080s-and-2083s)?_g=(refreshInterval:(display:Off,pause:!f,section:0,value:0),time:(from:'2017-10-11T06:28:46-0600',mode:absolute,to:'2017-10-11T08:54:37-0600'))&amp;_a=(columns:!('Message%20ID',Summary),filters:!(),index:'emp_*',interval:auto,query:(query_string:(analyze_wildcard:!t,query:'%22rtdc.l.rtdc.4063%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662</v>
      </c>
      <c r="B169" s="7">
        <v>4044</v>
      </c>
      <c r="C169" s="21" t="s">
        <v>194</v>
      </c>
      <c r="D169" s="21" t="s">
        <v>557</v>
      </c>
      <c r="E169" s="13">
        <v>43019.311874999999</v>
      </c>
      <c r="F169" s="13">
        <v>43019.318923611114</v>
      </c>
      <c r="G169" s="7">
        <v>69</v>
      </c>
      <c r="H169" s="21" t="s">
        <v>558</v>
      </c>
      <c r="I169" s="13">
        <v>43019.328506944446</v>
      </c>
      <c r="J169" s="7">
        <v>0</v>
      </c>
      <c r="K169" s="89" t="str">
        <f>IF(ISEVEN(B169),(B169-1)&amp;"/"&amp;B169,B169&amp;"/"&amp;(B169+1))</f>
        <v>4043/4044</v>
      </c>
      <c r="L169" s="185" t="str">
        <f>VLOOKUP(A169,'Trips&amp;Operators'!$C$1:$G$99911,5,FALSE)</f>
        <v>LAMAR NEKESHA</v>
      </c>
      <c r="M169" s="6">
        <f>I169-F169</f>
        <v>9.5833333325572312E-3</v>
      </c>
      <c r="N169" s="7">
        <f>24*60*SUM($M169:$M169)</f>
        <v>13.799999998882413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-11T06:29:06-0600',mode:absolute,to:'2017-10-11T08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9.7900000000000001E-2</v>
      </c>
      <c r="Z169" s="204">
        <f>RIGHT(H169,LEN(H169)-4)/10000</f>
        <v>5.8987999999999996</v>
      </c>
      <c r="AA169" s="204">
        <f>ABS(Z169-Y169)</f>
        <v>5.8008999999999995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809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/stypes="app*4044*20171011*" /stext=" 13:.+((SYSTEM_STATE.+slice.+state.+changed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0"/>
        <v>"%USERPROFILE%\Documents\GitHub\eaglep3\Utilities\RefineRTDCRunTimes.py" --tripid 809-11 --locoid 4044 --swversion DE.1.0.9.0 --startMP 204:979 --initTime 2017-10-11T07:29:06 --startdatetime 2017-10-11T07:39:15 --delay 69 --endMP 300:58988 --enddatetime 2017-10-11T07:53:03 --enforcementcount 0 &gt;&gt;%USERPROFILE%\Documents\GitHub\eaglep3-reporting\EC\2017-10-11-refined-times.txt</v>
      </c>
      <c r="AI169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{"issue":{"subject":"","project_id":79,"tracker_id":40,"status_id":1,"priority_id":2,"assigned_to_id":338,"start_date":"2017-10-11","description":"","custom_fields":[{"id":1,"name":"Subdivision","value":"NW"},{"id":4,"name":"Milepost","value":"5.8988"},{"id":17,"name":"Train ID","value":"809-11"},{"id":16,"name":"Locomotive ID","value":"4044"},{"id":130,"name":"Impact","value":""},{"id":150,"name":"Time of Event (Mountain Time)","value":"07:53:03"},{"id":151,"name":"Denver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2"/>
        <v>start /low /b %USERPROFILE%\Documents\GitHub\eaglep3\Utilities\DownloadLogsFromS3.py --loco 4044 --day 2017-10-11</v>
      </c>
      <c r="AN169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13:53:03"},{"id":29,"name":"Sharepoint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24"/>
        <v>https://d0f6bd738d7f1b3e5a7ca70fe4ff75f0.us-east-1.aws.found.io/app/kibana#/discover/Steve-Slow-Train-Analysis-(2080s-and-2083s)?_g=(refreshInterval:(display:Off,pause:!f,section:0,value:0),time:(from:'2017-10-11T06:29:06-0600',mode:absolute,to:'2017-10-11T08:53:03-0600'))&amp;_a=(columns:!('Message%20ID',Summary),filters:!(),index:'emp_*',interval:auto,query:(query_string:(analyze_wildcard:!t,query:'%22rtdc.l.rtdc.4044%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668</v>
      </c>
      <c r="B170" s="7">
        <v>4043</v>
      </c>
      <c r="C170" s="21" t="s">
        <v>194</v>
      </c>
      <c r="D170" s="21" t="s">
        <v>947</v>
      </c>
      <c r="E170" s="13">
        <v>43019.338148148148</v>
      </c>
      <c r="F170" s="13">
        <v>43019.340104166666</v>
      </c>
      <c r="G170" s="7">
        <v>55</v>
      </c>
      <c r="H170" s="21" t="s">
        <v>483</v>
      </c>
      <c r="I170" s="13">
        <v>43019.350370370368</v>
      </c>
      <c r="J170" s="7">
        <v>0</v>
      </c>
      <c r="K170" s="89" t="str">
        <f>IF(ISEVEN(B170),(B170-1)&amp;"/"&amp;B170,B170&amp;"/"&amp;(B170+1))</f>
        <v>4043/4044</v>
      </c>
      <c r="L170" s="185" t="str">
        <f>VLOOKUP(A170,'Trips&amp;Operators'!$C$1:$G$99911,5,FALSE)</f>
        <v>LAMAR NEKESHA</v>
      </c>
      <c r="M170" s="6">
        <f>I170-F170</f>
        <v>1.0266203702485655E-2</v>
      </c>
      <c r="N170" s="7">
        <f>24*60*SUM($M170:$M170)</f>
        <v>14.783333331579342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-11T07:06:56-0600',mode:absolute,to:'2017-10-11T09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5.8677000000000001</v>
      </c>
      <c r="Z170" s="204">
        <f>RIGHT(H170,LEN(H170)-4)/10000</f>
        <v>6.7000000000000004E-2</v>
      </c>
      <c r="AA170" s="204">
        <f>ABS(Z170-Y170)</f>
        <v>5.8007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810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/stypes="app*4043*20171011*"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0"/>
        <v>"%USERPROFILE%\Documents\GitHub\eaglep3\Utilities\RefineRTDCRunTimes.py" --tripid 810-11 --locoid 4043 --swversion DE.1.0.9.0 --startMP 300:58677 --initTime 2017-10-11T08:06:56 --startdatetime 2017-10-11T08:09:45 --delay 55 --endMP 204:670 --enddatetime 2017-10-11T08:24:32 --enforcementcount 0 &gt;&gt;%USERPROFILE%\Documents\GitHub\eaglep3-reporting\EC\2017-10-11-refined-times.txt</v>
      </c>
      <c r="AI170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{"issue":{"subject":"","project_id":79,"tracker_id":40,"status_id":1,"priority_id":2,"assigned_to_id":338,"start_date":"2017-10-11","description":"","custom_fields":[{"id":1,"name":"Subdivision","value":"NW"},{"id":4,"name":"Milepost","value":"0.067"},{"id":17,"name":"Train ID","value":"810-11"},{"id":16,"name":"Locomotive ID","value":"4043"},{"id":130,"name":"Impact","value":""},{"id":150,"name":"Time of Event (Mountain Time)","value":"08:24:32"},{"id":151,"name":"Denver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2"/>
        <v>start /low /b %USERPROFILE%\Documents\GitHub\eaglep3\Utilities\DownloadLogsFromS3.py --loco 4043 --day 2017-10-11</v>
      </c>
      <c r="AN170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24"/>
        <v>https://d0f6bd738d7f1b3e5a7ca70fe4ff75f0.us-east-1.aws.found.io/app/kibana#/discover/Steve-Slow-Train-Analysis-(2080s-and-2083s)?_g=(refreshInterval:(display:Off,pause:!f,section:0,value:0),time:(from:'2017-10-11T07:06:56-0600',mode:absolute,to:'2017-10-11T09:24:32-0600'))&amp;_a=(columns:!('Message%20ID',Summary),filters:!(),index:'emp_*',interval:auto,query:(query_string:(analyze_wildcard:!t,query:'%22rtdc.l.rtdc.4043%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667</v>
      </c>
      <c r="B171" s="7">
        <v>4064</v>
      </c>
      <c r="C171" s="21" t="s">
        <v>194</v>
      </c>
      <c r="D171" s="21" t="s">
        <v>948</v>
      </c>
      <c r="E171" s="13">
        <v>43019.332013888888</v>
      </c>
      <c r="F171" s="13">
        <v>43019.340104166666</v>
      </c>
      <c r="G171" s="7">
        <v>52</v>
      </c>
      <c r="H171" s="21" t="s">
        <v>949</v>
      </c>
      <c r="I171" s="13">
        <v>43019.349548611113</v>
      </c>
      <c r="J171" s="7">
        <v>0</v>
      </c>
      <c r="K171" s="89" t="str">
        <f>IF(ISEVEN(B171),(B171-1)&amp;"/"&amp;B171,B171&amp;"/"&amp;(B171+1))</f>
        <v>4063/4064</v>
      </c>
      <c r="L171" s="185" t="str">
        <f>VLOOKUP(A171,'Trips&amp;Operators'!$C$1:$G$99911,5,FALSE)</f>
        <v>GEBRETEKLE DAGNEW</v>
      </c>
      <c r="M171" s="6">
        <f>I171-F171</f>
        <v>9.4444444475811906E-3</v>
      </c>
      <c r="N171" s="7">
        <f>24*60*SUM($M171:$M171)</f>
        <v>13.600000004516914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-11T06:58:06-0600',mode:absolute,to:'2017-10-11T09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0.1</v>
      </c>
      <c r="Z171" s="204">
        <f>RIGHT(H171,LEN(H171)-4)/10000</f>
        <v>5.8964999999999996</v>
      </c>
      <c r="AA171" s="204">
        <f>ABS(Z171-Y171)</f>
        <v>5.7965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811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/stypes="app*4064*20171011*"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0"/>
        <v>"%USERPROFILE%\Documents\GitHub\eaglep3\Utilities\RefineRTDCRunTimes.py" --tripid 811-11 --locoid 4064 --swversion DE.1.0.9.0 --startMP 204:1000 --initTime 2017-10-11T07:58:06 --startdatetime 2017-10-11T08:09:45 --delay 52 --endMP 300:58965 --enddatetime 2017-10-11T08:23:21 --enforcementcount 0 &gt;&gt;%USERPROFILE%\Documents\GitHub\eaglep3-reporting\EC\2017-10-11-refined-times.txt</v>
      </c>
      <c r="AI171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{"issue":{"subject":"","project_id":79,"tracker_id":40,"status_id":1,"priority_id":2,"assigned_to_id":338,"start_date":"2017-10-11","description":"","custom_fields":[{"id":1,"name":"Subdivision","value":"NW"},{"id":4,"name":"Milepost","value":"5.8965"},{"id":17,"name":"Train ID","value":"811-11"},{"id":16,"name":"Locomotive ID","value":"4064"},{"id":130,"name":"Impact","value":""},{"id":150,"name":"Time of Event (Mountain Time)","value":"08:23:21"},{"id":151,"name":"Denver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2"/>
        <v>start /low /b %USERPROFILE%\Documents\GitHub\eaglep3\Utilities\DownloadLogsFromS3.py --loco 4064 --day 2017-10-11</v>
      </c>
      <c r="AN171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24"/>
        <v>https://d0f6bd738d7f1b3e5a7ca70fe4ff75f0.us-east-1.aws.found.io/app/kibana#/discover/Steve-Slow-Train-Analysis-(2080s-and-2083s)?_g=(refreshInterval:(display:Off,pause:!f,section:0,value:0),time:(from:'2017-10-11T06:58:06-0600',mode:absolute,to:'2017-10-11T09:23:21-0600'))&amp;_a=(columns:!('Message%20ID',Summary),filters:!(),index:'emp_*',interval:auto,query:(query_string:(analyze_wildcard:!t,query:'%22rtdc.l.rtdc.4064%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671</v>
      </c>
      <c r="B172" s="7">
        <v>4063</v>
      </c>
      <c r="C172" s="21" t="s">
        <v>194</v>
      </c>
      <c r="D172" s="21" t="s">
        <v>950</v>
      </c>
      <c r="E172" s="13">
        <v>43019.351099537038</v>
      </c>
      <c r="F172" s="13">
        <v>43019.363252314812</v>
      </c>
      <c r="G172" s="7">
        <v>52</v>
      </c>
      <c r="H172" s="21" t="s">
        <v>951</v>
      </c>
      <c r="I172" s="13">
        <v>43019.371388888889</v>
      </c>
      <c r="J172" s="7">
        <v>0</v>
      </c>
      <c r="K172" s="89" t="str">
        <f>IF(ISEVEN(B172),(B172-1)&amp;"/"&amp;B172,B172&amp;"/"&amp;(B172+1))</f>
        <v>4063/4064</v>
      </c>
      <c r="L172" s="185" t="str">
        <f>VLOOKUP(A172,'Trips&amp;Operators'!$C$1:$G$99911,5,FALSE)</f>
        <v>GEBRETEKLE DAGNEW</v>
      </c>
      <c r="M172" s="6">
        <f>I172-F172</f>
        <v>8.1365740770706907E-3</v>
      </c>
      <c r="N172" s="7">
        <f>24*60*SUM($M172:$M172)</f>
        <v>11.716666670981795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-11T07:25:35-0600',mode:absolute,to:'2017-10-11T09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5.8647</v>
      </c>
      <c r="Z172" s="204">
        <f>RIGHT(H172,LEN(H172)-4)/10000</f>
        <v>7.0499999999999993E-2</v>
      </c>
      <c r="AA172" s="204">
        <f>ABS(Z172-Y172)</f>
        <v>5.7942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812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/stypes="app*4063*20171011*" /stext=" 14:.+((SYSTEM_STATE.+slice.+state.+changed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0"/>
        <v>"%USERPROFILE%\Documents\GitHub\eaglep3\Utilities\RefineRTDCRunTimes.py" --tripid 812-11 --locoid 4063 --swversion DE.1.0.9.0 --startMP 300:58647 --initTime 2017-10-11T08:25:35 --startdatetime 2017-10-11T08:43:05 --delay 52 --endMP 204:705 --enddatetime 2017-10-11T08:54:48 --enforcementcount 0 &gt;&gt;%USERPROFILE%\Documents\GitHub\eaglep3-reporting\EC\2017-10-11-refined-times.txt</v>
      </c>
      <c r="AI172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{"issue":{"subject":"","project_id":79,"tracker_id":40,"status_id":1,"priority_id":2,"assigned_to_id":338,"start_date":"2017-10-11","description":"","custom_fields":[{"id":1,"name":"Subdivision","value":"NW"},{"id":4,"name":"Milepost","value":"0.0705"},{"id":17,"name":"Train ID","value":"812-11"},{"id":16,"name":"Locomotive ID","value":"4063"},{"id":130,"name":"Impact","value":""},{"id":150,"name":"Time of Event (Mountain Time)","value":"08:54:48"},{"id":151,"name":"Denver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2"/>
        <v>start /low /b %USERPROFILE%\Documents\GitHub\eaglep3\Utilities\DownloadLogsFromS3.py --loco 4063 --day 2017-10-11</v>
      </c>
      <c r="AN172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24"/>
        <v>https://d0f6bd738d7f1b3e5a7ca70fe4ff75f0.us-east-1.aws.found.io/app/kibana#/discover/Steve-Slow-Train-Analysis-(2080s-and-2083s)?_g=(refreshInterval:(display:Off,pause:!f,section:0,value:0),time:(from:'2017-10-11T07:25:35-0600',mode:absolute,to:'2017-10-11T09:54:48-0600'))&amp;_a=(columns:!('Message%20ID',Summary),filters:!(),index:'emp_*',interval:auto,query:(query_string:(analyze_wildcard:!t,query:'%22rtdc.l.rtdc.4063%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675</v>
      </c>
      <c r="B173" s="7">
        <v>4064</v>
      </c>
      <c r="C173" s="21" t="s">
        <v>194</v>
      </c>
      <c r="D173" s="21" t="s">
        <v>948</v>
      </c>
      <c r="E173" s="13">
        <v>43019.372939814813</v>
      </c>
      <c r="F173" s="13">
        <v>43019.38144675926</v>
      </c>
      <c r="G173" s="7">
        <v>49</v>
      </c>
      <c r="H173" s="21" t="s">
        <v>952</v>
      </c>
      <c r="I173" s="13">
        <v>43019.390462962961</v>
      </c>
      <c r="J173" s="7">
        <v>0</v>
      </c>
      <c r="K173" s="89" t="str">
        <f>IF(ISEVEN(B173),(B173-1)&amp;"/"&amp;B173,B173&amp;"/"&amp;(B173+1))</f>
        <v>4063/4064</v>
      </c>
      <c r="L173" s="185" t="str">
        <f>VLOOKUP(A173,'Trips&amp;Operators'!$C$1:$G$99911,5,FALSE)</f>
        <v>GEBRETEKLE DAGNEW</v>
      </c>
      <c r="M173" s="6">
        <f>I173-F173</f>
        <v>9.0162037013215013E-3</v>
      </c>
      <c r="N173" s="7">
        <f>24*60*SUM($M173:$M173)</f>
        <v>12.983333329902962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-11T07:57:02-0600',mode:absolute,to:'2017-10-11T10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0.1</v>
      </c>
      <c r="Z173" s="204">
        <f>RIGHT(H173,LEN(H173)-4)/10000</f>
        <v>5.8973000000000004</v>
      </c>
      <c r="AA173" s="204">
        <f>ABS(Z173-Y173)</f>
        <v>5.7973000000000008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813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/stypes="app*4064*20171011*" /stext=" 15:.+((SYSTEM_STATE.+slice.+state.+changed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0"/>
        <v>"%USERPROFILE%\Documents\GitHub\eaglep3\Utilities\RefineRTDCRunTimes.py" --tripid 813-11 --locoid 4064 --swversion DE.1.0.9.0 --startMP 204:1000 --initTime 2017-10-11T08:57:02 --startdatetime 2017-10-11T09:09:17 --delay 49 --endMP 300:58973 --enddatetime 2017-10-11T09:22:16 --enforcementcount 0 &gt;&gt;%USERPROFILE%\Documents\GitHub\eaglep3-reporting\EC\2017-10-11-refined-times.txt</v>
      </c>
      <c r="AI173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{"issue":{"subject":"","project_id":79,"tracker_id":40,"status_id":1,"priority_id":2,"assigned_to_id":338,"start_date":"2017-10-11","description":"","custom_fields":[{"id":1,"name":"Subdivision","value":"NW"},{"id":4,"name":"Milepost","value":"5.8973"},{"id":17,"name":"Train ID","value":"813-11"},{"id":16,"name":"Locomotive ID","value":"4064"},{"id":130,"name":"Impact","value":""},{"id":150,"name":"Time of Event (Mountain Time)","value":"09:22:16"},{"id":151,"name":"Denver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2"/>
        <v>start /low /b %USERPROFILE%\Documents\GitHub\eaglep3\Utilities\DownloadLogsFromS3.py --loco 4064 --day 2017-10-11</v>
      </c>
      <c r="AN173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24"/>
        <v>https://d0f6bd738d7f1b3e5a7ca70fe4ff75f0.us-east-1.aws.found.io/app/kibana#/discover/Steve-Slow-Train-Analysis-(2080s-and-2083s)?_g=(refreshInterval:(display:Off,pause:!f,section:0,value:0),time:(from:'2017-10-11T07:57:02-0600',mode:absolute,to:'2017-10-11T10:22:16-0600'))&amp;_a=(columns:!('Message%20ID',Summary),filters:!(),index:'emp_*',interval:auto,query:(query_string:(analyze_wildcard:!t,query:'%22rtdc.l.rtdc.4064%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682</v>
      </c>
      <c r="B174" s="7">
        <v>4063</v>
      </c>
      <c r="C174" s="21" t="s">
        <v>194</v>
      </c>
      <c r="D174" s="21" t="s">
        <v>562</v>
      </c>
      <c r="E174" s="13">
        <v>43019.392071759263</v>
      </c>
      <c r="F174" s="13">
        <v>43019.404907407406</v>
      </c>
      <c r="G174" s="7">
        <v>60</v>
      </c>
      <c r="H174" s="21" t="s">
        <v>563</v>
      </c>
      <c r="I174" s="13">
        <v>43019.412997685184</v>
      </c>
      <c r="J174" s="7">
        <v>0</v>
      </c>
      <c r="K174" s="89" t="str">
        <f>IF(ISEVEN(B174),(B174-1)&amp;"/"&amp;B174,B174&amp;"/"&amp;(B174+1))</f>
        <v>4063/4064</v>
      </c>
      <c r="L174" s="185" t="str">
        <f>VLOOKUP(A174,'Trips&amp;Operators'!$C$1:$G$99911,5,FALSE)</f>
        <v>GEBRETEKLE DAGNEW</v>
      </c>
      <c r="M174" s="6">
        <f>I174-F174</f>
        <v>8.0902777772280388E-3</v>
      </c>
      <c r="N174" s="7">
        <f>24*60*SUM($M174:$M174)</f>
        <v>11.649999999208376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-11T08:24:35-0600',mode:absolute,to:'2017-10-11T10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5.8648999999999996</v>
      </c>
      <c r="Z174" s="204">
        <f>RIGHT(H174,LEN(H174)-4)/10000</f>
        <v>7.0800000000000002E-2</v>
      </c>
      <c r="AA174" s="204">
        <f>ABS(Z174-Y174)</f>
        <v>5.7940999999999994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814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/stypes="app*4063*20171011*" /stext=" 15:.+((SYSTEM_STATE.+slice.+state.+changed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0"/>
        <v>"%USERPROFILE%\Documents\GitHub\eaglep3\Utilities\RefineRTDCRunTimes.py" --tripid 814-11 --locoid 4063 --swversion DE.1.0.9.0 --startMP 300:58649 --initTime 2017-10-11T09:24:35 --startdatetime 2017-10-11T09:43:04 --delay 60 --endMP 204:708 --enddatetime 2017-10-11T09:54:43 --enforcementcount 0 &gt;&gt;%USERPROFILE%\Documents\GitHub\eaglep3-reporting\EC\2017-10-11-refined-times.txt</v>
      </c>
      <c r="AI174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{"issue":{"subject":"","project_id":79,"tracker_id":40,"status_id":1,"priority_id":2,"assigned_to_id":338,"start_date":"2017-10-11","description":"","custom_fields":[{"id":1,"name":"Subdivision","value":"NW"},{"id":4,"name":"Milepost","value":"0.0708"},{"id":17,"name":"Train ID","value":"814-11"},{"id":16,"name":"Locomotive ID","value":"4063"},{"id":130,"name":"Impact","value":""},{"id":150,"name":"Time of Event (Mountain Time)","value":"09:54:43"},{"id":151,"name":"Denver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2"/>
        <v>start /low /b %USERPROFILE%\Documents\GitHub\eaglep3\Utilities\DownloadLogsFromS3.py --loco 4063 --day 2017-10-11</v>
      </c>
      <c r="AN174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24"/>
        <v>https://d0f6bd738d7f1b3e5a7ca70fe4ff75f0.us-east-1.aws.found.io/app/kibana#/discover/Steve-Slow-Train-Analysis-(2080s-and-2083s)?_g=(refreshInterval:(display:Off,pause:!f,section:0,value:0),time:(from:'2017-10-11T08:24:35-0600',mode:absolute,to:'2017-10-11T10:54:43-0600'))&amp;_a=(columns:!('Message%20ID',Summary),filters:!(),index:'emp_*',interval:auto,query:(query_string:(analyze_wildcard:!t,query:'%22rtdc.l.rtdc.4063%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687</v>
      </c>
      <c r="B175" s="7">
        <v>4064</v>
      </c>
      <c r="C175" s="21" t="s">
        <v>194</v>
      </c>
      <c r="D175" s="21" t="s">
        <v>953</v>
      </c>
      <c r="E175" s="13">
        <v>43019.416261574072</v>
      </c>
      <c r="F175" s="13">
        <v>43019.423414351855</v>
      </c>
      <c r="G175" s="7">
        <v>92</v>
      </c>
      <c r="H175" s="21" t="s">
        <v>484</v>
      </c>
      <c r="I175" s="13">
        <v>43019.433055555557</v>
      </c>
      <c r="J175" s="7">
        <v>0</v>
      </c>
      <c r="K175" s="89" t="str">
        <f>IF(ISEVEN(B175),(B175-1)&amp;"/"&amp;B175,B175&amp;"/"&amp;(B175+1))</f>
        <v>4063/4064</v>
      </c>
      <c r="L175" s="185" t="str">
        <f>VLOOKUP(A175,'Trips&amp;Operators'!$C$1:$G$99911,5,FALSE)</f>
        <v>GEBRETEKLE DAGNEW</v>
      </c>
      <c r="M175" s="6">
        <f>I175-F175</f>
        <v>9.6412037019035779E-3</v>
      </c>
      <c r="N175" s="7">
        <f>24*60*SUM($M175:$M175)</f>
        <v>13.883333330741152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-11T08:59:25-0600',mode:absolute,to:'2017-10-11T11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0.10199999999999999</v>
      </c>
      <c r="Z175" s="204">
        <f>RIGHT(H175,LEN(H175)-4)/10000</f>
        <v>5.8936999999999999</v>
      </c>
      <c r="AA175" s="204">
        <f>ABS(Z175-Y175)</f>
        <v>5.7916999999999996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815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/stypes="app*4064*20171011*" /stext=" 16:.+((SYSTEM_STATE.+slice.+state.+changed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0"/>
        <v>"%USERPROFILE%\Documents\GitHub\eaglep3\Utilities\RefineRTDCRunTimes.py" --tripid 815-11 --locoid 4064 --swversion DE.1.0.9.0 --startMP 204:1020 --initTime 2017-10-11T09:59:25 --startdatetime 2017-10-11T10:09:43 --delay 92 --endMP 300:58937 --enddatetime 2017-10-11T10:23:36 --enforcementcount 0 &gt;&gt;%USERPROFILE%\Documents\GitHub\eaglep3-reporting\EC\2017-10-11-refined-times.txt</v>
      </c>
      <c r="AI175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{"issue":{"subject":"","project_id":79,"tracker_id":40,"status_id":1,"priority_id":2,"assigned_to_id":338,"start_date":"2017-10-11","description":"","custom_fields":[{"id":1,"name":"Subdivision","value":"NW"},{"id":4,"name":"Milepost","value":"5.8937"},{"id":17,"name":"Train ID","value":"815-11"},{"id":16,"name":"Locomotive ID","value":"4064"},{"id":130,"name":"Impact","value":""},{"id":150,"name":"Time of Event (Mountain Time)","value":"10:23:36"},{"id":151,"name":"Denver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2"/>
        <v>start /low /b %USERPROFILE%\Documents\GitHub\eaglep3\Utilities\DownloadLogsFromS3.py --loco 4064 --day 2017-10-11</v>
      </c>
      <c r="AN175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24"/>
        <v>https://d0f6bd738d7f1b3e5a7ca70fe4ff75f0.us-east-1.aws.found.io/app/kibana#/discover/Steve-Slow-Train-Analysis-(2080s-and-2083s)?_g=(refreshInterval:(display:Off,pause:!f,section:0,value:0),time:(from:'2017-10-11T08:59:25-0600',mode:absolute,to:'2017-10-11T11:23:36-0600'))&amp;_a=(columns:!('Message%20ID',Summary),filters:!(),index:'emp_*',interval:auto,query:(query_string:(analyze_wildcard:!t,query:'%22rtdc.l.rtdc.4064%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694</v>
      </c>
      <c r="B176" s="7">
        <v>4063</v>
      </c>
      <c r="C176" s="21" t="s">
        <v>194</v>
      </c>
      <c r="D176" s="21" t="s">
        <v>954</v>
      </c>
      <c r="E176" s="13">
        <v>43019.434513888889</v>
      </c>
      <c r="F176" s="13">
        <v>43019.446585648147</v>
      </c>
      <c r="G176" s="7">
        <v>54</v>
      </c>
      <c r="H176" s="21" t="s">
        <v>951</v>
      </c>
      <c r="I176" s="13">
        <v>43019.454745370371</v>
      </c>
      <c r="J176" s="7">
        <v>0</v>
      </c>
      <c r="K176" s="89" t="str">
        <f>IF(ISEVEN(B176),(B176-1)&amp;"/"&amp;B176,B176&amp;"/"&amp;(B176+1))</f>
        <v>4063/4064</v>
      </c>
      <c r="L176" s="185" t="str">
        <f>VLOOKUP(A176,'Trips&amp;Operators'!$C$1:$G$99911,5,FALSE)</f>
        <v>GEBRETEKLE DAGNEW</v>
      </c>
      <c r="M176" s="6">
        <f>I176-F176</f>
        <v>8.1597222233540379E-3</v>
      </c>
      <c r="N176" s="7">
        <f>24*60*SUM($M176:$M176)</f>
        <v>11.750000001629815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-11T09:25:42-0600',mode:absolute,to:'2017-10-11T11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5.8611000000000004</v>
      </c>
      <c r="Z176" s="204">
        <f>RIGHT(H176,LEN(H176)-4)/10000</f>
        <v>7.0499999999999993E-2</v>
      </c>
      <c r="AA176" s="204">
        <f>ABS(Z176-Y176)</f>
        <v>5.7906000000000004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816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/stypes="app*4063*20171011*" /stext=" 16:.+((SYSTEM_STATE.+slice.+state.+changed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0"/>
        <v>"%USERPROFILE%\Documents\GitHub\eaglep3\Utilities\RefineRTDCRunTimes.py" --tripid 816-11 --locoid 4063 --swversion DE.1.0.9.0 --startMP 300:58611 --initTime 2017-10-11T10:25:42 --startdatetime 2017-10-11T10:43:05 --delay 54 --endMP 204:705 --enddatetime 2017-10-11T10:54:50 --enforcementcount 0 &gt;&gt;%USERPROFILE%\Documents\GitHub\eaglep3-reporting\EC\2017-10-11-refined-times.txt</v>
      </c>
      <c r="AI176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{"issue":{"subject":"","project_id":79,"tracker_id":40,"status_id":1,"priority_id":2,"assigned_to_id":338,"start_date":"2017-10-11","description":"","custom_fields":[{"id":1,"name":"Subdivision","value":"NW"},{"id":4,"name":"Milepost","value":"0.0705"},{"id":17,"name":"Train ID","value":"816-11"},{"id":16,"name":"Locomotive ID","value":"4063"},{"id":130,"name":"Impact","value":""},{"id":150,"name":"Time of Event (Mountain Time)","value":"10:54:50"},{"id":151,"name":"Denver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2"/>
        <v>start /low /b %USERPROFILE%\Documents\GitHub\eaglep3\Utilities\DownloadLogsFromS3.py --loco 4063 --day 2017-10-11</v>
      </c>
      <c r="AN176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24"/>
        <v>https://d0f6bd738d7f1b3e5a7ca70fe4ff75f0.us-east-1.aws.found.io/app/kibana#/discover/Steve-Slow-Train-Analysis-(2080s-and-2083s)?_g=(refreshInterval:(display:Off,pause:!f,section:0,value:0),time:(from:'2017-10-11T09:25:42-0600',mode:absolute,to:'2017-10-11T11:54:50-0600'))&amp;_a=(columns:!('Message%20ID',Summary),filters:!(),index:'emp_*',interval:auto,query:(query_string:(analyze_wildcard:!t,query:'%22rtdc.l.rtdc.4063%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702</v>
      </c>
      <c r="B177" s="7">
        <v>4064</v>
      </c>
      <c r="C177" s="21" t="s">
        <v>194</v>
      </c>
      <c r="D177" s="21" t="s">
        <v>935</v>
      </c>
      <c r="E177" s="13">
        <v>43019.458032407405</v>
      </c>
      <c r="F177" s="13">
        <v>43019.465138888889</v>
      </c>
      <c r="G177" s="7">
        <v>54</v>
      </c>
      <c r="H177" s="21" t="s">
        <v>955</v>
      </c>
      <c r="I177" s="13">
        <v>43019.474409722221</v>
      </c>
      <c r="J177" s="7">
        <v>0</v>
      </c>
      <c r="K177" s="89" t="str">
        <f>IF(ISEVEN(B177),(B177-1)&amp;"/"&amp;B177,B177&amp;"/"&amp;(B177+1))</f>
        <v>4063/4064</v>
      </c>
      <c r="L177" s="185" t="str">
        <f>VLOOKUP(A177,'Trips&amp;Operators'!$C$1:$G$99911,5,FALSE)</f>
        <v>GEBRETEKLE DAGNEW</v>
      </c>
      <c r="M177" s="6">
        <f>I177-F177</f>
        <v>9.2708333322661929E-3</v>
      </c>
      <c r="N177" s="7">
        <f>24*60*SUM($M177:$M177)</f>
        <v>13.349999998463318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-11T09:59:34-0600',mode:absolute,to:'2017-10-11T12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9.9699999999999997E-2</v>
      </c>
      <c r="Z177" s="204">
        <f>RIGHT(H177,LEN(H177)-4)/10000</f>
        <v>5.8967000000000001</v>
      </c>
      <c r="AA177" s="204">
        <f>ABS(Z177-Y177)</f>
        <v>5.7969999999999997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817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/stypes="app*4064*20171011*" /stext=" 17:.+((SYSTEM_STATE.+slice.+state.+changed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0"/>
        <v>"%USERPROFILE%\Documents\GitHub\eaglep3\Utilities\RefineRTDCRunTimes.py" --tripid 817-11 --locoid 4064 --swversion DE.1.0.9.0 --startMP 204:997 --initTime 2017-10-11T10:59:34 --startdatetime 2017-10-11T11:09:48 --delay 54 --endMP 300:58967 --enddatetime 2017-10-11T11:23:09 --enforcementcount 0 &gt;&gt;%USERPROFILE%\Documents\GitHub\eaglep3-reporting\EC\2017-10-11-refined-times.txt</v>
      </c>
      <c r="AI177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{"issue":{"subject":"","project_id":79,"tracker_id":40,"status_id":1,"priority_id":2,"assigned_to_id":338,"start_date":"2017-10-11","description":"","custom_fields":[{"id":1,"name":"Subdivision","value":"NW"},{"id":4,"name":"Milepost","value":"5.8967"},{"id":17,"name":"Train ID","value":"817-11"},{"id":16,"name":"Locomotive ID","value":"4064"},{"id":130,"name":"Impact","value":""},{"id":150,"name":"Time of Event (Mountain Time)","value":"11:23:09"},{"id":151,"name":"Denver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2"/>
        <v>start /low /b %USERPROFILE%\Documents\GitHub\eaglep3\Utilities\DownloadLogsFromS3.py --loco 4064 --day 2017-10-11</v>
      </c>
      <c r="AN177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24"/>
        <v>https://d0f6bd738d7f1b3e5a7ca70fe4ff75f0.us-east-1.aws.found.io/app/kibana#/discover/Steve-Slow-Train-Analysis-(2080s-and-2083s)?_g=(refreshInterval:(display:Off,pause:!f,section:0,value:0),time:(from:'2017-10-11T09:59:34-0600',mode:absolute,to:'2017-10-11T12:23:09-0600'))&amp;_a=(columns:!('Message%20ID',Summary),filters:!(),index:'emp_*',interval:auto,query:(query_string:(analyze_wildcard:!t,query:'%22rtdc.l.rtdc.4064%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706</v>
      </c>
      <c r="B178" s="7">
        <v>4063</v>
      </c>
      <c r="C178" s="21" t="s">
        <v>194</v>
      </c>
      <c r="D178" s="21" t="s">
        <v>562</v>
      </c>
      <c r="E178" s="13">
        <v>43019.476122685184</v>
      </c>
      <c r="F178" s="13">
        <v>43019.48814814815</v>
      </c>
      <c r="G178" s="7">
        <v>66</v>
      </c>
      <c r="H178" s="21" t="s">
        <v>956</v>
      </c>
      <c r="I178" s="13">
        <v>43019.496550925927</v>
      </c>
      <c r="J178" s="7">
        <v>0</v>
      </c>
      <c r="K178" s="89" t="str">
        <f>IF(ISEVEN(B178),(B178-1)&amp;"/"&amp;B178,B178&amp;"/"&amp;(B178+1))</f>
        <v>4063/4064</v>
      </c>
      <c r="L178" s="185" t="str">
        <f>VLOOKUP(A178,'Trips&amp;Operators'!$C$1:$G$99911,5,FALSE)</f>
        <v>GEBRETEKLE DAGNEW</v>
      </c>
      <c r="M178" s="6">
        <f>I178-F178</f>
        <v>8.4027777775190771E-3</v>
      </c>
      <c r="N178" s="7">
        <f>24*60*SUM($M178:$M178)</f>
        <v>12.099999999627471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-11T10:25:37-0600',mode:absolute,to:'2017-10-11T12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5.8648999999999996</v>
      </c>
      <c r="Z178" s="204">
        <f>RIGHT(H178,LEN(H178)-4)/10000</f>
        <v>7.1499999999999994E-2</v>
      </c>
      <c r="AA178" s="204">
        <f>ABS(Z178-Y178)</f>
        <v>5.7933999999999992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818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/stypes="app*4063*20171011*" /stext=" 17:.+((SYSTEM_STATE.+slice.+state.+changed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0"/>
        <v>"%USERPROFILE%\Documents\GitHub\eaglep3\Utilities\RefineRTDCRunTimes.py" --tripid 818-11 --locoid 4063 --swversion DE.1.0.9.0 --startMP 300:58649 --initTime 2017-10-11T11:25:37 --startdatetime 2017-10-11T11:42:56 --delay 66 --endMP 204:715 --enddatetime 2017-10-11T11:55:02 --enforcementcount 0 &gt;&gt;%USERPROFILE%\Documents\GitHub\eaglep3-reporting\EC\2017-10-11-refined-times.txt</v>
      </c>
      <c r="AI178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{"issue":{"subject":"","project_id":79,"tracker_id":40,"status_id":1,"priority_id":2,"assigned_to_id":338,"start_date":"2017-10-11","description":"","custom_fields":[{"id":1,"name":"Subdivision","value":"NW"},{"id":4,"name":"Milepost","value":"0.0715"},{"id":17,"name":"Train ID","value":"818-11"},{"id":16,"name":"Locomotive ID","value":"4063"},{"id":130,"name":"Impact","value":""},{"id":150,"name":"Time of Event (Mountain Time)","value":"11:55:02"},{"id":151,"name":"Denver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2"/>
        <v>start /low /b %USERPROFILE%\Documents\GitHub\eaglep3\Utilities\DownloadLogsFromS3.py --loco 4063 --day 2017-10-11</v>
      </c>
      <c r="AN178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24"/>
        <v>https://d0f6bd738d7f1b3e5a7ca70fe4ff75f0.us-east-1.aws.found.io/app/kibana#/discover/Steve-Slow-Train-Analysis-(2080s-and-2083s)?_g=(refreshInterval:(display:Off,pause:!f,section:0,value:0),time:(from:'2017-10-11T10:25:37-0600',mode:absolute,to:'2017-10-11T12:55:02-0600'))&amp;_a=(columns:!('Message%20ID',Summary),filters:!(),index:'emp_*',interval:auto,query:(query_string:(analyze_wildcard:!t,query:'%22rtdc.l.rtdc.4063%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714</v>
      </c>
      <c r="B179" s="7">
        <v>4064</v>
      </c>
      <c r="C179" s="21" t="s">
        <v>194</v>
      </c>
      <c r="D179" s="21" t="s">
        <v>447</v>
      </c>
      <c r="E179" s="13">
        <v>43019.499143518522</v>
      </c>
      <c r="F179" s="13">
        <v>43019.506550925929</v>
      </c>
      <c r="G179" s="7">
        <v>80</v>
      </c>
      <c r="H179" s="21" t="s">
        <v>952</v>
      </c>
      <c r="I179" s="13">
        <v>43019.516192129631</v>
      </c>
      <c r="J179" s="7">
        <v>0</v>
      </c>
      <c r="K179" s="89" t="str">
        <f>IF(ISEVEN(B179),(B179-1)&amp;"/"&amp;B179,B179&amp;"/"&amp;(B179+1))</f>
        <v>4063/4064</v>
      </c>
      <c r="L179" s="185" t="str">
        <f>VLOOKUP(A179,'Trips&amp;Operators'!$C$1:$G$99911,5,FALSE)</f>
        <v>GEBRETEKLE DAGNEW</v>
      </c>
      <c r="M179" s="6">
        <f>I179-F179</f>
        <v>9.6412037019035779E-3</v>
      </c>
      <c r="N179" s="7">
        <f>24*60*SUM($M179:$M179)</f>
        <v>13.883333330741152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-11T10:58:46-0600',mode:absolute,to:'2017-10-11T13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9.9199999999999997E-2</v>
      </c>
      <c r="Z179" s="204">
        <f>RIGHT(H179,LEN(H179)-4)/10000</f>
        <v>5.8973000000000004</v>
      </c>
      <c r="AA179" s="204">
        <f>ABS(Z179-Y179)</f>
        <v>5.7981000000000007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819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/stypes="app*4064*20171011*" /stext=" 18:.+((SYSTEM_STATE.+slice.+state.+changed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0"/>
        <v>"%USERPROFILE%\Documents\GitHub\eaglep3\Utilities\RefineRTDCRunTimes.py" --tripid 819-11 --locoid 4064 --swversion DE.1.0.9.0 --startMP 204:992 --initTime 2017-10-11T11:58:46 --startdatetime 2017-10-11T12:09:26 --delay 80 --endMP 300:58973 --enddatetime 2017-10-11T12:23:19 --enforcementcount 0 &gt;&gt;%USERPROFILE%\Documents\GitHub\eaglep3-reporting\EC\2017-10-11-refined-times.txt</v>
      </c>
      <c r="AI179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{"issue":{"subject":"","project_id":79,"tracker_id":40,"status_id":1,"priority_id":2,"assigned_to_id":338,"start_date":"2017-10-11","description":"","custom_fields":[{"id":1,"name":"Subdivision","value":"NW"},{"id":4,"name":"Milepost","value":"5.8973"},{"id":17,"name":"Train ID","value":"819-11"},{"id":16,"name":"Locomotive ID","value":"4064"},{"id":130,"name":"Impact","value":""},{"id":150,"name":"Time of Event (Mountain Time)","value":"12:23:19"},{"id":151,"name":"Denver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2"/>
        <v>start /low /b %USERPROFILE%\Documents\GitHub\eaglep3\Utilities\DownloadLogsFromS3.py --loco 4064 --day 2017-10-11</v>
      </c>
      <c r="AN179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24"/>
        <v>https://d0f6bd738d7f1b3e5a7ca70fe4ff75f0.us-east-1.aws.found.io/app/kibana#/discover/Steve-Slow-Train-Analysis-(2080s-and-2083s)?_g=(refreshInterval:(display:Off,pause:!f,section:0,value:0),time:(from:'2017-10-11T10:58:46-0600',mode:absolute,to:'2017-10-11T13:23:19-0600'))&amp;_a=(columns:!('Message%20ID',Summary),filters:!(),index:'emp_*',interval:auto,query:(query_string:(analyze_wildcard:!t,query:'%22rtdc.l.rtdc.4064%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720</v>
      </c>
      <c r="B180" s="7">
        <v>4063</v>
      </c>
      <c r="C180" s="21" t="s">
        <v>194</v>
      </c>
      <c r="D180" s="21" t="s">
        <v>560</v>
      </c>
      <c r="E180" s="13">
        <v>43019.518101851849</v>
      </c>
      <c r="F180" s="13">
        <v>43019.529409722221</v>
      </c>
      <c r="G180" s="7">
        <v>50</v>
      </c>
      <c r="H180" s="21" t="s">
        <v>563</v>
      </c>
      <c r="I180" s="13">
        <v>43019.538252314815</v>
      </c>
      <c r="J180" s="7">
        <v>0</v>
      </c>
      <c r="K180" s="89" t="str">
        <f>IF(ISEVEN(B180),(B180-1)&amp;"/"&amp;B180,B180&amp;"/"&amp;(B180+1))</f>
        <v>4063/4064</v>
      </c>
      <c r="L180" s="185" t="str">
        <f>VLOOKUP(A180,'Trips&amp;Operators'!$C$1:$G$99911,5,FALSE)</f>
        <v>GEBRETEKLE DAGNEW</v>
      </c>
      <c r="M180" s="6">
        <f>I180-F180</f>
        <v>8.8425925932824612E-3</v>
      </c>
      <c r="N180" s="7">
        <f>24*60*SUM($M180:$M180)</f>
        <v>12.733333334326744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-11T11:26:04-0600',mode:absolute,to:'2017-10-11T13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5.8654999999999999</v>
      </c>
      <c r="Z180" s="204">
        <f>RIGHT(H180,LEN(H180)-4)/10000</f>
        <v>7.0800000000000002E-2</v>
      </c>
      <c r="AA180" s="204">
        <f>ABS(Z180-Y180)</f>
        <v>5.7946999999999997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820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/stypes="app*4063*20171011*" /stext=" 18:.+((SYSTEM_STATE.+slice.+state.+changed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0"/>
        <v>"%USERPROFILE%\Documents\GitHub\eaglep3\Utilities\RefineRTDCRunTimes.py" --tripid 820-11 --locoid 4063 --swversion DE.1.0.9.0 --startMP 300:58655 --initTime 2017-10-11T12:26:04 --startdatetime 2017-10-11T12:42:21 --delay 50 --endMP 204:708 --enddatetime 2017-10-11T12:55:05 --enforcementcount 0 &gt;&gt;%USERPROFILE%\Documents\GitHub\eaglep3-reporting\EC\2017-10-11-refined-times.txt</v>
      </c>
      <c r="AI180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{"issue":{"subject":"","project_id":79,"tracker_id":40,"status_id":1,"priority_id":2,"assigned_to_id":338,"start_date":"2017-10-11","description":"","custom_fields":[{"id":1,"name":"Subdivision","value":"NW"},{"id":4,"name":"Milepost","value":"0.0708"},{"id":17,"name":"Train ID","value":"820-11"},{"id":16,"name":"Locomotive ID","value":"4063"},{"id":130,"name":"Impact","value":""},{"id":150,"name":"Time of Event (Mountain Time)","value":"12:55:05"},{"id":151,"name":"Denver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2"/>
        <v>start /low /b %USERPROFILE%\Documents\GitHub\eaglep3\Utilities\DownloadLogsFromS3.py --loco 4063 --day 2017-10-11</v>
      </c>
      <c r="AN180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24"/>
        <v>https://d0f6bd738d7f1b3e5a7ca70fe4ff75f0.us-east-1.aws.found.io/app/kibana#/discover/Steve-Slow-Train-Analysis-(2080s-and-2083s)?_g=(refreshInterval:(display:Off,pause:!f,section:0,value:0),time:(from:'2017-10-11T11:26:04-0600',mode:absolute,to:'2017-10-11T13:55:05-0600'))&amp;_a=(columns:!('Message%20ID',Summary),filters:!(),index:'emp_*',interval:auto,query:(query_string:(analyze_wildcard:!t,query:'%22rtdc.l.rtdc.4063%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728</v>
      </c>
      <c r="B181" s="7">
        <v>4064</v>
      </c>
      <c r="C181" s="21" t="s">
        <v>194</v>
      </c>
      <c r="D181" s="21" t="s">
        <v>957</v>
      </c>
      <c r="E181" s="13">
        <v>43019.541296296295</v>
      </c>
      <c r="F181" s="13">
        <v>43019.548472222225</v>
      </c>
      <c r="G181" s="7">
        <v>94</v>
      </c>
      <c r="H181" s="21" t="s">
        <v>448</v>
      </c>
      <c r="I181" s="13">
        <v>43019.558240740742</v>
      </c>
      <c r="J181" s="7">
        <v>0</v>
      </c>
      <c r="K181" s="89" t="str">
        <f>IF(ISEVEN(B181),(B181-1)&amp;"/"&amp;B181,B181&amp;"/"&amp;(B181+1))</f>
        <v>4063/4064</v>
      </c>
      <c r="L181" s="185" t="str">
        <f>VLOOKUP(A181,'Trips&amp;Operators'!$C$1:$G$99911,5,FALSE)</f>
        <v>LEVERE CRAIG</v>
      </c>
      <c r="M181" s="6">
        <f>I181-F181</f>
        <v>9.7685185173759237E-3</v>
      </c>
      <c r="N181" s="7">
        <f>24*60*SUM($M181:$M181)</f>
        <v>14.06666666502133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-11T11:59:28-0600',mode:absolute,to:'2017-10-11T14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9.6199999999999994E-2</v>
      </c>
      <c r="Z181" s="204">
        <f>RIGHT(H181,LEN(H181)-4)/10000</f>
        <v>5.8963000000000001</v>
      </c>
      <c r="AA181" s="204">
        <f>ABS(Z181-Y181)</f>
        <v>5.8001000000000005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821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/stypes="app*4064*20171011*"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0"/>
        <v>"%USERPROFILE%\Documents\GitHub\eaglep3\Utilities\RefineRTDCRunTimes.py" --tripid 821-11 --locoid 4064 --swversion DE.1.0.9.0 --startMP 204:962 --initTime 2017-10-11T12:59:28 --startdatetime 2017-10-11T13:09:48 --delay 94 --endMP 300:58963 --enddatetime 2017-10-11T13:23:52 --enforcementcount 0 &gt;&gt;%USERPROFILE%\Documents\GitHub\eaglep3-reporting\EC\2017-10-11-refined-times.txt</v>
      </c>
      <c r="AI181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{"issue":{"subject":"","project_id":79,"tracker_id":40,"status_id":1,"priority_id":2,"assigned_to_id":338,"start_date":"2017-10-11","description":"","custom_fields":[{"id":1,"name":"Subdivision","value":"NW"},{"id":4,"name":"Milepost","value":"5.8963"},{"id":17,"name":"Train ID","value":"821-11"},{"id":16,"name":"Locomotive ID","value":"4064"},{"id":130,"name":"Impact","value":""},{"id":150,"name":"Time of Event (Mountain Time)","value":"13:23:52"},{"id":151,"name":"Denver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2"/>
        <v>start /low /b %USERPROFILE%\Documents\GitHub\eaglep3\Utilities\DownloadLogsFromS3.py --loco 4064 --day 2017-10-11</v>
      </c>
      <c r="AN181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24"/>
        <v>https://d0f6bd738d7f1b3e5a7ca70fe4ff75f0.us-east-1.aws.found.io/app/kibana#/discover/Steve-Slow-Train-Analysis-(2080s-and-2083s)?_g=(refreshInterval:(display:Off,pause:!f,section:0,value:0),time:(from:'2017-10-11T11:59:28-0600',mode:absolute,to:'2017-10-11T14:23:52-0600'))&amp;_a=(columns:!('Message%20ID',Summary),filters:!(),index:'emp_*',interval:auto,query:(query_string:(analyze_wildcard:!t,query:'%22rtdc.l.rtdc.4064%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596</v>
      </c>
      <c r="B182" s="7">
        <v>4063</v>
      </c>
      <c r="C182" s="21" t="s">
        <v>194</v>
      </c>
      <c r="D182" s="21" t="s">
        <v>555</v>
      </c>
      <c r="E182" s="13">
        <v>43019.562418981484</v>
      </c>
      <c r="F182" s="13">
        <v>43019.566053240742</v>
      </c>
      <c r="G182" s="7">
        <v>84</v>
      </c>
      <c r="H182" s="21" t="s">
        <v>958</v>
      </c>
      <c r="I182" s="13">
        <v>43019.578842592593</v>
      </c>
      <c r="J182" s="7">
        <v>0</v>
      </c>
      <c r="K182" s="89" t="str">
        <f>IF(ISEVEN(B182),(B182-1)&amp;"/"&amp;B182,B182&amp;"/"&amp;(B182+1))</f>
        <v>4063/4064</v>
      </c>
      <c r="L182" s="185" t="str">
        <f>VLOOKUP(A182,'Trips&amp;Operators'!$C$1:$G$99911,5,FALSE)</f>
        <v>LEVERE CRAIG</v>
      </c>
      <c r="M182" s="6">
        <f>I182-F182</f>
        <v>1.2789351851097308E-2</v>
      </c>
      <c r="N182" s="7">
        <f>24*60*SUM($M182:$M182)</f>
        <v>18.416666665580124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-11T12:29:53-0600',mode:absolute,to:'2017-10-11T14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2" s="204" t="str">
        <f>IF(AA182&lt;VLOOKUP(AG182,Variables!$AC$3:$AD$8,2,FALSE),"Y","N")</f>
        <v>Y</v>
      </c>
      <c r="X182" s="204">
        <f>VALUE(LEFT(AD182,4))-VALUE(LEFT(AD181,4))</f>
        <v>1</v>
      </c>
      <c r="Y182" s="204">
        <f>RIGHT(D182,LEN(D182)-4)/10000</f>
        <v>5.8651</v>
      </c>
      <c r="Z182" s="204">
        <f>RIGHT(H182,LEN(H182)-4)/10000</f>
        <v>0.45739999999999997</v>
      </c>
      <c r="AA182" s="204">
        <f>ABS(Z182-Y182)</f>
        <v>5.4077000000000002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822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/stypes="app*4063*20171011*" /stext=" 19:.+((SYSTEM_STATE.+slice.+state.+changed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0"/>
        <v>"%USERPROFILE%\Documents\GitHub\eaglep3\Utilities\RefineRTDCRunTimes.py" --tripid 822-11 --locoid 4063 --swversion DE.1.0.9.0 --startMP 300:58651 --initTime 2017-10-11T13:29:53 --startdatetime 2017-10-11T13:35:07 --delay 84 --endMP 204:4574 --enddatetime 2017-10-11T13:53:32 --enforcementcount 0 &gt;&gt;%USERPROFILE%\Documents\GitHub\eaglep3-reporting\EC\2017-10-11-refined-times.txt</v>
      </c>
      <c r="AI182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{"issue":{"subject":"","project_id":79,"tracker_id":40,"status_id":1,"priority_id":2,"assigned_to_id":338,"start_date":"2017-10-11","description":"","custom_fields":[{"id":1,"name":"Subdivision","value":"NW"},{"id":4,"name":"Milepost","value":"0.4574"},{"id":17,"name":"Train ID","value":"822-11"},{"id":16,"name":"Locomotive ID","value":"4063"},{"id":130,"name":"Impact","value":""},{"id":150,"name":"Time of Event (Mountain Time)","value":"13:53:32"},{"id":151,"name":"Denver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2"/>
        <v>start /low /b %USERPROFILE%\Documents\GitHub\eaglep3\Utilities\DownloadLogsFromS3.py --loco 4063 --day 2017-10-11</v>
      </c>
      <c r="AN182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24"/>
        <v>https://d0f6bd738d7f1b3e5a7ca70fe4ff75f0.us-east-1.aws.found.io/app/kibana#/discover/Steve-Slow-Train-Analysis-(2080s-and-2083s)?_g=(refreshInterval:(display:Off,pause:!f,section:0,value:0),time:(from:'2017-10-11T12:29:53-0600',mode:absolute,to:'2017-10-11T14:53:32-0600'))&amp;_a=(columns:!('Message%20ID',Summary),filters:!(),index:'emp_*',interval:auto,query:(query_string:(analyze_wildcard:!t,query:'%22rtdc.l.rtdc.4063%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597</v>
      </c>
      <c r="B183" s="7">
        <v>4064</v>
      </c>
      <c r="C183" s="21" t="s">
        <v>194</v>
      </c>
      <c r="D183" s="21" t="s">
        <v>458</v>
      </c>
      <c r="E183" s="13">
        <v>43019.585439814815</v>
      </c>
      <c r="F183" s="13">
        <v>43019.592592592591</v>
      </c>
      <c r="G183" s="7">
        <v>55</v>
      </c>
      <c r="H183" s="21" t="s">
        <v>959</v>
      </c>
      <c r="I183" s="13">
        <v>43019.601388888892</v>
      </c>
      <c r="J183" s="7">
        <v>0</v>
      </c>
      <c r="K183" s="89" t="str">
        <f>IF(ISEVEN(B183),(B183-1)&amp;"/"&amp;B183,B183&amp;"/"&amp;(B183+1))</f>
        <v>4063/4064</v>
      </c>
      <c r="L183" s="185" t="str">
        <f>VLOOKUP(A183,'Trips&amp;Operators'!$C$1:$G$99911,5,FALSE)</f>
        <v>LEVERE CRAIG</v>
      </c>
      <c r="M183" s="6">
        <f>I183-F183</f>
        <v>8.7962963007157668E-3</v>
      </c>
      <c r="N183" s="7"/>
      <c r="O183" s="7"/>
      <c r="P183" s="7">
        <f>24*60*SUM($M183:$M183)</f>
        <v>12.666666673030704</v>
      </c>
      <c r="Q183" s="22"/>
      <c r="R183" s="174" t="s">
        <v>1017</v>
      </c>
      <c r="S183" s="221">
        <f>1/IF(AG183="EC",12,1)*SUM(U183:U184)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-11T13:03:02-0600',mode:absolute,to:'2017-10-11T15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3" s="204" t="str">
        <f>IF(AA183&lt;VLOOKUP(AG183,Variables!$AC$3:$AD$8,2,FALSE),"Y","N")</f>
        <v>Y</v>
      </c>
      <c r="X183" s="204">
        <f>VALUE(LEFT(AD183,4))-VALUE(LEFT(AD182,4))</f>
        <v>1</v>
      </c>
      <c r="Y183" s="204">
        <f>RIGHT(D183,LEN(D183)-4)/10000</f>
        <v>9.7100000000000006E-2</v>
      </c>
      <c r="Z183" s="204">
        <f>RIGHT(H183,LEN(H183)-4)/10000</f>
        <v>0.1963</v>
      </c>
      <c r="AA183" s="204">
        <f>ABS(Z183-Y183)</f>
        <v>9.9199999999999997E-2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823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/stypes="app*4064*20171011*"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0"/>
        <v>"%USERPROFILE%\Documents\GitHub\eaglep3\Utilities\RefineRTDCRunTimes.py" --tripid 823-11 --locoid 4064 --swversion DE.1.0.9.0 --startMP 204:971 --initTime 2017-10-11T14:03:02 --startdatetime 2017-10-11T14:13:20 --delay 55 --endMP 204:1963 --enddatetime 2017-10-11T14:26:00 --enforcementcount 0 &gt;&gt;%USERPROFILE%\Documents\GitHub\eaglep3-reporting\EC\2017-10-11-refined-times.txt</v>
      </c>
      <c r="AI183" s="96" t="str">
        <f t="shared" si="21"/>
        <v>echo {"issue":{"subject":"Poor GPS at DUS","project_id":79,"tracker_id":40,"status_id":1,"priority_id":2,"assigned_to_id":338,"start_date":"2017-10-11","description":"","custom_fields":[{"id":1,"name":"Subdivision","value":"NW"},{"id":4,"name":"Milepost","value":"0.1963"},{"id":17,"name":"Train ID","value":"823-11"},{"id":16,"name":"Locomotive ID","value":"4064"},{"id":130,"name":"Impact","value":""},{"id":150,"name":"Time of Event (Mountain Time)","value":"14:26:00"},{"id":151,"name":"Denver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2"/>
        <v>start /low /b %USERPROFILE%\Documents\GitHub\eaglep3\Utilities\DownloadLogsFromS3.py --loco 4064 --day 2017-10-11</v>
      </c>
      <c r="AN183" s="151" t="str">
        <f t="shared" si="23"/>
        <v>echo {"issue":{"subject":"Poor GPS at DUS","project_id":30,"tracker_id":4,"status_id":1,"priority_id":1,"assigned_to_id":10,"start_date":"2017-10-11","description":"","custom_fields":[{"id":30,"name":"Category","value":"Issue"},{"id":3,"name":"Functional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24"/>
        <v>https://d0f6bd738d7f1b3e5a7ca70fe4ff75f0.us-east-1.aws.found.io/app/kibana#/discover/Steve-Slow-Train-Analysis-(2080s-and-2083s)?_g=(refreshInterval:(display:Off,pause:!f,section:0,value:0),time:(from:'2017-10-11T13:03:02-0600',mode:absolute,to:'2017-10-11T15:26:00-0600'))&amp;_a=(columns:!('Message%20ID',Summary),filters:!(),index:'emp_*',interval:auto,query:(query_string:(analyze_wildcard:!t,query:'%22rtdc.l.rtdc.4064%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597</v>
      </c>
      <c r="B184" s="7">
        <v>4064</v>
      </c>
      <c r="C184" s="21" t="s">
        <v>194</v>
      </c>
      <c r="D184" s="21" t="s">
        <v>960</v>
      </c>
      <c r="E184" s="13">
        <v>43019.591805555552</v>
      </c>
      <c r="F184" s="13">
        <v>43019.592592592591</v>
      </c>
      <c r="G184" s="7">
        <v>39</v>
      </c>
      <c r="H184" s="21" t="s">
        <v>490</v>
      </c>
      <c r="I184" s="13">
        <v>43019.601388888892</v>
      </c>
      <c r="J184" s="7">
        <v>0</v>
      </c>
      <c r="K184" s="89" t="str">
        <f>IF(ISEVEN(B184),(B184-1)&amp;"/"&amp;B184,B184&amp;"/"&amp;(B184+1))</f>
        <v>4063/4064</v>
      </c>
      <c r="L184" s="185" t="str">
        <f>VLOOKUP(A184,'Trips&amp;Operators'!$C$1:$G$99911,5,FALSE)</f>
        <v>LEVERE CRAIG</v>
      </c>
      <c r="M184" s="6">
        <f>I184-F184</f>
        <v>8.7962963007157668E-3</v>
      </c>
      <c r="N184" s="7"/>
      <c r="O184" s="7"/>
      <c r="P184" s="7"/>
      <c r="Q184" s="22"/>
      <c r="R184" s="174"/>
      <c r="S184" s="221"/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-11T13:12:12-0600',mode:absolute,to:'2017-10-11T15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204" t="str">
        <f>IF(AA184&lt;VLOOKUP(AG184,Variables!$AC$3:$AD$8,2,FALSE),"Y","N")</f>
        <v>Y</v>
      </c>
      <c r="X184" s="204">
        <f>VALUE(LEFT(AD184,4))-VALUE(LEFT(AD183,4))</f>
        <v>0</v>
      </c>
      <c r="Y184" s="204">
        <f>RIGHT(D184,LEN(D184)-4)/10000</f>
        <v>0.4788</v>
      </c>
      <c r="Z184" s="204">
        <f>RIGHT(H184,LEN(H184)-4)/10000</f>
        <v>5.8948</v>
      </c>
      <c r="AA184" s="204">
        <f>ABS(Z184-Y184)</f>
        <v>5.4160000000000004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823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/stypes="app*4064*20171011*" /stext=" 20:.+((SYSTEM_STATE.+slice.+state.+changed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0"/>
        <v>"%USERPROFILE%\Documents\GitHub\eaglep3\Utilities\RefineRTDCRunTimes.py" --tripid 823-11 --locoid 4064 --swversion DE.1.0.9.0 --startMP 204:4788 --initTime 2017-10-11T14:12:12 --startdatetime 2017-10-11T14:13:20 --delay 39 --endMP 300:58948 --enddatetime 2017-10-11T14:26:00 --enforcementcount 0 &gt;&gt;%USERPROFILE%\Documents\GitHub\eaglep3-reporting\EC\2017-10-11-refined-times.txt</v>
      </c>
      <c r="AI184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{"issue":{"subject":"","project_id":79,"tracker_id":40,"status_id":1,"priority_id":2,"assigned_to_id":338,"start_date":"2017-10-11","description":"","custom_fields":[{"id":1,"name":"Subdivision","value":"NW"},{"id":4,"name":"Milepost","value":"5.8948"},{"id":17,"name":"Train ID","value":"823-11"},{"id":16,"name":"Locomotive ID","value":"4064"},{"id":130,"name":"Impact","value":""},{"id":150,"name":"Time of Event (Mountain Time)","value":"14:26:00"},{"id":151,"name":"Denver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2"/>
        <v>start /low /b %USERPROFILE%\Documents\GitHub\eaglep3\Utilities\DownloadLogsFromS3.py --loco 4064 --day 2017-10-11</v>
      </c>
      <c r="AN184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24"/>
        <v>https://d0f6bd738d7f1b3e5a7ca70fe4ff75f0.us-east-1.aws.found.io/app/kibana#/discover/Steve-Slow-Train-Analysis-(2080s-and-2083s)?_g=(refreshInterval:(display:Off,pause:!f,section:0,value:0),time:(from:'2017-10-11T13:12:12-0600',mode:absolute,to:'2017-10-11T15:26:00-0600'))&amp;_a=(columns:!('Message%20ID',Summary),filters:!(),index:'emp_*',interval:auto,query:(query_string:(analyze_wildcard:!t,query:'%22rtdc.l.rtdc.4064%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599</v>
      </c>
      <c r="B185" s="7">
        <v>4063</v>
      </c>
      <c r="C185" s="21" t="s">
        <v>194</v>
      </c>
      <c r="D185" s="21" t="s">
        <v>567</v>
      </c>
      <c r="E185" s="13">
        <v>43019.605092592596</v>
      </c>
      <c r="F185" s="13">
        <v>43019.606840277775</v>
      </c>
      <c r="G185" s="7">
        <v>54</v>
      </c>
      <c r="H185" s="21" t="s">
        <v>961</v>
      </c>
      <c r="I185" s="13">
        <v>43019.620509259257</v>
      </c>
      <c r="J185" s="7">
        <v>0</v>
      </c>
      <c r="K185" s="89" t="str">
        <f>IF(ISEVEN(B185),(B185-1)&amp;"/"&amp;B185,B185&amp;"/"&amp;(B185+1))</f>
        <v>4063/4064</v>
      </c>
      <c r="L185" s="185" t="str">
        <f>VLOOKUP(A185,'Trips&amp;Operators'!$C$1:$G$99911,5,FALSE)</f>
        <v>LEVERE CRAIG</v>
      </c>
      <c r="M185" s="6">
        <f>I185-F185</f>
        <v>1.3668981482624076E-2</v>
      </c>
      <c r="N185" s="7">
        <f>24*60*SUM($M185:$M185)</f>
        <v>19.68333333497867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-11T13:31:20-0600',mode:absolute,to:'2017-10-11T15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204" t="str">
        <f>IF(AA185&lt;VLOOKUP(AG185,Variables!$AC$3:$AD$8,2,FALSE),"Y","N")</f>
        <v>Y</v>
      </c>
      <c r="X185" s="204">
        <f>VALUE(LEFT(AD185,4))-VALUE(LEFT(AD184,4))</f>
        <v>1</v>
      </c>
      <c r="Y185" s="204">
        <f>RIGHT(D185,LEN(D185)-4)/10000</f>
        <v>5.8628</v>
      </c>
      <c r="Z185" s="204">
        <f>RIGHT(H185,LEN(H185)-4)/10000</f>
        <v>0.47070000000000001</v>
      </c>
      <c r="AA185" s="204">
        <f>ABS(Z185-Y185)</f>
        <v>5.3921000000000001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824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/stypes="app*4063*20171011*" /stext=" 20:.+((SYSTEM_STATE.+slice.+state.+changed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0"/>
        <v>"%USERPROFILE%\Documents\GitHub\eaglep3\Utilities\RefineRTDCRunTimes.py" --tripid 824-11 --locoid 4063 --swversion DE.1.0.9.0 --startMP 300:58628 --initTime 2017-10-11T14:31:20 --startdatetime 2017-10-11T14:33:51 --delay 54 --endMP 204:4707 --enddatetime 2017-10-11T14:53:32 --enforcementcount 0 &gt;&gt;%USERPROFILE%\Documents\GitHub\eaglep3-reporting\EC\2017-10-11-refined-times.txt</v>
      </c>
      <c r="AI185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{"issue":{"subject":"","project_id":79,"tracker_id":40,"status_id":1,"priority_id":2,"assigned_to_id":338,"start_date":"2017-10-11","description":"","custom_fields":[{"id":1,"name":"Subdivision","value":"NW"},{"id":4,"name":"Milepost","value":"0.4707"},{"id":17,"name":"Train ID","value":"824-11"},{"id":16,"name":"Locomotive ID","value":"4063"},{"id":130,"name":"Impact","value":""},{"id":150,"name":"Time of Event (Mountain Time)","value":"14:53:32"},{"id":151,"name":"Denver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2"/>
        <v>start /low /b %USERPROFILE%\Documents\GitHub\eaglep3\Utilities\DownloadLogsFromS3.py --loco 4063 --day 2017-10-11</v>
      </c>
      <c r="AN185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24"/>
        <v>https://d0f6bd738d7f1b3e5a7ca70fe4ff75f0.us-east-1.aws.found.io/app/kibana#/discover/Steve-Slow-Train-Analysis-(2080s-and-2083s)?_g=(refreshInterval:(display:Off,pause:!f,section:0,value:0),time:(from:'2017-10-11T13:31:20-0600',mode:absolute,to:'2017-10-11T15:53:32-0600'))&amp;_a=(columns:!('Message%20ID',Summary),filters:!(),index:'emp_*',interval:auto,query:(query_string:(analyze_wildcard:!t,query:'%22rtdc.l.rtdc.4063%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745</v>
      </c>
      <c r="B186" s="7">
        <v>4064</v>
      </c>
      <c r="C186" s="21" t="s">
        <v>194</v>
      </c>
      <c r="D186" s="21" t="s">
        <v>962</v>
      </c>
      <c r="E186" s="13">
        <v>43019.62537037037</v>
      </c>
      <c r="F186" s="13">
        <v>43019.63144675926</v>
      </c>
      <c r="G186" s="7">
        <v>58</v>
      </c>
      <c r="H186" s="21" t="s">
        <v>963</v>
      </c>
      <c r="I186" s="13">
        <v>43019.641423611109</v>
      </c>
      <c r="J186" s="7">
        <v>0</v>
      </c>
      <c r="K186" s="89" t="str">
        <f>IF(ISEVEN(B186),(B186-1)&amp;"/"&amp;B186,B186&amp;"/"&amp;(B186+1))</f>
        <v>4063/4064</v>
      </c>
      <c r="L186" s="185" t="str">
        <f>VLOOKUP(A186,'Trips&amp;Operators'!$C$1:$G$99911,5,FALSE)</f>
        <v>LEVERE CRAIG</v>
      </c>
      <c r="M186" s="6">
        <f>I186-F186</f>
        <v>9.9768518484779634E-3</v>
      </c>
      <c r="N186" s="7">
        <f>24*60*SUM($M186:$M186)</f>
        <v>14.366666661808267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-11T14:00:32-0600',mode:absolute,to:'2017-10-11T16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9.8599999999999993E-2</v>
      </c>
      <c r="Z186" s="204">
        <f>RIGHT(H186,LEN(H186)-4)/10000</f>
        <v>5.8975</v>
      </c>
      <c r="AA186" s="204">
        <f>ABS(Z186-Y186)</f>
        <v>5.7988999999999997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825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/stypes="app*4064*20171011*"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0"/>
        <v>"%USERPROFILE%\Documents\GitHub\eaglep3\Utilities\RefineRTDCRunTimes.py" --tripid 825-11 --locoid 4064 --swversion DE.1.0.9.0 --startMP 204:986 --initTime 2017-10-11T15:00:32 --startdatetime 2017-10-11T15:09:17 --delay 58 --endMP 300:58975 --enddatetime 2017-10-11T15:23:39 --enforcementcount 0 &gt;&gt;%USERPROFILE%\Documents\GitHub\eaglep3-reporting\EC\2017-10-11-refined-times.txt</v>
      </c>
      <c r="AI186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{"issue":{"subject":"","project_id":79,"tracker_id":40,"status_id":1,"priority_id":2,"assigned_to_id":338,"start_date":"2017-10-11","description":"","custom_fields":[{"id":1,"name":"Subdivision","value":"NW"},{"id":4,"name":"Milepost","value":"5.8975"},{"id":17,"name":"Train ID","value":"825-11"},{"id":16,"name":"Locomotive ID","value":"4064"},{"id":130,"name":"Impact","value":""},{"id":150,"name":"Time of Event (Mountain Time)","value":"15:23:39"},{"id":151,"name":"Denver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2"/>
        <v>start /low /b %USERPROFILE%\Documents\GitHub\eaglep3\Utilities\DownloadLogsFromS3.py --loco 4064 --day 2017-10-11</v>
      </c>
      <c r="AN186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24"/>
        <v>https://d0f6bd738d7f1b3e5a7ca70fe4ff75f0.us-east-1.aws.found.io/app/kibana#/discover/Steve-Slow-Train-Analysis-(2080s-and-2083s)?_g=(refreshInterval:(display:Off,pause:!f,section:0,value:0),time:(from:'2017-10-11T14:00:32-0600',mode:absolute,to:'2017-10-11T16:23:39-0600'))&amp;_a=(columns:!('Message%20ID',Summary),filters:!(),index:'emp_*',interval:auto,query:(query_string:(analyze_wildcard:!t,query:'%22rtdc.l.rtdc.4064%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749</v>
      </c>
      <c r="B187" s="7">
        <v>4063</v>
      </c>
      <c r="C187" s="21" t="s">
        <v>194</v>
      </c>
      <c r="D187" s="21" t="s">
        <v>942</v>
      </c>
      <c r="E187" s="13">
        <v>43019.643055555556</v>
      </c>
      <c r="F187" s="13">
        <v>43019.654421296298</v>
      </c>
      <c r="G187" s="7">
        <v>60</v>
      </c>
      <c r="H187" s="21" t="s">
        <v>964</v>
      </c>
      <c r="I187" s="13">
        <v>43019.66375</v>
      </c>
      <c r="J187" s="7">
        <v>0</v>
      </c>
      <c r="K187" s="89" t="str">
        <f>IF(ISEVEN(B187),(B187-1)&amp;"/"&amp;B187,B187&amp;"/"&amp;(B187+1))</f>
        <v>4063/4064</v>
      </c>
      <c r="L187" s="185" t="str">
        <f>VLOOKUP(A187,'Trips&amp;Operators'!$C$1:$G$99911,5,FALSE)</f>
        <v>LEVERE CRAIG</v>
      </c>
      <c r="M187" s="6">
        <f>I187-F187</f>
        <v>9.3287037016125396E-3</v>
      </c>
      <c r="N187" s="7">
        <f>24*60*SUM($M187:$M187)</f>
        <v>13.433333330322057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-11T14:26:00-0600',mode:absolute,to:'2017-10-11T16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5.8653000000000004</v>
      </c>
      <c r="Z187" s="204">
        <f>RIGHT(H187,LEN(H187)-4)/10000</f>
        <v>6.9199999999999998E-2</v>
      </c>
      <c r="AA187" s="204">
        <f>ABS(Z187-Y187)</f>
        <v>5.7961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826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/stypes="app*4063*20171011*" /stext=" 21:.+((SYSTEM_STATE.+slice.+state.+changed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0"/>
        <v>"%USERPROFILE%\Documents\GitHub\eaglep3\Utilities\RefineRTDCRunTimes.py" --tripid 826-11 --locoid 4063 --swversion DE.1.0.9.0 --startMP 300:58653 --initTime 2017-10-11T15:26:00 --startdatetime 2017-10-11T15:42:22 --delay 60 --endMP 204:692 --enddatetime 2017-10-11T15:55:48 --enforcementcount 0 &gt;&gt;%USERPROFILE%\Documents\GitHub\eaglep3-reporting\EC\2017-10-11-refined-times.txt</v>
      </c>
      <c r="AI187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{"issue":{"subject":"","project_id":79,"tracker_id":40,"status_id":1,"priority_id":2,"assigned_to_id":338,"start_date":"2017-10-11","description":"","custom_fields":[{"id":1,"name":"Subdivision","value":"NW"},{"id":4,"name":"Milepost","value":"0.0692"},{"id":17,"name":"Train ID","value":"826-11"},{"id":16,"name":"Locomotive ID","value":"4063"},{"id":130,"name":"Impact","value":""},{"id":150,"name":"Time of Event (Mountain Time)","value":"15:55:48"},{"id":151,"name":"Denver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2"/>
        <v>start /low /b %USERPROFILE%\Documents\GitHub\eaglep3\Utilities\DownloadLogsFromS3.py --loco 4063 --day 2017-10-11</v>
      </c>
      <c r="AN187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24"/>
        <v>https://d0f6bd738d7f1b3e5a7ca70fe4ff75f0.us-east-1.aws.found.io/app/kibana#/discover/Steve-Slow-Train-Analysis-(2080s-and-2083s)?_g=(refreshInterval:(display:Off,pause:!f,section:0,value:0),time:(from:'2017-10-11T14:26:00-0600',mode:absolute,to:'2017-10-11T16:55:48-0600'))&amp;_a=(columns:!('Message%20ID',Summary),filters:!(),index:'emp_*',interval:auto,query:(query_string:(analyze_wildcard:!t,query:'%22rtdc.l.rtdc.4063%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751</v>
      </c>
      <c r="B188" s="7">
        <v>4044</v>
      </c>
      <c r="C188" s="21" t="s">
        <v>194</v>
      </c>
      <c r="D188" s="21" t="s">
        <v>965</v>
      </c>
      <c r="E188" s="13">
        <v>43019.648993055554</v>
      </c>
      <c r="F188" s="13">
        <v>43019.652418981481</v>
      </c>
      <c r="G188" s="7">
        <v>61</v>
      </c>
      <c r="H188" s="21" t="s">
        <v>487</v>
      </c>
      <c r="I188" s="13">
        <v>43019.661909722221</v>
      </c>
      <c r="J188" s="7">
        <v>0</v>
      </c>
      <c r="K188" s="89" t="str">
        <f>IF(ISEVEN(B188),(B188-1)&amp;"/"&amp;B188,B188&amp;"/"&amp;(B188+1))</f>
        <v>4043/4044</v>
      </c>
      <c r="L188" s="185" t="str">
        <f>VLOOKUP(A188,'Trips&amp;Operators'!$C$1:$G$99911,5,FALSE)</f>
        <v>STAMBAUGH JAMES</v>
      </c>
      <c r="M188" s="6">
        <f>I188-F188</f>
        <v>9.4907407401478849E-3</v>
      </c>
      <c r="N188" s="7">
        <f>24*60*SUM($M188:$M188)</f>
        <v>13.666666665812954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-11T14:34:33-0600',mode:absolute,to:'2017-10-11T16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8.9700000000000002E-2</v>
      </c>
      <c r="Z188" s="204">
        <f>RIGHT(H188,LEN(H188)-4)/10000</f>
        <v>5.8959999999999999</v>
      </c>
      <c r="AA188" s="204">
        <f>ABS(Z188-Y188)</f>
        <v>5.8063000000000002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827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/stypes="app*4044*20171011*" /stext=" 21:.+((SYSTEM_STATE.+slice.+state.+changed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0"/>
        <v>"%USERPROFILE%\Documents\GitHub\eaglep3\Utilities\RefineRTDCRunTimes.py" --tripid 827-11 --locoid 4044 --swversion DE.1.0.9.0 --startMP 204:897 --initTime 2017-10-11T15:34:33 --startdatetime 2017-10-11T15:39:29 --delay 61 --endMP 300:58960 --enddatetime 2017-10-11T15:53:09 --enforcementcount 0 &gt;&gt;%USERPROFILE%\Documents\GitHub\eaglep3-reporting\EC\2017-10-11-refined-times.txt</v>
      </c>
      <c r="AI188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{"issue":{"subject":"","project_id":79,"tracker_id":40,"status_id":1,"priority_id":2,"assigned_to_id":338,"start_date":"2017-10-11","description":"","custom_fields":[{"id":1,"name":"Subdivision","value":"NW"},{"id":4,"name":"Milepost","value":"5.896"},{"id":17,"name":"Train ID","value":"827-11"},{"id":16,"name":"Locomotive ID","value":"4044"},{"id":130,"name":"Impact","value":""},{"id":150,"name":"Time of Event (Mountain Time)","value":"15:53:09"},{"id":151,"name":"Denver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2"/>
        <v>start /low /b %USERPROFILE%\Documents\GitHub\eaglep3\Utilities\DownloadLogsFromS3.py --loco 4044 --day 2017-10-11</v>
      </c>
      <c r="AN188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24"/>
        <v>https://d0f6bd738d7f1b3e5a7ca70fe4ff75f0.us-east-1.aws.found.io/app/kibana#/discover/Steve-Slow-Train-Analysis-(2080s-and-2083s)?_g=(refreshInterval:(display:Off,pause:!f,section:0,value:0),time:(from:'2017-10-11T14:34:33-0600',mode:absolute,to:'2017-10-11T16:53:09-0600'))&amp;_a=(columns:!('Message%20ID',Summary),filters:!(),index:'emp_*',interval:auto,query:(query_string:(analyze_wildcard:!t,query:'%22rtdc.l.rtdc.4044%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756</v>
      </c>
      <c r="B189" s="7">
        <v>4043</v>
      </c>
      <c r="C189" s="21" t="s">
        <v>194</v>
      </c>
      <c r="D189" s="21" t="s">
        <v>966</v>
      </c>
      <c r="E189" s="13">
        <v>43019.662835648145</v>
      </c>
      <c r="F189" s="13">
        <v>43019.675358796296</v>
      </c>
      <c r="G189" s="7">
        <v>56</v>
      </c>
      <c r="H189" s="21" t="s">
        <v>559</v>
      </c>
      <c r="I189" s="13">
        <v>43019.683518518519</v>
      </c>
      <c r="J189" s="7">
        <v>0</v>
      </c>
      <c r="K189" s="89" t="str">
        <f>IF(ISEVEN(B189),(B189-1)&amp;"/"&amp;B189,B189&amp;"/"&amp;(B189+1))</f>
        <v>4043/4044</v>
      </c>
      <c r="L189" s="185" t="str">
        <f>VLOOKUP(A189,'Trips&amp;Operators'!$C$1:$G$99911,5,FALSE)</f>
        <v>STAMBAUGH JAMES</v>
      </c>
      <c r="M189" s="6">
        <f>I189-F189</f>
        <v>8.1597222233540379E-3</v>
      </c>
      <c r="N189" s="7">
        <f>24*60*SUM($M189:$M189)</f>
        <v>11.750000001629815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-11T14:54:29-0600',mode:absolute,to:'2017-10-11T17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5.8663999999999996</v>
      </c>
      <c r="Z189" s="204">
        <f>RIGHT(H189,LEN(H189)-4)/10000</f>
        <v>6.7299999999999999E-2</v>
      </c>
      <c r="AA189" s="204">
        <f>ABS(Z189-Y189)</f>
        <v>5.7990999999999993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828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/stypes="app*4043*20171011*"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0"/>
        <v>"%USERPROFILE%\Documents\GitHub\eaglep3\Utilities\RefineRTDCRunTimes.py" --tripid 828-11 --locoid 4043 --swversion DE.1.0.9.0 --startMP 300:58664 --initTime 2017-10-11T15:54:29 --startdatetime 2017-10-11T16:12:31 --delay 56 --endMP 204:673 --enddatetime 2017-10-11T16:24:16 --enforcementcount 0 &gt;&gt;%USERPROFILE%\Documents\GitHub\eaglep3-reporting\EC\2017-10-11-refined-times.txt</v>
      </c>
      <c r="AI189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{"issue":{"subject":"","project_id":79,"tracker_id":40,"status_id":1,"priority_id":2,"assigned_to_id":338,"start_date":"2017-10-11","description":"","custom_fields":[{"id":1,"name":"Subdivision","value":"NW"},{"id":4,"name":"Milepost","value":"0.0673"},{"id":17,"name":"Train ID","value":"828-11"},{"id":16,"name":"Locomotive ID","value":"4043"},{"id":130,"name":"Impact","value":""},{"id":150,"name":"Time of Event (Mountain Time)","value":"16:24:16"},{"id":151,"name":"Denver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2"/>
        <v>start /low /b %USERPROFILE%\Documents\GitHub\eaglep3\Utilities\DownloadLogsFromS3.py --loco 4043 --day 2017-10-11</v>
      </c>
      <c r="AN189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24"/>
        <v>https://d0f6bd738d7f1b3e5a7ca70fe4ff75f0.us-east-1.aws.found.io/app/kibana#/discover/Steve-Slow-Train-Analysis-(2080s-and-2083s)?_g=(refreshInterval:(display:Off,pause:!f,section:0,value:0),time:(from:'2017-10-11T14:54:29-0600',mode:absolute,to:'2017-10-11T17:24:16-0600'))&amp;_a=(columns:!('Message%20ID',Summary),filters:!(),index:'emp_*',interval:auto,query:(query_string:(analyze_wildcard:!t,query:'%22rtdc.l.rtdc.4043%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757</v>
      </c>
      <c r="B190" s="7">
        <v>4064</v>
      </c>
      <c r="C190" s="21" t="s">
        <v>194</v>
      </c>
      <c r="D190" s="21" t="s">
        <v>557</v>
      </c>
      <c r="E190" s="13">
        <v>43019.666956018518</v>
      </c>
      <c r="F190" s="13">
        <v>43019.673090277778</v>
      </c>
      <c r="G190" s="7">
        <v>74</v>
      </c>
      <c r="H190" s="21" t="s">
        <v>967</v>
      </c>
      <c r="I190" s="13">
        <v>43019.683564814812</v>
      </c>
      <c r="J190" s="7">
        <v>0</v>
      </c>
      <c r="K190" s="89" t="str">
        <f>IF(ISEVEN(B190),(B190-1)&amp;"/"&amp;B190,B190&amp;"/"&amp;(B190+1))</f>
        <v>4063/4064</v>
      </c>
      <c r="L190" s="185" t="str">
        <f>VLOOKUP(A190,'Trips&amp;Operators'!$C$1:$G$99911,5,FALSE)</f>
        <v>LEVERE CRAIG</v>
      </c>
      <c r="M190" s="6">
        <f>I190-F190</f>
        <v>1.0474537033587694E-2</v>
      </c>
      <c r="N190" s="7">
        <f>24*60*SUM($M190:$M190)</f>
        <v>15.08333332836628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-11T15:00:25-0600',mode:absolute,to:'2017-10-11T17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9.7900000000000001E-2</v>
      </c>
      <c r="Z190" s="204">
        <f>RIGHT(H190,LEN(H190)-4)/10000</f>
        <v>5.8968999999999996</v>
      </c>
      <c r="AA190" s="204">
        <f>ABS(Z190-Y190)</f>
        <v>5.7989999999999995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829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/stypes="app*4064*20171011*"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20"/>
        <v>"%USERPROFILE%\Documents\GitHub\eaglep3\Utilities\RefineRTDCRunTimes.py" --tripid 829-11 --locoid 4064 --swversion DE.1.0.9.0 --startMP 204:979 --initTime 2017-10-11T16:00:25 --startdatetime 2017-10-11T16:09:15 --delay 74 --endMP 300:58969 --enddatetime 2017-10-11T16:24:20 --enforcementcount 0 &gt;&gt;%USERPROFILE%\Documents\GitHub\eaglep3-reporting\EC\2017-10-11-refined-times.txt</v>
      </c>
      <c r="AI190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{"issue":{"subject":"","project_id":79,"tracker_id":40,"status_id":1,"priority_id":2,"assigned_to_id":338,"start_date":"2017-10-11","description":"","custom_fields":[{"id":1,"name":"Subdivision","value":"NW"},{"id":4,"name":"Milepost","value":"5.8969"},{"id":17,"name":"Train ID","value":"829-11"},{"id":16,"name":"Locomotive ID","value":"4064"},{"id":130,"name":"Impact","value":""},{"id":150,"name":"Time of Event (Mountain Time)","value":"16:24:20"},{"id":151,"name":"Denver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2"/>
        <v>start /low /b %USERPROFILE%\Documents\GitHub\eaglep3\Utilities\DownloadLogsFromS3.py --loco 4064 --day 2017-10-11</v>
      </c>
      <c r="AN190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24"/>
        <v>https://d0f6bd738d7f1b3e5a7ca70fe4ff75f0.us-east-1.aws.found.io/app/kibana#/discover/Steve-Slow-Train-Analysis-(2080s-and-2083s)?_g=(refreshInterval:(display:Off,pause:!f,section:0,value:0),time:(from:'2017-10-11T15:00:25-0600',mode:absolute,to:'2017-10-11T17:24:20-0600'))&amp;_a=(columns:!('Message%20ID',Summary),filters:!(),index:'emp_*',interval:auto,query:(query_string:(analyze_wildcard:!t,query:'%22rtdc.l.rtdc.4064%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762</v>
      </c>
      <c r="B191" s="7">
        <v>4063</v>
      </c>
      <c r="C191" s="21" t="s">
        <v>194</v>
      </c>
      <c r="D191" s="21" t="s">
        <v>968</v>
      </c>
      <c r="E191" s="13">
        <v>43019.685752314814</v>
      </c>
      <c r="F191" s="13">
        <v>43019.696446759262</v>
      </c>
      <c r="G191" s="7">
        <v>56</v>
      </c>
      <c r="H191" s="21" t="s">
        <v>969</v>
      </c>
      <c r="I191" s="13">
        <v>43019.705405092594</v>
      </c>
      <c r="J191" s="7">
        <v>0</v>
      </c>
      <c r="K191" s="89" t="str">
        <f>IF(ISEVEN(B191),(B191-1)&amp;"/"&amp;B191,B191&amp;"/"&amp;(B191+1))</f>
        <v>4063/4064</v>
      </c>
      <c r="L191" s="185" t="str">
        <f>VLOOKUP(A191,'Trips&amp;Operators'!$C$1:$G$99911,5,FALSE)</f>
        <v>LEVERE CRAIG</v>
      </c>
      <c r="M191" s="6">
        <f>I191-F191</f>
        <v>8.9583333319751546E-3</v>
      </c>
      <c r="N191" s="7">
        <f>24*60*SUM($M191:$M191)</f>
        <v>12.899999998044223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-11T15:27:29-0600',mode:absolute,to:'2017-10-11T17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5.8639999999999999</v>
      </c>
      <c r="Z191" s="204">
        <f>RIGHT(H191,LEN(H191)-4)/10000</f>
        <v>6.8699999999999997E-2</v>
      </c>
      <c r="AA191" s="204">
        <f>ABS(Z191-Y191)</f>
        <v>5.7953000000000001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830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/stypes="app*4063*20171011*" /stext=" 22:.+((SYSTEM_STATE.+slice.+state.+changed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0"/>
        <v>"%USERPROFILE%\Documents\GitHub\eaglep3\Utilities\RefineRTDCRunTimes.py" --tripid 830-11 --locoid 4063 --swversion DE.1.0.9.0 --startMP 300:58640 --initTime 2017-10-11T16:27:29 --startdatetime 2017-10-11T16:42:53 --delay 56 --endMP 204:687 --enddatetime 2017-10-11T16:55:47 --enforcementcount 0 &gt;&gt;%USERPROFILE%\Documents\GitHub\eaglep3-reporting\EC\2017-10-11-refined-times.txt</v>
      </c>
      <c r="AI191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{"issue":{"subject":"","project_id":79,"tracker_id":40,"status_id":1,"priority_id":2,"assigned_to_id":338,"start_date":"2017-10-11","description":"","custom_fields":[{"id":1,"name":"Subdivision","value":"NW"},{"id":4,"name":"Milepost","value":"0.0687"},{"id":17,"name":"Train ID","value":"830-11"},{"id":16,"name":"Locomotive ID","value":"4063"},{"id":130,"name":"Impact","value":""},{"id":150,"name":"Time of Event (Mountain Time)","value":"16:55:47"},{"id":151,"name":"Denver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2"/>
        <v>start /low /b %USERPROFILE%\Documents\GitHub\eaglep3\Utilities\DownloadLogsFromS3.py --loco 4063 --day 2017-10-11</v>
      </c>
      <c r="AN191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24"/>
        <v>https://d0f6bd738d7f1b3e5a7ca70fe4ff75f0.us-east-1.aws.found.io/app/kibana#/discover/Steve-Slow-Train-Analysis-(2080s-and-2083s)?_g=(refreshInterval:(display:Off,pause:!f,section:0,value:0),time:(from:'2017-10-11T15:27:29-0600',mode:absolute,to:'2017-10-11T17:55:47-0600'))&amp;_a=(columns:!('Message%20ID',Summary),filters:!(),index:'emp_*',interval:auto,query:(query_string:(analyze_wildcard:!t,query:'%22rtdc.l.rtdc.4063%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763</v>
      </c>
      <c r="B192" s="7">
        <v>4044</v>
      </c>
      <c r="C192" s="21" t="s">
        <v>194</v>
      </c>
      <c r="D192" s="21" t="s">
        <v>957</v>
      </c>
      <c r="E192" s="13">
        <v>43019.692199074074</v>
      </c>
      <c r="F192" s="13">
        <v>43019.694131944445</v>
      </c>
      <c r="G192" s="7">
        <v>75</v>
      </c>
      <c r="H192" s="21" t="s">
        <v>491</v>
      </c>
      <c r="I192" s="13">
        <v>43019.703668981485</v>
      </c>
      <c r="J192" s="7">
        <v>0</v>
      </c>
      <c r="K192" s="89" t="str">
        <f>IF(ISEVEN(B192),(B192-1)&amp;"/"&amp;B192,B192&amp;"/"&amp;(B192+1))</f>
        <v>4043/4044</v>
      </c>
      <c r="L192" s="185" t="str">
        <f>VLOOKUP(A192,'Trips&amp;Operators'!$C$1:$G$99911,5,FALSE)</f>
        <v>STAMBAUGH JAMES</v>
      </c>
      <c r="M192" s="6">
        <f>I192-F192</f>
        <v>9.5370370399905369E-3</v>
      </c>
      <c r="N192" s="7">
        <f>24*60*SUM($M192:$M192)</f>
        <v>13.733333337586373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-11T15:36:46-0600',mode:absolute,to:'2017-10-11T17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9.6199999999999994E-2</v>
      </c>
      <c r="Z192" s="204">
        <f>RIGHT(H192,LEN(H192)-4)/10000</f>
        <v>5.8943000000000003</v>
      </c>
      <c r="AA192" s="204">
        <f>ABS(Z192-Y192)</f>
        <v>5.7981000000000007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831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/stypes="app*4044*20171011*" /stext=" 22:.+((SYSTEM_STATE.+slice.+state.+changed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0"/>
        <v>"%USERPROFILE%\Documents\GitHub\eaglep3\Utilities\RefineRTDCRunTimes.py" --tripid 831-11 --locoid 4044 --swversion DE.1.0.9.0 --startMP 204:962 --initTime 2017-10-11T16:36:46 --startdatetime 2017-10-11T16:39:33 --delay 75 --endMP 300:58943 --enddatetime 2017-10-11T16:53:17 --enforcementcount 0 &gt;&gt;%USERPROFILE%\Documents\GitHub\eaglep3-reporting\EC\2017-10-11-refined-times.txt</v>
      </c>
      <c r="AI192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{"issue":{"subject":"","project_id":79,"tracker_id":40,"status_id":1,"priority_id":2,"assigned_to_id":338,"start_date":"2017-10-11","description":"","custom_fields":[{"id":1,"name":"Subdivision","value":"NW"},{"id":4,"name":"Milepost","value":"5.8943"},{"id":17,"name":"Train ID","value":"831-11"},{"id":16,"name":"Locomotive ID","value":"4044"},{"id":130,"name":"Impact","value":""},{"id":150,"name":"Time of Event (Mountain Time)","value":"16:53:17"},{"id":151,"name":"Denver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2"/>
        <v>start /low /b %USERPROFILE%\Documents\GitHub\eaglep3\Utilities\DownloadLogsFromS3.py --loco 4044 --day 2017-10-11</v>
      </c>
      <c r="AN192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24"/>
        <v>https://d0f6bd738d7f1b3e5a7ca70fe4ff75f0.us-east-1.aws.found.io/app/kibana#/discover/Steve-Slow-Train-Analysis-(2080s-and-2083s)?_g=(refreshInterval:(display:Off,pause:!f,section:0,value:0),time:(from:'2017-10-11T15:36:46-0600',mode:absolute,to:'2017-10-11T17:53:17-0600'))&amp;_a=(columns:!('Message%20ID',Summary),filters:!(),index:'emp_*',interval:auto,query:(query_string:(analyze_wildcard:!t,query:'%22rtdc.l.rtdc.4044%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768</v>
      </c>
      <c r="B193" s="7">
        <v>4043</v>
      </c>
      <c r="C193" s="21" t="s">
        <v>194</v>
      </c>
      <c r="D193" s="21" t="s">
        <v>968</v>
      </c>
      <c r="E193" s="13">
        <v>43019.705416666664</v>
      </c>
      <c r="F193" s="13">
        <v>43019.717430555553</v>
      </c>
      <c r="G193" s="7">
        <v>87</v>
      </c>
      <c r="H193" s="21" t="s">
        <v>932</v>
      </c>
      <c r="I193" s="13">
        <v>43019.725173611114</v>
      </c>
      <c r="J193" s="7">
        <v>0</v>
      </c>
      <c r="K193" s="89" t="str">
        <f>IF(ISEVEN(B193),(B193-1)&amp;"/"&amp;B193,B193&amp;"/"&amp;(B193+1))</f>
        <v>4043/4044</v>
      </c>
      <c r="L193" s="185" t="str">
        <f>VLOOKUP(A193,'Trips&amp;Operators'!$C$1:$G$99911,5,FALSE)</f>
        <v>STAMBAUGH JAMES</v>
      </c>
      <c r="M193" s="6">
        <f>I193-F193</f>
        <v>7.7430555611499585E-3</v>
      </c>
      <c r="N193" s="7">
        <f>24*60*SUM($M193:$M193)</f>
        <v>11.15000000805594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-11T15:55:48-0600',mode:absolute,to:'2017-10-11T18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5.8639999999999999</v>
      </c>
      <c r="Z193" s="204">
        <f>RIGHT(H193,LEN(H193)-4)/10000</f>
        <v>6.3799999999999996E-2</v>
      </c>
      <c r="AA193" s="204">
        <f>ABS(Z193-Y193)</f>
        <v>5.8002000000000002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832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/stypes="app*4043*20171011*"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0"/>
        <v>"%USERPROFILE%\Documents\GitHub\eaglep3\Utilities\RefineRTDCRunTimes.py" --tripid 832-11 --locoid 4043 --swversion DE.1.0.9.0 --startMP 300:58640 --initTime 2017-10-11T16:55:48 --startdatetime 2017-10-11T17:13:06 --delay 87 --endMP 204:638 --enddatetime 2017-10-11T17:24:15 --enforcementcount 0 &gt;&gt;%USERPROFILE%\Documents\GitHub\eaglep3-reporting\EC\2017-10-11-refined-times.txt</v>
      </c>
      <c r="AI193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{"issue":{"subject":"","project_id":79,"tracker_id":40,"status_id":1,"priority_id":2,"assigned_to_id":338,"start_date":"2017-10-11","description":"","custom_fields":[{"id":1,"name":"Subdivision","value":"NW"},{"id":4,"name":"Milepost","value":"0.0638"},{"id":17,"name":"Train ID","value":"832-11"},{"id":16,"name":"Locomotive ID","value":"4043"},{"id":130,"name":"Impact","value":""},{"id":150,"name":"Time of Event (Mountain Time)","value":"17:24:15"},{"id":151,"name":"Denver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2"/>
        <v>start /low /b %USERPROFILE%\Documents\GitHub\eaglep3\Utilities\DownloadLogsFromS3.py --loco 4043 --day 2017-10-11</v>
      </c>
      <c r="AN193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24"/>
        <v>https://d0f6bd738d7f1b3e5a7ca70fe4ff75f0.us-east-1.aws.found.io/app/kibana#/discover/Steve-Slow-Train-Analysis-(2080s-and-2083s)?_g=(refreshInterval:(display:Off,pause:!f,section:0,value:0),time:(from:'2017-10-11T15:55:48-0600',mode:absolute,to:'2017-10-11T18:24:15-0600'))&amp;_a=(columns:!('Message%20ID',Summary),filters:!(),index:'emp_*',interval:auto,query:(query_string:(analyze_wildcard:!t,query:'%22rtdc.l.rtdc.4043%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769</v>
      </c>
      <c r="B194" s="7">
        <v>4064</v>
      </c>
      <c r="C194" s="21" t="s">
        <v>194</v>
      </c>
      <c r="D194" s="21" t="s">
        <v>556</v>
      </c>
      <c r="E194" s="13">
        <v>43019.708912037036</v>
      </c>
      <c r="F194" s="13">
        <v>43019.714942129627</v>
      </c>
      <c r="G194" s="7">
        <v>64</v>
      </c>
      <c r="H194" s="21" t="s">
        <v>967</v>
      </c>
      <c r="I194" s="13">
        <v>43019.726157407407</v>
      </c>
      <c r="J194" s="7">
        <v>0</v>
      </c>
      <c r="K194" s="89" t="str">
        <f>IF(ISEVEN(B194),(B194-1)&amp;"/"&amp;B194,B194&amp;"/"&amp;(B194+1))</f>
        <v>4063/4064</v>
      </c>
      <c r="L194" s="185" t="str">
        <f>VLOOKUP(A194,'Trips&amp;Operators'!$C$1:$G$99911,5,FALSE)</f>
        <v>LEVERE CRAIG</v>
      </c>
      <c r="M194" s="6">
        <f>I194-F194</f>
        <v>1.1215277780138422E-2</v>
      </c>
      <c r="N194" s="7">
        <f>24*60*SUM($M194:$M194)</f>
        <v>16.150000003399327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-11T16:00:50-0600',mode:absolute,to:'2017-10-11T18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9.7600000000000006E-2</v>
      </c>
      <c r="Z194" s="204">
        <f>RIGHT(H194,LEN(H194)-4)/10000</f>
        <v>5.8968999999999996</v>
      </c>
      <c r="AA194" s="204">
        <f>ABS(Z194-Y194)</f>
        <v>5.7992999999999997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833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/stypes="app*4064*20171011*"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0"/>
        <v>"%USERPROFILE%\Documents\GitHub\eaglep3\Utilities\RefineRTDCRunTimes.py" --tripid 833-11 --locoid 4064 --swversion DE.1.0.9.0 --startMP 204:976 --initTime 2017-10-11T17:00:50 --startdatetime 2017-10-11T17:09:31 --delay 64 --endMP 300:58969 --enddatetime 2017-10-11T17:25:40 --enforcementcount 0 &gt;&gt;%USERPROFILE%\Documents\GitHub\eaglep3-reporting\EC\2017-10-11-refined-times.txt</v>
      </c>
      <c r="AI194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{"issue":{"subject":"","project_id":79,"tracker_id":40,"status_id":1,"priority_id":2,"assigned_to_id":338,"start_date":"2017-10-11","description":"","custom_fields":[{"id":1,"name":"Subdivision","value":"NW"},{"id":4,"name":"Milepost","value":"5.8969"},{"id":17,"name":"Train ID","value":"833-11"},{"id":16,"name":"Locomotive ID","value":"4064"},{"id":130,"name":"Impact","value":""},{"id":150,"name":"Time of Event (Mountain Time)","value":"17:25:40"},{"id":151,"name":"Denver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2"/>
        <v>start /low /b %USERPROFILE%\Documents\GitHub\eaglep3\Utilities\DownloadLogsFromS3.py --loco 4064 --day 2017-10-11</v>
      </c>
      <c r="AN194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24"/>
        <v>https://d0f6bd738d7f1b3e5a7ca70fe4ff75f0.us-east-1.aws.found.io/app/kibana#/discover/Steve-Slow-Train-Analysis-(2080s-and-2083s)?_g=(refreshInterval:(display:Off,pause:!f,section:0,value:0),time:(from:'2017-10-11T16:00:50-0600',mode:absolute,to:'2017-10-11T18:25:40-0600'))&amp;_a=(columns:!('Message%20ID',Summary),filters:!(),index:'emp_*',interval:auto,query:(query_string:(analyze_wildcard:!t,query:'%22rtdc.l.rtdc.4064%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775</v>
      </c>
      <c r="B195" s="7">
        <v>4063</v>
      </c>
      <c r="C195" s="21" t="s">
        <v>194</v>
      </c>
      <c r="D195" s="21" t="s">
        <v>970</v>
      </c>
      <c r="E195" s="13">
        <v>43019.727314814816</v>
      </c>
      <c r="F195" s="13">
        <v>43019.73778935185</v>
      </c>
      <c r="G195" s="7">
        <v>56</v>
      </c>
      <c r="H195" s="21" t="s">
        <v>943</v>
      </c>
      <c r="I195" s="13">
        <v>43019.747002314813</v>
      </c>
      <c r="J195" s="7">
        <v>0</v>
      </c>
      <c r="K195" s="89" t="str">
        <f>IF(ISEVEN(B195),(B195-1)&amp;"/"&amp;B195,B195&amp;"/"&amp;(B195+1))</f>
        <v>4063/4064</v>
      </c>
      <c r="L195" s="185" t="str">
        <f>VLOOKUP(A195,'Trips&amp;Operators'!$C$1:$G$99911,5,FALSE)</f>
        <v>LEVERE CRAIG</v>
      </c>
      <c r="M195" s="6">
        <f>I195-F195</f>
        <v>9.2129629629198462E-3</v>
      </c>
      <c r="N195" s="7">
        <f>24*60*SUM($M195:$M195)</f>
        <v>13.266666666604578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-11T16:27:20-0600',mode:absolute,to:'2017-10-11T18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5.8655999999999997</v>
      </c>
      <c r="Z195" s="204">
        <f>RIGHT(H195,LEN(H195)-4)/10000</f>
        <v>7.0300000000000001E-2</v>
      </c>
      <c r="AA195" s="204">
        <f>ABS(Z195-Y195)</f>
        <v>5.7953000000000001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834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/stypes="app*4063*20171011*" /stext=" 23:.+((SYSTEM_STATE.+slice.+state.+changed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20"/>
        <v>"%USERPROFILE%\Documents\GitHub\eaglep3\Utilities\RefineRTDCRunTimes.py" --tripid 834-11 --locoid 4063 --swversion DE.1.0.9.0 --startMP 300:58656 --initTime 2017-10-11T17:27:20 --startdatetime 2017-10-11T17:42:25 --delay 56 --endMP 204:703 --enddatetime 2017-10-11T17:55:41 --enforcementcount 0 &gt;&gt;%USERPROFILE%\Documents\GitHub\eaglep3-reporting\EC\2017-10-11-refined-times.txt</v>
      </c>
      <c r="AI195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{"issue":{"subject":"","project_id":79,"tracker_id":40,"status_id":1,"priority_id":2,"assigned_to_id":338,"start_date":"2017-10-11","description":"","custom_fields":[{"id":1,"name":"Subdivision","value":"NW"},{"id":4,"name":"Milepost","value":"0.0703"},{"id":17,"name":"Train ID","value":"834-11"},{"id":16,"name":"Locomotive ID","value":"4063"},{"id":130,"name":"Impact","value":""},{"id":150,"name":"Time of Event (Mountain Time)","value":"17:55:41"},{"id":151,"name":"Denver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2"/>
        <v>start /low /b %USERPROFILE%\Documents\GitHub\eaglep3\Utilities\DownloadLogsFromS3.py --loco 4063 --day 2017-10-11</v>
      </c>
      <c r="AN195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24"/>
        <v>https://d0f6bd738d7f1b3e5a7ca70fe4ff75f0.us-east-1.aws.found.io/app/kibana#/discover/Steve-Slow-Train-Analysis-(2080s-and-2083s)?_g=(refreshInterval:(display:Off,pause:!f,section:0,value:0),time:(from:'2017-10-11T16:27:20-0600',mode:absolute,to:'2017-10-11T18:55:41-0600'))&amp;_a=(columns:!('Message%20ID',Summary),filters:!(),index:'emp_*',interval:auto,query:(query_string:(analyze_wildcard:!t,query:'%22rtdc.l.rtdc.4063%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603</v>
      </c>
      <c r="B196" s="7">
        <v>4044</v>
      </c>
      <c r="C196" s="21" t="s">
        <v>194</v>
      </c>
      <c r="D196" s="21" t="s">
        <v>971</v>
      </c>
      <c r="E196" s="13">
        <v>43019.733483796299</v>
      </c>
      <c r="F196" s="13">
        <v>43019.735844907409</v>
      </c>
      <c r="G196" s="7">
        <v>74</v>
      </c>
      <c r="H196" s="21" t="s">
        <v>972</v>
      </c>
      <c r="I196" s="13">
        <v>43019.746261574073</v>
      </c>
      <c r="J196" s="7">
        <v>0</v>
      </c>
      <c r="K196" s="89" t="str">
        <f>IF(ISEVEN(B196),(B196-1)&amp;"/"&amp;B196,B196&amp;"/"&amp;(B196+1))</f>
        <v>4043/4044</v>
      </c>
      <c r="L196" s="185" t="str">
        <f>VLOOKUP(A196,'Trips&amp;Operators'!$C$1:$G$99911,5,FALSE)</f>
        <v>STAMBAUGH JAMES</v>
      </c>
      <c r="M196" s="6">
        <f>I196-F196</f>
        <v>1.0416666664241347E-2</v>
      </c>
      <c r="N196" s="7">
        <f>24*60*SUM($M196:$M196)</f>
        <v>14.99999999650754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-11T16:36:13-0600',mode:absolute,to:'2017-10-11T18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9.1999999999999998E-2</v>
      </c>
      <c r="Z196" s="204">
        <f>RIGHT(H196,LEN(H196)-4)/10000</f>
        <v>5.8935000000000004</v>
      </c>
      <c r="AA196" s="204">
        <f>ABS(Z196-Y196)</f>
        <v>5.8015000000000008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835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/stypes="app*4044*20171011*" /stext=" 23:.+((SYSTEM_STATE.+slice.+state.+changed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20"/>
        <v>"%USERPROFILE%\Documents\GitHub\eaglep3\Utilities\RefineRTDCRunTimes.py" --tripid 835-11 --locoid 4044 --swversion DE.1.0.9.0 --startMP 204:920 --initTime 2017-10-11T17:36:13 --startdatetime 2017-10-11T17:39:37 --delay 74 --endMP 300:58935 --enddatetime 2017-10-11T17:54:37 --enforcementcount 0 &gt;&gt;%USERPROFILE%\Documents\GitHub\eaglep3-reporting\EC\2017-10-11-refined-times.txt</v>
      </c>
      <c r="AI196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{"issue":{"subject":"","project_id":79,"tracker_id":40,"status_id":1,"priority_id":2,"assigned_to_id":338,"start_date":"2017-10-11","description":"","custom_fields":[{"id":1,"name":"Subdivision","value":"NW"},{"id":4,"name":"Milepost","value":"5.8935"},{"id":17,"name":"Train ID","value":"835-11"},{"id":16,"name":"Locomotive ID","value":"4044"},{"id":130,"name":"Impact","value":""},{"id":150,"name":"Time of Event (Mountain Time)","value":"17:54:37"},{"id":151,"name":"Denver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2"/>
        <v>start /low /b %USERPROFILE%\Documents\GitHub\eaglep3\Utilities\DownloadLogsFromS3.py --loco 4044 --day 2017-10-11</v>
      </c>
      <c r="AN196" s="151" t="str">
        <f t="shared" si="23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24"/>
        <v>https://d0f6bd738d7f1b3e5a7ca70fe4ff75f0.us-east-1.aws.found.io/app/kibana#/discover/Steve-Slow-Train-Analysis-(2080s-and-2083s)?_g=(refreshInterval:(display:Off,pause:!f,section:0,value:0),time:(from:'2017-10-11T16:36:13-0600',mode:absolute,to:'2017-10-11T18:54:37-0600'))&amp;_a=(columns:!('Message%20ID',Summary),filters:!(),index:'emp_*',interval:auto,query:(query_string:(analyze_wildcard:!t,query:'%22rtdc.l.rtdc.4044%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605</v>
      </c>
      <c r="B197" s="7">
        <v>4043</v>
      </c>
      <c r="C197" s="21" t="s">
        <v>194</v>
      </c>
      <c r="D197" s="21" t="s">
        <v>973</v>
      </c>
      <c r="E197" s="13">
        <v>43019.747430555559</v>
      </c>
      <c r="F197" s="13">
        <v>43019.758715277778</v>
      </c>
      <c r="G197" s="7">
        <v>76</v>
      </c>
      <c r="H197" s="21" t="s">
        <v>561</v>
      </c>
      <c r="I197" s="13">
        <v>43019.766956018517</v>
      </c>
      <c r="J197" s="7">
        <v>0</v>
      </c>
      <c r="K197" s="89" t="str">
        <f>IF(ISEVEN(B197),(B197-1)&amp;"/"&amp;B197,B197&amp;"/"&amp;(B197+1))</f>
        <v>4043/4044</v>
      </c>
      <c r="L197" s="185" t="str">
        <f>VLOOKUP(A197,'Trips&amp;Operators'!$C$1:$G$99911,5,FALSE)</f>
        <v>STAMBAUGH JAMES</v>
      </c>
      <c r="M197" s="6">
        <f>I197-F197</f>
        <v>8.2407407389837317E-3</v>
      </c>
      <c r="N197" s="7">
        <f>24*60*SUM($M197:$M197)</f>
        <v>11.866666664136574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-11T16:56:18-0600',mode:absolute,to:'2017-10-11T19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5.8623000000000003</v>
      </c>
      <c r="Z197" s="204">
        <f>RIGHT(H197,LEN(H197)-4)/10000</f>
        <v>6.7500000000000004E-2</v>
      </c>
      <c r="AA197" s="204">
        <f>ABS(Z197-Y197)</f>
        <v>5.7948000000000004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836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/stypes="app*4043*20171012*"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20"/>
        <v>"%USERPROFILE%\Documents\GitHub\eaglep3\Utilities\RefineRTDCRunTimes.py" --tripid 836-11 --locoid 4043 --swversion DE.1.0.9.0 --startMP 300:58623 --initTime 2017-10-11T17:56:18 --startdatetime 2017-10-11T18:12:33 --delay 76 --endMP 204:675 --enddatetime 2017-10-11T18:24:25 --enforcementcount 0 &gt;&gt;%USERPROFILE%\Documents\GitHub\eaglep3-reporting\EC\2017-10-11-refined-times.txt</v>
      </c>
      <c r="AI197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{"issue":{"subject":"","project_id":79,"tracker_id":40,"status_id":1,"priority_id":2,"assigned_to_id":338,"start_date":"2017-10-11","description":"","custom_fields":[{"id":1,"name":"Subdivision","value":"NW"},{"id":4,"name":"Milepost","value":"0.0675"},{"id":17,"name":"Train ID","value":"836-11"},{"id":16,"name":"Locomotive ID","value":"4043"},{"id":130,"name":"Impact","value":""},{"id":150,"name":"Time of Event (Mountain Time)","value":"18:24:25"},{"id":151,"name":"Denver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2"/>
        <v>start /low /b %USERPROFILE%\Documents\GitHub\eaglep3\Utilities\DownloadLogsFromS3.py --loco 4043 --day 2017-10-11</v>
      </c>
      <c r="AN197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24"/>
        <v>https://d0f6bd738d7f1b3e5a7ca70fe4ff75f0.us-east-1.aws.found.io/app/kibana#/discover/Steve-Slow-Train-Analysis-(2080s-and-2083s)?_g=(refreshInterval:(display:Off,pause:!f,section:0,value:0),time:(from:'2017-10-11T16:56:18-0600',mode:absolute,to:'2017-10-11T19:24:25-0600'))&amp;_a=(columns:!('Message%20ID',Summary),filters:!(),index:'emp_*',interval:auto,query:(query_string:(analyze_wildcard:!t,query:'%22rtdc.l.rtdc.4043%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780</v>
      </c>
      <c r="B198" s="7">
        <v>4064</v>
      </c>
      <c r="C198" s="21" t="s">
        <v>194</v>
      </c>
      <c r="D198" s="21" t="s">
        <v>486</v>
      </c>
      <c r="E198" s="13">
        <v>43019.751655092594</v>
      </c>
      <c r="F198" s="13">
        <v>43019.756539351853</v>
      </c>
      <c r="G198" s="7">
        <v>67</v>
      </c>
      <c r="H198" s="21" t="s">
        <v>448</v>
      </c>
      <c r="I198" s="13">
        <v>43019.768020833333</v>
      </c>
      <c r="J198" s="7">
        <v>0</v>
      </c>
      <c r="K198" s="89" t="str">
        <f>IF(ISEVEN(B198),(B198-1)&amp;"/"&amp;B198,B198&amp;"/"&amp;(B198+1))</f>
        <v>4063/4064</v>
      </c>
      <c r="L198" s="185" t="str">
        <f>VLOOKUP(A198,'Trips&amp;Operators'!$C$1:$G$99911,5,FALSE)</f>
        <v>LEVERE CRAIG</v>
      </c>
      <c r="M198" s="6">
        <f>I198-F198</f>
        <v>1.1481481480586808E-2</v>
      </c>
      <c r="N198" s="7">
        <f>24*60*SUM($M198:$M198)</f>
        <v>16.533333332045004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-11T17:02:23-0600',mode:absolute,to:'2017-10-11T19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9.8100000000000007E-2</v>
      </c>
      <c r="Z198" s="204">
        <f>RIGHT(H198,LEN(H198)-4)/10000</f>
        <v>5.8963000000000001</v>
      </c>
      <c r="AA198" s="204">
        <f>ABS(Z198-Y198)</f>
        <v>5.7982000000000005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837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/stypes="app*4064*20171012*"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20"/>
        <v>"%USERPROFILE%\Documents\GitHub\eaglep3\Utilities\RefineRTDCRunTimes.py" --tripid 837-11 --locoid 4064 --swversion DE.1.0.9.0 --startMP 204:981 --initTime 2017-10-11T18:02:23 --startdatetime 2017-10-11T18:09:25 --delay 67 --endMP 300:58963 --enddatetime 2017-10-11T18:25:57 --enforcementcount 0 &gt;&gt;%USERPROFILE%\Documents\GitHub\eaglep3-reporting\EC\2017-10-11-refined-times.txt</v>
      </c>
      <c r="AI198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{"issue":{"subject":"","project_id":79,"tracker_id":40,"status_id":1,"priority_id":2,"assigned_to_id":338,"start_date":"2017-10-11","description":"","custom_fields":[{"id":1,"name":"Subdivision","value":"NW"},{"id":4,"name":"Milepost","value":"5.8963"},{"id":17,"name":"Train ID","value":"837-11"},{"id":16,"name":"Locomotive ID","value":"4064"},{"id":130,"name":"Impact","value":""},{"id":150,"name":"Time of Event (Mountain Time)","value":"18:25:57"},{"id":151,"name":"Denver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2"/>
        <v>start /low /b %USERPROFILE%\Documents\GitHub\eaglep3\Utilities\DownloadLogsFromS3.py --loco 4064 --day 2017-10-11</v>
      </c>
      <c r="AN198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24"/>
        <v>https://d0f6bd738d7f1b3e5a7ca70fe4ff75f0.us-east-1.aws.found.io/app/kibana#/discover/Steve-Slow-Train-Analysis-(2080s-and-2083s)?_g=(refreshInterval:(display:Off,pause:!f,section:0,value:0),time:(from:'2017-10-11T17:02:23-0600',mode:absolute,to:'2017-10-11T19:25:57-0600'))&amp;_a=(columns:!('Message%20ID',Summary),filters:!(),index:'emp_*',interval:auto,query:(query_string:(analyze_wildcard:!t,query:'%22rtdc.l.rtdc.4064%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787</v>
      </c>
      <c r="B199" s="7">
        <v>4063</v>
      </c>
      <c r="C199" s="21" t="s">
        <v>194</v>
      </c>
      <c r="D199" s="21" t="s">
        <v>974</v>
      </c>
      <c r="E199" s="13">
        <v>43019.769293981481</v>
      </c>
      <c r="F199" s="13">
        <v>43019.779872685183</v>
      </c>
      <c r="G199" s="7">
        <v>54</v>
      </c>
      <c r="H199" s="21" t="s">
        <v>975</v>
      </c>
      <c r="I199" s="13">
        <v>43019.789351851854</v>
      </c>
      <c r="J199" s="7">
        <v>0</v>
      </c>
      <c r="K199" s="89" t="str">
        <f>IF(ISEVEN(B199),(B199-1)&amp;"/"&amp;B199,B199&amp;"/"&amp;(B199+1))</f>
        <v>4063/4064</v>
      </c>
      <c r="L199" s="185" t="str">
        <f>VLOOKUP(A199,'Trips&amp;Operators'!$C$1:$G$99911,5,FALSE)</f>
        <v>LEVERE CRAIG</v>
      </c>
      <c r="M199" s="6">
        <f>I199-F199</f>
        <v>9.4791666706441902E-3</v>
      </c>
      <c r="N199" s="7">
        <f>24*60*SUM($M199:$M199)</f>
        <v>13.650000005727634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-11T17:27:47-0600',mode:absolute,to:'2017-10-11T19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5.8644999999999996</v>
      </c>
      <c r="Z199" s="204">
        <f>RIGHT(H199,LEN(H199)-4)/10000</f>
        <v>6.9900000000000004E-2</v>
      </c>
      <c r="AA199" s="204">
        <f>ABS(Z199-Y199)</f>
        <v>5.7946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838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/stypes="app*4063*20171012*" /stext=" 00:.+((SYSTEM_STATE.+slice.+state.+changed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20"/>
        <v>"%USERPROFILE%\Documents\GitHub\eaglep3\Utilities\RefineRTDCRunTimes.py" --tripid 838-11 --locoid 4063 --swversion DE.1.0.9.0 --startMP 300:58645 --initTime 2017-10-11T18:27:47 --startdatetime 2017-10-11T18:43:01 --delay 54 --endMP 204:699 --enddatetime 2017-10-11T18:56:40 --enforcementcount 0 &gt;&gt;%USERPROFILE%\Documents\GitHub\eaglep3-reporting\EC\2017-10-11-refined-times.txt</v>
      </c>
      <c r="AI199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{"issue":{"subject":"","project_id":79,"tracker_id":40,"status_id":1,"priority_id":2,"assigned_to_id":338,"start_date":"2017-10-11","description":"","custom_fields":[{"id":1,"name":"Subdivision","value":"NW"},{"id":4,"name":"Milepost","value":"0.0699"},{"id":17,"name":"Train ID","value":"838-11"},{"id":16,"name":"Locomotive ID","value":"4063"},{"id":130,"name":"Impact","value":""},{"id":150,"name":"Time of Event (Mountain Time)","value":"18:56:40"},{"id":151,"name":"Denver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2"/>
        <v>start /low /b %USERPROFILE%\Documents\GitHub\eaglep3\Utilities\DownloadLogsFromS3.py --loco 4063 --day 2017-10-11</v>
      </c>
      <c r="AN199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24"/>
        <v>https://d0f6bd738d7f1b3e5a7ca70fe4ff75f0.us-east-1.aws.found.io/app/kibana#/discover/Steve-Slow-Train-Analysis-(2080s-and-2083s)?_g=(refreshInterval:(display:Off,pause:!f,section:0,value:0),time:(from:'2017-10-11T17:27:47-0600',mode:absolute,to:'2017-10-11T19:56:40-0600'))&amp;_a=(columns:!('Message%20ID',Summary),filters:!(),index:'emp_*',interval:auto,query:(query_string:(analyze_wildcard:!t,query:'%22rtdc.l.rtdc.4063%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606</v>
      </c>
      <c r="B200" s="7">
        <v>4044</v>
      </c>
      <c r="C200" s="21" t="s">
        <v>194</v>
      </c>
      <c r="D200" s="21" t="s">
        <v>488</v>
      </c>
      <c r="E200" s="13">
        <v>43019.773877314816</v>
      </c>
      <c r="F200" s="13">
        <v>43019.777384259258</v>
      </c>
      <c r="G200" s="7">
        <v>53</v>
      </c>
      <c r="H200" s="21" t="s">
        <v>976</v>
      </c>
      <c r="I200" s="13">
        <v>43019.78806712963</v>
      </c>
      <c r="J200" s="7">
        <v>0</v>
      </c>
      <c r="K200" s="89" t="str">
        <f>IF(ISEVEN(B200),(B200-1)&amp;"/"&amp;B200,B200&amp;"/"&amp;(B200+1))</f>
        <v>4043/4044</v>
      </c>
      <c r="L200" s="185" t="str">
        <f>VLOOKUP(A200,'Trips&amp;Operators'!$C$1:$G$99911,5,FALSE)</f>
        <v>STAMBAUGH JAMES</v>
      </c>
      <c r="M200" s="6">
        <f>I200-F200</f>
        <v>1.0682870371965691E-2</v>
      </c>
      <c r="N200" s="7">
        <f>24*60*SUM($M200:$M200)</f>
        <v>15.383333335630596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-11T17:34:23-0600',mode:absolute,to:'2017-10-11T19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9.3899999999999997E-2</v>
      </c>
      <c r="Z200" s="204">
        <f>RIGHT(H200,LEN(H200)-4)/10000</f>
        <v>5.8954000000000004</v>
      </c>
      <c r="AA200" s="204">
        <f>ABS(Z200-Y200)</f>
        <v>5.8015000000000008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839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/stypes="app*4044*20171012*" /stext=" 00:.+((SYSTEM_STATE.+slice.+state.+changed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20"/>
        <v>"%USERPROFILE%\Documents\GitHub\eaglep3\Utilities\RefineRTDCRunTimes.py" --tripid 839-11 --locoid 4044 --swversion DE.1.0.9.0 --startMP 204:939 --initTime 2017-10-11T18:34:23 --startdatetime 2017-10-11T18:39:26 --delay 53 --endMP 300:58954 --enddatetime 2017-10-11T18:54:49 --enforcementcount 0 &gt;&gt;%USERPROFILE%\Documents\GitHub\eaglep3-reporting\EC\2017-10-11-refined-times.txt</v>
      </c>
      <c r="AI200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{"issue":{"subject":"","project_id":79,"tracker_id":40,"status_id":1,"priority_id":2,"assigned_to_id":338,"start_date":"2017-10-11","description":"","custom_fields":[{"id":1,"name":"Subdivision","value":"NW"},{"id":4,"name":"Milepost","value":"5.8954"},{"id":17,"name":"Train ID","value":"839-11"},{"id":16,"name":"Locomotive ID","value":"4044"},{"id":130,"name":"Impact","value":""},{"id":150,"name":"Time of Event (Mountain Time)","value":"18:54:49"},{"id":151,"name":"Denver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2"/>
        <v>start /low /b %USERPROFILE%\Documents\GitHub\eaglep3\Utilities\DownloadLogsFromS3.py --loco 4044 --day 2017-10-11</v>
      </c>
      <c r="AN200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24"/>
        <v>https://d0f6bd738d7f1b3e5a7ca70fe4ff75f0.us-east-1.aws.found.io/app/kibana#/discover/Steve-Slow-Train-Analysis-(2080s-and-2083s)?_g=(refreshInterval:(display:Off,pause:!f,section:0,value:0),time:(from:'2017-10-11T17:34:23-0600',mode:absolute,to:'2017-10-11T19:54:49-0600'))&amp;_a=(columns:!('Message%20ID',Summary),filters:!(),index:'emp_*',interval:auto,query:(query_string:(analyze_wildcard:!t,query:'%22rtdc.l.rtdc.4044%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798</v>
      </c>
      <c r="B201" s="7">
        <v>4063</v>
      </c>
      <c r="C201" s="21" t="s">
        <v>194</v>
      </c>
      <c r="D201" s="21" t="s">
        <v>560</v>
      </c>
      <c r="E201" s="13">
        <v>43019.81077546296</v>
      </c>
      <c r="F201" s="13">
        <v>43019.821597222224</v>
      </c>
      <c r="G201" s="7">
        <v>62</v>
      </c>
      <c r="H201" s="21" t="s">
        <v>977</v>
      </c>
      <c r="I201" s="13">
        <v>43019.830763888887</v>
      </c>
      <c r="J201" s="7">
        <v>0</v>
      </c>
      <c r="K201" s="89" t="str">
        <f>IF(ISEVEN(B201),(B201-1)&amp;"/"&amp;B201,B201&amp;"/"&amp;(B201+1))</f>
        <v>4063/4064</v>
      </c>
      <c r="L201" s="185" t="str">
        <f>VLOOKUP(A201,'Trips&amp;Operators'!$C$1:$G$99911,5,FALSE)</f>
        <v>LEVERE CRAIG</v>
      </c>
      <c r="M201" s="6">
        <f>I201-F201</f>
        <v>9.1666666630771942E-3</v>
      </c>
      <c r="N201" s="7">
        <f>24*60*SUM($M201:$M201)</f>
        <v>13.19999999483116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-11T18:27:31-0600',mode:absolute,to:'2017-10-11T20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5.8654999999999999</v>
      </c>
      <c r="Z201" s="204">
        <f>RIGHT(H201,LEN(H201)-4)/10000</f>
        <v>7.0099999999999996E-2</v>
      </c>
      <c r="AA201" s="204">
        <f>ABS(Z201-Y201)</f>
        <v>5.7953999999999999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840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/stypes="app*4063*20171012*" /stext=" 01:.+((SYSTEM_STATE.+slice.+state.+changed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20"/>
        <v>"%USERPROFILE%\Documents\GitHub\eaglep3\Utilities\RefineRTDCRunTimes.py" --tripid 840-11 --locoid 4063 --swversion DE.1.0.9.0 --startMP 300:58655 --initTime 2017-10-11T19:27:31 --startdatetime 2017-10-11T19:43:06 --delay 62 --endMP 204:701 --enddatetime 2017-10-11T19:56:18 --enforcementcount 0 &gt;&gt;%USERPROFILE%\Documents\GitHub\eaglep3-reporting\EC\2017-10-11-refined-times.txt</v>
      </c>
      <c r="AI201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{"issue":{"subject":"","project_id":79,"tracker_id":40,"status_id":1,"priority_id":2,"assigned_to_id":338,"start_date":"2017-10-11","description":"","custom_fields":[{"id":1,"name":"Subdivision","value":"NW"},{"id":4,"name":"Milepost","value":"0.0701"},{"id":17,"name":"Train ID","value":"840-11"},{"id":16,"name":"Locomotive ID","value":"4063"},{"id":130,"name":"Impact","value":""},{"id":150,"name":"Time of Event (Mountain Time)","value":"19:56:18"},{"id":151,"name":"Denver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22"/>
        <v>start /low /b %USERPROFILE%\Documents\GitHub\eaglep3\Utilities\DownloadLogsFromS3.py --loco 4063 --day 2017-10-11</v>
      </c>
      <c r="AN201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24"/>
        <v>https://d0f6bd738d7f1b3e5a7ca70fe4ff75f0.us-east-1.aws.found.io/app/kibana#/discover/Steve-Slow-Train-Analysis-(2080s-and-2083s)?_g=(refreshInterval:(display:Off,pause:!f,section:0,value:0),time:(from:'2017-10-11T18:27:31-0600',mode:absolute,to:'2017-10-11T20:56:18-0600'))&amp;_a=(columns:!('Message%20ID',Summary),filters:!(),index:'emp_*',interval:auto,query:(query_string:(analyze_wildcard:!t,query:'%22rtdc.l.rtdc.4063%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793</v>
      </c>
      <c r="B202" s="7">
        <v>4064</v>
      </c>
      <c r="C202" s="21" t="s">
        <v>194</v>
      </c>
      <c r="D202" s="21" t="s">
        <v>458</v>
      </c>
      <c r="E202" s="13">
        <v>43019.793391203704</v>
      </c>
      <c r="F202" s="13">
        <v>43019.798136574071</v>
      </c>
      <c r="G202" s="7">
        <v>64</v>
      </c>
      <c r="H202" s="21" t="s">
        <v>955</v>
      </c>
      <c r="I202" s="13">
        <v>43019.809444444443</v>
      </c>
      <c r="J202" s="7">
        <v>0</v>
      </c>
      <c r="K202" s="89" t="str">
        <f>IF(ISEVEN(B202),(B202-1)&amp;"/"&amp;B202,B202&amp;"/"&amp;(B202+1))</f>
        <v>4063/4064</v>
      </c>
      <c r="L202" s="185" t="str">
        <f>VLOOKUP(A202,'Trips&amp;Operators'!$C$1:$G$99911,5,FALSE)</f>
        <v>LEVERE CRAIG</v>
      </c>
      <c r="M202" s="6">
        <f>I202-F202</f>
        <v>1.1307870372547768E-2</v>
      </c>
      <c r="N202" s="7">
        <f>24*60*SUM($M202:$M202)</f>
        <v>16.283333336468786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-11T18:02:29-0600',mode:absolute,to:'2017-10-11T20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9.7100000000000006E-2</v>
      </c>
      <c r="Z202" s="204">
        <f>RIGHT(H202,LEN(H202)-4)/10000</f>
        <v>5.8967000000000001</v>
      </c>
      <c r="AA202" s="204">
        <f>ABS(Z202-Y202)</f>
        <v>5.7995999999999999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841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/stypes="app*4064*20171012*" /stext=" 01:.+((SYSTEM_STATE.+slice.+state.+changed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20"/>
        <v>"%USERPROFILE%\Documents\GitHub\eaglep3\Utilities\RefineRTDCRunTimes.py" --tripid 841-11 --locoid 4064 --swversion DE.1.0.9.0 --startMP 204:971 --initTime 2017-10-11T19:02:29 --startdatetime 2017-10-11T19:09:19 --delay 64 --endMP 300:58967 --enddatetime 2017-10-11T19:25:36 --enforcementcount 0 &gt;&gt;%USERPROFILE%\Documents\GitHub\eaglep3-reporting\EC\2017-10-11-refined-times.txt</v>
      </c>
      <c r="AI202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{"issue":{"subject":"","project_id":79,"tracker_id":40,"status_id":1,"priority_id":2,"assigned_to_id":338,"start_date":"2017-10-11","description":"","custom_fields":[{"id":1,"name":"Subdivision","value":"NW"},{"id":4,"name":"Milepost","value":"5.8967"},{"id":17,"name":"Train ID","value":"841-11"},{"id":16,"name":"Locomotive ID","value":"4064"},{"id":130,"name":"Impact","value":""},{"id":150,"name":"Time of Event (Mountain Time)","value":"19:25:36"},{"id":151,"name":"Denver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2"/>
        <v>start /low /b %USERPROFILE%\Documents\GitHub\eaglep3\Utilities\DownloadLogsFromS3.py --loco 4064 --day 2017-10-11</v>
      </c>
      <c r="AN202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24"/>
        <v>https://d0f6bd738d7f1b3e5a7ca70fe4ff75f0.us-east-1.aws.found.io/app/kibana#/discover/Steve-Slow-Train-Analysis-(2080s-and-2083s)?_g=(refreshInterval:(display:Off,pause:!f,section:0,value:0),time:(from:'2017-10-11T18:02:29-0600',mode:absolute,to:'2017-10-11T20:25:36-0600'))&amp;_a=(columns:!('Message%20ID',Summary),filters:!(),index:'emp_*',interval:auto,query:(query_string:(analyze_wildcard:!t,query:'%22rtdc.l.rtdc.4064%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805</v>
      </c>
      <c r="B203" s="7">
        <v>4063</v>
      </c>
      <c r="C203" s="21" t="s">
        <v>194</v>
      </c>
      <c r="D203" s="21" t="s">
        <v>978</v>
      </c>
      <c r="E203" s="13">
        <v>43019.852476851855</v>
      </c>
      <c r="F203" s="13">
        <v>43019.862569444442</v>
      </c>
      <c r="G203" s="7">
        <v>62</v>
      </c>
      <c r="H203" s="21" t="s">
        <v>977</v>
      </c>
      <c r="I203" s="13">
        <v>43019.872604166667</v>
      </c>
      <c r="J203" s="7">
        <v>0</v>
      </c>
      <c r="K203" s="89" t="str">
        <f>IF(ISEVEN(B203),(B203-1)&amp;"/"&amp;B203,B203&amp;"/"&amp;(B203+1))</f>
        <v>4063/4064</v>
      </c>
      <c r="L203" s="185" t="str">
        <f>VLOOKUP(A203,'Trips&amp;Operators'!$C$1:$G$99911,5,FALSE)</f>
        <v>LEVERE CRAIG</v>
      </c>
      <c r="M203" s="6">
        <f>I203-F203</f>
        <v>1.0034722225100268E-2</v>
      </c>
      <c r="N203" s="7">
        <f>24*60*SUM($M203:$M203)</f>
        <v>14.450000004144385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-11T19:27:34-0600',mode:absolute,to:'2017-10-11T21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5.8658000000000001</v>
      </c>
      <c r="Z203" s="204">
        <f>RIGHT(H203,LEN(H203)-4)/10000</f>
        <v>7.0099999999999996E-2</v>
      </c>
      <c r="AA203" s="204">
        <f>ABS(Z203-Y203)</f>
        <v>5.7957000000000001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842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/stypes="app*4063*20171012*" /stext=" 02:.+((SYSTEM_STATE.+slice.+state.+changed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20"/>
        <v>"%USERPROFILE%\Documents\GitHub\eaglep3\Utilities\RefineRTDCRunTimes.py" --tripid 842-11 --locoid 4063 --swversion DE.1.0.9.0 --startMP 300:58658 --initTime 2017-10-11T20:27:34 --startdatetime 2017-10-11T20:42:06 --delay 62 --endMP 204:701 --enddatetime 2017-10-11T20:56:33 --enforcementcount 0 &gt;&gt;%USERPROFILE%\Documents\GitHub\eaglep3-reporting\EC\2017-10-11-refined-times.txt</v>
      </c>
      <c r="AI203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{"issue":{"subject":"","project_id":79,"tracker_id":40,"status_id":1,"priority_id":2,"assigned_to_id":338,"start_date":"2017-10-11","description":"","custom_fields":[{"id":1,"name":"Subdivision","value":"NW"},{"id":4,"name":"Milepost","value":"0.0701"},{"id":17,"name":"Train ID","value":"842-11"},{"id":16,"name":"Locomotive ID","value":"4063"},{"id":130,"name":"Impact","value":""},{"id":150,"name":"Time of Event (Mountain Time)","value":"20:56:33"},{"id":151,"name":"Denver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2"/>
        <v>start /low /b %USERPROFILE%\Documents\GitHub\eaglep3\Utilities\DownloadLogsFromS3.py --loco 4063 --day 2017-10-11</v>
      </c>
      <c r="AN203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02:56:33"},{"id":29,"name":"Sharepoint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24"/>
        <v>https://d0f6bd738d7f1b3e5a7ca70fe4ff75f0.us-east-1.aws.found.io/app/kibana#/discover/Steve-Slow-Train-Analysis-(2080s-and-2083s)?_g=(refreshInterval:(display:Off,pause:!f,section:0,value:0),time:(from:'2017-10-11T19:27:34-0600',mode:absolute,to:'2017-10-11T21:56:33-0600'))&amp;_a=(columns:!('Message%20ID',Summary),filters:!(),index:'emp_*',interval:auto,query:(query_string:(analyze_wildcard:!t,query:'%22rtdc.l.rtdc.4063%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802</v>
      </c>
      <c r="B204" s="7">
        <v>4064</v>
      </c>
      <c r="C204" s="21" t="s">
        <v>194</v>
      </c>
      <c r="D204" s="21" t="s">
        <v>979</v>
      </c>
      <c r="E204" s="13">
        <v>43019.836122685185</v>
      </c>
      <c r="F204" s="13">
        <v>43019.840231481481</v>
      </c>
      <c r="G204" s="7">
        <v>72</v>
      </c>
      <c r="H204" s="21" t="s">
        <v>963</v>
      </c>
      <c r="I204" s="13">
        <v>43019.851215277777</v>
      </c>
      <c r="J204" s="7">
        <v>0</v>
      </c>
      <c r="K204" s="89" t="str">
        <f>IF(ISEVEN(B204),(B204-1)&amp;"/"&amp;B204,B204&amp;"/"&amp;(B204+1))</f>
        <v>4063/4064</v>
      </c>
      <c r="L204" s="185" t="str">
        <f>VLOOKUP(A204,'Trips&amp;Operators'!$C$1:$G$99911,5,FALSE)</f>
        <v>LEVERE CRAIG</v>
      </c>
      <c r="M204" s="6">
        <f>I204-F204</f>
        <v>1.0983796295477077E-2</v>
      </c>
      <c r="N204" s="7">
        <f>24*60*SUM($M204:$M204)</f>
        <v>15.816666665486991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-11T19:04:01-0600',mode:absolute,to:'2017-10-11T21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0.1002</v>
      </c>
      <c r="Z204" s="204">
        <f>RIGHT(H204,LEN(H204)-4)/10000</f>
        <v>5.8975</v>
      </c>
      <c r="AA204" s="204">
        <f>ABS(Z204-Y204)</f>
        <v>5.7972999999999999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843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/stypes="app*4064*20171012*" /stext=" 02:.+((SYSTEM_STATE.+slice.+state.+changed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20"/>
        <v>"%USERPROFILE%\Documents\GitHub\eaglep3\Utilities\RefineRTDCRunTimes.py" --tripid 843-11 --locoid 4064 --swversion DE.1.0.9.0 --startMP 204:1002 --initTime 2017-10-11T20:04:01 --startdatetime 2017-10-11T20:09:56 --delay 72 --endMP 300:58975 --enddatetime 2017-10-11T20:25:45 --enforcementcount 0 &gt;&gt;%USERPROFILE%\Documents\GitHub\eaglep3-reporting\EC\2017-10-11-refined-times.txt</v>
      </c>
      <c r="AI204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{"issue":{"subject":"","project_id":79,"tracker_id":40,"status_id":1,"priority_id":2,"assigned_to_id":338,"start_date":"2017-10-11","description":"","custom_fields":[{"id":1,"name":"Subdivision","value":"NW"},{"id":4,"name":"Milepost","value":"5.8975"},{"id":17,"name":"Train ID","value":"843-11"},{"id":16,"name":"Locomotive ID","value":"4064"},{"id":130,"name":"Impact","value":""},{"id":150,"name":"Time of Event (Mountain Time)","value":"20:25:45"},{"id":151,"name":"Denver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22"/>
        <v>start /low /b %USERPROFILE%\Documents\GitHub\eaglep3\Utilities\DownloadLogsFromS3.py --loco 4064 --day 2017-10-11</v>
      </c>
      <c r="AN204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02:25:45"},{"id":29,"name":"Sharepoint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24"/>
        <v>https://d0f6bd738d7f1b3e5a7ca70fe4ff75f0.us-east-1.aws.found.io/app/kibana#/discover/Steve-Slow-Train-Analysis-(2080s-and-2083s)?_g=(refreshInterval:(display:Off,pause:!f,section:0,value:0),time:(from:'2017-10-11T19:04:01-0600',mode:absolute,to:'2017-10-11T21:25:45-0600'))&amp;_a=(columns:!('Message%20ID',Summary),filters:!(),index:'emp_*',interval:auto,query:(query_string:(analyze_wildcard:!t,query:'%22rtdc.l.rtdc.4064%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608</v>
      </c>
      <c r="B205" s="7">
        <v>4063</v>
      </c>
      <c r="C205" s="21" t="s">
        <v>194</v>
      </c>
      <c r="D205" s="21" t="s">
        <v>980</v>
      </c>
      <c r="E205" s="13">
        <v>43019.893645833334</v>
      </c>
      <c r="F205" s="13">
        <v>43019.897581018522</v>
      </c>
      <c r="G205" s="7">
        <v>80</v>
      </c>
      <c r="H205" s="21" t="s">
        <v>981</v>
      </c>
      <c r="I205" s="13">
        <v>43019.914120370369</v>
      </c>
      <c r="J205" s="7">
        <v>0</v>
      </c>
      <c r="K205" s="89" t="str">
        <f>IF(ISEVEN(B205),(B205-1)&amp;"/"&amp;B205,B205&amp;"/"&amp;(B205+1))</f>
        <v>4063/4064</v>
      </c>
      <c r="L205" s="185" t="str">
        <f>VLOOKUP(A205,'Trips&amp;Operators'!$C$1:$G$99911,5,FALSE)</f>
        <v>STAMBAUGH JAMES</v>
      </c>
      <c r="M205" s="6">
        <f>I205-F205</f>
        <v>1.653935184731381E-2</v>
      </c>
      <c r="N205" s="7"/>
      <c r="O205" s="7"/>
      <c r="P205" s="7"/>
      <c r="Q205" s="22"/>
      <c r="R205" s="174"/>
      <c r="S205" s="221"/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-11T20:26:51-0600',mode:absolute,to:'2017-10-11T22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5" s="204" t="str">
        <f>IF(AA205&lt;VLOOKUP(AG205,Variables!$AC$3:$AD$8,2,FALSE),"Y","N")</f>
        <v>Y</v>
      </c>
      <c r="X205" s="204">
        <f>VALUE(LEFT(AD205,4))-VALUE(LEFT(AD204,4))</f>
        <v>1</v>
      </c>
      <c r="Y205" s="204">
        <f>RIGHT(D205,LEN(D205)-4)/10000</f>
        <v>5.8643000000000001</v>
      </c>
      <c r="Z205" s="204">
        <f>RIGHT(H205,LEN(H205)-4)/10000</f>
        <v>5.8448000000000002</v>
      </c>
      <c r="AA205" s="204">
        <f>ABS(Z205-Y205)</f>
        <v>1.9499999999999851E-2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844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/stypes="app*4063*20171012*" /stext=" 03:.+((SYSTEM_STATE.+slice.+state.+changed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20"/>
        <v>"%USERPROFILE%\Documents\GitHub\eaglep3\Utilities\RefineRTDCRunTimes.py" --tripid 844-11 --locoid 4063 --swversion DE.1.0.9.0 --startMP 300:58643 --initTime 2017-10-11T21:26:51 --startdatetime 2017-10-11T21:32:31 --delay 80 --endMP 300:58448 --enddatetime 2017-10-11T21:56:20 --enforcementcount 0 &gt;&gt;%USERPROFILE%\Documents\GitHub\eaglep3-reporting\EC\2017-10-11-refined-times.txt</v>
      </c>
      <c r="AI205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{"issue":{"subject":"","project_id":79,"tracker_id":40,"status_id":1,"priority_id":2,"assigned_to_id":338,"start_date":"2017-10-11","description":"","custom_fields":[{"id":1,"name":"Subdivision","value":"NW"},{"id":4,"name":"Milepost","value":"5.8448"},{"id":17,"name":"Train ID","value":"844-11"},{"id":16,"name":"Locomotive ID","value":"4063"},{"id":130,"name":"Impact","value":""},{"id":150,"name":"Time of Event (Mountain Time)","value":"21:56:20"},{"id":151,"name":"Denver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2"/>
        <v>start /low /b %USERPROFILE%\Documents\GitHub\eaglep3\Utilities\DownloadLogsFromS3.py --loco 4063 --day 2017-10-11</v>
      </c>
      <c r="AN205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03:56:20"},{"id":29,"name":"Sharepoint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24"/>
        <v>https://d0f6bd738d7f1b3e5a7ca70fe4ff75f0.us-east-1.aws.found.io/app/kibana#/discover/Steve-Slow-Train-Analysis-(2080s-and-2083s)?_g=(refreshInterval:(display:Off,pause:!f,section:0,value:0),time:(from:'2017-10-11T20:26:51-0600',mode:absolute,to:'2017-10-11T22:56:20-0600'))&amp;_a=(columns:!('Message%20ID',Summary),filters:!(),index:'emp_*',interval:auto,query:(query_string:(analyze_wildcard:!t,query:'%22rtdc.l.rtdc.4063%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608</v>
      </c>
      <c r="B206" s="7">
        <v>4063</v>
      </c>
      <c r="C206" s="21" t="s">
        <v>194</v>
      </c>
      <c r="D206" s="21" t="s">
        <v>982</v>
      </c>
      <c r="E206" s="13">
        <v>43019.896111111113</v>
      </c>
      <c r="F206" s="13">
        <v>43019.897581018522</v>
      </c>
      <c r="G206" s="7">
        <v>72</v>
      </c>
      <c r="H206" s="21" t="s">
        <v>552</v>
      </c>
      <c r="I206" s="13">
        <v>43019.914120370369</v>
      </c>
      <c r="J206" s="7">
        <v>0</v>
      </c>
      <c r="K206" s="89" t="str">
        <f>IF(ISEVEN(B206),(B206-1)&amp;"/"&amp;B206,B206&amp;"/"&amp;(B206+1))</f>
        <v>4063/4064</v>
      </c>
      <c r="L206" s="185" t="str">
        <f>VLOOKUP(A206,'Trips&amp;Operators'!$C$1:$G$99911,5,FALSE)</f>
        <v>STAMBAUGH JAMES</v>
      </c>
      <c r="M206" s="6">
        <f>I206-F206</f>
        <v>1.653935184731381E-2</v>
      </c>
      <c r="N206" s="7">
        <f>24*60*SUM($M206:$M206)</f>
        <v>23.816666660131887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-11T20:30:24-0600',mode:absolute,to:'2017-10-11T22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0</v>
      </c>
      <c r="Y206" s="204">
        <f>RIGHT(D206,LEN(D206)-4)/10000</f>
        <v>5.8456000000000001</v>
      </c>
      <c r="Z206" s="204">
        <f>RIGHT(H206,LEN(H206)-4)/10000</f>
        <v>1.17E-2</v>
      </c>
      <c r="AA206" s="204">
        <f>ABS(Z206-Y206)</f>
        <v>5.8338999999999999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844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/stypes="app*4063*20171012*" /stext=" 03:.+((SYSTEM_STATE.+slice.+state.+changed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20"/>
        <v>"%USERPROFILE%\Documents\GitHub\eaglep3\Utilities\RefineRTDCRunTimes.py" --tripid 844-11 --locoid 4063 --swversion DE.1.0.9.0 --startMP 300:58456 --initTime 2017-10-11T21:30:24 --startdatetime 2017-10-11T21:32:31 --delay 72 --endMP 204:117 --enddatetime 2017-10-11T21:56:20 --enforcementcount 0 &gt;&gt;%USERPROFILE%\Documents\GitHub\eaglep3-reporting\EC\2017-10-11-refined-times.txt</v>
      </c>
      <c r="AI206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{"issue":{"subject":"","project_id":79,"tracker_id":40,"status_id":1,"priority_id":2,"assigned_to_id":338,"start_date":"2017-10-11","description":"","custom_fields":[{"id":1,"name":"Subdivision","value":"NW"},{"id":4,"name":"Milepost","value":"0.0117"},{"id":17,"name":"Train ID","value":"844-11"},{"id":16,"name":"Locomotive ID","value":"4063"},{"id":130,"name":"Impact","value":""},{"id":150,"name":"Time of Event (Mountain Time)","value":"21:56:20"},{"id":151,"name":"Denver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2"/>
        <v>start /low /b %USERPROFILE%\Documents\GitHub\eaglep3\Utilities\DownloadLogsFromS3.py --loco 4063 --day 2017-10-11</v>
      </c>
      <c r="AN206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03:56:20"},{"id":29,"name":"Sharepoint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24"/>
        <v>https://d0f6bd738d7f1b3e5a7ca70fe4ff75f0.us-east-1.aws.found.io/app/kibana#/discover/Steve-Slow-Train-Analysis-(2080s-and-2083s)?_g=(refreshInterval:(display:Off,pause:!f,section:0,value:0),time:(from:'2017-10-11T20:30:24-0600',mode:absolute,to:'2017-10-11T22:56:20-0600'))&amp;_a=(columns:!('Message%20ID',Summary),filters:!(),index:'emp_*',interval:auto,query:(query_string:(analyze_wildcard:!t,query:'%22rtdc.l.rtdc.4063%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607</v>
      </c>
      <c r="B207" s="7">
        <v>4064</v>
      </c>
      <c r="C207" s="21" t="s">
        <v>194</v>
      </c>
      <c r="D207" s="21" t="s">
        <v>983</v>
      </c>
      <c r="E207" s="13">
        <v>43019.882557870369</v>
      </c>
      <c r="F207" s="13">
        <v>43019.883472222224</v>
      </c>
      <c r="G207" s="7">
        <v>47</v>
      </c>
      <c r="H207" s="21" t="s">
        <v>564</v>
      </c>
      <c r="I207" s="13">
        <v>43019.890636574077</v>
      </c>
      <c r="J207" s="7">
        <v>0</v>
      </c>
      <c r="K207" s="89" t="str">
        <f>IF(ISEVEN(B207),(B207-1)&amp;"/"&amp;B207,B207&amp;"/"&amp;(B207+1))</f>
        <v>4063/4064</v>
      </c>
      <c r="L207" s="185" t="str">
        <f>VLOOKUP(A207,'Trips&amp;Operators'!$C$1:$G$99911,5,FALSE)</f>
        <v>STAMBAUGH JAMES</v>
      </c>
      <c r="M207" s="6">
        <f>I207-F207</f>
        <v>7.1643518531345762E-3</v>
      </c>
      <c r="N207" s="7">
        <f>24*60*SUM($M207:$M207)</f>
        <v>10.31666666851379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-11T20:10:53-0600',mode:absolute,to:'2017-10-11T22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1</v>
      </c>
      <c r="Y207" s="204">
        <f>RIGHT(D207,LEN(D207)-4)/10000</f>
        <v>0.18790000000000001</v>
      </c>
      <c r="Z207" s="204">
        <f>RIGHT(H207,LEN(H207)-4)/10000</f>
        <v>5.8952</v>
      </c>
      <c r="AA207" s="204">
        <f>ABS(Z207-Y207)</f>
        <v>5.7073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845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/stypes="app*4064*20171012*" /stext=" 03:.+((SYSTEM_STATE.+slice.+state.+changed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20"/>
        <v>"%USERPROFILE%\Documents\GitHub\eaglep3\Utilities\RefineRTDCRunTimes.py" --tripid 845-11 --locoid 4064 --swversion DE.1.0.9.0 --startMP 204:1879 --initTime 2017-10-11T21:10:53 --startdatetime 2017-10-11T21:12:12 --delay 47 --endMP 300:58952 --enddatetime 2017-10-11T21:22:31 --enforcementcount 0 &gt;&gt;%USERPROFILE%\Documents\GitHub\eaglep3-reporting\EC\2017-10-11-refined-times.txt</v>
      </c>
      <c r="AI207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{"issue":{"subject":"","project_id":79,"tracker_id":40,"status_id":1,"priority_id":2,"assigned_to_id":338,"start_date":"2017-10-11","description":"","custom_fields":[{"id":1,"name":"Subdivision","value":"NW"},{"id":4,"name":"Milepost","value":"5.8952"},{"id":17,"name":"Train ID","value":"845-11"},{"id":16,"name":"Locomotive ID","value":"4064"},{"id":130,"name":"Impact","value":""},{"id":150,"name":"Time of Event (Mountain Time)","value":"21:22:31"},{"id":151,"name":"Denver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22"/>
        <v>start /low /b %USERPROFILE%\Documents\GitHub\eaglep3\Utilities\DownloadLogsFromS3.py --loco 4064 --day 2017-10-11</v>
      </c>
      <c r="AN207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03:22:31"},{"id":29,"name":"Sharepoint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24"/>
        <v>https://d0f6bd738d7f1b3e5a7ca70fe4ff75f0.us-east-1.aws.found.io/app/kibana#/discover/Steve-Slow-Train-Analysis-(2080s-and-2083s)?_g=(refreshInterval:(display:Off,pause:!f,section:0,value:0),time:(from:'2017-10-11T20:10:53-0600',mode:absolute,to:'2017-10-11T22:22:31-0600'))&amp;_a=(columns:!('Message%20ID',Summary),filters:!(),index:'emp_*',interval:auto,query:(query_string:(analyze_wildcard:!t,query:'%22rtdc.l.rtdc.4064%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607</v>
      </c>
      <c r="B208" s="7">
        <v>4064</v>
      </c>
      <c r="C208" s="21" t="s">
        <v>194</v>
      </c>
      <c r="D208" s="21" t="s">
        <v>485</v>
      </c>
      <c r="E208" s="13">
        <v>43019.878437500003</v>
      </c>
      <c r="F208" s="13">
        <v>43019.883472222224</v>
      </c>
      <c r="G208" s="7">
        <v>77</v>
      </c>
      <c r="H208" s="21" t="s">
        <v>984</v>
      </c>
      <c r="I208" s="13">
        <v>43019.890636574077</v>
      </c>
      <c r="J208" s="7">
        <v>0</v>
      </c>
      <c r="K208" s="89" t="str">
        <f>IF(ISEVEN(B208),(B208-1)&amp;"/"&amp;B208,B208&amp;"/"&amp;(B208+1))</f>
        <v>4063/4064</v>
      </c>
      <c r="L208" s="185" t="str">
        <f>VLOOKUP(A208,'Trips&amp;Operators'!$C$1:$G$99911,5,FALSE)</f>
        <v>STAMBAUGH JAMES</v>
      </c>
      <c r="M208" s="6">
        <f>I208-F208</f>
        <v>7.1643518531345762E-3</v>
      </c>
      <c r="N208" s="7"/>
      <c r="O208" s="7"/>
      <c r="P208" s="7"/>
      <c r="Q208" s="22"/>
      <c r="R208" s="174"/>
      <c r="S208" s="221"/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-11T20:04:57-0600',mode:absolute,to:'2017-10-11T22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0</v>
      </c>
      <c r="Y208" s="204">
        <f>RIGHT(D208,LEN(D208)-4)/10000</f>
        <v>9.6500000000000002E-2</v>
      </c>
      <c r="Z208" s="204">
        <f>RIGHT(H208,LEN(H208)-4)/10000</f>
        <v>0.188</v>
      </c>
      <c r="AA208" s="204">
        <f>ABS(Z208-Y208)</f>
        <v>9.1499999999999998E-2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845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/stypes="app*4064*20171012*" /stext=" 03:.+((SYSTEM_STATE.+slice.+state.+changed )|(ment ac)|(multiple cpu faults)|(system.+state.+changed )|(\[timeout)|(PRM\|1\|D)|(kpr)|(kdp)|(train st.+moving)|(\|lc)|(penalty))"</v>
      </c>
      <c r="AG208" s="182" t="str">
        <f>DetSubdiv(A208)</f>
        <v>NW</v>
      </c>
      <c r="AH208" s="78" t="str">
        <f t="shared" si="20"/>
        <v>"%USERPROFILE%\Documents\GitHub\eaglep3\Utilities\RefineRTDCRunTimes.py" --tripid 845-11 --locoid 4064 --swversion DE.1.0.9.0 --startMP 204:965 --initTime 2017-10-11T21:04:57 --startdatetime 2017-10-11T21:12:12 --delay 77 --endMP 204:1880 --enddatetime 2017-10-11T21:22:31 --enforcementcount 0 &gt;&gt;%USERPROFILE%\Documents\GitHub\eaglep3-reporting\EC\2017-10-11-refined-times.txt</v>
      </c>
      <c r="AI208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{"issue":{"subject":"","project_id":79,"tracker_id":40,"status_id":1,"priority_id":2,"assigned_to_id":338,"start_date":"2017-10-11","description":"","custom_fields":[{"id":1,"name":"Subdivision","value":"NW"},{"id":4,"name":"Milepost","value":"0.188"},{"id":17,"name":"Train ID","value":"845-11"},{"id":16,"name":"Locomotive ID","value":"4064"},{"id":130,"name":"Impact","value":""},{"id":150,"name":"Time of Event (Mountain Time)","value":"21:22:31"},{"id":151,"name":"Denver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22"/>
        <v>start /low /b %USERPROFILE%\Documents\GitHub\eaglep3\Utilities\DownloadLogsFromS3.py --loco 4064 --day 2017-10-11</v>
      </c>
      <c r="AN208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03:22:31"},{"id":29,"name":"Sharepoint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24"/>
        <v>https://d0f6bd738d7f1b3e5a7ca70fe4ff75f0.us-east-1.aws.found.io/app/kibana#/discover/Steve-Slow-Train-Analysis-(2080s-and-2083s)?_g=(refreshInterval:(display:Off,pause:!f,section:0,value:0),time:(from:'2017-10-11T20:04:57-0600',mode:absolute,to:'2017-10-11T22:22:31-0600'))&amp;_a=(columns:!('Message%20ID',Summary),filters:!(),index:'emp_*',interval:auto,query:(query_string:(analyze_wildcard:!t,query:'%22rtdc.l.rtdc.4064%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814</v>
      </c>
      <c r="B209" s="7">
        <v>4063</v>
      </c>
      <c r="C209" s="21" t="s">
        <v>194</v>
      </c>
      <c r="D209" s="21" t="s">
        <v>485</v>
      </c>
      <c r="E209" s="13">
        <v>43019.878437500003</v>
      </c>
      <c r="F209" s="13">
        <v>43019.946585648147</v>
      </c>
      <c r="G209" s="7">
        <v>77</v>
      </c>
      <c r="H209" s="21" t="s">
        <v>984</v>
      </c>
      <c r="I209" s="13">
        <v>43019.954259259262</v>
      </c>
      <c r="J209" s="7">
        <v>0</v>
      </c>
      <c r="K209" s="89" t="str">
        <f>IF(ISEVEN(B209),(B209-1)&amp;"/"&amp;B209,B209&amp;"/"&amp;(B209+1))</f>
        <v>4063/4064</v>
      </c>
      <c r="L209" s="185" t="str">
        <f>VLOOKUP(A209,'Trips&amp;Operators'!$C$1:$G$99911,5,FALSE)</f>
        <v>STAMBAUGH JAMES</v>
      </c>
      <c r="M209" s="6">
        <f>I209-F209</f>
        <v>7.6736111150239594E-3</v>
      </c>
      <c r="N209" s="7">
        <f>24*60*SUM($M209:$M209)</f>
        <v>11.050000005634502</v>
      </c>
      <c r="O209" s="7"/>
      <c r="P209" s="7"/>
      <c r="Q209" s="22"/>
      <c r="R209" s="174"/>
      <c r="S209" s="221">
        <f>1/IF(AG209="EC",12,1)*SUM(U209:U209)</f>
        <v>0</v>
      </c>
      <c r="T209" s="174" t="str">
        <f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-11T20:04:57-0600',mode:absolute,to:'2017-10-11T23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9.6500000000000002E-2</v>
      </c>
      <c r="Z209" s="204">
        <f>RIGHT(H209,LEN(H209)-4)/10000</f>
        <v>0.188</v>
      </c>
      <c r="AA209" s="204">
        <f>ABS(Z209-Y209)</f>
        <v>9.1499999999999998E-2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846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/stypes="app*4063*20171012*" /stext=" 04:.+((SYSTEM_STATE.+slice.+state.+changed )|(ment ac)|(multiple cpu faults)|(system.+state.+changed )|(\[timeout)|(PRM\|1\|D)|(kpr)|(kdp)|(train st.+moving)|(\|lc)|(penalty))"</v>
      </c>
      <c r="AG209" s="182" t="str">
        <f>DetSubdiv(A209)</f>
        <v>NW</v>
      </c>
      <c r="AH209" s="78" t="str">
        <f t="shared" ref="AH209" si="41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846-11 --locoid 4063 --swversion DE.1.0.9.0 --startMP 204:965 --initTime 2017-10-11T21:04:57 --startdatetime 2017-10-11T22:43:05 --delay 77 --endMP 204:1880 --enddatetime 2017-10-11T22:54:08 --enforcementcount 0 &gt;&gt;%USERPROFILE%\Documents\GitHub\eaglep3-reporting\EC\2017-10-11-refined-times.txt</v>
      </c>
      <c r="AI209" s="96" t="str">
        <f t="shared" ref="AI209" si="42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{"issue":{"subject":"","project_id":79,"tracker_id":40,"status_id":1,"priority_id":2,"assigned_to_id":338,"start_date":"2017-10-11","description":"","custom_fields":[{"id":1,"name":"Subdivision","value":"NW"},{"id":4,"name":"Milepost","value":"0.188"},{"id":17,"name":"Train ID","value":"846-11"},{"id":16,"name":"Locomotive ID","value":"4063"},{"id":130,"name":"Impact","value":""},{"id":150,"name":"Time of Event (Mountain Time)","value":"22:54:08"},{"id":151,"name":"Denver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ref="AM209" si="43">"start /low /b "&amp;dls3logs&amp;" --loco "&amp;B209&amp;" --day "&amp;TEXT(F209,"YYYY-MM-DD")</f>
        <v>start /low /b %USERPROFILE%\Documents\GitHub\eaglep3\Utilities\DownloadLogsFromS3.py --loco 4063 --day 2017-10-11</v>
      </c>
      <c r="AN209" s="151" t="str">
        <f t="shared" ref="AN209" si="44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04:54:08"},{"id":29,"name":"Sharepoint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ref="AO209" si="45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-11T20:04:57-0600',mode:absolute,to:'2017-10-11T23:54:08-0600'))&amp;_a=(columns:!('Message%20ID',Summary),filters:!(),index:'emp_*',interval:auto,query:(query_string:(analyze_wildcard:!t,query:'%22rtdc.l.rtdc.4063%22')),sort:!(Time.ISO8601,asc))</v>
      </c>
    </row>
    <row r="210" spans="1:91" s="20" customFormat="1" x14ac:dyDescent="0.3">
      <c r="A210" s="32" t="s">
        <v>811</v>
      </c>
      <c r="B210" s="7">
        <v>4064</v>
      </c>
      <c r="C210" s="21" t="s">
        <v>194</v>
      </c>
      <c r="D210" s="21" t="s">
        <v>985</v>
      </c>
      <c r="E210" s="13">
        <v>43019.921064814815</v>
      </c>
      <c r="F210" s="13">
        <v>43019.923414351855</v>
      </c>
      <c r="G210" s="7">
        <v>69</v>
      </c>
      <c r="H210" s="21" t="s">
        <v>952</v>
      </c>
      <c r="I210" s="13">
        <v>43019.93241898148</v>
      </c>
      <c r="J210" s="7">
        <v>0</v>
      </c>
      <c r="K210" s="89" t="str">
        <f>IF(ISEVEN(B210),(B210-1)&amp;"/"&amp;B210,B210&amp;"/"&amp;(B210+1))</f>
        <v>4063/4064</v>
      </c>
      <c r="L210" s="185" t="str">
        <f>VLOOKUP(A210,'Trips&amp;Operators'!$C$1:$G$99911,5,FALSE)</f>
        <v>STAMBAUGH JAMES</v>
      </c>
      <c r="M210" s="6">
        <f>I210-F210</f>
        <v>9.0046296245418489E-3</v>
      </c>
      <c r="N210" s="7">
        <f>24*60*SUM($M210:$M210)</f>
        <v>12.966666659340262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-11T21:06:20-0600',mode:absolute,to:'2017-10-11T23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0" s="204" t="str">
        <f>IF(AA210&lt;VLOOKUP(AG210,Variables!$AC$3:$AD$8,2,FALSE),"Y","N")</f>
        <v>N</v>
      </c>
      <c r="X210" s="204">
        <f>VALUE(LEFT(AD210,4))-VALUE(LEFT(AD209,4))</f>
        <v>1</v>
      </c>
      <c r="Y210" s="204">
        <f>RIGHT(D210,LEN(D210)-4)/10000</f>
        <v>4.2299999999999997E-2</v>
      </c>
      <c r="Z210" s="204">
        <f>RIGHT(H210,LEN(H210)-4)/10000</f>
        <v>5.8973000000000004</v>
      </c>
      <c r="AA210" s="204">
        <f>ABS(Z210-Y210)</f>
        <v>5.8550000000000004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847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/stypes="app*4064*20171012*" /stext=" 04:.+((SYSTEM_STATE.+slice.+state.+changed )|(ment ac)|(multiple cpu faults)|(system.+state.+changed )|(\[timeout)|(PRM\|1\|D)|(kpr)|(kdp)|(train st.+moving)|(\|lc)|(penalty))"</v>
      </c>
      <c r="AG210" s="182" t="str">
        <f>DetSubdiv(A210)</f>
        <v>NW</v>
      </c>
      <c r="AH210" s="78" t="str">
        <f t="shared" si="20"/>
        <v>"%USERPROFILE%\Documents\GitHub\eaglep3\Utilities\RefineRTDCRunTimes.py" --tripid 847-11 --locoid 4064 --swversion DE.1.0.9.0 --startMP 204:423 --initTime 2017-10-11T22:06:20 --startdatetime 2017-10-11T22:09:43 --delay 69 --endMP 300:58973 --enddatetime 2017-10-11T22:22:41 --enforcementcount 0 &gt;&gt;%USERPROFILE%\Documents\GitHub\eaglep3-reporting\EC\2017-10-11-refined-times.txt</v>
      </c>
      <c r="AI210" s="96" t="str">
        <f t="shared" si="21"/>
        <v>echo {"issue":{"subject":"","project_id":79,"tracker_id":40,"status_id":1,"priority_id":2,"assigned_to_id":338,"start_date":"2017-10-11","description":"","custom_fields":[{"id":1,"name":"Subdivision","value":"NW"},{"id":4,"name":"Milepost","value":"5.8973"},{"id":17,"name":"Train ID","value":"847-11"},{"id":16,"name":"Locomotive ID","value":"4064"},{"id":130,"name":"Impact","value":""},{"id":150,"name":"Time of Event (Mountain Time)","value":"22:22:41"},{"id":151,"name":"Denver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22"/>
        <v>start /low /b %USERPROFILE%\Documents\GitHub\eaglep3\Utilities\DownloadLogsFromS3.py --loco 4064 --day 2017-10-11</v>
      </c>
      <c r="AN210" s="151" t="str">
        <f t="shared" si="2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04:22:41"},{"id":29,"name":"Sharepoint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24"/>
        <v>https://d0f6bd738d7f1b3e5a7ca70fe4ff75f0.us-east-1.aws.found.io/app/kibana#/discover/Steve-Slow-Train-Analysis-(2080s-and-2083s)?_g=(refreshInterval:(display:Off,pause:!f,section:0,value:0),time:(from:'2017-10-11T21:06:20-0600',mode:absolute,to:'2017-10-11T23:22:41-0600'))&amp;_a=(columns:!('Message%20ID',Summary),filters:!(),index:'emp_*',interval:auto,query:(query_string:(analyze_wildcard:!t,query:'%22rtdc.l.rtdc.4064%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817</v>
      </c>
      <c r="B211" s="7">
        <v>4064</v>
      </c>
      <c r="C211" s="21" t="s">
        <v>194</v>
      </c>
      <c r="D211" s="21" t="s">
        <v>986</v>
      </c>
      <c r="E211" s="13">
        <v>43019.959317129629</v>
      </c>
      <c r="F211" s="13">
        <v>43019.964803240742</v>
      </c>
      <c r="G211" s="7">
        <v>62</v>
      </c>
      <c r="H211" s="21" t="s">
        <v>489</v>
      </c>
      <c r="I211" s="13">
        <v>43019.973807870374</v>
      </c>
      <c r="J211" s="7">
        <v>0</v>
      </c>
      <c r="K211" s="89" t="str">
        <f>IF(ISEVEN(B211),(B211-1)&amp;"/"&amp;B211,B211&amp;"/"&amp;(B211+1))</f>
        <v>4063/4064</v>
      </c>
      <c r="L211" s="185" t="str">
        <f>VLOOKUP(A211,'Trips&amp;Operators'!$C$1:$G$99911,5,FALSE)</f>
        <v>STAMBAUGH JAMES</v>
      </c>
      <c r="M211" s="6">
        <f>I211-F211</f>
        <v>9.0046296318178065E-3</v>
      </c>
      <c r="N211" s="7">
        <f>24*60*SUM($M211:$M211)</f>
        <v>12.966666669817641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-11T22:01:25-0600',mode:absolute,to:'2017-10-12T00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204" t="str">
        <f>IF(AA211&lt;VLOOKUP(AG211,Variables!$AC$3:$AD$8,2,FALSE),"Y","N")</f>
        <v>N</v>
      </c>
      <c r="X211" s="204">
        <f>VALUE(LEFT(AD211,4))-VALUE(LEFT(AD210,4))</f>
        <v>2</v>
      </c>
      <c r="Y211" s="204">
        <f>RIGHT(D211,LEN(D211)-4)/10000</f>
        <v>4.0300000000000002E-2</v>
      </c>
      <c r="Z211" s="204">
        <f>RIGHT(H211,LEN(H211)-4)/10000</f>
        <v>5.8958000000000004</v>
      </c>
      <c r="AA211" s="204">
        <f>ABS(Z211-Y211)</f>
        <v>5.8555000000000001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849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/stypes="app*4064*20171012*" /stext=" 05:.+((SYSTEM_STATE.+slice.+state.+changed )|(ment ac)|(multiple cpu faults)|(system.+state.+changed )|(\[timeout)|(PRM\|1\|D)|(kpr)|(kdp)|(train st.+moving)|(\|lc)|(penalty))"</v>
      </c>
      <c r="AG211" s="182" t="str">
        <f>DetSubdiv(A211)</f>
        <v>NW</v>
      </c>
      <c r="AH211" s="78" t="str">
        <f t="shared" ref="AH211:AH259" si="46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849-11 --locoid 4064 --swversion DE.1.0.9.0 --startMP 204:403 --initTime 2017-10-11T23:01:25 --startdatetime 2017-10-11T23:09:19 --delay 62 --endMP 300:58958 --enddatetime 2017-10-11T23:22:17 --enforcementcount 0 &gt;&gt;%USERPROFILE%\Documents\GitHub\eaglep3-reporting\EC\2017-10-11-refined-times.txt</v>
      </c>
      <c r="AI211" s="96" t="str">
        <f t="shared" ref="AI211:AI259" si="47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{"issue":{"subject":"","project_id":79,"tracker_id":40,"status_id":1,"priority_id":2,"assigned_to_id":338,"start_date":"2017-10-11","description":"","custom_fields":[{"id":1,"name":"Subdivision","value":"NW"},{"id":4,"name":"Milepost","value":"5.8958"},{"id":17,"name":"Train ID","value":"849-11"},{"id":16,"name":"Locomotive ID","value":"4064"},{"id":130,"name":"Impact","value":""},{"id":150,"name":"Time of Event (Mountain Time)","value":"23:22:17"},{"id":151,"name":"Denver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ref="AM211:AM259" si="48">"start /low /b "&amp;dls3logs&amp;" --loco "&amp;B211&amp;" --day "&amp;TEXT(F211,"YYYY-MM-DD")</f>
        <v>start /low /b %USERPROFILE%\Documents\GitHub\eaglep3\Utilities\DownloadLogsFromS3.py --loco 4064 --day 2017-10-11</v>
      </c>
      <c r="AN211" s="151" t="str">
        <f t="shared" ref="AN211:AN259" si="49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05:22:17"},{"id":29,"name":"Sharepoint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ref="AO211:AO259" si="50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-11T22:01:25-0600',mode:absolute,to:'2017-10-12T00:22:17-0600'))&amp;_a=(columns:!('Message%20ID',Summary),filters:!(),index:'emp_*',interval:auto,query:(query_string:(analyze_wildcard:!t,query:'%22rtdc.l.rtdc.4064%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611</v>
      </c>
      <c r="B212" s="7">
        <v>4005</v>
      </c>
      <c r="C212" s="21" t="s">
        <v>194</v>
      </c>
      <c r="D212" s="21" t="s">
        <v>879</v>
      </c>
      <c r="E212" s="13">
        <v>43019.120972222219</v>
      </c>
      <c r="F212" s="13">
        <v>43019.124513888892</v>
      </c>
      <c r="G212" s="7">
        <v>53</v>
      </c>
      <c r="H212" s="21" t="s">
        <v>406</v>
      </c>
      <c r="I212" s="13">
        <v>43019.129583333335</v>
      </c>
      <c r="J212" s="7">
        <v>0</v>
      </c>
      <c r="K212" s="89" t="str">
        <f>IF(ISEVEN(B212),(B212-1)&amp;"/"&amp;B212,B212&amp;"/"&amp;(B212+1))</f>
        <v>4005/4006</v>
      </c>
      <c r="L212" s="185" t="str">
        <f>VLOOKUP(A212,'Trips&amp;Operators'!$C$1:$G$99911,5,FALSE)</f>
        <v>ROCHA YAOTL</v>
      </c>
      <c r="M212" s="6">
        <f>I212-F212</f>
        <v>5.0694444435066544E-3</v>
      </c>
      <c r="N212" s="7">
        <f>24*60*SUM($M212:$M212)</f>
        <v>7.2999999986495823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-11T01:54:12-0600',mode:absolute,to:'2017-10-11T04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-549</v>
      </c>
      <c r="Y212" s="204">
        <f>RIGHT(D212,LEN(D212)-4)/10000</f>
        <v>2.3159999999999998</v>
      </c>
      <c r="Z212" s="204">
        <f>RIGHT(H212,LEN(H212)-4)/10000</f>
        <v>1.6E-2</v>
      </c>
      <c r="AA212" s="204">
        <f>ABS(Z212-Y212)</f>
        <v>2.2999999999999998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300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s3://rtdc.mdm.uploadarchive.raw/RTDC4005/ "%USERPROFILE%\AppData\Local\Temp\OnboardLogs"\RTDC4005\2017-10-11 --exclude "*" --recursive --include "*20171011*" &amp; "%USERPROFILE%\Documents\GitHub\mrs-test-scripts\Headless Mode &amp; Sideloading\WalkAndUnGZ.bat" "%USERPROFILE%\AppData\Local\Temp\OnboardLogs"\RTDC4005\2017-10-11 &amp; aws s3 cp s3://rtdc.mdm.uploadarchive.raw/RTDC4005/ "%USERPROFILE%\AppData\Local\Temp\OnboardLogs"\RTDC4005\2017-10-12 --exclude "*" --recursive --include "*20171012*" &amp; "%USERPROFILE%\Documents\GitHub\mrs-test-scripts\Headless Mode &amp; Sideloading\WalkAndUnGZ.bat" "%USERPROFILE%\AppData\Local\Temp\OnboardLogs"\RTDC4005\2017-10-12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/stypes="app*4005*20171011*" /stext=" 09:.+((SYSTEM_STATE.+slice.+state.+changed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46"/>
        <v>"%USERPROFILE%\Documents\GitHub\eaglep3\Utilities\RefineRTDCRunTimes.py" --tripid 300-11 --locoid 4005 --swversion DE.1.0.9.0 --startMP 300:23160 --initTime 2017-10-11T02:54:12 --startdatetime 2017-10-11T02:59:18 --delay 53 --endMP 204:160 --enddatetime 2017-10-11T03:06:36 --enforcementcount 0 &gt;&gt;%USERPROFILE%\Documents\GitHub\eaglep3-reporting\EC\2017-10-11-refined-times.txt</v>
      </c>
      <c r="AI212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{"issue":{"subject":"","project_id":79,"tracker_id":40,"status_id":1,"priority_id":2,"assigned_to_id":338,"start_date":"2017-10-11","description":"","custom_fields":[{"id":1,"name":"Subdivision","value":"Other"},{"id":4,"name":"Milepost","value":"0.016"},{"id":17,"name":"Train ID","value":"300-11"},{"id":16,"name":"Locomotive ID","value":"4005"},{"id":130,"name":"Impact","value":""},{"id":150,"name":"Time of Event (Mountain Time)","value":"03:06:36"},{"id":151,"name":"Denver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48"/>
        <v>start /low /b %USERPROFILE%\Documents\GitHub\eaglep3\Utilities\DownloadLogsFromS3.py --loco 4005 --day 2017-10-11</v>
      </c>
      <c r="AN212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09:06:36"},{"id":29,"name":"Sharepoint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50"/>
        <v>https://d0f6bd738d7f1b3e5a7ca70fe4ff75f0.us-east-1.aws.found.io/app/kibana#/discover/Steve-Slow-Train-Analysis-(2080s-and-2083s)?_g=(refreshInterval:(display:Off,pause:!f,section:0,value:0),time:(from:'2017-10-11T01:54:12-0600',mode:absolute,to:'2017-10-11T04:06:36-0600'))&amp;_a=(columns:!('Message%20ID',Summary),filters:!(),index:'emp_*',interval:auto,query:(query_string:(analyze_wildcard:!t,query:'%22rtdc.l.rtdc.4005%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789</v>
      </c>
      <c r="B213" s="7">
        <v>4018</v>
      </c>
      <c r="C213" s="21" t="s">
        <v>194</v>
      </c>
      <c r="D213" s="21" t="s">
        <v>397</v>
      </c>
      <c r="E213" s="13">
        <v>43019.776747685188</v>
      </c>
      <c r="F213" s="13">
        <v>43019.778136574074</v>
      </c>
      <c r="G213" s="7">
        <v>48</v>
      </c>
      <c r="H213" s="21" t="s">
        <v>482</v>
      </c>
      <c r="I213" s="13">
        <v>43019.785567129627</v>
      </c>
      <c r="J213" s="7">
        <v>0</v>
      </c>
      <c r="K213" s="89" t="str">
        <f>IF(ISEVEN(B213),(B213-1)&amp;"/"&amp;B213,B213&amp;"/"&amp;(B213+1))</f>
        <v>4017/4018</v>
      </c>
      <c r="L213" s="185" t="str">
        <f>VLOOKUP(A213,'Trips&amp;Operators'!$C$1:$G$99911,5,FALSE)</f>
        <v>GUZMAN DANNY</v>
      </c>
      <c r="M213" s="6">
        <f>I213-F213</f>
        <v>7.4305555535829626E-3</v>
      </c>
      <c r="N213" s="7">
        <f>24*60*SUM($M213:$M213)</f>
        <v>10.699999997159466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-11T17:38:31-0600',mode:absolute,to:'2017-10-11T19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4.6899999999999997E-2</v>
      </c>
      <c r="Z213" s="204">
        <f>RIGHT(H213,LEN(H213)-4)/10000</f>
        <v>2.3311999999999999</v>
      </c>
      <c r="AA213" s="204">
        <f>ABS(Z213-Y213)</f>
        <v>2.2843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301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/stypes="app*4018*20171012*" /stext=" 00:.+((SYSTEM_STATE.+slice.+state.+changed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46"/>
        <v>"%USERPROFILE%\Documents\GitHub\eaglep3\Utilities\RefineRTDCRunTimes.py" --tripid 301-11 --locoid 4018 --swversion DE.1.0.9.0 --startMP 204:469 --initTime 2017-10-11T18:38:31 --startdatetime 2017-10-11T18:40:31 --delay 48 --endMP 300:23312 --enddatetime 2017-10-11T18:51:13 --enforcementcount 0 &gt;&gt;%USERPROFILE%\Documents\GitHub\eaglep3-reporting\EC\2017-10-11-refined-times.txt</v>
      </c>
      <c r="AI213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{"issue":{"subject":"","project_id":79,"tracker_id":40,"status_id":1,"priority_id":2,"assigned_to_id":338,"start_date":"2017-10-11","description":"","custom_fields":[{"id":1,"name":"Subdivision","value":"Other"},{"id":4,"name":"Milepost","value":"2.3312"},{"id":17,"name":"Train ID","value":"301-11"},{"id":16,"name":"Locomotive ID","value":"4018"},{"id":130,"name":"Impact","value":""},{"id":150,"name":"Time of Event (Mountain Time)","value":"18:51:13"},{"id":151,"name":"Denver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48"/>
        <v>start /low /b %USERPROFILE%\Documents\GitHub\eaglep3\Utilities\DownloadLogsFromS3.py --loco 4018 --day 2017-10-11</v>
      </c>
      <c r="AN213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50"/>
        <v>https://d0f6bd738d7f1b3e5a7ca70fe4ff75f0.us-east-1.aws.found.io/app/kibana#/discover/Steve-Slow-Train-Analysis-(2080s-and-2083s)?_g=(refreshInterval:(display:Off,pause:!f,section:0,value:0),time:(from:'2017-10-11T17:38:31-0600',mode:absolute,to:'2017-10-11T19:51:13-0600'))&amp;_a=(columns:!('Message%20ID',Summary),filters:!(),index:'emp_*',interval:auto,query:(query_string:(analyze_wildcard:!t,query:'%22rtdc.l.rtdc.4018%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617</v>
      </c>
      <c r="B214" s="7">
        <v>4013</v>
      </c>
      <c r="C214" s="21" t="s">
        <v>194</v>
      </c>
      <c r="D214" s="21" t="s">
        <v>880</v>
      </c>
      <c r="E214" s="13">
        <v>43019.142476851855</v>
      </c>
      <c r="F214" s="13">
        <v>43019.145636574074</v>
      </c>
      <c r="G214" s="7">
        <v>71</v>
      </c>
      <c r="H214" s="21" t="s">
        <v>406</v>
      </c>
      <c r="I214" s="13">
        <v>43019.15148148148</v>
      </c>
      <c r="J214" s="7">
        <v>0</v>
      </c>
      <c r="K214" s="89" t="str">
        <f>IF(ISEVEN(B214),(B214-1)&amp;"/"&amp;B214,B214&amp;"/"&amp;(B214+1))</f>
        <v>4013/4014</v>
      </c>
      <c r="L214" s="185" t="str">
        <f>VLOOKUP(A214,'Trips&amp;Operators'!$C$1:$G$99911,5,FALSE)</f>
        <v>THOMPSON LESTER</v>
      </c>
      <c r="M214" s="6">
        <f>I214-F214</f>
        <v>5.8449074058444239E-3</v>
      </c>
      <c r="N214" s="7">
        <f>24*60*SUM($M214:$M214)</f>
        <v>8.4166666644159704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-11T02:25:10-0600',mode:absolute,to:'2017-10-11T04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2.3458999999999999</v>
      </c>
      <c r="Z214" s="204">
        <f>RIGHT(H214,LEN(H214)-4)/10000</f>
        <v>1.6E-2</v>
      </c>
      <c r="AA214" s="204">
        <f>ABS(Z214-Y214)</f>
        <v>2.3298999999999999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302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/stypes="app*4013*20171011*" /stext=" 09:.+((SYSTEM_STATE.+slice.+state.+changed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46"/>
        <v>"%USERPROFILE%\Documents\GitHub\eaglep3\Utilities\RefineRTDCRunTimes.py" --tripid 302-11 --locoid 4013 --swversion DE.1.0.9.0 --startMP 300:23459 --initTime 2017-10-11T03:25:10 --startdatetime 2017-10-11T03:29:43 --delay 71 --endMP 204:160 --enddatetime 2017-10-11T03:38:08 --enforcementcount 0 &gt;&gt;%USERPROFILE%\Documents\GitHub\eaglep3-reporting\EC\2017-10-11-refined-times.txt</v>
      </c>
      <c r="AI214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{"issue":{"subject":"","project_id":79,"tracker_id":40,"status_id":1,"priority_id":2,"assigned_to_id":338,"start_date":"2017-10-11","description":"","custom_fields":[{"id":1,"name":"Subdivision","value":"Other"},{"id":4,"name":"Milepost","value":"0.016"},{"id":17,"name":"Train ID","value":"302-11"},{"id":16,"name":"Locomotive ID","value":"4013"},{"id":130,"name":"Impact","value":""},{"id":150,"name":"Time of Event (Mountain Time)","value":"03:38:08"},{"id":151,"name":"Denver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48"/>
        <v>start /low /b %USERPROFILE%\Documents\GitHub\eaglep3\Utilities\DownloadLogsFromS3.py --loco 4013 --day 2017-10-11</v>
      </c>
      <c r="AN214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09:38:08"},{"id":29,"name":"Sharepoint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50"/>
        <v>https://d0f6bd738d7f1b3e5a7ca70fe4ff75f0.us-east-1.aws.found.io/app/kibana#/discover/Steve-Slow-Train-Analysis-(2080s-and-2083s)?_g=(refreshInterval:(display:Off,pause:!f,section:0,value:0),time:(from:'2017-10-11T02:25:10-0600',mode:absolute,to:'2017-10-11T04:38:08-0600'))&amp;_a=(columns:!('Message%20ID',Summary),filters:!(),index:'emp_*',interval:auto,query:(query_string:(analyze_wildcard:!t,query:'%22rtdc.l.rtdc.4013%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795</v>
      </c>
      <c r="B215" s="7">
        <v>4016</v>
      </c>
      <c r="C215" s="21" t="s">
        <v>194</v>
      </c>
      <c r="D215" s="21" t="s">
        <v>376</v>
      </c>
      <c r="E215" s="13">
        <v>43019.797581018516</v>
      </c>
      <c r="F215" s="13">
        <v>43019.799988425926</v>
      </c>
      <c r="G215" s="7">
        <v>140</v>
      </c>
      <c r="H215" s="21" t="s">
        <v>881</v>
      </c>
      <c r="I215" s="13">
        <v>43019.806689814817</v>
      </c>
      <c r="J215" s="7">
        <v>0</v>
      </c>
      <c r="K215" s="89" t="str">
        <f>IF(ISEVEN(B215),(B215-1)&amp;"/"&amp;B215,B215&amp;"/"&amp;(B215+1))</f>
        <v>4015/4016</v>
      </c>
      <c r="L215" s="185" t="str">
        <f>VLOOKUP(A215,'Trips&amp;Operators'!$C$1:$G$99911,5,FALSE)</f>
        <v>DELGADO DIANAH</v>
      </c>
      <c r="M215" s="6">
        <f>I215-F215</f>
        <v>6.701388891087845E-3</v>
      </c>
      <c r="N215" s="7">
        <f>24*60*SUM($M215:$M215)</f>
        <v>9.6500000031664968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-11T18:08:31-0600',mode:absolute,to:'2017-10-11T20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4.4699999999999997E-2</v>
      </c>
      <c r="Z215" s="204">
        <f>RIGHT(H215,LEN(H215)-4)/10000</f>
        <v>2.3300999999999998</v>
      </c>
      <c r="AA215" s="204">
        <f>ABS(Z215-Y215)</f>
        <v>2.2853999999999997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303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 &amp; aws s3 cp s3://rtdc.mdm.uploadarchive.raw/RTDC4016/ "%USERPROFILE%\AppData\Local\Temp\OnboardLogs"\RTDC4016\2017-10-12 --exclude "*" --recursive --include "*20171012*" &amp; "%USERPROFILE%\Documents\GitHub\mrs-test-scripts\Headless Mode &amp; Sideloading\WalkAndUnGZ.bat" "%USERPROFILE%\AppData\Local\Temp\OnboardLogs"\RTDC4016\2017-10-12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/stypes="app*4016*20171012*" /stext=" 01:.+((SYSTEM_STATE.+slice.+state.+changed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46"/>
        <v>"%USERPROFILE%\Documents\GitHub\eaglep3\Utilities\RefineRTDCRunTimes.py" --tripid 303-11 --locoid 4016 --swversion DE.1.0.9.0 --startMP 204:447 --initTime 2017-10-11T19:08:31 --startdatetime 2017-10-11T19:11:59 --delay 140 --endMP 300:23301 --enddatetime 2017-10-11T19:21:38 --enforcementcount 0 &gt;&gt;%USERPROFILE%\Documents\GitHub\eaglep3-reporting\EC\2017-10-11-refined-times.txt</v>
      </c>
      <c r="AI215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{"issue":{"subject":"","project_id":79,"tracker_id":40,"status_id":1,"priority_id":2,"assigned_to_id":338,"start_date":"2017-10-11","description":"","custom_fields":[{"id":1,"name":"Subdivision","value":"Other"},{"id":4,"name":"Milepost","value":"2.3301"},{"id":17,"name":"Train ID","value":"303-11"},{"id":16,"name":"Locomotive ID","value":"4016"},{"id":130,"name":"Impact","value":""},{"id":150,"name":"Time of Event (Mountain Time)","value":"19:21:38"},{"id":151,"name":"Denver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48"/>
        <v>start /low /b %USERPROFILE%\Documents\GitHub\eaglep3\Utilities\DownloadLogsFromS3.py --loco 4016 --day 2017-10-11</v>
      </c>
      <c r="AN215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50"/>
        <v>https://d0f6bd738d7f1b3e5a7ca70fe4ff75f0.us-east-1.aws.found.io/app/kibana#/discover/Steve-Slow-Train-Analysis-(2080s-and-2083s)?_g=(refreshInterval:(display:Off,pause:!f,section:0,value:0),time:(from:'2017-10-11T18:08:31-0600',mode:absolute,to:'2017-10-11T20:21:38-0600'))&amp;_a=(columns:!('Message%20ID',Summary),filters:!(),index:'emp_*',interval:auto,query:(query_string:(analyze_wildcard:!t,query:'%22rtdc.l.rtdc.4016%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624</v>
      </c>
      <c r="B216" s="7">
        <v>4031</v>
      </c>
      <c r="C216" s="21" t="s">
        <v>194</v>
      </c>
      <c r="D216" s="21" t="s">
        <v>882</v>
      </c>
      <c r="E216" s="13">
        <v>43019.161446759259</v>
      </c>
      <c r="F216" s="13">
        <v>43019.164259259262</v>
      </c>
      <c r="G216" s="7">
        <v>53</v>
      </c>
      <c r="H216" s="21" t="s">
        <v>374</v>
      </c>
      <c r="I216" s="13">
        <v>43019.169236111113</v>
      </c>
      <c r="J216" s="7">
        <v>0</v>
      </c>
      <c r="K216" s="89" t="str">
        <f>IF(ISEVEN(B216),(B216-1)&amp;"/"&amp;B216,B216&amp;"/"&amp;(B216+1))</f>
        <v>4031/4032</v>
      </c>
      <c r="L216" s="185" t="str">
        <f>VLOOKUP(A216,'Trips&amp;Operators'!$C$1:$G$99911,5,FALSE)</f>
        <v>YORK EDGAR</v>
      </c>
      <c r="M216" s="6">
        <f>I216-F216</f>
        <v>4.9768518510973081E-3</v>
      </c>
      <c r="N216" s="7">
        <f>24*60*SUM($M216:$M216)</f>
        <v>7.1666666655801237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-11T02:52:29-0600',mode:absolute,to:'2017-10-11T05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2.3142999999999998</v>
      </c>
      <c r="Z216" s="204">
        <f>RIGHT(H216,LEN(H216)-4)/10000</f>
        <v>1.54E-2</v>
      </c>
      <c r="AA216" s="204">
        <f>ABS(Z216-Y216)</f>
        <v>2.2988999999999997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304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s3://rtdc.mdm.uploadarchive.raw/RTDC4031/ "%USERPROFILE%\AppData\Local\Temp\OnboardLogs"\RTDC4031\2017-10-11 --exclude "*" --recursive --include "*20171011*" &amp; "%USERPROFILE%\Documents\GitHub\mrs-test-scripts\Headless Mode &amp; Sideloading\WalkAndUnGZ.bat" "%USERPROFILE%\AppData\Local\Temp\OnboardLogs"\RTDC4031\2017-10-11 &amp; aws s3 cp s3://rtdc.mdm.uploadarchive.raw/RTDC4031/ "%USERPROFILE%\AppData\Local\Temp\OnboardLogs"\RTDC4031\2017-10-12 --exclude "*" --recursive --include "*20171012*" &amp; "%USERPROFILE%\Documents\GitHub\mrs-test-scripts\Headless Mode &amp; Sideloading\WalkAndUnGZ.bat" "%USERPROFILE%\AppData\Local\Temp\OnboardLogs"\RTDC4031\2017-10-12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/stypes="app*4031*20171011*" /stext=" 10:.+((SYSTEM_STATE.+slice.+state.+changed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46"/>
        <v>"%USERPROFILE%\Documents\GitHub\eaglep3\Utilities\RefineRTDCRunTimes.py" --tripid 304-11 --locoid 4031 --swversion DE.1.0.9.0 --startMP 300:23143 --initTime 2017-10-11T03:52:29 --startdatetime 2017-10-11T03:56:32 --delay 53 --endMP 204:154 --enddatetime 2017-10-11T04:03:42 --enforcementcount 0 &gt;&gt;%USERPROFILE%\Documents\GitHub\eaglep3-reporting\EC\2017-10-11-refined-times.txt</v>
      </c>
      <c r="AI216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{"issue":{"subject":"","project_id":79,"tracker_id":40,"status_id":1,"priority_id":2,"assigned_to_id":338,"start_date":"2017-10-11","description":"","custom_fields":[{"id":1,"name":"Subdivision","value":"Other"},{"id":4,"name":"Milepost","value":"0.0154"},{"id":17,"name":"Train ID","value":"304-11"},{"id":16,"name":"Locomotive ID","value":"4031"},{"id":130,"name":"Impact","value":""},{"id":150,"name":"Time of Event (Mountain Time)","value":"04:03:42"},{"id":151,"name":"Denver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48"/>
        <v>start /low /b %USERPROFILE%\Documents\GitHub\eaglep3\Utilities\DownloadLogsFromS3.py --loco 4031 --day 2017-10-11</v>
      </c>
      <c r="AN216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10:03:42"},{"id":29,"name":"Sharepoint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50"/>
        <v>https://d0f6bd738d7f1b3e5a7ca70fe4ff75f0.us-east-1.aws.found.io/app/kibana#/discover/Steve-Slow-Train-Analysis-(2080s-and-2083s)?_g=(refreshInterval:(display:Off,pause:!f,section:0,value:0),time:(from:'2017-10-11T02:52:29-0600',mode:absolute,to:'2017-10-11T05:03:42-0600'))&amp;_a=(columns:!('Message%20ID',Summary),filters:!(),index:'emp_*',interval:auto,query:(query_string:(analyze_wildcard:!t,query:'%22rtdc.l.rtdc.4031%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799</v>
      </c>
      <c r="B217" s="7">
        <v>4008</v>
      </c>
      <c r="C217" s="21" t="s">
        <v>194</v>
      </c>
      <c r="D217" s="21" t="s">
        <v>883</v>
      </c>
      <c r="E217" s="13">
        <v>43019.818553240744</v>
      </c>
      <c r="F217" s="13">
        <v>43019.820196759261</v>
      </c>
      <c r="G217" s="7">
        <v>60</v>
      </c>
      <c r="H217" s="21" t="s">
        <v>550</v>
      </c>
      <c r="I217" s="13">
        <v>43019.826562499999</v>
      </c>
      <c r="J217" s="7">
        <v>0</v>
      </c>
      <c r="K217" s="89" t="str">
        <f>IF(ISEVEN(B217),(B217-1)&amp;"/"&amp;B217,B217&amp;"/"&amp;(B217+1))</f>
        <v>4007/4008</v>
      </c>
      <c r="L217" s="185" t="str">
        <f>VLOOKUP(A217,'Trips&amp;Operators'!$C$1:$G$99911,5,FALSE)</f>
        <v>KILLION DAVID</v>
      </c>
      <c r="M217" s="6">
        <f>I217-F217</f>
        <v>6.3657407372375019E-3</v>
      </c>
      <c r="N217" s="7">
        <f>24*60*SUM($M217:$M217)</f>
        <v>9.1666666616220027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-11T18:38:43-0600',mode:absolute,to:'2017-10-11T20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4.8000000000000001E-2</v>
      </c>
      <c r="Z217" s="204">
        <f>RIGHT(H217,LEN(H217)-4)/10000</f>
        <v>2.3346</v>
      </c>
      <c r="AA217" s="204">
        <f>ABS(Z217-Y217)</f>
        <v>2.2866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305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/stypes="app*4008*20171012*" /stext=" 01:.+((SYSTEM_STATE.+slice.+state.+changed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46"/>
        <v>"%USERPROFILE%\Documents\GitHub\eaglep3\Utilities\RefineRTDCRunTimes.py" --tripid 305-11 --locoid 4008 --swversion DE.1.0.9.0 --startMP 204:480 --initTime 2017-10-11T19:38:43 --startdatetime 2017-10-11T19:41:05 --delay 60 --endMP 300:23346 --enddatetime 2017-10-11T19:50:15 --enforcementcount 0 &gt;&gt;%USERPROFILE%\Documents\GitHub\eaglep3-reporting\EC\2017-10-11-refined-times.txt</v>
      </c>
      <c r="AI217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{"issue":{"subject":"","project_id":79,"tracker_id":40,"status_id":1,"priority_id":2,"assigned_to_id":338,"start_date":"2017-10-11","description":"","custom_fields":[{"id":1,"name":"Subdivision","value":"Other"},{"id":4,"name":"Milepost","value":"2.3346"},{"id":17,"name":"Train ID","value":"305-11"},{"id":16,"name":"Locomotive ID","value":"4008"},{"id":130,"name":"Impact","value":""},{"id":150,"name":"Time of Event (Mountain Time)","value":"19:50:15"},{"id":151,"name":"Denver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48"/>
        <v>start /low /b %USERPROFILE%\Documents\GitHub\eaglep3\Utilities\DownloadLogsFromS3.py --loco 4008 --day 2017-10-11</v>
      </c>
      <c r="AN217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50"/>
        <v>https://d0f6bd738d7f1b3e5a7ca70fe4ff75f0.us-east-1.aws.found.io/app/kibana#/discover/Steve-Slow-Train-Analysis-(2080s-and-2083s)?_g=(refreshInterval:(display:Off,pause:!f,section:0,value:0),time:(from:'2017-10-11T18:38:43-0600',mode:absolute,to:'2017-10-11T20:50:15-0600'))&amp;_a=(columns:!('Message%20ID',Summary),filters:!(),index:'emp_*',interval:auto,query:(query_string:(analyze_wildcard:!t,query:'%22rtdc.l.rtdc.4008%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625</v>
      </c>
      <c r="B218" s="7">
        <v>4035</v>
      </c>
      <c r="C218" s="21" t="s">
        <v>194</v>
      </c>
      <c r="D218" s="21" t="s">
        <v>884</v>
      </c>
      <c r="E218" s="13">
        <v>43019.169629629629</v>
      </c>
      <c r="F218" s="13">
        <v>43019.173518518517</v>
      </c>
      <c r="G218" s="7">
        <v>83</v>
      </c>
      <c r="H218" s="21" t="s">
        <v>336</v>
      </c>
      <c r="I218" s="13">
        <v>43019.180034722223</v>
      </c>
      <c r="J218" s="7">
        <v>0</v>
      </c>
      <c r="K218" s="89" t="str">
        <f>IF(ISEVEN(B218),(B218-1)&amp;"/"&amp;B218,B218&amp;"/"&amp;(B218+1))</f>
        <v>4035/4036</v>
      </c>
      <c r="L218" s="185" t="str">
        <f>VLOOKUP(A218,'Trips&amp;Operators'!$C$1:$G$99911,5,FALSE)</f>
        <v>YANG JAN</v>
      </c>
      <c r="M218" s="6">
        <f>I218-F218</f>
        <v>6.5162037062691525E-3</v>
      </c>
      <c r="N218" s="7">
        <f>24*60*SUM($M218:$M218)</f>
        <v>9.3833333370275795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-11T03:04:16-0600',mode:absolute,to:'2017-10-11T05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2.3496999999999999</v>
      </c>
      <c r="Z218" s="204">
        <f>RIGHT(H218,LEN(H218)-4)/10000</f>
        <v>1.49E-2</v>
      </c>
      <c r="AA218" s="204">
        <f>ABS(Z218-Y218)</f>
        <v>2.3348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306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/stypes="app*4035*20171011*" /stext=" 10:.+((SYSTEM_STATE.+slice.+state.+changed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46"/>
        <v>"%USERPROFILE%\Documents\GitHub\eaglep3\Utilities\RefineRTDCRunTimes.py" --tripid 306-11 --locoid 4035 --swversion DE.1.0.9.0 --startMP 300:23497 --initTime 2017-10-11T04:04:16 --startdatetime 2017-10-11T04:09:52 --delay 83 --endMP 204:149 --enddatetime 2017-10-11T04:19:15 --enforcementcount 0 &gt;&gt;%USERPROFILE%\Documents\GitHub\eaglep3-reporting\EC\2017-10-11-refined-times.txt</v>
      </c>
      <c r="AI218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{"issue":{"subject":"","project_id":79,"tracker_id":40,"status_id":1,"priority_id":2,"assigned_to_id":338,"start_date":"2017-10-11","description":"","custom_fields":[{"id":1,"name":"Subdivision","value":"Other"},{"id":4,"name":"Milepost","value":"0.0149"},{"id":17,"name":"Train ID","value":"306-11"},{"id":16,"name":"Locomotive ID","value":"4035"},{"id":130,"name":"Impact","value":""},{"id":150,"name":"Time of Event (Mountain Time)","value":"04:19:15"},{"id":151,"name":"Denver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48"/>
        <v>start /low /b %USERPROFILE%\Documents\GitHub\eaglep3\Utilities\DownloadLogsFromS3.py --loco 4035 --day 2017-10-11</v>
      </c>
      <c r="AN218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10:19:15"},{"id":29,"name":"Sharepoint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50"/>
        <v>https://d0f6bd738d7f1b3e5a7ca70fe4ff75f0.us-east-1.aws.found.io/app/kibana#/discover/Steve-Slow-Train-Analysis-(2080s-and-2083s)?_g=(refreshInterval:(display:Off,pause:!f,section:0,value:0),time:(from:'2017-10-11T03:04:16-0600',mode:absolute,to:'2017-10-11T05:19:15-0600'))&amp;_a=(columns:!('Message%20ID',Summary),filters:!(),index:'emp_*',interval:auto,query:(query_string:(analyze_wildcard:!t,query:'%22rtdc.l.rtdc.4035%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829</v>
      </c>
      <c r="B219" s="7">
        <v>4014</v>
      </c>
      <c r="C219" s="21" t="s">
        <v>194</v>
      </c>
      <c r="D219" s="21" t="s">
        <v>376</v>
      </c>
      <c r="E219" s="13">
        <v>43020.046342592592</v>
      </c>
      <c r="F219" s="13">
        <v>43020.047951388886</v>
      </c>
      <c r="G219" s="7">
        <v>70</v>
      </c>
      <c r="H219" s="21" t="s">
        <v>550</v>
      </c>
      <c r="I219" s="13">
        <v>43020.056041666663</v>
      </c>
      <c r="J219" s="7">
        <v>0</v>
      </c>
      <c r="K219" s="89" t="str">
        <f>IF(ISEVEN(B219),(B219-1)&amp;"/"&amp;B219,B219&amp;"/"&amp;(B219+1))</f>
        <v>4013/4014</v>
      </c>
      <c r="L219" s="185" t="str">
        <f>VLOOKUP(A219,'Trips&amp;Operators'!$C$1:$G$99911,5,FALSE)</f>
        <v>DUNCAN SHEILA</v>
      </c>
      <c r="M219" s="6">
        <f>I219-F219</f>
        <v>8.0902777772280388E-3</v>
      </c>
      <c r="N219" s="7">
        <f>24*60*SUM($M219:$M219)</f>
        <v>11.649999999208376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-12T00:06:44-0600',mode:absolute,to:'2017-10-12T02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4.4699999999999997E-2</v>
      </c>
      <c r="Z219" s="204">
        <f>RIGHT(H219,LEN(H219)-4)/10000</f>
        <v>2.3346</v>
      </c>
      <c r="AA219" s="204">
        <f>ABS(Z219-Y219)</f>
        <v>2.2898999999999998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307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 &amp; aws s3 cp s3://rtdc.mdm.uploadarchive.raw/RTDC4014/ "%USERPROFILE%\AppData\Local\Temp\OnboardLogs"\RTDC4014\2017-10-13 --exclude "*" --recursive --include "*20171013*" &amp; "%USERPROFILE%\Documents\GitHub\mrs-test-scripts\Headless Mode &amp; Sideloading\WalkAndUnGZ.bat" "%USERPROFILE%\AppData\Local\Temp\OnboardLogs"\RTDC4014\2017-10-13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/stypes="app*4014*20171012*" /stext=" 07:.+((SYSTEM_STATE.+slice.+state.+changed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46"/>
        <v>"%USERPROFILE%\Documents\GitHub\eaglep3\Utilities\RefineRTDCRunTimes.py" --tripid 307-11 --locoid 4014 --swversion DE.1.0.9.0 --startMP 204:447 --initTime 2017-10-12T01:06:44 --startdatetime 2017-10-12T01:09:03 --delay 70 --endMP 300:23346 --enddatetime 2017-10-12T01:20:42 --enforcementcount 0 &gt;&gt;%USERPROFILE%\Documents\GitHub\eaglep3-reporting\EC\2017-10-11-refined-times.txt</v>
      </c>
      <c r="AI219" s="96" t="str">
        <f t="shared" si="47"/>
        <v>echo {"issue":{"subject":"","project_id":79,"tracker_id":40,"status_id":1,"priority_id":2,"assigned_to_id":338,"start_date":"2017-10-12","description":"","custom_fields":[{"id":1,"name":"Subdivision","value":"Other"},{"id":4,"name":"Milepost","value":"2.3346"},{"id":17,"name":"Train ID","value":"307-11"},{"id":16,"name":"Locomotive ID","value":"4014"},{"id":130,"name":"Impact","value":""},{"id":150,"name":"Time of Event (Mountain Time)","value":"01:20:42"},{"id":151,"name":"Denver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48"/>
        <v>start /low /b %USERPROFILE%\Documents\GitHub\eaglep3\Utilities\DownloadLogsFromS3.py --loco 4014 --day 2017-10-12</v>
      </c>
      <c r="AN219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07:20:42"},{"id":29,"name":"Sharepoint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50"/>
        <v>https://d0f6bd738d7f1b3e5a7ca70fe4ff75f0.us-east-1.aws.found.io/app/kibana#/discover/Steve-Slow-Train-Analysis-(2080s-and-2083s)?_g=(refreshInterval:(display:Off,pause:!f,section:0,value:0),time:(from:'2017-10-12T00:06:44-0600',mode:absolute,to:'2017-10-12T02:20:42-0600'))&amp;_a=(columns:!('Message%20ID',Summary),filters:!(),index:'emp_*',interval:auto,query:(query_string:(analyze_wildcard:!t,query:'%22rtdc.l.rtdc.4014%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572</v>
      </c>
      <c r="B220" s="7">
        <v>4017</v>
      </c>
      <c r="C220" s="21" t="s">
        <v>194</v>
      </c>
      <c r="D220" s="21" t="s">
        <v>885</v>
      </c>
      <c r="E220" s="13">
        <v>43019.17460648148</v>
      </c>
      <c r="F220" s="13">
        <v>43019.182013888887</v>
      </c>
      <c r="G220" s="7">
        <v>65</v>
      </c>
      <c r="H220" s="21" t="s">
        <v>886</v>
      </c>
      <c r="I220" s="13">
        <v>43019.182141203702</v>
      </c>
      <c r="J220" s="7">
        <v>0</v>
      </c>
      <c r="K220" s="89" t="str">
        <f>IF(ISEVEN(B220),(B220-1)&amp;"/"&amp;B220,B220&amp;"/"&amp;(B220+1))</f>
        <v>4017/4018</v>
      </c>
      <c r="L220" s="185" t="str">
        <f>VLOOKUP(A220,'Trips&amp;Operators'!$C$1:$G$99911,5,FALSE)</f>
        <v>DAVIS WENDY</v>
      </c>
      <c r="M220" s="6">
        <f>I220-F220</f>
        <v>1.273148154723458E-4</v>
      </c>
      <c r="N220" s="7">
        <f>24*60*SUM($M220:$M220)</f>
        <v>0.18333333428017795</v>
      </c>
      <c r="O220" s="7"/>
      <c r="P220" s="7"/>
      <c r="Q220" s="22"/>
      <c r="R220" s="174"/>
      <c r="S220" s="221">
        <f>1/IF(AG220="EC",12,1)*SUM(U220:U220)</f>
        <v>0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-11T03:11:26-0600',mode:absolute,to:'2017-10-11T05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2.2517999999999998</v>
      </c>
      <c r="Z220" s="204">
        <f>RIGHT(H220,LEN(H220)-4)/10000</f>
        <v>2.1770999999999998</v>
      </c>
      <c r="AA220" s="204">
        <f>ABS(Z220-Y220)</f>
        <v>7.4699999999999989E-2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308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/stypes="app*4017*20171011*" /stext=" 10:.+((SYSTEM_STATE.+slice.+state.+changed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46"/>
        <v>"%USERPROFILE%\Documents\GitHub\eaglep3\Utilities\RefineRTDCRunTimes.py" --tripid 308-11 --locoid 4017 --swversion DE.1.0.9.0 --startMP 300:22518 --initTime 2017-10-11T04:11:26 --startdatetime 2017-10-11T04:22:06 --delay 65 --endMP 300:21771 --enddatetime 2017-10-11T04:22:17 --enforcementcount 0 &gt;&gt;%USERPROFILE%\Documents\GitHub\eaglep3-reporting\EC\2017-10-11-refined-times.txt</v>
      </c>
      <c r="AI220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{"issue":{"subject":"","project_id":79,"tracker_id":40,"status_id":1,"priority_id":2,"assigned_to_id":338,"start_date":"2017-10-11","description":"","custom_fields":[{"id":1,"name":"Subdivision","value":"Other"},{"id":4,"name":"Milepost","value":"2.1771"},{"id":17,"name":"Train ID","value":"308-11"},{"id":16,"name":"Locomotive ID","value":"4017"},{"id":130,"name":"Impact","value":""},{"id":150,"name":"Time of Event (Mountain Time)","value":"04:22:17"},{"id":151,"name":"Denver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48"/>
        <v>start /low /b %USERPROFILE%\Documents\GitHub\eaglep3\Utilities\DownloadLogsFromS3.py --loco 4017 --day 2017-10-11</v>
      </c>
      <c r="AN220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10:22:17"},{"id":29,"name":"Sharepoint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50"/>
        <v>https://d0f6bd738d7f1b3e5a7ca70fe4ff75f0.us-east-1.aws.found.io/app/kibana#/discover/Steve-Slow-Train-Analysis-(2080s-and-2083s)?_g=(refreshInterval:(display:Off,pause:!f,section:0,value:0),time:(from:'2017-10-11T03:11:26-0600',mode:absolute,to:'2017-10-11T05:22:17-0600'))&amp;_a=(columns:!('Message%20ID',Summary),filters:!(),index:'emp_*',interval:auto,query:(query_string:(analyze_wildcard:!t,query:'%22rtdc.l.rtdc.4017%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831</v>
      </c>
      <c r="B221" s="7">
        <v>4032</v>
      </c>
      <c r="C221" s="21" t="s">
        <v>194</v>
      </c>
      <c r="D221" s="21" t="s">
        <v>887</v>
      </c>
      <c r="E221" s="13">
        <v>43020.067372685182</v>
      </c>
      <c r="F221" s="13">
        <v>43020.069699074076</v>
      </c>
      <c r="G221" s="7">
        <v>78</v>
      </c>
      <c r="H221" s="21" t="s">
        <v>482</v>
      </c>
      <c r="I221" s="13">
        <v>43020.079687500001</v>
      </c>
      <c r="J221" s="7">
        <v>0</v>
      </c>
      <c r="K221" s="89" t="str">
        <f>IF(ISEVEN(B221),(B221-1)&amp;"/"&amp;B221,B221&amp;"/"&amp;(B221+1))</f>
        <v>4031/4032</v>
      </c>
      <c r="L221" s="185" t="str">
        <f>VLOOKUP(A221,'Trips&amp;Operators'!$C$1:$G$99911,5,FALSE)</f>
        <v>LOZA FIDEL</v>
      </c>
      <c r="M221" s="6">
        <f>I221-F221</f>
        <v>9.9884259252576157E-3</v>
      </c>
      <c r="N221" s="7">
        <f>24*60*SUM($M221:$M221)</f>
        <v>14.383333332370967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-12T00:37:01-0600',mode:absolute,to:'2017-10-12T02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4.7699999999999999E-2</v>
      </c>
      <c r="Z221" s="204">
        <f>RIGHT(H221,LEN(H221)-4)/10000</f>
        <v>2.3311999999999999</v>
      </c>
      <c r="AA221" s="204">
        <f>ABS(Z221-Y221)</f>
        <v>2.2835000000000001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309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 &amp; aws s3 cp s3://rtdc.mdm.uploadarchive.raw/RTDC4032/ "%USERPROFILE%\AppData\Local\Temp\OnboardLogs"\RTDC4032\2017-10-13 --exclude "*" --recursive --include "*20171013*" &amp; "%USERPROFILE%\Documents\GitHub\mrs-test-scripts\Headless Mode &amp; Sideloading\WalkAndUnGZ.bat" "%USERPROFILE%\AppData\Local\Temp\OnboardLogs"\RTDC4032\2017-10-13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/stypes="app*4032*20171012*" /stext=" 07:.+((SYSTEM_STATE.+slice.+state.+changed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46"/>
        <v>"%USERPROFILE%\Documents\GitHub\eaglep3\Utilities\RefineRTDCRunTimes.py" --tripid 309-11 --locoid 4032 --swversion DE.1.0.9.0 --startMP 204:477 --initTime 2017-10-12T01:37:01 --startdatetime 2017-10-12T01:40:22 --delay 78 --endMP 300:23312 --enddatetime 2017-10-12T01:54:45 --enforcementcount 0 &gt;&gt;%USERPROFILE%\Documents\GitHub\eaglep3-reporting\EC\2017-10-11-refined-times.txt</v>
      </c>
      <c r="AI221" s="96" t="str">
        <f t="shared" si="47"/>
        <v>echo {"issue":{"subject":"","project_id":79,"tracker_id":40,"status_id":1,"priority_id":2,"assigned_to_id":338,"start_date":"2017-10-12","description":"","custom_fields":[{"id":1,"name":"Subdivision","value":"Other"},{"id":4,"name":"Milepost","value":"2.3312"},{"id":17,"name":"Train ID","value":"309-11"},{"id":16,"name":"Locomotive ID","value":"4032"},{"id":130,"name":"Impact","value":""},{"id":150,"name":"Time of Event (Mountain Time)","value":"01:54:45"},{"id":151,"name":"Denver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48"/>
        <v>start /low /b %USERPROFILE%\Documents\GitHub\eaglep3\Utilities\DownloadLogsFromS3.py --loco 4032 --day 2017-10-12</v>
      </c>
      <c r="AN221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07:54:45"},{"id":29,"name":"Sharepoint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50"/>
        <v>https://d0f6bd738d7f1b3e5a7ca70fe4ff75f0.us-east-1.aws.found.io/app/kibana#/discover/Steve-Slow-Train-Analysis-(2080s-and-2083s)?_g=(refreshInterval:(display:Off,pause:!f,section:0,value:0),time:(from:'2017-10-12T00:37:01-0600',mode:absolute,to:'2017-10-12T02:54:45-0600'))&amp;_a=(columns:!('Message%20ID',Summary),filters:!(),index:'emp_*',interval:auto,query:(query_string:(analyze_wildcard:!t,query:'%22rtdc.l.rtdc.4032%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632</v>
      </c>
      <c r="B222" s="7">
        <v>4015</v>
      </c>
      <c r="C222" s="21" t="s">
        <v>194</v>
      </c>
      <c r="D222" s="21" t="s">
        <v>888</v>
      </c>
      <c r="E222" s="13">
        <v>43019.197870370372</v>
      </c>
      <c r="F222" s="13">
        <v>43019.201817129629</v>
      </c>
      <c r="G222" s="7">
        <v>78</v>
      </c>
      <c r="H222" s="21" t="s">
        <v>339</v>
      </c>
      <c r="I222" s="13">
        <v>43019.206979166665</v>
      </c>
      <c r="J222" s="7">
        <v>0</v>
      </c>
      <c r="K222" s="89" t="str">
        <f>IF(ISEVEN(B222),(B222-1)&amp;"/"&amp;B222,B222&amp;"/"&amp;(B222+1))</f>
        <v>4015/4016</v>
      </c>
      <c r="L222" s="185" t="str">
        <f>VLOOKUP(A222,'Trips&amp;Operators'!$C$1:$G$99911,5,FALSE)</f>
        <v>YANAI IAN</v>
      </c>
      <c r="M222" s="6">
        <f>I222-F222</f>
        <v>5.1620370359160006E-3</v>
      </c>
      <c r="N222" s="7">
        <f>24*60*SUM($M222:$M222)</f>
        <v>7.4333333317190409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-11T03:44:56-0600',mode:absolute,to:'2017-10-11T05:58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2.3489</v>
      </c>
      <c r="Z222" s="204">
        <f>RIGHT(H222,LEN(H222)-4)/10000</f>
        <v>1.47E-2</v>
      </c>
      <c r="AA222" s="204">
        <f>ABS(Z222-Y222)</f>
        <v>2.3342000000000001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310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/stypes="app*4015*20171011*" /stext=" 10:.+((SYSTEM_STATE.+slice.+state.+changed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46"/>
        <v>"%USERPROFILE%\Documents\GitHub\eaglep3\Utilities\RefineRTDCRunTimes.py" --tripid 310-11 --locoid 4015 --swversion DE.1.0.9.0 --startMP 300:23489 --initTime 2017-10-11T04:44:56 --startdatetime 2017-10-11T04:50:37 --delay 78 --endMP 204:147 --enddatetime 2017-10-11T04:58:03 --enforcementcount 0 &gt;&gt;%USERPROFILE%\Documents\GitHub\eaglep3-reporting\EC\2017-10-11-refined-times.txt</v>
      </c>
      <c r="AI222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{"issue":{"subject":"","project_id":79,"tracker_id":40,"status_id":1,"priority_id":2,"assigned_to_id":338,"start_date":"2017-10-11","description":"","custom_fields":[{"id":1,"name":"Subdivision","value":"Other"},{"id":4,"name":"Milepost","value":"0.0147"},{"id":17,"name":"Train ID","value":"310-11"},{"id":16,"name":"Locomotive ID","value":"4015"},{"id":130,"name":"Impact","value":""},{"id":150,"name":"Time of Event (Mountain Time)","value":"04:58:03"},{"id":151,"name":"Denver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48"/>
        <v>start /low /b %USERPROFILE%\Documents\GitHub\eaglep3\Utilities\DownloadLogsFromS3.py --loco 4015 --day 2017-10-11</v>
      </c>
      <c r="AN222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10:58:03"},{"id":29,"name":"Sharepoint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50"/>
        <v>https://d0f6bd738d7f1b3e5a7ca70fe4ff75f0.us-east-1.aws.found.io/app/kibana#/discover/Steve-Slow-Train-Analysis-(2080s-and-2083s)?_g=(refreshInterval:(display:Off,pause:!f,section:0,value:0),time:(from:'2017-10-11T03:44:56-0600',mode:absolute,to:'2017-10-11T05:58:03-0600'))&amp;_a=(columns:!('Message%20ID',Summary),filters:!(),index:'emp_*',interval:auto,query:(query_string:(analyze_wildcard:!t,query:'%22rtdc.l.rtdc.4015%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832</v>
      </c>
      <c r="B223" s="7">
        <v>4036</v>
      </c>
      <c r="C223" s="21" t="s">
        <v>194</v>
      </c>
      <c r="D223" s="21" t="s">
        <v>380</v>
      </c>
      <c r="E223" s="13">
        <v>43020.088564814818</v>
      </c>
      <c r="F223" s="13">
        <v>43020.089699074073</v>
      </c>
      <c r="G223" s="7">
        <v>50</v>
      </c>
      <c r="H223" s="21" t="s">
        <v>550</v>
      </c>
      <c r="I223" s="13">
        <v>43020.098622685182</v>
      </c>
      <c r="J223" s="7">
        <v>0</v>
      </c>
      <c r="K223" s="89" t="str">
        <f>IF(ISEVEN(B223),(B223-1)&amp;"/"&amp;B223,B223&amp;"/"&amp;(B223+1))</f>
        <v>4035/4036</v>
      </c>
      <c r="L223" s="185" t="str">
        <f>VLOOKUP(A223,'Trips&amp;Operators'!$C$1:$G$99911,5,FALSE)</f>
        <v>LOPES KIMBERLY</v>
      </c>
      <c r="M223" s="6">
        <f>I223-F223</f>
        <v>8.923611108912155E-3</v>
      </c>
      <c r="N223" s="7">
        <f>24*60*SUM($M223:$M223)</f>
        <v>12.849999996833503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-12T01:07:32-0600',mode:absolute,to:'2017-10-12T03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4.5699999999999998E-2</v>
      </c>
      <c r="Z223" s="204">
        <f>RIGHT(H223,LEN(H223)-4)/10000</f>
        <v>2.3346</v>
      </c>
      <c r="AA223" s="204">
        <f>ABS(Z223-Y223)</f>
        <v>2.2888999999999999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311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s3://rtdc.mdm.uploadarchive.raw/RTDC4036/ "%USERPROFILE%\AppData\Local\Temp\OnboardLogs"\RTDC4036\2017-10-12 --exclude "*" --recursive --include "*20171012*" &amp; "%USERPROFILE%\Documents\GitHub\mrs-test-scripts\Headless Mode &amp; Sideloading\WalkAndUnGZ.bat" "%USERPROFILE%\AppData\Local\Temp\OnboardLogs"\RTDC4036\2017-10-12 &amp; aws s3 cp s3://rtdc.mdm.uploadarchive.raw/RTDC4036/ "%USERPROFILE%\AppData\Local\Temp\OnboardLogs"\RTDC4036\2017-10-13 --exclude "*" --recursive --include "*20171013*" &amp; "%USERPROFILE%\Documents\GitHub\mrs-test-scripts\Headless Mode &amp; Sideloading\WalkAndUnGZ.bat" "%USERPROFILE%\AppData\Local\Temp\OnboardLogs"\RTDC4036\2017-10-13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/stypes="app*4036*20171012*" /stext=" 08:.+((SYSTEM_STATE.+slice.+state.+changed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46"/>
        <v>"%USERPROFILE%\Documents\GitHub\eaglep3\Utilities\RefineRTDCRunTimes.py" --tripid 311-11 --locoid 4036 --swversion DE.1.0.9.0 --startMP 204:457 --initTime 2017-10-12T02:07:32 --startdatetime 2017-10-12T02:09:10 --delay 50 --endMP 300:23346 --enddatetime 2017-10-12T02:22:01 --enforcementcount 0 &gt;&gt;%USERPROFILE%\Documents\GitHub\eaglep3-reporting\EC\2017-10-11-refined-times.txt</v>
      </c>
      <c r="AI223" s="96" t="str">
        <f t="shared" si="47"/>
        <v>echo {"issue":{"subject":"","project_id":79,"tracker_id":40,"status_id":1,"priority_id":2,"assigned_to_id":338,"start_date":"2017-10-12","description":"","custom_fields":[{"id":1,"name":"Subdivision","value":"Other"},{"id":4,"name":"Milepost","value":"2.3346"},{"id":17,"name":"Train ID","value":"311-11"},{"id":16,"name":"Locomotive ID","value":"4036"},{"id":130,"name":"Impact","value":""},{"id":150,"name":"Time of Event (Mountain Time)","value":"02:22:01"},{"id":151,"name":"Denver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48"/>
        <v>start /low /b %USERPROFILE%\Documents\GitHub\eaglep3\Utilities\DownloadLogsFromS3.py --loco 4036 --day 2017-10-12</v>
      </c>
      <c r="AN223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08:22:01"},{"id":29,"name":"Sharepoint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50"/>
        <v>https://d0f6bd738d7f1b3e5a7ca70fe4ff75f0.us-east-1.aws.found.io/app/kibana#/discover/Steve-Slow-Train-Analysis-(2080s-and-2083s)?_g=(refreshInterval:(display:Off,pause:!f,section:0,value:0),time:(from:'2017-10-12T01:07:32-0600',mode:absolute,to:'2017-10-12T03:22:01-0600'))&amp;_a=(columns:!('Message%20ID',Summary),filters:!(),index:'emp_*',interval:auto,query:(query_string:(analyze_wildcard:!t,query:'%22rtdc.l.rtdc.4036%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638</v>
      </c>
      <c r="B224" s="7">
        <v>4023</v>
      </c>
      <c r="C224" s="21" t="s">
        <v>194</v>
      </c>
      <c r="D224" s="21" t="s">
        <v>889</v>
      </c>
      <c r="E224" s="13">
        <v>43019.22084490741</v>
      </c>
      <c r="F224" s="13">
        <v>43019.224074074074</v>
      </c>
      <c r="G224" s="7">
        <v>78</v>
      </c>
      <c r="H224" s="21" t="s">
        <v>337</v>
      </c>
      <c r="I224" s="13">
        <v>43019.22996527778</v>
      </c>
      <c r="J224" s="7">
        <v>0</v>
      </c>
      <c r="K224" s="89" t="str">
        <f>IF(ISEVEN(B224),(B224-1)&amp;"/"&amp;B224,B224&amp;"/"&amp;(B224+1))</f>
        <v>4023/4024</v>
      </c>
      <c r="L224" s="185" t="str">
        <f>VLOOKUP(A224,'Trips&amp;Operators'!$C$1:$G$99911,5,FALSE)</f>
        <v>FORTUNATO FRANK</v>
      </c>
      <c r="M224" s="6">
        <f>I224-F224</f>
        <v>5.8912037056870759E-3</v>
      </c>
      <c r="N224" s="7">
        <f>24*60*SUM($M224:$M224)</f>
        <v>8.4833333361893892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-11T04:18:01-0600',mode:absolute,to:'2017-10-11T06:31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2.3538000000000001</v>
      </c>
      <c r="Z224" s="204">
        <f>RIGHT(H224,LEN(H224)-4)/10000</f>
        <v>1.43E-2</v>
      </c>
      <c r="AA224" s="204">
        <f>ABS(Z224-Y224)</f>
        <v>2.3395000000000001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312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s3://rtdc.mdm.uploadarchive.raw/RTDC4023/ "%USERPROFILE%\AppData\Local\Temp\OnboardLogs"\RTDC4023\2017-10-11 --exclude "*" --recursive --include "*20171011*" &amp; "%USERPROFILE%\Documents\GitHub\mrs-test-scripts\Headless Mode &amp; Sideloading\WalkAndUnGZ.bat" "%USERPROFILE%\AppData\Local\Temp\OnboardLogs"\RTDC4023\2017-10-11 &amp; aws s3 cp s3://rtdc.mdm.uploadarchive.raw/RTDC4023/ "%USERPROFILE%\AppData\Local\Temp\OnboardLogs"\RTDC4023\2017-10-12 --exclude "*" --recursive --include "*20171012*" &amp; "%USERPROFILE%\Documents\GitHub\mrs-test-scripts\Headless Mode &amp; Sideloading\WalkAndUnGZ.bat" "%USERPROFILE%\AppData\Local\Temp\OnboardLogs"\RTDC4023\2017-10-12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/stypes="app*4023*20171011*" /stext=" 11:.+((SYSTEM_STATE.+slice.+state.+changed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46"/>
        <v>"%USERPROFILE%\Documents\GitHub\eaglep3\Utilities\RefineRTDCRunTimes.py" --tripid 312-11 --locoid 4023 --swversion DE.1.0.9.0 --startMP 300:23538 --initTime 2017-10-11T05:18:01 --startdatetime 2017-10-11T05:22:40 --delay 78 --endMP 204:143 --enddatetime 2017-10-11T05:31:09 --enforcementcount 0 &gt;&gt;%USERPROFILE%\Documents\GitHub\eaglep3-reporting\EC\2017-10-11-refined-times.txt</v>
      </c>
      <c r="AI224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{"issue":{"subject":"","project_id":79,"tracker_id":40,"status_id":1,"priority_id":2,"assigned_to_id":338,"start_date":"2017-10-11","description":"","custom_fields":[{"id":1,"name":"Subdivision","value":"Other"},{"id":4,"name":"Milepost","value":"0.0143"},{"id":17,"name":"Train ID","value":"312-11"},{"id":16,"name":"Locomotive ID","value":"4023"},{"id":130,"name":"Impact","value":""},{"id":150,"name":"Time of Event (Mountain Time)","value":"05:31:09"},{"id":151,"name":"Denver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48"/>
        <v>start /low /b %USERPROFILE%\Documents\GitHub\eaglep3\Utilities\DownloadLogsFromS3.py --loco 4023 --day 2017-10-11</v>
      </c>
      <c r="AN224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11:31:09"},{"id":29,"name":"Sharepoint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50"/>
        <v>https://d0f6bd738d7f1b3e5a7ca70fe4ff75f0.us-east-1.aws.found.io/app/kibana#/discover/Steve-Slow-Train-Analysis-(2080s-and-2083s)?_g=(refreshInterval:(display:Off,pause:!f,section:0,value:0),time:(from:'2017-10-11T04:18:01-0600',mode:absolute,to:'2017-10-11T06:31:09-0600'))&amp;_a=(columns:!('Message%20ID',Summary),filters:!(),index:'emp_*',interval:auto,query:(query_string:(analyze_wildcard:!t,query:'%22rtdc.l.rtdc.4023%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825</v>
      </c>
      <c r="B225" s="7">
        <v>4046</v>
      </c>
      <c r="C225" s="21" t="s">
        <v>194</v>
      </c>
      <c r="D225" s="21" t="s">
        <v>890</v>
      </c>
      <c r="E225" s="13">
        <v>43020.02684027778</v>
      </c>
      <c r="F225" s="13">
        <v>43020.029803240737</v>
      </c>
      <c r="G225" s="7">
        <v>60</v>
      </c>
      <c r="H225" s="21" t="s">
        <v>891</v>
      </c>
      <c r="I225" s="13">
        <v>43020.042361111111</v>
      </c>
      <c r="J225" s="7">
        <v>0</v>
      </c>
      <c r="K225" s="89" t="str">
        <f>IF(ISEVEN(B225),(B225-1)&amp;"/"&amp;B225,B225&amp;"/"&amp;(B225+1))</f>
        <v>4045/4046</v>
      </c>
      <c r="L225" s="185" t="str">
        <f>VLOOKUP(A225,'Trips&amp;Operators'!$C$1:$G$99911,5,FALSE)</f>
        <v>ANDERS STEVEN</v>
      </c>
      <c r="M225" s="6">
        <f>I225-F225</f>
        <v>1.2557870373711921E-2</v>
      </c>
      <c r="N225" s="7">
        <f>24*60*SUM($M225:$M225)</f>
        <v>18.083333338145167</v>
      </c>
      <c r="O225" s="7"/>
      <c r="P225" s="7"/>
      <c r="Q225" s="22"/>
      <c r="R225" s="174"/>
      <c r="S225" s="221">
        <f>1/IF(AG225="EC",12,1)*SUM(U225:U225)</f>
        <v>1</v>
      </c>
      <c r="T225" s="174" t="str">
        <f>IF(ISEVEN(LEFT(AD225,4)),"Southbound","NorthBound")</f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-11T23:38:39-0600',mode:absolute,to:'2017-10-12T02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1</v>
      </c>
      <c r="Y225" s="204">
        <f>RIGHT(D225,LEN(D225)-4)/10000</f>
        <v>4.3299999999999998E-2</v>
      </c>
      <c r="Z225" s="204">
        <f>RIGHT(H225,LEN(H225)-4)/10000</f>
        <v>2.3308</v>
      </c>
      <c r="AA225" s="204">
        <f>ABS(Z225-Y225)</f>
        <v>2.2875000000000001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313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 &amp; 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/stypes="app*4046*20171012*" /stext=" 07:.+((SYSTEM_STATE.+slice.+state.+changed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46"/>
        <v>"%USERPROFILE%\Documents\GitHub\eaglep3\Utilities\RefineRTDCRunTimes.py" --tripid 313-11 --locoid 4046 --swversion DE.1.0.9.0 --startMP 204:433 --initTime 2017-10-12T00:38:39 --startdatetime 2017-10-12T00:42:55 --delay 60 --endMP 300:23308 --enddatetime 2017-10-12T01:01:00 --enforcementcount 0 &gt;&gt;%USERPROFILE%\Documents\GitHub\eaglep3-reporting\EC\2017-10-11-refined-times.txt</v>
      </c>
      <c r="AI225" s="96" t="str">
        <f t="shared" si="47"/>
        <v>echo {"issue":{"subject":"","project_id":79,"tracker_id":40,"status_id":1,"priority_id":2,"assigned_to_id":338,"start_date":"2017-10-12","description":"","custom_fields":[{"id":1,"name":"Subdivision","value":"Other"},{"id":4,"name":"Milepost","value":"2.3308"},{"id":17,"name":"Train ID","value":"313-11"},{"id":16,"name":"Locomotive ID","value":"4046"},{"id":130,"name":"Impact","value":""},{"id":150,"name":"Time of Event (Mountain Time)","value":"01:01:00"},{"id":151,"name":"Denver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48"/>
        <v>start /low /b %USERPROFILE%\Documents\GitHub\eaglep3\Utilities\DownloadLogsFromS3.py --loco 4046 --day 2017-10-12</v>
      </c>
      <c r="AN225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07:01:00"},{"id":29,"name":"Sharepoint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50"/>
        <v>https://d0f6bd738d7f1b3e5a7ca70fe4ff75f0.us-east-1.aws.found.io/app/kibana#/discover/Steve-Slow-Train-Analysis-(2080s-and-2083s)?_g=(refreshInterval:(display:Off,pause:!f,section:0,value:0),time:(from:'2017-10-11T23:38:39-0600',mode:absolute,to:'2017-10-12T02:01:00-0600'))&amp;_a=(columns:!('Message%20ID',Summary),filters:!(),index:'emp_*',interval:auto,query:(query_string:(analyze_wildcard:!t,query:'%22rtdc.l.rtdc.4046%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825</v>
      </c>
      <c r="B226" s="7">
        <v>4046</v>
      </c>
      <c r="C226" s="21" t="s">
        <v>194</v>
      </c>
      <c r="D226" s="21" t="s">
        <v>890</v>
      </c>
      <c r="E226" s="13">
        <v>43020.028368055559</v>
      </c>
      <c r="F226" s="13">
        <v>43020.029803240737</v>
      </c>
      <c r="G226" s="7">
        <v>50</v>
      </c>
      <c r="H226" s="21" t="s">
        <v>891</v>
      </c>
      <c r="I226" s="13">
        <v>43020.042361111111</v>
      </c>
      <c r="J226" s="7">
        <v>0</v>
      </c>
      <c r="K226" s="89" t="str">
        <f>IF(ISEVEN(B226),(B226-1)&amp;"/"&amp;B226,B226&amp;"/"&amp;(B226+1))</f>
        <v>4045/4046</v>
      </c>
      <c r="L226" s="185" t="str">
        <f>VLOOKUP(A226,'Trips&amp;Operators'!$C$1:$G$99911,5,FALSE)</f>
        <v>ANDERS STEVEN</v>
      </c>
      <c r="M226" s="6">
        <f>I226-F226</f>
        <v>1.2557870373711921E-2</v>
      </c>
      <c r="N226" s="7">
        <f>24*60*SUM($M226:$M226)</f>
        <v>18.083333338145167</v>
      </c>
      <c r="O226" s="7"/>
      <c r="P226" s="7"/>
      <c r="Q226" s="22"/>
      <c r="R226" s="174"/>
      <c r="S226" s="221">
        <f>1/IF(AG226="EC",12,1)*SUM(U226:U226)</f>
        <v>1</v>
      </c>
      <c r="T226" s="174" t="str">
        <f>IF(ISEVEN(LEFT(AD226,4)),"Southbound","NorthBound")</f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-11T23:40:51-0600',mode:absolute,to:'2017-10-12T02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0</v>
      </c>
      <c r="Y226" s="204">
        <f>RIGHT(D226,LEN(D226)-4)/10000</f>
        <v>4.3299999999999998E-2</v>
      </c>
      <c r="Z226" s="204">
        <f>RIGHT(H226,LEN(H226)-4)/10000</f>
        <v>2.3308</v>
      </c>
      <c r="AA226" s="204">
        <f>ABS(Z226-Y226)</f>
        <v>2.2875000000000001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313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 &amp; aws s3 cp s3://rtdc.mdm.uploadarchive.raw/RTDC4046/ "%USERPROFILE%\AppData\Local\Temp\OnboardLogs"\RTDC4046\2017-10-13 --exclude "*" --recursive --include "*20171013*" &amp; "%USERPROFILE%\Documents\GitHub\mrs-test-scripts\Headless Mode &amp; Sideloading\WalkAndUnGZ.bat" "%USERPROFILE%\AppData\Local\Temp\OnboardLogs"\RTDC4046\2017-10-13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/stypes="app*4046*20171012*" /stext=" 07:.+((SYSTEM_STATE.+slice.+state.+changed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46"/>
        <v>"%USERPROFILE%\Documents\GitHub\eaglep3\Utilities\RefineRTDCRunTimes.py" --tripid 313-11 --locoid 4046 --swversion DE.1.0.9.0 --startMP 204:433 --initTime 2017-10-12T00:40:51 --startdatetime 2017-10-12T00:42:55 --delay 50 --endMP 300:23308 --enddatetime 2017-10-12T01:01:00 --enforcementcount 0 &gt;&gt;%USERPROFILE%\Documents\GitHub\eaglep3-reporting\EC\2017-10-11-refined-times.txt</v>
      </c>
      <c r="AI226" s="96" t="str">
        <f t="shared" si="47"/>
        <v>echo {"issue":{"subject":"","project_id":79,"tracker_id":40,"status_id":1,"priority_id":2,"assigned_to_id":338,"start_date":"2017-10-12","description":"","custom_fields":[{"id":1,"name":"Subdivision","value":"Other"},{"id":4,"name":"Milepost","value":"2.3308"},{"id":17,"name":"Train ID","value":"313-11"},{"id":16,"name":"Locomotive ID","value":"4046"},{"id":130,"name":"Impact","value":""},{"id":150,"name":"Time of Event (Mountain Time)","value":"01:01:00"},{"id":151,"name":"Denver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48"/>
        <v>start /low /b %USERPROFILE%\Documents\GitHub\eaglep3\Utilities\DownloadLogsFromS3.py --loco 4046 --day 2017-10-12</v>
      </c>
      <c r="AN226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07:01:00"},{"id":29,"name":"Sharepoint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50"/>
        <v>https://d0f6bd738d7f1b3e5a7ca70fe4ff75f0.us-east-1.aws.found.io/app/kibana#/discover/Steve-Slow-Train-Analysis-(2080s-and-2083s)?_g=(refreshInterval:(display:Off,pause:!f,section:0,value:0),time:(from:'2017-10-11T23:40:51-0600',mode:absolute,to:'2017-10-12T02:01:00-0600'))&amp;_a=(columns:!('Message%20ID',Summary),filters:!(),index:'emp_*',interval:auto,query:(query_string:(analyze_wildcard:!t,query:'%22rtdc.l.rtdc.4046%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575</v>
      </c>
      <c r="B227" s="7">
        <v>4044</v>
      </c>
      <c r="C227" s="21" t="s">
        <v>194</v>
      </c>
      <c r="D227" s="21" t="s">
        <v>989</v>
      </c>
      <c r="E227" s="13">
        <v>43019.19736111111</v>
      </c>
      <c r="F227" s="13">
        <v>43019.203472222223</v>
      </c>
      <c r="G227" s="7">
        <v>259</v>
      </c>
      <c r="H227" s="21" t="s">
        <v>963</v>
      </c>
      <c r="I227" s="13">
        <v>43019.208645833336</v>
      </c>
      <c r="J227" s="7">
        <v>0</v>
      </c>
      <c r="K227" s="89" t="str">
        <f>IF(ISEVEN(B227),(B227-1)&amp;"/"&amp;B227,B227&amp;"/"&amp;(B227+1))</f>
        <v>4043/4044</v>
      </c>
      <c r="L227" s="185" t="str">
        <f>VLOOKUP(A227,'Trips&amp;Operators'!$C$1:$G$99911,5,FALSE)</f>
        <v>LAMAR NEKESHA</v>
      </c>
      <c r="M227" s="6">
        <f>I227-F227</f>
        <v>5.173611112695653E-3</v>
      </c>
      <c r="N227" s="7">
        <f>24*60*SUM($M227:$M227)</f>
        <v>7.4500000022817403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-11T03:44:12-0600',mode:absolute,to:'2017-10-11T06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588</v>
      </c>
      <c r="Y227" s="204">
        <f>RIGHT(D227,LEN(D227)-4)/10000</f>
        <v>2.9988999999999999</v>
      </c>
      <c r="Z227" s="204">
        <f>RIGHT(H227,LEN(H227)-4)/10000</f>
        <v>5.8975</v>
      </c>
      <c r="AA227" s="204">
        <f>ABS(Z227-Y227)</f>
        <v>2.8986000000000001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901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/stypes="app*4044*20171011*" /stext=" 11:.+((SYSTEM_STATE.+slice.+state.+changed )|(ment ac)|(multiple cpu faults)|(system.+state.+changed )|(\[timeout)|(PRM\|1\|D)|(kpr)|(kdp)|(train st.+moving)|(\|lc)|(penalty))"</v>
      </c>
      <c r="AG227" s="182" t="str">
        <f>DetSubdiv(A227)</f>
        <v>Other</v>
      </c>
      <c r="AH227" s="78" t="str">
        <f t="shared" si="46"/>
        <v>"%USERPROFILE%\Documents\GitHub\eaglep3\Utilities\RefineRTDCRunTimes.py" --tripid 901-11 --locoid 4044 --swversion DE.1.0.9.0 --startMP 300:29989 --initTime 2017-10-11T04:44:12 --startdatetime 2017-10-11T04:53:00 --delay 259 --endMP 300:58975 --enddatetime 2017-10-11T05:00:27 --enforcementcount 0 &gt;&gt;%USERPROFILE%\Documents\GitHub\eaglep3-reporting\EC\2017-10-11-refined-times.txt</v>
      </c>
      <c r="AI227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{"issue":{"subject":"","project_id":79,"tracker_id":40,"status_id":1,"priority_id":2,"assigned_to_id":338,"start_date":"2017-10-11","description":"","custom_fields":[{"id":1,"name":"Subdivision","value":"Other"},{"id":4,"name":"Milepost","value":"5.8975"},{"id":17,"name":"Train ID","value":"901-11"},{"id":16,"name":"Locomotive ID","value":"4044"},{"id":130,"name":"Impact","value":""},{"id":150,"name":"Time of Event (Mountain Time)","value":"05:00:27"},{"id":151,"name":"Denver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48"/>
        <v>start /low /b %USERPROFILE%\Documents\GitHub\eaglep3\Utilities\DownloadLogsFromS3.py --loco 4044 --day 2017-10-11</v>
      </c>
      <c r="AN227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11:00:27"},{"id":29,"name":"Sharepoint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50"/>
        <v>https://d0f6bd738d7f1b3e5a7ca70fe4ff75f0.us-east-1.aws.found.io/app/kibana#/discover/Steve-Slow-Train-Analysis-(2080s-and-2083s)?_g=(refreshInterval:(display:Off,pause:!f,section:0,value:0),time:(from:'2017-10-11T03:44:12-0600',mode:absolute,to:'2017-10-11T06:00:27-0600'))&amp;_a=(columns:!('Message%20ID',Summary),filters:!(),index:'emp_*',interval:auto,query:(query_string:(analyze_wildcard:!t,query:'%22rtdc.l.rtdc.4044%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642</v>
      </c>
      <c r="B228" s="7">
        <v>4063</v>
      </c>
      <c r="C228" s="21" t="s">
        <v>194</v>
      </c>
      <c r="D228" s="21" t="s">
        <v>990</v>
      </c>
      <c r="E228" s="13">
        <v>43019.234432870369</v>
      </c>
      <c r="F228" s="13">
        <v>43019.240532407406</v>
      </c>
      <c r="G228" s="7">
        <v>65</v>
      </c>
      <c r="H228" s="21" t="s">
        <v>446</v>
      </c>
      <c r="I228" s="13">
        <v>43019.245740740742</v>
      </c>
      <c r="J228" s="7">
        <v>0</v>
      </c>
      <c r="K228" s="89" t="str">
        <f>IF(ISEVEN(B228),(B228-1)&amp;"/"&amp;B228,B228&amp;"/"&amp;(B228+1))</f>
        <v>4063/4064</v>
      </c>
      <c r="L228" s="185" t="str">
        <f>VLOOKUP(A228,'Trips&amp;Operators'!$C$1:$G$99911,5,FALSE)</f>
        <v>GEBRETEKLE DAGNEW</v>
      </c>
      <c r="M228" s="6">
        <f>I228-F228</f>
        <v>5.2083333357586525E-3</v>
      </c>
      <c r="N228" s="7">
        <f>24*60*SUM($M228:$M228)</f>
        <v>7.5000000034924597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-11T04:37:35-0600',mode:absolute,to:'2017-10-11T06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2.3563000000000001</v>
      </c>
      <c r="Z228" s="204">
        <f>RIGHT(H228,LEN(H228)-4)/10000</f>
        <v>7.1900000000000006E-2</v>
      </c>
      <c r="AA228" s="204">
        <f>ABS(Z228-Y228)</f>
        <v>2.2844000000000002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902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/stypes="app*4063*20171011*" /stext=" 11:.+((SYSTEM_STATE.+slice.+state.+changed )|(ment ac)|(multiple cpu faults)|(system.+state.+changed )|(\[timeout)|(PRM\|1\|D)|(kpr)|(kdp)|(train st.+moving)|(\|lc)|(penalty))"</v>
      </c>
      <c r="AG228" s="182" t="str">
        <f>DetSubdiv(A228)</f>
        <v>Other</v>
      </c>
      <c r="AH228" s="78" t="str">
        <f t="shared" si="46"/>
        <v>"%USERPROFILE%\Documents\GitHub\eaglep3\Utilities\RefineRTDCRunTimes.py" --tripid 902-11 --locoid 4063 --swversion DE.1.0.9.0 --startMP 300:23563 --initTime 2017-10-11T05:37:35 --startdatetime 2017-10-11T05:46:22 --delay 65 --endMP 204:719 --enddatetime 2017-10-11T05:53:52 --enforcementcount 0 &gt;&gt;%USERPROFILE%\Documents\GitHub\eaglep3-reporting\EC\2017-10-11-refined-times.txt</v>
      </c>
      <c r="AI228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{"issue":{"subject":"","project_id":79,"tracker_id":40,"status_id":1,"priority_id":2,"assigned_to_id":338,"start_date":"2017-10-11","description":"","custom_fields":[{"id":1,"name":"Subdivision","value":"Other"},{"id":4,"name":"Milepost","value":"0.0719"},{"id":17,"name":"Train ID","value":"902-11"},{"id":16,"name":"Locomotive ID","value":"4063"},{"id":130,"name":"Impact","value":""},{"id":150,"name":"Time of Event (Mountain Time)","value":"05:53:52"},{"id":151,"name":"Denver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48"/>
        <v>start /low /b %USERPROFILE%\Documents\GitHub\eaglep3\Utilities\DownloadLogsFromS3.py --loco 4063 --day 2017-10-11</v>
      </c>
      <c r="AN228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11:53:52"},{"id":29,"name":"Sharepoint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50"/>
        <v>https://d0f6bd738d7f1b3e5a7ca70fe4ff75f0.us-east-1.aws.found.io/app/kibana#/discover/Steve-Slow-Train-Analysis-(2080s-and-2083s)?_g=(refreshInterval:(display:Off,pause:!f,section:0,value:0),time:(from:'2017-10-11T04:37:35-0600',mode:absolute,to:'2017-10-11T06:53:52-0600'))&amp;_a=(columns:!('Message%20ID',Summary),filters:!(),index:'emp_*',interval:auto,query:(query_string:(analyze_wildcard:!t,query:'%22rtdc.l.rtdc.4063%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672</v>
      </c>
      <c r="B229" s="7">
        <v>4044</v>
      </c>
      <c r="C229" s="21" t="s">
        <v>194</v>
      </c>
      <c r="D229" s="21" t="s">
        <v>991</v>
      </c>
      <c r="E229" s="13">
        <v>43019.352384259262</v>
      </c>
      <c r="F229" s="13">
        <v>43019.354710648149</v>
      </c>
      <c r="G229" s="7">
        <v>73</v>
      </c>
      <c r="H229" s="21" t="s">
        <v>992</v>
      </c>
      <c r="I229" s="13">
        <v>43019.3596412037</v>
      </c>
      <c r="J229" s="7">
        <v>0</v>
      </c>
      <c r="K229" s="89" t="str">
        <f>IF(ISEVEN(B229),(B229-1)&amp;"/"&amp;B229,B229&amp;"/"&amp;(B229+1))</f>
        <v>4043/4044</v>
      </c>
      <c r="L229" s="185" t="str">
        <f>VLOOKUP(A229,'Trips&amp;Operators'!$C$1:$G$99911,5,FALSE)</f>
        <v>LAMAR NEKESHA</v>
      </c>
      <c r="M229" s="6">
        <f>I229-F229</f>
        <v>4.9305555512546562E-3</v>
      </c>
      <c r="N229" s="7">
        <f>24*60*SUM($M229:$M229)</f>
        <v>7.0999999938067049</v>
      </c>
      <c r="O229" s="7"/>
      <c r="P229" s="7"/>
      <c r="Q229" s="22"/>
      <c r="R229" s="174"/>
      <c r="S229" s="221">
        <f>1/IF(AG229="EC",12,1)*SUM(U229:U229)</f>
        <v>1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-11T07:27:26-0600',mode:absolute,to:'2017-10-11T09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0.17749999999999999</v>
      </c>
      <c r="Z229" s="204">
        <f>RIGHT(H229,LEN(H229)-4)/10000</f>
        <v>2.4199000000000002</v>
      </c>
      <c r="AA229" s="204">
        <f>ABS(Z229-Y229)</f>
        <v>2.2423999999999999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903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/stypes="app*4044*20171011*" /stext=" 14:.+((SYSTEM_STATE.+slice.+state.+changed )|(ment ac)|(multiple cpu faults)|(system.+state.+changed )|(\[timeout)|(PRM\|1\|D)|(kpr)|(kdp)|(train st.+moving)|(\|lc)|(penalty))"</v>
      </c>
      <c r="AG229" s="182" t="str">
        <f>DetSubdiv(A229)</f>
        <v>Other</v>
      </c>
      <c r="AH229" s="78" t="str">
        <f t="shared" si="46"/>
        <v>"%USERPROFILE%\Documents\GitHub\eaglep3\Utilities\RefineRTDCRunTimes.py" --tripid 903-11 --locoid 4044 --swversion DE.1.0.9.0 --startMP 204:1775 --initTime 2017-10-11T08:27:26 --startdatetime 2017-10-11T08:30:47 --delay 73 --endMP 300:24199 --enddatetime 2017-10-11T08:37:53 --enforcementcount 0 &gt;&gt;%USERPROFILE%\Documents\GitHub\eaglep3-reporting\EC\2017-10-11-refined-times.txt</v>
      </c>
      <c r="AI229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{"issue":{"subject":"","project_id":79,"tracker_id":40,"status_id":1,"priority_id":2,"assigned_to_id":338,"start_date":"2017-10-11","description":"","custom_fields":[{"id":1,"name":"Subdivision","value":"Other"},{"id":4,"name":"Milepost","value":"2.4199"},{"id":17,"name":"Train ID","value":"903-11"},{"id":16,"name":"Locomotive ID","value":"4044"},{"id":130,"name":"Impact","value":""},{"id":150,"name":"Time of Event (Mountain Time)","value":"08:37:53"},{"id":151,"name":"Denver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48"/>
        <v>start /low /b %USERPROFILE%\Documents\GitHub\eaglep3\Utilities\DownloadLogsFromS3.py --loco 4044 --day 2017-10-11</v>
      </c>
      <c r="AN229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14:37:53"},{"id":29,"name":"Sharepoint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50"/>
        <v>https://d0f6bd738d7f1b3e5a7ca70fe4ff75f0.us-east-1.aws.found.io/app/kibana#/discover/Steve-Slow-Train-Analysis-(2080s-and-2083s)?_g=(refreshInterval:(display:Off,pause:!f,section:0,value:0),time:(from:'2017-10-11T07:27:26-0600',mode:absolute,to:'2017-10-11T09:37:53-0600'))&amp;_a=(columns:!('Message%20ID',Summary),filters:!(),index:'emp_*',interval:auto,query:(query_string:(analyze_wildcard:!t,query:'%22rtdc.l.rtdc.4044%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600</v>
      </c>
      <c r="B230" s="7">
        <v>4043</v>
      </c>
      <c r="C230" s="21" t="s">
        <v>194</v>
      </c>
      <c r="D230" s="21" t="s">
        <v>993</v>
      </c>
      <c r="E230" s="13">
        <v>43019.633020833331</v>
      </c>
      <c r="F230" s="13">
        <v>43019.636597222219</v>
      </c>
      <c r="G230" s="7">
        <v>136</v>
      </c>
      <c r="H230" s="21" t="s">
        <v>994</v>
      </c>
      <c r="I230" s="13">
        <v>43019.640462962961</v>
      </c>
      <c r="J230" s="7">
        <v>0</v>
      </c>
      <c r="K230" s="89" t="str">
        <f>IF(ISEVEN(B230),(B230-1)&amp;"/"&amp;B230,B230&amp;"/"&amp;(B230+1))</f>
        <v>4043/4044</v>
      </c>
      <c r="L230" s="185" t="str">
        <f>VLOOKUP(A230,'Trips&amp;Operators'!$C$1:$G$99911,5,FALSE)</f>
        <v>STAMBAUGH JAMES</v>
      </c>
      <c r="M230" s="6">
        <f>I230-F230</f>
        <v>3.8657407421851531E-3</v>
      </c>
      <c r="N230" s="7">
        <f>24*60*SUM($M230:$M230)</f>
        <v>5.5666666687466204</v>
      </c>
      <c r="O230" s="7"/>
      <c r="P230" s="7"/>
      <c r="Q230" s="22"/>
      <c r="R230" s="174"/>
      <c r="S230" s="221">
        <f>1/IF(AG230="EC",12,1)*SUM(U230:U230)</f>
        <v>1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-11T14:11:33-0600',mode:absolute,to:'2017-10-11T16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1</v>
      </c>
      <c r="Y230" s="204">
        <f>RIGHT(D230,LEN(D230)-4)/10000</f>
        <v>2.3731</v>
      </c>
      <c r="Z230" s="204">
        <f>RIGHT(H230,LEN(H230)-4)/10000</f>
        <v>0.46970000000000001</v>
      </c>
      <c r="AA230" s="204">
        <f>ABS(Z230-Y230)</f>
        <v>1.9034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904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/stypes="app*4043*20171011*" /stext=" 21:.+((SYSTEM_STATE.+slice.+state.+changed )|(ment ac)|(multiple cpu faults)|(system.+state.+changed )|(\[timeout)|(PRM\|1\|D)|(kpr)|(kdp)|(train st.+moving)|(\|lc)|(penalty))"</v>
      </c>
      <c r="AG230" s="182" t="str">
        <f>DetSubdiv(A230)</f>
        <v>Other</v>
      </c>
      <c r="AH230" s="78" t="str">
        <f t="shared" si="46"/>
        <v>"%USERPROFILE%\Documents\GitHub\eaglep3\Utilities\RefineRTDCRunTimes.py" --tripid 904-11 --locoid 4043 --swversion DE.1.0.9.0 --startMP 300:23731 --initTime 2017-10-11T15:11:33 --startdatetime 2017-10-11T15:16:42 --delay 136 --endMP 204:4697 --enddatetime 2017-10-11T15:22:16 --enforcementcount 0 &gt;&gt;%USERPROFILE%\Documents\GitHub\eaglep3-reporting\EC\2017-10-11-refined-times.txt</v>
      </c>
      <c r="AI230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{"issue":{"subject":"","project_id":79,"tracker_id":40,"status_id":1,"priority_id":2,"assigned_to_id":338,"start_date":"2017-10-11","description":"","custom_fields":[{"id":1,"name":"Subdivision","value":"Other"},{"id":4,"name":"Milepost","value":"0.4697"},{"id":17,"name":"Train ID","value":"904-11"},{"id":16,"name":"Locomotive ID","value":"4043"},{"id":130,"name":"Impact","value":""},{"id":150,"name":"Time of Event (Mountain Time)","value":"15:22:16"},{"id":151,"name":"Denver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48"/>
        <v>start /low /b %USERPROFILE%\Documents\GitHub\eaglep3\Utilities\DownloadLogsFromS3.py --loco 4043 --day 2017-10-11</v>
      </c>
      <c r="AN230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50"/>
        <v>https://d0f6bd738d7f1b3e5a7ca70fe4ff75f0.us-east-1.aws.found.io/app/kibana#/discover/Steve-Slow-Train-Analysis-(2080s-and-2083s)?_g=(refreshInterval:(display:Off,pause:!f,section:0,value:0),time:(from:'2017-10-11T14:11:33-0600',mode:absolute,to:'2017-10-11T16:22:16-0600'))&amp;_a=(columns:!('Message%20ID',Summary),filters:!(),index:'emp_*',interval:auto,query:(query_string:(analyze_wildcard:!t,query:'%22rtdc.l.rtdc.4043%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792</v>
      </c>
      <c r="B231" s="7">
        <v>4043</v>
      </c>
      <c r="C231" s="21" t="s">
        <v>194</v>
      </c>
      <c r="D231" s="21" t="s">
        <v>968</v>
      </c>
      <c r="E231" s="13">
        <v>43019.788784722223</v>
      </c>
      <c r="F231" s="13">
        <v>43019.790173611109</v>
      </c>
      <c r="G231" s="7">
        <v>69</v>
      </c>
      <c r="H231" s="21" t="s">
        <v>995</v>
      </c>
      <c r="I231" s="13">
        <v>43019.795995370368</v>
      </c>
      <c r="J231" s="7">
        <v>0</v>
      </c>
      <c r="K231" s="89" t="str">
        <f>IF(ISEVEN(B231),(B231-1)&amp;"/"&amp;B231,B231&amp;"/"&amp;(B231+1))</f>
        <v>4043/4044</v>
      </c>
      <c r="L231" s="185" t="str">
        <f>VLOOKUP(A231,'Trips&amp;Operators'!$C$1:$G$99911,5,FALSE)</f>
        <v>STAMBAUGH JAMES</v>
      </c>
      <c r="M231" s="6">
        <f>I231-F231</f>
        <v>5.8217592595610768E-3</v>
      </c>
      <c r="N231" s="7">
        <f>24*60*SUM($M231:$M231)</f>
        <v>8.3833333337679505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-11T17:55:51-0600',mode:absolute,to:'2017-10-11T20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2</v>
      </c>
      <c r="Y231" s="204">
        <f>RIGHT(D231,LEN(D231)-4)/10000</f>
        <v>5.8639999999999999</v>
      </c>
      <c r="Z231" s="204">
        <f>RIGHT(H231,LEN(H231)-4)/10000</f>
        <v>2.8795000000000002</v>
      </c>
      <c r="AA231" s="204">
        <f>ABS(Z231-Y231)</f>
        <v>2.9844999999999997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906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/stypes="app*4043*20171012*" /stext=" 01:.+((SYSTEM_STATE.+slice.+state.+changed )|(ment ac)|(multiple cpu faults)|(system.+state.+changed )|(\[timeout)|(PRM\|1\|D)|(kpr)|(kdp)|(train st.+moving)|(\|lc)|(penalty))"</v>
      </c>
      <c r="AG231" s="182" t="str">
        <f>DetSubdiv(A231)</f>
        <v>Other</v>
      </c>
      <c r="AH231" s="78" t="str">
        <f t="shared" si="46"/>
        <v>"%USERPROFILE%\Documents\GitHub\eaglep3\Utilities\RefineRTDCRunTimes.py" --tripid 906-11 --locoid 4043 --swversion DE.1.0.9.0 --startMP 300:58640 --initTime 2017-10-11T18:55:51 --startdatetime 2017-10-11T18:57:51 --delay 69 --endMP 300:28795 --enddatetime 2017-10-11T19:06:14 --enforcementcount 0 &gt;&gt;%USERPROFILE%\Documents\GitHub\eaglep3-reporting\EC\2017-10-11-refined-times.txt</v>
      </c>
      <c r="AI231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{"issue":{"subject":"","project_id":79,"tracker_id":40,"status_id":1,"priority_id":2,"assigned_to_id":338,"start_date":"2017-10-11","description":"","custom_fields":[{"id":1,"name":"Subdivision","value":"Other"},{"id":4,"name":"Milepost","value":"2.8795"},{"id":17,"name":"Train ID","value":"906-11"},{"id":16,"name":"Locomotive ID","value":"4043"},{"id":130,"name":"Impact","value":""},{"id":150,"name":"Time of Event (Mountain Time)","value":"19:06:14"},{"id":151,"name":"Denver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48"/>
        <v>start /low /b %USERPROFILE%\Documents\GitHub\eaglep3\Utilities\DownloadLogsFromS3.py --loco 4043 --day 2017-10-11</v>
      </c>
      <c r="AN231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50"/>
        <v>https://d0f6bd738d7f1b3e5a7ca70fe4ff75f0.us-east-1.aws.found.io/app/kibana#/discover/Steve-Slow-Train-Analysis-(2080s-and-2083s)?_g=(refreshInterval:(display:Off,pause:!f,section:0,value:0),time:(from:'2017-10-11T17:55:51-0600',mode:absolute,to:'2017-10-11T20:06:14-0600'))&amp;_a=(columns:!('Message%20ID',Summary),filters:!(),index:'emp_*',interval:auto,query:(query_string:(analyze_wildcard:!t,query:'%22rtdc.l.rtdc.4043%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820</v>
      </c>
      <c r="B232" s="7">
        <v>4063</v>
      </c>
      <c r="C232" s="21" t="s">
        <v>194</v>
      </c>
      <c r="D232" s="21" t="s">
        <v>996</v>
      </c>
      <c r="E232" s="13">
        <v>43019.974560185183</v>
      </c>
      <c r="F232" s="13">
        <v>43019.975717592592</v>
      </c>
      <c r="G232" s="7">
        <v>62</v>
      </c>
      <c r="H232" s="21" t="s">
        <v>566</v>
      </c>
      <c r="I232" s="13">
        <v>43019.982673611114</v>
      </c>
      <c r="J232" s="7">
        <v>0</v>
      </c>
      <c r="K232" s="89" t="str">
        <f>IF(ISEVEN(B232),(B232-1)&amp;"/"&amp;B232,B232&amp;"/"&amp;(B232+1))</f>
        <v>4063/4064</v>
      </c>
      <c r="L232" s="185" t="str">
        <f>VLOOKUP(A232,'Trips&amp;Operators'!$C$1:$G$99911,5,FALSE)</f>
        <v>STAMBAUGH JAMES</v>
      </c>
      <c r="M232" s="6">
        <f>I232-F232</f>
        <v>6.9560185220325366E-3</v>
      </c>
      <c r="N232" s="7">
        <f>24*60*SUM($M232:$M232)</f>
        <v>10.016666671726853</v>
      </c>
      <c r="O232" s="7"/>
      <c r="P232" s="7"/>
      <c r="Q232" s="22"/>
      <c r="R232" s="174"/>
      <c r="S232" s="221">
        <f>1/IF(AG232="EC",12,1)*SUM(U232:U232)</f>
        <v>0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-11T22:23:22-0600',mode:absolute,to:'2017-10-12T00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2</v>
      </c>
      <c r="Y232" s="204">
        <f>RIGHT(D232,LEN(D232)-4)/10000</f>
        <v>5.8634000000000004</v>
      </c>
      <c r="Z232" s="204">
        <f>RIGHT(H232,LEN(H232)-4)/10000</f>
        <v>2.8788999999999998</v>
      </c>
      <c r="AA232" s="204">
        <f>ABS(Z232-Y232)</f>
        <v>2.9845000000000006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908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/stypes="app*4063*20171012*" /stext=" 05:.+((SYSTEM_STATE.+slice.+state.+changed )|(ment ac)|(multiple cpu faults)|(system.+state.+changed )|(\[timeout)|(PRM\|1\|D)|(kpr)|(kdp)|(train st.+moving)|(\|lc)|(penalty))"</v>
      </c>
      <c r="AG232" s="182" t="str">
        <f>DetSubdiv(A232)</f>
        <v>Other</v>
      </c>
      <c r="AH232" s="78" t="str">
        <f t="shared" si="46"/>
        <v>"%USERPROFILE%\Documents\GitHub\eaglep3\Utilities\RefineRTDCRunTimes.py" --tripid 908-11 --locoid 4063 --swversion DE.1.0.9.0 --startMP 300:58634 --initTime 2017-10-11T23:23:22 --startdatetime 2017-10-11T23:25:02 --delay 62 --endMP 300:28789 --enddatetime 2017-10-11T23:35:03 --enforcementcount 0 &gt;&gt;%USERPROFILE%\Documents\GitHub\eaglep3-reporting\EC\2017-10-11-refined-times.txt</v>
      </c>
      <c r="AI232" s="96" t="str">
        <f t="shared" si="47"/>
        <v>echo {"issue":{"subject":"","project_id":79,"tracker_id":40,"status_id":1,"priority_id":2,"assigned_to_id":338,"start_date":"2017-10-11","description":"","custom_fields":[{"id":1,"name":"Subdivision","value":"Other"},{"id":4,"name":"Milepost","value":"2.8789"},{"id":17,"name":"Train ID","value":"908-11"},{"id":16,"name":"Locomotive ID","value":"4063"},{"id":130,"name":"Impact","value":""},{"id":150,"name":"Time of Event (Mountain Time)","value":"23:35:03"},{"id":151,"name":"Denver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48"/>
        <v>start /low /b %USERPROFILE%\Documents\GitHub\eaglep3\Utilities\DownloadLogsFromS3.py --loco 4063 --day 2017-10-11</v>
      </c>
      <c r="AN232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05:35:03"},{"id":29,"name":"Sharepoint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50"/>
        <v>https://d0f6bd738d7f1b3e5a7ca70fe4ff75f0.us-east-1.aws.found.io/app/kibana#/discover/Steve-Slow-Train-Analysis-(2080s-and-2083s)?_g=(refreshInterval:(display:Off,pause:!f,section:0,value:0),time:(from:'2017-10-11T22:23:22-0600',mode:absolute,to:'2017-10-12T00:35:03-0600'))&amp;_a=(columns:!('Message%20ID',Summary),filters:!(),index:'emp_*',interval:auto,query:(query_string:(analyze_wildcard:!t,query:'%22rtdc.l.rtdc.4063%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613</v>
      </c>
      <c r="B233" s="7">
        <v>4006</v>
      </c>
      <c r="C233" s="21" t="s">
        <v>194</v>
      </c>
      <c r="D233" s="21" t="s">
        <v>380</v>
      </c>
      <c r="E233" s="13">
        <v>43019.131956018522</v>
      </c>
      <c r="F233" s="13">
        <v>43019.136886574073</v>
      </c>
      <c r="G233" s="7">
        <v>124</v>
      </c>
      <c r="H233" s="21" t="s">
        <v>892</v>
      </c>
      <c r="I233" s="13">
        <v>43019.137939814813</v>
      </c>
      <c r="J233" s="7">
        <v>0</v>
      </c>
      <c r="K233" s="89" t="str">
        <f>IF(ISEVEN(B233),(B233-1)&amp;"/"&amp;B233,B233&amp;"/"&amp;(B233+1))</f>
        <v>4005/4006</v>
      </c>
      <c r="L233" s="185" t="str">
        <f>VLOOKUP(A233,'Trips&amp;Operators'!$C$1:$G$99911,5,FALSE)</f>
        <v>ACKERMAN JARED</v>
      </c>
      <c r="M233" s="6">
        <f>I233-F233</f>
        <v>1.0532407395658083E-3</v>
      </c>
      <c r="N233" s="7">
        <f>24*60*SUM($M233:$M233)</f>
        <v>1.516666664974764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-11T02:10:01-0600',mode:absolute,to:'2017-10-11T04:18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-857</v>
      </c>
      <c r="Y233" s="204">
        <f>RIGHT(D233,LEN(D233)-4)/10000</f>
        <v>4.5699999999999998E-2</v>
      </c>
      <c r="Z233" s="204">
        <f>RIGHT(H233,LEN(H233)-4)/10000</f>
        <v>0.35010000000000002</v>
      </c>
      <c r="AA233" s="204">
        <f>ABS(Z233-Y233)</f>
        <v>0.3044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51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s3://rtdc.mdm.uploadarchive.raw/RTDC4006/ "%USERPROFILE%\AppData\Local\Temp\OnboardLogs"\RTDC4006\2017-10-11 --exclude "*" --recursive --include "*20171011*" &amp; "%USERPROFILE%\Documents\GitHub\mrs-test-scripts\Headless Mode &amp; Sideloading\WalkAndUnGZ.bat" "%USERPROFILE%\AppData\Local\Temp\OnboardLogs"\RTDC4006\2017-10-11 &amp; aws s3 cp s3://rtdc.mdm.uploadarchive.raw/RTDC4006/ "%USERPROFILE%\AppData\Local\Temp\OnboardLogs"\RTDC4006\2017-10-12 --exclude "*" --recursive --include "*20171012*" &amp; "%USERPROFILE%\Documents\GitHub\mrs-test-scripts\Headless Mode &amp; Sideloading\WalkAndUnGZ.bat" "%USERPROFILE%\AppData\Local\Temp\OnboardLogs"\RTDC4006\2017-10-12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/stypes="app*4006*20171011*" /stext=" 09:.+((SYSTEM_STATE.+slice.+state.+changed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46"/>
        <v>"%USERPROFILE%\Documents\GitHub\eaglep3\Utilities\RefineRTDCRunTimes.py" --tripid 51-11 --locoid 4006 --swversion DE.1.0.9.0 --startMP 204:457 --initTime 2017-10-11T03:10:01 --startdatetime 2017-10-11T03:17:07 --delay 124 --endMP 204:3501 --enddatetime 2017-10-11T03:18:38 --enforcementcount 0 &gt;&gt;%USERPROFILE%\Documents\GitHub\eaglep3-reporting\EC\2017-10-11-refined-times.txt</v>
      </c>
      <c r="AI233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0.3501"},{"id":17,"name":"Train ID","value":"51-11"},{"id":16,"name":"Locomotive ID","value":"4006"},{"id":130,"name":"Impact","value":""},{"id":150,"name":"Time of Event (Mountain Time)","value":"03:18:38"},{"id":151,"name":"Denver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48"/>
        <v>start /low /b %USERPROFILE%\Documents\GitHub\eaglep3\Utilities\DownloadLogsFromS3.py --loco 4006 --day 2017-10-11</v>
      </c>
      <c r="AN233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09:18:38"},{"id":29,"name":"Sharepoint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50"/>
        <v>https://d0f6bd738d7f1b3e5a7ca70fe4ff75f0.us-east-1.aws.found.io/app/kibana#/discover/Steve-Slow-Train-Analysis-(2080s-and-2083s)?_g=(refreshInterval:(display:Off,pause:!f,section:0,value:0),time:(from:'2017-10-11T02:10:01-0600',mode:absolute,to:'2017-10-11T04:18:38-0600'))&amp;_a=(columns:!('Message%20ID',Summary),filters:!(),index:'emp_*',interval:auto,query:(query_string:(analyze_wildcard:!t,query:'%22rtdc.l.rtdc.4006%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571</v>
      </c>
      <c r="B234" s="7">
        <v>4005</v>
      </c>
      <c r="C234" s="21" t="s">
        <v>194</v>
      </c>
      <c r="D234" s="21" t="s">
        <v>893</v>
      </c>
      <c r="E234" s="13">
        <v>43019.139050925929</v>
      </c>
      <c r="F234" s="13">
        <v>43019.140555555554</v>
      </c>
      <c r="G234" s="7">
        <v>71</v>
      </c>
      <c r="H234" s="21" t="s">
        <v>894</v>
      </c>
      <c r="I234" s="13">
        <v>43019.142164351855</v>
      </c>
      <c r="J234" s="7">
        <v>0</v>
      </c>
      <c r="K234" s="89" t="str">
        <f>IF(ISEVEN(B234),(B234-1)&amp;"/"&amp;B234,B234&amp;"/"&amp;(B234+1))</f>
        <v>4005/4006</v>
      </c>
      <c r="L234" s="185" t="str">
        <f>VLOOKUP(A234,'Trips&amp;Operators'!$C$1:$G$99911,5,FALSE)</f>
        <v>ACKERMAN JARED</v>
      </c>
      <c r="M234" s="6">
        <f>I234-F234</f>
        <v>1.6087963012978435E-3</v>
      </c>
      <c r="N234" s="7">
        <f>24*60*SUM($M234:$M234)</f>
        <v>2.3166666738688946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-11T02:20:14-0600',mode:absolute,to:'2017-10-11T04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1</v>
      </c>
      <c r="Y234" s="204">
        <f>RIGHT(D234,LEN(D234)-4)/10000</f>
        <v>0.31809999999999999</v>
      </c>
      <c r="Z234" s="204">
        <f>RIGHT(H234,LEN(H234)-4)/10000</f>
        <v>8.7499999999999994E-2</v>
      </c>
      <c r="AA234" s="204">
        <f>ABS(Z234-Y234)</f>
        <v>0.2306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52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s3://rtdc.mdm.uploadarchive.raw/RTDC4005/ "%USERPROFILE%\AppData\Local\Temp\OnboardLogs"\RTDC4005\2017-10-11 --exclude "*" --recursive --include "*20171011*" &amp; "%USERPROFILE%\Documents\GitHub\mrs-test-scripts\Headless Mode &amp; Sideloading\WalkAndUnGZ.bat" "%USERPROFILE%\AppData\Local\Temp\OnboardLogs"\RTDC4005\2017-10-11 &amp; aws s3 cp s3://rtdc.mdm.uploadarchive.raw/RTDC4005/ "%USERPROFILE%\AppData\Local\Temp\OnboardLogs"\RTDC4005\2017-10-12 --exclude "*" --recursive --include "*20171012*" &amp; "%USERPROFILE%\Documents\GitHub\mrs-test-scripts\Headless Mode &amp; Sideloading\WalkAndUnGZ.bat" "%USERPROFILE%\AppData\Local\Temp\OnboardLogs"\RTDC4005\2017-10-12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/stypes="app*4005*20171011*" /stext=" 09:.+((SYSTEM_STATE.+slice.+state.+changed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46"/>
        <v>"%USERPROFILE%\Documents\GitHub\eaglep3\Utilities\RefineRTDCRunTimes.py" --tripid 52-11 --locoid 4005 --swversion DE.1.0.9.0 --startMP 204:3181 --initTime 2017-10-11T03:20:14 --startdatetime 2017-10-11T03:22:24 --delay 71 --endMP 204:875 --enddatetime 2017-10-11T03:24:43 --enforcementcount 0 &gt;&gt;%USERPROFILE%\Documents\GitHub\eaglep3-reporting\EC\2017-10-11-refined-times.txt</v>
      </c>
      <c r="AI234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0.0875"},{"id":17,"name":"Train ID","value":"52-11"},{"id":16,"name":"Locomotive ID","value":"4005"},{"id":130,"name":"Impact","value":""},{"id":150,"name":"Time of Event (Mountain Time)","value":"03:24:43"},{"id":151,"name":"Denver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48"/>
        <v>start /low /b %USERPROFILE%\Documents\GitHub\eaglep3\Utilities\DownloadLogsFromS3.py --loco 4005 --day 2017-10-11</v>
      </c>
      <c r="AN234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09:24:43"},{"id":29,"name":"Sharepoint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50"/>
        <v>https://d0f6bd738d7f1b3e5a7ca70fe4ff75f0.us-east-1.aws.found.io/app/kibana#/discover/Steve-Slow-Train-Analysis-(2080s-and-2083s)?_g=(refreshInterval:(display:Off,pause:!f,section:0,value:0),time:(from:'2017-10-11T02:20:14-0600',mode:absolute,to:'2017-10-11T04:24:43-0600'))&amp;_a=(columns:!('Message%20ID',Summary),filters:!(),index:'emp_*',interval:auto,query:(query_string:(analyze_wildcard:!t,query:'%22rtdc.l.rtdc.4005%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620</v>
      </c>
      <c r="B235" s="7">
        <v>4008</v>
      </c>
      <c r="C235" s="21" t="s">
        <v>194</v>
      </c>
      <c r="D235" s="21" t="s">
        <v>895</v>
      </c>
      <c r="E235" s="13">
        <v>43019.145844907405</v>
      </c>
      <c r="F235" s="13">
        <v>43019.150208333333</v>
      </c>
      <c r="G235" s="7">
        <v>86</v>
      </c>
      <c r="H235" s="21" t="s">
        <v>896</v>
      </c>
      <c r="I235" s="13">
        <v>43019.152048611111</v>
      </c>
      <c r="J235" s="7">
        <v>0</v>
      </c>
      <c r="K235" s="89" t="str">
        <f>IF(ISEVEN(B235),(B235-1)&amp;"/"&amp;B235,B235&amp;"/"&amp;(B235+1))</f>
        <v>4007/4008</v>
      </c>
      <c r="L235" s="185" t="str">
        <f>VLOOKUP(A235,'Trips&amp;Operators'!$C$1:$G$99911,5,FALSE)</f>
        <v>ACKERMAN JARED</v>
      </c>
      <c r="M235" s="6">
        <f>I235-F235</f>
        <v>1.8402777786832303E-3</v>
      </c>
      <c r="N235" s="7">
        <f>24*60*SUM($M235:$M235)</f>
        <v>2.6500000013038516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-11T02:30:01-0600',mode:absolute,to:'2017-10-11T04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0.1181</v>
      </c>
      <c r="Z235" s="204">
        <f>RIGHT(H235,LEN(H235)-4)/10000</f>
        <v>0.5353</v>
      </c>
      <c r="AA235" s="204">
        <f>ABS(Z235-Y235)</f>
        <v>0.41720000000000002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53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/stypes="app*4008*20171011*" /stext=" 09:.+((SYSTEM_STATE.+slice.+state.+changed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46"/>
        <v>"%USERPROFILE%\Documents\GitHub\eaglep3\Utilities\RefineRTDCRunTimes.py" --tripid 53-11 --locoid 4008 --swversion DE.1.0.9.0 --startMP 204:1181 --initTime 2017-10-11T03:30:01 --startdatetime 2017-10-11T03:36:18 --delay 86 --endMP 300:5353 --enddatetime 2017-10-11T03:38:57 --enforcementcount 0 &gt;&gt;%USERPROFILE%\Documents\GitHub\eaglep3-reporting\EC\2017-10-11-refined-times.txt</v>
      </c>
      <c r="AI235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0.5353"},{"id":17,"name":"Train ID","value":"53-11"},{"id":16,"name":"Locomotive ID","value":"4008"},{"id":130,"name":"Impact","value":""},{"id":150,"name":"Time of Event (Mountain Time)","value":"03:38:57"},{"id":151,"name":"Denver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48"/>
        <v>start /low /b %USERPROFILE%\Documents\GitHub\eaglep3\Utilities\DownloadLogsFromS3.py --loco 4008 --day 2017-10-11</v>
      </c>
      <c r="AN235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09:38:57"},{"id":29,"name":"Sharepoint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50"/>
        <v>https://d0f6bd738d7f1b3e5a7ca70fe4ff75f0.us-east-1.aws.found.io/app/kibana#/discover/Steve-Slow-Train-Analysis-(2080s-and-2083s)?_g=(refreshInterval:(display:Off,pause:!f,section:0,value:0),time:(from:'2017-10-11T02:30:01-0600',mode:absolute,to:'2017-10-11T04:38:57-0600'))&amp;_a=(columns:!('Message%20ID',Summary),filters:!(),index:'emp_*',interval:auto,query:(query_string:(analyze_wildcard:!t,query:'%22rtdc.l.rtdc.4008%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695</v>
      </c>
      <c r="B236" s="7">
        <v>4007</v>
      </c>
      <c r="C236" s="21" t="s">
        <v>194</v>
      </c>
      <c r="D236" s="21" t="s">
        <v>897</v>
      </c>
      <c r="E236" s="13">
        <v>43019.445150462961</v>
      </c>
      <c r="F236" s="13">
        <v>43019.447280092594</v>
      </c>
      <c r="G236" s="7">
        <v>113</v>
      </c>
      <c r="H236" s="21" t="s">
        <v>367</v>
      </c>
      <c r="I236" s="13">
        <v>43019.448923611111</v>
      </c>
      <c r="J236" s="7">
        <v>0</v>
      </c>
      <c r="K236" s="89" t="str">
        <f>IF(ISEVEN(B236),(B236-1)&amp;"/"&amp;B236,B236&amp;"/"&amp;(B236+1))</f>
        <v>4007/4008</v>
      </c>
      <c r="L236" s="185" t="str">
        <f>VLOOKUP(A236,'Trips&amp;Operators'!$C$1:$G$99911,5,FALSE)</f>
        <v>HUFFSMITH MONTY</v>
      </c>
      <c r="M236" s="6">
        <f>I236-F236</f>
        <v>1.6435185170848854E-3</v>
      </c>
      <c r="N236" s="7">
        <f>24*60*SUM($M236:$M236)</f>
        <v>2.366666664602235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-11T09:41:01-0600',mode:absolute,to:'2017-10-11T11:46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6</v>
      </c>
      <c r="Y236" s="204">
        <f>RIGHT(D236,LEN(D236)-4)/10000</f>
        <v>0.30070000000000002</v>
      </c>
      <c r="Z236" s="204">
        <f>RIGHT(H236,LEN(H236)-4)/10000</f>
        <v>1.3899999999999999E-2</v>
      </c>
      <c r="AA236" s="204">
        <f>ABS(Z236-Y236)</f>
        <v>0.2868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59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s3://rtdc.mdm.uploadarchive.raw/RTDC4007/ "%USERPROFILE%\AppData\Local\Temp\OnboardLogs"\RTDC4007\2017-10-11 --exclude "*" --recursive --include "*20171011*" &amp; "%USERPROFILE%\Documents\GitHub\mrs-test-scripts\Headless Mode &amp; Sideloading\WalkAndUnGZ.bat" "%USERPROFILE%\AppData\Local\Temp\OnboardLogs"\RTDC4007\2017-10-11 &amp; aws s3 cp s3://rtdc.mdm.uploadarchive.raw/RTDC4007/ "%USERPROFILE%\AppData\Local\Temp\OnboardLogs"\RTDC4007\2017-10-12 --exclude "*" --recursive --include "*20171012*" &amp; "%USERPROFILE%\Documents\GitHub\mrs-test-scripts\Headless Mode &amp; Sideloading\WalkAndUnGZ.bat" "%USERPROFILE%\AppData\Local\Temp\OnboardLogs"\RTDC4007\2017-10-12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/stypes="app*4007*20171011*" /stext=" 16:.+((SYSTEM_STATE.+slice.+state.+changed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46"/>
        <v>"%USERPROFILE%\Documents\GitHub\eaglep3\Utilities\RefineRTDCRunTimes.py" --tripid 59-11 --locoid 4007 --swversion DE.1.0.9.0 --startMP 204:3007 --initTime 2017-10-11T10:41:01 --startdatetime 2017-10-11T10:44:05 --delay 113 --endMP 204:139 --enddatetime 2017-10-11T10:46:27 --enforcementcount 0 &gt;&gt;%USERPROFILE%\Documents\GitHub\eaglep3-reporting\EC\2017-10-11-refined-times.txt</v>
      </c>
      <c r="AI236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0.0139"},{"id":17,"name":"Train ID","value":"59-11"},{"id":16,"name":"Locomotive ID","value":"4007"},{"id":130,"name":"Impact","value":""},{"id":150,"name":"Time of Event (Mountain Time)","value":"10:46:27"},{"id":151,"name":"Denver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48"/>
        <v>start /low /b %USERPROFILE%\Documents\GitHub\eaglep3\Utilities\DownloadLogsFromS3.py --loco 4007 --day 2017-10-11</v>
      </c>
      <c r="AN236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16:46:27"},{"id":29,"name":"Sharepoint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50"/>
        <v>https://d0f6bd738d7f1b3e5a7ca70fe4ff75f0.us-east-1.aws.found.io/app/kibana#/discover/Steve-Slow-Train-Analysis-(2080s-and-2083s)?_g=(refreshInterval:(display:Off,pause:!f,section:0,value:0),time:(from:'2017-10-11T09:41:01-0600',mode:absolute,to:'2017-10-11T11:46:27-0600'))&amp;_a=(columns:!('Message%20ID',Summary),filters:!(),index:'emp_*',interval:auto,query:(query_string:(analyze_wildcard:!t,query:'%22rtdc.l.rtdc.4007%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695</v>
      </c>
      <c r="B237" s="7">
        <v>4008</v>
      </c>
      <c r="C237" s="21" t="s">
        <v>194</v>
      </c>
      <c r="D237" s="21" t="s">
        <v>898</v>
      </c>
      <c r="E237" s="13">
        <v>43019.434386574074</v>
      </c>
      <c r="F237" s="13">
        <v>43019.447280092594</v>
      </c>
      <c r="G237" s="7">
        <v>83</v>
      </c>
      <c r="H237" s="21" t="s">
        <v>899</v>
      </c>
      <c r="I237" s="13">
        <v>43019.448923611111</v>
      </c>
      <c r="J237" s="7">
        <v>0</v>
      </c>
      <c r="K237" s="89" t="str">
        <f>IF(ISEVEN(B237),(B237-1)&amp;"/"&amp;B237,B237&amp;"/"&amp;(B237+1))</f>
        <v>4007/4008</v>
      </c>
      <c r="L237" s="185" t="str">
        <f>VLOOKUP(A237,'Trips&amp;Operators'!$C$1:$G$99911,5,FALSE)</f>
        <v>HUFFSMITH MONTY</v>
      </c>
      <c r="M237" s="6">
        <f>I237-F237</f>
        <v>1.6435185170848854E-3</v>
      </c>
      <c r="N237" s="7">
        <f>24*60*SUM($M237:$M237)</f>
        <v>2.366666664602235</v>
      </c>
      <c r="O237" s="7"/>
      <c r="P237" s="7"/>
      <c r="Q237" s="22"/>
      <c r="R237" s="174"/>
      <c r="S237" s="221">
        <f>1/IF(AG237="EC",12,1)*SUM(U237:U237)</f>
        <v>0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-11T09:25:31-0600',mode:absolute,to:'2017-10-11T11:46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0</v>
      </c>
      <c r="Y237" s="204">
        <f>RIGHT(D237,LEN(D237)-4)/10000</f>
        <v>0.14810000000000001</v>
      </c>
      <c r="Z237" s="204">
        <f>RIGHT(H237,LEN(H237)-4)/10000</f>
        <v>0.33700000000000002</v>
      </c>
      <c r="AA237" s="204">
        <f>ABS(Z237-Y237)</f>
        <v>0.18890000000000001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59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/stypes="app*4008*20171011*" /stext=" 16:.+((SYSTEM_STATE.+slice.+state.+changed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46"/>
        <v>"%USERPROFILE%\Documents\GitHub\eaglep3\Utilities\RefineRTDCRunTimes.py" --tripid 59-11 --locoid 4008 --swversion DE.1.0.9.0 --startMP 204:1481 --initTime 2017-10-11T10:25:31 --startdatetime 2017-10-11T10:44:05 --delay 83 --endMP 204:3370 --enddatetime 2017-10-11T10:46:27 --enforcementcount 0 &gt;&gt;%USERPROFILE%\Documents\GitHub\eaglep3-reporting\EC\2017-10-11-refined-times.txt</v>
      </c>
      <c r="AI237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0.337"},{"id":17,"name":"Train ID","value":"59-11"},{"id":16,"name":"Locomotive ID","value":"4008"},{"id":130,"name":"Impact","value":""},{"id":150,"name":"Time of Event (Mountain Time)","value":"10:46:27"},{"id":151,"name":"Denver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48"/>
        <v>start /low /b %USERPROFILE%\Documents\GitHub\eaglep3\Utilities\DownloadLogsFromS3.py --loco 4008 --day 2017-10-11</v>
      </c>
      <c r="AN237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16:46:27"},{"id":29,"name":"Sharepoint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50"/>
        <v>https://d0f6bd738d7f1b3e5a7ca70fe4ff75f0.us-east-1.aws.found.io/app/kibana#/discover/Steve-Slow-Train-Analysis-(2080s-and-2083s)?_g=(refreshInterval:(display:Off,pause:!f,section:0,value:0),time:(from:'2017-10-11T09:25:31-0600',mode:absolute,to:'2017-10-11T11:46:27-0600'))&amp;_a=(columns:!('Message%20ID',Summary),filters:!(),index:'emp_*',interval:auto,query:(query_string:(analyze_wildcard:!t,query:'%22rtdc.l.rtdc.4008%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585</v>
      </c>
      <c r="B238" s="7">
        <v>4001</v>
      </c>
      <c r="C238" s="21" t="s">
        <v>194</v>
      </c>
      <c r="D238" s="21" t="s">
        <v>900</v>
      </c>
      <c r="E238" s="13">
        <v>43019.403298611112</v>
      </c>
      <c r="F238" s="13">
        <v>43019.4059375</v>
      </c>
      <c r="G238" s="7">
        <v>64</v>
      </c>
      <c r="H238" s="21" t="s">
        <v>901</v>
      </c>
      <c r="I238" s="13">
        <v>43019.411215277774</v>
      </c>
      <c r="J238" s="7">
        <v>0</v>
      </c>
      <c r="K238" s="89" t="str">
        <f>IF(ISEVEN(B238),(B238-1)&amp;"/"&amp;B238,B238&amp;"/"&amp;(B238+1))</f>
        <v>4001/4002</v>
      </c>
      <c r="L238" s="185" t="str">
        <f>VLOOKUP(A238,'Trips&amp;Operators'!$C$1:$G$99911,5,FALSE)</f>
        <v>LAMAR NEKESHA</v>
      </c>
      <c r="M238" s="6">
        <f>I238-F238</f>
        <v>5.277777774608694E-3</v>
      </c>
      <c r="N238" s="7">
        <f>24*60*SUM($M238:$M238)</f>
        <v>7.5999999954365194</v>
      </c>
      <c r="O238" s="7"/>
      <c r="P238" s="7"/>
      <c r="Q238" s="22"/>
      <c r="R238" s="174"/>
      <c r="S238" s="221">
        <f>1/IF(AG238="EC",12,1)*SUM(U238:U238)</f>
        <v>1</v>
      </c>
      <c r="T238" s="174" t="str">
        <f>IF(ISEVEN(LEFT(AD238,4)),"Southbound","NorthBound")</f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-11T08:40:45-0600',mode:absolute,to:'2017-10-11T10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</v>
      </c>
      <c r="Y238" s="204">
        <f>RIGHT(D238,LEN(D238)-4)/10000</f>
        <v>2.3153999999999999</v>
      </c>
      <c r="Z238" s="204">
        <f>RIGHT(H238,LEN(H238)-4)/10000</f>
        <v>9.11E-2</v>
      </c>
      <c r="AA238" s="204">
        <f>ABS(Z238-Y238)</f>
        <v>2.2242999999999999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60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s3://rtdc.mdm.uploadarchive.raw/RTDC4001/ "%USERPROFILE%\AppData\Local\Temp\OnboardLogs"\RTDC4001\2017-10-11 --exclude "*" --recursive --include "*20171011*" &amp; "%USERPROFILE%\Documents\GitHub\mrs-test-scripts\Headless Mode &amp; Sideloading\WalkAndUnGZ.bat" "%USERPROFILE%\AppData\Local\Temp\OnboardLogs"\RTDC4001\2017-10-11 &amp; 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/stypes="app*4001*20171011*" /stext=" 15:.+((SYSTEM_STATE.+slice.+state.+changed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46"/>
        <v>"%USERPROFILE%\Documents\GitHub\eaglep3\Utilities\RefineRTDCRunTimes.py" --tripid 60-11 --locoid 4001 --swversion DE.1.0.9.0 --startMP 300:23154 --initTime 2017-10-11T09:40:45 --startdatetime 2017-10-11T09:44:33 --delay 64 --endMP 204:911 --enddatetime 2017-10-11T09:52:09 --enforcementcount 0 &gt;&gt;%USERPROFILE%\Documents\GitHub\eaglep3-reporting\EC\2017-10-11-refined-times.txt</v>
      </c>
      <c r="AI238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0.0911"},{"id":17,"name":"Train ID","value":"60-11"},{"id":16,"name":"Locomotive ID","value":"4001"},{"id":130,"name":"Impact","value":""},{"id":150,"name":"Time of Event (Mountain Time)","value":"09:52:09"},{"id":151,"name":"Denver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48"/>
        <v>start /low /b %USERPROFILE%\Documents\GitHub\eaglep3\Utilities\DownloadLogsFromS3.py --loco 4001 --day 2017-10-11</v>
      </c>
      <c r="AN238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15:52:09"},{"id":29,"name":"Sharepoint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50"/>
        <v>https://d0f6bd738d7f1b3e5a7ca70fe4ff75f0.us-east-1.aws.found.io/app/kibana#/discover/Steve-Slow-Train-Analysis-(2080s-and-2083s)?_g=(refreshInterval:(display:Off,pause:!f,section:0,value:0),time:(from:'2017-10-11T08:40:45-0600',mode:absolute,to:'2017-10-11T10:52:09-0600'))&amp;_a=(columns:!('Message%20ID',Summary),filters:!(),index:'emp_*',interval:auto,query:(query_string:(analyze_wildcard:!t,query:'%22rtdc.l.rtdc.4001%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689</v>
      </c>
      <c r="B239" s="7">
        <v>4002</v>
      </c>
      <c r="C239" s="21" t="s">
        <v>194</v>
      </c>
      <c r="D239" s="21" t="s">
        <v>902</v>
      </c>
      <c r="E239" s="13">
        <v>43019.419849537036</v>
      </c>
      <c r="F239" s="13">
        <v>43019.425740740742</v>
      </c>
      <c r="G239" s="7">
        <v>73</v>
      </c>
      <c r="H239" s="21" t="s">
        <v>565</v>
      </c>
      <c r="I239" s="13">
        <v>43019.431851851848</v>
      </c>
      <c r="J239" s="7">
        <v>0</v>
      </c>
      <c r="K239" s="89" t="str">
        <f>IF(ISEVEN(B239),(B239-1)&amp;"/"&amp;B239,B239&amp;"/"&amp;(B239+1))</f>
        <v>4001/4002</v>
      </c>
      <c r="L239" s="185" t="str">
        <f>VLOOKUP(A239,'Trips&amp;Operators'!$C$1:$G$99911,5,FALSE)</f>
        <v>BEAM ROSS</v>
      </c>
      <c r="M239" s="6">
        <f>I239-F239</f>
        <v>6.1111111062928103E-3</v>
      </c>
      <c r="N239" s="7">
        <f>24*60*SUM($M239:$M239)</f>
        <v>8.7999999930616468</v>
      </c>
      <c r="O239" s="7"/>
      <c r="P239" s="7"/>
      <c r="Q239" s="22"/>
      <c r="R239" s="174"/>
      <c r="S239" s="221">
        <f>1/IF(AG239="EC",12,1)*SUM(U239:U239)</f>
        <v>1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-11T09:04:35-0600',mode:absolute,to:'2017-10-11T11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1</v>
      </c>
      <c r="Y239" s="204">
        <f>RIGHT(D239,LEN(D239)-4)/10000</f>
        <v>0.1229</v>
      </c>
      <c r="Z239" s="204">
        <f>RIGHT(H239,LEN(H239)-4)/10000</f>
        <v>2.4237000000000002</v>
      </c>
      <c r="AA239" s="204">
        <f>ABS(Z239-Y239)</f>
        <v>2.3008000000000002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61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s3://rtdc.mdm.uploadarchive.raw/RTDC4002/ "%USERPROFILE%\AppData\Local\Temp\OnboardLogs"\RTDC4002\2017-10-11 --exclude "*" --recursive --include "*20171011*" &amp; "%USERPROFILE%\Documents\GitHub\mrs-test-scripts\Headless Mode &amp; Sideloading\WalkAndUnGZ.bat" "%USERPROFILE%\AppData\Local\Temp\OnboardLogs"\RTDC4002\2017-10-11 &amp; 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/stypes="app*4002*20171011*" /stext=" 16:.+((SYSTEM_STATE.+slice.+state.+changed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46"/>
        <v>"%USERPROFILE%\Documents\GitHub\eaglep3\Utilities\RefineRTDCRunTimes.py" --tripid 61-11 --locoid 4002 --swversion DE.1.0.9.0 --startMP 204:1229 --initTime 2017-10-11T10:04:35 --startdatetime 2017-10-11T10:13:04 --delay 73 --endMP 300:24237 --enddatetime 2017-10-11T10:21:52 --enforcementcount 0 &gt;&gt;%USERPROFILE%\Documents\GitHub\eaglep3-reporting\EC\2017-10-11-refined-times.txt</v>
      </c>
      <c r="AI239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2.4237"},{"id":17,"name":"Train ID","value":"61-11"},{"id":16,"name":"Locomotive ID","value":"4002"},{"id":130,"name":"Impact","value":""},{"id":150,"name":"Time of Event (Mountain Time)","value":"10:21:52"},{"id":151,"name":"Denver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48"/>
        <v>start /low /b %USERPROFILE%\Documents\GitHub\eaglep3\Utilities\DownloadLogsFromS3.py --loco 4002 --day 2017-10-11</v>
      </c>
      <c r="AN239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50"/>
        <v>https://d0f6bd738d7f1b3e5a7ca70fe4ff75f0.us-east-1.aws.found.io/app/kibana#/discover/Steve-Slow-Train-Analysis-(2080s-and-2083s)?_g=(refreshInterval:(display:Off,pause:!f,section:0,value:0),time:(from:'2017-10-11T09:04:35-0600',mode:absolute,to:'2017-10-11T11:21:52-0600'))&amp;_a=(columns:!('Message%20ID',Summary),filters:!(),index:'emp_*',interval:auto,query:(query_string:(analyze_wildcard:!t,query:'%22rtdc.l.rtdc.4002%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588</v>
      </c>
      <c r="B240" s="7">
        <v>4001</v>
      </c>
      <c r="C240" s="21" t="s">
        <v>194</v>
      </c>
      <c r="D240" s="21" t="s">
        <v>903</v>
      </c>
      <c r="E240" s="13">
        <v>43019.44021990741</v>
      </c>
      <c r="F240" s="13">
        <v>43019.444340277776</v>
      </c>
      <c r="G240" s="7">
        <v>144</v>
      </c>
      <c r="H240" s="21" t="s">
        <v>904</v>
      </c>
      <c r="I240" s="13">
        <v>43019.450706018521</v>
      </c>
      <c r="J240" s="7">
        <v>0</v>
      </c>
      <c r="K240" s="89" t="str">
        <f>IF(ISEVEN(B240),(B240-1)&amp;"/"&amp;B240,B240&amp;"/"&amp;(B240+1))</f>
        <v>4001/4002</v>
      </c>
      <c r="L240" s="185" t="str">
        <f>VLOOKUP(A240,'Trips&amp;Operators'!$C$1:$G$99911,5,FALSE)</f>
        <v>DE LA ROSA ALEX</v>
      </c>
      <c r="M240" s="6">
        <f>I240-F240</f>
        <v>6.3657407445134595E-3</v>
      </c>
      <c r="N240" s="7">
        <f>24*60*SUM($M240:$M240)</f>
        <v>9.1666666720993817</v>
      </c>
      <c r="O240" s="7"/>
      <c r="P240" s="7"/>
      <c r="Q240" s="22"/>
      <c r="R240" s="174"/>
      <c r="S240" s="221">
        <f>1/IF(AG240="EC",12,1)*SUM(U240:U240)</f>
        <v>1</v>
      </c>
      <c r="T240" s="174" t="str">
        <f>IF(ISEVEN(LEFT(AD240,4)),"Southbound","NorthBound")</f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-11T09:33:55-0600',mode:absolute,to:'2017-10-11T11:49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1</v>
      </c>
      <c r="Y240" s="204">
        <f>RIGHT(D240,LEN(D240)-4)/10000</f>
        <v>2.3477999999999999</v>
      </c>
      <c r="Z240" s="204">
        <f>RIGHT(H240,LEN(H240)-4)/10000</f>
        <v>0.109</v>
      </c>
      <c r="AA240" s="204">
        <f>ABS(Z240-Y240)</f>
        <v>2.2387999999999999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62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s3://rtdc.mdm.uploadarchive.raw/RTDC4001/ "%USERPROFILE%\AppData\Local\Temp\OnboardLogs"\RTDC4001\2017-10-11 --exclude "*" --recursive --include "*20171011*" &amp; "%USERPROFILE%\Documents\GitHub\mrs-test-scripts\Headless Mode &amp; Sideloading\WalkAndUnGZ.bat" "%USERPROFILE%\AppData\Local\Temp\OnboardLogs"\RTDC4001\2017-10-11 &amp; 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/stypes="app*4001*20171011*" /stext=" 16:.+((SYSTEM_STATE.+slice.+state.+changed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46"/>
        <v>"%USERPROFILE%\Documents\GitHub\eaglep3\Utilities\RefineRTDCRunTimes.py" --tripid 62-11 --locoid 4001 --swversion DE.1.0.9.0 --startMP 300:23478 --initTime 2017-10-11T10:33:55 --startdatetime 2017-10-11T10:39:51 --delay 144 --endMP 204:1090 --enddatetime 2017-10-11T10:49:01 --enforcementcount 0 &gt;&gt;%USERPROFILE%\Documents\GitHub\eaglep3-reporting\EC\2017-10-11-refined-times.txt</v>
      </c>
      <c r="AI240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0.109"},{"id":17,"name":"Train ID","value":"62-11"},{"id":16,"name":"Locomotive ID","value":"4001"},{"id":130,"name":"Impact","value":""},{"id":150,"name":"Time of Event (Mountain Time)","value":"10:49:01"},{"id":151,"name":"Denver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48"/>
        <v>start /low /b %USERPROFILE%\Documents\GitHub\eaglep3\Utilities\DownloadLogsFromS3.py --loco 4001 --day 2017-10-11</v>
      </c>
      <c r="AN240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16:49:01"},{"id":29,"name":"Sharepoint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50"/>
        <v>https://d0f6bd738d7f1b3e5a7ca70fe4ff75f0.us-east-1.aws.found.io/app/kibana#/discover/Steve-Slow-Train-Analysis-(2080s-and-2083s)?_g=(refreshInterval:(display:Off,pause:!f,section:0,value:0),time:(from:'2017-10-11T09:33:55-0600',mode:absolute,to:'2017-10-11T11:49:01-0600'))&amp;_a=(columns:!('Message%20ID',Summary),filters:!(),index:'emp_*',interval:auto,query:(query_string:(analyze_wildcard:!t,query:'%22rtdc.l.rtdc.4001%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704</v>
      </c>
      <c r="B241" s="7">
        <v>4002</v>
      </c>
      <c r="C241" s="21" t="s">
        <v>194</v>
      </c>
      <c r="D241" s="21" t="s">
        <v>895</v>
      </c>
      <c r="E241" s="13">
        <v>43019.470277777778</v>
      </c>
      <c r="F241" s="13">
        <v>43019.47760416667</v>
      </c>
      <c r="G241" s="7">
        <v>68</v>
      </c>
      <c r="H241" s="21" t="s">
        <v>905</v>
      </c>
      <c r="I241" s="13">
        <v>43019.485243055555</v>
      </c>
      <c r="J241" s="7">
        <v>0</v>
      </c>
      <c r="K241" s="89" t="str">
        <f>IF(ISEVEN(B241),(B241-1)&amp;"/"&amp;B241,B241&amp;"/"&amp;(B241+1))</f>
        <v>4001/4002</v>
      </c>
      <c r="L241" s="185" t="str">
        <f>VLOOKUP(A241,'Trips&amp;Operators'!$C$1:$G$99911,5,FALSE)</f>
        <v>HUFFSMITH MONTY</v>
      </c>
      <c r="M241" s="6">
        <f>I241-F241</f>
        <v>7.6388888846850023E-3</v>
      </c>
      <c r="N241" s="7">
        <f>24*60*SUM($M241:$M241)</f>
        <v>10.999999993946403</v>
      </c>
      <c r="O241" s="7"/>
      <c r="P241" s="7"/>
      <c r="Q241" s="22"/>
      <c r="R241" s="174"/>
      <c r="S241" s="221">
        <f>1/IF(AG241="EC",12,1)*SUM(U241:U241)</f>
        <v>1</v>
      </c>
      <c r="T241" s="174" t="str">
        <f>IF(ISEVEN(LEFT(AD241,4)),"Southbound","NorthBound")</f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-10-11T10:17:12-0600',mode:absolute,to:'2017-10-11T12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1</v>
      </c>
      <c r="Y241" s="204">
        <f>RIGHT(D241,LEN(D241)-4)/10000</f>
        <v>0.1181</v>
      </c>
      <c r="Z241" s="204">
        <f>RIGHT(H241,LEN(H241)-4)/10000</f>
        <v>2.4207000000000001</v>
      </c>
      <c r="AA241" s="204">
        <f>ABS(Z241-Y241)</f>
        <v>2.3026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>VALUE(LEFT(A241,LEN(A241)-3))</f>
        <v>63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s3://rtdc.mdm.uploadarchive.raw/RTDC4002/ "%USERPROFILE%\AppData\Local\Temp\OnboardLogs"\RTDC4002\2017-10-11 --exclude "*" --recursive --include "*20171011*" &amp; "%USERPROFILE%\Documents\GitHub\mrs-test-scripts\Headless Mode &amp; Sideloading\WalkAndUnGZ.bat" "%USERPROFILE%\AppData\Local\Temp\OnboardLogs"\RTDC4002\2017-10-11 &amp; 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/stypes="app*4002*20171011*" /stext=" 17:.+((SYSTEM_STATE.+slice.+state.+changed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46"/>
        <v>"%USERPROFILE%\Documents\GitHub\eaglep3\Utilities\RefineRTDCRunTimes.py" --tripid 63-11 --locoid 4002 --swversion DE.1.0.9.0 --startMP 204:1181 --initTime 2017-10-11T11:17:12 --startdatetime 2017-10-11T11:27:45 --delay 68 --endMP 300:24207 --enddatetime 2017-10-11T11:38:45 --enforcementcount 0 &gt;&gt;%USERPROFILE%\Documents\GitHub\eaglep3-reporting\EC\2017-10-11-refined-times.txt</v>
      </c>
      <c r="AI241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2.4207"},{"id":17,"name":"Train ID","value":"63-11"},{"id":16,"name":"Locomotive ID","value":"4002"},{"id":130,"name":"Impact","value":""},{"id":150,"name":"Time of Event (Mountain Time)","value":"11:38:45"},{"id":151,"name":"Denver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48"/>
        <v>start /low /b %USERPROFILE%\Documents\GitHub\eaglep3\Utilities\DownloadLogsFromS3.py --loco 4002 --day 2017-10-11</v>
      </c>
      <c r="AN241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50"/>
        <v>https://d0f6bd738d7f1b3e5a7ca70fe4ff75f0.us-east-1.aws.found.io/app/kibana#/discover/Steve-Slow-Train-Analysis-(2080s-and-2083s)?_g=(refreshInterval:(display:Off,pause:!f,section:0,value:0),time:(from:'2017-10-11T10:17:12-0600',mode:absolute,to:'2017-10-11T12:38:45-0600'))&amp;_a=(columns:!('Message%20ID',Summary),filters:!(),index:'emp_*',interval:auto,query:(query_string:(analyze_wildcard:!t,query:'%22rtdc.l.rtdc.4002%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709</v>
      </c>
      <c r="B242" s="7">
        <v>4001</v>
      </c>
      <c r="C242" s="21" t="s">
        <v>194</v>
      </c>
      <c r="D242" s="21" t="s">
        <v>906</v>
      </c>
      <c r="E242" s="13">
        <v>43019.491412037038</v>
      </c>
      <c r="F242" s="13">
        <v>43019.49355324074</v>
      </c>
      <c r="G242" s="7">
        <v>65</v>
      </c>
      <c r="H242" s="21" t="s">
        <v>907</v>
      </c>
      <c r="I242" s="13">
        <v>43019.499293981484</v>
      </c>
      <c r="J242" s="7">
        <v>0</v>
      </c>
      <c r="K242" s="89" t="str">
        <f>IF(ISEVEN(B242),(B242-1)&amp;"/"&amp;B242,B242&amp;"/"&amp;(B242+1))</f>
        <v>4001/4002</v>
      </c>
      <c r="L242" s="185" t="str">
        <f>VLOOKUP(A242,'Trips&amp;Operators'!$C$1:$G$99911,5,FALSE)</f>
        <v>DELGADO DIANAH</v>
      </c>
      <c r="M242" s="6">
        <f>I242-F242</f>
        <v>5.7407407439313829E-3</v>
      </c>
      <c r="N242" s="7">
        <f>24*60*SUM($M242:$M242)</f>
        <v>8.2666666712611914</v>
      </c>
      <c r="O242" s="7"/>
      <c r="P242" s="7"/>
      <c r="Q242" s="22"/>
      <c r="R242" s="174"/>
      <c r="S242" s="221">
        <f>1/IF(AG242="EC",12,1)*SUM(U242:U242)</f>
        <v>1</v>
      </c>
      <c r="T242" s="174" t="str">
        <f>IF(ISEVEN(LEFT(AD242,4)),"Southbound","NorthBound")</f>
        <v>Southbound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-10-11T10:47:38-0600',mode:absolute,to:'2017-10-11T12:58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</v>
      </c>
      <c r="Y242" s="204">
        <f>RIGHT(D242,LEN(D242)-4)/10000</f>
        <v>2.2736999999999998</v>
      </c>
      <c r="Z242" s="204">
        <f>RIGHT(H242,LEN(H242)-4)/10000</f>
        <v>8.7400000000000005E-2</v>
      </c>
      <c r="AA242" s="204">
        <f>ABS(Z242-Y242)</f>
        <v>2.1862999999999997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>VALUE(LEFT(A242,LEN(A242)-3))</f>
        <v>64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s3://rtdc.mdm.uploadarchive.raw/RTDC4001/ "%USERPROFILE%\AppData\Local\Temp\OnboardLogs"\RTDC4001\2017-10-11 --exclude "*" --recursive --include "*20171011*" &amp; "%USERPROFILE%\Documents\GitHub\mrs-test-scripts\Headless Mode &amp; Sideloading\WalkAndUnGZ.bat" "%USERPROFILE%\AppData\Local\Temp\OnboardLogs"\RTDC4001\2017-10-11 &amp; 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/stypes="app*4001*20171011*" /stext=" 17:.+((SYSTEM_STATE.+slice.+state.+changed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46"/>
        <v>"%USERPROFILE%\Documents\GitHub\eaglep3\Utilities\RefineRTDCRunTimes.py" --tripid 64-11 --locoid 4001 --swversion DE.1.0.9.0 --startMP 300:22737 --initTime 2017-10-11T11:47:38 --startdatetime 2017-10-11T11:50:43 --delay 65 --endMP 204:874 --enddatetime 2017-10-11T11:58:59 --enforcementcount 0 &gt;&gt;%USERPROFILE%\Documents\GitHub\eaglep3-reporting\EC\2017-10-11-refined-times.txt</v>
      </c>
      <c r="AI242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0.0874"},{"id":17,"name":"Train ID","value":"64-11"},{"id":16,"name":"Locomotive ID","value":"4001"},{"id":130,"name":"Impact","value":""},{"id":150,"name":"Time of Event (Mountain Time)","value":"11:58:59"},{"id":151,"name":"Denver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48"/>
        <v>start /low /b %USERPROFILE%\Documents\GitHub\eaglep3\Utilities\DownloadLogsFromS3.py --loco 4001 --day 2017-10-11</v>
      </c>
      <c r="AN242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17:58:59"},{"id":29,"name":"Sharepoint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50"/>
        <v>https://d0f6bd738d7f1b3e5a7ca70fe4ff75f0.us-east-1.aws.found.io/app/kibana#/discover/Steve-Slow-Train-Analysis-(2080s-and-2083s)?_g=(refreshInterval:(display:Off,pause:!f,section:0,value:0),time:(from:'2017-10-11T10:47:38-0600',mode:absolute,to:'2017-10-11T12:58:59-0600'))&amp;_a=(columns:!('Message%20ID',Summary),filters:!(),index:'emp_*',interval:auto,query:(query_string:(analyze_wildcard:!t,query:'%22rtdc.l.rtdc.4001%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717</v>
      </c>
      <c r="B243" s="7">
        <v>4002</v>
      </c>
      <c r="C243" s="21" t="s">
        <v>194</v>
      </c>
      <c r="D243" s="21" t="s">
        <v>908</v>
      </c>
      <c r="E243" s="13">
        <v>43019.509467592594</v>
      </c>
      <c r="F243" s="13">
        <v>43019.511122685188</v>
      </c>
      <c r="G243" s="7">
        <v>62</v>
      </c>
      <c r="H243" s="21" t="s">
        <v>909</v>
      </c>
      <c r="I243" s="13">
        <v>43019.517604166664</v>
      </c>
      <c r="J243" s="7">
        <v>0</v>
      </c>
      <c r="K243" s="89" t="str">
        <f>IF(ISEVEN(B243),(B243-1)&amp;"/"&amp;B243,B243&amp;"/"&amp;(B243+1))</f>
        <v>4001/4002</v>
      </c>
      <c r="L243" s="185" t="str">
        <f>VLOOKUP(A243,'Trips&amp;Operators'!$C$1:$G$99911,5,FALSE)</f>
        <v>BROWN JACOB</v>
      </c>
      <c r="M243" s="6">
        <f>I243-F243</f>
        <v>6.4814814759301953E-3</v>
      </c>
      <c r="N243" s="7">
        <f>24*60*SUM($M243:$M243)</f>
        <v>9.3333333253394812</v>
      </c>
      <c r="O243" s="7"/>
      <c r="P243" s="7"/>
      <c r="Q243" s="22"/>
      <c r="R243" s="174"/>
      <c r="S243" s="221">
        <f>1/IF(AG243="EC",12,1)*SUM(U243:U243)</f>
        <v>1</v>
      </c>
      <c r="T243" s="174" t="str">
        <f>IF(ISEVEN(LEFT(AD243,4)),"Southbound","NorthBound")</f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-10-11T11:13:38-0600',mode:absolute,to:'2017-10-11T13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1</v>
      </c>
      <c r="Y243" s="204">
        <f>RIGHT(D243,LEN(D243)-4)/10000</f>
        <v>0.11899999999999999</v>
      </c>
      <c r="Z243" s="204">
        <f>RIGHT(H243,LEN(H243)-4)/10000</f>
        <v>2.4245999999999999</v>
      </c>
      <c r="AA243" s="204">
        <f>ABS(Z243-Y243)</f>
        <v>2.3056000000000001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>VALUE(LEFT(A243,LEN(A243)-3))</f>
        <v>65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s3://rtdc.mdm.uploadarchive.raw/RTDC4002/ "%USERPROFILE%\AppData\Local\Temp\OnboardLogs"\RTDC4002\2017-10-11 --exclude "*" --recursive --include "*20171011*" &amp; "%USERPROFILE%\Documents\GitHub\mrs-test-scripts\Headless Mode &amp; Sideloading\WalkAndUnGZ.bat" "%USERPROFILE%\AppData\Local\Temp\OnboardLogs"\RTDC4002\2017-10-11 &amp; 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/stypes="app*4002*20171011*" /stext=" 18:.+((SYSTEM_STATE.+slice.+state.+changed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46"/>
        <v>"%USERPROFILE%\Documents\GitHub\eaglep3\Utilities\RefineRTDCRunTimes.py" --tripid 65-11 --locoid 4002 --swversion DE.1.0.9.0 --startMP 204:1190 --initTime 2017-10-11T12:13:38 --startdatetime 2017-10-11T12:16:01 --delay 62 --endMP 300:24246 --enddatetime 2017-10-11T12:25:21 --enforcementcount 0 &gt;&gt;%USERPROFILE%\Documents\GitHub\eaglep3-reporting\EC\2017-10-11-refined-times.txt</v>
      </c>
      <c r="AI243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2.4246"},{"id":17,"name":"Train ID","value":"65-11"},{"id":16,"name":"Locomotive ID","value":"4002"},{"id":130,"name":"Impact","value":""},{"id":150,"name":"Time of Event (Mountain Time)","value":"12:25:21"},{"id":151,"name":"Denver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48"/>
        <v>start /low /b %USERPROFILE%\Documents\GitHub\eaglep3\Utilities\DownloadLogsFromS3.py --loco 4002 --day 2017-10-11</v>
      </c>
      <c r="AN243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50"/>
        <v>https://d0f6bd738d7f1b3e5a7ca70fe4ff75f0.us-east-1.aws.found.io/app/kibana#/discover/Steve-Slow-Train-Analysis-(2080s-and-2083s)?_g=(refreshInterval:(display:Off,pause:!f,section:0,value:0),time:(from:'2017-10-11T11:13:38-0600',mode:absolute,to:'2017-10-11T13:25:21-0600'))&amp;_a=(columns:!('Message%20ID',Summary),filters:!(),index:'emp_*',interval:auto,query:(query_string:(analyze_wildcard:!t,query:'%22rtdc.l.rtdc.4002%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737</v>
      </c>
      <c r="B244" s="7">
        <v>4019</v>
      </c>
      <c r="C244" s="21" t="s">
        <v>194</v>
      </c>
      <c r="D244" s="21" t="s">
        <v>910</v>
      </c>
      <c r="E244" s="13">
        <v>43019.579432870371</v>
      </c>
      <c r="F244" s="13">
        <v>43019.580972222226</v>
      </c>
      <c r="G244" s="7">
        <v>73</v>
      </c>
      <c r="H244" s="21" t="s">
        <v>911</v>
      </c>
      <c r="I244" s="13">
        <v>43019.600775462961</v>
      </c>
      <c r="J244" s="7">
        <v>0</v>
      </c>
      <c r="K244" s="89" t="str">
        <f>IF(ISEVEN(B244),(B244-1)&amp;"/"&amp;B244,B244&amp;"/"&amp;(B244+1))</f>
        <v>4019/4020</v>
      </c>
      <c r="L244" s="185" t="str">
        <f>VLOOKUP(A244,'Trips&amp;Operators'!$C$1:$G$99911,5,FALSE)</f>
        <v>NEWELL JAMES</v>
      </c>
      <c r="M244" s="6">
        <f>I244-F244</f>
        <v>1.9803240735200234E-2</v>
      </c>
      <c r="N244" s="7">
        <f>24*60*SUM($M244:$M244)</f>
        <v>28.516666658688337</v>
      </c>
      <c r="O244" s="7"/>
      <c r="P244" s="7"/>
      <c r="Q244" s="22"/>
      <c r="R244" s="174"/>
      <c r="S244" s="221">
        <f>1/IF(AG244="EC",12,1)*SUM(U244:U244)</f>
        <v>1</v>
      </c>
      <c r="T244" s="174" t="str">
        <f>IF(ISEVEN(LEFT(AD244,4)),"Southbound","NorthBound")</f>
        <v>Southbound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-10-11T12:54:23-0600',mode:absolute,to:'2017-10-11T15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4" s="204" t="str">
        <f>IF(AA244&lt;VLOOKUP(AG244,Variables!$AC$3:$AD$8,2,FALSE),"Y","N")</f>
        <v>Y</v>
      </c>
      <c r="X244" s="204">
        <f>VALUE(LEFT(AD244,4))-VALUE(LEFT(AD243,4))</f>
        <v>5</v>
      </c>
      <c r="Y244" s="204">
        <f>RIGHT(D244,LEN(D244)-4)/10000</f>
        <v>11.2187</v>
      </c>
      <c r="Z244" s="204">
        <f>RIGHT(H244,LEN(H244)-4)/10000</f>
        <v>1.46E-2</v>
      </c>
      <c r="AA244" s="204">
        <f>ABS(Z244-Y244)</f>
        <v>11.2041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>VALUE(LEFT(A244,LEN(A244)-3))</f>
        <v>70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 &amp; aws s3 cp s3://rtdc.mdm.uploadarchive.raw/RTDC4019/ "%USERPROFILE%\AppData\Local\Temp\OnboardLogs"\RTDC4019\2017-10-12 --exclude "*" --recursive --include "*20171012*" &amp; "%USERPROFILE%\Documents\GitHub\mrs-test-scripts\Headless Mode &amp; Sideloading\WalkAndUnGZ.bat" "%USERPROFILE%\AppData\Local\Temp\OnboardLogs"\RTDC4019\2017-10-12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/stypes="app*4019*20171011*" /stext=" 20:.+((SYSTEM_STATE.+slice.+state.+changed )|(ment ac)|(multiple cpu faults)|(system.+state.+changed )|(\[timeout)|(PRM\|1\|D)|(kpr)|(kdp)|(train st.+moving)|(\|lc)|(penalty))"</v>
      </c>
      <c r="AG244" s="182" t="str">
        <f>DetSubdiv(A244)</f>
        <v>Shuttle/Test</v>
      </c>
      <c r="AH244" s="78" t="str">
        <f t="shared" si="46"/>
        <v>"%USERPROFILE%\Documents\GitHub\eaglep3\Utilities\RefineRTDCRunTimes.py" --tripid 70-11 --locoid 4019 --swversion DE.1.0.9.0 --startMP 300:112187 --initTime 2017-10-11T13:54:23 --startdatetime 2017-10-11T13:56:36 --delay 73 --endMP 204:146 --enddatetime 2017-10-11T14:25:07 --enforcementcount 0 &gt;&gt;%USERPROFILE%\Documents\GitHub\eaglep3-reporting\EC\2017-10-11-refined-times.txt</v>
      </c>
      <c r="AI244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0.0146"},{"id":17,"name":"Train ID","value":"70-11"},{"id":16,"name":"Locomotive ID","value":"4019"},{"id":130,"name":"Impact","value":""},{"id":150,"name":"Time of Event (Mountain Time)","value":"14:25:07"},{"id":151,"name":"Denver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48"/>
        <v>start /low /b %USERPROFILE%\Documents\GitHub\eaglep3\Utilities\DownloadLogsFromS3.py --loco 4019 --day 2017-10-11</v>
      </c>
      <c r="AN244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20:25:07"},{"id":29,"name":"Sharepoint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50"/>
        <v>https://d0f6bd738d7f1b3e5a7ca70fe4ff75f0.us-east-1.aws.found.io/app/kibana#/discover/Steve-Slow-Train-Analysis-(2080s-and-2083s)?_g=(refreshInterval:(display:Off,pause:!f,section:0,value:0),time:(from:'2017-10-11T12:54:23-0600',mode:absolute,to:'2017-10-11T15:25:07-0600'))&amp;_a=(columns:!('Message%20ID',Summary),filters:!(),index:'emp_*',interval:auto,query:(query_string:(analyze_wildcard:!t,query:'%22rtdc.l.rtdc.4019%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32" t="s">
        <v>737</v>
      </c>
      <c r="B245" s="7">
        <v>4019</v>
      </c>
      <c r="C245" s="21" t="s">
        <v>194</v>
      </c>
      <c r="D245" s="21" t="s">
        <v>912</v>
      </c>
      <c r="E245" s="13">
        <v>43019.671689814815</v>
      </c>
      <c r="F245" s="13">
        <v>43019.673449074071</v>
      </c>
      <c r="G245" s="7">
        <v>61</v>
      </c>
      <c r="H245" s="21" t="s">
        <v>913</v>
      </c>
      <c r="I245" s="13">
        <v>43019.686400462961</v>
      </c>
      <c r="J245" s="7">
        <v>0</v>
      </c>
      <c r="K245" s="89" t="str">
        <f>IF(ISEVEN(B245),(B245-1)&amp;"/"&amp;B245,B245&amp;"/"&amp;(B245+1))</f>
        <v>4019/4020</v>
      </c>
      <c r="L245" s="185" t="str">
        <f>VLOOKUP(A245,'Trips&amp;Operators'!$C$1:$G$99911,5,FALSE)</f>
        <v>NEWELL JAMES</v>
      </c>
      <c r="M245" s="6">
        <f>I245-F245</f>
        <v>1.2951388889632653E-2</v>
      </c>
      <c r="N245" s="7">
        <f>24*60*SUM($M245:$M245)</f>
        <v>18.650000001071021</v>
      </c>
      <c r="O245" s="7"/>
      <c r="P245" s="7"/>
      <c r="Q245" s="22"/>
      <c r="R245" s="174"/>
      <c r="S245" s="221">
        <f>1/IF(AG245="EC",12,1)*SUM(U245:U245)</f>
        <v>0</v>
      </c>
      <c r="T245" s="174" t="str">
        <f>IF(ISEVEN(LEFT(AD245,4)),"Southbound","NorthBound")</f>
        <v>Southbound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1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-10-11T15:07:14-0600',mode:absolute,to:'2017-10-11T17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5" s="204" t="str">
        <f>IF(AA245&lt;VLOOKUP(AG245,Variables!$AC$3:$AD$8,2,FALSE),"Y","N")</f>
        <v>Y</v>
      </c>
      <c r="X245" s="204">
        <f>VALUE(LEFT(AD245,4))-VALUE(LEFT(AD244,4))</f>
        <v>0</v>
      </c>
      <c r="Y245" s="204">
        <f>RIGHT(D245,LEN(D245)-4)/10000</f>
        <v>11.226000000000001</v>
      </c>
      <c r="Z245" s="204">
        <f>RIGHT(H245,LEN(H245)-4)/10000</f>
        <v>3.9068000000000001</v>
      </c>
      <c r="AA245" s="204">
        <f>ABS(Z245-Y245)</f>
        <v>7.3192000000000004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>VALUE(LEFT(A245,LEN(A245)-3))</f>
        <v>70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 &amp; aws s3 cp s3://rtdc.mdm.uploadarchive.raw/RTDC4019/ "%USERPROFILE%\AppData\Local\Temp\OnboardLogs"\RTDC4019\2017-10-12 --exclude "*" --recursive --include "*20171012*" &amp; "%USERPROFILE%\Documents\GitHub\mrs-test-scripts\Headless Mode &amp; Sideloading\WalkAndUnGZ.bat" "%USERPROFILE%\AppData\Local\Temp\OnboardLogs"\RTDC4019\2017-10-12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/stypes="app*4019*20171011*" /stext=" 22:.+((SYSTEM_STATE.+slice.+state.+changed )|(ment ac)|(multiple cpu faults)|(system.+state.+changed )|(\[timeout)|(PRM\|1\|D)|(kpr)|(kdp)|(train st.+moving)|(\|lc)|(penalty))"</v>
      </c>
      <c r="AG245" s="182" t="str">
        <f>DetSubdiv(A245)</f>
        <v>Shuttle/Test</v>
      </c>
      <c r="AH245" s="78" t="str">
        <f t="shared" si="46"/>
        <v>"%USERPROFILE%\Documents\GitHub\eaglep3\Utilities\RefineRTDCRunTimes.py" --tripid 70-11 --locoid 4019 --swversion DE.1.0.9.0 --startMP 300:112260 --initTime 2017-10-11T16:07:14 --startdatetime 2017-10-11T16:09:46 --delay 61 --endMP 300:39068 --enddatetime 2017-10-11T16:28:25 --enforcementcount 0 &gt;&gt;%USERPROFILE%\Documents\GitHub\eaglep3-reporting\EC\2017-10-11-refined-times.txt</v>
      </c>
      <c r="AI245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3.9068"},{"id":17,"name":"Train ID","value":"70-11"},{"id":16,"name":"Locomotive ID","value":"4019"},{"id":130,"name":"Impact","value":""},{"id":150,"name":"Time of Event (Mountain Time)","value":"16:28:25"},{"id":151,"name":"Denver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48"/>
        <v>start /low /b %USERPROFILE%\Documents\GitHub\eaglep3\Utilities\DownloadLogsFromS3.py --loco 4019 --day 2017-10-11</v>
      </c>
      <c r="AN245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50"/>
        <v>https://d0f6bd738d7f1b3e5a7ca70fe4ff75f0.us-east-1.aws.found.io/app/kibana#/discover/Steve-Slow-Train-Analysis-(2080s-and-2083s)?_g=(refreshInterval:(display:Off,pause:!f,section:0,value:0),time:(from:'2017-10-11T15:07:14-0600',mode:absolute,to:'2017-10-11T17:28:25-0600'))&amp;_a=(columns:!('Message%20ID',Summary),filters:!(),index:'emp_*',interval:auto,query:(query_string:(analyze_wildcard:!t,query:'%22rtdc.l.rtdc.4019%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32" t="s">
        <v>737</v>
      </c>
      <c r="B246" s="7">
        <v>4019</v>
      </c>
      <c r="C246" s="21" t="s">
        <v>194</v>
      </c>
      <c r="D246" s="21" t="s">
        <v>914</v>
      </c>
      <c r="E246" s="13">
        <v>43019.628703703704</v>
      </c>
      <c r="F246" s="13">
        <v>43019.631273148145</v>
      </c>
      <c r="G246" s="7">
        <v>84</v>
      </c>
      <c r="H246" s="21" t="s">
        <v>915</v>
      </c>
      <c r="I246" s="13">
        <v>43019.648969907408</v>
      </c>
      <c r="J246" s="7">
        <v>0</v>
      </c>
      <c r="K246" s="89" t="str">
        <f>IF(ISEVEN(B246),(B246-1)&amp;"/"&amp;B246,B246&amp;"/"&amp;(B246+1))</f>
        <v>4019/4020</v>
      </c>
      <c r="L246" s="185" t="str">
        <f>VLOOKUP(A246,'Trips&amp;Operators'!$C$1:$G$99911,5,FALSE)</f>
        <v>NEWELL JAMES</v>
      </c>
      <c r="M246" s="6">
        <f>I246-F246</f>
        <v>1.7696759263344575E-2</v>
      </c>
      <c r="N246" s="7">
        <f>24*60*SUM($M246:$M246)</f>
        <v>25.483333339216188</v>
      </c>
      <c r="O246" s="7"/>
      <c r="P246" s="7"/>
      <c r="Q246" s="22"/>
      <c r="R246" s="174"/>
      <c r="S246" s="221">
        <f>1/IF(AG246="EC",12,1)*SUM(U246:U246)</f>
        <v>0</v>
      </c>
      <c r="T246" s="174" t="str">
        <f>IF(ISEVEN(LEFT(AD246,4)),"Southbound","NorthBound")</f>
        <v>Southbound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1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-10-11T14:05:20-0600',mode:absolute,to:'2017-10-11T16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6" s="204" t="str">
        <f>IF(AA246&lt;VLOOKUP(AG246,Variables!$AC$3:$AD$8,2,FALSE),"Y","N")</f>
        <v>Y</v>
      </c>
      <c r="X246" s="204">
        <f>VALUE(LEFT(AD246,4))-VALUE(LEFT(AD245,4))</f>
        <v>0</v>
      </c>
      <c r="Y246" s="204">
        <f>RIGHT(D246,LEN(D246)-4)/10000</f>
        <v>11.2178</v>
      </c>
      <c r="Z246" s="204">
        <f>RIGHT(H246,LEN(H246)-4)/10000</f>
        <v>3.9062000000000001</v>
      </c>
      <c r="AA246" s="204">
        <f>ABS(Z246-Y246)</f>
        <v>7.3116000000000003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>VALUE(LEFT(A246,LEN(A246)-3))</f>
        <v>70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 &amp; aws s3 cp s3://rtdc.mdm.uploadarchive.raw/RTDC4019/ "%USERPROFILE%\AppData\Local\Temp\OnboardLogs"\RTDC4019\2017-10-12 --exclude "*" --recursive --include "*20171012*" &amp; "%USERPROFILE%\Documents\GitHub\mrs-test-scripts\Headless Mode &amp; Sideloading\WalkAndUnGZ.bat" "%USERPROFILE%\AppData\Local\Temp\OnboardLogs"\RTDC4019\2017-10-12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/stypes="app*4019*20171011*" /stext=" 21:.+((SYSTEM_STATE.+slice.+state.+changed )|(ment ac)|(multiple cpu faults)|(system.+state.+changed )|(\[timeout)|(PRM\|1\|D)|(kpr)|(kdp)|(train st.+moving)|(\|lc)|(penalty))"</v>
      </c>
      <c r="AG246" s="182" t="str">
        <f>DetSubdiv(A246)</f>
        <v>Shuttle/Test</v>
      </c>
      <c r="AH246" s="78" t="str">
        <f t="shared" si="46"/>
        <v>"%USERPROFILE%\Documents\GitHub\eaglep3\Utilities\RefineRTDCRunTimes.py" --tripid 70-11 --locoid 4019 --swversion DE.1.0.9.0 --startMP 300:112178 --initTime 2017-10-11T15:05:20 --startdatetime 2017-10-11T15:09:02 --delay 84 --endMP 300:39062 --enddatetime 2017-10-11T15:34:31 --enforcementcount 0 &gt;&gt;%USERPROFILE%\Documents\GitHub\eaglep3-reporting\EC\2017-10-11-refined-times.txt</v>
      </c>
      <c r="AI246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3.9062"},{"id":17,"name":"Train ID","value":"70-11"},{"id":16,"name":"Locomotive ID","value":"4019"},{"id":130,"name":"Impact","value":""},{"id":150,"name":"Time of Event (Mountain Time)","value":"15:34:31"},{"id":151,"name":"Denver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47"/>
      <c r="AL246" s="47"/>
      <c r="AM246" s="142" t="str">
        <f t="shared" si="48"/>
        <v>start /low /b %USERPROFILE%\Documents\GitHub\eaglep3\Utilities\DownloadLogsFromS3.py --loco 4019 --day 2017-10-11</v>
      </c>
      <c r="AN246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50"/>
        <v>https://d0f6bd738d7f1b3e5a7ca70fe4ff75f0.us-east-1.aws.found.io/app/kibana#/discover/Steve-Slow-Train-Analysis-(2080s-and-2083s)?_g=(refreshInterval:(display:Off,pause:!f,section:0,value:0),time:(from:'2017-10-11T14:05:20-0600',mode:absolute,to:'2017-10-11T16:34:31-0600'))&amp;_a=(columns:!('Message%20ID',Summary),filters:!(),index:'emp_*',interval:auto,query:(query_string:(analyze_wildcard:!t,query:'%22rtdc.l.rtdc.4019%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32" t="s">
        <v>737</v>
      </c>
      <c r="B247" s="7">
        <v>4019</v>
      </c>
      <c r="C247" s="21" t="s">
        <v>194</v>
      </c>
      <c r="D247" s="21" t="s">
        <v>916</v>
      </c>
      <c r="E247" s="13">
        <v>43019.707187499997</v>
      </c>
      <c r="F247" s="13">
        <v>43019.710416666669</v>
      </c>
      <c r="G247" s="7">
        <v>77</v>
      </c>
      <c r="H247" s="21" t="s">
        <v>917</v>
      </c>
      <c r="I247" s="13">
        <v>43019.731516203705</v>
      </c>
      <c r="J247" s="7">
        <v>0</v>
      </c>
      <c r="K247" s="89" t="str">
        <f>IF(ISEVEN(B247),(B247-1)&amp;"/"&amp;B247,B247&amp;"/"&amp;(B247+1))</f>
        <v>4019/4020</v>
      </c>
      <c r="L247" s="185" t="str">
        <f>VLOOKUP(A247,'Trips&amp;Operators'!$C$1:$G$99911,5,FALSE)</f>
        <v>NEWELL JAMES</v>
      </c>
      <c r="M247" s="6">
        <f>I247-F247</f>
        <v>2.1099537036207039E-2</v>
      </c>
      <c r="N247" s="7">
        <f>24*60*SUM($M247:$M247)</f>
        <v>30.383333332138136</v>
      </c>
      <c r="O247" s="7"/>
      <c r="P247" s="7"/>
      <c r="Q247" s="22"/>
      <c r="R247" s="174"/>
      <c r="S247" s="221">
        <f>1/IF(AG247="EC",12,1)*SUM(U247:U247)</f>
        <v>0</v>
      </c>
      <c r="T247" s="174" t="str">
        <f>IF(ISEVEN(LEFT(AD247,4)),"Southbound","NorthBound")</f>
        <v>Southbound</v>
      </c>
      <c r="U247" s="198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1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-10-11T15:58:21-0600',mode:absolute,to:'2017-10-11T18:33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7" s="204" t="str">
        <f>IF(AA247&lt;VLOOKUP(AG247,Variables!$AC$3:$AD$8,2,FALSE),"Y","N")</f>
        <v>Y</v>
      </c>
      <c r="X247" s="204">
        <f>VALUE(LEFT(AD247,4))-VALUE(LEFT(AD246,4))</f>
        <v>0</v>
      </c>
      <c r="Y247" s="204">
        <f>RIGHT(D247,LEN(D247)-4)/10000</f>
        <v>11.218500000000001</v>
      </c>
      <c r="Z247" s="204">
        <f>RIGHT(H247,LEN(H247)-4)/10000</f>
        <v>2.8797000000000001</v>
      </c>
      <c r="AA247" s="204">
        <f>ABS(Z247-Y247)</f>
        <v>8.3388000000000009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179">
        <f>VALUE(LEFT(A247,LEN(A247)-3))</f>
        <v>70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 &amp; aws s3 cp s3://rtdc.mdm.uploadarchive.raw/RTDC4019/ "%USERPROFILE%\AppData\Local\Temp\OnboardLogs"\RTDC4019\2017-10-12 --exclude "*" --recursive --include "*20171012*" &amp; "%USERPROFILE%\Documents\GitHub\mrs-test-scripts\Headless Mode &amp; Sideloading\WalkAndUnGZ.bat" "%USERPROFILE%\AppData\Local\Temp\OnboardLogs"\RTDC4019\2017-10-12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/stypes="app*4019*20171011*" /stext=" 23:.+((SYSTEM_STATE.+slice.+state.+changed )|(ment ac)|(multiple cpu faults)|(system.+state.+changed )|(\[timeout)|(PRM\|1\|D)|(kpr)|(kdp)|(train st.+moving)|(\|lc)|(penalty))"</v>
      </c>
      <c r="AG247" s="182" t="str">
        <f>DetSubdiv(A247)</f>
        <v>Shuttle/Test</v>
      </c>
      <c r="AH247" s="78" t="str">
        <f t="shared" si="46"/>
        <v>"%USERPROFILE%\Documents\GitHub\eaglep3\Utilities\RefineRTDCRunTimes.py" --tripid 70-11 --locoid 4019 --swversion DE.1.0.9.0 --startMP 300:112185 --initTime 2017-10-11T16:58:21 --startdatetime 2017-10-11T17:03:00 --delay 77 --endMP 300:28797 --enddatetime 2017-10-11T17:33:23 --enforcementcount 0 &gt;&gt;%USERPROFILE%\Documents\GitHub\eaglep3-reporting\EC\2017-10-11-refined-times.txt</v>
      </c>
      <c r="AI247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2.8797"},{"id":17,"name":"Train ID","value":"70-11"},{"id":16,"name":"Locomotive ID","value":"4019"},{"id":130,"name":"Impact","value":""},{"id":150,"name":"Time of Event (Mountain Time)","value":"17:33:23"},{"id":151,"name":"Denver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47"/>
      <c r="AL247" s="47"/>
      <c r="AM247" s="142" t="str">
        <f t="shared" si="48"/>
        <v>start /low /b %USERPROFILE%\Documents\GitHub\eaglep3\Utilities\DownloadLogsFromS3.py --loco 4019 --day 2017-10-11</v>
      </c>
      <c r="AN247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8" t="str">
        <f t="shared" si="50"/>
        <v>https://d0f6bd738d7f1b3e5a7ca70fe4ff75f0.us-east-1.aws.found.io/app/kibana#/discover/Steve-Slow-Train-Analysis-(2080s-and-2083s)?_g=(refreshInterval:(display:Off,pause:!f,section:0,value:0),time:(from:'2017-10-11T15:58:21-0600',mode:absolute,to:'2017-10-11T18:33:23-0600'))&amp;_a=(columns:!('Message%20ID',Summary),filters:!(),index:'emp_*',interval:auto,query:(query_string:(analyze_wildcard:!t,query:'%22rtdc.l.rtdc.4019%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32" t="s">
        <v>595</v>
      </c>
      <c r="B248" s="7">
        <v>4020</v>
      </c>
      <c r="C248" s="21" t="s">
        <v>194</v>
      </c>
      <c r="D248" s="21" t="s">
        <v>918</v>
      </c>
      <c r="E248" s="13">
        <v>43019.556157407409</v>
      </c>
      <c r="F248" s="13">
        <v>43019.56181712963</v>
      </c>
      <c r="G248" s="7">
        <v>65</v>
      </c>
      <c r="H248" s="21" t="s">
        <v>919</v>
      </c>
      <c r="I248" s="13">
        <v>43019.578402777777</v>
      </c>
      <c r="J248" s="7">
        <v>0</v>
      </c>
      <c r="K248" s="89" t="str">
        <f>IF(ISEVEN(B248),(B248-1)&amp;"/"&amp;B248,B248&amp;"/"&amp;(B248+1))</f>
        <v>4019/4020</v>
      </c>
      <c r="L248" s="185" t="str">
        <f>VLOOKUP(A248,'Trips&amp;Operators'!$C$1:$G$99911,5,FALSE)</f>
        <v>NEWELL JAMES</v>
      </c>
      <c r="M248" s="6">
        <f>I248-F248</f>
        <v>1.6585648147156462E-2</v>
      </c>
      <c r="N248" s="7">
        <f>24*60*SUM($M248:$M248)</f>
        <v>23.883333331905305</v>
      </c>
      <c r="O248" s="7"/>
      <c r="P248" s="7"/>
      <c r="Q248" s="22"/>
      <c r="R248" s="174"/>
      <c r="S248" s="221">
        <f>1/IF(AG248="EC",12,1)*SUM(U248:U248)</f>
        <v>0</v>
      </c>
      <c r="T248" s="174" t="str">
        <f>IF(ISEVEN(LEFT(AD248,4)),"Southbound","NorthBound")</f>
        <v>NorthBound</v>
      </c>
      <c r="U248" s="198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1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-10-11T12:20:52-0600',mode:absolute,to:'2017-10-11T14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8" s="204" t="str">
        <f>IF(AA248&lt;VLOOKUP(AG248,Variables!$AC$3:$AD$8,2,FALSE),"Y","N")</f>
        <v>Y</v>
      </c>
      <c r="X248" s="204">
        <f>VALUE(LEFT(AD248,4))-VALUE(LEFT(AD247,4))</f>
        <v>1</v>
      </c>
      <c r="Y248" s="204">
        <f>RIGHT(D248,LEN(D248)-4)/10000</f>
        <v>2.9275000000000002</v>
      </c>
      <c r="Z248" s="204">
        <f>RIGHT(H248,LEN(H248)-4)/10000</f>
        <v>3.2951000000000001</v>
      </c>
      <c r="AA248" s="204">
        <f>ABS(Z248-Y248)</f>
        <v>0.36759999999999993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179">
        <f>VALUE(LEFT(A248,LEN(A248)-3))</f>
        <v>71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/stypes="app*4020*20171011*" /stext=" 19:.+((SYSTEM_STATE.+slice.+state.+changed )|(ment ac)|(multiple cpu faults)|(system.+state.+changed )|(\[timeout)|(PRM\|1\|D)|(kpr)|(kdp)|(train st.+moving)|(\|lc)|(penalty))"</v>
      </c>
      <c r="AG248" s="182" t="str">
        <f>DetSubdiv(A248)</f>
        <v>Shuttle/Test</v>
      </c>
      <c r="AH248" s="78" t="str">
        <f t="shared" si="46"/>
        <v>"%USERPROFILE%\Documents\GitHub\eaglep3\Utilities\RefineRTDCRunTimes.py" --tripid 71-11 --locoid 4020 --swversion DE.1.0.9.0 --startMP 300:29275 --initTime 2017-10-11T13:20:52 --startdatetime 2017-10-11T13:29:01 --delay 65 --endMP 300:32951 --enddatetime 2017-10-11T13:52:54 --enforcementcount 0 &gt;&gt;%USERPROFILE%\Documents\GitHub\eaglep3-reporting\EC\2017-10-11-refined-times.txt</v>
      </c>
      <c r="AI248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3.2951"},{"id":17,"name":"Train ID","value":"71-11"},{"id":16,"name":"Locomotive ID","value":"4020"},{"id":130,"name":"Impact","value":""},{"id":150,"name":"Time of Event (Mountain Time)","value":"13:52:54"},{"id":151,"name":"Denver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47"/>
      <c r="AL248" s="47"/>
      <c r="AM248" s="142" t="str">
        <f t="shared" si="48"/>
        <v>start /low /b %USERPROFILE%\Documents\GitHub\eaglep3\Utilities\DownloadLogsFromS3.py --loco 4020 --day 2017-10-11</v>
      </c>
      <c r="AN248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68" t="str">
        <f t="shared" si="50"/>
        <v>https://d0f6bd738d7f1b3e5a7ca70fe4ff75f0.us-east-1.aws.found.io/app/kibana#/discover/Steve-Slow-Train-Analysis-(2080s-and-2083s)?_g=(refreshInterval:(display:Off,pause:!f,section:0,value:0),time:(from:'2017-10-11T12:20:52-0600',mode:absolute,to:'2017-10-11T14:52:54-0600'))&amp;_a=(columns:!('Message%20ID',Summary),filters:!(),index:'emp_*',interval:auto,query:(query_string:(analyze_wildcard:!t,query:'%22rtdc.l.rtdc.4020%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32" t="s">
        <v>595</v>
      </c>
      <c r="B249" s="7">
        <v>4020</v>
      </c>
      <c r="C249" s="21" t="s">
        <v>194</v>
      </c>
      <c r="D249" s="21" t="s">
        <v>920</v>
      </c>
      <c r="E249" s="13">
        <v>43019.560706018521</v>
      </c>
      <c r="F249" s="13">
        <v>43019.56181712963</v>
      </c>
      <c r="G249" s="7">
        <v>49</v>
      </c>
      <c r="H249" s="21" t="s">
        <v>921</v>
      </c>
      <c r="I249" s="13">
        <v>43019.578402777777</v>
      </c>
      <c r="J249" s="7">
        <v>0</v>
      </c>
      <c r="K249" s="89" t="str">
        <f>IF(ISEVEN(B249),(B249-1)&amp;"/"&amp;B249,B249&amp;"/"&amp;(B249+1))</f>
        <v>4019/4020</v>
      </c>
      <c r="L249" s="185" t="str">
        <f>VLOOKUP(A249,'Trips&amp;Operators'!$C$1:$G$99911,5,FALSE)</f>
        <v>NEWELL JAMES</v>
      </c>
      <c r="M249" s="6">
        <f>I249-F249</f>
        <v>1.6585648147156462E-2</v>
      </c>
      <c r="N249" s="7">
        <f>24*60*SUM($M249:$M249)</f>
        <v>23.883333331905305</v>
      </c>
      <c r="O249" s="7"/>
      <c r="P249" s="7"/>
      <c r="Q249" s="22"/>
      <c r="R249" s="174"/>
      <c r="S249" s="221">
        <f>1/IF(AG249="EC",12,1)*SUM(U249:U249)</f>
        <v>0</v>
      </c>
      <c r="T249" s="174" t="str">
        <f>IF(ISEVEN(LEFT(AD249,4)),"Southbound","NorthBound")</f>
        <v>NorthBound</v>
      </c>
      <c r="U249" s="198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1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-10-11T12:27:25-0600',mode:absolute,to:'2017-10-11T14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9" s="204" t="str">
        <f>IF(AA249&lt;VLOOKUP(AG249,Variables!$AC$3:$AD$8,2,FALSE),"Y","N")</f>
        <v>Y</v>
      </c>
      <c r="X249" s="204">
        <f>VALUE(LEFT(AD249,4))-VALUE(LEFT(AD248,4))</f>
        <v>0</v>
      </c>
      <c r="Y249" s="204">
        <f>RIGHT(D249,LEN(D249)-4)/10000</f>
        <v>3.2940999999999998</v>
      </c>
      <c r="Z249" s="204">
        <f>RIGHT(H249,LEN(H249)-4)/10000</f>
        <v>11.2502</v>
      </c>
      <c r="AA249" s="204">
        <f>ABS(Z249-Y249)</f>
        <v>7.9560999999999993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179">
        <f>VALUE(LEFT(A249,LEN(A249)-3))</f>
        <v>71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/stypes="app*4020*20171011*" /stext=" 19:.+((SYSTEM_STATE.+slice.+state.+changed )|(ment ac)|(multiple cpu faults)|(system.+state.+changed )|(\[timeout)|(PRM\|1\|D)|(kpr)|(kdp)|(train st.+moving)|(\|lc)|(penalty))"</v>
      </c>
      <c r="AG249" s="182" t="str">
        <f>DetSubdiv(A249)</f>
        <v>Shuttle/Test</v>
      </c>
      <c r="AH249" s="78" t="str">
        <f t="shared" si="46"/>
        <v>"%USERPROFILE%\Documents\GitHub\eaglep3\Utilities\RefineRTDCRunTimes.py" --tripid 71-11 --locoid 4020 --swversion DE.1.0.9.0 --startMP 300:32941 --initTime 2017-10-11T13:27:25 --startdatetime 2017-10-11T13:29:01 --delay 49 --endMP 300:112502 --enddatetime 2017-10-11T13:52:54 --enforcementcount 0 &gt;&gt;%USERPROFILE%\Documents\GitHub\eaglep3-reporting\EC\2017-10-11-refined-times.txt</v>
      </c>
      <c r="AI249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11.2502"},{"id":17,"name":"Train ID","value":"71-11"},{"id":16,"name":"Locomotive ID","value":"4020"},{"id":130,"name":"Impact","value":""},{"id":150,"name":"Time of Event (Mountain Time)","value":"13:52:54"},{"id":151,"name":"Denver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9" s="47"/>
      <c r="AL249" s="47"/>
      <c r="AM249" s="142" t="str">
        <f t="shared" si="48"/>
        <v>start /low /b %USERPROFILE%\Documents\GitHub\eaglep3\Utilities\DownloadLogsFromS3.py --loco 4020 --day 2017-10-11</v>
      </c>
      <c r="AN249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168" t="str">
        <f t="shared" si="50"/>
        <v>https://d0f6bd738d7f1b3e5a7ca70fe4ff75f0.us-east-1.aws.found.io/app/kibana#/discover/Steve-Slow-Train-Analysis-(2080s-and-2083s)?_g=(refreshInterval:(display:Off,pause:!f,section:0,value:0),time:(from:'2017-10-11T12:27:25-0600',mode:absolute,to:'2017-10-11T14:52:54-0600'))&amp;_a=(columns:!('Message%20ID',Summary),filters:!(),index:'emp_*',interval:auto,query:(query_string:(analyze_wildcard:!t,query:'%22rtdc.l.rtdc.4020%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32" t="s">
        <v>595</v>
      </c>
      <c r="B250" s="7">
        <v>4020</v>
      </c>
      <c r="C250" s="21" t="s">
        <v>194</v>
      </c>
      <c r="D250" s="21" t="s">
        <v>372</v>
      </c>
      <c r="E250" s="13">
        <v>43019.603206018517</v>
      </c>
      <c r="F250" s="13">
        <v>43019.606122685182</v>
      </c>
      <c r="G250" s="7">
        <v>106</v>
      </c>
      <c r="H250" s="21" t="s">
        <v>922</v>
      </c>
      <c r="I250" s="13">
        <v>43019.626921296294</v>
      </c>
      <c r="J250" s="7">
        <v>0</v>
      </c>
      <c r="K250" s="89" t="str">
        <f>IF(ISEVEN(B250),(B250-1)&amp;"/"&amp;B250,B250&amp;"/"&amp;(B250+1))</f>
        <v>4019/4020</v>
      </c>
      <c r="L250" s="185" t="str">
        <f>VLOOKUP(A250,'Trips&amp;Operators'!$C$1:$G$99911,5,FALSE)</f>
        <v>NEWELL JAMES</v>
      </c>
      <c r="M250" s="6">
        <f>I250-F250</f>
        <v>2.0798611112695653E-2</v>
      </c>
      <c r="N250" s="7">
        <f>24*60*SUM($M250:$M250)</f>
        <v>29.95000000228174</v>
      </c>
      <c r="O250" s="7"/>
      <c r="P250" s="7"/>
      <c r="Q250" s="22"/>
      <c r="R250" s="174"/>
      <c r="S250" s="221">
        <f>1/IF(AG250="EC",12,1)*SUM(U250:U250)</f>
        <v>1</v>
      </c>
      <c r="T250" s="174" t="str">
        <f>IF(ISEVEN(LEFT(AD250,4)),"Southbound","NorthBound")</f>
        <v>NorthBound</v>
      </c>
      <c r="U250" s="198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1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-10-11T13:28:37-0600',mode:absolute,to:'2017-10-11T16:02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0" s="204" t="str">
        <f>IF(AA250&lt;VLOOKUP(AG250,Variables!$AC$3:$AD$8,2,FALSE),"Y","N")</f>
        <v>Y</v>
      </c>
      <c r="X250" s="204">
        <f>VALUE(LEFT(AD250,4))-VALUE(LEFT(AD249,4))</f>
        <v>0</v>
      </c>
      <c r="Y250" s="204">
        <f>RIGHT(D250,LEN(D250)-4)/10000</f>
        <v>4.7100000000000003E-2</v>
      </c>
      <c r="Z250" s="204">
        <f>RIGHT(H250,LEN(H250)-4)/10000</f>
        <v>11.249599999999999</v>
      </c>
      <c r="AA250" s="204">
        <f>ABS(Z250-Y250)</f>
        <v>11.202499999999999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179">
        <f>VALUE(LEFT(A250,LEN(A250)-3))</f>
        <v>71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/stypes="app*4020*20171011*" /stext=" 21:.+((SYSTEM_STATE.+slice.+state.+changed )|(ment ac)|(multiple cpu faults)|(system.+state.+changed )|(\[timeout)|(PRM\|1\|D)|(kpr)|(kdp)|(train st.+moving)|(\|lc)|(penalty))"</v>
      </c>
      <c r="AG250" s="182" t="str">
        <f>DetSubdiv(A250)</f>
        <v>Shuttle/Test</v>
      </c>
      <c r="AH250" s="78" t="str">
        <f t="shared" si="46"/>
        <v>"%USERPROFILE%\Documents\GitHub\eaglep3\Utilities\RefineRTDCRunTimes.py" --tripid 71-11 --locoid 4020 --swversion DE.1.0.9.0 --startMP 204:471 --initTime 2017-10-11T14:28:37 --startdatetime 2017-10-11T14:32:49 --delay 106 --endMP 300:112496 --enddatetime 2017-10-11T15:02:46 --enforcementcount 0 &gt;&gt;%USERPROFILE%\Documents\GitHub\eaglep3-reporting\EC\2017-10-11-refined-times.txt</v>
      </c>
      <c r="AI250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11.2496"},{"id":17,"name":"Train ID","value":"71-11"},{"id":16,"name":"Locomotive ID","value":"4020"},{"id":130,"name":"Impact","value":""},{"id":150,"name":"Time of Event (Mountain Time)","value":"15:02:46"},{"id":151,"name":"Denver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0" s="47"/>
      <c r="AL250" s="47"/>
      <c r="AM250" s="142" t="str">
        <f t="shared" si="48"/>
        <v>start /low /b %USERPROFILE%\Documents\GitHub\eaglep3\Utilities\DownloadLogsFromS3.py --loco 4020 --day 2017-10-11</v>
      </c>
      <c r="AN250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21:02:46"},{"id":29,"name":"Sharepoint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168" t="str">
        <f t="shared" si="50"/>
        <v>https://d0f6bd738d7f1b3e5a7ca70fe4ff75f0.us-east-1.aws.found.io/app/kibana#/discover/Steve-Slow-Train-Analysis-(2080s-and-2083s)?_g=(refreshInterval:(display:Off,pause:!f,section:0,value:0),time:(from:'2017-10-11T13:28:37-0600',mode:absolute,to:'2017-10-11T16:02:46-0600'))&amp;_a=(columns:!('Message%20ID',Summary),filters:!(),index:'emp_*',interval:auto,query:(query_string:(analyze_wildcard:!t,query:'%22rtdc.l.rtdc.4020%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 s="32" t="s">
        <v>595</v>
      </c>
      <c r="B251" s="7">
        <v>4020</v>
      </c>
      <c r="C251" s="21" t="s">
        <v>194</v>
      </c>
      <c r="D251" s="21" t="s">
        <v>923</v>
      </c>
      <c r="E251" s="13">
        <v>43019.688611111109</v>
      </c>
      <c r="F251" s="13">
        <v>43019.691631944443</v>
      </c>
      <c r="G251" s="7">
        <v>88</v>
      </c>
      <c r="H251" s="21" t="s">
        <v>924</v>
      </c>
      <c r="I251" s="13">
        <v>43019.706342592595</v>
      </c>
      <c r="J251" s="7">
        <v>0</v>
      </c>
      <c r="K251" s="89" t="str">
        <f>IF(ISEVEN(B251),(B251-1)&amp;"/"&amp;B251,B251&amp;"/"&amp;(B251+1))</f>
        <v>4019/4020</v>
      </c>
      <c r="L251" s="185" t="str">
        <f>VLOOKUP(A251,'Trips&amp;Operators'!$C$1:$G$99911,5,FALSE)</f>
        <v>NEWELL JAMES</v>
      </c>
      <c r="M251" s="6">
        <f>I251-F251</f>
        <v>1.471064815268619E-2</v>
      </c>
      <c r="N251" s="7">
        <f>24*60*SUM($M251:$M251)</f>
        <v>21.183333339868113</v>
      </c>
      <c r="O251" s="7"/>
      <c r="P251" s="7"/>
      <c r="Q251" s="22"/>
      <c r="R251" s="174"/>
      <c r="S251" s="221">
        <f>1/IF(AG251="EC",12,1)*SUM(U251:U251)</f>
        <v>0</v>
      </c>
      <c r="T251" s="174" t="str">
        <f>IF(ISEVEN(LEFT(AD251,4)),"Southbound","NorthBound")</f>
        <v>NorthBound</v>
      </c>
      <c r="U251" s="198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1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-10-11T15:31:36-0600',mode:absolute,to:'2017-10-11T17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1" s="204" t="str">
        <f>IF(AA251&lt;VLOOKUP(AG251,Variables!$AC$3:$AD$8,2,FALSE),"Y","N")</f>
        <v>Y</v>
      </c>
      <c r="X251" s="204">
        <f>VALUE(LEFT(AD251,4))-VALUE(LEFT(AD250,4))</f>
        <v>0</v>
      </c>
      <c r="Y251" s="204">
        <f>RIGHT(D251,LEN(D251)-4)/10000</f>
        <v>3.9388999999999998</v>
      </c>
      <c r="Z251" s="204">
        <f>RIGHT(H251,LEN(H251)-4)/10000</f>
        <v>11.2507</v>
      </c>
      <c r="AA251" s="204">
        <f>ABS(Z251-Y251)</f>
        <v>7.3117999999999999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179">
        <f>VALUE(LEFT(A251,LEN(A251)-3))</f>
        <v>71</v>
      </c>
      <c r="AE251" s="77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251" s="7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/stypes="app*4020*20171011*" /stext=" 22:.+((SYSTEM_STATE.+slice.+state.+changed )|(ment ac)|(multiple cpu faults)|(system.+state.+changed )|(\[timeout)|(PRM\|1\|D)|(kpr)|(kdp)|(train st.+moving)|(\|lc)|(penalty))"</v>
      </c>
      <c r="AG251" s="182" t="str">
        <f>DetSubdiv(A251)</f>
        <v>Shuttle/Test</v>
      </c>
      <c r="AH251" s="78" t="str">
        <f t="shared" si="46"/>
        <v>"%USERPROFILE%\Documents\GitHub\eaglep3\Utilities\RefineRTDCRunTimes.py" --tripid 71-11 --locoid 4020 --swversion DE.1.0.9.0 --startMP 300:39389 --initTime 2017-10-11T16:31:36 --startdatetime 2017-10-11T16:35:57 --delay 88 --endMP 300:112507 --enddatetime 2017-10-11T16:57:08 --enforcementcount 0 &gt;&gt;%USERPROFILE%\Documents\GitHub\eaglep3-reporting\EC\2017-10-11-refined-times.txt</v>
      </c>
      <c r="AI251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11.2507"},{"id":17,"name":"Train ID","value":"71-11"},{"id":16,"name":"Locomotive ID","value":"4020"},{"id":130,"name":"Impact","value":""},{"id":150,"name":"Time of Event (Mountain Time)","value":"16:57:08"},{"id":151,"name":"Denver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1" s="47"/>
      <c r="AL251" s="47"/>
      <c r="AM251" s="142" t="str">
        <f t="shared" si="48"/>
        <v>start /low /b %USERPROFILE%\Documents\GitHub\eaglep3\Utilities\DownloadLogsFromS3.py --loco 4020 --day 2017-10-11</v>
      </c>
      <c r="AN251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22:57:08"},{"id":29,"name":"Sharepoint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168" t="str">
        <f t="shared" si="50"/>
        <v>https://d0f6bd738d7f1b3e5a7ca70fe4ff75f0.us-east-1.aws.found.io/app/kibana#/discover/Steve-Slow-Train-Analysis-(2080s-and-2083s)?_g=(refreshInterval:(display:Off,pause:!f,section:0,value:0),time:(from:'2017-10-11T15:31:36-0600',mode:absolute,to:'2017-10-11T17:57:08-0600'))&amp;_a=(columns:!('Message%20ID',Summary),filters:!(),index:'emp_*',interval:auto,query:(query_string:(analyze_wildcard:!t,query:'%22rtdc.l.rtdc.4020%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x14ac:dyDescent="0.3">
      <c r="A252" s="32" t="s">
        <v>724</v>
      </c>
      <c r="B252" s="7">
        <v>4019</v>
      </c>
      <c r="C252" s="21" t="s">
        <v>194</v>
      </c>
      <c r="D252" s="21" t="s">
        <v>925</v>
      </c>
      <c r="E252" s="13">
        <v>43019.53019675926</v>
      </c>
      <c r="F252" s="13">
        <v>43019.533865740741</v>
      </c>
      <c r="G252" s="7">
        <v>124</v>
      </c>
      <c r="H252" s="21" t="s">
        <v>926</v>
      </c>
      <c r="I252" s="13">
        <v>43019.551874999997</v>
      </c>
      <c r="J252" s="7">
        <v>0</v>
      </c>
      <c r="K252" s="89" t="str">
        <f>IF(ISEVEN(B252),(B252-1)&amp;"/"&amp;B252,B252&amp;"/"&amp;(B252+1))</f>
        <v>4019/4020</v>
      </c>
      <c r="L252" s="185" t="str">
        <f>VLOOKUP(A252,'Trips&amp;Operators'!$C$1:$G$99911,5,FALSE)</f>
        <v>ROMERO CHAD</v>
      </c>
      <c r="M252" s="6">
        <f>I252-F252</f>
        <v>1.8009259256359655E-2</v>
      </c>
      <c r="N252" s="7">
        <f>24*60*SUM($M252:$M252)</f>
        <v>25.933333329157904</v>
      </c>
      <c r="O252" s="7"/>
      <c r="P252" s="7"/>
      <c r="Q252" s="22"/>
      <c r="R252" s="174"/>
      <c r="S252" s="221">
        <f>1/IF(AG252="EC",12,1)*SUM(U252:U252)</f>
        <v>0</v>
      </c>
      <c r="T252" s="174" t="str">
        <f>IF(ISEVEN(LEFT(AD252,4)),"Southbound","NorthBound")</f>
        <v>Southbound</v>
      </c>
      <c r="U252" s="198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216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2017-10-11T11:43:29-0600',mode:absolute,to:'2017-10-11T14:14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52" s="204" t="str">
        <f>IF(AA252&lt;VLOOKUP(AG252,Variables!$AC$3:$AD$8,2,FALSE),"Y","N")</f>
        <v>Y</v>
      </c>
      <c r="X252" s="204">
        <f>VALUE(LEFT(AD252,4))-VALUE(LEFT(AD251,4))</f>
        <v>1</v>
      </c>
      <c r="Y252" s="204">
        <f>RIGHT(D252,LEN(D252)-4)/10000</f>
        <v>11.2189</v>
      </c>
      <c r="Z252" s="204">
        <f>RIGHT(H252,LEN(H252)-4)/10000</f>
        <v>2.8713000000000002</v>
      </c>
      <c r="AA252" s="204">
        <f>ABS(Z252-Y252)</f>
        <v>8.3475999999999999</v>
      </c>
      <c r="AB252" s="54" t="e">
        <f>VLOOKUP(A252,Enforcements!$C$7:$K$11,8,0)</f>
        <v>#N/A</v>
      </c>
      <c r="AC252" s="51" t="e">
        <f>VLOOKUP(A252,Enforcements!$C$7:$E$11,3,0)</f>
        <v>#N/A</v>
      </c>
      <c r="AD252" s="179">
        <f>VALUE(LEFT(A252,LEN(A252)-3))</f>
        <v>72</v>
      </c>
      <c r="AE252" s="77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 &amp; aws s3 cp s3://rtdc.mdm.uploadarchive.raw/RTDC4019/ "%USERPROFILE%\AppData\Local\Temp\OnboardLogs"\RTDC4019\2017-10-12 --exclude "*" --recursive --include "*20171012*" &amp; "%USERPROFILE%\Documents\GitHub\mrs-test-scripts\Headless Mode &amp; Sideloading\WalkAndUnGZ.bat" "%USERPROFILE%\AppData\Local\Temp\OnboardLogs"\RTDC4019\2017-10-12</v>
      </c>
      <c r="AF252" s="74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/stypes="app*4019*20171011*" /stext=" 19:.+((SYSTEM_STATE.+slice.+state.+changed )|(ment ac)|(multiple cpu faults)|(system.+state.+changed )|(\[timeout)|(PRM\|1\|D)|(kpr)|(kdp)|(train st.+moving)|(\|lc)|(penalty))"</v>
      </c>
      <c r="AG252" s="182" t="str">
        <f>DetSubdiv(A252)</f>
        <v>Shuttle/Test</v>
      </c>
      <c r="AH252" s="78" t="str">
        <f t="shared" si="46"/>
        <v>"%USERPROFILE%\Documents\GitHub\eaglep3\Utilities\RefineRTDCRunTimes.py" --tripid 72-11 --locoid 4019 --swversion DE.1.0.9.0 --startMP 300:112189 --initTime 2017-10-11T12:43:29 --startdatetime 2017-10-11T12:48:46 --delay 124 --endMP 300:28713 --enddatetime 2017-10-11T13:14:42 --enforcementcount 0 &gt;&gt;%USERPROFILE%\Documents\GitHub\eaglep3-reporting\EC\2017-10-11-refined-times.txt</v>
      </c>
      <c r="AI252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2.8713"},{"id":17,"name":"Train ID","value":"72-11"},{"id":16,"name":"Locomotive ID","value":"4019"},{"id":130,"name":"Impact","value":""},{"id":150,"name":"Time of Event (Mountain Time)","value":"13:14:42"},{"id":151,"name":"Denver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2" s="20"/>
      <c r="AK252" s="47"/>
      <c r="AL252" s="47"/>
      <c r="AM252" s="142" t="str">
        <f t="shared" si="48"/>
        <v>start /low /b %USERPROFILE%\Documents\GitHub\eaglep3\Utilities\DownloadLogsFromS3.py --loco 4019 --day 2017-10-11</v>
      </c>
      <c r="AN252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19:14:42"},{"id":29,"name":"Sharepoint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168" t="str">
        <f t="shared" si="50"/>
        <v>https://d0f6bd738d7f1b3e5a7ca70fe4ff75f0.us-east-1.aws.found.io/app/kibana#/discover/Steve-Slow-Train-Analysis-(2080s-and-2083s)?_g=(refreshInterval:(display:Off,pause:!f,section:0,value:0),time:(from:'2017-10-11T11:43:29-0600',mode:absolute,to:'2017-10-11T14:14:42-0600'))&amp;_a=(columns:!('Message%20ID',Summary),filters:!(),index:'emp_*',interval:auto,query:(query_string:(analyze_wildcard:!t,query:'%22rtdc.l.rtdc.4019%22')),sort:!(Time.ISO8601,asc))</v>
      </c>
    </row>
    <row r="253" spans="1:91" s="20" customFormat="1" x14ac:dyDescent="0.3">
      <c r="A253" s="32" t="s">
        <v>593</v>
      </c>
      <c r="B253" s="7">
        <v>4020</v>
      </c>
      <c r="C253" s="21" t="s">
        <v>194</v>
      </c>
      <c r="D253" s="21" t="s">
        <v>927</v>
      </c>
      <c r="E253" s="13">
        <v>43019.505925925929</v>
      </c>
      <c r="F253" s="13">
        <v>43019.513449074075</v>
      </c>
      <c r="G253" s="7">
        <v>152</v>
      </c>
      <c r="H253" s="21" t="s">
        <v>928</v>
      </c>
      <c r="I253" s="13">
        <v>43019.52925925926</v>
      </c>
      <c r="J253" s="7">
        <v>0</v>
      </c>
      <c r="K253" s="89" t="str">
        <f>IF(ISEVEN(B253),(B253-1)&amp;"/"&amp;B253,B253&amp;"/"&amp;(B253+1))</f>
        <v>4019/4020</v>
      </c>
      <c r="L253" s="185" t="str">
        <f>VLOOKUP(A253,'Trips&amp;Operators'!$C$1:$G$99911,5,FALSE)</f>
        <v>ROMERO CHAD</v>
      </c>
      <c r="M253" s="6">
        <f>I253-F253</f>
        <v>1.5810185184818693E-2</v>
      </c>
      <c r="N253" s="7">
        <f>24*60*SUM($M253:$M253)</f>
        <v>22.766666666138917</v>
      </c>
      <c r="O253" s="7"/>
      <c r="P253" s="7"/>
      <c r="Q253" s="22"/>
      <c r="R253" s="174"/>
      <c r="S253" s="221">
        <f>1/IF(AG253="EC",12,1)*SUM(U253:U253)</f>
        <v>0</v>
      </c>
      <c r="T253" s="174" t="str">
        <f>IF(ISEVEN(LEFT(AD253,4)),"Southbound","NorthBound")</f>
        <v>NorthBound</v>
      </c>
      <c r="U253" s="198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216" t="str">
        <f>"https://d0f6bd738d7f1b3e5a7ca70fe4ff75f0.us-east-1.aws.found.io/app/kibana#/discover/Steve-Slow-Train-Analysis-(2080s-and-2083s)?_g="&amp;"(refreshInterval:(display:Off,pause:!f,section:0,value:0),time:(from:'"&amp;TEXT(E253-1/24,"yyyy-MM-DDThh:mm:ss")&amp;utc_offset&amp;"00"&amp;"',mode:absolute,to:'"&amp;TEXT(I253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253&amp;"%22')),sort:!(Time.ISO8601,asc))"</f>
        <v>https://d0f6bd738d7f1b3e5a7ca70fe4ff75f0.us-east-1.aws.found.io/app/kibana#/discover/Steve-Slow-Train-Analysis-(2080s-and-2083s)?_g=(refreshInterval:(display:Off,pause:!f,section:0,value:0),time:(from:'2017-10-11T11:08:32-0600',mode:absolute,to:'2017-10-11T13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3" s="204" t="str">
        <f>IF(AA253&lt;VLOOKUP(AG253,Variables!$AC$3:$AD$8,2,FALSE),"Y","N")</f>
        <v>Y</v>
      </c>
      <c r="X253" s="204">
        <f>VALUE(LEFT(AD253,4))-VALUE(LEFT(AD252,4))</f>
        <v>1</v>
      </c>
      <c r="Y253" s="204">
        <f>RIGHT(D253,LEN(D253)-4)/10000</f>
        <v>2.9775</v>
      </c>
      <c r="Z253" s="204">
        <f>RIGHT(H253,LEN(H253)-4)/10000</f>
        <v>11.2517</v>
      </c>
      <c r="AA253" s="204">
        <f>ABS(Z253-Y253)</f>
        <v>8.2742000000000004</v>
      </c>
      <c r="AB253" s="54" t="e">
        <f>VLOOKUP(A253,Enforcements!$C$7:$K$11,8,0)</f>
        <v>#N/A</v>
      </c>
      <c r="AC253" s="51" t="e">
        <f>VLOOKUP(A253,Enforcements!$C$7:$E$11,3,0)</f>
        <v>#N/A</v>
      </c>
      <c r="AD253" s="179">
        <f>VALUE(LEFT(A253,LEN(A253)-3))</f>
        <v>73</v>
      </c>
      <c r="AE253" s="77" t="str">
        <f>"aws s3 cp "&amp;s3_bucket&amp;"/RTDC"&amp;B253&amp;"/ "&amp;search_path&amp;"\RTDC"&amp;B253&amp;"\"&amp;TEXT(F253,"YYYY-MM-DD")&amp;" --exclude ""*"" --recursive --include ""*"&amp;TEXT(F253,"YYYYMMDD")&amp;"*"" &amp; """&amp;walkandungz&amp;""" "&amp;search_path&amp;"\RTDC"&amp;B253&amp;"\"&amp;TEXT(F253,"YYYY-MM-DD")
&amp;" &amp; "&amp;"aws s3 cp "&amp;s3_bucket&amp;"/RTDC"&amp;B253&amp;"/ "&amp;search_path&amp;"\RTDC"&amp;B253&amp;"\"&amp;TEXT(F253+1,"YYYY-MM-DD")&amp;" --exclude ""*"" --recursive --include ""*"&amp;TEXT(F253+1,"YYYYMMDD")&amp;"*"" &amp; """&amp;walkandungz&amp;""" "&amp;search_path&amp;"\RTDC"&amp;B253&amp;"\"&amp;TEXT(F253+1,"YYYY-MM-DD")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253" s="74" t="str">
        <f>astrogrep_path&amp;" /e /r /s /spath="&amp;search_path&amp;" /stypes=""app*"&amp;B253&amp;"*"&amp;TEXT(I253-utc_offset/24,"YYYYMMDD")&amp;"*"" /stext="" "&amp;TEXT(I253-utc_offset/24,"HH")&amp;search_regexp&amp;""""</f>
        <v>"C:\Program Files (x86)\AstroGrep\AstroGrep.exe" /e /r /s /spath="%USERPROFILE%\AppData\Local\Temp\OnboardLogs" /stypes="app*4020*20171011*" /stext=" 18:.+((SYSTEM_STATE.+slice.+state.+changed )|(ment ac)|(multiple cpu faults)|(system.+state.+changed )|(\[timeout)|(PRM\|1\|D)|(kpr)|(kdp)|(train st.+moving)|(\|lc)|(penalty))"</v>
      </c>
      <c r="AG253" s="182" t="str">
        <f>DetSubdiv(A253)</f>
        <v>Shuttle/Test</v>
      </c>
      <c r="AH253" s="78" t="str">
        <f t="shared" si="46"/>
        <v>"%USERPROFILE%\Documents\GitHub\eaglep3\Utilities\RefineRTDCRunTimes.py" --tripid 73-11 --locoid 4020 --swversion DE.1.0.9.0 --startMP 300:29775 --initTime 2017-10-11T12:08:32 --startdatetime 2017-10-11T12:19:22 --delay 152 --endMP 300:112517 --enddatetime 2017-10-11T12:42:08 --enforcementcount 0 &gt;&gt;%USERPROFILE%\Documents\GitHub\eaglep3-reporting\EC\2017-10-11-refined-times.txt</v>
      </c>
      <c r="AI253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11.2517"},{"id":17,"name":"Train ID","value":"73-11"},{"id":16,"name":"Locomotive ID","value":"4020"},{"id":130,"name":"Impact","value":""},{"id":150,"name":"Time of Event (Mountain Time)","value":"12:42:08"},{"id":151,"name":"Denver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3" s="47"/>
      <c r="AL253" s="47"/>
      <c r="AM253" s="142" t="str">
        <f t="shared" si="48"/>
        <v>start /low /b %USERPROFILE%\Documents\GitHub\eaglep3\Utilities\DownloadLogsFromS3.py --loco 4020 --day 2017-10-11</v>
      </c>
      <c r="AN253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168" t="str">
        <f t="shared" si="50"/>
        <v>https://d0f6bd738d7f1b3e5a7ca70fe4ff75f0.us-east-1.aws.found.io/app/kibana#/discover/Steve-Slow-Train-Analysis-(2080s-and-2083s)?_g=(refreshInterval:(display:Off,pause:!f,section:0,value:0),time:(from:'2017-10-11T11:08:32-0600',mode:absolute,to:'2017-10-11T13:42:08-0600'))&amp;_a=(columns:!('Message%20ID',Summary),filters:!(),index:'emp_*',interval:auto,query:(query_string:(analyze_wildcard:!t,query:'%22rtdc.l.rtdc.4020%22')),sort:!(Time.ISO8601,asc))</v>
      </c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 s="32" t="s">
        <v>781</v>
      </c>
      <c r="B254" s="7">
        <v>4001</v>
      </c>
      <c r="C254" s="21" t="s">
        <v>194</v>
      </c>
      <c r="D254" s="21" t="s">
        <v>929</v>
      </c>
      <c r="E254" s="13">
        <v>43019.76357638889</v>
      </c>
      <c r="F254" s="13">
        <v>43019.76489583333</v>
      </c>
      <c r="G254" s="7">
        <v>71</v>
      </c>
      <c r="H254" s="21" t="s">
        <v>930</v>
      </c>
      <c r="I254" s="13">
        <v>43019.771284722221</v>
      </c>
      <c r="J254" s="7">
        <v>0</v>
      </c>
      <c r="K254" s="89" t="str">
        <f>IF(ISEVEN(B254),(B254-1)&amp;"/"&amp;B254,B254&amp;"/"&amp;(B254+1))</f>
        <v>4001/4002</v>
      </c>
      <c r="L254" s="185" t="str">
        <f>VLOOKUP(A254,'Trips&amp;Operators'!$C$1:$G$99911,5,FALSE)</f>
        <v>NICHOLSON WESLEY</v>
      </c>
      <c r="M254" s="6">
        <f>I254-F254</f>
        <v>6.3888888907968067E-3</v>
      </c>
      <c r="N254" s="7">
        <f>24*60*SUM($M254:$M254)</f>
        <v>9.2000000027474016</v>
      </c>
      <c r="O254" s="7"/>
      <c r="P254" s="7"/>
      <c r="Q254" s="22"/>
      <c r="R254" s="174"/>
      <c r="S254" s="221">
        <f>1/IF(AG254="EC",12,1)*SUM(U254:U254)</f>
        <v>1</v>
      </c>
      <c r="T254" s="174" t="str">
        <f>IF(ISEVEN(LEFT(AD254,4)),"Southbound","NorthBound")</f>
        <v>Southbound</v>
      </c>
      <c r="U254" s="198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216" t="str">
        <f>"https://d0f6bd738d7f1b3e5a7ca70fe4ff75f0.us-east-1.aws.found.io/app/kibana#/discover/Steve-Slow-Train-Analysis-(2080s-and-2083s)?_g="&amp;"(refreshInterval:(display:Off,pause:!f,section:0,value:0),time:(from:'"&amp;TEXT(E254-1/24,"yyyy-MM-DDThh:mm:ss")&amp;utc_offset&amp;"00"&amp;"',mode:absolute,to:'"&amp;TEXT(I254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254&amp;"%22')),sort:!(Time.ISO8601,asc))"</f>
        <v>https://d0f6bd738d7f1b3e5a7ca70fe4ff75f0.us-east-1.aws.found.io/app/kibana#/discover/Steve-Slow-Train-Analysis-(2080s-and-2083s)?_g=(refreshInterval:(display:Off,pause:!f,section:0,value:0),time:(from:'2017-10-11T17:19:33-0600',mode:absolute,to:'2017-10-11T19:30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54" s="204" t="str">
        <f>IF(AA254&lt;VLOOKUP(AG254,Variables!$AC$3:$AD$8,2,FALSE),"Y","N")</f>
        <v>Y</v>
      </c>
      <c r="X254" s="204">
        <f>VALUE(LEFT(AD254,4))-VALUE(LEFT(AD253,4))</f>
        <v>1</v>
      </c>
      <c r="Y254" s="204">
        <f>RIGHT(D254,LEN(D254)-4)/10000</f>
        <v>2.2740999999999998</v>
      </c>
      <c r="Z254" s="204">
        <f>RIGHT(H254,LEN(H254)-4)/10000</f>
        <v>0.10349999999999999</v>
      </c>
      <c r="AA254" s="204">
        <f>ABS(Z254-Y254)</f>
        <v>2.1705999999999999</v>
      </c>
      <c r="AB254" s="54" t="e">
        <f>VLOOKUP(A254,Enforcements!$C$7:$K$11,8,0)</f>
        <v>#N/A</v>
      </c>
      <c r="AC254" s="51" t="e">
        <f>VLOOKUP(A254,Enforcements!$C$7:$E$11,3,0)</f>
        <v>#N/A</v>
      </c>
      <c r="AD254" s="179">
        <f>VALUE(LEFT(A254,LEN(A254)-3))</f>
        <v>74</v>
      </c>
      <c r="AE254" s="77" t="str">
        <f>"aws s3 cp "&amp;s3_bucket&amp;"/RTDC"&amp;B254&amp;"/ "&amp;search_path&amp;"\RTDC"&amp;B254&amp;"\"&amp;TEXT(F254,"YYYY-MM-DD")&amp;" --exclude ""*"" --recursive --include ""*"&amp;TEXT(F254,"YYYYMMDD")&amp;"*"" &amp; """&amp;walkandungz&amp;""" "&amp;search_path&amp;"\RTDC"&amp;B254&amp;"\"&amp;TEXT(F254,"YYYY-MM-DD")
&amp;" &amp; "&amp;"aws s3 cp "&amp;s3_bucket&amp;"/RTDC"&amp;B254&amp;"/ "&amp;search_path&amp;"\RTDC"&amp;B254&amp;"\"&amp;TEXT(F254+1,"YYYY-MM-DD")&amp;" --exclude ""*"" --recursive --include ""*"&amp;TEXT(F254+1,"YYYYMMDD")&amp;"*"" &amp; """&amp;walkandungz&amp;""" "&amp;search_path&amp;"\RTDC"&amp;B254&amp;"\"&amp;TEXT(F254+1,"YYYY-MM-DD")</f>
        <v>aws s3 cp s3://rtdc.mdm.uploadarchive.raw/RTDC4001/ "%USERPROFILE%\AppData\Local\Temp\OnboardLogs"\RTDC4001\2017-10-11 --exclude "*" --recursive --include "*20171011*" &amp; "%USERPROFILE%\Documents\GitHub\mrs-test-scripts\Headless Mode &amp; Sideloading\WalkAndUnGZ.bat" "%USERPROFILE%\AppData\Local\Temp\OnboardLogs"\RTDC4001\2017-10-11 &amp; 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</v>
      </c>
      <c r="AF254" s="74" t="str">
        <f>astrogrep_path&amp;" /e /r /s /spath="&amp;search_path&amp;" /stypes=""app*"&amp;B254&amp;"*"&amp;TEXT(I254-utc_offset/24,"YYYYMMDD")&amp;"*"" /stext="" "&amp;TEXT(I254-utc_offset/24,"HH")&amp;search_regexp&amp;""""</f>
        <v>"C:\Program Files (x86)\AstroGrep\AstroGrep.exe" /e /r /s /spath="%USERPROFILE%\AppData\Local\Temp\OnboardLogs" /stypes="app*4001*20171012*" /stext=" 00:.+((SYSTEM_STATE.+slice.+state.+changed )|(ment ac)|(multiple cpu faults)|(system.+state.+changed )|(\[timeout)|(PRM\|1\|D)|(kpr)|(kdp)|(train st.+moving)|(\|lc)|(penalty))"</v>
      </c>
      <c r="AG254" s="182" t="str">
        <f>DetSubdiv(A254)</f>
        <v>Shuttle/Test</v>
      </c>
      <c r="AH254" s="78" t="str">
        <f t="shared" si="46"/>
        <v>"%USERPROFILE%\Documents\GitHub\eaglep3\Utilities\RefineRTDCRunTimes.py" --tripid 74-11 --locoid 4001 --swversion DE.1.0.9.0 --startMP 300:22741 --initTime 2017-10-11T18:19:33 --startdatetime 2017-10-11T18:21:27 --delay 71 --endMP 204:1035 --enddatetime 2017-10-11T18:30:39 --enforcementcount 0 &gt;&gt;%USERPROFILE%\Documents\GitHub\eaglep3-reporting\EC\2017-10-11-refined-times.txt</v>
      </c>
      <c r="AI254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0.1035"},{"id":17,"name":"Train ID","value":"74-11"},{"id":16,"name":"Locomotive ID","value":"4001"},{"id":130,"name":"Impact","value":""},{"id":150,"name":"Time of Event (Mountain Time)","value":"18:30:39"},{"id":151,"name":"Denver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4" s="47"/>
      <c r="AL254" s="47"/>
      <c r="AM254" s="142" t="str">
        <f t="shared" si="48"/>
        <v>start /low /b %USERPROFILE%\Documents\GitHub\eaglep3\Utilities\DownloadLogsFromS3.py --loco 4001 --day 2017-10-11</v>
      </c>
      <c r="AN254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00:30:39"},{"id":29,"name":"Sharepoint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168" t="str">
        <f t="shared" si="50"/>
        <v>https://d0f6bd738d7f1b3e5a7ca70fe4ff75f0.us-east-1.aws.found.io/app/kibana#/discover/Steve-Slow-Train-Analysis-(2080s-and-2083s)?_g=(refreshInterval:(display:Off,pause:!f,section:0,value:0),time:(from:'2017-10-11T17:19:33-0600',mode:absolute,to:'2017-10-11T19:30:39-0600'))&amp;_a=(columns:!('Message%20ID',Summary),filters:!(),index:'emp_*',interval:auto,query:(query_string:(analyze_wildcard:!t,query:'%22rtdc.l.rtdc.4001%22')),sort:!(Time.ISO8601,asc))</v>
      </c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 s="32" t="s">
        <v>765</v>
      </c>
      <c r="B255" s="7">
        <v>4024</v>
      </c>
      <c r="C255" s="21" t="s">
        <v>194</v>
      </c>
      <c r="D255" s="21" t="s">
        <v>898</v>
      </c>
      <c r="E255" s="13">
        <v>43019.701319444444</v>
      </c>
      <c r="F255" s="13">
        <v>43019.704351851855</v>
      </c>
      <c r="G255" s="7">
        <v>90</v>
      </c>
      <c r="H255" s="21" t="s">
        <v>891</v>
      </c>
      <c r="I255" s="13">
        <v>43019.710902777777</v>
      </c>
      <c r="J255" s="7">
        <v>0</v>
      </c>
      <c r="K255" s="89" t="str">
        <f>IF(ISEVEN(B255),(B255-1)&amp;"/"&amp;B255,B255&amp;"/"&amp;(B255+1))</f>
        <v>4023/4024</v>
      </c>
      <c r="L255" s="185" t="str">
        <f>VLOOKUP(A255,'Trips&amp;Operators'!$C$1:$G$99911,5,FALSE)</f>
        <v>MOSES BRADLEY</v>
      </c>
      <c r="M255" s="6">
        <f>I255-F255</f>
        <v>6.5509259220561944E-3</v>
      </c>
      <c r="N255" s="7">
        <f>24*60*SUM($M255:$M255)</f>
        <v>9.4333333277609199</v>
      </c>
      <c r="O255" s="7"/>
      <c r="P255" s="7"/>
      <c r="Q255" s="22"/>
      <c r="R255" s="174"/>
      <c r="S255" s="221">
        <f>1/IF(AG255="EC",12,1)*SUM(U255:U255)</f>
        <v>1</v>
      </c>
      <c r="T255" s="174" t="str">
        <f>IF(ISEVEN(LEFT(AD255,4)),"Southbound","NorthBound")</f>
        <v>NorthBound</v>
      </c>
      <c r="U255" s="198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1</v>
      </c>
      <c r="V255" s="216" t="str">
        <f>"https://d0f6bd738d7f1b3e5a7ca70fe4ff75f0.us-east-1.aws.found.io/app/kibana#/discover/Steve-Slow-Train-Analysis-(2080s-and-2083s)?_g="&amp;"(refreshInterval:(display:Off,pause:!f,section:0,value:0),time:(from:'"&amp;TEXT(E255-1/24,"yyyy-MM-DDThh:mm:ss")&amp;utc_offset&amp;"00"&amp;"',mode:absolute,to:'"&amp;TEXT(I255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255&amp;"%22')),sort:!(Time.ISO8601,asc))"</f>
        <v>https://d0f6bd738d7f1b3e5a7ca70fe4ff75f0.us-east-1.aws.found.io/app/kibana#/discover/Steve-Slow-Train-Analysis-(2080s-and-2083s)?_g=(refreshInterval:(display:Off,pause:!f,section:0,value:0),time:(from:'2017-10-11T15:49:54-0600',mode:absolute,to:'2017-10-11T18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5" s="204" t="str">
        <f>IF(AA255&lt;VLOOKUP(AG255,Variables!$AC$3:$AD$8,2,FALSE),"Y","N")</f>
        <v>Y</v>
      </c>
      <c r="X255" s="204">
        <f>VALUE(LEFT(AD255,4))-VALUE(LEFT(AD254,4))</f>
        <v>1</v>
      </c>
      <c r="Y255" s="204">
        <f>RIGHT(D255,LEN(D255)-4)/10000</f>
        <v>0.14810000000000001</v>
      </c>
      <c r="Z255" s="204">
        <f>RIGHT(H255,LEN(H255)-4)/10000</f>
        <v>2.3308</v>
      </c>
      <c r="AA255" s="204">
        <f>ABS(Z255-Y255)</f>
        <v>2.1827000000000001</v>
      </c>
      <c r="AB255" s="54" t="e">
        <f>VLOOKUP(A255,Enforcements!$C$7:$K$11,8,0)</f>
        <v>#N/A</v>
      </c>
      <c r="AC255" s="51" t="e">
        <f>VLOOKUP(A255,Enforcements!$C$7:$E$11,3,0)</f>
        <v>#N/A</v>
      </c>
      <c r="AD255" s="179">
        <f>VALUE(LEFT(A255,LEN(A255)-3))</f>
        <v>75</v>
      </c>
      <c r="AE255" s="77" t="str">
        <f>"aws s3 cp "&amp;s3_bucket&amp;"/RTDC"&amp;B255&amp;"/ "&amp;search_path&amp;"\RTDC"&amp;B255&amp;"\"&amp;TEXT(F255,"YYYY-MM-DD")&amp;" --exclude ""*"" --recursive --include ""*"&amp;TEXT(F255,"YYYYMMDD")&amp;"*"" &amp; """&amp;walkandungz&amp;""" "&amp;search_path&amp;"\RTDC"&amp;B255&amp;"\"&amp;TEXT(F255,"YYYY-MM-DD")
&amp;" &amp; "&amp;"aws s3 cp "&amp;s3_bucket&amp;"/RTDC"&amp;B255&amp;"/ "&amp;search_path&amp;"\RTDC"&amp;B255&amp;"\"&amp;TEXT(F255+1,"YYYY-MM-DD")&amp;" --exclude ""*"" --recursive --include ""*"&amp;TEXT(F255+1,"YYYYMMDD")&amp;"*"" &amp; """&amp;walkandungz&amp;""" "&amp;search_path&amp;"\RTDC"&amp;B255&amp;"\"&amp;TEXT(F255+1,"YYYY-MM-DD")</f>
        <v>aws s3 cp s3://rtdc.mdm.uploadarchive.raw/RTDC4024/ "%USERPROFILE%\AppData\Local\Temp\OnboardLogs"\RTDC4024\2017-10-11 --exclude "*" --recursive --include "*20171011*" &amp; "%USERPROFILE%\Documents\GitHub\mrs-test-scripts\Headless Mode &amp; Sideloading\WalkAndUnGZ.bat" "%USERPROFILE%\AppData\Local\Temp\OnboardLogs"\RTDC4024\2017-10-11 &amp; aws s3 cp s3://rtdc.mdm.uploadarchive.raw/RTDC4024/ "%USERPROFILE%\AppData\Local\Temp\OnboardLogs"\RTDC4024\2017-10-12 --exclude "*" --recursive --include "*20171012*" &amp; "%USERPROFILE%\Documents\GitHub\mrs-test-scripts\Headless Mode &amp; Sideloading\WalkAndUnGZ.bat" "%USERPROFILE%\AppData\Local\Temp\OnboardLogs"\RTDC4024\2017-10-12</v>
      </c>
      <c r="AF255" s="74" t="str">
        <f>astrogrep_path&amp;" /e /r /s /spath="&amp;search_path&amp;" /stypes=""app*"&amp;B255&amp;"*"&amp;TEXT(I255-utc_offset/24,"YYYYMMDD")&amp;"*"" /stext="" "&amp;TEXT(I255-utc_offset/24,"HH")&amp;search_regexp&amp;""""</f>
        <v>"C:\Program Files (x86)\AstroGrep\AstroGrep.exe" /e /r /s /spath="%USERPROFILE%\AppData\Local\Temp\OnboardLogs" /stypes="app*4024*20171011*" /stext=" 23:.+((SYSTEM_STATE.+slice.+state.+changed )|(ment ac)|(multiple cpu faults)|(system.+state.+changed )|(\[timeout)|(PRM\|1\|D)|(kpr)|(kdp)|(train st.+moving)|(\|lc)|(penalty))"</v>
      </c>
      <c r="AG255" s="182" t="str">
        <f>DetSubdiv(A255)</f>
        <v>Shuttle/Test</v>
      </c>
      <c r="AH255" s="78" t="str">
        <f t="shared" si="46"/>
        <v>"%USERPROFILE%\Documents\GitHub\eaglep3\Utilities\RefineRTDCRunTimes.py" --tripid 75-11 --locoid 4024 --swversion DE.1.0.9.0 --startMP 204:1481 --initTime 2017-10-11T16:49:54 --startdatetime 2017-10-11T16:54:16 --delay 90 --endMP 300:23308 --enddatetime 2017-10-11T17:03:42 --enforcementcount 0 &gt;&gt;%USERPROFILE%\Documents\GitHub\eaglep3-reporting\EC\2017-10-11-refined-times.txt</v>
      </c>
      <c r="AI255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2.3308"},{"id":17,"name":"Train ID","value":"75-11"},{"id":16,"name":"Locomotive ID","value":"4024"},{"id":130,"name":"Impact","value":""},{"id":150,"name":"Time of Event (Mountain Time)","value":"17:03:42"},{"id":151,"name":"Denver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5" s="47"/>
      <c r="AL255" s="47"/>
      <c r="AM255" s="142" t="str">
        <f t="shared" si="48"/>
        <v>start /low /b %USERPROFILE%\Documents\GitHub\eaglep3\Utilities\DownloadLogsFromS3.py --loco 4024 --day 2017-10-11</v>
      </c>
      <c r="AN255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168" t="str">
        <f t="shared" si="50"/>
        <v>https://d0f6bd738d7f1b3e5a7ca70fe4ff75f0.us-east-1.aws.found.io/app/kibana#/discover/Steve-Slow-Train-Analysis-(2080s-and-2083s)?_g=(refreshInterval:(display:Off,pause:!f,section:0,value:0),time:(from:'2017-10-11T15:49:54-0600',mode:absolute,to:'2017-10-11T18:03:42-0600'))&amp;_a=(columns:!('Message%20ID',Summary),filters:!(),index:'emp_*',interval:auto,query:(query_string:(analyze_wildcard:!t,query:'%22rtdc.l.rtdc.4024%22')),sort:!(Time.ISO8601,asc))</v>
      </c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 s="32" t="s">
        <v>772</v>
      </c>
      <c r="B256" s="7">
        <v>4006</v>
      </c>
      <c r="C256" s="21" t="s">
        <v>194</v>
      </c>
      <c r="D256" s="21" t="s">
        <v>931</v>
      </c>
      <c r="E256" s="13">
        <v>43019.718356481484</v>
      </c>
      <c r="F256" s="13">
        <v>43019.721203703702</v>
      </c>
      <c r="G256" s="7">
        <v>152</v>
      </c>
      <c r="H256" s="21" t="s">
        <v>550</v>
      </c>
      <c r="I256" s="13">
        <v>43019.726412037038</v>
      </c>
      <c r="J256" s="7">
        <v>0</v>
      </c>
      <c r="K256" s="89" t="str">
        <f>IF(ISEVEN(B256),(B256-1)&amp;"/"&amp;B256,B256&amp;"/"&amp;(B256+1))</f>
        <v>4005/4006</v>
      </c>
      <c r="L256" s="185" t="str">
        <f>VLOOKUP(A256,'Trips&amp;Operators'!$C$1:$G$99911,5,FALSE)</f>
        <v>ROBINSON KADDIBA</v>
      </c>
      <c r="M256" s="6">
        <f>I256-F256</f>
        <v>5.2083333357586525E-3</v>
      </c>
      <c r="N256" s="7">
        <f>24*60*SUM($M256:$M256)</f>
        <v>7.5000000034924597</v>
      </c>
      <c r="O256" s="7"/>
      <c r="P256" s="7"/>
      <c r="Q256" s="22"/>
      <c r="R256" s="174"/>
      <c r="S256" s="221">
        <f>1/IF(AG256="EC",12,1)*SUM(U256:U256)</f>
        <v>1</v>
      </c>
      <c r="T256" s="174" t="str">
        <f>IF(ISEVEN(LEFT(AD256,4)),"Southbound","NorthBound")</f>
        <v>NorthBound</v>
      </c>
      <c r="U256" s="198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1</v>
      </c>
      <c r="V256" s="216" t="str">
        <f>"https://d0f6bd738d7f1b3e5a7ca70fe4ff75f0.us-east-1.aws.found.io/app/kibana#/discover/Steve-Slow-Train-Analysis-(2080s-and-2083s)?_g="&amp;"(refreshInterval:(display:Off,pause:!f,section:0,value:0),time:(from:'"&amp;TEXT(E256-1/24,"yyyy-MM-DDThh:mm:ss")&amp;utc_offset&amp;"00"&amp;"',mode:absolute,to:'"&amp;TEXT(I256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256&amp;"%22')),sort:!(Time.ISO8601,asc))"</f>
        <v>https://d0f6bd738d7f1b3e5a7ca70fe4ff75f0.us-east-1.aws.found.io/app/kibana#/discover/Steve-Slow-Train-Analysis-(2080s-and-2083s)?_g=(refreshInterval:(display:Off,pause:!f,section:0,value:0),time:(from:'2017-10-11T16:14:26-0600',mode:absolute,to:'2017-10-11T18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6" s="204" t="str">
        <f>IF(AA256&lt;VLOOKUP(AG256,Variables!$AC$3:$AD$8,2,FALSE),"Y","N")</f>
        <v>Y</v>
      </c>
      <c r="X256" s="204">
        <f>VALUE(LEFT(AD256,4))-VALUE(LEFT(AD255,4))</f>
        <v>2</v>
      </c>
      <c r="Y256" s="204">
        <f>RIGHT(D256,LEN(D256)-4)/10000</f>
        <v>0.1162</v>
      </c>
      <c r="Z256" s="204">
        <f>RIGHT(H256,LEN(H256)-4)/10000</f>
        <v>2.3346</v>
      </c>
      <c r="AA256" s="204">
        <f>ABS(Z256-Y256)</f>
        <v>2.2183999999999999</v>
      </c>
      <c r="AB256" s="54" t="e">
        <f>VLOOKUP(A256,Enforcements!$C$7:$K$11,8,0)</f>
        <v>#N/A</v>
      </c>
      <c r="AC256" s="51" t="e">
        <f>VLOOKUP(A256,Enforcements!$C$7:$E$11,3,0)</f>
        <v>#N/A</v>
      </c>
      <c r="AD256" s="179">
        <f>VALUE(LEFT(A256,LEN(A256)-3))</f>
        <v>77</v>
      </c>
      <c r="AE256" s="77" t="str">
        <f>"aws s3 cp "&amp;s3_bucket&amp;"/RTDC"&amp;B256&amp;"/ "&amp;search_path&amp;"\RTDC"&amp;B256&amp;"\"&amp;TEXT(F256,"YYYY-MM-DD")&amp;" --exclude ""*"" --recursive --include ""*"&amp;TEXT(F256,"YYYYMMDD")&amp;"*"" &amp; """&amp;walkandungz&amp;""" "&amp;search_path&amp;"\RTDC"&amp;B256&amp;"\"&amp;TEXT(F256,"YYYY-MM-DD")
&amp;" &amp; "&amp;"aws s3 cp "&amp;s3_bucket&amp;"/RTDC"&amp;B256&amp;"/ "&amp;search_path&amp;"\RTDC"&amp;B256&amp;"\"&amp;TEXT(F256+1,"YYYY-MM-DD")&amp;" --exclude ""*"" --recursive --include ""*"&amp;TEXT(F256+1,"YYYYMMDD")&amp;"*"" &amp; """&amp;walkandungz&amp;""" "&amp;search_path&amp;"\RTDC"&amp;B256&amp;"\"&amp;TEXT(F256+1,"YYYY-MM-DD")</f>
        <v>aws s3 cp s3://rtdc.mdm.uploadarchive.raw/RTDC4006/ "%USERPROFILE%\AppData\Local\Temp\OnboardLogs"\RTDC4006\2017-10-11 --exclude "*" --recursive --include "*20171011*" &amp; "%USERPROFILE%\Documents\GitHub\mrs-test-scripts\Headless Mode &amp; Sideloading\WalkAndUnGZ.bat" "%USERPROFILE%\AppData\Local\Temp\OnboardLogs"\RTDC4006\2017-10-11 &amp; aws s3 cp s3://rtdc.mdm.uploadarchive.raw/RTDC4006/ "%USERPROFILE%\AppData\Local\Temp\OnboardLogs"\RTDC4006\2017-10-12 --exclude "*" --recursive --include "*20171012*" &amp; "%USERPROFILE%\Documents\GitHub\mrs-test-scripts\Headless Mode &amp; Sideloading\WalkAndUnGZ.bat" "%USERPROFILE%\AppData\Local\Temp\OnboardLogs"\RTDC4006\2017-10-12</v>
      </c>
      <c r="AF256" s="74" t="str">
        <f>astrogrep_path&amp;" /e /r /s /spath="&amp;search_path&amp;" /stypes=""app*"&amp;B256&amp;"*"&amp;TEXT(I256-utc_offset/24,"YYYYMMDD")&amp;"*"" /stext="" "&amp;TEXT(I256-utc_offset/24,"HH")&amp;search_regexp&amp;""""</f>
        <v>"C:\Program Files (x86)\AstroGrep\AstroGrep.exe" /e /r /s /spath="%USERPROFILE%\AppData\Local\Temp\OnboardLogs" /stypes="app*4006*20171011*" /stext=" 23:.+((SYSTEM_STATE.+slice.+state.+changed )|(ment ac)|(multiple cpu faults)|(system.+state.+changed )|(\[timeout)|(PRM\|1\|D)|(kpr)|(kdp)|(train st.+moving)|(\|lc)|(penalty))"</v>
      </c>
      <c r="AG256" s="182" t="str">
        <f>DetSubdiv(A256)</f>
        <v>Shuttle/Test</v>
      </c>
      <c r="AH256" s="78" t="str">
        <f t="shared" si="46"/>
        <v>"%USERPROFILE%\Documents\GitHub\eaglep3\Utilities\RefineRTDCRunTimes.py" --tripid 77-11 --locoid 4006 --swversion DE.1.0.9.0 --startMP 204:1162 --initTime 2017-10-11T17:14:26 --startdatetime 2017-10-11T17:18:32 --delay 152 --endMP 300:23346 --enddatetime 2017-10-11T17:26:02 --enforcementcount 0 &gt;&gt;%USERPROFILE%\Documents\GitHub\eaglep3-reporting\EC\2017-10-11-refined-times.txt</v>
      </c>
      <c r="AI256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2.3346"},{"id":17,"name":"Train ID","value":"77-11"},{"id":16,"name":"Locomotive ID","value":"4006"},{"id":130,"name":"Impact","value":""},{"id":150,"name":"Time of Event (Mountain Time)","value":"17:26:02"},{"id":151,"name":"Denver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6" s="47"/>
      <c r="AL256" s="47"/>
      <c r="AM256" s="142" t="str">
        <f t="shared" si="48"/>
        <v>start /low /b %USERPROFILE%\Documents\GitHub\eaglep3\Utilities\DownloadLogsFromS3.py --loco 4006 --day 2017-10-11</v>
      </c>
      <c r="AN256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23:26:02"},{"id":29,"name":"Sharepoint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 s="168" t="str">
        <f t="shared" si="50"/>
        <v>https://d0f6bd738d7f1b3e5a7ca70fe4ff75f0.us-east-1.aws.found.io/app/kibana#/discover/Steve-Slow-Train-Analysis-(2080s-and-2083s)?_g=(refreshInterval:(display:Off,pause:!f,section:0,value:0),time:(from:'2017-10-11T16:14:26-0600',mode:absolute,to:'2017-10-11T18:26:02-0600'))&amp;_a=(columns:!('Message%20ID',Summary),filters:!(),index:'emp_*',interval:auto,query:(query_string:(analyze_wildcard:!t,query:'%22rtdc.l.rtdc.4006%22')),sort:!(Time.ISO8601,asc))</v>
      </c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 s="32" t="s">
        <v>725</v>
      </c>
      <c r="B257" s="7">
        <v>4023</v>
      </c>
      <c r="C257" s="21" t="s">
        <v>194</v>
      </c>
      <c r="D257" s="21" t="s">
        <v>944</v>
      </c>
      <c r="E257" s="13">
        <v>43019.535671296297</v>
      </c>
      <c r="F257" s="13">
        <v>43019.537916666668</v>
      </c>
      <c r="G257" s="7">
        <v>123</v>
      </c>
      <c r="H257" s="21" t="s">
        <v>945</v>
      </c>
      <c r="I257" s="13">
        <v>43019.539976851855</v>
      </c>
      <c r="J257" s="7">
        <v>0</v>
      </c>
      <c r="K257" s="89" t="str">
        <f>IF(ISEVEN(B257),(B257-1)&amp;"/"&amp;B257,B257&amp;"/"&amp;(B257+1))</f>
        <v>4023/4024</v>
      </c>
      <c r="L257" s="185" t="str">
        <f>VLOOKUP(A257,'Trips&amp;Operators'!$C$1:$G$99911,5,FALSE)</f>
        <v>DE LA ROSA ALEX</v>
      </c>
      <c r="M257" s="6">
        <f>I257-F257</f>
        <v>2.0601851865649223E-3</v>
      </c>
      <c r="N257" s="7">
        <f>24*60*SUM($M257:$M257)</f>
        <v>2.9666666686534882</v>
      </c>
      <c r="O257" s="7"/>
      <c r="P257" s="7"/>
      <c r="Q257" s="22"/>
      <c r="R257" s="174"/>
      <c r="S257" s="221">
        <f>1/IF(AG257="EC",12,1)*SUM(U257:U257)</f>
        <v>0</v>
      </c>
      <c r="T257" s="174" t="str">
        <f>IF(ISEVEN(LEFT(AD257,4)),"Southbound","NorthBound")</f>
        <v>NorthBound</v>
      </c>
      <c r="U257" s="198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216" t="str">
        <f>"https://d0f6bd738d7f1b3e5a7ca70fe4ff75f0.us-east-1.aws.found.io/app/kibana#/discover/Steve-Slow-Train-Analysis-(2080s-and-2083s)?_g="&amp;"(refreshInterval:(display:Off,pause:!f,section:0,value:0),time:(from:'"&amp;TEXT(E257-1/24,"yyyy-MM-DDThh:mm:ss")&amp;utc_offset&amp;"00"&amp;"',mode:absolute,to:'"&amp;TEXT(I257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257&amp;"%22')),sort:!(Time.ISO8601,asc))"</f>
        <v>https://d0f6bd738d7f1b3e5a7ca70fe4ff75f0.us-east-1.aws.found.io/app/kibana#/discover/Steve-Slow-Train-Analysis-(2080s-and-2083s)?_g=(refreshInterval:(display:Off,pause:!f,section:0,value:0),time:(from:'2017-10-11T11:51:22-0600',mode:absolute,to:'2017-10-11T13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57" s="204" t="str">
        <f>IF(AA257&lt;VLOOKUP(AG257,Variables!$AC$3:$AD$8,2,FALSE),"Y","N")</f>
        <v>Y</v>
      </c>
      <c r="X257" s="204">
        <f>VALUE(LEFT(AD257,4))-VALUE(LEFT(AD256,4))</f>
        <v>4</v>
      </c>
      <c r="Y257" s="204">
        <f>RIGHT(D257,LEN(D257)-4)/10000</f>
        <v>0.53580000000000005</v>
      </c>
      <c r="Z257" s="204">
        <f>RIGHT(H257,LEN(H257)-4)/10000</f>
        <v>0.1154</v>
      </c>
      <c r="AA257" s="204">
        <f>ABS(Z257-Y257)</f>
        <v>0.42040000000000005</v>
      </c>
      <c r="AB257" s="54" t="e">
        <f>VLOOKUP(A257,Enforcements!$C$7:$K$11,8,0)</f>
        <v>#N/A</v>
      </c>
      <c r="AC257" s="51" t="e">
        <f>VLOOKUP(A257,Enforcements!$C$7:$E$11,3,0)</f>
        <v>#N/A</v>
      </c>
      <c r="AD257" s="179">
        <f>VALUE(LEFT(A257,LEN(A257)-3))</f>
        <v>81</v>
      </c>
      <c r="AE257" s="77" t="str">
        <f>"aws s3 cp "&amp;s3_bucket&amp;"/RTDC"&amp;B257&amp;"/ "&amp;search_path&amp;"\RTDC"&amp;B257&amp;"\"&amp;TEXT(F257,"YYYY-MM-DD")&amp;" --exclude ""*"" --recursive --include ""*"&amp;TEXT(F257,"YYYYMMDD")&amp;"*"" &amp; """&amp;walkandungz&amp;""" "&amp;search_path&amp;"\RTDC"&amp;B257&amp;"\"&amp;TEXT(F257,"YYYY-MM-DD")
&amp;" &amp; "&amp;"aws s3 cp "&amp;s3_bucket&amp;"/RTDC"&amp;B257&amp;"/ "&amp;search_path&amp;"\RTDC"&amp;B257&amp;"\"&amp;TEXT(F257+1,"YYYY-MM-DD")&amp;" --exclude ""*"" --recursive --include ""*"&amp;TEXT(F257+1,"YYYYMMDD")&amp;"*"" &amp; """&amp;walkandungz&amp;""" "&amp;search_path&amp;"\RTDC"&amp;B257&amp;"\"&amp;TEXT(F257+1,"YYYY-MM-DD")</f>
        <v>aws s3 cp s3://rtdc.mdm.uploadarchive.raw/RTDC4023/ "%USERPROFILE%\AppData\Local\Temp\OnboardLogs"\RTDC4023\2017-10-11 --exclude "*" --recursive --include "*20171011*" &amp; "%USERPROFILE%\Documents\GitHub\mrs-test-scripts\Headless Mode &amp; Sideloading\WalkAndUnGZ.bat" "%USERPROFILE%\AppData\Local\Temp\OnboardLogs"\RTDC4023\2017-10-11 &amp; aws s3 cp s3://rtdc.mdm.uploadarchive.raw/RTDC4023/ "%USERPROFILE%\AppData\Local\Temp\OnboardLogs"\RTDC4023\2017-10-12 --exclude "*" --recursive --include "*20171012*" &amp; "%USERPROFILE%\Documents\GitHub\mrs-test-scripts\Headless Mode &amp; Sideloading\WalkAndUnGZ.bat" "%USERPROFILE%\AppData\Local\Temp\OnboardLogs"\RTDC4023\2017-10-12</v>
      </c>
      <c r="AF257" s="74" t="str">
        <f>astrogrep_path&amp;" /e /r /s /spath="&amp;search_path&amp;" /stypes=""app*"&amp;B257&amp;"*"&amp;TEXT(I257-utc_offset/24,"YYYYMMDD")&amp;"*"" /stext="" "&amp;TEXT(I257-utc_offset/24,"HH")&amp;search_regexp&amp;""""</f>
        <v>"C:\Program Files (x86)\AstroGrep\AstroGrep.exe" /e /r /s /spath="%USERPROFILE%\AppData\Local\Temp\OnboardLogs" /stypes="app*4023*20171011*" /stext=" 18:.+((SYSTEM_STATE.+slice.+state.+changed )|(ment ac)|(multiple cpu faults)|(system.+state.+changed )|(\[timeout)|(PRM\|1\|D)|(kpr)|(kdp)|(train st.+moving)|(\|lc)|(penalty))"</v>
      </c>
      <c r="AG257" s="182" t="str">
        <f>DetSubdiv(A257)</f>
        <v>Shuttle/Test</v>
      </c>
      <c r="AH257" s="78" t="str">
        <f t="shared" si="46"/>
        <v>"%USERPROFILE%\Documents\GitHub\eaglep3\Utilities\RefineRTDCRunTimes.py" --tripid 81-11 --locoid 4023 --swversion DE.1.0.9.0 --startMP 300:5358 --initTime 2017-10-11T12:51:22 --startdatetime 2017-10-11T12:54:36 --delay 123 --endMP 204:1154 --enddatetime 2017-10-11T12:57:34 --enforcementcount 0 &gt;&gt;%USERPROFILE%\Documents\GitHub\eaglep3-reporting\EC\2017-10-11-refined-times.txt</v>
      </c>
      <c r="AI257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0.1154"},{"id":17,"name":"Train ID","value":"81-11"},{"id":16,"name":"Locomotive ID","value":"4023"},{"id":130,"name":"Impact","value":""},{"id":150,"name":"Time of Event (Mountain Time)","value":"12:57:34"},{"id":151,"name":"Denver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7" s="47"/>
      <c r="AL257" s="47"/>
      <c r="AM257" s="142" t="str">
        <f t="shared" si="48"/>
        <v>start /low /b %USERPROFILE%\Documents\GitHub\eaglep3\Utilities\DownloadLogsFromS3.py --loco 4023 --day 2017-10-11</v>
      </c>
      <c r="AN257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 s="168" t="str">
        <f t="shared" si="50"/>
        <v>https://d0f6bd738d7f1b3e5a7ca70fe4ff75f0.us-east-1.aws.found.io/app/kibana#/discover/Steve-Slow-Train-Analysis-(2080s-and-2083s)?_g=(refreshInterval:(display:Off,pause:!f,section:0,value:0),time:(from:'2017-10-11T11:51:22-0600',mode:absolute,to:'2017-10-11T13:57:34-0600'))&amp;_a=(columns:!('Message%20ID',Summary),filters:!(),index:'emp_*',interval:auto,query:(query_string:(analyze_wildcard:!t,query:'%22rtdc.l.rtdc.4023%22')),sort:!(Time.ISO8601,asc))</v>
      </c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3">
      <c r="A258" s="32" t="s">
        <v>725</v>
      </c>
      <c r="B258" s="7">
        <v>4024</v>
      </c>
      <c r="C258" s="21" t="s">
        <v>194</v>
      </c>
      <c r="D258" s="21" t="s">
        <v>553</v>
      </c>
      <c r="E258" s="13">
        <v>43019.531747685185</v>
      </c>
      <c r="F258" s="13">
        <v>43019.537916666668</v>
      </c>
      <c r="G258" s="7">
        <v>86</v>
      </c>
      <c r="H258" s="21" t="s">
        <v>946</v>
      </c>
      <c r="I258" s="13">
        <v>43019.539976851855</v>
      </c>
      <c r="J258" s="7">
        <v>0</v>
      </c>
      <c r="K258" s="89" t="str">
        <f>IF(ISEVEN(B258),(B258-1)&amp;"/"&amp;B258,B258&amp;"/"&amp;(B258+1))</f>
        <v>4023/4024</v>
      </c>
      <c r="L258" s="185" t="str">
        <f>VLOOKUP(A258,'Trips&amp;Operators'!$C$1:$G$99911,5,FALSE)</f>
        <v>DE LA ROSA ALEX</v>
      </c>
      <c r="M258" s="6">
        <f>I258-F258</f>
        <v>2.0601851865649223E-3</v>
      </c>
      <c r="N258" s="7">
        <f>24*60*SUM($M258:$M258)</f>
        <v>2.9666666686534882</v>
      </c>
      <c r="O258" s="7"/>
      <c r="P258" s="7"/>
      <c r="Q258" s="22"/>
      <c r="R258" s="174"/>
      <c r="S258" s="221">
        <f>1/IF(AG258="EC",12,1)*SUM(U258:U258)</f>
        <v>0</v>
      </c>
      <c r="T258" s="174" t="str">
        <f>IF(ISEVEN(LEFT(AD258,4)),"Southbound","NorthBound")</f>
        <v>NorthBound</v>
      </c>
      <c r="U258" s="198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216" t="str">
        <f>"https://d0f6bd738d7f1b3e5a7ca70fe4ff75f0.us-east-1.aws.found.io/app/kibana#/discover/Steve-Slow-Train-Analysis-(2080s-and-2083s)?_g="&amp;"(refreshInterval:(display:Off,pause:!f,section:0,value:0),time:(from:'"&amp;TEXT(E258-1/24,"yyyy-MM-DDThh:mm:ss")&amp;utc_offset&amp;"00"&amp;"',mode:absolute,to:'"&amp;TEXT(I258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258&amp;"%22')),sort:!(Time.ISO8601,asc))"</f>
        <v>https://d0f6bd738d7f1b3e5a7ca70fe4ff75f0.us-east-1.aws.found.io/app/kibana#/discover/Steve-Slow-Train-Analysis-(2080s-and-2083s)?_g=(refreshInterval:(display:Off,pause:!f,section:0,value:0),time:(from:'2017-10-11T11:45:43-0600',mode:absolute,to:'2017-10-11T13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8" s="204" t="str">
        <f>IF(AA258&lt;VLOOKUP(AG258,Variables!$AC$3:$AD$8,2,FALSE),"Y","N")</f>
        <v>Y</v>
      </c>
      <c r="X258" s="204">
        <f>VALUE(LEFT(AD258,4))-VALUE(LEFT(AD257,4))</f>
        <v>0</v>
      </c>
      <c r="Y258" s="204">
        <f>RIGHT(D258,LEN(D258)-4)/10000</f>
        <v>4.3900000000000002E-2</v>
      </c>
      <c r="Z258" s="204">
        <f>RIGHT(H258,LEN(H258)-4)/10000</f>
        <v>0.56569999999999998</v>
      </c>
      <c r="AA258" s="204">
        <f>ABS(Z258-Y258)</f>
        <v>0.52179999999999993</v>
      </c>
      <c r="AB258" s="54" t="e">
        <f>VLOOKUP(A258,Enforcements!$C$7:$K$11,8,0)</f>
        <v>#N/A</v>
      </c>
      <c r="AC258" s="51" t="e">
        <f>VLOOKUP(A258,Enforcements!$C$7:$E$11,3,0)</f>
        <v>#N/A</v>
      </c>
      <c r="AD258" s="179">
        <f>VALUE(LEFT(A258,LEN(A258)-3))</f>
        <v>81</v>
      </c>
      <c r="AE258" s="77" t="str">
        <f>"aws s3 cp "&amp;s3_bucket&amp;"/RTDC"&amp;B258&amp;"/ "&amp;search_path&amp;"\RTDC"&amp;B258&amp;"\"&amp;TEXT(F258,"YYYY-MM-DD")&amp;" --exclude ""*"" --recursive --include ""*"&amp;TEXT(F258,"YYYYMMDD")&amp;"*"" &amp; """&amp;walkandungz&amp;""" "&amp;search_path&amp;"\RTDC"&amp;B258&amp;"\"&amp;TEXT(F258,"YYYY-MM-DD")
&amp;" &amp; "&amp;"aws s3 cp "&amp;s3_bucket&amp;"/RTDC"&amp;B258&amp;"/ "&amp;search_path&amp;"\RTDC"&amp;B258&amp;"\"&amp;TEXT(F258+1,"YYYY-MM-DD")&amp;" --exclude ""*"" --recursive --include ""*"&amp;TEXT(F258+1,"YYYYMMDD")&amp;"*"" &amp; """&amp;walkandungz&amp;""" "&amp;search_path&amp;"\RTDC"&amp;B258&amp;"\"&amp;TEXT(F258+1,"YYYY-MM-DD")</f>
        <v>aws s3 cp s3://rtdc.mdm.uploadarchive.raw/RTDC4024/ "%USERPROFILE%\AppData\Local\Temp\OnboardLogs"\RTDC4024\2017-10-11 --exclude "*" --recursive --include "*20171011*" &amp; "%USERPROFILE%\Documents\GitHub\mrs-test-scripts\Headless Mode &amp; Sideloading\WalkAndUnGZ.bat" "%USERPROFILE%\AppData\Local\Temp\OnboardLogs"\RTDC4024\2017-10-11 &amp; aws s3 cp s3://rtdc.mdm.uploadarchive.raw/RTDC4024/ "%USERPROFILE%\AppData\Local\Temp\OnboardLogs"\RTDC4024\2017-10-12 --exclude "*" --recursive --include "*20171012*" &amp; "%USERPROFILE%\Documents\GitHub\mrs-test-scripts\Headless Mode &amp; Sideloading\WalkAndUnGZ.bat" "%USERPROFILE%\AppData\Local\Temp\OnboardLogs"\RTDC4024\2017-10-12</v>
      </c>
      <c r="AF258" s="74" t="str">
        <f>astrogrep_path&amp;" /e /r /s /spath="&amp;search_path&amp;" /stypes=""app*"&amp;B258&amp;"*"&amp;TEXT(I258-utc_offset/24,"YYYYMMDD")&amp;"*"" /stext="" "&amp;TEXT(I258-utc_offset/24,"HH")&amp;search_regexp&amp;""""</f>
        <v>"C:\Program Files (x86)\AstroGrep\AstroGrep.exe" /e /r /s /spath="%USERPROFILE%\AppData\Local\Temp\OnboardLogs" /stypes="app*4024*20171011*" /stext=" 18:.+((SYSTEM_STATE.+slice.+state.+changed )|(ment ac)|(multiple cpu faults)|(system.+state.+changed )|(\[timeout)|(PRM\|1\|D)|(kpr)|(kdp)|(train st.+moving)|(\|lc)|(penalty))"</v>
      </c>
      <c r="AG258" s="182" t="str">
        <f>DetSubdiv(A258)</f>
        <v>Shuttle/Test</v>
      </c>
      <c r="AH258" s="78" t="str">
        <f t="shared" si="46"/>
        <v>"%USERPROFILE%\Documents\GitHub\eaglep3\Utilities\RefineRTDCRunTimes.py" --tripid 81-11 --locoid 4024 --swversion DE.1.0.9.0 --startMP 204:439 --initTime 2017-10-11T12:45:43 --startdatetime 2017-10-11T12:54:36 --delay 86 --endMP 300:5657 --enddatetime 2017-10-11T12:57:34 --enforcementcount 0 &gt;&gt;%USERPROFILE%\Documents\GitHub\eaglep3-reporting\EC\2017-10-11-refined-times.txt</v>
      </c>
      <c r="AI258" s="96" t="str">
        <f t="shared" si="47"/>
        <v>echo {"issue":{"subject":"","project_id":79,"tracker_id":40,"status_id":1,"priority_id":2,"assigned_to_id":338,"start_date":"2017-10-11","description":"","custom_fields":[{"id":1,"name":"Subdivision","value":"Shuttle/Test"},{"id":4,"name":"Milepost","value":"0.5657"},{"id":17,"name":"Train ID","value":"81-11"},{"id":16,"name":"Locomotive ID","value":"4024"},{"id":130,"name":"Impact","value":""},{"id":150,"name":"Time of Event (Mountain Time)","value":"12:57:34"},{"id":151,"name":"Denver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8" s="20"/>
      <c r="AK258" s="47"/>
      <c r="AL258" s="47"/>
      <c r="AM258" s="142" t="str">
        <f t="shared" si="48"/>
        <v>start /low /b %USERPROFILE%\Documents\GitHub\eaglep3\Utilities\DownloadLogsFromS3.py --loco 4024 --day 2017-10-11</v>
      </c>
      <c r="AN258" s="151" t="str">
        <f t="shared" si="49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18:57:34"},{"id":29,"name":"Sharepoint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 s="168" t="str">
        <f t="shared" si="50"/>
        <v>https://d0f6bd738d7f1b3e5a7ca70fe4ff75f0.us-east-1.aws.found.io/app/kibana#/discover/Steve-Slow-Train-Analysis-(2080s-and-2083s)?_g=(refreshInterval:(display:Off,pause:!f,section:0,value:0),time:(from:'2017-10-11T11:45:43-0600',mode:absolute,to:'2017-10-11T13:57:34-0600'))&amp;_a=(columns:!('Message%20ID',Summary),filters:!(),index:'emp_*',interval:auto,query:(query_string:(analyze_wildcard:!t,query:'%22rtdc.l.rtdc.4024%22')),sort:!(Time.ISO8601,asc))</v>
      </c>
    </row>
    <row r="259" spans="1:91" x14ac:dyDescent="0.3">
      <c r="A259" s="32" t="s">
        <v>827</v>
      </c>
      <c r="B259" s="7">
        <v>4001</v>
      </c>
      <c r="C259" s="21" t="s">
        <v>194</v>
      </c>
      <c r="D259" s="21" t="s">
        <v>987</v>
      </c>
      <c r="E259" s="13">
        <v>43020.040266203701</v>
      </c>
      <c r="F259" s="13">
        <v>43020.041504629633</v>
      </c>
      <c r="G259" s="7">
        <v>68</v>
      </c>
      <c r="H259" s="21" t="s">
        <v>988</v>
      </c>
      <c r="I259" s="13">
        <v>43020.043726851851</v>
      </c>
      <c r="J259" s="7">
        <v>0</v>
      </c>
      <c r="K259" s="89" t="str">
        <f>IF(ISEVEN(B259),(B259-1)&amp;"/"&amp;B259,B259&amp;"/"&amp;(B259+1))</f>
        <v>4001/4002</v>
      </c>
      <c r="L259" s="185" t="str">
        <f>VLOOKUP(A259,'Trips&amp;Operators'!$C$1:$G$99911,5,FALSE)</f>
        <v>NICHOLSON WESLEY</v>
      </c>
      <c r="M259" s="6">
        <f>I259-F259</f>
        <v>2.2222222178243101E-3</v>
      </c>
      <c r="N259" s="7">
        <f>24*60*SUM($M259:$M259)</f>
        <v>3.1999999936670065</v>
      </c>
      <c r="O259" s="7"/>
      <c r="P259" s="7"/>
      <c r="Q259" s="22"/>
      <c r="R259" s="174"/>
      <c r="S259" s="221">
        <f>1/IF(AG259="EC",12,1)*SUM(U259:U259)</f>
        <v>0</v>
      </c>
      <c r="T259" s="174" t="str">
        <f>IF(ISEVEN(LEFT(AD259,4)),"Southbound","NorthBound")</f>
        <v>NorthBound</v>
      </c>
      <c r="U259" s="198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216" t="str">
        <f>"https://d0f6bd738d7f1b3e5a7ca70fe4ff75f0.us-east-1.aws.found.io/app/kibana#/discover/Steve-Slow-Train-Analysis-(2080s-and-2083s)?_g="&amp;"(refreshInterval:(display:Off,pause:!f,section:0,value:0),time:(from:'"&amp;TEXT(E259-1/24,"yyyy-MM-DDThh:mm:ss")&amp;utc_offset&amp;"00"&amp;"',mode:absolute,to:'"&amp;TEXT(I259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259&amp;"%22')),sort:!(Time.ISO8601,asc))"</f>
        <v>https://d0f6bd738d7f1b3e5a7ca70fe4ff75f0.us-east-1.aws.found.io/app/kibana#/discover/Steve-Slow-Train-Analysis-(2080s-and-2083s)?_g=(refreshInterval:(display:Off,pause:!f,section:0,value:0),time:(from:'2017-10-11T23:57:59-0600',mode:absolute,to:'2017-10-12T02:02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59" s="204" t="str">
        <f>IF(AA259&lt;VLOOKUP(AG259,Variables!$AC$3:$AD$8,2,FALSE),"Y","N")</f>
        <v>Y</v>
      </c>
      <c r="X259" s="204">
        <f>VALUE(LEFT(AD259,4))-VALUE(LEFT(AD258,4))</f>
        <v>8</v>
      </c>
      <c r="Y259" s="204">
        <f>RIGHT(D259,LEN(D259)-4)/10000</f>
        <v>0.49830000000000002</v>
      </c>
      <c r="Z259" s="204">
        <f>RIGHT(H259,LEN(H259)-4)/10000</f>
        <v>9.1899999999999996E-2</v>
      </c>
      <c r="AA259" s="204">
        <f>ABS(Z259-Y259)</f>
        <v>0.40640000000000004</v>
      </c>
      <c r="AB259" s="54" t="e">
        <f>VLOOKUP(A259,Enforcements!$C$7:$K$11,8,0)</f>
        <v>#N/A</v>
      </c>
      <c r="AC259" s="51" t="e">
        <f>VLOOKUP(A259,Enforcements!$C$7:$E$11,3,0)</f>
        <v>#N/A</v>
      </c>
      <c r="AD259" s="179">
        <f>VALUE(LEFT(A259,LEN(A259)-3))</f>
        <v>89</v>
      </c>
      <c r="AE259" s="77" t="str">
        <f>"aws s3 cp "&amp;s3_bucket&amp;"/RTDC"&amp;B259&amp;"/ "&amp;search_path&amp;"\RTDC"&amp;B259&amp;"\"&amp;TEXT(F259,"YYYY-MM-DD")&amp;" --exclude ""*"" --recursive --include ""*"&amp;TEXT(F259,"YYYYMMDD")&amp;"*"" &amp; """&amp;walkandungz&amp;""" "&amp;search_path&amp;"\RTDC"&amp;B259&amp;"\"&amp;TEXT(F259,"YYYY-MM-DD")
&amp;" &amp; "&amp;"aws s3 cp "&amp;s3_bucket&amp;"/RTDC"&amp;B259&amp;"/ "&amp;search_path&amp;"\RTDC"&amp;B259&amp;"\"&amp;TEXT(F259+1,"YYYY-MM-DD")&amp;" --exclude ""*"" --recursive --include ""*"&amp;TEXT(F259+1,"YYYYMMDD")&amp;"*"" &amp; """&amp;walkandungz&amp;""" "&amp;search_path&amp;"\RTDC"&amp;B259&amp;"\"&amp;TEXT(F259+1,"YYYY-MM-DD")</f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259" s="74" t="str">
        <f>astrogrep_path&amp;" /e /r /s /spath="&amp;search_path&amp;" /stypes=""app*"&amp;B259&amp;"*"&amp;TEXT(I259-utc_offset/24,"YYYYMMDD")&amp;"*"" /stext="" "&amp;TEXT(I259-utc_offset/24,"HH")&amp;search_regexp&amp;""""</f>
        <v>"C:\Program Files (x86)\AstroGrep\AstroGrep.exe" /e /r /s /spath="%USERPROFILE%\AppData\Local\Temp\OnboardLogs" /stypes="app*4001*20171012*" /stext=" 07:.+((SYSTEM_STATE.+slice.+state.+changed )|(ment ac)|(multiple cpu faults)|(system.+state.+changed )|(\[timeout)|(PRM\|1\|D)|(kpr)|(kdp)|(train st.+moving)|(\|lc)|(penalty))"</v>
      </c>
      <c r="AG259" s="182" t="str">
        <f>DetSubdiv(A259)</f>
        <v>Shuttle/Test</v>
      </c>
      <c r="AH259" s="78" t="str">
        <f t="shared" si="46"/>
        <v>"%USERPROFILE%\Documents\GitHub\eaglep3\Utilities\RefineRTDCRunTimes.py" --tripid 89-11 --locoid 4001 --swversion DE.1.0.9.0 --startMP 300:4983 --initTime 2017-10-12T00:57:59 --startdatetime 2017-10-12T00:59:46 --delay 68 --endMP 204:919 --enddatetime 2017-10-12T01:02:58 --enforcementcount 0 &gt;&gt;%USERPROFILE%\Documents\GitHub\eaglep3-reporting\EC\2017-10-11-refined-times.txt</v>
      </c>
      <c r="AI259" s="96" t="str">
        <f t="shared" si="47"/>
        <v>echo {"issue":{"subject":"","project_id":79,"tracker_id":40,"status_id":1,"priority_id":2,"assigned_to_id":338,"start_date":"2017-10-12","description":"","custom_fields":[{"id":1,"name":"Subdivision","value":"Shuttle/Test"},{"id":4,"name":"Milepost","value":"0.0919"},{"id":17,"name":"Train ID","value":"89-11"},{"id":16,"name":"Locomotive ID","value":"4001"},{"id":130,"name":"Impact","value":""},{"id":150,"name":"Time of Event (Mountain Time)","value":"01:02:58"},{"id":151,"name":"Denver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9" s="20"/>
      <c r="AK259" s="47"/>
      <c r="AL259" s="47"/>
      <c r="AM259" s="142" t="str">
        <f t="shared" si="48"/>
        <v>start /low /b %USERPROFILE%\Documents\GitHub\eaglep3\Utilities\DownloadLogsFromS3.py --loco 4001 --day 2017-10-12</v>
      </c>
      <c r="AN259" s="151" t="str">
        <f t="shared" si="49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07:02:58"},{"id":29,"name":"Sharepoint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9" s="168" t="str">
        <f t="shared" si="50"/>
        <v>https://d0f6bd738d7f1b3e5a7ca70fe4ff75f0.us-east-1.aws.found.io/app/kibana#/discover/Steve-Slow-Train-Analysis-(2080s-and-2083s)?_g=(refreshInterval:(display:Off,pause:!f,section:0,value:0),time:(from:'2017-10-11T23:57:59-0600',mode:absolute,to:'2017-10-12T02:02:58-0600'))&amp;_a=(columns:!('Message%20ID',Summary),filters:!(),index:'emp_*',interval:auto,query:(query_string:(analyze_wildcard:!t,query:'%22rtdc.l.rtdc.4001%22')),sort:!(Time.ISO8601,asc))</v>
      </c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4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4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4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4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4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4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</sheetData>
  <autoFilter ref="A12:AG364">
    <sortState ref="A13:AG359">
      <sortCondition ref="AG13:AG254"/>
      <sortCondition ref="AD13:AD254"/>
    </sortState>
  </autoFilter>
  <sortState ref="A13:AN269">
    <sortCondition ref="AG13:AG269"/>
    <sortCondition ref="AD13:AD269"/>
  </sortState>
  <mergeCells count="1">
    <mergeCell ref="A11:P11"/>
  </mergeCells>
  <conditionalFormatting sqref="W11:W12 W370:X1048576 W13:X259">
    <cfRule type="cellIs" dxfId="30" priority="422" operator="equal">
      <formula>"Y"</formula>
    </cfRule>
  </conditionalFormatting>
  <conditionalFormatting sqref="X370:X1048576 X13:X259">
    <cfRule type="cellIs" dxfId="29" priority="405" operator="greaterThan">
      <formula>1</formula>
    </cfRule>
  </conditionalFormatting>
  <conditionalFormatting sqref="X370:X1048576 X12:X259">
    <cfRule type="cellIs" dxfId="28" priority="402" operator="equal">
      <formula>0</formula>
    </cfRule>
  </conditionalFormatting>
  <conditionalFormatting sqref="A13:S259">
    <cfRule type="expression" dxfId="27" priority="396" stopIfTrue="1">
      <formula>$P13&gt;0</formula>
    </cfRule>
    <cfRule type="expression" dxfId="2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A13:S259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AK13:AK259</xm:sqref>
        </x14:dataValidation>
        <x14:dataValidation type="list" allowBlank="1" showInputMessage="1" showErrorMessage="1">
          <x14:formula1>
            <xm:f>'Redmine List Values'!$C$2:$C$15</xm:f>
          </x14:formula1>
          <xm:sqref>AL13:AL259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3" zoomScaleNormal="100" workbookViewId="0">
      <selection activeCell="O39" sqref="O39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5" t="str">
        <f>"Eagle P3 Braking Events - "&amp;TEXT(Variables!$A$2,"YYYY-mm-dd")</f>
        <v>Eagle P3 Braking Events - 2017-10-11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43019.348495370374</v>
      </c>
      <c r="B7" s="30" t="s">
        <v>425</v>
      </c>
      <c r="C7" s="30" t="s">
        <v>581</v>
      </c>
      <c r="D7" s="30" t="s">
        <v>49</v>
      </c>
      <c r="E7" s="30" t="s">
        <v>185</v>
      </c>
      <c r="F7" s="42">
        <v>0</v>
      </c>
      <c r="G7" s="42">
        <v>201</v>
      </c>
      <c r="H7" s="42">
        <v>27000</v>
      </c>
      <c r="I7" s="42">
        <v>27257</v>
      </c>
      <c r="J7" s="30" t="s">
        <v>186</v>
      </c>
      <c r="K7" s="42">
        <v>27053</v>
      </c>
      <c r="L7" s="131" t="s">
        <v>50</v>
      </c>
      <c r="M7" s="132">
        <f>CONVERT((I7-K7)/10000,"mi","ft")*IF(L7="Increasing Mileposts (1)",-1,1)</f>
        <v>-107.712</v>
      </c>
      <c r="N7" s="133" t="str">
        <f>VLOOKUP(C7,'Trips&amp;Operators'!$C$1:$G$99911,5,FALSE)</f>
        <v>DAVIS WENDY</v>
      </c>
      <c r="O7" s="176" t="s">
        <v>178</v>
      </c>
      <c r="P7" s="134" t="s">
        <v>357</v>
      </c>
      <c r="Q7" s="30"/>
      <c r="R7" s="81" t="str">
        <f>VLOOKUP(C7,'Train Runs'!$A$13:$AE$10023,31,0)</f>
        <v>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 &amp; aws s3 cp s3://rtdc.mdm.uploadarchive.raw/RTDC4018/ "%USERPROFILE%\AppData\Local\Temp\OnboardLogs"\RTDC4018\2017-10-12 --exclude "*" --recursive --include "*20171012*" &amp; "%USERPROFILE%\Documents\GitHub\mrs-test-scripts\Headless Mode &amp; Sideloading\WalkAndUnGZ.bat" "%USERPROFILE%\AppData\Local\Temp\OnboardLogs"\RTDC4018\2017-10-12</v>
      </c>
      <c r="S7" s="84" t="str">
        <f>VLOOKUP(C7,'Train Runs'!$A$13:$AE$10023,22,0)</f>
        <v>https://d0f6bd738d7f1b3e5a7ca70fe4ff75f0.us-east-1.aws.found.io/app/kibana#/discover/Steve-Slow-Train-Analysis-(2080s-and-2083s)?_g=(refreshInterval:(display:Off,pause:!f,section:0,value:0),time:(from:'2017-10-11T07:09:03-0600',mode:absolute,to:'2017-10-11T09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/stypes="*4018*201710111*" /stext=" 14:.+((SYSTEM_STATE.+slice.+state.+changed )|(ment ac)|(multiple cpu faults)|(system.+state.+changed )|(\[timeout)|(PRM\|1\|D)|(kpr)|(kdp)|(train st.+moving)|(\|lc)|(penalty))"</v>
      </c>
      <c r="U7" s="9" t="str">
        <f>MID(B7,13,4)</f>
        <v>4018</v>
      </c>
      <c r="V7" s="31">
        <f>A7-utc_offset/24</f>
        <v>43019.598495370374</v>
      </c>
      <c r="W7" s="45" t="str">
        <f>DetSubdiv(C7)</f>
        <v>EC</v>
      </c>
      <c r="X7" s="22">
        <f>VALUE(LEFT(C7,LEN(C7)-3))</f>
        <v>137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Arrival","project_id":79,"tracker_id":40,"status_id":1,"priority_id":2,"assigned_to_id":338,"start_date":"2017-10-11","description":"","custom_fields":[{"id":1,"name":"Subdivision","value":"EC"},{"id":4,"name":"Milepost","value":"2.7053"},{"id":17,"name":"Train ID","value":"137-11"},{"id":16,"name":"Locomotive ID","value":"4018"},{"id":130,"name":"Impact","value":""},{"id":150,"name":"Time of Event (Mountain Time)","value":"08:21:50"},{"id":151,"name":"Denver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/c/Users/stu/AppData/Local/Temp/OnboardLogs/RTDC4018 --include="*4018*201710111*"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"%USERPROFILE%\AppData\Local\Temp\OnboardLogs"\RTDC4018\*4018*201710111* &gt;&gt; 2017-10-11-SliceDisagreementCheck.txt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4018 --day 2017-10-11</v>
      </c>
    </row>
    <row r="8" spans="1:32" s="1" customFormat="1" x14ac:dyDescent="0.3">
      <c r="A8" s="31">
        <v>43019.43246527778</v>
      </c>
      <c r="B8" s="30" t="s">
        <v>586</v>
      </c>
      <c r="C8" s="30" t="s">
        <v>587</v>
      </c>
      <c r="D8" s="30" t="s">
        <v>95</v>
      </c>
      <c r="E8" s="30" t="s">
        <v>185</v>
      </c>
      <c r="F8" s="42">
        <v>400</v>
      </c>
      <c r="G8" s="42">
        <v>452</v>
      </c>
      <c r="H8" s="42">
        <v>53198</v>
      </c>
      <c r="I8" s="42">
        <v>51530</v>
      </c>
      <c r="J8" s="30" t="s">
        <v>186</v>
      </c>
      <c r="K8" s="42">
        <v>53277</v>
      </c>
      <c r="L8" s="131" t="s">
        <v>51</v>
      </c>
      <c r="M8" s="132">
        <f>CONVERT((I8-K8)/10000,"mi","ft")*IF(L8="Increasing Mileposts (1)",-1,1)</f>
        <v>-922.41600000000005</v>
      </c>
      <c r="N8" s="133" t="str">
        <f>VLOOKUP(C8,'Trips&amp;Operators'!$C$1:$G$99911,5,FALSE)</f>
        <v>THOMPSON LESTER</v>
      </c>
      <c r="O8" s="176" t="s">
        <v>178</v>
      </c>
      <c r="P8" s="134" t="s">
        <v>357</v>
      </c>
      <c r="Q8" s="30"/>
      <c r="R8" s="81" t="str">
        <f>VLOOKUP(C8,'Train Runs'!$A$13:$AE$10023,31,0)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S8" s="84" t="str">
        <f>VLOOKUP(C8,'Train Runs'!$A$13:$AE$10023,22,0)</f>
        <v>https://d0f6bd738d7f1b3e5a7ca70fe4ff75f0.us-east-1.aws.found.io/app/kibana#/discover/Steve-Slow-Train-Analysis-(2080s-and-2083s)?_g=(refreshInterval:(display:Off,pause:!f,section:0,value:0),time:(from:'2017-10-11T08:52:12-0600',mode:absolute,to:'2017-10-11T11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/stypes="*4013*201710111*" /stext=" 16:.+((SYSTEM_STATE.+slice.+state.+changed )|(ment ac)|(multiple cpu faults)|(system.+state.+changed )|(\[timeout)|(PRM\|1\|D)|(kpr)|(kdp)|(train st.+moving)|(\|lc)|(penalty))"</v>
      </c>
      <c r="U8" s="9" t="str">
        <f>MID(B8,13,4)</f>
        <v>4013</v>
      </c>
      <c r="V8" s="31">
        <f>A8-utc_offset/24</f>
        <v>43019.68246527778</v>
      </c>
      <c r="W8" s="45" t="str">
        <f>DetSubdiv(C8)</f>
        <v>EC</v>
      </c>
      <c r="X8" s="22">
        <f>VALUE(LEFT(C8,LEN(C8)-3))</f>
        <v>144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Arrival","project_id":79,"tracker_id":40,"status_id":1,"priority_id":2,"assigned_to_id":338,"start_date":"2017-10-11","description":"","custom_fields":[{"id":1,"name":"Subdivision","value":"EC"},{"id":4,"name":"Milepost","value":"5.3277"},{"id":17,"name":"Train ID","value":"144-11"},{"id":16,"name":"Locomotive ID","value":"4013"},{"id":130,"name":"Impact","value":""},{"id":150,"name":"Time of Event (Mountain Time)","value":"10:22:45"},{"id":151,"name":"Denver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/c/Users/stu/AppData/Local/Temp/OnboardLogs/RTDC4013 --include="*4013*201710111*"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"%USERPROFILE%\AppData\Local\Temp\OnboardLogs"\RTDC4013\*4013*201710111* &gt;&gt; 2017-10-11-SliceDisagreementCheck.txt</v>
      </c>
      <c r="AE8" s="145" t="str">
        <f t="shared" ref="AE8:AE42" si="1">"start /low /b "&amp;dls3logs&amp;" --loco "&amp;U8&amp;" --day "&amp;TEXT(V8,"YYYY-MM-DD")</f>
        <v>start /low /b %USERPROFILE%\Documents\GitHub\eaglep3\Utilities\DownloadLogsFromS3.py --loco 4013 --day 2017-10-11</v>
      </c>
    </row>
    <row r="9" spans="1:32" s="1" customFormat="1" x14ac:dyDescent="0.3">
      <c r="A9" s="31">
        <v>43019.763981481483</v>
      </c>
      <c r="B9" s="30" t="s">
        <v>426</v>
      </c>
      <c r="C9" s="30" t="s">
        <v>604</v>
      </c>
      <c r="D9" s="30" t="s">
        <v>49</v>
      </c>
      <c r="E9" s="30" t="s">
        <v>185</v>
      </c>
      <c r="F9" s="42">
        <v>210</v>
      </c>
      <c r="G9" s="42">
        <v>274</v>
      </c>
      <c r="H9" s="42">
        <v>63569</v>
      </c>
      <c r="I9" s="42">
        <v>63103</v>
      </c>
      <c r="J9" s="30" t="s">
        <v>186</v>
      </c>
      <c r="K9" s="42">
        <v>63309</v>
      </c>
      <c r="L9" s="131" t="s">
        <v>51</v>
      </c>
      <c r="M9" s="132">
        <f>CONVERT((I9-K9)/10000,"mi","ft")*IF(L9="Increasing Mileposts (1)",-1,1)</f>
        <v>-108.768</v>
      </c>
      <c r="N9" s="133" t="str">
        <f>VLOOKUP(C9,'Trips&amp;Operators'!$C$1:$G$99911,5,FALSE)</f>
        <v>GUZMAN DANNY</v>
      </c>
      <c r="O9" s="176" t="s">
        <v>178</v>
      </c>
      <c r="P9" s="134" t="s">
        <v>357</v>
      </c>
      <c r="Q9" s="30"/>
      <c r="R9" s="81" t="str">
        <f>VLOOKUP(C9,'Train Runs'!$A$13:$AE$10023,31,0)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S9" s="84" t="str">
        <f>VLOOKUP(C9,'Train Runs'!$A$13:$AE$10023,22,0)</f>
        <v>https://d0f6bd738d7f1b3e5a7ca70fe4ff75f0.us-east-1.aws.found.io/app/kibana#/discover/Steve-Slow-Train-Analysis-(2080s-and-2083s)?_g=(refreshInterval:(display:Off,pause:!f,section:0,value:0),time:(from:'2017-10-11T16:38:43-0600',mode:absolute,to:'2017-10-11T19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/stypes="*4017*201710120*" /stext=" 00:.+((SYSTEM_STATE.+slice.+state.+changed )|(ment ac)|(multiple cpu faults)|(system.+state.+changed )|(\[timeout)|(PRM\|1\|D)|(kpr)|(kdp)|(train st.+moving)|(\|lc)|(penalty))"</v>
      </c>
      <c r="U9" s="9" t="str">
        <f>MID(B9,13,4)</f>
        <v>4017</v>
      </c>
      <c r="V9" s="31">
        <f>A9-utc_offset/24</f>
        <v>43020.013981481483</v>
      </c>
      <c r="W9" s="45" t="str">
        <f>DetSubdiv(C9)</f>
        <v>EC</v>
      </c>
      <c r="X9" s="22">
        <f>VALUE(LEFT(C9,LEN(C9)-3))</f>
        <v>208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Arrival","project_id":79,"tracker_id":40,"status_id":1,"priority_id":2,"assigned_to_id":338,"start_date":"2017-10-11","description":"","custom_fields":[{"id":1,"name":"Subdivision","value":"EC"},{"id":4,"name":"Milepost","value":"6.3309"},{"id":17,"name":"Train ID","value":"208-11"},{"id":16,"name":"Locomotive ID","value":"4017"},{"id":130,"name":"Impact","value":""},{"id":150,"name":"Time of Event (Mountain Time)","value":"18:20:08"},{"id":151,"name":"Denver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/c/Users/stu/AppData/Local/Temp/OnboardLogs/RTDC4017 --include="*4017*201710120*"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"%USERPROFILE%\AppData\Local\Temp\OnboardLogs"\RTDC4017\*4017*201710120* &gt;&gt; 2017-10-11-SliceDisagreementCheck.txt</v>
      </c>
      <c r="AE9" s="145" t="str">
        <f t="shared" si="1"/>
        <v>start /low /b %USERPROFILE%\Documents\GitHub\eaglep3\Utilities\DownloadLogsFromS3.py --loco 4017 --day 2017-10-12</v>
      </c>
    </row>
    <row r="10" spans="1:32" s="1" customFormat="1" x14ac:dyDescent="0.3">
      <c r="A10" s="31">
        <v>43019.764675925922</v>
      </c>
      <c r="B10" s="30" t="s">
        <v>426</v>
      </c>
      <c r="C10" s="30" t="s">
        <v>604</v>
      </c>
      <c r="D10" s="30" t="s">
        <v>49</v>
      </c>
      <c r="E10" s="30" t="s">
        <v>185</v>
      </c>
      <c r="F10" s="42">
        <v>210</v>
      </c>
      <c r="G10" s="42">
        <v>274</v>
      </c>
      <c r="H10" s="42">
        <v>63569</v>
      </c>
      <c r="I10" s="42">
        <v>61802</v>
      </c>
      <c r="J10" s="30" t="s">
        <v>186</v>
      </c>
      <c r="K10" s="42">
        <v>63309</v>
      </c>
      <c r="L10" s="131" t="s">
        <v>51</v>
      </c>
      <c r="M10" s="132">
        <f>CONVERT((I10-K10)/10000,"mi","ft")*IF(L10="Increasing Mileposts (1)",-1,1)</f>
        <v>-795.69600000000003</v>
      </c>
      <c r="N10" s="133" t="str">
        <f>VLOOKUP(C10,'Trips&amp;Operators'!$C$1:$G$99911,5,FALSE)</f>
        <v>GUZMAN DANNY</v>
      </c>
      <c r="O10" s="176" t="s">
        <v>178</v>
      </c>
      <c r="P10" s="134" t="s">
        <v>357</v>
      </c>
      <c r="Q10" s="30"/>
      <c r="R10" s="81" t="str">
        <f>VLOOKUP(C10,'Train Runs'!$A$13:$AE$10023,31,0)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S10" s="84" t="str">
        <f>VLOOKUP(C10,'Train Runs'!$A$13:$AE$10023,22,0)</f>
        <v>https://d0f6bd738d7f1b3e5a7ca70fe4ff75f0.us-east-1.aws.found.io/app/kibana#/discover/Steve-Slow-Train-Analysis-(2080s-and-2083s)?_g=(refreshInterval:(display:Off,pause:!f,section:0,value:0),time:(from:'2017-10-11T16:38:43-0600',mode:absolute,to:'2017-10-11T19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/stypes="*4017*201710120*" /stext=" 00:.+((SYSTEM_STATE.+slice.+state.+changed )|(ment ac)|(multiple cpu faults)|(system.+state.+changed )|(\[timeout)|(PRM\|1\|D)|(kpr)|(kdp)|(train st.+moving)|(\|lc)|(penalty))"</v>
      </c>
      <c r="U10" s="9" t="str">
        <f>MID(B10,13,4)</f>
        <v>4017</v>
      </c>
      <c r="V10" s="31">
        <f>A10-utc_offset/24</f>
        <v>43020.014675925922</v>
      </c>
      <c r="W10" s="45" t="str">
        <f>DetSubdiv(C10)</f>
        <v>EC</v>
      </c>
      <c r="X10" s="22">
        <f>VALUE(LEFT(C10,LEN(C10)-3))</f>
        <v>208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Arrival","project_id":79,"tracker_id":40,"status_id":1,"priority_id":2,"assigned_to_id":338,"start_date":"2017-10-11","description":"","custom_fields":[{"id":1,"name":"Subdivision","value":"EC"},{"id":4,"name":"Milepost","value":"6.3309"},{"id":17,"name":"Train ID","value":"208-11"},{"id":16,"name":"Locomotive ID","value":"4017"},{"id":130,"name":"Impact","value":""},{"id":150,"name":"Time of Event (Mountain Time)","value":"18:21:08"},{"id":151,"name":"Denver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/c/Users/stu/AppData/Local/Temp/OnboardLogs/RTDC4017 --include="*4017*201710120*"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"%USERPROFILE%\AppData\Local\Temp\OnboardLogs"\RTDC4017\*4017*201710120* &gt;&gt; 2017-10-11-SliceDisagreementCheck.txt</v>
      </c>
      <c r="AE10" s="145" t="str">
        <f t="shared" si="1"/>
        <v>start /low /b %USERPROFILE%\Documents\GitHub\eaglep3\Utilities\DownloadLogsFromS3.py --loco 4017 --day 2017-10-12</v>
      </c>
    </row>
    <row r="11" spans="1:32" s="1" customFormat="1" x14ac:dyDescent="0.3">
      <c r="A11" s="31">
        <v>43019.374293981484</v>
      </c>
      <c r="B11" s="30" t="s">
        <v>464</v>
      </c>
      <c r="C11" s="30" t="s">
        <v>582</v>
      </c>
      <c r="D11" s="30" t="s">
        <v>95</v>
      </c>
      <c r="E11" s="30" t="s">
        <v>192</v>
      </c>
      <c r="F11" s="42">
        <v>700</v>
      </c>
      <c r="G11" s="42">
        <v>750</v>
      </c>
      <c r="H11" s="42">
        <v>179824</v>
      </c>
      <c r="I11" s="42">
        <v>183339</v>
      </c>
      <c r="J11" s="30" t="s">
        <v>193</v>
      </c>
      <c r="K11" s="42">
        <v>161962</v>
      </c>
      <c r="L11" s="131" t="s">
        <v>50</v>
      </c>
      <c r="M11" s="132">
        <f>CONVERT((I11-K11)/10000,"mi","ft")*IF(L11="Increasing Mileposts (1)",-1,1)</f>
        <v>-11287.056</v>
      </c>
      <c r="N11" s="133" t="str">
        <f>VLOOKUP(C11,'Trips&amp;Operators'!$C$1:$G$99911,5,FALSE)</f>
        <v>ROCHA YAOTL</v>
      </c>
      <c r="O11" s="176" t="s">
        <v>178</v>
      </c>
      <c r="P11" s="134"/>
      <c r="Q11" s="30"/>
      <c r="R11" s="81" t="str">
        <f>VLOOKUP(C11,'Train Runs'!$A$13:$AE$10023,31,0)</f>
        <v>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 &amp; aws s3 cp s3://rtdc.mdm.uploadarchive.raw/RTDC4046/ "%USERPROFILE%\AppData\Local\Temp\OnboardLogs"\RTDC4046\2017-10-12 --exclude "*" --recursive --include "*20171012*" &amp; "%USERPROFILE%\Documents\GitHub\mrs-test-scripts\Headless Mode &amp; Sideloading\WalkAndUnGZ.bat" "%USERPROFILE%\AppData\Local\Temp\OnboardLogs"\RTDC4046\2017-10-12</v>
      </c>
      <c r="S11" s="84" t="str">
        <f>VLOOKUP(C11,'Train Runs'!$A$13:$AE$10023,22,0)</f>
        <v>https://d0f6bd738d7f1b3e5a7ca70fe4ff75f0.us-east-1.aws.found.io/app/kibana#/discover/Steve-Slow-Train-Analysis-(2080s-and-2083s)?_g=(refreshInterval:(display:Off,pause:!f,section:0,value:0),time:(from:'2017-10-11T07:27:22-0600',mode:absolute,to:'2017-10-11T10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/stypes="*4046*201710111*" /stext=" 14:.+((SYSTEM_STATE.+slice.+state.+changed )|(ment ac)|(multiple cpu faults)|(system.+state.+changed )|(\[timeout)|(PRM\|1\|D)|(kpr)|(kdp)|(train st.+moving)|(\|lc)|(penalty))"</v>
      </c>
      <c r="U11" s="9" t="str">
        <f>MID(B11,13,4)</f>
        <v>4046</v>
      </c>
      <c r="V11" s="31">
        <f>A11-utc_offset/24</f>
        <v>43019.624293981484</v>
      </c>
      <c r="W11" s="45" t="str">
        <f>DetSubdiv(C11)</f>
        <v>EC</v>
      </c>
      <c r="X11" s="22">
        <f>VALUE(LEFT(C11,LEN(C11)-3))</f>
        <v>139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{"issue":{"subject":"","project_id":79,"tracker_id":40,"status_id":1,"priority_id":2,"assigned_to_id":338,"start_date":"2017-10-11","description":"","custom_fields":[{"id":1,"name":"Subdivision","value":"EC"},{"id":4,"name":"Milepost","value":"16.1962"},{"id":17,"name":"Train ID","value":"139-11"},{"id":16,"name":"Locomotive ID","value":"4046"},{"id":130,"name":"Impact","value":""},{"id":150,"name":"Time of Event (Mountain Time)","value":"08:58:59"},{"id":151,"name":"Denver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/c/Users/stu/AppData/Local/Temp/OnboardLogs/RTDC4046 --include="*4046*201710111*"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"%USERPROFILE%\AppData\Local\Temp\OnboardLogs"\RTDC4046\*4046*201710111* &gt;&gt; 2017-10-11-SliceDisagreementCheck.txt</v>
      </c>
      <c r="AE11" s="145" t="str">
        <f t="shared" si="1"/>
        <v>start /low /b %USERPROFILE%\Documents\GitHub\eaglep3\Utilities\DownloadLogsFromS3.py --loco 4046 --day 2017-10-11</v>
      </c>
    </row>
    <row r="12" spans="1:32" x14ac:dyDescent="0.3">
      <c r="A12" s="31">
        <v>43019.471620370372</v>
      </c>
      <c r="B12" s="30" t="s">
        <v>589</v>
      </c>
      <c r="C12" s="30" t="s">
        <v>590</v>
      </c>
      <c r="D12" s="30" t="s">
        <v>49</v>
      </c>
      <c r="E12" s="30" t="s">
        <v>192</v>
      </c>
      <c r="F12" s="42">
        <v>450</v>
      </c>
      <c r="G12" s="42">
        <v>502</v>
      </c>
      <c r="H12" s="42">
        <v>191687</v>
      </c>
      <c r="I12" s="42">
        <v>190288</v>
      </c>
      <c r="J12" s="30" t="s">
        <v>193</v>
      </c>
      <c r="K12" s="42">
        <v>191108</v>
      </c>
      <c r="L12" s="131" t="s">
        <v>51</v>
      </c>
      <c r="M12" s="132">
        <f>CONVERT((I12-K12)/10000,"mi","ft")*IF(L12="Increasing Mileposts (1)",-1,1)</f>
        <v>-432.96</v>
      </c>
      <c r="N12" s="133" t="str">
        <f>VLOOKUP(C12,'Trips&amp;Operators'!$C$1:$G$99911,5,FALSE)</f>
        <v>LAMAR NEKESHA</v>
      </c>
      <c r="O12" s="176" t="s">
        <v>178</v>
      </c>
      <c r="P12" s="134"/>
      <c r="Q12" s="30"/>
      <c r="R12" s="81" t="str">
        <f>VLOOKUP(C12,'Train Runs'!$A$13:$AE$10023,31,0)</f>
        <v>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 &amp; aws s3 cp s3://rtdc.mdm.uploadarchive.raw/RTDC4045/ "%USERPROFILE%\AppData\Local\Temp\OnboardLogs"\RTDC4045\2017-10-12 --exclude "*" --recursive --include "*20171012*" &amp; "%USERPROFILE%\Documents\GitHub\mrs-test-scripts\Headless Mode &amp; Sideloading\WalkAndUnGZ.bat" "%USERPROFILE%\AppData\Local\Temp\OnboardLogs"\RTDC4045\2017-10-12</v>
      </c>
      <c r="S12" s="84" t="str">
        <f>VLOOKUP(C12,'Train Runs'!$A$13:$AE$10023,22,0)</f>
        <v>https://d0f6bd738d7f1b3e5a7ca70fe4ff75f0.us-east-1.aws.found.io/app/kibana#/discover/Steve-Slow-Train-Analysis-(2080s-and-2083s)?_g=(refreshInterval:(display:Off,pause:!f,section:0,value:0),time:(from:'2017-10-11T10:07:49-0600',mode:absolute,to:'2017-10-11T12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/stypes="*4045*201710111*" /stext=" 17:.+((SYSTEM_STATE.+slice.+state.+changed )|(ment ac)|(multiple cpu faults)|(system.+state.+changed )|(\[timeout)|(PRM\|1\|D)|(kpr)|(kdp)|(train st.+moving)|(\|lc)|(penalty))"</v>
      </c>
      <c r="U12" s="9" t="str">
        <f>MID(B12,13,4)</f>
        <v>4045</v>
      </c>
      <c r="V12" s="31">
        <f>A12-utc_offset/24</f>
        <v>43019.721620370372</v>
      </c>
      <c r="W12" s="45" t="str">
        <f>DetSubdiv(C12)</f>
        <v>EC</v>
      </c>
      <c r="X12" s="22">
        <f>VALUE(LEFT(C12,LEN(C12)-3))</f>
        <v>154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{"issue":{"subject":"","project_id":79,"tracker_id":40,"status_id":1,"priority_id":2,"assigned_to_id":338,"start_date":"2017-10-11","description":"","custom_fields":[{"id":1,"name":"Subdivision","value":"EC"},{"id":4,"name":"Milepost","value":"19.1108"},{"id":17,"name":"Train ID","value":"154-11"},{"id":16,"name":"Locomotive ID","value":"4045"},{"id":130,"name":"Impact","value":""},{"id":150,"name":"Time of Event (Mountain Time)","value":"11:19:08"},{"id":151,"name":"Denver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/c/Users/stu/AppData/Local/Temp/OnboardLogs/RTDC4045 --include="*4045*201710111*"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"%USERPROFILE%\AppData\Local\Temp\OnboardLogs"\RTDC4045\*4045*201710111* &gt;&gt; 2017-10-11-SliceDisagreementCheck.txt</v>
      </c>
      <c r="AE12" s="145" t="str">
        <f t="shared" si="1"/>
        <v>start /low /b %USERPROFILE%\Documents\GitHub\eaglep3\Utilities\DownloadLogsFromS3.py --loco 4045 --day 2017-10-11</v>
      </c>
      <c r="AF12" s="1"/>
    </row>
    <row r="13" spans="1:32" x14ac:dyDescent="0.3">
      <c r="A13" s="31">
        <v>43019.933564814812</v>
      </c>
      <c r="B13" s="30" t="s">
        <v>609</v>
      </c>
      <c r="C13" s="30" t="s">
        <v>610</v>
      </c>
      <c r="D13" s="30" t="s">
        <v>49</v>
      </c>
      <c r="E13" s="30" t="s">
        <v>573</v>
      </c>
      <c r="F13" s="42">
        <v>0</v>
      </c>
      <c r="G13" s="42">
        <v>800</v>
      </c>
      <c r="H13" s="42">
        <v>143602</v>
      </c>
      <c r="I13" s="42">
        <v>147843</v>
      </c>
      <c r="J13" s="30" t="s">
        <v>574</v>
      </c>
      <c r="K13" s="42">
        <v>144300</v>
      </c>
      <c r="L13" s="131" t="s">
        <v>50</v>
      </c>
      <c r="M13" s="132">
        <f>CONVERT((I13-K13)/10000,"mi","ft")*IF(L13="Increasing Mileposts (1)",-1,1)</f>
        <v>-1870.704</v>
      </c>
      <c r="N13" s="133" t="str">
        <f>VLOOKUP(C13,'Trips&amp;Operators'!$C$1:$G$99911,5,FALSE)</f>
        <v>LOZA FIDEL</v>
      </c>
      <c r="O13" s="176" t="s">
        <v>379</v>
      </c>
      <c r="P13" s="134" t="s">
        <v>399</v>
      </c>
      <c r="Q13" s="30"/>
      <c r="R13" s="81" t="str">
        <f>VLOOKUP(C13,'Train Runs'!$A$13:$AE$10023,31,0)</f>
        <v>aws s3 cp s3://rtdc.mdm.uploadarchive.raw/RTDC4032/ "%USERPROFILE%\AppData\Local\Temp\OnboardLogs"\RTDC4032\2017-10-11 --exclude "*" --recursive --include "*20171011*" &amp; "%USERPROFILE%\Documents\GitHub\mrs-test-scripts\Headless Mode &amp; Sideloading\WalkAndUnGZ.bat" "%USERPROFILE%\AppData\Local\Temp\OnboardLogs"\RTDC4032\2017-10-11 &amp; aws s3 cp s3://rtdc.mdm.uploadarchive.raw/RTDC4032/ "%USERPROFILE%\AppData\Local\Temp\OnboardLogs"\RTDC4032\2017-10-12 --exclude "*" --recursive --include "*20171012*" &amp; "%USERPROFILE%\Documents\GitHub\mrs-test-scripts\Headless Mode &amp; Sideloading\WalkAndUnGZ.bat" "%USERPROFILE%\AppData\Local\Temp\OnboardLogs"\RTDC4032\2017-10-12</v>
      </c>
      <c r="S13" s="84" t="str">
        <f>VLOOKUP(C13,'Train Runs'!$A$13:$AE$10023,22,0)</f>
        <v>https://d0f6bd738d7f1b3e5a7ca70fe4ff75f0.us-east-1.aws.found.io/app/kibana#/discover/Steve-Slow-Train-Analysis-(2080s-and-2083s)?_g=(refreshInterval:(display:Off,pause:!f,section:0,value:0),time:(from:'2017-10-11T20:38:59-0600',mode:absolute,to:'2017-10-11T23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/stypes="*4032*201710120*" /stext=" 04:.+((SYSTEM_STATE.+slice.+state.+changed )|(ment ac)|(multiple cpu faults)|(system.+state.+changed )|(\[timeout)|(PRM\|1\|D)|(kpr)|(kdp)|(train st.+moving)|(\|lc)|(penalty))"</v>
      </c>
      <c r="U13" s="9" t="str">
        <f>MID(B13,13,4)</f>
        <v>4032</v>
      </c>
      <c r="V13" s="31">
        <f>A13-utc_offset/24</f>
        <v>43020.183564814812</v>
      </c>
      <c r="W13" s="45" t="str">
        <f>DetSubdiv(C13)</f>
        <v>EC</v>
      </c>
      <c r="X13" s="22">
        <f>VALUE(LEFT(C13,LEN(C13)-3))</f>
        <v>233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drop","project_id":79,"tracker_id":40,"status_id":1,"priority_id":2,"assigned_to_id":338,"start_date":"2017-10-11","description":"","custom_fields":[{"id":1,"name":"Subdivision","value":"EC"},{"id":4,"name":"Milepost","value":"14.43"},{"id":17,"name":"Train ID","value":"233-11"},{"id":16,"name":"Locomotive ID","value":"4032"},{"id":130,"name":"Impact","value":""},{"id":150,"name":"Time of Event (Mountain Time)","value":"22:24:20"},{"id":151,"name":"Denver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/c/Users/stu/AppData/Local/Temp/OnboardLogs/RTDC4032 --include="*4032*201710120*"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"%USERPROFILE%\AppData\Local\Temp\OnboardLogs"\RTDC4032\*4032*201710120* &gt;&gt; 2017-10-11-SliceDisagreementCheck.txt</v>
      </c>
      <c r="AE13" s="145" t="str">
        <f t="shared" si="1"/>
        <v>start /low /b %USERPROFILE%\Documents\GitHub\eaglep3\Utilities\DownloadLogsFromS3.py --loco 4032 --day 2017-10-12</v>
      </c>
      <c r="AF13" s="1"/>
    </row>
    <row r="14" spans="1:32" x14ac:dyDescent="0.3">
      <c r="A14" s="31">
        <v>43019.253750000003</v>
      </c>
      <c r="B14" s="30" t="s">
        <v>494</v>
      </c>
      <c r="C14" s="30" t="s">
        <v>578</v>
      </c>
      <c r="D14" s="30" t="s">
        <v>49</v>
      </c>
      <c r="E14" s="30" t="s">
        <v>179</v>
      </c>
      <c r="F14" s="42">
        <v>0</v>
      </c>
      <c r="G14" s="42">
        <v>51</v>
      </c>
      <c r="H14" s="42">
        <v>192</v>
      </c>
      <c r="I14" s="42">
        <v>150</v>
      </c>
      <c r="J14" s="30" t="s">
        <v>180</v>
      </c>
      <c r="K14" s="42">
        <v>1</v>
      </c>
      <c r="L14" s="131" t="s">
        <v>51</v>
      </c>
      <c r="M14" s="132">
        <f>CONVERT((I14-K14)/10000,"mi","ft")*IF(L14="Increasing Mileposts (1)",-1,1)</f>
        <v>78.671999999999997</v>
      </c>
      <c r="N14" s="133" t="str">
        <f>VLOOKUP(C14,'Trips&amp;Operators'!$C$1:$G$99911,5,FALSE)</f>
        <v>YANG JAN</v>
      </c>
      <c r="O14" s="176" t="s">
        <v>178</v>
      </c>
      <c r="P14" s="134"/>
      <c r="Q14" s="30"/>
      <c r="R14" s="81" t="str">
        <f>VLOOKUP(C14,'Train Runs'!$A$13:$AE$10023,31,0)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S14" s="84" t="str">
        <f>VLOOKUP(C14,'Train Runs'!$A$13:$AE$10023,22,0)</f>
        <v>https://d0f6bd738d7f1b3e5a7ca70fe4ff75f0.us-east-1.aws.found.io/app/kibana#/discover/Steve-Slow-Train-Analysis-(2080s-and-2083s)?_g=(refreshInterval:(display:Off,pause:!f,section:0,value:0),time:(from:'2017-10-11T04:18:31-0600',mode:absolute,to:'2017-10-11T07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/stypes="*4035*201710111*" /stext=" 12:.+((SYSTEM_STATE.+slice.+state.+changed )|(ment ac)|(multiple cpu faults)|(system.+state.+changed )|(\[timeout)|(PRM\|1\|D)|(kpr)|(kdp)|(train st.+moving)|(\|lc)|(penalty))"</v>
      </c>
      <c r="U14" s="9" t="str">
        <f>MID(B14,13,4)</f>
        <v>4035</v>
      </c>
      <c r="V14" s="31">
        <f>A14-utc_offset/24</f>
        <v>43019.503750000003</v>
      </c>
      <c r="W14" s="45" t="str">
        <f>DetSubdiv(C14)</f>
        <v>EC</v>
      </c>
      <c r="X14" s="22">
        <f>VALUE(LEFT(C14,LEN(C14)-3))</f>
        <v>108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{"issue":{"subject":"","project_id":79,"tracker_id":40,"status_id":1,"priority_id":2,"assigned_to_id":338,"start_date":"2017-10-11","description":"","custom_fields":[{"id":1,"name":"Subdivision","value":"EC"},{"id":4,"name":"Milepost","value":"0.0001"},{"id":17,"name":"Train ID","value":"108-11"},{"id":16,"name":"Locomotive ID","value":"4035"},{"id":130,"name":"Impact","value":""},{"id":150,"name":"Time of Event (Mountain Time)","value":"06:05:24"},{"id":151,"name":"Denver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/c/Users/stu/AppData/Local/Temp/OnboardLogs/RTDC4035 --include="*4035*201710111*"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"%USERPROFILE%\AppData\Local\Temp\OnboardLogs"\RTDC4035\*4035*201710111* &gt;&gt; 2017-10-11-SliceDisagreementCheck.txt</v>
      </c>
      <c r="AE14" s="145" t="str">
        <f t="shared" si="1"/>
        <v>start /low /b %USERPROFILE%\Documents\GitHub\eaglep3\Utilities\DownloadLogsFromS3.py --loco 4035 --day 2017-10-11</v>
      </c>
      <c r="AF14" s="1"/>
    </row>
    <row r="15" spans="1:32" x14ac:dyDescent="0.3">
      <c r="A15" s="31">
        <v>43019.379224537035</v>
      </c>
      <c r="B15" s="30" t="s">
        <v>463</v>
      </c>
      <c r="C15" s="30" t="s">
        <v>583</v>
      </c>
      <c r="D15" s="30" t="s">
        <v>49</v>
      </c>
      <c r="E15" s="30" t="s">
        <v>179</v>
      </c>
      <c r="F15" s="42">
        <v>0</v>
      </c>
      <c r="G15" s="42">
        <v>36</v>
      </c>
      <c r="H15" s="42">
        <v>130</v>
      </c>
      <c r="I15" s="42">
        <v>110</v>
      </c>
      <c r="J15" s="30" t="s">
        <v>180</v>
      </c>
      <c r="K15" s="42">
        <v>1</v>
      </c>
      <c r="L15" s="131" t="s">
        <v>51</v>
      </c>
      <c r="M15" s="132">
        <f>CONVERT((I15-K15)/10000,"mi","ft")*IF(L15="Increasing Mileposts (1)",-1,1)</f>
        <v>57.552</v>
      </c>
      <c r="N15" s="133" t="str">
        <f>VLOOKUP(C15,'Trips&amp;Operators'!$C$1:$G$99911,5,FALSE)</f>
        <v>FORTUNATO FRANK</v>
      </c>
      <c r="O15" s="176" t="s">
        <v>178</v>
      </c>
      <c r="P15" s="134"/>
      <c r="Q15" s="30"/>
      <c r="R15" s="81" t="str">
        <f>VLOOKUP(C15,'Train Runs'!$A$13:$AE$10023,31,0)</f>
        <v>aws s3 cp s3://rtdc.mdm.uploadarchive.raw/RTDC4023/ "%USERPROFILE%\AppData\Local\Temp\OnboardLogs"\RTDC4023\2017-10-11 --exclude "*" --recursive --include "*20171011*" &amp; "%USERPROFILE%\Documents\GitHub\mrs-test-scripts\Headless Mode &amp; Sideloading\WalkAndUnGZ.bat" "%USERPROFILE%\AppData\Local\Temp\OnboardLogs"\RTDC4023\2017-10-11 &amp; aws s3 cp s3://rtdc.mdm.uploadarchive.raw/RTDC4023/ "%USERPROFILE%\AppData\Local\Temp\OnboardLogs"\RTDC4023\2017-10-12 --exclude "*" --recursive --include "*20171012*" &amp; "%USERPROFILE%\Documents\GitHub\mrs-test-scripts\Headless Mode &amp; Sideloading\WalkAndUnGZ.bat" "%USERPROFILE%\AppData\Local\Temp\OnboardLogs"\RTDC4023\2017-10-12</v>
      </c>
      <c r="S15" s="84" t="str">
        <f>VLOOKUP(C15,'Train Runs'!$A$13:$AE$10023,22,0)</f>
        <v>https://d0f6bd738d7f1b3e5a7ca70fe4ff75f0.us-east-1.aws.found.io/app/kibana#/discover/Steve-Slow-Train-Analysis-(2080s-and-2083s)?_g=(refreshInterval:(display:Off,pause:!f,section:0,value:0),time:(from:'2017-10-11T07:07:29-0600',mode:absolute,to:'2017-10-11T10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/stypes="*4023*201710111*" /stext=" 15:.+((SYSTEM_STATE.+slice.+state.+changed )|(ment ac)|(multiple cpu faults)|(system.+state.+changed )|(\[timeout)|(PRM\|1\|D)|(kpr)|(kdp)|(train st.+moving)|(\|lc)|(penalty))"</v>
      </c>
      <c r="U15" s="9" t="str">
        <f>MID(B15,13,4)</f>
        <v>4023</v>
      </c>
      <c r="V15" s="31">
        <f>A15-utc_offset/24</f>
        <v>43019.629224537035</v>
      </c>
      <c r="W15" s="45" t="str">
        <f>DetSubdiv(C15)</f>
        <v>EC</v>
      </c>
      <c r="X15" s="22">
        <f>VALUE(LEFT(C15,LEN(C15)-3))</f>
        <v>132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{"issue":{"subject":"","project_id":79,"tracker_id":40,"status_id":1,"priority_id":2,"assigned_to_id":338,"start_date":"2017-10-11","description":"","custom_fields":[{"id":1,"name":"Subdivision","value":"EC"},{"id":4,"name":"Milepost","value":"0.0001"},{"id":17,"name":"Train ID","value":"132-11"},{"id":16,"name":"Locomotive ID","value":"4023"},{"id":130,"name":"Impact","value":""},{"id":150,"name":"Time of Event (Mountain Time)","value":"09:06:05"},{"id":151,"name":"Denver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/c/Users/stu/AppData/Local/Temp/OnboardLogs/RTDC4023 --include="*4023*201710111*"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"%USERPROFILE%\AppData\Local\Temp\OnboardLogs"\RTDC4023\*4023*201710111* &gt;&gt; 2017-10-11-SliceDisagreementCheck.txt</v>
      </c>
      <c r="AE15" s="145" t="str">
        <f t="shared" si="1"/>
        <v>start /low /b %USERPROFILE%\Documents\GitHub\eaglep3\Utilities\DownloadLogsFromS3.py --loco 4023 --day 2017-10-11</v>
      </c>
      <c r="AF15" s="1"/>
    </row>
    <row r="16" spans="1:32" x14ac:dyDescent="0.3">
      <c r="A16" s="31">
        <v>43019.442280092589</v>
      </c>
      <c r="B16" s="30" t="s">
        <v>586</v>
      </c>
      <c r="C16" s="30" t="s">
        <v>587</v>
      </c>
      <c r="D16" s="30" t="s">
        <v>49</v>
      </c>
      <c r="E16" s="30" t="s">
        <v>179</v>
      </c>
      <c r="F16" s="42">
        <v>0</v>
      </c>
      <c r="G16" s="42">
        <v>62</v>
      </c>
      <c r="H16" s="42">
        <v>178</v>
      </c>
      <c r="I16" s="42">
        <v>125</v>
      </c>
      <c r="J16" s="30" t="s">
        <v>180</v>
      </c>
      <c r="K16" s="42">
        <v>1</v>
      </c>
      <c r="L16" s="131" t="s">
        <v>51</v>
      </c>
      <c r="M16" s="132">
        <f>CONVERT((I16-K16)/10000,"mi","ft")*IF(L16="Increasing Mileposts (1)",-1,1)</f>
        <v>65.471999999999994</v>
      </c>
      <c r="N16" s="133" t="str">
        <f>VLOOKUP(C16,'Trips&amp;Operators'!$C$1:$G$99911,5,FALSE)</f>
        <v>THOMPSON LESTER</v>
      </c>
      <c r="O16" s="176" t="s">
        <v>178</v>
      </c>
      <c r="P16" s="134"/>
      <c r="Q16" s="30"/>
      <c r="R16" s="81" t="str">
        <f>VLOOKUP(C16,'Train Runs'!$A$13:$AE$10023,31,0)</f>
        <v>aws s3 cp s3://rtdc.mdm.uploadarchive.raw/RTDC4013/ "%USERPROFILE%\AppData\Local\Temp\OnboardLogs"\RTDC4013\2017-10-11 --exclude "*" --recursive --include "*20171011*" &amp; "%USERPROFILE%\Documents\GitHub\mrs-test-scripts\Headless Mode &amp; Sideloading\WalkAndUnGZ.bat" "%USERPROFILE%\AppData\Local\Temp\OnboardLogs"\RTDC4013\2017-10-11 &amp; 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</v>
      </c>
      <c r="S16" s="84" t="str">
        <f>VLOOKUP(C16,'Train Runs'!$A$13:$AE$10023,22,0)</f>
        <v>https://d0f6bd738d7f1b3e5a7ca70fe4ff75f0.us-east-1.aws.found.io/app/kibana#/discover/Steve-Slow-Train-Analysis-(2080s-and-2083s)?_g=(refreshInterval:(display:Off,pause:!f,section:0,value:0),time:(from:'2017-10-11T08:52:12-0600',mode:absolute,to:'2017-10-11T11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/stypes="*4013*201710111*" /stext=" 16:.+((SYSTEM_STATE.+slice.+state.+changed )|(ment ac)|(multiple cpu faults)|(system.+state.+changed )|(\[timeout)|(PRM\|1\|D)|(kpr)|(kdp)|(train st.+moving)|(\|lc)|(penalty))"</v>
      </c>
      <c r="U16" s="9" t="str">
        <f>MID(B16,13,4)</f>
        <v>4013</v>
      </c>
      <c r="V16" s="31">
        <f>A16-utc_offset/24</f>
        <v>43019.692280092589</v>
      </c>
      <c r="W16" s="45" t="str">
        <f>DetSubdiv(C16)</f>
        <v>EC</v>
      </c>
      <c r="X16" s="22">
        <f>VALUE(LEFT(C16,LEN(C16)-3))</f>
        <v>144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{"issue":{"subject":"","project_id":79,"tracker_id":40,"status_id":1,"priority_id":2,"assigned_to_id":338,"start_date":"2017-10-11","description":"","custom_fields":[{"id":1,"name":"Subdivision","value":"EC"},{"id":4,"name":"Milepost","value":"0.0001"},{"id":17,"name":"Train ID","value":"144-11"},{"id":16,"name":"Locomotive ID","value":"4013"},{"id":130,"name":"Impact","value":""},{"id":150,"name":"Time of Event (Mountain Time)","value":"10:36:53"},{"id":151,"name":"Denver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/c/Users/stu/AppData/Local/Temp/OnboardLogs/RTDC4013 --include="*4013*201710111*"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"%USERPROFILE%\AppData\Local\Temp\OnboardLogs"\RTDC4013\*4013*201710111* &gt;&gt; 2017-10-11-SliceDisagreementCheck.txt</v>
      </c>
      <c r="AE16" s="145" t="str">
        <f t="shared" si="1"/>
        <v>start /low /b %USERPROFILE%\Documents\GitHub\eaglep3\Utilities\DownloadLogsFromS3.py --loco 4013 --day 2017-10-11</v>
      </c>
      <c r="AF16" s="1"/>
    </row>
    <row r="17" spans="1:32" x14ac:dyDescent="0.3">
      <c r="A17" s="31">
        <v>43019.50304398148</v>
      </c>
      <c r="B17" s="30" t="s">
        <v>591</v>
      </c>
      <c r="C17" s="30" t="s">
        <v>592</v>
      </c>
      <c r="D17" s="30" t="s">
        <v>49</v>
      </c>
      <c r="E17" s="30" t="s">
        <v>179</v>
      </c>
      <c r="F17" s="42">
        <v>0</v>
      </c>
      <c r="G17" s="42">
        <v>91</v>
      </c>
      <c r="H17" s="42">
        <v>322</v>
      </c>
      <c r="I17" s="42">
        <v>200</v>
      </c>
      <c r="J17" s="30" t="s">
        <v>180</v>
      </c>
      <c r="K17" s="42">
        <v>1</v>
      </c>
      <c r="L17" s="131" t="s">
        <v>51</v>
      </c>
      <c r="M17" s="132">
        <f>CONVERT((I17-K17)/10000,"mi","ft")*IF(L17="Increasing Mileposts (1)",-1,1)</f>
        <v>105.072</v>
      </c>
      <c r="N17" s="133" t="str">
        <f>VLOOKUP(C17,'Trips&amp;Operators'!$C$1:$G$99911,5,FALSE)</f>
        <v>YANAI IAN</v>
      </c>
      <c r="O17" s="176" t="s">
        <v>178</v>
      </c>
      <c r="P17" s="134"/>
      <c r="Q17" s="30"/>
      <c r="R17" s="81" t="str">
        <f>VLOOKUP(C17,'Train Runs'!$A$13:$AE$10023,31,0)</f>
        <v>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 &amp; aws s3 cp s3://rtdc.mdm.uploadarchive.raw/RTDC4015/ "%USERPROFILE%\AppData\Local\Temp\OnboardLogs"\RTDC4015\2017-10-12 --exclude "*" --recursive --include "*20171012*" &amp; "%USERPROFILE%\Documents\GitHub\mrs-test-scripts\Headless Mode &amp; Sideloading\WalkAndUnGZ.bat" "%USERPROFILE%\AppData\Local\Temp\OnboardLogs"\RTDC4015\2017-10-12</v>
      </c>
      <c r="S17" s="84" t="str">
        <f>VLOOKUP(C17,'Train Runs'!$A$13:$AE$10023,22,0)</f>
        <v>https://d0f6bd738d7f1b3e5a7ca70fe4ff75f0.us-east-1.aws.found.io/app/kibana#/discover/Steve-Slow-Train-Analysis-(2080s-and-2083s)?_g=(refreshInterval:(display:Off,pause:!f,section:0,value:0),time:(from:'2017-10-11T10:06:10-0600',mode:absolute,to:'2017-10-11T13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/stypes="*4015*201710111*" /stext=" 18:.+((SYSTEM_STATE.+slice.+state.+changed )|(ment ac)|(multiple cpu faults)|(system.+state.+changed )|(\[timeout)|(PRM\|1\|D)|(kpr)|(kdp)|(train st.+moving)|(\|lc)|(penalty))"</v>
      </c>
      <c r="U17" s="9" t="str">
        <f>MID(B17,13,4)</f>
        <v>4015</v>
      </c>
      <c r="V17" s="31">
        <f>A17-utc_offset/24</f>
        <v>43019.75304398148</v>
      </c>
      <c r="W17" s="45" t="str">
        <f>DetSubdiv(C17)</f>
        <v>EC</v>
      </c>
      <c r="X17" s="22">
        <f>VALUE(LEFT(C17,LEN(C17)-3))</f>
        <v>156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{"issue":{"subject":"","project_id":79,"tracker_id":40,"status_id":1,"priority_id":2,"assigned_to_id":338,"start_date":"2017-10-11","description":"","custom_fields":[{"id":1,"name":"Subdivision","value":"EC"},{"id":4,"name":"Milepost","value":"0.0001"},{"id":17,"name":"Train ID","value":"156-11"},{"id":16,"name":"Locomotive ID","value":"4015"},{"id":130,"name":"Impact","value":""},{"id":150,"name":"Time of Event (Mountain Time)","value":"12:04:23"},{"id":151,"name":"Denver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/c/Users/stu/AppData/Local/Temp/OnboardLogs/RTDC4015 --include="*4015*201710111*"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"%USERPROFILE%\AppData\Local\Temp\OnboardLogs"\RTDC4015\*4015*201710111* &gt;&gt; 2017-10-11-SliceDisagreementCheck.txt</v>
      </c>
      <c r="AE17" s="145" t="str">
        <f t="shared" si="1"/>
        <v>start /low /b %USERPROFILE%\Documents\GitHub\eaglep3\Utilities\DownloadLogsFromS3.py --loco 4015 --day 2017-10-11</v>
      </c>
      <c r="AF17" s="1"/>
    </row>
    <row r="18" spans="1:32" x14ac:dyDescent="0.3">
      <c r="A18" s="31">
        <v>43019.545891203707</v>
      </c>
      <c r="B18" s="30" t="s">
        <v>494</v>
      </c>
      <c r="C18" s="30" t="s">
        <v>594</v>
      </c>
      <c r="D18" s="30" t="s">
        <v>49</v>
      </c>
      <c r="E18" s="30" t="s">
        <v>179</v>
      </c>
      <c r="F18" s="42">
        <v>0</v>
      </c>
      <c r="G18" s="42">
        <v>151</v>
      </c>
      <c r="H18" s="42">
        <v>715</v>
      </c>
      <c r="I18" s="42">
        <v>529</v>
      </c>
      <c r="J18" s="30" t="s">
        <v>180</v>
      </c>
      <c r="K18" s="42">
        <v>1</v>
      </c>
      <c r="L18" s="131" t="s">
        <v>51</v>
      </c>
      <c r="M18" s="132">
        <f>CONVERT((I18-K18)/10000,"mi","ft")*IF(L18="Increasing Mileposts (1)",-1,1)</f>
        <v>278.78399999999999</v>
      </c>
      <c r="N18" s="133" t="str">
        <f>VLOOKUP(C18,'Trips&amp;Operators'!$C$1:$G$99911,5,FALSE)</f>
        <v>STEWART MICHAEL</v>
      </c>
      <c r="O18" s="176" t="s">
        <v>178</v>
      </c>
      <c r="P18" s="134"/>
      <c r="Q18" s="30"/>
      <c r="R18" s="81" t="str">
        <f>VLOOKUP(C18,'Train Runs'!$A$13:$AE$10023,31,0)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S18" s="84" t="str">
        <f>VLOOKUP(C18,'Train Runs'!$A$13:$AE$10023,22,0)</f>
        <v>https://d0f6bd738d7f1b3e5a7ca70fe4ff75f0.us-east-1.aws.found.io/app/kibana#/discover/Steve-Slow-Train-Analysis-(2080s-and-2083s)?_g=(refreshInterval:(display:Off,pause:!f,section:0,value:0),time:(from:'2017-10-11T11:21:44-0600',mode:absolute,to:'2017-10-11T14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/stypes="*4035*201710111*" /stext=" 19:.+((SYSTEM_STATE.+slice.+state.+changed )|(ment ac)|(multiple cpu faults)|(system.+state.+changed )|(\[timeout)|(PRM\|1\|D)|(kpr)|(kdp)|(train st.+moving)|(\|lc)|(penalty))"</v>
      </c>
      <c r="U18" s="9" t="str">
        <f>MID(B18,13,4)</f>
        <v>4035</v>
      </c>
      <c r="V18" s="31">
        <f>A18-utc_offset/24</f>
        <v>43019.795891203707</v>
      </c>
      <c r="W18" s="45" t="str">
        <f>DetSubdiv(C18)</f>
        <v>EC</v>
      </c>
      <c r="X18" s="22">
        <f>VALUE(LEFT(C18,LEN(C18)-3))</f>
        <v>164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{"issue":{"subject":"","project_id":79,"tracker_id":40,"status_id":1,"priority_id":2,"assigned_to_id":338,"start_date":"2017-10-11","description":"","custom_fields":[{"id":1,"name":"Subdivision","value":"EC"},{"id":4,"name":"Milepost","value":"0.0001"},{"id":17,"name":"Train ID","value":"164-11"},{"id":16,"name":"Locomotive ID","value":"4035"},{"id":130,"name":"Impact","value":""},{"id":150,"name":"Time of Event (Mountain Time)","value":"13:06:05"},{"id":151,"name":"Denver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/c/Users/stu/AppData/Local/Temp/OnboardLogs/RTDC4035 --include="*4035*201710111*"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"%USERPROFILE%\AppData\Local\Temp\OnboardLogs"\RTDC4035\*4035*201710111* &gt;&gt; 2017-10-11-SliceDisagreementCheck.txt</v>
      </c>
      <c r="AE18" s="145" t="str">
        <f t="shared" si="1"/>
        <v>start /low /b %USERPROFILE%\Documents\GitHub\eaglep3\Utilities\DownloadLogsFromS3.py --loco 4035 --day 2017-10-11</v>
      </c>
      <c r="AF18" s="1"/>
    </row>
    <row r="19" spans="1:32" x14ac:dyDescent="0.3">
      <c r="A19" s="31">
        <v>43019.618460648147</v>
      </c>
      <c r="B19" s="30" t="s">
        <v>494</v>
      </c>
      <c r="C19" s="30" t="s">
        <v>598</v>
      </c>
      <c r="D19" s="30" t="s">
        <v>49</v>
      </c>
      <c r="E19" s="30" t="s">
        <v>179</v>
      </c>
      <c r="F19" s="42">
        <v>0</v>
      </c>
      <c r="G19" s="42">
        <v>66</v>
      </c>
      <c r="H19" s="42">
        <v>243</v>
      </c>
      <c r="I19" s="42">
        <v>156</v>
      </c>
      <c r="J19" s="30" t="s">
        <v>180</v>
      </c>
      <c r="K19" s="42">
        <v>1</v>
      </c>
      <c r="L19" s="131" t="s">
        <v>51</v>
      </c>
      <c r="M19" s="132">
        <f>CONVERT((I19-K19)/10000,"mi","ft")*IF(L19="Increasing Mileposts (1)",-1,1)</f>
        <v>81.84</v>
      </c>
      <c r="N19" s="133" t="str">
        <f>VLOOKUP(C19,'Trips&amp;Operators'!$C$1:$G$99911,5,FALSE)</f>
        <v>STEWART MICHAEL</v>
      </c>
      <c r="O19" s="176" t="s">
        <v>178</v>
      </c>
      <c r="P19" s="134"/>
      <c r="Q19" s="30"/>
      <c r="R19" s="81" t="str">
        <f>VLOOKUP(C19,'Train Runs'!$A$13:$AE$10023,31,0)</f>
        <v>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 &amp; aws s3 cp s3://rtdc.mdm.uploadarchive.raw/RTDC4035/ "%USERPROFILE%\AppData\Local\Temp\OnboardLogs"\RTDC4035\2017-10-12 --exclude "*" --recursive --include "*20171012*" &amp; "%USERPROFILE%\Documents\GitHub\mrs-test-scripts\Headless Mode &amp; Sideloading\WalkAndUnGZ.bat" "%USERPROFILE%\AppData\Local\Temp\OnboardLogs"\RTDC4035\2017-10-12</v>
      </c>
      <c r="S19" s="84" t="str">
        <f>VLOOKUP(C19,'Train Runs'!$A$13:$AE$10023,22,0)</f>
        <v>https://d0f6bd738d7f1b3e5a7ca70fe4ff75f0.us-east-1.aws.found.io/app/kibana#/discover/Steve-Slow-Train-Analysis-(2080s-and-2083s)?_g=(refreshInterval:(display:Off,pause:!f,section:0,value:0),time:(from:'2017-10-11T13:07:08-0600',mode:absolute,to:'2017-10-11T15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/stypes="*4035*201710112*" /stext=" 20:.+((SYSTEM_STATE.+slice.+state.+changed )|(ment ac)|(multiple cpu faults)|(system.+state.+changed )|(\[timeout)|(PRM\|1\|D)|(kpr)|(kdp)|(train st.+moving)|(\|lc)|(penalty))"</v>
      </c>
      <c r="U19" s="9" t="str">
        <f>MID(B19,13,4)</f>
        <v>4035</v>
      </c>
      <c r="V19" s="31">
        <f>A19-utc_offset/24</f>
        <v>43019.868460648147</v>
      </c>
      <c r="W19" s="45" t="str">
        <f>DetSubdiv(C19)</f>
        <v>EC</v>
      </c>
      <c r="X19" s="22">
        <f>VALUE(LEFT(C19,LEN(C19)-3))</f>
        <v>178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{"issue":{"subject":"","project_id":79,"tracker_id":40,"status_id":1,"priority_id":2,"assigned_to_id":338,"start_date":"2017-10-11","description":"","custom_fields":[{"id":1,"name":"Subdivision","value":"EC"},{"id":4,"name":"Milepost","value":"0.0001"},{"id":17,"name":"Train ID","value":"178-11"},{"id":16,"name":"Locomotive ID","value":"4035"},{"id":130,"name":"Impact","value":""},{"id":150,"name":"Time of Event (Mountain Time)","value":"14:50:35"},{"id":151,"name":"Denver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/c/Users/stu/AppData/Local/Temp/OnboardLogs/RTDC4035 --include="*4035*201710112*"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"%USERPROFILE%\AppData\Local\Temp\OnboardLogs"\RTDC4035\*4035*201710112* &gt;&gt; 2017-10-11-SliceDisagreementCheck.txt</v>
      </c>
      <c r="AE19" s="145" t="str">
        <f t="shared" si="1"/>
        <v>start /low /b %USERPROFILE%\Documents\GitHub\eaglep3\Utilities\DownloadLogsFromS3.py --loco 4035 --day 2017-10-11</v>
      </c>
      <c r="AF19" s="1"/>
    </row>
    <row r="20" spans="1:32" x14ac:dyDescent="0.3">
      <c r="A20" s="31">
        <v>43019.694560185184</v>
      </c>
      <c r="B20" s="30" t="s">
        <v>601</v>
      </c>
      <c r="C20" s="30" t="s">
        <v>602</v>
      </c>
      <c r="D20" s="30" t="s">
        <v>49</v>
      </c>
      <c r="E20" s="30" t="s">
        <v>179</v>
      </c>
      <c r="F20" s="42">
        <v>0</v>
      </c>
      <c r="G20" s="42">
        <v>31</v>
      </c>
      <c r="H20" s="42">
        <v>233311</v>
      </c>
      <c r="I20" s="42">
        <v>233330</v>
      </c>
      <c r="J20" s="30" t="s">
        <v>180</v>
      </c>
      <c r="K20" s="42">
        <v>233491</v>
      </c>
      <c r="L20" s="131" t="s">
        <v>50</v>
      </c>
      <c r="M20" s="132">
        <f>CONVERT((I20-K20)/10000,"mi","ft")*IF(L20="Increasing Mileposts (1)",-1,1)</f>
        <v>85.007999999999996</v>
      </c>
      <c r="N20" s="133" t="str">
        <f>VLOOKUP(C20,'Trips&amp;Operators'!$C$1:$G$99911,5,FALSE)</f>
        <v>ZEWDU DEREJE</v>
      </c>
      <c r="O20" s="176" t="s">
        <v>178</v>
      </c>
      <c r="P20" s="134"/>
      <c r="Q20" s="30"/>
      <c r="R20" s="81" t="str">
        <f>VLOOKUP(C20,'Train Runs'!$A$13:$AE$10023,31,0)</f>
        <v>aws s3 cp s3://rtdc.mdm.uploadarchive.raw/RTDC4014/ "%USERPROFILE%\AppData\Local\Temp\OnboardLogs"\RTDC4014\2017-10-11 --exclude "*" --recursive --include "*20171011*" &amp; "%USERPROFILE%\Documents\GitHub\mrs-test-scripts\Headless Mode &amp; Sideloading\WalkAndUnGZ.bat" "%USERPROFILE%\AppData\Local\Temp\OnboardLogs"\RTDC4014\2017-10-11 &amp; 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</v>
      </c>
      <c r="S20" s="84" t="str">
        <f>VLOOKUP(C20,'Train Runs'!$A$13:$AE$10023,22,0)</f>
        <v>https://d0f6bd738d7f1b3e5a7ca70fe4ff75f0.us-east-1.aws.found.io/app/kibana#/discover/Steve-Slow-Train-Analysis-(2080s-and-2083s)?_g=(refreshInterval:(display:Off,pause:!f,section:0,value:0),time:(from:'2017-10-11T14:53:36-0600',mode:absolute,to:'2017-10-11T17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/stypes="*4014*201710112*" /stext=" 22:.+((SYSTEM_STATE.+slice.+state.+changed )|(ment ac)|(multiple cpu faults)|(system.+state.+changed )|(\[timeout)|(PRM\|1\|D)|(kpr)|(kdp)|(train st.+moving)|(\|lc)|(penalty))"</v>
      </c>
      <c r="U20" s="9" t="str">
        <f>MID(B20,13,4)</f>
        <v>4014</v>
      </c>
      <c r="V20" s="31">
        <f>A20-utc_offset/24</f>
        <v>43019.944560185184</v>
      </c>
      <c r="W20" s="45" t="str">
        <f>DetSubdiv(C20)</f>
        <v>EC</v>
      </c>
      <c r="X20" s="22">
        <f>VALUE(LEFT(C20,LEN(C20)-3))</f>
        <v>199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{"issue":{"subject":"","project_id":79,"tracker_id":40,"status_id":1,"priority_id":2,"assigned_to_id":338,"start_date":"2017-10-11","description":"","custom_fields":[{"id":1,"name":"Subdivision","value":"EC"},{"id":4,"name":"Milepost","value":"23.3491"},{"id":17,"name":"Train ID","value":"199-11"},{"id":16,"name":"Locomotive ID","value":"4014"},{"id":130,"name":"Impact","value":""},{"id":150,"name":"Time of Event (Mountain Time)","value":"16:40:10"},{"id":151,"name":"Denver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/c/Users/stu/AppData/Local/Temp/OnboardLogs/RTDC4014 --include="*4014*201710112*"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"%USERPROFILE%\AppData\Local\Temp\OnboardLogs"\RTDC4014\*4014*201710112* &gt;&gt; 2017-10-11-SliceDisagreementCheck.txt</v>
      </c>
      <c r="AE20" s="145" t="str">
        <f t="shared" si="1"/>
        <v>start /low /b %USERPROFILE%\Documents\GitHub\eaglep3\Utilities\DownloadLogsFromS3.py --loco 4014 --day 2017-10-11</v>
      </c>
      <c r="AF20" s="1"/>
    </row>
    <row r="21" spans="1:32" x14ac:dyDescent="0.3">
      <c r="A21" s="31">
        <v>43019.219085648147</v>
      </c>
      <c r="B21" s="30" t="s">
        <v>492</v>
      </c>
      <c r="C21" s="30" t="s">
        <v>576</v>
      </c>
      <c r="D21" s="30" t="s">
        <v>95</v>
      </c>
      <c r="E21" s="30" t="s">
        <v>192</v>
      </c>
      <c r="F21" s="42">
        <v>400</v>
      </c>
      <c r="G21" s="42">
        <v>452</v>
      </c>
      <c r="H21" s="42">
        <v>48371</v>
      </c>
      <c r="I21" s="42">
        <v>46941</v>
      </c>
      <c r="J21" s="30" t="s">
        <v>193</v>
      </c>
      <c r="K21" s="42">
        <v>49775</v>
      </c>
      <c r="L21" s="131" t="s">
        <v>51</v>
      </c>
      <c r="M21" s="132">
        <f>CONVERT((I21-K21)/10000,"mi","ft")*IF(L21="Increasing Mileposts (1)",-1,1)</f>
        <v>-1496.3520000000001</v>
      </c>
      <c r="N21" s="133" t="str">
        <f>VLOOKUP(C21,'Trips&amp;Operators'!$C$1:$G$99911,5,FALSE)</f>
        <v>LAMAR NEKESHA</v>
      </c>
      <c r="O21" s="176" t="s">
        <v>178</v>
      </c>
      <c r="P21" s="134"/>
      <c r="Q21" s="30"/>
      <c r="R21" s="81" t="str">
        <f>VLOOKUP(C21,'Train Runs'!$A$13:$AE$10023,31,0)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S21" s="84" t="str">
        <f>VLOOKUP(C21,'Train Runs'!$A$13:$AE$10023,22,0)</f>
        <v>https://d0f6bd738d7f1b3e5a7ca70fe4ff75f0.us-east-1.aws.found.io/app/kibana#/discover/Steve-Slow-Train-Analysis-(2080s-and-2083s)?_g=(refreshInterval:(display:Off,pause:!f,section:0,value:0),time:(from:'2017-10-11T04:04:07-0600',mode:absolute,to:'2017-10-11T06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/stypes="*4043*201710111*" /stext=" 11:.+((SYSTEM_STATE.+slice.+state.+changed )|(ment ac)|(multiple cpu faults)|(system.+state.+changed )|(\[timeout)|(PRM\|1\|D)|(kpr)|(kdp)|(train st.+moving)|(\|lc)|(penalty))"</v>
      </c>
      <c r="U21" s="9" t="str">
        <f>MID(B21,13,4)</f>
        <v>4043</v>
      </c>
      <c r="V21" s="31">
        <f>A21-utc_offset/24</f>
        <v>43019.469085648147</v>
      </c>
      <c r="W21" s="45" t="str">
        <f>DetSubdiv(C21)</f>
        <v>NW</v>
      </c>
      <c r="X21" s="22">
        <f>VALUE(LEFT(C21,LEN(C21)-3))</f>
        <v>800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{"issue":{"subject":"","project_id":79,"tracker_id":40,"status_id":1,"priority_id":2,"assigned_to_id":338,"start_date":"2017-10-11","description":"","custom_fields":[{"id":1,"name":"Subdivision","value":"NW"},{"id":4,"name":"Milepost","value":"4.9775"},{"id":17,"name":"Train ID","value":"800-11"},{"id":16,"name":"Locomotive ID","value":"4043"},{"id":130,"name":"Impact","value":""},{"id":150,"name":"Time of Event (Mountain Time)","value":"05:15:29"},{"id":151,"name":"Denver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/c/Users/stu/AppData/Local/Temp/OnboardLogs/RTDC4043 --include="*4043*201710111*"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"%USERPROFILE%\AppData\Local\Temp\OnboardLogs"\RTDC4043\*4043*201710111* &gt;&gt; 2017-10-11-SliceDisagreementCheck.txt</v>
      </c>
      <c r="AE21" s="145" t="str">
        <f t="shared" si="1"/>
        <v>start /low /b %USERPROFILE%\Documents\GitHub\eaglep3\Utilities\DownloadLogsFromS3.py --loco 4043 --day 2017-10-11</v>
      </c>
      <c r="AF21" s="1"/>
    </row>
    <row r="22" spans="1:32" x14ac:dyDescent="0.3">
      <c r="A22" s="31">
        <v>43019.590358796297</v>
      </c>
      <c r="B22" s="30" t="s">
        <v>385</v>
      </c>
      <c r="C22" s="30" t="s">
        <v>597</v>
      </c>
      <c r="D22" s="30" t="s">
        <v>95</v>
      </c>
      <c r="E22" s="30" t="s">
        <v>573</v>
      </c>
      <c r="F22" s="42">
        <v>0</v>
      </c>
      <c r="G22" s="42">
        <v>93</v>
      </c>
      <c r="H22" s="42">
        <v>1861</v>
      </c>
      <c r="I22" s="42">
        <v>1995</v>
      </c>
      <c r="J22" s="30" t="s">
        <v>574</v>
      </c>
      <c r="K22" s="42">
        <v>1725</v>
      </c>
      <c r="L22" s="131" t="s">
        <v>50</v>
      </c>
      <c r="M22" s="132">
        <f>CONVERT((I22-K22)/10000,"mi","ft")*IF(L22="Increasing Mileposts (1)",-1,1)</f>
        <v>-142.56</v>
      </c>
      <c r="N22" s="133" t="str">
        <f>VLOOKUP(C22,'Trips&amp;Operators'!$C$1:$G$99911,5,FALSE)</f>
        <v>LEVERE CRAIG</v>
      </c>
      <c r="O22" s="176" t="s">
        <v>379</v>
      </c>
      <c r="P22" s="134" t="s">
        <v>1017</v>
      </c>
      <c r="Q22" s="30"/>
      <c r="R22" s="81" t="str">
        <f>VLOOKUP(C22,'Train Runs'!$A$13:$AE$10023,31,0)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S22" s="84" t="str">
        <f>VLOOKUP(C22,'Train Runs'!$A$13:$AE$10023,22,0)</f>
        <v>https://d0f6bd738d7f1b3e5a7ca70fe4ff75f0.us-east-1.aws.found.io/app/kibana#/discover/Steve-Slow-Train-Analysis-(2080s-and-2083s)?_g=(refreshInterval:(display:Off,pause:!f,section:0,value:0),time:(from:'2017-10-11T13:03:02-0600',mode:absolute,to:'2017-10-11T15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/stypes="*4064*201710112*" /stext=" 20:.+((SYSTEM_STATE.+slice.+state.+changed )|(ment ac)|(multiple cpu faults)|(system.+state.+changed )|(\[timeout)|(PRM\|1\|D)|(kpr)|(kdp)|(train st.+moving)|(\|lc)|(penalty))"</v>
      </c>
      <c r="U22" s="9" t="str">
        <f>MID(B22,13,4)</f>
        <v>4064</v>
      </c>
      <c r="V22" s="31">
        <f>A22-utc_offset/24</f>
        <v>43019.840358796297</v>
      </c>
      <c r="W22" s="45" t="str">
        <f>DetSubdiv(C22)</f>
        <v>NW</v>
      </c>
      <c r="X22" s="22">
        <f>VALUE(LEFT(C22,LEN(C22)-3))</f>
        <v>823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DUS","project_id":79,"tracker_id":40,"status_id":1,"priority_id":2,"assigned_to_id":338,"start_date":"2017-10-11","description":"","custom_fields":[{"id":1,"name":"Subdivision","value":"NW"},{"id":4,"name":"Milepost","value":"0.1725"},{"id":17,"name":"Train ID","value":"823-11"},{"id":16,"name":"Locomotive ID","value":"4064"},{"id":130,"name":"Impact","value":""},{"id":150,"name":"Time of Event (Mountain Time)","value":"14:10:07"},{"id":151,"name":"Denver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/c/Users/stu/AppData/Local/Temp/OnboardLogs/RTDC4064 --include="*4064*201710112*"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"%USERPROFILE%\AppData\Local\Temp\OnboardLogs"\RTDC4064\*4064*201710112* &gt;&gt; 2017-10-11-SliceDisagreementCheck.txt</v>
      </c>
      <c r="AE22" s="145" t="str">
        <f t="shared" si="1"/>
        <v>start /low /b %USERPROFILE%\Documents\GitHub\eaglep3\Utilities\DownloadLogsFromS3.py --loco 4064 --day 2017-10-11</v>
      </c>
      <c r="AF22" s="1"/>
    </row>
    <row r="23" spans="1:32" x14ac:dyDescent="0.3">
      <c r="A23" s="31">
        <v>43019.881932870368</v>
      </c>
      <c r="B23" s="30" t="s">
        <v>385</v>
      </c>
      <c r="C23" s="30" t="s">
        <v>607</v>
      </c>
      <c r="D23" s="30" t="s">
        <v>95</v>
      </c>
      <c r="E23" s="30" t="s">
        <v>573</v>
      </c>
      <c r="F23" s="42">
        <v>0</v>
      </c>
      <c r="G23" s="42">
        <v>71</v>
      </c>
      <c r="H23" s="42">
        <v>1758</v>
      </c>
      <c r="I23" s="42">
        <v>1907</v>
      </c>
      <c r="J23" s="30" t="s">
        <v>574</v>
      </c>
      <c r="K23" s="42">
        <v>1725</v>
      </c>
      <c r="L23" s="131" t="s">
        <v>50</v>
      </c>
      <c r="M23" s="132">
        <f>CONVERT((I23-K23)/10000,"mi","ft")*IF(L23="Increasing Mileposts (1)",-1,1)</f>
        <v>-96.096000000000004</v>
      </c>
      <c r="N23" s="133" t="str">
        <f>VLOOKUP(C23,'Trips&amp;Operators'!$C$1:$G$99911,5,FALSE)</f>
        <v>STAMBAUGH JAMES</v>
      </c>
      <c r="O23" s="176" t="s">
        <v>379</v>
      </c>
      <c r="P23" s="134" t="s">
        <v>1017</v>
      </c>
      <c r="Q23" s="30"/>
      <c r="R23" s="81" t="str">
        <f>VLOOKUP(C23,'Train Runs'!$A$13:$AE$10023,31,0)</f>
        <v>aws s3 cp s3://rtdc.mdm.uploadarchive.raw/RTDC4064/ "%USERPROFILE%\AppData\Local\Temp\OnboardLogs"\RTDC4064\2017-10-11 --exclude "*" --recursive --include "*20171011*" &amp; "%USERPROFILE%\Documents\GitHub\mrs-test-scripts\Headless Mode &amp; Sideloading\WalkAndUnGZ.bat" "%USERPROFILE%\AppData\Local\Temp\OnboardLogs"\RTDC4064\2017-10-11 &amp; 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</v>
      </c>
      <c r="S23" s="84" t="str">
        <f>VLOOKUP(C23,'Train Runs'!$A$13:$AE$10023,22,0)</f>
        <v>https://d0f6bd738d7f1b3e5a7ca70fe4ff75f0.us-east-1.aws.found.io/app/kibana#/discover/Steve-Slow-Train-Analysis-(2080s-and-2083s)?_g=(refreshInterval:(display:Off,pause:!f,section:0,value:0),time:(from:'2017-10-11T20:10:53-0600',mode:absolute,to:'2017-10-11T22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/stypes="*4064*201710120*" /stext=" 03:.+((SYSTEM_STATE.+slice.+state.+changed )|(ment ac)|(multiple cpu faults)|(system.+state.+changed )|(\[timeout)|(PRM\|1\|D)|(kpr)|(kdp)|(train st.+moving)|(\|lc)|(penalty))"</v>
      </c>
      <c r="U23" s="9" t="str">
        <f>MID(B23,13,4)</f>
        <v>4064</v>
      </c>
      <c r="V23" s="31">
        <f>A23-utc_offset/24</f>
        <v>43020.131932870368</v>
      </c>
      <c r="W23" s="45" t="str">
        <f>DetSubdiv(C23)</f>
        <v>NW</v>
      </c>
      <c r="X23" s="22">
        <f>VALUE(LEFT(C23,LEN(C23)-3))</f>
        <v>845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DUS","project_id":79,"tracker_id":40,"status_id":1,"priority_id":2,"assigned_to_id":338,"start_date":"2017-10-11","description":"","custom_fields":[{"id":1,"name":"Subdivision","value":"NW"},{"id":4,"name":"Milepost","value":"0.1725"},{"id":17,"name":"Train ID","value":"845-11"},{"id":16,"name":"Locomotive ID","value":"4064"},{"id":130,"name":"Impact","value":""},{"id":150,"name":"Time of Event (Mountain Time)","value":"21:09:59"},{"id":151,"name":"Denver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/c/Users/stu/AppData/Local/Temp/OnboardLogs/RTDC4064 --include="*4064*201710120*"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"%USERPROFILE%\AppData\Local\Temp\OnboardLogs"\RTDC4064\*4064*201710120* &gt;&gt; 2017-10-11-SliceDisagreementCheck.txt</v>
      </c>
      <c r="AE23" s="145" t="str">
        <f t="shared" si="1"/>
        <v>start /low /b %USERPROFILE%\Documents\GitHub\eaglep3\Utilities\DownloadLogsFromS3.py --loco 4064 --day 2017-10-12</v>
      </c>
      <c r="AF23" s="1"/>
    </row>
    <row r="24" spans="1:32" x14ac:dyDescent="0.3">
      <c r="A24" s="31">
        <v>43019.57885416667</v>
      </c>
      <c r="B24" s="30" t="s">
        <v>384</v>
      </c>
      <c r="C24" s="30" t="s">
        <v>596</v>
      </c>
      <c r="D24" s="30" t="s">
        <v>49</v>
      </c>
      <c r="E24" s="30" t="s">
        <v>573</v>
      </c>
      <c r="F24" s="42">
        <v>0</v>
      </c>
      <c r="G24" s="42">
        <v>87</v>
      </c>
      <c r="H24" s="42">
        <v>4804</v>
      </c>
      <c r="I24" s="42">
        <v>4666</v>
      </c>
      <c r="J24" s="30" t="s">
        <v>574</v>
      </c>
      <c r="K24" s="42">
        <v>4798</v>
      </c>
      <c r="L24" s="131" t="s">
        <v>51</v>
      </c>
      <c r="M24" s="132">
        <f>CONVERT((I24-K24)/10000,"mi","ft")*IF(L24="Increasing Mileposts (1)",-1,1)</f>
        <v>-69.695999999999998</v>
      </c>
      <c r="N24" s="133" t="str">
        <f>VLOOKUP(C24,'Trips&amp;Operators'!$C$1:$G$99911,5,FALSE)</f>
        <v>LEVERE CRAIG</v>
      </c>
      <c r="O24" s="176" t="s">
        <v>379</v>
      </c>
      <c r="P24" s="134" t="s">
        <v>1015</v>
      </c>
      <c r="Q24" s="30"/>
      <c r="R24" s="81" t="str">
        <f>VLOOKUP(C24,'Train Runs'!$A$13:$AE$10023,31,0)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S24" s="84" t="str">
        <f>VLOOKUP(C24,'Train Runs'!$A$13:$AE$10023,22,0)</f>
        <v>https://d0f6bd738d7f1b3e5a7ca70fe4ff75f0.us-east-1.aws.found.io/app/kibana#/discover/Steve-Slow-Train-Analysis-(2080s-and-2083s)?_g=(refreshInterval:(display:Off,pause:!f,section:0,value:0),time:(from:'2017-10-11T12:29:53-0600',mode:absolute,to:'2017-10-11T14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/stypes="*4063*201710111*" /stext=" 19:.+((SYSTEM_STATE.+slice.+state.+changed )|(ment ac)|(multiple cpu faults)|(system.+state.+changed )|(\[timeout)|(PRM\|1\|D)|(kpr)|(kdp)|(train st.+moving)|(\|lc)|(penalty))"</v>
      </c>
      <c r="U24" s="9" t="str">
        <f>MID(B24,13,4)</f>
        <v>4063</v>
      </c>
      <c r="V24" s="31">
        <f>A24-utc_offset/24</f>
        <v>43019.82885416667</v>
      </c>
      <c r="W24" s="45" t="str">
        <f>DetSubdiv(C24)</f>
        <v>NW</v>
      </c>
      <c r="X24" s="22">
        <f>VALUE(LEFT(C24,LEN(C24)-3))</f>
        <v>822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overpass","project_id":79,"tracker_id":40,"status_id":1,"priority_id":2,"assigned_to_id":338,"start_date":"2017-10-11","description":"","custom_fields":[{"id":1,"name":"Subdivision","value":"NW"},{"id":4,"name":"Milepost","value":"0.4798"},{"id":17,"name":"Train ID","value":"822-11"},{"id":16,"name":"Locomotive ID","value":"4063"},{"id":130,"name":"Impact","value":""},{"id":150,"name":"Time of Event (Mountain Time)","value":"13:53:33"},{"id":151,"name":"Denver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/c/Users/stu/AppData/Local/Temp/OnboardLogs/RTDC4063 --include="*4063*201710111*"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"%USERPROFILE%\AppData\Local\Temp\OnboardLogs"\RTDC4063\*4063*201710111* &gt;&gt; 2017-10-11-SliceDisagreementCheck.txt</v>
      </c>
      <c r="AE24" s="145" t="str">
        <f t="shared" si="1"/>
        <v>start /low /b %USERPROFILE%\Documents\GitHub\eaglep3\Utilities\DownloadLogsFromS3.py --loco 4063 --day 2017-10-11</v>
      </c>
      <c r="AF24" s="1"/>
    </row>
    <row r="25" spans="1:32" x14ac:dyDescent="0.3">
      <c r="A25" s="31">
        <v>43019.620520833334</v>
      </c>
      <c r="B25" s="30" t="s">
        <v>384</v>
      </c>
      <c r="C25" s="30" t="s">
        <v>599</v>
      </c>
      <c r="D25" s="30" t="s">
        <v>49</v>
      </c>
      <c r="E25" s="30" t="s">
        <v>573</v>
      </c>
      <c r="F25" s="42">
        <v>0</v>
      </c>
      <c r="G25" s="42">
        <v>96</v>
      </c>
      <c r="H25" s="42">
        <v>4815</v>
      </c>
      <c r="I25" s="42">
        <v>4671</v>
      </c>
      <c r="J25" s="30" t="s">
        <v>574</v>
      </c>
      <c r="K25" s="42">
        <v>4798</v>
      </c>
      <c r="L25" s="131" t="s">
        <v>51</v>
      </c>
      <c r="M25" s="132">
        <f>CONVERT((I25-K25)/10000,"mi","ft")*IF(L25="Increasing Mileposts (1)",-1,1)</f>
        <v>-67.055999999999997</v>
      </c>
      <c r="N25" s="133" t="str">
        <f>VLOOKUP(C25,'Trips&amp;Operators'!$C$1:$G$99911,5,FALSE)</f>
        <v>LEVERE CRAIG</v>
      </c>
      <c r="O25" s="176" t="s">
        <v>379</v>
      </c>
      <c r="P25" s="134" t="s">
        <v>1015</v>
      </c>
      <c r="Q25" s="30"/>
      <c r="R25" s="81" t="str">
        <f>VLOOKUP(C25,'Train Runs'!$A$13:$AE$10023,31,0)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S25" s="84" t="str">
        <f>VLOOKUP(C25,'Train Runs'!$A$13:$AE$10023,22,0)</f>
        <v>https://d0f6bd738d7f1b3e5a7ca70fe4ff75f0.us-east-1.aws.found.io/app/kibana#/discover/Steve-Slow-Train-Analysis-(2080s-and-2083s)?_g=(refreshInterval:(display:Off,pause:!f,section:0,value:0),time:(from:'2017-10-11T13:31:20-0600',mode:absolute,to:'2017-10-11T15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/stypes="*4063*201710112*" /stext=" 20:.+((SYSTEM_STATE.+slice.+state.+changed )|(ment ac)|(multiple cpu faults)|(system.+state.+changed )|(\[timeout)|(PRM\|1\|D)|(kpr)|(kdp)|(train st.+moving)|(\|lc)|(penalty))"</v>
      </c>
      <c r="U25" s="9" t="str">
        <f>MID(B25,13,4)</f>
        <v>4063</v>
      </c>
      <c r="V25" s="31">
        <f>A25-utc_offset/24</f>
        <v>43019.870520833334</v>
      </c>
      <c r="W25" s="45" t="str">
        <f>DetSubdiv(C25)</f>
        <v>NW</v>
      </c>
      <c r="X25" s="22">
        <f>VALUE(LEFT(C25,LEN(C25)-3))</f>
        <v>824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overpass","project_id":79,"tracker_id":40,"status_id":1,"priority_id":2,"assigned_to_id":338,"start_date":"2017-10-11","description":"","custom_fields":[{"id":1,"name":"Subdivision","value":"NW"},{"id":4,"name":"Milepost","value":"0.4798"},{"id":17,"name":"Train ID","value":"824-11"},{"id":16,"name":"Locomotive ID","value":"4063"},{"id":130,"name":"Impact","value":""},{"id":150,"name":"Time of Event (Mountain Time)","value":"14:53:33"},{"id":151,"name":"Denver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/c/Users/stu/AppData/Local/Temp/OnboardLogs/RTDC4063 --include="*4063*201710112*"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"%USERPROFILE%\AppData\Local\Temp\OnboardLogs"\RTDC4063\*4063*201710112* &gt;&gt; 2017-10-11-SliceDisagreementCheck.txt</v>
      </c>
      <c r="AE25" s="145" t="str">
        <f t="shared" si="1"/>
        <v>start /low /b %USERPROFILE%\Documents\GitHub\eaglep3\Utilities\DownloadLogsFromS3.py --loco 4063 --day 2017-10-11</v>
      </c>
      <c r="AF25" s="1"/>
    </row>
    <row r="26" spans="1:32" x14ac:dyDescent="0.3">
      <c r="A26" s="31">
        <v>43019.895405092589</v>
      </c>
      <c r="B26" s="30" t="s">
        <v>384</v>
      </c>
      <c r="C26" s="30" t="s">
        <v>608</v>
      </c>
      <c r="D26" s="30" t="s">
        <v>95</v>
      </c>
      <c r="E26" s="30" t="s">
        <v>573</v>
      </c>
      <c r="F26" s="42">
        <v>0</v>
      </c>
      <c r="G26" s="42">
        <v>44</v>
      </c>
      <c r="H26" s="42">
        <v>58437</v>
      </c>
      <c r="I26" s="42">
        <v>58417</v>
      </c>
      <c r="J26" s="30" t="s">
        <v>574</v>
      </c>
      <c r="K26" s="42">
        <v>58472</v>
      </c>
      <c r="L26" s="131" t="s">
        <v>51</v>
      </c>
      <c r="M26" s="132">
        <f>CONVERT((I26-K26)/10000,"mi","ft")*IF(L26="Increasing Mileposts (1)",-1,1)</f>
        <v>-29.04</v>
      </c>
      <c r="N26" s="133" t="str">
        <f>VLOOKUP(C26,'Trips&amp;Operators'!$C$1:$G$99911,5,FALSE)</f>
        <v>STAMBAUGH JAMES</v>
      </c>
      <c r="O26" s="176" t="s">
        <v>379</v>
      </c>
      <c r="P26" s="134" t="s">
        <v>1016</v>
      </c>
      <c r="Q26" s="30"/>
      <c r="R26" s="81" t="str">
        <f>VLOOKUP(C26,'Train Runs'!$A$13:$AE$10023,31,0)</f>
        <v>aws s3 cp s3://rtdc.mdm.uploadarchive.raw/RTDC4063/ "%USERPROFILE%\AppData\Local\Temp\OnboardLogs"\RTDC4063\2017-10-11 --exclude "*" --recursive --include "*20171011*" &amp; "%USERPROFILE%\Documents\GitHub\mrs-test-scripts\Headless Mode &amp; Sideloading\WalkAndUnGZ.bat" "%USERPROFILE%\AppData\Local\Temp\OnboardLogs"\RTDC4063\2017-10-11 &amp; 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</v>
      </c>
      <c r="S26" s="84" t="str">
        <f>VLOOKUP(C26,'Train Runs'!$A$13:$AE$10023,22,0)</f>
        <v>https://d0f6bd738d7f1b3e5a7ca70fe4ff75f0.us-east-1.aws.found.io/app/kibana#/discover/Steve-Slow-Train-Analysis-(2080s-and-2083s)?_g=(refreshInterval:(display:Off,pause:!f,section:0,value:0),time:(from:'2017-10-11T20:26:51-0600',mode:absolute,to:'2017-10-11T22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/stypes="*4063*201710120*" /stext=" 03:.+((SYSTEM_STATE.+slice.+state.+changed )|(ment ac)|(multiple cpu faults)|(system.+state.+changed )|(\[timeout)|(PRM\|1\|D)|(kpr)|(kdp)|(train st.+moving)|(\|lc)|(penalty))"</v>
      </c>
      <c r="U26" s="9" t="str">
        <f>MID(B26,13,4)</f>
        <v>4063</v>
      </c>
      <c r="V26" s="31">
        <f>A26-utc_offset/24</f>
        <v>43020.145405092589</v>
      </c>
      <c r="W26" s="45" t="str">
        <f>DetSubdiv(C26)</f>
        <v>NW</v>
      </c>
      <c r="X26" s="22">
        <f>VALUE(LEFT(C26,LEN(C26)-3))</f>
        <v>844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{"issue":{"subject":"Went active too close to Signal 2S at S. Westminster","project_id":79,"tracker_id":40,"status_id":1,"priority_id":2,"assigned_to_id":338,"start_date":"2017-10-11","description":"","custom_fields":[{"id":1,"name":"Subdivision","value":"NW"},{"id":4,"name":"Milepost","value":"5.8472"},{"id":17,"name":"Train ID","value":"844-11"},{"id":16,"name":"Locomotive ID","value":"4063"},{"id":130,"name":"Impact","value":""},{"id":150,"name":"Time of Event (Mountain Time)","value":"21:29:23"},{"id":151,"name":"Denver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/c/Users/stu/AppData/Local/Temp/OnboardLogs/RTDC4063 --include="*4063*201710120*"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"%USERPROFILE%\AppData\Local\Temp\OnboardLogs"\RTDC4063\*4063*201710120* &gt;&gt; 2017-10-11-SliceDisagreementCheck.txt</v>
      </c>
      <c r="AE26" s="145" t="str">
        <f t="shared" si="1"/>
        <v>start /low /b %USERPROFILE%\Documents\GitHub\eaglep3\Utilities\DownloadLogsFromS3.py --loco 4063 --day 2017-10-12</v>
      </c>
      <c r="AF26" s="1"/>
    </row>
    <row r="27" spans="1:32" x14ac:dyDescent="0.3">
      <c r="A27" s="31">
        <v>43019.267199074071</v>
      </c>
      <c r="B27" s="30" t="s">
        <v>492</v>
      </c>
      <c r="C27" s="30" t="s">
        <v>579</v>
      </c>
      <c r="D27" s="30" t="s">
        <v>49</v>
      </c>
      <c r="E27" s="30" t="s">
        <v>179</v>
      </c>
      <c r="F27" s="42">
        <v>0</v>
      </c>
      <c r="G27" s="42">
        <v>43</v>
      </c>
      <c r="H27" s="42">
        <v>645</v>
      </c>
      <c r="I27" s="42">
        <v>617</v>
      </c>
      <c r="J27" s="30" t="s">
        <v>180</v>
      </c>
      <c r="K27" s="42">
        <v>575</v>
      </c>
      <c r="L27" s="131" t="s">
        <v>51</v>
      </c>
      <c r="M27" s="132">
        <f>CONVERT((I27-K27)/10000,"mi","ft")*IF(L27="Increasing Mileposts (1)",-1,1)</f>
        <v>22.175999999999998</v>
      </c>
      <c r="N27" s="133" t="str">
        <f>VLOOKUP(C27,'Trips&amp;Operators'!$C$1:$G$99911,5,FALSE)</f>
        <v>LAMAR NEKESHA</v>
      </c>
      <c r="O27" s="176" t="s">
        <v>178</v>
      </c>
      <c r="P27" s="134"/>
      <c r="Q27" s="30"/>
      <c r="R27" s="81" t="str">
        <f>VLOOKUP(C27,'Train Runs'!$A$13:$AE$10023,31,0)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S27" s="84" t="str">
        <f>VLOOKUP(C27,'Train Runs'!$A$13:$AE$10023,22,0)</f>
        <v>https://d0f6bd738d7f1b3e5a7ca70fe4ff75f0.us-east-1.aws.found.io/app/kibana#/discover/Steve-Slow-Train-Analysis-(2080s-and-2083s)?_g=(refreshInterval:(display:Off,pause:!f,section:0,value:0),time:(from:'2017-10-11T05:07:33-0600',mode:absolute,to:'2017-10-11T07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/stypes="*4043*201710111*" /stext=" 12:.+((SYSTEM_STATE.+slice.+state.+changed )|(ment ac)|(multiple cpu faults)|(system.+state.+changed )|(\[timeout)|(PRM\|1\|D)|(kpr)|(kdp)|(train st.+moving)|(\|lc)|(penalty))"</v>
      </c>
      <c r="U27" s="9" t="str">
        <f>MID(B27,13,4)</f>
        <v>4043</v>
      </c>
      <c r="V27" s="31">
        <f>A27-utc_offset/24</f>
        <v>43019.517199074071</v>
      </c>
      <c r="W27" s="45" t="str">
        <f>DetSubdiv(C27)</f>
        <v>NW</v>
      </c>
      <c r="X27" s="22">
        <f>VALUE(LEFT(C27,LEN(C27)-3))</f>
        <v>802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{"issue":{"subject":"","project_id":79,"tracker_id":40,"status_id":1,"priority_id":2,"assigned_to_id":338,"start_date":"2017-10-11","description":"","custom_fields":[{"id":1,"name":"Subdivision","value":"NW"},{"id":4,"name":"Milepost","value":"0.0575"},{"id":17,"name":"Train ID","value":"802-11"},{"id":16,"name":"Locomotive ID","value":"4043"},{"id":130,"name":"Impact","value":""},{"id":150,"name":"Time of Event (Mountain Time)","value":"06:24:46"},{"id":151,"name":"Denver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/c/Users/stu/AppData/Local/Temp/OnboardLogs/RTDC4043 --include="*4043*201710111*"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"%USERPROFILE%\AppData\Local\Temp\OnboardLogs"\RTDC4043\*4043*201710111* &gt;&gt; 2017-10-11-SliceDisagreementCheck.txt</v>
      </c>
      <c r="AE27" s="145" t="str">
        <f t="shared" si="1"/>
        <v>start /low /b %USERPROFILE%\Documents\GitHub\eaglep3\Utilities\DownloadLogsFromS3.py --loco 4043 --day 2017-10-11</v>
      </c>
      <c r="AF27" s="1"/>
    </row>
    <row r="28" spans="1:32" x14ac:dyDescent="0.3">
      <c r="A28" s="31">
        <v>43019.766967592594</v>
      </c>
      <c r="B28" s="30" t="s">
        <v>492</v>
      </c>
      <c r="C28" s="30" t="s">
        <v>605</v>
      </c>
      <c r="D28" s="30" t="s">
        <v>49</v>
      </c>
      <c r="E28" s="30" t="s">
        <v>179</v>
      </c>
      <c r="F28" s="42">
        <v>0</v>
      </c>
      <c r="G28" s="42">
        <v>55</v>
      </c>
      <c r="H28" s="42">
        <v>684</v>
      </c>
      <c r="I28" s="42">
        <v>645</v>
      </c>
      <c r="J28" s="30" t="s">
        <v>180</v>
      </c>
      <c r="K28" s="42">
        <v>575</v>
      </c>
      <c r="L28" s="131" t="s">
        <v>51</v>
      </c>
      <c r="M28" s="132">
        <f>CONVERT((I28-K28)/10000,"mi","ft")*IF(L28="Increasing Mileposts (1)",-1,1)</f>
        <v>36.96</v>
      </c>
      <c r="N28" s="133" t="str">
        <f>VLOOKUP(C28,'Trips&amp;Operators'!$C$1:$G$99911,5,FALSE)</f>
        <v>STAMBAUGH JAMES</v>
      </c>
      <c r="O28" s="176" t="s">
        <v>178</v>
      </c>
      <c r="P28" s="134"/>
      <c r="Q28" s="30"/>
      <c r="R28" s="81" t="str">
        <f>VLOOKUP(C28,'Train Runs'!$A$13:$AE$10023,31,0)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S28" s="84" t="str">
        <f>VLOOKUP(C28,'Train Runs'!$A$13:$AE$10023,22,0)</f>
        <v>https://d0f6bd738d7f1b3e5a7ca70fe4ff75f0.us-east-1.aws.found.io/app/kibana#/discover/Steve-Slow-Train-Analysis-(2080s-and-2083s)?_g=(refreshInterval:(display:Off,pause:!f,section:0,value:0),time:(from:'2017-10-11T16:56:18-0600',mode:absolute,to:'2017-10-11T19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/stypes="*4043*201710120*" /stext=" 00:.+((SYSTEM_STATE.+slice.+state.+changed )|(ment ac)|(multiple cpu faults)|(system.+state.+changed )|(\[timeout)|(PRM\|1\|D)|(kpr)|(kdp)|(train st.+moving)|(\|lc)|(penalty))"</v>
      </c>
      <c r="U28" s="9" t="str">
        <f>MID(B28,13,4)</f>
        <v>4043</v>
      </c>
      <c r="V28" s="31">
        <f>A28-utc_offset/24</f>
        <v>43020.016967592594</v>
      </c>
      <c r="W28" s="45" t="str">
        <f>DetSubdiv(C28)</f>
        <v>NW</v>
      </c>
      <c r="X28" s="22">
        <f>VALUE(LEFT(C28,LEN(C28)-3))</f>
        <v>836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{"issue":{"subject":"","project_id":79,"tracker_id":40,"status_id":1,"priority_id":2,"assigned_to_id":338,"start_date":"2017-10-11","description":"","custom_fields":[{"id":1,"name":"Subdivision","value":"NW"},{"id":4,"name":"Milepost","value":"0.0575"},{"id":17,"name":"Train ID","value":"836-11"},{"id":16,"name":"Locomotive ID","value":"4043"},{"id":130,"name":"Impact","value":""},{"id":150,"name":"Time of Event (Mountain Time)","value":"18:24:26"},{"id":151,"name":"Denver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/c/Users/stu/AppData/Local/Temp/OnboardLogs/RTDC4043 --include="*4043*201710120*"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"%USERPROFILE%\AppData\Local\Temp\OnboardLogs"\RTDC4043\*4043*201710120* &gt;&gt; 2017-10-11-SliceDisagreementCheck.txt</v>
      </c>
      <c r="AE28" s="145" t="str">
        <f t="shared" si="1"/>
        <v>start /low /b %USERPROFILE%\Documents\GitHub\eaglep3\Utilities\DownloadLogsFromS3.py --loco 4043 --day 2017-10-12</v>
      </c>
      <c r="AF28" s="1"/>
    </row>
    <row r="29" spans="1:32" x14ac:dyDescent="0.3">
      <c r="A29" s="31">
        <v>43019.287083333336</v>
      </c>
      <c r="B29" s="30" t="s">
        <v>497</v>
      </c>
      <c r="C29" s="30" t="s">
        <v>580</v>
      </c>
      <c r="D29" s="30" t="s">
        <v>49</v>
      </c>
      <c r="E29" s="30" t="s">
        <v>179</v>
      </c>
      <c r="F29" s="42">
        <v>0</v>
      </c>
      <c r="G29" s="42">
        <v>31</v>
      </c>
      <c r="H29" s="42">
        <v>58948</v>
      </c>
      <c r="I29" s="42">
        <v>58965</v>
      </c>
      <c r="J29" s="30" t="s">
        <v>180</v>
      </c>
      <c r="K29" s="42">
        <v>59048</v>
      </c>
      <c r="L29" s="131" t="s">
        <v>50</v>
      </c>
      <c r="M29" s="132">
        <f>CONVERT((I29-K29)/10000,"mi","ft")*IF(L29="Increasing Mileposts (1)",-1,1)</f>
        <v>43.823999999999998</v>
      </c>
      <c r="N29" s="133" t="str">
        <f>VLOOKUP(C29,'Trips&amp;Operators'!$C$1:$G$99911,5,FALSE)</f>
        <v>LAMAR NEKESHA</v>
      </c>
      <c r="O29" s="176" t="s">
        <v>178</v>
      </c>
      <c r="P29" s="134"/>
      <c r="Q29" s="30"/>
      <c r="R29" s="81" t="str">
        <f>VLOOKUP(C29,'Train Runs'!$A$13:$AE$10023,31,0)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S29" s="84" t="str">
        <f>VLOOKUP(C29,'Train Runs'!$A$13:$AE$10023,22,0)</f>
        <v>https://d0f6bd738d7f1b3e5a7ca70fe4ff75f0.us-east-1.aws.found.io/app/kibana#/discover/Steve-Slow-Train-Analysis-(2080s-and-2083s)?_g=(refreshInterval:(display:Off,pause:!f,section:0,value:0),time:(from:'2017-10-11T05:34:21-0600',mode:absolute,to:'2017-10-11T07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/stypes="*4044*201710111*" /stext=" 12:.+((SYSTEM_STATE.+slice.+state.+changed )|(ment ac)|(multiple cpu faults)|(system.+state.+changed )|(\[timeout)|(PRM\|1\|D)|(kpr)|(kdp)|(train st.+moving)|(\|lc)|(penalty))"</v>
      </c>
      <c r="U29" s="9" t="str">
        <f>MID(B29,13,4)</f>
        <v>4044</v>
      </c>
      <c r="V29" s="31">
        <f>A29-utc_offset/24</f>
        <v>43019.537083333336</v>
      </c>
      <c r="W29" s="45" t="str">
        <f>DetSubdiv(C29)</f>
        <v>NW</v>
      </c>
      <c r="X29" s="22">
        <f>VALUE(LEFT(C29,LEN(C29)-3))</f>
        <v>805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{"issue":{"subject":"","project_id":79,"tracker_id":40,"status_id":1,"priority_id":2,"assigned_to_id":338,"start_date":"2017-10-11","description":"","custom_fields":[{"id":1,"name":"Subdivision","value":"NW"},{"id":4,"name":"Milepost","value":"5.9048"},{"id":17,"name":"Train ID","value":"805-11"},{"id":16,"name":"Locomotive ID","value":"4044"},{"id":130,"name":"Impact","value":""},{"id":150,"name":"Time of Event (Mountain Time)","value":"06:53:24"},{"id":151,"name":"Denver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/c/Users/stu/AppData/Local/Temp/OnboardLogs/RTDC4044 --include="*4044*201710111*"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"%USERPROFILE%\AppData\Local\Temp\OnboardLogs"\RTDC4044\*4044*201710111* &gt;&gt; 2017-10-11-SliceDisagreementCheck.txt</v>
      </c>
      <c r="AE29" s="145" t="str">
        <f t="shared" si="1"/>
        <v>start /low /b %USERPROFILE%\Documents\GitHub\eaglep3\Utilities\DownloadLogsFromS3.py --loco 4044 --day 2017-10-11</v>
      </c>
      <c r="AF29" s="1"/>
    </row>
    <row r="30" spans="1:32" x14ac:dyDescent="0.3">
      <c r="A30" s="31">
        <v>43019.745162037034</v>
      </c>
      <c r="B30" s="30" t="s">
        <v>497</v>
      </c>
      <c r="C30" s="30" t="s">
        <v>603</v>
      </c>
      <c r="D30" s="30" t="s">
        <v>49</v>
      </c>
      <c r="E30" s="30" t="s">
        <v>179</v>
      </c>
      <c r="F30" s="42">
        <v>0</v>
      </c>
      <c r="G30" s="42">
        <v>147</v>
      </c>
      <c r="H30" s="42">
        <v>57988</v>
      </c>
      <c r="I30" s="42">
        <v>58143</v>
      </c>
      <c r="J30" s="30" t="s">
        <v>180</v>
      </c>
      <c r="K30" s="42">
        <v>59048</v>
      </c>
      <c r="L30" s="131" t="s">
        <v>50</v>
      </c>
      <c r="M30" s="132">
        <f>CONVERT((I30-K30)/10000,"mi","ft")*IF(L30="Increasing Mileposts (1)",-1,1)</f>
        <v>477.84</v>
      </c>
      <c r="N30" s="133" t="str">
        <f>VLOOKUP(C30,'Trips&amp;Operators'!$C$1:$G$99911,5,FALSE)</f>
        <v>STAMBAUGH JAMES</v>
      </c>
      <c r="O30" s="176" t="s">
        <v>178</v>
      </c>
      <c r="P30" s="134"/>
      <c r="Q30" s="30"/>
      <c r="R30" s="81" t="str">
        <f>VLOOKUP(C30,'Train Runs'!$A$13:$AE$10023,31,0)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S30" s="84" t="str">
        <f>VLOOKUP(C30,'Train Runs'!$A$13:$AE$10023,22,0)</f>
        <v>https://d0f6bd738d7f1b3e5a7ca70fe4ff75f0.us-east-1.aws.found.io/app/kibana#/discover/Steve-Slow-Train-Analysis-(2080s-and-2083s)?_g=(refreshInterval:(display:Off,pause:!f,section:0,value:0),time:(from:'2017-10-11T16:36:13-0600',mode:absolute,to:'2017-10-11T18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/stypes="*4044*201710112*" /stext=" 23:.+((SYSTEM_STATE.+slice.+state.+changed )|(ment ac)|(multiple cpu faults)|(system.+state.+changed )|(\[timeout)|(PRM\|1\|D)|(kpr)|(kdp)|(train st.+moving)|(\|lc)|(penalty))"</v>
      </c>
      <c r="U30" s="9" t="str">
        <f>MID(B30,13,4)</f>
        <v>4044</v>
      </c>
      <c r="V30" s="31">
        <f>A30-utc_offset/24</f>
        <v>43019.995162037034</v>
      </c>
      <c r="W30" s="45" t="str">
        <f>DetSubdiv(C30)</f>
        <v>NW</v>
      </c>
      <c r="X30" s="22">
        <f>VALUE(LEFT(C30,LEN(C30)-3))</f>
        <v>835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{"issue":{"subject":"","project_id":79,"tracker_id":40,"status_id":1,"priority_id":2,"assigned_to_id":338,"start_date":"2017-10-11","description":"","custom_fields":[{"id":1,"name":"Subdivision","value":"NW"},{"id":4,"name":"Milepost","value":"5.9048"},{"id":17,"name":"Train ID","value":"835-11"},{"id":16,"name":"Locomotive ID","value":"4044"},{"id":130,"name":"Impact","value":""},{"id":150,"name":"Time of Event (Mountain Time)","value":"17:53:02"},{"id":151,"name":"Denver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/c/Users/stu/AppData/Local/Temp/OnboardLogs/RTDC4044 --include="*4044*201710112*"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"%USERPROFILE%\AppData\Local\Temp\OnboardLogs"\RTDC4044\*4044*201710112* &gt;&gt; 2017-10-11-SliceDisagreementCheck.txt</v>
      </c>
      <c r="AE30" s="145" t="str">
        <f t="shared" si="1"/>
        <v>start /low /b %USERPROFILE%\Documents\GitHub\eaglep3\Utilities\DownloadLogsFromS3.py --loco 4044 --day 2017-10-11</v>
      </c>
      <c r="AF30" s="1"/>
    </row>
    <row r="31" spans="1:32" x14ac:dyDescent="0.3">
      <c r="A31" s="31">
        <v>43019.787094907406</v>
      </c>
      <c r="B31" s="30" t="s">
        <v>497</v>
      </c>
      <c r="C31" s="30" t="s">
        <v>606</v>
      </c>
      <c r="D31" s="30" t="s">
        <v>49</v>
      </c>
      <c r="E31" s="30" t="s">
        <v>179</v>
      </c>
      <c r="F31" s="42">
        <v>0</v>
      </c>
      <c r="G31" s="42">
        <v>148</v>
      </c>
      <c r="H31" s="42">
        <v>57996</v>
      </c>
      <c r="I31" s="42">
        <v>58192</v>
      </c>
      <c r="J31" s="30" t="s">
        <v>180</v>
      </c>
      <c r="K31" s="42">
        <v>59048</v>
      </c>
      <c r="L31" s="131" t="s">
        <v>50</v>
      </c>
      <c r="M31" s="132">
        <f>CONVERT((I31-K31)/10000,"mi","ft")*IF(L31="Increasing Mileposts (1)",-1,1)</f>
        <v>451.96800000000002</v>
      </c>
      <c r="N31" s="133" t="str">
        <f>VLOOKUP(C31,'Trips&amp;Operators'!$C$1:$G$99911,5,FALSE)</f>
        <v>STAMBAUGH JAMES</v>
      </c>
      <c r="O31" s="176" t="s">
        <v>178</v>
      </c>
      <c r="P31" s="134"/>
      <c r="Q31" s="30"/>
      <c r="R31" s="81" t="str">
        <f>VLOOKUP(C31,'Train Runs'!$A$13:$AE$10023,31,0)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S31" s="84" t="str">
        <f>VLOOKUP(C31,'Train Runs'!$A$13:$AE$10023,22,0)</f>
        <v>https://d0f6bd738d7f1b3e5a7ca70fe4ff75f0.us-east-1.aws.found.io/app/kibana#/discover/Steve-Slow-Train-Analysis-(2080s-and-2083s)?_g=(refreshInterval:(display:Off,pause:!f,section:0,value:0),time:(from:'2017-10-11T17:34:23-0600',mode:absolute,to:'2017-10-11T19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/stypes="*4044*201710120*" /stext=" 00:.+((SYSTEM_STATE.+slice.+state.+changed )|(ment ac)|(multiple cpu faults)|(system.+state.+changed )|(\[timeout)|(PRM\|1\|D)|(kpr)|(kdp)|(train st.+moving)|(\|lc)|(penalty))"</v>
      </c>
      <c r="U31" s="9" t="str">
        <f>MID(B31,13,4)</f>
        <v>4044</v>
      </c>
      <c r="V31" s="31">
        <f>A31-utc_offset/24</f>
        <v>43020.037094907406</v>
      </c>
      <c r="W31" s="45" t="str">
        <f>DetSubdiv(C31)</f>
        <v>NW</v>
      </c>
      <c r="X31" s="22">
        <f>VALUE(LEFT(C31,LEN(C31)-3))</f>
        <v>839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{"issue":{"subject":"","project_id":79,"tracker_id":40,"status_id":1,"priority_id":2,"assigned_to_id":338,"start_date":"2017-10-11","description":"","custom_fields":[{"id":1,"name":"Subdivision","value":"NW"},{"id":4,"name":"Milepost","value":"5.9048"},{"id":17,"name":"Train ID","value":"839-11"},{"id":16,"name":"Locomotive ID","value":"4044"},{"id":130,"name":"Impact","value":""},{"id":150,"name":"Time of Event (Mountain Time)","value":"18:53:25"},{"id":151,"name":"Denver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/c/Users/stu/AppData/Local/Temp/OnboardLogs/RTDC4044 --include="*4044*201710120*"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"%USERPROFILE%\AppData\Local\Temp\OnboardLogs"\RTDC4044\*4044*201710120* &gt;&gt; 2017-10-11-SliceDisagreementCheck.txt</v>
      </c>
      <c r="AE31" s="145" t="str">
        <f t="shared" si="1"/>
        <v>start /low /b %USERPROFILE%\Documents\GitHub\eaglep3\Utilities\DownloadLogsFromS3.py --loco 4044 --day 2017-10-12</v>
      </c>
      <c r="AF31" s="1"/>
    </row>
    <row r="32" spans="1:32" x14ac:dyDescent="0.3">
      <c r="A32" s="31">
        <v>43019.245393518519</v>
      </c>
      <c r="B32" s="30" t="s">
        <v>497</v>
      </c>
      <c r="C32" s="30" t="s">
        <v>577</v>
      </c>
      <c r="D32" s="30" t="s">
        <v>49</v>
      </c>
      <c r="E32" s="30" t="s">
        <v>179</v>
      </c>
      <c r="F32" s="42">
        <v>0</v>
      </c>
      <c r="G32" s="42">
        <v>14</v>
      </c>
      <c r="H32" s="42">
        <v>59028</v>
      </c>
      <c r="I32" s="42">
        <v>59035</v>
      </c>
      <c r="J32" s="30" t="s">
        <v>180</v>
      </c>
      <c r="K32" s="42">
        <v>59058</v>
      </c>
      <c r="L32" s="131" t="s">
        <v>50</v>
      </c>
      <c r="M32" s="132">
        <f>CONVERT((I32-K32)/10000,"mi","ft")*IF(L32="Increasing Mileposts (1)",-1,1)</f>
        <v>12.144</v>
      </c>
      <c r="N32" s="133" t="str">
        <f>VLOOKUP(C32,'Trips&amp;Operators'!$C$1:$G$99911,5,FALSE)</f>
        <v>LAMAR NEKESHA</v>
      </c>
      <c r="O32" s="176" t="s">
        <v>178</v>
      </c>
      <c r="P32" s="134"/>
      <c r="Q32" s="30"/>
      <c r="R32" s="81" t="str">
        <f>VLOOKUP(C32,'Train Runs'!$A$13:$AE$10023,31,0)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S32" s="84" t="str">
        <f>VLOOKUP(C32,'Train Runs'!$A$13:$AE$10023,22,0)</f>
        <v>https://d0f6bd738d7f1b3e5a7ca70fe4ff75f0.us-east-1.aws.found.io/app/kibana#/discover/Steve-Slow-Train-Analysis-(2080s-and-2083s)?_g=(refreshInterval:(display:Off,pause:!f,section:0,value:0),time:(from:'2017-10-11T04:04:07-0600',mode:absolute,to:'2017-10-11T06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/stypes="*4044*201710111*" /stext=" 11:.+((SYSTEM_STATE.+slice.+state.+changed )|(ment ac)|(multiple cpu faults)|(system.+state.+changed )|(\[timeout)|(PRM\|1\|D)|(kpr)|(kdp)|(train st.+moving)|(\|lc)|(penalty))"</v>
      </c>
      <c r="U32" s="9" t="str">
        <f>MID(B32,13,4)</f>
        <v>4044</v>
      </c>
      <c r="V32" s="31">
        <f>A32-utc_offset/24</f>
        <v>43019.495393518519</v>
      </c>
      <c r="W32" s="45" t="str">
        <f>DetSubdiv(C32)</f>
        <v>NW</v>
      </c>
      <c r="X32" s="22">
        <f>VALUE(LEFT(C32,LEN(C32)-3))</f>
        <v>801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{"issue":{"subject":"","project_id":79,"tracker_id":40,"status_id":1,"priority_id":2,"assigned_to_id":338,"start_date":"2017-10-11","description":"","custom_fields":[{"id":1,"name":"Subdivision","value":"NW"},{"id":4,"name":"Milepost","value":"5.9058"},{"id":17,"name":"Train ID","value":"801-11"},{"id":16,"name":"Locomotive ID","value":"4044"},{"id":130,"name":"Impact","value":""},{"id":150,"name":"Time of Event (Mountain Time)","value":"05:53:22"},{"id":151,"name":"Denver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/c/Users/stu/AppData/Local/Temp/OnboardLogs/RTDC4044 --include="*4044*201710111*"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"%USERPROFILE%\AppData\Local\Temp\OnboardLogs"\RTDC4044\*4044*201710111* &gt;&gt; 2017-10-11-SliceDisagreementCheck.txt</v>
      </c>
      <c r="AE32" s="145" t="str">
        <f t="shared" si="1"/>
        <v>start /low /b %USERPROFILE%\Documents\GitHub\eaglep3\Utilities\DownloadLogsFromS3.py --loco 4044 --day 2017-10-11</v>
      </c>
      <c r="AF32" s="1"/>
    </row>
    <row r="33" spans="1:32" x14ac:dyDescent="0.3">
      <c r="A33" s="31">
        <v>43019.640474537038</v>
      </c>
      <c r="B33" s="30" t="s">
        <v>492</v>
      </c>
      <c r="C33" s="30" t="s">
        <v>600</v>
      </c>
      <c r="D33" s="30" t="s">
        <v>49</v>
      </c>
      <c r="E33" s="30" t="s">
        <v>573</v>
      </c>
      <c r="F33" s="42">
        <v>0</v>
      </c>
      <c r="G33" s="42">
        <v>100</v>
      </c>
      <c r="H33" s="42">
        <v>4832</v>
      </c>
      <c r="I33" s="42">
        <v>4658</v>
      </c>
      <c r="J33" s="30" t="s">
        <v>574</v>
      </c>
      <c r="K33" s="42">
        <v>4798</v>
      </c>
      <c r="L33" s="131" t="s">
        <v>51</v>
      </c>
      <c r="M33" s="132">
        <f>CONVERT((I33-K33)/10000,"mi","ft")*IF(L33="Increasing Mileposts (1)",-1,1)</f>
        <v>-73.92</v>
      </c>
      <c r="N33" s="133" t="str">
        <f>VLOOKUP(C33,'Trips&amp;Operators'!$C$1:$G$99911,5,FALSE)</f>
        <v>STAMBAUGH JAMES</v>
      </c>
      <c r="O33" s="176" t="s">
        <v>178</v>
      </c>
      <c r="P33" s="134"/>
      <c r="Q33" s="30"/>
      <c r="R33" s="81" t="str">
        <f>VLOOKUP(C33,'Train Runs'!$A$13:$AE$10023,31,0)</f>
        <v>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 &amp; aws s3 cp s3://rtdc.mdm.uploadarchive.raw/RTDC4043/ "%USERPROFILE%\AppData\Local\Temp\OnboardLogs"\RTDC4043\2017-10-12 --exclude "*" --recursive --include "*20171012*" &amp; "%USERPROFILE%\Documents\GitHub\mrs-test-scripts\Headless Mode &amp; Sideloading\WalkAndUnGZ.bat" "%USERPROFILE%\AppData\Local\Temp\OnboardLogs"\RTDC4043\2017-10-12</v>
      </c>
      <c r="S33" s="84" t="str">
        <f>VLOOKUP(C33,'Train Runs'!$A$13:$AE$10023,22,0)</f>
        <v>https://d0f6bd738d7f1b3e5a7ca70fe4ff75f0.us-east-1.aws.found.io/app/kibana#/discover/Steve-Slow-Train-Analysis-(2080s-and-2083s)?_g=(refreshInterval:(display:Off,pause:!f,section:0,value:0),time:(from:'2017-10-11T14:11:33-0600',mode:absolute,to:'2017-10-11T16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/stypes="*4043*201710112*" /stext=" 21:.+((SYSTEM_STATE.+slice.+state.+changed )|(ment ac)|(multiple cpu faults)|(system.+state.+changed )|(\[timeout)|(PRM\|1\|D)|(kpr)|(kdp)|(train st.+moving)|(\|lc)|(penalty))"</v>
      </c>
      <c r="U33" s="9" t="str">
        <f>MID(B33,13,4)</f>
        <v>4043</v>
      </c>
      <c r="V33" s="31">
        <f>A33-utc_offset/24</f>
        <v>43019.890474537038</v>
      </c>
      <c r="W33" s="45" t="str">
        <f>DetSubdiv(C33)</f>
        <v>Other</v>
      </c>
      <c r="X33" s="22">
        <f>VALUE(LEFT(C33,LEN(C33)-3))</f>
        <v>904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{"issue":{"subject":"","project_id":79,"tracker_id":40,"status_id":1,"priority_id":2,"assigned_to_id":338,"start_date":"2017-10-11","description":"","custom_fields":[{"id":1,"name":"Subdivision","value":"Other"},{"id":4,"name":"Milepost","value":"0.4798"},{"id":17,"name":"Train ID","value":"904-11"},{"id":16,"name":"Locomotive ID","value":"4043"},{"id":130,"name":"Impact","value":""},{"id":150,"name":"Time of Event (Mountain Time)","value":"15:22:17"},{"id":151,"name":"Denver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/c/Users/stu/AppData/Local/Temp/OnboardLogs/RTDC4043 --include="*4043*201710112*"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"%USERPROFILE%\AppData\Local\Temp\OnboardLogs"\RTDC4043\*4043*201710112* &gt;&gt; 2017-10-11-SliceDisagreementCheck.txt</v>
      </c>
      <c r="AE33" s="145" t="str">
        <f t="shared" si="1"/>
        <v>start /low /b %USERPROFILE%\Documents\GitHub\eaglep3\Utilities\DownloadLogsFromS3.py --loco 4043 --day 2017-10-11</v>
      </c>
      <c r="AF33" s="1"/>
    </row>
    <row r="34" spans="1:32" x14ac:dyDescent="0.3">
      <c r="A34" s="31">
        <v>43019.182141203702</v>
      </c>
      <c r="B34" s="30" t="s">
        <v>426</v>
      </c>
      <c r="C34" s="30" t="s">
        <v>572</v>
      </c>
      <c r="D34" s="30" t="s">
        <v>95</v>
      </c>
      <c r="E34" s="30" t="s">
        <v>573</v>
      </c>
      <c r="F34" s="42">
        <v>0</v>
      </c>
      <c r="G34" s="42">
        <v>110</v>
      </c>
      <c r="H34" s="42">
        <v>21818</v>
      </c>
      <c r="I34" s="42">
        <v>21736</v>
      </c>
      <c r="J34" s="30" t="s">
        <v>574</v>
      </c>
      <c r="K34" s="42">
        <v>24161</v>
      </c>
      <c r="L34" s="131" t="s">
        <v>51</v>
      </c>
      <c r="M34" s="132">
        <f>CONVERT((I34-K34)/10000,"mi","ft")*IF(L34="Increasing Mileposts (1)",-1,1)</f>
        <v>-1280.4000000000001</v>
      </c>
      <c r="N34" s="133" t="str">
        <f>VLOOKUP(C34,'Trips&amp;Operators'!$C$1:$G$99911,5,FALSE)</f>
        <v>DAVIS WENDY</v>
      </c>
      <c r="O34" s="176" t="s">
        <v>178</v>
      </c>
      <c r="P34" s="134"/>
      <c r="Q34" s="30"/>
      <c r="R34" s="81" t="str">
        <f>VLOOKUP(C34,'Train Runs'!$A$13:$AE$10023,31,0)</f>
        <v>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 &amp; aws s3 cp s3://rtdc.mdm.uploadarchive.raw/RTDC4017/ "%USERPROFILE%\AppData\Local\Temp\OnboardLogs"\RTDC4017\2017-10-12 --exclude "*" --recursive --include "*20171012*" &amp; "%USERPROFILE%\Documents\GitHub\mrs-test-scripts\Headless Mode &amp; Sideloading\WalkAndUnGZ.bat" "%USERPROFILE%\AppData\Local\Temp\OnboardLogs"\RTDC4017\2017-10-12</v>
      </c>
      <c r="S34" s="84" t="str">
        <f>VLOOKUP(C34,'Train Runs'!$A$13:$AE$10023,22,0)</f>
        <v>https://d0f6bd738d7f1b3e5a7ca70fe4ff75f0.us-east-1.aws.found.io/app/kibana#/discover/Steve-Slow-Train-Analysis-(2080s-and-2083s)?_g=(refreshInterval:(display:Off,pause:!f,section:0,value:0),time:(from:'2017-10-11T03:11:26-0600',mode:absolute,to:'2017-10-11T05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/stypes="*4017*201710111*" /stext=" 10:.+((SYSTEM_STATE.+slice.+state.+changed )|(ment ac)|(multiple cpu faults)|(system.+state.+changed )|(\[timeout)|(PRM\|1\|D)|(kpr)|(kdp)|(train st.+moving)|(\|lc)|(penalty))"</v>
      </c>
      <c r="U34" s="9" t="str">
        <f>MID(B34,13,4)</f>
        <v>4017</v>
      </c>
      <c r="V34" s="31">
        <f>A34-utc_offset/24</f>
        <v>43019.432141203702</v>
      </c>
      <c r="W34" s="45" t="str">
        <f>DetSubdiv(C34)</f>
        <v>Other</v>
      </c>
      <c r="X34" s="22">
        <f>VALUE(LEFT(C34,LEN(C34)-3))</f>
        <v>308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{"issue":{"subject":"","project_id":79,"tracker_id":40,"status_id":1,"priority_id":2,"assigned_to_id":338,"start_date":"2017-10-11","description":"","custom_fields":[{"id":1,"name":"Subdivision","value":"Other"},{"id":4,"name":"Milepost","value":"2.4161"},{"id":17,"name":"Train ID","value":"308-11"},{"id":16,"name":"Locomotive ID","value":"4017"},{"id":130,"name":"Impact","value":""},{"id":150,"name":"Time of Event (Mountain Time)","value":"04:22:17"},{"id":151,"name":"Denver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/c/Users/stu/AppData/Local/Temp/OnboardLogs/RTDC4017 --include="*4017*201710111*"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"%USERPROFILE%\AppData\Local\Temp\OnboardLogs"\RTDC4017\*4017*201710111* &gt;&gt; 2017-10-11-SliceDisagreementCheck.txt</v>
      </c>
      <c r="AE34" s="145" t="str">
        <f t="shared" si="1"/>
        <v>start /low /b %USERPROFILE%\Documents\GitHub\eaglep3\Utilities\DownloadLogsFromS3.py --loco 4017 --day 2017-10-11</v>
      </c>
      <c r="AF34" s="1"/>
    </row>
    <row r="35" spans="1:32" x14ac:dyDescent="0.3">
      <c r="A35" s="31">
        <v>43019.208645833336</v>
      </c>
      <c r="B35" s="30" t="s">
        <v>497</v>
      </c>
      <c r="C35" s="30" t="s">
        <v>575</v>
      </c>
      <c r="D35" s="30" t="s">
        <v>49</v>
      </c>
      <c r="E35" s="30" t="s">
        <v>179</v>
      </c>
      <c r="F35" s="42">
        <v>0</v>
      </c>
      <c r="G35" s="42">
        <v>25</v>
      </c>
      <c r="H35" s="42">
        <v>58990</v>
      </c>
      <c r="I35" s="42">
        <v>59008</v>
      </c>
      <c r="J35" s="30" t="s">
        <v>180</v>
      </c>
      <c r="K35" s="42">
        <v>59048</v>
      </c>
      <c r="L35" s="131" t="s">
        <v>50</v>
      </c>
      <c r="M35" s="132">
        <f>CONVERT((I35-K35)/10000,"mi","ft")*IF(L35="Increasing Mileposts (1)",-1,1)</f>
        <v>21.12</v>
      </c>
      <c r="N35" s="133" t="str">
        <f>VLOOKUP(C35,'Trips&amp;Operators'!$C$1:$G$99911,5,FALSE)</f>
        <v>LAMAR NEKESHA</v>
      </c>
      <c r="O35" s="176" t="s">
        <v>178</v>
      </c>
      <c r="P35" s="134"/>
      <c r="Q35" s="30"/>
      <c r="R35" s="81" t="str">
        <f>VLOOKUP(C35,'Train Runs'!$A$13:$AE$10023,31,0)</f>
        <v>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 &amp; aws s3 cp s3://rtdc.mdm.uploadarchive.raw/RTDC4044/ "%USERPROFILE%\AppData\Local\Temp\OnboardLogs"\RTDC4044\2017-10-12 --exclude "*" --recursive --include "*20171012*" &amp; "%USERPROFILE%\Documents\GitHub\mrs-test-scripts\Headless Mode &amp; Sideloading\WalkAndUnGZ.bat" "%USERPROFILE%\AppData\Local\Temp\OnboardLogs"\RTDC4044\2017-10-12</v>
      </c>
      <c r="S35" s="84" t="str">
        <f>VLOOKUP(C35,'Train Runs'!$A$13:$AE$10023,22,0)</f>
        <v>https://d0f6bd738d7f1b3e5a7ca70fe4ff75f0.us-east-1.aws.found.io/app/kibana#/discover/Steve-Slow-Train-Analysis-(2080s-and-2083s)?_g=(refreshInterval:(display:Off,pause:!f,section:0,value:0),time:(from:'2017-10-11T03:44:12-0600',mode:absolute,to:'2017-10-11T06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/stypes="*4044*201710111*" /stext=" 11:.+((SYSTEM_STATE.+slice.+state.+changed )|(ment ac)|(multiple cpu faults)|(system.+state.+changed )|(\[timeout)|(PRM\|1\|D)|(kpr)|(kdp)|(train st.+moving)|(\|lc)|(penalty))"</v>
      </c>
      <c r="U35" s="9" t="str">
        <f>MID(B35,13,4)</f>
        <v>4044</v>
      </c>
      <c r="V35" s="31">
        <f>A35-utc_offset/24</f>
        <v>43019.458645833336</v>
      </c>
      <c r="W35" s="45" t="str">
        <f>DetSubdiv(C35)</f>
        <v>Other</v>
      </c>
      <c r="X35" s="22">
        <f>VALUE(LEFT(C35,LEN(C35)-3))</f>
        <v>901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{"issue":{"subject":"","project_id":79,"tracker_id":40,"status_id":1,"priority_id":2,"assigned_to_id":338,"start_date":"2017-10-11","description":"","custom_fields":[{"id":1,"name":"Subdivision","value":"Other"},{"id":4,"name":"Milepost","value":"5.9048"},{"id":17,"name":"Train ID","value":"901-11"},{"id":16,"name":"Locomotive ID","value":"4044"},{"id":130,"name":"Impact","value":""},{"id":150,"name":"Time of Event (Mountain Time)","value":"05:00:27"},{"id":151,"name":"Denver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/c/Users/stu/AppData/Local/Temp/OnboardLogs/RTDC4044 --include="*4044*201710111*"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"%USERPROFILE%\AppData\Local\Temp\OnboardLogs"\RTDC4044\*4044*201710111* &gt;&gt; 2017-10-11-SliceDisagreementCheck.txt</v>
      </c>
      <c r="AE35" s="145" t="str">
        <f t="shared" si="1"/>
        <v>start /low /b %USERPROFILE%\Documents\GitHub\eaglep3\Utilities\DownloadLogsFromS3.py --loco 4044 --day 2017-10-11</v>
      </c>
      <c r="AF35" s="1"/>
    </row>
    <row r="36" spans="1:32" x14ac:dyDescent="0.3">
      <c r="A36" s="31">
        <v>43019.664814814816</v>
      </c>
      <c r="B36" s="30" t="s">
        <v>495</v>
      </c>
      <c r="C36" s="30" t="s">
        <v>595</v>
      </c>
      <c r="D36" s="30" t="s">
        <v>49</v>
      </c>
      <c r="E36" s="30" t="s">
        <v>192</v>
      </c>
      <c r="F36" s="42">
        <v>150</v>
      </c>
      <c r="G36" s="42">
        <v>275</v>
      </c>
      <c r="H36" s="42">
        <v>108840</v>
      </c>
      <c r="I36" s="42">
        <v>109272</v>
      </c>
      <c r="J36" s="30" t="s">
        <v>193</v>
      </c>
      <c r="K36" s="42">
        <v>109686</v>
      </c>
      <c r="L36" s="131" t="s">
        <v>50</v>
      </c>
      <c r="M36" s="132">
        <f>CONVERT((I36-K36)/10000,"mi","ft")*IF(L36="Increasing Mileposts (1)",-1,1)</f>
        <v>218.59200000000001</v>
      </c>
      <c r="N36" s="133" t="str">
        <f>VLOOKUP(C36,'Trips&amp;Operators'!$C$1:$G$99911,5,FALSE)</f>
        <v>NEWELL JAMES</v>
      </c>
      <c r="O36" s="176" t="s">
        <v>178</v>
      </c>
      <c r="P36" s="134"/>
      <c r="Q36" s="30"/>
      <c r="R36" s="81" t="str">
        <f>VLOOKUP(C36,'Train Runs'!$A$13:$AE$10023,31,0)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S36" s="84" t="str">
        <f>VLOOKUP(C36,'Train Runs'!$A$13:$AE$10023,22,0)</f>
        <v>https://d0f6bd738d7f1b3e5a7ca70fe4ff75f0.us-east-1.aws.found.io/app/kibana#/discover/Steve-Slow-Train-Analysis-(2080s-and-2083s)?_g=(refreshInterval:(display:Off,pause:!f,section:0,value:0),time:(from:'2017-10-11T12:20:52-0600',mode:absolute,to:'2017-10-11T14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/stypes="*4020*201710112*" /stext=" 21:.+((SYSTEM_STATE.+slice.+state.+changed )|(ment ac)|(multiple cpu faults)|(system.+state.+changed )|(\[timeout)|(PRM\|1\|D)|(kpr)|(kdp)|(train st.+moving)|(\|lc)|(penalty))"</v>
      </c>
      <c r="U36" s="9" t="str">
        <f>MID(B36,13,4)</f>
        <v>4020</v>
      </c>
      <c r="V36" s="31">
        <f>A36-utc_offset/24</f>
        <v>43019.914814814816</v>
      </c>
      <c r="W36" s="45" t="str">
        <f>DetSubdiv(C36)</f>
        <v>Shuttle/Test</v>
      </c>
      <c r="X36" s="22">
        <f>VALUE(LEFT(C36,LEN(C36)-3))</f>
        <v>71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Shuttle/Test"},{"id":4,"name":"Milepost","value":"10.9686"},{"id":17,"name":"Train ID","value":"71-11"},{"id":16,"name":"Locomotive ID","value":"4020"},{"id":130,"name":"Impact","value":""},{"id":150,"name":"Time of Event (Mountain Time)","value":"15:57:20"},{"id":151,"name":"Denver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/c/Users/stu/AppData/Local/Temp/OnboardLogs/RTDC4020 --include="*4020*201710112*"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"%USERPROFILE%\AppData\Local\Temp\OnboardLogs"\RTDC4020\*4020*201710112* &gt;&gt; 2017-10-11-SliceDisagreementCheck.txt</v>
      </c>
      <c r="AE36" s="145" t="str">
        <f t="shared" si="1"/>
        <v>start /low /b %USERPROFILE%\Documents\GitHub\eaglep3\Utilities\DownloadLogsFromS3.py --loco 4020 --day 2017-10-11</v>
      </c>
      <c r="AF36" s="1"/>
    </row>
    <row r="37" spans="1:32" x14ac:dyDescent="0.3">
      <c r="A37" s="31">
        <v>43019.561979166669</v>
      </c>
      <c r="B37" s="30" t="s">
        <v>495</v>
      </c>
      <c r="C37" s="30" t="s">
        <v>595</v>
      </c>
      <c r="D37" s="30" t="s">
        <v>95</v>
      </c>
      <c r="E37" s="30" t="s">
        <v>573</v>
      </c>
      <c r="F37" s="42">
        <v>0</v>
      </c>
      <c r="G37" s="42">
        <v>109</v>
      </c>
      <c r="H37" s="42">
        <v>33346</v>
      </c>
      <c r="I37" s="42">
        <v>33584</v>
      </c>
      <c r="J37" s="30" t="s">
        <v>574</v>
      </c>
      <c r="K37" s="42">
        <v>33252</v>
      </c>
      <c r="L37" s="131" t="s">
        <v>50</v>
      </c>
      <c r="M37" s="132">
        <f>CONVERT((I37-K37)/10000,"mi","ft")*IF(L37="Increasing Mileposts (1)",-1,1)</f>
        <v>-175.29599999999999</v>
      </c>
      <c r="N37" s="133" t="str">
        <f>VLOOKUP(C37,'Trips&amp;Operators'!$C$1:$G$99911,5,FALSE)</f>
        <v>NEWELL JAMES</v>
      </c>
      <c r="O37" s="176" t="s">
        <v>178</v>
      </c>
      <c r="P37" s="134"/>
      <c r="Q37" s="30"/>
      <c r="R37" s="81" t="str">
        <f>VLOOKUP(C37,'Train Runs'!$A$13:$AE$10023,31,0)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S37" s="84" t="str">
        <f>VLOOKUP(C37,'Train Runs'!$A$13:$AE$10023,22,0)</f>
        <v>https://d0f6bd738d7f1b3e5a7ca70fe4ff75f0.us-east-1.aws.found.io/app/kibana#/discover/Steve-Slow-Train-Analysis-(2080s-and-2083s)?_g=(refreshInterval:(display:Off,pause:!f,section:0,value:0),time:(from:'2017-10-11T12:20:52-0600',mode:absolute,to:'2017-10-11T14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/stypes="*4020*201710111*" /stext=" 19:.+((SYSTEM_STATE.+slice.+state.+changed )|(ment ac)|(multiple cpu faults)|(system.+state.+changed )|(\[timeout)|(PRM\|1\|D)|(kpr)|(kdp)|(train st.+moving)|(\|lc)|(penalty))"</v>
      </c>
      <c r="U37" s="9" t="str">
        <f>MID(B37,13,4)</f>
        <v>4020</v>
      </c>
      <c r="V37" s="31">
        <f>A37-utc_offset/24</f>
        <v>43019.811979166669</v>
      </c>
      <c r="W37" s="45" t="str">
        <f>DetSubdiv(C37)</f>
        <v>Shuttle/Test</v>
      </c>
      <c r="X37" s="22">
        <f>VALUE(LEFT(C37,LEN(C37)-3))</f>
        <v>71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Shuttle/Test"},{"id":4,"name":"Milepost","value":"3.3252"},{"id":17,"name":"Train ID","value":"71-11"},{"id":16,"name":"Locomotive ID","value":"4020"},{"id":130,"name":"Impact","value":""},{"id":150,"name":"Time of Event (Mountain Time)","value":"13:29:15"},{"id":151,"name":"Denver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/c/Users/stu/AppData/Local/Temp/OnboardLogs/RTDC4020 --include="*4020*201710111*"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"%USERPROFILE%\AppData\Local\Temp\OnboardLogs"\RTDC4020\*4020*201710111* &gt;&gt; 2017-10-11-SliceDisagreementCheck.txt</v>
      </c>
      <c r="AE37" s="145" t="str">
        <f t="shared" si="1"/>
        <v>start /low /b %USERPROFILE%\Documents\GitHub\eaglep3\Utilities\DownloadLogsFromS3.py --loco 4020 --day 2017-10-11</v>
      </c>
      <c r="AF37" s="1"/>
    </row>
    <row r="38" spans="1:32" x14ac:dyDescent="0.3">
      <c r="A38" s="31">
        <v>43019.411203703705</v>
      </c>
      <c r="B38" s="30" t="s">
        <v>584</v>
      </c>
      <c r="C38" s="30" t="s">
        <v>585</v>
      </c>
      <c r="D38" s="30" t="s">
        <v>49</v>
      </c>
      <c r="E38" s="30" t="s">
        <v>179</v>
      </c>
      <c r="F38" s="42">
        <v>0</v>
      </c>
      <c r="G38" s="42">
        <v>21</v>
      </c>
      <c r="H38" s="42">
        <v>897</v>
      </c>
      <c r="I38" s="42">
        <v>880</v>
      </c>
      <c r="J38" s="30" t="s">
        <v>180</v>
      </c>
      <c r="K38" s="42">
        <v>826</v>
      </c>
      <c r="L38" s="131" t="s">
        <v>51</v>
      </c>
      <c r="M38" s="132">
        <f>CONVERT((I38-K38)/10000,"mi","ft")*IF(L38="Increasing Mileposts (1)",-1,1)</f>
        <v>28.512</v>
      </c>
      <c r="N38" s="133" t="str">
        <f>VLOOKUP(C38,'Trips&amp;Operators'!$C$1:$G$99911,5,FALSE)</f>
        <v>LAMAR NEKESHA</v>
      </c>
      <c r="O38" s="176" t="s">
        <v>178</v>
      </c>
      <c r="P38" s="134"/>
      <c r="Q38" s="30"/>
      <c r="R38" s="81" t="str">
        <f>VLOOKUP(C38,'Train Runs'!$A$13:$AE$10023,31,0)</f>
        <v>aws s3 cp s3://rtdc.mdm.uploadarchive.raw/RTDC4001/ "%USERPROFILE%\AppData\Local\Temp\OnboardLogs"\RTDC4001\2017-10-11 --exclude "*" --recursive --include "*20171011*" &amp; "%USERPROFILE%\Documents\GitHub\mrs-test-scripts\Headless Mode &amp; Sideloading\WalkAndUnGZ.bat" "%USERPROFILE%\AppData\Local\Temp\OnboardLogs"\RTDC4001\2017-10-11 &amp; 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</v>
      </c>
      <c r="S38" s="84" t="str">
        <f>VLOOKUP(C38,'Train Runs'!$A$13:$AE$10023,22,0)</f>
        <v>https://d0f6bd738d7f1b3e5a7ca70fe4ff75f0.us-east-1.aws.found.io/app/kibana#/discover/Steve-Slow-Train-Analysis-(2080s-and-2083s)?_g=(refreshInterval:(display:Off,pause:!f,section:0,value:0),time:(from:'2017-10-11T08:40:45-0600',mode:absolute,to:'2017-10-11T10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/stypes="*4001*201710111*" /stext=" 15:.+((SYSTEM_STATE.+slice.+state.+changed )|(ment ac)|(multiple cpu faults)|(system.+state.+changed )|(\[timeout)|(PRM\|1\|D)|(kpr)|(kdp)|(train st.+moving)|(\|lc)|(penalty))"</v>
      </c>
      <c r="U38" s="9" t="str">
        <f>MID(B38,13,4)</f>
        <v>4001</v>
      </c>
      <c r="V38" s="31">
        <f>A38-utc_offset/24</f>
        <v>43019.661203703705</v>
      </c>
      <c r="W38" s="45" t="str">
        <f>DetSubdiv(C38)</f>
        <v>Shuttle/Test</v>
      </c>
      <c r="X38" s="22">
        <f>VALUE(LEFT(C38,LEN(C38)-3))</f>
        <v>60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Shuttle/Test"},{"id":4,"name":"Milepost","value":"0.0826"},{"id":17,"name":"Train ID","value":"60-11"},{"id":16,"name":"Locomotive ID","value":"4001"},{"id":130,"name":"Impact","value":""},{"id":150,"name":"Time of Event (Mountain Time)","value":"09:52:08"},{"id":151,"name":"Denver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/c/Users/stu/AppData/Local/Temp/OnboardLogs/RTDC4001 --include="*4001*201710111*"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"%USERPROFILE%\AppData\Local\Temp\OnboardLogs"\RTDC4001\*4001*201710111* &gt;&gt; 2017-10-11-SliceDisagreementCheck.txt</v>
      </c>
      <c r="AE38" s="145" t="str">
        <f t="shared" si="1"/>
        <v>start /low /b %USERPROFILE%\Documents\GitHub\eaglep3\Utilities\DownloadLogsFromS3.py --loco 4001 --day 2017-10-11</v>
      </c>
      <c r="AF38" s="1"/>
    </row>
    <row r="39" spans="1:32" x14ac:dyDescent="0.3">
      <c r="A39" s="31">
        <v>43019.450694444444</v>
      </c>
      <c r="B39" s="30" t="s">
        <v>584</v>
      </c>
      <c r="C39" s="30" t="s">
        <v>588</v>
      </c>
      <c r="D39" s="30" t="s">
        <v>95</v>
      </c>
      <c r="E39" s="30" t="s">
        <v>179</v>
      </c>
      <c r="F39" s="42">
        <v>0</v>
      </c>
      <c r="G39" s="42">
        <v>9</v>
      </c>
      <c r="H39" s="42">
        <v>826</v>
      </c>
      <c r="I39" s="42">
        <v>0</v>
      </c>
      <c r="J39" s="30" t="s">
        <v>180</v>
      </c>
      <c r="K39" s="42">
        <v>826</v>
      </c>
      <c r="L39" s="131" t="s">
        <v>51</v>
      </c>
      <c r="M39" s="132">
        <f>CONVERT((I39-K39)/10000,"mi","ft")*IF(L39="Increasing Mileposts (1)",-1,1)</f>
        <v>-436.12799999999999</v>
      </c>
      <c r="N39" s="133" t="str">
        <f>VLOOKUP(C39,'Trips&amp;Operators'!$C$1:$G$99911,5,FALSE)</f>
        <v>DE LA ROSA ALEX</v>
      </c>
      <c r="O39" s="176" t="s">
        <v>178</v>
      </c>
      <c r="P39" s="134"/>
      <c r="Q39" s="30"/>
      <c r="R39" s="81" t="str">
        <f>VLOOKUP(C39,'Train Runs'!$A$13:$AE$10023,31,0)</f>
        <v>aws s3 cp s3://rtdc.mdm.uploadarchive.raw/RTDC4001/ "%USERPROFILE%\AppData\Local\Temp\OnboardLogs"\RTDC4001\2017-10-11 --exclude "*" --recursive --include "*20171011*" &amp; "%USERPROFILE%\Documents\GitHub\mrs-test-scripts\Headless Mode &amp; Sideloading\WalkAndUnGZ.bat" "%USERPROFILE%\AppData\Local\Temp\OnboardLogs"\RTDC4001\2017-10-11 &amp; 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</v>
      </c>
      <c r="S39" s="84" t="str">
        <f>VLOOKUP(C39,'Train Runs'!$A$13:$AE$10023,22,0)</f>
        <v>https://d0f6bd738d7f1b3e5a7ca70fe4ff75f0.us-east-1.aws.found.io/app/kibana#/discover/Steve-Slow-Train-Analysis-(2080s-and-2083s)?_g=(refreshInterval:(display:Off,pause:!f,section:0,value:0),time:(from:'2017-10-11T09:33:55-0600',mode:absolute,to:'2017-10-11T11:49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/stypes="*4001*201710111*" /stext=" 16:.+((SYSTEM_STATE.+slice.+state.+changed )|(ment ac)|(multiple cpu faults)|(system.+state.+changed )|(\[timeout)|(PRM\|1\|D)|(kpr)|(kdp)|(train st.+moving)|(\|lc)|(penalty))"</v>
      </c>
      <c r="U39" s="9" t="str">
        <f>MID(B39,13,4)</f>
        <v>4001</v>
      </c>
      <c r="V39" s="31">
        <f>A39-utc_offset/24</f>
        <v>43019.700694444444</v>
      </c>
      <c r="W39" s="45" t="str">
        <f>DetSubdiv(C39)</f>
        <v>Shuttle/Test</v>
      </c>
      <c r="X39" s="22">
        <f>VALUE(LEFT(C39,LEN(C39)-3))</f>
        <v>62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Shuttle/Test"},{"id":4,"name":"Milepost","value":"0.0826"},{"id":17,"name":"Train ID","value":"62-11"},{"id":16,"name":"Locomotive ID","value":"4001"},{"id":130,"name":"Impact","value":""},{"id":150,"name":"Time of Event (Mountain Time)","value":"10:49:00"},{"id":151,"name":"Denver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/c/Users/stu/AppData/Local/Temp/OnboardLogs/RTDC4001 --include="*4001*201710111*"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"%USERPROFILE%\AppData\Local\Temp\OnboardLogs"\RTDC4001\*4001*201710111* &gt;&gt; 2017-10-11-SliceDisagreementCheck.txt</v>
      </c>
      <c r="AE39" s="145" t="str">
        <f t="shared" si="1"/>
        <v>start /low /b %USERPROFILE%\Documents\GitHub\eaglep3\Utilities\DownloadLogsFromS3.py --loco 4001 --day 2017-10-11</v>
      </c>
      <c r="AF39" s="1"/>
    </row>
    <row r="40" spans="1:32" x14ac:dyDescent="0.3">
      <c r="A40" s="31">
        <v>43019.142164351855</v>
      </c>
      <c r="B40" s="30" t="s">
        <v>570</v>
      </c>
      <c r="C40" s="30" t="s">
        <v>571</v>
      </c>
      <c r="D40" s="30" t="s">
        <v>49</v>
      </c>
      <c r="E40" s="30" t="s">
        <v>179</v>
      </c>
      <c r="F40" s="42">
        <v>0</v>
      </c>
      <c r="G40" s="42">
        <v>10</v>
      </c>
      <c r="H40" s="42">
        <v>847</v>
      </c>
      <c r="I40" s="42">
        <v>843</v>
      </c>
      <c r="J40" s="30" t="s">
        <v>180</v>
      </c>
      <c r="K40" s="42">
        <v>839</v>
      </c>
      <c r="L40" s="131" t="s">
        <v>51</v>
      </c>
      <c r="M40" s="132">
        <f>CONVERT((I40-K40)/10000,"mi","ft")*IF(L40="Increasing Mileposts (1)",-1,1)</f>
        <v>2.1120000000000001</v>
      </c>
      <c r="N40" s="133" t="str">
        <f>VLOOKUP(C40,'Trips&amp;Operators'!$C$1:$G$99911,5,FALSE)</f>
        <v>ACKERMAN JARED</v>
      </c>
      <c r="O40" s="176" t="s">
        <v>178</v>
      </c>
      <c r="P40" s="134"/>
      <c r="Q40" s="30"/>
      <c r="R40" s="81" t="str">
        <f>VLOOKUP(C40,'Train Runs'!$A$13:$AE$10023,31,0)</f>
        <v>aws s3 cp s3://rtdc.mdm.uploadarchive.raw/RTDC4005/ "%USERPROFILE%\AppData\Local\Temp\OnboardLogs"\RTDC4005\2017-10-11 --exclude "*" --recursive --include "*20171011*" &amp; "%USERPROFILE%\Documents\GitHub\mrs-test-scripts\Headless Mode &amp; Sideloading\WalkAndUnGZ.bat" "%USERPROFILE%\AppData\Local\Temp\OnboardLogs"\RTDC4005\2017-10-11 &amp; aws s3 cp s3://rtdc.mdm.uploadarchive.raw/RTDC4005/ "%USERPROFILE%\AppData\Local\Temp\OnboardLogs"\RTDC4005\2017-10-12 --exclude "*" --recursive --include "*20171012*" &amp; "%USERPROFILE%\Documents\GitHub\mrs-test-scripts\Headless Mode &amp; Sideloading\WalkAndUnGZ.bat" "%USERPROFILE%\AppData\Local\Temp\OnboardLogs"\RTDC4005\2017-10-12</v>
      </c>
      <c r="S40" s="84" t="str">
        <f>VLOOKUP(C40,'Train Runs'!$A$13:$AE$10023,22,0)</f>
        <v>https://d0f6bd738d7f1b3e5a7ca70fe4ff75f0.us-east-1.aws.found.io/app/kibana#/discover/Steve-Slow-Train-Analysis-(2080s-and-2083s)?_g=(refreshInterval:(display:Off,pause:!f,section:0,value:0),time:(from:'2017-10-11T02:20:14-0600',mode:absolute,to:'2017-10-11T04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/stypes="*4005*201710110*" /stext=" 09:.+((SYSTEM_STATE.+slice.+state.+changed )|(ment ac)|(multiple cpu faults)|(system.+state.+changed )|(\[timeout)|(PRM\|1\|D)|(kpr)|(kdp)|(train st.+moving)|(\|lc)|(penalty))"</v>
      </c>
      <c r="U40" s="9" t="str">
        <f>MID(B40,13,4)</f>
        <v>4005</v>
      </c>
      <c r="V40" s="31">
        <f>A40-utc_offset/24</f>
        <v>43019.392164351855</v>
      </c>
      <c r="W40" s="45" t="str">
        <f>DetSubdiv(C40)</f>
        <v>Shuttle/Test</v>
      </c>
      <c r="X40" s="22">
        <f>VALUE(LEFT(C40,LEN(C40)-3))</f>
        <v>52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Shuttle/Test"},{"id":4,"name":"Milepost","value":"0.0839"},{"id":17,"name":"Train ID","value":"52-11"},{"id":16,"name":"Locomotive ID","value":"4005"},{"id":130,"name":"Impact","value":""},{"id":150,"name":"Time of Event (Mountain Time)","value":"03:24:43"},{"id":151,"name":"Denver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/c/Users/stu/AppData/Local/Temp/OnboardLogs/RTDC4005 --include="*4005*201710110*"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"%USERPROFILE%\AppData\Local\Temp\OnboardLogs"\RTDC4005\*4005*201710110* &gt;&gt; 2017-10-11-SliceDisagreementCheck.txt</v>
      </c>
      <c r="AE40" s="145" t="str">
        <f t="shared" si="1"/>
        <v>start /low /b %USERPROFILE%\Documents\GitHub\eaglep3\Utilities\DownloadLogsFromS3.py --loco 4005 --day 2017-10-11</v>
      </c>
      <c r="AF40" s="1"/>
    </row>
    <row r="41" spans="1:32" x14ac:dyDescent="0.3">
      <c r="A41" s="31">
        <v>43019.529189814813</v>
      </c>
      <c r="B41" s="30" t="s">
        <v>495</v>
      </c>
      <c r="C41" s="30" t="s">
        <v>593</v>
      </c>
      <c r="D41" s="30" t="s">
        <v>95</v>
      </c>
      <c r="E41" s="30" t="s">
        <v>179</v>
      </c>
      <c r="F41" s="42">
        <v>0</v>
      </c>
      <c r="G41" s="42">
        <v>3</v>
      </c>
      <c r="H41" s="42">
        <v>112547</v>
      </c>
      <c r="I41" s="42">
        <v>112549</v>
      </c>
      <c r="J41" s="30" t="s">
        <v>180</v>
      </c>
      <c r="K41" s="42">
        <v>112547</v>
      </c>
      <c r="L41" s="131" t="s">
        <v>50</v>
      </c>
      <c r="M41" s="132">
        <f>CONVERT((I41-K41)/10000,"mi","ft")*IF(L41="Increasing Mileposts (1)",-1,1)</f>
        <v>-1.056</v>
      </c>
      <c r="N41" s="133" t="str">
        <f>VLOOKUP(C41,'Trips&amp;Operators'!$C$1:$G$99911,5,FALSE)</f>
        <v>ROMERO CHAD</v>
      </c>
      <c r="O41" s="176" t="s">
        <v>178</v>
      </c>
      <c r="P41" s="134"/>
      <c r="Q41" s="30"/>
      <c r="R41" s="81" t="str">
        <f>VLOOKUP(C41,'Train Runs'!$A$13:$AE$10023,31,0)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S41" s="84" t="str">
        <f>VLOOKUP(C41,'Train Runs'!$A$13:$AE$10023,22,0)</f>
        <v>https://d0f6bd738d7f1b3e5a7ca70fe4ff75f0.us-east-1.aws.found.io/app/kibana#/discover/Steve-Slow-Train-Analysis-(2080s-and-2083s)?_g=(refreshInterval:(display:Off,pause:!f,section:0,value:0),time:(from:'2017-10-11T11:08:32-0600',mode:absolute,to:'2017-10-11T13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/stypes="*4020*201710111*" /stext=" 18:.+((SYSTEM_STATE.+slice.+state.+changed )|(ment ac)|(multiple cpu faults)|(system.+state.+changed )|(\[timeout)|(PRM\|1\|D)|(kpr)|(kdp)|(train st.+moving)|(\|lc)|(penalty))"</v>
      </c>
      <c r="U41" s="9" t="str">
        <f>MID(B41,13,4)</f>
        <v>4020</v>
      </c>
      <c r="V41" s="31">
        <f>A41-utc_offset/24</f>
        <v>43019.779189814813</v>
      </c>
      <c r="W41" s="45" t="str">
        <f>DetSubdiv(C41)</f>
        <v>Shuttle/Test</v>
      </c>
      <c r="X41" s="22">
        <f>VALUE(LEFT(C41,LEN(C41)-3))</f>
        <v>73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Shuttle/Test"},{"id":4,"name":"Milepost","value":"11.2547"},{"id":17,"name":"Train ID","value":"73-11"},{"id":16,"name":"Locomotive ID","value":"4020"},{"id":130,"name":"Impact","value":""},{"id":150,"name":"Time of Event (Mountain Time)","value":"12:42:02"},{"id":151,"name":"Denver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/c/Users/stu/AppData/Local/Temp/OnboardLogs/RTDC4020 --include="*4020*201710111*"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"%USERPROFILE%\AppData\Local\Temp\OnboardLogs"\RTDC4020\*4020*201710111* &gt;&gt; 2017-10-11-SliceDisagreementCheck.txt</v>
      </c>
      <c r="AE41" s="145" t="str">
        <f t="shared" si="1"/>
        <v>start /low /b %USERPROFILE%\Documents\GitHub\eaglep3\Utilities\DownloadLogsFromS3.py --loco 4020 --day 2017-10-11</v>
      </c>
      <c r="AF41" s="1"/>
    </row>
    <row r="42" spans="1:32" x14ac:dyDescent="0.3">
      <c r="A42" s="31">
        <v>43019.670543981483</v>
      </c>
      <c r="B42" s="30" t="s">
        <v>495</v>
      </c>
      <c r="C42" s="30" t="s">
        <v>595</v>
      </c>
      <c r="D42" s="30" t="s">
        <v>95</v>
      </c>
      <c r="E42" s="30" t="s">
        <v>179</v>
      </c>
      <c r="F42" s="42">
        <v>0</v>
      </c>
      <c r="G42" s="42">
        <v>5</v>
      </c>
      <c r="H42" s="42">
        <v>112612</v>
      </c>
      <c r="I42" s="42">
        <v>0</v>
      </c>
      <c r="J42" s="30" t="s">
        <v>180</v>
      </c>
      <c r="K42" s="42">
        <v>112612</v>
      </c>
      <c r="L42" s="131" t="s">
        <v>50</v>
      </c>
      <c r="M42" s="132">
        <f>CONVERT((I42-K42)/10000,"mi","ft")*IF(L42="Increasing Mileposts (1)",-1,1)</f>
        <v>59459.135999999999</v>
      </c>
      <c r="N42" s="133" t="str">
        <f>VLOOKUP(C42,'Trips&amp;Operators'!$C$1:$G$99911,5,FALSE)</f>
        <v>NEWELL JAMES</v>
      </c>
      <c r="O42" s="176" t="s">
        <v>178</v>
      </c>
      <c r="P42" s="134"/>
      <c r="Q42" s="30"/>
      <c r="R42" s="81" t="str">
        <f>VLOOKUP(C42,'Train Runs'!$A$13:$AE$10023,31,0)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S42" s="84" t="str">
        <f>VLOOKUP(C42,'Train Runs'!$A$13:$AE$10023,22,0)</f>
        <v>https://d0f6bd738d7f1b3e5a7ca70fe4ff75f0.us-east-1.aws.found.io/app/kibana#/discover/Steve-Slow-Train-Analysis-(2080s-and-2083s)?_g=(refreshInterval:(display:Off,pause:!f,section:0,value:0),time:(from:'2017-10-11T12:20:52-0600',mode:absolute,to:'2017-10-11T14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/stypes="*4020*201710112*" /stext=" 22:.+((SYSTEM_STATE.+slice.+state.+changed )|(ment ac)|(multiple cpu faults)|(system.+state.+changed )|(\[timeout)|(PRM\|1\|D)|(kpr)|(kdp)|(train st.+moving)|(\|lc)|(penalty))"</v>
      </c>
      <c r="U42" s="9" t="str">
        <f>MID(B42,13,4)</f>
        <v>4020</v>
      </c>
      <c r="V42" s="31">
        <f>A42-utc_offset/24</f>
        <v>43019.920543981483</v>
      </c>
      <c r="W42" s="45" t="str">
        <f>DetSubdiv(C42)</f>
        <v>Shuttle/Test</v>
      </c>
      <c r="X42" s="22">
        <f>VALUE(LEFT(C42,LEN(C42)-3))</f>
        <v>71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Shuttle/Test"},{"id":4,"name":"Milepost","value":"11.2612"},{"id":17,"name":"Train ID","value":"71-11"},{"id":16,"name":"Locomotive ID","value":"4020"},{"id":130,"name":"Impact","value":""},{"id":150,"name":"Time of Event (Mountain Time)","value":"16:05:35"},{"id":151,"name":"Denver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/c/Users/stu/AppData/Local/Temp/OnboardLogs/RTDC4020 --include="*4020*201710112*"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"%USERPROFILE%\AppData\Local\Temp\OnboardLogs"\RTDC4020\*4020*201710112* &gt;&gt; 2017-10-11-SliceDisagreementCheck.txt</v>
      </c>
      <c r="AE42" s="145" t="str">
        <f t="shared" si="1"/>
        <v>start /low /b %USERPROFILE%\Documents\GitHub\eaglep3\Utilities\DownloadLogsFromS3.py --loco 4020 --day 2017-10-11</v>
      </c>
      <c r="AF42" s="1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2">
      <sortCondition ref="W7:W42"/>
      <sortCondition ref="E7:E42"/>
      <sortCondition ref="K7:K42"/>
      <sortCondition ref="F7:F42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 O7:O42">
    <cfRule type="cellIs" dxfId="23" priority="40" operator="equal">
      <formula>"Y"</formula>
    </cfRule>
  </conditionalFormatting>
  <conditionalFormatting sqref="O2:O3">
    <cfRule type="cellIs" dxfId="22" priority="31" operator="equal">
      <formula>"Y"</formula>
    </cfRule>
  </conditionalFormatting>
  <conditionalFormatting sqref="A7:P42">
    <cfRule type="expression" dxfId="2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9.8867187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6" t="str">
        <f>"Trips that did not appear in PTC Data "&amp;TEXT(Variables!$A$2,"YYYY-mm-dd")</f>
        <v>Trips that did not appear in PTC Data 2017-10-11</v>
      </c>
      <c r="C1" s="226"/>
      <c r="D1" s="226"/>
      <c r="E1" s="226"/>
      <c r="F1" s="226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801</v>
      </c>
      <c r="B3" s="42" t="str">
        <f>A3&amp;"-"&amp;IF(DAY(Variables!$A$2)&lt;10,0,"")&amp;DAY(Variables!$A$2)</f>
        <v>801-11</v>
      </c>
      <c r="C3" s="135"/>
      <c r="D3" s="153" t="str">
        <f>VLOOKUP(B3,'Trips&amp;Operators'!$C$1:$H$1072,6,FALSE)</f>
        <v>4044</v>
      </c>
      <c r="E3" s="30"/>
      <c r="F3" s="21" t="str">
        <f>VLOOKUP(B3,'Trips&amp;Operators'!$C$2:$E$9912,3,FALSE)</f>
        <v>LAMAR</v>
      </c>
      <c r="G3" s="21" t="str">
        <f>VLOOKUP(B3,'Trips&amp;Operators'!$C$1:$F$9912,4,FALSE)</f>
        <v>NEKESHA</v>
      </c>
      <c r="H3" s="29" t="str">
        <f>VLOOKUP(B3,'Trips&amp;Operators'!$C$1:$H$9912,5,FALSE)</f>
        <v>LAMAR NEKESHA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22801-11%22)),sort:!(Time.ISO8601,asc))</v>
      </c>
      <c r="J3" s="30" t="str">
        <f>VLOOKUP(B3,'Train Runs'!$A$13:$A$100020,1,FALSE)</f>
        <v>801-11</v>
      </c>
    </row>
    <row r="4" spans="1:10" x14ac:dyDescent="0.3">
      <c r="A4" s="198"/>
      <c r="B4" s="42" t="str">
        <f>A4&amp;"-"&amp;IF(DAY(Variables!$A$2)&lt;10,0,"")&amp;DAY(Variables!$A$2)</f>
        <v>-11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" s="30" t="e">
        <f>VLOOKUP(B4,'Train Runs'!$A$13:$A$100020,1,FALSE)</f>
        <v>#N/A</v>
      </c>
    </row>
    <row r="5" spans="1:10" x14ac:dyDescent="0.3">
      <c r="A5" s="198"/>
      <c r="B5" s="42" t="str">
        <f>A5&amp;"-"&amp;IF(DAY(Variables!$A$2)&lt;10,0,"")&amp;DAY(Variables!$A$2)</f>
        <v>-11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Runs'!$A$13:$A$100020,1,FALSE)</f>
        <v>#N/A</v>
      </c>
    </row>
    <row r="6" spans="1:10" x14ac:dyDescent="0.3">
      <c r="A6" s="198"/>
      <c r="B6" s="42" t="str">
        <f>A6&amp;"-"&amp;IF(DAY(Variables!$A$2)&lt;10,0,"")&amp;DAY(Variables!$A$2)</f>
        <v>-11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Runs'!$A$13:$A$100020,1,FALSE)</f>
        <v>#N/A</v>
      </c>
    </row>
    <row r="7" spans="1:10" x14ac:dyDescent="0.3">
      <c r="A7" s="198"/>
      <c r="B7" s="42" t="str">
        <f>A7&amp;"-"&amp;IF(DAY(Variables!$A$2)&lt;10,0,"")&amp;DAY(Variables!$A$2)</f>
        <v>-11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Runs'!$A$13:$A$100020,1,FALSE)</f>
        <v>#N/A</v>
      </c>
    </row>
    <row r="8" spans="1:10" x14ac:dyDescent="0.3">
      <c r="A8" s="198"/>
      <c r="B8" s="42" t="str">
        <f>A8&amp;"-"&amp;IF(DAY(Variables!$A$2)&lt;10,0,"")&amp;DAY(Variables!$A$2)</f>
        <v>-11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Runs'!$A$13:$A$100020,1,FALSE)</f>
        <v>#N/A</v>
      </c>
    </row>
    <row r="9" spans="1:10" x14ac:dyDescent="0.3">
      <c r="A9" s="198"/>
      <c r="B9" s="42" t="str">
        <f>A9&amp;"-"&amp;IF(DAY(Variables!$A$2)&lt;10,0,"")&amp;DAY(Variables!$A$2)</f>
        <v>-11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Runs'!$A$13:$A$100020,1,FALSE)</f>
        <v>#N/A</v>
      </c>
    </row>
    <row r="10" spans="1:10" x14ac:dyDescent="0.3">
      <c r="A10" s="198"/>
      <c r="B10" s="42" t="str">
        <f>A10&amp;"-"&amp;IF(DAY(Variables!$A$2)&lt;10,0,"")&amp;DAY(Variables!$A$2)</f>
        <v>-11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Runs'!$A$13:$A$100020,1,FALSE)</f>
        <v>#N/A</v>
      </c>
    </row>
    <row r="11" spans="1:10" x14ac:dyDescent="0.3">
      <c r="A11" s="198"/>
      <c r="B11" s="42" t="str">
        <f>A11&amp;"-"&amp;IF(DAY(Variables!$A$2)&lt;10,0,"")&amp;DAY(Variables!$A$2)</f>
        <v>-11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Runs'!$A$13:$A$100020,1,FALSE)</f>
        <v>#N/A</v>
      </c>
    </row>
    <row r="12" spans="1:10" x14ac:dyDescent="0.3">
      <c r="A12" s="198"/>
      <c r="B12" s="42" t="str">
        <f>A12&amp;"-"&amp;IF(DAY(Variables!$A$2)&lt;10,0,"")&amp;DAY(Variables!$A$2)</f>
        <v>-11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Runs'!$A$13:$A$100020,1,FALSE)</f>
        <v>#N/A</v>
      </c>
    </row>
    <row r="13" spans="1:10" x14ac:dyDescent="0.3">
      <c r="A13" s="198"/>
      <c r="B13" s="42" t="str">
        <f>A13&amp;"-"&amp;IF(DAY(Variables!$A$2)&lt;10,0,"")&amp;DAY(Variables!$A$2)</f>
        <v>-11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Runs'!$A$13:$A$100020,1,FALSE)</f>
        <v>#N/A</v>
      </c>
    </row>
    <row r="14" spans="1:10" x14ac:dyDescent="0.3">
      <c r="A14" s="198"/>
      <c r="B14" s="42" t="str">
        <f>A14&amp;"-"&amp;IF(DAY(Variables!$A$2)&lt;10,0,"")&amp;DAY(Variables!$A$2)</f>
        <v>-11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Runs'!$A$13:$A$100020,1,FALSE)</f>
        <v>#N/A</v>
      </c>
    </row>
    <row r="15" spans="1:10" x14ac:dyDescent="0.3">
      <c r="A15" s="198"/>
      <c r="B15" s="42" t="str">
        <f>A15&amp;"-"&amp;IF(DAY(Variables!$A$2)&lt;10,0,"")&amp;DAY(Variables!$A$2)</f>
        <v>-11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Runs'!$A$13:$A$100020,1,FALSE)</f>
        <v>#N/A</v>
      </c>
    </row>
    <row r="16" spans="1:10" x14ac:dyDescent="0.3">
      <c r="A16" s="198"/>
      <c r="B16" s="42" t="str">
        <f>A16&amp;"-"&amp;IF(DAY(Variables!$A$2)&lt;10,0,"")&amp;DAY(Variables!$A$2)</f>
        <v>-11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Runs'!$A$13:$A$100020,1,FALSE)</f>
        <v>#N/A</v>
      </c>
    </row>
    <row r="17" spans="1:10" x14ac:dyDescent="0.3">
      <c r="A17" s="198"/>
      <c r="B17" s="42" t="str">
        <f>A17&amp;"-"&amp;IF(DAY(Variables!$A$2)&lt;10,0,"")&amp;DAY(Variables!$A$2)</f>
        <v>-11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Runs'!$A$13:$A$100020,1,FALSE)</f>
        <v>#N/A</v>
      </c>
    </row>
    <row r="18" spans="1:10" x14ac:dyDescent="0.3">
      <c r="A18" s="198"/>
      <c r="B18" s="42" t="str">
        <f>A18&amp;"-"&amp;IF(DAY(Variables!$A$2)&lt;10,0,"")&amp;DAY(Variables!$A$2)</f>
        <v>-11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Runs'!$A$13:$A$100020,1,FALSE)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66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43019.033148148148</v>
      </c>
      <c r="B2" s="20" t="s">
        <v>493</v>
      </c>
      <c r="C2" s="20" t="s">
        <v>515</v>
      </c>
      <c r="D2" s="138">
        <v>3280000</v>
      </c>
      <c r="E2" s="20" t="s">
        <v>419</v>
      </c>
      <c r="F2" s="20" t="s">
        <v>420</v>
      </c>
      <c r="G2" s="8" t="str">
        <f>E2&amp;" "&amp;F2</f>
        <v>BIRKHOLZ NADINE</v>
      </c>
      <c r="H2" t="str">
        <f>MID(B2,13,4)</f>
        <v>4019</v>
      </c>
    </row>
    <row r="3" spans="1:8" x14ac:dyDescent="0.3">
      <c r="A3" s="8">
        <v>43019.0471875</v>
      </c>
      <c r="B3" s="20" t="s">
        <v>424</v>
      </c>
      <c r="C3" s="20" t="s">
        <v>516</v>
      </c>
      <c r="D3" s="138">
        <v>890000</v>
      </c>
      <c r="E3" s="20" t="s">
        <v>359</v>
      </c>
      <c r="F3" s="20" t="s">
        <v>360</v>
      </c>
      <c r="G3" s="8" t="str">
        <f t="shared" ref="G3:G66" si="0">E3&amp;" "&amp;F3</f>
        <v>LOZA FIDEL</v>
      </c>
      <c r="H3" s="20" t="str">
        <f t="shared" ref="H3:H66" si="1">MID(B3,13,4)</f>
        <v>4066</v>
      </c>
    </row>
    <row r="4" spans="1:8" x14ac:dyDescent="0.3">
      <c r="A4" s="8">
        <v>43019.053344907406</v>
      </c>
      <c r="B4" s="20" t="s">
        <v>462</v>
      </c>
      <c r="C4" s="20" t="s">
        <v>517</v>
      </c>
      <c r="D4" s="138">
        <v>3310000</v>
      </c>
      <c r="E4" s="20" t="s">
        <v>388</v>
      </c>
      <c r="F4" s="20" t="s">
        <v>389</v>
      </c>
      <c r="G4" s="8" t="str">
        <f t="shared" si="0"/>
        <v>ANDERS STEVEN</v>
      </c>
      <c r="H4" s="20" t="str">
        <f t="shared" si="1"/>
        <v>4051</v>
      </c>
    </row>
    <row r="5" spans="1:8" x14ac:dyDescent="0.3">
      <c r="A5" s="8">
        <v>43019.068472222221</v>
      </c>
      <c r="B5" s="20" t="s">
        <v>495</v>
      </c>
      <c r="C5" s="20" t="s">
        <v>496</v>
      </c>
      <c r="D5" s="138">
        <v>3280000</v>
      </c>
      <c r="E5" s="20" t="s">
        <v>419</v>
      </c>
      <c r="F5" s="20" t="s">
        <v>420</v>
      </c>
      <c r="G5" s="8" t="str">
        <f t="shared" si="0"/>
        <v>BIRKHOLZ NADINE</v>
      </c>
      <c r="H5" s="20" t="str">
        <f t="shared" si="1"/>
        <v>4020</v>
      </c>
    </row>
    <row r="6" spans="1:8" x14ac:dyDescent="0.3">
      <c r="A6" s="8">
        <v>43019.069178240738</v>
      </c>
      <c r="B6" s="20" t="s">
        <v>495</v>
      </c>
      <c r="C6" s="20" t="s">
        <v>496</v>
      </c>
      <c r="D6" s="138">
        <v>3280000</v>
      </c>
      <c r="E6" s="20" t="s">
        <v>419</v>
      </c>
      <c r="F6" s="20" t="s">
        <v>420</v>
      </c>
      <c r="G6" s="8" t="str">
        <f t="shared" si="0"/>
        <v>BIRKHOLZ NADINE</v>
      </c>
      <c r="H6" s="20" t="str">
        <f t="shared" si="1"/>
        <v>4020</v>
      </c>
    </row>
    <row r="7" spans="1:8" x14ac:dyDescent="0.3">
      <c r="A7" s="8">
        <v>43019.070300925923</v>
      </c>
      <c r="B7" s="20" t="s">
        <v>495</v>
      </c>
      <c r="C7" s="20" t="s">
        <v>496</v>
      </c>
      <c r="D7" s="138">
        <v>3280000</v>
      </c>
      <c r="E7" s="20" t="s">
        <v>419</v>
      </c>
      <c r="F7" s="20" t="s">
        <v>420</v>
      </c>
      <c r="G7" s="8" t="str">
        <f t="shared" si="0"/>
        <v>BIRKHOLZ NADINE</v>
      </c>
      <c r="H7" s="20" t="str">
        <f t="shared" si="1"/>
        <v>4020</v>
      </c>
    </row>
    <row r="8" spans="1:8" x14ac:dyDescent="0.3">
      <c r="A8" s="8">
        <v>43019.071238425924</v>
      </c>
      <c r="B8" s="20" t="s">
        <v>495</v>
      </c>
      <c r="C8" s="20" t="s">
        <v>496</v>
      </c>
      <c r="D8" s="138">
        <v>3280000</v>
      </c>
      <c r="E8" s="20" t="s">
        <v>419</v>
      </c>
      <c r="F8" s="20" t="s">
        <v>420</v>
      </c>
      <c r="G8" s="8" t="str">
        <f t="shared" si="0"/>
        <v>BIRKHOLZ NADINE</v>
      </c>
      <c r="H8" s="20" t="str">
        <f t="shared" si="1"/>
        <v>4020</v>
      </c>
    </row>
    <row r="9" spans="1:8" ht="15" thickBot="1" x14ac:dyDescent="0.35">
      <c r="A9" s="24">
        <v>43019.089120370372</v>
      </c>
      <c r="B9" s="20" t="s">
        <v>461</v>
      </c>
      <c r="C9" s="20" t="s">
        <v>518</v>
      </c>
      <c r="D9" s="138">
        <v>3310000</v>
      </c>
      <c r="E9" s="20" t="s">
        <v>388</v>
      </c>
      <c r="F9" s="20" t="s">
        <v>389</v>
      </c>
      <c r="G9" s="8" t="str">
        <f t="shared" si="0"/>
        <v>ANDERS STEVEN</v>
      </c>
      <c r="H9" s="20" t="str">
        <f t="shared" si="1"/>
        <v>4052</v>
      </c>
    </row>
    <row r="10" spans="1:8" x14ac:dyDescent="0.3">
      <c r="A10" s="8">
        <v>43019.121365740742</v>
      </c>
      <c r="B10" s="20" t="s">
        <v>570</v>
      </c>
      <c r="C10" s="20" t="s">
        <v>611</v>
      </c>
      <c r="D10" s="138">
        <v>900000</v>
      </c>
      <c r="E10" s="20" t="s">
        <v>386</v>
      </c>
      <c r="F10" s="20" t="s">
        <v>387</v>
      </c>
      <c r="G10" s="8" t="str">
        <f t="shared" si="0"/>
        <v>ROCHA YAOTL</v>
      </c>
      <c r="H10" s="20" t="str">
        <f t="shared" si="1"/>
        <v>4005</v>
      </c>
    </row>
    <row r="11" spans="1:8" x14ac:dyDescent="0.3">
      <c r="A11" s="8">
        <v>43019.132905092592</v>
      </c>
      <c r="B11" s="20" t="s">
        <v>612</v>
      </c>
      <c r="C11" s="20" t="s">
        <v>613</v>
      </c>
      <c r="D11" s="138">
        <v>1260000</v>
      </c>
      <c r="E11" s="20" t="s">
        <v>614</v>
      </c>
      <c r="F11" s="20" t="s">
        <v>615</v>
      </c>
      <c r="G11" s="8" t="str">
        <f t="shared" si="0"/>
        <v>ACKERMAN JARED</v>
      </c>
      <c r="H11" s="20" t="str">
        <f t="shared" si="1"/>
        <v>4006</v>
      </c>
    </row>
    <row r="12" spans="1:8" x14ac:dyDescent="0.3">
      <c r="A12" s="8">
        <v>43019.133657407408</v>
      </c>
      <c r="B12" s="20" t="s">
        <v>464</v>
      </c>
      <c r="C12" s="20" t="s">
        <v>616</v>
      </c>
      <c r="D12" s="138">
        <v>900000</v>
      </c>
      <c r="E12" s="20" t="s">
        <v>386</v>
      </c>
      <c r="F12" s="20" t="s">
        <v>387</v>
      </c>
      <c r="G12" s="8" t="str">
        <f t="shared" si="0"/>
        <v>ROCHA YAOTL</v>
      </c>
      <c r="H12" s="20" t="str">
        <f t="shared" si="1"/>
        <v>4046</v>
      </c>
    </row>
    <row r="13" spans="1:8" x14ac:dyDescent="0.3">
      <c r="A13" s="8">
        <v>43019.139664351853</v>
      </c>
      <c r="B13" s="20" t="s">
        <v>570</v>
      </c>
      <c r="C13" s="20" t="s">
        <v>571</v>
      </c>
      <c r="D13" s="138">
        <v>1260000</v>
      </c>
      <c r="E13" s="20" t="s">
        <v>614</v>
      </c>
      <c r="F13" s="20" t="s">
        <v>615</v>
      </c>
      <c r="G13" s="8" t="str">
        <f t="shared" si="0"/>
        <v>ACKERMAN JARED</v>
      </c>
      <c r="H13" s="20" t="str">
        <f t="shared" si="1"/>
        <v>4005</v>
      </c>
    </row>
    <row r="14" spans="1:8" x14ac:dyDescent="0.3">
      <c r="A14" s="8">
        <v>43019.143078703702</v>
      </c>
      <c r="B14" s="20" t="s">
        <v>586</v>
      </c>
      <c r="C14" s="20" t="s">
        <v>617</v>
      </c>
      <c r="D14" s="138">
        <v>3120000</v>
      </c>
      <c r="E14" s="20" t="s">
        <v>618</v>
      </c>
      <c r="F14" s="20" t="s">
        <v>619</v>
      </c>
      <c r="G14" s="8" t="str">
        <f t="shared" si="0"/>
        <v>THOMPSON LESTER</v>
      </c>
      <c r="H14" s="20" t="str">
        <f t="shared" si="1"/>
        <v>4013</v>
      </c>
    </row>
    <row r="15" spans="1:8" x14ac:dyDescent="0.3">
      <c r="A15" s="8">
        <v>43019.146620370368</v>
      </c>
      <c r="B15" s="20" t="s">
        <v>401</v>
      </c>
      <c r="C15" s="20" t="s">
        <v>620</v>
      </c>
      <c r="D15" s="138">
        <v>1260000</v>
      </c>
      <c r="E15" s="20" t="s">
        <v>614</v>
      </c>
      <c r="F15" s="20" t="s">
        <v>615</v>
      </c>
      <c r="G15" s="8" t="str">
        <f t="shared" si="0"/>
        <v>ACKERMAN JARED</v>
      </c>
      <c r="H15" s="20" t="str">
        <f t="shared" si="1"/>
        <v>4008</v>
      </c>
    </row>
    <row r="16" spans="1:8" x14ac:dyDescent="0.3">
      <c r="A16" s="8">
        <v>43019.154050925928</v>
      </c>
      <c r="B16" s="20" t="s">
        <v>418</v>
      </c>
      <c r="C16" s="20" t="s">
        <v>621</v>
      </c>
      <c r="D16" s="138">
        <v>1260000</v>
      </c>
      <c r="E16" s="20" t="s">
        <v>614</v>
      </c>
      <c r="F16" s="20" t="s">
        <v>615</v>
      </c>
      <c r="G16" s="8" t="str">
        <f t="shared" si="0"/>
        <v>ACKERMAN JARED</v>
      </c>
      <c r="H16" s="20" t="str">
        <f t="shared" si="1"/>
        <v>4007</v>
      </c>
    </row>
    <row r="17" spans="1:8" x14ac:dyDescent="0.3">
      <c r="A17" s="8">
        <v>43019.154710648145</v>
      </c>
      <c r="B17" s="20" t="s">
        <v>418</v>
      </c>
      <c r="C17" s="20" t="s">
        <v>621</v>
      </c>
      <c r="D17" s="138">
        <v>1260000</v>
      </c>
      <c r="E17" s="20" t="s">
        <v>614</v>
      </c>
      <c r="F17" s="20" t="s">
        <v>615</v>
      </c>
      <c r="G17" s="8" t="str">
        <f t="shared" si="0"/>
        <v>ACKERMAN JARED</v>
      </c>
      <c r="H17" s="20" t="str">
        <f t="shared" si="1"/>
        <v>4007</v>
      </c>
    </row>
    <row r="18" spans="1:8" x14ac:dyDescent="0.3">
      <c r="A18" s="8">
        <v>43019.154918981483</v>
      </c>
      <c r="B18" s="20" t="s">
        <v>601</v>
      </c>
      <c r="C18" s="20" t="s">
        <v>622</v>
      </c>
      <c r="D18" s="138">
        <v>3120000</v>
      </c>
      <c r="E18" s="20" t="s">
        <v>618</v>
      </c>
      <c r="F18" s="20" t="s">
        <v>619</v>
      </c>
      <c r="G18" s="8" t="str">
        <f t="shared" si="0"/>
        <v>THOMPSON LESTER</v>
      </c>
      <c r="H18" s="20" t="str">
        <f t="shared" si="1"/>
        <v>4014</v>
      </c>
    </row>
    <row r="19" spans="1:8" x14ac:dyDescent="0.3">
      <c r="A19" s="8">
        <v>43019.161851851852</v>
      </c>
      <c r="B19" s="20" t="s">
        <v>623</v>
      </c>
      <c r="C19" s="20" t="s">
        <v>624</v>
      </c>
      <c r="D19" s="138">
        <v>1830000</v>
      </c>
      <c r="E19" s="20" t="s">
        <v>377</v>
      </c>
      <c r="F19" s="20" t="s">
        <v>378</v>
      </c>
      <c r="G19" s="8" t="str">
        <f t="shared" si="0"/>
        <v>YORK EDGAR</v>
      </c>
      <c r="H19" s="20" t="str">
        <f t="shared" si="1"/>
        <v>4031</v>
      </c>
    </row>
    <row r="20" spans="1:8" x14ac:dyDescent="0.3">
      <c r="A20" s="8">
        <v>43019.170254629629</v>
      </c>
      <c r="B20" s="20" t="s">
        <v>494</v>
      </c>
      <c r="C20" s="20" t="s">
        <v>625</v>
      </c>
      <c r="D20" s="138">
        <v>2730000</v>
      </c>
      <c r="E20" s="20" t="s">
        <v>466</v>
      </c>
      <c r="F20" s="20" t="s">
        <v>467</v>
      </c>
      <c r="G20" s="8" t="str">
        <f t="shared" si="0"/>
        <v>YANG JAN</v>
      </c>
      <c r="H20" s="20" t="str">
        <f t="shared" si="1"/>
        <v>4035</v>
      </c>
    </row>
    <row r="21" spans="1:8" x14ac:dyDescent="0.3">
      <c r="A21" s="8">
        <v>43019.170798611114</v>
      </c>
      <c r="B21" s="20" t="s">
        <v>609</v>
      </c>
      <c r="C21" s="20" t="s">
        <v>626</v>
      </c>
      <c r="D21" s="138">
        <v>1830000</v>
      </c>
      <c r="E21" s="20" t="s">
        <v>377</v>
      </c>
      <c r="F21" s="20" t="s">
        <v>378</v>
      </c>
      <c r="G21" s="8" t="str">
        <f t="shared" si="0"/>
        <v>YORK EDGAR</v>
      </c>
      <c r="H21" s="20" t="str">
        <f t="shared" si="1"/>
        <v>4032</v>
      </c>
    </row>
    <row r="22" spans="1:8" x14ac:dyDescent="0.3">
      <c r="A22" s="26">
        <v>43019.174421296295</v>
      </c>
      <c r="B22" s="20" t="s">
        <v>589</v>
      </c>
      <c r="C22" s="20" t="s">
        <v>627</v>
      </c>
      <c r="D22" s="138">
        <v>900000</v>
      </c>
      <c r="E22" s="20" t="s">
        <v>386</v>
      </c>
      <c r="F22" s="20" t="s">
        <v>387</v>
      </c>
      <c r="G22" s="8" t="str">
        <f t="shared" si="0"/>
        <v>ROCHA YAOTL</v>
      </c>
      <c r="H22" s="20" t="str">
        <f t="shared" si="1"/>
        <v>4045</v>
      </c>
    </row>
    <row r="23" spans="1:8" x14ac:dyDescent="0.3">
      <c r="A23" s="8">
        <v>43019.175150462965</v>
      </c>
      <c r="B23" s="20" t="s">
        <v>426</v>
      </c>
      <c r="C23" s="20" t="s">
        <v>572</v>
      </c>
      <c r="D23" s="138">
        <v>1990000</v>
      </c>
      <c r="E23" s="20" t="s">
        <v>341</v>
      </c>
      <c r="F23" s="20" t="s">
        <v>628</v>
      </c>
      <c r="G23" s="8" t="str">
        <f t="shared" si="0"/>
        <v>DAVIS WENDY</v>
      </c>
      <c r="H23" s="20" t="str">
        <f t="shared" si="1"/>
        <v>4017</v>
      </c>
    </row>
    <row r="24" spans="1:8" x14ac:dyDescent="0.3">
      <c r="A24" s="8">
        <v>43019.182557870372</v>
      </c>
      <c r="B24" s="20" t="s">
        <v>450</v>
      </c>
      <c r="C24" s="20" t="s">
        <v>629</v>
      </c>
      <c r="D24" s="138">
        <v>2730000</v>
      </c>
      <c r="E24" s="20" t="s">
        <v>466</v>
      </c>
      <c r="F24" s="20" t="s">
        <v>467</v>
      </c>
      <c r="G24" s="8" t="str">
        <f t="shared" si="0"/>
        <v>YANG JAN</v>
      </c>
      <c r="H24" s="20" t="str">
        <f t="shared" si="1"/>
        <v>4036</v>
      </c>
    </row>
    <row r="25" spans="1:8" x14ac:dyDescent="0.3">
      <c r="A25" s="8">
        <v>43019.19190972222</v>
      </c>
      <c r="B25" s="20" t="s">
        <v>425</v>
      </c>
      <c r="C25" s="20" t="s">
        <v>630</v>
      </c>
      <c r="D25" s="138">
        <v>1990000</v>
      </c>
      <c r="E25" s="20" t="s">
        <v>341</v>
      </c>
      <c r="F25" s="20" t="s">
        <v>628</v>
      </c>
      <c r="G25" s="8" t="str">
        <f t="shared" si="0"/>
        <v>DAVIS WENDY</v>
      </c>
      <c r="H25" s="20" t="str">
        <f t="shared" si="1"/>
        <v>4018</v>
      </c>
    </row>
    <row r="26" spans="1:8" x14ac:dyDescent="0.3">
      <c r="A26" s="8">
        <v>43019.194363425922</v>
      </c>
      <c r="B26" s="20" t="s">
        <v>586</v>
      </c>
      <c r="C26" s="20" t="s">
        <v>631</v>
      </c>
      <c r="D26" s="138">
        <v>3120000</v>
      </c>
      <c r="E26" s="20" t="s">
        <v>618</v>
      </c>
      <c r="F26" s="20" t="s">
        <v>619</v>
      </c>
      <c r="G26" s="8" t="str">
        <f t="shared" si="0"/>
        <v>THOMPSON LESTER</v>
      </c>
      <c r="H26" s="20" t="str">
        <f t="shared" si="1"/>
        <v>4013</v>
      </c>
    </row>
    <row r="27" spans="1:8" x14ac:dyDescent="0.3">
      <c r="A27" s="8">
        <v>43019.198564814818</v>
      </c>
      <c r="B27" s="20" t="s">
        <v>591</v>
      </c>
      <c r="C27" s="20" t="s">
        <v>632</v>
      </c>
      <c r="D27" s="138">
        <v>1230000</v>
      </c>
      <c r="E27" s="20" t="s">
        <v>407</v>
      </c>
      <c r="F27" s="20" t="s">
        <v>408</v>
      </c>
      <c r="G27" s="8" t="str">
        <f t="shared" si="0"/>
        <v>YANAI IAN</v>
      </c>
      <c r="H27" s="20" t="str">
        <f t="shared" si="1"/>
        <v>4015</v>
      </c>
    </row>
    <row r="28" spans="1:8" x14ac:dyDescent="0.3">
      <c r="A28" s="8">
        <v>43019.200115740743</v>
      </c>
      <c r="B28" s="20" t="s">
        <v>497</v>
      </c>
      <c r="C28" s="20" t="s">
        <v>575</v>
      </c>
      <c r="D28" s="138">
        <v>3090000</v>
      </c>
      <c r="E28" s="20" t="s">
        <v>633</v>
      </c>
      <c r="F28" s="20" t="s">
        <v>634</v>
      </c>
      <c r="G28" s="8" t="str">
        <f t="shared" si="0"/>
        <v>LAMAR NEKESHA</v>
      </c>
      <c r="H28" s="20" t="str">
        <f t="shared" si="1"/>
        <v>4044</v>
      </c>
    </row>
    <row r="29" spans="1:8" x14ac:dyDescent="0.3">
      <c r="A29" s="8">
        <v>43019.203310185185</v>
      </c>
      <c r="B29" s="20" t="s">
        <v>623</v>
      </c>
      <c r="C29" s="20" t="s">
        <v>635</v>
      </c>
      <c r="D29" s="138">
        <v>1830000</v>
      </c>
      <c r="E29" s="20" t="s">
        <v>377</v>
      </c>
      <c r="F29" s="20" t="s">
        <v>378</v>
      </c>
      <c r="G29" s="8" t="str">
        <f t="shared" si="0"/>
        <v>YORK EDGAR</v>
      </c>
      <c r="H29" s="20" t="str">
        <f t="shared" si="1"/>
        <v>4031</v>
      </c>
    </row>
    <row r="30" spans="1:8" x14ac:dyDescent="0.3">
      <c r="A30" s="8">
        <v>43019.205196759256</v>
      </c>
      <c r="B30" s="20" t="s">
        <v>464</v>
      </c>
      <c r="C30" s="20" t="s">
        <v>636</v>
      </c>
      <c r="D30" s="138">
        <v>900000</v>
      </c>
      <c r="E30" s="20" t="s">
        <v>386</v>
      </c>
      <c r="F30" s="20" t="s">
        <v>387</v>
      </c>
      <c r="G30" s="8" t="str">
        <f t="shared" si="0"/>
        <v>ROCHA YAOTL</v>
      </c>
      <c r="H30" s="20" t="str">
        <f t="shared" si="1"/>
        <v>4046</v>
      </c>
    </row>
    <row r="31" spans="1:8" x14ac:dyDescent="0.3">
      <c r="A31" s="8">
        <v>43019.210115740738</v>
      </c>
      <c r="B31" s="20" t="s">
        <v>465</v>
      </c>
      <c r="C31" s="20" t="s">
        <v>637</v>
      </c>
      <c r="D31" s="138">
        <v>1230000</v>
      </c>
      <c r="E31" s="20" t="s">
        <v>407</v>
      </c>
      <c r="F31" s="20" t="s">
        <v>408</v>
      </c>
      <c r="G31" s="8" t="str">
        <f t="shared" si="0"/>
        <v>YANAI IAN</v>
      </c>
      <c r="H31" s="20" t="str">
        <f t="shared" si="1"/>
        <v>4016</v>
      </c>
    </row>
    <row r="32" spans="1:8" x14ac:dyDescent="0.3">
      <c r="A32" s="8">
        <v>43019.211736111109</v>
      </c>
      <c r="B32" s="20" t="s">
        <v>492</v>
      </c>
      <c r="C32" s="20" t="s">
        <v>576</v>
      </c>
      <c r="D32" s="138">
        <v>3090000</v>
      </c>
      <c r="E32" s="20" t="s">
        <v>633</v>
      </c>
      <c r="F32" s="20" t="s">
        <v>634</v>
      </c>
      <c r="G32" s="8" t="str">
        <f t="shared" si="0"/>
        <v>LAMAR NEKESHA</v>
      </c>
      <c r="H32" s="20" t="str">
        <f t="shared" si="1"/>
        <v>4043</v>
      </c>
    </row>
    <row r="33" spans="1:8" x14ac:dyDescent="0.3">
      <c r="A33" s="8">
        <v>43019.221504629626</v>
      </c>
      <c r="B33" s="20" t="s">
        <v>463</v>
      </c>
      <c r="C33" s="20" t="s">
        <v>638</v>
      </c>
      <c r="D33" s="138">
        <v>3000000</v>
      </c>
      <c r="E33" s="20" t="s">
        <v>498</v>
      </c>
      <c r="F33" s="20" t="s">
        <v>499</v>
      </c>
      <c r="G33" s="8" t="str">
        <f t="shared" si="0"/>
        <v>FORTUNATO FRANK</v>
      </c>
      <c r="H33" s="20" t="str">
        <f t="shared" si="1"/>
        <v>4023</v>
      </c>
    </row>
    <row r="34" spans="1:8" x14ac:dyDescent="0.3">
      <c r="A34" s="8">
        <v>43019.221620370372</v>
      </c>
      <c r="B34" s="20" t="s">
        <v>494</v>
      </c>
      <c r="C34" s="20" t="s">
        <v>578</v>
      </c>
      <c r="D34" s="138">
        <v>2730000</v>
      </c>
      <c r="E34" s="20" t="s">
        <v>466</v>
      </c>
      <c r="F34" s="20" t="s">
        <v>467</v>
      </c>
      <c r="G34" s="8" t="str">
        <f t="shared" si="0"/>
        <v>YANG JAN</v>
      </c>
      <c r="H34" s="20" t="str">
        <f t="shared" si="1"/>
        <v>4035</v>
      </c>
    </row>
    <row r="35" spans="1:8" x14ac:dyDescent="0.3">
      <c r="A35" s="8">
        <v>43019.226782407408</v>
      </c>
      <c r="B35" s="20" t="s">
        <v>426</v>
      </c>
      <c r="C35" s="20" t="s">
        <v>639</v>
      </c>
      <c r="D35" s="138">
        <v>1990000</v>
      </c>
      <c r="E35" s="20" t="s">
        <v>341</v>
      </c>
      <c r="F35" s="20" t="s">
        <v>628</v>
      </c>
      <c r="G35" s="8" t="str">
        <f t="shared" si="0"/>
        <v>DAVIS WENDY</v>
      </c>
      <c r="H35" s="20" t="str">
        <f t="shared" si="1"/>
        <v>4017</v>
      </c>
    </row>
    <row r="36" spans="1:8" x14ac:dyDescent="0.3">
      <c r="A36" s="8">
        <v>43019.227673611109</v>
      </c>
      <c r="B36" s="20" t="s">
        <v>601</v>
      </c>
      <c r="C36" s="20" t="s">
        <v>640</v>
      </c>
      <c r="D36" s="138">
        <v>3120000</v>
      </c>
      <c r="E36" s="20" t="s">
        <v>618</v>
      </c>
      <c r="F36" s="20" t="s">
        <v>619</v>
      </c>
      <c r="G36" s="8" t="str">
        <f t="shared" si="0"/>
        <v>THOMPSON LESTER</v>
      </c>
      <c r="H36" s="20" t="str">
        <f t="shared" si="1"/>
        <v>4014</v>
      </c>
    </row>
    <row r="37" spans="1:8" x14ac:dyDescent="0.3">
      <c r="A37" s="8">
        <v>43019.231851851851</v>
      </c>
      <c r="B37" s="20" t="s">
        <v>460</v>
      </c>
      <c r="C37" s="20" t="s">
        <v>641</v>
      </c>
      <c r="D37" s="138">
        <v>3000000</v>
      </c>
      <c r="E37" s="20" t="s">
        <v>498</v>
      </c>
      <c r="F37" s="20" t="s">
        <v>499</v>
      </c>
      <c r="G37" s="8" t="str">
        <f t="shared" si="0"/>
        <v>FORTUNATO FRANK</v>
      </c>
      <c r="H37" s="20" t="str">
        <f t="shared" si="1"/>
        <v>4024</v>
      </c>
    </row>
    <row r="38" spans="1:8" x14ac:dyDescent="0.3">
      <c r="A38" s="8">
        <v>43019.232557870368</v>
      </c>
      <c r="B38" s="20" t="s">
        <v>497</v>
      </c>
      <c r="C38" s="20" t="s">
        <v>577</v>
      </c>
      <c r="D38" s="138">
        <v>3090000</v>
      </c>
      <c r="E38" s="20" t="s">
        <v>633</v>
      </c>
      <c r="F38" s="20" t="s">
        <v>634</v>
      </c>
      <c r="G38" s="8" t="str">
        <f t="shared" si="0"/>
        <v>LAMAR NEKESHA</v>
      </c>
      <c r="H38" s="20" t="str">
        <f t="shared" si="1"/>
        <v>4044</v>
      </c>
    </row>
    <row r="39" spans="1:8" x14ac:dyDescent="0.3">
      <c r="A39" s="8">
        <v>43019.234942129631</v>
      </c>
      <c r="B39" s="20" t="s">
        <v>384</v>
      </c>
      <c r="C39" s="20" t="s">
        <v>642</v>
      </c>
      <c r="D39" s="138">
        <v>1100000</v>
      </c>
      <c r="E39" s="20" t="s">
        <v>500</v>
      </c>
      <c r="F39" s="20" t="s">
        <v>501</v>
      </c>
      <c r="G39" s="8" t="str">
        <f t="shared" si="0"/>
        <v>GEBRETEKLE DAGNEW</v>
      </c>
      <c r="H39" s="20" t="str">
        <f t="shared" si="1"/>
        <v>4063</v>
      </c>
    </row>
    <row r="40" spans="1:8" x14ac:dyDescent="0.3">
      <c r="A40" s="8">
        <v>43019.245752314811</v>
      </c>
      <c r="B40" s="25" t="s">
        <v>589</v>
      </c>
      <c r="C40" s="20" t="s">
        <v>643</v>
      </c>
      <c r="D40" s="138">
        <v>900000</v>
      </c>
      <c r="E40" s="20" t="s">
        <v>386</v>
      </c>
      <c r="F40" s="20" t="s">
        <v>387</v>
      </c>
      <c r="G40" s="8" t="str">
        <f t="shared" si="0"/>
        <v>ROCHA YAOTL</v>
      </c>
      <c r="H40" s="20" t="str">
        <f t="shared" si="1"/>
        <v>4045</v>
      </c>
    </row>
    <row r="41" spans="1:8" x14ac:dyDescent="0.3">
      <c r="A41" s="8">
        <v>43019.246296296296</v>
      </c>
      <c r="B41" s="20" t="s">
        <v>591</v>
      </c>
      <c r="C41" s="20" t="s">
        <v>644</v>
      </c>
      <c r="D41" s="138">
        <v>1230000</v>
      </c>
      <c r="E41" s="20" t="s">
        <v>407</v>
      </c>
      <c r="F41" s="20" t="s">
        <v>408</v>
      </c>
      <c r="G41" s="8" t="str">
        <f t="shared" si="0"/>
        <v>YANAI IAN</v>
      </c>
      <c r="H41" s="20" t="str">
        <f t="shared" si="1"/>
        <v>4015</v>
      </c>
    </row>
    <row r="42" spans="1:8" x14ac:dyDescent="0.3">
      <c r="A42" s="8">
        <v>43019.247662037036</v>
      </c>
      <c r="B42" s="20" t="s">
        <v>609</v>
      </c>
      <c r="C42" s="20" t="s">
        <v>645</v>
      </c>
      <c r="D42" s="138">
        <v>1830000</v>
      </c>
      <c r="E42" s="20" t="s">
        <v>377</v>
      </c>
      <c r="F42" s="20" t="s">
        <v>378</v>
      </c>
      <c r="G42" s="8" t="str">
        <f t="shared" si="0"/>
        <v>YORK EDGAR</v>
      </c>
      <c r="H42" s="20" t="str">
        <f t="shared" si="1"/>
        <v>4032</v>
      </c>
    </row>
    <row r="43" spans="1:8" x14ac:dyDescent="0.3">
      <c r="A43" s="8">
        <v>43019.249548611115</v>
      </c>
      <c r="B43" s="20" t="s">
        <v>385</v>
      </c>
      <c r="C43" s="20" t="s">
        <v>646</v>
      </c>
      <c r="D43" s="138">
        <v>1100000</v>
      </c>
      <c r="E43" s="20" t="s">
        <v>500</v>
      </c>
      <c r="F43" s="20" t="s">
        <v>501</v>
      </c>
      <c r="G43" s="8" t="str">
        <f t="shared" si="0"/>
        <v>GEBRETEKLE DAGNEW</v>
      </c>
      <c r="H43" s="20" t="str">
        <f t="shared" si="1"/>
        <v>4064</v>
      </c>
    </row>
    <row r="44" spans="1:8" x14ac:dyDescent="0.3">
      <c r="A44" s="8">
        <v>43019.25576388889</v>
      </c>
      <c r="B44" s="20" t="s">
        <v>492</v>
      </c>
      <c r="C44" s="20" t="s">
        <v>579</v>
      </c>
      <c r="D44" s="138">
        <v>3090000</v>
      </c>
      <c r="E44" s="20" t="s">
        <v>633</v>
      </c>
      <c r="F44" s="20" t="s">
        <v>634</v>
      </c>
      <c r="G44" s="8" t="str">
        <f t="shared" si="0"/>
        <v>LAMAR NEKESHA</v>
      </c>
      <c r="H44" s="20" t="str">
        <f t="shared" si="1"/>
        <v>4043</v>
      </c>
    </row>
    <row r="45" spans="1:8" x14ac:dyDescent="0.3">
      <c r="A45" s="8">
        <v>43019.256921296299</v>
      </c>
      <c r="B45" s="20" t="s">
        <v>450</v>
      </c>
      <c r="C45" s="20" t="s">
        <v>647</v>
      </c>
      <c r="D45" s="138">
        <v>2730000</v>
      </c>
      <c r="E45" s="20" t="s">
        <v>466</v>
      </c>
      <c r="F45" s="20" t="s">
        <v>467</v>
      </c>
      <c r="G45" s="8" t="str">
        <f t="shared" si="0"/>
        <v>YANG JAN</v>
      </c>
      <c r="H45" s="20" t="str">
        <f t="shared" si="1"/>
        <v>4036</v>
      </c>
    </row>
    <row r="46" spans="1:8" x14ac:dyDescent="0.3">
      <c r="A46" s="8">
        <v>43019.265069444446</v>
      </c>
      <c r="B46" s="20" t="s">
        <v>586</v>
      </c>
      <c r="C46" s="20" t="s">
        <v>648</v>
      </c>
      <c r="D46" s="138">
        <v>3120000</v>
      </c>
      <c r="E46" s="20" t="s">
        <v>618</v>
      </c>
      <c r="F46" s="20" t="s">
        <v>619</v>
      </c>
      <c r="G46" s="8" t="str">
        <f t="shared" si="0"/>
        <v>THOMPSON LESTER</v>
      </c>
      <c r="H46" s="20" t="str">
        <f t="shared" si="1"/>
        <v>4013</v>
      </c>
    </row>
    <row r="47" spans="1:8" x14ac:dyDescent="0.3">
      <c r="A47" s="8">
        <v>43019.267337962963</v>
      </c>
      <c r="B47" s="20" t="s">
        <v>463</v>
      </c>
      <c r="C47" s="20" t="s">
        <v>649</v>
      </c>
      <c r="D47" s="138">
        <v>3000000</v>
      </c>
      <c r="E47" s="20" t="s">
        <v>498</v>
      </c>
      <c r="F47" s="20" t="s">
        <v>499</v>
      </c>
      <c r="G47" s="8" t="str">
        <f t="shared" si="0"/>
        <v>FORTUNATO FRANK</v>
      </c>
      <c r="H47" s="20" t="str">
        <f t="shared" si="1"/>
        <v>4023</v>
      </c>
    </row>
    <row r="48" spans="1:8" x14ac:dyDescent="0.3">
      <c r="A48" s="8">
        <v>43019.267881944441</v>
      </c>
      <c r="B48" s="20" t="s">
        <v>425</v>
      </c>
      <c r="C48" s="20" t="s">
        <v>650</v>
      </c>
      <c r="D48" s="138">
        <v>1990000</v>
      </c>
      <c r="E48" s="20" t="s">
        <v>341</v>
      </c>
      <c r="F48" s="20" t="s">
        <v>628</v>
      </c>
      <c r="G48" s="8" t="str">
        <f t="shared" si="0"/>
        <v>DAVIS WENDY</v>
      </c>
      <c r="H48" s="20" t="str">
        <f t="shared" si="1"/>
        <v>4018</v>
      </c>
    </row>
    <row r="49" spans="1:8" x14ac:dyDescent="0.3">
      <c r="A49" s="8">
        <v>43019.268495370372</v>
      </c>
      <c r="B49" s="20" t="s">
        <v>384</v>
      </c>
      <c r="C49" s="20" t="s">
        <v>651</v>
      </c>
      <c r="D49" s="138">
        <v>1100000</v>
      </c>
      <c r="E49" s="20" t="s">
        <v>500</v>
      </c>
      <c r="F49" s="20" t="s">
        <v>501</v>
      </c>
      <c r="G49" s="8" t="str">
        <f t="shared" si="0"/>
        <v>GEBRETEKLE DAGNEW</v>
      </c>
      <c r="H49" s="20" t="str">
        <f t="shared" si="1"/>
        <v>4063</v>
      </c>
    </row>
    <row r="50" spans="1:8" x14ac:dyDescent="0.3">
      <c r="A50" s="8">
        <v>43019.274421296293</v>
      </c>
      <c r="B50" s="20" t="s">
        <v>497</v>
      </c>
      <c r="C50" s="20" t="s">
        <v>580</v>
      </c>
      <c r="D50" s="138">
        <v>3090000</v>
      </c>
      <c r="E50" s="20" t="s">
        <v>633</v>
      </c>
      <c r="F50" s="20" t="s">
        <v>634</v>
      </c>
      <c r="G50" s="8" t="str">
        <f t="shared" si="0"/>
        <v>LAMAR NEKESHA</v>
      </c>
      <c r="H50" s="20" t="str">
        <f t="shared" si="1"/>
        <v>4044</v>
      </c>
    </row>
    <row r="51" spans="1:8" x14ac:dyDescent="0.3">
      <c r="A51" s="8">
        <v>43019.275555555556</v>
      </c>
      <c r="B51" s="20" t="s">
        <v>623</v>
      </c>
      <c r="C51" s="20" t="s">
        <v>652</v>
      </c>
      <c r="D51" s="138">
        <v>1830000</v>
      </c>
      <c r="E51" s="20" t="s">
        <v>377</v>
      </c>
      <c r="F51" s="20" t="s">
        <v>378</v>
      </c>
      <c r="G51" s="8" t="str">
        <f t="shared" si="0"/>
        <v>YORK EDGAR</v>
      </c>
      <c r="H51" s="20" t="str">
        <f t="shared" si="1"/>
        <v>4031</v>
      </c>
    </row>
    <row r="52" spans="1:8" x14ac:dyDescent="0.3">
      <c r="A52" s="8">
        <v>43019.280115740738</v>
      </c>
      <c r="B52" s="20" t="s">
        <v>464</v>
      </c>
      <c r="C52" s="20" t="s">
        <v>653</v>
      </c>
      <c r="D52" s="138">
        <v>900000</v>
      </c>
      <c r="E52" s="20" t="s">
        <v>386</v>
      </c>
      <c r="F52" s="20" t="s">
        <v>387</v>
      </c>
      <c r="G52" s="8" t="str">
        <f t="shared" si="0"/>
        <v>ROCHA YAOTL</v>
      </c>
      <c r="H52" s="20" t="str">
        <f t="shared" si="1"/>
        <v>4046</v>
      </c>
    </row>
    <row r="53" spans="1:8" x14ac:dyDescent="0.3">
      <c r="A53" s="8">
        <v>43019.286817129629</v>
      </c>
      <c r="B53" s="20" t="s">
        <v>465</v>
      </c>
      <c r="C53" s="20" t="s">
        <v>654</v>
      </c>
      <c r="D53" s="138">
        <v>1230000</v>
      </c>
      <c r="E53" s="20" t="s">
        <v>407</v>
      </c>
      <c r="F53" s="20" t="s">
        <v>408</v>
      </c>
      <c r="G53" s="8" t="str">
        <f t="shared" si="0"/>
        <v>YANAI IAN</v>
      </c>
      <c r="H53" s="20" t="str">
        <f t="shared" si="1"/>
        <v>4016</v>
      </c>
    </row>
    <row r="54" spans="1:8" x14ac:dyDescent="0.3">
      <c r="A54" s="8">
        <v>43019.290393518517</v>
      </c>
      <c r="B54" s="20" t="s">
        <v>385</v>
      </c>
      <c r="C54" s="20" t="s">
        <v>655</v>
      </c>
      <c r="D54" s="138">
        <v>1100000</v>
      </c>
      <c r="E54" s="20" t="s">
        <v>500</v>
      </c>
      <c r="F54" s="20" t="s">
        <v>501</v>
      </c>
      <c r="G54" s="8" t="str">
        <f t="shared" si="0"/>
        <v>GEBRETEKLE DAGNEW</v>
      </c>
      <c r="H54" s="20" t="str">
        <f t="shared" si="1"/>
        <v>4064</v>
      </c>
    </row>
    <row r="55" spans="1:8" x14ac:dyDescent="0.3">
      <c r="A55" s="8">
        <v>43019.296631944446</v>
      </c>
      <c r="B55" s="20" t="s">
        <v>492</v>
      </c>
      <c r="C55" s="20" t="s">
        <v>656</v>
      </c>
      <c r="D55" s="138">
        <v>3090000</v>
      </c>
      <c r="E55" s="20" t="s">
        <v>633</v>
      </c>
      <c r="F55" s="20" t="s">
        <v>634</v>
      </c>
      <c r="G55" s="8" t="str">
        <f t="shared" si="0"/>
        <v>LAMAR NEKESHA</v>
      </c>
      <c r="H55" s="20" t="str">
        <f t="shared" si="1"/>
        <v>4043</v>
      </c>
    </row>
    <row r="56" spans="1:8" x14ac:dyDescent="0.3">
      <c r="A56" s="8">
        <v>43019.296643518515</v>
      </c>
      <c r="B56" s="20" t="s">
        <v>494</v>
      </c>
      <c r="C56" s="20" t="s">
        <v>657</v>
      </c>
      <c r="D56" s="138">
        <v>2730000</v>
      </c>
      <c r="E56" s="20" t="s">
        <v>466</v>
      </c>
      <c r="F56" s="20" t="s">
        <v>467</v>
      </c>
      <c r="G56" s="8" t="str">
        <f t="shared" si="0"/>
        <v>YANG JAN</v>
      </c>
      <c r="H56" s="20" t="str">
        <f t="shared" si="1"/>
        <v>4035</v>
      </c>
    </row>
    <row r="57" spans="1:8" x14ac:dyDescent="0.3">
      <c r="A57" s="8">
        <v>43019.298738425925</v>
      </c>
      <c r="B57" s="20" t="s">
        <v>426</v>
      </c>
      <c r="C57" s="20" t="s">
        <v>658</v>
      </c>
      <c r="D57" s="138">
        <v>1990000</v>
      </c>
      <c r="E57" s="20" t="s">
        <v>341</v>
      </c>
      <c r="F57" s="20" t="s">
        <v>628</v>
      </c>
      <c r="G57" s="8" t="str">
        <f t="shared" si="0"/>
        <v>DAVIS WENDY</v>
      </c>
      <c r="H57" s="20" t="str">
        <f t="shared" si="1"/>
        <v>4017</v>
      </c>
    </row>
    <row r="58" spans="1:8" x14ac:dyDescent="0.3">
      <c r="A58" s="8">
        <v>43019.299814814818</v>
      </c>
      <c r="B58" s="20" t="s">
        <v>492</v>
      </c>
      <c r="C58" s="20" t="s">
        <v>656</v>
      </c>
      <c r="D58" s="138">
        <v>3090000</v>
      </c>
      <c r="E58" s="20" t="s">
        <v>633</v>
      </c>
      <c r="F58" s="20" t="s">
        <v>634</v>
      </c>
      <c r="G58" s="8" t="str">
        <f t="shared" si="0"/>
        <v>LAMAR NEKESHA</v>
      </c>
      <c r="H58" s="20" t="str">
        <f t="shared" si="1"/>
        <v>4043</v>
      </c>
    </row>
    <row r="59" spans="1:8" x14ac:dyDescent="0.3">
      <c r="A59" s="8">
        <v>43019.302129629628</v>
      </c>
      <c r="B59" s="20" t="s">
        <v>601</v>
      </c>
      <c r="C59" s="20" t="s">
        <v>659</v>
      </c>
      <c r="D59" s="138">
        <v>3120000</v>
      </c>
      <c r="E59" s="20" t="s">
        <v>618</v>
      </c>
      <c r="F59" s="20" t="s">
        <v>619</v>
      </c>
      <c r="G59" s="8" t="str">
        <f t="shared" si="0"/>
        <v>THOMPSON LESTER</v>
      </c>
      <c r="H59" s="20" t="str">
        <f t="shared" si="1"/>
        <v>4014</v>
      </c>
    </row>
    <row r="60" spans="1:8" x14ac:dyDescent="0.3">
      <c r="A60" s="8">
        <v>43019.30840277778</v>
      </c>
      <c r="B60" s="20" t="s">
        <v>460</v>
      </c>
      <c r="C60" s="20" t="s">
        <v>660</v>
      </c>
      <c r="D60" s="138">
        <v>3000000</v>
      </c>
      <c r="E60" s="20" t="s">
        <v>498</v>
      </c>
      <c r="F60" s="20" t="s">
        <v>499</v>
      </c>
      <c r="G60" s="8" t="str">
        <f t="shared" si="0"/>
        <v>FORTUNATO FRANK</v>
      </c>
      <c r="H60" s="20" t="str">
        <f t="shared" si="1"/>
        <v>4024</v>
      </c>
    </row>
    <row r="61" spans="1:8" x14ac:dyDescent="0.3">
      <c r="A61" s="8">
        <v>43019.3122337963</v>
      </c>
      <c r="B61" s="20" t="s">
        <v>384</v>
      </c>
      <c r="C61" s="20" t="s">
        <v>661</v>
      </c>
      <c r="D61" s="138">
        <v>1100000</v>
      </c>
      <c r="E61" s="20" t="s">
        <v>500</v>
      </c>
      <c r="F61" s="20" t="s">
        <v>501</v>
      </c>
      <c r="G61" s="8" t="str">
        <f t="shared" si="0"/>
        <v>GEBRETEKLE DAGNEW</v>
      </c>
      <c r="H61" s="20" t="str">
        <f t="shared" si="1"/>
        <v>4063</v>
      </c>
    </row>
    <row r="62" spans="1:8" x14ac:dyDescent="0.3">
      <c r="A62" s="8">
        <v>43019.312326388892</v>
      </c>
      <c r="B62" s="20" t="s">
        <v>497</v>
      </c>
      <c r="C62" s="20" t="s">
        <v>662</v>
      </c>
      <c r="D62" s="138">
        <v>3090000</v>
      </c>
      <c r="E62" s="20" t="s">
        <v>633</v>
      </c>
      <c r="F62" s="20" t="s">
        <v>634</v>
      </c>
      <c r="G62" s="8" t="str">
        <f t="shared" si="0"/>
        <v>LAMAR NEKESHA</v>
      </c>
      <c r="H62" s="20" t="str">
        <f t="shared" si="1"/>
        <v>4044</v>
      </c>
    </row>
    <row r="63" spans="1:8" x14ac:dyDescent="0.3">
      <c r="A63" s="8">
        <v>43019.317476851851</v>
      </c>
      <c r="B63" s="20" t="s">
        <v>591</v>
      </c>
      <c r="C63" s="20" t="s">
        <v>663</v>
      </c>
      <c r="D63" s="138">
        <v>1230000</v>
      </c>
      <c r="E63" s="20" t="s">
        <v>407</v>
      </c>
      <c r="F63" s="20" t="s">
        <v>408</v>
      </c>
      <c r="G63" s="8" t="str">
        <f t="shared" si="0"/>
        <v>YANAI IAN</v>
      </c>
      <c r="H63" s="20" t="str">
        <f t="shared" si="1"/>
        <v>4015</v>
      </c>
    </row>
    <row r="64" spans="1:8" x14ac:dyDescent="0.3">
      <c r="A64" s="26">
        <v>43019.317777777775</v>
      </c>
      <c r="B64" s="20" t="s">
        <v>609</v>
      </c>
      <c r="C64" s="20" t="s">
        <v>664</v>
      </c>
      <c r="D64" s="138">
        <v>1830000</v>
      </c>
      <c r="E64" s="20" t="s">
        <v>377</v>
      </c>
      <c r="F64" s="20" t="s">
        <v>378</v>
      </c>
      <c r="G64" s="8" t="str">
        <f t="shared" si="0"/>
        <v>YORK EDGAR</v>
      </c>
      <c r="H64" s="20" t="str">
        <f t="shared" si="1"/>
        <v>4032</v>
      </c>
    </row>
    <row r="65" spans="1:8" x14ac:dyDescent="0.3">
      <c r="A65" s="8">
        <v>43019.318981481483</v>
      </c>
      <c r="B65" s="20" t="s">
        <v>589</v>
      </c>
      <c r="C65" s="20" t="s">
        <v>665</v>
      </c>
      <c r="D65" s="138">
        <v>900000</v>
      </c>
      <c r="E65" s="20" t="s">
        <v>386</v>
      </c>
      <c r="F65" s="20" t="s">
        <v>387</v>
      </c>
      <c r="G65" s="8" t="str">
        <f t="shared" si="0"/>
        <v>ROCHA YAOTL</v>
      </c>
      <c r="H65" s="20" t="str">
        <f t="shared" si="1"/>
        <v>4045</v>
      </c>
    </row>
    <row r="66" spans="1:8" x14ac:dyDescent="0.3">
      <c r="A66" s="8">
        <v>43019.330381944441</v>
      </c>
      <c r="B66" s="20" t="s">
        <v>450</v>
      </c>
      <c r="C66" s="20" t="s">
        <v>666</v>
      </c>
      <c r="D66" s="138">
        <v>2730000</v>
      </c>
      <c r="E66" s="20" t="s">
        <v>466</v>
      </c>
      <c r="F66" s="20" t="s">
        <v>467</v>
      </c>
      <c r="G66" s="8" t="str">
        <f t="shared" si="0"/>
        <v>YANG JAN</v>
      </c>
      <c r="H66" s="20" t="str">
        <f t="shared" si="1"/>
        <v>4036</v>
      </c>
    </row>
    <row r="67" spans="1:8" x14ac:dyDescent="0.3">
      <c r="A67" s="8">
        <v>43019.332407407404</v>
      </c>
      <c r="B67" s="20" t="s">
        <v>385</v>
      </c>
      <c r="C67" s="20" t="s">
        <v>667</v>
      </c>
      <c r="D67" s="138">
        <v>1100000</v>
      </c>
      <c r="E67" s="20" t="s">
        <v>500</v>
      </c>
      <c r="F67" s="20" t="s">
        <v>501</v>
      </c>
      <c r="G67" s="8" t="str">
        <f t="shared" ref="G67:G130" si="2">E67&amp;" "&amp;F67</f>
        <v>GEBRETEKLE DAGNEW</v>
      </c>
      <c r="H67" s="20" t="str">
        <f t="shared" ref="H67:H130" si="3">MID(B67,13,4)</f>
        <v>4064</v>
      </c>
    </row>
    <row r="68" spans="1:8" x14ac:dyDescent="0.3">
      <c r="A68" s="8">
        <v>43019.338541666664</v>
      </c>
      <c r="B68" s="20" t="s">
        <v>492</v>
      </c>
      <c r="C68" s="20" t="s">
        <v>668</v>
      </c>
      <c r="D68" s="138">
        <v>3090000</v>
      </c>
      <c r="E68" s="20" t="s">
        <v>633</v>
      </c>
      <c r="F68" s="20" t="s">
        <v>634</v>
      </c>
      <c r="G68" s="8" t="str">
        <f t="shared" si="2"/>
        <v>LAMAR NEKESHA</v>
      </c>
      <c r="H68" s="20" t="str">
        <f t="shared" si="3"/>
        <v>4043</v>
      </c>
    </row>
    <row r="69" spans="1:8" x14ac:dyDescent="0.3">
      <c r="A69" s="8">
        <v>43019.338865740741</v>
      </c>
      <c r="B69" s="20" t="s">
        <v>463</v>
      </c>
      <c r="C69" s="20" t="s">
        <v>583</v>
      </c>
      <c r="D69" s="138">
        <v>3000000</v>
      </c>
      <c r="E69" s="20" t="s">
        <v>498</v>
      </c>
      <c r="F69" s="20" t="s">
        <v>499</v>
      </c>
      <c r="G69" s="8" t="str">
        <f t="shared" si="2"/>
        <v>FORTUNATO FRANK</v>
      </c>
      <c r="H69" s="20" t="str">
        <f t="shared" si="3"/>
        <v>4023</v>
      </c>
    </row>
    <row r="70" spans="1:8" x14ac:dyDescent="0.3">
      <c r="A70" s="8">
        <v>43019.339733796296</v>
      </c>
      <c r="B70" s="20" t="s">
        <v>586</v>
      </c>
      <c r="C70" s="20" t="s">
        <v>669</v>
      </c>
      <c r="D70" s="138">
        <v>3120000</v>
      </c>
      <c r="E70" s="20" t="s">
        <v>618</v>
      </c>
      <c r="F70" s="20" t="s">
        <v>619</v>
      </c>
      <c r="G70" s="8" t="str">
        <f t="shared" si="2"/>
        <v>THOMPSON LESTER</v>
      </c>
      <c r="H70" s="20" t="str">
        <f t="shared" si="3"/>
        <v>4013</v>
      </c>
    </row>
    <row r="71" spans="1:8" x14ac:dyDescent="0.3">
      <c r="A71" s="8">
        <v>43019.339988425927</v>
      </c>
      <c r="B71" s="20" t="s">
        <v>425</v>
      </c>
      <c r="C71" s="20" t="s">
        <v>581</v>
      </c>
      <c r="D71" s="138">
        <v>1990000</v>
      </c>
      <c r="E71" s="20" t="s">
        <v>341</v>
      </c>
      <c r="F71" s="20" t="s">
        <v>628</v>
      </c>
      <c r="G71" s="8" t="str">
        <f t="shared" si="2"/>
        <v>DAVIS WENDY</v>
      </c>
      <c r="H71" s="20" t="str">
        <f t="shared" si="3"/>
        <v>4018</v>
      </c>
    </row>
    <row r="72" spans="1:8" x14ac:dyDescent="0.3">
      <c r="A72" s="8">
        <v>43019.349212962959</v>
      </c>
      <c r="B72" s="20" t="s">
        <v>623</v>
      </c>
      <c r="C72" s="20" t="s">
        <v>670</v>
      </c>
      <c r="D72" s="138">
        <v>1830000</v>
      </c>
      <c r="E72" s="20" t="s">
        <v>377</v>
      </c>
      <c r="F72" s="20" t="s">
        <v>378</v>
      </c>
      <c r="G72" s="8" t="str">
        <f t="shared" si="2"/>
        <v>YORK EDGAR</v>
      </c>
      <c r="H72" s="20" t="str">
        <f t="shared" si="3"/>
        <v>4031</v>
      </c>
    </row>
    <row r="73" spans="1:8" x14ac:dyDescent="0.3">
      <c r="A73" s="8">
        <v>43019.351469907408</v>
      </c>
      <c r="B73" s="20" t="s">
        <v>384</v>
      </c>
      <c r="C73" s="20" t="s">
        <v>671</v>
      </c>
      <c r="D73" s="138">
        <v>1100000</v>
      </c>
      <c r="E73" s="20" t="s">
        <v>500</v>
      </c>
      <c r="F73" s="20" t="s">
        <v>501</v>
      </c>
      <c r="G73" s="8" t="str">
        <f t="shared" si="2"/>
        <v>GEBRETEKLE DAGNEW</v>
      </c>
      <c r="H73" s="20" t="str">
        <f t="shared" si="3"/>
        <v>4063</v>
      </c>
    </row>
    <row r="74" spans="1:8" x14ac:dyDescent="0.3">
      <c r="A74" s="8">
        <v>43019.352847222224</v>
      </c>
      <c r="B74" s="20" t="s">
        <v>497</v>
      </c>
      <c r="C74" s="20" t="s">
        <v>672</v>
      </c>
      <c r="D74" s="138">
        <v>3090000</v>
      </c>
      <c r="E74" s="20" t="s">
        <v>633</v>
      </c>
      <c r="F74" s="20" t="s">
        <v>634</v>
      </c>
      <c r="G74" s="8" t="str">
        <f t="shared" si="2"/>
        <v>LAMAR NEKESHA</v>
      </c>
      <c r="H74" s="20" t="str">
        <f t="shared" si="3"/>
        <v>4044</v>
      </c>
    </row>
    <row r="75" spans="1:8" x14ac:dyDescent="0.3">
      <c r="A75" s="8">
        <v>43019.352939814817</v>
      </c>
      <c r="B75" s="20" t="s">
        <v>464</v>
      </c>
      <c r="C75" s="20" t="s">
        <v>582</v>
      </c>
      <c r="D75" s="138">
        <v>900000</v>
      </c>
      <c r="E75" s="20" t="s">
        <v>386</v>
      </c>
      <c r="F75" s="20" t="s">
        <v>387</v>
      </c>
      <c r="G75" s="8" t="str">
        <f t="shared" si="2"/>
        <v>ROCHA YAOTL</v>
      </c>
      <c r="H75" s="20" t="str">
        <f t="shared" si="3"/>
        <v>4046</v>
      </c>
    </row>
    <row r="76" spans="1:8" x14ac:dyDescent="0.3">
      <c r="A76" s="8">
        <v>43019.360439814816</v>
      </c>
      <c r="B76" s="20" t="s">
        <v>465</v>
      </c>
      <c r="C76" s="20" t="s">
        <v>673</v>
      </c>
      <c r="D76" s="138">
        <v>1230000</v>
      </c>
      <c r="E76" s="20" t="s">
        <v>407</v>
      </c>
      <c r="F76" s="20" t="s">
        <v>408</v>
      </c>
      <c r="G76" s="8" t="str">
        <f t="shared" si="2"/>
        <v>YANAI IAN</v>
      </c>
      <c r="H76" s="20" t="str">
        <f t="shared" si="3"/>
        <v>4016</v>
      </c>
    </row>
    <row r="77" spans="1:8" x14ac:dyDescent="0.3">
      <c r="A77" s="8">
        <v>43019.366898148146</v>
      </c>
      <c r="B77" s="20" t="s">
        <v>494</v>
      </c>
      <c r="C77" s="20" t="s">
        <v>674</v>
      </c>
      <c r="D77" s="138">
        <v>2730000</v>
      </c>
      <c r="E77" s="20" t="s">
        <v>466</v>
      </c>
      <c r="F77" s="20" t="s">
        <v>467</v>
      </c>
      <c r="G77" s="8" t="str">
        <f t="shared" si="2"/>
        <v>YANG JAN</v>
      </c>
      <c r="H77" s="20" t="str">
        <f t="shared" si="3"/>
        <v>4035</v>
      </c>
    </row>
    <row r="78" spans="1:8" x14ac:dyDescent="0.3">
      <c r="A78" s="8">
        <v>43019.373298611114</v>
      </c>
      <c r="B78" s="20" t="s">
        <v>385</v>
      </c>
      <c r="C78" s="20" t="s">
        <v>675</v>
      </c>
      <c r="D78" s="138">
        <v>1100000</v>
      </c>
      <c r="E78" s="20" t="s">
        <v>500</v>
      </c>
      <c r="F78" s="20" t="s">
        <v>501</v>
      </c>
      <c r="G78" s="8" t="str">
        <f t="shared" si="2"/>
        <v>GEBRETEKLE DAGNEW</v>
      </c>
      <c r="H78" s="20" t="str">
        <f t="shared" si="3"/>
        <v>4064</v>
      </c>
    </row>
    <row r="79" spans="1:8" x14ac:dyDescent="0.3">
      <c r="A79" s="8">
        <v>43019.373379629629</v>
      </c>
      <c r="B79" s="20" t="s">
        <v>601</v>
      </c>
      <c r="C79" s="20" t="s">
        <v>676</v>
      </c>
      <c r="D79" s="138">
        <v>3120000</v>
      </c>
      <c r="E79" s="20" t="s">
        <v>618</v>
      </c>
      <c r="F79" s="20" t="s">
        <v>619</v>
      </c>
      <c r="G79" s="8" t="str">
        <f t="shared" si="2"/>
        <v>THOMPSON LESTER</v>
      </c>
      <c r="H79" s="20" t="str">
        <f t="shared" si="3"/>
        <v>4014</v>
      </c>
    </row>
    <row r="80" spans="1:8" x14ac:dyDescent="0.3">
      <c r="A80" s="8">
        <v>43019.381030092591</v>
      </c>
      <c r="B80" s="20" t="s">
        <v>426</v>
      </c>
      <c r="C80" s="20" t="s">
        <v>677</v>
      </c>
      <c r="D80" s="138">
        <v>1990000</v>
      </c>
      <c r="E80" s="20" t="s">
        <v>341</v>
      </c>
      <c r="F80" s="20" t="s">
        <v>628</v>
      </c>
      <c r="G80" s="8" t="str">
        <f t="shared" si="2"/>
        <v>DAVIS WENDY</v>
      </c>
      <c r="H80" s="20" t="str">
        <f t="shared" si="3"/>
        <v>4017</v>
      </c>
    </row>
    <row r="81" spans="1:8" x14ac:dyDescent="0.3">
      <c r="A81" s="8">
        <v>43019.381296296298</v>
      </c>
      <c r="B81" s="20" t="s">
        <v>460</v>
      </c>
      <c r="C81" s="20" t="s">
        <v>678</v>
      </c>
      <c r="D81" s="138">
        <v>3000000</v>
      </c>
      <c r="E81" s="20" t="s">
        <v>498</v>
      </c>
      <c r="F81" s="20" t="s">
        <v>499</v>
      </c>
      <c r="G81" s="8" t="str">
        <f t="shared" si="2"/>
        <v>FORTUNATO FRANK</v>
      </c>
      <c r="H81" s="20" t="str">
        <f t="shared" si="3"/>
        <v>4024</v>
      </c>
    </row>
    <row r="82" spans="1:8" x14ac:dyDescent="0.3">
      <c r="A82" s="8">
        <v>43019.38894675926</v>
      </c>
      <c r="B82" s="20" t="s">
        <v>589</v>
      </c>
      <c r="C82" s="20" t="s">
        <v>679</v>
      </c>
      <c r="D82" s="138">
        <v>900000</v>
      </c>
      <c r="E82" s="20" t="s">
        <v>386</v>
      </c>
      <c r="F82" s="20" t="s">
        <v>387</v>
      </c>
      <c r="G82" s="8" t="str">
        <f t="shared" si="2"/>
        <v>ROCHA YAOTL</v>
      </c>
      <c r="H82" s="20" t="str">
        <f t="shared" si="3"/>
        <v>4045</v>
      </c>
    </row>
    <row r="83" spans="1:8" x14ac:dyDescent="0.3">
      <c r="A83" s="8">
        <v>43019.389745370368</v>
      </c>
      <c r="B83" s="20" t="s">
        <v>609</v>
      </c>
      <c r="C83" s="20" t="s">
        <v>680</v>
      </c>
      <c r="D83" s="138">
        <v>1830000</v>
      </c>
      <c r="E83" s="20" t="s">
        <v>377</v>
      </c>
      <c r="F83" s="20" t="s">
        <v>378</v>
      </c>
      <c r="G83" s="8" t="str">
        <f t="shared" si="2"/>
        <v>YORK EDGAR</v>
      </c>
      <c r="H83" s="20" t="str">
        <f t="shared" si="3"/>
        <v>4032</v>
      </c>
    </row>
    <row r="84" spans="1:8" x14ac:dyDescent="0.3">
      <c r="A84" s="8">
        <v>43019.390856481485</v>
      </c>
      <c r="B84" s="20" t="s">
        <v>591</v>
      </c>
      <c r="C84" s="20" t="s">
        <v>681</v>
      </c>
      <c r="D84" s="138">
        <v>1230000</v>
      </c>
      <c r="E84" s="20" t="s">
        <v>407</v>
      </c>
      <c r="F84" s="20" t="s">
        <v>408</v>
      </c>
      <c r="G84" s="8" t="str">
        <f t="shared" si="2"/>
        <v>YANAI IAN</v>
      </c>
      <c r="H84" s="20" t="str">
        <f t="shared" si="3"/>
        <v>4015</v>
      </c>
    </row>
    <row r="85" spans="1:8" x14ac:dyDescent="0.3">
      <c r="A85" s="8">
        <v>43019.392511574071</v>
      </c>
      <c r="B85" s="20" t="s">
        <v>384</v>
      </c>
      <c r="C85" s="20" t="s">
        <v>682</v>
      </c>
      <c r="D85" s="138">
        <v>1100000</v>
      </c>
      <c r="E85" s="20" t="s">
        <v>500</v>
      </c>
      <c r="F85" s="20" t="s">
        <v>501</v>
      </c>
      <c r="G85" s="8" t="str">
        <f t="shared" si="2"/>
        <v>GEBRETEKLE DAGNEW</v>
      </c>
      <c r="H85" s="20" t="str">
        <f t="shared" si="3"/>
        <v>4063</v>
      </c>
    </row>
    <row r="86" spans="1:8" x14ac:dyDescent="0.3">
      <c r="A86" s="8">
        <v>43019.401296296295</v>
      </c>
      <c r="B86" s="20" t="s">
        <v>584</v>
      </c>
      <c r="C86" s="20" t="s">
        <v>683</v>
      </c>
      <c r="D86" s="138">
        <v>3090000</v>
      </c>
      <c r="E86" s="20" t="s">
        <v>633</v>
      </c>
      <c r="F86" s="20" t="s">
        <v>634</v>
      </c>
      <c r="G86" s="8" t="str">
        <f t="shared" si="2"/>
        <v>LAMAR NEKESHA</v>
      </c>
      <c r="H86" s="20" t="str">
        <f t="shared" si="3"/>
        <v>4001</v>
      </c>
    </row>
    <row r="87" spans="1:8" x14ac:dyDescent="0.3">
      <c r="A87" s="8">
        <v>43019.402025462965</v>
      </c>
      <c r="B87" s="20" t="s">
        <v>584</v>
      </c>
      <c r="C87" s="20" t="s">
        <v>683</v>
      </c>
      <c r="D87" s="138">
        <v>3090000</v>
      </c>
      <c r="E87" s="20" t="s">
        <v>633</v>
      </c>
      <c r="F87" s="20" t="s">
        <v>634</v>
      </c>
      <c r="G87" s="8" t="str">
        <f t="shared" si="2"/>
        <v>LAMAR NEKESHA</v>
      </c>
      <c r="H87" s="20" t="str">
        <f t="shared" si="3"/>
        <v>4001</v>
      </c>
    </row>
    <row r="88" spans="1:8" x14ac:dyDescent="0.3">
      <c r="A88" s="8">
        <v>43019.403263888889</v>
      </c>
      <c r="B88" s="20" t="s">
        <v>450</v>
      </c>
      <c r="C88" s="20" t="s">
        <v>684</v>
      </c>
      <c r="D88" s="138">
        <v>2730000</v>
      </c>
      <c r="E88" s="20" t="s">
        <v>466</v>
      </c>
      <c r="F88" s="20" t="s">
        <v>467</v>
      </c>
      <c r="G88" s="8" t="str">
        <f t="shared" si="2"/>
        <v>YANG JAN</v>
      </c>
      <c r="H88" s="20" t="str">
        <f t="shared" si="3"/>
        <v>4036</v>
      </c>
    </row>
    <row r="89" spans="1:8" x14ac:dyDescent="0.3">
      <c r="A89" s="8">
        <v>43019.403668981482</v>
      </c>
      <c r="B89" s="20" t="s">
        <v>584</v>
      </c>
      <c r="C89" s="20" t="s">
        <v>585</v>
      </c>
      <c r="D89" s="138">
        <v>3090000</v>
      </c>
      <c r="E89" s="20" t="s">
        <v>633</v>
      </c>
      <c r="F89" s="20" t="s">
        <v>634</v>
      </c>
      <c r="G89" s="8" t="str">
        <f t="shared" si="2"/>
        <v>LAMAR NEKESHA</v>
      </c>
      <c r="H89" s="20" t="str">
        <f t="shared" si="3"/>
        <v>4001</v>
      </c>
    </row>
    <row r="90" spans="1:8" x14ac:dyDescent="0.3">
      <c r="A90" s="8">
        <v>43019.41165509259</v>
      </c>
      <c r="B90" s="20" t="s">
        <v>586</v>
      </c>
      <c r="C90" s="20" t="s">
        <v>587</v>
      </c>
      <c r="D90" s="138">
        <v>3120000</v>
      </c>
      <c r="E90" s="20" t="s">
        <v>618</v>
      </c>
      <c r="F90" s="20" t="s">
        <v>619</v>
      </c>
      <c r="G90" s="8" t="str">
        <f t="shared" si="2"/>
        <v>THOMPSON LESTER</v>
      </c>
      <c r="H90" s="20" t="str">
        <f t="shared" si="3"/>
        <v>4013</v>
      </c>
    </row>
    <row r="91" spans="1:8" x14ac:dyDescent="0.3">
      <c r="A91" s="8">
        <v>43019.412222222221</v>
      </c>
      <c r="B91" s="20" t="s">
        <v>463</v>
      </c>
      <c r="C91" s="20" t="s">
        <v>685</v>
      </c>
      <c r="D91" s="138">
        <v>3000000</v>
      </c>
      <c r="E91" s="20" t="s">
        <v>498</v>
      </c>
      <c r="F91" s="20" t="s">
        <v>499</v>
      </c>
      <c r="G91" s="8" t="str">
        <f t="shared" si="2"/>
        <v>FORTUNATO FRANK</v>
      </c>
      <c r="H91" s="20" t="str">
        <f t="shared" si="3"/>
        <v>4023</v>
      </c>
    </row>
    <row r="92" spans="1:8" x14ac:dyDescent="0.3">
      <c r="A92" s="8">
        <v>43019.412916666668</v>
      </c>
      <c r="B92" s="20" t="s">
        <v>425</v>
      </c>
      <c r="C92" s="20" t="s">
        <v>686</v>
      </c>
      <c r="D92" s="138">
        <v>1990000</v>
      </c>
      <c r="E92" s="20" t="s">
        <v>341</v>
      </c>
      <c r="F92" s="20" t="s">
        <v>628</v>
      </c>
      <c r="G92" s="8" t="str">
        <f t="shared" si="2"/>
        <v>DAVIS WENDY</v>
      </c>
      <c r="H92" s="20" t="str">
        <f t="shared" si="3"/>
        <v>4018</v>
      </c>
    </row>
    <row r="93" spans="1:8" x14ac:dyDescent="0.3">
      <c r="A93" s="8">
        <v>43019.416817129626</v>
      </c>
      <c r="B93" s="20" t="s">
        <v>385</v>
      </c>
      <c r="C93" s="20" t="s">
        <v>687</v>
      </c>
      <c r="D93" s="138">
        <v>1100000</v>
      </c>
      <c r="E93" s="20" t="s">
        <v>500</v>
      </c>
      <c r="F93" s="20" t="s">
        <v>501</v>
      </c>
      <c r="G93" s="8" t="str">
        <f t="shared" si="2"/>
        <v>GEBRETEKLE DAGNEW</v>
      </c>
      <c r="H93" s="20" t="str">
        <f t="shared" si="3"/>
        <v>4064</v>
      </c>
    </row>
    <row r="94" spans="1:8" x14ac:dyDescent="0.3">
      <c r="A94" s="8">
        <v>43019.420393518521</v>
      </c>
      <c r="B94" s="20" t="s">
        <v>688</v>
      </c>
      <c r="C94" s="20" t="s">
        <v>689</v>
      </c>
      <c r="D94" s="138">
        <v>1340000</v>
      </c>
      <c r="E94" s="20" t="s">
        <v>690</v>
      </c>
      <c r="F94" s="20" t="s">
        <v>691</v>
      </c>
      <c r="G94" s="8" t="str">
        <f t="shared" si="2"/>
        <v>BEAM ROSS</v>
      </c>
      <c r="H94" s="20" t="str">
        <f t="shared" si="3"/>
        <v>4002</v>
      </c>
    </row>
    <row r="95" spans="1:8" x14ac:dyDescent="0.3">
      <c r="A95" s="8">
        <v>43019.421041666668</v>
      </c>
      <c r="B95" s="20" t="s">
        <v>623</v>
      </c>
      <c r="C95" s="20" t="s">
        <v>692</v>
      </c>
      <c r="D95" s="138">
        <v>1830000</v>
      </c>
      <c r="E95" s="20" t="s">
        <v>377</v>
      </c>
      <c r="F95" s="20" t="s">
        <v>378</v>
      </c>
      <c r="G95" s="8" t="str">
        <f t="shared" si="2"/>
        <v>YORK EDGAR</v>
      </c>
      <c r="H95" s="20" t="str">
        <f t="shared" si="3"/>
        <v>4031</v>
      </c>
    </row>
    <row r="96" spans="1:8" x14ac:dyDescent="0.3">
      <c r="A96" s="8">
        <v>43019.423032407409</v>
      </c>
      <c r="B96" s="20" t="s">
        <v>464</v>
      </c>
      <c r="C96" s="20" t="s">
        <v>683</v>
      </c>
      <c r="D96" s="138">
        <v>3090000</v>
      </c>
      <c r="E96" s="20" t="s">
        <v>633</v>
      </c>
      <c r="F96" s="20" t="s">
        <v>634</v>
      </c>
      <c r="G96" s="8" t="str">
        <f t="shared" si="2"/>
        <v>LAMAR NEKESHA</v>
      </c>
      <c r="H96" s="20" t="str">
        <f t="shared" si="3"/>
        <v>4046</v>
      </c>
    </row>
    <row r="97" spans="1:8" x14ac:dyDescent="0.3">
      <c r="A97" s="8">
        <v>43019.433877314812</v>
      </c>
      <c r="B97" s="20" t="s">
        <v>465</v>
      </c>
      <c r="C97" s="20" t="s">
        <v>693</v>
      </c>
      <c r="D97" s="138">
        <v>1230000</v>
      </c>
      <c r="E97" s="20" t="s">
        <v>407</v>
      </c>
      <c r="F97" s="20" t="s">
        <v>408</v>
      </c>
      <c r="G97" s="8" t="str">
        <f t="shared" si="2"/>
        <v>YANAI IAN</v>
      </c>
      <c r="H97" s="20" t="str">
        <f t="shared" si="3"/>
        <v>4016</v>
      </c>
    </row>
    <row r="98" spans="1:8" x14ac:dyDescent="0.3">
      <c r="A98" s="8">
        <v>43019.434918981482</v>
      </c>
      <c r="B98" s="20" t="s">
        <v>384</v>
      </c>
      <c r="C98" s="20" t="s">
        <v>694</v>
      </c>
      <c r="D98" s="138">
        <v>1100000</v>
      </c>
      <c r="E98" s="20" t="s">
        <v>500</v>
      </c>
      <c r="F98" s="20" t="s">
        <v>501</v>
      </c>
      <c r="G98" s="8" t="str">
        <f t="shared" si="2"/>
        <v>GEBRETEKLE DAGNEW</v>
      </c>
      <c r="H98" s="20" t="str">
        <f t="shared" si="3"/>
        <v>4063</v>
      </c>
    </row>
    <row r="99" spans="1:8" x14ac:dyDescent="0.3">
      <c r="A99" s="8">
        <v>43019.434930555559</v>
      </c>
      <c r="B99" s="20" t="s">
        <v>401</v>
      </c>
      <c r="C99" s="20" t="s">
        <v>695</v>
      </c>
      <c r="D99" s="138">
        <v>3180000</v>
      </c>
      <c r="E99" s="20" t="s">
        <v>696</v>
      </c>
      <c r="F99" s="20" t="s">
        <v>697</v>
      </c>
      <c r="G99" s="8" t="str">
        <f t="shared" si="2"/>
        <v>HUFFSMITH MONTY</v>
      </c>
      <c r="H99" s="20" t="str">
        <f t="shared" si="3"/>
        <v>4008</v>
      </c>
    </row>
    <row r="100" spans="1:8" x14ac:dyDescent="0.3">
      <c r="A100" s="8">
        <v>43019.441076388888</v>
      </c>
      <c r="B100" s="20" t="s">
        <v>494</v>
      </c>
      <c r="C100" s="20" t="s">
        <v>698</v>
      </c>
      <c r="D100" s="138">
        <v>2730000</v>
      </c>
      <c r="E100" s="20" t="s">
        <v>466</v>
      </c>
      <c r="F100" s="20" t="s">
        <v>467</v>
      </c>
      <c r="G100" s="8" t="str">
        <f t="shared" si="2"/>
        <v>YANG JAN</v>
      </c>
      <c r="H100" s="20" t="str">
        <f t="shared" si="3"/>
        <v>4035</v>
      </c>
    </row>
    <row r="101" spans="1:8" x14ac:dyDescent="0.3">
      <c r="A101" s="8">
        <v>43019.441678240742</v>
      </c>
      <c r="B101" s="20" t="s">
        <v>584</v>
      </c>
      <c r="C101" s="20" t="s">
        <v>588</v>
      </c>
      <c r="D101" s="138">
        <v>1780000</v>
      </c>
      <c r="E101" s="20" t="s">
        <v>504</v>
      </c>
      <c r="F101" s="20" t="s">
        <v>505</v>
      </c>
      <c r="G101" s="8" t="str">
        <f t="shared" si="2"/>
        <v>DE LA ROSA ALEX</v>
      </c>
      <c r="H101" s="20" t="str">
        <f t="shared" si="3"/>
        <v>4001</v>
      </c>
    </row>
    <row r="102" spans="1:8" x14ac:dyDescent="0.3">
      <c r="A102" s="8">
        <v>43019.445567129631</v>
      </c>
      <c r="B102" s="20" t="s">
        <v>601</v>
      </c>
      <c r="C102" s="20" t="s">
        <v>699</v>
      </c>
      <c r="D102" s="138">
        <v>920000</v>
      </c>
      <c r="E102" s="20" t="s">
        <v>341</v>
      </c>
      <c r="F102" s="20" t="s">
        <v>400</v>
      </c>
      <c r="G102" s="8" t="str">
        <f t="shared" si="2"/>
        <v>DAVIS MICHAEL</v>
      </c>
      <c r="H102" s="20" t="str">
        <f t="shared" si="3"/>
        <v>4014</v>
      </c>
    </row>
    <row r="103" spans="1:8" x14ac:dyDescent="0.3">
      <c r="A103" s="8">
        <v>43019.446145833332</v>
      </c>
      <c r="B103" s="20" t="s">
        <v>418</v>
      </c>
      <c r="C103" s="20" t="s">
        <v>695</v>
      </c>
      <c r="D103" s="138">
        <v>3180000</v>
      </c>
      <c r="E103" s="20" t="s">
        <v>696</v>
      </c>
      <c r="F103" s="20" t="s">
        <v>697</v>
      </c>
      <c r="G103" s="8" t="str">
        <f t="shared" si="2"/>
        <v>HUFFSMITH MONTY</v>
      </c>
      <c r="H103" s="20" t="str">
        <f t="shared" si="3"/>
        <v>4007</v>
      </c>
    </row>
    <row r="104" spans="1:8" x14ac:dyDescent="0.3">
      <c r="A104" s="8">
        <v>43019.449386574073</v>
      </c>
      <c r="B104" s="20" t="s">
        <v>426</v>
      </c>
      <c r="C104" s="20" t="s">
        <v>700</v>
      </c>
      <c r="D104" s="138">
        <v>1990000</v>
      </c>
      <c r="E104" s="20" t="s">
        <v>341</v>
      </c>
      <c r="F104" s="20" t="s">
        <v>628</v>
      </c>
      <c r="G104" s="8" t="str">
        <f t="shared" si="2"/>
        <v>DAVIS WENDY</v>
      </c>
      <c r="H104" s="20" t="str">
        <f t="shared" si="3"/>
        <v>4017</v>
      </c>
    </row>
    <row r="105" spans="1:8" x14ac:dyDescent="0.3">
      <c r="A105" s="8">
        <v>43019.455243055556</v>
      </c>
      <c r="B105" s="20" t="s">
        <v>401</v>
      </c>
      <c r="C105" s="20" t="s">
        <v>701</v>
      </c>
      <c r="D105" s="138">
        <v>2040000</v>
      </c>
      <c r="E105" s="20" t="s">
        <v>508</v>
      </c>
      <c r="F105" s="20" t="s">
        <v>509</v>
      </c>
      <c r="G105" s="8" t="str">
        <f t="shared" si="2"/>
        <v>MOSES BRADLEY</v>
      </c>
      <c r="H105" s="20" t="str">
        <f t="shared" si="3"/>
        <v>4008</v>
      </c>
    </row>
    <row r="106" spans="1:8" x14ac:dyDescent="0.3">
      <c r="A106" s="8">
        <v>43019.458425925928</v>
      </c>
      <c r="B106" s="20" t="s">
        <v>385</v>
      </c>
      <c r="C106" s="20" t="s">
        <v>702</v>
      </c>
      <c r="D106" s="138">
        <v>1100000</v>
      </c>
      <c r="E106" s="20" t="s">
        <v>500</v>
      </c>
      <c r="F106" s="20" t="s">
        <v>501</v>
      </c>
      <c r="G106" s="8" t="str">
        <f t="shared" si="2"/>
        <v>GEBRETEKLE DAGNEW</v>
      </c>
      <c r="H106" s="20" t="str">
        <f t="shared" si="3"/>
        <v>4064</v>
      </c>
    </row>
    <row r="107" spans="1:8" x14ac:dyDescent="0.3">
      <c r="A107" s="8">
        <v>43019.463078703702</v>
      </c>
      <c r="B107" s="20" t="s">
        <v>591</v>
      </c>
      <c r="C107" s="20" t="s">
        <v>592</v>
      </c>
      <c r="D107" s="138">
        <v>1230000</v>
      </c>
      <c r="E107" s="20" t="s">
        <v>407</v>
      </c>
      <c r="F107" s="20" t="s">
        <v>408</v>
      </c>
      <c r="G107" s="8" t="str">
        <f t="shared" si="2"/>
        <v>YANAI IAN</v>
      </c>
      <c r="H107" s="20" t="str">
        <f t="shared" si="3"/>
        <v>4015</v>
      </c>
    </row>
    <row r="108" spans="1:8" x14ac:dyDescent="0.3">
      <c r="A108" s="8">
        <v>43019.46429398148</v>
      </c>
      <c r="B108" s="20" t="s">
        <v>589</v>
      </c>
      <c r="C108" s="20" t="s">
        <v>590</v>
      </c>
      <c r="D108" s="138">
        <v>3090000</v>
      </c>
      <c r="E108" s="20" t="s">
        <v>633</v>
      </c>
      <c r="F108" s="20" t="s">
        <v>634</v>
      </c>
      <c r="G108" s="8" t="str">
        <f t="shared" si="2"/>
        <v>LAMAR NEKESHA</v>
      </c>
      <c r="H108" s="20" t="str">
        <f t="shared" si="3"/>
        <v>4045</v>
      </c>
    </row>
    <row r="109" spans="1:8" x14ac:dyDescent="0.3">
      <c r="A109" s="8">
        <v>43019.465578703705</v>
      </c>
      <c r="B109" s="20" t="s">
        <v>609</v>
      </c>
      <c r="C109" s="20" t="s">
        <v>703</v>
      </c>
      <c r="D109" s="138">
        <v>1770000</v>
      </c>
      <c r="E109" s="20" t="s">
        <v>506</v>
      </c>
      <c r="F109" s="20" t="s">
        <v>507</v>
      </c>
      <c r="G109" s="8" t="str">
        <f t="shared" si="2"/>
        <v>BRUDER RICHARD</v>
      </c>
      <c r="H109" s="20" t="str">
        <f t="shared" si="3"/>
        <v>4032</v>
      </c>
    </row>
    <row r="110" spans="1:8" x14ac:dyDescent="0.3">
      <c r="A110" s="8">
        <v>43019.470752314817</v>
      </c>
      <c r="B110" s="20" t="s">
        <v>688</v>
      </c>
      <c r="C110" s="20" t="s">
        <v>704</v>
      </c>
      <c r="D110" s="138">
        <v>3180000</v>
      </c>
      <c r="E110" s="20" t="s">
        <v>696</v>
      </c>
      <c r="F110" s="20" t="s">
        <v>697</v>
      </c>
      <c r="G110" s="8" t="str">
        <f t="shared" si="2"/>
        <v>HUFFSMITH MONTY</v>
      </c>
      <c r="H110" s="20" t="str">
        <f t="shared" si="3"/>
        <v>4002</v>
      </c>
    </row>
    <row r="111" spans="1:8" x14ac:dyDescent="0.3">
      <c r="A111" s="8">
        <v>43019.475555555553</v>
      </c>
      <c r="B111" s="20" t="s">
        <v>450</v>
      </c>
      <c r="C111" s="20" t="s">
        <v>705</v>
      </c>
      <c r="D111" s="138">
        <v>880000</v>
      </c>
      <c r="E111" s="20" t="s">
        <v>472</v>
      </c>
      <c r="F111" s="20" t="s">
        <v>400</v>
      </c>
      <c r="G111" s="8" t="str">
        <f t="shared" si="2"/>
        <v>STEWART MICHAEL</v>
      </c>
      <c r="H111" s="20" t="str">
        <f t="shared" si="3"/>
        <v>4036</v>
      </c>
    </row>
    <row r="112" spans="1:8" x14ac:dyDescent="0.3">
      <c r="A112" s="8">
        <v>43019.476631944446</v>
      </c>
      <c r="B112" s="20" t="s">
        <v>384</v>
      </c>
      <c r="C112" s="20" t="s">
        <v>706</v>
      </c>
      <c r="D112" s="138">
        <v>1100000</v>
      </c>
      <c r="E112" s="20" t="s">
        <v>500</v>
      </c>
      <c r="F112" s="20" t="s">
        <v>501</v>
      </c>
      <c r="G112" s="8" t="str">
        <f t="shared" si="2"/>
        <v>GEBRETEKLE DAGNEW</v>
      </c>
      <c r="H112" s="20" t="str">
        <f t="shared" si="3"/>
        <v>4063</v>
      </c>
    </row>
    <row r="113" spans="1:8" x14ac:dyDescent="0.3">
      <c r="A113" s="8">
        <v>43019.485474537039</v>
      </c>
      <c r="B113" s="20" t="s">
        <v>586</v>
      </c>
      <c r="C113" s="20" t="s">
        <v>707</v>
      </c>
      <c r="D113" s="138">
        <v>920000</v>
      </c>
      <c r="E113" s="20" t="s">
        <v>341</v>
      </c>
      <c r="F113" s="20" t="s">
        <v>400</v>
      </c>
      <c r="G113" s="8" t="str">
        <f t="shared" si="2"/>
        <v>DAVIS MICHAEL</v>
      </c>
      <c r="H113" s="20" t="str">
        <f t="shared" si="3"/>
        <v>4013</v>
      </c>
    </row>
    <row r="114" spans="1:8" x14ac:dyDescent="0.3">
      <c r="A114" s="8">
        <v>43019.486331018517</v>
      </c>
      <c r="B114" s="20" t="s">
        <v>425</v>
      </c>
      <c r="C114" s="20" t="s">
        <v>708</v>
      </c>
      <c r="D114" s="138">
        <v>2970000</v>
      </c>
      <c r="E114" s="20" t="s">
        <v>470</v>
      </c>
      <c r="F114" s="20" t="s">
        <v>471</v>
      </c>
      <c r="G114" s="8" t="str">
        <f t="shared" si="2"/>
        <v>GUZMAN DANNY</v>
      </c>
      <c r="H114" s="20" t="str">
        <f t="shared" si="3"/>
        <v>4018</v>
      </c>
    </row>
    <row r="115" spans="1:8" x14ac:dyDescent="0.3">
      <c r="A115" s="8">
        <v>43019.491956018515</v>
      </c>
      <c r="B115" s="20" t="s">
        <v>584</v>
      </c>
      <c r="C115" s="20" t="s">
        <v>709</v>
      </c>
      <c r="D115" s="138">
        <v>2370000</v>
      </c>
      <c r="E115" s="20" t="s">
        <v>710</v>
      </c>
      <c r="F115" s="20" t="s">
        <v>711</v>
      </c>
      <c r="G115" s="8" t="str">
        <f t="shared" si="2"/>
        <v>DELGADO DIANAH</v>
      </c>
      <c r="H115" s="20" t="str">
        <f t="shared" si="3"/>
        <v>4001</v>
      </c>
    </row>
    <row r="116" spans="1:8" x14ac:dyDescent="0.3">
      <c r="A116" s="8">
        <v>43019.495451388888</v>
      </c>
      <c r="B116" s="20" t="s">
        <v>418</v>
      </c>
      <c r="C116" s="20" t="s">
        <v>712</v>
      </c>
      <c r="D116" s="138">
        <v>2040000</v>
      </c>
      <c r="E116" s="20" t="s">
        <v>508</v>
      </c>
      <c r="F116" s="20" t="s">
        <v>509</v>
      </c>
      <c r="G116" s="8" t="str">
        <f t="shared" si="2"/>
        <v>MOSES BRADLEY</v>
      </c>
      <c r="H116" s="20" t="str">
        <f t="shared" si="3"/>
        <v>4007</v>
      </c>
    </row>
    <row r="117" spans="1:8" x14ac:dyDescent="0.3">
      <c r="A117" s="8">
        <v>43019.498773148145</v>
      </c>
      <c r="B117" s="20" t="s">
        <v>464</v>
      </c>
      <c r="C117" s="20" t="s">
        <v>713</v>
      </c>
      <c r="D117" s="138">
        <v>1300000</v>
      </c>
      <c r="E117" s="20" t="s">
        <v>411</v>
      </c>
      <c r="F117" s="20" t="s">
        <v>412</v>
      </c>
      <c r="G117" s="8" t="str">
        <f t="shared" si="2"/>
        <v>LEVIN SCOTT</v>
      </c>
      <c r="H117" s="20" t="str">
        <f t="shared" si="3"/>
        <v>4046</v>
      </c>
    </row>
    <row r="118" spans="1:8" x14ac:dyDescent="0.3">
      <c r="A118" s="8">
        <v>43019.499837962961</v>
      </c>
      <c r="B118" s="20" t="s">
        <v>385</v>
      </c>
      <c r="C118" s="20" t="s">
        <v>714</v>
      </c>
      <c r="D118" s="138">
        <v>1100000</v>
      </c>
      <c r="E118" s="20" t="s">
        <v>500</v>
      </c>
      <c r="F118" s="20" t="s">
        <v>501</v>
      </c>
      <c r="G118" s="8" t="str">
        <f t="shared" si="2"/>
        <v>GEBRETEKLE DAGNEW</v>
      </c>
      <c r="H118" s="20" t="str">
        <f t="shared" si="3"/>
        <v>4064</v>
      </c>
    </row>
    <row r="119" spans="1:8" x14ac:dyDescent="0.3">
      <c r="A119" s="8">
        <v>43019.505601851852</v>
      </c>
      <c r="B119" s="20" t="s">
        <v>623</v>
      </c>
      <c r="C119" s="20" t="s">
        <v>715</v>
      </c>
      <c r="D119" s="138">
        <v>1770000</v>
      </c>
      <c r="E119" s="20" t="s">
        <v>506</v>
      </c>
      <c r="F119" s="20" t="s">
        <v>507</v>
      </c>
      <c r="G119" s="8" t="str">
        <f t="shared" si="2"/>
        <v>BRUDER RICHARD</v>
      </c>
      <c r="H119" s="20" t="str">
        <f t="shared" si="3"/>
        <v>4031</v>
      </c>
    </row>
    <row r="120" spans="1:8" x14ac:dyDescent="0.3">
      <c r="A120" s="8">
        <v>43019.506099537037</v>
      </c>
      <c r="B120" s="20" t="s">
        <v>465</v>
      </c>
      <c r="C120" s="20" t="s">
        <v>716</v>
      </c>
      <c r="D120" s="138">
        <v>2370000</v>
      </c>
      <c r="E120" s="20" t="s">
        <v>710</v>
      </c>
      <c r="F120" s="20" t="s">
        <v>711</v>
      </c>
      <c r="G120" s="8" t="str">
        <f t="shared" si="2"/>
        <v>DELGADO DIANAH</v>
      </c>
      <c r="H120" s="20" t="str">
        <f t="shared" si="3"/>
        <v>4016</v>
      </c>
    </row>
    <row r="121" spans="1:8" x14ac:dyDescent="0.3">
      <c r="A121" s="8">
        <v>43019.506782407407</v>
      </c>
      <c r="B121" s="20" t="s">
        <v>495</v>
      </c>
      <c r="C121" s="20" t="s">
        <v>593</v>
      </c>
      <c r="D121" s="138">
        <v>2470000</v>
      </c>
      <c r="E121" s="20" t="s">
        <v>502</v>
      </c>
      <c r="F121" s="20" t="s">
        <v>503</v>
      </c>
      <c r="G121" s="8" t="str">
        <f t="shared" si="2"/>
        <v>ROMERO CHAD</v>
      </c>
      <c r="H121" s="20" t="str">
        <f t="shared" si="3"/>
        <v>4020</v>
      </c>
    </row>
    <row r="122" spans="1:8" x14ac:dyDescent="0.3">
      <c r="A122" s="8">
        <v>43019.509965277779</v>
      </c>
      <c r="B122" s="25" t="s">
        <v>688</v>
      </c>
      <c r="C122" s="20" t="s">
        <v>717</v>
      </c>
      <c r="D122" s="138">
        <v>2270000</v>
      </c>
      <c r="E122" s="20" t="s">
        <v>468</v>
      </c>
      <c r="F122" s="20" t="s">
        <v>469</v>
      </c>
      <c r="G122" s="8" t="str">
        <f t="shared" si="2"/>
        <v>BROWN JACOB</v>
      </c>
      <c r="H122" s="20" t="str">
        <f t="shared" si="3"/>
        <v>4002</v>
      </c>
    </row>
    <row r="123" spans="1:8" x14ac:dyDescent="0.3">
      <c r="A123" s="8">
        <v>43019.5158912037</v>
      </c>
      <c r="B123" s="20" t="s">
        <v>494</v>
      </c>
      <c r="C123" s="20" t="s">
        <v>594</v>
      </c>
      <c r="D123" s="138">
        <v>880000</v>
      </c>
      <c r="E123" s="20" t="s">
        <v>472</v>
      </c>
      <c r="F123" s="20" t="s">
        <v>400</v>
      </c>
      <c r="G123" s="8" t="str">
        <f t="shared" si="2"/>
        <v>STEWART MICHAEL</v>
      </c>
      <c r="H123" s="20" t="str">
        <f t="shared" si="3"/>
        <v>4035</v>
      </c>
    </row>
    <row r="124" spans="1:8" x14ac:dyDescent="0.3">
      <c r="A124" s="8">
        <v>43019.51635416667</v>
      </c>
      <c r="B124" s="20" t="s">
        <v>426</v>
      </c>
      <c r="C124" s="20" t="s">
        <v>718</v>
      </c>
      <c r="D124" s="138">
        <v>2970000</v>
      </c>
      <c r="E124" s="20" t="s">
        <v>470</v>
      </c>
      <c r="F124" s="20" t="s">
        <v>471</v>
      </c>
      <c r="G124" s="8" t="str">
        <f t="shared" si="2"/>
        <v>GUZMAN DANNY</v>
      </c>
      <c r="H124" s="20" t="str">
        <f t="shared" si="3"/>
        <v>4017</v>
      </c>
    </row>
    <row r="125" spans="1:8" x14ac:dyDescent="0.3">
      <c r="A125" s="8">
        <v>43019.517604166664</v>
      </c>
      <c r="B125" s="20" t="s">
        <v>601</v>
      </c>
      <c r="C125" s="20" t="s">
        <v>719</v>
      </c>
      <c r="D125" s="138">
        <v>920000</v>
      </c>
      <c r="E125" s="20" t="s">
        <v>341</v>
      </c>
      <c r="F125" s="20" t="s">
        <v>400</v>
      </c>
      <c r="G125" s="8" t="str">
        <f t="shared" si="2"/>
        <v>DAVIS MICHAEL</v>
      </c>
      <c r="H125" s="20" t="str">
        <f t="shared" si="3"/>
        <v>4014</v>
      </c>
    </row>
    <row r="126" spans="1:8" x14ac:dyDescent="0.3">
      <c r="A126" s="8">
        <v>43019.518449074072</v>
      </c>
      <c r="B126" s="20" t="s">
        <v>384</v>
      </c>
      <c r="C126" s="20" t="s">
        <v>720</v>
      </c>
      <c r="D126" s="138">
        <v>1100000</v>
      </c>
      <c r="E126" s="20" t="s">
        <v>500</v>
      </c>
      <c r="F126" s="20" t="s">
        <v>501</v>
      </c>
      <c r="G126" s="8" t="str">
        <f t="shared" si="2"/>
        <v>GEBRETEKLE DAGNEW</v>
      </c>
      <c r="H126" s="20" t="str">
        <f t="shared" si="3"/>
        <v>4063</v>
      </c>
    </row>
    <row r="127" spans="1:8" x14ac:dyDescent="0.3">
      <c r="A127" s="8">
        <v>43019.528252314813</v>
      </c>
      <c r="B127" s="20" t="s">
        <v>401</v>
      </c>
      <c r="C127" s="20" t="s">
        <v>721</v>
      </c>
      <c r="D127" s="138">
        <v>2030000</v>
      </c>
      <c r="E127" s="20" t="s">
        <v>722</v>
      </c>
      <c r="F127" s="20" t="s">
        <v>723</v>
      </c>
      <c r="G127" s="8" t="str">
        <f t="shared" si="2"/>
        <v>KILLION DAVID</v>
      </c>
      <c r="H127" s="20" t="str">
        <f t="shared" si="3"/>
        <v>4008</v>
      </c>
    </row>
    <row r="128" spans="1:8" x14ac:dyDescent="0.3">
      <c r="A128" s="8">
        <v>43019.53087962963</v>
      </c>
      <c r="B128" s="20" t="s">
        <v>493</v>
      </c>
      <c r="C128" s="20" t="s">
        <v>724</v>
      </c>
      <c r="D128" s="138">
        <v>2470000</v>
      </c>
      <c r="E128" s="20" t="s">
        <v>502</v>
      </c>
      <c r="F128" s="20" t="s">
        <v>503</v>
      </c>
      <c r="G128" s="8" t="str">
        <f t="shared" si="2"/>
        <v>ROMERO CHAD</v>
      </c>
      <c r="H128" s="20" t="str">
        <f t="shared" si="3"/>
        <v>4019</v>
      </c>
    </row>
    <row r="129" spans="1:8" x14ac:dyDescent="0.3">
      <c r="A129" s="8">
        <v>43019.532511574071</v>
      </c>
      <c r="B129" s="20" t="s">
        <v>460</v>
      </c>
      <c r="C129" s="20" t="s">
        <v>725</v>
      </c>
      <c r="D129" s="138">
        <v>1780000</v>
      </c>
      <c r="E129" s="20" t="s">
        <v>504</v>
      </c>
      <c r="F129" s="20" t="s">
        <v>505</v>
      </c>
      <c r="G129" s="8" t="str">
        <f t="shared" si="2"/>
        <v>DE LA ROSA ALEX</v>
      </c>
      <c r="H129" s="20" t="str">
        <f t="shared" si="3"/>
        <v>4024</v>
      </c>
    </row>
    <row r="130" spans="1:8" x14ac:dyDescent="0.3">
      <c r="A130" s="8">
        <v>43019.532789351855</v>
      </c>
      <c r="B130" s="20" t="s">
        <v>589</v>
      </c>
      <c r="C130" s="20" t="s">
        <v>726</v>
      </c>
      <c r="D130" s="138">
        <v>1300000</v>
      </c>
      <c r="E130" s="20" t="s">
        <v>411</v>
      </c>
      <c r="F130" s="20" t="s">
        <v>412</v>
      </c>
      <c r="G130" s="8" t="str">
        <f t="shared" si="2"/>
        <v>LEVIN SCOTT</v>
      </c>
      <c r="H130" s="20" t="str">
        <f t="shared" si="3"/>
        <v>4045</v>
      </c>
    </row>
    <row r="131" spans="1:8" x14ac:dyDescent="0.3">
      <c r="A131" s="8">
        <v>43019.536886574075</v>
      </c>
      <c r="B131" s="20" t="s">
        <v>463</v>
      </c>
      <c r="C131" s="20" t="s">
        <v>725</v>
      </c>
      <c r="D131" s="138">
        <v>1780000</v>
      </c>
      <c r="E131" s="20" t="s">
        <v>504</v>
      </c>
      <c r="F131" s="20" t="s">
        <v>505</v>
      </c>
      <c r="G131" s="8" t="str">
        <f t="shared" ref="G131:G194" si="4">E131&amp;" "&amp;F131</f>
        <v>DE LA ROSA ALEX</v>
      </c>
      <c r="H131" s="20" t="str">
        <f t="shared" ref="H131:H194" si="5">MID(B131,13,4)</f>
        <v>4023</v>
      </c>
    </row>
    <row r="132" spans="1:8" x14ac:dyDescent="0.3">
      <c r="A132" s="8">
        <v>43019.537476851852</v>
      </c>
      <c r="B132" s="20" t="s">
        <v>609</v>
      </c>
      <c r="C132" s="20" t="s">
        <v>727</v>
      </c>
      <c r="D132" s="138">
        <v>1770000</v>
      </c>
      <c r="E132" s="20" t="s">
        <v>506</v>
      </c>
      <c r="F132" s="20" t="s">
        <v>507</v>
      </c>
      <c r="G132" s="8" t="str">
        <f t="shared" si="4"/>
        <v>BRUDER RICHARD</v>
      </c>
      <c r="H132" s="20" t="str">
        <f t="shared" si="5"/>
        <v>4032</v>
      </c>
    </row>
    <row r="133" spans="1:8" x14ac:dyDescent="0.3">
      <c r="A133" s="8">
        <v>43019.542164351849</v>
      </c>
      <c r="B133" s="20" t="s">
        <v>385</v>
      </c>
      <c r="C133" s="20" t="s">
        <v>728</v>
      </c>
      <c r="D133" s="138">
        <v>1180000</v>
      </c>
      <c r="E133" s="20" t="s">
        <v>409</v>
      </c>
      <c r="F133" s="20" t="s">
        <v>410</v>
      </c>
      <c r="G133" s="8" t="str">
        <f t="shared" si="4"/>
        <v>LEVERE CRAIG</v>
      </c>
      <c r="H133" s="20" t="str">
        <f t="shared" si="5"/>
        <v>4064</v>
      </c>
    </row>
    <row r="134" spans="1:8" x14ac:dyDescent="0.3">
      <c r="A134" s="8">
        <v>43019.548414351855</v>
      </c>
      <c r="B134" s="20" t="s">
        <v>591</v>
      </c>
      <c r="C134" s="20" t="s">
        <v>729</v>
      </c>
      <c r="D134" s="138">
        <v>2370000</v>
      </c>
      <c r="E134" s="20" t="s">
        <v>710</v>
      </c>
      <c r="F134" s="20" t="s">
        <v>711</v>
      </c>
      <c r="G134" s="8" t="str">
        <f t="shared" si="4"/>
        <v>DELGADO DIANAH</v>
      </c>
      <c r="H134" s="20" t="str">
        <f t="shared" si="5"/>
        <v>4015</v>
      </c>
    </row>
    <row r="135" spans="1:8" x14ac:dyDescent="0.3">
      <c r="A135" s="8">
        <v>43019.549131944441</v>
      </c>
      <c r="B135" s="20" t="s">
        <v>450</v>
      </c>
      <c r="C135" s="20" t="s">
        <v>730</v>
      </c>
      <c r="D135" s="138">
        <v>880000</v>
      </c>
      <c r="E135" s="20" t="s">
        <v>472</v>
      </c>
      <c r="F135" s="20" t="s">
        <v>400</v>
      </c>
      <c r="G135" s="8" t="str">
        <f t="shared" si="4"/>
        <v>STEWART MICHAEL</v>
      </c>
      <c r="H135" s="20" t="str">
        <f t="shared" si="5"/>
        <v>4036</v>
      </c>
    </row>
    <row r="136" spans="1:8" x14ac:dyDescent="0.3">
      <c r="A136" s="8">
        <v>43019.556608796294</v>
      </c>
      <c r="B136" s="20" t="s">
        <v>495</v>
      </c>
      <c r="C136" s="20" t="s">
        <v>595</v>
      </c>
      <c r="D136" s="138">
        <v>1810000</v>
      </c>
      <c r="E136" s="20" t="s">
        <v>510</v>
      </c>
      <c r="F136" s="20" t="s">
        <v>362</v>
      </c>
      <c r="G136" s="8" t="str">
        <f t="shared" si="4"/>
        <v>NEWELL JAMES</v>
      </c>
      <c r="H136" s="20" t="str">
        <f t="shared" si="5"/>
        <v>4020</v>
      </c>
    </row>
    <row r="137" spans="1:8" x14ac:dyDescent="0.3">
      <c r="A137" s="8">
        <v>43019.558240740742</v>
      </c>
      <c r="B137" s="20" t="s">
        <v>425</v>
      </c>
      <c r="C137" s="20" t="s">
        <v>731</v>
      </c>
      <c r="D137" s="138">
        <v>2970000</v>
      </c>
      <c r="E137" s="20" t="s">
        <v>470</v>
      </c>
      <c r="F137" s="20" t="s">
        <v>471</v>
      </c>
      <c r="G137" s="8" t="str">
        <f t="shared" si="4"/>
        <v>GUZMAN DANNY</v>
      </c>
      <c r="H137" s="20" t="str">
        <f t="shared" si="5"/>
        <v>4018</v>
      </c>
    </row>
    <row r="138" spans="1:8" x14ac:dyDescent="0.3">
      <c r="A138" s="8">
        <v>43019.558506944442</v>
      </c>
      <c r="B138" s="20" t="s">
        <v>586</v>
      </c>
      <c r="C138" s="20" t="s">
        <v>732</v>
      </c>
      <c r="D138" s="138">
        <v>920000</v>
      </c>
      <c r="E138" s="20" t="s">
        <v>341</v>
      </c>
      <c r="F138" s="20" t="s">
        <v>400</v>
      </c>
      <c r="G138" s="8" t="str">
        <f t="shared" si="4"/>
        <v>DAVIS MICHAEL</v>
      </c>
      <c r="H138" s="20" t="str">
        <f t="shared" si="5"/>
        <v>4013</v>
      </c>
    </row>
    <row r="139" spans="1:8" x14ac:dyDescent="0.3">
      <c r="A139" s="8">
        <v>43019.560983796298</v>
      </c>
      <c r="B139" s="20" t="s">
        <v>495</v>
      </c>
      <c r="C139" s="20" t="s">
        <v>595</v>
      </c>
      <c r="D139" s="138">
        <v>1810000</v>
      </c>
      <c r="E139" s="20" t="s">
        <v>510</v>
      </c>
      <c r="F139" s="20" t="s">
        <v>362</v>
      </c>
      <c r="G139" s="8" t="str">
        <f t="shared" si="4"/>
        <v>NEWELL JAMES</v>
      </c>
      <c r="H139" s="20" t="str">
        <f t="shared" si="5"/>
        <v>4020</v>
      </c>
    </row>
    <row r="140" spans="1:8" x14ac:dyDescent="0.3">
      <c r="A140" s="8">
        <v>43019.563159722224</v>
      </c>
      <c r="B140" s="20" t="s">
        <v>384</v>
      </c>
      <c r="C140" s="20" t="s">
        <v>596</v>
      </c>
      <c r="D140" s="138">
        <v>1180000</v>
      </c>
      <c r="E140" s="20" t="s">
        <v>409</v>
      </c>
      <c r="F140" s="20" t="s">
        <v>410</v>
      </c>
      <c r="G140" s="8" t="str">
        <f t="shared" si="4"/>
        <v>LEVERE CRAIG</v>
      </c>
      <c r="H140" s="20" t="str">
        <f t="shared" si="5"/>
        <v>4063</v>
      </c>
    </row>
    <row r="141" spans="1:8" x14ac:dyDescent="0.3">
      <c r="A141" s="8">
        <v>43019.563171296293</v>
      </c>
      <c r="B141" s="20" t="s">
        <v>418</v>
      </c>
      <c r="C141" s="20" t="s">
        <v>733</v>
      </c>
      <c r="D141" s="138">
        <v>2030000</v>
      </c>
      <c r="E141" s="20" t="s">
        <v>722</v>
      </c>
      <c r="F141" s="20" t="s">
        <v>723</v>
      </c>
      <c r="G141" s="8" t="str">
        <f t="shared" si="4"/>
        <v>KILLION DAVID</v>
      </c>
      <c r="H141" s="20" t="str">
        <f t="shared" si="5"/>
        <v>4007</v>
      </c>
    </row>
    <row r="142" spans="1:8" x14ac:dyDescent="0.3">
      <c r="A142" s="8">
        <v>43019.570648148147</v>
      </c>
      <c r="B142" s="20" t="s">
        <v>464</v>
      </c>
      <c r="C142" s="20" t="s">
        <v>734</v>
      </c>
      <c r="D142" s="138">
        <v>1300000</v>
      </c>
      <c r="E142" s="20" t="s">
        <v>411</v>
      </c>
      <c r="F142" s="20" t="s">
        <v>412</v>
      </c>
      <c r="G142" s="8" t="str">
        <f t="shared" si="4"/>
        <v>LEVIN SCOTT</v>
      </c>
      <c r="H142" s="20" t="str">
        <f t="shared" si="5"/>
        <v>4046</v>
      </c>
    </row>
    <row r="143" spans="1:8" x14ac:dyDescent="0.3">
      <c r="A143" s="8">
        <v>43019.578680555554</v>
      </c>
      <c r="B143" s="20" t="s">
        <v>465</v>
      </c>
      <c r="C143" s="20" t="s">
        <v>735</v>
      </c>
      <c r="D143" s="138">
        <v>2370000</v>
      </c>
      <c r="E143" s="20" t="s">
        <v>710</v>
      </c>
      <c r="F143" s="20" t="s">
        <v>711</v>
      </c>
      <c r="G143" s="8" t="str">
        <f t="shared" si="4"/>
        <v>DELGADO DIANAH</v>
      </c>
      <c r="H143" s="20" t="str">
        <f t="shared" si="5"/>
        <v>4016</v>
      </c>
    </row>
    <row r="144" spans="1:8" x14ac:dyDescent="0.3">
      <c r="A144" s="8">
        <v>43019.578692129631</v>
      </c>
      <c r="B144" s="20" t="s">
        <v>623</v>
      </c>
      <c r="C144" s="20" t="s">
        <v>736</v>
      </c>
      <c r="D144" s="138">
        <v>1770000</v>
      </c>
      <c r="E144" s="20" t="s">
        <v>506</v>
      </c>
      <c r="F144" s="20" t="s">
        <v>507</v>
      </c>
      <c r="G144" s="8" t="str">
        <f t="shared" si="4"/>
        <v>BRUDER RICHARD</v>
      </c>
      <c r="H144" s="20" t="str">
        <f t="shared" si="5"/>
        <v>4031</v>
      </c>
    </row>
    <row r="145" spans="1:8" x14ac:dyDescent="0.3">
      <c r="A145" s="8">
        <v>43019.579988425925</v>
      </c>
      <c r="B145" s="20" t="s">
        <v>493</v>
      </c>
      <c r="C145" s="20" t="s">
        <v>737</v>
      </c>
      <c r="D145" s="138">
        <v>1810000</v>
      </c>
      <c r="E145" s="20" t="s">
        <v>510</v>
      </c>
      <c r="F145" s="20" t="s">
        <v>362</v>
      </c>
      <c r="G145" s="8" t="str">
        <f t="shared" si="4"/>
        <v>NEWELL JAMES</v>
      </c>
      <c r="H145" s="20" t="str">
        <f t="shared" si="5"/>
        <v>4019</v>
      </c>
    </row>
    <row r="146" spans="1:8" x14ac:dyDescent="0.3">
      <c r="A146" s="8">
        <v>43019.585879629631</v>
      </c>
      <c r="B146" s="20" t="s">
        <v>385</v>
      </c>
      <c r="C146" s="20" t="s">
        <v>597</v>
      </c>
      <c r="D146" s="138">
        <v>1180000</v>
      </c>
      <c r="E146" s="20" t="s">
        <v>409</v>
      </c>
      <c r="F146" s="20" t="s">
        <v>410</v>
      </c>
      <c r="G146" s="8" t="str">
        <f t="shared" si="4"/>
        <v>LEVERE CRAIG</v>
      </c>
      <c r="H146" s="20" t="str">
        <f t="shared" si="5"/>
        <v>4064</v>
      </c>
    </row>
    <row r="147" spans="1:8" x14ac:dyDescent="0.3">
      <c r="A147" s="8">
        <v>43019.588726851849</v>
      </c>
      <c r="B147" s="20" t="s">
        <v>494</v>
      </c>
      <c r="C147" s="20" t="s">
        <v>598</v>
      </c>
      <c r="D147" s="138">
        <v>880000</v>
      </c>
      <c r="E147" s="20" t="s">
        <v>472</v>
      </c>
      <c r="F147" s="20" t="s">
        <v>400</v>
      </c>
      <c r="G147" s="8" t="str">
        <f t="shared" si="4"/>
        <v>STEWART MICHAEL</v>
      </c>
      <c r="H147" s="20" t="str">
        <f t="shared" si="5"/>
        <v>4035</v>
      </c>
    </row>
    <row r="148" spans="1:8" x14ac:dyDescent="0.3">
      <c r="A148" s="8">
        <v>43019.589039351849</v>
      </c>
      <c r="B148" s="20" t="s">
        <v>426</v>
      </c>
      <c r="C148" s="20" t="s">
        <v>738</v>
      </c>
      <c r="D148" s="138">
        <v>2970000</v>
      </c>
      <c r="E148" s="20" t="s">
        <v>470</v>
      </c>
      <c r="F148" s="20" t="s">
        <v>471</v>
      </c>
      <c r="G148" s="8" t="str">
        <f t="shared" si="4"/>
        <v>GUZMAN DANNY</v>
      </c>
      <c r="H148" s="20" t="str">
        <f t="shared" si="5"/>
        <v>4017</v>
      </c>
    </row>
    <row r="149" spans="1:8" x14ac:dyDescent="0.3">
      <c r="A149" s="8">
        <v>43019.592037037037</v>
      </c>
      <c r="B149" s="20" t="s">
        <v>385</v>
      </c>
      <c r="C149" s="20" t="s">
        <v>597</v>
      </c>
      <c r="D149" s="138">
        <v>1180000</v>
      </c>
      <c r="E149" s="20" t="s">
        <v>409</v>
      </c>
      <c r="F149" s="20" t="s">
        <v>410</v>
      </c>
      <c r="G149" s="8" t="str">
        <f t="shared" si="4"/>
        <v>LEVERE CRAIG</v>
      </c>
      <c r="H149" s="20" t="str">
        <f t="shared" si="5"/>
        <v>4064</v>
      </c>
    </row>
    <row r="150" spans="1:8" x14ac:dyDescent="0.3">
      <c r="A150" s="8">
        <v>43019.592175925929</v>
      </c>
      <c r="B150" s="20" t="s">
        <v>601</v>
      </c>
      <c r="C150" s="20" t="s">
        <v>739</v>
      </c>
      <c r="D150" s="138">
        <v>3130000</v>
      </c>
      <c r="E150" s="20" t="s">
        <v>511</v>
      </c>
      <c r="F150" s="20" t="s">
        <v>512</v>
      </c>
      <c r="G150" s="8" t="str">
        <f t="shared" si="4"/>
        <v>ZEWDU DEREJE</v>
      </c>
      <c r="H150" s="20" t="str">
        <f t="shared" si="5"/>
        <v>4014</v>
      </c>
    </row>
    <row r="151" spans="1:8" x14ac:dyDescent="0.3">
      <c r="A151" s="8">
        <v>43019.599317129629</v>
      </c>
      <c r="B151" s="20" t="s">
        <v>401</v>
      </c>
      <c r="C151" s="20" t="s">
        <v>740</v>
      </c>
      <c r="D151" s="138">
        <v>2030000</v>
      </c>
      <c r="E151" s="20" t="s">
        <v>722</v>
      </c>
      <c r="F151" s="20" t="s">
        <v>723</v>
      </c>
      <c r="G151" s="8" t="str">
        <f t="shared" si="4"/>
        <v>KILLION DAVID</v>
      </c>
      <c r="H151" s="20" t="str">
        <f t="shared" si="5"/>
        <v>4008</v>
      </c>
    </row>
    <row r="152" spans="1:8" x14ac:dyDescent="0.3">
      <c r="A152" s="8">
        <v>43019.604178240741</v>
      </c>
      <c r="B152" s="20" t="s">
        <v>495</v>
      </c>
      <c r="C152" s="20" t="s">
        <v>595</v>
      </c>
      <c r="D152" s="138">
        <v>2480000</v>
      </c>
      <c r="E152" s="20" t="s">
        <v>431</v>
      </c>
      <c r="F152" s="20" t="s">
        <v>432</v>
      </c>
      <c r="G152" s="8" t="str">
        <f t="shared" si="4"/>
        <v>WHITED DUSTIN</v>
      </c>
      <c r="H152" s="20" t="str">
        <f t="shared" si="5"/>
        <v>4020</v>
      </c>
    </row>
    <row r="153" spans="1:8" x14ac:dyDescent="0.3">
      <c r="A153" s="8">
        <v>43019.605497685188</v>
      </c>
      <c r="B153" s="20" t="s">
        <v>384</v>
      </c>
      <c r="C153" s="20" t="s">
        <v>599</v>
      </c>
      <c r="D153" s="138">
        <v>1180000</v>
      </c>
      <c r="E153" s="20" t="s">
        <v>409</v>
      </c>
      <c r="F153" s="20" t="s">
        <v>410</v>
      </c>
      <c r="G153" s="8" t="str">
        <f t="shared" si="4"/>
        <v>LEVERE CRAIG</v>
      </c>
      <c r="H153" s="20" t="str">
        <f t="shared" si="5"/>
        <v>4063</v>
      </c>
    </row>
    <row r="154" spans="1:8" x14ac:dyDescent="0.3">
      <c r="A154" s="8">
        <v>43019.61037037037</v>
      </c>
      <c r="B154" s="20" t="s">
        <v>609</v>
      </c>
      <c r="C154" s="20" t="s">
        <v>741</v>
      </c>
      <c r="D154" s="138">
        <v>1770000</v>
      </c>
      <c r="E154" s="20" t="s">
        <v>506</v>
      </c>
      <c r="F154" s="20" t="s">
        <v>507</v>
      </c>
      <c r="G154" s="8" t="str">
        <f t="shared" si="4"/>
        <v>BRUDER RICHARD</v>
      </c>
      <c r="H154" s="20" t="str">
        <f t="shared" si="5"/>
        <v>4032</v>
      </c>
    </row>
    <row r="155" spans="1:8" x14ac:dyDescent="0.3">
      <c r="A155" s="8">
        <v>43019.610393518517</v>
      </c>
      <c r="B155" s="20" t="s">
        <v>591</v>
      </c>
      <c r="C155" s="20" t="s">
        <v>742</v>
      </c>
      <c r="D155" s="138">
        <v>2370000</v>
      </c>
      <c r="E155" s="20" t="s">
        <v>710</v>
      </c>
      <c r="F155" s="20" t="s">
        <v>711</v>
      </c>
      <c r="G155" s="8" t="str">
        <f t="shared" si="4"/>
        <v>DELGADO DIANAH</v>
      </c>
      <c r="H155" s="20" t="str">
        <f t="shared" si="5"/>
        <v>4015</v>
      </c>
    </row>
    <row r="156" spans="1:8" x14ac:dyDescent="0.3">
      <c r="A156" s="8">
        <v>43019.610682870371</v>
      </c>
      <c r="B156" s="20" t="s">
        <v>589</v>
      </c>
      <c r="C156" s="20" t="s">
        <v>743</v>
      </c>
      <c r="D156" s="138">
        <v>1300000</v>
      </c>
      <c r="E156" s="20" t="s">
        <v>411</v>
      </c>
      <c r="F156" s="20" t="s">
        <v>412</v>
      </c>
      <c r="G156" s="8" t="str">
        <f t="shared" si="4"/>
        <v>LEVIN SCOTT</v>
      </c>
      <c r="H156" s="20" t="str">
        <f t="shared" si="5"/>
        <v>4045</v>
      </c>
    </row>
    <row r="157" spans="1:8" x14ac:dyDescent="0.3">
      <c r="A157" s="8">
        <v>43019.620972222219</v>
      </c>
      <c r="B157" s="20" t="s">
        <v>450</v>
      </c>
      <c r="C157" s="20" t="s">
        <v>744</v>
      </c>
      <c r="D157" s="138">
        <v>880000</v>
      </c>
      <c r="E157" s="20" t="s">
        <v>472</v>
      </c>
      <c r="F157" s="20" t="s">
        <v>400</v>
      </c>
      <c r="G157" s="8" t="str">
        <f t="shared" si="4"/>
        <v>STEWART MICHAEL</v>
      </c>
      <c r="H157" s="20" t="str">
        <f t="shared" si="5"/>
        <v>4036</v>
      </c>
    </row>
    <row r="158" spans="1:8" x14ac:dyDescent="0.3">
      <c r="A158" s="8">
        <v>43019.625821759262</v>
      </c>
      <c r="B158" s="20" t="s">
        <v>385</v>
      </c>
      <c r="C158" s="20" t="s">
        <v>745</v>
      </c>
      <c r="D158" s="138">
        <v>1180000</v>
      </c>
      <c r="E158" s="20" t="s">
        <v>409</v>
      </c>
      <c r="F158" s="20" t="s">
        <v>410</v>
      </c>
      <c r="G158" s="8" t="str">
        <f t="shared" si="4"/>
        <v>LEVERE CRAIG</v>
      </c>
      <c r="H158" s="20" t="str">
        <f t="shared" si="5"/>
        <v>4064</v>
      </c>
    </row>
    <row r="159" spans="1:8" x14ac:dyDescent="0.3">
      <c r="A159" s="8">
        <v>43019.62945601852</v>
      </c>
      <c r="B159" s="20" t="s">
        <v>493</v>
      </c>
      <c r="C159" s="20" t="s">
        <v>737</v>
      </c>
      <c r="D159" s="138">
        <v>2480000</v>
      </c>
      <c r="E159" s="20" t="s">
        <v>431</v>
      </c>
      <c r="F159" s="20" t="s">
        <v>432</v>
      </c>
      <c r="G159" s="8" t="str">
        <f t="shared" si="4"/>
        <v>WHITED DUSTIN</v>
      </c>
      <c r="H159" s="20" t="str">
        <f t="shared" si="5"/>
        <v>4019</v>
      </c>
    </row>
    <row r="160" spans="1:8" x14ac:dyDescent="0.3">
      <c r="A160" s="8">
        <v>43019.631076388891</v>
      </c>
      <c r="B160" s="20" t="s">
        <v>586</v>
      </c>
      <c r="C160" s="20" t="s">
        <v>746</v>
      </c>
      <c r="D160" s="138">
        <v>3130000</v>
      </c>
      <c r="E160" s="20" t="s">
        <v>511</v>
      </c>
      <c r="F160" s="20" t="s">
        <v>512</v>
      </c>
      <c r="G160" s="8" t="str">
        <f t="shared" si="4"/>
        <v>ZEWDU DEREJE</v>
      </c>
      <c r="H160" s="20" t="str">
        <f t="shared" si="5"/>
        <v>4013</v>
      </c>
    </row>
    <row r="161" spans="1:8" x14ac:dyDescent="0.3">
      <c r="A161" s="8">
        <v>43019.631111111114</v>
      </c>
      <c r="B161" s="20" t="s">
        <v>425</v>
      </c>
      <c r="C161" s="20" t="s">
        <v>747</v>
      </c>
      <c r="D161" s="138">
        <v>2970000</v>
      </c>
      <c r="E161" s="20" t="s">
        <v>470</v>
      </c>
      <c r="F161" s="20" t="s">
        <v>471</v>
      </c>
      <c r="G161" s="8" t="str">
        <f t="shared" si="4"/>
        <v>GUZMAN DANNY</v>
      </c>
      <c r="H161" s="20" t="str">
        <f t="shared" si="5"/>
        <v>4018</v>
      </c>
    </row>
    <row r="162" spans="1:8" x14ac:dyDescent="0.3">
      <c r="A162" s="8">
        <v>43019.634375000001</v>
      </c>
      <c r="B162" s="20" t="s">
        <v>492</v>
      </c>
      <c r="C162" s="20" t="s">
        <v>600</v>
      </c>
      <c r="D162" s="138">
        <v>2000000</v>
      </c>
      <c r="E162" s="20" t="s">
        <v>373</v>
      </c>
      <c r="F162" s="20" t="s">
        <v>362</v>
      </c>
      <c r="G162" s="8" t="str">
        <f t="shared" si="4"/>
        <v>STAMBAUGH JAMES</v>
      </c>
      <c r="H162" s="20" t="str">
        <f t="shared" si="5"/>
        <v>4043</v>
      </c>
    </row>
    <row r="163" spans="1:8" x14ac:dyDescent="0.3">
      <c r="A163" s="8">
        <v>43019.635787037034</v>
      </c>
      <c r="B163" s="20" t="s">
        <v>418</v>
      </c>
      <c r="C163" s="20" t="s">
        <v>748</v>
      </c>
      <c r="D163" s="138">
        <v>2030000</v>
      </c>
      <c r="E163" s="20" t="s">
        <v>722</v>
      </c>
      <c r="F163" s="20" t="s">
        <v>723</v>
      </c>
      <c r="G163" s="8" t="str">
        <f t="shared" si="4"/>
        <v>KILLION DAVID</v>
      </c>
      <c r="H163" s="20" t="str">
        <f t="shared" si="5"/>
        <v>4007</v>
      </c>
    </row>
    <row r="164" spans="1:8" x14ac:dyDescent="0.3">
      <c r="A164" s="8">
        <v>43019.643518518518</v>
      </c>
      <c r="B164" s="20" t="s">
        <v>384</v>
      </c>
      <c r="C164" s="20" t="s">
        <v>749</v>
      </c>
      <c r="D164" s="138">
        <v>1180000</v>
      </c>
      <c r="E164" s="20" t="s">
        <v>409</v>
      </c>
      <c r="F164" s="20" t="s">
        <v>410</v>
      </c>
      <c r="G164" s="8" t="str">
        <f t="shared" si="4"/>
        <v>LEVERE CRAIG</v>
      </c>
      <c r="H164" s="20" t="str">
        <f t="shared" si="5"/>
        <v>4063</v>
      </c>
    </row>
    <row r="165" spans="1:8" x14ac:dyDescent="0.3">
      <c r="A165" s="8">
        <v>43019.64398148148</v>
      </c>
      <c r="B165" s="20" t="s">
        <v>464</v>
      </c>
      <c r="C165" s="20" t="s">
        <v>750</v>
      </c>
      <c r="D165" s="138">
        <v>1300000</v>
      </c>
      <c r="E165" s="20" t="s">
        <v>411</v>
      </c>
      <c r="F165" s="20" t="s">
        <v>412</v>
      </c>
      <c r="G165" s="8" t="str">
        <f t="shared" si="4"/>
        <v>LEVIN SCOTT</v>
      </c>
      <c r="H165" s="20" t="str">
        <f t="shared" si="5"/>
        <v>4046</v>
      </c>
    </row>
    <row r="166" spans="1:8" x14ac:dyDescent="0.3">
      <c r="A166" s="8">
        <v>43019.64949074074</v>
      </c>
      <c r="B166" s="20" t="s">
        <v>497</v>
      </c>
      <c r="C166" s="20" t="s">
        <v>751</v>
      </c>
      <c r="D166" s="138">
        <v>2000000</v>
      </c>
      <c r="E166" s="20" t="s">
        <v>373</v>
      </c>
      <c r="F166" s="20" t="s">
        <v>362</v>
      </c>
      <c r="G166" s="8" t="str">
        <f t="shared" si="4"/>
        <v>STAMBAUGH JAMES</v>
      </c>
      <c r="H166" s="20" t="str">
        <f t="shared" si="5"/>
        <v>4044</v>
      </c>
    </row>
    <row r="167" spans="1:8" x14ac:dyDescent="0.3">
      <c r="A167" s="8">
        <v>43019.649988425925</v>
      </c>
      <c r="B167" s="20" t="s">
        <v>465</v>
      </c>
      <c r="C167" s="20" t="s">
        <v>752</v>
      </c>
      <c r="D167" s="138">
        <v>2370000</v>
      </c>
      <c r="E167" s="20" t="s">
        <v>710</v>
      </c>
      <c r="F167" s="20" t="s">
        <v>711</v>
      </c>
      <c r="G167" s="8" t="str">
        <f t="shared" si="4"/>
        <v>DELGADO DIANAH</v>
      </c>
      <c r="H167" s="20" t="str">
        <f t="shared" si="5"/>
        <v>4016</v>
      </c>
    </row>
    <row r="168" spans="1:8" x14ac:dyDescent="0.3">
      <c r="A168" s="8">
        <v>43019.650069444448</v>
      </c>
      <c r="B168" s="20" t="s">
        <v>623</v>
      </c>
      <c r="C168" s="20" t="s">
        <v>753</v>
      </c>
      <c r="D168" s="138">
        <v>1770000</v>
      </c>
      <c r="E168" s="20" t="s">
        <v>506</v>
      </c>
      <c r="F168" s="20" t="s">
        <v>507</v>
      </c>
      <c r="G168" s="8" t="str">
        <f t="shared" si="4"/>
        <v>BRUDER RICHARD</v>
      </c>
      <c r="H168" s="20" t="str">
        <f t="shared" si="5"/>
        <v>4031</v>
      </c>
    </row>
    <row r="169" spans="1:8" x14ac:dyDescent="0.3">
      <c r="A169" s="8">
        <v>43019.650601851848</v>
      </c>
      <c r="B169" s="20" t="s">
        <v>495</v>
      </c>
      <c r="C169" s="20" t="s">
        <v>595</v>
      </c>
      <c r="D169" s="138">
        <v>2480000</v>
      </c>
      <c r="E169" s="20" t="s">
        <v>431</v>
      </c>
      <c r="F169" s="20" t="s">
        <v>432</v>
      </c>
      <c r="G169" s="8" t="str">
        <f t="shared" si="4"/>
        <v>WHITED DUSTIN</v>
      </c>
      <c r="H169" s="20" t="str">
        <f t="shared" si="5"/>
        <v>4020</v>
      </c>
    </row>
    <row r="170" spans="1:8" x14ac:dyDescent="0.3">
      <c r="A170" s="8">
        <v>43019.661493055559</v>
      </c>
      <c r="B170" s="20" t="s">
        <v>426</v>
      </c>
      <c r="C170" s="20" t="s">
        <v>754</v>
      </c>
      <c r="D170" s="138">
        <v>2970000</v>
      </c>
      <c r="E170" s="20" t="s">
        <v>470</v>
      </c>
      <c r="F170" s="20" t="s">
        <v>471</v>
      </c>
      <c r="G170" s="8" t="str">
        <f t="shared" si="4"/>
        <v>GUZMAN DANNY</v>
      </c>
      <c r="H170" s="20" t="str">
        <f t="shared" si="5"/>
        <v>4017</v>
      </c>
    </row>
    <row r="171" spans="1:8" x14ac:dyDescent="0.3">
      <c r="A171" s="8">
        <v>43019.661874999998</v>
      </c>
      <c r="B171" s="20" t="s">
        <v>494</v>
      </c>
      <c r="C171" s="20" t="s">
        <v>755</v>
      </c>
      <c r="D171" s="138">
        <v>880000</v>
      </c>
      <c r="E171" s="20" t="s">
        <v>472</v>
      </c>
      <c r="F171" s="20" t="s">
        <v>400</v>
      </c>
      <c r="G171" s="8" t="str">
        <f t="shared" si="4"/>
        <v>STEWART MICHAEL</v>
      </c>
      <c r="H171" s="20" t="str">
        <f t="shared" si="5"/>
        <v>4035</v>
      </c>
    </row>
    <row r="172" spans="1:8" x14ac:dyDescent="0.3">
      <c r="A172" s="8">
        <v>43019.662858796299</v>
      </c>
      <c r="B172" s="20" t="s">
        <v>601</v>
      </c>
      <c r="C172" s="20" t="s">
        <v>602</v>
      </c>
      <c r="D172" s="138">
        <v>3130000</v>
      </c>
      <c r="E172" s="20" t="s">
        <v>511</v>
      </c>
      <c r="F172" s="20" t="s">
        <v>512</v>
      </c>
      <c r="G172" s="8" t="str">
        <f t="shared" si="4"/>
        <v>ZEWDU DEREJE</v>
      </c>
      <c r="H172" s="20" t="str">
        <f t="shared" si="5"/>
        <v>4014</v>
      </c>
    </row>
    <row r="173" spans="1:8" x14ac:dyDescent="0.3">
      <c r="A173" s="8">
        <v>43019.663240740738</v>
      </c>
      <c r="B173" s="20" t="s">
        <v>492</v>
      </c>
      <c r="C173" s="20" t="s">
        <v>756</v>
      </c>
      <c r="D173" s="138">
        <v>2000000</v>
      </c>
      <c r="E173" s="20" t="s">
        <v>373</v>
      </c>
      <c r="F173" s="20" t="s">
        <v>362</v>
      </c>
      <c r="G173" s="8" t="str">
        <f t="shared" si="4"/>
        <v>STAMBAUGH JAMES</v>
      </c>
      <c r="H173" s="20" t="str">
        <f t="shared" si="5"/>
        <v>4043</v>
      </c>
    </row>
    <row r="174" spans="1:8" x14ac:dyDescent="0.3">
      <c r="A174" s="8">
        <v>43019.667569444442</v>
      </c>
      <c r="B174" s="20" t="s">
        <v>385</v>
      </c>
      <c r="C174" s="20" t="s">
        <v>757</v>
      </c>
      <c r="D174" s="138">
        <v>1180000</v>
      </c>
      <c r="E174" s="20" t="s">
        <v>409</v>
      </c>
      <c r="F174" s="20" t="s">
        <v>410</v>
      </c>
      <c r="G174" s="8" t="str">
        <f t="shared" si="4"/>
        <v>LEVERE CRAIG</v>
      </c>
      <c r="H174" s="20" t="str">
        <f t="shared" si="5"/>
        <v>4064</v>
      </c>
    </row>
    <row r="175" spans="1:8" x14ac:dyDescent="0.3">
      <c r="A175" s="8">
        <v>43019.6721875</v>
      </c>
      <c r="B175" s="20" t="s">
        <v>493</v>
      </c>
      <c r="C175" s="20" t="s">
        <v>737</v>
      </c>
      <c r="D175" s="138">
        <v>2480000</v>
      </c>
      <c r="E175" s="20" t="s">
        <v>431</v>
      </c>
      <c r="F175" s="20" t="s">
        <v>432</v>
      </c>
      <c r="G175" s="8" t="str">
        <f t="shared" si="4"/>
        <v>WHITED DUSTIN</v>
      </c>
      <c r="H175" s="20" t="str">
        <f t="shared" si="5"/>
        <v>4019</v>
      </c>
    </row>
    <row r="176" spans="1:8" x14ac:dyDescent="0.3">
      <c r="A176" s="8">
        <v>43019.672800925924</v>
      </c>
      <c r="B176" s="20" t="s">
        <v>401</v>
      </c>
      <c r="C176" s="20" t="s">
        <v>758</v>
      </c>
      <c r="D176" s="138">
        <v>2030000</v>
      </c>
      <c r="E176" s="20" t="s">
        <v>722</v>
      </c>
      <c r="F176" s="20" t="s">
        <v>723</v>
      </c>
      <c r="G176" s="8" t="str">
        <f t="shared" si="4"/>
        <v>KILLION DAVID</v>
      </c>
      <c r="H176" s="20" t="str">
        <f t="shared" si="5"/>
        <v>4008</v>
      </c>
    </row>
    <row r="177" spans="1:8" x14ac:dyDescent="0.3">
      <c r="A177" s="8">
        <v>43019.6799537037</v>
      </c>
      <c r="B177" s="20" t="s">
        <v>589</v>
      </c>
      <c r="C177" s="20" t="s">
        <v>759</v>
      </c>
      <c r="D177" s="138">
        <v>1300000</v>
      </c>
      <c r="E177" s="20" t="s">
        <v>411</v>
      </c>
      <c r="F177" s="20" t="s">
        <v>412</v>
      </c>
      <c r="G177" s="8" t="str">
        <f t="shared" si="4"/>
        <v>LEVIN SCOTT</v>
      </c>
      <c r="H177" s="20" t="str">
        <f t="shared" si="5"/>
        <v>4045</v>
      </c>
    </row>
    <row r="178" spans="1:8" x14ac:dyDescent="0.3">
      <c r="A178" s="8">
        <v>43019.683229166665</v>
      </c>
      <c r="B178" s="20" t="s">
        <v>609</v>
      </c>
      <c r="C178" s="20" t="s">
        <v>760</v>
      </c>
      <c r="D178" s="138">
        <v>1770000</v>
      </c>
      <c r="E178" s="20" t="s">
        <v>506</v>
      </c>
      <c r="F178" s="20" t="s">
        <v>507</v>
      </c>
      <c r="G178" s="8" t="str">
        <f t="shared" si="4"/>
        <v>BRUDER RICHARD</v>
      </c>
      <c r="H178" s="20" t="str">
        <f t="shared" si="5"/>
        <v>4032</v>
      </c>
    </row>
    <row r="179" spans="1:8" x14ac:dyDescent="0.3">
      <c r="A179" s="8">
        <v>43019.683495370373</v>
      </c>
      <c r="B179" s="20" t="s">
        <v>591</v>
      </c>
      <c r="C179" s="20" t="s">
        <v>761</v>
      </c>
      <c r="D179" s="138">
        <v>2370000</v>
      </c>
      <c r="E179" s="20" t="s">
        <v>710</v>
      </c>
      <c r="F179" s="20" t="s">
        <v>711</v>
      </c>
      <c r="G179" s="8" t="str">
        <f t="shared" si="4"/>
        <v>DELGADO DIANAH</v>
      </c>
      <c r="H179" s="20" t="str">
        <f t="shared" si="5"/>
        <v>4015</v>
      </c>
    </row>
    <row r="180" spans="1:8" x14ac:dyDescent="0.3">
      <c r="A180" s="8">
        <v>43019.686180555553</v>
      </c>
      <c r="B180" s="20" t="s">
        <v>384</v>
      </c>
      <c r="C180" s="20" t="s">
        <v>762</v>
      </c>
      <c r="D180" s="138">
        <v>1180000</v>
      </c>
      <c r="E180" s="20" t="s">
        <v>409</v>
      </c>
      <c r="F180" s="20" t="s">
        <v>410</v>
      </c>
      <c r="G180" s="8" t="str">
        <f t="shared" si="4"/>
        <v>LEVERE CRAIG</v>
      </c>
      <c r="H180" s="20" t="str">
        <f t="shared" si="5"/>
        <v>4063</v>
      </c>
    </row>
    <row r="181" spans="1:8" x14ac:dyDescent="0.3">
      <c r="A181" s="8">
        <v>43019.689305555556</v>
      </c>
      <c r="B181" s="20" t="s">
        <v>495</v>
      </c>
      <c r="C181" s="20" t="s">
        <v>595</v>
      </c>
      <c r="D181" s="138">
        <v>3280000</v>
      </c>
      <c r="E181" s="20" t="s">
        <v>419</v>
      </c>
      <c r="F181" s="20" t="s">
        <v>420</v>
      </c>
      <c r="G181" s="8" t="str">
        <f t="shared" si="4"/>
        <v>BIRKHOLZ NADINE</v>
      </c>
      <c r="H181" s="20" t="str">
        <f t="shared" si="5"/>
        <v>4020</v>
      </c>
    </row>
    <row r="182" spans="1:8" x14ac:dyDescent="0.3">
      <c r="A182" s="8">
        <v>43019.692696759259</v>
      </c>
      <c r="B182" s="20" t="s">
        <v>497</v>
      </c>
      <c r="C182" s="20" t="s">
        <v>763</v>
      </c>
      <c r="D182" s="138">
        <v>2000000</v>
      </c>
      <c r="E182" s="20" t="s">
        <v>373</v>
      </c>
      <c r="F182" s="20" t="s">
        <v>362</v>
      </c>
      <c r="G182" s="8" t="str">
        <f t="shared" si="4"/>
        <v>STAMBAUGH JAMES</v>
      </c>
      <c r="H182" s="20" t="str">
        <f t="shared" si="5"/>
        <v>4044</v>
      </c>
    </row>
    <row r="183" spans="1:8" x14ac:dyDescent="0.3">
      <c r="A183" s="8">
        <v>43019.693969907406</v>
      </c>
      <c r="B183" s="20" t="s">
        <v>450</v>
      </c>
      <c r="C183" s="20" t="s">
        <v>764</v>
      </c>
      <c r="D183" s="138">
        <v>880000</v>
      </c>
      <c r="E183" s="20" t="s">
        <v>472</v>
      </c>
      <c r="F183" s="20" t="s">
        <v>400</v>
      </c>
      <c r="G183" s="8" t="str">
        <f t="shared" si="4"/>
        <v>STEWART MICHAEL</v>
      </c>
      <c r="H183" s="20" t="str">
        <f t="shared" si="5"/>
        <v>4036</v>
      </c>
    </row>
    <row r="184" spans="1:8" x14ac:dyDescent="0.3">
      <c r="A184" s="8">
        <v>43019.702060185184</v>
      </c>
      <c r="B184" s="20" t="s">
        <v>460</v>
      </c>
      <c r="C184" s="20" t="s">
        <v>765</v>
      </c>
      <c r="D184" s="138">
        <v>2040000</v>
      </c>
      <c r="E184" s="20" t="s">
        <v>508</v>
      </c>
      <c r="F184" s="20" t="s">
        <v>509</v>
      </c>
      <c r="G184" s="8" t="str">
        <f t="shared" si="4"/>
        <v>MOSES BRADLEY</v>
      </c>
      <c r="H184" s="20" t="str">
        <f t="shared" si="5"/>
        <v>4024</v>
      </c>
    </row>
    <row r="185" spans="1:8" x14ac:dyDescent="0.3">
      <c r="A185" s="8">
        <v>43019.704386574071</v>
      </c>
      <c r="B185" s="20" t="s">
        <v>425</v>
      </c>
      <c r="C185" s="20" t="s">
        <v>766</v>
      </c>
      <c r="D185" s="138">
        <v>2970000</v>
      </c>
      <c r="E185" s="20" t="s">
        <v>470</v>
      </c>
      <c r="F185" s="20" t="s">
        <v>471</v>
      </c>
      <c r="G185" s="8" t="str">
        <f t="shared" si="4"/>
        <v>GUZMAN DANNY</v>
      </c>
      <c r="H185" s="20" t="str">
        <f t="shared" si="5"/>
        <v>4018</v>
      </c>
    </row>
    <row r="186" spans="1:8" x14ac:dyDescent="0.3">
      <c r="A186" s="8">
        <v>43019.704780092594</v>
      </c>
      <c r="B186" s="20" t="s">
        <v>586</v>
      </c>
      <c r="C186" s="20" t="s">
        <v>767</v>
      </c>
      <c r="D186" s="138">
        <v>3130000</v>
      </c>
      <c r="E186" s="20" t="s">
        <v>511</v>
      </c>
      <c r="F186" s="20" t="s">
        <v>512</v>
      </c>
      <c r="G186" s="8" t="str">
        <f t="shared" si="4"/>
        <v>ZEWDU DEREJE</v>
      </c>
      <c r="H186" s="20" t="str">
        <f t="shared" si="5"/>
        <v>4013</v>
      </c>
    </row>
    <row r="187" spans="1:8" x14ac:dyDescent="0.3">
      <c r="A187" s="8">
        <v>43019.70616898148</v>
      </c>
      <c r="B187" s="20" t="s">
        <v>492</v>
      </c>
      <c r="C187" s="20" t="s">
        <v>768</v>
      </c>
      <c r="D187" s="138">
        <v>2000000</v>
      </c>
      <c r="E187" s="20" t="s">
        <v>373</v>
      </c>
      <c r="F187" s="20" t="s">
        <v>362</v>
      </c>
      <c r="G187" s="8" t="str">
        <f t="shared" si="4"/>
        <v>STAMBAUGH JAMES</v>
      </c>
      <c r="H187" s="20" t="str">
        <f t="shared" si="5"/>
        <v>4043</v>
      </c>
    </row>
    <row r="188" spans="1:8" x14ac:dyDescent="0.3">
      <c r="A188" s="8">
        <v>43019.707754629628</v>
      </c>
      <c r="B188" s="20" t="s">
        <v>493</v>
      </c>
      <c r="C188" s="20" t="s">
        <v>737</v>
      </c>
      <c r="D188" s="138">
        <v>3280000</v>
      </c>
      <c r="E188" s="20" t="s">
        <v>419</v>
      </c>
      <c r="F188" s="20" t="s">
        <v>420</v>
      </c>
      <c r="G188" s="8" t="str">
        <f t="shared" si="4"/>
        <v>BIRKHOLZ NADINE</v>
      </c>
      <c r="H188" s="20" t="str">
        <f t="shared" si="5"/>
        <v>4019</v>
      </c>
    </row>
    <row r="189" spans="1:8" x14ac:dyDescent="0.3">
      <c r="A189" s="8">
        <v>43019.709398148145</v>
      </c>
      <c r="B189" s="20" t="s">
        <v>385</v>
      </c>
      <c r="C189" s="20" t="s">
        <v>769</v>
      </c>
      <c r="D189" s="138">
        <v>1180000</v>
      </c>
      <c r="E189" s="20" t="s">
        <v>409</v>
      </c>
      <c r="F189" s="20" t="s">
        <v>410</v>
      </c>
      <c r="G189" s="8" t="str">
        <f t="shared" si="4"/>
        <v>LEVERE CRAIG</v>
      </c>
      <c r="H189" s="20" t="str">
        <f t="shared" si="5"/>
        <v>4064</v>
      </c>
    </row>
    <row r="190" spans="1:8" x14ac:dyDescent="0.3">
      <c r="A190" s="8">
        <v>43019.710046296299</v>
      </c>
      <c r="B190" s="20" t="s">
        <v>418</v>
      </c>
      <c r="C190" s="20" t="s">
        <v>770</v>
      </c>
      <c r="D190" s="138">
        <v>2030000</v>
      </c>
      <c r="E190" s="20" t="s">
        <v>722</v>
      </c>
      <c r="F190" s="20" t="s">
        <v>723</v>
      </c>
      <c r="G190" s="8" t="str">
        <f t="shared" si="4"/>
        <v>KILLION DAVID</v>
      </c>
      <c r="H190" s="20" t="str">
        <f t="shared" si="5"/>
        <v>4007</v>
      </c>
    </row>
    <row r="191" spans="1:8" x14ac:dyDescent="0.3">
      <c r="A191" s="8">
        <v>43019.716874999998</v>
      </c>
      <c r="B191" s="20" t="s">
        <v>464</v>
      </c>
      <c r="C191" s="20" t="s">
        <v>771</v>
      </c>
      <c r="D191" s="138">
        <v>1300000</v>
      </c>
      <c r="E191" s="20" t="s">
        <v>411</v>
      </c>
      <c r="F191" s="20" t="s">
        <v>412</v>
      </c>
      <c r="G191" s="8" t="str">
        <f t="shared" si="4"/>
        <v>LEVIN SCOTT</v>
      </c>
      <c r="H191" s="20" t="str">
        <f t="shared" si="5"/>
        <v>4046</v>
      </c>
    </row>
    <row r="192" spans="1:8" x14ac:dyDescent="0.3">
      <c r="A192" s="8">
        <v>43019.719895833332</v>
      </c>
      <c r="B192" s="20" t="s">
        <v>612</v>
      </c>
      <c r="C192" s="20" t="s">
        <v>772</v>
      </c>
      <c r="D192" s="138">
        <v>2140000</v>
      </c>
      <c r="E192" s="20" t="s">
        <v>513</v>
      </c>
      <c r="F192" s="20" t="s">
        <v>514</v>
      </c>
      <c r="G192" s="8" t="str">
        <f t="shared" si="4"/>
        <v>ROBINSON KADDIBA</v>
      </c>
      <c r="H192" s="20" t="str">
        <f t="shared" si="5"/>
        <v>4006</v>
      </c>
    </row>
    <row r="193" spans="1:8" x14ac:dyDescent="0.3">
      <c r="A193" s="8">
        <v>43019.724166666667</v>
      </c>
      <c r="B193" s="20" t="s">
        <v>623</v>
      </c>
      <c r="C193" s="20" t="s">
        <v>773</v>
      </c>
      <c r="D193" s="138">
        <v>1770000</v>
      </c>
      <c r="E193" s="20" t="s">
        <v>506</v>
      </c>
      <c r="F193" s="20" t="s">
        <v>507</v>
      </c>
      <c r="G193" s="8" t="str">
        <f t="shared" si="4"/>
        <v>BRUDER RICHARD</v>
      </c>
      <c r="H193" s="20" t="str">
        <f t="shared" si="5"/>
        <v>4031</v>
      </c>
    </row>
    <row r="194" spans="1:8" x14ac:dyDescent="0.3">
      <c r="A194" s="8">
        <v>43019.725243055553</v>
      </c>
      <c r="B194" s="20" t="s">
        <v>465</v>
      </c>
      <c r="C194" s="20" t="s">
        <v>774</v>
      </c>
      <c r="D194" s="138">
        <v>2370000</v>
      </c>
      <c r="E194" s="20" t="s">
        <v>710</v>
      </c>
      <c r="F194" s="20" t="s">
        <v>711</v>
      </c>
      <c r="G194" s="8" t="str">
        <f t="shared" si="4"/>
        <v>DELGADO DIANAH</v>
      </c>
      <c r="H194" s="20" t="str">
        <f t="shared" si="5"/>
        <v>4016</v>
      </c>
    </row>
    <row r="195" spans="1:8" x14ac:dyDescent="0.3">
      <c r="A195" s="8">
        <v>43019.727719907409</v>
      </c>
      <c r="B195" s="20" t="s">
        <v>384</v>
      </c>
      <c r="C195" s="20" t="s">
        <v>775</v>
      </c>
      <c r="D195" s="138">
        <v>1180000</v>
      </c>
      <c r="E195" s="20" t="s">
        <v>409</v>
      </c>
      <c r="F195" s="20" t="s">
        <v>410</v>
      </c>
      <c r="G195" s="8" t="str">
        <f t="shared" ref="G195:G258" si="6">E195&amp;" "&amp;F195</f>
        <v>LEVERE CRAIG</v>
      </c>
      <c r="H195" s="20" t="str">
        <f t="shared" ref="H195:H258" si="7">MID(B195,13,4)</f>
        <v>4063</v>
      </c>
    </row>
    <row r="196" spans="1:8" x14ac:dyDescent="0.3">
      <c r="A196" s="8">
        <v>43019.733865740738</v>
      </c>
      <c r="B196" s="20" t="s">
        <v>497</v>
      </c>
      <c r="C196" s="20" t="s">
        <v>603</v>
      </c>
      <c r="D196" s="138">
        <v>2000000</v>
      </c>
      <c r="E196" s="20" t="s">
        <v>373</v>
      </c>
      <c r="F196" s="20" t="s">
        <v>362</v>
      </c>
      <c r="G196" s="8" t="str">
        <f t="shared" si="6"/>
        <v>STAMBAUGH JAMES</v>
      </c>
      <c r="H196" s="20" t="str">
        <f t="shared" si="7"/>
        <v>4044</v>
      </c>
    </row>
    <row r="197" spans="1:8" x14ac:dyDescent="0.3">
      <c r="A197" s="8">
        <v>43019.734201388892</v>
      </c>
      <c r="B197" s="20" t="s">
        <v>494</v>
      </c>
      <c r="C197" s="20" t="s">
        <v>776</v>
      </c>
      <c r="D197" s="138">
        <v>880000</v>
      </c>
      <c r="E197" s="20" t="s">
        <v>472</v>
      </c>
      <c r="F197" s="20" t="s">
        <v>400</v>
      </c>
      <c r="G197" s="8" t="str">
        <f t="shared" si="6"/>
        <v>STEWART MICHAEL</v>
      </c>
      <c r="H197" s="20" t="str">
        <f t="shared" si="7"/>
        <v>4035</v>
      </c>
    </row>
    <row r="198" spans="1:8" x14ac:dyDescent="0.3">
      <c r="A198" s="8">
        <v>43019.735555555555</v>
      </c>
      <c r="B198" s="20" t="s">
        <v>426</v>
      </c>
      <c r="C198" s="20" t="s">
        <v>604</v>
      </c>
      <c r="D198" s="138">
        <v>2970000</v>
      </c>
      <c r="E198" s="20" t="s">
        <v>470</v>
      </c>
      <c r="F198" s="20" t="s">
        <v>471</v>
      </c>
      <c r="G198" s="8" t="str">
        <f t="shared" si="6"/>
        <v>GUZMAN DANNY</v>
      </c>
      <c r="H198" s="20" t="str">
        <f t="shared" si="7"/>
        <v>4017</v>
      </c>
    </row>
    <row r="199" spans="1:8" x14ac:dyDescent="0.3">
      <c r="A199" s="8">
        <v>43019.736215277779</v>
      </c>
      <c r="B199" s="20" t="s">
        <v>601</v>
      </c>
      <c r="C199" s="20" t="s">
        <v>777</v>
      </c>
      <c r="D199" s="138">
        <v>2680000</v>
      </c>
      <c r="E199" s="20" t="s">
        <v>365</v>
      </c>
      <c r="F199" s="20" t="s">
        <v>366</v>
      </c>
      <c r="G199" s="8" t="str">
        <f t="shared" si="6"/>
        <v>DUNCAN SHEILA</v>
      </c>
      <c r="H199" s="20" t="str">
        <f t="shared" si="7"/>
        <v>4014</v>
      </c>
    </row>
    <row r="200" spans="1:8" x14ac:dyDescent="0.3">
      <c r="A200" s="8">
        <v>43019.746423611112</v>
      </c>
      <c r="B200" s="20" t="s">
        <v>401</v>
      </c>
      <c r="C200" s="20" t="s">
        <v>778</v>
      </c>
      <c r="D200" s="138">
        <v>2030000</v>
      </c>
      <c r="E200" s="20" t="s">
        <v>722</v>
      </c>
      <c r="F200" s="20" t="s">
        <v>723</v>
      </c>
      <c r="G200" s="8" t="str">
        <f t="shared" si="6"/>
        <v>KILLION DAVID</v>
      </c>
      <c r="H200" s="20" t="str">
        <f t="shared" si="7"/>
        <v>4008</v>
      </c>
    </row>
    <row r="201" spans="1:8" x14ac:dyDescent="0.3">
      <c r="A201" s="8">
        <v>43019.747800925928</v>
      </c>
      <c r="B201" s="20" t="s">
        <v>492</v>
      </c>
      <c r="C201" s="20" t="s">
        <v>605</v>
      </c>
      <c r="D201" s="138">
        <v>2000000</v>
      </c>
      <c r="E201" s="20" t="s">
        <v>373</v>
      </c>
      <c r="F201" s="20" t="s">
        <v>362</v>
      </c>
      <c r="G201" s="8" t="str">
        <f t="shared" si="6"/>
        <v>STAMBAUGH JAMES</v>
      </c>
      <c r="H201" s="20" t="str">
        <f t="shared" si="7"/>
        <v>4043</v>
      </c>
    </row>
    <row r="202" spans="1:8" x14ac:dyDescent="0.3">
      <c r="A202" s="26">
        <v>43019.748391203706</v>
      </c>
      <c r="B202" s="20" t="s">
        <v>589</v>
      </c>
      <c r="C202" s="20" t="s">
        <v>779</v>
      </c>
      <c r="D202" s="138">
        <v>1300000</v>
      </c>
      <c r="E202" s="20" t="s">
        <v>411</v>
      </c>
      <c r="F202" s="20" t="s">
        <v>412</v>
      </c>
      <c r="G202" s="8" t="str">
        <f t="shared" si="6"/>
        <v>LEVIN SCOTT</v>
      </c>
      <c r="H202" s="20" t="str">
        <f t="shared" si="7"/>
        <v>4045</v>
      </c>
    </row>
    <row r="203" spans="1:8" x14ac:dyDescent="0.3">
      <c r="A203" s="8">
        <v>43019.752199074072</v>
      </c>
      <c r="B203" s="20" t="s">
        <v>385</v>
      </c>
      <c r="C203" s="20" t="s">
        <v>780</v>
      </c>
      <c r="D203" s="138">
        <v>1180000</v>
      </c>
      <c r="E203" s="20" t="s">
        <v>409</v>
      </c>
      <c r="F203" s="20" t="s">
        <v>410</v>
      </c>
      <c r="G203" s="8" t="str">
        <f t="shared" si="6"/>
        <v>LEVERE CRAIG</v>
      </c>
      <c r="H203" s="20" t="str">
        <f t="shared" si="7"/>
        <v>4064</v>
      </c>
    </row>
    <row r="204" spans="1:8" x14ac:dyDescent="0.3">
      <c r="A204" s="8">
        <v>43019.754259259258</v>
      </c>
      <c r="B204" s="20" t="s">
        <v>584</v>
      </c>
      <c r="C204" s="20" t="s">
        <v>781</v>
      </c>
      <c r="D204" s="138">
        <v>3320000</v>
      </c>
      <c r="E204" s="20" t="s">
        <v>368</v>
      </c>
      <c r="F204" s="20" t="s">
        <v>369</v>
      </c>
      <c r="G204" s="8" t="str">
        <f t="shared" si="6"/>
        <v>NICHOLSON WESLEY</v>
      </c>
      <c r="H204" s="20" t="str">
        <f t="shared" si="7"/>
        <v>4001</v>
      </c>
    </row>
    <row r="205" spans="1:8" x14ac:dyDescent="0.3">
      <c r="A205" s="8">
        <v>43019.756342592591</v>
      </c>
      <c r="B205" s="20" t="s">
        <v>591</v>
      </c>
      <c r="C205" s="20" t="s">
        <v>782</v>
      </c>
      <c r="D205" s="138">
        <v>2370000</v>
      </c>
      <c r="E205" s="20" t="s">
        <v>710</v>
      </c>
      <c r="F205" s="20" t="s">
        <v>711</v>
      </c>
      <c r="G205" s="8" t="str">
        <f t="shared" si="6"/>
        <v>DELGADO DIANAH</v>
      </c>
      <c r="H205" s="20" t="str">
        <f t="shared" si="7"/>
        <v>4015</v>
      </c>
    </row>
    <row r="206" spans="1:8" x14ac:dyDescent="0.3">
      <c r="A206" s="8">
        <v>43019.756597222222</v>
      </c>
      <c r="B206" s="20" t="s">
        <v>609</v>
      </c>
      <c r="C206" s="20" t="s">
        <v>783</v>
      </c>
      <c r="D206" s="138">
        <v>890000</v>
      </c>
      <c r="E206" s="20" t="s">
        <v>359</v>
      </c>
      <c r="F206" s="20" t="s">
        <v>360</v>
      </c>
      <c r="G206" s="8" t="str">
        <f t="shared" si="6"/>
        <v>LOZA FIDEL</v>
      </c>
      <c r="H206" s="20" t="str">
        <f t="shared" si="7"/>
        <v>4032</v>
      </c>
    </row>
    <row r="207" spans="1:8" x14ac:dyDescent="0.3">
      <c r="A207" s="8">
        <v>43019.763969907406</v>
      </c>
      <c r="B207" s="20" t="s">
        <v>584</v>
      </c>
      <c r="C207" s="20" t="s">
        <v>781</v>
      </c>
      <c r="D207" s="138">
        <v>3320000</v>
      </c>
      <c r="E207" s="20" t="s">
        <v>368</v>
      </c>
      <c r="F207" s="20" t="s">
        <v>369</v>
      </c>
      <c r="G207" s="8" t="str">
        <f t="shared" si="6"/>
        <v>NICHOLSON WESLEY</v>
      </c>
      <c r="H207" s="20" t="str">
        <f t="shared" si="7"/>
        <v>4001</v>
      </c>
    </row>
    <row r="208" spans="1:8" x14ac:dyDescent="0.3">
      <c r="A208" s="8">
        <v>43019.767476851855</v>
      </c>
      <c r="B208" s="20" t="s">
        <v>450</v>
      </c>
      <c r="C208" s="20" t="s">
        <v>784</v>
      </c>
      <c r="D208" s="138">
        <v>2440000</v>
      </c>
      <c r="E208" s="20" t="s">
        <v>785</v>
      </c>
      <c r="F208" s="20" t="s">
        <v>786</v>
      </c>
      <c r="G208" s="8" t="str">
        <f t="shared" si="6"/>
        <v>LOPES KIMBERLY</v>
      </c>
      <c r="H208" s="20" t="str">
        <f t="shared" si="7"/>
        <v>4036</v>
      </c>
    </row>
    <row r="209" spans="1:8" x14ac:dyDescent="0.3">
      <c r="A209" s="8">
        <v>43019.76971064815</v>
      </c>
      <c r="B209" s="20" t="s">
        <v>384</v>
      </c>
      <c r="C209" s="20" t="s">
        <v>787</v>
      </c>
      <c r="D209" s="138">
        <v>1180000</v>
      </c>
      <c r="E209" s="20" t="s">
        <v>409</v>
      </c>
      <c r="F209" s="20" t="s">
        <v>410</v>
      </c>
      <c r="G209" s="8" t="str">
        <f t="shared" si="6"/>
        <v>LEVERE CRAIG</v>
      </c>
      <c r="H209" s="20" t="str">
        <f t="shared" si="7"/>
        <v>4063</v>
      </c>
    </row>
    <row r="210" spans="1:8" x14ac:dyDescent="0.3">
      <c r="A210" s="8">
        <v>43019.77375</v>
      </c>
      <c r="B210" s="20" t="s">
        <v>586</v>
      </c>
      <c r="C210" s="20" t="s">
        <v>788</v>
      </c>
      <c r="D210" s="138">
        <v>2680000</v>
      </c>
      <c r="E210" s="20" t="s">
        <v>365</v>
      </c>
      <c r="F210" s="20" t="s">
        <v>366</v>
      </c>
      <c r="G210" s="8" t="str">
        <f t="shared" si="6"/>
        <v>DUNCAN SHEILA</v>
      </c>
      <c r="H210" s="20" t="str">
        <f t="shared" si="7"/>
        <v>4013</v>
      </c>
    </row>
    <row r="211" spans="1:8" x14ac:dyDescent="0.3">
      <c r="A211" s="8">
        <v>43019.774282407408</v>
      </c>
      <c r="B211" s="20" t="s">
        <v>497</v>
      </c>
      <c r="C211" s="20" t="s">
        <v>606</v>
      </c>
      <c r="D211" s="138">
        <v>2000000</v>
      </c>
      <c r="E211" s="20" t="s">
        <v>373</v>
      </c>
      <c r="F211" s="20" t="s">
        <v>362</v>
      </c>
      <c r="G211" s="8" t="str">
        <f t="shared" si="6"/>
        <v>STAMBAUGH JAMES</v>
      </c>
      <c r="H211" s="20" t="str">
        <f t="shared" si="7"/>
        <v>4044</v>
      </c>
    </row>
    <row r="212" spans="1:8" x14ac:dyDescent="0.3">
      <c r="A212" s="8">
        <v>43019.777083333334</v>
      </c>
      <c r="B212" s="20" t="s">
        <v>425</v>
      </c>
      <c r="C212" s="20" t="s">
        <v>789</v>
      </c>
      <c r="D212" s="138">
        <v>2970000</v>
      </c>
      <c r="E212" s="20" t="s">
        <v>470</v>
      </c>
      <c r="F212" s="20" t="s">
        <v>471</v>
      </c>
      <c r="G212" s="8" t="str">
        <f t="shared" si="6"/>
        <v>GUZMAN DANNY</v>
      </c>
      <c r="H212" s="20" t="str">
        <f t="shared" si="7"/>
        <v>4018</v>
      </c>
    </row>
    <row r="213" spans="1:8" x14ac:dyDescent="0.3">
      <c r="A213" s="8">
        <v>43019.7815625</v>
      </c>
      <c r="B213" s="20" t="s">
        <v>418</v>
      </c>
      <c r="C213" s="20" t="s">
        <v>790</v>
      </c>
      <c r="D213" s="138">
        <v>2030000</v>
      </c>
      <c r="E213" s="20" t="s">
        <v>722</v>
      </c>
      <c r="F213" s="20" t="s">
        <v>723</v>
      </c>
      <c r="G213" s="8" t="str">
        <f t="shared" si="6"/>
        <v>KILLION DAVID</v>
      </c>
      <c r="H213" s="20" t="str">
        <f t="shared" si="7"/>
        <v>4007</v>
      </c>
    </row>
    <row r="214" spans="1:8" x14ac:dyDescent="0.3">
      <c r="A214" s="8">
        <v>43019.787129629629</v>
      </c>
      <c r="B214" s="20" t="s">
        <v>464</v>
      </c>
      <c r="C214" s="20" t="s">
        <v>791</v>
      </c>
      <c r="D214" s="138">
        <v>3310000</v>
      </c>
      <c r="E214" s="20" t="s">
        <v>388</v>
      </c>
      <c r="F214" s="20" t="s">
        <v>389</v>
      </c>
      <c r="G214" s="8" t="str">
        <f t="shared" si="6"/>
        <v>ANDERS STEVEN</v>
      </c>
      <c r="H214" s="20" t="str">
        <f t="shared" si="7"/>
        <v>4046</v>
      </c>
    </row>
    <row r="215" spans="1:8" x14ac:dyDescent="0.3">
      <c r="A215" s="8">
        <v>43019.789317129631</v>
      </c>
      <c r="B215" s="20" t="s">
        <v>492</v>
      </c>
      <c r="C215" s="20" t="s">
        <v>792</v>
      </c>
      <c r="D215" s="138">
        <v>2000000</v>
      </c>
      <c r="E215" s="20" t="s">
        <v>373</v>
      </c>
      <c r="F215" s="20" t="s">
        <v>362</v>
      </c>
      <c r="G215" s="8" t="str">
        <f t="shared" si="6"/>
        <v>STAMBAUGH JAMES</v>
      </c>
      <c r="H215" s="20" t="str">
        <f t="shared" si="7"/>
        <v>4043</v>
      </c>
    </row>
    <row r="216" spans="1:8" x14ac:dyDescent="0.3">
      <c r="A216" s="8">
        <v>43019.793900462966</v>
      </c>
      <c r="B216" s="20" t="s">
        <v>385</v>
      </c>
      <c r="C216" s="20" t="s">
        <v>793</v>
      </c>
      <c r="D216" s="138">
        <v>1180000</v>
      </c>
      <c r="E216" s="20" t="s">
        <v>409</v>
      </c>
      <c r="F216" s="20" t="s">
        <v>410</v>
      </c>
      <c r="G216" s="8" t="str">
        <f t="shared" si="6"/>
        <v>LEVERE CRAIG</v>
      </c>
      <c r="H216" s="20" t="str">
        <f t="shared" si="7"/>
        <v>4064</v>
      </c>
    </row>
    <row r="217" spans="1:8" x14ac:dyDescent="0.3">
      <c r="A217" s="8">
        <v>43019.797812500001</v>
      </c>
      <c r="B217" s="20" t="s">
        <v>623</v>
      </c>
      <c r="C217" s="20" t="s">
        <v>794</v>
      </c>
      <c r="D217" s="138">
        <v>890000</v>
      </c>
      <c r="E217" s="20" t="s">
        <v>359</v>
      </c>
      <c r="F217" s="20" t="s">
        <v>360</v>
      </c>
      <c r="G217" s="8" t="str">
        <f t="shared" si="6"/>
        <v>LOZA FIDEL</v>
      </c>
      <c r="H217" s="20" t="str">
        <f t="shared" si="7"/>
        <v>4031</v>
      </c>
    </row>
    <row r="218" spans="1:8" x14ac:dyDescent="0.3">
      <c r="A218" s="8">
        <v>43019.798935185187</v>
      </c>
      <c r="B218" s="20" t="s">
        <v>465</v>
      </c>
      <c r="C218" s="20" t="s">
        <v>795</v>
      </c>
      <c r="D218" s="138">
        <v>2370000</v>
      </c>
      <c r="E218" s="20" t="s">
        <v>710</v>
      </c>
      <c r="F218" s="20" t="s">
        <v>711</v>
      </c>
      <c r="G218" s="8" t="str">
        <f t="shared" si="6"/>
        <v>DELGADO DIANAH</v>
      </c>
      <c r="H218" s="20" t="str">
        <f t="shared" si="7"/>
        <v>4016</v>
      </c>
    </row>
    <row r="219" spans="1:8" x14ac:dyDescent="0.3">
      <c r="A219" s="8">
        <v>43019.803495370368</v>
      </c>
      <c r="B219" s="20" t="s">
        <v>494</v>
      </c>
      <c r="C219" s="20" t="s">
        <v>796</v>
      </c>
      <c r="D219" s="138">
        <v>2440000</v>
      </c>
      <c r="E219" s="20" t="s">
        <v>785</v>
      </c>
      <c r="F219" s="20" t="s">
        <v>786</v>
      </c>
      <c r="G219" s="8" t="str">
        <f t="shared" si="6"/>
        <v>LOPES KIMBERLY</v>
      </c>
      <c r="H219" s="20" t="str">
        <f t="shared" si="7"/>
        <v>4035</v>
      </c>
    </row>
    <row r="220" spans="1:8" x14ac:dyDescent="0.3">
      <c r="A220" s="8">
        <v>43019.808587962965</v>
      </c>
      <c r="B220" s="20" t="s">
        <v>601</v>
      </c>
      <c r="C220" s="20" t="s">
        <v>797</v>
      </c>
      <c r="D220" s="138">
        <v>2680000</v>
      </c>
      <c r="E220" s="20" t="s">
        <v>365</v>
      </c>
      <c r="F220" s="20" t="s">
        <v>366</v>
      </c>
      <c r="G220" s="8" t="str">
        <f t="shared" si="6"/>
        <v>DUNCAN SHEILA</v>
      </c>
      <c r="H220" s="20" t="str">
        <f t="shared" si="7"/>
        <v>4014</v>
      </c>
    </row>
    <row r="221" spans="1:8" x14ac:dyDescent="0.3">
      <c r="A221" s="8">
        <v>43019.811261574076</v>
      </c>
      <c r="B221" s="20" t="s">
        <v>384</v>
      </c>
      <c r="C221" s="20" t="s">
        <v>798</v>
      </c>
      <c r="D221" s="138">
        <v>1180000</v>
      </c>
      <c r="E221" s="20" t="s">
        <v>409</v>
      </c>
      <c r="F221" s="20" t="s">
        <v>410</v>
      </c>
      <c r="G221" s="8" t="str">
        <f t="shared" si="6"/>
        <v>LEVERE CRAIG</v>
      </c>
      <c r="H221" s="20" t="str">
        <f t="shared" si="7"/>
        <v>4063</v>
      </c>
    </row>
    <row r="222" spans="1:8" x14ac:dyDescent="0.3">
      <c r="A222" s="8">
        <v>43019.819016203706</v>
      </c>
      <c r="B222" s="20" t="s">
        <v>401</v>
      </c>
      <c r="C222" s="20" t="s">
        <v>799</v>
      </c>
      <c r="D222" s="138">
        <v>2030000</v>
      </c>
      <c r="E222" s="20" t="s">
        <v>722</v>
      </c>
      <c r="F222" s="20" t="s">
        <v>723</v>
      </c>
      <c r="G222" s="8" t="str">
        <f t="shared" si="6"/>
        <v>KILLION DAVID</v>
      </c>
      <c r="H222" s="20" t="str">
        <f t="shared" si="7"/>
        <v>4008</v>
      </c>
    </row>
    <row r="223" spans="1:8" x14ac:dyDescent="0.3">
      <c r="A223" s="8">
        <v>43019.830023148148</v>
      </c>
      <c r="B223" s="20" t="s">
        <v>589</v>
      </c>
      <c r="C223" s="20" t="s">
        <v>800</v>
      </c>
      <c r="D223" s="138">
        <v>3310000</v>
      </c>
      <c r="E223" s="20" t="s">
        <v>388</v>
      </c>
      <c r="F223" s="20" t="s">
        <v>389</v>
      </c>
      <c r="G223" s="8" t="str">
        <f t="shared" si="6"/>
        <v>ANDERS STEVEN</v>
      </c>
      <c r="H223" s="20" t="str">
        <f t="shared" si="7"/>
        <v>4045</v>
      </c>
    </row>
    <row r="224" spans="1:8" x14ac:dyDescent="0.3">
      <c r="A224" s="8">
        <v>43019.830104166664</v>
      </c>
      <c r="B224" t="s">
        <v>609</v>
      </c>
      <c r="C224" t="s">
        <v>801</v>
      </c>
      <c r="D224" s="138">
        <v>890000</v>
      </c>
      <c r="E224" t="s">
        <v>359</v>
      </c>
      <c r="F224" s="20" t="s">
        <v>360</v>
      </c>
      <c r="G224" s="8" t="str">
        <f t="shared" si="6"/>
        <v>LOZA FIDEL</v>
      </c>
      <c r="H224" s="20" t="str">
        <f t="shared" si="7"/>
        <v>4032</v>
      </c>
    </row>
    <row r="225" spans="1:8" x14ac:dyDescent="0.3">
      <c r="A225" s="8">
        <v>43019.836712962962</v>
      </c>
      <c r="B225" t="s">
        <v>385</v>
      </c>
      <c r="C225" t="s">
        <v>802</v>
      </c>
      <c r="D225" s="138">
        <v>1180000</v>
      </c>
      <c r="E225" t="s">
        <v>409</v>
      </c>
      <c r="F225" s="20" t="s">
        <v>410</v>
      </c>
      <c r="G225" s="8" t="str">
        <f t="shared" si="6"/>
        <v>LEVERE CRAIG</v>
      </c>
      <c r="H225" s="20" t="str">
        <f t="shared" si="7"/>
        <v>4064</v>
      </c>
    </row>
    <row r="226" spans="1:8" x14ac:dyDescent="0.3">
      <c r="A226" s="8">
        <v>43019.840787037036</v>
      </c>
      <c r="B226" t="s">
        <v>586</v>
      </c>
      <c r="C226" t="s">
        <v>803</v>
      </c>
      <c r="D226" s="138">
        <v>2680000</v>
      </c>
      <c r="E226" t="s">
        <v>365</v>
      </c>
      <c r="F226" s="20" t="s">
        <v>366</v>
      </c>
      <c r="G226" s="8" t="str">
        <f t="shared" si="6"/>
        <v>DUNCAN SHEILA</v>
      </c>
      <c r="H226" s="20" t="str">
        <f t="shared" si="7"/>
        <v>4013</v>
      </c>
    </row>
    <row r="227" spans="1:8" x14ac:dyDescent="0.3">
      <c r="A227" s="8">
        <v>43019.84275462963</v>
      </c>
      <c r="B227" t="s">
        <v>450</v>
      </c>
      <c r="C227" t="s">
        <v>804</v>
      </c>
      <c r="D227" s="138">
        <v>2440000</v>
      </c>
      <c r="E227" t="s">
        <v>785</v>
      </c>
      <c r="F227" s="20" t="s">
        <v>786</v>
      </c>
      <c r="G227" s="8" t="str">
        <f t="shared" si="6"/>
        <v>LOPES KIMBERLY</v>
      </c>
      <c r="H227" s="20" t="str">
        <f t="shared" si="7"/>
        <v>4036</v>
      </c>
    </row>
    <row r="228" spans="1:8" x14ac:dyDescent="0.3">
      <c r="A228" s="8">
        <v>43019.852986111109</v>
      </c>
      <c r="B228" t="s">
        <v>384</v>
      </c>
      <c r="C228" t="s">
        <v>805</v>
      </c>
      <c r="D228" s="138">
        <v>1180000</v>
      </c>
      <c r="E228" t="s">
        <v>409</v>
      </c>
      <c r="F228" s="20" t="s">
        <v>410</v>
      </c>
      <c r="G228" s="8" t="str">
        <f t="shared" si="6"/>
        <v>LEVERE CRAIG</v>
      </c>
      <c r="H228" s="20" t="str">
        <f t="shared" si="7"/>
        <v>4063</v>
      </c>
    </row>
    <row r="229" spans="1:8" x14ac:dyDescent="0.3">
      <c r="A229" s="8">
        <v>43019.87190972222</v>
      </c>
      <c r="B229" t="s">
        <v>623</v>
      </c>
      <c r="C229" t="s">
        <v>806</v>
      </c>
      <c r="D229" s="138">
        <v>890000</v>
      </c>
      <c r="E229" t="s">
        <v>359</v>
      </c>
      <c r="F229" s="20" t="s">
        <v>360</v>
      </c>
      <c r="G229" s="8" t="str">
        <f t="shared" si="6"/>
        <v>LOZA FIDEL</v>
      </c>
      <c r="H229" s="20" t="str">
        <f t="shared" si="7"/>
        <v>4031</v>
      </c>
    </row>
    <row r="230" spans="1:8" x14ac:dyDescent="0.3">
      <c r="A230" s="8">
        <v>43019.872685185182</v>
      </c>
      <c r="B230" t="s">
        <v>464</v>
      </c>
      <c r="C230" t="s">
        <v>807</v>
      </c>
      <c r="D230" s="138">
        <v>3310000</v>
      </c>
      <c r="E230" t="s">
        <v>388</v>
      </c>
      <c r="F230" s="20" t="s">
        <v>389</v>
      </c>
      <c r="G230" s="8" t="str">
        <f t="shared" si="6"/>
        <v>ANDERS STEVEN</v>
      </c>
      <c r="H230" s="20" t="str">
        <f t="shared" si="7"/>
        <v>4046</v>
      </c>
    </row>
    <row r="231" spans="1:8" x14ac:dyDescent="0.3">
      <c r="A231" s="8">
        <v>43019.87909722222</v>
      </c>
      <c r="B231" t="s">
        <v>385</v>
      </c>
      <c r="C231" t="s">
        <v>607</v>
      </c>
      <c r="D231" s="138">
        <v>2000000</v>
      </c>
      <c r="E231" t="s">
        <v>373</v>
      </c>
      <c r="F231" s="20" t="s">
        <v>362</v>
      </c>
      <c r="G231" s="8" t="str">
        <f t="shared" si="6"/>
        <v>STAMBAUGH JAMES</v>
      </c>
      <c r="H231" s="20" t="str">
        <f t="shared" si="7"/>
        <v>4064</v>
      </c>
    </row>
    <row r="232" spans="1:8" x14ac:dyDescent="0.3">
      <c r="A232" s="8">
        <v>43019.882893518516</v>
      </c>
      <c r="B232" t="s">
        <v>385</v>
      </c>
      <c r="C232" t="s">
        <v>607</v>
      </c>
      <c r="D232" s="138">
        <v>2000000</v>
      </c>
      <c r="E232" t="s">
        <v>373</v>
      </c>
      <c r="F232" s="20" t="s">
        <v>362</v>
      </c>
      <c r="G232" s="8" t="str">
        <f t="shared" si="6"/>
        <v>STAMBAUGH JAMES</v>
      </c>
      <c r="H232" s="20" t="str">
        <f t="shared" si="7"/>
        <v>4064</v>
      </c>
    </row>
    <row r="233" spans="1:8" x14ac:dyDescent="0.3">
      <c r="A233" s="8">
        <v>43019.883564814816</v>
      </c>
      <c r="B233" t="s">
        <v>601</v>
      </c>
      <c r="C233" t="s">
        <v>808</v>
      </c>
      <c r="D233" s="138">
        <v>3320000</v>
      </c>
      <c r="E233" t="s">
        <v>368</v>
      </c>
      <c r="F233" s="20" t="s">
        <v>369</v>
      </c>
      <c r="G233" s="8" t="str">
        <f t="shared" si="6"/>
        <v>NICHOLSON WESLEY</v>
      </c>
      <c r="H233" s="20" t="str">
        <f t="shared" si="7"/>
        <v>4014</v>
      </c>
    </row>
    <row r="234" spans="1:8" x14ac:dyDescent="0.3">
      <c r="A234" s="8">
        <v>43019.88784722222</v>
      </c>
      <c r="B234" t="s">
        <v>494</v>
      </c>
      <c r="C234" t="s">
        <v>809</v>
      </c>
      <c r="D234" s="138">
        <v>2440000</v>
      </c>
      <c r="E234" t="s">
        <v>785</v>
      </c>
      <c r="F234" s="20" t="s">
        <v>786</v>
      </c>
      <c r="G234" s="8" t="str">
        <f t="shared" si="6"/>
        <v>LOPES KIMBERLY</v>
      </c>
      <c r="H234" s="20" t="str">
        <f t="shared" si="7"/>
        <v>4035</v>
      </c>
    </row>
    <row r="235" spans="1:8" x14ac:dyDescent="0.3">
      <c r="A235" s="8">
        <v>43019.89435185185</v>
      </c>
      <c r="B235" t="s">
        <v>384</v>
      </c>
      <c r="C235" t="s">
        <v>608</v>
      </c>
      <c r="D235" s="138">
        <v>2000000</v>
      </c>
      <c r="E235" t="s">
        <v>373</v>
      </c>
      <c r="F235" s="20" t="s">
        <v>362</v>
      </c>
      <c r="G235" s="8" t="str">
        <f t="shared" si="6"/>
        <v>STAMBAUGH JAMES</v>
      </c>
      <c r="H235" s="20" t="str">
        <f t="shared" si="7"/>
        <v>4063</v>
      </c>
    </row>
    <row r="236" spans="1:8" x14ac:dyDescent="0.3">
      <c r="A236" s="8">
        <v>43019.896469907406</v>
      </c>
      <c r="B236" t="s">
        <v>384</v>
      </c>
      <c r="C236" t="s">
        <v>608</v>
      </c>
      <c r="D236" s="138">
        <v>2000000</v>
      </c>
      <c r="E236" t="s">
        <v>373</v>
      </c>
      <c r="F236" s="20" t="s">
        <v>362</v>
      </c>
      <c r="G236" s="8" t="str">
        <f t="shared" si="6"/>
        <v>STAMBAUGH JAMES</v>
      </c>
      <c r="H236" s="20" t="str">
        <f t="shared" si="7"/>
        <v>4063</v>
      </c>
    </row>
    <row r="237" spans="1:8" x14ac:dyDescent="0.3">
      <c r="A237" s="8">
        <v>43019.902662037035</v>
      </c>
      <c r="B237" t="s">
        <v>609</v>
      </c>
      <c r="C237" t="s">
        <v>610</v>
      </c>
      <c r="D237" s="138">
        <v>890000</v>
      </c>
      <c r="E237" t="s">
        <v>359</v>
      </c>
      <c r="F237" s="20" t="s">
        <v>360</v>
      </c>
      <c r="G237" s="8" t="str">
        <f t="shared" si="6"/>
        <v>LOZA FIDEL</v>
      </c>
      <c r="H237" s="20" t="str">
        <f t="shared" si="7"/>
        <v>4032</v>
      </c>
    </row>
    <row r="238" spans="1:8" x14ac:dyDescent="0.3">
      <c r="A238" s="8">
        <v>43019.912881944445</v>
      </c>
      <c r="B238" t="s">
        <v>589</v>
      </c>
      <c r="C238" t="s">
        <v>810</v>
      </c>
      <c r="D238" s="138">
        <v>3310000</v>
      </c>
      <c r="E238" t="s">
        <v>388</v>
      </c>
      <c r="F238" s="20" t="s">
        <v>389</v>
      </c>
      <c r="G238" s="8" t="str">
        <f t="shared" si="6"/>
        <v>ANDERS STEVEN</v>
      </c>
      <c r="H238" s="20" t="str">
        <f t="shared" si="7"/>
        <v>4045</v>
      </c>
    </row>
    <row r="239" spans="1:8" x14ac:dyDescent="0.3">
      <c r="A239" s="8">
        <v>43019.921631944446</v>
      </c>
      <c r="B239" t="s">
        <v>385</v>
      </c>
      <c r="C239" t="s">
        <v>811</v>
      </c>
      <c r="D239" s="138">
        <v>2000000</v>
      </c>
      <c r="E239" t="s">
        <v>373</v>
      </c>
      <c r="F239" s="20" t="s">
        <v>362</v>
      </c>
      <c r="G239" s="8" t="str">
        <f t="shared" si="6"/>
        <v>STAMBAUGH JAMES</v>
      </c>
      <c r="H239" s="20" t="str">
        <f t="shared" si="7"/>
        <v>4064</v>
      </c>
    </row>
    <row r="240" spans="1:8" x14ac:dyDescent="0.3">
      <c r="A240" s="8">
        <v>43019.92428240741</v>
      </c>
      <c r="B240" t="s">
        <v>450</v>
      </c>
      <c r="C240" t="s">
        <v>812</v>
      </c>
      <c r="D240" s="138">
        <v>2540000</v>
      </c>
      <c r="E240" t="s">
        <v>429</v>
      </c>
      <c r="F240" s="20" t="s">
        <v>430</v>
      </c>
      <c r="G240" s="8" t="str">
        <f t="shared" si="6"/>
        <v>MCREYNOLDS KYLE</v>
      </c>
      <c r="H240" s="20" t="str">
        <f t="shared" si="7"/>
        <v>4036</v>
      </c>
    </row>
    <row r="241" spans="1:8" x14ac:dyDescent="0.3">
      <c r="A241" s="8">
        <v>43019.931342592594</v>
      </c>
      <c r="B241" t="s">
        <v>589</v>
      </c>
      <c r="C241" t="s">
        <v>810</v>
      </c>
      <c r="D241" s="138">
        <v>3310000</v>
      </c>
      <c r="E241" t="s">
        <v>388</v>
      </c>
      <c r="F241" s="20" t="s">
        <v>389</v>
      </c>
      <c r="G241" s="8" t="str">
        <f t="shared" si="6"/>
        <v>ANDERS STEVEN</v>
      </c>
      <c r="H241" s="20" t="str">
        <f t="shared" si="7"/>
        <v>4045</v>
      </c>
    </row>
    <row r="242" spans="1:8" x14ac:dyDescent="0.3">
      <c r="A242" s="8">
        <v>43019.932164351849</v>
      </c>
      <c r="B242" t="s">
        <v>586</v>
      </c>
      <c r="C242" t="s">
        <v>813</v>
      </c>
      <c r="D242" s="138">
        <v>3320000</v>
      </c>
      <c r="E242" t="s">
        <v>368</v>
      </c>
      <c r="F242" s="20" t="s">
        <v>369</v>
      </c>
      <c r="G242" s="8" t="str">
        <f t="shared" si="6"/>
        <v>NICHOLSON WESLEY</v>
      </c>
      <c r="H242" s="20" t="str">
        <f t="shared" si="7"/>
        <v>4013</v>
      </c>
    </row>
    <row r="243" spans="1:8" x14ac:dyDescent="0.3">
      <c r="A243" s="8">
        <v>43019.933738425927</v>
      </c>
      <c r="B243" t="s">
        <v>384</v>
      </c>
      <c r="C243" t="s">
        <v>814</v>
      </c>
      <c r="D243" s="138">
        <v>2000000</v>
      </c>
      <c r="E243" t="s">
        <v>373</v>
      </c>
      <c r="F243" s="20" t="s">
        <v>362</v>
      </c>
      <c r="G243" s="8" t="str">
        <f t="shared" si="6"/>
        <v>STAMBAUGH JAMES</v>
      </c>
      <c r="H243" s="20" t="str">
        <f t="shared" si="7"/>
        <v>4063</v>
      </c>
    </row>
    <row r="244" spans="1:8" x14ac:dyDescent="0.3">
      <c r="A244" s="8">
        <v>43019.951805555553</v>
      </c>
      <c r="B244" t="s">
        <v>586</v>
      </c>
      <c r="C244" t="s">
        <v>813</v>
      </c>
      <c r="D244" s="138">
        <v>3320000</v>
      </c>
      <c r="E244" t="s">
        <v>368</v>
      </c>
      <c r="F244" s="20" t="s">
        <v>369</v>
      </c>
      <c r="G244" s="8" t="str">
        <f t="shared" si="6"/>
        <v>NICHOLSON WESLEY</v>
      </c>
      <c r="H244" s="20" t="str">
        <f t="shared" si="7"/>
        <v>4013</v>
      </c>
    </row>
    <row r="245" spans="1:8" x14ac:dyDescent="0.3">
      <c r="A245" s="8">
        <v>43019.952592592592</v>
      </c>
      <c r="B245" t="s">
        <v>623</v>
      </c>
      <c r="C245" t="s">
        <v>815</v>
      </c>
      <c r="D245" s="138">
        <v>890000</v>
      </c>
      <c r="E245" t="s">
        <v>359</v>
      </c>
      <c r="F245" s="20" t="s">
        <v>360</v>
      </c>
      <c r="G245" s="8" t="str">
        <f t="shared" si="6"/>
        <v>LOZA FIDEL</v>
      </c>
      <c r="H245" s="20" t="str">
        <f t="shared" si="7"/>
        <v>4031</v>
      </c>
    </row>
    <row r="246" spans="1:8" x14ac:dyDescent="0.3">
      <c r="A246" s="8">
        <v>43019.954224537039</v>
      </c>
      <c r="B246" t="s">
        <v>464</v>
      </c>
      <c r="C246" t="s">
        <v>816</v>
      </c>
      <c r="D246" s="138">
        <v>3310000</v>
      </c>
      <c r="E246" t="s">
        <v>388</v>
      </c>
      <c r="F246" s="20" t="s">
        <v>389</v>
      </c>
      <c r="G246" s="8" t="str">
        <f t="shared" si="6"/>
        <v>ANDERS STEVEN</v>
      </c>
      <c r="H246" s="20" t="str">
        <f t="shared" si="7"/>
        <v>4046</v>
      </c>
    </row>
    <row r="247" spans="1:8" x14ac:dyDescent="0.3">
      <c r="A247" s="8">
        <v>43019.959791666668</v>
      </c>
      <c r="B247" t="s">
        <v>385</v>
      </c>
      <c r="C247" t="s">
        <v>817</v>
      </c>
      <c r="D247" s="138">
        <v>2000000</v>
      </c>
      <c r="E247" t="s">
        <v>373</v>
      </c>
      <c r="F247" s="20" t="s">
        <v>362</v>
      </c>
      <c r="G247" s="8" t="str">
        <f t="shared" si="6"/>
        <v>STAMBAUGH JAMES</v>
      </c>
      <c r="H247" s="20" t="str">
        <f t="shared" si="7"/>
        <v>4064</v>
      </c>
    </row>
    <row r="248" spans="1:8" x14ac:dyDescent="0.3">
      <c r="A248" s="8">
        <v>43019.968888888892</v>
      </c>
      <c r="B248" t="s">
        <v>494</v>
      </c>
      <c r="C248" t="s">
        <v>818</v>
      </c>
      <c r="D248" s="138">
        <v>2540000</v>
      </c>
      <c r="E248" t="s">
        <v>429</v>
      </c>
      <c r="F248" s="20" t="s">
        <v>430</v>
      </c>
      <c r="G248" s="8" t="str">
        <f t="shared" si="6"/>
        <v>MCREYNOLDS KYLE</v>
      </c>
      <c r="H248" s="20" t="str">
        <f t="shared" si="7"/>
        <v>4035</v>
      </c>
    </row>
    <row r="249" spans="1:8" x14ac:dyDescent="0.3">
      <c r="A249" s="8">
        <v>43019.974305555559</v>
      </c>
      <c r="B249" t="s">
        <v>601</v>
      </c>
      <c r="C249" t="s">
        <v>819</v>
      </c>
      <c r="D249" s="138">
        <v>2680000</v>
      </c>
      <c r="E249" t="s">
        <v>365</v>
      </c>
      <c r="F249" s="20" t="s">
        <v>366</v>
      </c>
      <c r="G249" s="8" t="str">
        <f t="shared" si="6"/>
        <v>DUNCAN SHEILA</v>
      </c>
      <c r="H249" s="20" t="str">
        <f t="shared" si="7"/>
        <v>4014</v>
      </c>
    </row>
    <row r="250" spans="1:8" x14ac:dyDescent="0.3">
      <c r="A250" s="8">
        <v>43019.975057870368</v>
      </c>
      <c r="B250" t="s">
        <v>384</v>
      </c>
      <c r="C250" t="s">
        <v>820</v>
      </c>
      <c r="D250" s="138">
        <v>2000000</v>
      </c>
      <c r="E250" t="s">
        <v>373</v>
      </c>
      <c r="F250" s="20" t="s">
        <v>362</v>
      </c>
      <c r="G250" s="8" t="str">
        <f t="shared" si="6"/>
        <v>STAMBAUGH JAMES</v>
      </c>
      <c r="H250" s="20" t="str">
        <f t="shared" si="7"/>
        <v>4063</v>
      </c>
    </row>
    <row r="251" spans="1:8" x14ac:dyDescent="0.3">
      <c r="A251" s="8">
        <v>43019.985497685186</v>
      </c>
      <c r="B251" t="s">
        <v>589</v>
      </c>
      <c r="C251" t="s">
        <v>821</v>
      </c>
      <c r="D251" s="138">
        <v>3310000</v>
      </c>
      <c r="E251" t="s">
        <v>388</v>
      </c>
      <c r="F251" s="20" t="s">
        <v>389</v>
      </c>
      <c r="G251" s="8" t="str">
        <f t="shared" si="6"/>
        <v>ANDERS STEVEN</v>
      </c>
      <c r="H251" s="20" t="str">
        <f t="shared" si="7"/>
        <v>4045</v>
      </c>
    </row>
    <row r="252" spans="1:8" x14ac:dyDescent="0.3">
      <c r="A252" s="8">
        <v>43019.98809027778</v>
      </c>
      <c r="B252" t="s">
        <v>609</v>
      </c>
      <c r="C252" t="s">
        <v>822</v>
      </c>
      <c r="D252" s="138">
        <v>890000</v>
      </c>
      <c r="E252" t="s">
        <v>359</v>
      </c>
      <c r="F252" s="20" t="s">
        <v>360</v>
      </c>
      <c r="G252" s="8" t="str">
        <f t="shared" si="6"/>
        <v>LOZA FIDEL</v>
      </c>
      <c r="H252" s="20" t="str">
        <f t="shared" si="7"/>
        <v>4032</v>
      </c>
    </row>
    <row r="253" spans="1:8" x14ac:dyDescent="0.3">
      <c r="A253" s="8">
        <v>43020.005173611113</v>
      </c>
      <c r="B253" t="s">
        <v>586</v>
      </c>
      <c r="C253" t="s">
        <v>823</v>
      </c>
      <c r="D253" s="138">
        <v>2680000</v>
      </c>
      <c r="E253" t="s">
        <v>365</v>
      </c>
      <c r="F253" s="20" t="s">
        <v>366</v>
      </c>
      <c r="G253" s="8" t="str">
        <f t="shared" si="6"/>
        <v>DUNCAN SHEILA</v>
      </c>
      <c r="H253" s="20" t="str">
        <f t="shared" si="7"/>
        <v>4013</v>
      </c>
    </row>
    <row r="254" spans="1:8" x14ac:dyDescent="0.3">
      <c r="A254" s="8">
        <v>43020.006828703707</v>
      </c>
      <c r="B254" t="s">
        <v>450</v>
      </c>
      <c r="C254" t="s">
        <v>824</v>
      </c>
      <c r="D254" s="138">
        <v>2440000</v>
      </c>
      <c r="E254" t="s">
        <v>785</v>
      </c>
      <c r="F254" s="20" t="s">
        <v>786</v>
      </c>
      <c r="G254" s="8" t="str">
        <f t="shared" si="6"/>
        <v>LOPES KIMBERLY</v>
      </c>
      <c r="H254" s="20" t="str">
        <f t="shared" si="7"/>
        <v>4036</v>
      </c>
    </row>
    <row r="255" spans="1:8" x14ac:dyDescent="0.3">
      <c r="A255" s="8">
        <v>43020.027303240742</v>
      </c>
      <c r="B255" t="s">
        <v>464</v>
      </c>
      <c r="C255" t="s">
        <v>825</v>
      </c>
      <c r="D255" s="138">
        <v>3310000</v>
      </c>
      <c r="E255" t="s">
        <v>388</v>
      </c>
      <c r="F255" s="20" t="s">
        <v>389</v>
      </c>
      <c r="G255" s="8" t="str">
        <f t="shared" si="6"/>
        <v>ANDERS STEVEN</v>
      </c>
      <c r="H255" s="20" t="str">
        <f t="shared" si="7"/>
        <v>4046</v>
      </c>
    </row>
    <row r="256" spans="1:8" x14ac:dyDescent="0.3">
      <c r="A256" s="8">
        <v>43020.028726851851</v>
      </c>
      <c r="B256" t="s">
        <v>464</v>
      </c>
      <c r="C256" t="s">
        <v>825</v>
      </c>
      <c r="D256" s="138">
        <v>3310000</v>
      </c>
      <c r="E256" t="s">
        <v>388</v>
      </c>
      <c r="F256" s="20" t="s">
        <v>389</v>
      </c>
      <c r="G256" s="8" t="str">
        <f t="shared" si="6"/>
        <v>ANDERS STEVEN</v>
      </c>
      <c r="H256" s="20" t="str">
        <f t="shared" si="7"/>
        <v>4046</v>
      </c>
    </row>
    <row r="257" spans="1:8" x14ac:dyDescent="0.3">
      <c r="A257" s="8">
        <v>43020.030185185184</v>
      </c>
      <c r="B257" t="s">
        <v>688</v>
      </c>
      <c r="C257" t="s">
        <v>826</v>
      </c>
      <c r="D257" s="138">
        <v>3320000</v>
      </c>
      <c r="E257" t="s">
        <v>368</v>
      </c>
      <c r="F257" s="20" t="s">
        <v>369</v>
      </c>
      <c r="G257" s="8" t="str">
        <f t="shared" si="6"/>
        <v>NICHOLSON WESLEY</v>
      </c>
      <c r="H257" s="20" t="str">
        <f t="shared" si="7"/>
        <v>4002</v>
      </c>
    </row>
    <row r="258" spans="1:8" x14ac:dyDescent="0.3">
      <c r="A258" s="8">
        <v>43020.032430555555</v>
      </c>
      <c r="B258" t="s">
        <v>688</v>
      </c>
      <c r="C258" t="s">
        <v>826</v>
      </c>
      <c r="D258" s="138">
        <v>3320000</v>
      </c>
      <c r="E258" t="s">
        <v>368</v>
      </c>
      <c r="F258" s="20" t="s">
        <v>369</v>
      </c>
      <c r="G258" s="8" t="str">
        <f t="shared" si="6"/>
        <v>NICHOLSON WESLEY</v>
      </c>
      <c r="H258" s="20" t="str">
        <f t="shared" si="7"/>
        <v>4002</v>
      </c>
    </row>
    <row r="259" spans="1:8" x14ac:dyDescent="0.3">
      <c r="A259" s="8">
        <v>43020.03837962963</v>
      </c>
      <c r="B259" t="s">
        <v>584</v>
      </c>
      <c r="C259" t="s">
        <v>827</v>
      </c>
      <c r="D259" s="138">
        <v>3320000</v>
      </c>
      <c r="E259" t="s">
        <v>368</v>
      </c>
      <c r="F259" s="20" t="s">
        <v>369</v>
      </c>
      <c r="G259" s="8" t="str">
        <f t="shared" ref="G259:G273" si="8">E259&amp;" "&amp;F259</f>
        <v>NICHOLSON WESLEY</v>
      </c>
      <c r="H259" s="20" t="str">
        <f t="shared" ref="H259:H273" si="9">MID(B259,13,4)</f>
        <v>4001</v>
      </c>
    </row>
    <row r="260" spans="1:8" x14ac:dyDescent="0.3">
      <c r="A260" s="8">
        <v>43020.039004629631</v>
      </c>
      <c r="B260" t="s">
        <v>623</v>
      </c>
      <c r="C260" t="s">
        <v>828</v>
      </c>
      <c r="D260" s="138">
        <v>890000</v>
      </c>
      <c r="E260" t="s">
        <v>359</v>
      </c>
      <c r="F260" s="20" t="s">
        <v>360</v>
      </c>
      <c r="G260" s="8" t="str">
        <f t="shared" si="8"/>
        <v>LOZA FIDEL</v>
      </c>
      <c r="H260" s="20" t="str">
        <f t="shared" si="9"/>
        <v>4031</v>
      </c>
    </row>
    <row r="261" spans="1:8" x14ac:dyDescent="0.3">
      <c r="A261" s="8">
        <v>43020.040671296294</v>
      </c>
      <c r="B261" t="s">
        <v>584</v>
      </c>
      <c r="C261" t="s">
        <v>827</v>
      </c>
      <c r="D261" s="138">
        <v>3320000</v>
      </c>
      <c r="E261" t="s">
        <v>368</v>
      </c>
      <c r="F261" s="20" t="s">
        <v>369</v>
      </c>
      <c r="G261" s="8" t="str">
        <f t="shared" si="8"/>
        <v>NICHOLSON WESLEY</v>
      </c>
      <c r="H261" s="20" t="str">
        <f t="shared" si="9"/>
        <v>4001</v>
      </c>
    </row>
    <row r="262" spans="1:8" x14ac:dyDescent="0.3">
      <c r="A262" s="8">
        <v>43020.046909722223</v>
      </c>
      <c r="B262" t="s">
        <v>601</v>
      </c>
      <c r="C262" t="s">
        <v>829</v>
      </c>
      <c r="D262" s="138">
        <v>2680000</v>
      </c>
      <c r="E262" t="s">
        <v>365</v>
      </c>
      <c r="F262" s="20" t="s">
        <v>366</v>
      </c>
      <c r="G262" s="8" t="str">
        <f t="shared" si="8"/>
        <v>DUNCAN SHEILA</v>
      </c>
      <c r="H262" s="20" t="str">
        <f t="shared" si="9"/>
        <v>4014</v>
      </c>
    </row>
    <row r="263" spans="1:8" x14ac:dyDescent="0.3">
      <c r="A263" s="8">
        <v>43020.050694444442</v>
      </c>
      <c r="B263" t="s">
        <v>494</v>
      </c>
      <c r="C263" t="s">
        <v>830</v>
      </c>
      <c r="D263" s="138">
        <v>2440000</v>
      </c>
      <c r="E263" t="s">
        <v>785</v>
      </c>
      <c r="F263" s="20" t="s">
        <v>786</v>
      </c>
      <c r="G263" s="8" t="str">
        <f t="shared" si="8"/>
        <v>LOPES KIMBERLY</v>
      </c>
      <c r="H263" s="20" t="str">
        <f t="shared" si="9"/>
        <v>4035</v>
      </c>
    </row>
    <row r="264" spans="1:8" x14ac:dyDescent="0.3">
      <c r="A264" s="8">
        <v>43020.067916666667</v>
      </c>
      <c r="B264" t="s">
        <v>609</v>
      </c>
      <c r="C264" t="s">
        <v>831</v>
      </c>
      <c r="D264" s="138">
        <v>890000</v>
      </c>
      <c r="E264" t="s">
        <v>359</v>
      </c>
      <c r="F264" s="20" t="s">
        <v>360</v>
      </c>
      <c r="G264" s="8" t="str">
        <f t="shared" si="8"/>
        <v>LOZA FIDEL</v>
      </c>
      <c r="H264" s="20" t="str">
        <f t="shared" si="9"/>
        <v>4032</v>
      </c>
    </row>
    <row r="265" spans="1:8" x14ac:dyDescent="0.3">
      <c r="A265" s="8">
        <v>43020.088923611111</v>
      </c>
      <c r="B265" t="s">
        <v>450</v>
      </c>
      <c r="C265" t="s">
        <v>832</v>
      </c>
      <c r="D265" s="138">
        <v>2440000</v>
      </c>
      <c r="E265" t="s">
        <v>785</v>
      </c>
      <c r="F265" s="20" t="s">
        <v>786</v>
      </c>
      <c r="G265" s="8" t="str">
        <f t="shared" si="8"/>
        <v>LOPES KIMBERLY</v>
      </c>
      <c r="H265" s="20" t="str">
        <f t="shared" si="9"/>
        <v>4036</v>
      </c>
    </row>
    <row r="266" spans="1:8" x14ac:dyDescent="0.3">
      <c r="A266" s="8">
        <v>43020.112002314818</v>
      </c>
      <c r="B266" t="s">
        <v>395</v>
      </c>
      <c r="C266" t="s">
        <v>833</v>
      </c>
      <c r="D266" s="138">
        <v>1830000</v>
      </c>
      <c r="E266" t="s">
        <v>377</v>
      </c>
      <c r="F266" s="20" t="s">
        <v>378</v>
      </c>
      <c r="G266" s="8" t="str">
        <f t="shared" si="8"/>
        <v>YORK EDGAR</v>
      </c>
      <c r="H266" s="20" t="str">
        <f t="shared" si="9"/>
        <v>4061</v>
      </c>
    </row>
    <row r="267" spans="1:8" x14ac:dyDescent="0.3">
      <c r="A267" s="8">
        <v>43013.038958333331</v>
      </c>
      <c r="B267" t="s">
        <v>427</v>
      </c>
      <c r="C267" t="s">
        <v>433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3">
      <c r="A268" s="8">
        <v>43013.047430555554</v>
      </c>
      <c r="B268" t="s">
        <v>383</v>
      </c>
      <c r="C268" t="s">
        <v>434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3">
      <c r="A269" s="8">
        <v>43013.056331018517</v>
      </c>
      <c r="B269" t="s">
        <v>384</v>
      </c>
      <c r="C269" t="s">
        <v>435</v>
      </c>
      <c r="D269" s="138">
        <v>2540000</v>
      </c>
      <c r="E269" t="s">
        <v>429</v>
      </c>
      <c r="F269" s="20" t="s">
        <v>430</v>
      </c>
      <c r="G269" s="8" t="str">
        <f t="shared" si="8"/>
        <v>MCREYNOLDS KYLE</v>
      </c>
      <c r="H269" s="20" t="str">
        <f t="shared" si="9"/>
        <v>4063</v>
      </c>
    </row>
    <row r="270" spans="1:8" x14ac:dyDescent="0.3">
      <c r="A270" s="8">
        <v>43013.06894675926</v>
      </c>
      <c r="B270" t="s">
        <v>424</v>
      </c>
      <c r="C270" t="s">
        <v>428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3">
      <c r="A271" s="8">
        <v>43013.090011574073</v>
      </c>
      <c r="B271" t="s">
        <v>385</v>
      </c>
      <c r="C271" t="s">
        <v>436</v>
      </c>
      <c r="D271" s="138">
        <v>2540000</v>
      </c>
      <c r="E271" t="s">
        <v>429</v>
      </c>
      <c r="F271" s="20" t="s">
        <v>430</v>
      </c>
      <c r="G271" s="8" t="str">
        <f t="shared" si="8"/>
        <v>MCREYNOLDS KYLE</v>
      </c>
      <c r="H271" s="20" t="str">
        <f t="shared" si="9"/>
        <v>4064</v>
      </c>
    </row>
    <row r="272" spans="1:8" x14ac:dyDescent="0.3">
      <c r="A272" s="8">
        <v>43013.10837962963</v>
      </c>
      <c r="B272" t="s">
        <v>396</v>
      </c>
      <c r="C272" t="s">
        <v>437</v>
      </c>
      <c r="D272" s="138">
        <v>900000</v>
      </c>
      <c r="E272" t="s">
        <v>386</v>
      </c>
      <c r="F272" s="20" t="s">
        <v>387</v>
      </c>
      <c r="G272" s="8" t="str">
        <f t="shared" si="8"/>
        <v>ROCHA YAOTL</v>
      </c>
      <c r="H272" s="20" t="str">
        <f t="shared" si="9"/>
        <v>4055</v>
      </c>
    </row>
    <row r="273" spans="1:8" x14ac:dyDescent="0.3">
      <c r="A273" s="8">
        <v>43013.109976851854</v>
      </c>
      <c r="B273" t="s">
        <v>396</v>
      </c>
      <c r="C273" t="s">
        <v>437</v>
      </c>
      <c r="D273" s="138">
        <v>900000</v>
      </c>
      <c r="E273" t="s">
        <v>386</v>
      </c>
      <c r="F273" s="20" t="s">
        <v>387</v>
      </c>
      <c r="G273" s="8" t="str">
        <f t="shared" si="8"/>
        <v>ROCHA YAOTL</v>
      </c>
      <c r="H273" s="20" t="str">
        <f t="shared" si="9"/>
        <v>4055</v>
      </c>
    </row>
    <row r="274" spans="1:8" x14ac:dyDescent="0.3">
      <c r="A274" s="8">
        <v>43013.111643518518</v>
      </c>
      <c r="B274" t="s">
        <v>395</v>
      </c>
      <c r="C274" t="s">
        <v>438</v>
      </c>
      <c r="D274" s="138">
        <v>1830000</v>
      </c>
      <c r="E274" t="s">
        <v>377</v>
      </c>
      <c r="F274" s="20" t="s">
        <v>378</v>
      </c>
    </row>
    <row r="275" spans="1:8" x14ac:dyDescent="0.3">
      <c r="A275" s="8">
        <v>43013.112997685188</v>
      </c>
      <c r="B275" t="s">
        <v>395</v>
      </c>
      <c r="C275" t="s">
        <v>438</v>
      </c>
      <c r="D275" s="138">
        <v>1830000</v>
      </c>
      <c r="E275" t="s">
        <v>377</v>
      </c>
      <c r="F275" s="20" t="s">
        <v>378</v>
      </c>
    </row>
    <row r="276" spans="1:8" x14ac:dyDescent="0.3">
      <c r="A276" s="8">
        <v>43013.113483796296</v>
      </c>
      <c r="B276" t="s">
        <v>395</v>
      </c>
      <c r="C276" t="s">
        <v>438</v>
      </c>
      <c r="D276" s="138">
        <v>1830000</v>
      </c>
      <c r="E276" t="s">
        <v>377</v>
      </c>
      <c r="F276" s="20" t="s">
        <v>378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343</v>
      </c>
      <c r="O1" s="218" t="s">
        <v>154</v>
      </c>
      <c r="P1" s="218" t="s">
        <v>161</v>
      </c>
      <c r="Q1" s="218" t="s">
        <v>344</v>
      </c>
      <c r="R1" s="218" t="s">
        <v>158</v>
      </c>
      <c r="S1"/>
      <c r="T1"/>
    </row>
    <row r="2" spans="1:20" x14ac:dyDescent="0.3">
      <c r="A2" s="196">
        <v>38.74</v>
      </c>
      <c r="B2" s="196">
        <v>0</v>
      </c>
      <c r="C2" s="196">
        <v>32.99</v>
      </c>
      <c r="D2" s="8">
        <v>43019</v>
      </c>
      <c r="E2" s="196">
        <v>0.8</v>
      </c>
      <c r="F2" s="196" t="s">
        <v>421</v>
      </c>
      <c r="G2" s="196">
        <v>289.95999999999998</v>
      </c>
      <c r="H2" s="196">
        <v>0</v>
      </c>
      <c r="I2" s="196">
        <v>0</v>
      </c>
      <c r="J2" s="196">
        <v>1018.08</v>
      </c>
      <c r="K2" s="196" t="s">
        <v>422</v>
      </c>
      <c r="L2" s="196">
        <v>38.74</v>
      </c>
      <c r="M2" s="196">
        <v>1507701600</v>
      </c>
      <c r="N2" s="196">
        <v>0</v>
      </c>
      <c r="O2" s="196">
        <v>3.15</v>
      </c>
      <c r="P2" s="196">
        <v>209</v>
      </c>
      <c r="Q2" s="196">
        <v>2.2799999999999998</v>
      </c>
      <c r="R2" s="196">
        <v>1.1499999999999999</v>
      </c>
      <c r="S2"/>
      <c r="T2"/>
    </row>
    <row r="3" spans="1:20" x14ac:dyDescent="0.3">
      <c r="A3" s="196">
        <v>37.549999999999997</v>
      </c>
      <c r="B3" s="196">
        <v>0</v>
      </c>
      <c r="C3" s="196">
        <v>32.409999999999997</v>
      </c>
      <c r="D3" s="8">
        <v>43019.041666666664</v>
      </c>
      <c r="E3" s="196">
        <v>0.82</v>
      </c>
      <c r="F3" s="196" t="s">
        <v>421</v>
      </c>
      <c r="G3" s="196">
        <v>289.85000000000002</v>
      </c>
      <c r="H3" s="196">
        <v>0</v>
      </c>
      <c r="I3" s="196">
        <v>0</v>
      </c>
      <c r="J3" s="196">
        <v>1017.11</v>
      </c>
      <c r="K3" s="196" t="s">
        <v>422</v>
      </c>
      <c r="L3" s="196">
        <v>37.549999999999997</v>
      </c>
      <c r="M3" s="196">
        <v>1507705200</v>
      </c>
      <c r="N3" s="196">
        <v>0</v>
      </c>
      <c r="O3" s="196">
        <v>3.36</v>
      </c>
      <c r="P3" s="196">
        <v>155</v>
      </c>
      <c r="Q3" s="196">
        <v>2.25</v>
      </c>
      <c r="R3" s="196">
        <v>0.83</v>
      </c>
      <c r="S3"/>
      <c r="T3"/>
    </row>
    <row r="4" spans="1:20" x14ac:dyDescent="0.3">
      <c r="A4" s="196">
        <v>36.56</v>
      </c>
      <c r="B4" s="196">
        <v>0</v>
      </c>
      <c r="C4" s="196">
        <v>31.66</v>
      </c>
      <c r="D4" s="8">
        <v>43019.083333333336</v>
      </c>
      <c r="E4" s="196">
        <v>0.82</v>
      </c>
      <c r="F4" s="196" t="s">
        <v>421</v>
      </c>
      <c r="G4" s="196">
        <v>289.51</v>
      </c>
      <c r="H4" s="196">
        <v>0</v>
      </c>
      <c r="I4" s="196">
        <v>0</v>
      </c>
      <c r="J4" s="196">
        <v>1016.52</v>
      </c>
      <c r="K4" s="196" t="s">
        <v>422</v>
      </c>
      <c r="L4" s="196">
        <v>36.56</v>
      </c>
      <c r="M4" s="196">
        <v>1507708800</v>
      </c>
      <c r="N4" s="196">
        <v>0</v>
      </c>
      <c r="O4" s="196">
        <v>3.68</v>
      </c>
      <c r="P4" s="196">
        <v>159</v>
      </c>
      <c r="Q4" s="196">
        <v>2.4900000000000002</v>
      </c>
      <c r="R4" s="196">
        <v>0.89</v>
      </c>
      <c r="S4"/>
      <c r="T4"/>
    </row>
    <row r="5" spans="1:20" x14ac:dyDescent="0.3">
      <c r="A5" s="196">
        <v>35.29</v>
      </c>
      <c r="B5" s="196">
        <v>0</v>
      </c>
      <c r="C5" s="196">
        <v>30.88</v>
      </c>
      <c r="D5" s="8">
        <v>43019.125</v>
      </c>
      <c r="E5" s="196">
        <v>0.84</v>
      </c>
      <c r="F5" s="196" t="s">
        <v>421</v>
      </c>
      <c r="G5" s="196">
        <v>289.04000000000002</v>
      </c>
      <c r="H5" s="196">
        <v>0</v>
      </c>
      <c r="I5" s="196">
        <v>0</v>
      </c>
      <c r="J5" s="196">
        <v>1016.24</v>
      </c>
      <c r="K5" s="196" t="s">
        <v>422</v>
      </c>
      <c r="L5" s="196">
        <v>35.29</v>
      </c>
      <c r="M5" s="196">
        <v>1507712400</v>
      </c>
      <c r="N5" s="196">
        <v>0</v>
      </c>
      <c r="O5" s="196">
        <v>3.74</v>
      </c>
      <c r="P5" s="196">
        <v>211</v>
      </c>
      <c r="Q5" s="196">
        <v>1.83</v>
      </c>
      <c r="R5" s="196">
        <v>0.81</v>
      </c>
      <c r="S5"/>
      <c r="T5"/>
    </row>
    <row r="6" spans="1:20" x14ac:dyDescent="0.3">
      <c r="A6" s="196">
        <v>34.229999999999997</v>
      </c>
      <c r="B6" s="196">
        <v>0</v>
      </c>
      <c r="C6" s="196">
        <v>30.03</v>
      </c>
      <c r="D6" s="8">
        <v>43019.166666666664</v>
      </c>
      <c r="E6" s="196">
        <v>0.84</v>
      </c>
      <c r="F6" s="196" t="s">
        <v>421</v>
      </c>
      <c r="G6" s="196">
        <v>288.47000000000003</v>
      </c>
      <c r="H6" s="196">
        <v>0</v>
      </c>
      <c r="I6" s="196">
        <v>0</v>
      </c>
      <c r="J6" s="196">
        <v>1015.29</v>
      </c>
      <c r="K6" s="196" t="s">
        <v>422</v>
      </c>
      <c r="L6" s="196">
        <v>34.229999999999997</v>
      </c>
      <c r="M6" s="196">
        <v>1507716000</v>
      </c>
      <c r="N6" s="196">
        <v>0</v>
      </c>
      <c r="O6" s="196">
        <v>3.66</v>
      </c>
      <c r="P6" s="196">
        <v>210</v>
      </c>
      <c r="Q6" s="196">
        <v>2.0299999999999998</v>
      </c>
      <c r="R6" s="196">
        <v>0.48</v>
      </c>
      <c r="S6"/>
      <c r="T6"/>
    </row>
    <row r="7" spans="1:20" x14ac:dyDescent="0.3">
      <c r="A7" s="196">
        <v>33.049999999999997</v>
      </c>
      <c r="B7" s="196">
        <v>0</v>
      </c>
      <c r="C7" s="196">
        <v>29.42</v>
      </c>
      <c r="D7" s="8">
        <v>43019.208333333336</v>
      </c>
      <c r="E7" s="196">
        <v>0.86</v>
      </c>
      <c r="F7" s="196" t="s">
        <v>421</v>
      </c>
      <c r="G7" s="196">
        <v>287.67</v>
      </c>
      <c r="H7" s="196">
        <v>0</v>
      </c>
      <c r="I7" s="196">
        <v>0</v>
      </c>
      <c r="J7" s="196">
        <v>1015.09</v>
      </c>
      <c r="K7" s="196" t="s">
        <v>422</v>
      </c>
      <c r="L7" s="196">
        <v>33.049999999999997</v>
      </c>
      <c r="M7" s="196">
        <v>1507719600</v>
      </c>
      <c r="N7" s="196">
        <v>0</v>
      </c>
      <c r="O7" s="196">
        <v>3.87</v>
      </c>
      <c r="P7" s="196">
        <v>222</v>
      </c>
      <c r="Q7" s="196">
        <v>2.29</v>
      </c>
      <c r="R7" s="196">
        <v>0.99</v>
      </c>
      <c r="S7"/>
      <c r="T7"/>
    </row>
    <row r="8" spans="1:20" x14ac:dyDescent="0.3">
      <c r="A8" s="196">
        <v>33.01</v>
      </c>
      <c r="B8" s="196">
        <v>0</v>
      </c>
      <c r="C8" s="196">
        <v>28.92</v>
      </c>
      <c r="D8" s="8">
        <v>43019.25</v>
      </c>
      <c r="E8" s="196">
        <v>0.85</v>
      </c>
      <c r="F8" s="196" t="s">
        <v>421</v>
      </c>
      <c r="G8" s="196">
        <v>287.79000000000002</v>
      </c>
      <c r="H8" s="196">
        <v>0</v>
      </c>
      <c r="I8" s="196">
        <v>0</v>
      </c>
      <c r="J8" s="196">
        <v>1014.84</v>
      </c>
      <c r="K8" s="196" t="s">
        <v>422</v>
      </c>
      <c r="L8" s="196">
        <v>33.01</v>
      </c>
      <c r="M8" s="196">
        <v>1507723200</v>
      </c>
      <c r="N8" s="196">
        <v>0</v>
      </c>
      <c r="O8" s="196">
        <v>3.71</v>
      </c>
      <c r="P8" s="196">
        <v>227</v>
      </c>
      <c r="Q8" s="196">
        <v>2.41</v>
      </c>
      <c r="R8" s="196">
        <v>0.95</v>
      </c>
      <c r="S8"/>
      <c r="T8"/>
    </row>
    <row r="9" spans="1:20" x14ac:dyDescent="0.3">
      <c r="A9" s="196">
        <v>32.299999999999997</v>
      </c>
      <c r="B9" s="196">
        <v>0.02</v>
      </c>
      <c r="C9" s="196">
        <v>28.16</v>
      </c>
      <c r="D9" s="8">
        <v>43019.291666666664</v>
      </c>
      <c r="E9" s="196">
        <v>0.84</v>
      </c>
      <c r="F9" s="196" t="s">
        <v>421</v>
      </c>
      <c r="G9" s="196">
        <v>286.87</v>
      </c>
      <c r="H9" s="196">
        <v>0</v>
      </c>
      <c r="I9" s="196">
        <v>0</v>
      </c>
      <c r="J9" s="196">
        <v>1015.97</v>
      </c>
      <c r="K9" s="196" t="s">
        <v>422</v>
      </c>
      <c r="L9" s="196">
        <v>32.299999999999997</v>
      </c>
      <c r="M9" s="196">
        <v>1507726800</v>
      </c>
      <c r="N9" s="196">
        <v>0</v>
      </c>
      <c r="O9" s="196">
        <v>3.78</v>
      </c>
      <c r="P9" s="196">
        <v>209</v>
      </c>
      <c r="Q9" s="196">
        <v>2.39</v>
      </c>
      <c r="R9" s="196">
        <v>0.81</v>
      </c>
      <c r="S9"/>
      <c r="T9"/>
    </row>
    <row r="10" spans="1:20" x14ac:dyDescent="0.3">
      <c r="A10" s="196">
        <v>34.96</v>
      </c>
      <c r="B10" s="196">
        <v>7.0000000000000007E-2</v>
      </c>
      <c r="C10" s="196">
        <v>29.82</v>
      </c>
      <c r="D10" s="8">
        <v>43019.333333333336</v>
      </c>
      <c r="E10" s="196">
        <v>0.81</v>
      </c>
      <c r="F10" s="196" t="s">
        <v>519</v>
      </c>
      <c r="G10" s="196">
        <v>285.49</v>
      </c>
      <c r="H10" s="196">
        <v>0</v>
      </c>
      <c r="I10" s="196">
        <v>0</v>
      </c>
      <c r="J10" s="196">
        <v>1015.17</v>
      </c>
      <c r="K10" s="196" t="s">
        <v>422</v>
      </c>
      <c r="L10" s="196">
        <v>34.96</v>
      </c>
      <c r="M10" s="196">
        <v>1507730400</v>
      </c>
      <c r="N10" s="196">
        <v>1</v>
      </c>
      <c r="O10" s="196">
        <v>4.99</v>
      </c>
      <c r="P10" s="196">
        <v>196</v>
      </c>
      <c r="Q10" s="196">
        <v>2.48</v>
      </c>
      <c r="R10" s="196">
        <v>0.78</v>
      </c>
      <c r="S10"/>
      <c r="T10"/>
    </row>
    <row r="11" spans="1:20" x14ac:dyDescent="0.3">
      <c r="A11" s="196">
        <v>44.32</v>
      </c>
      <c r="B11" s="196">
        <v>0.08</v>
      </c>
      <c r="C11" s="196">
        <v>33.42</v>
      </c>
      <c r="D11" s="8">
        <v>43019.375</v>
      </c>
      <c r="E11" s="196">
        <v>0.65</v>
      </c>
      <c r="F11" s="196" t="s">
        <v>519</v>
      </c>
      <c r="G11" s="196">
        <v>284.20999999999998</v>
      </c>
      <c r="H11" s="196">
        <v>0</v>
      </c>
      <c r="I11" s="196">
        <v>0</v>
      </c>
      <c r="J11" s="196">
        <v>1015.01</v>
      </c>
      <c r="K11" s="196" t="s">
        <v>422</v>
      </c>
      <c r="L11" s="196">
        <v>44.32</v>
      </c>
      <c r="M11" s="196">
        <v>1507734000</v>
      </c>
      <c r="N11" s="196">
        <v>1</v>
      </c>
      <c r="O11" s="196">
        <v>4.8099999999999996</v>
      </c>
      <c r="P11" s="196">
        <v>243</v>
      </c>
      <c r="Q11" s="196">
        <v>2.95</v>
      </c>
      <c r="R11" s="196">
        <v>0.82</v>
      </c>
      <c r="S11"/>
      <c r="T11"/>
    </row>
    <row r="12" spans="1:20" x14ac:dyDescent="0.3">
      <c r="A12" s="196">
        <v>51.63</v>
      </c>
      <c r="B12" s="196">
        <v>0.04</v>
      </c>
      <c r="C12" s="196">
        <v>34.700000000000003</v>
      </c>
      <c r="D12" s="8">
        <v>43019.416666666664</v>
      </c>
      <c r="E12" s="196">
        <v>0.52</v>
      </c>
      <c r="F12" s="196" t="s">
        <v>519</v>
      </c>
      <c r="G12" s="196">
        <v>282.81</v>
      </c>
      <c r="H12" s="196">
        <v>0</v>
      </c>
      <c r="I12" s="196">
        <v>0</v>
      </c>
      <c r="J12" s="196">
        <v>1014.17</v>
      </c>
      <c r="K12" s="196" t="s">
        <v>422</v>
      </c>
      <c r="L12" s="196">
        <v>51.63</v>
      </c>
      <c r="M12" s="196">
        <v>1507737600</v>
      </c>
      <c r="N12" s="196">
        <v>2</v>
      </c>
      <c r="O12" s="196">
        <v>5.08</v>
      </c>
      <c r="P12" s="196">
        <v>216</v>
      </c>
      <c r="Q12" s="196">
        <v>3.3</v>
      </c>
      <c r="R12" s="196">
        <v>0.64</v>
      </c>
      <c r="S12"/>
      <c r="T12"/>
    </row>
    <row r="13" spans="1:20" x14ac:dyDescent="0.3">
      <c r="A13" s="196">
        <v>57.36</v>
      </c>
      <c r="B13" s="196">
        <v>0.08</v>
      </c>
      <c r="C13" s="196">
        <v>34.770000000000003</v>
      </c>
      <c r="D13" s="8">
        <v>43019.458333333336</v>
      </c>
      <c r="E13" s="196">
        <v>0.43</v>
      </c>
      <c r="F13" s="196" t="s">
        <v>519</v>
      </c>
      <c r="G13" s="196">
        <v>281.29000000000002</v>
      </c>
      <c r="H13" s="196">
        <v>0</v>
      </c>
      <c r="I13" s="196">
        <v>0</v>
      </c>
      <c r="J13" s="196">
        <v>1013.03</v>
      </c>
      <c r="K13" s="196" t="s">
        <v>422</v>
      </c>
      <c r="L13" s="196">
        <v>57.36</v>
      </c>
      <c r="M13" s="196">
        <v>1507741200</v>
      </c>
      <c r="N13" s="196">
        <v>3</v>
      </c>
      <c r="O13" s="196">
        <v>5.08</v>
      </c>
      <c r="P13" s="196">
        <v>38</v>
      </c>
      <c r="Q13" s="196">
        <v>3.56</v>
      </c>
      <c r="R13" s="196">
        <v>0.19</v>
      </c>
      <c r="S13"/>
      <c r="T13"/>
    </row>
    <row r="14" spans="1:20" x14ac:dyDescent="0.3">
      <c r="A14" s="196">
        <v>61.59</v>
      </c>
      <c r="B14" s="196">
        <v>7.0000000000000007E-2</v>
      </c>
      <c r="C14" s="196">
        <v>33.64</v>
      </c>
      <c r="D14" s="8">
        <v>43019.5</v>
      </c>
      <c r="E14" s="196">
        <v>0.35</v>
      </c>
      <c r="F14" s="196" t="s">
        <v>519</v>
      </c>
      <c r="G14" s="196">
        <v>281.88</v>
      </c>
      <c r="H14" s="196">
        <v>0</v>
      </c>
      <c r="I14" s="196">
        <v>0</v>
      </c>
      <c r="J14" s="196">
        <v>1012.2</v>
      </c>
      <c r="K14" s="196" t="s">
        <v>422</v>
      </c>
      <c r="L14" s="196">
        <v>61.59</v>
      </c>
      <c r="M14" s="196">
        <v>1507744800</v>
      </c>
      <c r="N14" s="196">
        <v>5</v>
      </c>
      <c r="O14" s="196">
        <v>5.0599999999999996</v>
      </c>
      <c r="P14" s="196">
        <v>359</v>
      </c>
      <c r="Q14" s="196">
        <v>3.7</v>
      </c>
      <c r="R14" s="196">
        <v>0.66</v>
      </c>
      <c r="S14"/>
      <c r="T14"/>
    </row>
    <row r="15" spans="1:20" x14ac:dyDescent="0.3">
      <c r="A15" s="196">
        <v>65.03</v>
      </c>
      <c r="B15" s="196">
        <v>0.09</v>
      </c>
      <c r="C15" s="196">
        <v>32.85</v>
      </c>
      <c r="D15" s="8">
        <v>43019.541666666664</v>
      </c>
      <c r="E15" s="196">
        <v>0.3</v>
      </c>
      <c r="F15" s="196" t="s">
        <v>519</v>
      </c>
      <c r="G15" s="196">
        <v>281.76</v>
      </c>
      <c r="H15" s="196">
        <v>0</v>
      </c>
      <c r="I15" s="196">
        <v>0</v>
      </c>
      <c r="J15" s="196">
        <v>1011.33</v>
      </c>
      <c r="K15" s="196" t="s">
        <v>422</v>
      </c>
      <c r="L15" s="196">
        <v>65.03</v>
      </c>
      <c r="M15" s="196">
        <v>1507748400</v>
      </c>
      <c r="N15" s="196">
        <v>5</v>
      </c>
      <c r="O15" s="196">
        <v>5.0599999999999996</v>
      </c>
      <c r="P15" s="196">
        <v>56</v>
      </c>
      <c r="Q15" s="196">
        <v>3.96</v>
      </c>
      <c r="R15" s="196">
        <v>0.82</v>
      </c>
      <c r="S15"/>
      <c r="T15"/>
    </row>
    <row r="16" spans="1:20" x14ac:dyDescent="0.3">
      <c r="A16" s="196">
        <v>68.260000000000005</v>
      </c>
      <c r="B16" s="196">
        <v>0.06</v>
      </c>
      <c r="C16" s="196">
        <v>32.17</v>
      </c>
      <c r="D16" s="8">
        <v>43019.583333333336</v>
      </c>
      <c r="E16" s="196">
        <v>0.26</v>
      </c>
      <c r="F16" s="196" t="s">
        <v>519</v>
      </c>
      <c r="G16" s="196">
        <v>281.88</v>
      </c>
      <c r="H16" s="196">
        <v>0</v>
      </c>
      <c r="I16" s="196">
        <v>0</v>
      </c>
      <c r="J16" s="196">
        <v>1010.19</v>
      </c>
      <c r="K16" s="196" t="s">
        <v>422</v>
      </c>
      <c r="L16" s="196">
        <v>68.260000000000005</v>
      </c>
      <c r="M16" s="196">
        <v>1507752000</v>
      </c>
      <c r="N16" s="196">
        <v>4</v>
      </c>
      <c r="O16" s="196">
        <v>5.0599999999999996</v>
      </c>
      <c r="P16" s="196">
        <v>38</v>
      </c>
      <c r="Q16" s="196">
        <v>4.93</v>
      </c>
      <c r="R16" s="196">
        <v>1.1299999999999999</v>
      </c>
      <c r="S16"/>
      <c r="T16"/>
    </row>
    <row r="17" spans="1:20" x14ac:dyDescent="0.3">
      <c r="A17" s="196">
        <v>68.489999999999995</v>
      </c>
      <c r="B17" s="196">
        <v>0.1</v>
      </c>
      <c r="C17" s="196">
        <v>33.83</v>
      </c>
      <c r="D17" s="8">
        <v>43019.625</v>
      </c>
      <c r="E17" s="196">
        <v>0.28000000000000003</v>
      </c>
      <c r="F17" s="196" t="s">
        <v>519</v>
      </c>
      <c r="G17" s="196">
        <v>282.23</v>
      </c>
      <c r="H17" s="196">
        <v>0</v>
      </c>
      <c r="I17" s="196">
        <v>0</v>
      </c>
      <c r="J17" s="196">
        <v>1009.65</v>
      </c>
      <c r="K17" s="196" t="s">
        <v>422</v>
      </c>
      <c r="L17" s="196">
        <v>68.489999999999995</v>
      </c>
      <c r="M17" s="196">
        <v>1507755600</v>
      </c>
      <c r="N17" s="196">
        <v>3</v>
      </c>
      <c r="O17" s="196">
        <v>4.8099999999999996</v>
      </c>
      <c r="P17" s="196">
        <v>37</v>
      </c>
      <c r="Q17" s="196">
        <v>5.73</v>
      </c>
      <c r="R17" s="196">
        <v>1.69</v>
      </c>
      <c r="S17"/>
      <c r="T17"/>
    </row>
    <row r="18" spans="1:20" x14ac:dyDescent="0.3">
      <c r="A18" s="196">
        <v>68.900000000000006</v>
      </c>
      <c r="B18" s="196">
        <v>0.12</v>
      </c>
      <c r="C18" s="196">
        <v>34.840000000000003</v>
      </c>
      <c r="D18" s="8">
        <v>43019.666666666664</v>
      </c>
      <c r="E18" s="196">
        <v>0.28000000000000003</v>
      </c>
      <c r="F18" s="196" t="s">
        <v>519</v>
      </c>
      <c r="G18" s="196">
        <v>282.58</v>
      </c>
      <c r="H18" s="196">
        <v>0</v>
      </c>
      <c r="I18" s="196">
        <v>0</v>
      </c>
      <c r="J18" s="196">
        <v>1009.7</v>
      </c>
      <c r="K18" s="196" t="s">
        <v>422</v>
      </c>
      <c r="L18" s="196">
        <v>68.900000000000006</v>
      </c>
      <c r="M18" s="196">
        <v>1507759200</v>
      </c>
      <c r="N18" s="196">
        <v>2</v>
      </c>
      <c r="O18" s="196">
        <v>5.0599999999999996</v>
      </c>
      <c r="P18" s="196">
        <v>41</v>
      </c>
      <c r="Q18" s="196">
        <v>5.9</v>
      </c>
      <c r="R18" s="196">
        <v>2.29</v>
      </c>
      <c r="S18"/>
      <c r="T18"/>
    </row>
    <row r="19" spans="1:20" x14ac:dyDescent="0.3">
      <c r="A19" s="196">
        <v>68.05</v>
      </c>
      <c r="B19" s="196">
        <v>0.11</v>
      </c>
      <c r="C19" s="196">
        <v>35.630000000000003</v>
      </c>
      <c r="D19" s="8">
        <v>43019.708333333336</v>
      </c>
      <c r="E19" s="196">
        <v>0.3</v>
      </c>
      <c r="F19" s="196" t="s">
        <v>519</v>
      </c>
      <c r="G19" s="196">
        <v>283.05</v>
      </c>
      <c r="H19" s="196">
        <v>0</v>
      </c>
      <c r="I19" s="196">
        <v>0</v>
      </c>
      <c r="J19" s="196">
        <v>1009.45</v>
      </c>
      <c r="K19" s="196" t="s">
        <v>422</v>
      </c>
      <c r="L19" s="196">
        <v>68.05</v>
      </c>
      <c r="M19" s="196">
        <v>1507762800</v>
      </c>
      <c r="N19" s="196">
        <v>1</v>
      </c>
      <c r="O19" s="196">
        <v>4.84</v>
      </c>
      <c r="P19" s="196">
        <v>32</v>
      </c>
      <c r="Q19" s="196">
        <v>4.9800000000000004</v>
      </c>
      <c r="R19" s="196">
        <v>1.71</v>
      </c>
      <c r="S19"/>
      <c r="T19"/>
    </row>
    <row r="20" spans="1:20" x14ac:dyDescent="0.3">
      <c r="A20" s="196">
        <v>66.150000000000006</v>
      </c>
      <c r="B20" s="196">
        <v>7.0000000000000007E-2</v>
      </c>
      <c r="C20" s="196">
        <v>37.18</v>
      </c>
      <c r="D20" s="8">
        <v>43019.75</v>
      </c>
      <c r="E20" s="196">
        <v>0.34</v>
      </c>
      <c r="F20" s="196" t="s">
        <v>519</v>
      </c>
      <c r="G20" s="196">
        <v>278.57</v>
      </c>
      <c r="H20" s="196">
        <v>0</v>
      </c>
      <c r="I20" s="196">
        <v>0</v>
      </c>
      <c r="J20" s="196">
        <v>1009.58</v>
      </c>
      <c r="K20" s="196" t="s">
        <v>422</v>
      </c>
      <c r="L20" s="196">
        <v>66.150000000000006</v>
      </c>
      <c r="M20" s="196">
        <v>1507766400</v>
      </c>
      <c r="N20" s="196">
        <v>0</v>
      </c>
      <c r="O20" s="196">
        <v>5.08</v>
      </c>
      <c r="P20" s="196">
        <v>2</v>
      </c>
      <c r="Q20" s="196">
        <v>4.42</v>
      </c>
      <c r="R20" s="196">
        <v>1.65</v>
      </c>
      <c r="S20"/>
      <c r="T20"/>
    </row>
    <row r="21" spans="1:20" x14ac:dyDescent="0.3">
      <c r="A21" s="196">
        <v>59.35</v>
      </c>
      <c r="B21" s="196">
        <v>0.03</v>
      </c>
      <c r="C21" s="196">
        <v>38.06</v>
      </c>
      <c r="D21" s="8">
        <v>43019.791666666664</v>
      </c>
      <c r="E21" s="196">
        <v>0.45</v>
      </c>
      <c r="F21" s="196" t="s">
        <v>421</v>
      </c>
      <c r="G21" s="196">
        <v>278.81</v>
      </c>
      <c r="H21" s="196">
        <v>0</v>
      </c>
      <c r="I21" s="196">
        <v>0</v>
      </c>
      <c r="J21" s="196">
        <v>1010.57</v>
      </c>
      <c r="K21" s="196" t="s">
        <v>422</v>
      </c>
      <c r="L21" s="196">
        <v>59.35</v>
      </c>
      <c r="M21" s="196">
        <v>1507770000</v>
      </c>
      <c r="N21" s="196">
        <v>0</v>
      </c>
      <c r="O21" s="196">
        <v>3.66</v>
      </c>
      <c r="P21" s="196">
        <v>4</v>
      </c>
      <c r="Q21" s="196">
        <v>3</v>
      </c>
      <c r="R21" s="196">
        <v>1.04</v>
      </c>
      <c r="S21"/>
      <c r="T21"/>
    </row>
    <row r="22" spans="1:20" x14ac:dyDescent="0.3">
      <c r="A22" s="196">
        <v>54.62</v>
      </c>
      <c r="B22" s="196">
        <v>7.0000000000000007E-2</v>
      </c>
      <c r="C22" s="196">
        <v>37.75</v>
      </c>
      <c r="D22" s="8">
        <v>43019.833333333336</v>
      </c>
      <c r="E22" s="196">
        <v>0.53</v>
      </c>
      <c r="F22" s="196" t="s">
        <v>421</v>
      </c>
      <c r="G22" s="196">
        <v>279.64</v>
      </c>
      <c r="H22" s="196">
        <v>0</v>
      </c>
      <c r="I22" s="196">
        <v>0</v>
      </c>
      <c r="J22" s="196">
        <v>1010.75</v>
      </c>
      <c r="K22" s="196" t="s">
        <v>422</v>
      </c>
      <c r="L22" s="196">
        <v>54.62</v>
      </c>
      <c r="M22" s="196">
        <v>1507773600</v>
      </c>
      <c r="N22" s="196">
        <v>0</v>
      </c>
      <c r="O22" s="196">
        <v>3.2</v>
      </c>
      <c r="P22" s="196">
        <v>253</v>
      </c>
      <c r="Q22" s="196">
        <v>2.75</v>
      </c>
      <c r="R22" s="196">
        <v>0.77</v>
      </c>
      <c r="S22"/>
      <c r="T22"/>
    </row>
    <row r="23" spans="1:20" x14ac:dyDescent="0.3">
      <c r="A23" s="196">
        <v>50.93</v>
      </c>
      <c r="B23" s="196">
        <v>0.04</v>
      </c>
      <c r="C23" s="196">
        <v>37.42</v>
      </c>
      <c r="D23" s="8">
        <v>43019.875</v>
      </c>
      <c r="E23" s="196">
        <v>0.6</v>
      </c>
      <c r="F23" s="196" t="s">
        <v>421</v>
      </c>
      <c r="G23" s="196">
        <v>280.23</v>
      </c>
      <c r="H23" s="196">
        <v>0</v>
      </c>
      <c r="I23" s="196">
        <v>0</v>
      </c>
      <c r="J23" s="196">
        <v>1010.96</v>
      </c>
      <c r="K23" s="196" t="s">
        <v>422</v>
      </c>
      <c r="L23" s="196">
        <v>50.93</v>
      </c>
      <c r="M23" s="196">
        <v>1507777200</v>
      </c>
      <c r="N23" s="196">
        <v>0</v>
      </c>
      <c r="O23" s="196">
        <v>2.94</v>
      </c>
      <c r="P23" s="196">
        <v>233</v>
      </c>
      <c r="Q23" s="196">
        <v>2.5299999999999998</v>
      </c>
      <c r="R23" s="196">
        <v>0.7</v>
      </c>
      <c r="S23"/>
      <c r="T23"/>
    </row>
    <row r="24" spans="1:20" x14ac:dyDescent="0.3">
      <c r="A24" s="196">
        <v>48.72</v>
      </c>
      <c r="B24" s="196">
        <v>0.06</v>
      </c>
      <c r="C24" s="196">
        <v>36.270000000000003</v>
      </c>
      <c r="D24" s="8">
        <v>43019.916666666664</v>
      </c>
      <c r="E24" s="196">
        <v>0.62</v>
      </c>
      <c r="F24" s="196" t="s">
        <v>421</v>
      </c>
      <c r="G24" s="196">
        <v>280.11</v>
      </c>
      <c r="H24" s="196">
        <v>0</v>
      </c>
      <c r="I24" s="196">
        <v>0</v>
      </c>
      <c r="J24" s="196">
        <v>1010.93</v>
      </c>
      <c r="K24" s="196" t="s">
        <v>422</v>
      </c>
      <c r="L24" s="196">
        <v>48.72</v>
      </c>
      <c r="M24" s="196">
        <v>1507780800</v>
      </c>
      <c r="N24" s="196">
        <v>0</v>
      </c>
      <c r="O24" s="196">
        <v>3.92</v>
      </c>
      <c r="P24" s="196">
        <v>231</v>
      </c>
      <c r="Q24" s="196">
        <v>2.4500000000000002</v>
      </c>
      <c r="R24" s="196">
        <v>0.82</v>
      </c>
      <c r="S24"/>
      <c r="T24"/>
    </row>
    <row r="25" spans="1:20" x14ac:dyDescent="0.3">
      <c r="A25" s="196">
        <v>46.94</v>
      </c>
      <c r="B25" s="196">
        <v>0.05</v>
      </c>
      <c r="C25" s="196">
        <v>35.42</v>
      </c>
      <c r="D25" s="8">
        <v>43019.958333333336</v>
      </c>
      <c r="E25" s="196">
        <v>0.64</v>
      </c>
      <c r="F25" s="196" t="s">
        <v>421</v>
      </c>
      <c r="G25" s="196">
        <v>279.64</v>
      </c>
      <c r="H25" s="196">
        <v>0</v>
      </c>
      <c r="I25" s="196">
        <v>0</v>
      </c>
      <c r="J25" s="196">
        <v>1010.42</v>
      </c>
      <c r="K25" s="196" t="s">
        <v>422</v>
      </c>
      <c r="L25" s="196">
        <v>46.94</v>
      </c>
      <c r="M25" s="196">
        <v>1507784400</v>
      </c>
      <c r="N25" s="196">
        <v>0</v>
      </c>
      <c r="O25" s="196">
        <v>2.78</v>
      </c>
      <c r="P25" s="196">
        <v>201</v>
      </c>
      <c r="Q25" s="196">
        <v>2.69</v>
      </c>
      <c r="R25" s="196">
        <v>1.26</v>
      </c>
      <c r="S25"/>
      <c r="T25"/>
    </row>
    <row r="26" spans="1:20" x14ac:dyDescent="0.3">
      <c r="A26" s="196">
        <v>45.3</v>
      </c>
      <c r="B26" s="196">
        <v>0.03</v>
      </c>
      <c r="C26" s="196">
        <v>34.83</v>
      </c>
      <c r="D26" s="8">
        <v>43020</v>
      </c>
      <c r="E26" s="196">
        <v>0.67</v>
      </c>
      <c r="F26" s="196" t="s">
        <v>421</v>
      </c>
      <c r="G26" s="196">
        <v>282.93</v>
      </c>
      <c r="H26" s="196">
        <v>0</v>
      </c>
      <c r="I26" s="196">
        <v>0</v>
      </c>
      <c r="J26" s="196">
        <v>1009.93</v>
      </c>
      <c r="K26" s="196" t="s">
        <v>422</v>
      </c>
      <c r="L26" s="196">
        <v>45.3</v>
      </c>
      <c r="M26" s="196">
        <v>1507788000</v>
      </c>
      <c r="N26" s="196">
        <v>0</v>
      </c>
      <c r="O26" s="196">
        <v>3.68</v>
      </c>
      <c r="P26" s="196">
        <v>196</v>
      </c>
      <c r="Q26" s="196">
        <v>2.5</v>
      </c>
      <c r="R26" s="196">
        <v>1.03</v>
      </c>
      <c r="S26"/>
      <c r="T26"/>
    </row>
    <row r="27" spans="1:20" x14ac:dyDescent="0.3">
      <c r="A27" s="196">
        <v>43.44</v>
      </c>
      <c r="B27" s="196">
        <v>0.09</v>
      </c>
      <c r="C27" s="196">
        <v>34.020000000000003</v>
      </c>
      <c r="D27" s="8">
        <v>43020.041666666664</v>
      </c>
      <c r="E27" s="196">
        <v>0.69</v>
      </c>
      <c r="F27" s="196" t="s">
        <v>421</v>
      </c>
      <c r="G27" s="196">
        <v>282.82</v>
      </c>
      <c r="H27" s="196">
        <v>0</v>
      </c>
      <c r="I27" s="196">
        <v>0</v>
      </c>
      <c r="J27" s="196">
        <v>1009.84</v>
      </c>
      <c r="K27" s="196" t="s">
        <v>422</v>
      </c>
      <c r="L27" s="196">
        <v>43.44</v>
      </c>
      <c r="M27" s="196">
        <v>1507791600</v>
      </c>
      <c r="N27" s="196">
        <v>0</v>
      </c>
      <c r="O27" s="196">
        <v>3.67</v>
      </c>
      <c r="P27" s="196">
        <v>199</v>
      </c>
      <c r="Q27" s="196">
        <v>2.63</v>
      </c>
      <c r="R27" s="196">
        <v>1.1599999999999999</v>
      </c>
      <c r="S27"/>
      <c r="T27"/>
    </row>
    <row r="28" spans="1:20" x14ac:dyDescent="0.3">
      <c r="A28" s="196">
        <v>42.36</v>
      </c>
      <c r="B28" s="196">
        <v>0.04</v>
      </c>
      <c r="C28" s="196">
        <v>32.97</v>
      </c>
      <c r="D28" s="8">
        <v>43020.083333333336</v>
      </c>
      <c r="E28" s="196">
        <v>0.69</v>
      </c>
      <c r="F28" s="196" t="s">
        <v>421</v>
      </c>
      <c r="G28" s="196">
        <v>282.47000000000003</v>
      </c>
      <c r="H28" s="196">
        <v>0</v>
      </c>
      <c r="I28" s="196">
        <v>0</v>
      </c>
      <c r="J28" s="196">
        <v>1010.36</v>
      </c>
      <c r="K28" s="196" t="s">
        <v>422</v>
      </c>
      <c r="L28" s="196">
        <v>42.36</v>
      </c>
      <c r="M28" s="196">
        <v>1507795200</v>
      </c>
      <c r="N28" s="196">
        <v>0</v>
      </c>
      <c r="O28" s="196">
        <v>3.83</v>
      </c>
      <c r="P28" s="196">
        <v>190</v>
      </c>
      <c r="Q28" s="196">
        <v>2.67</v>
      </c>
      <c r="R28" s="196">
        <v>1.28</v>
      </c>
      <c r="S28"/>
      <c r="T28"/>
    </row>
    <row r="29" spans="1:20" x14ac:dyDescent="0.3">
      <c r="A29" s="196">
        <v>42</v>
      </c>
      <c r="B29" s="196">
        <v>0.01</v>
      </c>
      <c r="C29" s="196">
        <v>31.83</v>
      </c>
      <c r="D29" s="8">
        <v>43020.125</v>
      </c>
      <c r="E29" s="196">
        <v>0.67</v>
      </c>
      <c r="F29" s="196" t="s">
        <v>421</v>
      </c>
      <c r="G29" s="196">
        <v>281.64999999999998</v>
      </c>
      <c r="H29" s="196">
        <v>0</v>
      </c>
      <c r="I29" s="196">
        <v>0</v>
      </c>
      <c r="J29" s="196">
        <v>1009.63</v>
      </c>
      <c r="K29" s="196" t="s">
        <v>422</v>
      </c>
      <c r="L29" s="196">
        <v>42</v>
      </c>
      <c r="M29" s="196">
        <v>1507798800</v>
      </c>
      <c r="N29" s="196">
        <v>0</v>
      </c>
      <c r="O29" s="196">
        <v>3.97</v>
      </c>
      <c r="P29" s="196">
        <v>201</v>
      </c>
      <c r="Q29" s="196">
        <v>3.3</v>
      </c>
      <c r="R29" s="196">
        <v>1.52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topLeftCell="A9" workbookViewId="0">
      <selection activeCell="C18" sqref="C18:C3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43019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381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997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998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999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1000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1001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1002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1003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1004</v>
      </c>
      <c r="J25" s="140" t="s">
        <v>144</v>
      </c>
      <c r="M25" s="154" t="b">
        <v>1</v>
      </c>
    </row>
    <row r="26" spans="3:24" x14ac:dyDescent="0.3">
      <c r="C26" t="s">
        <v>1005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%USERPROFILE%\Documents\GitHub\eaglep3-reporting\EC\2017-10-11-refined-times.txt</v>
      </c>
    </row>
    <row r="27" spans="3:24" x14ac:dyDescent="0.3">
      <c r="C27" t="s">
        <v>568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%USERPROFILE%\Documents\GitHub\eaglep3-reporting\EC\2017-10-11-Enforcements.txt</v>
      </c>
    </row>
    <row r="28" spans="3:24" x14ac:dyDescent="0.3">
      <c r="C28" t="s">
        <v>1006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%USERPROFILE%\Documents\GitHub\eaglep3-reporting\EC\2017-10-11-Runs-refined.txt</v>
      </c>
    </row>
    <row r="29" spans="3:24" x14ac:dyDescent="0.3">
      <c r="C29" t="s">
        <v>1007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%USERPROFILE%\Documents\GitHub\eaglep3-reporting\EC\2017-10-11-Trips.txt</v>
      </c>
    </row>
    <row r="30" spans="3:24" x14ac:dyDescent="0.3">
      <c r="C30" t="s">
        <v>1008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%USERPROFILE%\Documents\GitHub\eaglep3-reporting\EC\2017-10-11-Weather.txt</v>
      </c>
    </row>
    <row r="31" spans="3:24" x14ac:dyDescent="0.3">
      <c r="C31" t="s">
        <v>1009</v>
      </c>
      <c r="J31" s="140" t="s">
        <v>190</v>
      </c>
      <c r="M31" s="154" t="s">
        <v>191</v>
      </c>
    </row>
    <row r="32" spans="3:24" x14ac:dyDescent="0.3">
      <c r="C32" t="s">
        <v>1010</v>
      </c>
    </row>
    <row r="33" spans="3:3" x14ac:dyDescent="0.3">
      <c r="C33" t="s">
        <v>1011</v>
      </c>
    </row>
    <row r="34" spans="3:3" x14ac:dyDescent="0.3">
      <c r="C34" t="s">
        <v>1012</v>
      </c>
    </row>
    <row r="35" spans="3:3" x14ac:dyDescent="0.3">
      <c r="C35" t="s">
        <v>1013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449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2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2017-10-12T15:13:33Z</dcterms:modified>
</cp:coreProperties>
</file>