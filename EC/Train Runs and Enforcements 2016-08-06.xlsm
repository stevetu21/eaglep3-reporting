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Enforcements!$A$6:$V$60</definedName>
    <definedName name="_xlnm._FilterDatabase" localSheetId="2" hidden="1">'Missing Trips'!$A$2:$H$2</definedName>
    <definedName name="_xlnm._FilterDatabase" localSheetId="0" hidden="1">'Train Runs'!$A$12:$AG$203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Runs'!$A$12:$J$43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6" l="1"/>
  <c r="F5" i="6"/>
  <c r="G5" i="6"/>
  <c r="H5" i="6"/>
  <c r="E6" i="6"/>
  <c r="F6" i="6"/>
  <c r="G6" i="6"/>
  <c r="H6" i="6"/>
  <c r="X123" i="1"/>
  <c r="X124" i="1"/>
  <c r="X125" i="1"/>
  <c r="X126" i="1"/>
  <c r="K109" i="1"/>
  <c r="L109" i="1"/>
  <c r="M109" i="1"/>
  <c r="K110" i="1"/>
  <c r="L110" i="1"/>
  <c r="M110" i="1"/>
  <c r="N110" i="1" s="1"/>
  <c r="K111" i="1"/>
  <c r="L111" i="1"/>
  <c r="M111" i="1"/>
  <c r="N111" i="1" s="1"/>
  <c r="K112" i="1"/>
  <c r="L112" i="1"/>
  <c r="M112" i="1"/>
  <c r="N112" i="1" s="1"/>
  <c r="K113" i="1"/>
  <c r="L113" i="1"/>
  <c r="M113" i="1"/>
  <c r="N113" i="1" s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N118" i="1" s="1"/>
  <c r="K119" i="1"/>
  <c r="L119" i="1"/>
  <c r="M119" i="1"/>
  <c r="N119" i="1" s="1"/>
  <c r="K120" i="1"/>
  <c r="L120" i="1"/>
  <c r="M120" i="1"/>
  <c r="N120" i="1" s="1"/>
  <c r="K121" i="1"/>
  <c r="L121" i="1"/>
  <c r="M121" i="1"/>
  <c r="N121" i="1" s="1"/>
  <c r="K122" i="1"/>
  <c r="L122" i="1"/>
  <c r="M122" i="1"/>
  <c r="N122" i="1" s="1"/>
  <c r="K123" i="1"/>
  <c r="L123" i="1"/>
  <c r="M123" i="1"/>
  <c r="N123" i="1" s="1"/>
  <c r="K124" i="1"/>
  <c r="L124" i="1"/>
  <c r="M124" i="1"/>
  <c r="N124" i="1" s="1"/>
  <c r="K125" i="1"/>
  <c r="L125" i="1"/>
  <c r="M125" i="1"/>
  <c r="N125" i="1" s="1"/>
  <c r="K126" i="1"/>
  <c r="L126" i="1"/>
  <c r="M126" i="1"/>
  <c r="N126" i="1" s="1"/>
  <c r="K127" i="1"/>
  <c r="L127" i="1"/>
  <c r="M127" i="1"/>
  <c r="N127" i="1" s="1"/>
  <c r="K128" i="1"/>
  <c r="L128" i="1"/>
  <c r="M128" i="1"/>
  <c r="N128" i="1" s="1"/>
  <c r="K129" i="1"/>
  <c r="L129" i="1"/>
  <c r="M129" i="1"/>
  <c r="N129" i="1" s="1"/>
  <c r="K130" i="1"/>
  <c r="L130" i="1"/>
  <c r="M130" i="1"/>
  <c r="N130" i="1" s="1"/>
  <c r="K131" i="1"/>
  <c r="L131" i="1"/>
  <c r="M131" i="1"/>
  <c r="N131" i="1" s="1"/>
  <c r="K132" i="1"/>
  <c r="L132" i="1"/>
  <c r="M132" i="1"/>
  <c r="N132" i="1" s="1"/>
  <c r="K133" i="1"/>
  <c r="L133" i="1"/>
  <c r="M133" i="1"/>
  <c r="N133" i="1" s="1"/>
  <c r="K134" i="1"/>
  <c r="L134" i="1"/>
  <c r="M134" i="1"/>
  <c r="N134" i="1" s="1"/>
  <c r="K135" i="1"/>
  <c r="L135" i="1"/>
  <c r="M135" i="1"/>
  <c r="N135" i="1" s="1"/>
  <c r="K136" i="1"/>
  <c r="L136" i="1"/>
  <c r="M136" i="1"/>
  <c r="N136" i="1" s="1"/>
  <c r="K137" i="1"/>
  <c r="L137" i="1"/>
  <c r="M137" i="1"/>
  <c r="N137" i="1" s="1"/>
  <c r="K138" i="1"/>
  <c r="L138" i="1"/>
  <c r="M138" i="1"/>
  <c r="N138" i="1" s="1"/>
  <c r="K139" i="1"/>
  <c r="L139" i="1"/>
  <c r="M139" i="1"/>
  <c r="N139" i="1" s="1"/>
  <c r="K140" i="1"/>
  <c r="L140" i="1"/>
  <c r="M140" i="1"/>
  <c r="N140" i="1" s="1"/>
  <c r="K141" i="1"/>
  <c r="L141" i="1"/>
  <c r="M141" i="1"/>
  <c r="N141" i="1" s="1"/>
  <c r="K142" i="1"/>
  <c r="L142" i="1"/>
  <c r="M142" i="1"/>
  <c r="N142" i="1" s="1"/>
  <c r="K143" i="1"/>
  <c r="L143" i="1"/>
  <c r="M143" i="1"/>
  <c r="N143" i="1" s="1"/>
  <c r="K144" i="1"/>
  <c r="L144" i="1"/>
  <c r="M144" i="1"/>
  <c r="N144" i="1" s="1"/>
  <c r="K145" i="1"/>
  <c r="L145" i="1"/>
  <c r="M145" i="1"/>
  <c r="N145" i="1" s="1"/>
  <c r="K146" i="1"/>
  <c r="L146" i="1"/>
  <c r="M146" i="1"/>
  <c r="N146" i="1" s="1"/>
  <c r="K147" i="1"/>
  <c r="L147" i="1"/>
  <c r="M147" i="1"/>
  <c r="N147" i="1" s="1"/>
  <c r="K148" i="1"/>
  <c r="L148" i="1"/>
  <c r="M148" i="1"/>
  <c r="N148" i="1" s="1"/>
  <c r="K149" i="1"/>
  <c r="L149" i="1"/>
  <c r="M149" i="1"/>
  <c r="N149" i="1" s="1"/>
  <c r="K150" i="1"/>
  <c r="L150" i="1"/>
  <c r="M150" i="1"/>
  <c r="N150" i="1" s="1"/>
  <c r="K151" i="1"/>
  <c r="L151" i="1"/>
  <c r="M151" i="1"/>
  <c r="N151" i="1" s="1"/>
  <c r="K152" i="1"/>
  <c r="L152" i="1"/>
  <c r="M152" i="1"/>
  <c r="K153" i="1"/>
  <c r="L153" i="1"/>
  <c r="M153" i="1"/>
  <c r="K154" i="1"/>
  <c r="L154" i="1"/>
  <c r="M154" i="1"/>
  <c r="N154" i="1" s="1"/>
  <c r="K155" i="1"/>
  <c r="L155" i="1"/>
  <c r="M155" i="1"/>
  <c r="N155" i="1" s="1"/>
  <c r="K156" i="1"/>
  <c r="L156" i="1"/>
  <c r="M156" i="1"/>
  <c r="N156" i="1" s="1"/>
  <c r="K157" i="1"/>
  <c r="L157" i="1"/>
  <c r="M157" i="1"/>
  <c r="N157" i="1" s="1"/>
  <c r="K158" i="1"/>
  <c r="L158" i="1"/>
  <c r="M158" i="1"/>
  <c r="N158" i="1" s="1"/>
  <c r="K159" i="1"/>
  <c r="L159" i="1"/>
  <c r="M159" i="1"/>
  <c r="N159" i="1" s="1"/>
  <c r="K160" i="1"/>
  <c r="L160" i="1"/>
  <c r="M160" i="1"/>
  <c r="N160" i="1" s="1"/>
  <c r="K161" i="1"/>
  <c r="L161" i="1"/>
  <c r="M161" i="1"/>
  <c r="N161" i="1" s="1"/>
  <c r="K162" i="1"/>
  <c r="L162" i="1"/>
  <c r="M162" i="1"/>
  <c r="N162" i="1" s="1"/>
  <c r="K163" i="1"/>
  <c r="L163" i="1"/>
  <c r="M163" i="1"/>
  <c r="N163" i="1" s="1"/>
  <c r="K164" i="1"/>
  <c r="L164" i="1"/>
  <c r="M164" i="1"/>
  <c r="N164" i="1" s="1"/>
  <c r="K165" i="1"/>
  <c r="L165" i="1"/>
  <c r="M165" i="1"/>
  <c r="N165" i="1" s="1"/>
  <c r="K166" i="1"/>
  <c r="L166" i="1"/>
  <c r="M166" i="1"/>
  <c r="N166" i="1" s="1"/>
  <c r="K167" i="1"/>
  <c r="L167" i="1"/>
  <c r="M167" i="1"/>
  <c r="N167" i="1" s="1"/>
  <c r="K168" i="1"/>
  <c r="L168" i="1"/>
  <c r="M168" i="1"/>
  <c r="N168" i="1" s="1"/>
  <c r="K169" i="1"/>
  <c r="L169" i="1"/>
  <c r="M169" i="1"/>
  <c r="N169" i="1" s="1"/>
  <c r="K170" i="1"/>
  <c r="L170" i="1"/>
  <c r="M170" i="1"/>
  <c r="N170" i="1" s="1"/>
  <c r="K171" i="1"/>
  <c r="L171" i="1"/>
  <c r="M171" i="1"/>
  <c r="N171" i="1" s="1"/>
  <c r="K172" i="1"/>
  <c r="L172" i="1"/>
  <c r="M172" i="1"/>
  <c r="N172" i="1" s="1"/>
  <c r="K173" i="1"/>
  <c r="L173" i="1"/>
  <c r="M173" i="1"/>
  <c r="N173" i="1" s="1"/>
  <c r="K174" i="1"/>
  <c r="L174" i="1"/>
  <c r="M174" i="1"/>
  <c r="N174" i="1" s="1"/>
  <c r="K175" i="1"/>
  <c r="L175" i="1"/>
  <c r="M175" i="1"/>
  <c r="N175" i="1" s="1"/>
  <c r="K176" i="1"/>
  <c r="L176" i="1"/>
  <c r="M176" i="1"/>
  <c r="N176" i="1" s="1"/>
  <c r="K177" i="1"/>
  <c r="L177" i="1"/>
  <c r="M177" i="1"/>
  <c r="N177" i="1" s="1"/>
  <c r="K178" i="1"/>
  <c r="L178" i="1"/>
  <c r="M178" i="1"/>
  <c r="N178" i="1" s="1"/>
  <c r="K179" i="1"/>
  <c r="L179" i="1"/>
  <c r="M179" i="1"/>
  <c r="N179" i="1" s="1"/>
  <c r="K180" i="1"/>
  <c r="L180" i="1"/>
  <c r="M180" i="1"/>
  <c r="N180" i="1" s="1"/>
  <c r="K181" i="1"/>
  <c r="L181" i="1"/>
  <c r="M181" i="1"/>
  <c r="N181" i="1" s="1"/>
  <c r="K182" i="1"/>
  <c r="L182" i="1"/>
  <c r="M182" i="1"/>
  <c r="N182" i="1" s="1"/>
  <c r="K183" i="1"/>
  <c r="L183" i="1"/>
  <c r="M183" i="1"/>
  <c r="N183" i="1" s="1"/>
  <c r="K184" i="1"/>
  <c r="L184" i="1"/>
  <c r="M184" i="1"/>
  <c r="N184" i="1" s="1"/>
  <c r="K185" i="1"/>
  <c r="L185" i="1"/>
  <c r="M185" i="1"/>
  <c r="N185" i="1" s="1"/>
  <c r="K186" i="1"/>
  <c r="L186" i="1"/>
  <c r="M186" i="1"/>
  <c r="N186" i="1" s="1"/>
  <c r="K187" i="1"/>
  <c r="L187" i="1"/>
  <c r="M187" i="1"/>
  <c r="N187" i="1" s="1"/>
  <c r="K188" i="1"/>
  <c r="L188" i="1"/>
  <c r="M188" i="1"/>
  <c r="N188" i="1" s="1"/>
  <c r="K189" i="1"/>
  <c r="L189" i="1"/>
  <c r="M189" i="1"/>
  <c r="N189" i="1" s="1"/>
  <c r="K190" i="1"/>
  <c r="L190" i="1"/>
  <c r="M190" i="1"/>
  <c r="N190" i="1" s="1"/>
  <c r="K191" i="1"/>
  <c r="L191" i="1"/>
  <c r="M191" i="1"/>
  <c r="N191" i="1" s="1"/>
  <c r="K192" i="1"/>
  <c r="L192" i="1"/>
  <c r="M192" i="1"/>
  <c r="N192" i="1" s="1"/>
  <c r="K193" i="1"/>
  <c r="L193" i="1"/>
  <c r="M193" i="1"/>
  <c r="N193" i="1" s="1"/>
  <c r="K194" i="1"/>
  <c r="L194" i="1"/>
  <c r="M194" i="1"/>
  <c r="N194" i="1" s="1"/>
  <c r="K195" i="1"/>
  <c r="L195" i="1"/>
  <c r="M195" i="1"/>
  <c r="N195" i="1" s="1"/>
  <c r="K196" i="1"/>
  <c r="L196" i="1"/>
  <c r="M196" i="1"/>
  <c r="N196" i="1" s="1"/>
  <c r="K197" i="1"/>
  <c r="L197" i="1"/>
  <c r="M197" i="1"/>
  <c r="N197" i="1" s="1"/>
  <c r="K198" i="1"/>
  <c r="L198" i="1"/>
  <c r="M198" i="1"/>
  <c r="N198" i="1" s="1"/>
  <c r="K199" i="1"/>
  <c r="L199" i="1"/>
  <c r="M199" i="1"/>
  <c r="N199" i="1" s="1"/>
  <c r="K200" i="1"/>
  <c r="L200" i="1"/>
  <c r="M200" i="1"/>
  <c r="N200" i="1" s="1"/>
  <c r="K201" i="1"/>
  <c r="L201" i="1"/>
  <c r="M201" i="1"/>
  <c r="N201" i="1" s="1"/>
  <c r="K202" i="1"/>
  <c r="L202" i="1"/>
  <c r="M202" i="1"/>
  <c r="N202" i="1" s="1"/>
  <c r="K203" i="1"/>
  <c r="L203" i="1"/>
  <c r="M203" i="1"/>
  <c r="N203" i="1" s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13" i="1"/>
  <c r="V193" i="1"/>
  <c r="Y193" i="1"/>
  <c r="Z193" i="1"/>
  <c r="AB193" i="1"/>
  <c r="AC193" i="1"/>
  <c r="AD193" i="1"/>
  <c r="AE193" i="1"/>
  <c r="AF193" i="1"/>
  <c r="V194" i="1"/>
  <c r="Y194" i="1"/>
  <c r="Z194" i="1"/>
  <c r="AB194" i="1"/>
  <c r="AC194" i="1"/>
  <c r="AD194" i="1"/>
  <c r="AG194" i="1" s="1"/>
  <c r="AE194" i="1"/>
  <c r="AF194" i="1"/>
  <c r="V195" i="1"/>
  <c r="Y195" i="1"/>
  <c r="Z195" i="1"/>
  <c r="AB195" i="1"/>
  <c r="AC195" i="1"/>
  <c r="AD195" i="1"/>
  <c r="AE195" i="1"/>
  <c r="AF195" i="1"/>
  <c r="V196" i="1"/>
  <c r="Y196" i="1"/>
  <c r="Z196" i="1"/>
  <c r="AB196" i="1"/>
  <c r="AC196" i="1"/>
  <c r="AD196" i="1"/>
  <c r="AG196" i="1" s="1"/>
  <c r="AE196" i="1"/>
  <c r="AF196" i="1"/>
  <c r="V197" i="1"/>
  <c r="Y197" i="1"/>
  <c r="Z197" i="1"/>
  <c r="AB197" i="1"/>
  <c r="AC197" i="1"/>
  <c r="AD197" i="1"/>
  <c r="AE197" i="1"/>
  <c r="AF197" i="1"/>
  <c r="V198" i="1"/>
  <c r="Y198" i="1"/>
  <c r="Z198" i="1"/>
  <c r="AB198" i="1"/>
  <c r="AC198" i="1"/>
  <c r="AD198" i="1"/>
  <c r="AG198" i="1" s="1"/>
  <c r="AE198" i="1"/>
  <c r="AF198" i="1"/>
  <c r="V199" i="1"/>
  <c r="Y199" i="1"/>
  <c r="Z199" i="1"/>
  <c r="AB199" i="1"/>
  <c r="AC199" i="1"/>
  <c r="AD199" i="1"/>
  <c r="AE199" i="1"/>
  <c r="AF199" i="1"/>
  <c r="V200" i="1"/>
  <c r="Y200" i="1"/>
  <c r="Z200" i="1"/>
  <c r="AB200" i="1"/>
  <c r="AC200" i="1"/>
  <c r="AD200" i="1"/>
  <c r="AG200" i="1" s="1"/>
  <c r="AE200" i="1"/>
  <c r="AF200" i="1"/>
  <c r="V201" i="1"/>
  <c r="Y201" i="1"/>
  <c r="Z201" i="1"/>
  <c r="AB201" i="1"/>
  <c r="AC201" i="1"/>
  <c r="AD201" i="1"/>
  <c r="AE201" i="1"/>
  <c r="AF201" i="1"/>
  <c r="V202" i="1"/>
  <c r="Y202" i="1"/>
  <c r="Z202" i="1"/>
  <c r="AB202" i="1"/>
  <c r="AC202" i="1"/>
  <c r="AD202" i="1"/>
  <c r="AG202" i="1" s="1"/>
  <c r="AE202" i="1"/>
  <c r="AF202" i="1"/>
  <c r="V203" i="1"/>
  <c r="Y203" i="1"/>
  <c r="Z203" i="1"/>
  <c r="AB203" i="1"/>
  <c r="AC203" i="1"/>
  <c r="AD203" i="1"/>
  <c r="AE203" i="1"/>
  <c r="AF203" i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V179" i="1"/>
  <c r="Y179" i="1"/>
  <c r="Z179" i="1"/>
  <c r="AB179" i="1"/>
  <c r="AC179" i="1"/>
  <c r="AD179" i="1"/>
  <c r="T179" i="1" s="1"/>
  <c r="AE179" i="1"/>
  <c r="AF179" i="1"/>
  <c r="V180" i="1"/>
  <c r="Y180" i="1"/>
  <c r="Z180" i="1"/>
  <c r="AB180" i="1"/>
  <c r="AC180" i="1"/>
  <c r="AD180" i="1"/>
  <c r="T180" i="1" s="1"/>
  <c r="AE180" i="1"/>
  <c r="AF180" i="1"/>
  <c r="V181" i="1"/>
  <c r="Y181" i="1"/>
  <c r="Z181" i="1"/>
  <c r="AB181" i="1"/>
  <c r="AC181" i="1"/>
  <c r="AD181" i="1"/>
  <c r="T181" i="1" s="1"/>
  <c r="AE181" i="1"/>
  <c r="AF181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V182" i="1"/>
  <c r="Y182" i="1"/>
  <c r="Z182" i="1"/>
  <c r="AB182" i="1"/>
  <c r="AC182" i="1"/>
  <c r="AD182" i="1"/>
  <c r="AE182" i="1"/>
  <c r="AF182" i="1"/>
  <c r="V183" i="1"/>
  <c r="Y183" i="1"/>
  <c r="Z183" i="1"/>
  <c r="AB183" i="1"/>
  <c r="AC183" i="1"/>
  <c r="AD183" i="1"/>
  <c r="AE183" i="1"/>
  <c r="AF183" i="1"/>
  <c r="V184" i="1"/>
  <c r="Q55" i="3" s="1"/>
  <c r="Y184" i="1"/>
  <c r="Z184" i="1"/>
  <c r="AB184" i="1"/>
  <c r="AC184" i="1"/>
  <c r="AD184" i="1"/>
  <c r="AE184" i="1"/>
  <c r="P55" i="3" s="1"/>
  <c r="AF184" i="1"/>
  <c r="V185" i="1"/>
  <c r="Y185" i="1"/>
  <c r="Z185" i="1"/>
  <c r="AB185" i="1"/>
  <c r="AC185" i="1"/>
  <c r="AD185" i="1"/>
  <c r="AE185" i="1"/>
  <c r="AF185" i="1"/>
  <c r="V186" i="1"/>
  <c r="Q50" i="3" s="1"/>
  <c r="Y186" i="1"/>
  <c r="Z186" i="1"/>
  <c r="AB186" i="1"/>
  <c r="AC186" i="1"/>
  <c r="AD186" i="1"/>
  <c r="AE186" i="1"/>
  <c r="P50" i="3" s="1"/>
  <c r="AF186" i="1"/>
  <c r="V187" i="1"/>
  <c r="Q51" i="3" s="1"/>
  <c r="Y187" i="1"/>
  <c r="Z187" i="1"/>
  <c r="AB187" i="1"/>
  <c r="AC187" i="1"/>
  <c r="AD187" i="1"/>
  <c r="AE187" i="1"/>
  <c r="P51" i="3" s="1"/>
  <c r="AF187" i="1"/>
  <c r="V188" i="1"/>
  <c r="Q49" i="3" s="1"/>
  <c r="Y188" i="1"/>
  <c r="Z188" i="1"/>
  <c r="AB188" i="1"/>
  <c r="AC188" i="1"/>
  <c r="AD188" i="1"/>
  <c r="AE188" i="1"/>
  <c r="P57" i="3" s="1"/>
  <c r="AF188" i="1"/>
  <c r="V189" i="1"/>
  <c r="Q60" i="3" s="1"/>
  <c r="Y189" i="1"/>
  <c r="Z189" i="1"/>
  <c r="AB189" i="1"/>
  <c r="AC189" i="1"/>
  <c r="AD189" i="1"/>
  <c r="AE189" i="1"/>
  <c r="P60" i="3" s="1"/>
  <c r="AF189" i="1"/>
  <c r="V190" i="1"/>
  <c r="Q58" i="3" s="1"/>
  <c r="Y190" i="1"/>
  <c r="Z190" i="1"/>
  <c r="AB190" i="1"/>
  <c r="AC190" i="1"/>
  <c r="AD190" i="1"/>
  <c r="AE190" i="1"/>
  <c r="P58" i="3" s="1"/>
  <c r="AF190" i="1"/>
  <c r="V191" i="1"/>
  <c r="Q53" i="3" s="1"/>
  <c r="Y191" i="1"/>
  <c r="Z191" i="1"/>
  <c r="AB191" i="1"/>
  <c r="AC191" i="1"/>
  <c r="AD191" i="1"/>
  <c r="AE191" i="1"/>
  <c r="P53" i="3" s="1"/>
  <c r="AF191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V192" i="1"/>
  <c r="Y192" i="1"/>
  <c r="Z192" i="1"/>
  <c r="AB192" i="1"/>
  <c r="AC192" i="1"/>
  <c r="AD192" i="1"/>
  <c r="AE192" i="1"/>
  <c r="AF192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Q26" i="3" s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Q47" i="3" s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Q40" i="3" s="1"/>
  <c r="Y104" i="1"/>
  <c r="Z104" i="1"/>
  <c r="AB104" i="1"/>
  <c r="AC104" i="1"/>
  <c r="AD104" i="1"/>
  <c r="AG104" i="1" s="1"/>
  <c r="AE104" i="1"/>
  <c r="P40" i="3" s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Q41" i="3" s="1"/>
  <c r="Y106" i="1"/>
  <c r="Z106" i="1"/>
  <c r="AB106" i="1"/>
  <c r="AC106" i="1"/>
  <c r="AD106" i="1"/>
  <c r="AG106" i="1" s="1"/>
  <c r="AE106" i="1"/>
  <c r="P41" i="3" s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V109" i="1"/>
  <c r="Y109" i="1"/>
  <c r="Z109" i="1"/>
  <c r="AB109" i="1"/>
  <c r="AC109" i="1"/>
  <c r="AD109" i="1"/>
  <c r="AE109" i="1"/>
  <c r="AF109" i="1"/>
  <c r="V110" i="1"/>
  <c r="Y110" i="1"/>
  <c r="Z110" i="1"/>
  <c r="AB110" i="1"/>
  <c r="AC110" i="1"/>
  <c r="AD110" i="1"/>
  <c r="AE110" i="1"/>
  <c r="AF110" i="1"/>
  <c r="V111" i="1"/>
  <c r="Y111" i="1"/>
  <c r="Z111" i="1"/>
  <c r="AB111" i="1"/>
  <c r="AC111" i="1"/>
  <c r="AD111" i="1"/>
  <c r="AE111" i="1"/>
  <c r="AF111" i="1"/>
  <c r="V112" i="1"/>
  <c r="Q19" i="3" s="1"/>
  <c r="Y112" i="1"/>
  <c r="Z112" i="1"/>
  <c r="AB112" i="1"/>
  <c r="AC112" i="1"/>
  <c r="AD112" i="1"/>
  <c r="AE112" i="1"/>
  <c r="P19" i="3" s="1"/>
  <c r="AF112" i="1"/>
  <c r="V113" i="1"/>
  <c r="Y113" i="1"/>
  <c r="Z113" i="1"/>
  <c r="AB113" i="1"/>
  <c r="AC113" i="1"/>
  <c r="AD113" i="1"/>
  <c r="AE113" i="1"/>
  <c r="AF113" i="1"/>
  <c r="V114" i="1"/>
  <c r="Q30" i="3" s="1"/>
  <c r="Y114" i="1"/>
  <c r="Z114" i="1"/>
  <c r="AB114" i="1"/>
  <c r="AC114" i="1"/>
  <c r="AD114" i="1"/>
  <c r="AE114" i="1"/>
  <c r="P30" i="3" s="1"/>
  <c r="AF114" i="1"/>
  <c r="V115" i="1"/>
  <c r="Y115" i="1"/>
  <c r="Z115" i="1"/>
  <c r="AB115" i="1"/>
  <c r="AC115" i="1"/>
  <c r="AD115" i="1"/>
  <c r="AE115" i="1"/>
  <c r="AF115" i="1"/>
  <c r="V116" i="1"/>
  <c r="Y116" i="1"/>
  <c r="Z116" i="1"/>
  <c r="AB116" i="1"/>
  <c r="AC116" i="1"/>
  <c r="AD116" i="1"/>
  <c r="AE116" i="1"/>
  <c r="AF116" i="1"/>
  <c r="V117" i="1"/>
  <c r="Y117" i="1"/>
  <c r="Z117" i="1"/>
  <c r="AB117" i="1"/>
  <c r="AC117" i="1"/>
  <c r="AD117" i="1"/>
  <c r="AE117" i="1"/>
  <c r="AF117" i="1"/>
  <c r="V118" i="1"/>
  <c r="Y118" i="1"/>
  <c r="Z118" i="1"/>
  <c r="AB118" i="1"/>
  <c r="AC118" i="1"/>
  <c r="AD118" i="1"/>
  <c r="AE118" i="1"/>
  <c r="AF118" i="1"/>
  <c r="V119" i="1"/>
  <c r="Q32" i="3" s="1"/>
  <c r="Y119" i="1"/>
  <c r="Z119" i="1"/>
  <c r="AB119" i="1"/>
  <c r="AC119" i="1"/>
  <c r="AD119" i="1"/>
  <c r="T119" i="1" s="1"/>
  <c r="AE119" i="1"/>
  <c r="P32" i="3" s="1"/>
  <c r="AF119" i="1"/>
  <c r="V120" i="1"/>
  <c r="Y120" i="1"/>
  <c r="Z120" i="1"/>
  <c r="AB120" i="1"/>
  <c r="AC120" i="1"/>
  <c r="AD120" i="1"/>
  <c r="T120" i="1" s="1"/>
  <c r="AE120" i="1"/>
  <c r="AF120" i="1"/>
  <c r="V121" i="1"/>
  <c r="Y121" i="1"/>
  <c r="Z121" i="1"/>
  <c r="AB121" i="1"/>
  <c r="AC121" i="1"/>
  <c r="AD121" i="1"/>
  <c r="T121" i="1" s="1"/>
  <c r="AE121" i="1"/>
  <c r="AF121" i="1"/>
  <c r="V122" i="1"/>
  <c r="Y122" i="1"/>
  <c r="Z122" i="1"/>
  <c r="AB122" i="1"/>
  <c r="AC122" i="1"/>
  <c r="AD122" i="1"/>
  <c r="T122" i="1" s="1"/>
  <c r="AE122" i="1"/>
  <c r="AF122" i="1"/>
  <c r="V123" i="1"/>
  <c r="Q42" i="3" s="1"/>
  <c r="Y123" i="1"/>
  <c r="Z123" i="1"/>
  <c r="AB123" i="1"/>
  <c r="AC123" i="1"/>
  <c r="AD123" i="1"/>
  <c r="T123" i="1" s="1"/>
  <c r="AE123" i="1"/>
  <c r="P42" i="3" s="1"/>
  <c r="AF123" i="1"/>
  <c r="V124" i="1"/>
  <c r="Y124" i="1"/>
  <c r="Z124" i="1"/>
  <c r="AB124" i="1"/>
  <c r="AC124" i="1"/>
  <c r="AD124" i="1"/>
  <c r="T124" i="1" s="1"/>
  <c r="AE124" i="1"/>
  <c r="AF124" i="1"/>
  <c r="V125" i="1"/>
  <c r="Y125" i="1"/>
  <c r="Z125" i="1"/>
  <c r="AB125" i="1"/>
  <c r="AC125" i="1"/>
  <c r="AD125" i="1"/>
  <c r="T125" i="1" s="1"/>
  <c r="AE125" i="1"/>
  <c r="AF125" i="1"/>
  <c r="V126" i="1"/>
  <c r="Y126" i="1"/>
  <c r="Z126" i="1"/>
  <c r="AB126" i="1"/>
  <c r="AC126" i="1"/>
  <c r="AD126" i="1"/>
  <c r="T126" i="1" s="1"/>
  <c r="AE126" i="1"/>
  <c r="AF126" i="1"/>
  <c r="V127" i="1"/>
  <c r="Y127" i="1"/>
  <c r="Z127" i="1"/>
  <c r="AB127" i="1"/>
  <c r="AC127" i="1"/>
  <c r="AD127" i="1"/>
  <c r="T127" i="1" s="1"/>
  <c r="AE127" i="1"/>
  <c r="AF127" i="1"/>
  <c r="V128" i="1"/>
  <c r="Y128" i="1"/>
  <c r="Z128" i="1"/>
  <c r="AB128" i="1"/>
  <c r="AC128" i="1"/>
  <c r="AD128" i="1"/>
  <c r="T128" i="1" s="1"/>
  <c r="AE128" i="1"/>
  <c r="AF128" i="1"/>
  <c r="V129" i="1"/>
  <c r="Y129" i="1"/>
  <c r="Z129" i="1"/>
  <c r="AB129" i="1"/>
  <c r="AC129" i="1"/>
  <c r="AD129" i="1"/>
  <c r="T129" i="1" s="1"/>
  <c r="AE129" i="1"/>
  <c r="AF129" i="1"/>
  <c r="V130" i="1"/>
  <c r="Y130" i="1"/>
  <c r="Z130" i="1"/>
  <c r="AB130" i="1"/>
  <c r="AC130" i="1"/>
  <c r="AD130" i="1"/>
  <c r="T130" i="1" s="1"/>
  <c r="AE130" i="1"/>
  <c r="AF130" i="1"/>
  <c r="V131" i="1"/>
  <c r="Y131" i="1"/>
  <c r="Z131" i="1"/>
  <c r="AB131" i="1"/>
  <c r="AC131" i="1"/>
  <c r="AD131" i="1"/>
  <c r="T131" i="1" s="1"/>
  <c r="AE131" i="1"/>
  <c r="AF131" i="1"/>
  <c r="V132" i="1"/>
  <c r="Y132" i="1"/>
  <c r="Z132" i="1"/>
  <c r="AB132" i="1"/>
  <c r="AC132" i="1"/>
  <c r="AD132" i="1"/>
  <c r="T132" i="1" s="1"/>
  <c r="AE132" i="1"/>
  <c r="AF132" i="1"/>
  <c r="V133" i="1"/>
  <c r="Y133" i="1"/>
  <c r="Z133" i="1"/>
  <c r="AB133" i="1"/>
  <c r="AC133" i="1"/>
  <c r="AD133" i="1"/>
  <c r="T133" i="1" s="1"/>
  <c r="AE133" i="1"/>
  <c r="AF133" i="1"/>
  <c r="V134" i="1"/>
  <c r="Y134" i="1"/>
  <c r="Z134" i="1"/>
  <c r="AB134" i="1"/>
  <c r="AC134" i="1"/>
  <c r="AD134" i="1"/>
  <c r="T134" i="1" s="1"/>
  <c r="AE134" i="1"/>
  <c r="AF134" i="1"/>
  <c r="V135" i="1"/>
  <c r="Y135" i="1"/>
  <c r="Z135" i="1"/>
  <c r="AB135" i="1"/>
  <c r="AC135" i="1"/>
  <c r="AD135" i="1"/>
  <c r="T135" i="1" s="1"/>
  <c r="AE135" i="1"/>
  <c r="AF135" i="1"/>
  <c r="V136" i="1"/>
  <c r="Y136" i="1"/>
  <c r="Z136" i="1"/>
  <c r="AB136" i="1"/>
  <c r="AC136" i="1"/>
  <c r="AD136" i="1"/>
  <c r="T136" i="1" s="1"/>
  <c r="AE136" i="1"/>
  <c r="AF136" i="1"/>
  <c r="V137" i="1"/>
  <c r="Y137" i="1"/>
  <c r="Z137" i="1"/>
  <c r="AB137" i="1"/>
  <c r="AC137" i="1"/>
  <c r="AD137" i="1"/>
  <c r="T137" i="1" s="1"/>
  <c r="AE137" i="1"/>
  <c r="AF137" i="1"/>
  <c r="V138" i="1"/>
  <c r="Y138" i="1"/>
  <c r="Z138" i="1"/>
  <c r="AB138" i="1"/>
  <c r="AC138" i="1"/>
  <c r="AD138" i="1"/>
  <c r="T138" i="1" s="1"/>
  <c r="AE138" i="1"/>
  <c r="AF138" i="1"/>
  <c r="V139" i="1"/>
  <c r="Y139" i="1"/>
  <c r="Z139" i="1"/>
  <c r="AB139" i="1"/>
  <c r="AC139" i="1"/>
  <c r="AD139" i="1"/>
  <c r="T139" i="1" s="1"/>
  <c r="AE139" i="1"/>
  <c r="AF139" i="1"/>
  <c r="V140" i="1"/>
  <c r="Y140" i="1"/>
  <c r="Z140" i="1"/>
  <c r="AB140" i="1"/>
  <c r="AC140" i="1"/>
  <c r="AD140" i="1"/>
  <c r="T140" i="1" s="1"/>
  <c r="AE140" i="1"/>
  <c r="AF140" i="1"/>
  <c r="V141" i="1"/>
  <c r="Y141" i="1"/>
  <c r="Z141" i="1"/>
  <c r="AB141" i="1"/>
  <c r="AC141" i="1"/>
  <c r="AD141" i="1"/>
  <c r="T141" i="1" s="1"/>
  <c r="AE141" i="1"/>
  <c r="AF141" i="1"/>
  <c r="V142" i="1"/>
  <c r="Y142" i="1"/>
  <c r="Z142" i="1"/>
  <c r="AB142" i="1"/>
  <c r="AC142" i="1"/>
  <c r="AD142" i="1"/>
  <c r="T142" i="1" s="1"/>
  <c r="AE142" i="1"/>
  <c r="AF142" i="1"/>
  <c r="V143" i="1"/>
  <c r="Y143" i="1"/>
  <c r="Z143" i="1"/>
  <c r="AB143" i="1"/>
  <c r="AC143" i="1"/>
  <c r="AD143" i="1"/>
  <c r="T143" i="1" s="1"/>
  <c r="AE143" i="1"/>
  <c r="AF143" i="1"/>
  <c r="V144" i="1"/>
  <c r="Q48" i="3" s="1"/>
  <c r="Y144" i="1"/>
  <c r="Z144" i="1"/>
  <c r="AB144" i="1"/>
  <c r="AC144" i="1"/>
  <c r="AD144" i="1"/>
  <c r="T144" i="1" s="1"/>
  <c r="AE144" i="1"/>
  <c r="P48" i="3" s="1"/>
  <c r="AF144" i="1"/>
  <c r="V145" i="1"/>
  <c r="Y145" i="1"/>
  <c r="Z145" i="1"/>
  <c r="AB145" i="1"/>
  <c r="AC145" i="1"/>
  <c r="AD145" i="1"/>
  <c r="T145" i="1" s="1"/>
  <c r="AE145" i="1"/>
  <c r="AF145" i="1"/>
  <c r="V146" i="1"/>
  <c r="Y146" i="1"/>
  <c r="Z146" i="1"/>
  <c r="AB146" i="1"/>
  <c r="AC146" i="1"/>
  <c r="AD146" i="1"/>
  <c r="T146" i="1" s="1"/>
  <c r="AE146" i="1"/>
  <c r="AF146" i="1"/>
  <c r="V147" i="1"/>
  <c r="Y147" i="1"/>
  <c r="Z147" i="1"/>
  <c r="AB147" i="1"/>
  <c r="AC147" i="1"/>
  <c r="AD147" i="1"/>
  <c r="T147" i="1" s="1"/>
  <c r="AE147" i="1"/>
  <c r="AF147" i="1"/>
  <c r="V148" i="1"/>
  <c r="Y148" i="1"/>
  <c r="Z148" i="1"/>
  <c r="AB148" i="1"/>
  <c r="AC148" i="1"/>
  <c r="AD148" i="1"/>
  <c r="T148" i="1" s="1"/>
  <c r="AE148" i="1"/>
  <c r="AF148" i="1"/>
  <c r="V149" i="1"/>
  <c r="Y149" i="1"/>
  <c r="Z149" i="1"/>
  <c r="AB149" i="1"/>
  <c r="AC149" i="1"/>
  <c r="AD149" i="1"/>
  <c r="T149" i="1" s="1"/>
  <c r="AE149" i="1"/>
  <c r="AF149" i="1"/>
  <c r="V150" i="1"/>
  <c r="Y150" i="1"/>
  <c r="Z150" i="1"/>
  <c r="AB150" i="1"/>
  <c r="AC150" i="1"/>
  <c r="AD150" i="1"/>
  <c r="T150" i="1" s="1"/>
  <c r="AE150" i="1"/>
  <c r="AF150" i="1"/>
  <c r="V151" i="1"/>
  <c r="Y151" i="1"/>
  <c r="Z151" i="1"/>
  <c r="AB151" i="1"/>
  <c r="AC151" i="1"/>
  <c r="AD151" i="1"/>
  <c r="T151" i="1" s="1"/>
  <c r="AE151" i="1"/>
  <c r="AF151" i="1"/>
  <c r="V152" i="1"/>
  <c r="Y152" i="1"/>
  <c r="Z152" i="1"/>
  <c r="AB152" i="1"/>
  <c r="AC152" i="1"/>
  <c r="AD152" i="1"/>
  <c r="T152" i="1" s="1"/>
  <c r="AE152" i="1"/>
  <c r="AF152" i="1"/>
  <c r="V153" i="1"/>
  <c r="Y153" i="1"/>
  <c r="Z153" i="1"/>
  <c r="AB153" i="1"/>
  <c r="AC153" i="1"/>
  <c r="AD153" i="1"/>
  <c r="T153" i="1" s="1"/>
  <c r="AE153" i="1"/>
  <c r="AF153" i="1"/>
  <c r="V154" i="1"/>
  <c r="Q15" i="3" s="1"/>
  <c r="Y154" i="1"/>
  <c r="Z154" i="1"/>
  <c r="AB154" i="1"/>
  <c r="AC154" i="1"/>
  <c r="AD154" i="1"/>
  <c r="T154" i="1" s="1"/>
  <c r="AE154" i="1"/>
  <c r="P15" i="3" s="1"/>
  <c r="AF154" i="1"/>
  <c r="V155" i="1"/>
  <c r="Y155" i="1"/>
  <c r="Z155" i="1"/>
  <c r="AB155" i="1"/>
  <c r="AC155" i="1"/>
  <c r="AD155" i="1"/>
  <c r="T155" i="1" s="1"/>
  <c r="AE155" i="1"/>
  <c r="AF155" i="1"/>
  <c r="V156" i="1"/>
  <c r="Q11" i="3" s="1"/>
  <c r="Y156" i="1"/>
  <c r="Z156" i="1"/>
  <c r="AB156" i="1"/>
  <c r="AC156" i="1"/>
  <c r="AD156" i="1"/>
  <c r="T156" i="1" s="1"/>
  <c r="AE156" i="1"/>
  <c r="P11" i="3" s="1"/>
  <c r="AF156" i="1"/>
  <c r="V157" i="1"/>
  <c r="Y157" i="1"/>
  <c r="Z157" i="1"/>
  <c r="AB157" i="1"/>
  <c r="AC157" i="1"/>
  <c r="AD157" i="1"/>
  <c r="T157" i="1" s="1"/>
  <c r="AE157" i="1"/>
  <c r="AF157" i="1"/>
  <c r="V158" i="1"/>
  <c r="Y158" i="1"/>
  <c r="Z158" i="1"/>
  <c r="AB158" i="1"/>
  <c r="AC158" i="1"/>
  <c r="AD158" i="1"/>
  <c r="T158" i="1" s="1"/>
  <c r="AE158" i="1"/>
  <c r="AF158" i="1"/>
  <c r="V159" i="1"/>
  <c r="Y159" i="1"/>
  <c r="Z159" i="1"/>
  <c r="AB159" i="1"/>
  <c r="AC159" i="1"/>
  <c r="AD159" i="1"/>
  <c r="T159" i="1" s="1"/>
  <c r="AE159" i="1"/>
  <c r="AF159" i="1"/>
  <c r="V160" i="1"/>
  <c r="Y160" i="1"/>
  <c r="Z160" i="1"/>
  <c r="AB160" i="1"/>
  <c r="AC160" i="1"/>
  <c r="AD160" i="1"/>
  <c r="T160" i="1" s="1"/>
  <c r="AE160" i="1"/>
  <c r="AF160" i="1"/>
  <c r="V161" i="1"/>
  <c r="Y161" i="1"/>
  <c r="Z161" i="1"/>
  <c r="AB161" i="1"/>
  <c r="AC161" i="1"/>
  <c r="AD161" i="1"/>
  <c r="T161" i="1" s="1"/>
  <c r="AE161" i="1"/>
  <c r="AF161" i="1"/>
  <c r="V162" i="1"/>
  <c r="Y162" i="1"/>
  <c r="Z162" i="1"/>
  <c r="AB162" i="1"/>
  <c r="AC162" i="1"/>
  <c r="AD162" i="1"/>
  <c r="T162" i="1" s="1"/>
  <c r="AE162" i="1"/>
  <c r="AF162" i="1"/>
  <c r="K14" i="1"/>
  <c r="L14" i="1"/>
  <c r="M14" i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P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V163" i="1"/>
  <c r="Y163" i="1"/>
  <c r="Z163" i="1"/>
  <c r="AB163" i="1"/>
  <c r="AC163" i="1"/>
  <c r="AD163" i="1"/>
  <c r="AE163" i="1"/>
  <c r="AF163" i="1"/>
  <c r="V164" i="1"/>
  <c r="Y164" i="1"/>
  <c r="Z164" i="1"/>
  <c r="AB164" i="1"/>
  <c r="AC164" i="1"/>
  <c r="AD164" i="1"/>
  <c r="AE164" i="1"/>
  <c r="AF164" i="1"/>
  <c r="V165" i="1"/>
  <c r="Y165" i="1"/>
  <c r="Z165" i="1"/>
  <c r="AB165" i="1"/>
  <c r="AC165" i="1"/>
  <c r="AD165" i="1"/>
  <c r="AE165" i="1"/>
  <c r="AF165" i="1"/>
  <c r="V166" i="1"/>
  <c r="Y166" i="1"/>
  <c r="Z166" i="1"/>
  <c r="AB166" i="1"/>
  <c r="AC166" i="1"/>
  <c r="AD166" i="1"/>
  <c r="AE166" i="1"/>
  <c r="AF166" i="1"/>
  <c r="V167" i="1"/>
  <c r="Y167" i="1"/>
  <c r="Z167" i="1"/>
  <c r="AB167" i="1"/>
  <c r="AC167" i="1"/>
  <c r="AD167" i="1"/>
  <c r="AE167" i="1"/>
  <c r="AF167" i="1"/>
  <c r="V168" i="1"/>
  <c r="Y168" i="1"/>
  <c r="Z168" i="1"/>
  <c r="AB168" i="1"/>
  <c r="AC168" i="1"/>
  <c r="AD168" i="1"/>
  <c r="AE168" i="1"/>
  <c r="AF168" i="1"/>
  <c r="V169" i="1"/>
  <c r="Y169" i="1"/>
  <c r="Z169" i="1"/>
  <c r="AB169" i="1"/>
  <c r="AC169" i="1"/>
  <c r="AD169" i="1"/>
  <c r="AE169" i="1"/>
  <c r="AF169" i="1"/>
  <c r="V170" i="1"/>
  <c r="Y170" i="1"/>
  <c r="AB170" i="1"/>
  <c r="AC170" i="1"/>
  <c r="AD170" i="1"/>
  <c r="AE170" i="1"/>
  <c r="AF170" i="1"/>
  <c r="V171" i="1"/>
  <c r="Y171" i="1"/>
  <c r="Z171" i="1"/>
  <c r="AB171" i="1"/>
  <c r="AC171" i="1"/>
  <c r="AD171" i="1"/>
  <c r="AE171" i="1"/>
  <c r="AF171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V172" i="1"/>
  <c r="Y172" i="1"/>
  <c r="Z172" i="1"/>
  <c r="AB172" i="1"/>
  <c r="AC172" i="1"/>
  <c r="AD172" i="1"/>
  <c r="AE172" i="1"/>
  <c r="AF172" i="1"/>
  <c r="V173" i="1"/>
  <c r="Y173" i="1"/>
  <c r="Z173" i="1"/>
  <c r="AB173" i="1"/>
  <c r="AC173" i="1"/>
  <c r="AD173" i="1"/>
  <c r="AE173" i="1"/>
  <c r="AF173" i="1"/>
  <c r="V174" i="1"/>
  <c r="Y174" i="1"/>
  <c r="Z174" i="1"/>
  <c r="AB174" i="1"/>
  <c r="AC174" i="1"/>
  <c r="AD174" i="1"/>
  <c r="AE174" i="1"/>
  <c r="AF174" i="1"/>
  <c r="V175" i="1"/>
  <c r="Y175" i="1"/>
  <c r="Z175" i="1"/>
  <c r="AB175" i="1"/>
  <c r="AC175" i="1"/>
  <c r="AD175" i="1"/>
  <c r="AE175" i="1"/>
  <c r="AF175" i="1"/>
  <c r="V176" i="1"/>
  <c r="Y176" i="1"/>
  <c r="Z176" i="1"/>
  <c r="AB176" i="1"/>
  <c r="AC176" i="1"/>
  <c r="AD176" i="1"/>
  <c r="AE176" i="1"/>
  <c r="AF176" i="1"/>
  <c r="V177" i="1"/>
  <c r="Y177" i="1"/>
  <c r="Z177" i="1"/>
  <c r="AB177" i="1"/>
  <c r="AC177" i="1"/>
  <c r="AD177" i="1"/>
  <c r="T177" i="1" s="1"/>
  <c r="AE177" i="1"/>
  <c r="AF177" i="1"/>
  <c r="V178" i="1"/>
  <c r="Y178" i="1"/>
  <c r="Z178" i="1"/>
  <c r="AB178" i="1"/>
  <c r="AC178" i="1"/>
  <c r="AD178" i="1"/>
  <c r="AE178" i="1"/>
  <c r="AF178" i="1"/>
  <c r="S9" i="3"/>
  <c r="R9" i="3" s="1"/>
  <c r="T9" i="3"/>
  <c r="U9" i="3"/>
  <c r="V9" i="3"/>
  <c r="S11" i="3"/>
  <c r="R11" i="3" s="1"/>
  <c r="T11" i="3"/>
  <c r="U11" i="3"/>
  <c r="V11" i="3"/>
  <c r="S15" i="3"/>
  <c r="R15" i="3" s="1"/>
  <c r="T15" i="3"/>
  <c r="U15" i="3"/>
  <c r="V15" i="3"/>
  <c r="S49" i="3"/>
  <c r="R49" i="3" s="1"/>
  <c r="T49" i="3"/>
  <c r="U49" i="3"/>
  <c r="V49" i="3"/>
  <c r="S16" i="3"/>
  <c r="R16" i="3" s="1"/>
  <c r="T16" i="3"/>
  <c r="U16" i="3"/>
  <c r="V16" i="3"/>
  <c r="S18" i="3"/>
  <c r="R18" i="3" s="1"/>
  <c r="T18" i="3"/>
  <c r="U18" i="3"/>
  <c r="V18" i="3"/>
  <c r="S50" i="3"/>
  <c r="R50" i="3" s="1"/>
  <c r="T50" i="3"/>
  <c r="U50" i="3"/>
  <c r="V50" i="3"/>
  <c r="S51" i="3"/>
  <c r="R51" i="3" s="1"/>
  <c r="T51" i="3"/>
  <c r="U51" i="3"/>
  <c r="V51" i="3"/>
  <c r="S19" i="3"/>
  <c r="R19" i="3" s="1"/>
  <c r="T19" i="3"/>
  <c r="U19" i="3"/>
  <c r="V19" i="3"/>
  <c r="S20" i="3"/>
  <c r="R20" i="3" s="1"/>
  <c r="T20" i="3"/>
  <c r="U20" i="3"/>
  <c r="V20" i="3"/>
  <c r="S22" i="3"/>
  <c r="R22" i="3" s="1"/>
  <c r="T22" i="3"/>
  <c r="U22" i="3"/>
  <c r="V22" i="3"/>
  <c r="S23" i="3"/>
  <c r="R23" i="3" s="1"/>
  <c r="T23" i="3"/>
  <c r="U23" i="3"/>
  <c r="V23" i="3"/>
  <c r="P26" i="3"/>
  <c r="S26" i="3"/>
  <c r="R26" i="3" s="1"/>
  <c r="T26" i="3"/>
  <c r="U26" i="3"/>
  <c r="V26" i="3"/>
  <c r="S30" i="3"/>
  <c r="R30" i="3" s="1"/>
  <c r="T30" i="3"/>
  <c r="U30" i="3"/>
  <c r="V30" i="3"/>
  <c r="S31" i="3"/>
  <c r="R31" i="3" s="1"/>
  <c r="T31" i="3"/>
  <c r="U31" i="3"/>
  <c r="V31" i="3"/>
  <c r="S32" i="3"/>
  <c r="R32" i="3" s="1"/>
  <c r="T32" i="3"/>
  <c r="U32" i="3"/>
  <c r="V32" i="3"/>
  <c r="S53" i="3"/>
  <c r="R53" i="3" s="1"/>
  <c r="T53" i="3"/>
  <c r="U53" i="3"/>
  <c r="V53" i="3"/>
  <c r="S54" i="3"/>
  <c r="R54" i="3" s="1"/>
  <c r="T54" i="3"/>
  <c r="U54" i="3"/>
  <c r="V54" i="3"/>
  <c r="S40" i="3"/>
  <c r="R40" i="3" s="1"/>
  <c r="T40" i="3"/>
  <c r="U40" i="3"/>
  <c r="V40" i="3"/>
  <c r="S41" i="3"/>
  <c r="R41" i="3" s="1"/>
  <c r="T41" i="3"/>
  <c r="U41" i="3"/>
  <c r="V41" i="3"/>
  <c r="S42" i="3"/>
  <c r="R42" i="3" s="1"/>
  <c r="T42" i="3"/>
  <c r="U42" i="3"/>
  <c r="V42" i="3"/>
  <c r="S55" i="3"/>
  <c r="R55" i="3" s="1"/>
  <c r="T55" i="3"/>
  <c r="U55" i="3"/>
  <c r="V55" i="3"/>
  <c r="S56" i="3"/>
  <c r="R56" i="3" s="1"/>
  <c r="T56" i="3"/>
  <c r="U56" i="3"/>
  <c r="V56" i="3"/>
  <c r="S57" i="3"/>
  <c r="R57" i="3" s="1"/>
  <c r="T57" i="3"/>
  <c r="U57" i="3"/>
  <c r="V57" i="3"/>
  <c r="S58" i="3"/>
  <c r="R58" i="3" s="1"/>
  <c r="T58" i="3"/>
  <c r="U58" i="3"/>
  <c r="V58" i="3"/>
  <c r="S60" i="3"/>
  <c r="R60" i="3" s="1"/>
  <c r="T60" i="3"/>
  <c r="U60" i="3"/>
  <c r="V60" i="3"/>
  <c r="S46" i="3"/>
  <c r="R46" i="3" s="1"/>
  <c r="T46" i="3"/>
  <c r="U46" i="3"/>
  <c r="V46" i="3"/>
  <c r="P47" i="3"/>
  <c r="S47" i="3"/>
  <c r="R47" i="3" s="1"/>
  <c r="T47" i="3"/>
  <c r="U47" i="3"/>
  <c r="V47" i="3"/>
  <c r="S48" i="3"/>
  <c r="R48" i="3" s="1"/>
  <c r="T48" i="3"/>
  <c r="U48" i="3"/>
  <c r="V48" i="3"/>
  <c r="AA71" i="1" l="1"/>
  <c r="Q57" i="3"/>
  <c r="P152" i="1"/>
  <c r="P114" i="1"/>
  <c r="X122" i="1"/>
  <c r="X121" i="1"/>
  <c r="X120" i="1"/>
  <c r="X96" i="1"/>
  <c r="X56" i="1"/>
  <c r="AA52" i="1"/>
  <c r="W52" i="1" s="1"/>
  <c r="AA21" i="1"/>
  <c r="W21" i="1" s="1"/>
  <c r="AA162" i="1"/>
  <c r="AA161" i="1"/>
  <c r="AA160" i="1"/>
  <c r="AA159" i="1"/>
  <c r="AA158" i="1"/>
  <c r="AA157" i="1"/>
  <c r="AA156" i="1"/>
  <c r="AA155" i="1"/>
  <c r="AA154" i="1"/>
  <c r="AA153" i="1"/>
  <c r="AA152" i="1"/>
  <c r="P56" i="3"/>
  <c r="AA63" i="1"/>
  <c r="AA39" i="1"/>
  <c r="W39" i="1" s="1"/>
  <c r="T25" i="1"/>
  <c r="AA23" i="1"/>
  <c r="X200" i="1"/>
  <c r="P49" i="3"/>
  <c r="AA20" i="1"/>
  <c r="W20" i="1" s="1"/>
  <c r="Q56" i="3"/>
  <c r="AA32" i="1"/>
  <c r="W32" i="1" s="1"/>
  <c r="X196" i="1"/>
  <c r="P108" i="1"/>
  <c r="AA87" i="1"/>
  <c r="Q20" i="3"/>
  <c r="AA54" i="1"/>
  <c r="T40" i="1"/>
  <c r="U40" i="1" s="1"/>
  <c r="S40" i="1" s="1"/>
  <c r="AA151" i="1"/>
  <c r="AA150" i="1"/>
  <c r="AA149" i="1"/>
  <c r="AA148" i="1"/>
  <c r="AA147" i="1"/>
  <c r="AA146" i="1"/>
  <c r="AA145" i="1"/>
  <c r="AA144" i="1"/>
  <c r="AA143" i="1"/>
  <c r="AA96" i="1"/>
  <c r="W96" i="1" s="1"/>
  <c r="AA202" i="1"/>
  <c r="AA200" i="1"/>
  <c r="W200" i="1" s="1"/>
  <c r="AA27" i="1"/>
  <c r="W27" i="1" s="1"/>
  <c r="AA198" i="1"/>
  <c r="W198" i="1" s="1"/>
  <c r="AA196" i="1"/>
  <c r="AA109" i="1"/>
  <c r="AA184" i="1"/>
  <c r="AA183" i="1"/>
  <c r="AA197" i="1"/>
  <c r="AA195" i="1"/>
  <c r="AA193" i="1"/>
  <c r="AA178" i="1"/>
  <c r="AA175" i="1"/>
  <c r="AA165" i="1"/>
  <c r="W165" i="1" s="1"/>
  <c r="AA163" i="1"/>
  <c r="P116" i="1"/>
  <c r="AG118" i="1"/>
  <c r="T118" i="1"/>
  <c r="AG117" i="1"/>
  <c r="T117" i="1"/>
  <c r="AG116" i="1"/>
  <c r="T116" i="1"/>
  <c r="AG115" i="1"/>
  <c r="T115" i="1"/>
  <c r="AG114" i="1"/>
  <c r="T114" i="1"/>
  <c r="AG113" i="1"/>
  <c r="T113" i="1"/>
  <c r="U113" i="1" s="1"/>
  <c r="S113" i="1" s="1"/>
  <c r="AG112" i="1"/>
  <c r="T112" i="1"/>
  <c r="AG111" i="1"/>
  <c r="T111" i="1"/>
  <c r="AG110" i="1"/>
  <c r="T110" i="1"/>
  <c r="AG109" i="1"/>
  <c r="T109" i="1"/>
  <c r="AG191" i="1"/>
  <c r="T191" i="1"/>
  <c r="AG190" i="1"/>
  <c r="T190" i="1"/>
  <c r="AG189" i="1"/>
  <c r="T189" i="1"/>
  <c r="AG188" i="1"/>
  <c r="T188" i="1"/>
  <c r="AG187" i="1"/>
  <c r="T187" i="1"/>
  <c r="AG186" i="1"/>
  <c r="T186" i="1"/>
  <c r="AG185" i="1"/>
  <c r="T185" i="1"/>
  <c r="U185" i="1" s="1"/>
  <c r="S185" i="1" s="1"/>
  <c r="AG184" i="1"/>
  <c r="T184" i="1"/>
  <c r="AG183" i="1"/>
  <c r="T183" i="1"/>
  <c r="AG182" i="1"/>
  <c r="T182" i="1"/>
  <c r="AG203" i="1"/>
  <c r="T203" i="1"/>
  <c r="AA203" i="1"/>
  <c r="AG199" i="1"/>
  <c r="T199" i="1"/>
  <c r="AA199" i="1"/>
  <c r="AG195" i="1"/>
  <c r="T195" i="1"/>
  <c r="X118" i="1"/>
  <c r="T200" i="1"/>
  <c r="U200" i="1" s="1"/>
  <c r="S200" i="1" s="1"/>
  <c r="T196" i="1"/>
  <c r="AA172" i="1"/>
  <c r="AG171" i="1"/>
  <c r="T171" i="1"/>
  <c r="U171" i="1" s="1"/>
  <c r="S171" i="1" s="1"/>
  <c r="AG170" i="1"/>
  <c r="T170" i="1"/>
  <c r="AG169" i="1"/>
  <c r="T169" i="1"/>
  <c r="AG168" i="1"/>
  <c r="T168" i="1"/>
  <c r="AG167" i="1"/>
  <c r="T167" i="1"/>
  <c r="AG166" i="1"/>
  <c r="T166" i="1"/>
  <c r="AG165" i="1"/>
  <c r="T165" i="1"/>
  <c r="AG164" i="1"/>
  <c r="T164" i="1"/>
  <c r="AG163" i="1"/>
  <c r="T163" i="1"/>
  <c r="U163" i="1" s="1"/>
  <c r="S163" i="1" s="1"/>
  <c r="AG192" i="1"/>
  <c r="T192" i="1"/>
  <c r="AA192" i="1"/>
  <c r="X195" i="1"/>
  <c r="AG193" i="1"/>
  <c r="T193" i="1"/>
  <c r="X116" i="1"/>
  <c r="P20" i="3"/>
  <c r="X178" i="1"/>
  <c r="T178" i="1"/>
  <c r="AG176" i="1"/>
  <c r="T176" i="1"/>
  <c r="AG175" i="1"/>
  <c r="T175" i="1"/>
  <c r="AG174" i="1"/>
  <c r="T174" i="1"/>
  <c r="AG173" i="1"/>
  <c r="T173" i="1"/>
  <c r="AG172" i="1"/>
  <c r="T172" i="1"/>
  <c r="X202" i="1"/>
  <c r="AG201" i="1"/>
  <c r="T201" i="1"/>
  <c r="AA201" i="1"/>
  <c r="X198" i="1"/>
  <c r="AG197" i="1"/>
  <c r="W197" i="1" s="1"/>
  <c r="T197" i="1"/>
  <c r="T202" i="1"/>
  <c r="U202" i="1" s="1"/>
  <c r="S202" i="1" s="1"/>
  <c r="T198" i="1"/>
  <c r="U198" i="1" s="1"/>
  <c r="S198" i="1" s="1"/>
  <c r="T194" i="1"/>
  <c r="U194" i="1" s="1"/>
  <c r="S194" i="1" s="1"/>
  <c r="X193" i="1"/>
  <c r="AA190" i="1"/>
  <c r="W190" i="1" s="1"/>
  <c r="AA194" i="1"/>
  <c r="W194" i="1" s="1"/>
  <c r="X117" i="1"/>
  <c r="AA181" i="1"/>
  <c r="AA180" i="1"/>
  <c r="AA179" i="1"/>
  <c r="X203" i="1"/>
  <c r="X201" i="1"/>
  <c r="X199" i="1"/>
  <c r="X197" i="1"/>
  <c r="X194" i="1"/>
  <c r="X115" i="1"/>
  <c r="W202" i="1"/>
  <c r="W196" i="1"/>
  <c r="U196" i="1"/>
  <c r="S196" i="1" s="1"/>
  <c r="AA50" i="1"/>
  <c r="W50" i="1" s="1"/>
  <c r="AA48" i="1"/>
  <c r="W48" i="1" s="1"/>
  <c r="AA47" i="1"/>
  <c r="W47" i="1" s="1"/>
  <c r="AA45" i="1"/>
  <c r="W45" i="1" s="1"/>
  <c r="AG119" i="1"/>
  <c r="AA186" i="1"/>
  <c r="W186" i="1" s="1"/>
  <c r="AA104" i="1"/>
  <c r="W104" i="1" s="1"/>
  <c r="AA100" i="1"/>
  <c r="W100" i="1" s="1"/>
  <c r="AA81" i="1"/>
  <c r="W81" i="1" s="1"/>
  <c r="AA79" i="1"/>
  <c r="W79" i="1" s="1"/>
  <c r="AA77" i="1"/>
  <c r="W77" i="1" s="1"/>
  <c r="X45" i="1"/>
  <c r="T26" i="1"/>
  <c r="U26" i="1" s="1"/>
  <c r="S26" i="1" s="1"/>
  <c r="AA118" i="1"/>
  <c r="W118" i="1" s="1"/>
  <c r="AA117" i="1"/>
  <c r="X108" i="1"/>
  <c r="AA85" i="1"/>
  <c r="W85" i="1" s="1"/>
  <c r="AA69" i="1"/>
  <c r="AA68" i="1"/>
  <c r="AA61" i="1"/>
  <c r="AA60" i="1"/>
  <c r="AA57" i="1"/>
  <c r="AA56" i="1"/>
  <c r="AA55" i="1"/>
  <c r="W55" i="1" s="1"/>
  <c r="T50" i="1"/>
  <c r="U50" i="1" s="1"/>
  <c r="S50" i="1" s="1"/>
  <c r="AA34" i="1"/>
  <c r="W34" i="1" s="1"/>
  <c r="AA33" i="1"/>
  <c r="W33" i="1" s="1"/>
  <c r="AA115" i="1"/>
  <c r="W115" i="1" s="1"/>
  <c r="AA106" i="1"/>
  <c r="W106" i="1" s="1"/>
  <c r="AA105" i="1"/>
  <c r="W105" i="1" s="1"/>
  <c r="AA189" i="1"/>
  <c r="W87" i="1"/>
  <c r="W54" i="1"/>
  <c r="AA31" i="1"/>
  <c r="W31" i="1" s="1"/>
  <c r="AA28" i="1"/>
  <c r="W28" i="1" s="1"/>
  <c r="X114" i="1"/>
  <c r="AA111" i="1"/>
  <c r="W111" i="1" s="1"/>
  <c r="AG70" i="1"/>
  <c r="U70" i="1" s="1"/>
  <c r="S70" i="1" s="1"/>
  <c r="AG178" i="1"/>
  <c r="AA176" i="1"/>
  <c r="AA89" i="1"/>
  <c r="W89" i="1" s="1"/>
  <c r="AA44" i="1"/>
  <c r="W44" i="1" s="1"/>
  <c r="AA42" i="1"/>
  <c r="W42" i="1" s="1"/>
  <c r="AA41" i="1"/>
  <c r="W41" i="1" s="1"/>
  <c r="T32" i="1"/>
  <c r="U32" i="1" s="1"/>
  <c r="S32" i="1" s="1"/>
  <c r="AA26" i="1"/>
  <c r="W26" i="1" s="1"/>
  <c r="AA25" i="1"/>
  <c r="W25" i="1" s="1"/>
  <c r="T24" i="1"/>
  <c r="U24" i="1" s="1"/>
  <c r="S24" i="1" s="1"/>
  <c r="X19" i="1"/>
  <c r="W71" i="1"/>
  <c r="AA119" i="1"/>
  <c r="AA114" i="1"/>
  <c r="AA113" i="1"/>
  <c r="W113" i="1" s="1"/>
  <c r="AA112" i="1"/>
  <c r="AA110" i="1"/>
  <c r="W110" i="1" s="1"/>
  <c r="AA108" i="1"/>
  <c r="W108" i="1" s="1"/>
  <c r="AA107" i="1"/>
  <c r="W107" i="1" s="1"/>
  <c r="AA103" i="1"/>
  <c r="W103" i="1" s="1"/>
  <c r="AA102" i="1"/>
  <c r="W102" i="1" s="1"/>
  <c r="AA101" i="1"/>
  <c r="W101" i="1" s="1"/>
  <c r="X98" i="1"/>
  <c r="AA188" i="1"/>
  <c r="AA187" i="1"/>
  <c r="W187" i="1" s="1"/>
  <c r="AA185" i="1"/>
  <c r="AA182" i="1"/>
  <c r="AA91" i="1"/>
  <c r="W91" i="1" s="1"/>
  <c r="AA84" i="1"/>
  <c r="W84" i="1" s="1"/>
  <c r="AG66" i="1"/>
  <c r="U66" i="1" s="1"/>
  <c r="S66" i="1" s="1"/>
  <c r="AA59" i="1"/>
  <c r="X51" i="1"/>
  <c r="X37" i="1"/>
  <c r="AA36" i="1"/>
  <c r="W36" i="1" s="1"/>
  <c r="AA22" i="1"/>
  <c r="AA174" i="1"/>
  <c r="AA164" i="1"/>
  <c r="W164" i="1" s="1"/>
  <c r="AA88" i="1"/>
  <c r="W88" i="1" s="1"/>
  <c r="AA83" i="1"/>
  <c r="W83" i="1" s="1"/>
  <c r="AG62" i="1"/>
  <c r="U62" i="1" s="1"/>
  <c r="S62" i="1" s="1"/>
  <c r="AA43" i="1"/>
  <c r="W43" i="1" s="1"/>
  <c r="AA40" i="1"/>
  <c r="W40" i="1" s="1"/>
  <c r="AA35" i="1"/>
  <c r="W35" i="1" s="1"/>
  <c r="T28" i="1"/>
  <c r="U28" i="1" s="1"/>
  <c r="S28" i="1" s="1"/>
  <c r="X25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6" i="1"/>
  <c r="X110" i="1"/>
  <c r="T103" i="1"/>
  <c r="U103" i="1" s="1"/>
  <c r="S103" i="1" s="1"/>
  <c r="AA99" i="1"/>
  <c r="W99" i="1" s="1"/>
  <c r="AA98" i="1"/>
  <c r="W98" i="1" s="1"/>
  <c r="AA97" i="1"/>
  <c r="W97" i="1" s="1"/>
  <c r="AA191" i="1"/>
  <c r="X187" i="1"/>
  <c r="AA167" i="1"/>
  <c r="W167" i="1" s="1"/>
  <c r="AA169" i="1"/>
  <c r="AA93" i="1"/>
  <c r="W93" i="1" s="1"/>
  <c r="AA80" i="1"/>
  <c r="W80" i="1" s="1"/>
  <c r="AA75" i="1"/>
  <c r="W75" i="1" s="1"/>
  <c r="AA74" i="1"/>
  <c r="W74" i="1" s="1"/>
  <c r="AA73" i="1"/>
  <c r="W73" i="1" s="1"/>
  <c r="AA67" i="1"/>
  <c r="AA65" i="1"/>
  <c r="AA64" i="1"/>
  <c r="AG58" i="1"/>
  <c r="U58" i="1" s="1"/>
  <c r="S58" i="1" s="1"/>
  <c r="X55" i="1"/>
  <c r="AA53" i="1"/>
  <c r="W53" i="1" s="1"/>
  <c r="AA51" i="1"/>
  <c r="W51" i="1" s="1"/>
  <c r="AA49" i="1"/>
  <c r="W49" i="1" s="1"/>
  <c r="AA46" i="1"/>
  <c r="W46" i="1" s="1"/>
  <c r="T44" i="1"/>
  <c r="U44" i="1" s="1"/>
  <c r="S44" i="1" s="1"/>
  <c r="AA38" i="1"/>
  <c r="W38" i="1" s="1"/>
  <c r="AA37" i="1"/>
  <c r="W37" i="1" s="1"/>
  <c r="T36" i="1"/>
  <c r="U36" i="1" s="1"/>
  <c r="S36" i="1" s="1"/>
  <c r="AA29" i="1"/>
  <c r="W29" i="1" s="1"/>
  <c r="X27" i="1"/>
  <c r="AA24" i="1"/>
  <c r="W24" i="1" s="1"/>
  <c r="AA19" i="1"/>
  <c r="W19" i="1" s="1"/>
  <c r="AA18" i="1"/>
  <c r="W18" i="1" s="1"/>
  <c r="AA16" i="1"/>
  <c r="W16" i="1" s="1"/>
  <c r="AA15" i="1"/>
  <c r="AA14" i="1"/>
  <c r="X100" i="1"/>
  <c r="T53" i="1"/>
  <c r="U53" i="1" s="1"/>
  <c r="S53" i="1" s="1"/>
  <c r="T47" i="1"/>
  <c r="U47" i="1" s="1"/>
  <c r="S47" i="1" s="1"/>
  <c r="T41" i="1"/>
  <c r="U41" i="1" s="1"/>
  <c r="S41" i="1" s="1"/>
  <c r="T33" i="1"/>
  <c r="U33" i="1" s="1"/>
  <c r="S33" i="1" s="1"/>
  <c r="AG30" i="1"/>
  <c r="T30" i="1"/>
  <c r="T29" i="1"/>
  <c r="U29" i="1" s="1"/>
  <c r="S29" i="1" s="1"/>
  <c r="AG95" i="1"/>
  <c r="W95" i="1" s="1"/>
  <c r="AA166" i="1"/>
  <c r="AA90" i="1"/>
  <c r="AA82" i="1"/>
  <c r="W82" i="1" s="1"/>
  <c r="AA76" i="1"/>
  <c r="W76" i="1" s="1"/>
  <c r="AG69" i="1"/>
  <c r="AG67" i="1"/>
  <c r="U67" i="1" s="1"/>
  <c r="S67" i="1" s="1"/>
  <c r="AA66" i="1"/>
  <c r="AG64" i="1"/>
  <c r="U64" i="1" s="1"/>
  <c r="S64" i="1" s="1"/>
  <c r="AG61" i="1"/>
  <c r="AG59" i="1"/>
  <c r="U59" i="1" s="1"/>
  <c r="S59" i="1" s="1"/>
  <c r="AA58" i="1"/>
  <c r="AG56" i="1"/>
  <c r="T54" i="1"/>
  <c r="U54" i="1" s="1"/>
  <c r="S54" i="1" s="1"/>
  <c r="X49" i="1"/>
  <c r="T48" i="1"/>
  <c r="U48" i="1" s="1"/>
  <c r="S48" i="1" s="1"/>
  <c r="X43" i="1"/>
  <c r="T42" i="1"/>
  <c r="U42" i="1" s="1"/>
  <c r="S42" i="1" s="1"/>
  <c r="T39" i="1"/>
  <c r="U39" i="1" s="1"/>
  <c r="S39" i="1" s="1"/>
  <c r="X35" i="1"/>
  <c r="T34" i="1"/>
  <c r="U34" i="1" s="1"/>
  <c r="S34" i="1" s="1"/>
  <c r="T31" i="1"/>
  <c r="U31" i="1" s="1"/>
  <c r="S31" i="1" s="1"/>
  <c r="AG23" i="1"/>
  <c r="X23" i="1"/>
  <c r="X21" i="1"/>
  <c r="T20" i="1"/>
  <c r="U20" i="1" s="1"/>
  <c r="S20" i="1" s="1"/>
  <c r="T18" i="1"/>
  <c r="U18" i="1" s="1"/>
  <c r="S18" i="1" s="1"/>
  <c r="X17" i="1"/>
  <c r="AA173" i="1"/>
  <c r="AA171" i="1"/>
  <c r="AA168" i="1"/>
  <c r="W168" i="1" s="1"/>
  <c r="AA92" i="1"/>
  <c r="W92" i="1" s="1"/>
  <c r="X53" i="1"/>
  <c r="X41" i="1"/>
  <c r="T37" i="1"/>
  <c r="U37" i="1" s="1"/>
  <c r="S37" i="1" s="1"/>
  <c r="X33" i="1"/>
  <c r="X29" i="1"/>
  <c r="T55" i="1"/>
  <c r="U55" i="1" s="1"/>
  <c r="S55" i="1" s="1"/>
  <c r="T51" i="1"/>
  <c r="U51" i="1" s="1"/>
  <c r="S51" i="1" s="1"/>
  <c r="X47" i="1"/>
  <c r="T45" i="1"/>
  <c r="U45" i="1" s="1"/>
  <c r="S45" i="1" s="1"/>
  <c r="AG177" i="1"/>
  <c r="X177" i="1"/>
  <c r="AA170" i="1"/>
  <c r="W170" i="1" s="1"/>
  <c r="AA94" i="1"/>
  <c r="W94" i="1" s="1"/>
  <c r="AA86" i="1"/>
  <c r="W86" i="1" s="1"/>
  <c r="AA78" i="1"/>
  <c r="W78" i="1" s="1"/>
  <c r="AA72" i="1"/>
  <c r="W72" i="1" s="1"/>
  <c r="AA70" i="1"/>
  <c r="AG68" i="1"/>
  <c r="U68" i="1" s="1"/>
  <c r="S68" i="1" s="1"/>
  <c r="AG65" i="1"/>
  <c r="U65" i="1" s="1"/>
  <c r="S65" i="1" s="1"/>
  <c r="AG63" i="1"/>
  <c r="AA62" i="1"/>
  <c r="AG60" i="1"/>
  <c r="W60" i="1" s="1"/>
  <c r="AG57" i="1"/>
  <c r="T56" i="1"/>
  <c r="T52" i="1"/>
  <c r="T49" i="1"/>
  <c r="U49" i="1" s="1"/>
  <c r="S49" i="1" s="1"/>
  <c r="T46" i="1"/>
  <c r="U46" i="1" s="1"/>
  <c r="S46" i="1" s="1"/>
  <c r="T43" i="1"/>
  <c r="U43" i="1" s="1"/>
  <c r="S43" i="1" s="1"/>
  <c r="X39" i="1"/>
  <c r="T38" i="1"/>
  <c r="U38" i="1" s="1"/>
  <c r="S38" i="1" s="1"/>
  <c r="T35" i="1"/>
  <c r="U35" i="1" s="1"/>
  <c r="S35" i="1" s="1"/>
  <c r="X31" i="1"/>
  <c r="AA30" i="1"/>
  <c r="AG22" i="1"/>
  <c r="T22" i="1"/>
  <c r="T21" i="1"/>
  <c r="U21" i="1" s="1"/>
  <c r="S21" i="1" s="1"/>
  <c r="AA17" i="1"/>
  <c r="W17" i="1" s="1"/>
  <c r="T17" i="1"/>
  <c r="U17" i="1" s="1"/>
  <c r="S17" i="1" s="1"/>
  <c r="T108" i="1"/>
  <c r="U108" i="1" s="1"/>
  <c r="X106" i="1"/>
  <c r="T105" i="1"/>
  <c r="U105" i="1" s="1"/>
  <c r="S105" i="1" s="1"/>
  <c r="X102" i="1"/>
  <c r="T100" i="1"/>
  <c r="U100" i="1" s="1"/>
  <c r="S100" i="1" s="1"/>
  <c r="X189" i="1"/>
  <c r="T104" i="1"/>
  <c r="U104" i="1" s="1"/>
  <c r="S104" i="1" s="1"/>
  <c r="T101" i="1"/>
  <c r="U101" i="1" s="1"/>
  <c r="S101" i="1" s="1"/>
  <c r="T98" i="1"/>
  <c r="U98" i="1" s="1"/>
  <c r="S98" i="1" s="1"/>
  <c r="T27" i="1"/>
  <c r="U27" i="1" s="1"/>
  <c r="S27" i="1" s="1"/>
  <c r="T19" i="1"/>
  <c r="T106" i="1"/>
  <c r="T102" i="1"/>
  <c r="U102" i="1" s="1"/>
  <c r="S102" i="1" s="1"/>
  <c r="T99" i="1"/>
  <c r="U99" i="1" s="1"/>
  <c r="S99" i="1" s="1"/>
  <c r="X192" i="1"/>
  <c r="T97" i="1"/>
  <c r="U97" i="1" s="1"/>
  <c r="S97" i="1" s="1"/>
  <c r="X185" i="1"/>
  <c r="T96" i="1"/>
  <c r="X112" i="1"/>
  <c r="T107" i="1"/>
  <c r="U107" i="1" s="1"/>
  <c r="S107" i="1" s="1"/>
  <c r="X104" i="1"/>
  <c r="X191" i="1"/>
  <c r="X183" i="1"/>
  <c r="X144" i="1"/>
  <c r="AG144" i="1"/>
  <c r="X136" i="1"/>
  <c r="AG136" i="1"/>
  <c r="X151" i="1"/>
  <c r="AG151" i="1"/>
  <c r="X147" i="1"/>
  <c r="AG147" i="1"/>
  <c r="X143" i="1"/>
  <c r="AG143" i="1"/>
  <c r="X139" i="1"/>
  <c r="AG139" i="1"/>
  <c r="X135" i="1"/>
  <c r="AG135" i="1"/>
  <c r="X131" i="1"/>
  <c r="AG131" i="1"/>
  <c r="X162" i="1"/>
  <c r="AG162" i="1"/>
  <c r="X161" i="1"/>
  <c r="AG161" i="1"/>
  <c r="X160" i="1"/>
  <c r="AG160" i="1"/>
  <c r="X159" i="1"/>
  <c r="AG159" i="1"/>
  <c r="X158" i="1"/>
  <c r="AG158" i="1"/>
  <c r="X157" i="1"/>
  <c r="AG157" i="1"/>
  <c r="X156" i="1"/>
  <c r="AG156" i="1"/>
  <c r="X155" i="1"/>
  <c r="AG155" i="1"/>
  <c r="X154" i="1"/>
  <c r="AG154" i="1"/>
  <c r="X153" i="1"/>
  <c r="AG153" i="1"/>
  <c r="X152" i="1"/>
  <c r="AG152" i="1"/>
  <c r="X148" i="1"/>
  <c r="AG148" i="1"/>
  <c r="X140" i="1"/>
  <c r="AG140" i="1"/>
  <c r="X132" i="1"/>
  <c r="AG132" i="1"/>
  <c r="X150" i="1"/>
  <c r="AG150" i="1"/>
  <c r="X146" i="1"/>
  <c r="AG146" i="1"/>
  <c r="X142" i="1"/>
  <c r="AG142" i="1"/>
  <c r="X138" i="1"/>
  <c r="AG138" i="1"/>
  <c r="X134" i="1"/>
  <c r="AG134" i="1"/>
  <c r="X130" i="1"/>
  <c r="AG130" i="1"/>
  <c r="X149" i="1"/>
  <c r="AG149" i="1"/>
  <c r="X145" i="1"/>
  <c r="AG145" i="1"/>
  <c r="X141" i="1"/>
  <c r="AG141" i="1"/>
  <c r="X137" i="1"/>
  <c r="AG137" i="1"/>
  <c r="X133" i="1"/>
  <c r="AG133" i="1"/>
  <c r="X129" i="1"/>
  <c r="AG129" i="1"/>
  <c r="X127" i="1"/>
  <c r="AG127" i="1"/>
  <c r="AG125" i="1"/>
  <c r="AG123" i="1"/>
  <c r="AG121" i="1"/>
  <c r="X128" i="1"/>
  <c r="AG128" i="1"/>
  <c r="AG126" i="1"/>
  <c r="AG124" i="1"/>
  <c r="AG122" i="1"/>
  <c r="AG120" i="1"/>
  <c r="X181" i="1"/>
  <c r="AG181" i="1"/>
  <c r="X180" i="1"/>
  <c r="AG180" i="1"/>
  <c r="X179" i="1"/>
  <c r="AG179" i="1"/>
  <c r="X119" i="1"/>
  <c r="X113" i="1"/>
  <c r="X111" i="1"/>
  <c r="X109" i="1"/>
  <c r="X107" i="1"/>
  <c r="U106" i="1"/>
  <c r="S106" i="1" s="1"/>
  <c r="X105" i="1"/>
  <c r="X103" i="1"/>
  <c r="X101" i="1"/>
  <c r="X99" i="1"/>
  <c r="X97" i="1"/>
  <c r="X190" i="1"/>
  <c r="X188" i="1"/>
  <c r="X186" i="1"/>
  <c r="X184" i="1"/>
  <c r="X182" i="1"/>
  <c r="U96" i="1"/>
  <c r="S96" i="1" s="1"/>
  <c r="AA177" i="1"/>
  <c r="W90" i="1"/>
  <c r="X176" i="1"/>
  <c r="X174" i="1"/>
  <c r="X172" i="1"/>
  <c r="X171" i="1"/>
  <c r="X169" i="1"/>
  <c r="X167" i="1"/>
  <c r="X165" i="1"/>
  <c r="X163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U56" i="1"/>
  <c r="S56" i="1" s="1"/>
  <c r="X175" i="1"/>
  <c r="X173" i="1"/>
  <c r="T95" i="1"/>
  <c r="X95" i="1"/>
  <c r="X170" i="1"/>
  <c r="X168" i="1"/>
  <c r="X166" i="1"/>
  <c r="X164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16" i="1"/>
  <c r="U16" i="1" s="1"/>
  <c r="S16" i="1" s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4" i="1"/>
  <c r="X52" i="1"/>
  <c r="X50" i="1"/>
  <c r="X48" i="1"/>
  <c r="X46" i="1"/>
  <c r="X44" i="1"/>
  <c r="X42" i="1"/>
  <c r="X40" i="1"/>
  <c r="X38" i="1"/>
  <c r="X36" i="1"/>
  <c r="X34" i="1"/>
  <c r="X32" i="1"/>
  <c r="X30" i="1"/>
  <c r="X28" i="1"/>
  <c r="X26" i="1"/>
  <c r="U25" i="1"/>
  <c r="S25" i="1" s="1"/>
  <c r="X24" i="1"/>
  <c r="X22" i="1"/>
  <c r="X20" i="1"/>
  <c r="U19" i="1"/>
  <c r="S19" i="1" s="1"/>
  <c r="X18" i="1"/>
  <c r="X16" i="1"/>
  <c r="T15" i="1"/>
  <c r="X15" i="1"/>
  <c r="AG15" i="1"/>
  <c r="T14" i="1"/>
  <c r="AG14" i="1"/>
  <c r="U52" i="1"/>
  <c r="S52" i="1" s="1"/>
  <c r="P17" i="3"/>
  <c r="P59" i="3"/>
  <c r="P21" i="3"/>
  <c r="Q31" i="3"/>
  <c r="P31" i="3"/>
  <c r="Q43" i="3"/>
  <c r="P43" i="3"/>
  <c r="Q46" i="3"/>
  <c r="P46" i="3"/>
  <c r="Q23" i="3"/>
  <c r="P23" i="3"/>
  <c r="P33" i="3"/>
  <c r="Q37" i="3"/>
  <c r="P14" i="3"/>
  <c r="Q38" i="3"/>
  <c r="P38" i="3"/>
  <c r="Q24" i="3"/>
  <c r="P24" i="3"/>
  <c r="Q45" i="3"/>
  <c r="Q39" i="3"/>
  <c r="P39" i="3"/>
  <c r="Q54" i="3"/>
  <c r="P54" i="3"/>
  <c r="P12" i="3"/>
  <c r="Q29" i="3"/>
  <c r="Q21" i="3"/>
  <c r="Q35" i="3"/>
  <c r="S28" i="3"/>
  <c r="R28" i="3" s="1"/>
  <c r="T28" i="3"/>
  <c r="U28" i="3"/>
  <c r="V28" i="3"/>
  <c r="L7" i="3"/>
  <c r="S7" i="3"/>
  <c r="R7" i="3" s="1"/>
  <c r="T7" i="3"/>
  <c r="U7" i="3"/>
  <c r="V7" i="3"/>
  <c r="Q33" i="3"/>
  <c r="S33" i="3"/>
  <c r="R33" i="3" s="1"/>
  <c r="T33" i="3"/>
  <c r="U33" i="3"/>
  <c r="V33" i="3"/>
  <c r="S43" i="3"/>
  <c r="R43" i="3" s="1"/>
  <c r="T43" i="3"/>
  <c r="U43" i="3"/>
  <c r="V43" i="3"/>
  <c r="S8" i="3"/>
  <c r="R8" i="3" s="1"/>
  <c r="T8" i="3"/>
  <c r="U8" i="3"/>
  <c r="V8" i="3"/>
  <c r="S34" i="3"/>
  <c r="R34" i="3" s="1"/>
  <c r="T34" i="3"/>
  <c r="U34" i="3"/>
  <c r="V34" i="3"/>
  <c r="S29" i="3"/>
  <c r="R29" i="3" s="1"/>
  <c r="T29" i="3"/>
  <c r="U29" i="3"/>
  <c r="V29" i="3"/>
  <c r="S12" i="3"/>
  <c r="R12" i="3" s="1"/>
  <c r="T12" i="3"/>
  <c r="U12" i="3"/>
  <c r="V12" i="3"/>
  <c r="S35" i="3"/>
  <c r="R35" i="3" s="1"/>
  <c r="T35" i="3"/>
  <c r="U35" i="3"/>
  <c r="V35" i="3"/>
  <c r="Q36" i="3"/>
  <c r="S36" i="3"/>
  <c r="R36" i="3" s="1"/>
  <c r="T36" i="3"/>
  <c r="U36" i="3"/>
  <c r="V36" i="3"/>
  <c r="S59" i="3"/>
  <c r="R59" i="3" s="1"/>
  <c r="T59" i="3"/>
  <c r="U59" i="3"/>
  <c r="V59" i="3"/>
  <c r="S21" i="3"/>
  <c r="R21" i="3" s="1"/>
  <c r="T21" i="3"/>
  <c r="U21" i="3"/>
  <c r="V21" i="3"/>
  <c r="S44" i="3"/>
  <c r="R44" i="3" s="1"/>
  <c r="T44" i="3"/>
  <c r="U44" i="3"/>
  <c r="V44" i="3"/>
  <c r="S52" i="3"/>
  <c r="R52" i="3" s="1"/>
  <c r="T52" i="3"/>
  <c r="U52" i="3"/>
  <c r="V52" i="3"/>
  <c r="Q10" i="3"/>
  <c r="S10" i="3"/>
  <c r="R10" i="3" s="1"/>
  <c r="T10" i="3"/>
  <c r="U10" i="3"/>
  <c r="V10" i="3"/>
  <c r="S17" i="3"/>
  <c r="R17" i="3" s="1"/>
  <c r="T17" i="3"/>
  <c r="U17" i="3"/>
  <c r="V17" i="3"/>
  <c r="S37" i="3"/>
  <c r="R37" i="3" s="1"/>
  <c r="T37" i="3"/>
  <c r="U37" i="3"/>
  <c r="V37" i="3"/>
  <c r="P13" i="3"/>
  <c r="S13" i="3"/>
  <c r="R13" i="3" s="1"/>
  <c r="T13" i="3"/>
  <c r="U13" i="3"/>
  <c r="V13" i="3"/>
  <c r="S25" i="3"/>
  <c r="R25" i="3" s="1"/>
  <c r="T25" i="3"/>
  <c r="U25" i="3"/>
  <c r="V25" i="3"/>
  <c r="S14" i="3"/>
  <c r="R14" i="3" s="1"/>
  <c r="T14" i="3"/>
  <c r="U14" i="3"/>
  <c r="V14" i="3"/>
  <c r="S38" i="3"/>
  <c r="R38" i="3" s="1"/>
  <c r="T38" i="3"/>
  <c r="U38" i="3"/>
  <c r="V38" i="3"/>
  <c r="S24" i="3"/>
  <c r="R24" i="3" s="1"/>
  <c r="T24" i="3"/>
  <c r="U24" i="3"/>
  <c r="V24" i="3"/>
  <c r="P45" i="3"/>
  <c r="S45" i="3"/>
  <c r="R45" i="3" s="1"/>
  <c r="T45" i="3"/>
  <c r="U45" i="3"/>
  <c r="V45" i="3"/>
  <c r="S39" i="3"/>
  <c r="R39" i="3" s="1"/>
  <c r="T39" i="3"/>
  <c r="U39" i="3"/>
  <c r="V39" i="3"/>
  <c r="W70" i="1" l="1"/>
  <c r="W61" i="1"/>
  <c r="W69" i="1"/>
  <c r="W23" i="1"/>
  <c r="W195" i="1"/>
  <c r="U30" i="1"/>
  <c r="S30" i="1" s="1"/>
  <c r="W199" i="1"/>
  <c r="U109" i="1"/>
  <c r="S108" i="1" s="1"/>
  <c r="W178" i="1"/>
  <c r="W183" i="1"/>
  <c r="U182" i="1"/>
  <c r="S182" i="1" s="1"/>
  <c r="W63" i="1"/>
  <c r="W66" i="1"/>
  <c r="U201" i="1"/>
  <c r="S201" i="1" s="1"/>
  <c r="U174" i="1"/>
  <c r="S174" i="1" s="1"/>
  <c r="W192" i="1"/>
  <c r="W163" i="1"/>
  <c r="U165" i="1"/>
  <c r="S165" i="1" s="1"/>
  <c r="U167" i="1"/>
  <c r="S167" i="1" s="1"/>
  <c r="U189" i="1"/>
  <c r="S189" i="1" s="1"/>
  <c r="U110" i="1"/>
  <c r="S110" i="1" s="1"/>
  <c r="U112" i="1"/>
  <c r="S112" i="1" s="1"/>
  <c r="U118" i="1"/>
  <c r="S118" i="1" s="1"/>
  <c r="W171" i="1"/>
  <c r="W116" i="1"/>
  <c r="W139" i="1"/>
  <c r="W185" i="1"/>
  <c r="W114" i="1"/>
  <c r="W189" i="1"/>
  <c r="W117" i="1"/>
  <c r="U197" i="1"/>
  <c r="S197" i="1" s="1"/>
  <c r="U173" i="1"/>
  <c r="S173" i="1" s="1"/>
  <c r="U175" i="1"/>
  <c r="S175" i="1" s="1"/>
  <c r="U192" i="1"/>
  <c r="S192" i="1" s="1"/>
  <c r="U164" i="1"/>
  <c r="S164" i="1" s="1"/>
  <c r="U166" i="1"/>
  <c r="S166" i="1" s="1"/>
  <c r="U168" i="1"/>
  <c r="S168" i="1" s="1"/>
  <c r="U170" i="1"/>
  <c r="S170" i="1" s="1"/>
  <c r="W172" i="1"/>
  <c r="U195" i="1"/>
  <c r="S195" i="1" s="1"/>
  <c r="U184" i="1"/>
  <c r="S184" i="1" s="1"/>
  <c r="U186" i="1"/>
  <c r="S186" i="1" s="1"/>
  <c r="U188" i="1"/>
  <c r="S188" i="1" s="1"/>
  <c r="U111" i="1"/>
  <c r="S111" i="1" s="1"/>
  <c r="U115" i="1"/>
  <c r="U117" i="1"/>
  <c r="W203" i="1"/>
  <c r="W109" i="1"/>
  <c r="U95" i="1"/>
  <c r="S95" i="1" s="1"/>
  <c r="W57" i="1"/>
  <c r="W166" i="1"/>
  <c r="W169" i="1"/>
  <c r="W191" i="1"/>
  <c r="W174" i="1"/>
  <c r="W188" i="1"/>
  <c r="W112" i="1"/>
  <c r="W176" i="1"/>
  <c r="U172" i="1"/>
  <c r="S172" i="1" s="1"/>
  <c r="U176" i="1"/>
  <c r="S176" i="1" s="1"/>
  <c r="U169" i="1"/>
  <c r="S169" i="1" s="1"/>
  <c r="U203" i="1"/>
  <c r="S203" i="1" s="1"/>
  <c r="U183" i="1"/>
  <c r="S183" i="1" s="1"/>
  <c r="U187" i="1"/>
  <c r="S187" i="1" s="1"/>
  <c r="U191" i="1"/>
  <c r="S191" i="1" s="1"/>
  <c r="U114" i="1"/>
  <c r="S114" i="1" s="1"/>
  <c r="U116" i="1"/>
  <c r="S116" i="1" s="1"/>
  <c r="W119" i="1"/>
  <c r="W175" i="1"/>
  <c r="U193" i="1"/>
  <c r="S193" i="1" s="1"/>
  <c r="W184" i="1"/>
  <c r="U190" i="1"/>
  <c r="S190" i="1" s="1"/>
  <c r="U199" i="1"/>
  <c r="S199" i="1" s="1"/>
  <c r="W201" i="1"/>
  <c r="W182" i="1"/>
  <c r="W193" i="1"/>
  <c r="W173" i="1"/>
  <c r="W160" i="1"/>
  <c r="U177" i="1"/>
  <c r="S177" i="1" s="1"/>
  <c r="W124" i="1"/>
  <c r="W132" i="1"/>
  <c r="W140" i="1"/>
  <c r="W151" i="1"/>
  <c r="W179" i="1"/>
  <c r="W148" i="1"/>
  <c r="W153" i="1"/>
  <c r="W157" i="1"/>
  <c r="W131" i="1"/>
  <c r="W147" i="1"/>
  <c r="W136" i="1"/>
  <c r="W152" i="1"/>
  <c r="W144" i="1"/>
  <c r="W123" i="1"/>
  <c r="W142" i="1"/>
  <c r="W150" i="1"/>
  <c r="U178" i="1"/>
  <c r="S178" i="1" s="1"/>
  <c r="U119" i="1"/>
  <c r="S119" i="1" s="1"/>
  <c r="W177" i="1"/>
  <c r="W56" i="1"/>
  <c r="U22" i="1"/>
  <c r="S22" i="1" s="1"/>
  <c r="W22" i="1"/>
  <c r="U63" i="1"/>
  <c r="S63" i="1" s="1"/>
  <c r="W62" i="1"/>
  <c r="W59" i="1"/>
  <c r="W67" i="1"/>
  <c r="W126" i="1"/>
  <c r="W130" i="1"/>
  <c r="W30" i="1"/>
  <c r="U23" i="1"/>
  <c r="S23" i="1" s="1"/>
  <c r="W58" i="1"/>
  <c r="U60" i="1"/>
  <c r="S60" i="1" s="1"/>
  <c r="U61" i="1"/>
  <c r="S61" i="1" s="1"/>
  <c r="W64" i="1"/>
  <c r="U57" i="1"/>
  <c r="S57" i="1" s="1"/>
  <c r="W65" i="1"/>
  <c r="W68" i="1"/>
  <c r="U69" i="1"/>
  <c r="S69" i="1" s="1"/>
  <c r="U181" i="1"/>
  <c r="S181" i="1" s="1"/>
  <c r="U120" i="1"/>
  <c r="S120" i="1" s="1"/>
  <c r="U127" i="1"/>
  <c r="S127" i="1" s="1"/>
  <c r="U134" i="1"/>
  <c r="S134" i="1" s="1"/>
  <c r="U138" i="1"/>
  <c r="S138" i="1" s="1"/>
  <c r="U146" i="1"/>
  <c r="S146" i="1" s="1"/>
  <c r="U159" i="1"/>
  <c r="S159" i="1" s="1"/>
  <c r="W120" i="1"/>
  <c r="U179" i="1"/>
  <c r="S179" i="1" s="1"/>
  <c r="U180" i="1"/>
  <c r="S180" i="1" s="1"/>
  <c r="U122" i="1"/>
  <c r="S122" i="1" s="1"/>
  <c r="W181" i="1"/>
  <c r="W180" i="1"/>
  <c r="U125" i="1"/>
  <c r="S125" i="1" s="1"/>
  <c r="W125" i="1"/>
  <c r="U154" i="1"/>
  <c r="S154" i="1" s="1"/>
  <c r="U158" i="1"/>
  <c r="S158" i="1" s="1"/>
  <c r="U162" i="1"/>
  <c r="S162" i="1" s="1"/>
  <c r="W134" i="1"/>
  <c r="W138" i="1"/>
  <c r="W146" i="1"/>
  <c r="U128" i="1"/>
  <c r="S128" i="1" s="1"/>
  <c r="U130" i="1"/>
  <c r="S130" i="1" s="1"/>
  <c r="U142" i="1"/>
  <c r="S142" i="1" s="1"/>
  <c r="U150" i="1"/>
  <c r="S150" i="1" s="1"/>
  <c r="U155" i="1"/>
  <c r="S155" i="1" s="1"/>
  <c r="U124" i="1"/>
  <c r="S124" i="1" s="1"/>
  <c r="U123" i="1"/>
  <c r="S123" i="1" s="1"/>
  <c r="W127" i="1"/>
  <c r="U153" i="1"/>
  <c r="U157" i="1"/>
  <c r="S157" i="1" s="1"/>
  <c r="U161" i="1"/>
  <c r="S161" i="1" s="1"/>
  <c r="U131" i="1"/>
  <c r="S131" i="1" s="1"/>
  <c r="U135" i="1"/>
  <c r="S135" i="1" s="1"/>
  <c r="U139" i="1"/>
  <c r="S139" i="1" s="1"/>
  <c r="U143" i="1"/>
  <c r="S143" i="1" s="1"/>
  <c r="U147" i="1"/>
  <c r="S147" i="1" s="1"/>
  <c r="U151" i="1"/>
  <c r="S151" i="1" s="1"/>
  <c r="W135" i="1"/>
  <c r="W143" i="1"/>
  <c r="W155" i="1"/>
  <c r="W122" i="1"/>
  <c r="W128" i="1"/>
  <c r="W161" i="1"/>
  <c r="U126" i="1"/>
  <c r="S126" i="1" s="1"/>
  <c r="U121" i="1"/>
  <c r="S121" i="1" s="1"/>
  <c r="U129" i="1"/>
  <c r="S129" i="1" s="1"/>
  <c r="U133" i="1"/>
  <c r="S133" i="1" s="1"/>
  <c r="U137" i="1"/>
  <c r="S137" i="1" s="1"/>
  <c r="U141" i="1"/>
  <c r="S141" i="1" s="1"/>
  <c r="U145" i="1"/>
  <c r="S145" i="1" s="1"/>
  <c r="U149" i="1"/>
  <c r="S149" i="1" s="1"/>
  <c r="W121" i="1"/>
  <c r="W129" i="1"/>
  <c r="W133" i="1"/>
  <c r="W137" i="1"/>
  <c r="W141" i="1"/>
  <c r="W145" i="1"/>
  <c r="W149" i="1"/>
  <c r="U132" i="1"/>
  <c r="S132" i="1" s="1"/>
  <c r="U140" i="1"/>
  <c r="S140" i="1" s="1"/>
  <c r="U148" i="1"/>
  <c r="S148" i="1" s="1"/>
  <c r="U152" i="1"/>
  <c r="U156" i="1"/>
  <c r="S156" i="1" s="1"/>
  <c r="U160" i="1"/>
  <c r="S160" i="1" s="1"/>
  <c r="U136" i="1"/>
  <c r="S136" i="1" s="1"/>
  <c r="U144" i="1"/>
  <c r="S144" i="1" s="1"/>
  <c r="W159" i="1"/>
  <c r="W154" i="1"/>
  <c r="W156" i="1"/>
  <c r="W158" i="1"/>
  <c r="W162" i="1"/>
  <c r="U14" i="1"/>
  <c r="U15" i="1"/>
  <c r="S15" i="1" s="1"/>
  <c r="W15" i="1"/>
  <c r="W14" i="1"/>
  <c r="Q22" i="3"/>
  <c r="Q16" i="3"/>
  <c r="P37" i="3"/>
  <c r="P52" i="3"/>
  <c r="P9" i="3"/>
  <c r="Q44" i="3"/>
  <c r="Q18" i="3"/>
  <c r="Q14" i="3"/>
  <c r="Q52" i="3"/>
  <c r="Q9" i="3"/>
  <c r="P35" i="3"/>
  <c r="P36" i="3"/>
  <c r="Q12" i="3"/>
  <c r="P10" i="3"/>
  <c r="P16" i="3"/>
  <c r="P22" i="3"/>
  <c r="P7" i="3"/>
  <c r="P18" i="3"/>
  <c r="Q59" i="3"/>
  <c r="P29" i="3"/>
  <c r="Q7" i="3"/>
  <c r="Q13" i="3"/>
  <c r="Q25" i="3"/>
  <c r="Q17" i="3"/>
  <c r="P25" i="3"/>
  <c r="P44" i="3"/>
  <c r="E3" i="6"/>
  <c r="F3" i="6"/>
  <c r="G3" i="6"/>
  <c r="H3" i="6"/>
  <c r="E4" i="6"/>
  <c r="F4" i="6"/>
  <c r="G4" i="6"/>
  <c r="H4" i="6"/>
  <c r="S152" i="1" l="1"/>
  <c r="S27" i="3"/>
  <c r="R27" i="3" s="1"/>
  <c r="T27" i="3"/>
  <c r="U27" i="3"/>
  <c r="V27" i="3"/>
  <c r="X6" i="1" l="1"/>
  <c r="W6" i="1"/>
  <c r="V6" i="1"/>
  <c r="S6" i="1"/>
  <c r="R2" i="1"/>
  <c r="I2" i="1"/>
  <c r="O6" i="1"/>
  <c r="N6" i="1"/>
  <c r="M6" i="1"/>
  <c r="J6" i="1"/>
  <c r="P3" i="5" l="1"/>
  <c r="V13" i="1" l="1"/>
  <c r="Q28" i="3" l="1"/>
  <c r="Q27" i="3"/>
  <c r="Q8" i="3"/>
  <c r="Q34" i="3"/>
  <c r="AF13" i="1" l="1"/>
  <c r="AE13" i="1" l="1"/>
  <c r="P28" i="3" l="1"/>
  <c r="P27" i="3"/>
  <c r="P8" i="3"/>
  <c r="P34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<sst xmlns="http://schemas.openxmlformats.org/spreadsheetml/2006/main" count="2567" uniqueCount="844">
  <si>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</si>
  <si>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</si>
  <si>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</si>
  <si>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</si>
  <si>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</si>
  <si>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</si>
  <si>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</si>
  <si>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</si>
  <si>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</si>
  <si>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</si>
  <si>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</si>
  <si>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</si>
  <si>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</si>
  <si>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</si>
  <si>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</si>
  <si>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</si>
  <si>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</si>
  <si>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</si>
  <si>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</si>
  <si>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</si>
  <si>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</si>
  <si>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</si>
  <si>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</si>
  <si>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</si>
  <si>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</si>
  <si>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</si>
  <si>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</si>
  <si>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</si>
  <si>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</si>
  <si>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</si>
  <si>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</si>
  <si>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</si>
  <si>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</si>
  <si>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</si>
  <si>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</si>
  <si>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</si>
  <si>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</si>
  <si>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</si>
  <si>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</si>
  <si>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</si>
  <si>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</si>
  <si>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</si>
  <si>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</si>
  <si>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</si>
  <si>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</si>
  <si>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</si>
  <si>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</si>
  <si>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</si>
  <si>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</si>
  <si>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</si>
  <si>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</si>
  <si>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</si>
  <si>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</si>
  <si>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</si>
  <si>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</si>
  <si>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</si>
  <si>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</si>
  <si>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</si>
  <si>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</si>
  <si>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</si>
  <si>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</si>
  <si>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</si>
  <si>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</si>
  <si>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</si>
  <si>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</si>
  <si>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</si>
  <si>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</si>
  <si>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</si>
  <si>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</si>
  <si>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</si>
  <si>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</si>
  <si>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</si>
  <si>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</si>
  <si>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</si>
  <si>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</si>
  <si>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rtdc.l.rtdc.4042:itc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</si>
  <si>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</si>
  <si>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</si>
  <si>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</si>
  <si>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</si>
  <si>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</si>
  <si>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</si>
  <si>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</si>
  <si>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</si>
  <si>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</si>
  <si>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</si>
  <si>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</si>
  <si>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</si>
  <si>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</si>
  <si>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</si>
  <si>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</si>
  <si>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</si>
  <si>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</si>
  <si>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</si>
  <si>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</si>
  <si>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</si>
  <si>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</si>
  <si>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</si>
  <si>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</si>
  <si>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</si>
  <si>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</si>
  <si>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STURGEON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</si>
  <si>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</si>
  <si>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</si>
  <si>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</si>
  <si>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</si>
  <si>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</si>
  <si>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</si>
  <si>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</si>
  <si>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</si>
  <si>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SPECTOR</t>
  </si>
  <si>
    <t>rtdc.l.rtdc.4008:itc</t>
  </si>
  <si>
    <t>GRASTON</t>
  </si>
  <si>
    <t>rtdc.l.rtdc.4007:itc</t>
  </si>
  <si>
    <t>Trip Number Sortable</t>
  </si>
  <si>
    <t>204:458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</si>
  <si>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</si>
  <si>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</si>
  <si>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</si>
  <si>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</si>
  <si>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</si>
  <si>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</si>
  <si>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</si>
  <si>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</si>
  <si>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</si>
  <si>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</si>
  <si>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</si>
  <si>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</si>
  <si>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</si>
  <si>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</si>
  <si>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</si>
  <si>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</si>
  <si>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</si>
  <si>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</si>
  <si>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</si>
  <si>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</si>
  <si>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</si>
  <si>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204:139</t>
  </si>
  <si>
    <t>204:462</t>
  </si>
  <si>
    <t>Omit due to TWC &lt; 1</t>
  </si>
  <si>
    <t>Reactive Enforcement (3)</t>
  </si>
  <si>
    <t>rtdc.l.rtdc.4009:itc</t>
  </si>
  <si>
    <t>rtdc.l.rtdc.4010:itc</t>
  </si>
  <si>
    <t>BRANNON</t>
  </si>
  <si>
    <t>rtdc.l.rtdc.4041:itc</t>
  </si>
  <si>
    <t>LEVIN</t>
  </si>
  <si>
    <t>204:233293</t>
  </si>
  <si>
    <t>204:467</t>
  </si>
  <si>
    <t>COOLAHAN</t>
  </si>
  <si>
    <t>rtdc.l.rtdc.4011:itc</t>
  </si>
  <si>
    <t>YANAI</t>
  </si>
  <si>
    <t>rtdc.l.rtdc.4012:itc</t>
  </si>
  <si>
    <t>204:233295</t>
  </si>
  <si>
    <t>204:233308</t>
  </si>
  <si>
    <t>GEBRETEKLE</t>
  </si>
  <si>
    <t>rtdc.l.rtdc.4014:itc</t>
  </si>
  <si>
    <t>DE.1.0.7.0</t>
  </si>
  <si>
    <t>1828-24</t>
  </si>
  <si>
    <t>224-24</t>
  </si>
  <si>
    <t>243-24</t>
  </si>
  <si>
    <t>244-24</t>
  </si>
  <si>
    <t>rtdc.l.rtdc.4031:itc</t>
  </si>
  <si>
    <t>rtdc.l.rtdc.4032:itc</t>
  </si>
  <si>
    <t>MAYBERRY</t>
  </si>
  <si>
    <t>YOUNG</t>
  </si>
  <si>
    <t>BRUDER</t>
  </si>
  <si>
    <t>NEWELL</t>
  </si>
  <si>
    <t>STEWART</t>
  </si>
  <si>
    <t>CHANDLER</t>
  </si>
  <si>
    <t>BARTLETT</t>
  </si>
  <si>
    <t>ACKERMAN</t>
  </si>
  <si>
    <t>REBOLETTI</t>
  </si>
  <si>
    <t>HELVIE</t>
  </si>
  <si>
    <t>111-25</t>
  </si>
  <si>
    <t>102-25</t>
  </si>
  <si>
    <t>105-25</t>
  </si>
  <si>
    <t>101-25</t>
  </si>
  <si>
    <t>143-25</t>
  </si>
  <si>
    <t>176-25</t>
  </si>
  <si>
    <t>224-25</t>
  </si>
  <si>
    <t>230-25</t>
  </si>
  <si>
    <t>234-25</t>
  </si>
  <si>
    <t>237-25</t>
  </si>
  <si>
    <t>241-25</t>
  </si>
  <si>
    <t>242-25</t>
  </si>
  <si>
    <t>243-25</t>
  </si>
  <si>
    <t>864-25</t>
  </si>
  <si>
    <t>rtdc.l.rtdc.4037:itc</t>
  </si>
  <si>
    <t>ROCHA</t>
  </si>
  <si>
    <t>LOCKLEAR</t>
  </si>
  <si>
    <t>LEVERE</t>
  </si>
  <si>
    <t>DAVIS</t>
  </si>
  <si>
    <t>108-26</t>
  </si>
  <si>
    <t>BONDS</t>
  </si>
  <si>
    <t>133-26</t>
  </si>
  <si>
    <t>804-26</t>
  </si>
  <si>
    <t>105-26</t>
  </si>
  <si>
    <t>107-26</t>
  </si>
  <si>
    <t>106-26</t>
  </si>
  <si>
    <t>113-26</t>
  </si>
  <si>
    <t>125-26</t>
  </si>
  <si>
    <t>127-26</t>
  </si>
  <si>
    <t>126-26</t>
  </si>
  <si>
    <t>132-26</t>
  </si>
  <si>
    <t>812-26</t>
  </si>
  <si>
    <t>134-26</t>
  </si>
  <si>
    <t>149-26</t>
  </si>
  <si>
    <t>151-26</t>
  </si>
  <si>
    <t>816-26</t>
  </si>
  <si>
    <t>158-26</t>
  </si>
  <si>
    <t>160-26</t>
  </si>
  <si>
    <t>162-26</t>
  </si>
  <si>
    <t>170-26</t>
  </si>
  <si>
    <t>821-26</t>
  </si>
  <si>
    <t>179-26</t>
  </si>
  <si>
    <t>822-26</t>
  </si>
  <si>
    <t>178-26</t>
  </si>
  <si>
    <t>180-26</t>
  </si>
  <si>
    <t>203-26</t>
  </si>
  <si>
    <t>124-26</t>
  </si>
  <si>
    <t>137-26</t>
  </si>
  <si>
    <t>140-26</t>
  </si>
  <si>
    <t>141-26</t>
  </si>
  <si>
    <t>144-26</t>
  </si>
  <si>
    <t>204:232993</t>
  </si>
  <si>
    <t>152-26</t>
  </si>
  <si>
    <t>157-26</t>
  </si>
  <si>
    <t>159-26</t>
  </si>
  <si>
    <t>163-26</t>
  </si>
  <si>
    <t>171-26</t>
  </si>
  <si>
    <t>173-26</t>
  </si>
  <si>
    <t>175-26</t>
  </si>
  <si>
    <t>176-26</t>
  </si>
  <si>
    <t>177-26</t>
  </si>
  <si>
    <t>181-26</t>
  </si>
  <si>
    <t>183-26</t>
  </si>
  <si>
    <t>187-26</t>
  </si>
  <si>
    <t>188-26</t>
  </si>
  <si>
    <t>195-26</t>
  </si>
  <si>
    <t>197-26</t>
  </si>
  <si>
    <t>198-26</t>
  </si>
  <si>
    <t>199-26</t>
  </si>
  <si>
    <t>207-26</t>
  </si>
  <si>
    <t>209-26</t>
  </si>
  <si>
    <t>217-26</t>
  </si>
  <si>
    <t>230-26</t>
  </si>
  <si>
    <t>238-26</t>
  </si>
  <si>
    <t>241-26</t>
  </si>
  <si>
    <t>307-26</t>
  </si>
  <si>
    <t>315-26</t>
  </si>
  <si>
    <t>807-26</t>
  </si>
  <si>
    <t>809-26</t>
  </si>
  <si>
    <t>813-26</t>
  </si>
  <si>
    <t>814-26</t>
  </si>
  <si>
    <t>815-26</t>
  </si>
  <si>
    <t>819-26</t>
  </si>
  <si>
    <t>827-26</t>
  </si>
  <si>
    <t>830-26</t>
  </si>
  <si>
    <t>831-26</t>
  </si>
  <si>
    <t>833-26</t>
  </si>
  <si>
    <t>835-26</t>
  </si>
  <si>
    <t>840-26</t>
  </si>
  <si>
    <t>842-26</t>
  </si>
  <si>
    <t>843-26</t>
  </si>
  <si>
    <t>844-26</t>
  </si>
  <si>
    <t>845-26</t>
  </si>
  <si>
    <t>906-26</t>
  </si>
  <si>
    <t>908-26</t>
  </si>
  <si>
    <t>WEBSTER</t>
  </si>
  <si>
    <t>807-27</t>
  </si>
  <si>
    <t>119-27</t>
  </si>
  <si>
    <t>SANTIZO</t>
  </si>
  <si>
    <t>302-27</t>
  </si>
  <si>
    <t>MAELZER</t>
  </si>
  <si>
    <t>129-27</t>
  </si>
  <si>
    <t>DE LA ROSA</t>
  </si>
  <si>
    <t>102-27</t>
  </si>
  <si>
    <t>804-27</t>
  </si>
  <si>
    <t>126-27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</si>
  <si>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</si>
  <si>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</si>
  <si>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</si>
  <si>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</si>
  <si>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</si>
  <si>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</si>
  <si>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</si>
  <si>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</si>
  <si>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</si>
  <si>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156-27</t>
  </si>
  <si>
    <t>204:451</t>
  </si>
  <si>
    <t>SWANSON</t>
  </si>
  <si>
    <t>YORK</t>
  </si>
  <si>
    <t>rtdc.l.rtdc.4043:itc</t>
  </si>
  <si>
    <t>302-28</t>
  </si>
  <si>
    <t>101-28</t>
  </si>
  <si>
    <t>102-28</t>
  </si>
  <si>
    <t>802-28</t>
  </si>
  <si>
    <t>806-28</t>
  </si>
  <si>
    <t>204:447</t>
  </si>
  <si>
    <t>204:232975</t>
  </si>
  <si>
    <t>204:457</t>
  </si>
  <si>
    <t>TEMPORARY SPEED RESTRICTION</t>
  </si>
  <si>
    <t>204:232998</t>
  </si>
  <si>
    <t>204:233004</t>
  </si>
  <si>
    <t>STAMBAUGH</t>
  </si>
  <si>
    <t>204:437</t>
  </si>
  <si>
    <t>204:233297</t>
  </si>
  <si>
    <t>204:446</t>
  </si>
  <si>
    <t>204:455</t>
  </si>
  <si>
    <t>204:232980</t>
  </si>
  <si>
    <t>204:444</t>
  </si>
  <si>
    <t>300:23304</t>
  </si>
  <si>
    <t>HAITHCOX</t>
  </si>
  <si>
    <t>ISHMAEL</t>
  </si>
  <si>
    <t>rtdc.l.rtdc.4044:itc</t>
  </si>
  <si>
    <t>OUN</t>
  </si>
  <si>
    <t>rtdc.l.rtdc.4039:itc</t>
  </si>
  <si>
    <t>ROBINSON</t>
  </si>
  <si>
    <t>:.+((SYSTEM_STATE.+slice.+state.+changed )|(ment ac)|(system.+state.+changed )|(\|lc)|(penalty)|(\[timeout)|(PRM\|1\|D)|(kpr)|(kdp))</t>
  </si>
  <si>
    <t>RefineRTDCRunTimes</t>
  </si>
  <si>
    <t>RefineTime</t>
  </si>
  <si>
    <t>204:232978</t>
  </si>
  <si>
    <t>STRICKLAND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</si>
  <si>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</si>
  <si>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</si>
  <si>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</si>
  <si>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</si>
  <si>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</si>
  <si>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204:233278</t>
  </si>
  <si>
    <t>228-03</t>
  </si>
  <si>
    <t>230-03</t>
  </si>
  <si>
    <t>235-03</t>
  </si>
  <si>
    <t>243-03</t>
  </si>
  <si>
    <t>311-03</t>
  </si>
  <si>
    <t>315-03</t>
  </si>
  <si>
    <t>MOSES</t>
  </si>
  <si>
    <t>rtdc.l.rtdc.4040:itc</t>
  </si>
  <si>
    <t>KILLION</t>
  </si>
  <si>
    <t>113-04</t>
  </si>
  <si>
    <t>MALAVE</t>
  </si>
  <si>
    <t>CLARK</t>
  </si>
  <si>
    <t>806-04</t>
  </si>
  <si>
    <t>106-04</t>
  </si>
  <si>
    <t>101-04</t>
  </si>
  <si>
    <t>812-04</t>
  </si>
  <si>
    <t>141-04</t>
  </si>
  <si>
    <t>140-04</t>
  </si>
  <si>
    <t>149-04</t>
  </si>
  <si>
    <t>170-04</t>
  </si>
  <si>
    <t>822-04</t>
  </si>
  <si>
    <t>824-04</t>
  </si>
  <si>
    <t>825-04</t>
  </si>
  <si>
    <t>827-04</t>
  </si>
  <si>
    <t>833-04</t>
  </si>
  <si>
    <t>210-04</t>
  </si>
  <si>
    <t>214-04</t>
  </si>
  <si>
    <t>844-04</t>
  </si>
  <si>
    <t>204:233307</t>
  </si>
  <si>
    <t>204:232992</t>
  </si>
  <si>
    <t>131-04</t>
  </si>
  <si>
    <t>204:233013</t>
  </si>
  <si>
    <t>138-04</t>
  </si>
  <si>
    <t>144-04</t>
  </si>
  <si>
    <t>204:233315</t>
  </si>
  <si>
    <t>153-04</t>
  </si>
  <si>
    <t>204:233287</t>
  </si>
  <si>
    <t>204:469</t>
  </si>
  <si>
    <t>162-04</t>
  </si>
  <si>
    <t>164-04</t>
  </si>
  <si>
    <t>204:233318</t>
  </si>
  <si>
    <t>168-04</t>
  </si>
  <si>
    <t>172-04</t>
  </si>
  <si>
    <t>173-04</t>
  </si>
  <si>
    <t>175-04</t>
  </si>
  <si>
    <t>179-04</t>
  </si>
  <si>
    <t>181-04</t>
  </si>
  <si>
    <t>183-04</t>
  </si>
  <si>
    <t>184-04</t>
  </si>
  <si>
    <t>186-04</t>
  </si>
  <si>
    <t>191-04</t>
  </si>
  <si>
    <t>192-04</t>
  </si>
  <si>
    <t>193-04</t>
  </si>
  <si>
    <t>194-04</t>
  </si>
  <si>
    <t>196-04</t>
  </si>
  <si>
    <t>197-04</t>
  </si>
  <si>
    <t>198-04</t>
  </si>
  <si>
    <t>201-04</t>
  </si>
  <si>
    <t>204:233317</t>
  </si>
  <si>
    <t>206-04</t>
  </si>
  <si>
    <t>213-04</t>
  </si>
  <si>
    <t>220-04</t>
  </si>
  <si>
    <t>222-04</t>
  </si>
  <si>
    <t>223-04</t>
  </si>
  <si>
    <t>224-04</t>
  </si>
  <si>
    <t>232-04</t>
  </si>
  <si>
    <t>234-04</t>
  </si>
  <si>
    <t>235-04</t>
  </si>
  <si>
    <t>238-04</t>
  </si>
  <si>
    <t>241-04</t>
  </si>
  <si>
    <t>242-04</t>
  </si>
  <si>
    <t>244-04</t>
  </si>
  <si>
    <t>204:471</t>
  </si>
  <si>
    <t>820-04</t>
  </si>
  <si>
    <t>823-04</t>
  </si>
  <si>
    <t>832-04</t>
  </si>
  <si>
    <t>835-04</t>
  </si>
  <si>
    <t>836-04</t>
  </si>
  <si>
    <t>845-04</t>
  </si>
  <si>
    <t>SHOOK</t>
  </si>
  <si>
    <t>101-05</t>
  </si>
  <si>
    <t>103-05</t>
  </si>
  <si>
    <t>SUR</t>
  </si>
  <si>
    <t>901-05</t>
  </si>
  <si>
    <t>GOLIGHTLY</t>
  </si>
  <si>
    <t>102-05</t>
  </si>
  <si>
    <t>104-05</t>
  </si>
  <si>
    <t>126-05</t>
  </si>
  <si>
    <t>806-05</t>
  </si>
  <si>
    <t>112-05</t>
  </si>
  <si>
    <t>804-05</t>
  </si>
  <si>
    <t>108-05</t>
  </si>
  <si>
    <t>135-05</t>
  </si>
  <si>
    <t>123-05</t>
  </si>
  <si>
    <t>118-05</t>
  </si>
  <si>
    <t>302-05</t>
  </si>
  <si>
    <t>105-05</t>
  </si>
  <si>
    <t>139-05</t>
  </si>
  <si>
    <t>204:761</t>
  </si>
  <si>
    <t>204:233030</t>
  </si>
  <si>
    <t>204:717</t>
  </si>
  <si>
    <t>204:232989</t>
  </si>
  <si>
    <t>204:147</t>
  </si>
  <si>
    <t>204:232957</t>
  </si>
  <si>
    <t>204:232979</t>
  </si>
  <si>
    <t>204:125</t>
  </si>
  <si>
    <t>204:233329</t>
  </si>
  <si>
    <t>204:233284</t>
  </si>
  <si>
    <t>204:431</t>
  </si>
  <si>
    <t>204:232971</t>
  </si>
  <si>
    <t>204:233276</t>
  </si>
  <si>
    <t>204:232966</t>
  </si>
  <si>
    <t>204:233331</t>
  </si>
  <si>
    <t>300:58640</t>
  </si>
  <si>
    <t>300:58941</t>
  </si>
  <si>
    <t>300:58626</t>
  </si>
  <si>
    <t>204:855</t>
  </si>
  <si>
    <t>204:1147</t>
  </si>
  <si>
    <t>300:58946</t>
  </si>
  <si>
    <t>204:1149</t>
  </si>
  <si>
    <t>101-06</t>
  </si>
  <si>
    <t>107-06</t>
  </si>
  <si>
    <t>102-06</t>
  </si>
  <si>
    <t>117-06</t>
  </si>
  <si>
    <t>112-06</t>
  </si>
  <si>
    <t>123-06</t>
  </si>
  <si>
    <t>129-06</t>
  </si>
  <si>
    <t>118-06</t>
  </si>
  <si>
    <t>120-06</t>
  </si>
  <si>
    <t>1803-06</t>
  </si>
  <si>
    <t>124-06</t>
  </si>
  <si>
    <t>1805-06</t>
  </si>
  <si>
    <t>130-06</t>
  </si>
  <si>
    <t>143-06</t>
  </si>
  <si>
    <t>139-06</t>
  </si>
  <si>
    <t>134-06</t>
  </si>
  <si>
    <t>138-06</t>
  </si>
  <si>
    <t>146-06</t>
  </si>
  <si>
    <t>144-06</t>
  </si>
  <si>
    <t>152-06</t>
  </si>
  <si>
    <t>157-06</t>
  </si>
  <si>
    <t>158-06</t>
  </si>
  <si>
    <t>1814-06</t>
  </si>
  <si>
    <t>173-06</t>
  </si>
  <si>
    <t>187-06</t>
  </si>
  <si>
    <t>186-06</t>
  </si>
  <si>
    <t>197-06</t>
  </si>
  <si>
    <t>190-06</t>
  </si>
  <si>
    <t>199-06</t>
  </si>
  <si>
    <t>192-06</t>
  </si>
  <si>
    <t>1822-06</t>
  </si>
  <si>
    <t>203-06</t>
  </si>
  <si>
    <t>1824-06</t>
  </si>
  <si>
    <t>STAMBAUGH-06</t>
  </si>
  <si>
    <t>1825-06</t>
  </si>
  <si>
    <t>210-06</t>
  </si>
  <si>
    <t>1826-06</t>
  </si>
  <si>
    <t>1827-06</t>
  </si>
  <si>
    <t>1828-06</t>
  </si>
  <si>
    <t>1829-06</t>
  </si>
  <si>
    <t>231-06</t>
  </si>
  <si>
    <t>239-06</t>
  </si>
  <si>
    <t>241-06</t>
  </si>
  <si>
    <t>204:37264</t>
  </si>
  <si>
    <t>204:233339</t>
  </si>
  <si>
    <t>204:36690</t>
  </si>
  <si>
    <t>204:232696</t>
  </si>
  <si>
    <t>204:138</t>
  </si>
  <si>
    <t>103-06</t>
  </si>
  <si>
    <t>204:686</t>
  </si>
  <si>
    <t>204:233320</t>
  </si>
  <si>
    <t>104-06</t>
  </si>
  <si>
    <t>204:232679</t>
  </si>
  <si>
    <t>105-06</t>
  </si>
  <si>
    <t>204:644</t>
  </si>
  <si>
    <t>204:233364</t>
  </si>
  <si>
    <t>106-06</t>
  </si>
  <si>
    <t>204:232731</t>
  </si>
  <si>
    <t>204:109</t>
  </si>
  <si>
    <t>204:233351</t>
  </si>
  <si>
    <t>108-06</t>
  </si>
  <si>
    <t>204:233032</t>
  </si>
  <si>
    <t>109-06</t>
  </si>
  <si>
    <t>204:233337</t>
  </si>
  <si>
    <t>110-06</t>
  </si>
  <si>
    <t>204:233019</t>
  </si>
  <si>
    <t>111-06</t>
  </si>
  <si>
    <t>204:748</t>
  </si>
  <si>
    <t>204:233302</t>
  </si>
  <si>
    <t>204:127</t>
  </si>
  <si>
    <t>113-06</t>
  </si>
  <si>
    <t>204:438</t>
  </si>
  <si>
    <t>204:233301</t>
  </si>
  <si>
    <t>114-06</t>
  </si>
  <si>
    <t>115-06</t>
  </si>
  <si>
    <t>204:737</t>
  </si>
  <si>
    <t>116-06</t>
  </si>
  <si>
    <t>204:232970</t>
  </si>
  <si>
    <t>204:161</t>
  </si>
  <si>
    <t>119-06</t>
  </si>
  <si>
    <t>204:730</t>
  </si>
  <si>
    <t>204:233338</t>
  </si>
  <si>
    <t>204:130</t>
  </si>
  <si>
    <t>121-06</t>
  </si>
  <si>
    <t>204:453</t>
  </si>
  <si>
    <t>204:233314</t>
  </si>
  <si>
    <t>122-06</t>
  </si>
  <si>
    <t>204:232982</t>
  </si>
  <si>
    <t>204:233344</t>
  </si>
  <si>
    <t>204:233051</t>
  </si>
  <si>
    <t>204:160</t>
  </si>
  <si>
    <t>125-06</t>
  </si>
  <si>
    <t>204:233289</t>
  </si>
  <si>
    <t>126-06</t>
  </si>
  <si>
    <t>204:232969</t>
  </si>
  <si>
    <t>127-06</t>
  </si>
  <si>
    <t>204:233323</t>
  </si>
  <si>
    <t>128-06</t>
  </si>
  <si>
    <t>204:232994</t>
  </si>
  <si>
    <t>204:172</t>
  </si>
  <si>
    <t>131-06</t>
  </si>
  <si>
    <t>204:233310</t>
  </si>
  <si>
    <t>132-06</t>
  </si>
  <si>
    <t>204:167</t>
  </si>
  <si>
    <t>133-06</t>
  </si>
  <si>
    <t>204:449</t>
  </si>
  <si>
    <t>204:232984</t>
  </si>
  <si>
    <t>204:132</t>
  </si>
  <si>
    <t>135-06</t>
  </si>
  <si>
    <t>204:466</t>
  </si>
  <si>
    <t>204:233244</t>
  </si>
  <si>
    <t>136-06</t>
  </si>
  <si>
    <t>137-06</t>
  </si>
  <si>
    <t>204:233280</t>
  </si>
  <si>
    <t>140-06</t>
  </si>
  <si>
    <t>204:149</t>
  </si>
  <si>
    <t>141-06</t>
  </si>
  <si>
    <t>204:477</t>
  </si>
  <si>
    <t>142-06</t>
  </si>
  <si>
    <t>204:475</t>
  </si>
  <si>
    <t>204:1213</t>
  </si>
  <si>
    <t>145-06</t>
  </si>
  <si>
    <t>204:232973</t>
  </si>
  <si>
    <t>204:154</t>
  </si>
  <si>
    <t>147-06</t>
  </si>
  <si>
    <t>204:433</t>
  </si>
  <si>
    <t>148-06</t>
  </si>
  <si>
    <t>149-06</t>
  </si>
  <si>
    <t>150-06</t>
  </si>
  <si>
    <t>204:145</t>
  </si>
  <si>
    <t>151-06</t>
  </si>
  <si>
    <t>204:233366</t>
  </si>
  <si>
    <t>204:233094</t>
  </si>
  <si>
    <t>204:165</t>
  </si>
  <si>
    <t>153-06</t>
  </si>
  <si>
    <t>154-06</t>
  </si>
  <si>
    <t>204:233005</t>
  </si>
  <si>
    <t>155-06</t>
  </si>
  <si>
    <t>156-06</t>
  </si>
  <si>
    <t>204:232974</t>
  </si>
  <si>
    <t>204:233255</t>
  </si>
  <si>
    <t>204:232942</t>
  </si>
  <si>
    <t>159-06</t>
  </si>
  <si>
    <t>160-06</t>
  </si>
  <si>
    <t>204:232960</t>
  </si>
  <si>
    <t>161-06</t>
  </si>
  <si>
    <t>204:440</t>
  </si>
  <si>
    <t>204:341</t>
  </si>
  <si>
    <t>300:23149</t>
  </si>
  <si>
    <t>162-06</t>
  </si>
  <si>
    <t>204:232950</t>
  </si>
  <si>
    <t>163-06</t>
  </si>
  <si>
    <t>164-06</t>
  </si>
  <si>
    <t>204:233006</t>
  </si>
  <si>
    <t>165-06</t>
  </si>
  <si>
    <t>204:233372</t>
  </si>
  <si>
    <t>166-06</t>
  </si>
  <si>
    <t>204:233044</t>
  </si>
  <si>
    <t>167-06</t>
  </si>
  <si>
    <t>204:233285</t>
  </si>
  <si>
    <t>168-06</t>
  </si>
  <si>
    <t>169-06</t>
  </si>
  <si>
    <t>204:233305</t>
  </si>
  <si>
    <t>170-06</t>
  </si>
  <si>
    <t>171-06</t>
  </si>
  <si>
    <t>204:233306</t>
  </si>
  <si>
    <t>172-06</t>
  </si>
  <si>
    <t>204:232983</t>
  </si>
  <si>
    <t>174-06</t>
  </si>
  <si>
    <t>175-06</t>
  </si>
  <si>
    <t>176-06</t>
  </si>
  <si>
    <t>204:232976</t>
  </si>
  <si>
    <t>177-06</t>
  </si>
  <si>
    <t>178-06</t>
  </si>
  <si>
    <t>204:141</t>
  </si>
  <si>
    <t>179-06</t>
  </si>
  <si>
    <t>204:435</t>
  </si>
  <si>
    <t>180-06</t>
  </si>
  <si>
    <t>204:233042</t>
  </si>
  <si>
    <t>1801-06</t>
  </si>
  <si>
    <t>204:1128</t>
  </si>
  <si>
    <t>300:58944</t>
  </si>
  <si>
    <t>1802-06</t>
  </si>
  <si>
    <t>300:58632</t>
  </si>
  <si>
    <t>204:843</t>
  </si>
  <si>
    <t>204:1123</t>
  </si>
  <si>
    <t>300:58954</t>
  </si>
  <si>
    <t>1804-06</t>
  </si>
  <si>
    <t>300:58636</t>
  </si>
  <si>
    <t>204:892</t>
  </si>
  <si>
    <t>204:1191</t>
  </si>
  <si>
    <t>300:58943</t>
  </si>
  <si>
    <t>1806-06</t>
  </si>
  <si>
    <t>300:58624</t>
  </si>
  <si>
    <t>204:841</t>
  </si>
  <si>
    <t>1807-06</t>
  </si>
  <si>
    <t>1808-06</t>
  </si>
  <si>
    <t>300:14044</t>
  </si>
  <si>
    <t>1809-06</t>
  </si>
  <si>
    <t>204:1126</t>
  </si>
  <si>
    <t>300:58933</t>
  </si>
  <si>
    <t>181-06</t>
  </si>
  <si>
    <t>204:233286</t>
  </si>
  <si>
    <t>1810-06</t>
  </si>
  <si>
    <t>300:58619</t>
  </si>
  <si>
    <t>204:853</t>
  </si>
  <si>
    <t>1811-06</t>
  </si>
  <si>
    <t>1812-06</t>
  </si>
  <si>
    <t>300:58621</t>
  </si>
  <si>
    <t>204:846</t>
  </si>
  <si>
    <t>1813-06</t>
  </si>
  <si>
    <t>204:1144</t>
  </si>
  <si>
    <t>1815-06</t>
  </si>
  <si>
    <t>204:1133</t>
  </si>
  <si>
    <t>300:58939</t>
  </si>
  <si>
    <t>1816-06</t>
  </si>
  <si>
    <t>300:58630</t>
  </si>
  <si>
    <t>1817-06</t>
  </si>
  <si>
    <t>204:1163</t>
  </si>
  <si>
    <t>300:58901</t>
  </si>
  <si>
    <t>1818-06</t>
  </si>
  <si>
    <t>300:58587</t>
  </si>
  <si>
    <t>204:631</t>
  </si>
  <si>
    <t>1819-06</t>
  </si>
  <si>
    <t>204:920</t>
  </si>
  <si>
    <t>300:58918</t>
  </si>
  <si>
    <t>182-06</t>
  </si>
  <si>
    <t>1820-06</t>
  </si>
  <si>
    <t>300:58596</t>
  </si>
  <si>
    <t>204:638</t>
  </si>
  <si>
    <t>1821-06</t>
  </si>
  <si>
    <t>204:937</t>
  </si>
  <si>
    <t>300:58920</t>
  </si>
  <si>
    <t>300:58598</t>
  </si>
  <si>
    <t>204:635</t>
  </si>
  <si>
    <t>1823-06</t>
  </si>
  <si>
    <t>204:939</t>
  </si>
  <si>
    <t>300:58909</t>
  </si>
  <si>
    <t>204:663</t>
  </si>
  <si>
    <t>204:951</t>
  </si>
  <si>
    <t>300:58911</t>
  </si>
  <si>
    <t>300:58585</t>
  </si>
  <si>
    <t>204:782</t>
  </si>
  <si>
    <t>204:1074</t>
  </si>
  <si>
    <t>300:58916</t>
  </si>
  <si>
    <t>204:650</t>
  </si>
  <si>
    <t>204:946</t>
  </si>
  <si>
    <t>300:58912</t>
  </si>
  <si>
    <t>183-06</t>
  </si>
  <si>
    <t>1830-06</t>
  </si>
  <si>
    <t>300:58600</t>
  </si>
  <si>
    <t>204:645</t>
  </si>
  <si>
    <t>1831-06</t>
  </si>
  <si>
    <t>204:934</t>
  </si>
  <si>
    <t>1832-06</t>
  </si>
  <si>
    <t>300:58589</t>
  </si>
  <si>
    <t>1833-06</t>
  </si>
  <si>
    <t>204:1042</t>
  </si>
  <si>
    <t>184-06</t>
  </si>
  <si>
    <t>204:174</t>
  </si>
  <si>
    <t>185-06</t>
  </si>
  <si>
    <t>204:233304</t>
  </si>
  <si>
    <t>188-06</t>
  </si>
  <si>
    <t>189-06</t>
  </si>
  <si>
    <t>204:233291</t>
  </si>
  <si>
    <t>204:207</t>
  </si>
  <si>
    <t>1901-06</t>
  </si>
  <si>
    <t>204:899</t>
  </si>
  <si>
    <t>1902-06</t>
  </si>
  <si>
    <t>300:21551</t>
  </si>
  <si>
    <t>191-06</t>
  </si>
  <si>
    <t>204:233327</t>
  </si>
  <si>
    <t>204:233008</t>
  </si>
  <si>
    <t>204:198</t>
  </si>
  <si>
    <t>193-06</t>
  </si>
  <si>
    <t>204:233370</t>
  </si>
  <si>
    <t>194-06</t>
  </si>
  <si>
    <t>204:233059</t>
  </si>
  <si>
    <t>204:127857</t>
  </si>
  <si>
    <t>204:64155</t>
  </si>
  <si>
    <t>195-06</t>
  </si>
  <si>
    <t>204:233321</t>
  </si>
  <si>
    <t>196-06</t>
  </si>
  <si>
    <t>198-06</t>
  </si>
  <si>
    <t>204:128261</t>
  </si>
  <si>
    <t>204:110974</t>
  </si>
  <si>
    <t>200-06</t>
  </si>
  <si>
    <t>201-06</t>
  </si>
  <si>
    <t>204:128272</t>
  </si>
  <si>
    <t>204:102177</t>
  </si>
  <si>
    <t>202-06</t>
  </si>
  <si>
    <t>204:232985</t>
  </si>
  <si>
    <t>204:522</t>
  </si>
  <si>
    <t>205-06</t>
  </si>
  <si>
    <t>206-06</t>
  </si>
  <si>
    <t>204:169</t>
  </si>
  <si>
    <t>207-06</t>
  </si>
  <si>
    <t>204:517</t>
  </si>
  <si>
    <t>208-06</t>
  </si>
  <si>
    <t>204:232972</t>
  </si>
  <si>
    <t>211-06</t>
  </si>
  <si>
    <t>204:529</t>
  </si>
  <si>
    <t>212-06</t>
  </si>
  <si>
    <t>213-06</t>
  </si>
  <si>
    <t>204:233376</t>
  </si>
  <si>
    <t>214-06</t>
  </si>
  <si>
    <t>204:233049</t>
  </si>
  <si>
    <t>215-06</t>
  </si>
  <si>
    <t>204:473</t>
  </si>
  <si>
    <t>216-06</t>
  </si>
  <si>
    <t>204:909</t>
  </si>
  <si>
    <t>217-06</t>
  </si>
  <si>
    <t>218-06</t>
  </si>
  <si>
    <t>219-06</t>
  </si>
  <si>
    <t>220-06</t>
  </si>
  <si>
    <t>204:232991</t>
  </si>
  <si>
    <t>221-06</t>
  </si>
  <si>
    <t>222-06</t>
  </si>
  <si>
    <t>223-06</t>
  </si>
  <si>
    <t>224-06</t>
  </si>
  <si>
    <t>204:233045</t>
  </si>
  <si>
    <t>204:112</t>
  </si>
  <si>
    <t>225-06</t>
  </si>
  <si>
    <t>226-06</t>
  </si>
  <si>
    <t>204:232967</t>
  </si>
  <si>
    <t>227-06</t>
  </si>
  <si>
    <t>228-06</t>
  </si>
  <si>
    <t>204:232996</t>
  </si>
  <si>
    <t>229-06</t>
  </si>
  <si>
    <t>230-06</t>
  </si>
  <si>
    <t>204:418</t>
  </si>
  <si>
    <t>204:233300</t>
  </si>
  <si>
    <t>232-06</t>
  </si>
  <si>
    <t>233-06</t>
  </si>
  <si>
    <t>204:233299</t>
  </si>
  <si>
    <t>234-06</t>
  </si>
  <si>
    <t>235-06</t>
  </si>
  <si>
    <t>236-06</t>
  </si>
  <si>
    <t>204:233010</t>
  </si>
  <si>
    <t>237-06</t>
  </si>
  <si>
    <t>238-06</t>
  </si>
  <si>
    <t>204:127849</t>
  </si>
  <si>
    <t>204:220495</t>
  </si>
  <si>
    <t>204:233336</t>
  </si>
  <si>
    <t>240-06</t>
  </si>
  <si>
    <t>242-06</t>
  </si>
  <si>
    <t>243-06</t>
  </si>
  <si>
    <t>244-06</t>
  </si>
  <si>
    <t>245-06</t>
  </si>
  <si>
    <t>246-05</t>
  </si>
  <si>
    <t>246-06</t>
  </si>
  <si>
    <t>303-06</t>
  </si>
  <si>
    <t>204:1199</t>
  </si>
  <si>
    <t>300:23306</t>
  </si>
  <si>
    <t>308-06</t>
  </si>
  <si>
    <t>300:23302</t>
  </si>
  <si>
    <t>309-06</t>
  </si>
  <si>
    <t>300:23301</t>
  </si>
  <si>
    <t>311-06</t>
  </si>
  <si>
    <t>313-05</t>
  </si>
  <si>
    <t>315-06</t>
  </si>
  <si>
    <t>300:23121</t>
  </si>
  <si>
    <t>309-05</t>
  </si>
  <si>
    <t>STORY</t>
  </si>
  <si>
    <t>315-05</t>
  </si>
  <si>
    <t>311-05</t>
  </si>
  <si>
    <t>243-05</t>
  </si>
  <si>
    <t>101-07</t>
  </si>
  <si>
    <t>NATION</t>
  </si>
  <si>
    <t>240-05</t>
  </si>
  <si>
    <t>ARNOLD</t>
  </si>
  <si>
    <t>102-07</t>
  </si>
  <si>
    <t>245-05</t>
  </si>
  <si>
    <t>244-05</t>
  </si>
  <si>
    <t>313-06</t>
  </si>
  <si>
    <t>105-07</t>
  </si>
  <si>
    <t>107-07</t>
  </si>
  <si>
    <t>103-07</t>
  </si>
  <si>
    <t>242-05</t>
  </si>
  <si>
    <t>Early arrival</t>
  </si>
  <si>
    <t>Form C</t>
  </si>
  <si>
    <t>Wi-MAX outage</t>
  </si>
  <si>
    <t>40th 4S was STOP, cleared 2 min after enforcement</t>
  </si>
  <si>
    <t>61st 2N was STOP, cleared 2 min after enforcement</t>
  </si>
  <si>
    <t>Wi-MAX outage with a re-init, but entire run was PTC</t>
  </si>
  <si>
    <t>Drove into CRMF Yard</t>
  </si>
  <si>
    <t>Replaced by 202-06</t>
  </si>
  <si>
    <t>Replaced by 207-06</t>
  </si>
  <si>
    <t>204-06</t>
  </si>
  <si>
    <t>209-06</t>
  </si>
  <si>
    <t>Annulled? No gaps in 4011/4012 pair trips</t>
  </si>
  <si>
    <t>4017/4018</t>
  </si>
  <si>
    <t>Annulled? No gaps in 4017/4018 pair trips</t>
  </si>
  <si>
    <t>Signaling outage at Chambers</t>
  </si>
  <si>
    <t>Signaling outage at Pena/78th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</si>
</sst>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9" fontId="0" fillId="0" borderId="5" xfId="0" applyNumberFormat="1" applyFill="1" applyBorder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0" fillId="2" borderId="13" xfId="0" applyNumberFormat="1" applyFill="1" applyBorder="1"/>
    <xf numFmtId="169" fontId="0" fillId="0" borderId="16" xfId="0" applyNumberFormat="1" applyBorder="1"/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1" fillId="0" borderId="0" xfId="0" applyNumberFormat="1" applyFont="1" applyBorder="1" applyAlignment="1">
      <alignment horizontal="left" wrapText="1"/>
    </xf>
    <xf numFmtId="169" fontId="0" fillId="0" borderId="0" xfId="0" applyNumberFormat="1" applyAlignment="1">
      <alignment horizontal="left"/>
    </xf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</cellXfs>
  <cellStyles count="3">
    <cellStyle name="Normal" xfId="0" builtinId="0"/>
    <cellStyle name="Normal_XINGS" xfId="1"/>
    <cellStyle name="Percent" xfId="2" builtinId="5"/>
  </cellStyles>
  <dxfs count="15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3"/>
  <sheetViews>
    <sheetView tabSelected="1" topLeftCell="A74" workbookViewId="0">
      <selection activeCell="U74" sqref="U1:U1048576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9" customWidth="1"/>
    <col min="22" max="22" width="5.7109375" style="120" customWidth="1"/>
    <col min="23" max="23" width="3.85546875" style="23" customWidth="1"/>
    <col min="24" max="24" width="5.28515625" style="143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13" customWidth="1"/>
    <col min="32" max="32" width="6.28515625" style="110" customWidth="1"/>
    <col min="33" max="33" width="5.42578125" customWidth="1"/>
    <col min="34" max="34" width="5" style="116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285</v>
      </c>
      <c r="J1" s="46"/>
      <c r="K1" s="31"/>
      <c r="L1" s="31"/>
      <c r="M1" s="45"/>
      <c r="N1" s="46"/>
      <c r="O1" s="2"/>
      <c r="P1" s="2"/>
      <c r="R1" s="43" t="s">
        <v>286</v>
      </c>
      <c r="S1" s="46"/>
      <c r="T1" s="31"/>
      <c r="U1" s="146"/>
      <c r="V1" s="45"/>
      <c r="W1" s="46"/>
      <c r="X1" s="139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94">
        <f>Variables!$A$2</f>
        <v>42588</v>
      </c>
      <c r="J2" s="95"/>
      <c r="K2" s="96"/>
      <c r="L2" s="96"/>
      <c r="M2" s="97" t="s">
        <v>8</v>
      </c>
      <c r="N2" s="98"/>
      <c r="O2" s="99"/>
      <c r="P2" s="2"/>
      <c r="R2" s="94">
        <f>Variables!$A$2</f>
        <v>42588</v>
      </c>
      <c r="S2" s="95"/>
      <c r="T2" s="96"/>
      <c r="U2" s="147"/>
      <c r="V2" s="118" t="s">
        <v>8</v>
      </c>
      <c r="W2" s="98"/>
      <c r="X2" s="140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100" t="s">
        <v>10</v>
      </c>
      <c r="J3" s="101"/>
      <c r="K3" s="102"/>
      <c r="L3" s="102"/>
      <c r="M3" s="47" t="s">
        <v>11</v>
      </c>
      <c r="N3" s="48" t="s">
        <v>12</v>
      </c>
      <c r="O3" s="3" t="s">
        <v>13</v>
      </c>
      <c r="P3" s="2"/>
      <c r="R3" s="100" t="s">
        <v>10</v>
      </c>
      <c r="S3" s="101"/>
      <c r="T3" s="102"/>
      <c r="U3" s="148"/>
      <c r="V3" s="47" t="s">
        <v>11</v>
      </c>
      <c r="W3" s="48" t="s">
        <v>12</v>
      </c>
      <c r="X3" s="141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103" t="s">
        <v>14</v>
      </c>
      <c r="J4" s="60">
        <f>SUM(J5:J7)</f>
        <v>145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103" t="s">
        <v>14</v>
      </c>
      <c r="S4" s="60">
        <f>SUM(S5:S7)</f>
        <v>33</v>
      </c>
      <c r="T4" s="49"/>
      <c r="U4" s="149"/>
      <c r="V4" s="50" t="s">
        <v>15</v>
      </c>
      <c r="W4" s="48" t="s">
        <v>15</v>
      </c>
      <c r="X4" s="141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103" t="s">
        <v>17</v>
      </c>
      <c r="J5" s="60">
        <f>COUNTIFS($N$13:$N$9719,"&gt;0",$AG$13:$AG$9719,I1)</f>
        <v>140</v>
      </c>
      <c r="K5" s="49"/>
      <c r="L5" s="49"/>
      <c r="M5" s="50">
        <f>AVERAGEIFS($N$13:$N$9719,$AG$13:$AG$9719,I1)</f>
        <v>43.944523809760412</v>
      </c>
      <c r="N5" s="48">
        <f t="array" ref="N5">MIN(IF($AG$13:$AG$9719=I1,IF(ISNUMBER($N$13:$N$9719),IF($N$13:$N$9719&gt;0,$N$13:$N$9719))))</f>
        <v>35.166666673030704</v>
      </c>
      <c r="O5" s="3">
        <f t="array" ref="O5">MAX(IF($AG$13:$AG$9719=I1,IF(ISNUMBER($N$13:$N$9719),IF($N$13:$N$9719&gt;0,$N$13:$N$9719))))</f>
        <v>83.016666668700054</v>
      </c>
      <c r="P5" s="2"/>
      <c r="R5" s="103" t="s">
        <v>17</v>
      </c>
      <c r="S5" s="60">
        <f>COUNTIFS($N$13:$N$9719,"&gt;0",$AG$13:$AG$9719,R1)</f>
        <v>33</v>
      </c>
      <c r="T5" s="49"/>
      <c r="U5" s="149"/>
      <c r="V5" s="50">
        <f>AVERAGEIFS($N$13:$N$9719,$AG$13:$AG$9719,R1)</f>
        <v>26.787878786933355</v>
      </c>
      <c r="W5" s="48">
        <f t="array" ref="W5">MIN(IF($AG$13:$AG$9719=R1,IF(ISNUMBER($N$13:$N$9719),IF($N$13:$N$9719&gt;0,$N$13:$N$9719))))</f>
        <v>12.099999999627471</v>
      </c>
      <c r="X5" s="141">
        <f t="array" ref="X5">MAX(IF($AG$13:$AG$9719=R1,IF(ISNUMBER($N$13:$N$9719),IF($N$13:$N$9719&gt;0,$N$13:$N$9719))))</f>
        <v>37.633333329576999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104" t="s">
        <v>43</v>
      </c>
      <c r="J6" s="60">
        <f>COUNT($O$13:$O$419)</f>
        <v>0</v>
      </c>
      <c r="K6" s="49"/>
      <c r="L6" s="49"/>
      <c r="M6" s="50">
        <f>IFERROR(AVERAGE($O$13:$O$419),0)</f>
        <v>0</v>
      </c>
      <c r="N6" s="48">
        <f>MIN($O$13:$O$419)</f>
        <v>0</v>
      </c>
      <c r="O6" s="3">
        <f>MAX($O$13:$O$419)</f>
        <v>0</v>
      </c>
      <c r="P6" s="2"/>
      <c r="R6" s="104" t="s">
        <v>43</v>
      </c>
      <c r="S6" s="60">
        <f>COUNT($O$13:$O$419)</f>
        <v>0</v>
      </c>
      <c r="T6" s="49"/>
      <c r="U6" s="149"/>
      <c r="V6" s="50">
        <f>IFERROR(AVERAGE($O$13:$O$419),0)</f>
        <v>0</v>
      </c>
      <c r="W6" s="48">
        <f>MIN($O$13:$O$419)</f>
        <v>0</v>
      </c>
      <c r="X6" s="141">
        <f>MAX($O$13:$O$419)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105" t="s">
        <v>9</v>
      </c>
      <c r="J7" s="60">
        <f>COUNTIFS($P$13:$P$9719,"&gt;0",$AG$13:$AG$9719,I1)</f>
        <v>5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105" t="s">
        <v>9</v>
      </c>
      <c r="S7" s="60">
        <f>COUNTIFS($P$13:$P$9719,"&gt;0",$AG$13:$AG$9719,R1)</f>
        <v>0</v>
      </c>
      <c r="T7" s="49"/>
      <c r="U7" s="149"/>
      <c r="V7" s="50" t="s">
        <v>15</v>
      </c>
      <c r="W7" s="48" t="s">
        <v>15</v>
      </c>
      <c r="X7" s="141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103" t="s">
        <v>16</v>
      </c>
      <c r="J8" s="60">
        <f>J5</f>
        <v>140</v>
      </c>
      <c r="K8" s="49"/>
      <c r="L8" s="49"/>
      <c r="M8" s="50">
        <f>M5</f>
        <v>43.944523809760412</v>
      </c>
      <c r="N8" s="48">
        <f>N5</f>
        <v>35.166666673030704</v>
      </c>
      <c r="O8" s="3">
        <f>O5</f>
        <v>83.016666668700054</v>
      </c>
      <c r="P8" s="2"/>
      <c r="R8" s="103" t="s">
        <v>16</v>
      </c>
      <c r="S8" s="60">
        <f>S5</f>
        <v>33</v>
      </c>
      <c r="T8" s="49"/>
      <c r="U8" s="149"/>
      <c r="V8" s="50">
        <f>V5</f>
        <v>26.787878786933355</v>
      </c>
      <c r="W8" s="48">
        <f>W5</f>
        <v>12.099999999627471</v>
      </c>
      <c r="X8" s="141">
        <f>X5</f>
        <v>37.633333329576999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103" t="s">
        <v>19</v>
      </c>
      <c r="J9" s="75">
        <f>J8/J4</f>
        <v>0.96551724137931039</v>
      </c>
      <c r="K9" s="51"/>
      <c r="L9" s="51"/>
      <c r="M9" s="106"/>
      <c r="N9" s="46"/>
      <c r="O9" s="107"/>
      <c r="P9" s="2"/>
      <c r="R9" s="103" t="s">
        <v>19</v>
      </c>
      <c r="S9" s="75">
        <f>S8/S4</f>
        <v>1</v>
      </c>
      <c r="T9" s="51"/>
      <c r="U9" s="146"/>
      <c r="V9" s="106"/>
      <c r="W9" s="46"/>
      <c r="X9" s="142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9"/>
      <c r="V10" s="119"/>
      <c r="W10" s="23"/>
      <c r="X10" s="143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37" t="str">
        <f>"Eagle P3 System Performance - "&amp;TEXT(Variables!A2,"yyyy-mm-dd")</f>
        <v>Eagle P3 System Performance - 2016-08-06</v>
      </c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S11" s="83">
        <f>AVERAGE(S13:S111)</f>
        <v>0.98711340206185572</v>
      </c>
      <c r="V11" s="119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9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78</v>
      </c>
      <c r="T12" s="59" t="s">
        <v>79</v>
      </c>
      <c r="U12" s="150" t="s">
        <v>80</v>
      </c>
      <c r="V12" s="121" t="s">
        <v>45</v>
      </c>
      <c r="W12" s="56" t="s">
        <v>23</v>
      </c>
      <c r="X12" s="144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114</v>
      </c>
      <c r="AE12" s="114" t="s">
        <v>123</v>
      </c>
      <c r="AF12" s="111" t="s">
        <v>128</v>
      </c>
      <c r="AG12" s="4" t="s">
        <v>287</v>
      </c>
      <c r="AH12" s="117" t="s">
        <v>320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449</v>
      </c>
      <c r="B13" s="7">
        <v>4018</v>
      </c>
      <c r="C13" s="25" t="s">
        <v>156</v>
      </c>
      <c r="D13" s="25" t="s">
        <v>492</v>
      </c>
      <c r="E13" s="16">
        <v>42588.144988425927</v>
      </c>
      <c r="F13" s="16">
        <v>42588.145856481482</v>
      </c>
      <c r="G13" s="7">
        <v>1</v>
      </c>
      <c r="H13" s="16" t="s">
        <v>493</v>
      </c>
      <c r="I13" s="16">
        <v>42588.164652777778</v>
      </c>
      <c r="J13" s="7">
        <v>0</v>
      </c>
      <c r="K13" s="25" t="str">
        <f t="shared" ref="K13:K44" si="0">IF(ISEVEN(B13),(B13-1)&amp;"/"&amp;B13,B13&amp;"/"&amp;(B13+1))</f>
        <v>4017/4018</v>
      </c>
      <c r="L13" s="25" t="str">
        <f>VLOOKUP(A13,'Trips&amp;Operators'!$C$1:$E$10000,3,FALSE)</f>
        <v>MAELZER</v>
      </c>
      <c r="M13" s="6">
        <f t="shared" ref="M13:M44" si="1">I13-F13</f>
        <v>1.8796296295477077E-2</v>
      </c>
      <c r="N13" s="7">
        <f>24*60*SUM($M13:$M14)</f>
        <v>40.966666666790843</v>
      </c>
      <c r="O13" s="7"/>
      <c r="P13" s="7"/>
      <c r="Q13" s="26"/>
      <c r="R13" s="26" t="s">
        <v>833</v>
      </c>
      <c r="S13" s="38">
        <f>SUM(U13:U14)/IF(AG13="EC",12,1)</f>
        <v>1</v>
      </c>
      <c r="T13" s="55" t="str">
        <f t="shared" ref="T13:T44" si="2">IF(ISEVEN(LEFT(AD13,4)),"Southbound","NorthBound")</f>
        <v>NorthBound</v>
      </c>
      <c r="U13" s="15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122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" s="57" t="str">
        <f t="shared" ref="W13:W44" si="4">IF(AA13&lt;IF(AG13="EC",23,5.65),"Y","N")</f>
        <v>Y</v>
      </c>
      <c r="X13" s="145" t="e">
        <f t="shared" ref="X13:X44" si="5">VALUE(LEFT(AD13,4))-VALUE(LEFT(AD12,4))</f>
        <v>#VALUE!</v>
      </c>
      <c r="Y13" s="72">
        <f t="shared" ref="Y13:Y44" si="6">RIGHT(D13,LEN(D13)-4)/10000</f>
        <v>3.7263999999999999</v>
      </c>
      <c r="Z13" s="72">
        <f t="shared" ref="Z13:Z44" si="7">RIGHT(H13,LEN(H13)-4)/10000</f>
        <v>23.3339</v>
      </c>
      <c r="AA13" s="72">
        <f t="shared" ref="AA13:AA44" si="8">ABS(Z13-Y13)</f>
        <v>19.607500000000002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44" si="9">IF(LEN(A13)=6,"0"&amp;A13,A13)</f>
        <v>0101-06</v>
      </c>
      <c r="AE13" s="115" t="str">
        <f t="shared" ref="AE13:AE44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13" s="112" t="str">
        <f t="shared" ref="AF13:AF44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/stypes="*4018*20160806*" /stext=" 09:.+((SYSTEM_STATE.+slice.+state.+changed )|(ment ac)|(system.+state.+changed )|(\|lc)|(penalty)|(\[timeout)|(PRM\|1\|D)|(kpr)|(kdp))" /e /r /s</v>
      </c>
      <c r="AG13" s="1" t="str">
        <f t="shared" ref="AG13:AG44" si="12">IF(VALUE(LEFT(AD13,2))&lt;=2,"EC",IF(OR(VALUE(LEFT(AD13,2))=8,VALUE(LEFT(AD13,2))=18),"NW","GL"))</f>
        <v>EC</v>
      </c>
      <c r="AH13" s="116" t="str">
        <f t="shared" ref="AH13:AH44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101-06 --locoid 4018 --swversion DE.1.0.7.0 --startMP 204:37264 --initTime 2016-08-06T03:28:47 --startdatetime 2016-08-06T03:30:02 --delay 1 --endMP 204:233339 --enddatetime 2016-08-06T03:57:06 --enforcementcount 0</v>
      </c>
    </row>
    <row r="14" spans="1:91" s="1" customFormat="1" x14ac:dyDescent="0.25">
      <c r="A14" s="42" t="s">
        <v>449</v>
      </c>
      <c r="B14" s="7">
        <v>4018</v>
      </c>
      <c r="C14" s="25" t="s">
        <v>156</v>
      </c>
      <c r="D14" s="25" t="s">
        <v>429</v>
      </c>
      <c r="E14" s="16">
        <v>42588.131678240738</v>
      </c>
      <c r="F14" s="16">
        <v>42588.132604166669</v>
      </c>
      <c r="G14" s="7">
        <v>1</v>
      </c>
      <c r="H14" s="16" t="s">
        <v>494</v>
      </c>
      <c r="I14" s="16">
        <v>42588.142256944448</v>
      </c>
      <c r="J14" s="7">
        <v>2</v>
      </c>
      <c r="K14" s="25" t="str">
        <f t="shared" si="0"/>
        <v>4017/4018</v>
      </c>
      <c r="L14" s="25" t="str">
        <f>VLOOKUP(A14,'Trips&amp;Operators'!$C$1:$E$10000,3,FALSE)</f>
        <v>MAELZER</v>
      </c>
      <c r="M14" s="6">
        <f t="shared" si="1"/>
        <v>9.6527777786832303E-3</v>
      </c>
      <c r="N14" s="7"/>
      <c r="O14" s="7"/>
      <c r="P14" s="7"/>
      <c r="Q14" s="26"/>
      <c r="R14" s="26"/>
      <c r="S14" s="38"/>
      <c r="T14" s="55" t="str">
        <f t="shared" si="2"/>
        <v>NorthBound</v>
      </c>
      <c r="U14" s="15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02:09:37-0600',mode:absolute,to:'2016-08-06 04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" s="57" t="str">
        <f t="shared" si="4"/>
        <v>Y</v>
      </c>
      <c r="X14" s="145">
        <f t="shared" si="5"/>
        <v>0</v>
      </c>
      <c r="Y14" s="72">
        <f t="shared" si="6"/>
        <v>7.17E-2</v>
      </c>
      <c r="Z14" s="72">
        <f t="shared" si="7"/>
        <v>3.669</v>
      </c>
      <c r="AA14" s="72">
        <f t="shared" si="8"/>
        <v>3.5973000000000002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9"/>
        <v>0101-06</v>
      </c>
      <c r="AE14" s="115" t="str">
        <f t="shared" si="10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14" s="112" t="str">
        <f t="shared" si="11"/>
        <v>"C:\Program Files (x86)\AstroGrep\AstroGrep.exe" /spath="%USERPROFILE%\AppData\Local\Temp\OnboardLogs" /stypes="*4018*20160806*" /stext=" 09:.+((SYSTEM_STATE.+slice.+state.+changed )|(ment ac)|(system.+state.+changed )|(\|lc)|(penalty)|(\[timeout)|(PRM\|1\|D)|(kpr)|(kdp))" /e /r /s</v>
      </c>
      <c r="AG14" s="1" t="str">
        <f t="shared" si="12"/>
        <v>EC</v>
      </c>
      <c r="AH14" s="116" t="str">
        <f t="shared" si="13"/>
        <v>"%USERPROFILE%\Documents\GitHub\eaglep3\Utilities\RefineRTDCRunTimes.py" --tripid 101-06 --locoid 4018 --swversion DE.1.0.7.0 --startMP 204:717 --initTime 2016-08-06T03:09:37 --startdatetime 2016-08-06T03:10:57 --delay 1 --endMP 204:36690 --enddatetime 2016-08-06T03:24:51 --enforcementcount 2</v>
      </c>
    </row>
    <row r="15" spans="1:91" s="1" customFormat="1" x14ac:dyDescent="0.25">
      <c r="A15" s="42" t="s">
        <v>451</v>
      </c>
      <c r="B15" s="7">
        <v>4013</v>
      </c>
      <c r="C15" s="25" t="s">
        <v>156</v>
      </c>
      <c r="D15" s="25" t="s">
        <v>495</v>
      </c>
      <c r="E15" s="16">
        <v>42588.169895833336</v>
      </c>
      <c r="F15" s="16">
        <v>42588.170844907407</v>
      </c>
      <c r="G15" s="7">
        <v>1</v>
      </c>
      <c r="H15" s="16" t="s">
        <v>496</v>
      </c>
      <c r="I15" s="16">
        <v>42588.201018518521</v>
      </c>
      <c r="J15" s="7">
        <v>1</v>
      </c>
      <c r="K15" s="25" t="str">
        <f t="shared" si="0"/>
        <v>4013/4014</v>
      </c>
      <c r="L15" s="25" t="str">
        <f>VLOOKUP(A15,'Trips&amp;Operators'!$C$1:$E$10000,3,FALSE)</f>
        <v>MAELZER</v>
      </c>
      <c r="M15" s="6">
        <f t="shared" si="1"/>
        <v>3.0173611114150845E-2</v>
      </c>
      <c r="N15" s="7">
        <f t="shared" ref="N15:N46" si="14">24*60*SUM($M15:$M15)</f>
        <v>43.450000004377216</v>
      </c>
      <c r="O15" s="7"/>
      <c r="P15" s="7"/>
      <c r="Q15" s="26"/>
      <c r="R15" s="26"/>
      <c r="S15" s="38">
        <f t="shared" ref="S15:S46" si="15">SUM(U15:U15)/IF(AG15="EC",12,1)</f>
        <v>1</v>
      </c>
      <c r="T15" s="55" t="str">
        <f t="shared" si="2"/>
        <v>Southbound</v>
      </c>
      <c r="U15" s="15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" s="57" t="str">
        <f t="shared" si="4"/>
        <v>N</v>
      </c>
      <c r="X15" s="145">
        <f t="shared" si="5"/>
        <v>1</v>
      </c>
      <c r="Y15" s="72">
        <f t="shared" si="6"/>
        <v>23.269600000000001</v>
      </c>
      <c r="Z15" s="72">
        <f t="shared" si="7"/>
        <v>1.38E-2</v>
      </c>
      <c r="AA15" s="72">
        <f t="shared" si="8"/>
        <v>23.255800000000001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9"/>
        <v>0102-06</v>
      </c>
      <c r="AE15" s="115" t="str">
        <f t="shared" si="10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5" s="112" t="str">
        <f t="shared" si="11"/>
        <v>"C:\Program Files (x86)\AstroGrep\AstroGrep.exe" /spath="%USERPROFILE%\AppData\Local\Temp\OnboardLogs" /stypes="*4013*20160806*"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116" t="str">
        <f t="shared" si="13"/>
        <v>"%USERPROFILE%\Documents\GitHub\eaglep3\Utilities\RefineRTDCRunTimes.py" --tripid 102-06 --locoid 4013 --swversion DE.1.0.7.0 --startMP 204:232696 --initTime 2016-08-06T04:04:39 --startdatetime 2016-08-06T04:06:01 --delay 1 --endMP 204:138 --enddatetime 2016-08-06T04:49:28 --enforcementcount 1</v>
      </c>
    </row>
    <row r="16" spans="1:91" s="1" customFormat="1" x14ac:dyDescent="0.25">
      <c r="A16" s="42" t="s">
        <v>497</v>
      </c>
      <c r="B16" s="7">
        <v>4042</v>
      </c>
      <c r="C16" s="25" t="s">
        <v>156</v>
      </c>
      <c r="D16" s="25" t="s">
        <v>498</v>
      </c>
      <c r="E16" s="16">
        <v>42588.152951388889</v>
      </c>
      <c r="F16" s="16">
        <v>42588.153865740744</v>
      </c>
      <c r="G16" s="7">
        <v>1</v>
      </c>
      <c r="H16" s="16" t="s">
        <v>499</v>
      </c>
      <c r="I16" s="16">
        <v>42588.181562500002</v>
      </c>
      <c r="J16" s="7">
        <v>0</v>
      </c>
      <c r="K16" s="25" t="str">
        <f t="shared" si="0"/>
        <v>4041/4042</v>
      </c>
      <c r="L16" s="25" t="str">
        <f>VLOOKUP(A16,'Trips&amp;Operators'!$C$1:$E$10000,3,FALSE)</f>
        <v>SANTIZO</v>
      </c>
      <c r="M16" s="6">
        <f t="shared" si="1"/>
        <v>2.7696759258105885E-2</v>
      </c>
      <c r="N16" s="7">
        <f t="shared" si="14"/>
        <v>39.883333331672475</v>
      </c>
      <c r="O16" s="7"/>
      <c r="P16" s="7"/>
      <c r="Q16" s="26"/>
      <c r="R16" s="26"/>
      <c r="S16" s="38">
        <f t="shared" si="15"/>
        <v>1</v>
      </c>
      <c r="T16" s="55" t="str">
        <f t="shared" si="2"/>
        <v>NorthBound</v>
      </c>
      <c r="U16" s="15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02:40:15-0600',mode:absolute,to:'2016-08-06 05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" s="57" t="str">
        <f t="shared" si="4"/>
        <v>N</v>
      </c>
      <c r="X16" s="145">
        <f t="shared" si="5"/>
        <v>1</v>
      </c>
      <c r="Y16" s="72">
        <f t="shared" si="6"/>
        <v>6.8599999999999994E-2</v>
      </c>
      <c r="Z16" s="72">
        <f t="shared" si="7"/>
        <v>23.332000000000001</v>
      </c>
      <c r="AA16" s="72">
        <f t="shared" si="8"/>
        <v>23.263400000000001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9"/>
        <v>0103-06</v>
      </c>
      <c r="AE16" s="115" t="str">
        <f t="shared" si="10"/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AF16" s="112" t="str">
        <f t="shared" si="11"/>
        <v>"C:\Program Files (x86)\AstroGrep\AstroGrep.exe" /spath="%USERPROFILE%\AppData\Local\Temp\OnboardLogs" /stypes="*4042*20160806*" /stext=" 10:.+((SYSTEM_STATE.+slice.+state.+changed )|(ment ac)|(system.+state.+changed )|(\|lc)|(penalty)|(\[timeout)|(PRM\|1\|D)|(kpr)|(kdp))" /e /r /s</v>
      </c>
      <c r="AG16" s="1" t="str">
        <f t="shared" si="12"/>
        <v>EC</v>
      </c>
      <c r="AH16" s="116" t="str">
        <f t="shared" si="13"/>
        <v>"%USERPROFILE%\Documents\GitHub\eaglep3\Utilities\RefineRTDCRunTimes.py" --tripid 103-06 --locoid 4042 --swversion DE.1.0.7.0 --startMP 204:686 --initTime 2016-08-06T03:40:15 --startdatetime 2016-08-06T03:41:34 --delay 1 --endMP 204:233320 --enddatetime 2016-08-06T04:21:27 --enforcementcount 0</v>
      </c>
    </row>
    <row r="17" spans="1:34" s="1" customFormat="1" x14ac:dyDescent="0.25">
      <c r="A17" s="42" t="s">
        <v>500</v>
      </c>
      <c r="B17" s="7">
        <v>4028</v>
      </c>
      <c r="C17" s="25" t="s">
        <v>156</v>
      </c>
      <c r="D17" s="25" t="s">
        <v>501</v>
      </c>
      <c r="E17" s="16">
        <v>42588.19195601852</v>
      </c>
      <c r="F17" s="16">
        <v>42588.192986111113</v>
      </c>
      <c r="G17" s="7">
        <v>1</v>
      </c>
      <c r="H17" s="16" t="s">
        <v>431</v>
      </c>
      <c r="I17" s="16">
        <v>42588.222569444442</v>
      </c>
      <c r="J17" s="7">
        <v>0</v>
      </c>
      <c r="K17" s="25" t="str">
        <f t="shared" si="0"/>
        <v>4027/4028</v>
      </c>
      <c r="L17" s="25" t="str">
        <f>VLOOKUP(A17,'Trips&amp;Operators'!$C$1:$E$10000,3,FALSE)</f>
        <v>SANTIZO</v>
      </c>
      <c r="M17" s="6">
        <f t="shared" si="1"/>
        <v>2.958333332935581E-2</v>
      </c>
      <c r="N17" s="7">
        <f t="shared" si="14"/>
        <v>42.599999994272366</v>
      </c>
      <c r="O17" s="7"/>
      <c r="P17" s="7"/>
      <c r="Q17" s="26"/>
      <c r="R17" s="26"/>
      <c r="S17" s="38">
        <f t="shared" si="15"/>
        <v>1</v>
      </c>
      <c r="T17" s="55" t="str">
        <f t="shared" si="2"/>
        <v>Southbound</v>
      </c>
      <c r="U17" s="15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03:36:25-0600',mode:absolute,to:'2016-08-06 06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7" s="57" t="str">
        <f t="shared" si="4"/>
        <v>N</v>
      </c>
      <c r="X17" s="145">
        <f t="shared" si="5"/>
        <v>1</v>
      </c>
      <c r="Y17" s="72">
        <f t="shared" si="6"/>
        <v>23.267900000000001</v>
      </c>
      <c r="Z17" s="72">
        <f t="shared" si="7"/>
        <v>1.47E-2</v>
      </c>
      <c r="AA17" s="72">
        <f t="shared" si="8"/>
        <v>23.2532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9"/>
        <v>0104-06</v>
      </c>
      <c r="AE17" s="115" t="str">
        <f t="shared" si="10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17" s="112" t="str">
        <f t="shared" si="11"/>
        <v>"C:\Program Files (x86)\AstroGrep\AstroGrep.exe" /spath="%USERPROFILE%\AppData\Local\Temp\OnboardLogs" /stypes="*4028*20160806*" /stext=" 11:.+((SYSTEM_STATE.+slice.+state.+changed )|(ment ac)|(system.+state.+changed )|(\|lc)|(penalty)|(\[timeout)|(PRM\|1\|D)|(kpr)|(kdp))" /e /r /s</v>
      </c>
      <c r="AG17" s="1" t="str">
        <f t="shared" si="12"/>
        <v>EC</v>
      </c>
      <c r="AH17" s="116" t="str">
        <f t="shared" si="13"/>
        <v>"%USERPROFILE%\Documents\GitHub\eaglep3\Utilities\RefineRTDCRunTimes.py" --tripid 104-06 --locoid 4028 --swversion DE.1.0.7.0 --startMP 204:232679 --initTime 2016-08-06T04:36:25 --startdatetime 2016-08-06T04:37:54 --delay 1 --endMP 204:147 --enddatetime 2016-08-06T05:20:30 --enforcementcount 0</v>
      </c>
    </row>
    <row r="18" spans="1:34" s="1" customFormat="1" x14ac:dyDescent="0.25">
      <c r="A18" s="42" t="s">
        <v>502</v>
      </c>
      <c r="B18" s="7">
        <v>4011</v>
      </c>
      <c r="C18" s="25" t="s">
        <v>156</v>
      </c>
      <c r="D18" s="25" t="s">
        <v>503</v>
      </c>
      <c r="E18" s="16">
        <v>42588.17150462963</v>
      </c>
      <c r="F18" s="16">
        <v>42588.172731481478</v>
      </c>
      <c r="G18" s="7">
        <v>1</v>
      </c>
      <c r="H18" s="16" t="s">
        <v>504</v>
      </c>
      <c r="I18" s="16">
        <v>42588.203449074077</v>
      </c>
      <c r="J18" s="7">
        <v>0</v>
      </c>
      <c r="K18" s="25" t="str">
        <f t="shared" si="0"/>
        <v>4011/4012</v>
      </c>
      <c r="L18" s="25" t="str">
        <f>VLOOKUP(A18,'Trips&amp;Operators'!$C$1:$E$10000,3,FALSE)</f>
        <v>ACKERMAN</v>
      </c>
      <c r="M18" s="6">
        <f t="shared" si="1"/>
        <v>3.0717592599103227E-2</v>
      </c>
      <c r="N18" s="7">
        <f t="shared" si="14"/>
        <v>44.233333342708647</v>
      </c>
      <c r="O18" s="7"/>
      <c r="P18" s="7"/>
      <c r="Q18" s="26"/>
      <c r="R18" s="26"/>
      <c r="S18" s="38">
        <f t="shared" si="15"/>
        <v>1</v>
      </c>
      <c r="T18" s="55" t="str">
        <f t="shared" si="2"/>
        <v>NorthBound</v>
      </c>
      <c r="U18" s="15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03:06:58-0600',mode:absolute,to:'2016-08-06 05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8" s="57" t="str">
        <f t="shared" si="4"/>
        <v>N</v>
      </c>
      <c r="X18" s="145">
        <f t="shared" si="5"/>
        <v>1</v>
      </c>
      <c r="Y18" s="72">
        <f t="shared" si="6"/>
        <v>6.4399999999999999E-2</v>
      </c>
      <c r="Z18" s="72">
        <f t="shared" si="7"/>
        <v>23.336400000000001</v>
      </c>
      <c r="AA18" s="72">
        <f t="shared" si="8"/>
        <v>23.272000000000002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9"/>
        <v>0105-06</v>
      </c>
      <c r="AE18" s="115" t="str">
        <f t="shared" si="10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8" s="112" t="str">
        <f t="shared" si="11"/>
        <v>"C:\Program Files (x86)\AstroGrep\AstroGrep.exe" /spath="%USERPROFILE%\AppData\Local\Temp\OnboardLogs" /stypes="*4011*20160806*" /stext=" 10:.+((SYSTEM_STATE.+slice.+state.+changed )|(ment ac)|(system.+state.+changed )|(\|lc)|(penalty)|(\[timeout)|(PRM\|1\|D)|(kpr)|(kdp))" /e /r /s</v>
      </c>
      <c r="AG18" s="1" t="str">
        <f t="shared" si="12"/>
        <v>EC</v>
      </c>
      <c r="AH18" s="116" t="str">
        <f t="shared" si="13"/>
        <v>"%USERPROFILE%\Documents\GitHub\eaglep3\Utilities\RefineRTDCRunTimes.py" --tripid 105-06 --locoid 4011 --swversion DE.1.0.7.0 --startMP 204:644 --initTime 2016-08-06T04:06:58 --startdatetime 2016-08-06T04:08:44 --delay 1 --endMP 204:233364 --enddatetime 2016-08-06T04:52:58 --enforcementcount 0</v>
      </c>
    </row>
    <row r="19" spans="1:34" s="1" customFormat="1" x14ac:dyDescent="0.25">
      <c r="A19" s="42" t="s">
        <v>505</v>
      </c>
      <c r="B19" s="7">
        <v>4032</v>
      </c>
      <c r="C19" s="25" t="s">
        <v>156</v>
      </c>
      <c r="D19" s="25" t="s">
        <v>506</v>
      </c>
      <c r="E19" s="16">
        <v>42588.210347222222</v>
      </c>
      <c r="F19" s="16">
        <v>42588.211516203701</v>
      </c>
      <c r="G19" s="7">
        <v>1</v>
      </c>
      <c r="H19" s="16" t="s">
        <v>507</v>
      </c>
      <c r="I19" s="16">
        <v>42588.244004629632</v>
      </c>
      <c r="J19" s="7">
        <v>0</v>
      </c>
      <c r="K19" s="25" t="str">
        <f t="shared" si="0"/>
        <v>4031/4032</v>
      </c>
      <c r="L19" s="25" t="str">
        <f>VLOOKUP(A19,'Trips&amp;Operators'!$C$1:$E$10000,3,FALSE)</f>
        <v>ACKERMAN</v>
      </c>
      <c r="M19" s="6">
        <f t="shared" si="1"/>
        <v>3.2488425931660458E-2</v>
      </c>
      <c r="N19" s="7">
        <f t="shared" si="14"/>
        <v>46.78333334159106</v>
      </c>
      <c r="O19" s="7"/>
      <c r="P19" s="7"/>
      <c r="Q19" s="26"/>
      <c r="R19" s="26"/>
      <c r="S19" s="38">
        <f t="shared" si="15"/>
        <v>1</v>
      </c>
      <c r="T19" s="55" t="str">
        <f t="shared" si="2"/>
        <v>Southbound</v>
      </c>
      <c r="U19" s="15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04:02:54-0600',mode:absolute,to:'2016-08-06 06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" s="57" t="str">
        <f t="shared" si="4"/>
        <v>N</v>
      </c>
      <c r="X19" s="145">
        <f t="shared" si="5"/>
        <v>1</v>
      </c>
      <c r="Y19" s="72">
        <f t="shared" si="6"/>
        <v>23.273099999999999</v>
      </c>
      <c r="Z19" s="72">
        <f t="shared" si="7"/>
        <v>1.09E-2</v>
      </c>
      <c r="AA19" s="72">
        <f t="shared" si="8"/>
        <v>23.2622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9"/>
        <v>0106-06</v>
      </c>
      <c r="AE19" s="115" t="str">
        <f t="shared" si="10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9" s="112" t="str">
        <f t="shared" si="11"/>
        <v>"C:\Program Files (x86)\AstroGrep\AstroGrep.exe" /spath="%USERPROFILE%\AppData\Local\Temp\OnboardLogs" /stypes="*4032*20160806*"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116" t="str">
        <f t="shared" si="13"/>
        <v>"%USERPROFILE%\Documents\GitHub\eaglep3\Utilities\RefineRTDCRunTimes.py" --tripid 106-06 --locoid 4032 --swversion DE.1.0.7.0 --startMP 204:232731 --initTime 2016-08-06T05:02:54 --startdatetime 2016-08-06T05:04:35 --delay 1 --endMP 204:109 --enddatetime 2016-08-06T05:51:22 --enforcementcount 0</v>
      </c>
    </row>
    <row r="20" spans="1:34" s="1" customFormat="1" ht="16.5" customHeight="1" x14ac:dyDescent="0.25">
      <c r="A20" s="42" t="s">
        <v>450</v>
      </c>
      <c r="B20" s="7">
        <v>4025</v>
      </c>
      <c r="C20" s="25" t="s">
        <v>156</v>
      </c>
      <c r="D20" s="25" t="s">
        <v>115</v>
      </c>
      <c r="E20" s="16">
        <v>42588.180821759262</v>
      </c>
      <c r="F20" s="16">
        <v>42588.181932870371</v>
      </c>
      <c r="G20" s="7">
        <v>1</v>
      </c>
      <c r="H20" s="16" t="s">
        <v>508</v>
      </c>
      <c r="I20" s="16">
        <v>42588.214155092595</v>
      </c>
      <c r="J20" s="7">
        <v>2</v>
      </c>
      <c r="K20" s="25" t="str">
        <f t="shared" si="0"/>
        <v>4025/4026</v>
      </c>
      <c r="L20" s="25" t="str">
        <f>VLOOKUP(A20,'Trips&amp;Operators'!$C$1:$E$10000,3,FALSE)</f>
        <v>DAVIS</v>
      </c>
      <c r="M20" s="6">
        <f t="shared" si="1"/>
        <v>3.2222222223936114E-2</v>
      </c>
      <c r="N20" s="7">
        <f t="shared" si="14"/>
        <v>46.400000002468005</v>
      </c>
      <c r="O20" s="7"/>
      <c r="P20" s="7"/>
      <c r="Q20" s="26"/>
      <c r="R20" s="26"/>
      <c r="S20" s="38">
        <f t="shared" si="15"/>
        <v>1</v>
      </c>
      <c r="T20" s="55" t="str">
        <f t="shared" si="2"/>
        <v>NorthBound</v>
      </c>
      <c r="U20" s="15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0" s="57" t="str">
        <f t="shared" si="4"/>
        <v>N</v>
      </c>
      <c r="X20" s="145">
        <f t="shared" si="5"/>
        <v>1</v>
      </c>
      <c r="Y20" s="72">
        <f t="shared" si="6"/>
        <v>4.58E-2</v>
      </c>
      <c r="Z20" s="72">
        <f t="shared" si="7"/>
        <v>23.335100000000001</v>
      </c>
      <c r="AA20" s="72">
        <f t="shared" si="8"/>
        <v>23.289300000000001</v>
      </c>
      <c r="AB20" s="69">
        <f>VLOOKUP(A20,Enforcements!$C$7:$J$24,8,0)</f>
        <v>33137</v>
      </c>
      <c r="AC20" s="65" t="str">
        <f>VLOOKUP(A20,Enforcements!$C$7:$E$24,3,0)</f>
        <v>GRADE CROSSING</v>
      </c>
      <c r="AD20" s="66" t="str">
        <f t="shared" si="9"/>
        <v>0107-06</v>
      </c>
      <c r="AE20" s="115" t="str">
        <f t="shared" si="10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20" s="112" t="str">
        <f t="shared" si="11"/>
        <v>"C:\Program Files (x86)\AstroGrep\AstroGrep.exe" /spath="%USERPROFILE%\AppData\Local\Temp\OnboardLogs" /stypes="*4025*20160806*" /stext=" 11:.+((SYSTEM_STATE.+slice.+state.+changed )|(ment ac)|(system.+state.+changed )|(\|lc)|(penalty)|(\[timeout)|(PRM\|1\|D)|(kpr)|(kdp))" /e /r /s</v>
      </c>
      <c r="AG20" s="1" t="str">
        <f t="shared" si="12"/>
        <v>EC</v>
      </c>
      <c r="AH20" s="116" t="str">
        <f t="shared" si="13"/>
        <v>"%USERPROFILE%\Documents\GitHub\eaglep3\Utilities\RefineRTDCRunTimes.py" --tripid 107-06 --locoid 4025 --swversion DE.1.0.7.0 --startMP 204:458 --initTime 2016-08-06T04:20:23 --startdatetime 2016-08-06T04:21:59 --delay 1 --endMP 204:233351 --enddatetime 2016-08-06T05:08:23 --enforcementcount 2</v>
      </c>
    </row>
    <row r="21" spans="1:34" s="1" customFormat="1" x14ac:dyDescent="0.25">
      <c r="A21" s="42" t="s">
        <v>509</v>
      </c>
      <c r="B21" s="7">
        <v>4026</v>
      </c>
      <c r="C21" s="25" t="s">
        <v>156</v>
      </c>
      <c r="D21" s="25" t="s">
        <v>510</v>
      </c>
      <c r="E21" s="16">
        <v>42588.223692129628</v>
      </c>
      <c r="F21" s="16">
        <v>42588.22446759259</v>
      </c>
      <c r="G21" s="7">
        <v>1</v>
      </c>
      <c r="H21" s="16" t="s">
        <v>99</v>
      </c>
      <c r="I21" s="16">
        <v>42588.254930555559</v>
      </c>
      <c r="J21" s="7">
        <v>0</v>
      </c>
      <c r="K21" s="25" t="str">
        <f t="shared" si="0"/>
        <v>4025/4026</v>
      </c>
      <c r="L21" s="25" t="str">
        <f>VLOOKUP(A21,'Trips&amp;Operators'!$C$1:$E$10000,3,FALSE)</f>
        <v>DAVIS</v>
      </c>
      <c r="M21" s="6">
        <f t="shared" si="1"/>
        <v>3.0462962968158536E-2</v>
      </c>
      <c r="N21" s="7">
        <f t="shared" si="14"/>
        <v>43.866666674148291</v>
      </c>
      <c r="O21" s="7"/>
      <c r="P21" s="7"/>
      <c r="Q21" s="26"/>
      <c r="R21" s="26"/>
      <c r="S21" s="38">
        <f t="shared" si="15"/>
        <v>1</v>
      </c>
      <c r="T21" s="55" t="str">
        <f t="shared" si="2"/>
        <v>Southbound</v>
      </c>
      <c r="U21" s="15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04:22:07-0600',mode:absolute,to:'2016-08-06 07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21" s="57" t="str">
        <f t="shared" si="4"/>
        <v>N</v>
      </c>
      <c r="X21" s="145">
        <f t="shared" si="5"/>
        <v>1</v>
      </c>
      <c r="Y21" s="72">
        <f t="shared" si="6"/>
        <v>23.3032</v>
      </c>
      <c r="Z21" s="72">
        <f t="shared" si="7"/>
        <v>1.43E-2</v>
      </c>
      <c r="AA21" s="72">
        <f t="shared" si="8"/>
        <v>23.288900000000002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9"/>
        <v>0108-06</v>
      </c>
      <c r="AE21" s="115" t="str">
        <f t="shared" si="10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21" s="112" t="str">
        <f t="shared" si="11"/>
        <v>"C:\Program Files (x86)\AstroGrep\AstroGrep.exe" /spath="%USERPROFILE%\AppData\Local\Temp\OnboardLogs" /stypes="*4026*20160806*" /stext=" 12:.+((SYSTEM_STATE.+slice.+state.+changed )|(ment ac)|(system.+state.+changed )|(\|lc)|(penalty)|(\[timeout)|(PRM\|1\|D)|(kpr)|(kdp))" /e /r /s</v>
      </c>
      <c r="AG21" s="1" t="str">
        <f t="shared" si="12"/>
        <v>EC</v>
      </c>
      <c r="AH21" s="116" t="str">
        <f t="shared" si="13"/>
        <v>"%USERPROFILE%\Documents\GitHub\eaglep3\Utilities\RefineRTDCRunTimes.py" --tripid 108-06 --locoid 4026 --swversion DE.1.0.7.0 --startMP 204:233032 --initTime 2016-08-06T05:22:07 --startdatetime 2016-08-06T05:23:14 --delay 1 --endMP 204:143 --enddatetime 2016-08-06T06:07:06 --enforcementcount 0</v>
      </c>
    </row>
    <row r="22" spans="1:34" s="32" customFormat="1" x14ac:dyDescent="0.25">
      <c r="A22" s="42" t="s">
        <v>511</v>
      </c>
      <c r="B22" s="7">
        <v>4009</v>
      </c>
      <c r="C22" s="25" t="s">
        <v>156</v>
      </c>
      <c r="D22" s="25" t="s">
        <v>136</v>
      </c>
      <c r="E22" s="16">
        <v>42588.195011574076</v>
      </c>
      <c r="F22" s="16">
        <v>42588.197500000002</v>
      </c>
      <c r="G22" s="7">
        <v>3</v>
      </c>
      <c r="H22" s="16" t="s">
        <v>512</v>
      </c>
      <c r="I22" s="16">
        <v>42588.224224537036</v>
      </c>
      <c r="J22" s="7">
        <v>0</v>
      </c>
      <c r="K22" s="25" t="str">
        <f t="shared" si="0"/>
        <v>4009/4010</v>
      </c>
      <c r="L22" s="25" t="str">
        <f>VLOOKUP(A22,'Trips&amp;Operators'!$C$1:$E$10000,3,FALSE)</f>
        <v>STORY</v>
      </c>
      <c r="M22" s="6">
        <f t="shared" si="1"/>
        <v>2.6724537034169771E-2</v>
      </c>
      <c r="N22" s="7">
        <f t="shared" si="14"/>
        <v>38.48333332920447</v>
      </c>
      <c r="O22" s="7"/>
      <c r="P22" s="7"/>
      <c r="Q22" s="26"/>
      <c r="R22" s="26"/>
      <c r="S22" s="38">
        <f t="shared" si="15"/>
        <v>1</v>
      </c>
      <c r="T22" s="55" t="str">
        <f t="shared" si="2"/>
        <v>NorthBound</v>
      </c>
      <c r="U22" s="15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03:40:49-0600',mode:absolute,to:'2016-08-06 06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22" s="57" t="str">
        <f t="shared" si="4"/>
        <v>N</v>
      </c>
      <c r="X22" s="145">
        <f t="shared" si="5"/>
        <v>1</v>
      </c>
      <c r="Y22" s="72">
        <f t="shared" si="6"/>
        <v>4.6399999999999997E-2</v>
      </c>
      <c r="Z22" s="72">
        <f t="shared" si="7"/>
        <v>23.3337</v>
      </c>
      <c r="AA22" s="72">
        <f t="shared" si="8"/>
        <v>23.287300000000002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9"/>
        <v>0109-06</v>
      </c>
      <c r="AE22" s="115" t="str">
        <f t="shared" si="10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22" s="112" t="str">
        <f t="shared" si="11"/>
        <v>"C:\Program Files (x86)\AstroGrep\AstroGrep.exe" /spath="%USERPROFILE%\AppData\Local\Temp\OnboardLogs" /stypes="*4009*20160806*" /stext=" 11:.+((SYSTEM_STATE.+slice.+state.+changed )|(ment ac)|(system.+state.+changed )|(\|lc)|(penalty)|(\[timeout)|(PRM\|1\|D)|(kpr)|(kdp))" /e /r /s</v>
      </c>
      <c r="AG22" s="1" t="str">
        <f t="shared" si="12"/>
        <v>EC</v>
      </c>
      <c r="AH22" s="116" t="str">
        <f t="shared" si="13"/>
        <v>"%USERPROFILE%\Documents\GitHub\eaglep3\Utilities\RefineRTDCRunTimes.py" --tripid 109-06 --locoid 4009 --swversion DE.1.0.7.0 --startMP 204:464 --initTime 2016-08-06T04:40:49 --startdatetime 2016-08-06T04:44:24 --delay 3 --endMP 204:233337 --enddatetime 2016-08-06T05:22:53 --enforcementcount 0</v>
      </c>
    </row>
    <row r="23" spans="1:34" s="1" customFormat="1" x14ac:dyDescent="0.25">
      <c r="A23" s="42" t="s">
        <v>513</v>
      </c>
      <c r="B23" s="7">
        <v>4010</v>
      </c>
      <c r="C23" s="25" t="s">
        <v>156</v>
      </c>
      <c r="D23" s="25" t="s">
        <v>514</v>
      </c>
      <c r="E23" s="16">
        <v>42588.235717592594</v>
      </c>
      <c r="F23" s="16">
        <v>42588.236655092594</v>
      </c>
      <c r="G23" s="7">
        <v>1</v>
      </c>
      <c r="H23" s="16" t="s">
        <v>109</v>
      </c>
      <c r="I23" s="16">
        <v>42588.265509259261</v>
      </c>
      <c r="J23" s="7">
        <v>0</v>
      </c>
      <c r="K23" s="25" t="str">
        <f t="shared" si="0"/>
        <v>4009/4010</v>
      </c>
      <c r="L23" s="25" t="str">
        <f>VLOOKUP(A23,'Trips&amp;Operators'!$C$1:$E$10000,3,FALSE)</f>
        <v>STORY</v>
      </c>
      <c r="M23" s="6">
        <f t="shared" si="1"/>
        <v>2.8854166666860692E-2</v>
      </c>
      <c r="N23" s="7">
        <f t="shared" si="14"/>
        <v>41.550000000279397</v>
      </c>
      <c r="O23" s="7"/>
      <c r="P23" s="7"/>
      <c r="Q23" s="26"/>
      <c r="R23" s="26"/>
      <c r="S23" s="38">
        <f t="shared" si="15"/>
        <v>1</v>
      </c>
      <c r="T23" s="55" t="str">
        <f t="shared" si="2"/>
        <v>Southbound</v>
      </c>
      <c r="U23" s="15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04:39:26-0600',mode:absolute,to:'2016-08-06 07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23" s="57" t="str">
        <f t="shared" si="4"/>
        <v>N</v>
      </c>
      <c r="X23" s="145">
        <f t="shared" si="5"/>
        <v>1</v>
      </c>
      <c r="Y23" s="72">
        <f t="shared" si="6"/>
        <v>23.3019</v>
      </c>
      <c r="Z23" s="72">
        <f t="shared" si="7"/>
        <v>1.5599999999999999E-2</v>
      </c>
      <c r="AA23" s="72">
        <f t="shared" si="8"/>
        <v>23.286300000000001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9"/>
        <v>0110-06</v>
      </c>
      <c r="AE23" s="115" t="str">
        <f t="shared" si="10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23" s="112" t="str">
        <f t="shared" si="11"/>
        <v>"C:\Program Files (x86)\AstroGrep\AstroGrep.exe" /spath="%USERPROFILE%\AppData\Local\Temp\OnboardLogs" /stypes="*4010*20160806*" /stext=" 12:.+((SYSTEM_STATE.+slice.+state.+changed )|(ment ac)|(system.+state.+changed )|(\|lc)|(penalty)|(\[timeout)|(PRM\|1\|D)|(kpr)|(kdp))" /e /r /s</v>
      </c>
      <c r="AG23" s="1" t="str">
        <f t="shared" si="12"/>
        <v>EC</v>
      </c>
      <c r="AH23" s="116" t="str">
        <f t="shared" si="13"/>
        <v>"%USERPROFILE%\Documents\GitHub\eaglep3\Utilities\RefineRTDCRunTimes.py" --tripid 110-06 --locoid 4010 --swversion DE.1.0.7.0 --startMP 204:233019 --initTime 2016-08-06T05:39:26 --startdatetime 2016-08-06T05:40:47 --delay 1 --endMP 204:156 --enddatetime 2016-08-06T06:22:20 --enforcementcount 0</v>
      </c>
    </row>
    <row r="24" spans="1:34" s="1" customFormat="1" ht="14.25" customHeight="1" x14ac:dyDescent="0.25">
      <c r="A24" s="42" t="s">
        <v>515</v>
      </c>
      <c r="B24" s="7">
        <v>4018</v>
      </c>
      <c r="C24" s="25" t="s">
        <v>156</v>
      </c>
      <c r="D24" s="25" t="s">
        <v>516</v>
      </c>
      <c r="E24" s="16">
        <v>42588.206284722219</v>
      </c>
      <c r="F24" s="16">
        <v>42588.207766203705</v>
      </c>
      <c r="G24" s="7">
        <v>2</v>
      </c>
      <c r="H24" s="16" t="s">
        <v>517</v>
      </c>
      <c r="I24" s="16">
        <v>42588.233217592591</v>
      </c>
      <c r="J24" s="7">
        <v>0</v>
      </c>
      <c r="K24" s="25" t="str">
        <f t="shared" si="0"/>
        <v>4017/4018</v>
      </c>
      <c r="L24" s="25" t="str">
        <f>VLOOKUP(A24,'Trips&amp;Operators'!$C$1:$E$10000,3,FALSE)</f>
        <v>GEBRETEKLE</v>
      </c>
      <c r="M24" s="6">
        <f t="shared" si="1"/>
        <v>2.545138888672227E-2</v>
      </c>
      <c r="N24" s="7">
        <f t="shared" si="14"/>
        <v>36.649999996880069</v>
      </c>
      <c r="O24" s="7"/>
      <c r="P24" s="7"/>
      <c r="Q24" s="26"/>
      <c r="R24" s="26"/>
      <c r="S24" s="38">
        <f t="shared" si="15"/>
        <v>1</v>
      </c>
      <c r="T24" s="55" t="str">
        <f t="shared" si="2"/>
        <v>NorthBound</v>
      </c>
      <c r="U24" s="15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03:57:03-0600',mode:absolute,to:'2016-08-06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4" s="57" t="str">
        <f t="shared" si="4"/>
        <v>N</v>
      </c>
      <c r="X24" s="145">
        <f t="shared" si="5"/>
        <v>1</v>
      </c>
      <c r="Y24" s="72">
        <f t="shared" si="6"/>
        <v>7.4800000000000005E-2</v>
      </c>
      <c r="Z24" s="72">
        <f t="shared" si="7"/>
        <v>23.330200000000001</v>
      </c>
      <c r="AA24" s="72">
        <f t="shared" si="8"/>
        <v>23.255400000000002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9"/>
        <v>0111-06</v>
      </c>
      <c r="AE24" s="115" t="str">
        <f t="shared" si="10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24" s="112" t="str">
        <f t="shared" si="11"/>
        <v>"C:\Program Files (x86)\AstroGrep\AstroGrep.exe" /spath="%USERPROFILE%\AppData\Local\Temp\OnboardLogs" /stypes="*4018*20160806*" /stext=" 11:.+((SYSTEM_STATE.+slice.+state.+changed )|(ment ac)|(system.+state.+changed )|(\|lc)|(penalty)|(\[timeout)|(PRM\|1\|D)|(kpr)|(kdp))" /e /r /s</v>
      </c>
      <c r="AG24" s="1" t="str">
        <f t="shared" si="12"/>
        <v>EC</v>
      </c>
      <c r="AH24" s="116" t="str">
        <f t="shared" si="13"/>
        <v>"%USERPROFILE%\Documents\GitHub\eaglep3\Utilities\RefineRTDCRunTimes.py" --tripid 111-06 --locoid 4018 --swversion DE.1.0.7.0 --startMP 204:748 --initTime 2016-08-06T04:57:03 --startdatetime 2016-08-06T04:59:11 --delay 2 --endMP 204:233302 --enddatetime 2016-08-06T05:35:50 --enforcementcount 0</v>
      </c>
    </row>
    <row r="25" spans="1:34" s="1" customFormat="1" x14ac:dyDescent="0.25">
      <c r="A25" s="42" t="s">
        <v>453</v>
      </c>
      <c r="B25" s="7">
        <v>4017</v>
      </c>
      <c r="C25" s="25" t="s">
        <v>156</v>
      </c>
      <c r="D25" s="25" t="s">
        <v>433</v>
      </c>
      <c r="E25" s="16">
        <v>42588.24324074074</v>
      </c>
      <c r="F25" s="16">
        <v>42588.244479166664</v>
      </c>
      <c r="G25" s="7">
        <v>1</v>
      </c>
      <c r="H25" s="16" t="s">
        <v>518</v>
      </c>
      <c r="I25" s="16">
        <v>42588.273958333331</v>
      </c>
      <c r="J25" s="7">
        <v>1</v>
      </c>
      <c r="K25" s="25" t="str">
        <f t="shared" si="0"/>
        <v>4017/4018</v>
      </c>
      <c r="L25" s="25" t="str">
        <f>VLOOKUP(A25,'Trips&amp;Operators'!$C$1:$E$10000,3,FALSE)</f>
        <v>GEBRETEKLE</v>
      </c>
      <c r="M25" s="6">
        <f t="shared" si="1"/>
        <v>2.9479166667442769E-2</v>
      </c>
      <c r="N25" s="7">
        <f t="shared" si="14"/>
        <v>42.450000001117587</v>
      </c>
      <c r="O25" s="7"/>
      <c r="P25" s="7"/>
      <c r="Q25" s="26"/>
      <c r="R25" s="26"/>
      <c r="S25" s="38">
        <f t="shared" si="15"/>
        <v>1</v>
      </c>
      <c r="T25" s="55" t="str">
        <f t="shared" si="2"/>
        <v>Southbound</v>
      </c>
      <c r="U25" s="15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5" s="57" t="str">
        <f t="shared" si="4"/>
        <v>N</v>
      </c>
      <c r="X25" s="145">
        <f t="shared" si="5"/>
        <v>1</v>
      </c>
      <c r="Y25" s="72">
        <f t="shared" si="6"/>
        <v>23.297899999999998</v>
      </c>
      <c r="Z25" s="72">
        <f t="shared" si="7"/>
        <v>1.2699999999999999E-2</v>
      </c>
      <c r="AA25" s="72">
        <f t="shared" si="8"/>
        <v>23.2852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9"/>
        <v>0112-06</v>
      </c>
      <c r="AE25" s="115" t="str">
        <f t="shared" si="10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25" s="112" t="str">
        <f t="shared" si="11"/>
        <v>"C:\Program Files (x86)\AstroGrep\AstroGrep.exe" /spath="%USERPROFILE%\AppData\Local\Temp\OnboardLogs" /stypes="*4017*20160806*" /stext=" 12:.+((SYSTEM_STATE.+slice.+state.+changed )|(ment ac)|(system.+state.+changed )|(\|lc)|(penalty)|(\[timeout)|(PRM\|1\|D)|(kpr)|(kdp))" /e /r /s</v>
      </c>
      <c r="AG25" s="1" t="str">
        <f t="shared" si="12"/>
        <v>EC</v>
      </c>
      <c r="AH25" s="116" t="str">
        <f t="shared" si="13"/>
        <v>"%USERPROFILE%\Documents\GitHub\eaglep3\Utilities\RefineRTDCRunTimes.py" --tripid 112-06 --locoid 4017 --swversion DE.1.0.7.0 --startMP 204:232979 --initTime 2016-08-06T05:50:16 --startdatetime 2016-08-06T05:52:03 --delay 1 --endMP 204:127 --enddatetime 2016-08-06T06:34:30 --enforcementcount 1</v>
      </c>
    </row>
    <row r="26" spans="1:34" s="1" customFormat="1" x14ac:dyDescent="0.25">
      <c r="A26" s="42" t="s">
        <v>519</v>
      </c>
      <c r="B26" s="7">
        <v>4014</v>
      </c>
      <c r="C26" s="25" t="s">
        <v>156</v>
      </c>
      <c r="D26" s="25" t="s">
        <v>520</v>
      </c>
      <c r="E26" s="16">
        <v>42588.210555555554</v>
      </c>
      <c r="F26" s="16">
        <v>42588.211435185185</v>
      </c>
      <c r="G26" s="7">
        <v>1</v>
      </c>
      <c r="H26" s="16" t="s">
        <v>521</v>
      </c>
      <c r="I26" s="16">
        <v>42588.244143518517</v>
      </c>
      <c r="J26" s="7">
        <v>0</v>
      </c>
      <c r="K26" s="25" t="str">
        <f t="shared" si="0"/>
        <v>4013/4014</v>
      </c>
      <c r="L26" s="25" t="str">
        <f>VLOOKUP(A26,'Trips&amp;Operators'!$C$1:$E$10000,3,FALSE)</f>
        <v>MAELZER</v>
      </c>
      <c r="M26" s="6">
        <f t="shared" si="1"/>
        <v>3.2708333332266193E-2</v>
      </c>
      <c r="N26" s="7">
        <f t="shared" si="14"/>
        <v>47.099999998463318</v>
      </c>
      <c r="O26" s="7"/>
      <c r="P26" s="7"/>
      <c r="Q26" s="26"/>
      <c r="R26" s="26"/>
      <c r="S26" s="38">
        <f t="shared" si="15"/>
        <v>1</v>
      </c>
      <c r="T26" s="55" t="str">
        <f t="shared" si="2"/>
        <v>NorthBound</v>
      </c>
      <c r="U26" s="15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04:03:12-0600',mode:absolute,to:'2016-08-06 06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6" s="57" t="str">
        <f t="shared" si="4"/>
        <v>N</v>
      </c>
      <c r="X26" s="145">
        <f t="shared" si="5"/>
        <v>1</v>
      </c>
      <c r="Y26" s="72">
        <f t="shared" si="6"/>
        <v>4.3799999999999999E-2</v>
      </c>
      <c r="Z26" s="72">
        <f t="shared" si="7"/>
        <v>23.330100000000002</v>
      </c>
      <c r="AA26" s="72">
        <f t="shared" si="8"/>
        <v>23.286300000000001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9"/>
        <v>0113-06</v>
      </c>
      <c r="AE26" s="115" t="str">
        <f t="shared" si="10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26" s="112" t="str">
        <f t="shared" si="11"/>
        <v>"C:\Program Files (x86)\AstroGrep\AstroGrep.exe" /spath="%USERPROFILE%\AppData\Local\Temp\OnboardLogs" /stypes="*4014*20160806*" /stext=" 11:.+((SYSTEM_STATE.+slice.+state.+changed )|(ment ac)|(system.+state.+changed )|(\|lc)|(penalty)|(\[timeout)|(PRM\|1\|D)|(kpr)|(kdp))" /e /r /s</v>
      </c>
      <c r="AG26" s="1" t="str">
        <f t="shared" si="12"/>
        <v>EC</v>
      </c>
      <c r="AH26" s="116" t="str">
        <f t="shared" si="13"/>
        <v>"%USERPROFILE%\Documents\GitHub\eaglep3\Utilities\RefineRTDCRunTimes.py" --tripid 113-06 --locoid 4014 --swversion DE.1.0.7.0 --startMP 204:438 --initTime 2016-08-06T05:03:12 --startdatetime 2016-08-06T05:04:28 --delay 1 --endMP 204:233301 --enddatetime 2016-08-06T05:51:34 --enforcementcount 0</v>
      </c>
    </row>
    <row r="27" spans="1:34" s="1" customFormat="1" x14ac:dyDescent="0.25">
      <c r="A27" s="42" t="s">
        <v>522</v>
      </c>
      <c r="B27" s="7">
        <v>4013</v>
      </c>
      <c r="C27" s="25" t="s">
        <v>156</v>
      </c>
      <c r="D27" s="25" t="s">
        <v>299</v>
      </c>
      <c r="E27" s="16">
        <v>42588.253599537034</v>
      </c>
      <c r="F27" s="16">
        <v>42588.254432870373</v>
      </c>
      <c r="G27" s="7">
        <v>1</v>
      </c>
      <c r="H27" s="16" t="s">
        <v>135</v>
      </c>
      <c r="I27" s="16">
        <v>42588.285868055558</v>
      </c>
      <c r="J27" s="7">
        <v>0</v>
      </c>
      <c r="K27" s="25" t="str">
        <f t="shared" si="0"/>
        <v>4013/4014</v>
      </c>
      <c r="L27" s="25" t="str">
        <f>VLOOKUP(A27,'Trips&amp;Operators'!$C$1:$E$10000,3,FALSE)</f>
        <v>MAELZER</v>
      </c>
      <c r="M27" s="6">
        <f t="shared" si="1"/>
        <v>3.1435185184818693E-2</v>
      </c>
      <c r="N27" s="7">
        <f t="shared" si="14"/>
        <v>45.266666666138917</v>
      </c>
      <c r="O27" s="7"/>
      <c r="P27" s="7"/>
      <c r="Q27" s="26"/>
      <c r="R27" s="26"/>
      <c r="S27" s="38">
        <f t="shared" si="15"/>
        <v>1</v>
      </c>
      <c r="T27" s="55" t="str">
        <f t="shared" si="2"/>
        <v>Southbound</v>
      </c>
      <c r="U27" s="15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05:05:11-0600',mode:absolute,to:'2016-08-06 07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7" s="57" t="str">
        <f t="shared" si="4"/>
        <v>N</v>
      </c>
      <c r="X27" s="145">
        <f t="shared" si="5"/>
        <v>1</v>
      </c>
      <c r="Y27" s="72">
        <f t="shared" si="6"/>
        <v>23.297499999999999</v>
      </c>
      <c r="Z27" s="72">
        <f t="shared" si="7"/>
        <v>1.4999999999999999E-2</v>
      </c>
      <c r="AA27" s="72">
        <f t="shared" si="8"/>
        <v>23.282499999999999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9"/>
        <v>0114-06</v>
      </c>
      <c r="AE27" s="115" t="str">
        <f t="shared" si="10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27" s="112" t="str">
        <f t="shared" si="11"/>
        <v>"C:\Program Files (x86)\AstroGrep\AstroGrep.exe" /spath="%USERPROFILE%\AppData\Local\Temp\OnboardLogs" /stypes="*4013*20160806*"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16" t="str">
        <f t="shared" si="13"/>
        <v>"%USERPROFILE%\Documents\GitHub\eaglep3\Utilities\RefineRTDCRunTimes.py" --tripid 114-06 --locoid 4013 --swversion DE.1.0.7.0 --startMP 204:232975 --initTime 2016-08-06T06:05:11 --startdatetime 2016-08-06T06:06:23 --delay 1 --endMP 204:150 --enddatetime 2016-08-06T06:51:39 --enforcementcount 0</v>
      </c>
    </row>
    <row r="28" spans="1:34" s="1" customFormat="1" x14ac:dyDescent="0.25">
      <c r="A28" s="42" t="s">
        <v>523</v>
      </c>
      <c r="B28" s="7">
        <v>4042</v>
      </c>
      <c r="C28" s="25" t="s">
        <v>156</v>
      </c>
      <c r="D28" s="25" t="s">
        <v>524</v>
      </c>
      <c r="E28" s="16">
        <v>42588.226851851854</v>
      </c>
      <c r="F28" s="16">
        <v>42588.228541666664</v>
      </c>
      <c r="G28" s="7">
        <v>2</v>
      </c>
      <c r="H28" s="16" t="s">
        <v>365</v>
      </c>
      <c r="I28" s="16">
        <v>42588.256377314814</v>
      </c>
      <c r="J28" s="7">
        <v>0</v>
      </c>
      <c r="K28" s="25" t="str">
        <f t="shared" si="0"/>
        <v>4041/4042</v>
      </c>
      <c r="L28" s="25" t="str">
        <f>VLOOKUP(A28,'Trips&amp;Operators'!$C$1:$E$10000,3,FALSE)</f>
        <v>STRICKLAND</v>
      </c>
      <c r="M28" s="6">
        <f t="shared" si="1"/>
        <v>2.7835648150357883E-2</v>
      </c>
      <c r="N28" s="7">
        <f t="shared" si="14"/>
        <v>40.083333336515352</v>
      </c>
      <c r="O28" s="7"/>
      <c r="P28" s="7"/>
      <c r="Q28" s="26"/>
      <c r="R28" s="26"/>
      <c r="S28" s="38">
        <f t="shared" si="15"/>
        <v>1</v>
      </c>
      <c r="T28" s="55" t="str">
        <f t="shared" si="2"/>
        <v>NorthBound</v>
      </c>
      <c r="U28" s="15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04:26:40-0600',mode:absolute,to:'2016-08-06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8" s="57" t="str">
        <f t="shared" si="4"/>
        <v>N</v>
      </c>
      <c r="X28" s="145">
        <f t="shared" si="5"/>
        <v>1</v>
      </c>
      <c r="Y28" s="72">
        <f t="shared" si="6"/>
        <v>7.3700000000000002E-2</v>
      </c>
      <c r="Z28" s="72">
        <f t="shared" si="7"/>
        <v>23.328700000000001</v>
      </c>
      <c r="AA28" s="72">
        <f t="shared" si="8"/>
        <v>23.255000000000003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9"/>
        <v>0115-06</v>
      </c>
      <c r="AE28" s="115" t="str">
        <f t="shared" si="10"/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AF28" s="112" t="str">
        <f t="shared" si="11"/>
        <v>"C:\Program Files (x86)\AstroGrep\AstroGrep.exe" /spath="%USERPROFILE%\AppData\Local\Temp\OnboardLogs" /stypes="*4042*20160806*" /stext=" 12:.+((SYSTEM_STATE.+slice.+state.+changed )|(ment ac)|(system.+state.+changed )|(\|lc)|(penalty)|(\[timeout)|(PRM\|1\|D)|(kpr)|(kdp))" /e /r /s</v>
      </c>
      <c r="AG28" s="1" t="str">
        <f t="shared" si="12"/>
        <v>EC</v>
      </c>
      <c r="AH28" s="116" t="str">
        <f t="shared" si="13"/>
        <v>"%USERPROFILE%\Documents\GitHub\eaglep3\Utilities\RefineRTDCRunTimes.py" --tripid 115-06 --locoid 4042 --swversion DE.1.0.7.0 --startMP 204:737 --initTime 2016-08-06T05:26:40 --startdatetime 2016-08-06T05:29:06 --delay 2 --endMP 204:233287 --enddatetime 2016-08-06T06:09:11 --enforcementcount 0</v>
      </c>
    </row>
    <row r="29" spans="1:34" s="1" customFormat="1" x14ac:dyDescent="0.25">
      <c r="A29" s="42" t="s">
        <v>525</v>
      </c>
      <c r="B29" s="7">
        <v>4041</v>
      </c>
      <c r="C29" s="25" t="s">
        <v>156</v>
      </c>
      <c r="D29" s="25" t="s">
        <v>526</v>
      </c>
      <c r="E29" s="16">
        <v>42588.260358796295</v>
      </c>
      <c r="F29" s="16">
        <v>42588.266655092593</v>
      </c>
      <c r="G29" s="7">
        <v>9</v>
      </c>
      <c r="H29" s="16" t="s">
        <v>527</v>
      </c>
      <c r="I29" s="16">
        <v>42588.296030092592</v>
      </c>
      <c r="J29" s="7">
        <v>0</v>
      </c>
      <c r="K29" s="25" t="str">
        <f t="shared" si="0"/>
        <v>4041/4042</v>
      </c>
      <c r="L29" s="25" t="str">
        <f>VLOOKUP(A29,'Trips&amp;Operators'!$C$1:$E$10000,3,FALSE)</f>
        <v>STRICKLAND</v>
      </c>
      <c r="M29" s="6">
        <f t="shared" si="1"/>
        <v>2.937499999825377E-2</v>
      </c>
      <c r="N29" s="7">
        <f t="shared" si="14"/>
        <v>42.299999997485429</v>
      </c>
      <c r="O29" s="7"/>
      <c r="P29" s="7"/>
      <c r="Q29" s="26"/>
      <c r="R29" s="26"/>
      <c r="S29" s="38">
        <f t="shared" si="15"/>
        <v>1</v>
      </c>
      <c r="T29" s="55" t="str">
        <f t="shared" si="2"/>
        <v>Southbound</v>
      </c>
      <c r="U29" s="15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05:14:55-0600',mode:absolute,to:'2016-08-06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9" s="57" t="str">
        <f t="shared" si="4"/>
        <v>N</v>
      </c>
      <c r="X29" s="145">
        <f t="shared" si="5"/>
        <v>1</v>
      </c>
      <c r="Y29" s="72">
        <f t="shared" si="6"/>
        <v>23.297000000000001</v>
      </c>
      <c r="Z29" s="72">
        <f t="shared" si="7"/>
        <v>1.61E-2</v>
      </c>
      <c r="AA29" s="72">
        <f t="shared" si="8"/>
        <v>23.280899999999999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9"/>
        <v>0116-06</v>
      </c>
      <c r="AE29" s="115" t="str">
        <f t="shared" si="10"/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AF29" s="112" t="str">
        <f t="shared" si="11"/>
        <v>"C:\Program Files (x86)\AstroGrep\AstroGrep.exe" /spath="%USERPROFILE%\AppData\Local\Temp\OnboardLogs" /stypes="*4041*20160806*" /stext=" 13:.+((SYSTEM_STATE.+slice.+state.+changed )|(ment ac)|(system.+state.+changed )|(\|lc)|(penalty)|(\[timeout)|(PRM\|1\|D)|(kpr)|(kdp))" /e /r /s</v>
      </c>
      <c r="AG29" s="1" t="str">
        <f t="shared" si="12"/>
        <v>EC</v>
      </c>
      <c r="AH29" s="116" t="str">
        <f t="shared" si="13"/>
        <v>"%USERPROFILE%\Documents\GitHub\eaglep3\Utilities\RefineRTDCRunTimes.py" --tripid 116-06 --locoid 4041 --swversion DE.1.0.7.0 --startMP 204:232970 --initTime 2016-08-06T06:14:55 --startdatetime 2016-08-06T06:23:59 --delay 9 --endMP 204:161 --enddatetime 2016-08-06T07:06:17 --enforcementcount 0</v>
      </c>
    </row>
    <row r="30" spans="1:34" s="1" customFormat="1" x14ac:dyDescent="0.25">
      <c r="A30" s="42" t="s">
        <v>452</v>
      </c>
      <c r="B30" s="7">
        <v>4027</v>
      </c>
      <c r="C30" s="25" t="s">
        <v>156</v>
      </c>
      <c r="D30" s="25" t="s">
        <v>147</v>
      </c>
      <c r="E30" s="16">
        <v>42588.235474537039</v>
      </c>
      <c r="F30" s="16">
        <v>42588.237546296295</v>
      </c>
      <c r="G30" s="7">
        <v>2</v>
      </c>
      <c r="H30" s="16" t="s">
        <v>369</v>
      </c>
      <c r="I30" s="16">
        <v>42588.265185185184</v>
      </c>
      <c r="J30" s="7">
        <v>1</v>
      </c>
      <c r="K30" s="25" t="str">
        <f t="shared" si="0"/>
        <v>4027/4028</v>
      </c>
      <c r="L30" s="25" t="str">
        <f>VLOOKUP(A30,'Trips&amp;Operators'!$C$1:$E$10000,3,FALSE)</f>
        <v>SANTIZO</v>
      </c>
      <c r="M30" s="6">
        <f t="shared" si="1"/>
        <v>2.7638888888759539E-2</v>
      </c>
      <c r="N30" s="7">
        <f t="shared" si="14"/>
        <v>39.799999999813735</v>
      </c>
      <c r="O30" s="7"/>
      <c r="P30" s="7"/>
      <c r="Q30" s="26"/>
      <c r="R30" s="26"/>
      <c r="S30" s="38">
        <f t="shared" si="15"/>
        <v>1</v>
      </c>
      <c r="T30" s="55" t="str">
        <f t="shared" si="2"/>
        <v>NorthBound</v>
      </c>
      <c r="U30" s="15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0" s="57" t="str">
        <f t="shared" si="4"/>
        <v>N</v>
      </c>
      <c r="X30" s="145">
        <f t="shared" si="5"/>
        <v>1</v>
      </c>
      <c r="Y30" s="72">
        <f t="shared" si="6"/>
        <v>4.6699999999999998E-2</v>
      </c>
      <c r="Z30" s="72">
        <f t="shared" si="7"/>
        <v>23.331800000000001</v>
      </c>
      <c r="AA30" s="72">
        <f t="shared" si="8"/>
        <v>23.2851</v>
      </c>
      <c r="AB30" s="69">
        <f>VLOOKUP(A30,Enforcements!$C$7:$J$24,8,0)</f>
        <v>33137</v>
      </c>
      <c r="AC30" s="65" t="str">
        <f>VLOOKUP(A30,Enforcements!$C$7:$E$24,3,0)</f>
        <v>GRADE CROSSING</v>
      </c>
      <c r="AD30" s="66" t="str">
        <f t="shared" si="9"/>
        <v>0117-06</v>
      </c>
      <c r="AE30" s="115" t="str">
        <f t="shared" si="10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30" s="112" t="str">
        <f t="shared" si="11"/>
        <v>"C:\Program Files (x86)\AstroGrep\AstroGrep.exe" /spath="%USERPROFILE%\AppData\Local\Temp\OnboardLogs" /stypes="*4027*20160806*" /stext=" 12:.+((SYSTEM_STATE.+slice.+state.+changed )|(ment ac)|(system.+state.+changed )|(\|lc)|(penalty)|(\[timeout)|(PRM\|1\|D)|(kpr)|(kdp))" /e /r /s</v>
      </c>
      <c r="AG30" s="1" t="str">
        <f t="shared" si="12"/>
        <v>EC</v>
      </c>
      <c r="AH30" s="116" t="str">
        <f t="shared" si="13"/>
        <v>"%USERPROFILE%\Documents\GitHub\eaglep3\Utilities\RefineRTDCRunTimes.py" --tripid 117-06 --locoid 4027 --swversion DE.1.0.7.0 --startMP 204:467 --initTime 2016-08-06T05:39:05 --startdatetime 2016-08-06T05:42:04 --delay 2 --endMP 204:233318 --enddatetime 2016-08-06T06:21:52 --enforcementcount 1</v>
      </c>
    </row>
    <row r="31" spans="1:34" s="1" customFormat="1" x14ac:dyDescent="0.25">
      <c r="A31" s="42" t="s">
        <v>456</v>
      </c>
      <c r="B31" s="7">
        <v>4028</v>
      </c>
      <c r="C31" s="25" t="s">
        <v>156</v>
      </c>
      <c r="D31" s="25" t="s">
        <v>321</v>
      </c>
      <c r="E31" s="16">
        <v>42588.274652777778</v>
      </c>
      <c r="F31" s="16">
        <v>42588.275601851848</v>
      </c>
      <c r="G31" s="7">
        <v>1</v>
      </c>
      <c r="H31" s="16" t="s">
        <v>58</v>
      </c>
      <c r="I31" s="16">
        <v>42588.304780092592</v>
      </c>
      <c r="J31" s="7">
        <v>1</v>
      </c>
      <c r="K31" s="25" t="str">
        <f t="shared" si="0"/>
        <v>4027/4028</v>
      </c>
      <c r="L31" s="25" t="str">
        <f>VLOOKUP(A31,'Trips&amp;Operators'!$C$1:$E$10000,3,FALSE)</f>
        <v>SANTIZO</v>
      </c>
      <c r="M31" s="6">
        <f t="shared" si="1"/>
        <v>2.9178240743931383E-2</v>
      </c>
      <c r="N31" s="7">
        <f t="shared" si="14"/>
        <v>42.016666671261191</v>
      </c>
      <c r="O31" s="7"/>
      <c r="P31" s="7"/>
      <c r="Q31" s="26"/>
      <c r="R31" s="26"/>
      <c r="S31" s="38">
        <f t="shared" si="15"/>
        <v>1</v>
      </c>
      <c r="T31" s="55" t="str">
        <f t="shared" si="2"/>
        <v>Southbound</v>
      </c>
      <c r="U31" s="15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1" s="57" t="str">
        <f t="shared" si="4"/>
        <v>N</v>
      </c>
      <c r="X31" s="145">
        <f t="shared" si="5"/>
        <v>1</v>
      </c>
      <c r="Y31" s="72">
        <f t="shared" si="6"/>
        <v>23.297799999999999</v>
      </c>
      <c r="Z31" s="72">
        <f t="shared" si="7"/>
        <v>1.52E-2</v>
      </c>
      <c r="AA31" s="72">
        <f t="shared" si="8"/>
        <v>23.282599999999999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9"/>
        <v>0118-06</v>
      </c>
      <c r="AE31" s="115" t="str">
        <f t="shared" si="10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31" s="112" t="str">
        <f t="shared" si="11"/>
        <v>"C:\Program Files (x86)\AstroGrep\AstroGrep.exe" /spath="%USERPROFILE%\AppData\Local\Temp\OnboardLogs" /stypes="*4028*20160806*" /stext=" 13:.+((SYSTEM_STATE.+slice.+state.+changed )|(ment ac)|(system.+state.+changed )|(\|lc)|(penalty)|(\[timeout)|(PRM\|1\|D)|(kpr)|(kdp))" /e /r /s</v>
      </c>
      <c r="AG31" s="1" t="str">
        <f t="shared" si="12"/>
        <v>EC</v>
      </c>
      <c r="AH31" s="116" t="str">
        <f t="shared" si="13"/>
        <v>"%USERPROFILE%\Documents\GitHub\eaglep3\Utilities\RefineRTDCRunTimes.py" --tripid 118-06 --locoid 4028 --swversion DE.1.0.7.0 --startMP 204:232978 --initTime 2016-08-06T06:35:30 --startdatetime 2016-08-06T06:36:52 --delay 1 --endMP 204:152 --enddatetime 2016-08-06T07:18:53 --enforcementcount 1</v>
      </c>
    </row>
    <row r="32" spans="1:34" s="1" customFormat="1" x14ac:dyDescent="0.25">
      <c r="A32" s="42" t="s">
        <v>528</v>
      </c>
      <c r="B32" s="7">
        <v>4011</v>
      </c>
      <c r="C32" s="25" t="s">
        <v>156</v>
      </c>
      <c r="D32" s="25" t="s">
        <v>529</v>
      </c>
      <c r="E32" s="16">
        <v>42588.252511574072</v>
      </c>
      <c r="F32" s="16">
        <v>42588.253310185188</v>
      </c>
      <c r="G32" s="7">
        <v>1</v>
      </c>
      <c r="H32" s="16" t="s">
        <v>530</v>
      </c>
      <c r="I32" s="16">
        <v>42588.282418981478</v>
      </c>
      <c r="J32" s="7">
        <v>0</v>
      </c>
      <c r="K32" s="25" t="str">
        <f t="shared" si="0"/>
        <v>4011/4012</v>
      </c>
      <c r="L32" s="25" t="str">
        <f>VLOOKUP(A32,'Trips&amp;Operators'!$C$1:$E$10000,3,FALSE)</f>
        <v>ACKERMAN</v>
      </c>
      <c r="M32" s="6">
        <f t="shared" si="1"/>
        <v>2.9108796290529426E-2</v>
      </c>
      <c r="N32" s="7">
        <f t="shared" si="14"/>
        <v>41.916666658362374</v>
      </c>
      <c r="O32" s="7"/>
      <c r="P32" s="7"/>
      <c r="Q32" s="26"/>
      <c r="R32" s="26"/>
      <c r="S32" s="38">
        <f t="shared" si="15"/>
        <v>1</v>
      </c>
      <c r="T32" s="55" t="str">
        <f t="shared" si="2"/>
        <v>NorthBound</v>
      </c>
      <c r="U32" s="15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05:03:37-0600',mode:absolute,to:'2016-08-06 07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32" s="57" t="str">
        <f t="shared" si="4"/>
        <v>N</v>
      </c>
      <c r="X32" s="145">
        <f t="shared" si="5"/>
        <v>1</v>
      </c>
      <c r="Y32" s="72">
        <f t="shared" si="6"/>
        <v>7.2999999999999995E-2</v>
      </c>
      <c r="Z32" s="72">
        <f t="shared" si="7"/>
        <v>23.3338</v>
      </c>
      <c r="AA32" s="72">
        <f t="shared" si="8"/>
        <v>23.2608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9"/>
        <v>0119-06</v>
      </c>
      <c r="AE32" s="115" t="str">
        <f t="shared" si="10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32" s="112" t="str">
        <f t="shared" si="11"/>
        <v>"C:\Program Files (x86)\AstroGrep\AstroGrep.exe" /spath="%USERPROFILE%\AppData\Local\Temp\OnboardLogs" /stypes="*4011*20160806*" /stext=" 12:.+((SYSTEM_STATE.+slice.+state.+changed )|(ment ac)|(system.+state.+changed )|(\|lc)|(penalty)|(\[timeout)|(PRM\|1\|D)|(kpr)|(kdp))" /e /r /s</v>
      </c>
      <c r="AG32" s="1" t="str">
        <f t="shared" si="12"/>
        <v>EC</v>
      </c>
      <c r="AH32" s="116" t="str">
        <f t="shared" si="13"/>
        <v>"%USERPROFILE%\Documents\GitHub\eaglep3\Utilities\RefineRTDCRunTimes.py" --tripid 119-06 --locoid 4011 --swversion DE.1.0.7.0 --startMP 204:730 --initTime 2016-08-06T06:03:37 --startdatetime 2016-08-06T06:04:46 --delay 1 --endMP 204:233338 --enddatetime 2016-08-06T06:46:41 --enforcementcount 0</v>
      </c>
    </row>
    <row r="33" spans="1:34" s="1" customFormat="1" x14ac:dyDescent="0.25">
      <c r="A33" s="42" t="s">
        <v>457</v>
      </c>
      <c r="B33" s="7">
        <v>4012</v>
      </c>
      <c r="C33" s="25" t="s">
        <v>156</v>
      </c>
      <c r="D33" s="25" t="s">
        <v>326</v>
      </c>
      <c r="E33" s="16">
        <v>42588.284930555557</v>
      </c>
      <c r="F33" s="16">
        <v>42588.285960648151</v>
      </c>
      <c r="G33" s="7">
        <v>1</v>
      </c>
      <c r="H33" s="16" t="s">
        <v>531</v>
      </c>
      <c r="I33" s="16">
        <v>42588.315138888887</v>
      </c>
      <c r="J33" s="7">
        <v>1</v>
      </c>
      <c r="K33" s="25" t="str">
        <f t="shared" si="0"/>
        <v>4011/4012</v>
      </c>
      <c r="L33" s="25" t="str">
        <f>VLOOKUP(A33,'Trips&amp;Operators'!$C$1:$E$10000,3,FALSE)</f>
        <v>ACKERMAN</v>
      </c>
      <c r="M33" s="6">
        <f t="shared" si="1"/>
        <v>2.9178240736655425E-2</v>
      </c>
      <c r="N33" s="7">
        <f t="shared" si="14"/>
        <v>42.016666660783812</v>
      </c>
      <c r="O33" s="7"/>
      <c r="P33" s="7"/>
      <c r="Q33" s="26"/>
      <c r="R33" s="26"/>
      <c r="S33" s="38">
        <f t="shared" si="15"/>
        <v>1</v>
      </c>
      <c r="T33" s="55" t="str">
        <f t="shared" si="2"/>
        <v>Southbound</v>
      </c>
      <c r="U33" s="15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33" s="57" t="str">
        <f t="shared" si="4"/>
        <v>N</v>
      </c>
      <c r="X33" s="145">
        <f t="shared" si="5"/>
        <v>1</v>
      </c>
      <c r="Y33" s="72">
        <f t="shared" si="6"/>
        <v>23.3</v>
      </c>
      <c r="Z33" s="72">
        <f t="shared" si="7"/>
        <v>1.2999999999999999E-2</v>
      </c>
      <c r="AA33" s="72">
        <f t="shared" si="8"/>
        <v>23.286999999999999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9"/>
        <v>0120-06</v>
      </c>
      <c r="AE33" s="115" t="str">
        <f t="shared" si="10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33" s="112" t="str">
        <f t="shared" si="11"/>
        <v>"C:\Program Files (x86)\AstroGrep\AstroGrep.exe" /spath="%USERPROFILE%\AppData\Local\Temp\OnboardLogs" /stypes="*4012*20160806*" /stext=" 13:.+((SYSTEM_STATE.+slice.+state.+changed )|(ment ac)|(system.+state.+changed )|(\|lc)|(penalty)|(\[timeout)|(PRM\|1\|D)|(kpr)|(kdp))" /e /r /s</v>
      </c>
      <c r="AG33" s="1" t="str">
        <f t="shared" si="12"/>
        <v>EC</v>
      </c>
      <c r="AH33" s="116" t="str">
        <f t="shared" si="13"/>
        <v>"%USERPROFILE%\Documents\GitHub\eaglep3\Utilities\RefineRTDCRunTimes.py" --tripid 120-06 --locoid 4012 --swversion DE.1.0.7.0 --startMP 204:233000 --initTime 2016-08-06T06:50:18 --startdatetime 2016-08-06T06:51:47 --delay 1 --endMP 204:130 --enddatetime 2016-08-06T07:33:48 --enforcementcount 1</v>
      </c>
    </row>
    <row r="34" spans="1:34" s="1" customFormat="1" x14ac:dyDescent="0.25">
      <c r="A34" s="42" t="s">
        <v>532</v>
      </c>
      <c r="B34" s="7">
        <v>4025</v>
      </c>
      <c r="C34" s="25" t="s">
        <v>156</v>
      </c>
      <c r="D34" s="25" t="s">
        <v>533</v>
      </c>
      <c r="E34" s="16">
        <v>42588.256643518522</v>
      </c>
      <c r="F34" s="16">
        <v>42588.257523148146</v>
      </c>
      <c r="G34" s="7">
        <v>1</v>
      </c>
      <c r="H34" s="16" t="s">
        <v>534</v>
      </c>
      <c r="I34" s="16">
        <v>42588.285671296297</v>
      </c>
      <c r="J34" s="7">
        <v>0</v>
      </c>
      <c r="K34" s="25" t="str">
        <f t="shared" si="0"/>
        <v>4025/4026</v>
      </c>
      <c r="L34" s="25" t="str">
        <f>VLOOKUP(A34,'Trips&amp;Operators'!$C$1:$E$10000,3,FALSE)</f>
        <v>DAVIS</v>
      </c>
      <c r="M34" s="6">
        <f t="shared" si="1"/>
        <v>2.8148148150648922E-2</v>
      </c>
      <c r="N34" s="7">
        <f t="shared" si="14"/>
        <v>40.533333336934447</v>
      </c>
      <c r="O34" s="7"/>
      <c r="P34" s="7"/>
      <c r="Q34" s="26"/>
      <c r="R34" s="26"/>
      <c r="S34" s="38">
        <f t="shared" si="15"/>
        <v>1</v>
      </c>
      <c r="T34" s="55" t="str">
        <f t="shared" si="2"/>
        <v>NorthBound</v>
      </c>
      <c r="U34" s="15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05:09:34-0600',mode:absolute,to:'2016-08-06 07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34" s="57" t="str">
        <f t="shared" si="4"/>
        <v>N</v>
      </c>
      <c r="X34" s="145">
        <f t="shared" si="5"/>
        <v>1</v>
      </c>
      <c r="Y34" s="72">
        <f t="shared" si="6"/>
        <v>4.53E-2</v>
      </c>
      <c r="Z34" s="72">
        <f t="shared" si="7"/>
        <v>23.331399999999999</v>
      </c>
      <c r="AA34" s="72">
        <f t="shared" si="8"/>
        <v>23.286099999999998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9"/>
        <v>0121-06</v>
      </c>
      <c r="AE34" s="115" t="str">
        <f t="shared" si="10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34" s="112" t="str">
        <f t="shared" si="11"/>
        <v>"C:\Program Files (x86)\AstroGrep\AstroGrep.exe" /spath="%USERPROFILE%\AppData\Local\Temp\OnboardLogs" /stypes="*4025*20160806*" /stext=" 12:.+((SYSTEM_STATE.+slice.+state.+changed )|(ment ac)|(system.+state.+changed )|(\|lc)|(penalty)|(\[timeout)|(PRM\|1\|D)|(kpr)|(kdp))" /e /r /s</v>
      </c>
      <c r="AG34" s="1" t="str">
        <f t="shared" si="12"/>
        <v>EC</v>
      </c>
      <c r="AH34" s="116" t="str">
        <f t="shared" si="13"/>
        <v>"%USERPROFILE%\Documents\GitHub\eaglep3\Utilities\RefineRTDCRunTimes.py" --tripid 121-06 --locoid 4025 --swversion DE.1.0.7.0 --startMP 204:453 --initTime 2016-08-06T06:09:34 --startdatetime 2016-08-06T06:10:50 --delay 1 --endMP 204:233314 --enddatetime 2016-08-06T06:51:22 --enforcementcount 0</v>
      </c>
    </row>
    <row r="35" spans="1:34" s="1" customFormat="1" x14ac:dyDescent="0.25">
      <c r="A35" s="42" t="s">
        <v>535</v>
      </c>
      <c r="B35" s="7">
        <v>4026</v>
      </c>
      <c r="C35" s="25" t="s">
        <v>156</v>
      </c>
      <c r="D35" s="25" t="s">
        <v>536</v>
      </c>
      <c r="E35" s="16">
        <v>42588.296527777777</v>
      </c>
      <c r="F35" s="16">
        <v>42588.297372685185</v>
      </c>
      <c r="G35" s="7">
        <v>1</v>
      </c>
      <c r="H35" s="16" t="s">
        <v>137</v>
      </c>
      <c r="I35" s="16">
        <v>42588.326620370368</v>
      </c>
      <c r="J35" s="7">
        <v>0</v>
      </c>
      <c r="K35" s="25" t="str">
        <f t="shared" si="0"/>
        <v>4025/4026</v>
      </c>
      <c r="L35" s="25" t="str">
        <f>VLOOKUP(A35,'Trips&amp;Operators'!$C$1:$E$10000,3,FALSE)</f>
        <v>DAVIS</v>
      </c>
      <c r="M35" s="6">
        <f t="shared" si="1"/>
        <v>2.9247685182781424E-2</v>
      </c>
      <c r="N35" s="7">
        <f t="shared" si="14"/>
        <v>42.116666663205251</v>
      </c>
      <c r="O35" s="7"/>
      <c r="P35" s="7"/>
      <c r="Q35" s="26"/>
      <c r="R35" s="26"/>
      <c r="S35" s="38">
        <f t="shared" si="15"/>
        <v>1</v>
      </c>
      <c r="T35" s="55" t="str">
        <f t="shared" si="2"/>
        <v>Southbound</v>
      </c>
      <c r="U35" s="15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06:07:00-0600',mode:absolute,to:'2016-08-06 08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35" s="57" t="str">
        <f t="shared" si="4"/>
        <v>N</v>
      </c>
      <c r="X35" s="145">
        <f t="shared" si="5"/>
        <v>1</v>
      </c>
      <c r="Y35" s="72">
        <f t="shared" si="6"/>
        <v>23.298200000000001</v>
      </c>
      <c r="Z35" s="72">
        <f t="shared" si="7"/>
        <v>1.3899999999999999E-2</v>
      </c>
      <c r="AA35" s="72">
        <f t="shared" si="8"/>
        <v>23.284300000000002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9"/>
        <v>0122-06</v>
      </c>
      <c r="AE35" s="115" t="str">
        <f t="shared" si="10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35" s="112" t="str">
        <f t="shared" si="11"/>
        <v>"C:\Program Files (x86)\AstroGrep\AstroGrep.exe" /spath="%USERPROFILE%\AppData\Local\Temp\OnboardLogs" /stypes="*4026*20160806*"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16" t="str">
        <f t="shared" si="13"/>
        <v>"%USERPROFILE%\Documents\GitHub\eaglep3\Utilities\RefineRTDCRunTimes.py" --tripid 122-06 --locoid 4026 --swversion DE.1.0.7.0 --startMP 204:232982 --initTime 2016-08-06T07:07:00 --startdatetime 2016-08-06T07:08:13 --delay 1 --endMP 204:139 --enddatetime 2016-08-06T07:50:20 --enforcementcount 0</v>
      </c>
    </row>
    <row r="36" spans="1:34" s="1" customFormat="1" x14ac:dyDescent="0.25">
      <c r="A36" s="42" t="s">
        <v>454</v>
      </c>
      <c r="B36" s="7">
        <v>4009</v>
      </c>
      <c r="C36" s="25" t="s">
        <v>156</v>
      </c>
      <c r="D36" s="25" t="s">
        <v>300</v>
      </c>
      <c r="E36" s="16">
        <v>42588.266898148147</v>
      </c>
      <c r="F36" s="16">
        <v>42588.268159722225</v>
      </c>
      <c r="G36" s="7">
        <v>1</v>
      </c>
      <c r="H36" s="16" t="s">
        <v>537</v>
      </c>
      <c r="I36" s="16">
        <v>42588.296342592592</v>
      </c>
      <c r="J36" s="7">
        <v>1</v>
      </c>
      <c r="K36" s="25" t="str">
        <f t="shared" si="0"/>
        <v>4009/4010</v>
      </c>
      <c r="L36" s="25" t="str">
        <f>VLOOKUP(A36,'Trips&amp;Operators'!$C$1:$E$10000,3,FALSE)</f>
        <v>STORY</v>
      </c>
      <c r="M36" s="6">
        <f t="shared" si="1"/>
        <v>2.8182870366435964E-2</v>
      </c>
      <c r="N36" s="7">
        <f t="shared" si="14"/>
        <v>40.583333327667788</v>
      </c>
      <c r="O36" s="7"/>
      <c r="P36" s="7"/>
      <c r="Q36" s="26"/>
      <c r="R36" s="26"/>
      <c r="S36" s="38">
        <f t="shared" si="15"/>
        <v>1</v>
      </c>
      <c r="T36" s="55" t="str">
        <f t="shared" si="2"/>
        <v>NorthBound</v>
      </c>
      <c r="U36" s="15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36" s="57" t="str">
        <f t="shared" si="4"/>
        <v>N</v>
      </c>
      <c r="X36" s="145">
        <f t="shared" si="5"/>
        <v>1</v>
      </c>
      <c r="Y36" s="72">
        <f t="shared" si="6"/>
        <v>4.5699999999999998E-2</v>
      </c>
      <c r="Z36" s="72">
        <f t="shared" si="7"/>
        <v>23.334399999999999</v>
      </c>
      <c r="AA36" s="72">
        <f t="shared" si="8"/>
        <v>23.288699999999999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9"/>
        <v>0123-06</v>
      </c>
      <c r="AE36" s="115" t="str">
        <f t="shared" si="10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36" s="112" t="str">
        <f t="shared" si="11"/>
        <v>"C:\Program Files (x86)\AstroGrep\AstroGrep.exe" /spath="%USERPROFILE%\AppData\Local\Temp\OnboardLogs" /stypes="*4009*20160806*" /stext=" 13:.+((SYSTEM_STATE.+slice.+state.+changed )|(ment ac)|(system.+state.+changed )|(\|lc)|(penalty)|(\[timeout)|(PRM\|1\|D)|(kpr)|(kdp))" /e /r /s</v>
      </c>
      <c r="AG36" s="1" t="str">
        <f t="shared" si="12"/>
        <v>EC</v>
      </c>
      <c r="AH36" s="116" t="str">
        <f t="shared" si="13"/>
        <v>"%USERPROFILE%\Documents\GitHub\eaglep3\Utilities\RefineRTDCRunTimes.py" --tripid 123-06 --locoid 4009 --swversion DE.1.0.7.0 --startMP 204:457 --initTime 2016-08-06T06:24:20 --startdatetime 2016-08-06T06:26:09 --delay 1 --endMP 204:233344 --enddatetime 2016-08-06T07:06:44 --enforcementcount 1</v>
      </c>
    </row>
    <row r="37" spans="1:34" s="1" customFormat="1" x14ac:dyDescent="0.25">
      <c r="A37" s="42" t="s">
        <v>459</v>
      </c>
      <c r="B37" s="7">
        <v>4010</v>
      </c>
      <c r="C37" s="25" t="s">
        <v>156</v>
      </c>
      <c r="D37" s="25" t="s">
        <v>538</v>
      </c>
      <c r="E37" s="16">
        <v>42588.306273148148</v>
      </c>
      <c r="F37" s="16">
        <v>42588.307476851849</v>
      </c>
      <c r="G37" s="7">
        <v>1</v>
      </c>
      <c r="H37" s="16" t="s">
        <v>539</v>
      </c>
      <c r="I37" s="16">
        <v>42588.338148148148</v>
      </c>
      <c r="J37" s="7">
        <v>1</v>
      </c>
      <c r="K37" s="25" t="str">
        <f t="shared" si="0"/>
        <v>4009/4010</v>
      </c>
      <c r="L37" s="25" t="str">
        <f>VLOOKUP(A37,'Trips&amp;Operators'!$C$1:$E$10000,3,FALSE)</f>
        <v>STORY</v>
      </c>
      <c r="M37" s="6">
        <f t="shared" si="1"/>
        <v>3.0671296299260575E-2</v>
      </c>
      <c r="N37" s="7">
        <f t="shared" si="14"/>
        <v>44.166666670935228</v>
      </c>
      <c r="O37" s="7"/>
      <c r="P37" s="7"/>
      <c r="Q37" s="26"/>
      <c r="R37" s="26"/>
      <c r="S37" s="38">
        <f t="shared" si="15"/>
        <v>1</v>
      </c>
      <c r="T37" s="55" t="str">
        <f t="shared" si="2"/>
        <v>Southbound</v>
      </c>
      <c r="U37" s="15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37" s="57" t="str">
        <f t="shared" si="4"/>
        <v>N</v>
      </c>
      <c r="X37" s="145">
        <f t="shared" si="5"/>
        <v>1</v>
      </c>
      <c r="Y37" s="72">
        <f t="shared" si="6"/>
        <v>23.305099999999999</v>
      </c>
      <c r="Z37" s="72">
        <f t="shared" si="7"/>
        <v>1.6E-2</v>
      </c>
      <c r="AA37" s="72">
        <f t="shared" si="8"/>
        <v>23.289100000000001</v>
      </c>
      <c r="AB37" s="69">
        <f>VLOOKUP(A37,Enforcements!$C$7:$J$24,8,0)</f>
        <v>119716</v>
      </c>
      <c r="AC37" s="65" t="str">
        <f>VLOOKUP(A37,Enforcements!$C$7:$E$24,3,0)</f>
        <v>PERMANENT SPEED RESTRICTION</v>
      </c>
      <c r="AD37" s="66" t="str">
        <f t="shared" si="9"/>
        <v>0124-06</v>
      </c>
      <c r="AE37" s="115" t="str">
        <f t="shared" si="10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37" s="112" t="str">
        <f t="shared" si="11"/>
        <v>"C:\Program Files (x86)\AstroGrep\AstroGrep.exe" /spath="%USERPROFILE%\AppData\Local\Temp\OnboardLogs" /stypes="*4010*20160806*" /stext=" 14:.+((SYSTEM_STATE.+slice.+state.+changed )|(ment ac)|(system.+state.+changed )|(\|lc)|(penalty)|(\[timeout)|(PRM\|1\|D)|(kpr)|(kdp))" /e /r /s</v>
      </c>
      <c r="AG37" s="1" t="str">
        <f t="shared" si="12"/>
        <v>EC</v>
      </c>
      <c r="AH37" s="116" t="str">
        <f t="shared" si="13"/>
        <v>"%USERPROFILE%\Documents\GitHub\eaglep3\Utilities\RefineRTDCRunTimes.py" --tripid 124-06 --locoid 4010 --swversion DE.1.0.7.0 --startMP 204:233051 --initTime 2016-08-06T07:21:02 --startdatetime 2016-08-06T07:22:46 --delay 1 --endMP 204:160 --enddatetime 2016-08-06T08:06:56 --enforcementcount 1</v>
      </c>
    </row>
    <row r="38" spans="1:34" s="1" customFormat="1" x14ac:dyDescent="0.25">
      <c r="A38" s="42" t="s">
        <v>540</v>
      </c>
      <c r="B38" s="7">
        <v>4018</v>
      </c>
      <c r="C38" s="25" t="s">
        <v>156</v>
      </c>
      <c r="D38" s="25" t="s">
        <v>533</v>
      </c>
      <c r="E38" s="16">
        <v>42588.276493055557</v>
      </c>
      <c r="F38" s="16">
        <v>42588.277696759258</v>
      </c>
      <c r="G38" s="7">
        <v>1</v>
      </c>
      <c r="H38" s="16" t="s">
        <v>541</v>
      </c>
      <c r="I38" s="16">
        <v>42588.305879629632</v>
      </c>
      <c r="J38" s="7">
        <v>0</v>
      </c>
      <c r="K38" s="25" t="str">
        <f t="shared" si="0"/>
        <v>4017/4018</v>
      </c>
      <c r="L38" s="25" t="str">
        <f>VLOOKUP(A38,'Trips&amp;Operators'!$C$1:$E$10000,3,FALSE)</f>
        <v>GEBRETEKLE</v>
      </c>
      <c r="M38" s="6">
        <f t="shared" si="1"/>
        <v>2.8182870373711921E-2</v>
      </c>
      <c r="N38" s="7">
        <f t="shared" si="14"/>
        <v>40.583333338145167</v>
      </c>
      <c r="O38" s="7"/>
      <c r="P38" s="7"/>
      <c r="Q38" s="26"/>
      <c r="R38" s="26"/>
      <c r="S38" s="38">
        <f t="shared" si="15"/>
        <v>1</v>
      </c>
      <c r="T38" s="55" t="str">
        <f t="shared" si="2"/>
        <v>NorthBound</v>
      </c>
      <c r="U38" s="15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05:38:09-0600',mode:absolute,to:'2016-08-06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8" s="57" t="str">
        <f t="shared" si="4"/>
        <v>N</v>
      </c>
      <c r="X38" s="145">
        <f t="shared" si="5"/>
        <v>1</v>
      </c>
      <c r="Y38" s="72">
        <f t="shared" si="6"/>
        <v>4.53E-2</v>
      </c>
      <c r="Z38" s="72">
        <f t="shared" si="7"/>
        <v>23.328900000000001</v>
      </c>
      <c r="AA38" s="72">
        <f t="shared" si="8"/>
        <v>23.2836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9"/>
        <v>0125-06</v>
      </c>
      <c r="AE38" s="115" t="str">
        <f t="shared" si="10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38" s="112" t="str">
        <f t="shared" si="11"/>
        <v>"C:\Program Files (x86)\AstroGrep\AstroGrep.exe" /spath="%USERPROFILE%\AppData\Local\Temp\OnboardLogs" /stypes="*4018*20160806*" /stext=" 13:.+((SYSTEM_STATE.+slice.+state.+changed )|(ment ac)|(system.+state.+changed )|(\|lc)|(penalty)|(\[timeout)|(PRM\|1\|D)|(kpr)|(kdp))" /e /r /s</v>
      </c>
      <c r="AG38" s="1" t="str">
        <f t="shared" si="12"/>
        <v>EC</v>
      </c>
      <c r="AH38" s="116" t="str">
        <f t="shared" si="13"/>
        <v>"%USERPROFILE%\Documents\GitHub\eaglep3\Utilities\RefineRTDCRunTimes.py" --tripid 125-06 --locoid 4018 --swversion DE.1.0.7.0 --startMP 204:453 --initTime 2016-08-06T06:38:09 --startdatetime 2016-08-06T06:39:53 --delay 1 --endMP 204:233289 --enddatetime 2016-08-06T07:20:28 --enforcementcount 0</v>
      </c>
    </row>
    <row r="39" spans="1:34" s="1" customFormat="1" x14ac:dyDescent="0.25">
      <c r="A39" s="42" t="s">
        <v>542</v>
      </c>
      <c r="B39" s="7">
        <v>4017</v>
      </c>
      <c r="C39" s="25" t="s">
        <v>156</v>
      </c>
      <c r="D39" s="25" t="s">
        <v>543</v>
      </c>
      <c r="E39" s="16">
        <v>42588.316053240742</v>
      </c>
      <c r="F39" s="16">
        <v>42588.316944444443</v>
      </c>
      <c r="G39" s="7">
        <v>1</v>
      </c>
      <c r="H39" s="16" t="s">
        <v>431</v>
      </c>
      <c r="I39" s="16">
        <v>42588.347743055558</v>
      </c>
      <c r="J39" s="7">
        <v>0</v>
      </c>
      <c r="K39" s="25" t="str">
        <f t="shared" si="0"/>
        <v>4017/4018</v>
      </c>
      <c r="L39" s="25" t="str">
        <f>VLOOKUP(A39,'Trips&amp;Operators'!$C$1:$E$10000,3,FALSE)</f>
        <v>GEBRETEKLE</v>
      </c>
      <c r="M39" s="6">
        <f t="shared" si="1"/>
        <v>3.0798611114732921E-2</v>
      </c>
      <c r="N39" s="7">
        <f t="shared" si="14"/>
        <v>44.350000005215406</v>
      </c>
      <c r="O39" s="7"/>
      <c r="P39" s="7"/>
      <c r="Q39" s="26"/>
      <c r="R39" s="26"/>
      <c r="S39" s="38">
        <f t="shared" si="15"/>
        <v>1</v>
      </c>
      <c r="T39" s="55" t="str">
        <f t="shared" si="2"/>
        <v>Southbound</v>
      </c>
      <c r="U39" s="15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06:35:07-0600',mode:absolute,to:'2016-08-06 09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39" s="57" t="str">
        <f t="shared" si="4"/>
        <v>N</v>
      </c>
      <c r="X39" s="145">
        <f t="shared" si="5"/>
        <v>1</v>
      </c>
      <c r="Y39" s="72">
        <f t="shared" si="6"/>
        <v>23.296900000000001</v>
      </c>
      <c r="Z39" s="72">
        <f t="shared" si="7"/>
        <v>1.47E-2</v>
      </c>
      <c r="AA39" s="72">
        <f t="shared" si="8"/>
        <v>23.2822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9"/>
        <v>0126-06</v>
      </c>
      <c r="AE39" s="115" t="str">
        <f t="shared" si="10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39" s="112" t="str">
        <f t="shared" si="11"/>
        <v>"C:\Program Files (x86)\AstroGrep\AstroGrep.exe" /spath="%USERPROFILE%\AppData\Local\Temp\OnboardLogs" /stypes="*4017*20160806*" /stext=" 14:.+((SYSTEM_STATE.+slice.+state.+changed )|(ment ac)|(system.+state.+changed )|(\|lc)|(penalty)|(\[timeout)|(PRM\|1\|D)|(kpr)|(kdp))" /e /r /s</v>
      </c>
      <c r="AG39" s="1" t="str">
        <f t="shared" si="12"/>
        <v>EC</v>
      </c>
      <c r="AH39" s="116" t="str">
        <f t="shared" si="13"/>
        <v>"%USERPROFILE%\Documents\GitHub\eaglep3\Utilities\RefineRTDCRunTimes.py" --tripid 126-06 --locoid 4017 --swversion DE.1.0.7.0 --startMP 204:232969 --initTime 2016-08-06T07:35:07 --startdatetime 2016-08-06T07:36:24 --delay 1 --endMP 204:147 --enddatetime 2016-08-06T08:20:45 --enforcementcount 0</v>
      </c>
    </row>
    <row r="40" spans="1:34" s="1" customFormat="1" x14ac:dyDescent="0.25">
      <c r="A40" s="42" t="s">
        <v>544</v>
      </c>
      <c r="B40" s="7">
        <v>4014</v>
      </c>
      <c r="C40" s="25" t="s">
        <v>156</v>
      </c>
      <c r="D40" s="25" t="s">
        <v>310</v>
      </c>
      <c r="E40" s="16">
        <v>42588.287569444445</v>
      </c>
      <c r="F40" s="16">
        <v>42588.288530092592</v>
      </c>
      <c r="G40" s="7">
        <v>1</v>
      </c>
      <c r="H40" s="16" t="s">
        <v>545</v>
      </c>
      <c r="I40" s="16">
        <v>42588.317615740743</v>
      </c>
      <c r="J40" s="7">
        <v>0</v>
      </c>
      <c r="K40" s="25" t="str">
        <f t="shared" si="0"/>
        <v>4013/4014</v>
      </c>
      <c r="L40" s="25" t="str">
        <f>VLOOKUP(A40,'Trips&amp;Operators'!$C$1:$E$10000,3,FALSE)</f>
        <v>MAELZER</v>
      </c>
      <c r="M40" s="6">
        <f t="shared" si="1"/>
        <v>2.9085648151522037E-2</v>
      </c>
      <c r="N40" s="7">
        <f t="shared" si="14"/>
        <v>41.883333338191733</v>
      </c>
      <c r="O40" s="7"/>
      <c r="P40" s="7"/>
      <c r="Q40" s="26"/>
      <c r="R40" s="26"/>
      <c r="S40" s="38">
        <f t="shared" si="15"/>
        <v>1</v>
      </c>
      <c r="T40" s="55" t="str">
        <f t="shared" si="2"/>
        <v>NorthBound</v>
      </c>
      <c r="U40" s="15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05:54:06-0600',mode:absolute,to:'2016-08-06 08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40" s="57" t="str">
        <f t="shared" si="4"/>
        <v>N</v>
      </c>
      <c r="X40" s="145">
        <f t="shared" si="5"/>
        <v>1</v>
      </c>
      <c r="Y40" s="72">
        <f t="shared" si="6"/>
        <v>4.4400000000000002E-2</v>
      </c>
      <c r="Z40" s="72">
        <f t="shared" si="7"/>
        <v>23.3323</v>
      </c>
      <c r="AA40" s="72">
        <f t="shared" si="8"/>
        <v>23.2879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9"/>
        <v>0127-06</v>
      </c>
      <c r="AE40" s="115" t="str">
        <f t="shared" si="10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40" s="112" t="str">
        <f t="shared" si="11"/>
        <v>"C:\Program Files (x86)\AstroGrep\AstroGrep.exe" /spath="%USERPROFILE%\AppData\Local\Temp\OnboardLogs" /stypes="*4014*20160806*" /stext=" 13:.+((SYSTEM_STATE.+slice.+state.+changed )|(ment ac)|(system.+state.+changed )|(\|lc)|(penalty)|(\[timeout)|(PRM\|1\|D)|(kpr)|(kdp))" /e /r /s</v>
      </c>
      <c r="AG40" s="1" t="str">
        <f t="shared" si="12"/>
        <v>EC</v>
      </c>
      <c r="AH40" s="116" t="str">
        <f t="shared" si="13"/>
        <v>"%USERPROFILE%\Documents\GitHub\eaglep3\Utilities\RefineRTDCRunTimes.py" --tripid 127-06 --locoid 4014 --swversion DE.1.0.7.0 --startMP 204:444 --initTime 2016-08-06T06:54:06 --startdatetime 2016-08-06T06:55:29 --delay 1 --endMP 204:233323 --enddatetime 2016-08-06T07:37:22 --enforcementcount 0</v>
      </c>
    </row>
    <row r="41" spans="1:34" s="1" customFormat="1" x14ac:dyDescent="0.25">
      <c r="A41" s="42" t="s">
        <v>546</v>
      </c>
      <c r="B41" s="7">
        <v>4013</v>
      </c>
      <c r="C41" s="25" t="s">
        <v>156</v>
      </c>
      <c r="D41" s="25" t="s">
        <v>547</v>
      </c>
      <c r="E41" s="16">
        <v>42588.323159722226</v>
      </c>
      <c r="F41" s="16">
        <v>42588.323981481481</v>
      </c>
      <c r="G41" s="7">
        <v>1</v>
      </c>
      <c r="H41" s="16" t="s">
        <v>109</v>
      </c>
      <c r="I41" s="16">
        <v>42588.356851851851</v>
      </c>
      <c r="J41" s="7">
        <v>0</v>
      </c>
      <c r="K41" s="25" t="str">
        <f t="shared" si="0"/>
        <v>4013/4014</v>
      </c>
      <c r="L41" s="25" t="str">
        <f>VLOOKUP(A41,'Trips&amp;Operators'!$C$1:$E$10000,3,FALSE)</f>
        <v>MAELZER</v>
      </c>
      <c r="M41" s="6">
        <f t="shared" si="1"/>
        <v>3.2870370370801538E-2</v>
      </c>
      <c r="N41" s="7">
        <f t="shared" si="14"/>
        <v>47.333333333954215</v>
      </c>
      <c r="O41" s="7"/>
      <c r="P41" s="7"/>
      <c r="Q41" s="26"/>
      <c r="R41" s="26"/>
      <c r="S41" s="38">
        <f t="shared" si="15"/>
        <v>1</v>
      </c>
      <c r="T41" s="55" t="str">
        <f t="shared" si="2"/>
        <v>Southbound</v>
      </c>
      <c r="U41" s="15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06:45:21-0600',mode:absolute,to:'2016-08-06 09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1" s="57" t="str">
        <f t="shared" si="4"/>
        <v>N</v>
      </c>
      <c r="X41" s="145">
        <f t="shared" si="5"/>
        <v>1</v>
      </c>
      <c r="Y41" s="72">
        <f t="shared" si="6"/>
        <v>23.299399999999999</v>
      </c>
      <c r="Z41" s="72">
        <f t="shared" si="7"/>
        <v>1.5599999999999999E-2</v>
      </c>
      <c r="AA41" s="72">
        <f t="shared" si="8"/>
        <v>23.283799999999999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9"/>
        <v>0128-06</v>
      </c>
      <c r="AE41" s="115" t="str">
        <f t="shared" si="10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41" s="112" t="str">
        <f t="shared" si="11"/>
        <v>"C:\Program Files (x86)\AstroGrep\AstroGrep.exe" /spath="%USERPROFILE%\AppData\Local\Temp\OnboardLogs" /stypes="*4013*20160806*" /stext=" 14:.+((SYSTEM_STATE.+slice.+state.+changed )|(ment ac)|(system.+state.+changed )|(\|lc)|(penalty)|(\[timeout)|(PRM\|1\|D)|(kpr)|(kdp))" /e /r /s</v>
      </c>
      <c r="AG41" s="1" t="str">
        <f t="shared" si="12"/>
        <v>EC</v>
      </c>
      <c r="AH41" s="116" t="str">
        <f t="shared" si="13"/>
        <v>"%USERPROFILE%\Documents\GitHub\eaglep3\Utilities\RefineRTDCRunTimes.py" --tripid 128-06 --locoid 4013 --swversion DE.1.0.7.0 --startMP 204:232994 --initTime 2016-08-06T07:45:21 --startdatetime 2016-08-06T07:46:32 --delay 1 --endMP 204:156 --enddatetime 2016-08-06T08:33:52 --enforcementcount 0</v>
      </c>
    </row>
    <row r="42" spans="1:34" s="1" customFormat="1" x14ac:dyDescent="0.25">
      <c r="A42" s="42" t="s">
        <v>455</v>
      </c>
      <c r="B42" s="7">
        <v>4042</v>
      </c>
      <c r="C42" s="25" t="s">
        <v>156</v>
      </c>
      <c r="D42" s="25" t="s">
        <v>308</v>
      </c>
      <c r="E42" s="16">
        <v>42588.298275462963</v>
      </c>
      <c r="F42" s="16">
        <v>42588.302627314813</v>
      </c>
      <c r="G42" s="7">
        <v>6</v>
      </c>
      <c r="H42" s="16" t="s">
        <v>306</v>
      </c>
      <c r="I42" s="16">
        <v>42588.329328703701</v>
      </c>
      <c r="J42" s="7">
        <v>2</v>
      </c>
      <c r="K42" s="25" t="str">
        <f t="shared" si="0"/>
        <v>4041/4042</v>
      </c>
      <c r="L42" s="25" t="str">
        <f>VLOOKUP(A42,'Trips&amp;Operators'!$C$1:$E$10000,3,FALSE)</f>
        <v>STRICKLAND</v>
      </c>
      <c r="M42" s="6">
        <f t="shared" si="1"/>
        <v>2.6701388887886424E-2</v>
      </c>
      <c r="N42" s="7">
        <f t="shared" si="14"/>
        <v>38.44999999855645</v>
      </c>
      <c r="O42" s="7"/>
      <c r="P42" s="7"/>
      <c r="Q42" s="26"/>
      <c r="R42" s="26"/>
      <c r="S42" s="38">
        <f t="shared" si="15"/>
        <v>1</v>
      </c>
      <c r="T42" s="55" t="str">
        <f t="shared" si="2"/>
        <v>NorthBound</v>
      </c>
      <c r="U42" s="15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42" s="57" t="str">
        <f t="shared" si="4"/>
        <v>N</v>
      </c>
      <c r="X42" s="145">
        <f t="shared" si="5"/>
        <v>1</v>
      </c>
      <c r="Y42" s="72">
        <f t="shared" si="6"/>
        <v>4.5499999999999999E-2</v>
      </c>
      <c r="Z42" s="72">
        <f t="shared" si="7"/>
        <v>23.329699999999999</v>
      </c>
      <c r="AA42" s="72">
        <f t="shared" si="8"/>
        <v>23.284199999999998</v>
      </c>
      <c r="AB42" s="69">
        <f>VLOOKUP(A42,Enforcements!$C$7:$J$24,8,0)</f>
        <v>0</v>
      </c>
      <c r="AC42" s="65" t="str">
        <f>VLOOKUP(A42,Enforcements!$C$7:$E$24,3,0)</f>
        <v>PERMANENT SPEED RESTRICTION</v>
      </c>
      <c r="AD42" s="66" t="str">
        <f t="shared" si="9"/>
        <v>0129-06</v>
      </c>
      <c r="AE42" s="115" t="str">
        <f t="shared" si="10"/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AF42" s="112" t="str">
        <f t="shared" si="11"/>
        <v>"C:\Program Files (x86)\AstroGrep\AstroGrep.exe" /spath="%USERPROFILE%\AppData\Local\Temp\OnboardLogs" /stypes="*4042*20160806*" /stext=" 13:.+((SYSTEM_STATE.+slice.+state.+changed )|(ment ac)|(system.+state.+changed )|(\|lc)|(penalty)|(\[timeout)|(PRM\|1\|D)|(kpr)|(kdp))" /e /r /s</v>
      </c>
      <c r="AG42" s="1" t="str">
        <f t="shared" si="12"/>
        <v>EC</v>
      </c>
      <c r="AH42" s="116" t="str">
        <f t="shared" si="13"/>
        <v>"%USERPROFILE%\Documents\GitHub\eaglep3\Utilities\RefineRTDCRunTimes.py" --tripid 129-06 --locoid 4042 --swversion DE.1.0.7.0 --startMP 204:455 --initTime 2016-08-06T07:09:31 --startdatetime 2016-08-06T07:15:47 --delay 6 --endMP 204:233297 --enddatetime 2016-08-06T07:54:14 --enforcementcount 2</v>
      </c>
    </row>
    <row r="43" spans="1:34" s="1" customFormat="1" x14ac:dyDescent="0.25">
      <c r="A43" s="42" t="s">
        <v>461</v>
      </c>
      <c r="B43" s="7">
        <v>4041</v>
      </c>
      <c r="C43" s="25" t="s">
        <v>156</v>
      </c>
      <c r="D43" s="25" t="s">
        <v>536</v>
      </c>
      <c r="E43" s="16">
        <v>42588.336967592593</v>
      </c>
      <c r="F43" s="16">
        <v>42588.338449074072</v>
      </c>
      <c r="G43" s="7">
        <v>2</v>
      </c>
      <c r="H43" s="16" t="s">
        <v>548</v>
      </c>
      <c r="I43" s="16">
        <v>42588.370162037034</v>
      </c>
      <c r="J43" s="7">
        <v>3</v>
      </c>
      <c r="K43" s="25" t="str">
        <f t="shared" si="0"/>
        <v>4041/4042</v>
      </c>
      <c r="L43" s="25" t="str">
        <f>VLOOKUP(A43,'Trips&amp;Operators'!$C$1:$E$10000,3,FALSE)</f>
        <v>STRICKLAND</v>
      </c>
      <c r="M43" s="6">
        <f t="shared" si="1"/>
        <v>3.1712962962046731E-2</v>
      </c>
      <c r="N43" s="7">
        <f t="shared" si="14"/>
        <v>45.666666665347293</v>
      </c>
      <c r="O43" s="7"/>
      <c r="P43" s="7"/>
      <c r="Q43" s="26"/>
      <c r="R43" s="26"/>
      <c r="S43" s="38">
        <f t="shared" si="15"/>
        <v>1</v>
      </c>
      <c r="T43" s="55" t="str">
        <f t="shared" si="2"/>
        <v>Southbound</v>
      </c>
      <c r="U43" s="15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43" s="57" t="str">
        <f t="shared" si="4"/>
        <v>N</v>
      </c>
      <c r="X43" s="145">
        <f t="shared" si="5"/>
        <v>1</v>
      </c>
      <c r="Y43" s="72">
        <f t="shared" si="6"/>
        <v>23.298200000000001</v>
      </c>
      <c r="Z43" s="72">
        <f t="shared" si="7"/>
        <v>1.72E-2</v>
      </c>
      <c r="AA43" s="72">
        <f t="shared" si="8"/>
        <v>23.281000000000002</v>
      </c>
      <c r="AB43" s="69">
        <f>VLOOKUP(A43,Enforcements!$C$7:$J$24,8,0)</f>
        <v>33257</v>
      </c>
      <c r="AC43" s="65" t="str">
        <f>VLOOKUP(A43,Enforcements!$C$7:$E$24,3,0)</f>
        <v>GRADE CROSSING</v>
      </c>
      <c r="AD43" s="66" t="str">
        <f t="shared" si="9"/>
        <v>0130-06</v>
      </c>
      <c r="AE43" s="115" t="str">
        <f t="shared" si="10"/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AF43" s="112" t="str">
        <f t="shared" si="11"/>
        <v>"C:\Program Files (x86)\AstroGrep\AstroGrep.exe" /spath="%USERPROFILE%\AppData\Local\Temp\OnboardLogs" /stypes="*4041*20160806*" /stext=" 14:.+((SYSTEM_STATE.+slice.+state.+changed )|(ment ac)|(system.+state.+changed )|(\|lc)|(penalty)|(\[timeout)|(PRM\|1\|D)|(kpr)|(kdp))" /e /r /s</v>
      </c>
      <c r="AG43" s="1" t="str">
        <f t="shared" si="12"/>
        <v>EC</v>
      </c>
      <c r="AH43" s="116" t="str">
        <f t="shared" si="13"/>
        <v>"%USERPROFILE%\Documents\GitHub\eaglep3\Utilities\RefineRTDCRunTimes.py" --tripid 130-06 --locoid 4041 --swversion DE.1.0.7.0 --startMP 204:232982 --initTime 2016-08-06T08:05:14 --startdatetime 2016-08-06T08:07:22 --delay 2 --endMP 204:172 --enddatetime 2016-08-06T08:53:02 --enforcementcount 3</v>
      </c>
    </row>
    <row r="44" spans="1:34" s="1" customFormat="1" x14ac:dyDescent="0.25">
      <c r="A44" s="42" t="s">
        <v>549</v>
      </c>
      <c r="B44" s="7">
        <v>4027</v>
      </c>
      <c r="C44" s="25" t="s">
        <v>156</v>
      </c>
      <c r="D44" s="25" t="s">
        <v>533</v>
      </c>
      <c r="E44" s="16">
        <v>42588.308310185188</v>
      </c>
      <c r="F44" s="16">
        <v>42588.309363425928</v>
      </c>
      <c r="G44" s="7">
        <v>1</v>
      </c>
      <c r="H44" s="16" t="s">
        <v>550</v>
      </c>
      <c r="I44" s="16">
        <v>42588.338113425925</v>
      </c>
      <c r="J44" s="7">
        <v>0</v>
      </c>
      <c r="K44" s="25" t="str">
        <f t="shared" si="0"/>
        <v>4027/4028</v>
      </c>
      <c r="L44" s="25" t="str">
        <f>VLOOKUP(A44,'Trips&amp;Operators'!$C$1:$E$10000,3,FALSE)</f>
        <v>SANTIZO</v>
      </c>
      <c r="M44" s="6">
        <f t="shared" si="1"/>
        <v>2.8749999997671694E-2</v>
      </c>
      <c r="N44" s="7">
        <f t="shared" si="14"/>
        <v>41.399999996647239</v>
      </c>
      <c r="O44" s="7"/>
      <c r="P44" s="7"/>
      <c r="Q44" s="26"/>
      <c r="R44" s="26"/>
      <c r="S44" s="38">
        <f t="shared" si="15"/>
        <v>1</v>
      </c>
      <c r="T44" s="55" t="str">
        <f t="shared" si="2"/>
        <v>NorthBound</v>
      </c>
      <c r="U44" s="15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22" t="str">
        <f t="shared" si="3"/>
        <v>https://search-rtdc-monitor-bjffxe2xuh6vdkpspy63sjmuny.us-east-1.es.amazonaws.com/_plugin/kibana/#/discover/Steve-Slow-Train-Analysis-(2080s-and-2083s)?_g=(refreshInterval:(display:Off,section:0,value:0),time:(from:'2016-08-06 06:23:58-0600',mode:absolute,to:'2016-08-06 09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4" s="57" t="str">
        <f t="shared" si="4"/>
        <v>N</v>
      </c>
      <c r="X44" s="145">
        <f t="shared" si="5"/>
        <v>1</v>
      </c>
      <c r="Y44" s="72">
        <f t="shared" si="6"/>
        <v>4.53E-2</v>
      </c>
      <c r="Z44" s="72">
        <f t="shared" si="7"/>
        <v>23.331</v>
      </c>
      <c r="AA44" s="72">
        <f t="shared" si="8"/>
        <v>23.285699999999999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9"/>
        <v>0131-06</v>
      </c>
      <c r="AE44" s="115" t="str">
        <f t="shared" si="10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44" s="112" t="str">
        <f t="shared" si="11"/>
        <v>"C:\Program Files (x86)\AstroGrep\AstroGrep.exe" /spath="%USERPROFILE%\AppData\Local\Temp\OnboardLogs" /stypes="*4027*20160806*" /stext=" 14:.+((SYSTEM_STATE.+slice.+state.+changed )|(ment ac)|(system.+state.+changed )|(\|lc)|(penalty)|(\[timeout)|(PRM\|1\|D)|(kpr)|(kdp))" /e /r /s</v>
      </c>
      <c r="AG44" s="1" t="str">
        <f t="shared" si="12"/>
        <v>EC</v>
      </c>
      <c r="AH44" s="116" t="str">
        <f t="shared" si="13"/>
        <v>"%USERPROFILE%\Documents\GitHub\eaglep3\Utilities\RefineRTDCRunTimes.py" --tripid 131-06 --locoid 4027 --swversion DE.1.0.7.0 --startMP 204:453 --initTime 2016-08-06T07:23:58 --startdatetime 2016-08-06T07:25:29 --delay 1 --endMP 204:233310 --enddatetime 2016-08-06T08:06:53 --enforcementcount 0</v>
      </c>
    </row>
    <row r="45" spans="1:34" s="1" customFormat="1" x14ac:dyDescent="0.25">
      <c r="A45" s="42" t="s">
        <v>551</v>
      </c>
      <c r="B45" s="7">
        <v>4028</v>
      </c>
      <c r="C45" s="25" t="s">
        <v>156</v>
      </c>
      <c r="D45" s="25" t="s">
        <v>326</v>
      </c>
      <c r="E45" s="16">
        <v>42588.339606481481</v>
      </c>
      <c r="F45" s="16">
        <v>42588.340266203704</v>
      </c>
      <c r="G45" s="7">
        <v>0</v>
      </c>
      <c r="H45" s="16" t="s">
        <v>552</v>
      </c>
      <c r="I45" s="16">
        <v>42588.377939814818</v>
      </c>
      <c r="J45" s="7">
        <v>0</v>
      </c>
      <c r="K45" s="25" t="str">
        <f t="shared" ref="K45:K76" si="16">IF(ISEVEN(B45),(B45-1)&amp;"/"&amp;B45,B45&amp;"/"&amp;(B45+1))</f>
        <v>4027/4028</v>
      </c>
      <c r="L45" s="25" t="str">
        <f>VLOOKUP(A45,'Trips&amp;Operators'!$C$1:$E$10000,3,FALSE)</f>
        <v>SANTIZO</v>
      </c>
      <c r="M45" s="6">
        <f t="shared" ref="M45:M76" si="17">I45-F45</f>
        <v>3.7673611113859806E-2</v>
      </c>
      <c r="N45" s="7">
        <f t="shared" si="14"/>
        <v>54.250000003958121</v>
      </c>
      <c r="O45" s="7"/>
      <c r="P45" s="7"/>
      <c r="Q45" s="26"/>
      <c r="R45" s="26"/>
      <c r="S45" s="38">
        <f t="shared" si="15"/>
        <v>1</v>
      </c>
      <c r="T45" s="55" t="str">
        <f t="shared" ref="T45:T76" si="18">IF(ISEVEN(LEFT(AD45,4)),"Southbound","NorthBound")</f>
        <v>Southbound</v>
      </c>
      <c r="U45" s="15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22" t="str">
        <f t="shared" ref="V45:V76" si="19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https://search-rtdc-monitor-bjffxe2xuh6vdkpspy63sjmuny.us-east-1.es.amazonaws.com/_plugin/kibana/#/discover/Steve-Slow-Train-Analysis-(2080s-and-2083s)?_g=(refreshInterval:(display:Off,section:0,value:0),time:(from:'2016-08-06 07:09:02-0600',mode:absolute,to:'2016-08-06 10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45" s="57" t="str">
        <f t="shared" ref="W45:W76" si="20">IF(AA45&lt;IF(AG45="EC",23,5.65),"Y","N")</f>
        <v>N</v>
      </c>
      <c r="X45" s="145">
        <f t="shared" ref="X45:X76" si="21">VALUE(LEFT(AD45,4))-VALUE(LEFT(AD44,4))</f>
        <v>1</v>
      </c>
      <c r="Y45" s="72">
        <f t="shared" ref="Y45:Y76" si="22">RIGHT(D45,LEN(D45)-4)/10000</f>
        <v>23.3</v>
      </c>
      <c r="Z45" s="72">
        <f t="shared" ref="Z45:Z76" si="23">RIGHT(H45,LEN(H45)-4)/10000</f>
        <v>1.67E-2</v>
      </c>
      <c r="AA45" s="72">
        <f t="shared" ref="AA45:AA76" si="24">ABS(Z45-Y45)</f>
        <v>23.283300000000001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ref="AD45:AD76" si="25">IF(LEN(A45)=6,"0"&amp;A45,A45)</f>
        <v>0132-06</v>
      </c>
      <c r="AE45" s="115" t="str">
        <f t="shared" ref="AE45:AE76" si="26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45" s="112" t="str">
        <f t="shared" ref="AF45:AF76" si="27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/stypes="*4028*20160806*" /stext=" 15:.+((SYSTEM_STATE.+slice.+state.+changed )|(ment ac)|(system.+state.+changed )|(\|lc)|(penalty)|(\[timeout)|(PRM\|1\|D)|(kpr)|(kdp))" /e /r /s</v>
      </c>
      <c r="AG45" s="1" t="str">
        <f t="shared" ref="AG45:AG76" si="28">IF(VALUE(LEFT(AD45,2))&lt;=2,"EC",IF(OR(VALUE(LEFT(AD45,2))=8,VALUE(LEFT(AD45,2))=18),"NW","GL"))</f>
        <v>EC</v>
      </c>
      <c r="AH45" s="116" t="str">
        <f t="shared" ref="AH45:AH76" si="29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</f>
        <v>"%USERPROFILE%\Documents\GitHub\eaglep3\Utilities\RefineRTDCRunTimes.py" --tripid 132-06 --locoid 4028 --swversion DE.1.0.7.0 --startMP 204:233000 --initTime 2016-08-06T08:09:02 --startdatetime 2016-08-06T08:09:59 --delay 0 --endMP 204:167 --enddatetime 2016-08-06T09:04:14 --enforcementcount 0</v>
      </c>
    </row>
    <row r="46" spans="1:34" s="1" customFormat="1" x14ac:dyDescent="0.25">
      <c r="A46" s="42" t="s">
        <v>553</v>
      </c>
      <c r="B46" s="7">
        <v>4011</v>
      </c>
      <c r="C46" s="25" t="s">
        <v>156</v>
      </c>
      <c r="D46" s="25" t="s">
        <v>554</v>
      </c>
      <c r="E46" s="16">
        <v>42588.31821759259</v>
      </c>
      <c r="F46" s="16">
        <v>42588.319733796299</v>
      </c>
      <c r="G46" s="7">
        <v>2</v>
      </c>
      <c r="H46" s="16" t="s">
        <v>306</v>
      </c>
      <c r="I46" s="16">
        <v>42588.347951388889</v>
      </c>
      <c r="J46" s="7">
        <v>0</v>
      </c>
      <c r="K46" s="25" t="str">
        <f t="shared" si="16"/>
        <v>4011/4012</v>
      </c>
      <c r="L46" s="25" t="str">
        <f>VLOOKUP(A46,'Trips&amp;Operators'!$C$1:$E$10000,3,FALSE)</f>
        <v>ACKERMAN</v>
      </c>
      <c r="M46" s="6">
        <f t="shared" si="17"/>
        <v>2.8217592589498963E-2</v>
      </c>
      <c r="N46" s="7">
        <f t="shared" si="14"/>
        <v>40.633333328878507</v>
      </c>
      <c r="O46" s="7"/>
      <c r="P46" s="7"/>
      <c r="Q46" s="26"/>
      <c r="R46" s="26"/>
      <c r="S46" s="38">
        <f t="shared" si="15"/>
        <v>1</v>
      </c>
      <c r="T46" s="55" t="str">
        <f t="shared" si="18"/>
        <v>NorthBound</v>
      </c>
      <c r="U46" s="15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06:38:14-0600',mode:absolute,to:'2016-08-06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6" s="57" t="str">
        <f t="shared" si="20"/>
        <v>N</v>
      </c>
      <c r="X46" s="145">
        <f t="shared" si="21"/>
        <v>1</v>
      </c>
      <c r="Y46" s="72">
        <f t="shared" si="22"/>
        <v>4.4900000000000002E-2</v>
      </c>
      <c r="Z46" s="72">
        <f t="shared" si="23"/>
        <v>23.329699999999999</v>
      </c>
      <c r="AA46" s="72">
        <f t="shared" si="24"/>
        <v>23.284800000000001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5"/>
        <v>0133-06</v>
      </c>
      <c r="AE46" s="115" t="str">
        <f t="shared" si="26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46" s="112" t="str">
        <f t="shared" si="27"/>
        <v>"C:\Program Files (x86)\AstroGrep\AstroGrep.exe" /spath="%USERPROFILE%\AppData\Local\Temp\OnboardLogs" /stypes="*4011*20160806*" /stext=" 14:.+((SYSTEM_STATE.+slice.+state.+changed )|(ment ac)|(system.+state.+changed )|(\|lc)|(penalty)|(\[timeout)|(PRM\|1\|D)|(kpr)|(kdp))" /e /r /s</v>
      </c>
      <c r="AG46" s="1" t="str">
        <f t="shared" si="28"/>
        <v>EC</v>
      </c>
      <c r="AH46" s="116" t="str">
        <f t="shared" si="29"/>
        <v>"%USERPROFILE%\Documents\GitHub\eaglep3\Utilities\RefineRTDCRunTimes.py" --tripid 133-06 --locoid 4011 --swversion DE.1.0.7.0 --startMP 204:449 --initTime 2016-08-06T07:38:14 --startdatetime 2016-08-06T07:40:25 --delay 2 --endMP 204:233297 --enddatetime 2016-08-06T08:21:03 --enforcementcount 0</v>
      </c>
    </row>
    <row r="47" spans="1:34" s="1" customFormat="1" x14ac:dyDescent="0.25">
      <c r="A47" s="42" t="s">
        <v>464</v>
      </c>
      <c r="B47" s="7">
        <v>4012</v>
      </c>
      <c r="C47" s="25" t="s">
        <v>156</v>
      </c>
      <c r="D47" s="25" t="s">
        <v>555</v>
      </c>
      <c r="E47" s="16">
        <v>42588.356354166666</v>
      </c>
      <c r="F47" s="16">
        <v>42588.357881944445</v>
      </c>
      <c r="G47" s="7">
        <v>2</v>
      </c>
      <c r="H47" s="16" t="s">
        <v>556</v>
      </c>
      <c r="I47" s="16">
        <v>42588.388344907406</v>
      </c>
      <c r="J47" s="7">
        <v>1</v>
      </c>
      <c r="K47" s="25" t="str">
        <f t="shared" si="16"/>
        <v>4011/4012</v>
      </c>
      <c r="L47" s="25" t="str">
        <f>VLOOKUP(A47,'Trips&amp;Operators'!$C$1:$E$10000,3,FALSE)</f>
        <v>ACKERMAN</v>
      </c>
      <c r="M47" s="6">
        <f t="shared" si="17"/>
        <v>3.0462962960882578E-2</v>
      </c>
      <c r="N47" s="7">
        <f t="shared" ref="N47:N74" si="30">24*60*SUM($M47:$M47)</f>
        <v>43.866666663670912</v>
      </c>
      <c r="O47" s="7"/>
      <c r="P47" s="7"/>
      <c r="Q47" s="26"/>
      <c r="R47" s="26"/>
      <c r="S47" s="38">
        <f t="shared" ref="S47:S78" si="31">SUM(U47:U47)/IF(AG47="EC",12,1)</f>
        <v>1</v>
      </c>
      <c r="T47" s="55" t="str">
        <f t="shared" si="18"/>
        <v>Southbound</v>
      </c>
      <c r="U47" s="15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7" s="57" t="str">
        <f t="shared" si="20"/>
        <v>N</v>
      </c>
      <c r="X47" s="145">
        <f t="shared" si="21"/>
        <v>1</v>
      </c>
      <c r="Y47" s="72">
        <f t="shared" si="22"/>
        <v>23.298400000000001</v>
      </c>
      <c r="Z47" s="72">
        <f t="shared" si="23"/>
        <v>1.32E-2</v>
      </c>
      <c r="AA47" s="72">
        <f t="shared" si="24"/>
        <v>23.2852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5"/>
        <v>0134-06</v>
      </c>
      <c r="AE47" s="115" t="str">
        <f t="shared" si="26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47" s="112" t="str">
        <f t="shared" si="27"/>
        <v>"C:\Program Files (x86)\AstroGrep\AstroGrep.exe" /spath="%USERPROFILE%\AppData\Local\Temp\OnboardLogs" /stypes="*4012*20160806*" /stext=" 15:.+((SYSTEM_STATE.+slice.+state.+changed )|(ment ac)|(system.+state.+changed )|(\|lc)|(penalty)|(\[timeout)|(PRM\|1\|D)|(kpr)|(kdp))" /e /r /s</v>
      </c>
      <c r="AG47" s="1" t="str">
        <f t="shared" si="28"/>
        <v>EC</v>
      </c>
      <c r="AH47" s="116" t="str">
        <f t="shared" si="29"/>
        <v>"%USERPROFILE%\Documents\GitHub\eaglep3\Utilities\RefineRTDCRunTimes.py" --tripid 134-06 --locoid 4012 --swversion DE.1.0.7.0 --startMP 204:232984 --initTime 2016-08-06T08:33:09 --startdatetime 2016-08-06T08:35:21 --delay 2 --endMP 204:132 --enddatetime 2016-08-06T09:19:13 --enforcementcount 1</v>
      </c>
    </row>
    <row r="48" spans="1:34" s="1" customFormat="1" x14ac:dyDescent="0.25">
      <c r="A48" s="42" t="s">
        <v>557</v>
      </c>
      <c r="B48" s="7">
        <v>4025</v>
      </c>
      <c r="C48" s="25" t="s">
        <v>156</v>
      </c>
      <c r="D48" s="25" t="s">
        <v>558</v>
      </c>
      <c r="E48" s="16">
        <v>42588.328576388885</v>
      </c>
      <c r="F48" s="16">
        <v>42588.32949074074</v>
      </c>
      <c r="G48" s="7">
        <v>1</v>
      </c>
      <c r="H48" s="16" t="s">
        <v>559</v>
      </c>
      <c r="I48" s="16">
        <v>42588.360405092593</v>
      </c>
      <c r="J48" s="7">
        <v>0</v>
      </c>
      <c r="K48" s="25" t="str">
        <f t="shared" si="16"/>
        <v>4025/4026</v>
      </c>
      <c r="L48" s="25" t="str">
        <f>VLOOKUP(A48,'Trips&amp;Operators'!$C$1:$E$10000,3,FALSE)</f>
        <v>DAVIS</v>
      </c>
      <c r="M48" s="6">
        <f t="shared" si="17"/>
        <v>3.0914351853425615E-2</v>
      </c>
      <c r="N48" s="7">
        <f t="shared" si="30"/>
        <v>44.516666668932885</v>
      </c>
      <c r="O48" s="7"/>
      <c r="P48" s="7"/>
      <c r="Q48" s="26"/>
      <c r="R48" s="26"/>
      <c r="S48" s="38">
        <f t="shared" si="31"/>
        <v>1</v>
      </c>
      <c r="T48" s="55" t="str">
        <f t="shared" si="18"/>
        <v>NorthBound</v>
      </c>
      <c r="U48" s="15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06:53:09-0600',mode:absolute,to:'2016-08-06 09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8" s="57" t="str">
        <f t="shared" si="20"/>
        <v>N</v>
      </c>
      <c r="X48" s="145">
        <f t="shared" si="21"/>
        <v>1</v>
      </c>
      <c r="Y48" s="72">
        <f t="shared" si="22"/>
        <v>4.6600000000000003E-2</v>
      </c>
      <c r="Z48" s="72">
        <f t="shared" si="23"/>
        <v>23.324400000000001</v>
      </c>
      <c r="AA48" s="72">
        <f t="shared" si="24"/>
        <v>23.277799999999999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5"/>
        <v>0135-06</v>
      </c>
      <c r="AE48" s="115" t="str">
        <f t="shared" si="26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48" s="112" t="str">
        <f t="shared" si="27"/>
        <v>"C:\Program Files (x86)\AstroGrep\AstroGrep.exe" /spath="%USERPROFILE%\AppData\Local\Temp\OnboardLogs" /stypes="*4025*20160806*" /stext=" 14:.+((SYSTEM_STATE.+slice.+state.+changed )|(ment ac)|(system.+state.+changed )|(\|lc)|(penalty)|(\[timeout)|(PRM\|1\|D)|(kpr)|(kdp))" /e /r /s</v>
      </c>
      <c r="AG48" s="1" t="str">
        <f t="shared" si="28"/>
        <v>EC</v>
      </c>
      <c r="AH48" s="116" t="str">
        <f t="shared" si="29"/>
        <v>"%USERPROFILE%\Documents\GitHub\eaglep3\Utilities\RefineRTDCRunTimes.py" --tripid 135-06 --locoid 4025 --swversion DE.1.0.7.0 --startMP 204:466 --initTime 2016-08-06T07:53:09 --startdatetime 2016-08-06T07:54:28 --delay 1 --endMP 204:233244 --enddatetime 2016-08-06T08:38:59 --enforcementcount 0</v>
      </c>
    </row>
    <row r="49" spans="1:34" s="1" customFormat="1" x14ac:dyDescent="0.25">
      <c r="A49" s="42" t="s">
        <v>560</v>
      </c>
      <c r="B49" s="7">
        <v>4026</v>
      </c>
      <c r="C49" s="25" t="s">
        <v>156</v>
      </c>
      <c r="D49" s="25" t="s">
        <v>430</v>
      </c>
      <c r="E49" s="16">
        <v>42588.368171296293</v>
      </c>
      <c r="F49" s="16">
        <v>42588.369039351855</v>
      </c>
      <c r="G49" s="7">
        <v>1</v>
      </c>
      <c r="H49" s="16" t="s">
        <v>58</v>
      </c>
      <c r="I49" s="16">
        <v>42588.400104166663</v>
      </c>
      <c r="J49" s="7">
        <v>0</v>
      </c>
      <c r="K49" s="25" t="str">
        <f t="shared" si="16"/>
        <v>4025/4026</v>
      </c>
      <c r="L49" s="25" t="str">
        <f>VLOOKUP(A49,'Trips&amp;Operators'!$C$1:$E$10000,3,FALSE)</f>
        <v>DAVIS</v>
      </c>
      <c r="M49" s="6">
        <f t="shared" si="17"/>
        <v>3.106481480790535E-2</v>
      </c>
      <c r="N49" s="7">
        <f t="shared" si="30"/>
        <v>44.733333323383704</v>
      </c>
      <c r="O49" s="7"/>
      <c r="P49" s="7"/>
      <c r="Q49" s="26"/>
      <c r="R49" s="26"/>
      <c r="S49" s="38">
        <f t="shared" si="31"/>
        <v>1</v>
      </c>
      <c r="T49" s="55" t="str">
        <f t="shared" si="18"/>
        <v>Southbound</v>
      </c>
      <c r="U49" s="15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07:50:10-0600',mode:absolute,to:'2016-08-06 10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9" s="57" t="str">
        <f t="shared" si="20"/>
        <v>N</v>
      </c>
      <c r="X49" s="145">
        <f t="shared" si="21"/>
        <v>1</v>
      </c>
      <c r="Y49" s="72">
        <f t="shared" si="22"/>
        <v>23.2989</v>
      </c>
      <c r="Z49" s="72">
        <f t="shared" si="23"/>
        <v>1.52E-2</v>
      </c>
      <c r="AA49" s="72">
        <f t="shared" si="24"/>
        <v>23.2837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5"/>
        <v>0136-06</v>
      </c>
      <c r="AE49" s="115" t="str">
        <f t="shared" si="26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49" s="112" t="str">
        <f t="shared" si="27"/>
        <v>"C:\Program Files (x86)\AstroGrep\AstroGrep.exe" /spath="%USERPROFILE%\AppData\Local\Temp\OnboardLogs" /stypes="*4026*20160806*" /stext=" 15:.+((SYSTEM_STATE.+slice.+state.+changed )|(ment ac)|(system.+state.+changed )|(\|lc)|(penalty)|(\[timeout)|(PRM\|1\|D)|(kpr)|(kdp))" /e /r /s</v>
      </c>
      <c r="AG49" s="1" t="str">
        <f t="shared" si="28"/>
        <v>EC</v>
      </c>
      <c r="AH49" s="116" t="str">
        <f t="shared" si="29"/>
        <v>"%USERPROFILE%\Documents\GitHub\eaglep3\Utilities\RefineRTDCRunTimes.py" --tripid 136-06 --locoid 4026 --swversion DE.1.0.7.0 --startMP 204:232989 --initTime 2016-08-06T08:50:10 --startdatetime 2016-08-06T08:51:25 --delay 1 --endMP 204:152 --enddatetime 2016-08-06T09:36:09 --enforcementcount 0</v>
      </c>
    </row>
    <row r="50" spans="1:34" s="1" customFormat="1" x14ac:dyDescent="0.25">
      <c r="A50" s="42" t="s">
        <v>561</v>
      </c>
      <c r="B50" s="7">
        <v>4009</v>
      </c>
      <c r="C50" s="25" t="s">
        <v>156</v>
      </c>
      <c r="D50" s="25" t="s">
        <v>307</v>
      </c>
      <c r="E50" s="16">
        <v>42588.340057870373</v>
      </c>
      <c r="F50" s="16">
        <v>42588.341111111113</v>
      </c>
      <c r="G50" s="7">
        <v>1</v>
      </c>
      <c r="H50" s="16" t="s">
        <v>499</v>
      </c>
      <c r="I50" s="16">
        <v>42588.368888888886</v>
      </c>
      <c r="J50" s="7">
        <v>0</v>
      </c>
      <c r="K50" s="25" t="str">
        <f t="shared" si="16"/>
        <v>4009/4010</v>
      </c>
      <c r="L50" s="25" t="str">
        <f>VLOOKUP(A50,'Trips&amp;Operators'!$C$1:$E$10000,3,FALSE)</f>
        <v>STORY</v>
      </c>
      <c r="M50" s="6">
        <f t="shared" si="17"/>
        <v>2.7777777773735579E-2</v>
      </c>
      <c r="N50" s="7">
        <f t="shared" si="30"/>
        <v>39.999999994179234</v>
      </c>
      <c r="O50" s="7"/>
      <c r="P50" s="7"/>
      <c r="Q50" s="26"/>
      <c r="R50" s="26"/>
      <c r="S50" s="38">
        <f t="shared" si="31"/>
        <v>1</v>
      </c>
      <c r="T50" s="55" t="str">
        <f t="shared" si="18"/>
        <v>NorthBound</v>
      </c>
      <c r="U50" s="15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07:09:41-0600',mode:absolute,to:'2016-08-06 09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0" s="57" t="str">
        <f t="shared" si="20"/>
        <v>N</v>
      </c>
      <c r="X50" s="145">
        <f t="shared" si="21"/>
        <v>1</v>
      </c>
      <c r="Y50" s="72">
        <f t="shared" si="22"/>
        <v>4.4600000000000001E-2</v>
      </c>
      <c r="Z50" s="72">
        <f t="shared" si="23"/>
        <v>23.332000000000001</v>
      </c>
      <c r="AA50" s="72">
        <f t="shared" si="24"/>
        <v>23.287400000000002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5"/>
        <v>0137-06</v>
      </c>
      <c r="AE50" s="115" t="str">
        <f t="shared" si="26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50" s="112" t="str">
        <f t="shared" si="27"/>
        <v>"C:\Program Files (x86)\AstroGrep\AstroGrep.exe" /spath="%USERPROFILE%\AppData\Local\Temp\OnboardLogs" /stypes="*4009*20160806*" /stext=" 14:.+((SYSTEM_STATE.+slice.+state.+changed )|(ment ac)|(system.+state.+changed )|(\|lc)|(penalty)|(\[timeout)|(PRM\|1\|D)|(kpr)|(kdp))" /e /r /s</v>
      </c>
      <c r="AG50" s="1" t="str">
        <f t="shared" si="28"/>
        <v>EC</v>
      </c>
      <c r="AH50" s="116" t="str">
        <f t="shared" si="29"/>
        <v>"%USERPROFILE%\Documents\GitHub\eaglep3\Utilities\RefineRTDCRunTimes.py" --tripid 137-06 --locoid 4009 --swversion DE.1.0.7.0 --startMP 204:446 --initTime 2016-08-06T08:09:41 --startdatetime 2016-08-06T08:11:12 --delay 1 --endMP 204:233320 --enddatetime 2016-08-06T08:51:12 --enforcementcount 0</v>
      </c>
    </row>
    <row r="51" spans="1:34" s="1" customFormat="1" x14ac:dyDescent="0.25">
      <c r="A51" s="42" t="s">
        <v>465</v>
      </c>
      <c r="B51" s="7">
        <v>4010</v>
      </c>
      <c r="C51" s="25" t="s">
        <v>156</v>
      </c>
      <c r="D51" s="25" t="s">
        <v>302</v>
      </c>
      <c r="E51" s="16">
        <v>42588.377314814818</v>
      </c>
      <c r="F51" s="16">
        <v>42588.378333333334</v>
      </c>
      <c r="G51" s="7">
        <v>1</v>
      </c>
      <c r="H51" s="16" t="s">
        <v>539</v>
      </c>
      <c r="I51" s="16">
        <v>42588.410115740742</v>
      </c>
      <c r="J51" s="7">
        <v>1</v>
      </c>
      <c r="K51" s="25" t="str">
        <f t="shared" si="16"/>
        <v>4009/4010</v>
      </c>
      <c r="L51" s="25" t="str">
        <f>VLOOKUP(A51,'Trips&amp;Operators'!$C$1:$E$10000,3,FALSE)</f>
        <v>STORY</v>
      </c>
      <c r="M51" s="6">
        <f t="shared" si="17"/>
        <v>3.178240740817273E-2</v>
      </c>
      <c r="N51" s="7">
        <f t="shared" si="30"/>
        <v>45.766666667768732</v>
      </c>
      <c r="O51" s="7"/>
      <c r="P51" s="7"/>
      <c r="Q51" s="26"/>
      <c r="R51" s="26"/>
      <c r="S51" s="38">
        <f t="shared" si="31"/>
        <v>1</v>
      </c>
      <c r="T51" s="55" t="str">
        <f t="shared" si="18"/>
        <v>Southbound</v>
      </c>
      <c r="U51" s="15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51" s="57" t="str">
        <f t="shared" si="20"/>
        <v>N</v>
      </c>
      <c r="X51" s="145">
        <f t="shared" si="21"/>
        <v>1</v>
      </c>
      <c r="Y51" s="72">
        <f t="shared" si="22"/>
        <v>23.299800000000001</v>
      </c>
      <c r="Z51" s="72">
        <f t="shared" si="23"/>
        <v>1.6E-2</v>
      </c>
      <c r="AA51" s="72">
        <f t="shared" si="24"/>
        <v>23.283800000000003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5"/>
        <v>0138-06</v>
      </c>
      <c r="AE51" s="115" t="str">
        <f t="shared" si="26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51" s="112" t="str">
        <f t="shared" si="27"/>
        <v>"C:\Program Files (x86)\AstroGrep\AstroGrep.exe" /spath="%USERPROFILE%\AppData\Local\Temp\OnboardLogs" /stypes="*4010*20160806*" /stext=" 15:.+((SYSTEM_STATE.+slice.+state.+changed )|(ment ac)|(system.+state.+changed )|(\|lc)|(penalty)|(\[timeout)|(PRM\|1\|D)|(kpr)|(kdp))" /e /r /s</v>
      </c>
      <c r="AG51" s="1" t="str">
        <f t="shared" si="28"/>
        <v>EC</v>
      </c>
      <c r="AH51" s="116" t="str">
        <f t="shared" si="29"/>
        <v>"%USERPROFILE%\Documents\GitHub\eaglep3\Utilities\RefineRTDCRunTimes.py" --tripid 138-06 --locoid 4010 --swversion DE.1.0.7.0 --startMP 204:232998 --initTime 2016-08-06T09:03:20 --startdatetime 2016-08-06T09:04:48 --delay 1 --endMP 204:160 --enddatetime 2016-08-06T09:50:34 --enforcementcount 1</v>
      </c>
    </row>
    <row r="52" spans="1:34" s="1" customFormat="1" x14ac:dyDescent="0.25">
      <c r="A52" s="42" t="s">
        <v>463</v>
      </c>
      <c r="B52" s="7">
        <v>4018</v>
      </c>
      <c r="C52" s="25" t="s">
        <v>156</v>
      </c>
      <c r="D52" s="25" t="s">
        <v>63</v>
      </c>
      <c r="E52" s="16">
        <v>42588.351539351854</v>
      </c>
      <c r="F52" s="16">
        <v>42588.352303240739</v>
      </c>
      <c r="G52" s="7">
        <v>1</v>
      </c>
      <c r="H52" s="16" t="s">
        <v>562</v>
      </c>
      <c r="I52" s="16">
        <v>42588.379560185182</v>
      </c>
      <c r="J52" s="7">
        <v>1</v>
      </c>
      <c r="K52" s="25" t="str">
        <f t="shared" si="16"/>
        <v>4017/4018</v>
      </c>
      <c r="L52" s="25" t="str">
        <f>VLOOKUP(A52,'Trips&amp;Operators'!$C$1:$E$10000,3,FALSE)</f>
        <v>GEBRETEKLE</v>
      </c>
      <c r="M52" s="6">
        <f t="shared" si="17"/>
        <v>2.7256944442342501E-2</v>
      </c>
      <c r="N52" s="7">
        <f t="shared" si="30"/>
        <v>39.249999996973202</v>
      </c>
      <c r="O52" s="7"/>
      <c r="P52" s="7"/>
      <c r="Q52" s="26"/>
      <c r="R52" s="26"/>
      <c r="S52" s="38">
        <f t="shared" si="31"/>
        <v>1</v>
      </c>
      <c r="T52" s="55" t="str">
        <f t="shared" si="18"/>
        <v>NorthBound</v>
      </c>
      <c r="U52" s="15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52" s="57" t="str">
        <f t="shared" si="20"/>
        <v>N</v>
      </c>
      <c r="X52" s="145">
        <f t="shared" si="21"/>
        <v>1</v>
      </c>
      <c r="Y52" s="72">
        <f t="shared" si="22"/>
        <v>4.5999999999999999E-2</v>
      </c>
      <c r="Z52" s="72">
        <f t="shared" si="23"/>
        <v>23.327999999999999</v>
      </c>
      <c r="AA52" s="72">
        <f t="shared" si="24"/>
        <v>23.282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25"/>
        <v>0139-06</v>
      </c>
      <c r="AE52" s="115" t="str">
        <f t="shared" si="26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52" s="112" t="str">
        <f t="shared" si="27"/>
        <v>"C:\Program Files (x86)\AstroGrep\AstroGrep.exe" /spath="%USERPROFILE%\AppData\Local\Temp\OnboardLogs" /stypes="*4018*20160806*" /stext=" 15:.+((SYSTEM_STATE.+slice.+state.+changed )|(ment ac)|(system.+state.+changed )|(\|lc)|(penalty)|(\[timeout)|(PRM\|1\|D)|(kpr)|(kdp))" /e /r /s</v>
      </c>
      <c r="AG52" s="1" t="str">
        <f t="shared" si="28"/>
        <v>EC</v>
      </c>
      <c r="AH52" s="116" t="str">
        <f t="shared" si="29"/>
        <v>"%USERPROFILE%\Documents\GitHub\eaglep3\Utilities\RefineRTDCRunTimes.py" --tripid 139-06 --locoid 4018 --swversion DE.1.0.7.0 --startMP 204:460 --initTime 2016-08-06T08:26:13 --startdatetime 2016-08-06T08:27:19 --delay 1 --endMP 204:233280 --enddatetime 2016-08-06T09:06:34 --enforcementcount 1</v>
      </c>
    </row>
    <row r="53" spans="1:34" x14ac:dyDescent="0.25">
      <c r="A53" s="42" t="s">
        <v>563</v>
      </c>
      <c r="B53" s="7">
        <v>4017</v>
      </c>
      <c r="C53" s="25" t="s">
        <v>156</v>
      </c>
      <c r="D53" s="25" t="s">
        <v>433</v>
      </c>
      <c r="E53" s="16">
        <v>42588.389282407406</v>
      </c>
      <c r="F53" s="16">
        <v>42588.390208333331</v>
      </c>
      <c r="G53" s="7">
        <v>1</v>
      </c>
      <c r="H53" s="16" t="s">
        <v>564</v>
      </c>
      <c r="I53" s="16">
        <v>42588.42119212963</v>
      </c>
      <c r="J53" s="7">
        <v>0</v>
      </c>
      <c r="K53" s="25" t="str">
        <f t="shared" si="16"/>
        <v>4017/4018</v>
      </c>
      <c r="L53" s="25" t="str">
        <f>VLOOKUP(A53,'Trips&amp;Operators'!$C$1:$E$10000,3,FALSE)</f>
        <v>GEBRETEKLE</v>
      </c>
      <c r="M53" s="6">
        <f t="shared" si="17"/>
        <v>3.0983796299551614E-2</v>
      </c>
      <c r="N53" s="7">
        <f t="shared" si="30"/>
        <v>44.616666671354324</v>
      </c>
      <c r="O53" s="7"/>
      <c r="P53" s="7"/>
      <c r="Q53" s="26"/>
      <c r="R53" s="26"/>
      <c r="S53" s="38">
        <f t="shared" si="31"/>
        <v>1</v>
      </c>
      <c r="T53" s="55" t="str">
        <f t="shared" si="18"/>
        <v>Southbound</v>
      </c>
      <c r="U53" s="15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08:20:34-0600',mode:absolute,to:'2016-08-06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53" s="57" t="str">
        <f t="shared" si="20"/>
        <v>N</v>
      </c>
      <c r="X53" s="145">
        <f t="shared" si="21"/>
        <v>1</v>
      </c>
      <c r="Y53" s="72">
        <f t="shared" si="22"/>
        <v>23.297899999999998</v>
      </c>
      <c r="Z53" s="72">
        <f t="shared" si="23"/>
        <v>1.49E-2</v>
      </c>
      <c r="AA53" s="72">
        <f t="shared" si="24"/>
        <v>23.282999999999998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25"/>
        <v>0140-06</v>
      </c>
      <c r="AE53" s="115" t="str">
        <f t="shared" si="26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53" s="112" t="str">
        <f t="shared" si="27"/>
        <v>"C:\Program Files (x86)\AstroGrep\AstroGrep.exe" /spath="%USERPROFILE%\AppData\Local\Temp\OnboardLogs" /stypes="*4017*20160806*" /stext=" 16:.+((SYSTEM_STATE.+slice.+state.+changed )|(ment ac)|(system.+state.+changed )|(\|lc)|(penalty)|(\[timeout)|(PRM\|1\|D)|(kpr)|(kdp))" /e /r /s</v>
      </c>
      <c r="AG53" s="1" t="str">
        <f t="shared" si="28"/>
        <v>EC</v>
      </c>
      <c r="AH53" s="116" t="str">
        <f t="shared" si="29"/>
        <v>"%USERPROFILE%\Documents\GitHub\eaglep3\Utilities\RefineRTDCRunTimes.py" --tripid 140-06 --locoid 4017 --swversion DE.1.0.7.0 --startMP 204:232979 --initTime 2016-08-06T09:20:34 --startdatetime 2016-08-06T09:21:54 --delay 1 --endMP 204:149 --enddatetime 2016-08-06T10:06:31 --enforcementcount 0</v>
      </c>
    </row>
    <row r="54" spans="1:34" x14ac:dyDescent="0.25">
      <c r="A54" s="42" t="s">
        <v>565</v>
      </c>
      <c r="B54" s="7">
        <v>4014</v>
      </c>
      <c r="C54" s="25" t="s">
        <v>156</v>
      </c>
      <c r="D54" s="25" t="s">
        <v>566</v>
      </c>
      <c r="E54" s="16">
        <v>42588.359525462962</v>
      </c>
      <c r="F54" s="16">
        <v>42588.360474537039</v>
      </c>
      <c r="G54" s="7">
        <v>1</v>
      </c>
      <c r="H54" s="16" t="s">
        <v>357</v>
      </c>
      <c r="I54" s="16">
        <v>42588.389467592591</v>
      </c>
      <c r="J54" s="7">
        <v>0</v>
      </c>
      <c r="K54" s="25" t="str">
        <f t="shared" si="16"/>
        <v>4013/4014</v>
      </c>
      <c r="L54" s="25" t="str">
        <f>VLOOKUP(A54,'Trips&amp;Operators'!$C$1:$E$10000,3,FALSE)</f>
        <v>MAELZER</v>
      </c>
      <c r="M54" s="6">
        <f t="shared" si="17"/>
        <v>2.8993055551836733E-2</v>
      </c>
      <c r="N54" s="7">
        <f t="shared" si="30"/>
        <v>41.749999994644895</v>
      </c>
      <c r="O54" s="7"/>
      <c r="P54" s="7"/>
      <c r="Q54" s="26"/>
      <c r="R54" s="26"/>
      <c r="S54" s="38">
        <f t="shared" si="31"/>
        <v>1</v>
      </c>
      <c r="T54" s="55" t="str">
        <f t="shared" si="18"/>
        <v>NorthBound</v>
      </c>
      <c r="U54" s="15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07:37:43-0600',mode:absolute,to:'2016-08-06 10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54" s="57" t="str">
        <f t="shared" si="20"/>
        <v>N</v>
      </c>
      <c r="X54" s="145">
        <f t="shared" si="21"/>
        <v>1</v>
      </c>
      <c r="Y54" s="72">
        <f t="shared" si="22"/>
        <v>4.7699999999999999E-2</v>
      </c>
      <c r="Z54" s="72">
        <f t="shared" si="23"/>
        <v>23.3307</v>
      </c>
      <c r="AA54" s="72">
        <f t="shared" si="24"/>
        <v>23.283000000000001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25"/>
        <v>0141-06</v>
      </c>
      <c r="AE54" s="115" t="str">
        <f t="shared" si="26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54" s="112" t="str">
        <f t="shared" si="27"/>
        <v>"C:\Program Files (x86)\AstroGrep\AstroGrep.exe" /spath="%USERPROFILE%\AppData\Local\Temp\OnboardLogs" /stypes="*4014*20160806*" /stext=" 15:.+((SYSTEM_STATE.+slice.+state.+changed )|(ment ac)|(system.+state.+changed )|(\|lc)|(penalty)|(\[timeout)|(PRM\|1\|D)|(kpr)|(kdp))" /e /r /s</v>
      </c>
      <c r="AG54" s="1" t="str">
        <f t="shared" si="28"/>
        <v>EC</v>
      </c>
      <c r="AH54" s="116" t="str">
        <f t="shared" si="29"/>
        <v>"%USERPROFILE%\Documents\GitHub\eaglep3\Utilities\RefineRTDCRunTimes.py" --tripid 141-06 --locoid 4014 --swversion DE.1.0.7.0 --startMP 204:477 --initTime 2016-08-06T08:37:43 --startdatetime 2016-08-06T08:39:05 --delay 1 --endMP 204:233307 --enddatetime 2016-08-06T09:20:50 --enforcementcount 0</v>
      </c>
    </row>
    <row r="55" spans="1:34" s="1" customFormat="1" x14ac:dyDescent="0.25">
      <c r="A55" s="42" t="s">
        <v>567</v>
      </c>
      <c r="B55" s="7">
        <v>4013</v>
      </c>
      <c r="C55" s="25" t="s">
        <v>156</v>
      </c>
      <c r="D55" s="25" t="s">
        <v>536</v>
      </c>
      <c r="E55" s="16">
        <v>42588.398726851854</v>
      </c>
      <c r="F55" s="16">
        <v>42588.399398148147</v>
      </c>
      <c r="G55" s="7">
        <v>0</v>
      </c>
      <c r="H55" s="16" t="s">
        <v>137</v>
      </c>
      <c r="I55" s="16">
        <v>42588.429837962962</v>
      </c>
      <c r="J55" s="7">
        <v>0</v>
      </c>
      <c r="K55" s="25" t="str">
        <f t="shared" si="16"/>
        <v>4013/4014</v>
      </c>
      <c r="L55" s="25" t="str">
        <f>VLOOKUP(A55,'Trips&amp;Operators'!$C$1:$E$10000,3,FALSE)</f>
        <v>MAELZER</v>
      </c>
      <c r="M55" s="6">
        <f t="shared" si="17"/>
        <v>3.0439814814599231E-2</v>
      </c>
      <c r="N55" s="7">
        <f t="shared" si="30"/>
        <v>43.833333333022892</v>
      </c>
      <c r="O55" s="7"/>
      <c r="P55" s="7"/>
      <c r="Q55" s="26"/>
      <c r="R55" s="26"/>
      <c r="S55" s="38">
        <f t="shared" si="31"/>
        <v>1</v>
      </c>
      <c r="T55" s="55" t="str">
        <f t="shared" si="18"/>
        <v>Southbound</v>
      </c>
      <c r="U55" s="15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08:34:10-0600',mode:absolute,to:'2016-08-06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55" s="57" t="str">
        <f t="shared" si="20"/>
        <v>N</v>
      </c>
      <c r="X55" s="145">
        <f t="shared" si="21"/>
        <v>1</v>
      </c>
      <c r="Y55" s="72">
        <f t="shared" si="22"/>
        <v>23.298200000000001</v>
      </c>
      <c r="Z55" s="72">
        <f t="shared" si="23"/>
        <v>1.3899999999999999E-2</v>
      </c>
      <c r="AA55" s="72">
        <f t="shared" si="24"/>
        <v>23.284300000000002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5"/>
        <v>0142-06</v>
      </c>
      <c r="AE55" s="115" t="str">
        <f t="shared" si="26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55" s="112" t="str">
        <f t="shared" si="27"/>
        <v>"C:\Program Files (x86)\AstroGrep\AstroGrep.exe" /spath="%USERPROFILE%\AppData\Local\Temp\OnboardLogs" /stypes="*4013*20160806*" /stext=" 16:.+((SYSTEM_STATE.+slice.+state.+changed )|(ment ac)|(system.+state.+changed )|(\|lc)|(penalty)|(\[timeout)|(PRM\|1\|D)|(kpr)|(kdp))" /e /r /s</v>
      </c>
      <c r="AG55" s="1" t="str">
        <f t="shared" si="28"/>
        <v>EC</v>
      </c>
      <c r="AH55" s="116" t="str">
        <f t="shared" si="29"/>
        <v>"%USERPROFILE%\Documents\GitHub\eaglep3\Utilities\RefineRTDCRunTimes.py" --tripid 142-06 --locoid 4013 --swversion DE.1.0.7.0 --startMP 204:232982 --initTime 2016-08-06T09:34:10 --startdatetime 2016-08-06T09:35:08 --delay 0 --endMP 204:139 --enddatetime 2016-08-06T10:18:58 --enforcementcount 0</v>
      </c>
    </row>
    <row r="56" spans="1:34" s="1" customFormat="1" x14ac:dyDescent="0.25">
      <c r="A56" s="42" t="s">
        <v>462</v>
      </c>
      <c r="B56" s="7">
        <v>4042</v>
      </c>
      <c r="C56" s="25" t="s">
        <v>156</v>
      </c>
      <c r="D56" s="25" t="s">
        <v>568</v>
      </c>
      <c r="E56" s="16">
        <v>42588.371793981481</v>
      </c>
      <c r="F56" s="16">
        <v>42588.373159722221</v>
      </c>
      <c r="G56" s="7">
        <v>1</v>
      </c>
      <c r="H56" s="16" t="s">
        <v>439</v>
      </c>
      <c r="I56" s="16">
        <v>42588.402928240743</v>
      </c>
      <c r="J56" s="7">
        <v>4</v>
      </c>
      <c r="K56" s="25" t="str">
        <f t="shared" si="16"/>
        <v>4041/4042</v>
      </c>
      <c r="L56" s="25" t="str">
        <f>VLOOKUP(A56,'Trips&amp;Operators'!$C$1:$E$10000,3,FALSE)</f>
        <v>STRICKLAND</v>
      </c>
      <c r="M56" s="6">
        <f t="shared" si="17"/>
        <v>2.976851852145046E-2</v>
      </c>
      <c r="N56" s="7">
        <f t="shared" si="30"/>
        <v>42.866666670888662</v>
      </c>
      <c r="O56" s="7"/>
      <c r="P56" s="7"/>
      <c r="Q56" s="26"/>
      <c r="R56" s="26"/>
      <c r="S56" s="38">
        <f t="shared" si="31"/>
        <v>1</v>
      </c>
      <c r="T56" s="55" t="str">
        <f t="shared" si="18"/>
        <v>NorthBound</v>
      </c>
      <c r="U56" s="15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56" s="57" t="str">
        <f t="shared" si="20"/>
        <v>N</v>
      </c>
      <c r="X56" s="145">
        <f t="shared" si="21"/>
        <v>1</v>
      </c>
      <c r="Y56" s="72">
        <f t="shared" si="22"/>
        <v>4.7500000000000001E-2</v>
      </c>
      <c r="Z56" s="72">
        <f t="shared" si="23"/>
        <v>23.3276</v>
      </c>
      <c r="AA56" s="72">
        <f t="shared" si="24"/>
        <v>23.280100000000001</v>
      </c>
      <c r="AB56" s="69">
        <f>VLOOKUP(A56,Enforcements!$C$7:$J$24,8,0)</f>
        <v>0</v>
      </c>
      <c r="AC56" s="65" t="str">
        <f>VLOOKUP(A56,Enforcements!$C$7:$E$24,3,0)</f>
        <v>PERMANENT SPEED RESTRICTION</v>
      </c>
      <c r="AD56" s="66" t="str">
        <f t="shared" si="25"/>
        <v>0143-06</v>
      </c>
      <c r="AE56" s="115" t="str">
        <f t="shared" si="26"/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AF56" s="112" t="str">
        <f t="shared" si="27"/>
        <v>"C:\Program Files (x86)\AstroGrep\AstroGrep.exe" /spath="%USERPROFILE%\AppData\Local\Temp\OnboardLogs" /stypes="*4042*20160806*" /stext=" 15:.+((SYSTEM_STATE.+slice.+state.+changed )|(ment ac)|(system.+state.+changed )|(\|lc)|(penalty)|(\[timeout)|(PRM\|1\|D)|(kpr)|(kdp))" /e /r /s</v>
      </c>
      <c r="AG56" s="1" t="str">
        <f t="shared" si="28"/>
        <v>EC</v>
      </c>
      <c r="AH56" s="116" t="str">
        <f t="shared" si="29"/>
        <v>"%USERPROFILE%\Documents\GitHub\eaglep3\Utilities\RefineRTDCRunTimes.py" --tripid 143-06 --locoid 4042 --swversion DE.1.0.7.0 --startMP 204:475 --initTime 2016-08-06T08:55:23 --startdatetime 2016-08-06T08:57:21 --delay 1 --endMP 204:233276 --enddatetime 2016-08-06T09:40:13 --enforcementcount 4</v>
      </c>
    </row>
    <row r="57" spans="1:34" x14ac:dyDescent="0.25">
      <c r="A57" s="42" t="s">
        <v>467</v>
      </c>
      <c r="B57" s="7">
        <v>4041</v>
      </c>
      <c r="C57" s="25" t="s">
        <v>156</v>
      </c>
      <c r="D57" s="25" t="s">
        <v>440</v>
      </c>
      <c r="E57" s="16">
        <v>42588.409988425927</v>
      </c>
      <c r="F57" s="16">
        <v>42588.411296296297</v>
      </c>
      <c r="G57" s="7">
        <v>1</v>
      </c>
      <c r="H57" s="16" t="s">
        <v>569</v>
      </c>
      <c r="I57" s="16">
        <v>42588.442627314813</v>
      </c>
      <c r="J57" s="7">
        <v>1</v>
      </c>
      <c r="K57" s="25" t="str">
        <f t="shared" si="16"/>
        <v>4041/4042</v>
      </c>
      <c r="L57" s="25" t="str">
        <f>VLOOKUP(A57,'Trips&amp;Operators'!$C$1:$E$10000,3,FALSE)</f>
        <v>STRICKLAND</v>
      </c>
      <c r="M57" s="6">
        <f t="shared" si="17"/>
        <v>3.1331018515629694E-2</v>
      </c>
      <c r="N57" s="7">
        <f t="shared" si="30"/>
        <v>45.116666662506759</v>
      </c>
      <c r="O57" s="7"/>
      <c r="P57" s="7"/>
      <c r="Q57" s="26"/>
      <c r="R57" s="26"/>
      <c r="S57" s="38">
        <f t="shared" si="31"/>
        <v>1</v>
      </c>
      <c r="T57" s="55" t="str">
        <f t="shared" si="18"/>
        <v>Southbound</v>
      </c>
      <c r="U57" s="15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57" s="57" t="str">
        <f t="shared" si="20"/>
        <v>N</v>
      </c>
      <c r="X57" s="145">
        <f t="shared" si="21"/>
        <v>1</v>
      </c>
      <c r="Y57" s="72">
        <f t="shared" si="22"/>
        <v>23.296600000000002</v>
      </c>
      <c r="Z57" s="72">
        <f t="shared" si="23"/>
        <v>0.12130000000000001</v>
      </c>
      <c r="AA57" s="72">
        <f t="shared" si="24"/>
        <v>23.1753</v>
      </c>
      <c r="AB57" s="69">
        <f>VLOOKUP(A57,Enforcements!$C$7:$J$24,8,0)</f>
        <v>30562</v>
      </c>
      <c r="AC57" s="65" t="str">
        <f>VLOOKUP(A57,Enforcements!$C$7:$E$24,3,0)</f>
        <v>PERMANENT SPEED RESTRICTION</v>
      </c>
      <c r="AD57" s="66" t="str">
        <f t="shared" si="25"/>
        <v>0144-06</v>
      </c>
      <c r="AE57" s="115" t="str">
        <f t="shared" si="26"/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AF57" s="112" t="str">
        <f t="shared" si="27"/>
        <v>"C:\Program Files (x86)\AstroGrep\AstroGrep.exe" /spath="%USERPROFILE%\AppData\Local\Temp\OnboardLogs" /stypes="*4041*20160806*" /stext=" 16:.+((SYSTEM_STATE.+slice.+state.+changed )|(ment ac)|(system.+state.+changed )|(\|lc)|(penalty)|(\[timeout)|(PRM\|1\|D)|(kpr)|(kdp))" /e /r /s</v>
      </c>
      <c r="AG57" s="1" t="str">
        <f t="shared" si="28"/>
        <v>EC</v>
      </c>
      <c r="AH57" s="116" t="str">
        <f t="shared" si="29"/>
        <v>"%USERPROFILE%\Documents\GitHub\eaglep3\Utilities\RefineRTDCRunTimes.py" --tripid 144-06 --locoid 4041 --swversion DE.1.0.7.0 --startMP 204:232966 --initTime 2016-08-06T09:50:23 --startdatetime 2016-08-06T09:52:16 --delay 1 --endMP 204:1213 --enddatetime 2016-08-06T10:37:23 --enforcementcount 1</v>
      </c>
    </row>
    <row r="58" spans="1:34" x14ac:dyDescent="0.25">
      <c r="A58" s="42" t="s">
        <v>570</v>
      </c>
      <c r="B58" s="7">
        <v>4027</v>
      </c>
      <c r="C58" s="25" t="s">
        <v>156</v>
      </c>
      <c r="D58" s="25" t="s">
        <v>558</v>
      </c>
      <c r="E58" s="16">
        <v>42588.382627314815</v>
      </c>
      <c r="F58" s="16">
        <v>42588.383553240739</v>
      </c>
      <c r="G58" s="7">
        <v>1</v>
      </c>
      <c r="H58" s="16" t="s">
        <v>328</v>
      </c>
      <c r="I58" s="16">
        <v>42588.410543981481</v>
      </c>
      <c r="J58" s="7">
        <v>0</v>
      </c>
      <c r="K58" s="25" t="str">
        <f t="shared" si="16"/>
        <v>4027/4028</v>
      </c>
      <c r="L58" s="25" t="str">
        <f>VLOOKUP(A58,'Trips&amp;Operators'!$C$1:$E$10000,3,FALSE)</f>
        <v>SANTIZO</v>
      </c>
      <c r="M58" s="6">
        <f t="shared" si="17"/>
        <v>2.6990740741894115E-2</v>
      </c>
      <c r="N58" s="7">
        <f t="shared" si="30"/>
        <v>38.866666668327525</v>
      </c>
      <c r="O58" s="7"/>
      <c r="P58" s="7"/>
      <c r="Q58" s="26"/>
      <c r="R58" s="26"/>
      <c r="S58" s="38">
        <f t="shared" si="31"/>
        <v>1</v>
      </c>
      <c r="T58" s="55" t="str">
        <f t="shared" si="18"/>
        <v>NorthBound</v>
      </c>
      <c r="U58" s="15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08:10:59-0600',mode:absolute,to:'2016-08-06 10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58" s="57" t="str">
        <f t="shared" si="20"/>
        <v>N</v>
      </c>
      <c r="X58" s="145">
        <f t="shared" si="21"/>
        <v>1</v>
      </c>
      <c r="Y58" s="72">
        <f t="shared" si="22"/>
        <v>4.6600000000000003E-2</v>
      </c>
      <c r="Z58" s="72">
        <f t="shared" si="23"/>
        <v>23.3278</v>
      </c>
      <c r="AA58" s="72">
        <f t="shared" si="24"/>
        <v>23.281199999999998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25"/>
        <v>0145-06</v>
      </c>
      <c r="AE58" s="115" t="str">
        <f t="shared" si="26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58" s="112" t="str">
        <f t="shared" si="27"/>
        <v>"C:\Program Files (x86)\AstroGrep\AstroGrep.exe" /spath="%USERPROFILE%\AppData\Local\Temp\OnboardLogs" /stypes="*4027*20160806*" /stext=" 15:.+((SYSTEM_STATE.+slice.+state.+changed )|(ment ac)|(system.+state.+changed )|(\|lc)|(penalty)|(\[timeout)|(PRM\|1\|D)|(kpr)|(kdp))" /e /r /s</v>
      </c>
      <c r="AG58" s="1" t="str">
        <f t="shared" si="28"/>
        <v>EC</v>
      </c>
      <c r="AH58" s="116" t="str">
        <f t="shared" si="29"/>
        <v>"%USERPROFILE%\Documents\GitHub\eaglep3\Utilities\RefineRTDCRunTimes.py" --tripid 145-06 --locoid 4027 --swversion DE.1.0.7.0 --startMP 204:466 --initTime 2016-08-06T09:10:59 --startdatetime 2016-08-06T09:12:19 --delay 1 --endMP 204:233278 --enddatetime 2016-08-06T09:51:11 --enforcementcount 0</v>
      </c>
    </row>
    <row r="59" spans="1:34" x14ac:dyDescent="0.25">
      <c r="A59" s="42" t="s">
        <v>466</v>
      </c>
      <c r="B59" s="7">
        <v>4028</v>
      </c>
      <c r="C59" s="25" t="s">
        <v>156</v>
      </c>
      <c r="D59" s="25" t="s">
        <v>571</v>
      </c>
      <c r="E59" s="16">
        <v>42588.412037037036</v>
      </c>
      <c r="F59" s="16">
        <v>42588.412893518522</v>
      </c>
      <c r="G59" s="7">
        <v>1</v>
      </c>
      <c r="H59" s="16" t="s">
        <v>572</v>
      </c>
      <c r="I59" s="16">
        <v>42588.451550925929</v>
      </c>
      <c r="J59" s="7">
        <v>1</v>
      </c>
      <c r="K59" s="25" t="str">
        <f t="shared" si="16"/>
        <v>4027/4028</v>
      </c>
      <c r="L59" s="25" t="str">
        <f>VLOOKUP(A59,'Trips&amp;Operators'!$C$1:$E$10000,3,FALSE)</f>
        <v>SANTIZO</v>
      </c>
      <c r="M59" s="6">
        <f t="shared" si="17"/>
        <v>3.8657407407299615E-2</v>
      </c>
      <c r="N59" s="7">
        <f t="shared" si="30"/>
        <v>55.666666666511446</v>
      </c>
      <c r="O59" s="7"/>
      <c r="P59" s="7"/>
      <c r="Q59" s="26"/>
      <c r="R59" s="26"/>
      <c r="S59" s="38">
        <f t="shared" si="31"/>
        <v>1</v>
      </c>
      <c r="T59" s="55" t="str">
        <f t="shared" si="18"/>
        <v>Southbound</v>
      </c>
      <c r="U59" s="15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9" s="57" t="str">
        <f t="shared" si="20"/>
        <v>N</v>
      </c>
      <c r="X59" s="145">
        <f t="shared" si="21"/>
        <v>1</v>
      </c>
      <c r="Y59" s="72">
        <f t="shared" si="22"/>
        <v>23.2973</v>
      </c>
      <c r="Z59" s="72">
        <f t="shared" si="23"/>
        <v>1.54E-2</v>
      </c>
      <c r="AA59" s="72">
        <f t="shared" si="24"/>
        <v>23.2819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5"/>
        <v>0146-06</v>
      </c>
      <c r="AE59" s="115" t="str">
        <f t="shared" si="26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59" s="112" t="str">
        <f t="shared" si="27"/>
        <v>"C:\Program Files (x86)\AstroGrep\AstroGrep.exe" /spath="%USERPROFILE%\AppData\Local\Temp\OnboardLogs" /stypes="*4028*20160806*" /stext=" 16:.+((SYSTEM_STATE.+slice.+state.+changed )|(ment ac)|(system.+state.+changed )|(\|lc)|(penalty)|(\[timeout)|(PRM\|1\|D)|(kpr)|(kdp))" /e /r /s</v>
      </c>
      <c r="AG59" s="1" t="str">
        <f t="shared" si="28"/>
        <v>EC</v>
      </c>
      <c r="AH59" s="116" t="str">
        <f t="shared" si="29"/>
        <v>"%USERPROFILE%\Documents\GitHub\eaglep3\Utilities\RefineRTDCRunTimes.py" --tripid 146-06 --locoid 4028 --swversion DE.1.0.7.0 --startMP 204:232973 --initTime 2016-08-06T09:53:20 --startdatetime 2016-08-06T09:54:34 --delay 1 --endMP 204:154 --enddatetime 2016-08-06T10:50:14 --enforcementcount 1</v>
      </c>
    </row>
    <row r="60" spans="1:34" x14ac:dyDescent="0.25">
      <c r="A60" s="42" t="s">
        <v>573</v>
      </c>
      <c r="B60" s="7">
        <v>4011</v>
      </c>
      <c r="C60" s="25" t="s">
        <v>156</v>
      </c>
      <c r="D60" s="25" t="s">
        <v>574</v>
      </c>
      <c r="E60" s="16">
        <v>42588.390092592592</v>
      </c>
      <c r="F60" s="16">
        <v>42588.391342592593</v>
      </c>
      <c r="G60" s="7">
        <v>1</v>
      </c>
      <c r="H60" s="16" t="s">
        <v>363</v>
      </c>
      <c r="I60" s="16">
        <v>42588.420983796299</v>
      </c>
      <c r="J60" s="7">
        <v>0</v>
      </c>
      <c r="K60" s="25" t="str">
        <f t="shared" si="16"/>
        <v>4011/4012</v>
      </c>
      <c r="L60" s="25" t="str">
        <f>VLOOKUP(A60,'Trips&amp;Operators'!$C$1:$E$10000,3,FALSE)</f>
        <v>ACKERMAN</v>
      </c>
      <c r="M60" s="6">
        <f t="shared" si="17"/>
        <v>2.9641203705978114E-2</v>
      </c>
      <c r="N60" s="7">
        <f t="shared" si="30"/>
        <v>42.683333336608484</v>
      </c>
      <c r="O60" s="7"/>
      <c r="P60" s="7"/>
      <c r="Q60" s="26"/>
      <c r="R60" s="26"/>
      <c r="S60" s="38">
        <f t="shared" si="31"/>
        <v>1</v>
      </c>
      <c r="T60" s="55" t="str">
        <f t="shared" si="18"/>
        <v>NorthBound</v>
      </c>
      <c r="U60" s="15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08:21:44-0600',mode:absolute,to:'2016-08-06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60" s="57" t="str">
        <f t="shared" si="20"/>
        <v>N</v>
      </c>
      <c r="X60" s="145">
        <f t="shared" si="21"/>
        <v>1</v>
      </c>
      <c r="Y60" s="72">
        <f t="shared" si="22"/>
        <v>4.3299999999999998E-2</v>
      </c>
      <c r="Z60" s="72">
        <f t="shared" si="23"/>
        <v>23.331499999999998</v>
      </c>
      <c r="AA60" s="72">
        <f t="shared" si="24"/>
        <v>23.2882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5"/>
        <v>0147-06</v>
      </c>
      <c r="AE60" s="115" t="str">
        <f t="shared" si="26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60" s="112" t="str">
        <f t="shared" si="27"/>
        <v>"C:\Program Files (x86)\AstroGrep\AstroGrep.exe" /spath="%USERPROFILE%\AppData\Local\Temp\OnboardLogs" /stypes="*4011*20160806*" /stext=" 16:.+((SYSTEM_STATE.+slice.+state.+changed )|(ment ac)|(system.+state.+changed )|(\|lc)|(penalty)|(\[timeout)|(PRM\|1\|D)|(kpr)|(kdp))" /e /r /s</v>
      </c>
      <c r="AG60" s="1" t="str">
        <f t="shared" si="28"/>
        <v>EC</v>
      </c>
      <c r="AH60" s="116" t="str">
        <f t="shared" si="29"/>
        <v>"%USERPROFILE%\Documents\GitHub\eaglep3\Utilities\RefineRTDCRunTimes.py" --tripid 147-06 --locoid 4011 --swversion DE.1.0.7.0 --startMP 204:433 --initTime 2016-08-06T09:21:44 --startdatetime 2016-08-06T09:23:32 --delay 1 --endMP 204:233315 --enddatetime 2016-08-06T10:06:13 --enforcementcount 0</v>
      </c>
    </row>
    <row r="61" spans="1:34" x14ac:dyDescent="0.25">
      <c r="A61" s="42" t="s">
        <v>575</v>
      </c>
      <c r="B61" s="7">
        <v>4012</v>
      </c>
      <c r="C61" s="25" t="s">
        <v>156</v>
      </c>
      <c r="D61" s="25" t="s">
        <v>303</v>
      </c>
      <c r="E61" s="16">
        <v>42588.429479166669</v>
      </c>
      <c r="F61" s="16">
        <v>42588.430486111109</v>
      </c>
      <c r="G61" s="7">
        <v>1</v>
      </c>
      <c r="H61" s="16" t="s">
        <v>99</v>
      </c>
      <c r="I61" s="16">
        <v>42588.463368055556</v>
      </c>
      <c r="J61" s="7">
        <v>0</v>
      </c>
      <c r="K61" s="25" t="str">
        <f t="shared" si="16"/>
        <v>4011/4012</v>
      </c>
      <c r="L61" s="25" t="str">
        <f>VLOOKUP(A61,'Trips&amp;Operators'!$C$1:$E$10000,3,FALSE)</f>
        <v>ACKERMAN</v>
      </c>
      <c r="M61" s="6">
        <f t="shared" si="17"/>
        <v>3.2881944447581191E-2</v>
      </c>
      <c r="N61" s="7">
        <f t="shared" si="30"/>
        <v>47.350000004516914</v>
      </c>
      <c r="O61" s="7"/>
      <c r="P61" s="7"/>
      <c r="Q61" s="26"/>
      <c r="R61" s="26"/>
      <c r="S61" s="38">
        <f t="shared" si="31"/>
        <v>1</v>
      </c>
      <c r="T61" s="55" t="str">
        <f t="shared" si="18"/>
        <v>Southbound</v>
      </c>
      <c r="U61" s="15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09:18:27-0600',mode:absolute,to:'2016-08-06 12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61" s="57" t="str">
        <f t="shared" si="20"/>
        <v>N</v>
      </c>
      <c r="X61" s="145">
        <f t="shared" si="21"/>
        <v>1</v>
      </c>
      <c r="Y61" s="72">
        <f t="shared" si="22"/>
        <v>23.3004</v>
      </c>
      <c r="Z61" s="72">
        <f t="shared" si="23"/>
        <v>1.43E-2</v>
      </c>
      <c r="AA61" s="72">
        <f t="shared" si="24"/>
        <v>23.286100000000001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5"/>
        <v>0148-06</v>
      </c>
      <c r="AE61" s="115" t="str">
        <f t="shared" si="26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61" s="112" t="str">
        <f t="shared" si="27"/>
        <v>"C:\Program Files (x86)\AstroGrep\AstroGrep.exe" /spath="%USERPROFILE%\AppData\Local\Temp\OnboardLogs" /stypes="*4012*20160806*" /stext=" 17:.+((SYSTEM_STATE.+slice.+state.+changed )|(ment ac)|(system.+state.+changed )|(\|lc)|(penalty)|(\[timeout)|(PRM\|1\|D)|(kpr)|(kdp))" /e /r /s</v>
      </c>
      <c r="AG61" s="1" t="str">
        <f t="shared" si="28"/>
        <v>EC</v>
      </c>
      <c r="AH61" s="116" t="str">
        <f t="shared" si="29"/>
        <v>"%USERPROFILE%\Documents\GitHub\eaglep3\Utilities\RefineRTDCRunTimes.py" --tripid 148-06 --locoid 4012 --swversion DE.1.0.7.0 --startMP 204:233004 --initTime 2016-08-06T10:18:27 --startdatetime 2016-08-06T10:19:54 --delay 1 --endMP 204:143 --enddatetime 2016-08-06T11:07:15 --enforcementcount 0</v>
      </c>
    </row>
    <row r="62" spans="1:34" x14ac:dyDescent="0.25">
      <c r="A62" s="42" t="s">
        <v>576</v>
      </c>
      <c r="B62" s="7">
        <v>4025</v>
      </c>
      <c r="C62" s="25" t="s">
        <v>156</v>
      </c>
      <c r="D62" s="25" t="s">
        <v>298</v>
      </c>
      <c r="E62" s="16">
        <v>42588.40179398148</v>
      </c>
      <c r="F62" s="16">
        <v>42588.40253472222</v>
      </c>
      <c r="G62" s="7">
        <v>1</v>
      </c>
      <c r="H62" s="16" t="s">
        <v>436</v>
      </c>
      <c r="I62" s="16">
        <v>42588.431886574072</v>
      </c>
      <c r="J62" s="7">
        <v>0</v>
      </c>
      <c r="K62" s="25" t="str">
        <f t="shared" si="16"/>
        <v>4025/4026</v>
      </c>
      <c r="L62" s="25" t="str">
        <f>VLOOKUP(A62,'Trips&amp;Operators'!$C$1:$E$10000,3,FALSE)</f>
        <v>DAVIS</v>
      </c>
      <c r="M62" s="6">
        <f t="shared" si="17"/>
        <v>2.9351851851970423E-2</v>
      </c>
      <c r="N62" s="7">
        <f t="shared" si="30"/>
        <v>42.266666666837409</v>
      </c>
      <c r="O62" s="7"/>
      <c r="P62" s="7"/>
      <c r="Q62" s="26"/>
      <c r="R62" s="26"/>
      <c r="S62" s="38">
        <f t="shared" si="31"/>
        <v>1</v>
      </c>
      <c r="T62" s="55" t="str">
        <f t="shared" si="18"/>
        <v>NorthBound</v>
      </c>
      <c r="U62" s="15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08:38:35-0600',mode:absolute,to:'2016-08-06 11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62" s="57" t="str">
        <f t="shared" si="20"/>
        <v>N</v>
      </c>
      <c r="X62" s="145">
        <f t="shared" si="21"/>
        <v>1</v>
      </c>
      <c r="Y62" s="72">
        <f t="shared" si="22"/>
        <v>4.4699999999999997E-2</v>
      </c>
      <c r="Z62" s="72">
        <f t="shared" si="23"/>
        <v>23.328399999999998</v>
      </c>
      <c r="AA62" s="72">
        <f t="shared" si="24"/>
        <v>23.2837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5"/>
        <v>0149-06</v>
      </c>
      <c r="AE62" s="115" t="str">
        <f t="shared" si="26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62" s="112" t="str">
        <f t="shared" si="27"/>
        <v>"C:\Program Files (x86)\AstroGrep\AstroGrep.exe" /spath="%USERPROFILE%\AppData\Local\Temp\OnboardLogs" /stypes="*4025*20160806*" /stext=" 16:.+((SYSTEM_STATE.+slice.+state.+changed )|(ment ac)|(system.+state.+changed )|(\|lc)|(penalty)|(\[timeout)|(PRM\|1\|D)|(kpr)|(kdp))" /e /r /s</v>
      </c>
      <c r="AG62" s="1" t="str">
        <f t="shared" si="28"/>
        <v>EC</v>
      </c>
      <c r="AH62" s="116" t="str">
        <f t="shared" si="29"/>
        <v>"%USERPROFILE%\Documents\GitHub\eaglep3\Utilities\RefineRTDCRunTimes.py" --tripid 149-06 --locoid 4025 --swversion DE.1.0.7.0 --startMP 204:447 --initTime 2016-08-06T09:38:35 --startdatetime 2016-08-06T09:39:39 --delay 1 --endMP 204:233284 --enddatetime 2016-08-06T10:21:55 --enforcementcount 0</v>
      </c>
    </row>
    <row r="63" spans="1:34" x14ac:dyDescent="0.25">
      <c r="A63" s="42" t="s">
        <v>577</v>
      </c>
      <c r="B63" s="7">
        <v>4026</v>
      </c>
      <c r="C63" s="25" t="s">
        <v>156</v>
      </c>
      <c r="D63" s="25" t="s">
        <v>571</v>
      </c>
      <c r="E63" s="16">
        <v>42588.440983796296</v>
      </c>
      <c r="F63" s="16">
        <v>42588.44189814815</v>
      </c>
      <c r="G63" s="7">
        <v>1</v>
      </c>
      <c r="H63" s="16" t="s">
        <v>578</v>
      </c>
      <c r="I63" s="16">
        <v>42588.472199074073</v>
      </c>
      <c r="J63" s="7">
        <v>0</v>
      </c>
      <c r="K63" s="25" t="str">
        <f t="shared" si="16"/>
        <v>4025/4026</v>
      </c>
      <c r="L63" s="25" t="str">
        <f>VLOOKUP(A63,'Trips&amp;Operators'!$C$1:$E$10000,3,FALSE)</f>
        <v>DAVIS</v>
      </c>
      <c r="M63" s="6">
        <f t="shared" si="17"/>
        <v>3.0300925922347233E-2</v>
      </c>
      <c r="N63" s="7">
        <f t="shared" si="30"/>
        <v>43.633333328180015</v>
      </c>
      <c r="O63" s="7"/>
      <c r="P63" s="7"/>
      <c r="Q63" s="26"/>
      <c r="R63" s="26"/>
      <c r="S63" s="38">
        <f t="shared" si="31"/>
        <v>1</v>
      </c>
      <c r="T63" s="55" t="str">
        <f t="shared" si="18"/>
        <v>Southbound</v>
      </c>
      <c r="U63" s="15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09:35:01-0600',mode:absolute,to:'2016-08-06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63" s="57" t="str">
        <f t="shared" si="20"/>
        <v>N</v>
      </c>
      <c r="X63" s="145">
        <f t="shared" si="21"/>
        <v>1</v>
      </c>
      <c r="Y63" s="72">
        <f t="shared" si="22"/>
        <v>23.2973</v>
      </c>
      <c r="Z63" s="72">
        <f t="shared" si="23"/>
        <v>1.4500000000000001E-2</v>
      </c>
      <c r="AA63" s="72">
        <f t="shared" si="24"/>
        <v>23.282799999999998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25"/>
        <v>0150-06</v>
      </c>
      <c r="AE63" s="115" t="str">
        <f t="shared" si="26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63" s="112" t="str">
        <f t="shared" si="27"/>
        <v>"C:\Program Files (x86)\AstroGrep\AstroGrep.exe" /spath="%USERPROFILE%\AppData\Local\Temp\OnboardLogs" /stypes="*4026*20160806*" /stext=" 17:.+((SYSTEM_STATE.+slice.+state.+changed )|(ment ac)|(system.+state.+changed )|(\|lc)|(penalty)|(\[timeout)|(PRM\|1\|D)|(kpr)|(kdp))" /e /r /s</v>
      </c>
      <c r="AG63" s="1" t="str">
        <f t="shared" si="28"/>
        <v>EC</v>
      </c>
      <c r="AH63" s="116" t="str">
        <f t="shared" si="29"/>
        <v>"%USERPROFILE%\Documents\GitHub\eaglep3\Utilities\RefineRTDCRunTimes.py" --tripid 150-06 --locoid 4026 --swversion DE.1.0.7.0 --startMP 204:232973 --initTime 2016-08-06T10:35:01 --startdatetime 2016-08-06T10:36:20 --delay 1 --endMP 204:145 --enddatetime 2016-08-06T11:19:58 --enforcementcount 0</v>
      </c>
    </row>
    <row r="64" spans="1:34" x14ac:dyDescent="0.25">
      <c r="A64" s="42" t="s">
        <v>579</v>
      </c>
      <c r="B64" s="7">
        <v>4009</v>
      </c>
      <c r="C64" s="25" t="s">
        <v>156</v>
      </c>
      <c r="D64" s="25" t="s">
        <v>401</v>
      </c>
      <c r="E64" s="16">
        <v>42588.412488425929</v>
      </c>
      <c r="F64" s="16">
        <v>42588.414351851854</v>
      </c>
      <c r="G64" s="7">
        <v>2</v>
      </c>
      <c r="H64" s="16" t="s">
        <v>580</v>
      </c>
      <c r="I64" s="16">
        <v>42588.443622685183</v>
      </c>
      <c r="J64" s="7">
        <v>0</v>
      </c>
      <c r="K64" s="25" t="str">
        <f t="shared" si="16"/>
        <v>4009/4010</v>
      </c>
      <c r="L64" s="25" t="str">
        <f>VLOOKUP(A64,'Trips&amp;Operators'!$C$1:$E$10000,3,FALSE)</f>
        <v>STORY</v>
      </c>
      <c r="M64" s="6">
        <f t="shared" si="17"/>
        <v>2.9270833329064772E-2</v>
      </c>
      <c r="N64" s="7">
        <f t="shared" si="30"/>
        <v>42.149999993853271</v>
      </c>
      <c r="O64" s="7"/>
      <c r="P64" s="7"/>
      <c r="Q64" s="26"/>
      <c r="R64" s="26"/>
      <c r="S64" s="38">
        <f t="shared" si="31"/>
        <v>1</v>
      </c>
      <c r="T64" s="55" t="str">
        <f t="shared" si="18"/>
        <v>NorthBound</v>
      </c>
      <c r="U64" s="15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08:53:59-0600',mode:absolute,to:'2016-08-06 11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64" s="57" t="str">
        <f t="shared" si="20"/>
        <v>N</v>
      </c>
      <c r="X64" s="145">
        <f t="shared" si="21"/>
        <v>1</v>
      </c>
      <c r="Y64" s="72">
        <f t="shared" si="22"/>
        <v>4.7100000000000003E-2</v>
      </c>
      <c r="Z64" s="72">
        <f t="shared" si="23"/>
        <v>23.336600000000001</v>
      </c>
      <c r="AA64" s="72">
        <f t="shared" si="24"/>
        <v>23.2895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5"/>
        <v>0151-06</v>
      </c>
      <c r="AE64" s="115" t="str">
        <f t="shared" si="26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64" s="112" t="str">
        <f t="shared" si="27"/>
        <v>"C:\Program Files (x86)\AstroGrep\AstroGrep.exe" /spath="%USERPROFILE%\AppData\Local\Temp\OnboardLogs" /stypes="*4009*20160806*" /stext=" 16:.+((SYSTEM_STATE.+slice.+state.+changed )|(ment ac)|(system.+state.+changed )|(\|lc)|(penalty)|(\[timeout)|(PRM\|1\|D)|(kpr)|(kdp))" /e /r /s</v>
      </c>
      <c r="AG64" s="1" t="str">
        <f t="shared" si="28"/>
        <v>EC</v>
      </c>
      <c r="AH64" s="116" t="str">
        <f t="shared" si="29"/>
        <v>"%USERPROFILE%\Documents\GitHub\eaglep3\Utilities\RefineRTDCRunTimes.py" --tripid 151-06 --locoid 4009 --swversion DE.1.0.7.0 --startMP 204:471 --initTime 2016-08-06T09:53:59 --startdatetime 2016-08-06T09:56:40 --delay 2 --endMP 204:233366 --enddatetime 2016-08-06T10:38:49 --enforcementcount 0</v>
      </c>
    </row>
    <row r="65" spans="1:34" x14ac:dyDescent="0.25">
      <c r="A65" s="42" t="s">
        <v>468</v>
      </c>
      <c r="B65" s="7">
        <v>4010</v>
      </c>
      <c r="C65" s="25" t="s">
        <v>156</v>
      </c>
      <c r="D65" s="25" t="s">
        <v>581</v>
      </c>
      <c r="E65" s="16">
        <v>42588.452777777777</v>
      </c>
      <c r="F65" s="16">
        <v>42588.453831018516</v>
      </c>
      <c r="G65" s="7">
        <v>1</v>
      </c>
      <c r="H65" s="16" t="s">
        <v>582</v>
      </c>
      <c r="I65" s="16">
        <v>42588.48400462963</v>
      </c>
      <c r="J65" s="7">
        <v>2</v>
      </c>
      <c r="K65" s="25" t="str">
        <f t="shared" si="16"/>
        <v>4009/4010</v>
      </c>
      <c r="L65" s="25" t="str">
        <f>VLOOKUP(A65,'Trips&amp;Operators'!$C$1:$E$10000,3,FALSE)</f>
        <v>STORY</v>
      </c>
      <c r="M65" s="6">
        <f t="shared" si="17"/>
        <v>3.0173611114150845E-2</v>
      </c>
      <c r="N65" s="7">
        <f t="shared" si="30"/>
        <v>43.450000004377216</v>
      </c>
      <c r="O65" s="7"/>
      <c r="P65" s="7"/>
      <c r="Q65" s="26"/>
      <c r="R65" s="26"/>
      <c r="S65" s="38">
        <f t="shared" si="31"/>
        <v>1</v>
      </c>
      <c r="T65" s="55" t="str">
        <f t="shared" si="18"/>
        <v>Southbound</v>
      </c>
      <c r="U65" s="15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65" s="57" t="str">
        <f t="shared" si="20"/>
        <v>N</v>
      </c>
      <c r="X65" s="145">
        <f t="shared" si="21"/>
        <v>1</v>
      </c>
      <c r="Y65" s="72">
        <f t="shared" si="22"/>
        <v>23.3094</v>
      </c>
      <c r="Z65" s="72">
        <f t="shared" si="23"/>
        <v>1.6500000000000001E-2</v>
      </c>
      <c r="AA65" s="72">
        <f t="shared" si="24"/>
        <v>23.292899999999999</v>
      </c>
      <c r="AB65" s="69">
        <f>VLOOKUP(A65,Enforcements!$C$7:$J$24,8,0)</f>
        <v>21848</v>
      </c>
      <c r="AC65" s="65" t="str">
        <f>VLOOKUP(A65,Enforcements!$C$7:$E$24,3,0)</f>
        <v>PERMANENT SPEED RESTRICTION</v>
      </c>
      <c r="AD65" s="66" t="str">
        <f t="shared" si="25"/>
        <v>0152-06</v>
      </c>
      <c r="AE65" s="115" t="str">
        <f t="shared" si="26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65" s="112" t="str">
        <f t="shared" si="27"/>
        <v>"C:\Program Files (x86)\AstroGrep\AstroGrep.exe" /spath="%USERPROFILE%\AppData\Local\Temp\OnboardLogs" /stypes="*4010*20160806*" /stext=" 17:.+((SYSTEM_STATE.+slice.+state.+changed )|(ment ac)|(system.+state.+changed )|(\|lc)|(penalty)|(\[timeout)|(PRM\|1\|D)|(kpr)|(kdp))" /e /r /s</v>
      </c>
      <c r="AG65" s="1" t="str">
        <f t="shared" si="28"/>
        <v>EC</v>
      </c>
      <c r="AH65" s="116" t="str">
        <f t="shared" si="29"/>
        <v>"%USERPROFILE%\Documents\GitHub\eaglep3\Utilities\RefineRTDCRunTimes.py" --tripid 152-06 --locoid 4010 --swversion DE.1.0.7.0 --startMP 204:233094 --initTime 2016-08-06T10:52:00 --startdatetime 2016-08-06T10:53:31 --delay 1 --endMP 204:165 --enddatetime 2016-08-06T11:36:58 --enforcementcount 2</v>
      </c>
    </row>
    <row r="66" spans="1:34" x14ac:dyDescent="0.25">
      <c r="A66" s="42" t="s">
        <v>583</v>
      </c>
      <c r="B66" s="7">
        <v>4018</v>
      </c>
      <c r="C66" s="25" t="s">
        <v>156</v>
      </c>
      <c r="D66" s="25" t="s">
        <v>115</v>
      </c>
      <c r="E66" s="16">
        <v>42588.424803240741</v>
      </c>
      <c r="F66" s="16">
        <v>42588.425798611112</v>
      </c>
      <c r="G66" s="7">
        <v>1</v>
      </c>
      <c r="H66" s="16" t="s">
        <v>369</v>
      </c>
      <c r="I66" s="16">
        <v>42588.451956018522</v>
      </c>
      <c r="J66" s="7">
        <v>0</v>
      </c>
      <c r="K66" s="25" t="str">
        <f t="shared" si="16"/>
        <v>4017/4018</v>
      </c>
      <c r="L66" s="25" t="str">
        <f>VLOOKUP(A66,'Trips&amp;Operators'!$C$1:$E$10000,3,FALSE)</f>
        <v>GEBRETEKLE</v>
      </c>
      <c r="M66" s="6">
        <f t="shared" si="17"/>
        <v>2.6157407410209998E-2</v>
      </c>
      <c r="N66" s="7">
        <f t="shared" si="30"/>
        <v>37.666666670702398</v>
      </c>
      <c r="O66" s="7"/>
      <c r="P66" s="7"/>
      <c r="Q66" s="26"/>
      <c r="R66" s="26"/>
      <c r="S66" s="38">
        <f t="shared" si="31"/>
        <v>1</v>
      </c>
      <c r="T66" s="55" t="str">
        <f t="shared" si="18"/>
        <v>NorthBound</v>
      </c>
      <c r="U66" s="15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09:11:43-0600',mode:absolute,to:'2016-08-06 11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6" s="57" t="str">
        <f t="shared" si="20"/>
        <v>N</v>
      </c>
      <c r="X66" s="145">
        <f t="shared" si="21"/>
        <v>1</v>
      </c>
      <c r="Y66" s="72">
        <f t="shared" si="22"/>
        <v>4.58E-2</v>
      </c>
      <c r="Z66" s="72">
        <f t="shared" si="23"/>
        <v>23.331800000000001</v>
      </c>
      <c r="AA66" s="72">
        <f t="shared" si="24"/>
        <v>23.286000000000001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25"/>
        <v>0153-06</v>
      </c>
      <c r="AE66" s="115" t="str">
        <f t="shared" si="26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66" s="112" t="str">
        <f t="shared" si="27"/>
        <v>"C:\Program Files (x86)\AstroGrep\AstroGrep.exe" /spath="%USERPROFILE%\AppData\Local\Temp\OnboardLogs" /stypes="*4018*20160806*" /stext=" 16:.+((SYSTEM_STATE.+slice.+state.+changed )|(ment ac)|(system.+state.+changed )|(\|lc)|(penalty)|(\[timeout)|(PRM\|1\|D)|(kpr)|(kdp))" /e /r /s</v>
      </c>
      <c r="AG66" s="1" t="str">
        <f t="shared" si="28"/>
        <v>EC</v>
      </c>
      <c r="AH66" s="116" t="str">
        <f t="shared" si="29"/>
        <v>"%USERPROFILE%\Documents\GitHub\eaglep3\Utilities\RefineRTDCRunTimes.py" --tripid 153-06 --locoid 4018 --swversion DE.1.0.7.0 --startMP 204:458 --initTime 2016-08-06T10:11:43 --startdatetime 2016-08-06T10:13:09 --delay 1 --endMP 204:233318 --enddatetime 2016-08-06T10:50:49 --enforcementcount 0</v>
      </c>
    </row>
    <row r="67" spans="1:34" x14ac:dyDescent="0.25">
      <c r="A67" s="42" t="s">
        <v>584</v>
      </c>
      <c r="B67" s="7">
        <v>4017</v>
      </c>
      <c r="C67" s="25" t="s">
        <v>156</v>
      </c>
      <c r="D67" s="25" t="s">
        <v>585</v>
      </c>
      <c r="E67" s="16">
        <v>42588.459201388891</v>
      </c>
      <c r="F67" s="16">
        <v>42588.459826388891</v>
      </c>
      <c r="G67" s="7">
        <v>0</v>
      </c>
      <c r="H67" s="16" t="s">
        <v>564</v>
      </c>
      <c r="I67" s="16">
        <v>42588.492372685185</v>
      </c>
      <c r="J67" s="7">
        <v>0</v>
      </c>
      <c r="K67" s="25" t="str">
        <f t="shared" si="16"/>
        <v>4017/4018</v>
      </c>
      <c r="L67" s="25" t="str">
        <f>VLOOKUP(A67,'Trips&amp;Operators'!$C$1:$E$10000,3,FALSE)</f>
        <v>GEBRETEKLE</v>
      </c>
      <c r="M67" s="6">
        <f t="shared" si="17"/>
        <v>3.2546296293730848E-2</v>
      </c>
      <c r="N67" s="7">
        <f t="shared" si="30"/>
        <v>46.86666666297242</v>
      </c>
      <c r="O67" s="7"/>
      <c r="P67" s="7"/>
      <c r="Q67" s="26"/>
      <c r="R67" s="26"/>
      <c r="S67" s="38">
        <f t="shared" si="31"/>
        <v>1</v>
      </c>
      <c r="T67" s="55" t="str">
        <f t="shared" si="18"/>
        <v>Southbound</v>
      </c>
      <c r="U67" s="15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10:01:15-0600',mode:absolute,to:'2016-08-06 12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7" s="57" t="str">
        <f t="shared" si="20"/>
        <v>N</v>
      </c>
      <c r="X67" s="145">
        <f t="shared" si="21"/>
        <v>1</v>
      </c>
      <c r="Y67" s="72">
        <f t="shared" si="22"/>
        <v>23.3005</v>
      </c>
      <c r="Z67" s="72">
        <f t="shared" si="23"/>
        <v>1.49E-2</v>
      </c>
      <c r="AA67" s="72">
        <f t="shared" si="24"/>
        <v>23.285599999999999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5"/>
        <v>0154-06</v>
      </c>
      <c r="AE67" s="115" t="str">
        <f t="shared" si="26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67" s="112" t="str">
        <f t="shared" si="27"/>
        <v>"C:\Program Files (x86)\AstroGrep\AstroGrep.exe" /spath="%USERPROFILE%\AppData\Local\Temp\OnboardLogs" /stypes="*4017*20160806*" /stext=" 17:.+((SYSTEM_STATE.+slice.+state.+changed )|(ment ac)|(system.+state.+changed )|(\|lc)|(penalty)|(\[timeout)|(PRM\|1\|D)|(kpr)|(kdp))" /e /r /s</v>
      </c>
      <c r="AG67" s="1" t="str">
        <f t="shared" si="28"/>
        <v>EC</v>
      </c>
      <c r="AH67" s="116" t="str">
        <f t="shared" si="29"/>
        <v>"%USERPROFILE%\Documents\GitHub\eaglep3\Utilities\RefineRTDCRunTimes.py" --tripid 154-06 --locoid 4017 --swversion DE.1.0.7.0 --startMP 204:233005 --initTime 2016-08-06T11:01:15 --startdatetime 2016-08-06T11:02:09 --delay 0 --endMP 204:149 --enddatetime 2016-08-06T11:49:01 --enforcementcount 0</v>
      </c>
    </row>
    <row r="68" spans="1:34" s="24" customFormat="1" x14ac:dyDescent="0.25">
      <c r="A68" s="42" t="s">
        <v>586</v>
      </c>
      <c r="B68" s="7">
        <v>4014</v>
      </c>
      <c r="C68" s="25" t="s">
        <v>156</v>
      </c>
      <c r="D68" s="25" t="s">
        <v>300</v>
      </c>
      <c r="E68" s="16">
        <v>42588.432141203702</v>
      </c>
      <c r="F68" s="16">
        <v>42588.433935185189</v>
      </c>
      <c r="G68" s="7">
        <v>2</v>
      </c>
      <c r="H68" s="16" t="s">
        <v>306</v>
      </c>
      <c r="I68" s="16">
        <v>42588.46361111111</v>
      </c>
      <c r="J68" s="7">
        <v>0</v>
      </c>
      <c r="K68" s="25" t="str">
        <f t="shared" si="16"/>
        <v>4013/4014</v>
      </c>
      <c r="L68" s="25" t="str">
        <f>VLOOKUP(A68,'Trips&amp;Operators'!$C$1:$E$10000,3,FALSE)</f>
        <v>MAYBERRY</v>
      </c>
      <c r="M68" s="6">
        <f t="shared" si="17"/>
        <v>2.9675925921765156E-2</v>
      </c>
      <c r="N68" s="7">
        <f t="shared" si="30"/>
        <v>42.733333327341825</v>
      </c>
      <c r="O68" s="7"/>
      <c r="P68" s="7"/>
      <c r="Q68" s="26"/>
      <c r="R68" s="26"/>
      <c r="S68" s="38">
        <f t="shared" si="31"/>
        <v>1</v>
      </c>
      <c r="T68" s="55" t="str">
        <f t="shared" si="18"/>
        <v>NorthBound</v>
      </c>
      <c r="U68" s="15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09:22:17-0600',mode:absolute,to:'2016-08-06 12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68" s="57" t="str">
        <f t="shared" si="20"/>
        <v>N</v>
      </c>
      <c r="X68" s="145">
        <f t="shared" si="21"/>
        <v>1</v>
      </c>
      <c r="Y68" s="72">
        <f t="shared" si="22"/>
        <v>4.5699999999999998E-2</v>
      </c>
      <c r="Z68" s="72">
        <f t="shared" si="23"/>
        <v>23.329699999999999</v>
      </c>
      <c r="AA68" s="72">
        <f t="shared" si="24"/>
        <v>23.283999999999999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5"/>
        <v>0155-06</v>
      </c>
      <c r="AE68" s="115" t="str">
        <f t="shared" si="26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68" s="112" t="str">
        <f t="shared" si="27"/>
        <v>"C:\Program Files (x86)\AstroGrep\AstroGrep.exe" /spath="%USERPROFILE%\AppData\Local\Temp\OnboardLogs" /stypes="*4014*20160806*" /stext=" 17:.+((SYSTEM_STATE.+slice.+state.+changed )|(ment ac)|(system.+state.+changed )|(\|lc)|(penalty)|(\[timeout)|(PRM\|1\|D)|(kpr)|(kdp))" /e /r /s</v>
      </c>
      <c r="AG68" s="1" t="str">
        <f t="shared" si="28"/>
        <v>EC</v>
      </c>
      <c r="AH68" s="116" t="str">
        <f t="shared" si="29"/>
        <v>"%USERPROFILE%\Documents\GitHub\eaglep3\Utilities\RefineRTDCRunTimes.py" --tripid 155-06 --locoid 4014 --swversion DE.1.0.7.0 --startMP 204:457 --initTime 2016-08-06T10:22:17 --startdatetime 2016-08-06T10:24:52 --delay 2 --endMP 204:233297 --enddatetime 2016-08-06T11:07:36 --enforcementcount 0</v>
      </c>
    </row>
    <row r="69" spans="1:34" x14ac:dyDescent="0.25">
      <c r="A69" s="42" t="s">
        <v>587</v>
      </c>
      <c r="B69" s="7">
        <v>4013</v>
      </c>
      <c r="C69" s="25" t="s">
        <v>156</v>
      </c>
      <c r="D69" s="25" t="s">
        <v>588</v>
      </c>
      <c r="E69" s="16">
        <v>42588.472002314818</v>
      </c>
      <c r="F69" s="16">
        <v>42588.473252314812</v>
      </c>
      <c r="G69" s="7">
        <v>1</v>
      </c>
      <c r="H69" s="16" t="s">
        <v>582</v>
      </c>
      <c r="I69" s="16">
        <v>42588.503171296295</v>
      </c>
      <c r="J69" s="7">
        <v>0</v>
      </c>
      <c r="K69" s="25" t="str">
        <f t="shared" si="16"/>
        <v>4013/4014</v>
      </c>
      <c r="L69" s="25" t="str">
        <f>VLOOKUP(A69,'Trips&amp;Operators'!$C$1:$E$10000,3,FALSE)</f>
        <v>MAYBERRY</v>
      </c>
      <c r="M69" s="6">
        <f t="shared" si="17"/>
        <v>2.9918981483206153E-2</v>
      </c>
      <c r="N69" s="7">
        <f t="shared" si="30"/>
        <v>43.08333333581686</v>
      </c>
      <c r="O69" s="7"/>
      <c r="P69" s="7"/>
      <c r="Q69" s="26"/>
      <c r="R69" s="26"/>
      <c r="S69" s="38">
        <f t="shared" si="31"/>
        <v>1</v>
      </c>
      <c r="T69" s="55" t="str">
        <f t="shared" si="18"/>
        <v>Southbound</v>
      </c>
      <c r="U69" s="15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10:19:41-0600',mode:absolute,to:'2016-08-06 13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69" s="57" t="str">
        <f t="shared" si="20"/>
        <v>N</v>
      </c>
      <c r="X69" s="145">
        <f t="shared" si="21"/>
        <v>1</v>
      </c>
      <c r="Y69" s="72">
        <f t="shared" si="22"/>
        <v>23.2974</v>
      </c>
      <c r="Z69" s="72">
        <f t="shared" si="23"/>
        <v>1.6500000000000001E-2</v>
      </c>
      <c r="AA69" s="72">
        <f t="shared" si="24"/>
        <v>23.280899999999999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5"/>
        <v>0156-06</v>
      </c>
      <c r="AE69" s="115" t="str">
        <f t="shared" si="26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69" s="112" t="str">
        <f t="shared" si="27"/>
        <v>"C:\Program Files (x86)\AstroGrep\AstroGrep.exe" /spath="%USERPROFILE%\AppData\Local\Temp\OnboardLogs" /stypes="*4013*20160806*" /stext=" 18:.+((SYSTEM_STATE.+slice.+state.+changed )|(ment ac)|(system.+state.+changed )|(\|lc)|(penalty)|(\[timeout)|(PRM\|1\|D)|(kpr)|(kdp))" /e /r /s</v>
      </c>
      <c r="AG69" s="1" t="str">
        <f t="shared" si="28"/>
        <v>EC</v>
      </c>
      <c r="AH69" s="116" t="str">
        <f t="shared" si="29"/>
        <v>"%USERPROFILE%\Documents\GitHub\eaglep3\Utilities\RefineRTDCRunTimes.py" --tripid 156-06 --locoid 4013 --swversion DE.1.0.7.0 --startMP 204:232974 --initTime 2016-08-06T11:19:41 --startdatetime 2016-08-06T11:21:29 --delay 1 --endMP 204:165 --enddatetime 2016-08-06T12:04:34 --enforcementcount 0</v>
      </c>
    </row>
    <row r="70" spans="1:34" s="24" customFormat="1" x14ac:dyDescent="0.25">
      <c r="A70" s="42" t="s">
        <v>469</v>
      </c>
      <c r="B70" s="7">
        <v>4031</v>
      </c>
      <c r="C70" s="25" t="s">
        <v>156</v>
      </c>
      <c r="D70" s="25" t="s">
        <v>136</v>
      </c>
      <c r="E70" s="16">
        <v>42588.446875000001</v>
      </c>
      <c r="F70" s="16">
        <v>42588.448078703703</v>
      </c>
      <c r="G70" s="7">
        <v>1</v>
      </c>
      <c r="H70" s="16" t="s">
        <v>589</v>
      </c>
      <c r="I70" s="16">
        <v>42588.474363425928</v>
      </c>
      <c r="J70" s="7">
        <v>1</v>
      </c>
      <c r="K70" s="25" t="str">
        <f t="shared" si="16"/>
        <v>4031/4032</v>
      </c>
      <c r="L70" s="25" t="str">
        <f>VLOOKUP(A70,'Trips&amp;Operators'!$C$1:$E$10000,3,FALSE)</f>
        <v>STRICKLAND</v>
      </c>
      <c r="M70" s="6">
        <f t="shared" si="17"/>
        <v>2.6284722225682344E-2</v>
      </c>
      <c r="N70" s="7">
        <f t="shared" si="30"/>
        <v>37.850000004982576</v>
      </c>
      <c r="O70" s="7"/>
      <c r="P70" s="7"/>
      <c r="Q70" s="26"/>
      <c r="R70" s="26"/>
      <c r="S70" s="38">
        <f t="shared" si="31"/>
        <v>1</v>
      </c>
      <c r="T70" s="55" t="str">
        <f t="shared" si="18"/>
        <v>NorthBound</v>
      </c>
      <c r="U70" s="15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70" s="57" t="str">
        <f t="shared" si="20"/>
        <v>N</v>
      </c>
      <c r="X70" s="145">
        <f t="shared" si="21"/>
        <v>1</v>
      </c>
      <c r="Y70" s="72">
        <f t="shared" si="22"/>
        <v>4.6399999999999997E-2</v>
      </c>
      <c r="Z70" s="72">
        <f t="shared" si="23"/>
        <v>23.325500000000002</v>
      </c>
      <c r="AA70" s="72">
        <f t="shared" si="24"/>
        <v>23.279100000000003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25"/>
        <v>0157-06</v>
      </c>
      <c r="AE70" s="115" t="str">
        <f t="shared" si="26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70" s="112" t="str">
        <f t="shared" si="27"/>
        <v>"C:\Program Files (x86)\AstroGrep\AstroGrep.exe" /spath="%USERPROFILE%\AppData\Local\Temp\OnboardLogs" /stypes="*4031*20160806*" /stext=" 17:.+((SYSTEM_STATE.+slice.+state.+changed )|(ment ac)|(system.+state.+changed )|(\|lc)|(penalty)|(\[timeout)|(PRM\|1\|D)|(kpr)|(kdp))" /e /r /s</v>
      </c>
      <c r="AG70" s="1" t="str">
        <f t="shared" si="28"/>
        <v>EC</v>
      </c>
      <c r="AH70" s="116" t="str">
        <f t="shared" si="29"/>
        <v>"%USERPROFILE%\Documents\GitHub\eaglep3\Utilities\RefineRTDCRunTimes.py" --tripid 157-06 --locoid 4031 --swversion DE.1.0.7.0 --startMP 204:464 --initTime 2016-08-06T10:43:30 --startdatetime 2016-08-06T10:45:14 --delay 1 --endMP 204:233255 --enddatetime 2016-08-06T11:23:05 --enforcementcount 1</v>
      </c>
    </row>
    <row r="71" spans="1:34" x14ac:dyDescent="0.25">
      <c r="A71" s="42" t="s">
        <v>470</v>
      </c>
      <c r="B71" s="7">
        <v>4032</v>
      </c>
      <c r="C71" s="25" t="s">
        <v>156</v>
      </c>
      <c r="D71" s="25" t="s">
        <v>590</v>
      </c>
      <c r="E71" s="16">
        <v>42588.483032407406</v>
      </c>
      <c r="F71" s="16">
        <v>42588.4843287037</v>
      </c>
      <c r="G71" s="7">
        <v>1</v>
      </c>
      <c r="H71" s="16" t="s">
        <v>327</v>
      </c>
      <c r="I71" s="16">
        <v>42588.516701388886</v>
      </c>
      <c r="J71" s="7">
        <v>1</v>
      </c>
      <c r="K71" s="25" t="str">
        <f t="shared" si="16"/>
        <v>4031/4032</v>
      </c>
      <c r="L71" s="25" t="str">
        <f>VLOOKUP(A71,'Trips&amp;Operators'!$C$1:$E$10000,3,FALSE)</f>
        <v>STRICKLAND</v>
      </c>
      <c r="M71" s="6">
        <f t="shared" si="17"/>
        <v>3.2372685185691807E-2</v>
      </c>
      <c r="N71" s="7">
        <f t="shared" si="30"/>
        <v>46.616666667396203</v>
      </c>
      <c r="O71" s="7"/>
      <c r="P71" s="7"/>
      <c r="Q71" s="26"/>
      <c r="R71" s="26"/>
      <c r="S71" s="38">
        <f t="shared" si="31"/>
        <v>1</v>
      </c>
      <c r="T71" s="55" t="str">
        <f t="shared" si="18"/>
        <v>Southbound</v>
      </c>
      <c r="U71" s="15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71" s="57" t="str">
        <f t="shared" si="20"/>
        <v>N</v>
      </c>
      <c r="X71" s="145">
        <f t="shared" si="21"/>
        <v>1</v>
      </c>
      <c r="Y71" s="72">
        <f t="shared" si="22"/>
        <v>23.2942</v>
      </c>
      <c r="Z71" s="72">
        <f t="shared" si="23"/>
        <v>1.5800000000000002E-2</v>
      </c>
      <c r="AA71" s="72">
        <f t="shared" si="24"/>
        <v>23.278400000000001</v>
      </c>
      <c r="AB71" s="69">
        <f>VLOOKUP(A71,Enforcements!$C$7:$J$24,8,0)</f>
        <v>119716</v>
      </c>
      <c r="AC71" s="65" t="str">
        <f>VLOOKUP(A71,Enforcements!$C$7:$E$24,3,0)</f>
        <v>PERMANENT SPEED RESTRICTION</v>
      </c>
      <c r="AD71" s="66" t="str">
        <f t="shared" si="25"/>
        <v>0158-06</v>
      </c>
      <c r="AE71" s="115" t="str">
        <f t="shared" si="26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71" s="112" t="str">
        <f t="shared" si="27"/>
        <v>"C:\Program Files (x86)\AstroGrep\AstroGrep.exe" /spath="%USERPROFILE%\AppData\Local\Temp\OnboardLogs" /stypes="*4032*20160806*" /stext=" 18:.+((SYSTEM_STATE.+slice.+state.+changed )|(ment ac)|(system.+state.+changed )|(\|lc)|(penalty)|(\[timeout)|(PRM\|1\|D)|(kpr)|(kdp))" /e /r /s</v>
      </c>
      <c r="AG71" s="1" t="str">
        <f t="shared" si="28"/>
        <v>EC</v>
      </c>
      <c r="AH71" s="116" t="str">
        <f t="shared" si="29"/>
        <v>"%USERPROFILE%\Documents\GitHub\eaglep3\Utilities\RefineRTDCRunTimes.py" --tripid 158-06 --locoid 4032 --swversion DE.1.0.7.0 --startMP 204:232942 --initTime 2016-08-06T11:35:34 --startdatetime 2016-08-06T11:37:26 --delay 1 --endMP 204:158 --enddatetime 2016-08-06T12:24:03 --enforcementcount 1</v>
      </c>
    </row>
    <row r="72" spans="1:34" x14ac:dyDescent="0.25">
      <c r="A72" s="42" t="s">
        <v>591</v>
      </c>
      <c r="B72" s="7">
        <v>4027</v>
      </c>
      <c r="C72" s="25" t="s">
        <v>156</v>
      </c>
      <c r="D72" s="25" t="s">
        <v>115</v>
      </c>
      <c r="E72" s="16">
        <v>42588.45417824074</v>
      </c>
      <c r="F72" s="16">
        <v>42588.455474537041</v>
      </c>
      <c r="G72" s="7">
        <v>1</v>
      </c>
      <c r="H72" s="16" t="s">
        <v>146</v>
      </c>
      <c r="I72" s="16">
        <v>42588.4843287037</v>
      </c>
      <c r="J72" s="7">
        <v>0</v>
      </c>
      <c r="K72" s="25" t="str">
        <f t="shared" si="16"/>
        <v>4027/4028</v>
      </c>
      <c r="L72" s="25" t="str">
        <f>VLOOKUP(A72,'Trips&amp;Operators'!$C$1:$E$10000,3,FALSE)</f>
        <v>STEWART</v>
      </c>
      <c r="M72" s="6">
        <f t="shared" si="17"/>
        <v>2.8854166659584735E-2</v>
      </c>
      <c r="N72" s="7">
        <f t="shared" si="30"/>
        <v>41.549999989802018</v>
      </c>
      <c r="O72" s="7"/>
      <c r="P72" s="7"/>
      <c r="Q72" s="26"/>
      <c r="R72" s="26"/>
      <c r="S72" s="38">
        <f t="shared" si="31"/>
        <v>1</v>
      </c>
      <c r="T72" s="55" t="str">
        <f t="shared" si="18"/>
        <v>NorthBound</v>
      </c>
      <c r="U72" s="15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09:54:01-0600',mode:absolute,to:'2016-08-06 12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2" s="57" t="str">
        <f t="shared" si="20"/>
        <v>N</v>
      </c>
      <c r="X72" s="145">
        <f t="shared" si="21"/>
        <v>1</v>
      </c>
      <c r="Y72" s="72">
        <f t="shared" si="22"/>
        <v>4.58E-2</v>
      </c>
      <c r="Z72" s="72">
        <f t="shared" si="23"/>
        <v>23.3293</v>
      </c>
      <c r="AA72" s="72">
        <f t="shared" si="24"/>
        <v>23.2835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5"/>
        <v>0159-06</v>
      </c>
      <c r="AE72" s="115" t="str">
        <f t="shared" si="26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72" s="112" t="str">
        <f t="shared" si="27"/>
        <v>"C:\Program Files (x86)\AstroGrep\AstroGrep.exe" /spath="%USERPROFILE%\AppData\Local\Temp\OnboardLogs" /stypes="*4027*20160806*" /stext=" 17:.+((SYSTEM_STATE.+slice.+state.+changed )|(ment ac)|(system.+state.+changed )|(\|lc)|(penalty)|(\[timeout)|(PRM\|1\|D)|(kpr)|(kdp))" /e /r /s</v>
      </c>
      <c r="AG72" s="1" t="str">
        <f t="shared" si="28"/>
        <v>EC</v>
      </c>
      <c r="AH72" s="116" t="str">
        <f t="shared" si="29"/>
        <v>"%USERPROFILE%\Documents\GitHub\eaglep3\Utilities\RefineRTDCRunTimes.py" --tripid 159-06 --locoid 4027 --swversion DE.1.0.7.0 --startMP 204:458 --initTime 2016-08-06T10:54:01 --startdatetime 2016-08-06T10:55:53 --delay 1 --endMP 204:233293 --enddatetime 2016-08-06T11:37:26 --enforcementcount 0</v>
      </c>
    </row>
    <row r="73" spans="1:34" x14ac:dyDescent="0.25">
      <c r="A73" s="42" t="s">
        <v>592</v>
      </c>
      <c r="B73" s="7">
        <v>4028</v>
      </c>
      <c r="C73" s="25" t="s">
        <v>156</v>
      </c>
      <c r="D73" s="25" t="s">
        <v>593</v>
      </c>
      <c r="E73" s="16">
        <v>42588.49287037037</v>
      </c>
      <c r="F73" s="16">
        <v>42588.494039351855</v>
      </c>
      <c r="G73" s="7">
        <v>1</v>
      </c>
      <c r="H73" s="16" t="s">
        <v>137</v>
      </c>
      <c r="I73" s="16">
        <v>42588.525208333333</v>
      </c>
      <c r="J73" s="7">
        <v>0</v>
      </c>
      <c r="K73" s="25" t="str">
        <f t="shared" si="16"/>
        <v>4027/4028</v>
      </c>
      <c r="L73" s="25" t="str">
        <f>VLOOKUP(A73,'Trips&amp;Operators'!$C$1:$E$10000,3,FALSE)</f>
        <v>STEWART</v>
      </c>
      <c r="M73" s="6">
        <f t="shared" si="17"/>
        <v>3.1168981477094349E-2</v>
      </c>
      <c r="N73" s="7">
        <f t="shared" si="30"/>
        <v>44.883333327015862</v>
      </c>
      <c r="O73" s="7"/>
      <c r="P73" s="7"/>
      <c r="Q73" s="26"/>
      <c r="R73" s="26"/>
      <c r="S73" s="38">
        <f t="shared" si="31"/>
        <v>1</v>
      </c>
      <c r="T73" s="55" t="str">
        <f t="shared" si="18"/>
        <v>Southbound</v>
      </c>
      <c r="U73" s="15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10:49:44-0600',mode:absolute,to:'2016-08-06 13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3" s="57" t="str">
        <f t="shared" si="20"/>
        <v>N</v>
      </c>
      <c r="X73" s="145">
        <f t="shared" si="21"/>
        <v>1</v>
      </c>
      <c r="Y73" s="72">
        <f t="shared" si="22"/>
        <v>23.295999999999999</v>
      </c>
      <c r="Z73" s="72">
        <f t="shared" si="23"/>
        <v>1.3899999999999999E-2</v>
      </c>
      <c r="AA73" s="72">
        <f t="shared" si="24"/>
        <v>23.2821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5"/>
        <v>0160-06</v>
      </c>
      <c r="AE73" s="115" t="str">
        <f t="shared" si="26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73" s="112" t="str">
        <f t="shared" si="27"/>
        <v>"C:\Program Files (x86)\AstroGrep\AstroGrep.exe" /spath="%USERPROFILE%\AppData\Local\Temp\OnboardLogs" /stypes="*4028*20160806*" /stext=" 18:.+((SYSTEM_STATE.+slice.+state.+changed )|(ment ac)|(system.+state.+changed )|(\|lc)|(penalty)|(\[timeout)|(PRM\|1\|D)|(kpr)|(kdp))" /e /r /s</v>
      </c>
      <c r="AG73" s="1" t="str">
        <f t="shared" si="28"/>
        <v>EC</v>
      </c>
      <c r="AH73" s="116" t="str">
        <f t="shared" si="29"/>
        <v>"%USERPROFILE%\Documents\GitHub\eaglep3\Utilities\RefineRTDCRunTimes.py" --tripid 160-06 --locoid 4028 --swversion DE.1.0.7.0 --startMP 204:232960 --initTime 2016-08-06T11:49:44 --startdatetime 2016-08-06T11:51:25 --delay 1 --endMP 204:139 --enddatetime 2016-08-06T12:36:18 --enforcementcount 0</v>
      </c>
    </row>
    <row r="74" spans="1:34" x14ac:dyDescent="0.25">
      <c r="A74" s="42" t="s">
        <v>594</v>
      </c>
      <c r="B74" s="7">
        <v>4011</v>
      </c>
      <c r="C74" s="25" t="s">
        <v>156</v>
      </c>
      <c r="D74" s="25" t="s">
        <v>595</v>
      </c>
      <c r="E74" s="16">
        <v>42588.46601851852</v>
      </c>
      <c r="F74" s="16">
        <v>42588.466967592591</v>
      </c>
      <c r="G74" s="7">
        <v>1</v>
      </c>
      <c r="H74" s="16" t="s">
        <v>436</v>
      </c>
      <c r="I74" s="16">
        <v>42588.494270833333</v>
      </c>
      <c r="J74" s="7">
        <v>0</v>
      </c>
      <c r="K74" s="25" t="str">
        <f t="shared" si="16"/>
        <v>4011/4012</v>
      </c>
      <c r="L74" s="25" t="str">
        <f>VLOOKUP(A74,'Trips&amp;Operators'!$C$1:$E$10000,3,FALSE)</f>
        <v>HELVIE</v>
      </c>
      <c r="M74" s="6">
        <f t="shared" si="17"/>
        <v>2.7303240742185153E-2</v>
      </c>
      <c r="N74" s="7">
        <f t="shared" si="30"/>
        <v>39.31666666874662</v>
      </c>
      <c r="O74" s="7"/>
      <c r="P74" s="7"/>
      <c r="Q74" s="26"/>
      <c r="R74" s="26"/>
      <c r="S74" s="38">
        <f t="shared" si="31"/>
        <v>1</v>
      </c>
      <c r="T74" s="55" t="str">
        <f t="shared" si="18"/>
        <v>NorthBound</v>
      </c>
      <c r="U74" s="15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10:11:04-0600',mode:absolute,to:'2016-08-06 12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74" s="57" t="str">
        <f t="shared" si="20"/>
        <v>N</v>
      </c>
      <c r="X74" s="145">
        <f t="shared" si="21"/>
        <v>1</v>
      </c>
      <c r="Y74" s="72">
        <f t="shared" si="22"/>
        <v>4.3999999999999997E-2</v>
      </c>
      <c r="Z74" s="72">
        <f t="shared" si="23"/>
        <v>23.328399999999998</v>
      </c>
      <c r="AA74" s="72">
        <f t="shared" si="24"/>
        <v>23.284399999999998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25"/>
        <v>0161-06</v>
      </c>
      <c r="AE74" s="115" t="str">
        <f t="shared" si="26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74" s="112" t="str">
        <f t="shared" si="27"/>
        <v>"C:\Program Files (x86)\AstroGrep\AstroGrep.exe" /spath="%USERPROFILE%\AppData\Local\Temp\OnboardLogs" /stypes="*4011*20160806*" /stext=" 17:.+((SYSTEM_STATE.+slice.+state.+changed )|(ment ac)|(system.+state.+changed )|(\|lc)|(penalty)|(\[timeout)|(PRM\|1\|D)|(kpr)|(kdp))" /e /r /s</v>
      </c>
      <c r="AG74" s="1" t="str">
        <f t="shared" si="28"/>
        <v>EC</v>
      </c>
      <c r="AH74" s="116" t="str">
        <f t="shared" si="29"/>
        <v>"%USERPROFILE%\Documents\GitHub\eaglep3\Utilities\RefineRTDCRunTimes.py" --tripid 161-06 --locoid 4011 --swversion DE.1.0.7.0 --startMP 204:440 --initTime 2016-08-06T11:11:04 --startdatetime 2016-08-06T11:12:26 --delay 1 --endMP 204:233284 --enddatetime 2016-08-06T11:51:45 --enforcementcount 0</v>
      </c>
    </row>
    <row r="75" spans="1:34" x14ac:dyDescent="0.25">
      <c r="A75" s="42" t="s">
        <v>594</v>
      </c>
      <c r="B75" s="7">
        <v>4040</v>
      </c>
      <c r="C75" s="25" t="s">
        <v>156</v>
      </c>
      <c r="D75" s="25" t="s">
        <v>596</v>
      </c>
      <c r="E75" s="16">
        <v>42588.780138888891</v>
      </c>
      <c r="F75" s="16">
        <v>42588.781307870369</v>
      </c>
      <c r="G75" s="7">
        <v>1</v>
      </c>
      <c r="H75" s="16" t="s">
        <v>597</v>
      </c>
      <c r="I75" s="16">
        <v>42588.786747685182</v>
      </c>
      <c r="J75" s="7">
        <v>0</v>
      </c>
      <c r="K75" s="25" t="str">
        <f t="shared" si="16"/>
        <v>4039/4040</v>
      </c>
      <c r="L75" s="25" t="str">
        <f>VLOOKUP(A75,'Trips&amp;Operators'!$C$1:$E$10000,3,FALSE)</f>
        <v>HELVIE</v>
      </c>
      <c r="M75" s="6">
        <f t="shared" si="17"/>
        <v>5.4398148131440394E-3</v>
      </c>
      <c r="N75" s="7"/>
      <c r="O75" s="7"/>
      <c r="P75" s="7">
        <f>24*60*SUM($M75:$M75)</f>
        <v>7.8333333309274167</v>
      </c>
      <c r="Q75" s="26"/>
      <c r="R75" s="26" t="s">
        <v>834</v>
      </c>
      <c r="S75" s="38">
        <f t="shared" si="31"/>
        <v>0</v>
      </c>
      <c r="T75" s="55" t="str">
        <f t="shared" si="18"/>
        <v>NorthBound</v>
      </c>
      <c r="U75" s="15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17:43:24-0600',mode:absolute,to:'2016-08-06 19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75" s="57" t="str">
        <f t="shared" si="20"/>
        <v>Y</v>
      </c>
      <c r="X75" s="145">
        <f t="shared" si="21"/>
        <v>0</v>
      </c>
      <c r="Y75" s="72">
        <f t="shared" si="22"/>
        <v>3.4099999999999998E-2</v>
      </c>
      <c r="Z75" s="72">
        <f t="shared" si="23"/>
        <v>2.3149000000000002</v>
      </c>
      <c r="AA75" s="72">
        <f t="shared" si="24"/>
        <v>2.2808000000000002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5"/>
        <v>0161-06</v>
      </c>
      <c r="AE75" s="115" t="str">
        <f t="shared" si="26"/>
        <v>aws s3 cp s3://rtdc.mdm.uploadarchive/RTDC4040/2016-08-06/ "%USERPROFILE%\AppData\Local\Temp\OnboardLogs"\RTDC4040\2016-08-06 --recursive &amp; "%USERPROFILE%\Documents\GitHub\mrs-test-scripts\Headless Mode &amp; Sideloading\WalkAndUnGZ.bat" "%USERPROFILE%\AppData\Local\Temp\OnboardLogs"\RTDC4040\2016-08-06 &amp; aws s3 cp s3://rtdc.mdm.uploadarchive/RTDC4040/2016-08-07/ "%USERPROFILE%\AppData\Local\Temp\OnboardLogs"\RTDC4040\2016-08-07 --recursive &amp; "%USERPROFILE%\Documents\GitHub\mrs-test-scripts\Headless Mode &amp; Sideloading\WalkAndUnGZ.bat" "%USERPROFILE%\AppData\Local\Temp\OnboardLogs"\RTDC4040\2016-08-07</v>
      </c>
      <c r="AF75" s="112" t="str">
        <f t="shared" si="27"/>
        <v>"C:\Program Files (x86)\AstroGrep\AstroGrep.exe" /spath="%USERPROFILE%\AppData\Local\Temp\OnboardLogs" /stypes="*4040*20160807*" /stext=" 00:.+((SYSTEM_STATE.+slice.+state.+changed )|(ment ac)|(system.+state.+changed )|(\|lc)|(penalty)|(\[timeout)|(PRM\|1\|D)|(kpr)|(kdp))" /e /r /s</v>
      </c>
      <c r="AG75" s="1" t="str">
        <f t="shared" si="28"/>
        <v>EC</v>
      </c>
      <c r="AH75" s="116" t="str">
        <f t="shared" si="29"/>
        <v>"%USERPROFILE%\Documents\GitHub\eaglep3\Utilities\RefineRTDCRunTimes.py" --tripid 161-06 --locoid 4040 --swversion DE.1.0.7.0 --startMP 204:341 --initTime 2016-08-06T18:43:24 --startdatetime 2016-08-06T18:45:05 --delay 1 --endMP 300:23149 --enddatetime 2016-08-06T18:52:55 --enforcementcount 0</v>
      </c>
    </row>
    <row r="76" spans="1:34" x14ac:dyDescent="0.25">
      <c r="A76" s="42" t="s">
        <v>598</v>
      </c>
      <c r="B76" s="7">
        <v>4012</v>
      </c>
      <c r="C76" s="25" t="s">
        <v>156</v>
      </c>
      <c r="D76" s="25" t="s">
        <v>599</v>
      </c>
      <c r="E76" s="16">
        <v>42588.50340277778</v>
      </c>
      <c r="F76" s="16">
        <v>42588.505196759259</v>
      </c>
      <c r="G76" s="7">
        <v>2</v>
      </c>
      <c r="H76" s="16" t="s">
        <v>58</v>
      </c>
      <c r="I76" s="16">
        <v>42588.534131944441</v>
      </c>
      <c r="J76" s="7">
        <v>0</v>
      </c>
      <c r="K76" s="25" t="str">
        <f t="shared" si="16"/>
        <v>4011/4012</v>
      </c>
      <c r="L76" s="25" t="str">
        <f>VLOOKUP(A76,'Trips&amp;Operators'!$C$1:$E$10000,3,FALSE)</f>
        <v>HELVIE</v>
      </c>
      <c r="M76" s="6">
        <f t="shared" si="17"/>
        <v>2.8935185182490386E-2</v>
      </c>
      <c r="N76" s="7">
        <f t="shared" ref="N76:N107" si="32">24*60*SUM($M76:$M76)</f>
        <v>41.666666662786156</v>
      </c>
      <c r="O76" s="7"/>
      <c r="P76" s="7"/>
      <c r="Q76" s="26"/>
      <c r="R76" s="26"/>
      <c r="S76" s="38">
        <f t="shared" si="31"/>
        <v>1</v>
      </c>
      <c r="T76" s="55" t="str">
        <f t="shared" si="18"/>
        <v>Southbound</v>
      </c>
      <c r="U76" s="15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22" t="str">
        <f t="shared" si="19"/>
        <v>https://search-rtdc-monitor-bjffxe2xuh6vdkpspy63sjmuny.us-east-1.es.amazonaws.com/_plugin/kibana/#/discover/Steve-Slow-Train-Analysis-(2080s-and-2083s)?_g=(refreshInterval:(display:Off,section:0,value:0),time:(from:'2016-08-06 11:04:54-0600',mode:absolute,to:'2016-08-06 13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6" s="57" t="str">
        <f t="shared" si="20"/>
        <v>N</v>
      </c>
      <c r="X76" s="145">
        <f t="shared" si="21"/>
        <v>1</v>
      </c>
      <c r="Y76" s="72">
        <f t="shared" si="22"/>
        <v>23.295000000000002</v>
      </c>
      <c r="Z76" s="72">
        <f t="shared" si="23"/>
        <v>1.52E-2</v>
      </c>
      <c r="AA76" s="72">
        <f t="shared" si="24"/>
        <v>23.279800000000002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5"/>
        <v>0162-06</v>
      </c>
      <c r="AE76" s="115" t="str">
        <f t="shared" si="26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76" s="112" t="str">
        <f t="shared" si="27"/>
        <v>"C:\Program Files (x86)\AstroGrep\AstroGrep.exe" /spath="%USERPROFILE%\AppData\Local\Temp\OnboardLogs" /stypes="*4012*20160806*" /stext=" 18:.+((SYSTEM_STATE.+slice.+state.+changed )|(ment ac)|(system.+state.+changed )|(\|lc)|(penalty)|(\[timeout)|(PRM\|1\|D)|(kpr)|(kdp))" /e /r /s</v>
      </c>
      <c r="AG76" s="1" t="str">
        <f t="shared" si="28"/>
        <v>EC</v>
      </c>
      <c r="AH76" s="116" t="str">
        <f t="shared" si="29"/>
        <v>"%USERPROFILE%\Documents\GitHub\eaglep3\Utilities\RefineRTDCRunTimes.py" --tripid 162-06 --locoid 4012 --swversion DE.1.0.7.0 --startMP 204:232950 --initTime 2016-08-06T12:04:54 --startdatetime 2016-08-06T12:07:29 --delay 2 --endMP 204:152 --enddatetime 2016-08-06T12:49:09 --enforcementcount 0</v>
      </c>
    </row>
    <row r="77" spans="1:34" x14ac:dyDescent="0.25">
      <c r="A77" s="42" t="s">
        <v>600</v>
      </c>
      <c r="B77" s="7">
        <v>4025</v>
      </c>
      <c r="C77" s="25" t="s">
        <v>156</v>
      </c>
      <c r="D77" s="25" t="s">
        <v>308</v>
      </c>
      <c r="E77" s="16">
        <v>42588.474942129629</v>
      </c>
      <c r="F77" s="16">
        <v>42588.476736111108</v>
      </c>
      <c r="G77" s="7">
        <v>2</v>
      </c>
      <c r="H77" s="16" t="s">
        <v>363</v>
      </c>
      <c r="I77" s="16">
        <v>42588.505671296298</v>
      </c>
      <c r="J77" s="7">
        <v>0</v>
      </c>
      <c r="K77" s="25" t="str">
        <f t="shared" ref="K77:K108" si="33">IF(ISEVEN(B77),(B77-1)&amp;"/"&amp;B77,B77&amp;"/"&amp;(B77+1))</f>
        <v>4025/4026</v>
      </c>
      <c r="L77" s="25" t="str">
        <f>VLOOKUP(A77,'Trips&amp;Operators'!$C$1:$E$10000,3,FALSE)</f>
        <v>MOSES</v>
      </c>
      <c r="M77" s="6">
        <f t="shared" ref="M77:M108" si="34">I77-F77</f>
        <v>2.8935185189766344E-2</v>
      </c>
      <c r="N77" s="7">
        <f t="shared" si="32"/>
        <v>41.666666673263535</v>
      </c>
      <c r="O77" s="7"/>
      <c r="P77" s="7"/>
      <c r="Q77" s="26"/>
      <c r="R77" s="26"/>
      <c r="S77" s="38">
        <f t="shared" si="31"/>
        <v>1</v>
      </c>
      <c r="T77" s="55" t="str">
        <f t="shared" ref="T77:T108" si="35">IF(ISEVEN(LEFT(AD77,4)),"Southbound","NorthBound")</f>
        <v>NorthBound</v>
      </c>
      <c r="U77" s="15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22" t="str">
        <f t="shared" ref="V77:V108" si="3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https://search-rtdc-monitor-bjffxe2xuh6vdkpspy63sjmuny.us-east-1.es.amazonaws.com/_plugin/kibana/#/discover/Steve-Slow-Train-Analysis-(2080s-and-2083s)?_g=(refreshInterval:(display:Off,section:0,value:0),time:(from:'2016-08-06 10:23:55-0600',mode:absolute,to:'2016-08-06 13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7" s="57" t="str">
        <f t="shared" ref="W77:W108" si="37">IF(AA77&lt;IF(AG77="EC",23,5.65),"Y","N")</f>
        <v>N</v>
      </c>
      <c r="X77" s="145">
        <f t="shared" ref="X77:X108" si="38">VALUE(LEFT(AD77,4))-VALUE(LEFT(AD76,4))</f>
        <v>1</v>
      </c>
      <c r="Y77" s="72">
        <f t="shared" ref="Y77:Y108" si="39">RIGHT(D77,LEN(D77)-4)/10000</f>
        <v>4.5499999999999999E-2</v>
      </c>
      <c r="Z77" s="72">
        <f t="shared" ref="Z77:Z108" si="40">RIGHT(H77,LEN(H77)-4)/10000</f>
        <v>23.331499999999998</v>
      </c>
      <c r="AA77" s="72">
        <f t="shared" ref="AA77:AA108" si="41">ABS(Z77-Y77)</f>
        <v>23.285999999999998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ref="AD77:AD108" si="42">IF(LEN(A77)=6,"0"&amp;A77,A77)</f>
        <v>0163-06</v>
      </c>
      <c r="AE77" s="115" t="str">
        <f t="shared" ref="AE77:AE108" si="4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77" s="112" t="str">
        <f t="shared" ref="AF77:AF108" si="4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/stypes="*4025*20160806*" /stext=" 18:.+((SYSTEM_STATE.+slice.+state.+changed )|(ment ac)|(system.+state.+changed )|(\|lc)|(penalty)|(\[timeout)|(PRM\|1\|D)|(kpr)|(kdp))" /e /r /s</v>
      </c>
      <c r="AG77" s="1" t="str">
        <f t="shared" ref="AG77:AG108" si="45">IF(VALUE(LEFT(AD77,2))&lt;=2,"EC",IF(OR(VALUE(LEFT(AD77,2))=8,VALUE(LEFT(AD77,2))=18),"NW","GL"))</f>
        <v>EC</v>
      </c>
      <c r="AH77" s="116" t="str">
        <f t="shared" ref="AH77:AH108" si="4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</f>
        <v>"%USERPROFILE%\Documents\GitHub\eaglep3\Utilities\RefineRTDCRunTimes.py" --tripid 163-06 --locoid 4025 --swversion DE.1.0.7.0 --startMP 204:455 --initTime 2016-08-06T11:23:55 --startdatetime 2016-08-06T11:26:30 --delay 2 --endMP 204:233315 --enddatetime 2016-08-06T12:08:10 --enforcementcount 0</v>
      </c>
    </row>
    <row r="78" spans="1:34" x14ac:dyDescent="0.25">
      <c r="A78" s="42" t="s">
        <v>601</v>
      </c>
      <c r="B78" s="7">
        <v>4026</v>
      </c>
      <c r="C78" s="25" t="s">
        <v>156</v>
      </c>
      <c r="D78" s="25" t="s">
        <v>602</v>
      </c>
      <c r="E78" s="16">
        <v>42588.514861111114</v>
      </c>
      <c r="F78" s="16">
        <v>42588.516180555554</v>
      </c>
      <c r="G78" s="7">
        <v>1</v>
      </c>
      <c r="H78" s="16" t="s">
        <v>578</v>
      </c>
      <c r="I78" s="16">
        <v>42588.546030092592</v>
      </c>
      <c r="J78" s="7">
        <v>0</v>
      </c>
      <c r="K78" s="25" t="str">
        <f t="shared" si="33"/>
        <v>4025/4026</v>
      </c>
      <c r="L78" s="25" t="str">
        <f>VLOOKUP(A78,'Trips&amp;Operators'!$C$1:$E$10000,3,FALSE)</f>
        <v>MOSES</v>
      </c>
      <c r="M78" s="6">
        <f t="shared" si="34"/>
        <v>2.9849537037080154E-2</v>
      </c>
      <c r="N78" s="7">
        <f t="shared" si="32"/>
        <v>42.983333333395422</v>
      </c>
      <c r="O78" s="7"/>
      <c r="P78" s="7"/>
      <c r="Q78" s="26"/>
      <c r="R78" s="26"/>
      <c r="S78" s="38">
        <f t="shared" si="31"/>
        <v>1</v>
      </c>
      <c r="T78" s="55" t="str">
        <f t="shared" si="35"/>
        <v>Southbound</v>
      </c>
      <c r="U78" s="15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11:21:24-0600',mode:absolute,to:'2016-08-06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8" s="57" t="str">
        <f t="shared" si="37"/>
        <v>N</v>
      </c>
      <c r="X78" s="145">
        <f t="shared" si="38"/>
        <v>1</v>
      </c>
      <c r="Y78" s="72">
        <f t="shared" si="39"/>
        <v>23.300599999999999</v>
      </c>
      <c r="Z78" s="72">
        <f t="shared" si="40"/>
        <v>1.4500000000000001E-2</v>
      </c>
      <c r="AA78" s="72">
        <f t="shared" si="41"/>
        <v>23.286099999999998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42"/>
        <v>0164-06</v>
      </c>
      <c r="AE78" s="115" t="str">
        <f t="shared" si="43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78" s="112" t="str">
        <f t="shared" si="44"/>
        <v>"C:\Program Files (x86)\AstroGrep\AstroGrep.exe" /spath="%USERPROFILE%\AppData\Local\Temp\OnboardLogs" /stypes="*4026*20160806*" /stext=" 19:.+((SYSTEM_STATE.+slice.+state.+changed )|(ment ac)|(system.+state.+changed )|(\|lc)|(penalty)|(\[timeout)|(PRM\|1\|D)|(kpr)|(kdp))" /e /r /s</v>
      </c>
      <c r="AG78" s="1" t="str">
        <f t="shared" si="45"/>
        <v>EC</v>
      </c>
      <c r="AH78" s="116" t="str">
        <f t="shared" si="46"/>
        <v>"%USERPROFILE%\Documents\GitHub\eaglep3\Utilities\RefineRTDCRunTimes.py" --tripid 164-06 --locoid 4026 --swversion DE.1.0.7.0 --startMP 204:233006 --initTime 2016-08-06T12:21:24 --startdatetime 2016-08-06T12:23:18 --delay 1 --endMP 204:145 --enddatetime 2016-08-06T13:06:17 --enforcementcount 0</v>
      </c>
    </row>
    <row r="79" spans="1:34" x14ac:dyDescent="0.25">
      <c r="A79" s="42" t="s">
        <v>603</v>
      </c>
      <c r="B79" s="7">
        <v>4009</v>
      </c>
      <c r="C79" s="25" t="s">
        <v>156</v>
      </c>
      <c r="D79" s="25" t="s">
        <v>307</v>
      </c>
      <c r="E79" s="16">
        <v>42588.487013888887</v>
      </c>
      <c r="F79" s="16">
        <v>42588.488425925927</v>
      </c>
      <c r="G79" s="7">
        <v>2</v>
      </c>
      <c r="H79" s="16" t="s">
        <v>604</v>
      </c>
      <c r="I79" s="16">
        <v>42588.515150462961</v>
      </c>
      <c r="J79" s="7">
        <v>0</v>
      </c>
      <c r="K79" s="25" t="str">
        <f t="shared" si="33"/>
        <v>4009/4010</v>
      </c>
      <c r="L79" s="25" t="str">
        <f>VLOOKUP(A79,'Trips&amp;Operators'!$C$1:$E$10000,3,FALSE)</f>
        <v>SHOOK</v>
      </c>
      <c r="M79" s="6">
        <f t="shared" si="34"/>
        <v>2.6724537034169771E-2</v>
      </c>
      <c r="N79" s="7">
        <f t="shared" si="32"/>
        <v>38.48333332920447</v>
      </c>
      <c r="O79" s="7"/>
      <c r="P79" s="7"/>
      <c r="Q79" s="26"/>
      <c r="R79" s="26"/>
      <c r="S79" s="38">
        <f t="shared" ref="S79:S107" si="47">SUM(U79:U79)/IF(AG79="EC",12,1)</f>
        <v>1</v>
      </c>
      <c r="T79" s="55" t="str">
        <f t="shared" si="35"/>
        <v>NorthBound</v>
      </c>
      <c r="U79" s="15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10:41:18-0600',mode:absolute,to:'2016-08-06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79" s="57" t="str">
        <f t="shared" si="37"/>
        <v>N</v>
      </c>
      <c r="X79" s="145">
        <f t="shared" si="38"/>
        <v>1</v>
      </c>
      <c r="Y79" s="72">
        <f t="shared" si="39"/>
        <v>4.4600000000000001E-2</v>
      </c>
      <c r="Z79" s="72">
        <f t="shared" si="40"/>
        <v>23.337199999999999</v>
      </c>
      <c r="AA79" s="72">
        <f t="shared" si="41"/>
        <v>23.2926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2"/>
        <v>0165-06</v>
      </c>
      <c r="AE79" s="115" t="str">
        <f t="shared" si="43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79" s="112" t="str">
        <f t="shared" si="44"/>
        <v>"C:\Program Files (x86)\AstroGrep\AstroGrep.exe" /spath="%USERPROFILE%\AppData\Local\Temp\OnboardLogs" /stypes="*4009*20160806*" /stext=" 18:.+((SYSTEM_STATE.+slice.+state.+changed )|(ment ac)|(system.+state.+changed )|(\|lc)|(penalty)|(\[timeout)|(PRM\|1\|D)|(kpr)|(kdp))" /e /r /s</v>
      </c>
      <c r="AG79" s="1" t="str">
        <f t="shared" si="45"/>
        <v>EC</v>
      </c>
      <c r="AH79" s="116" t="str">
        <f t="shared" si="46"/>
        <v>"%USERPROFILE%\Documents\GitHub\eaglep3\Utilities\RefineRTDCRunTimes.py" --tripid 165-06 --locoid 4009 --swversion DE.1.0.7.0 --startMP 204:446 --initTime 2016-08-06T11:41:18 --startdatetime 2016-08-06T11:43:20 --delay 2 --endMP 204:233372 --enddatetime 2016-08-06T12:21:49 --enforcementcount 0</v>
      </c>
    </row>
    <row r="80" spans="1:34" x14ac:dyDescent="0.25">
      <c r="A80" s="42" t="s">
        <v>605</v>
      </c>
      <c r="B80" s="7">
        <v>4010</v>
      </c>
      <c r="C80" s="25" t="s">
        <v>156</v>
      </c>
      <c r="D80" s="25" t="s">
        <v>606</v>
      </c>
      <c r="E80" s="16">
        <v>42588.523993055554</v>
      </c>
      <c r="F80" s="16">
        <v>42588.525023148148</v>
      </c>
      <c r="G80" s="7">
        <v>1</v>
      </c>
      <c r="H80" s="16" t="s">
        <v>434</v>
      </c>
      <c r="I80" s="16">
        <v>42588.555648148147</v>
      </c>
      <c r="J80" s="7">
        <v>0</v>
      </c>
      <c r="K80" s="25" t="str">
        <f t="shared" si="33"/>
        <v>4009/4010</v>
      </c>
      <c r="L80" s="25" t="str">
        <f>VLOOKUP(A80,'Trips&amp;Operators'!$C$1:$E$10000,3,FALSE)</f>
        <v>SHOOK</v>
      </c>
      <c r="M80" s="6">
        <f t="shared" si="34"/>
        <v>3.0624999999417923E-2</v>
      </c>
      <c r="N80" s="7">
        <f t="shared" si="32"/>
        <v>44.09999999916181</v>
      </c>
      <c r="O80" s="7"/>
      <c r="P80" s="7"/>
      <c r="Q80" s="26"/>
      <c r="R80" s="26"/>
      <c r="S80" s="38">
        <f t="shared" si="47"/>
        <v>1</v>
      </c>
      <c r="T80" s="55" t="str">
        <f t="shared" si="35"/>
        <v>Southbound</v>
      </c>
      <c r="U80" s="15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11:34:33-0600',mode:absolute,to:'2016-08-06 14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80" s="57" t="str">
        <f t="shared" si="37"/>
        <v>N</v>
      </c>
      <c r="X80" s="145">
        <f t="shared" si="38"/>
        <v>1</v>
      </c>
      <c r="Y80" s="72">
        <f t="shared" si="39"/>
        <v>23.304400000000001</v>
      </c>
      <c r="Z80" s="72">
        <f t="shared" si="40"/>
        <v>1.2500000000000001E-2</v>
      </c>
      <c r="AA80" s="72">
        <f t="shared" si="41"/>
        <v>23.291900000000002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2"/>
        <v>0166-06</v>
      </c>
      <c r="AE80" s="115" t="str">
        <f t="shared" si="43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80" s="112" t="str">
        <f t="shared" si="44"/>
        <v>"C:\Program Files (x86)\AstroGrep\AstroGrep.exe" /spath="%USERPROFILE%\AppData\Local\Temp\OnboardLogs" /stypes="*4010*20160806*" /stext=" 19:.+((SYSTEM_STATE.+slice.+state.+changed )|(ment ac)|(system.+state.+changed )|(\|lc)|(penalty)|(\[timeout)|(PRM\|1\|D)|(kpr)|(kdp))" /e /r /s</v>
      </c>
      <c r="AG80" s="1" t="str">
        <f t="shared" si="45"/>
        <v>EC</v>
      </c>
      <c r="AH80" s="116" t="str">
        <f t="shared" si="46"/>
        <v>"%USERPROFILE%\Documents\GitHub\eaglep3\Utilities\RefineRTDCRunTimes.py" --tripid 166-06 --locoid 4010 --swversion DE.1.0.7.0 --startMP 204:233044 --initTime 2016-08-06T12:34:33 --startdatetime 2016-08-06T12:36:02 --delay 1 --endMP 204:125 --enddatetime 2016-08-06T13:20:08 --enforcementcount 0</v>
      </c>
    </row>
    <row r="81" spans="1:34" x14ac:dyDescent="0.25">
      <c r="A81" s="42" t="s">
        <v>607</v>
      </c>
      <c r="B81" s="7">
        <v>4018</v>
      </c>
      <c r="C81" s="25" t="s">
        <v>156</v>
      </c>
      <c r="D81" s="25" t="s">
        <v>63</v>
      </c>
      <c r="E81" s="16">
        <v>42588.495821759258</v>
      </c>
      <c r="F81" s="16">
        <v>42588.497175925928</v>
      </c>
      <c r="G81" s="7">
        <v>1</v>
      </c>
      <c r="H81" s="16" t="s">
        <v>608</v>
      </c>
      <c r="I81" s="16">
        <v>42588.526504629626</v>
      </c>
      <c r="J81" s="7">
        <v>0</v>
      </c>
      <c r="K81" s="25" t="str">
        <f t="shared" si="33"/>
        <v>4017/4018</v>
      </c>
      <c r="L81" s="25" t="str">
        <f>VLOOKUP(A81,'Trips&amp;Operators'!$C$1:$E$10000,3,FALSE)</f>
        <v>NATION</v>
      </c>
      <c r="M81" s="6">
        <f t="shared" si="34"/>
        <v>2.9328703698411118E-2</v>
      </c>
      <c r="N81" s="7">
        <f t="shared" si="32"/>
        <v>42.23333332571201</v>
      </c>
      <c r="O81" s="7"/>
      <c r="P81" s="7"/>
      <c r="Q81" s="26"/>
      <c r="R81" s="26"/>
      <c r="S81" s="38">
        <f t="shared" si="47"/>
        <v>1</v>
      </c>
      <c r="T81" s="55" t="str">
        <f t="shared" si="35"/>
        <v>NorthBound</v>
      </c>
      <c r="U81" s="15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10:53:59-0600',mode:absolute,to:'2016-08-06 13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1" s="57" t="str">
        <f t="shared" si="37"/>
        <v>N</v>
      </c>
      <c r="X81" s="145">
        <f t="shared" si="38"/>
        <v>1</v>
      </c>
      <c r="Y81" s="72">
        <f t="shared" si="39"/>
        <v>4.5999999999999999E-2</v>
      </c>
      <c r="Z81" s="72">
        <f t="shared" si="40"/>
        <v>23.328499999999998</v>
      </c>
      <c r="AA81" s="72">
        <f t="shared" si="41"/>
        <v>23.282499999999999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42"/>
        <v>0167-06</v>
      </c>
      <c r="AE81" s="115" t="str">
        <f t="shared" si="43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81" s="112" t="str">
        <f t="shared" si="44"/>
        <v>"C:\Program Files (x86)\AstroGrep\AstroGrep.exe" /spath="%USERPROFILE%\AppData\Local\Temp\OnboardLogs" /stypes="*4018*20160806*" /stext=" 18:.+((SYSTEM_STATE.+slice.+state.+changed )|(ment ac)|(system.+state.+changed )|(\|lc)|(penalty)|(\[timeout)|(PRM\|1\|D)|(kpr)|(kdp))" /e /r /s</v>
      </c>
      <c r="AG81" s="1" t="str">
        <f t="shared" si="45"/>
        <v>EC</v>
      </c>
      <c r="AH81" s="116" t="str">
        <f t="shared" si="46"/>
        <v>"%USERPROFILE%\Documents\GitHub\eaglep3\Utilities\RefineRTDCRunTimes.py" --tripid 167-06 --locoid 4018 --swversion DE.1.0.7.0 --startMP 204:460 --initTime 2016-08-06T11:53:59 --startdatetime 2016-08-06T11:55:56 --delay 1 --endMP 204:233285 --enddatetime 2016-08-06T12:38:10 --enforcementcount 0</v>
      </c>
    </row>
    <row r="82" spans="1:34" x14ac:dyDescent="0.25">
      <c r="A82" s="42" t="s">
        <v>609</v>
      </c>
      <c r="B82" s="7">
        <v>4017</v>
      </c>
      <c r="C82" s="25" t="s">
        <v>156</v>
      </c>
      <c r="D82" s="25" t="s">
        <v>588</v>
      </c>
      <c r="E82" s="16">
        <v>42588.537187499998</v>
      </c>
      <c r="F82" s="16">
        <v>42588.538854166669</v>
      </c>
      <c r="G82" s="7">
        <v>2</v>
      </c>
      <c r="H82" s="16" t="s">
        <v>327</v>
      </c>
      <c r="I82" s="16">
        <v>42588.566793981481</v>
      </c>
      <c r="J82" s="7">
        <v>0</v>
      </c>
      <c r="K82" s="25" t="str">
        <f t="shared" si="33"/>
        <v>4017/4018</v>
      </c>
      <c r="L82" s="25" t="str">
        <f>VLOOKUP(A82,'Trips&amp;Operators'!$C$1:$E$10000,3,FALSE)</f>
        <v>NATION</v>
      </c>
      <c r="M82" s="6">
        <f t="shared" si="34"/>
        <v>2.7939814812270924E-2</v>
      </c>
      <c r="N82" s="7">
        <f t="shared" si="32"/>
        <v>40.233333329670131</v>
      </c>
      <c r="O82" s="7"/>
      <c r="P82" s="7"/>
      <c r="Q82" s="26"/>
      <c r="R82" s="26"/>
      <c r="S82" s="38">
        <f t="shared" si="47"/>
        <v>1</v>
      </c>
      <c r="T82" s="55" t="str">
        <f t="shared" si="35"/>
        <v>Southbound</v>
      </c>
      <c r="U82" s="15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11:53:33-0600',mode:absolute,to:'2016-08-06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2" s="57" t="str">
        <f t="shared" si="37"/>
        <v>N</v>
      </c>
      <c r="X82" s="145">
        <f t="shared" si="38"/>
        <v>1</v>
      </c>
      <c r="Y82" s="72">
        <f t="shared" si="39"/>
        <v>23.2974</v>
      </c>
      <c r="Z82" s="72">
        <f t="shared" si="40"/>
        <v>1.5800000000000002E-2</v>
      </c>
      <c r="AA82" s="72">
        <f t="shared" si="41"/>
        <v>23.281600000000001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2"/>
        <v>0168-06</v>
      </c>
      <c r="AE82" s="115" t="str">
        <f t="shared" si="43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82" s="112" t="str">
        <f t="shared" si="44"/>
        <v>"C:\Program Files (x86)\AstroGrep\AstroGrep.exe" /spath="%USERPROFILE%\AppData\Local\Temp\OnboardLogs" /stypes="*4017*20160806*" /stext=" 19:.+((SYSTEM_STATE.+slice.+state.+changed )|(ment ac)|(system.+state.+changed )|(\|lc)|(penalty)|(\[timeout)|(PRM\|1\|D)|(kpr)|(kdp))" /e /r /s</v>
      </c>
      <c r="AG82" s="1" t="str">
        <f t="shared" si="45"/>
        <v>EC</v>
      </c>
      <c r="AH82" s="116" t="str">
        <f t="shared" si="46"/>
        <v>"%USERPROFILE%\Documents\GitHub\eaglep3\Utilities\RefineRTDCRunTimes.py" --tripid 168-06 --locoid 4017 --swversion DE.1.0.7.0 --startMP 204:232974 --initTime 2016-08-06T12:53:33 --startdatetime 2016-08-06T12:55:57 --delay 2 --endMP 204:158 --enddatetime 2016-08-06T13:36:11 --enforcementcount 0</v>
      </c>
    </row>
    <row r="83" spans="1:34" x14ac:dyDescent="0.25">
      <c r="A83" s="42" t="s">
        <v>610</v>
      </c>
      <c r="B83" s="7">
        <v>4014</v>
      </c>
      <c r="C83" s="25" t="s">
        <v>156</v>
      </c>
      <c r="D83" s="25" t="s">
        <v>138</v>
      </c>
      <c r="E83" s="16">
        <v>42588.504664351851</v>
      </c>
      <c r="F83" s="16">
        <v>42588.505358796298</v>
      </c>
      <c r="G83" s="7">
        <v>0</v>
      </c>
      <c r="H83" s="16" t="s">
        <v>611</v>
      </c>
      <c r="I83" s="16">
        <v>42588.536006944443</v>
      </c>
      <c r="J83" s="7">
        <v>0</v>
      </c>
      <c r="K83" s="25" t="str">
        <f t="shared" si="33"/>
        <v>4013/4014</v>
      </c>
      <c r="L83" s="25" t="str">
        <f>VLOOKUP(A83,'Trips&amp;Operators'!$C$1:$E$10000,3,FALSE)</f>
        <v>MAYBERRY</v>
      </c>
      <c r="M83" s="6">
        <f t="shared" si="34"/>
        <v>3.0648148145701271E-2</v>
      </c>
      <c r="N83" s="7">
        <f t="shared" si="32"/>
        <v>44.13333332980983</v>
      </c>
      <c r="O83" s="7"/>
      <c r="P83" s="7"/>
      <c r="Q83" s="26"/>
      <c r="R83" s="26"/>
      <c r="S83" s="38">
        <f t="shared" si="47"/>
        <v>1</v>
      </c>
      <c r="T83" s="55" t="str">
        <f t="shared" si="35"/>
        <v>NorthBound</v>
      </c>
      <c r="U83" s="15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11:06:43-0600',mode:absolute,to:'2016-08-06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3" s="57" t="str">
        <f t="shared" si="37"/>
        <v>N</v>
      </c>
      <c r="X83" s="145">
        <f t="shared" si="38"/>
        <v>1</v>
      </c>
      <c r="Y83" s="72">
        <f t="shared" si="39"/>
        <v>4.6199999999999998E-2</v>
      </c>
      <c r="Z83" s="72">
        <f t="shared" si="40"/>
        <v>23.330500000000001</v>
      </c>
      <c r="AA83" s="72">
        <f t="shared" si="41"/>
        <v>23.284300000000002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2"/>
        <v>0169-06</v>
      </c>
      <c r="AE83" s="115" t="str">
        <f t="shared" si="43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83" s="112" t="str">
        <f t="shared" si="44"/>
        <v>"C:\Program Files (x86)\AstroGrep\AstroGrep.exe" /spath="%USERPROFILE%\AppData\Local\Temp\OnboardLogs" /stypes="*4014*20160806*" /stext=" 18:.+((SYSTEM_STATE.+slice.+state.+changed )|(ment ac)|(system.+state.+changed )|(\|lc)|(penalty)|(\[timeout)|(PRM\|1\|D)|(kpr)|(kdp))" /e /r /s</v>
      </c>
      <c r="AG83" s="1" t="str">
        <f t="shared" si="45"/>
        <v>EC</v>
      </c>
      <c r="AH83" s="116" t="str">
        <f t="shared" si="46"/>
        <v>"%USERPROFILE%\Documents\GitHub\eaglep3\Utilities\RefineRTDCRunTimes.py" --tripid 169-06 --locoid 4014 --swversion DE.1.0.7.0 --startMP 204:462 --initTime 2016-08-06T12:06:43 --startdatetime 2016-08-06T12:07:43 --delay 0 --endMP 204:233305 --enddatetime 2016-08-06T12:51:51 --enforcementcount 0</v>
      </c>
    </row>
    <row r="84" spans="1:34" x14ac:dyDescent="0.25">
      <c r="A84" s="42" t="s">
        <v>612</v>
      </c>
      <c r="B84" s="7">
        <v>4013</v>
      </c>
      <c r="C84" s="25" t="s">
        <v>156</v>
      </c>
      <c r="D84" s="25" t="s">
        <v>299</v>
      </c>
      <c r="E84" s="16">
        <v>42588.54583333333</v>
      </c>
      <c r="F84" s="16">
        <v>42588.547800925924</v>
      </c>
      <c r="G84" s="7">
        <v>2</v>
      </c>
      <c r="H84" s="16" t="s">
        <v>58</v>
      </c>
      <c r="I84" s="16">
        <v>42588.577164351853</v>
      </c>
      <c r="J84" s="7">
        <v>0</v>
      </c>
      <c r="K84" s="25" t="str">
        <f t="shared" si="33"/>
        <v>4013/4014</v>
      </c>
      <c r="L84" s="25" t="str">
        <f>VLOOKUP(A84,'Trips&amp;Operators'!$C$1:$E$10000,3,FALSE)</f>
        <v>MAYBERRY</v>
      </c>
      <c r="M84" s="6">
        <f t="shared" si="34"/>
        <v>2.9363425928750075E-2</v>
      </c>
      <c r="N84" s="7">
        <f t="shared" si="32"/>
        <v>42.283333337400109</v>
      </c>
      <c r="O84" s="7"/>
      <c r="P84" s="7"/>
      <c r="Q84" s="26"/>
      <c r="R84" s="26"/>
      <c r="S84" s="38">
        <f t="shared" si="47"/>
        <v>1</v>
      </c>
      <c r="T84" s="55" t="str">
        <f t="shared" si="35"/>
        <v>Southbound</v>
      </c>
      <c r="U84" s="15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12:06:00-0600',mode:absolute,to:'2016-08-06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84" s="57" t="str">
        <f t="shared" si="37"/>
        <v>N</v>
      </c>
      <c r="X84" s="145">
        <f t="shared" si="38"/>
        <v>1</v>
      </c>
      <c r="Y84" s="72">
        <f t="shared" si="39"/>
        <v>23.297499999999999</v>
      </c>
      <c r="Z84" s="72">
        <f t="shared" si="40"/>
        <v>1.52E-2</v>
      </c>
      <c r="AA84" s="72">
        <f t="shared" si="41"/>
        <v>23.282299999999999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2"/>
        <v>0170-06</v>
      </c>
      <c r="AE84" s="115" t="str">
        <f t="shared" si="43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84" s="112" t="str">
        <f t="shared" si="44"/>
        <v>"C:\Program Files (x86)\AstroGrep\AstroGrep.exe" /spath="%USERPROFILE%\AppData\Local\Temp\OnboardLogs" /stypes="*4013*20160806*" /stext=" 19:.+((SYSTEM_STATE.+slice.+state.+changed )|(ment ac)|(system.+state.+changed )|(\|lc)|(penalty)|(\[timeout)|(PRM\|1\|D)|(kpr)|(kdp))" /e /r /s</v>
      </c>
      <c r="AG84" s="1" t="str">
        <f t="shared" si="45"/>
        <v>EC</v>
      </c>
      <c r="AH84" s="116" t="str">
        <f t="shared" si="46"/>
        <v>"%USERPROFILE%\Documents\GitHub\eaglep3\Utilities\RefineRTDCRunTimes.py" --tripid 170-06 --locoid 4013 --swversion DE.1.0.7.0 --startMP 204:232975 --initTime 2016-08-06T13:06:00 --startdatetime 2016-08-06T13:08:50 --delay 2 --endMP 204:152 --enddatetime 2016-08-06T13:51:07 --enforcementcount 0</v>
      </c>
    </row>
    <row r="85" spans="1:34" x14ac:dyDescent="0.25">
      <c r="A85" s="42" t="s">
        <v>613</v>
      </c>
      <c r="B85" s="7">
        <v>4031</v>
      </c>
      <c r="C85" s="25" t="s">
        <v>156</v>
      </c>
      <c r="D85" s="25" t="s">
        <v>300</v>
      </c>
      <c r="E85" s="16">
        <v>42588.517743055556</v>
      </c>
      <c r="F85" s="16">
        <v>42588.518923611111</v>
      </c>
      <c r="G85" s="7">
        <v>1</v>
      </c>
      <c r="H85" s="16" t="s">
        <v>614</v>
      </c>
      <c r="I85" s="16">
        <v>42588.546979166669</v>
      </c>
      <c r="J85" s="7">
        <v>0</v>
      </c>
      <c r="K85" s="25" t="str">
        <f t="shared" si="33"/>
        <v>4031/4032</v>
      </c>
      <c r="L85" s="25" t="str">
        <f>VLOOKUP(A85,'Trips&amp;Operators'!$C$1:$E$10000,3,FALSE)</f>
        <v>WEBSTER</v>
      </c>
      <c r="M85" s="6">
        <f t="shared" si="34"/>
        <v>2.8055555558239575E-2</v>
      </c>
      <c r="N85" s="7">
        <f t="shared" si="32"/>
        <v>40.400000003864989</v>
      </c>
      <c r="O85" s="7"/>
      <c r="P85" s="7"/>
      <c r="Q85" s="26"/>
      <c r="R85" s="26"/>
      <c r="S85" s="38">
        <f t="shared" si="47"/>
        <v>1</v>
      </c>
      <c r="T85" s="55" t="str">
        <f t="shared" si="35"/>
        <v>NorthBound</v>
      </c>
      <c r="U85" s="15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11:25:33-0600',mode:absolute,to:'2016-08-06 14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85" s="57" t="str">
        <f t="shared" si="37"/>
        <v>N</v>
      </c>
      <c r="X85" s="145">
        <f t="shared" si="38"/>
        <v>1</v>
      </c>
      <c r="Y85" s="72">
        <f t="shared" si="39"/>
        <v>4.5699999999999998E-2</v>
      </c>
      <c r="Z85" s="72">
        <f t="shared" si="40"/>
        <v>23.3306</v>
      </c>
      <c r="AA85" s="72">
        <f t="shared" si="41"/>
        <v>23.2849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42"/>
        <v>0171-06</v>
      </c>
      <c r="AE85" s="115" t="str">
        <f t="shared" si="43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85" s="112" t="str">
        <f t="shared" si="44"/>
        <v>"C:\Program Files (x86)\AstroGrep\AstroGrep.exe" /spath="%USERPROFILE%\AppData\Local\Temp\OnboardLogs" /stypes="*4031*20160806*" /stext=" 19:.+((SYSTEM_STATE.+slice.+state.+changed )|(ment ac)|(system.+state.+changed )|(\|lc)|(penalty)|(\[timeout)|(PRM\|1\|D)|(kpr)|(kdp))" /e /r /s</v>
      </c>
      <c r="AG85" s="1" t="str">
        <f t="shared" si="45"/>
        <v>EC</v>
      </c>
      <c r="AH85" s="116" t="str">
        <f t="shared" si="46"/>
        <v>"%USERPROFILE%\Documents\GitHub\eaglep3\Utilities\RefineRTDCRunTimes.py" --tripid 171-06 --locoid 4031 --swversion DE.1.0.7.0 --startMP 204:457 --initTime 2016-08-06T12:25:33 --startdatetime 2016-08-06T12:27:15 --delay 1 --endMP 204:233306 --enddatetime 2016-08-06T13:07:39 --enforcementcount 0</v>
      </c>
    </row>
    <row r="86" spans="1:34" x14ac:dyDescent="0.25">
      <c r="A86" s="42" t="s">
        <v>615</v>
      </c>
      <c r="B86" s="7">
        <v>4032</v>
      </c>
      <c r="C86" s="25" t="s">
        <v>156</v>
      </c>
      <c r="D86" s="25" t="s">
        <v>616</v>
      </c>
      <c r="E86" s="16">
        <v>42588.556018518517</v>
      </c>
      <c r="F86" s="16">
        <v>42588.556944444441</v>
      </c>
      <c r="G86" s="7">
        <v>1</v>
      </c>
      <c r="H86" s="16" t="s">
        <v>578</v>
      </c>
      <c r="I86" s="16">
        <v>42588.586956018517</v>
      </c>
      <c r="J86" s="7">
        <v>0</v>
      </c>
      <c r="K86" s="25" t="str">
        <f t="shared" si="33"/>
        <v>4031/4032</v>
      </c>
      <c r="L86" s="25" t="str">
        <f>VLOOKUP(A86,'Trips&amp;Operators'!$C$1:$E$10000,3,FALSE)</f>
        <v>WEBSTER</v>
      </c>
      <c r="M86" s="6">
        <f t="shared" si="34"/>
        <v>3.0011574075615499E-2</v>
      </c>
      <c r="N86" s="7">
        <f t="shared" si="32"/>
        <v>43.216666668886319</v>
      </c>
      <c r="O86" s="7"/>
      <c r="P86" s="7"/>
      <c r="Q86" s="26"/>
      <c r="R86" s="26"/>
      <c r="S86" s="38">
        <f t="shared" si="47"/>
        <v>1</v>
      </c>
      <c r="T86" s="55" t="str">
        <f t="shared" si="35"/>
        <v>Southbound</v>
      </c>
      <c r="U86" s="15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12:20:40-0600',mode:absolute,to:'2016-08-06 15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86" s="57" t="str">
        <f t="shared" si="37"/>
        <v>N</v>
      </c>
      <c r="X86" s="145">
        <f t="shared" si="38"/>
        <v>1</v>
      </c>
      <c r="Y86" s="72">
        <f t="shared" si="39"/>
        <v>23.298300000000001</v>
      </c>
      <c r="Z86" s="72">
        <f t="shared" si="40"/>
        <v>1.4500000000000001E-2</v>
      </c>
      <c r="AA86" s="72">
        <f t="shared" si="41"/>
        <v>23.283799999999999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2"/>
        <v>0172-06</v>
      </c>
      <c r="AE86" s="115" t="str">
        <f t="shared" si="43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86" s="112" t="str">
        <f t="shared" si="44"/>
        <v>"C:\Program Files (x86)\AstroGrep\AstroGrep.exe" /spath="%USERPROFILE%\AppData\Local\Temp\OnboardLogs" /stypes="*4032*20160806*" /stext=" 20:.+((SYSTEM_STATE.+slice.+state.+changed )|(ment ac)|(system.+state.+changed )|(\|lc)|(penalty)|(\[timeout)|(PRM\|1\|D)|(kpr)|(kdp))" /e /r /s</v>
      </c>
      <c r="AG86" s="1" t="str">
        <f t="shared" si="45"/>
        <v>EC</v>
      </c>
      <c r="AH86" s="116" t="str">
        <f t="shared" si="46"/>
        <v>"%USERPROFILE%\Documents\GitHub\eaglep3\Utilities\RefineRTDCRunTimes.py" --tripid 172-06 --locoid 4032 --swversion DE.1.0.7.0 --startMP 204:232983 --initTime 2016-08-06T13:20:40 --startdatetime 2016-08-06T13:22:00 --delay 1 --endMP 204:145 --enddatetime 2016-08-06T14:05:13 --enforcementcount 0</v>
      </c>
    </row>
    <row r="87" spans="1:34" x14ac:dyDescent="0.25">
      <c r="A87" s="42" t="s">
        <v>472</v>
      </c>
      <c r="B87" s="7">
        <v>4027</v>
      </c>
      <c r="C87" s="25" t="s">
        <v>156</v>
      </c>
      <c r="D87" s="25" t="s">
        <v>595</v>
      </c>
      <c r="E87" s="16">
        <v>42588.527511574073</v>
      </c>
      <c r="F87" s="16">
        <v>42588.528807870367</v>
      </c>
      <c r="G87" s="7">
        <v>1</v>
      </c>
      <c r="H87" s="16" t="s">
        <v>562</v>
      </c>
      <c r="I87" s="16">
        <v>42588.558136574073</v>
      </c>
      <c r="J87" s="7">
        <v>1</v>
      </c>
      <c r="K87" s="25" t="str">
        <f t="shared" si="33"/>
        <v>4027/4028</v>
      </c>
      <c r="L87" s="25" t="str">
        <f>VLOOKUP(A87,'Trips&amp;Operators'!$C$1:$E$10000,3,FALSE)</f>
        <v>STEWART</v>
      </c>
      <c r="M87" s="6">
        <f t="shared" si="34"/>
        <v>2.9328703705687076E-2</v>
      </c>
      <c r="N87" s="7">
        <f t="shared" si="32"/>
        <v>42.233333336189389</v>
      </c>
      <c r="O87" s="7"/>
      <c r="P87" s="7"/>
      <c r="Q87" s="26"/>
      <c r="R87" s="26"/>
      <c r="S87" s="38">
        <f t="shared" si="47"/>
        <v>1</v>
      </c>
      <c r="T87" s="55" t="str">
        <f t="shared" si="35"/>
        <v>NorthBound</v>
      </c>
      <c r="U87" s="15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87" s="57" t="str">
        <f t="shared" si="37"/>
        <v>N</v>
      </c>
      <c r="X87" s="145">
        <f t="shared" si="38"/>
        <v>1</v>
      </c>
      <c r="Y87" s="72">
        <f t="shared" si="39"/>
        <v>4.3999999999999997E-2</v>
      </c>
      <c r="Z87" s="72">
        <f t="shared" si="40"/>
        <v>23.327999999999999</v>
      </c>
      <c r="AA87" s="72">
        <f t="shared" si="41"/>
        <v>23.283999999999999</v>
      </c>
      <c r="AB87" s="69">
        <f>VLOOKUP(A87,Enforcements!$C$7:$J$24,8,0)</f>
        <v>33137</v>
      </c>
      <c r="AC87" s="65" t="str">
        <f>VLOOKUP(A87,Enforcements!$C$7:$E$24,3,0)</f>
        <v>GRADE CROSSING</v>
      </c>
      <c r="AD87" s="66" t="str">
        <f t="shared" si="42"/>
        <v>0173-06</v>
      </c>
      <c r="AE87" s="115" t="str">
        <f t="shared" si="43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87" s="112" t="str">
        <f t="shared" si="44"/>
        <v>"C:\Program Files (x86)\AstroGrep\AstroGrep.exe" /spath="%USERPROFILE%\AppData\Local\Temp\OnboardLogs" /stypes="*4027*20160806*" /stext=" 19:.+((SYSTEM_STATE.+slice.+state.+changed )|(ment ac)|(system.+state.+changed )|(\|lc)|(penalty)|(\[timeout)|(PRM\|1\|D)|(kpr)|(kdp))" /e /r /s</v>
      </c>
      <c r="AG87" s="1" t="str">
        <f t="shared" si="45"/>
        <v>EC</v>
      </c>
      <c r="AH87" s="116" t="str">
        <f t="shared" si="46"/>
        <v>"%USERPROFILE%\Documents\GitHub\eaglep3\Utilities\RefineRTDCRunTimes.py" --tripid 173-06 --locoid 4027 --swversion DE.1.0.7.0 --startMP 204:440 --initTime 2016-08-06T12:39:37 --startdatetime 2016-08-06T12:41:29 --delay 1 --endMP 204:233280 --enddatetime 2016-08-06T13:23:43 --enforcementcount 1</v>
      </c>
    </row>
    <row r="88" spans="1:34" x14ac:dyDescent="0.25">
      <c r="A88" s="42" t="s">
        <v>617</v>
      </c>
      <c r="B88" s="7">
        <v>4028</v>
      </c>
      <c r="C88" s="25" t="s">
        <v>156</v>
      </c>
      <c r="D88" s="25" t="s">
        <v>64</v>
      </c>
      <c r="E88" s="16">
        <v>42588.565601851849</v>
      </c>
      <c r="F88" s="16">
        <v>42588.566724537035</v>
      </c>
      <c r="G88" s="7">
        <v>1</v>
      </c>
      <c r="H88" s="16" t="s">
        <v>99</v>
      </c>
      <c r="I88" s="16">
        <v>42588.597326388888</v>
      </c>
      <c r="J88" s="7">
        <v>0</v>
      </c>
      <c r="K88" s="25" t="str">
        <f t="shared" si="33"/>
        <v>4027/4028</v>
      </c>
      <c r="L88" s="25" t="str">
        <f>VLOOKUP(A88,'Trips&amp;Operators'!$C$1:$E$10000,3,FALSE)</f>
        <v>STEWART</v>
      </c>
      <c r="M88" s="6">
        <f t="shared" si="34"/>
        <v>3.0601851853134576E-2</v>
      </c>
      <c r="N88" s="7">
        <f t="shared" si="32"/>
        <v>44.06666666851379</v>
      </c>
      <c r="O88" s="7"/>
      <c r="P88" s="7"/>
      <c r="Q88" s="26"/>
      <c r="R88" s="26"/>
      <c r="S88" s="38">
        <f t="shared" si="47"/>
        <v>1</v>
      </c>
      <c r="T88" s="55" t="str">
        <f t="shared" si="35"/>
        <v>Southbound</v>
      </c>
      <c r="U88" s="15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12:34:28-0600',mode:absolute,to:'2016-08-06 15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88" s="57" t="str">
        <f t="shared" si="37"/>
        <v>N</v>
      </c>
      <c r="X88" s="145">
        <f t="shared" si="38"/>
        <v>1</v>
      </c>
      <c r="Y88" s="72">
        <f t="shared" si="39"/>
        <v>23.297699999999999</v>
      </c>
      <c r="Z88" s="72">
        <f t="shared" si="40"/>
        <v>1.43E-2</v>
      </c>
      <c r="AA88" s="72">
        <f t="shared" si="41"/>
        <v>23.2834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42"/>
        <v>0174-06</v>
      </c>
      <c r="AE88" s="115" t="str">
        <f t="shared" si="43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88" s="112" t="str">
        <f t="shared" si="44"/>
        <v>"C:\Program Files (x86)\AstroGrep\AstroGrep.exe" /spath="%USERPROFILE%\AppData\Local\Temp\OnboardLogs" /stypes="*4028*20160806*" /stext=" 20:.+((SYSTEM_STATE.+slice.+state.+changed )|(ment ac)|(system.+state.+changed )|(\|lc)|(penalty)|(\[timeout)|(PRM\|1\|D)|(kpr)|(kdp))" /e /r /s</v>
      </c>
      <c r="AG88" s="1" t="str">
        <f t="shared" si="45"/>
        <v>EC</v>
      </c>
      <c r="AH88" s="116" t="str">
        <f t="shared" si="46"/>
        <v>"%USERPROFILE%\Documents\GitHub\eaglep3\Utilities\RefineRTDCRunTimes.py" --tripid 174-06 --locoid 4028 --swversion DE.1.0.7.0 --startMP 204:232977 --initTime 2016-08-06T13:34:28 --startdatetime 2016-08-06T13:36:05 --delay 1 --endMP 204:143 --enddatetime 2016-08-06T14:20:09 --enforcementcount 0</v>
      </c>
    </row>
    <row r="89" spans="1:34" x14ac:dyDescent="0.25">
      <c r="A89" s="42" t="s">
        <v>618</v>
      </c>
      <c r="B89" s="7">
        <v>4011</v>
      </c>
      <c r="C89" s="25" t="s">
        <v>156</v>
      </c>
      <c r="D89" s="25" t="s">
        <v>366</v>
      </c>
      <c r="E89" s="16">
        <v>42588.5393287037</v>
      </c>
      <c r="F89" s="16">
        <v>42588.540046296293</v>
      </c>
      <c r="G89" s="7">
        <v>1</v>
      </c>
      <c r="H89" s="16" t="s">
        <v>608</v>
      </c>
      <c r="I89" s="16">
        <v>42588.567303240743</v>
      </c>
      <c r="J89" s="7">
        <v>0</v>
      </c>
      <c r="K89" s="25" t="str">
        <f t="shared" si="33"/>
        <v>4011/4012</v>
      </c>
      <c r="L89" s="25" t="str">
        <f>VLOOKUP(A89,'Trips&amp;Operators'!$C$1:$E$10000,3,FALSE)</f>
        <v>HELVIE</v>
      </c>
      <c r="M89" s="6">
        <f t="shared" si="34"/>
        <v>2.7256944449618459E-2</v>
      </c>
      <c r="N89" s="7">
        <f t="shared" si="32"/>
        <v>39.250000007450581</v>
      </c>
      <c r="O89" s="7"/>
      <c r="P89" s="7"/>
      <c r="Q89" s="26"/>
      <c r="R89" s="26"/>
      <c r="S89" s="38">
        <f t="shared" si="47"/>
        <v>1</v>
      </c>
      <c r="T89" s="55" t="str">
        <f t="shared" si="35"/>
        <v>NorthBound</v>
      </c>
      <c r="U89" s="15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11:56:38-0600',mode:absolute,to:'2016-08-06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9" s="57" t="str">
        <f t="shared" si="37"/>
        <v>N</v>
      </c>
      <c r="X89" s="145">
        <f t="shared" si="38"/>
        <v>1</v>
      </c>
      <c r="Y89" s="72">
        <f t="shared" si="39"/>
        <v>4.6899999999999997E-2</v>
      </c>
      <c r="Z89" s="72">
        <f t="shared" si="40"/>
        <v>23.328499999999998</v>
      </c>
      <c r="AA89" s="72">
        <f t="shared" si="41"/>
        <v>23.281599999999997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42"/>
        <v>0175-06</v>
      </c>
      <c r="AE89" s="115" t="str">
        <f t="shared" si="43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89" s="112" t="str">
        <f t="shared" si="44"/>
        <v>"C:\Program Files (x86)\AstroGrep\AstroGrep.exe" /spath="%USERPROFILE%\AppData\Local\Temp\OnboardLogs" /stypes="*4011*20160806*" /stext=" 19:.+((SYSTEM_STATE.+slice.+state.+changed )|(ment ac)|(system.+state.+changed )|(\|lc)|(penalty)|(\[timeout)|(PRM\|1\|D)|(kpr)|(kdp))" /e /r /s</v>
      </c>
      <c r="AG89" s="1" t="str">
        <f t="shared" si="45"/>
        <v>EC</v>
      </c>
      <c r="AH89" s="116" t="str">
        <f t="shared" si="46"/>
        <v>"%USERPROFILE%\Documents\GitHub\eaglep3\Utilities\RefineRTDCRunTimes.py" --tripid 175-06 --locoid 4011 --swversion DE.1.0.7.0 --startMP 204:469 --initTime 2016-08-06T12:56:38 --startdatetime 2016-08-06T12:57:40 --delay 1 --endMP 204:233285 --enddatetime 2016-08-06T13:36:55 --enforcementcount 0</v>
      </c>
    </row>
    <row r="90" spans="1:34" x14ac:dyDescent="0.25">
      <c r="A90" s="42" t="s">
        <v>619</v>
      </c>
      <c r="B90" s="7">
        <v>4012</v>
      </c>
      <c r="C90" s="25" t="s">
        <v>156</v>
      </c>
      <c r="D90" s="25" t="s">
        <v>620</v>
      </c>
      <c r="E90" s="16">
        <v>42588.576527777775</v>
      </c>
      <c r="F90" s="16">
        <v>42588.577743055554</v>
      </c>
      <c r="G90" s="7">
        <v>1</v>
      </c>
      <c r="H90" s="16" t="s">
        <v>58</v>
      </c>
      <c r="I90" s="16">
        <v>42588.607569444444</v>
      </c>
      <c r="J90" s="7">
        <v>0</v>
      </c>
      <c r="K90" s="25" t="str">
        <f t="shared" si="33"/>
        <v>4011/4012</v>
      </c>
      <c r="L90" s="25" t="str">
        <f>VLOOKUP(A90,'Trips&amp;Operators'!$C$1:$E$10000,3,FALSE)</f>
        <v>HELVIE</v>
      </c>
      <c r="M90" s="6">
        <f t="shared" si="34"/>
        <v>2.9826388890796807E-2</v>
      </c>
      <c r="N90" s="7">
        <f t="shared" si="32"/>
        <v>42.950000002747402</v>
      </c>
      <c r="O90" s="7"/>
      <c r="P90" s="7"/>
      <c r="Q90" s="26"/>
      <c r="R90" s="26"/>
      <c r="S90" s="38">
        <f t="shared" si="47"/>
        <v>1</v>
      </c>
      <c r="T90" s="55" t="str">
        <f t="shared" si="35"/>
        <v>Southbound</v>
      </c>
      <c r="U90" s="15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12:50:12-0600',mode:absolute,to:'2016-08-06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90" s="57" t="str">
        <f t="shared" si="37"/>
        <v>N</v>
      </c>
      <c r="X90" s="145">
        <f t="shared" si="38"/>
        <v>1</v>
      </c>
      <c r="Y90" s="72">
        <f t="shared" si="39"/>
        <v>23.297599999999999</v>
      </c>
      <c r="Z90" s="72">
        <f t="shared" si="40"/>
        <v>1.52E-2</v>
      </c>
      <c r="AA90" s="72">
        <f t="shared" si="41"/>
        <v>23.282399999999999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2"/>
        <v>0176-06</v>
      </c>
      <c r="AE90" s="115" t="str">
        <f t="shared" si="43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90" s="112" t="str">
        <f t="shared" si="44"/>
        <v>"C:\Program Files (x86)\AstroGrep\AstroGrep.exe" /spath="%USERPROFILE%\AppData\Local\Temp\OnboardLogs" /stypes="*4012*20160806*" /stext=" 20:.+((SYSTEM_STATE.+slice.+state.+changed )|(ment ac)|(system.+state.+changed )|(\|lc)|(penalty)|(\[timeout)|(PRM\|1\|D)|(kpr)|(kdp))" /e /r /s</v>
      </c>
      <c r="AG90" s="1" t="str">
        <f t="shared" si="45"/>
        <v>EC</v>
      </c>
      <c r="AH90" s="116" t="str">
        <f t="shared" si="46"/>
        <v>"%USERPROFILE%\Documents\GitHub\eaglep3\Utilities\RefineRTDCRunTimes.py" --tripid 176-06 --locoid 4012 --swversion DE.1.0.7.0 --startMP 204:232976 --initTime 2016-08-06T13:50:12 --startdatetime 2016-08-06T13:51:57 --delay 1 --endMP 204:152 --enddatetime 2016-08-06T14:34:54 --enforcementcount 0</v>
      </c>
    </row>
    <row r="91" spans="1:34" x14ac:dyDescent="0.25">
      <c r="A91" s="42" t="s">
        <v>621</v>
      </c>
      <c r="B91" s="7">
        <v>4025</v>
      </c>
      <c r="C91" s="25" t="s">
        <v>156</v>
      </c>
      <c r="D91" s="25" t="s">
        <v>300</v>
      </c>
      <c r="E91" s="16">
        <v>42588.548437500001</v>
      </c>
      <c r="F91" s="16">
        <v>42588.549502314818</v>
      </c>
      <c r="G91" s="7">
        <v>1</v>
      </c>
      <c r="H91" s="16" t="s">
        <v>152</v>
      </c>
      <c r="I91" s="16">
        <v>42588.577685185184</v>
      </c>
      <c r="J91" s="7">
        <v>0</v>
      </c>
      <c r="K91" s="25" t="str">
        <f t="shared" si="33"/>
        <v>4025/4026</v>
      </c>
      <c r="L91" s="25" t="str">
        <f>VLOOKUP(A91,'Trips&amp;Operators'!$C$1:$E$10000,3,FALSE)</f>
        <v>MOSES</v>
      </c>
      <c r="M91" s="6">
        <f t="shared" si="34"/>
        <v>2.8182870366435964E-2</v>
      </c>
      <c r="N91" s="7">
        <f t="shared" si="32"/>
        <v>40.583333327667788</v>
      </c>
      <c r="O91" s="7"/>
      <c r="P91" s="7"/>
      <c r="Q91" s="26"/>
      <c r="R91" s="26"/>
      <c r="S91" s="38">
        <f t="shared" si="47"/>
        <v>1</v>
      </c>
      <c r="T91" s="55" t="str">
        <f t="shared" si="35"/>
        <v>NorthBound</v>
      </c>
      <c r="U91" s="15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12:09:45-0600',mode:absolute,to:'2016-08-06 14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91" s="57" t="str">
        <f t="shared" si="37"/>
        <v>N</v>
      </c>
      <c r="X91" s="145">
        <f t="shared" si="38"/>
        <v>1</v>
      </c>
      <c r="Y91" s="72">
        <f t="shared" si="39"/>
        <v>4.5699999999999998E-2</v>
      </c>
      <c r="Z91" s="72">
        <f t="shared" si="40"/>
        <v>23.329499999999999</v>
      </c>
      <c r="AA91" s="72">
        <f t="shared" si="41"/>
        <v>23.283799999999999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2"/>
        <v>0177-06</v>
      </c>
      <c r="AE91" s="115" t="str">
        <f t="shared" si="43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91" s="112" t="str">
        <f t="shared" si="44"/>
        <v>"C:\Program Files (x86)\AstroGrep\AstroGrep.exe" /spath="%USERPROFILE%\AppData\Local\Temp\OnboardLogs" /stypes="*4025*20160806*" /stext=" 19:.+((SYSTEM_STATE.+slice.+state.+changed )|(ment ac)|(system.+state.+changed )|(\|lc)|(penalty)|(\[timeout)|(PRM\|1\|D)|(kpr)|(kdp))" /e /r /s</v>
      </c>
      <c r="AG91" s="1" t="str">
        <f t="shared" si="45"/>
        <v>EC</v>
      </c>
      <c r="AH91" s="116" t="str">
        <f t="shared" si="46"/>
        <v>"%USERPROFILE%\Documents\GitHub\eaglep3\Utilities\RefineRTDCRunTimes.py" --tripid 177-06 --locoid 4025 --swversion DE.1.0.7.0 --startMP 204:457 --initTime 2016-08-06T13:09:45 --startdatetime 2016-08-06T13:11:17 --delay 1 --endMP 204:233295 --enddatetime 2016-08-06T13:51:52 --enforcementcount 0</v>
      </c>
    </row>
    <row r="92" spans="1:34" x14ac:dyDescent="0.25">
      <c r="A92" s="42" t="s">
        <v>622</v>
      </c>
      <c r="B92" s="7">
        <v>4026</v>
      </c>
      <c r="C92" s="25" t="s">
        <v>156</v>
      </c>
      <c r="D92" s="25" t="s">
        <v>309</v>
      </c>
      <c r="E92" s="16">
        <v>42588.587592592594</v>
      </c>
      <c r="F92" s="16">
        <v>42588.588495370372</v>
      </c>
      <c r="G92" s="7">
        <v>1</v>
      </c>
      <c r="H92" s="16" t="s">
        <v>623</v>
      </c>
      <c r="I92" s="16">
        <v>42588.618275462963</v>
      </c>
      <c r="J92" s="7">
        <v>0</v>
      </c>
      <c r="K92" s="25" t="str">
        <f t="shared" si="33"/>
        <v>4025/4026</v>
      </c>
      <c r="L92" s="25" t="str">
        <f>VLOOKUP(A92,'Trips&amp;Operators'!$C$1:$E$10000,3,FALSE)</f>
        <v>MOSES</v>
      </c>
      <c r="M92" s="6">
        <f t="shared" si="34"/>
        <v>2.9780092590954155E-2</v>
      </c>
      <c r="N92" s="7">
        <f t="shared" si="32"/>
        <v>42.883333330973983</v>
      </c>
      <c r="O92" s="7"/>
      <c r="P92" s="7"/>
      <c r="Q92" s="26"/>
      <c r="R92" s="26"/>
      <c r="S92" s="38">
        <f t="shared" si="47"/>
        <v>1</v>
      </c>
      <c r="T92" s="55" t="str">
        <f t="shared" si="35"/>
        <v>Southbound</v>
      </c>
      <c r="U92" s="15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13:06:08-0600',mode:absolute,to:'2016-08-06 15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92" s="57" t="str">
        <f t="shared" si="37"/>
        <v>N</v>
      </c>
      <c r="X92" s="145">
        <f t="shared" si="38"/>
        <v>1</v>
      </c>
      <c r="Y92" s="72">
        <f t="shared" si="39"/>
        <v>23.297999999999998</v>
      </c>
      <c r="Z92" s="72">
        <f t="shared" si="40"/>
        <v>1.41E-2</v>
      </c>
      <c r="AA92" s="72">
        <f t="shared" si="41"/>
        <v>23.283899999999999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2"/>
        <v>0178-06</v>
      </c>
      <c r="AE92" s="115" t="str">
        <f t="shared" si="43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92" s="112" t="str">
        <f t="shared" si="44"/>
        <v>"C:\Program Files (x86)\AstroGrep\AstroGrep.exe" /spath="%USERPROFILE%\AppData\Local\Temp\OnboardLogs" /stypes="*4026*20160806*" /stext=" 20:.+((SYSTEM_STATE.+slice.+state.+changed )|(ment ac)|(system.+state.+changed )|(\|lc)|(penalty)|(\[timeout)|(PRM\|1\|D)|(kpr)|(kdp))" /e /r /s</v>
      </c>
      <c r="AG92" s="1" t="str">
        <f t="shared" si="45"/>
        <v>EC</v>
      </c>
      <c r="AH92" s="116" t="str">
        <f t="shared" si="46"/>
        <v>"%USERPROFILE%\Documents\GitHub\eaglep3\Utilities\RefineRTDCRunTimes.py" --tripid 178-06 --locoid 4026 --swversion DE.1.0.7.0 --startMP 204:232980 --initTime 2016-08-06T14:06:08 --startdatetime 2016-08-06T14:07:26 --delay 1 --endMP 204:141 --enddatetime 2016-08-06T14:50:19 --enforcementcount 0</v>
      </c>
    </row>
    <row r="93" spans="1:34" x14ac:dyDescent="0.25">
      <c r="A93" s="42" t="s">
        <v>624</v>
      </c>
      <c r="B93" s="7">
        <v>4009</v>
      </c>
      <c r="C93" s="25" t="s">
        <v>156</v>
      </c>
      <c r="D93" s="25" t="s">
        <v>625</v>
      </c>
      <c r="E93" s="16">
        <v>42588.558020833334</v>
      </c>
      <c r="F93" s="16">
        <v>42588.560081018521</v>
      </c>
      <c r="G93" s="7">
        <v>2</v>
      </c>
      <c r="H93" s="16" t="s">
        <v>545</v>
      </c>
      <c r="I93" s="16">
        <v>42588.589074074072</v>
      </c>
      <c r="J93" s="7">
        <v>0</v>
      </c>
      <c r="K93" s="25" t="str">
        <f t="shared" si="33"/>
        <v>4009/4010</v>
      </c>
      <c r="L93" s="25" t="str">
        <f>VLOOKUP(A93,'Trips&amp;Operators'!$C$1:$E$10000,3,FALSE)</f>
        <v>SHOOK</v>
      </c>
      <c r="M93" s="6">
        <f t="shared" si="34"/>
        <v>2.8993055551836733E-2</v>
      </c>
      <c r="N93" s="7">
        <f t="shared" si="32"/>
        <v>41.749999994644895</v>
      </c>
      <c r="O93" s="7"/>
      <c r="P93" s="7"/>
      <c r="Q93" s="26"/>
      <c r="R93" s="26"/>
      <c r="S93" s="38">
        <f t="shared" si="47"/>
        <v>1</v>
      </c>
      <c r="T93" s="55" t="str">
        <f t="shared" si="35"/>
        <v>NorthBound</v>
      </c>
      <c r="U93" s="15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12:23:33-0600',mode:absolute,to:'2016-08-06 15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93" s="57" t="str">
        <f t="shared" si="37"/>
        <v>N</v>
      </c>
      <c r="X93" s="145">
        <f t="shared" si="38"/>
        <v>1</v>
      </c>
      <c r="Y93" s="72">
        <f t="shared" si="39"/>
        <v>4.3499999999999997E-2</v>
      </c>
      <c r="Z93" s="72">
        <f t="shared" si="40"/>
        <v>23.3323</v>
      </c>
      <c r="AA93" s="72">
        <f t="shared" si="41"/>
        <v>23.288799999999998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2"/>
        <v>0179-06</v>
      </c>
      <c r="AE93" s="115" t="str">
        <f t="shared" si="43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93" s="112" t="str">
        <f t="shared" si="44"/>
        <v>"C:\Program Files (x86)\AstroGrep\AstroGrep.exe" /spath="%USERPROFILE%\AppData\Local\Temp\OnboardLogs" /stypes="*4009*20160806*" /stext=" 20:.+((SYSTEM_STATE.+slice.+state.+changed )|(ment ac)|(system.+state.+changed )|(\|lc)|(penalty)|(\[timeout)|(PRM\|1\|D)|(kpr)|(kdp))" /e /r /s</v>
      </c>
      <c r="AG93" s="1" t="str">
        <f t="shared" si="45"/>
        <v>EC</v>
      </c>
      <c r="AH93" s="116" t="str">
        <f t="shared" si="46"/>
        <v>"%USERPROFILE%\Documents\GitHub\eaglep3\Utilities\RefineRTDCRunTimes.py" --tripid 179-06 --locoid 4009 --swversion DE.1.0.7.0 --startMP 204:435 --initTime 2016-08-06T13:23:33 --startdatetime 2016-08-06T13:26:31 --delay 2 --endMP 204:233323 --enddatetime 2016-08-06T14:08:16 --enforcementcount 0</v>
      </c>
    </row>
    <row r="94" spans="1:34" x14ac:dyDescent="0.25">
      <c r="A94" s="42" t="s">
        <v>626</v>
      </c>
      <c r="B94" s="7">
        <v>4010</v>
      </c>
      <c r="C94" s="25" t="s">
        <v>156</v>
      </c>
      <c r="D94" s="25" t="s">
        <v>627</v>
      </c>
      <c r="E94" s="16">
        <v>42588.596446759257</v>
      </c>
      <c r="F94" s="16">
        <v>42588.597222222219</v>
      </c>
      <c r="G94" s="7">
        <v>1</v>
      </c>
      <c r="H94" s="16" t="s">
        <v>564</v>
      </c>
      <c r="I94" s="16">
        <v>42588.628125000003</v>
      </c>
      <c r="J94" s="7">
        <v>0</v>
      </c>
      <c r="K94" s="25" t="str">
        <f t="shared" si="33"/>
        <v>4009/4010</v>
      </c>
      <c r="L94" s="25" t="str">
        <f>VLOOKUP(A94,'Trips&amp;Operators'!$C$1:$E$10000,3,FALSE)</f>
        <v>SHOOK</v>
      </c>
      <c r="M94" s="6">
        <f t="shared" si="34"/>
        <v>3.090277778392192E-2</v>
      </c>
      <c r="N94" s="7">
        <f t="shared" si="32"/>
        <v>44.500000008847564</v>
      </c>
      <c r="O94" s="7"/>
      <c r="P94" s="7"/>
      <c r="Q94" s="26"/>
      <c r="R94" s="26"/>
      <c r="S94" s="38">
        <f t="shared" si="47"/>
        <v>1</v>
      </c>
      <c r="T94" s="55" t="str">
        <f t="shared" si="35"/>
        <v>Southbound</v>
      </c>
      <c r="U94" s="15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13:18:53-0600',mode:absolute,to:'2016-08-06 16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94" s="57" t="str">
        <f t="shared" si="37"/>
        <v>N</v>
      </c>
      <c r="X94" s="145">
        <f t="shared" si="38"/>
        <v>1</v>
      </c>
      <c r="Y94" s="72">
        <f t="shared" si="39"/>
        <v>23.304200000000002</v>
      </c>
      <c r="Z94" s="72">
        <f t="shared" si="40"/>
        <v>1.49E-2</v>
      </c>
      <c r="AA94" s="72">
        <f t="shared" si="41"/>
        <v>23.289300000000001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2"/>
        <v>0180-06</v>
      </c>
      <c r="AE94" s="115" t="str">
        <f t="shared" si="43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94" s="112" t="str">
        <f t="shared" si="44"/>
        <v>"C:\Program Files (x86)\AstroGrep\AstroGrep.exe" /spath="%USERPROFILE%\AppData\Local\Temp\OnboardLogs" /stypes="*4010*20160806*" /stext=" 21:.+((SYSTEM_STATE.+slice.+state.+changed )|(ment ac)|(system.+state.+changed )|(\|lc)|(penalty)|(\[timeout)|(PRM\|1\|D)|(kpr)|(kdp))" /e /r /s</v>
      </c>
      <c r="AG94" s="1" t="str">
        <f t="shared" si="45"/>
        <v>EC</v>
      </c>
      <c r="AH94" s="116" t="str">
        <f t="shared" si="46"/>
        <v>"%USERPROFILE%\Documents\GitHub\eaglep3\Utilities\RefineRTDCRunTimes.py" --tripid 180-06 --locoid 4010 --swversion DE.1.0.7.0 --startMP 204:233042 --initTime 2016-08-06T14:18:53 --startdatetime 2016-08-06T14:20:00 --delay 1 --endMP 204:149 --enddatetime 2016-08-06T15:04:30 --enforcementcount 0</v>
      </c>
    </row>
    <row r="95" spans="1:34" x14ac:dyDescent="0.25">
      <c r="A95" s="42" t="s">
        <v>650</v>
      </c>
      <c r="B95" s="7">
        <v>4018</v>
      </c>
      <c r="C95" s="25" t="s">
        <v>156</v>
      </c>
      <c r="D95" s="25" t="s">
        <v>401</v>
      </c>
      <c r="E95" s="16">
        <v>42588.568553240744</v>
      </c>
      <c r="F95" s="16">
        <v>42588.569606481484</v>
      </c>
      <c r="G95" s="7">
        <v>1</v>
      </c>
      <c r="H95" s="16" t="s">
        <v>651</v>
      </c>
      <c r="I95" s="16">
        <v>42588.597881944443</v>
      </c>
      <c r="J95" s="7">
        <v>0</v>
      </c>
      <c r="K95" s="25" t="str">
        <f t="shared" si="33"/>
        <v>4017/4018</v>
      </c>
      <c r="L95" s="25" t="str">
        <f>VLOOKUP(A95,'Trips&amp;Operators'!$C$1:$E$10000,3,FALSE)</f>
        <v>DE LA ROSA</v>
      </c>
      <c r="M95" s="6">
        <f t="shared" si="34"/>
        <v>2.827546295884531E-2</v>
      </c>
      <c r="N95" s="7">
        <f t="shared" si="32"/>
        <v>40.716666660737246</v>
      </c>
      <c r="O95" s="7"/>
      <c r="P95" s="7"/>
      <c r="Q95" s="26"/>
      <c r="R95" s="26"/>
      <c r="S95" s="38">
        <f t="shared" si="47"/>
        <v>1</v>
      </c>
      <c r="T95" s="55" t="str">
        <f t="shared" si="35"/>
        <v>NorthBound</v>
      </c>
      <c r="U95" s="15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12:38:43-0600',mode:absolute,to:'2016-08-06 15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5" s="57" t="str">
        <f t="shared" si="37"/>
        <v>N</v>
      </c>
      <c r="X95" s="145">
        <f t="shared" si="38"/>
        <v>1</v>
      </c>
      <c r="Y95" s="72">
        <f t="shared" si="39"/>
        <v>4.7100000000000003E-2</v>
      </c>
      <c r="Z95" s="72">
        <f t="shared" si="40"/>
        <v>23.328600000000002</v>
      </c>
      <c r="AA95" s="72">
        <f t="shared" si="41"/>
        <v>23.281500000000001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2"/>
        <v>0181-06</v>
      </c>
      <c r="AE95" s="115" t="str">
        <f t="shared" si="43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95" s="112" t="str">
        <f t="shared" si="44"/>
        <v>"C:\Program Files (x86)\AstroGrep\AstroGrep.exe" /spath="%USERPROFILE%\AppData\Local\Temp\OnboardLogs" /stypes="*4018*20160806*" /stext=" 20:.+((SYSTEM_STATE.+slice.+state.+changed )|(ment ac)|(system.+state.+changed )|(\|lc)|(penalty)|(\[timeout)|(PRM\|1\|D)|(kpr)|(kdp))" /e /r /s</v>
      </c>
      <c r="AG95" s="1" t="str">
        <f t="shared" si="45"/>
        <v>EC</v>
      </c>
      <c r="AH95" s="116" t="str">
        <f t="shared" si="46"/>
        <v>"%USERPROFILE%\Documents\GitHub\eaglep3\Utilities\RefineRTDCRunTimes.py" --tripid 181-06 --locoid 4018 --swversion DE.1.0.7.0 --startMP 204:471 --initTime 2016-08-06T13:38:43 --startdatetime 2016-08-06T13:40:14 --delay 1 --endMP 204:233286 --enddatetime 2016-08-06T14:20:57 --enforcementcount 0</v>
      </c>
    </row>
    <row r="96" spans="1:34" x14ac:dyDescent="0.25">
      <c r="A96" s="25" t="s">
        <v>675</v>
      </c>
      <c r="B96" s="134">
        <v>4017</v>
      </c>
      <c r="C96" s="135" t="s">
        <v>156</v>
      </c>
      <c r="D96" s="135" t="s">
        <v>64</v>
      </c>
      <c r="E96" s="136">
        <v>42588.606782407405</v>
      </c>
      <c r="F96" s="136">
        <v>42588.607905092591</v>
      </c>
      <c r="G96" s="134">
        <v>1</v>
      </c>
      <c r="H96" s="136" t="s">
        <v>539</v>
      </c>
      <c r="I96" s="136">
        <v>42588.638506944444</v>
      </c>
      <c r="J96" s="134">
        <v>0</v>
      </c>
      <c r="K96" s="25" t="str">
        <f t="shared" si="33"/>
        <v>4017/4018</v>
      </c>
      <c r="L96" s="25" t="str">
        <f>VLOOKUP(A96,'Trips&amp;Operators'!$C$1:$E$10000,3,FALSE)</f>
        <v>DE LA ROSA</v>
      </c>
      <c r="M96" s="6">
        <f t="shared" si="34"/>
        <v>3.0601851853134576E-2</v>
      </c>
      <c r="N96" s="7">
        <f t="shared" si="32"/>
        <v>44.06666666851379</v>
      </c>
      <c r="O96" s="7"/>
      <c r="P96" s="7"/>
      <c r="Q96" s="26"/>
      <c r="R96" s="26"/>
      <c r="S96" s="38">
        <f t="shared" si="47"/>
        <v>1</v>
      </c>
      <c r="T96" s="55" t="str">
        <f t="shared" si="35"/>
        <v>Southbound</v>
      </c>
      <c r="U96" s="15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13:33:46-0600',mode:absolute,to:'2016-08-06 16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6" s="57" t="str">
        <f t="shared" si="37"/>
        <v>N</v>
      </c>
      <c r="X96" s="145">
        <f t="shared" si="38"/>
        <v>1</v>
      </c>
      <c r="Y96" s="72">
        <f t="shared" si="39"/>
        <v>23.297699999999999</v>
      </c>
      <c r="Z96" s="72">
        <f t="shared" si="40"/>
        <v>1.6E-2</v>
      </c>
      <c r="AA96" s="72">
        <f t="shared" si="41"/>
        <v>23.281700000000001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42"/>
        <v>0182-06</v>
      </c>
      <c r="AE96" s="115" t="str">
        <f t="shared" si="43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96" s="112" t="str">
        <f t="shared" si="44"/>
        <v>"C:\Program Files (x86)\AstroGrep\AstroGrep.exe" /spath="%USERPROFILE%\AppData\Local\Temp\OnboardLogs" /stypes="*4017*20160806*" /stext=" 21:.+((SYSTEM_STATE.+slice.+state.+changed )|(ment ac)|(system.+state.+changed )|(\|lc)|(penalty)|(\[timeout)|(PRM\|1\|D)|(kpr)|(kdp))" /e /r /s</v>
      </c>
      <c r="AG96" s="1" t="str">
        <f t="shared" si="45"/>
        <v>EC</v>
      </c>
      <c r="AH96" s="116" t="str">
        <f t="shared" si="46"/>
        <v>"%USERPROFILE%\Documents\GitHub\eaglep3\Utilities\RefineRTDCRunTimes.py" --tripid 182-06 --locoid 4017 --swversion DE.1.0.7.0 --startMP 204:232977 --initTime 2016-08-06T14:33:46 --startdatetime 2016-08-06T14:35:23 --delay 1 --endMP 204:160 --enddatetime 2016-08-06T15:19:27 --enforcementcount 0</v>
      </c>
    </row>
    <row r="97" spans="1:34" x14ac:dyDescent="0.25">
      <c r="A97" s="25" t="s">
        <v>697</v>
      </c>
      <c r="B97" s="134">
        <v>4014</v>
      </c>
      <c r="C97" s="135" t="s">
        <v>156</v>
      </c>
      <c r="D97" s="135" t="s">
        <v>308</v>
      </c>
      <c r="E97" s="136">
        <v>42588.579328703701</v>
      </c>
      <c r="F97" s="136">
        <v>42588.580104166664</v>
      </c>
      <c r="G97" s="134">
        <v>1</v>
      </c>
      <c r="H97" s="136" t="s">
        <v>153</v>
      </c>
      <c r="I97" s="136">
        <v>42588.608796296299</v>
      </c>
      <c r="J97" s="134">
        <v>0</v>
      </c>
      <c r="K97" s="25" t="str">
        <f t="shared" si="33"/>
        <v>4013/4014</v>
      </c>
      <c r="L97" s="25" t="str">
        <f>VLOOKUP(A97,'Trips&amp;Operators'!$C$1:$E$10000,3,FALSE)</f>
        <v>MAYBERRY</v>
      </c>
      <c r="M97" s="6">
        <f t="shared" si="34"/>
        <v>2.8692129635601304E-2</v>
      </c>
      <c r="N97" s="7">
        <f t="shared" si="32"/>
        <v>41.316666675265878</v>
      </c>
      <c r="O97" s="7"/>
      <c r="P97" s="7"/>
      <c r="Q97" s="26"/>
      <c r="R97" s="26"/>
      <c r="S97" s="38">
        <f t="shared" si="47"/>
        <v>1</v>
      </c>
      <c r="T97" s="55" t="str">
        <f t="shared" si="35"/>
        <v>NorthBound</v>
      </c>
      <c r="U97" s="15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12:54:14-0600',mode:absolute,to:'2016-08-06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97" s="57" t="str">
        <f t="shared" si="37"/>
        <v>N</v>
      </c>
      <c r="X97" s="145">
        <f t="shared" si="38"/>
        <v>1</v>
      </c>
      <c r="Y97" s="72">
        <f t="shared" si="39"/>
        <v>4.5499999999999999E-2</v>
      </c>
      <c r="Z97" s="72">
        <f t="shared" si="40"/>
        <v>23.3308</v>
      </c>
      <c r="AA97" s="72">
        <f t="shared" si="41"/>
        <v>23.285299999999999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42"/>
        <v>0183-06</v>
      </c>
      <c r="AE97" s="115" t="str">
        <f t="shared" si="43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97" s="112" t="str">
        <f t="shared" si="44"/>
        <v>"C:\Program Files (x86)\AstroGrep\AstroGrep.exe" /spath="%USERPROFILE%\AppData\Local\Temp\OnboardLogs" /stypes="*4014*20160806*" /stext=" 20:.+((SYSTEM_STATE.+slice.+state.+changed )|(ment ac)|(system.+state.+changed )|(\|lc)|(penalty)|(\[timeout)|(PRM\|1\|D)|(kpr)|(kdp))" /e /r /s</v>
      </c>
      <c r="AG97" s="1" t="str">
        <f t="shared" si="45"/>
        <v>EC</v>
      </c>
      <c r="AH97" s="116" t="str">
        <f t="shared" si="46"/>
        <v>"%USERPROFILE%\Documents\GitHub\eaglep3\Utilities\RefineRTDCRunTimes.py" --tripid 183-06 --locoid 4014 --swversion DE.1.0.7.0 --startMP 204:455 --initTime 2016-08-06T13:54:14 --startdatetime 2016-08-06T13:55:21 --delay 1 --endMP 204:233308 --enddatetime 2016-08-06T14:36:40 --enforcementcount 0</v>
      </c>
    </row>
    <row r="98" spans="1:34" x14ac:dyDescent="0.25">
      <c r="A98" s="25" t="s">
        <v>707</v>
      </c>
      <c r="B98" s="134">
        <v>4013</v>
      </c>
      <c r="C98" s="135" t="s">
        <v>156</v>
      </c>
      <c r="D98" s="135" t="s">
        <v>602</v>
      </c>
      <c r="E98" s="136">
        <v>42588.618368055555</v>
      </c>
      <c r="F98" s="136">
        <v>42588.619201388887</v>
      </c>
      <c r="G98" s="134">
        <v>1</v>
      </c>
      <c r="H98" s="136" t="s">
        <v>708</v>
      </c>
      <c r="I98" s="136">
        <v>42588.649375000001</v>
      </c>
      <c r="J98" s="134">
        <v>0</v>
      </c>
      <c r="K98" s="25" t="str">
        <f t="shared" si="33"/>
        <v>4013/4014</v>
      </c>
      <c r="L98" s="25" t="str">
        <f>VLOOKUP(A98,'Trips&amp;Operators'!$C$1:$E$10000,3,FALSE)</f>
        <v>MAYBERRY</v>
      </c>
      <c r="M98" s="6">
        <f t="shared" si="34"/>
        <v>3.0173611114150845E-2</v>
      </c>
      <c r="N98" s="7">
        <f t="shared" si="32"/>
        <v>43.450000004377216</v>
      </c>
      <c r="O98" s="7"/>
      <c r="P98" s="7"/>
      <c r="Q98" s="26"/>
      <c r="R98" s="26"/>
      <c r="S98" s="38">
        <f t="shared" si="47"/>
        <v>1</v>
      </c>
      <c r="T98" s="55" t="str">
        <f t="shared" si="35"/>
        <v>Southbound</v>
      </c>
      <c r="U98" s="15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13:50:27-0600',mode:absolute,to:'2016-08-06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98" s="57" t="str">
        <f t="shared" si="37"/>
        <v>N</v>
      </c>
      <c r="X98" s="145">
        <f t="shared" si="38"/>
        <v>1</v>
      </c>
      <c r="Y98" s="72">
        <f t="shared" si="39"/>
        <v>23.300599999999999</v>
      </c>
      <c r="Z98" s="72">
        <f t="shared" si="40"/>
        <v>1.7399999999999999E-2</v>
      </c>
      <c r="AA98" s="72">
        <f t="shared" si="41"/>
        <v>23.283200000000001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2"/>
        <v>0184-06</v>
      </c>
      <c r="AE98" s="115" t="str">
        <f t="shared" si="43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98" s="112" t="str">
        <f t="shared" si="44"/>
        <v>"C:\Program Files (x86)\AstroGrep\AstroGrep.exe" /spath="%USERPROFILE%\AppData\Local\Temp\OnboardLogs" /stypes="*4013*20160806*" /stext=" 21:.+((SYSTEM_STATE.+slice.+state.+changed )|(ment ac)|(system.+state.+changed )|(\|lc)|(penalty)|(\[timeout)|(PRM\|1\|D)|(kpr)|(kdp))" /e /r /s</v>
      </c>
      <c r="AG98" s="1" t="str">
        <f t="shared" si="45"/>
        <v>EC</v>
      </c>
      <c r="AH98" s="116" t="str">
        <f t="shared" si="46"/>
        <v>"%USERPROFILE%\Documents\GitHub\eaglep3\Utilities\RefineRTDCRunTimes.py" --tripid 184-06 --locoid 4013 --swversion DE.1.0.7.0 --startMP 204:233006 --initTime 2016-08-06T14:50:27 --startdatetime 2016-08-06T14:51:39 --delay 1 --endMP 204:174 --enddatetime 2016-08-06T15:35:06 --enforcementcount 0</v>
      </c>
    </row>
    <row r="99" spans="1:34" x14ac:dyDescent="0.25">
      <c r="A99" s="25" t="s">
        <v>709</v>
      </c>
      <c r="B99" s="134">
        <v>4031</v>
      </c>
      <c r="C99" s="135" t="s">
        <v>156</v>
      </c>
      <c r="D99" s="135" t="s">
        <v>115</v>
      </c>
      <c r="E99" s="136">
        <v>42588.58865740741</v>
      </c>
      <c r="F99" s="136">
        <v>42588.589780092596</v>
      </c>
      <c r="G99" s="134">
        <v>1</v>
      </c>
      <c r="H99" s="136" t="s">
        <v>152</v>
      </c>
      <c r="I99" s="136">
        <v>42588.618692129632</v>
      </c>
      <c r="J99" s="134">
        <v>0</v>
      </c>
      <c r="K99" s="25" t="str">
        <f t="shared" si="33"/>
        <v>4031/4032</v>
      </c>
      <c r="L99" s="25" t="str">
        <f>VLOOKUP(A99,'Trips&amp;Operators'!$C$1:$E$10000,3,FALSE)</f>
        <v>WEBSTER</v>
      </c>
      <c r="M99" s="6">
        <f t="shared" si="34"/>
        <v>2.8912037036207039E-2</v>
      </c>
      <c r="N99" s="7">
        <f t="shared" si="32"/>
        <v>41.633333332138136</v>
      </c>
      <c r="O99" s="7"/>
      <c r="P99" s="7"/>
      <c r="Q99" s="26"/>
      <c r="R99" s="26"/>
      <c r="S99" s="38">
        <f t="shared" si="47"/>
        <v>1</v>
      </c>
      <c r="T99" s="55" t="str">
        <f t="shared" si="35"/>
        <v>NorthBound</v>
      </c>
      <c r="U99" s="15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13:07:40-0600',mode:absolute,to:'2016-08-06 15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99" s="57" t="str">
        <f t="shared" si="37"/>
        <v>N</v>
      </c>
      <c r="X99" s="145">
        <f t="shared" si="38"/>
        <v>1</v>
      </c>
      <c r="Y99" s="72">
        <f t="shared" si="39"/>
        <v>4.58E-2</v>
      </c>
      <c r="Z99" s="72">
        <f t="shared" si="40"/>
        <v>23.329499999999999</v>
      </c>
      <c r="AA99" s="72">
        <f t="shared" si="41"/>
        <v>23.2837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2"/>
        <v>0185-06</v>
      </c>
      <c r="AE99" s="115" t="str">
        <f t="shared" si="43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99" s="112" t="str">
        <f t="shared" si="44"/>
        <v>"C:\Program Files (x86)\AstroGrep\AstroGrep.exe" /spath="%USERPROFILE%\AppData\Local\Temp\OnboardLogs" /stypes="*4031*20160806*" /stext=" 20:.+((SYSTEM_STATE.+slice.+state.+changed )|(ment ac)|(system.+state.+changed )|(\|lc)|(penalty)|(\[timeout)|(PRM\|1\|D)|(kpr)|(kdp))" /e /r /s</v>
      </c>
      <c r="AG99" s="1" t="str">
        <f t="shared" si="45"/>
        <v>EC</v>
      </c>
      <c r="AH99" s="116" t="str">
        <f t="shared" si="46"/>
        <v>"%USERPROFILE%\Documents\GitHub\eaglep3\Utilities\RefineRTDCRunTimes.py" --tripid 185-06 --locoid 4031 --swversion DE.1.0.7.0 --startMP 204:458 --initTime 2016-08-06T14:07:40 --startdatetime 2016-08-06T14:09:17 --delay 1 --endMP 204:233295 --enddatetime 2016-08-06T14:50:55 --enforcementcount 0</v>
      </c>
    </row>
    <row r="100" spans="1:34" x14ac:dyDescent="0.25">
      <c r="A100" s="25" t="s">
        <v>474</v>
      </c>
      <c r="B100" s="134">
        <v>4032</v>
      </c>
      <c r="C100" s="135" t="s">
        <v>156</v>
      </c>
      <c r="D100" s="135" t="s">
        <v>64</v>
      </c>
      <c r="E100" s="136">
        <v>42588.629664351851</v>
      </c>
      <c r="F100" s="136">
        <v>42588.630543981482</v>
      </c>
      <c r="G100" s="134">
        <v>1</v>
      </c>
      <c r="H100" s="136" t="s">
        <v>623</v>
      </c>
      <c r="I100" s="136">
        <v>42588.66097222222</v>
      </c>
      <c r="J100" s="134">
        <v>1</v>
      </c>
      <c r="K100" s="25" t="str">
        <f t="shared" si="33"/>
        <v>4031/4032</v>
      </c>
      <c r="L100" s="25" t="str">
        <f>VLOOKUP(A100,'Trips&amp;Operators'!$C$1:$E$10000,3,FALSE)</f>
        <v>WEBSTER</v>
      </c>
      <c r="M100" s="6">
        <f t="shared" si="34"/>
        <v>3.0428240737819578E-2</v>
      </c>
      <c r="N100" s="7">
        <f t="shared" si="32"/>
        <v>43.816666662460193</v>
      </c>
      <c r="O100" s="7"/>
      <c r="P100" s="7"/>
      <c r="Q100" s="26"/>
      <c r="R100" s="26"/>
      <c r="S100" s="38">
        <f t="shared" si="47"/>
        <v>1</v>
      </c>
      <c r="T100" s="55" t="str">
        <f t="shared" si="35"/>
        <v>Southbound</v>
      </c>
      <c r="U100" s="15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0" s="57" t="str">
        <f t="shared" si="37"/>
        <v>N</v>
      </c>
      <c r="X100" s="145">
        <f t="shared" si="38"/>
        <v>1</v>
      </c>
      <c r="Y100" s="72">
        <f t="shared" si="39"/>
        <v>23.297699999999999</v>
      </c>
      <c r="Z100" s="72">
        <f t="shared" si="40"/>
        <v>1.41E-2</v>
      </c>
      <c r="AA100" s="72">
        <f t="shared" si="41"/>
        <v>23.2836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2"/>
        <v>0186-06</v>
      </c>
      <c r="AE100" s="115" t="str">
        <f t="shared" si="43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00" s="112" t="str">
        <f t="shared" si="44"/>
        <v>"C:\Program Files (x86)\AstroGrep\AstroGrep.exe" /spath="%USERPROFILE%\AppData\Local\Temp\OnboardLogs" /stypes="*4032*20160806*" /stext=" 21:.+((SYSTEM_STATE.+slice.+state.+changed )|(ment ac)|(system.+state.+changed )|(\|lc)|(penalty)|(\[timeout)|(PRM\|1\|D)|(kpr)|(kdp))" /e /r /s</v>
      </c>
      <c r="AG100" s="1" t="str">
        <f t="shared" si="45"/>
        <v>EC</v>
      </c>
      <c r="AH100" s="116" t="str">
        <f t="shared" si="46"/>
        <v>"%USERPROFILE%\Documents\GitHub\eaglep3\Utilities\RefineRTDCRunTimes.py" --tripid 186-06 --locoid 4032 --swversion DE.1.0.7.0 --startMP 204:232977 --initTime 2016-08-06T15:06:43 --startdatetime 2016-08-06T15:07:59 --delay 1 --endMP 204:141 --enddatetime 2016-08-06T15:51:48 --enforcementcount 1</v>
      </c>
    </row>
    <row r="101" spans="1:34" x14ac:dyDescent="0.25">
      <c r="A101" s="25" t="s">
        <v>473</v>
      </c>
      <c r="B101" s="134">
        <v>4027</v>
      </c>
      <c r="C101" s="135" t="s">
        <v>156</v>
      </c>
      <c r="D101" s="135" t="s">
        <v>310</v>
      </c>
      <c r="E101" s="136">
        <v>42588.600451388891</v>
      </c>
      <c r="F101" s="136">
        <v>42588.601423611108</v>
      </c>
      <c r="G101" s="134">
        <v>1</v>
      </c>
      <c r="H101" s="136" t="s">
        <v>710</v>
      </c>
      <c r="I101" s="136">
        <v>42588.629942129628</v>
      </c>
      <c r="J101" s="134">
        <v>1</v>
      </c>
      <c r="K101" s="25" t="str">
        <f t="shared" si="33"/>
        <v>4027/4028</v>
      </c>
      <c r="L101" s="25" t="str">
        <f>VLOOKUP(A101,'Trips&amp;Operators'!$C$1:$E$10000,3,FALSE)</f>
        <v>STEWART</v>
      </c>
      <c r="M101" s="6">
        <f t="shared" si="34"/>
        <v>2.8518518520286307E-2</v>
      </c>
      <c r="N101" s="7">
        <f t="shared" si="32"/>
        <v>41.066666669212282</v>
      </c>
      <c r="O101" s="7"/>
      <c r="P101" s="7"/>
      <c r="Q101" s="26"/>
      <c r="R101" s="26"/>
      <c r="S101" s="38">
        <f t="shared" si="47"/>
        <v>1</v>
      </c>
      <c r="T101" s="55" t="str">
        <f t="shared" si="35"/>
        <v>NorthBound</v>
      </c>
      <c r="U101" s="15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1" s="57" t="str">
        <f t="shared" si="37"/>
        <v>N</v>
      </c>
      <c r="X101" s="145">
        <f t="shared" si="38"/>
        <v>1</v>
      </c>
      <c r="Y101" s="72">
        <f t="shared" si="39"/>
        <v>4.4400000000000002E-2</v>
      </c>
      <c r="Z101" s="72">
        <f t="shared" si="40"/>
        <v>23.330400000000001</v>
      </c>
      <c r="AA101" s="72">
        <f t="shared" si="41"/>
        <v>23.286000000000001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2"/>
        <v>0187-06</v>
      </c>
      <c r="AE101" s="115" t="str">
        <f t="shared" si="43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101" s="112" t="str">
        <f t="shared" si="44"/>
        <v>"C:\Program Files (x86)\AstroGrep\AstroGrep.exe" /spath="%USERPROFILE%\AppData\Local\Temp\OnboardLogs" /stypes="*4027*20160806*" /stext=" 21:.+((SYSTEM_STATE.+slice.+state.+changed )|(ment ac)|(system.+state.+changed )|(\|lc)|(penalty)|(\[timeout)|(PRM\|1\|D)|(kpr)|(kdp))" /e /r /s</v>
      </c>
      <c r="AG101" s="1" t="str">
        <f t="shared" si="45"/>
        <v>EC</v>
      </c>
      <c r="AH101" s="116" t="str">
        <f t="shared" si="46"/>
        <v>"%USERPROFILE%\Documents\GitHub\eaglep3\Utilities\RefineRTDCRunTimes.py" --tripid 187-06 --locoid 4027 --swversion DE.1.0.7.0 --startMP 204:444 --initTime 2016-08-06T14:24:39 --startdatetime 2016-08-06T14:26:03 --delay 1 --endMP 204:233304 --enddatetime 2016-08-06T15:07:07 --enforcementcount 1</v>
      </c>
    </row>
    <row r="102" spans="1:34" x14ac:dyDescent="0.25">
      <c r="A102" s="25" t="s">
        <v>711</v>
      </c>
      <c r="B102" s="134">
        <v>4028</v>
      </c>
      <c r="C102" s="135" t="s">
        <v>156</v>
      </c>
      <c r="D102" s="135" t="s">
        <v>433</v>
      </c>
      <c r="E102" s="136">
        <v>42588.639953703707</v>
      </c>
      <c r="F102" s="136">
        <v>42588.640949074077</v>
      </c>
      <c r="G102" s="134">
        <v>1</v>
      </c>
      <c r="H102" s="136" t="s">
        <v>58</v>
      </c>
      <c r="I102" s="136">
        <v>42588.669710648152</v>
      </c>
      <c r="J102" s="134">
        <v>0</v>
      </c>
      <c r="K102" s="25" t="str">
        <f t="shared" si="33"/>
        <v>4027/4028</v>
      </c>
      <c r="L102" s="25" t="str">
        <f>VLOOKUP(A102,'Trips&amp;Operators'!$C$1:$E$10000,3,FALSE)</f>
        <v>STEWART</v>
      </c>
      <c r="M102" s="6">
        <f t="shared" si="34"/>
        <v>2.8761574074451346E-2</v>
      </c>
      <c r="N102" s="7">
        <f t="shared" si="32"/>
        <v>41.416666667209938</v>
      </c>
      <c r="O102" s="7"/>
      <c r="P102" s="7"/>
      <c r="Q102" s="26"/>
      <c r="R102" s="26"/>
      <c r="S102" s="38">
        <f t="shared" si="47"/>
        <v>1</v>
      </c>
      <c r="T102" s="55" t="str">
        <f t="shared" si="35"/>
        <v>Southbound</v>
      </c>
      <c r="U102" s="15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14:21:32-0600',mode:absolute,to:'2016-08-06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2" s="57" t="str">
        <f t="shared" si="37"/>
        <v>N</v>
      </c>
      <c r="X102" s="145">
        <f t="shared" si="38"/>
        <v>1</v>
      </c>
      <c r="Y102" s="72">
        <f t="shared" si="39"/>
        <v>23.297899999999998</v>
      </c>
      <c r="Z102" s="72">
        <f t="shared" si="40"/>
        <v>1.52E-2</v>
      </c>
      <c r="AA102" s="72">
        <f t="shared" si="41"/>
        <v>23.282699999999998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2"/>
        <v>0188-06</v>
      </c>
      <c r="AE102" s="115" t="str">
        <f t="shared" si="43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102" s="112" t="str">
        <f t="shared" si="44"/>
        <v>"C:\Program Files (x86)\AstroGrep\AstroGrep.exe" /spath="%USERPROFILE%\AppData\Local\Temp\OnboardLogs" /stypes="*4028*20160806*" /stext=" 22:.+((SYSTEM_STATE.+slice.+state.+changed )|(ment ac)|(system.+state.+changed )|(\|lc)|(penalty)|(\[timeout)|(PRM\|1\|D)|(kpr)|(kdp))" /e /r /s</v>
      </c>
      <c r="AG102" s="1" t="str">
        <f t="shared" si="45"/>
        <v>EC</v>
      </c>
      <c r="AH102" s="116" t="str">
        <f t="shared" si="46"/>
        <v>"%USERPROFILE%\Documents\GitHub\eaglep3\Utilities\RefineRTDCRunTimes.py" --tripid 188-06 --locoid 4028 --swversion DE.1.0.7.0 --startMP 204:232979 --initTime 2016-08-06T15:21:32 --startdatetime 2016-08-06T15:22:58 --delay 1 --endMP 204:152 --enddatetime 2016-08-06T16:04:23 --enforcementcount 0</v>
      </c>
    </row>
    <row r="103" spans="1:34" x14ac:dyDescent="0.25">
      <c r="A103" s="25" t="s">
        <v>712</v>
      </c>
      <c r="B103" s="134">
        <v>4011</v>
      </c>
      <c r="C103" s="135" t="s">
        <v>156</v>
      </c>
      <c r="D103" s="135" t="s">
        <v>558</v>
      </c>
      <c r="E103" s="136">
        <v>42588.611967592595</v>
      </c>
      <c r="F103" s="136">
        <v>42588.613043981481</v>
      </c>
      <c r="G103" s="134">
        <v>1</v>
      </c>
      <c r="H103" s="136" t="s">
        <v>713</v>
      </c>
      <c r="I103" s="136">
        <v>42588.639537037037</v>
      </c>
      <c r="J103" s="134">
        <v>0</v>
      </c>
      <c r="K103" s="25" t="str">
        <f t="shared" si="33"/>
        <v>4011/4012</v>
      </c>
      <c r="L103" s="25" t="str">
        <f>VLOOKUP(A103,'Trips&amp;Operators'!$C$1:$E$10000,3,FALSE)</f>
        <v>HELVIE</v>
      </c>
      <c r="M103" s="6">
        <f t="shared" si="34"/>
        <v>2.6493055556784384E-2</v>
      </c>
      <c r="N103" s="7">
        <f t="shared" si="32"/>
        <v>38.150000001769513</v>
      </c>
      <c r="O103" s="7"/>
      <c r="P103" s="7"/>
      <c r="Q103" s="26"/>
      <c r="R103" s="26"/>
      <c r="S103" s="38">
        <f t="shared" si="47"/>
        <v>1</v>
      </c>
      <c r="T103" s="55" t="str">
        <f t="shared" si="35"/>
        <v>NorthBound</v>
      </c>
      <c r="U103" s="15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13:41:14-0600',mode:absolute,to:'2016-08-06 16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03" s="57" t="str">
        <f t="shared" si="37"/>
        <v>N</v>
      </c>
      <c r="X103" s="145">
        <f t="shared" si="38"/>
        <v>1</v>
      </c>
      <c r="Y103" s="72">
        <f t="shared" si="39"/>
        <v>4.6600000000000003E-2</v>
      </c>
      <c r="Z103" s="72">
        <f t="shared" si="40"/>
        <v>23.3291</v>
      </c>
      <c r="AA103" s="72">
        <f t="shared" si="41"/>
        <v>23.282499999999999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2"/>
        <v>0189-06</v>
      </c>
      <c r="AE103" s="115" t="str">
        <f t="shared" si="43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03" s="112" t="str">
        <f t="shared" si="44"/>
        <v>"C:\Program Files (x86)\AstroGrep\AstroGrep.exe" /spath="%USERPROFILE%\AppData\Local\Temp\OnboardLogs" /stypes="*4011*20160806*" /stext=" 21:.+((SYSTEM_STATE.+slice.+state.+changed )|(ment ac)|(system.+state.+changed )|(\|lc)|(penalty)|(\[timeout)|(PRM\|1\|D)|(kpr)|(kdp))" /e /r /s</v>
      </c>
      <c r="AG103" s="1" t="str">
        <f t="shared" si="45"/>
        <v>EC</v>
      </c>
      <c r="AH103" s="116" t="str">
        <f t="shared" si="46"/>
        <v>"%USERPROFILE%\Documents\GitHub\eaglep3\Utilities\RefineRTDCRunTimes.py" --tripid 189-06 --locoid 4011 --swversion DE.1.0.7.0 --startMP 204:466 --initTime 2016-08-06T14:41:14 --startdatetime 2016-08-06T14:42:47 --delay 1 --endMP 204:233291 --enddatetime 2016-08-06T15:20:56 --enforcementcount 0</v>
      </c>
    </row>
    <row r="104" spans="1:34" x14ac:dyDescent="0.25">
      <c r="A104" s="25" t="s">
        <v>476</v>
      </c>
      <c r="B104" s="134">
        <v>4012</v>
      </c>
      <c r="C104" s="135" t="s">
        <v>156</v>
      </c>
      <c r="D104" s="135" t="s">
        <v>432</v>
      </c>
      <c r="E104" s="136">
        <v>42588.646493055552</v>
      </c>
      <c r="F104" s="136">
        <v>42588.647337962961</v>
      </c>
      <c r="G104" s="134">
        <v>1</v>
      </c>
      <c r="H104" s="136" t="s">
        <v>714</v>
      </c>
      <c r="I104" s="136">
        <v>42588.679467592592</v>
      </c>
      <c r="J104" s="134">
        <v>1</v>
      </c>
      <c r="K104" s="25" t="str">
        <f t="shared" si="33"/>
        <v>4011/4012</v>
      </c>
      <c r="L104" s="25" t="str">
        <f>VLOOKUP(A104,'Trips&amp;Operators'!$C$1:$E$10000,3,FALSE)</f>
        <v>HELVIE</v>
      </c>
      <c r="M104" s="6">
        <f t="shared" si="34"/>
        <v>3.2129629631526768E-2</v>
      </c>
      <c r="N104" s="7">
        <f t="shared" si="32"/>
        <v>46.266666669398546</v>
      </c>
      <c r="O104" s="7"/>
      <c r="P104" s="7"/>
      <c r="Q104" s="26"/>
      <c r="R104" s="26"/>
      <c r="S104" s="38">
        <f t="shared" si="47"/>
        <v>1</v>
      </c>
      <c r="T104" s="55" t="str">
        <f t="shared" si="35"/>
        <v>Southbound</v>
      </c>
      <c r="U104" s="15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04" s="57" t="str">
        <f t="shared" si="37"/>
        <v>N</v>
      </c>
      <c r="X104" s="145">
        <f t="shared" si="38"/>
        <v>1</v>
      </c>
      <c r="Y104" s="72">
        <f t="shared" si="39"/>
        <v>23.2957</v>
      </c>
      <c r="Z104" s="72">
        <f t="shared" si="40"/>
        <v>2.07E-2</v>
      </c>
      <c r="AA104" s="72">
        <f t="shared" si="41"/>
        <v>23.274999999999999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2"/>
        <v>0190-06</v>
      </c>
      <c r="AE104" s="115" t="str">
        <f t="shared" si="43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104" s="112" t="str">
        <f t="shared" si="44"/>
        <v>"C:\Program Files (x86)\AstroGrep\AstroGrep.exe" /spath="%USERPROFILE%\AppData\Local\Temp\OnboardLogs" /stypes="*4012*20160806*" /stext=" 22:.+((SYSTEM_STATE.+slice.+state.+changed )|(ment ac)|(system.+state.+changed )|(\|lc)|(penalty)|(\[timeout)|(PRM\|1\|D)|(kpr)|(kdp))" /e /r /s</v>
      </c>
      <c r="AG104" s="1" t="str">
        <f t="shared" si="45"/>
        <v>EC</v>
      </c>
      <c r="AH104" s="116" t="str">
        <f t="shared" si="46"/>
        <v>"%USERPROFILE%\Documents\GitHub\eaglep3\Utilities\RefineRTDCRunTimes.py" --tripid 190-06 --locoid 4012 --swversion DE.1.0.7.0 --startMP 204:232957 --initTime 2016-08-06T15:30:57 --startdatetime 2016-08-06T15:32:10 --delay 1 --endMP 204:207 --enddatetime 2016-08-06T16:18:26 --enforcementcount 1</v>
      </c>
    </row>
    <row r="105" spans="1:34" x14ac:dyDescent="0.25">
      <c r="A105" s="25" t="s">
        <v>719</v>
      </c>
      <c r="B105" s="134">
        <v>4025</v>
      </c>
      <c r="C105" s="135" t="s">
        <v>156</v>
      </c>
      <c r="D105" s="135" t="s">
        <v>437</v>
      </c>
      <c r="E105" s="136">
        <v>42588.620671296296</v>
      </c>
      <c r="F105" s="136">
        <v>42588.622106481482</v>
      </c>
      <c r="G105" s="134">
        <v>2</v>
      </c>
      <c r="H105" s="136" t="s">
        <v>720</v>
      </c>
      <c r="I105" s="136">
        <v>42588.650543981479</v>
      </c>
      <c r="J105" s="134">
        <v>0</v>
      </c>
      <c r="K105" s="25" t="str">
        <f t="shared" si="33"/>
        <v>4025/4026</v>
      </c>
      <c r="L105" s="25" t="str">
        <f>VLOOKUP(A105,'Trips&amp;Operators'!$C$1:$E$10000,3,FALSE)</f>
        <v>MOSES</v>
      </c>
      <c r="M105" s="6">
        <f t="shared" si="34"/>
        <v>2.8437499997380655E-2</v>
      </c>
      <c r="N105" s="7">
        <f t="shared" si="32"/>
        <v>40.949999996228144</v>
      </c>
      <c r="O105" s="7"/>
      <c r="P105" s="7"/>
      <c r="Q105" s="26"/>
      <c r="R105" s="26"/>
      <c r="S105" s="38">
        <f t="shared" si="47"/>
        <v>1</v>
      </c>
      <c r="T105" s="55" t="str">
        <f t="shared" si="35"/>
        <v>NorthBound</v>
      </c>
      <c r="U105" s="15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13:53:46-0600',mode:absolute,to:'2016-08-06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05" s="57" t="str">
        <f t="shared" si="37"/>
        <v>N</v>
      </c>
      <c r="X105" s="145">
        <f t="shared" si="38"/>
        <v>1</v>
      </c>
      <c r="Y105" s="72">
        <f t="shared" si="39"/>
        <v>4.3099999999999999E-2</v>
      </c>
      <c r="Z105" s="72">
        <f t="shared" si="40"/>
        <v>23.332699999999999</v>
      </c>
      <c r="AA105" s="72">
        <f t="shared" si="41"/>
        <v>23.2896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42"/>
        <v>0191-06</v>
      </c>
      <c r="AE105" s="115" t="str">
        <f t="shared" si="43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105" s="112" t="str">
        <f t="shared" si="44"/>
        <v>"C:\Program Files (x86)\AstroGrep\AstroGrep.exe" /spath="%USERPROFILE%\AppData\Local\Temp\OnboardLogs" /stypes="*4025*20160806*" /stext=" 21:.+((SYSTEM_STATE.+slice.+state.+changed )|(ment ac)|(system.+state.+changed )|(\|lc)|(penalty)|(\[timeout)|(PRM\|1\|D)|(kpr)|(kdp))" /e /r /s</v>
      </c>
      <c r="AG105" s="1" t="str">
        <f t="shared" si="45"/>
        <v>EC</v>
      </c>
      <c r="AH105" s="116" t="str">
        <f t="shared" si="46"/>
        <v>"%USERPROFILE%\Documents\GitHub\eaglep3\Utilities\RefineRTDCRunTimes.py" --tripid 191-06 --locoid 4025 --swversion DE.1.0.7.0 --startMP 204:431 --initTime 2016-08-06T14:53:46 --startdatetime 2016-08-06T14:55:50 --delay 2 --endMP 204:233327 --enddatetime 2016-08-06T15:36:47 --enforcementcount 0</v>
      </c>
    </row>
    <row r="106" spans="1:34" x14ac:dyDescent="0.25">
      <c r="A106" s="25" t="s">
        <v>478</v>
      </c>
      <c r="B106" s="134">
        <v>4026</v>
      </c>
      <c r="C106" s="135" t="s">
        <v>156</v>
      </c>
      <c r="D106" s="135" t="s">
        <v>721</v>
      </c>
      <c r="E106" s="136">
        <v>42588.660532407404</v>
      </c>
      <c r="F106" s="136">
        <v>42588.661747685182</v>
      </c>
      <c r="G106" s="134">
        <v>1</v>
      </c>
      <c r="H106" s="136" t="s">
        <v>722</v>
      </c>
      <c r="I106" s="136">
        <v>42588.692256944443</v>
      </c>
      <c r="J106" s="134">
        <v>1</v>
      </c>
      <c r="K106" s="25" t="str">
        <f t="shared" si="33"/>
        <v>4025/4026</v>
      </c>
      <c r="L106" s="25" t="str">
        <f>VLOOKUP(A106,'Trips&amp;Operators'!$C$1:$E$10000,3,FALSE)</f>
        <v>MOSES</v>
      </c>
      <c r="M106" s="6">
        <f t="shared" si="34"/>
        <v>3.050925926072523E-2</v>
      </c>
      <c r="N106" s="7">
        <f t="shared" si="32"/>
        <v>43.933333335444331</v>
      </c>
      <c r="O106" s="7"/>
      <c r="P106" s="7"/>
      <c r="Q106" s="26"/>
      <c r="R106" s="26"/>
      <c r="S106" s="38">
        <f t="shared" si="47"/>
        <v>1</v>
      </c>
      <c r="T106" s="55" t="str">
        <f t="shared" si="35"/>
        <v>Southbound</v>
      </c>
      <c r="U106" s="15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06" s="57" t="str">
        <f t="shared" si="37"/>
        <v>N</v>
      </c>
      <c r="X106" s="145">
        <f t="shared" si="38"/>
        <v>1</v>
      </c>
      <c r="Y106" s="72">
        <f t="shared" si="39"/>
        <v>23.300799999999999</v>
      </c>
      <c r="Z106" s="72">
        <f t="shared" si="40"/>
        <v>1.9800000000000002E-2</v>
      </c>
      <c r="AA106" s="72">
        <f t="shared" si="41"/>
        <v>23.280999999999999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2"/>
        <v>0192-06</v>
      </c>
      <c r="AE106" s="115" t="str">
        <f t="shared" si="43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106" s="112" t="str">
        <f t="shared" si="44"/>
        <v>"C:\Program Files (x86)\AstroGrep\AstroGrep.exe" /spath="%USERPROFILE%\AppData\Local\Temp\OnboardLogs" /stypes="*4026*20160806*" /stext=" 22:.+((SYSTEM_STATE.+slice.+state.+changed )|(ment ac)|(system.+state.+changed )|(\|lc)|(penalty)|(\[timeout)|(PRM\|1\|D)|(kpr)|(kdp))" /e /r /s</v>
      </c>
      <c r="AG106" s="1" t="str">
        <f t="shared" si="45"/>
        <v>EC</v>
      </c>
      <c r="AH106" s="116" t="str">
        <f t="shared" si="46"/>
        <v>"%USERPROFILE%\Documents\GitHub\eaglep3\Utilities\RefineRTDCRunTimes.py" --tripid 192-06 --locoid 4026 --swversion DE.1.0.7.0 --startMP 204:233008 --initTime 2016-08-06T15:51:10 --startdatetime 2016-08-06T15:52:55 --delay 1 --endMP 204:198 --enddatetime 2016-08-06T16:36:51 --enforcementcount 1</v>
      </c>
    </row>
    <row r="107" spans="1:34" x14ac:dyDescent="0.25">
      <c r="A107" s="25" t="s">
        <v>723</v>
      </c>
      <c r="B107" s="134">
        <v>4009</v>
      </c>
      <c r="C107" s="135" t="s">
        <v>156</v>
      </c>
      <c r="D107" s="135" t="s">
        <v>138</v>
      </c>
      <c r="E107" s="136">
        <v>42588.631388888891</v>
      </c>
      <c r="F107" s="136">
        <v>42588.632453703707</v>
      </c>
      <c r="G107" s="134">
        <v>1</v>
      </c>
      <c r="H107" s="136" t="s">
        <v>724</v>
      </c>
      <c r="I107" s="136">
        <v>42588.660416666666</v>
      </c>
      <c r="J107" s="134">
        <v>0</v>
      </c>
      <c r="K107" s="25" t="str">
        <f t="shared" si="33"/>
        <v>4009/4010</v>
      </c>
      <c r="L107" s="25" t="str">
        <f>VLOOKUP(A107,'Trips&amp;Operators'!$C$1:$E$10000,3,FALSE)</f>
        <v>SHOOK</v>
      </c>
      <c r="M107" s="6">
        <f t="shared" si="34"/>
        <v>2.7962962958554272E-2</v>
      </c>
      <c r="N107" s="7">
        <f t="shared" si="32"/>
        <v>40.266666660318151</v>
      </c>
      <c r="O107" s="7"/>
      <c r="P107" s="7"/>
      <c r="Q107" s="26"/>
      <c r="R107" s="26"/>
      <c r="S107" s="38">
        <f t="shared" si="47"/>
        <v>1</v>
      </c>
      <c r="T107" s="55" t="str">
        <f t="shared" si="35"/>
        <v>NorthBound</v>
      </c>
      <c r="U107" s="15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14:09:12-0600',mode:absolute,to:'2016-08-06 16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07" s="57" t="str">
        <f t="shared" si="37"/>
        <v>N</v>
      </c>
      <c r="X107" s="145">
        <f t="shared" si="38"/>
        <v>1</v>
      </c>
      <c r="Y107" s="72">
        <f t="shared" si="39"/>
        <v>4.6199999999999998E-2</v>
      </c>
      <c r="Z107" s="72">
        <f t="shared" si="40"/>
        <v>23.337</v>
      </c>
      <c r="AA107" s="72">
        <f t="shared" si="41"/>
        <v>23.290800000000001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2"/>
        <v>0193-06</v>
      </c>
      <c r="AE107" s="115" t="str">
        <f t="shared" si="43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107" s="112" t="str">
        <f t="shared" si="44"/>
        <v>"C:\Program Files (x86)\AstroGrep\AstroGrep.exe" /spath="%USERPROFILE%\AppData\Local\Temp\OnboardLogs" /stypes="*4009*20160806*" /stext=" 21:.+((SYSTEM_STATE.+slice.+state.+changed )|(ment ac)|(system.+state.+changed )|(\|lc)|(penalty)|(\[timeout)|(PRM\|1\|D)|(kpr)|(kdp))" /e /r /s</v>
      </c>
      <c r="AG107" s="1" t="str">
        <f t="shared" si="45"/>
        <v>EC</v>
      </c>
      <c r="AH107" s="116" t="str">
        <f t="shared" si="46"/>
        <v>"%USERPROFILE%\Documents\GitHub\eaglep3\Utilities\RefineRTDCRunTimes.py" --tripid 193-06 --locoid 4009 --swversion DE.1.0.7.0 --startMP 204:462 --initTime 2016-08-06T15:09:12 --startdatetime 2016-08-06T15:10:44 --delay 1 --endMP 204:233370 --enddatetime 2016-08-06T15:51:00 --enforcementcount 0</v>
      </c>
    </row>
    <row r="108" spans="1:34" x14ac:dyDescent="0.25">
      <c r="A108" s="25" t="s">
        <v>725</v>
      </c>
      <c r="B108" s="134">
        <v>4010</v>
      </c>
      <c r="C108" s="135" t="s">
        <v>156</v>
      </c>
      <c r="D108" s="135" t="s">
        <v>726</v>
      </c>
      <c r="E108" s="136">
        <v>42588.66920138889</v>
      </c>
      <c r="F108" s="136">
        <v>42588.670289351852</v>
      </c>
      <c r="G108" s="134">
        <v>1</v>
      </c>
      <c r="H108" s="136" t="s">
        <v>727</v>
      </c>
      <c r="I108" s="136">
        <v>42588.697534722225</v>
      </c>
      <c r="J108" s="134">
        <v>0</v>
      </c>
      <c r="K108" s="25" t="str">
        <f t="shared" si="33"/>
        <v>4009/4010</v>
      </c>
      <c r="L108" s="25" t="str">
        <f>VLOOKUP(A108,'Trips&amp;Operators'!$C$1:$E$10000,3,FALSE)</f>
        <v>SHOOK</v>
      </c>
      <c r="M108" s="6">
        <f t="shared" si="34"/>
        <v>2.7245370372838806E-2</v>
      </c>
      <c r="N108" s="7"/>
      <c r="O108" s="7"/>
      <c r="P108" s="7">
        <f>24*60*SUM($M108:$M109)</f>
        <v>54.883333328180015</v>
      </c>
      <c r="Q108" s="26"/>
      <c r="R108" s="26" t="s">
        <v>842</v>
      </c>
      <c r="S108" s="38">
        <f>SUM(U108:U109)/IF(AG108="EC",12,1)</f>
        <v>0.75</v>
      </c>
      <c r="T108" s="55" t="str">
        <f t="shared" si="35"/>
        <v>Southbound</v>
      </c>
      <c r="U108" s="15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122" t="str">
        <f t="shared" si="36"/>
        <v>https://search-rtdc-monitor-bjffxe2xuh6vdkpspy63sjmuny.us-east-1.es.amazonaws.com/_plugin/kibana/#/discover/Steve-Slow-Train-Analysis-(2080s-and-2083s)?_g=(refreshInterval:(display:Off,section:0,value:0),time:(from:'2016-08-06 15:03:39-0600',mode:absolute,to:'2016-08-06 17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08" s="57" t="str">
        <f t="shared" si="37"/>
        <v>Y</v>
      </c>
      <c r="X108" s="145">
        <f t="shared" si="38"/>
        <v>1</v>
      </c>
      <c r="Y108" s="72">
        <f t="shared" si="39"/>
        <v>23.305900000000001</v>
      </c>
      <c r="Z108" s="72">
        <f t="shared" si="40"/>
        <v>12.7857</v>
      </c>
      <c r="AA108" s="72">
        <f t="shared" si="41"/>
        <v>10.520200000000001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2"/>
        <v>0194-06</v>
      </c>
      <c r="AE108" s="115" t="str">
        <f t="shared" si="43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08" s="112" t="str">
        <f t="shared" si="44"/>
        <v>"C:\Program Files (x86)\AstroGrep\AstroGrep.exe" /spath="%USERPROFILE%\AppData\Local\Temp\OnboardLogs" /stypes="*4010*20160806*" /stext=" 22:.+((SYSTEM_STATE.+slice.+state.+changed )|(ment ac)|(system.+state.+changed )|(\|lc)|(penalty)|(\[timeout)|(PRM\|1\|D)|(kpr)|(kdp))" /e /r /s</v>
      </c>
      <c r="AG108" s="1" t="str">
        <f t="shared" si="45"/>
        <v>EC</v>
      </c>
      <c r="AH108" s="116" t="str">
        <f t="shared" si="46"/>
        <v>"%USERPROFILE%\Documents\GitHub\eaglep3\Utilities\RefineRTDCRunTimes.py" --tripid 194-06 --locoid 4010 --swversion DE.1.0.7.0 --startMP 204:233059 --initTime 2016-08-06T16:03:39 --startdatetime 2016-08-06T16:05:13 --delay 1 --endMP 204:127857 --enddatetime 2016-08-06T16:44:27 --enforcementcount 0</v>
      </c>
    </row>
    <row r="109" spans="1:34" x14ac:dyDescent="0.25">
      <c r="A109" s="25" t="s">
        <v>725</v>
      </c>
      <c r="B109" s="134">
        <v>4010</v>
      </c>
      <c r="C109" s="135" t="s">
        <v>156</v>
      </c>
      <c r="D109" s="135" t="s">
        <v>728</v>
      </c>
      <c r="E109" s="136">
        <v>42588.71402777778</v>
      </c>
      <c r="F109" s="136">
        <v>42588.714965277781</v>
      </c>
      <c r="G109" s="134">
        <v>1</v>
      </c>
      <c r="H109" s="136" t="s">
        <v>714</v>
      </c>
      <c r="I109" s="136">
        <v>42588.72583333333</v>
      </c>
      <c r="J109" s="134">
        <v>0</v>
      </c>
      <c r="K109" s="25" t="str">
        <f t="shared" ref="K109:K140" si="48">IF(ISEVEN(B109),(B109-1)&amp;"/"&amp;B109,B109&amp;"/"&amp;(B109+1))</f>
        <v>4009/4010</v>
      </c>
      <c r="L109" s="25" t="str">
        <f>VLOOKUP(A109,'Trips&amp;Operators'!$C$1:$E$10000,3,FALSE)</f>
        <v>SHOOK</v>
      </c>
      <c r="M109" s="6">
        <f t="shared" ref="M109:M140" si="49">I109-F109</f>
        <v>1.0868055549508426E-2</v>
      </c>
      <c r="N109" s="7"/>
      <c r="O109" s="7"/>
      <c r="P109" s="7"/>
      <c r="Q109" s="26"/>
      <c r="R109" s="26"/>
      <c r="S109" s="38"/>
      <c r="T109" s="55" t="str">
        <f t="shared" ref="T109:T140" si="50">IF(ISEVEN(LEFT(AD109,4)),"Southbound","NorthBound")</f>
        <v>Southbound</v>
      </c>
      <c r="U109" s="15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9</v>
      </c>
      <c r="V109" s="122" t="str">
        <f t="shared" ref="V109:V140" si="51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https://search-rtdc-monitor-bjffxe2xuh6vdkpspy63sjmuny.us-east-1.es.amazonaws.com/_plugin/kibana/#/discover/Steve-Slow-Train-Analysis-(2080s-and-2083s)?_g=(refreshInterval:(display:Off,section:0,value:0),time:(from:'2016-08-06 16:08:12-0600',mode:absolute,to:'2016-08-06 18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09" s="57" t="str">
        <f t="shared" ref="W109:W140" si="52">IF(AA109&lt;IF(AG109="EC",23,5.65),"Y","N")</f>
        <v>Y</v>
      </c>
      <c r="X109" s="145">
        <f t="shared" ref="X109:X114" si="53">VALUE(LEFT(AD109,4))-VALUE(LEFT(AD108,4))</f>
        <v>0</v>
      </c>
      <c r="Y109" s="72">
        <f t="shared" ref="Y109:Y140" si="54">RIGHT(D109,LEN(D109)-4)/10000</f>
        <v>6.4154999999999998</v>
      </c>
      <c r="Z109" s="72">
        <f t="shared" ref="Z109:Z140" si="55">RIGHT(H109,LEN(H109)-4)/10000</f>
        <v>2.07E-2</v>
      </c>
      <c r="AA109" s="72">
        <f t="shared" ref="AA109:AA140" si="56">ABS(Z109-Y109)</f>
        <v>6.3948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ref="AD109:AD140" si="57">IF(LEN(A109)=6,"0"&amp;A109,A109)</f>
        <v>0194-06</v>
      </c>
      <c r="AE109" s="115" t="str">
        <f t="shared" ref="AE109:AE140" si="58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09" s="112" t="str">
        <f t="shared" ref="AF109:AF140" si="59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/stypes="*4010*20160806*" /stext=" 23:.+((SYSTEM_STATE.+slice.+state.+changed )|(ment ac)|(system.+state.+changed )|(\|lc)|(penalty)|(\[timeout)|(PRM\|1\|D)|(kpr)|(kdp))" /e /r /s</v>
      </c>
      <c r="AG109" s="1" t="str">
        <f t="shared" ref="AG109:AG140" si="60">IF(VALUE(LEFT(AD109,2))&lt;=2,"EC",IF(OR(VALUE(LEFT(AD109,2))=8,VALUE(LEFT(AD109,2))=18),"NW","GL"))</f>
        <v>EC</v>
      </c>
      <c r="AH109" s="116" t="str">
        <f t="shared" ref="AH109:AH140" si="61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</f>
        <v>"%USERPROFILE%\Documents\GitHub\eaglep3\Utilities\RefineRTDCRunTimes.py" --tripid 194-06 --locoid 4010 --swversion DE.1.0.7.0 --startMP 204:64155 --initTime 2016-08-06T17:08:12 --startdatetime 2016-08-06T17:09:33 --delay 1 --endMP 204:207 --enddatetime 2016-08-06T17:25:12 --enforcementcount 0</v>
      </c>
    </row>
    <row r="110" spans="1:34" x14ac:dyDescent="0.25">
      <c r="A110" s="25" t="s">
        <v>729</v>
      </c>
      <c r="B110" s="134">
        <v>4018</v>
      </c>
      <c r="C110" s="135" t="s">
        <v>156</v>
      </c>
      <c r="D110" s="135" t="s">
        <v>308</v>
      </c>
      <c r="E110" s="136">
        <v>42588.643206018518</v>
      </c>
      <c r="F110" s="136">
        <v>42588.644537037035</v>
      </c>
      <c r="G110" s="134">
        <v>1</v>
      </c>
      <c r="H110" s="136" t="s">
        <v>730</v>
      </c>
      <c r="I110" s="136">
        <v>42588.670925925922</v>
      </c>
      <c r="J110" s="134">
        <v>0</v>
      </c>
      <c r="K110" s="25" t="str">
        <f t="shared" si="48"/>
        <v>4017/4018</v>
      </c>
      <c r="L110" s="25" t="str">
        <f>VLOOKUP(A110,'Trips&amp;Operators'!$C$1:$E$10000,3,FALSE)</f>
        <v>DE LA ROSA</v>
      </c>
      <c r="M110" s="6">
        <f t="shared" si="49"/>
        <v>2.6388888887595385E-2</v>
      </c>
      <c r="N110" s="7">
        <f>24*60*SUM($M110:$M110)</f>
        <v>37.999999998137355</v>
      </c>
      <c r="O110" s="7"/>
      <c r="P110" s="7"/>
      <c r="Q110" s="26"/>
      <c r="R110" s="26"/>
      <c r="S110" s="38">
        <f>SUM(U110:U110)/IF(AG110="EC",12,1)</f>
        <v>1</v>
      </c>
      <c r="T110" s="55" t="str">
        <f t="shared" si="50"/>
        <v>NorthBound</v>
      </c>
      <c r="U110" s="15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14:26:13-0600',mode:absolute,to:'2016-08-06 17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0" s="57" t="str">
        <f t="shared" si="52"/>
        <v>N</v>
      </c>
      <c r="X110" s="145">
        <f t="shared" si="53"/>
        <v>1</v>
      </c>
      <c r="Y110" s="72">
        <f t="shared" si="54"/>
        <v>4.5499999999999999E-2</v>
      </c>
      <c r="Z110" s="72">
        <f t="shared" si="55"/>
        <v>23.332100000000001</v>
      </c>
      <c r="AA110" s="72">
        <f t="shared" si="56"/>
        <v>23.2866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57"/>
        <v>0195-06</v>
      </c>
      <c r="AE110" s="115" t="str">
        <f t="shared" si="58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110" s="112" t="str">
        <f t="shared" si="59"/>
        <v>"C:\Program Files (x86)\AstroGrep\AstroGrep.exe" /spath="%USERPROFILE%\AppData\Local\Temp\OnboardLogs" /stypes="*4018*20160806*" /stext=" 22:.+((SYSTEM_STATE.+slice.+state.+changed )|(ment ac)|(system.+state.+changed )|(\|lc)|(penalty)|(\[timeout)|(PRM\|1\|D)|(kpr)|(kdp))" /e /r /s</v>
      </c>
      <c r="AG110" s="1" t="str">
        <f t="shared" si="60"/>
        <v>EC</v>
      </c>
      <c r="AH110" s="116" t="str">
        <f t="shared" si="61"/>
        <v>"%USERPROFILE%\Documents\GitHub\eaglep3\Utilities\RefineRTDCRunTimes.py" --tripid 195-06 --locoid 4018 --swversion DE.1.0.7.0 --startMP 204:455 --initTime 2016-08-06T15:26:13 --startdatetime 2016-08-06T15:28:08 --delay 1 --endMP 204:233321 --enddatetime 2016-08-06T16:06:08 --enforcementcount 0</v>
      </c>
    </row>
    <row r="111" spans="1:34" x14ac:dyDescent="0.25">
      <c r="A111" s="25" t="s">
        <v>731</v>
      </c>
      <c r="B111" s="134">
        <v>4017</v>
      </c>
      <c r="C111" s="135" t="s">
        <v>156</v>
      </c>
      <c r="D111" s="135" t="s">
        <v>224</v>
      </c>
      <c r="E111" s="136">
        <v>42588.679490740738</v>
      </c>
      <c r="F111" s="136">
        <v>42588.680625000001</v>
      </c>
      <c r="G111" s="134">
        <v>1</v>
      </c>
      <c r="H111" s="136" t="s">
        <v>58</v>
      </c>
      <c r="I111" s="136">
        <v>42588.738275462965</v>
      </c>
      <c r="J111" s="134">
        <v>0</v>
      </c>
      <c r="K111" s="25" t="str">
        <f t="shared" si="48"/>
        <v>4017/4018</v>
      </c>
      <c r="L111" s="25" t="str">
        <f>VLOOKUP(A111,'Trips&amp;Operators'!$C$1:$E$10000,3,FALSE)</f>
        <v>DE LA ROSA</v>
      </c>
      <c r="M111" s="6">
        <f t="shared" si="49"/>
        <v>5.7650462964375038E-2</v>
      </c>
      <c r="N111" s="7">
        <f>24*60*SUM($M111:$M111)</f>
        <v>83.016666668700054</v>
      </c>
      <c r="O111" s="7"/>
      <c r="P111" s="7"/>
      <c r="Q111" s="26"/>
      <c r="R111" s="26"/>
      <c r="S111" s="38">
        <f>SUM(U111:U111)/IF(AG111="EC",12,1)</f>
        <v>1</v>
      </c>
      <c r="T111" s="55" t="str">
        <f t="shared" si="50"/>
        <v>Southbound</v>
      </c>
      <c r="U111" s="15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15:18:28-0600',mode:absolute,to:'2016-08-06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11" s="57" t="str">
        <f t="shared" si="52"/>
        <v>N</v>
      </c>
      <c r="X111" s="145">
        <f t="shared" si="53"/>
        <v>1</v>
      </c>
      <c r="Y111" s="72">
        <f t="shared" si="54"/>
        <v>23.299299999999999</v>
      </c>
      <c r="Z111" s="72">
        <f t="shared" si="55"/>
        <v>1.52E-2</v>
      </c>
      <c r="AA111" s="72">
        <f t="shared" si="56"/>
        <v>23.284099999999999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57"/>
        <v>0196-06</v>
      </c>
      <c r="AE111" s="115" t="str">
        <f t="shared" si="58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111" s="112" t="str">
        <f t="shared" si="59"/>
        <v>"C:\Program Files (x86)\AstroGrep\AstroGrep.exe" /spath="%USERPROFILE%\AppData\Local\Temp\OnboardLogs" /stypes="*4017*20160806*" /stext=" 23:.+((SYSTEM_STATE.+slice.+state.+changed )|(ment ac)|(system.+state.+changed )|(\|lc)|(penalty)|(\[timeout)|(PRM\|1\|D)|(kpr)|(kdp))" /e /r /s</v>
      </c>
      <c r="AG111" s="1" t="str">
        <f t="shared" si="60"/>
        <v>EC</v>
      </c>
      <c r="AH111" s="116" t="str">
        <f t="shared" si="61"/>
        <v>"%USERPROFILE%\Documents\GitHub\eaglep3\Utilities\RefineRTDCRunTimes.py" --tripid 196-06 --locoid 4017 --swversion DE.1.0.7.0 --startMP 204:232993 --initTime 2016-08-06T16:18:28 --startdatetime 2016-08-06T16:20:06 --delay 1 --endMP 204:152 --enddatetime 2016-08-06T17:43:07 --enforcementcount 0</v>
      </c>
    </row>
    <row r="112" spans="1:34" x14ac:dyDescent="0.25">
      <c r="A112" s="25" t="s">
        <v>475</v>
      </c>
      <c r="B112" s="134">
        <v>4014</v>
      </c>
      <c r="C112" s="135" t="s">
        <v>156</v>
      </c>
      <c r="D112" s="135" t="s">
        <v>558</v>
      </c>
      <c r="E112" s="136">
        <v>42588.650625000002</v>
      </c>
      <c r="F112" s="136">
        <v>42588.652175925927</v>
      </c>
      <c r="G112" s="134">
        <v>2</v>
      </c>
      <c r="H112" s="136" t="s">
        <v>651</v>
      </c>
      <c r="I112" s="136">
        <v>42588.683298611111</v>
      </c>
      <c r="J112" s="134">
        <v>2</v>
      </c>
      <c r="K112" s="25" t="str">
        <f t="shared" si="48"/>
        <v>4013/4014</v>
      </c>
      <c r="L112" s="25" t="str">
        <f>VLOOKUP(A112,'Trips&amp;Operators'!$C$1:$E$10000,3,FALSE)</f>
        <v>MAYBERRY</v>
      </c>
      <c r="M112" s="6">
        <f t="shared" si="49"/>
        <v>3.1122685184527654E-2</v>
      </c>
      <c r="N112" s="7">
        <f>24*60*SUM($M112:$M112)</f>
        <v>44.816666665719822</v>
      </c>
      <c r="O112" s="7"/>
      <c r="P112" s="7"/>
      <c r="Q112" s="26"/>
      <c r="R112" s="26"/>
      <c r="S112" s="38">
        <f>SUM(U112:U112)/IF(AG112="EC",12,1)</f>
        <v>1</v>
      </c>
      <c r="T112" s="55" t="str">
        <f t="shared" si="50"/>
        <v>NorthBound</v>
      </c>
      <c r="U112" s="15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12" s="57" t="str">
        <f t="shared" si="52"/>
        <v>N</v>
      </c>
      <c r="X112" s="145">
        <f t="shared" si="53"/>
        <v>1</v>
      </c>
      <c r="Y112" s="72">
        <f t="shared" si="54"/>
        <v>4.6600000000000003E-2</v>
      </c>
      <c r="Z112" s="72">
        <f t="shared" si="55"/>
        <v>23.328600000000002</v>
      </c>
      <c r="AA112" s="72">
        <f t="shared" si="56"/>
        <v>23.282</v>
      </c>
      <c r="AB112" s="69">
        <f>VLOOKUP(A112,Enforcements!$C$7:$J$24,8,0)</f>
        <v>116838</v>
      </c>
      <c r="AC112" s="65" t="str">
        <f>VLOOKUP(A112,Enforcements!$C$7:$E$24,3,0)</f>
        <v>PERMANENT SPEED RESTRICTION</v>
      </c>
      <c r="AD112" s="66" t="str">
        <f t="shared" si="57"/>
        <v>0197-06</v>
      </c>
      <c r="AE112" s="115" t="str">
        <f t="shared" si="58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112" s="112" t="str">
        <f t="shared" si="59"/>
        <v>"C:\Program Files (x86)\AstroGrep\AstroGrep.exe" /spath="%USERPROFILE%\AppData\Local\Temp\OnboardLogs" /stypes="*4014*20160806*" /stext=" 22:.+((SYSTEM_STATE.+slice.+state.+changed )|(ment ac)|(system.+state.+changed )|(\|lc)|(penalty)|(\[timeout)|(PRM\|1\|D)|(kpr)|(kdp))" /e /r /s</v>
      </c>
      <c r="AG112" s="1" t="str">
        <f t="shared" si="60"/>
        <v>EC</v>
      </c>
      <c r="AH112" s="116" t="str">
        <f t="shared" si="61"/>
        <v>"%USERPROFILE%\Documents\GitHub\eaglep3\Utilities\RefineRTDCRunTimes.py" --tripid 197-06 --locoid 4014 --swversion DE.1.0.7.0 --startMP 204:466 --initTime 2016-08-06T15:36:54 --startdatetime 2016-08-06T15:39:08 --delay 2 --endMP 204:233286 --enddatetime 2016-08-06T16:23:57 --enforcementcount 2</v>
      </c>
    </row>
    <row r="113" spans="1:34" x14ac:dyDescent="0.25">
      <c r="A113" s="25" t="s">
        <v>732</v>
      </c>
      <c r="B113" s="134">
        <v>4013</v>
      </c>
      <c r="C113" s="135" t="s">
        <v>156</v>
      </c>
      <c r="D113" s="135" t="s">
        <v>438</v>
      </c>
      <c r="E113" s="136">
        <v>42588.689328703702</v>
      </c>
      <c r="F113" s="136">
        <v>42588.690520833334</v>
      </c>
      <c r="G113" s="134">
        <v>1</v>
      </c>
      <c r="H113" s="136" t="s">
        <v>564</v>
      </c>
      <c r="I113" s="136">
        <v>42588.744050925925</v>
      </c>
      <c r="J113" s="134">
        <v>0</v>
      </c>
      <c r="K113" s="25" t="str">
        <f t="shared" si="48"/>
        <v>4013/4014</v>
      </c>
      <c r="L113" s="25" t="str">
        <f>VLOOKUP(A113,'Trips&amp;Operators'!$C$1:$E$10000,3,FALSE)</f>
        <v>MAYBERRY</v>
      </c>
      <c r="M113" s="6">
        <f t="shared" si="49"/>
        <v>5.3530092591245193E-2</v>
      </c>
      <c r="N113" s="7">
        <f>24*60*SUM($M113:$M113)</f>
        <v>77.083333331393078</v>
      </c>
      <c r="O113" s="7"/>
      <c r="P113" s="7"/>
      <c r="Q113" s="26"/>
      <c r="R113" s="26"/>
      <c r="S113" s="38">
        <f>SUM(U113:U113)/IF(AG113="EC",12,1)</f>
        <v>1</v>
      </c>
      <c r="T113" s="55" t="str">
        <f t="shared" si="50"/>
        <v>Southbound</v>
      </c>
      <c r="U113" s="15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15:32:38-0600',mode:absolute,to:'2016-08-06 18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3" s="57" t="str">
        <f t="shared" si="52"/>
        <v>N</v>
      </c>
      <c r="X113" s="145">
        <f t="shared" si="53"/>
        <v>1</v>
      </c>
      <c r="Y113" s="72">
        <f t="shared" si="54"/>
        <v>23.2971</v>
      </c>
      <c r="Z113" s="72">
        <f t="shared" si="55"/>
        <v>1.49E-2</v>
      </c>
      <c r="AA113" s="72">
        <f t="shared" si="56"/>
        <v>23.2822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57"/>
        <v>0198-06</v>
      </c>
      <c r="AE113" s="115" t="str">
        <f t="shared" si="58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13" s="112" t="str">
        <f t="shared" si="59"/>
        <v>"C:\Program Files (x86)\AstroGrep\AstroGrep.exe" /spath="%USERPROFILE%\AppData\Local\Temp\OnboardLogs" /stypes="*4013*20160806*" /stext=" 23:.+((SYSTEM_STATE.+slice.+state.+changed )|(ment ac)|(system.+state.+changed )|(\|lc)|(penalty)|(\[timeout)|(PRM\|1\|D)|(kpr)|(kdp))" /e /r /s</v>
      </c>
      <c r="AG113" s="1" t="str">
        <f t="shared" si="60"/>
        <v>EC</v>
      </c>
      <c r="AH113" s="116" t="str">
        <f t="shared" si="61"/>
        <v>"%USERPROFILE%\Documents\GitHub\eaglep3\Utilities\RefineRTDCRunTimes.py" --tripid 198-06 --locoid 4013 --swversion DE.1.0.7.0 --startMP 204:232971 --initTime 2016-08-06T16:32:38 --startdatetime 2016-08-06T16:34:21 --delay 1 --endMP 204:149 --enddatetime 2016-08-06T17:51:26 --enforcementcount 0</v>
      </c>
    </row>
    <row r="114" spans="1:34" x14ac:dyDescent="0.25">
      <c r="A114" s="25" t="s">
        <v>477</v>
      </c>
      <c r="B114" s="134">
        <v>4031</v>
      </c>
      <c r="C114" s="135" t="s">
        <v>156</v>
      </c>
      <c r="D114" s="135" t="s">
        <v>733</v>
      </c>
      <c r="E114" s="136">
        <v>42588.684398148151</v>
      </c>
      <c r="F114" s="136">
        <v>42588.685057870367</v>
      </c>
      <c r="G114" s="134">
        <v>0</v>
      </c>
      <c r="H114" s="136" t="s">
        <v>534</v>
      </c>
      <c r="I114" s="136">
        <v>42588.695057870369</v>
      </c>
      <c r="J114" s="134">
        <v>0</v>
      </c>
      <c r="K114" s="25" t="str">
        <f t="shared" si="48"/>
        <v>4031/4032</v>
      </c>
      <c r="L114" s="25" t="str">
        <f>VLOOKUP(A114,'Trips&amp;Operators'!$C$1:$E$10000,3,FALSE)</f>
        <v>WEBSTER</v>
      </c>
      <c r="M114" s="6">
        <f t="shared" si="49"/>
        <v>1.0000000002037268E-2</v>
      </c>
      <c r="N114" s="7"/>
      <c r="O114" s="7"/>
      <c r="P114" s="7">
        <f>24*60*SUM($M114:$M115)</f>
        <v>41.833333336981013</v>
      </c>
      <c r="Q114" s="26"/>
      <c r="R114" s="26" t="s">
        <v>842</v>
      </c>
      <c r="S114" s="38">
        <f>SUM(U114:U115)/IF(AG114="EC",12,1)</f>
        <v>1</v>
      </c>
      <c r="T114" s="55" t="str">
        <f t="shared" si="50"/>
        <v>NorthBound</v>
      </c>
      <c r="U114" s="15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14" s="57" t="str">
        <f t="shared" si="52"/>
        <v>Y</v>
      </c>
      <c r="X114" s="145">
        <f t="shared" si="53"/>
        <v>1</v>
      </c>
      <c r="Y114" s="72">
        <f t="shared" si="54"/>
        <v>12.8261</v>
      </c>
      <c r="Z114" s="72">
        <f t="shared" si="55"/>
        <v>23.331399999999999</v>
      </c>
      <c r="AA114" s="72">
        <f t="shared" si="56"/>
        <v>10.505299999999998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57"/>
        <v>0199-06</v>
      </c>
      <c r="AE114" s="115" t="str">
        <f t="shared" si="58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114" s="112" t="str">
        <f t="shared" si="59"/>
        <v>"C:\Program Files (x86)\AstroGrep\AstroGrep.exe" /spath="%USERPROFILE%\AppData\Local\Temp\OnboardLogs" /stypes="*4031*20160806*" /stext=" 22:.+((SYSTEM_STATE.+slice.+state.+changed )|(ment ac)|(system.+state.+changed )|(\|lc)|(penalty)|(\[timeout)|(PRM\|1\|D)|(kpr)|(kdp))" /e /r /s</v>
      </c>
      <c r="AG114" s="1" t="str">
        <f t="shared" si="60"/>
        <v>EC</v>
      </c>
      <c r="AH114" s="116" t="str">
        <f t="shared" si="61"/>
        <v>"%USERPROFILE%\Documents\GitHub\eaglep3\Utilities\RefineRTDCRunTimes.py" --tripid 199-06 --locoid 4031 --swversion DE.1.0.7.0 --startMP 204:128261 --initTime 2016-08-06T16:25:32 --startdatetime 2016-08-06T16:26:29 --delay 0 --endMP 204:233314 --enddatetime 2016-08-06T16:40:53 --enforcementcount 0</v>
      </c>
    </row>
    <row r="115" spans="1:34" x14ac:dyDescent="0.25">
      <c r="A115" s="25" t="s">
        <v>477</v>
      </c>
      <c r="B115" s="134">
        <v>4031</v>
      </c>
      <c r="C115" s="135" t="s">
        <v>156</v>
      </c>
      <c r="D115" s="135" t="s">
        <v>136</v>
      </c>
      <c r="E115" s="136">
        <v>42588.66238425926</v>
      </c>
      <c r="F115" s="136">
        <v>42588.663402777776</v>
      </c>
      <c r="G115" s="134">
        <v>1</v>
      </c>
      <c r="H115" s="136" t="s">
        <v>734</v>
      </c>
      <c r="I115" s="136">
        <v>42588.682453703703</v>
      </c>
      <c r="J115" s="134">
        <v>1</v>
      </c>
      <c r="K115" s="25" t="str">
        <f t="shared" si="48"/>
        <v>4031/4032</v>
      </c>
      <c r="L115" s="25" t="str">
        <f>VLOOKUP(A115,'Trips&amp;Operators'!$C$1:$E$10000,3,FALSE)</f>
        <v>WEBSTER</v>
      </c>
      <c r="M115" s="6">
        <f t="shared" si="49"/>
        <v>1.9050925926421769E-2</v>
      </c>
      <c r="N115" s="7"/>
      <c r="O115" s="7"/>
      <c r="P115" s="7"/>
      <c r="Q115" s="26"/>
      <c r="R115" s="26"/>
      <c r="S115" s="38"/>
      <c r="T115" s="55" t="str">
        <f t="shared" si="50"/>
        <v>NorthBound</v>
      </c>
      <c r="U115" s="15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14:53:50-0600',mode:absolute,to:'2016-08-06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15" s="57" t="str">
        <f t="shared" si="52"/>
        <v>Y</v>
      </c>
      <c r="X115" s="145">
        <f t="shared" ref="X115:X118" si="62">VALUE(LEFT(AD115,4))-VALUE(LEFT(AD114,4))</f>
        <v>0</v>
      </c>
      <c r="Y115" s="72">
        <f t="shared" si="54"/>
        <v>4.6399999999999997E-2</v>
      </c>
      <c r="Z115" s="72">
        <f t="shared" si="55"/>
        <v>11.0974</v>
      </c>
      <c r="AA115" s="72">
        <f t="shared" si="56"/>
        <v>11.051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57"/>
        <v>0199-06</v>
      </c>
      <c r="AE115" s="115" t="str">
        <f t="shared" si="58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115" s="112" t="str">
        <f t="shared" si="59"/>
        <v>"C:\Program Files (x86)\AstroGrep\AstroGrep.exe" /spath="%USERPROFILE%\AppData\Local\Temp\OnboardLogs" /stypes="*4031*20160806*" /stext=" 22:.+((SYSTEM_STATE.+slice.+state.+changed )|(ment ac)|(system.+state.+changed )|(\|lc)|(penalty)|(\[timeout)|(PRM\|1\|D)|(kpr)|(kdp))" /e /r /s</v>
      </c>
      <c r="AG115" s="1" t="str">
        <f t="shared" si="60"/>
        <v>EC</v>
      </c>
      <c r="AH115" s="116" t="str">
        <f t="shared" si="61"/>
        <v>"%USERPROFILE%\Documents\GitHub\eaglep3\Utilities\RefineRTDCRunTimes.py" --tripid 199-06 --locoid 4031 --swversion DE.1.0.7.0 --startMP 204:464 --initTime 2016-08-06T15:53:50 --startdatetime 2016-08-06T15:55:18 --delay 1 --endMP 204:110974 --enddatetime 2016-08-06T16:22:44 --enforcementcount 1</v>
      </c>
    </row>
    <row r="116" spans="1:34" x14ac:dyDescent="0.25">
      <c r="A116" s="25" t="s">
        <v>736</v>
      </c>
      <c r="B116" s="134">
        <v>4027</v>
      </c>
      <c r="C116" s="135" t="s">
        <v>156</v>
      </c>
      <c r="D116" s="135" t="s">
        <v>737</v>
      </c>
      <c r="E116" s="136">
        <v>42588.721145833333</v>
      </c>
      <c r="F116" s="136">
        <v>42588.721782407411</v>
      </c>
      <c r="G116" s="134">
        <v>0</v>
      </c>
      <c r="H116" s="136" t="s">
        <v>369</v>
      </c>
      <c r="I116" s="136">
        <v>42588.733159722222</v>
      </c>
      <c r="J116" s="134">
        <v>0</v>
      </c>
      <c r="K116" s="25" t="str">
        <f t="shared" si="48"/>
        <v>4027/4028</v>
      </c>
      <c r="L116" s="25" t="str">
        <f>VLOOKUP(A116,'Trips&amp;Operators'!$C$1:$E$10000,3,FALSE)</f>
        <v>STEWART</v>
      </c>
      <c r="M116" s="6">
        <f t="shared" si="49"/>
        <v>1.137731481139781E-2</v>
      </c>
      <c r="N116" s="7"/>
      <c r="O116" s="7"/>
      <c r="P116" s="7">
        <f>24*60*SUM($M116:$M117)</f>
        <v>52.666666656732559</v>
      </c>
      <c r="Q116" s="26"/>
      <c r="R116" s="26" t="s">
        <v>842</v>
      </c>
      <c r="S116" s="38">
        <f>SUM(U116:U117)/IF(AG116="EC",12,1)</f>
        <v>0.83333333333333337</v>
      </c>
      <c r="T116" s="55" t="str">
        <f t="shared" si="50"/>
        <v>NorthBound</v>
      </c>
      <c r="U116" s="15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16:18:27-0600',mode:absolute,to:'2016-08-06 18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6" s="57" t="str">
        <f t="shared" si="52"/>
        <v>Y</v>
      </c>
      <c r="X116" s="145">
        <f t="shared" si="62"/>
        <v>2</v>
      </c>
      <c r="Y116" s="72">
        <f t="shared" si="54"/>
        <v>12.827199999999999</v>
      </c>
      <c r="Z116" s="72">
        <f t="shared" si="55"/>
        <v>23.331800000000001</v>
      </c>
      <c r="AA116" s="72">
        <f t="shared" si="56"/>
        <v>10.504600000000002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57"/>
        <v>0201-06</v>
      </c>
      <c r="AE116" s="115" t="str">
        <f t="shared" si="58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116" s="112" t="str">
        <f t="shared" si="59"/>
        <v>"C:\Program Files (x86)\AstroGrep\AstroGrep.exe" /spath="%USERPROFILE%\AppData\Local\Temp\OnboardLogs" /stypes="*4027*20160806*" /stext=" 23:.+((SYSTEM_STATE.+slice.+state.+changed )|(ment ac)|(system.+state.+changed )|(\|lc)|(penalty)|(\[timeout)|(PRM\|1\|D)|(kpr)|(kdp))" /e /r /s</v>
      </c>
      <c r="AG116" s="1" t="str">
        <f t="shared" si="60"/>
        <v>EC</v>
      </c>
      <c r="AH116" s="116" t="str">
        <f t="shared" si="61"/>
        <v>"%USERPROFILE%\Documents\GitHub\eaglep3\Utilities\RefineRTDCRunTimes.py" --tripid 201-06 --locoid 4027 --swversion DE.1.0.7.0 --startMP 204:128272 --initTime 2016-08-06T17:18:27 --startdatetime 2016-08-06T17:19:22 --delay 0 --endMP 204:233318 --enddatetime 2016-08-06T17:35:45 --enforcementcount 0</v>
      </c>
    </row>
    <row r="117" spans="1:34" x14ac:dyDescent="0.25">
      <c r="A117" s="25" t="s">
        <v>736</v>
      </c>
      <c r="B117" s="134">
        <v>4027</v>
      </c>
      <c r="C117" s="135" t="s">
        <v>156</v>
      </c>
      <c r="D117" s="135" t="s">
        <v>401</v>
      </c>
      <c r="E117" s="136">
        <v>42588.672465277778</v>
      </c>
      <c r="F117" s="136">
        <v>42588.676585648151</v>
      </c>
      <c r="G117" s="134">
        <v>5</v>
      </c>
      <c r="H117" s="136" t="s">
        <v>738</v>
      </c>
      <c r="I117" s="136">
        <v>42588.701782407406</v>
      </c>
      <c r="J117" s="134">
        <v>0</v>
      </c>
      <c r="K117" s="25" t="str">
        <f t="shared" si="48"/>
        <v>4027/4028</v>
      </c>
      <c r="L117" s="25" t="str">
        <f>VLOOKUP(A117,'Trips&amp;Operators'!$C$1:$E$10000,3,FALSE)</f>
        <v>STEWART</v>
      </c>
      <c r="M117" s="6">
        <f t="shared" si="49"/>
        <v>2.5196759255777579E-2</v>
      </c>
      <c r="N117" s="7"/>
      <c r="O117" s="7"/>
      <c r="P117" s="7"/>
      <c r="Q117" s="26"/>
      <c r="R117" s="26"/>
      <c r="S117" s="38"/>
      <c r="T117" s="55" t="str">
        <f t="shared" si="50"/>
        <v>NorthBound</v>
      </c>
      <c r="U117" s="15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10</v>
      </c>
      <c r="V117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15:08:21-0600',mode:absolute,to:'2016-08-06 17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7" s="57" t="str">
        <f t="shared" si="52"/>
        <v>Y</v>
      </c>
      <c r="X117" s="145">
        <f t="shared" si="62"/>
        <v>0</v>
      </c>
      <c r="Y117" s="72">
        <f t="shared" si="54"/>
        <v>4.7100000000000003E-2</v>
      </c>
      <c r="Z117" s="72">
        <f t="shared" si="55"/>
        <v>10.217700000000001</v>
      </c>
      <c r="AA117" s="72">
        <f t="shared" si="56"/>
        <v>10.1706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57"/>
        <v>0201-06</v>
      </c>
      <c r="AE117" s="115" t="str">
        <f t="shared" si="58"/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AF117" s="112" t="str">
        <f t="shared" si="59"/>
        <v>"C:\Program Files (x86)\AstroGrep\AstroGrep.exe" /spath="%USERPROFILE%\AppData\Local\Temp\OnboardLogs" /stypes="*4027*20160806*" /stext=" 22:.+((SYSTEM_STATE.+slice.+state.+changed )|(ment ac)|(system.+state.+changed )|(\|lc)|(penalty)|(\[timeout)|(PRM\|1\|D)|(kpr)|(kdp))" /e /r /s</v>
      </c>
      <c r="AG117" s="1" t="str">
        <f t="shared" si="60"/>
        <v>EC</v>
      </c>
      <c r="AH117" s="116" t="str">
        <f t="shared" si="61"/>
        <v>"%USERPROFILE%\Documents\GitHub\eaglep3\Utilities\RefineRTDCRunTimes.py" --tripid 201-06 --locoid 4027 --swversion DE.1.0.7.0 --startMP 204:471 --initTime 2016-08-06T16:08:21 --startdatetime 2016-08-06T16:14:17 --delay 5 --endMP 204:102177 --enddatetime 2016-08-06T16:50:34 --enforcementcount 0</v>
      </c>
    </row>
    <row r="118" spans="1:34" x14ac:dyDescent="0.25">
      <c r="A118" s="25" t="s">
        <v>739</v>
      </c>
      <c r="B118" s="134">
        <v>4032</v>
      </c>
      <c r="C118" s="135" t="s">
        <v>156</v>
      </c>
      <c r="D118" s="135" t="s">
        <v>740</v>
      </c>
      <c r="E118" s="136">
        <v>42588.715092592596</v>
      </c>
      <c r="F118" s="136">
        <v>42588.716006944444</v>
      </c>
      <c r="G118" s="134">
        <v>1</v>
      </c>
      <c r="H118" s="136" t="s">
        <v>135</v>
      </c>
      <c r="I118" s="136">
        <v>42588.753807870373</v>
      </c>
      <c r="J118" s="134">
        <v>0</v>
      </c>
      <c r="K118" s="25" t="str">
        <f t="shared" si="48"/>
        <v>4031/4032</v>
      </c>
      <c r="L118" s="25" t="str">
        <f>VLOOKUP(A118,'Trips&amp;Operators'!$C$1:$E$10000,3,FALSE)</f>
        <v>WEBSTER</v>
      </c>
      <c r="M118" s="6">
        <f t="shared" si="49"/>
        <v>3.7800925929332152E-2</v>
      </c>
      <c r="N118" s="7">
        <f t="shared" ref="N118:N151" si="63">24*60*SUM($M118:$M118)</f>
        <v>54.433333338238299</v>
      </c>
      <c r="O118" s="7"/>
      <c r="P118" s="7"/>
      <c r="Q118" s="26"/>
      <c r="R118" s="26"/>
      <c r="S118" s="38">
        <f t="shared" ref="S118:S151" si="64">SUM(U118:U118)/IF(AG118="EC",12,1)</f>
        <v>1</v>
      </c>
      <c r="T118" s="55" t="str">
        <f t="shared" si="50"/>
        <v>Southbound</v>
      </c>
      <c r="U118" s="15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16:09:44-0600',mode:absolute,to:'2016-08-06 19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18" s="57" t="str">
        <f t="shared" si="52"/>
        <v>N</v>
      </c>
      <c r="X118" s="145">
        <f t="shared" si="62"/>
        <v>1</v>
      </c>
      <c r="Y118" s="72">
        <f t="shared" si="54"/>
        <v>23.298500000000001</v>
      </c>
      <c r="Z118" s="72">
        <f t="shared" si="55"/>
        <v>1.4999999999999999E-2</v>
      </c>
      <c r="AA118" s="72">
        <f t="shared" si="56"/>
        <v>23.2835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57"/>
        <v>0202-06</v>
      </c>
      <c r="AE118" s="115" t="str">
        <f t="shared" si="58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18" s="112" t="str">
        <f t="shared" si="59"/>
        <v>"C:\Program Files (x86)\AstroGrep\AstroGrep.exe" /spath="%USERPROFILE%\AppData\Local\Temp\OnboardLogs" /stypes="*4032*20160807*" /stext=" 00:.+((SYSTEM_STATE.+slice.+state.+changed )|(ment ac)|(system.+state.+changed )|(\|lc)|(penalty)|(\[timeout)|(PRM\|1\|D)|(kpr)|(kdp))" /e /r /s</v>
      </c>
      <c r="AG118" s="1" t="str">
        <f t="shared" si="60"/>
        <v>EC</v>
      </c>
      <c r="AH118" s="116" t="str">
        <f t="shared" si="61"/>
        <v>"%USERPROFILE%\Documents\GitHub\eaglep3\Utilities\RefineRTDCRunTimes.py" --tripid 202-06 --locoid 4032 --swversion DE.1.0.7.0 --startMP 204:232985 --initTime 2016-08-06T17:09:44 --startdatetime 2016-08-06T17:11:03 --delay 1 --endMP 204:150 --enddatetime 2016-08-06T18:05:29 --enforcementcount 0</v>
      </c>
    </row>
    <row r="119" spans="1:34" x14ac:dyDescent="0.25">
      <c r="A119" s="25" t="s">
        <v>480</v>
      </c>
      <c r="B119" s="134">
        <v>4011</v>
      </c>
      <c r="C119" s="135" t="s">
        <v>156</v>
      </c>
      <c r="D119" s="135" t="s">
        <v>741</v>
      </c>
      <c r="E119" s="136">
        <v>42588.684687499997</v>
      </c>
      <c r="F119" s="136">
        <v>42588.685960648145</v>
      </c>
      <c r="G119" s="134">
        <v>1</v>
      </c>
      <c r="H119" s="136" t="s">
        <v>562</v>
      </c>
      <c r="I119" s="136">
        <v>42588.739259259259</v>
      </c>
      <c r="J119" s="134">
        <v>1</v>
      </c>
      <c r="K119" s="25" t="str">
        <f t="shared" si="48"/>
        <v>4011/4012</v>
      </c>
      <c r="L119" s="25" t="str">
        <f>VLOOKUP(A119,'Trips&amp;Operators'!$C$1:$E$10000,3,FALSE)</f>
        <v>HELVIE</v>
      </c>
      <c r="M119" s="6">
        <f t="shared" si="49"/>
        <v>5.3298611113859806E-2</v>
      </c>
      <c r="N119" s="7">
        <f t="shared" si="63"/>
        <v>76.750000003958121</v>
      </c>
      <c r="O119" s="7"/>
      <c r="P119" s="7"/>
      <c r="Q119" s="26"/>
      <c r="R119" s="26"/>
      <c r="S119" s="38">
        <f t="shared" si="64"/>
        <v>1</v>
      </c>
      <c r="T119" s="55" t="str">
        <f t="shared" si="50"/>
        <v>NorthBound</v>
      </c>
      <c r="U119" s="15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9" s="57" t="str">
        <f t="shared" si="52"/>
        <v>N</v>
      </c>
      <c r="X119" s="145">
        <f>VALUE(LEFT(AD119,4))-VALUE(LEFT(AD118,4))</f>
        <v>1</v>
      </c>
      <c r="Y119" s="72">
        <f t="shared" si="54"/>
        <v>5.2200000000000003E-2</v>
      </c>
      <c r="Z119" s="72">
        <f t="shared" si="55"/>
        <v>23.327999999999999</v>
      </c>
      <c r="AA119" s="72">
        <f t="shared" si="56"/>
        <v>23.2758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57"/>
        <v>0203-06</v>
      </c>
      <c r="AE119" s="115" t="str">
        <f t="shared" si="58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19" s="112" t="str">
        <f t="shared" si="59"/>
        <v>"C:\Program Files (x86)\AstroGrep\AstroGrep.exe" /spath="%USERPROFILE%\AppData\Local\Temp\OnboardLogs" /stypes="*4011*20160806*" /stext=" 23:.+((SYSTEM_STATE.+slice.+state.+changed )|(ment ac)|(system.+state.+changed )|(\|lc)|(penalty)|(\[timeout)|(PRM\|1\|D)|(kpr)|(kdp))" /e /r /s</v>
      </c>
      <c r="AG119" s="1" t="str">
        <f t="shared" si="60"/>
        <v>EC</v>
      </c>
      <c r="AH119" s="116" t="str">
        <f t="shared" si="61"/>
        <v>"%USERPROFILE%\Documents\GitHub\eaglep3\Utilities\RefineRTDCRunTimes.py" --tripid 203-06 --locoid 4011 --swversion DE.1.0.7.0 --startMP 204:522 --initTime 2016-08-06T16:25:57 --startdatetime 2016-08-06T16:27:47 --delay 1 --endMP 204:233280 --enddatetime 2016-08-06T17:44:32 --enforcementcount 1</v>
      </c>
    </row>
    <row r="120" spans="1:34" x14ac:dyDescent="0.25">
      <c r="A120" s="25" t="s">
        <v>743</v>
      </c>
      <c r="B120" s="134">
        <v>4028</v>
      </c>
      <c r="C120" s="135" t="s">
        <v>156</v>
      </c>
      <c r="D120" s="135" t="s">
        <v>555</v>
      </c>
      <c r="E120" s="136">
        <v>42588.736701388887</v>
      </c>
      <c r="F120" s="136">
        <v>42588.737557870372</v>
      </c>
      <c r="G120" s="134">
        <v>1</v>
      </c>
      <c r="H120" s="136" t="s">
        <v>744</v>
      </c>
      <c r="I120" s="136">
        <v>42588.765879629631</v>
      </c>
      <c r="J120" s="134">
        <v>0</v>
      </c>
      <c r="K120" s="25" t="str">
        <f t="shared" si="48"/>
        <v>4027/4028</v>
      </c>
      <c r="L120" s="25" t="str">
        <f>VLOOKUP(A120,'Trips&amp;Operators'!$C$1:$E$10000,3,FALSE)</f>
        <v>STEWART</v>
      </c>
      <c r="M120" s="6">
        <f t="shared" si="49"/>
        <v>2.8321759258687962E-2</v>
      </c>
      <c r="N120" s="7">
        <f t="shared" si="63"/>
        <v>40.783333332510665</v>
      </c>
      <c r="O120" s="7"/>
      <c r="P120" s="7"/>
      <c r="Q120" s="26"/>
      <c r="R120" s="26"/>
      <c r="S120" s="38">
        <f t="shared" si="64"/>
        <v>1</v>
      </c>
      <c r="T120" s="55" t="str">
        <f t="shared" si="50"/>
        <v>Southbound</v>
      </c>
      <c r="U120" s="15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16:40:51-0600',mode:absolute,to:'2016-08-06 19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7" t="str">
        <f t="shared" si="52"/>
        <v>N</v>
      </c>
      <c r="X120" s="145">
        <f t="shared" ref="X120:X126" si="65">VALUE(LEFT(AD120,4))-VALUE(LEFT(AD119,4))</f>
        <v>3</v>
      </c>
      <c r="Y120" s="72">
        <f t="shared" si="54"/>
        <v>23.298400000000001</v>
      </c>
      <c r="Z120" s="72">
        <f t="shared" si="55"/>
        <v>1.6899999999999998E-2</v>
      </c>
      <c r="AA120" s="72">
        <f t="shared" si="56"/>
        <v>23.281500000000001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57"/>
        <v>0206-06</v>
      </c>
      <c r="AE120" s="115" t="str">
        <f t="shared" si="58"/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AF120" s="112" t="str">
        <f t="shared" si="59"/>
        <v>"C:\Program Files (x86)\AstroGrep\AstroGrep.exe" /spath="%USERPROFILE%\AppData\Local\Temp\OnboardLogs" /stypes="*4028*20160807*" /stext=" 00:.+((SYSTEM_STATE.+slice.+state.+changed )|(ment ac)|(system.+state.+changed )|(\|lc)|(penalty)|(\[timeout)|(PRM\|1\|D)|(kpr)|(kdp))" /e /r /s</v>
      </c>
      <c r="AG120" s="1" t="str">
        <f t="shared" si="60"/>
        <v>EC</v>
      </c>
      <c r="AH120" s="116" t="str">
        <f t="shared" si="61"/>
        <v>"%USERPROFILE%\Documents\GitHub\eaglep3\Utilities\RefineRTDCRunTimes.py" --tripid 206-06 --locoid 4028 --swversion DE.1.0.7.0 --startMP 204:232984 --initTime 2016-08-06T17:40:51 --startdatetime 2016-08-06T17:42:05 --delay 1 --endMP 204:169 --enddatetime 2016-08-06T18:22:52 --enforcementcount 0</v>
      </c>
    </row>
    <row r="121" spans="1:34" x14ac:dyDescent="0.25">
      <c r="A121" s="25" t="s">
        <v>745</v>
      </c>
      <c r="B121" s="134">
        <v>4025</v>
      </c>
      <c r="C121" s="135" t="s">
        <v>156</v>
      </c>
      <c r="D121" s="135" t="s">
        <v>746</v>
      </c>
      <c r="E121" s="136">
        <v>42588.70412037037</v>
      </c>
      <c r="F121" s="136">
        <v>42588.705462962964</v>
      </c>
      <c r="G121" s="134">
        <v>1</v>
      </c>
      <c r="H121" s="136" t="s">
        <v>541</v>
      </c>
      <c r="I121" s="136">
        <v>42588.743368055555</v>
      </c>
      <c r="J121" s="134">
        <v>0</v>
      </c>
      <c r="K121" s="25" t="str">
        <f t="shared" si="48"/>
        <v>4025/4026</v>
      </c>
      <c r="L121" s="25" t="str">
        <f>VLOOKUP(A121,'Trips&amp;Operators'!$C$1:$E$10000,3,FALSE)</f>
        <v>MOSES</v>
      </c>
      <c r="M121" s="6">
        <f t="shared" si="49"/>
        <v>3.7905092591245193E-2</v>
      </c>
      <c r="N121" s="7">
        <f t="shared" si="63"/>
        <v>54.583333331393078</v>
      </c>
      <c r="O121" s="7"/>
      <c r="P121" s="7"/>
      <c r="Q121" s="26"/>
      <c r="R121" s="26"/>
      <c r="S121" s="38">
        <f t="shared" si="64"/>
        <v>1</v>
      </c>
      <c r="T121" s="55" t="str">
        <f t="shared" si="50"/>
        <v>NorthBound</v>
      </c>
      <c r="U121" s="15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15:53:56-0600',mode:absolute,to:'2016-08-06 18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21" s="57" t="str">
        <f t="shared" si="52"/>
        <v>N</v>
      </c>
      <c r="X121" s="145">
        <f t="shared" si="65"/>
        <v>1</v>
      </c>
      <c r="Y121" s="72">
        <f t="shared" si="54"/>
        <v>5.1700000000000003E-2</v>
      </c>
      <c r="Z121" s="72">
        <f t="shared" si="55"/>
        <v>23.328900000000001</v>
      </c>
      <c r="AA121" s="72">
        <f t="shared" si="56"/>
        <v>23.277200000000001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57"/>
        <v>0207-06</v>
      </c>
      <c r="AE121" s="115" t="str">
        <f t="shared" si="58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121" s="112" t="str">
        <f t="shared" si="59"/>
        <v>"C:\Program Files (x86)\AstroGrep\AstroGrep.exe" /spath="%USERPROFILE%\AppData\Local\Temp\OnboardLogs" /stypes="*4025*20160806*" /stext=" 23:.+((SYSTEM_STATE.+slice.+state.+changed )|(ment ac)|(system.+state.+changed )|(\|lc)|(penalty)|(\[timeout)|(PRM\|1\|D)|(kpr)|(kdp))" /e /r /s</v>
      </c>
      <c r="AG121" s="1" t="str">
        <f t="shared" si="60"/>
        <v>EC</v>
      </c>
      <c r="AH121" s="116" t="str">
        <f t="shared" si="61"/>
        <v>"%USERPROFILE%\Documents\GitHub\eaglep3\Utilities\RefineRTDCRunTimes.py" --tripid 207-06 --locoid 4025 --swversion DE.1.0.7.0 --startMP 204:517 --initTime 2016-08-06T16:53:56 --startdatetime 2016-08-06T16:55:52 --delay 1 --endMP 204:233289 --enddatetime 2016-08-06T17:50:27 --enforcementcount 0</v>
      </c>
    </row>
    <row r="122" spans="1:34" x14ac:dyDescent="0.25">
      <c r="A122" s="25" t="s">
        <v>747</v>
      </c>
      <c r="B122" s="134">
        <v>4012</v>
      </c>
      <c r="C122" s="135" t="s">
        <v>156</v>
      </c>
      <c r="D122" s="135" t="s">
        <v>748</v>
      </c>
      <c r="E122" s="136">
        <v>42588.744652777779</v>
      </c>
      <c r="F122" s="136">
        <v>42588.745451388888</v>
      </c>
      <c r="G122" s="134">
        <v>1</v>
      </c>
      <c r="H122" s="136" t="s">
        <v>58</v>
      </c>
      <c r="I122" s="136">
        <v>42588.775347222225</v>
      </c>
      <c r="J122" s="134">
        <v>0</v>
      </c>
      <c r="K122" s="25" t="str">
        <f t="shared" si="48"/>
        <v>4011/4012</v>
      </c>
      <c r="L122" s="25" t="str">
        <f>VLOOKUP(A122,'Trips&amp;Operators'!$C$1:$E$10000,3,FALSE)</f>
        <v>HELVIE</v>
      </c>
      <c r="M122" s="6">
        <f t="shared" si="49"/>
        <v>2.9895833336922806E-2</v>
      </c>
      <c r="N122" s="7">
        <f t="shared" si="63"/>
        <v>43.05000000516884</v>
      </c>
      <c r="O122" s="7"/>
      <c r="P122" s="7"/>
      <c r="Q122" s="26"/>
      <c r="R122" s="26"/>
      <c r="S122" s="38">
        <f t="shared" si="64"/>
        <v>1</v>
      </c>
      <c r="T122" s="55" t="str">
        <f t="shared" si="50"/>
        <v>Southbound</v>
      </c>
      <c r="U122" s="15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16:52:18-0600',mode:absolute,to:'2016-08-06 19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22" s="57" t="str">
        <f t="shared" si="52"/>
        <v>N</v>
      </c>
      <c r="X122" s="145">
        <f t="shared" si="65"/>
        <v>1</v>
      </c>
      <c r="Y122" s="72">
        <f t="shared" si="54"/>
        <v>23.2972</v>
      </c>
      <c r="Z122" s="72">
        <f t="shared" si="55"/>
        <v>1.52E-2</v>
      </c>
      <c r="AA122" s="72">
        <f t="shared" si="56"/>
        <v>23.282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57"/>
        <v>0208-06</v>
      </c>
      <c r="AE122" s="115" t="str">
        <f t="shared" si="58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122" s="112" t="str">
        <f t="shared" si="59"/>
        <v>"C:\Program Files (x86)\AstroGrep\AstroGrep.exe" /spath="%USERPROFILE%\AppData\Local\Temp\OnboardLogs" /stypes="*4012*20160807*" /stext=" 00:.+((SYSTEM_STATE.+slice.+state.+changed )|(ment ac)|(system.+state.+changed )|(\|lc)|(penalty)|(\[timeout)|(PRM\|1\|D)|(kpr)|(kdp))" /e /r /s</v>
      </c>
      <c r="AG122" s="1" t="str">
        <f t="shared" si="60"/>
        <v>EC</v>
      </c>
      <c r="AH122" s="116" t="str">
        <f t="shared" si="61"/>
        <v>"%USERPROFILE%\Documents\GitHub\eaglep3\Utilities\RefineRTDCRunTimes.py" --tripid 208-06 --locoid 4012 --swversion DE.1.0.7.0 --startMP 204:232972 --initTime 2016-08-06T17:52:18 --startdatetime 2016-08-06T17:53:27 --delay 1 --endMP 204:152 --enddatetime 2016-08-06T18:36:30 --enforcementcount 0</v>
      </c>
    </row>
    <row r="123" spans="1:34" x14ac:dyDescent="0.25">
      <c r="A123" s="25" t="s">
        <v>484</v>
      </c>
      <c r="B123" s="134">
        <v>4026</v>
      </c>
      <c r="C123" s="135" t="s">
        <v>156</v>
      </c>
      <c r="D123" s="135" t="s">
        <v>543</v>
      </c>
      <c r="E123" s="136">
        <v>42588.753252314818</v>
      </c>
      <c r="F123" s="136">
        <v>42588.754884259259</v>
      </c>
      <c r="G123" s="134">
        <v>2</v>
      </c>
      <c r="H123" s="136" t="s">
        <v>327</v>
      </c>
      <c r="I123" s="136">
        <v>42588.784942129627</v>
      </c>
      <c r="J123" s="134">
        <v>1</v>
      </c>
      <c r="K123" s="25" t="str">
        <f t="shared" si="48"/>
        <v>4025/4026</v>
      </c>
      <c r="L123" s="25" t="str">
        <f>VLOOKUP(A123,'Trips&amp;Operators'!$C$1:$E$10000,3,FALSE)</f>
        <v>MOSES</v>
      </c>
      <c r="M123" s="6">
        <f t="shared" si="49"/>
        <v>3.0057870368182193E-2</v>
      </c>
      <c r="N123" s="7">
        <f t="shared" si="63"/>
        <v>43.283333330182359</v>
      </c>
      <c r="O123" s="7"/>
      <c r="P123" s="7"/>
      <c r="Q123" s="26"/>
      <c r="R123" s="26"/>
      <c r="S123" s="38">
        <f t="shared" si="64"/>
        <v>1</v>
      </c>
      <c r="T123" s="55" t="str">
        <f t="shared" si="50"/>
        <v>Southbound</v>
      </c>
      <c r="U123" s="15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23" s="57" t="str">
        <f t="shared" si="52"/>
        <v>N</v>
      </c>
      <c r="X123" s="145">
        <f t="shared" si="65"/>
        <v>2</v>
      </c>
      <c r="Y123" s="72">
        <f t="shared" si="54"/>
        <v>23.296900000000001</v>
      </c>
      <c r="Z123" s="72">
        <f t="shared" si="55"/>
        <v>1.5800000000000002E-2</v>
      </c>
      <c r="AA123" s="72">
        <f t="shared" si="56"/>
        <v>23.281100000000002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57"/>
        <v>0210-06</v>
      </c>
      <c r="AE123" s="115" t="str">
        <f t="shared" si="58"/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AF123" s="112" t="str">
        <f t="shared" si="59"/>
        <v>"C:\Program Files (x86)\AstroGrep\AstroGrep.exe" /spath="%USERPROFILE%\AppData\Local\Temp\OnboardLogs" /stypes="*4026*20160807*" /stext=" 00:.+((SYSTEM_STATE.+slice.+state.+changed )|(ment ac)|(system.+state.+changed )|(\|lc)|(penalty)|(\[timeout)|(PRM\|1\|D)|(kpr)|(kdp))" /e /r /s</v>
      </c>
      <c r="AG123" s="1" t="str">
        <f t="shared" si="60"/>
        <v>EC</v>
      </c>
      <c r="AH123" s="116" t="str">
        <f t="shared" si="61"/>
        <v>"%USERPROFILE%\Documents\GitHub\eaglep3\Utilities\RefineRTDCRunTimes.py" --tripid 210-06 --locoid 4026 --swversion DE.1.0.7.0 --startMP 204:232969 --initTime 2016-08-06T18:04:41 --startdatetime 2016-08-06T18:07:02 --delay 2 --endMP 204:158 --enddatetime 2016-08-06T18:50:19 --enforcementcount 1</v>
      </c>
    </row>
    <row r="124" spans="1:34" x14ac:dyDescent="0.25">
      <c r="A124" s="25" t="s">
        <v>749</v>
      </c>
      <c r="B124" s="134">
        <v>4009</v>
      </c>
      <c r="C124" s="135" t="s">
        <v>156</v>
      </c>
      <c r="D124" s="135" t="s">
        <v>750</v>
      </c>
      <c r="E124" s="136">
        <v>42588.728634259256</v>
      </c>
      <c r="F124" s="136">
        <v>42588.729953703703</v>
      </c>
      <c r="G124" s="134">
        <v>1</v>
      </c>
      <c r="H124" s="136" t="s">
        <v>441</v>
      </c>
      <c r="I124" s="136">
        <v>42588.754618055558</v>
      </c>
      <c r="J124" s="134">
        <v>0</v>
      </c>
      <c r="K124" s="25" t="str">
        <f t="shared" si="48"/>
        <v>4009/4010</v>
      </c>
      <c r="L124" s="25" t="str">
        <f>VLOOKUP(A124,'Trips&amp;Operators'!$C$1:$E$10000,3,FALSE)</f>
        <v>NEWELL</v>
      </c>
      <c r="M124" s="6">
        <f t="shared" si="49"/>
        <v>2.4664351854880806E-2</v>
      </c>
      <c r="N124" s="7">
        <f t="shared" si="63"/>
        <v>35.516666671028361</v>
      </c>
      <c r="O124" s="7"/>
      <c r="P124" s="7"/>
      <c r="Q124" s="26"/>
      <c r="R124" s="26"/>
      <c r="S124" s="38">
        <f t="shared" si="64"/>
        <v>1</v>
      </c>
      <c r="T124" s="55" t="str">
        <f t="shared" si="50"/>
        <v>NorthBound</v>
      </c>
      <c r="U124" s="15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16:29:14-0600',mode:absolute,to:'2016-08-06 19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24" s="57" t="str">
        <f t="shared" si="52"/>
        <v>N</v>
      </c>
      <c r="X124" s="145">
        <f t="shared" si="65"/>
        <v>1</v>
      </c>
      <c r="Y124" s="72">
        <f t="shared" si="54"/>
        <v>5.2900000000000003E-2</v>
      </c>
      <c r="Z124" s="72">
        <f t="shared" si="55"/>
        <v>23.333100000000002</v>
      </c>
      <c r="AA124" s="72">
        <f t="shared" si="56"/>
        <v>23.280200000000001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57"/>
        <v>0211-06</v>
      </c>
      <c r="AE124" s="115" t="str">
        <f t="shared" si="58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124" s="112" t="str">
        <f t="shared" si="59"/>
        <v>"C:\Program Files (x86)\AstroGrep\AstroGrep.exe" /spath="%USERPROFILE%\AppData\Local\Temp\OnboardLogs" /stypes="*4009*20160807*" /stext=" 00:.+((SYSTEM_STATE.+slice.+state.+changed )|(ment ac)|(system.+state.+changed )|(\|lc)|(penalty)|(\[timeout)|(PRM\|1\|D)|(kpr)|(kdp))" /e /r /s</v>
      </c>
      <c r="AG124" s="1" t="str">
        <f t="shared" si="60"/>
        <v>EC</v>
      </c>
      <c r="AH124" s="116" t="str">
        <f t="shared" si="61"/>
        <v>"%USERPROFILE%\Documents\GitHub\eaglep3\Utilities\RefineRTDCRunTimes.py" --tripid 211-06 --locoid 4009 --swversion DE.1.0.7.0 --startMP 204:529 --initTime 2016-08-06T17:29:14 --startdatetime 2016-08-06T17:31:08 --delay 1 --endMP 204:233331 --enddatetime 2016-08-06T18:06:39 --enforcementcount 0</v>
      </c>
    </row>
    <row r="125" spans="1:34" x14ac:dyDescent="0.25">
      <c r="A125" s="25" t="s">
        <v>751</v>
      </c>
      <c r="B125" s="134">
        <v>4010</v>
      </c>
      <c r="C125" s="135" t="s">
        <v>156</v>
      </c>
      <c r="D125" s="135" t="s">
        <v>360</v>
      </c>
      <c r="E125" s="136">
        <v>42588.761574074073</v>
      </c>
      <c r="F125" s="136">
        <v>42588.762696759259</v>
      </c>
      <c r="G125" s="134">
        <v>1</v>
      </c>
      <c r="H125" s="136" t="s">
        <v>572</v>
      </c>
      <c r="I125" s="136">
        <v>42588.797256944446</v>
      </c>
      <c r="J125" s="134">
        <v>0</v>
      </c>
      <c r="K125" s="25" t="str">
        <f t="shared" si="48"/>
        <v>4009/4010</v>
      </c>
      <c r="L125" s="25" t="str">
        <f>VLOOKUP(A125,'Trips&amp;Operators'!$C$1:$E$10000,3,FALSE)</f>
        <v>NEWELL</v>
      </c>
      <c r="M125" s="6">
        <f t="shared" si="49"/>
        <v>3.4560185187729076E-2</v>
      </c>
      <c r="N125" s="7">
        <f t="shared" si="63"/>
        <v>49.766666670329869</v>
      </c>
      <c r="O125" s="7"/>
      <c r="P125" s="7"/>
      <c r="Q125" s="26"/>
      <c r="R125" s="26"/>
      <c r="S125" s="38">
        <f t="shared" si="64"/>
        <v>1</v>
      </c>
      <c r="T125" s="55" t="str">
        <f t="shared" si="50"/>
        <v>Southbound</v>
      </c>
      <c r="U125" s="15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17:16:40-0600',mode:absolute,to:'2016-08-06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25" s="57" t="str">
        <f t="shared" si="52"/>
        <v>N</v>
      </c>
      <c r="X125" s="145">
        <f t="shared" si="65"/>
        <v>1</v>
      </c>
      <c r="Y125" s="72">
        <f t="shared" si="54"/>
        <v>23.301300000000001</v>
      </c>
      <c r="Z125" s="72">
        <f t="shared" si="55"/>
        <v>1.54E-2</v>
      </c>
      <c r="AA125" s="72">
        <f t="shared" si="56"/>
        <v>23.285900000000002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57"/>
        <v>0212-06</v>
      </c>
      <c r="AE125" s="115" t="str">
        <f t="shared" si="58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25" s="112" t="str">
        <f t="shared" si="59"/>
        <v>"C:\Program Files (x86)\AstroGrep\AstroGrep.exe" /spath="%USERPROFILE%\AppData\Local\Temp\OnboardLogs" /stypes="*4010*20160807*" /stext=" 01:.+((SYSTEM_STATE.+slice.+state.+changed )|(ment ac)|(system.+state.+changed )|(\|lc)|(penalty)|(\[timeout)|(PRM\|1\|D)|(kpr)|(kdp))" /e /r /s</v>
      </c>
      <c r="AG125" s="1" t="str">
        <f t="shared" si="60"/>
        <v>EC</v>
      </c>
      <c r="AH125" s="116" t="str">
        <f t="shared" si="61"/>
        <v>"%USERPROFILE%\Documents\GitHub\eaglep3\Utilities\RefineRTDCRunTimes.py" --tripid 212-06 --locoid 4010 --swversion DE.1.0.7.0 --startMP 204:233013 --initTime 2016-08-06T18:16:40 --startdatetime 2016-08-06T18:18:17 --delay 1 --endMP 204:154 --enddatetime 2016-08-06T19:08:03 --enforcementcount 0</v>
      </c>
    </row>
    <row r="126" spans="1:34" x14ac:dyDescent="0.25">
      <c r="A126" s="25" t="s">
        <v>752</v>
      </c>
      <c r="B126" s="134">
        <v>4042</v>
      </c>
      <c r="C126" s="135" t="s">
        <v>156</v>
      </c>
      <c r="D126" s="135" t="s">
        <v>289</v>
      </c>
      <c r="E126" s="136">
        <v>42588.736168981479</v>
      </c>
      <c r="F126" s="136">
        <v>42588.737951388888</v>
      </c>
      <c r="G126" s="134">
        <v>2</v>
      </c>
      <c r="H126" s="136" t="s">
        <v>753</v>
      </c>
      <c r="I126" s="136">
        <v>42588.765393518515</v>
      </c>
      <c r="J126" s="134">
        <v>0</v>
      </c>
      <c r="K126" s="25" t="str">
        <f t="shared" si="48"/>
        <v>4041/4042</v>
      </c>
      <c r="L126" s="25" t="str">
        <f>VLOOKUP(A126,'Trips&amp;Operators'!$C$1:$E$10000,3,FALSE)</f>
        <v>SHOOK</v>
      </c>
      <c r="M126" s="6">
        <f t="shared" si="49"/>
        <v>2.7442129627161194E-2</v>
      </c>
      <c r="N126" s="7">
        <f t="shared" si="63"/>
        <v>39.516666663112119</v>
      </c>
      <c r="O126" s="7"/>
      <c r="P126" s="7"/>
      <c r="Q126" s="26"/>
      <c r="R126" s="26"/>
      <c r="S126" s="38">
        <f t="shared" si="64"/>
        <v>1</v>
      </c>
      <c r="T126" s="55" t="str">
        <f t="shared" si="50"/>
        <v>NorthBound</v>
      </c>
      <c r="U126" s="15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16:40:05-0600',mode:absolute,to:'2016-08-06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26" s="57" t="str">
        <f t="shared" si="52"/>
        <v>N</v>
      </c>
      <c r="X126" s="145">
        <f t="shared" si="65"/>
        <v>1</v>
      </c>
      <c r="Y126" s="72">
        <f t="shared" si="54"/>
        <v>4.5100000000000001E-2</v>
      </c>
      <c r="Z126" s="72">
        <f t="shared" si="55"/>
        <v>23.337599999999998</v>
      </c>
      <c r="AA126" s="72">
        <f t="shared" si="56"/>
        <v>23.292499999999997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57"/>
        <v>0213-06</v>
      </c>
      <c r="AE126" s="115" t="str">
        <f t="shared" si="58"/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AF126" s="112" t="str">
        <f t="shared" si="59"/>
        <v>"C:\Program Files (x86)\AstroGrep\AstroGrep.exe" /spath="%USERPROFILE%\AppData\Local\Temp\OnboardLogs" /stypes="*4042*20160807*" /stext=" 00:.+((SYSTEM_STATE.+slice.+state.+changed )|(ment ac)|(system.+state.+changed )|(\|lc)|(penalty)|(\[timeout)|(PRM\|1\|D)|(kpr)|(kdp))" /e /r /s</v>
      </c>
      <c r="AG126" s="1" t="str">
        <f t="shared" si="60"/>
        <v>EC</v>
      </c>
      <c r="AH126" s="116" t="str">
        <f t="shared" si="61"/>
        <v>"%USERPROFILE%\Documents\GitHub\eaglep3\Utilities\RefineRTDCRunTimes.py" --tripid 213-06 --locoid 4042 --swversion DE.1.0.7.0 --startMP 204:451 --initTime 2016-08-06T17:40:05 --startdatetime 2016-08-06T17:42:39 --delay 2 --endMP 204:233376 --enddatetime 2016-08-06T18:22:10 --enforcementcount 0</v>
      </c>
    </row>
    <row r="127" spans="1:34" x14ac:dyDescent="0.25">
      <c r="A127" s="25" t="s">
        <v>754</v>
      </c>
      <c r="B127" s="134">
        <v>4041</v>
      </c>
      <c r="C127" s="135" t="s">
        <v>156</v>
      </c>
      <c r="D127" s="135" t="s">
        <v>755</v>
      </c>
      <c r="E127" s="136">
        <v>42588.7731712963</v>
      </c>
      <c r="F127" s="136">
        <v>42588.774363425924</v>
      </c>
      <c r="G127" s="134">
        <v>1</v>
      </c>
      <c r="H127" s="136" t="s">
        <v>137</v>
      </c>
      <c r="I127" s="136">
        <v>42588.805543981478</v>
      </c>
      <c r="J127" s="134">
        <v>0</v>
      </c>
      <c r="K127" s="25" t="str">
        <f t="shared" si="48"/>
        <v>4041/4042</v>
      </c>
      <c r="L127" s="25" t="str">
        <f>VLOOKUP(A127,'Trips&amp;Operators'!$C$1:$E$10000,3,FALSE)</f>
        <v>SHOOK</v>
      </c>
      <c r="M127" s="6">
        <f t="shared" si="49"/>
        <v>3.1180555553874001E-2</v>
      </c>
      <c r="N127" s="7">
        <f t="shared" si="63"/>
        <v>44.899999997578561</v>
      </c>
      <c r="O127" s="7"/>
      <c r="P127" s="7"/>
      <c r="Q127" s="26"/>
      <c r="R127" s="26"/>
      <c r="S127" s="38">
        <f t="shared" si="64"/>
        <v>1</v>
      </c>
      <c r="T127" s="55" t="str">
        <f t="shared" si="50"/>
        <v>Southbound</v>
      </c>
      <c r="U127" s="15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17:33:22-0600',mode:absolute,to:'2016-08-06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27" s="57" t="str">
        <f t="shared" si="52"/>
        <v>N</v>
      </c>
      <c r="X127" s="145">
        <f t="shared" ref="X127:X162" si="66">VALUE(LEFT(AD127,4))-VALUE(LEFT(AD126,4))</f>
        <v>1</v>
      </c>
      <c r="Y127" s="72">
        <f t="shared" si="54"/>
        <v>23.3049</v>
      </c>
      <c r="Z127" s="72">
        <f t="shared" si="55"/>
        <v>1.3899999999999999E-2</v>
      </c>
      <c r="AA127" s="72">
        <f t="shared" si="56"/>
        <v>23.291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57"/>
        <v>0214-06</v>
      </c>
      <c r="AE127" s="115" t="str">
        <f t="shared" si="58"/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AF127" s="112" t="str">
        <f t="shared" si="59"/>
        <v>"C:\Program Files (x86)\AstroGrep\AstroGrep.exe" /spath="%USERPROFILE%\AppData\Local\Temp\OnboardLogs" /stypes="*4041*20160807*" /stext=" 01:.+((SYSTEM_STATE.+slice.+state.+changed )|(ment ac)|(system.+state.+changed )|(\|lc)|(penalty)|(\[timeout)|(PRM\|1\|D)|(kpr)|(kdp))" /e /r /s</v>
      </c>
      <c r="AG127" s="1" t="str">
        <f t="shared" si="60"/>
        <v>EC</v>
      </c>
      <c r="AH127" s="116" t="str">
        <f t="shared" si="61"/>
        <v>"%USERPROFILE%\Documents\GitHub\eaglep3\Utilities\RefineRTDCRunTimes.py" --tripid 214-06 --locoid 4041 --swversion DE.1.0.7.0 --startMP 204:233049 --initTime 2016-08-06T18:33:22 --startdatetime 2016-08-06T18:35:05 --delay 1 --endMP 204:139 --enddatetime 2016-08-06T19:19:59 --enforcementcount 0</v>
      </c>
    </row>
    <row r="128" spans="1:34" x14ac:dyDescent="0.25">
      <c r="A128" s="25" t="s">
        <v>756</v>
      </c>
      <c r="B128" s="134">
        <v>4018</v>
      </c>
      <c r="C128" s="135" t="s">
        <v>156</v>
      </c>
      <c r="D128" s="135" t="s">
        <v>757</v>
      </c>
      <c r="E128" s="136">
        <v>42588.745462962965</v>
      </c>
      <c r="F128" s="136">
        <v>42588.746562499997</v>
      </c>
      <c r="G128" s="134">
        <v>1</v>
      </c>
      <c r="H128" s="136" t="s">
        <v>146</v>
      </c>
      <c r="I128" s="136">
        <v>42588.774861111109</v>
      </c>
      <c r="J128" s="134">
        <v>0</v>
      </c>
      <c r="K128" s="25" t="str">
        <f t="shared" si="48"/>
        <v>4017/4018</v>
      </c>
      <c r="L128" s="25" t="str">
        <f>VLOOKUP(A128,'Trips&amp;Operators'!$C$1:$E$10000,3,FALSE)</f>
        <v>DE LA ROSA</v>
      </c>
      <c r="M128" s="6">
        <f t="shared" si="49"/>
        <v>2.8298611112404615E-2</v>
      </c>
      <c r="N128" s="7">
        <f t="shared" si="63"/>
        <v>40.750000001862645</v>
      </c>
      <c r="O128" s="7"/>
      <c r="P128" s="7"/>
      <c r="Q128" s="26"/>
      <c r="R128" s="26"/>
      <c r="S128" s="38">
        <f t="shared" si="64"/>
        <v>1</v>
      </c>
      <c r="T128" s="55" t="str">
        <f t="shared" si="50"/>
        <v>NorthBound</v>
      </c>
      <c r="U128" s="15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16:53:28-0600',mode:absolute,to:'2016-08-06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28" s="57" t="str">
        <f t="shared" si="52"/>
        <v>N</v>
      </c>
      <c r="X128" s="145">
        <f t="shared" si="66"/>
        <v>1</v>
      </c>
      <c r="Y128" s="72">
        <f t="shared" si="54"/>
        <v>4.7300000000000002E-2</v>
      </c>
      <c r="Z128" s="72">
        <f t="shared" si="55"/>
        <v>23.3293</v>
      </c>
      <c r="AA128" s="72">
        <f t="shared" si="56"/>
        <v>23.282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57"/>
        <v>0215-06</v>
      </c>
      <c r="AE128" s="115" t="str">
        <f t="shared" si="58"/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AF128" s="112" t="str">
        <f t="shared" si="59"/>
        <v>"C:\Program Files (x86)\AstroGrep\AstroGrep.exe" /spath="%USERPROFILE%\AppData\Local\Temp\OnboardLogs" /stypes="*4018*20160807*" /stext=" 00:.+((SYSTEM_STATE.+slice.+state.+changed )|(ment ac)|(system.+state.+changed )|(\|lc)|(penalty)|(\[timeout)|(PRM\|1\|D)|(kpr)|(kdp))" /e /r /s</v>
      </c>
      <c r="AG128" s="1" t="str">
        <f t="shared" si="60"/>
        <v>EC</v>
      </c>
      <c r="AH128" s="116" t="str">
        <f t="shared" si="61"/>
        <v>"%USERPROFILE%\Documents\GitHub\eaglep3\Utilities\RefineRTDCRunTimes.py" --tripid 215-06 --locoid 4018 --swversion DE.1.0.7.0 --startMP 204:473 --initTime 2016-08-06T17:53:28 --startdatetime 2016-08-06T17:55:03 --delay 1 --endMP 204:233293 --enddatetime 2016-08-06T18:35:48 --enforcementcount 0</v>
      </c>
    </row>
    <row r="129" spans="1:34" x14ac:dyDescent="0.25">
      <c r="A129" s="25" t="s">
        <v>758</v>
      </c>
      <c r="B129" s="134">
        <v>4017</v>
      </c>
      <c r="C129" s="135" t="s">
        <v>156</v>
      </c>
      <c r="D129" s="135" t="s">
        <v>620</v>
      </c>
      <c r="E129" s="136">
        <v>42588.784456018519</v>
      </c>
      <c r="F129" s="136">
        <v>42588.785601851851</v>
      </c>
      <c r="G129" s="134">
        <v>1</v>
      </c>
      <c r="H129" s="136" t="s">
        <v>759</v>
      </c>
      <c r="I129" s="136">
        <v>42588.815960648149</v>
      </c>
      <c r="J129" s="134">
        <v>0</v>
      </c>
      <c r="K129" s="25" t="str">
        <f t="shared" si="48"/>
        <v>4017/4018</v>
      </c>
      <c r="L129" s="25" t="str">
        <f>VLOOKUP(A129,'Trips&amp;Operators'!$C$1:$E$10000,3,FALSE)</f>
        <v>DE LA ROSA</v>
      </c>
      <c r="M129" s="6">
        <f t="shared" si="49"/>
        <v>3.0358796298969537E-2</v>
      </c>
      <c r="N129" s="7">
        <f t="shared" si="63"/>
        <v>43.716666670516133</v>
      </c>
      <c r="O129" s="7"/>
      <c r="P129" s="7"/>
      <c r="Q129" s="26"/>
      <c r="R129" s="26"/>
      <c r="S129" s="38">
        <f t="shared" si="64"/>
        <v>1</v>
      </c>
      <c r="T129" s="55" t="str">
        <f t="shared" si="50"/>
        <v>Southbound</v>
      </c>
      <c r="U129" s="15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17:49:37-0600',mode:absolute,to:'2016-08-06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29" s="57" t="str">
        <f t="shared" si="52"/>
        <v>N</v>
      </c>
      <c r="X129" s="145">
        <f t="shared" si="66"/>
        <v>1</v>
      </c>
      <c r="Y129" s="72">
        <f t="shared" si="54"/>
        <v>23.297599999999999</v>
      </c>
      <c r="Z129" s="72">
        <f t="shared" si="55"/>
        <v>9.0899999999999995E-2</v>
      </c>
      <c r="AA129" s="72">
        <f t="shared" si="56"/>
        <v>23.206699999999998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57"/>
        <v>0216-06</v>
      </c>
      <c r="AE129" s="115" t="str">
        <f t="shared" si="58"/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AF129" s="112" t="str">
        <f t="shared" si="59"/>
        <v>"C:\Program Files (x86)\AstroGrep\AstroGrep.exe" /spath="%USERPROFILE%\AppData\Local\Temp\OnboardLogs" /stypes="*4017*20160807*" /stext=" 01:.+((SYSTEM_STATE.+slice.+state.+changed )|(ment ac)|(system.+state.+changed )|(\|lc)|(penalty)|(\[timeout)|(PRM\|1\|D)|(kpr)|(kdp))" /e /r /s</v>
      </c>
      <c r="AG129" s="1" t="str">
        <f t="shared" si="60"/>
        <v>EC</v>
      </c>
      <c r="AH129" s="116" t="str">
        <f t="shared" si="61"/>
        <v>"%USERPROFILE%\Documents\GitHub\eaglep3\Utilities\RefineRTDCRunTimes.py" --tripid 216-06 --locoid 4017 --swversion DE.1.0.7.0 --startMP 204:232976 --initTime 2016-08-06T18:49:37 --startdatetime 2016-08-06T18:51:16 --delay 1 --endMP 204:909 --enddatetime 2016-08-06T19:34:59 --enforcementcount 0</v>
      </c>
    </row>
    <row r="130" spans="1:34" x14ac:dyDescent="0.25">
      <c r="A130" s="25" t="s">
        <v>760</v>
      </c>
      <c r="B130" s="134">
        <v>4014</v>
      </c>
      <c r="C130" s="135" t="s">
        <v>156</v>
      </c>
      <c r="D130" s="135" t="s">
        <v>366</v>
      </c>
      <c r="E130" s="136">
        <v>42588.759583333333</v>
      </c>
      <c r="F130" s="136">
        <v>42588.76021990741</v>
      </c>
      <c r="G130" s="134">
        <v>0</v>
      </c>
      <c r="H130" s="136" t="s">
        <v>146</v>
      </c>
      <c r="I130" s="136">
        <v>42588.786446759259</v>
      </c>
      <c r="J130" s="134">
        <v>0</v>
      </c>
      <c r="K130" s="25" t="str">
        <f t="shared" si="48"/>
        <v>4013/4014</v>
      </c>
      <c r="L130" s="25" t="str">
        <f>VLOOKUP(A130,'Trips&amp;Operators'!$C$1:$E$10000,3,FALSE)</f>
        <v>CHANDLER</v>
      </c>
      <c r="M130" s="6">
        <f t="shared" si="49"/>
        <v>2.622685184906004E-2</v>
      </c>
      <c r="N130" s="7">
        <f t="shared" si="63"/>
        <v>37.766666662646458</v>
      </c>
      <c r="O130" s="7"/>
      <c r="P130" s="7"/>
      <c r="Q130" s="26"/>
      <c r="R130" s="26"/>
      <c r="S130" s="38">
        <f t="shared" si="64"/>
        <v>1</v>
      </c>
      <c r="T130" s="55" t="str">
        <f t="shared" si="50"/>
        <v>NorthBound</v>
      </c>
      <c r="U130" s="15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17:13:48-0600',mode:absolute,to:'2016-08-06 19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30" s="57" t="str">
        <f t="shared" si="52"/>
        <v>N</v>
      </c>
      <c r="X130" s="145">
        <f t="shared" si="66"/>
        <v>1</v>
      </c>
      <c r="Y130" s="72">
        <f t="shared" si="54"/>
        <v>4.6899999999999997E-2</v>
      </c>
      <c r="Z130" s="72">
        <f t="shared" si="55"/>
        <v>23.3293</v>
      </c>
      <c r="AA130" s="72">
        <f t="shared" si="56"/>
        <v>23.282399999999999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57"/>
        <v>0217-06</v>
      </c>
      <c r="AE130" s="115" t="str">
        <f t="shared" si="58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130" s="112" t="str">
        <f t="shared" si="59"/>
        <v>"C:\Program Files (x86)\AstroGrep\AstroGrep.exe" /spath="%USERPROFILE%\AppData\Local\Temp\OnboardLogs" /stypes="*4014*20160807*" /stext=" 00:.+((SYSTEM_STATE.+slice.+state.+changed )|(ment ac)|(system.+state.+changed )|(\|lc)|(penalty)|(\[timeout)|(PRM\|1\|D)|(kpr)|(kdp))" /e /r /s</v>
      </c>
      <c r="AG130" s="1" t="str">
        <f t="shared" si="60"/>
        <v>EC</v>
      </c>
      <c r="AH130" s="116" t="str">
        <f t="shared" si="61"/>
        <v>"%USERPROFILE%\Documents\GitHub\eaglep3\Utilities\RefineRTDCRunTimes.py" --tripid 217-06 --locoid 4014 --swversion DE.1.0.7.0 --startMP 204:469 --initTime 2016-08-06T18:13:48 --startdatetime 2016-08-06T18:14:43 --delay 0 --endMP 204:233293 --enddatetime 2016-08-06T18:52:29 --enforcementcount 0</v>
      </c>
    </row>
    <row r="131" spans="1:34" x14ac:dyDescent="0.25">
      <c r="A131" s="25" t="s">
        <v>761</v>
      </c>
      <c r="B131" s="134">
        <v>4013</v>
      </c>
      <c r="C131" s="135" t="s">
        <v>156</v>
      </c>
      <c r="D131" s="135" t="s">
        <v>543</v>
      </c>
      <c r="E131" s="136">
        <v>42588.794050925928</v>
      </c>
      <c r="F131" s="136">
        <v>42588.796701388892</v>
      </c>
      <c r="G131" s="134">
        <v>3</v>
      </c>
      <c r="H131" s="136" t="s">
        <v>578</v>
      </c>
      <c r="I131" s="136">
        <v>42588.826851851853</v>
      </c>
      <c r="J131" s="134">
        <v>0</v>
      </c>
      <c r="K131" s="25" t="str">
        <f t="shared" si="48"/>
        <v>4013/4014</v>
      </c>
      <c r="L131" s="25" t="str">
        <f>VLOOKUP(A131,'Trips&amp;Operators'!$C$1:$E$10000,3,FALSE)</f>
        <v>CHANDLER</v>
      </c>
      <c r="M131" s="6">
        <f t="shared" si="49"/>
        <v>3.015046296059154E-2</v>
      </c>
      <c r="N131" s="7">
        <f t="shared" si="63"/>
        <v>43.416666663251817</v>
      </c>
      <c r="O131" s="7"/>
      <c r="P131" s="7"/>
      <c r="Q131" s="26"/>
      <c r="R131" s="26"/>
      <c r="S131" s="38">
        <f t="shared" si="64"/>
        <v>1</v>
      </c>
      <c r="T131" s="55" t="str">
        <f t="shared" si="50"/>
        <v>Southbound</v>
      </c>
      <c r="U131" s="15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18:03:26-0600',mode:absolute,to:'2016-08-06 20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1" s="57" t="str">
        <f t="shared" si="52"/>
        <v>N</v>
      </c>
      <c r="X131" s="145">
        <f t="shared" si="66"/>
        <v>1</v>
      </c>
      <c r="Y131" s="72">
        <f t="shared" si="54"/>
        <v>23.296900000000001</v>
      </c>
      <c r="Z131" s="72">
        <f t="shared" si="55"/>
        <v>1.4500000000000001E-2</v>
      </c>
      <c r="AA131" s="72">
        <f t="shared" si="56"/>
        <v>23.282399999999999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57"/>
        <v>0218-06</v>
      </c>
      <c r="AE131" s="115" t="str">
        <f t="shared" si="58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31" s="112" t="str">
        <f t="shared" si="59"/>
        <v>"C:\Program Files (x86)\AstroGrep\AstroGrep.exe" /spath="%USERPROFILE%\AppData\Local\Temp\OnboardLogs" /stypes="*4013*20160807*" /stext=" 01:.+((SYSTEM_STATE.+slice.+state.+changed )|(ment ac)|(system.+state.+changed )|(\|lc)|(penalty)|(\[timeout)|(PRM\|1\|D)|(kpr)|(kdp))" /e /r /s</v>
      </c>
      <c r="AG131" s="1" t="str">
        <f t="shared" si="60"/>
        <v>EC</v>
      </c>
      <c r="AH131" s="116" t="str">
        <f t="shared" si="61"/>
        <v>"%USERPROFILE%\Documents\GitHub\eaglep3\Utilities\RefineRTDCRunTimes.py" --tripid 218-06 --locoid 4013 --swversion DE.1.0.7.0 --startMP 204:232969 --initTime 2016-08-06T19:03:26 --startdatetime 2016-08-06T19:07:15 --delay 3 --endMP 204:145 --enddatetime 2016-08-06T19:50:40 --enforcementcount 0</v>
      </c>
    </row>
    <row r="132" spans="1:34" x14ac:dyDescent="0.25">
      <c r="A132" s="25" t="s">
        <v>762</v>
      </c>
      <c r="B132" s="134">
        <v>4031</v>
      </c>
      <c r="C132" s="135" t="s">
        <v>156</v>
      </c>
      <c r="D132" s="135" t="s">
        <v>300</v>
      </c>
      <c r="E132" s="136">
        <v>42588.762928240743</v>
      </c>
      <c r="F132" s="136">
        <v>42588.7658912037</v>
      </c>
      <c r="G132" s="134">
        <v>4</v>
      </c>
      <c r="H132" s="136" t="s">
        <v>146</v>
      </c>
      <c r="I132" s="136">
        <v>42588.796643518515</v>
      </c>
      <c r="J132" s="134">
        <v>0</v>
      </c>
      <c r="K132" s="25" t="str">
        <f t="shared" si="48"/>
        <v>4031/4032</v>
      </c>
      <c r="L132" s="25" t="str">
        <f>VLOOKUP(A132,'Trips&amp;Operators'!$C$1:$E$10000,3,FALSE)</f>
        <v>STAMBAUGH</v>
      </c>
      <c r="M132" s="6">
        <f t="shared" si="49"/>
        <v>3.0752314814890269E-2</v>
      </c>
      <c r="N132" s="7">
        <f t="shared" si="63"/>
        <v>44.283333333441988</v>
      </c>
      <c r="O132" s="7"/>
      <c r="P132" s="7"/>
      <c r="Q132" s="26"/>
      <c r="R132" s="26"/>
      <c r="S132" s="38">
        <f t="shared" si="64"/>
        <v>1</v>
      </c>
      <c r="T132" s="55" t="str">
        <f t="shared" si="50"/>
        <v>NorthBound</v>
      </c>
      <c r="U132" s="15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17:18:37-0600',mode:absolute,to:'2016-08-06 20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32" s="57" t="str">
        <f t="shared" si="52"/>
        <v>N</v>
      </c>
      <c r="X132" s="145">
        <f t="shared" si="66"/>
        <v>1</v>
      </c>
      <c r="Y132" s="72">
        <f t="shared" si="54"/>
        <v>4.5699999999999998E-2</v>
      </c>
      <c r="Z132" s="72">
        <f t="shared" si="55"/>
        <v>23.3293</v>
      </c>
      <c r="AA132" s="72">
        <f t="shared" si="56"/>
        <v>23.2836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57"/>
        <v>0219-06</v>
      </c>
      <c r="AE132" s="115" t="str">
        <f t="shared" si="58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132" s="112" t="str">
        <f t="shared" si="59"/>
        <v>"C:\Program Files (x86)\AstroGrep\AstroGrep.exe" /spath="%USERPROFILE%\AppData\Local\Temp\OnboardLogs" /stypes="*4031*20160807*" /stext=" 01:.+((SYSTEM_STATE.+slice.+state.+changed )|(ment ac)|(system.+state.+changed )|(\|lc)|(penalty)|(\[timeout)|(PRM\|1\|D)|(kpr)|(kdp))" /e /r /s</v>
      </c>
      <c r="AG132" s="1" t="str">
        <f t="shared" si="60"/>
        <v>EC</v>
      </c>
      <c r="AH132" s="116" t="str">
        <f t="shared" si="61"/>
        <v>"%USERPROFILE%\Documents\GitHub\eaglep3\Utilities\RefineRTDCRunTimes.py" --tripid 219-06 --locoid 4031 --swversion DE.1.0.7.0 --startMP 204:457 --initTime 2016-08-06T18:18:37 --startdatetime 2016-08-06T18:22:53 --delay 4 --endMP 204:233293 --enddatetime 2016-08-06T19:07:10 --enforcementcount 0</v>
      </c>
    </row>
    <row r="133" spans="1:34" x14ac:dyDescent="0.25">
      <c r="A133" s="25" t="s">
        <v>763</v>
      </c>
      <c r="B133" s="134">
        <v>4032</v>
      </c>
      <c r="C133" s="135" t="s">
        <v>156</v>
      </c>
      <c r="D133" s="135" t="s">
        <v>764</v>
      </c>
      <c r="E133" s="136">
        <v>42588.808379629627</v>
      </c>
      <c r="F133" s="136">
        <v>42588.809502314813</v>
      </c>
      <c r="G133" s="134">
        <v>1</v>
      </c>
      <c r="H133" s="136" t="s">
        <v>572</v>
      </c>
      <c r="I133" s="136">
        <v>42588.83734953704</v>
      </c>
      <c r="J133" s="134">
        <v>0</v>
      </c>
      <c r="K133" s="25" t="str">
        <f t="shared" si="48"/>
        <v>4031/4032</v>
      </c>
      <c r="L133" s="25" t="str">
        <f>VLOOKUP(A133,'Trips&amp;Operators'!$C$1:$E$10000,3,FALSE)</f>
        <v>STAMBAUGH</v>
      </c>
      <c r="M133" s="6">
        <f t="shared" si="49"/>
        <v>2.7847222227137536E-2</v>
      </c>
      <c r="N133" s="7">
        <f t="shared" si="63"/>
        <v>40.100000007078052</v>
      </c>
      <c r="O133" s="7"/>
      <c r="P133" s="7"/>
      <c r="Q133" s="26"/>
      <c r="R133" s="26"/>
      <c r="S133" s="38">
        <f t="shared" si="64"/>
        <v>1</v>
      </c>
      <c r="T133" s="55" t="str">
        <f t="shared" si="50"/>
        <v>Southbound</v>
      </c>
      <c r="U133" s="15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18:24:04-0600',mode:absolute,to:'2016-08-06 21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33" s="57" t="str">
        <f t="shared" si="52"/>
        <v>N</v>
      </c>
      <c r="X133" s="145">
        <f t="shared" si="66"/>
        <v>1</v>
      </c>
      <c r="Y133" s="72">
        <f t="shared" si="54"/>
        <v>23.299099999999999</v>
      </c>
      <c r="Z133" s="72">
        <f t="shared" si="55"/>
        <v>1.54E-2</v>
      </c>
      <c r="AA133" s="72">
        <f t="shared" si="56"/>
        <v>23.2837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57"/>
        <v>0220-06</v>
      </c>
      <c r="AE133" s="115" t="str">
        <f t="shared" si="58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33" s="112" t="str">
        <f t="shared" si="59"/>
        <v>"C:\Program Files (x86)\AstroGrep\AstroGrep.exe" /spath="%USERPROFILE%\AppData\Local\Temp\OnboardLogs" /stypes="*4032*20160807*" /stext=" 02:.+((SYSTEM_STATE.+slice.+state.+changed )|(ment ac)|(system.+state.+changed )|(\|lc)|(penalty)|(\[timeout)|(PRM\|1\|D)|(kpr)|(kdp))" /e /r /s</v>
      </c>
      <c r="AG133" s="1" t="str">
        <f t="shared" si="60"/>
        <v>EC</v>
      </c>
      <c r="AH133" s="116" t="str">
        <f t="shared" si="61"/>
        <v>"%USERPROFILE%\Documents\GitHub\eaglep3\Utilities\RefineRTDCRunTimes.py" --tripid 220-06 --locoid 4032 --swversion DE.1.0.7.0 --startMP 204:232991 --initTime 2016-08-06T19:24:04 --startdatetime 2016-08-06T19:25:41 --delay 1 --endMP 204:154 --enddatetime 2016-08-06T20:05:47 --enforcementcount 0</v>
      </c>
    </row>
    <row r="134" spans="1:34" x14ac:dyDescent="0.25">
      <c r="A134" s="25" t="s">
        <v>765</v>
      </c>
      <c r="B134" s="134">
        <v>4011</v>
      </c>
      <c r="C134" s="135" t="s">
        <v>156</v>
      </c>
      <c r="D134" s="135" t="s">
        <v>289</v>
      </c>
      <c r="E134" s="136">
        <v>42588.780555555553</v>
      </c>
      <c r="F134" s="136">
        <v>42588.782094907408</v>
      </c>
      <c r="G134" s="134">
        <v>2</v>
      </c>
      <c r="H134" s="136" t="s">
        <v>541</v>
      </c>
      <c r="I134" s="136">
        <v>42588.817523148151</v>
      </c>
      <c r="J134" s="134">
        <v>0</v>
      </c>
      <c r="K134" s="25" t="str">
        <f t="shared" si="48"/>
        <v>4011/4012</v>
      </c>
      <c r="L134" s="25" t="str">
        <f>VLOOKUP(A134,'Trips&amp;Operators'!$C$1:$E$10000,3,FALSE)</f>
        <v>ARNOLD</v>
      </c>
      <c r="M134" s="6">
        <f t="shared" si="49"/>
        <v>3.5428240742476191E-2</v>
      </c>
      <c r="N134" s="7">
        <f t="shared" si="63"/>
        <v>51.016666669165716</v>
      </c>
      <c r="O134" s="7"/>
      <c r="P134" s="7"/>
      <c r="Q134" s="26"/>
      <c r="R134" s="26"/>
      <c r="S134" s="38">
        <f t="shared" si="64"/>
        <v>1</v>
      </c>
      <c r="T134" s="55" t="str">
        <f t="shared" si="50"/>
        <v>NorthBound</v>
      </c>
      <c r="U134" s="15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17:44:00-0600',mode:absolute,to:'2016-08-06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34" s="57" t="str">
        <f t="shared" si="52"/>
        <v>N</v>
      </c>
      <c r="X134" s="145">
        <f t="shared" si="66"/>
        <v>1</v>
      </c>
      <c r="Y134" s="72">
        <f t="shared" si="54"/>
        <v>4.5100000000000001E-2</v>
      </c>
      <c r="Z134" s="72">
        <f t="shared" si="55"/>
        <v>23.328900000000001</v>
      </c>
      <c r="AA134" s="72">
        <f t="shared" si="56"/>
        <v>23.283799999999999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57"/>
        <v>0221-06</v>
      </c>
      <c r="AE134" s="115" t="str">
        <f t="shared" si="58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34" s="112" t="str">
        <f t="shared" si="59"/>
        <v>"C:\Program Files (x86)\AstroGrep\AstroGrep.exe" /spath="%USERPROFILE%\AppData\Local\Temp\OnboardLogs" /stypes="*4011*20160807*" /stext=" 01:.+((SYSTEM_STATE.+slice.+state.+changed )|(ment ac)|(system.+state.+changed )|(\|lc)|(penalty)|(\[timeout)|(PRM\|1\|D)|(kpr)|(kdp))" /e /r /s</v>
      </c>
      <c r="AG134" s="1" t="str">
        <f t="shared" si="60"/>
        <v>EC</v>
      </c>
      <c r="AH134" s="116" t="str">
        <f t="shared" si="61"/>
        <v>"%USERPROFILE%\Documents\GitHub\eaglep3\Utilities\RefineRTDCRunTimes.py" --tripid 221-06 --locoid 4011 --swversion DE.1.0.7.0 --startMP 204:451 --initTime 2016-08-06T18:44:00 --startdatetime 2016-08-06T18:46:13 --delay 2 --endMP 204:233289 --enddatetime 2016-08-06T19:37:14 --enforcementcount 0</v>
      </c>
    </row>
    <row r="135" spans="1:34" x14ac:dyDescent="0.25">
      <c r="A135" s="25" t="s">
        <v>766</v>
      </c>
      <c r="B135" s="134">
        <v>4012</v>
      </c>
      <c r="C135" s="135" t="s">
        <v>156</v>
      </c>
      <c r="D135" s="135" t="s">
        <v>64</v>
      </c>
      <c r="E135" s="136">
        <v>42588.824548611112</v>
      </c>
      <c r="F135" s="136">
        <v>42588.825648148151</v>
      </c>
      <c r="G135" s="134">
        <v>1</v>
      </c>
      <c r="H135" s="136" t="s">
        <v>137</v>
      </c>
      <c r="I135" s="136">
        <v>42588.857951388891</v>
      </c>
      <c r="J135" s="134">
        <v>0</v>
      </c>
      <c r="K135" s="25" t="str">
        <f t="shared" si="48"/>
        <v>4011/4012</v>
      </c>
      <c r="L135" s="25" t="str">
        <f>VLOOKUP(A135,'Trips&amp;Operators'!$C$1:$E$10000,3,FALSE)</f>
        <v>ARNOLD</v>
      </c>
      <c r="M135" s="6">
        <f t="shared" si="49"/>
        <v>3.2303240739565808E-2</v>
      </c>
      <c r="N135" s="7">
        <f t="shared" si="63"/>
        <v>46.516666664974764</v>
      </c>
      <c r="O135" s="7"/>
      <c r="P135" s="7"/>
      <c r="Q135" s="26"/>
      <c r="R135" s="26"/>
      <c r="S135" s="38">
        <f t="shared" si="64"/>
        <v>1</v>
      </c>
      <c r="T135" s="55" t="str">
        <f t="shared" si="50"/>
        <v>Southbound</v>
      </c>
      <c r="U135" s="15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18:47:21-0600',mode:absolute,to:'2016-08-06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35" s="57" t="str">
        <f t="shared" si="52"/>
        <v>N</v>
      </c>
      <c r="X135" s="145">
        <f t="shared" si="66"/>
        <v>1</v>
      </c>
      <c r="Y135" s="72">
        <f t="shared" si="54"/>
        <v>23.297699999999999</v>
      </c>
      <c r="Z135" s="72">
        <f t="shared" si="55"/>
        <v>1.3899999999999999E-2</v>
      </c>
      <c r="AA135" s="72">
        <f t="shared" si="56"/>
        <v>23.283799999999999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57"/>
        <v>0222-06</v>
      </c>
      <c r="AE135" s="115" t="str">
        <f t="shared" si="58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135" s="112" t="str">
        <f t="shared" si="59"/>
        <v>"C:\Program Files (x86)\AstroGrep\AstroGrep.exe" /spath="%USERPROFILE%\AppData\Local\Temp\OnboardLogs" /stypes="*4012*20160807*" /stext=" 02:.+((SYSTEM_STATE.+slice.+state.+changed )|(ment ac)|(system.+state.+changed )|(\|lc)|(penalty)|(\[timeout)|(PRM\|1\|D)|(kpr)|(kdp))" /e /r /s</v>
      </c>
      <c r="AG135" s="1" t="str">
        <f t="shared" si="60"/>
        <v>EC</v>
      </c>
      <c r="AH135" s="116" t="str">
        <f t="shared" si="61"/>
        <v>"%USERPROFILE%\Documents\GitHub\eaglep3\Utilities\RefineRTDCRunTimes.py" --tripid 222-06 --locoid 4012 --swversion DE.1.0.7.0 --startMP 204:232977 --initTime 2016-08-06T19:47:21 --startdatetime 2016-08-06T19:48:56 --delay 1 --endMP 204:139 --enddatetime 2016-08-06T20:35:27 --enforcementcount 0</v>
      </c>
    </row>
    <row r="136" spans="1:34" x14ac:dyDescent="0.25">
      <c r="A136" s="25" t="s">
        <v>767</v>
      </c>
      <c r="B136" s="134">
        <v>4009</v>
      </c>
      <c r="C136" s="135" t="s">
        <v>156</v>
      </c>
      <c r="D136" s="135" t="s">
        <v>300</v>
      </c>
      <c r="E136" s="136">
        <v>42588.800173611111</v>
      </c>
      <c r="F136" s="136">
        <v>42588.80232638889</v>
      </c>
      <c r="G136" s="134">
        <v>3</v>
      </c>
      <c r="H136" s="136" t="s">
        <v>537</v>
      </c>
      <c r="I136" s="136">
        <v>42588.837094907409</v>
      </c>
      <c r="J136" s="134">
        <v>0</v>
      </c>
      <c r="K136" s="25" t="str">
        <f t="shared" si="48"/>
        <v>4009/4010</v>
      </c>
      <c r="L136" s="25" t="str">
        <f>VLOOKUP(A136,'Trips&amp;Operators'!$C$1:$E$10000,3,FALSE)</f>
        <v>NEWELL</v>
      </c>
      <c r="M136" s="6">
        <f t="shared" si="49"/>
        <v>3.4768518518831115E-2</v>
      </c>
      <c r="N136" s="7">
        <f t="shared" si="63"/>
        <v>50.066666667116806</v>
      </c>
      <c r="O136" s="7"/>
      <c r="P136" s="7"/>
      <c r="Q136" s="26"/>
      <c r="R136" s="26"/>
      <c r="S136" s="38">
        <f t="shared" si="64"/>
        <v>1</v>
      </c>
      <c r="T136" s="55" t="str">
        <f t="shared" si="50"/>
        <v>NorthBound</v>
      </c>
      <c r="U136" s="15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18:12:15-0600',mode:absolute,to:'2016-08-06 21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36" s="57" t="str">
        <f t="shared" si="52"/>
        <v>N</v>
      </c>
      <c r="X136" s="145">
        <f t="shared" si="66"/>
        <v>1</v>
      </c>
      <c r="Y136" s="72">
        <f t="shared" si="54"/>
        <v>4.5699999999999998E-2</v>
      </c>
      <c r="Z136" s="72">
        <f t="shared" si="55"/>
        <v>23.334399999999999</v>
      </c>
      <c r="AA136" s="72">
        <f t="shared" si="56"/>
        <v>23.288699999999999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57"/>
        <v>0223-06</v>
      </c>
      <c r="AE136" s="115" t="str">
        <f t="shared" si="58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136" s="112" t="str">
        <f t="shared" si="59"/>
        <v>"C:\Program Files (x86)\AstroGrep\AstroGrep.exe" /spath="%USERPROFILE%\AppData\Local\Temp\OnboardLogs" /stypes="*4009*20160807*" /stext=" 02:.+((SYSTEM_STATE.+slice.+state.+changed )|(ment ac)|(system.+state.+changed )|(\|lc)|(penalty)|(\[timeout)|(PRM\|1\|D)|(kpr)|(kdp))" /e /r /s</v>
      </c>
      <c r="AG136" s="1" t="str">
        <f t="shared" si="60"/>
        <v>EC</v>
      </c>
      <c r="AH136" s="116" t="str">
        <f t="shared" si="61"/>
        <v>"%USERPROFILE%\Documents\GitHub\eaglep3\Utilities\RefineRTDCRunTimes.py" --tripid 223-06 --locoid 4009 --swversion DE.1.0.7.0 --startMP 204:457 --initTime 2016-08-06T19:12:15 --startdatetime 2016-08-06T19:15:21 --delay 3 --endMP 204:233344 --enddatetime 2016-08-06T20:05:25 --enforcementcount 0</v>
      </c>
    </row>
    <row r="137" spans="1:34" x14ac:dyDescent="0.25">
      <c r="A137" s="25" t="s">
        <v>768</v>
      </c>
      <c r="B137" s="134">
        <v>4010</v>
      </c>
      <c r="C137" s="135" t="s">
        <v>156</v>
      </c>
      <c r="D137" s="135" t="s">
        <v>769</v>
      </c>
      <c r="E137" s="136">
        <v>42588.84175925926</v>
      </c>
      <c r="F137" s="136">
        <v>42588.842627314814</v>
      </c>
      <c r="G137" s="134">
        <v>1</v>
      </c>
      <c r="H137" s="136" t="s">
        <v>770</v>
      </c>
      <c r="I137" s="136">
        <v>42588.878391203703</v>
      </c>
      <c r="J137" s="134">
        <v>0</v>
      </c>
      <c r="K137" s="25" t="str">
        <f t="shared" si="48"/>
        <v>4009/4010</v>
      </c>
      <c r="L137" s="25" t="str">
        <f>VLOOKUP(A137,'Trips&amp;Operators'!$C$1:$E$10000,3,FALSE)</f>
        <v>NEWELL</v>
      </c>
      <c r="M137" s="6">
        <f t="shared" si="49"/>
        <v>3.5763888889050577E-2</v>
      </c>
      <c r="N137" s="7">
        <f t="shared" si="63"/>
        <v>51.500000000232831</v>
      </c>
      <c r="O137" s="7"/>
      <c r="P137" s="7"/>
      <c r="Q137" s="26"/>
      <c r="R137" s="26"/>
      <c r="S137" s="38">
        <f t="shared" si="64"/>
        <v>1</v>
      </c>
      <c r="T137" s="55" t="str">
        <f t="shared" si="50"/>
        <v>Southbound</v>
      </c>
      <c r="U137" s="15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19:12:08-0600',mode:absolute,to:'2016-08-06 22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37" s="57" t="str">
        <f t="shared" si="52"/>
        <v>N</v>
      </c>
      <c r="X137" s="145">
        <f t="shared" si="66"/>
        <v>1</v>
      </c>
      <c r="Y137" s="72">
        <f t="shared" si="54"/>
        <v>23.304500000000001</v>
      </c>
      <c r="Z137" s="72">
        <f t="shared" si="55"/>
        <v>1.12E-2</v>
      </c>
      <c r="AA137" s="72">
        <f t="shared" si="56"/>
        <v>23.293300000000002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57"/>
        <v>0224-06</v>
      </c>
      <c r="AE137" s="115" t="str">
        <f t="shared" si="58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37" s="112" t="str">
        <f t="shared" si="59"/>
        <v>"C:\Program Files (x86)\AstroGrep\AstroGrep.exe" /spath="%USERPROFILE%\AppData\Local\Temp\OnboardLogs" /stypes="*4010*20160807*" /stext=" 03:.+((SYSTEM_STATE.+slice.+state.+changed )|(ment ac)|(system.+state.+changed )|(\|lc)|(penalty)|(\[timeout)|(PRM\|1\|D)|(kpr)|(kdp))" /e /r /s</v>
      </c>
      <c r="AG137" s="1" t="str">
        <f t="shared" si="60"/>
        <v>EC</v>
      </c>
      <c r="AH137" s="116" t="str">
        <f t="shared" si="61"/>
        <v>"%USERPROFILE%\Documents\GitHub\eaglep3\Utilities\RefineRTDCRunTimes.py" --tripid 224-06 --locoid 4010 --swversion DE.1.0.7.0 --startMP 204:233045 --initTime 2016-08-06T20:12:08 --startdatetime 2016-08-06T20:13:23 --delay 1 --endMP 204:112 --enddatetime 2016-08-06T21:04:53 --enforcementcount 0</v>
      </c>
    </row>
    <row r="138" spans="1:34" x14ac:dyDescent="0.25">
      <c r="A138" s="25" t="s">
        <v>771</v>
      </c>
      <c r="B138" s="134">
        <v>4014</v>
      </c>
      <c r="C138" s="135" t="s">
        <v>156</v>
      </c>
      <c r="D138" s="135" t="s">
        <v>300</v>
      </c>
      <c r="E138" s="136">
        <v>42588.833194444444</v>
      </c>
      <c r="F138" s="136">
        <v>42588.834189814814</v>
      </c>
      <c r="G138" s="134">
        <v>1</v>
      </c>
      <c r="H138" s="136" t="s">
        <v>541</v>
      </c>
      <c r="I138" s="136">
        <v>42588.858611111114</v>
      </c>
      <c r="J138" s="134">
        <v>0</v>
      </c>
      <c r="K138" s="25" t="str">
        <f t="shared" si="48"/>
        <v>4013/4014</v>
      </c>
      <c r="L138" s="25" t="str">
        <f>VLOOKUP(A138,'Trips&amp;Operators'!$C$1:$E$10000,3,FALSE)</f>
        <v>CHANDLER</v>
      </c>
      <c r="M138" s="6">
        <f t="shared" si="49"/>
        <v>2.4421296300715767E-2</v>
      </c>
      <c r="N138" s="7">
        <f t="shared" si="63"/>
        <v>35.166666673030704</v>
      </c>
      <c r="O138" s="7"/>
      <c r="P138" s="7"/>
      <c r="Q138" s="26"/>
      <c r="R138" s="26"/>
      <c r="S138" s="38">
        <f t="shared" si="64"/>
        <v>1</v>
      </c>
      <c r="T138" s="55" t="str">
        <f t="shared" si="50"/>
        <v>NorthBound</v>
      </c>
      <c r="U138" s="15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18:59:48-0600',mode:absolute,to:'2016-08-06 21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38" s="57" t="str">
        <f t="shared" si="52"/>
        <v>N</v>
      </c>
      <c r="X138" s="145">
        <f t="shared" si="66"/>
        <v>1</v>
      </c>
      <c r="Y138" s="72">
        <f t="shared" si="54"/>
        <v>4.5699999999999998E-2</v>
      </c>
      <c r="Z138" s="72">
        <f t="shared" si="55"/>
        <v>23.328900000000001</v>
      </c>
      <c r="AA138" s="72">
        <f t="shared" si="56"/>
        <v>23.283200000000001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57"/>
        <v>0225-06</v>
      </c>
      <c r="AE138" s="115" t="str">
        <f t="shared" si="58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138" s="112" t="str">
        <f t="shared" si="59"/>
        <v>"C:\Program Files (x86)\AstroGrep\AstroGrep.exe" /spath="%USERPROFILE%\AppData\Local\Temp\OnboardLogs" /stypes="*4014*20160807*" /stext=" 02:.+((SYSTEM_STATE.+slice.+state.+changed )|(ment ac)|(system.+state.+changed )|(\|lc)|(penalty)|(\[timeout)|(PRM\|1\|D)|(kpr)|(kdp))" /e /r /s</v>
      </c>
      <c r="AG138" s="1" t="str">
        <f t="shared" si="60"/>
        <v>EC</v>
      </c>
      <c r="AH138" s="116" t="str">
        <f t="shared" si="61"/>
        <v>"%USERPROFILE%\Documents\GitHub\eaglep3\Utilities\RefineRTDCRunTimes.py" --tripid 225-06 --locoid 4014 --swversion DE.1.0.7.0 --startMP 204:457 --initTime 2016-08-06T19:59:48 --startdatetime 2016-08-06T20:01:14 --delay 1 --endMP 204:233289 --enddatetime 2016-08-06T20:36:24 --enforcementcount 0</v>
      </c>
    </row>
    <row r="139" spans="1:34" x14ac:dyDescent="0.25">
      <c r="A139" s="25" t="s">
        <v>772</v>
      </c>
      <c r="B139" s="134">
        <v>4013</v>
      </c>
      <c r="C139" s="135" t="s">
        <v>156</v>
      </c>
      <c r="D139" s="135" t="s">
        <v>773</v>
      </c>
      <c r="E139" s="136">
        <v>42588.871886574074</v>
      </c>
      <c r="F139" s="136">
        <v>42588.872789351852</v>
      </c>
      <c r="G139" s="134">
        <v>1</v>
      </c>
      <c r="H139" s="136" t="s">
        <v>58</v>
      </c>
      <c r="I139" s="136">
        <v>42588.89984953704</v>
      </c>
      <c r="J139" s="134">
        <v>0</v>
      </c>
      <c r="K139" s="25" t="str">
        <f t="shared" si="48"/>
        <v>4013/4014</v>
      </c>
      <c r="L139" s="25" t="str">
        <f>VLOOKUP(A139,'Trips&amp;Operators'!$C$1:$E$10000,3,FALSE)</f>
        <v>CHANDLER</v>
      </c>
      <c r="M139" s="6">
        <f t="shared" si="49"/>
        <v>2.7060185188020114E-2</v>
      </c>
      <c r="N139" s="7">
        <f t="shared" si="63"/>
        <v>38.966666670748964</v>
      </c>
      <c r="O139" s="7"/>
      <c r="P139" s="7"/>
      <c r="Q139" s="26"/>
      <c r="R139" s="26"/>
      <c r="S139" s="38">
        <f t="shared" si="64"/>
        <v>1</v>
      </c>
      <c r="T139" s="55" t="str">
        <f t="shared" si="50"/>
        <v>Southbound</v>
      </c>
      <c r="U139" s="15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19:55:31-0600',mode:absolute,to:'2016-08-06 22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9" s="57" t="str">
        <f t="shared" si="52"/>
        <v>N</v>
      </c>
      <c r="X139" s="145">
        <f t="shared" si="66"/>
        <v>1</v>
      </c>
      <c r="Y139" s="72">
        <f t="shared" si="54"/>
        <v>23.296700000000001</v>
      </c>
      <c r="Z139" s="72">
        <f t="shared" si="55"/>
        <v>1.52E-2</v>
      </c>
      <c r="AA139" s="72">
        <f t="shared" si="56"/>
        <v>23.281500000000001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57"/>
        <v>0226-06</v>
      </c>
      <c r="AE139" s="115" t="str">
        <f t="shared" si="58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39" s="112" t="str">
        <f t="shared" si="59"/>
        <v>"C:\Program Files (x86)\AstroGrep\AstroGrep.exe" /spath="%USERPROFILE%\AppData\Local\Temp\OnboardLogs" /stypes="*4013*20160807*" /stext=" 03:.+((SYSTEM_STATE.+slice.+state.+changed )|(ment ac)|(system.+state.+changed )|(\|lc)|(penalty)|(\[timeout)|(PRM\|1\|D)|(kpr)|(kdp))" /e /r /s</v>
      </c>
      <c r="AG139" s="1" t="str">
        <f t="shared" si="60"/>
        <v>EC</v>
      </c>
      <c r="AH139" s="116" t="str">
        <f t="shared" si="61"/>
        <v>"%USERPROFILE%\Documents\GitHub\eaglep3\Utilities\RefineRTDCRunTimes.py" --tripid 226-06 --locoid 4013 --swversion DE.1.0.7.0 --startMP 204:232967 --initTime 2016-08-06T20:55:31 --startdatetime 2016-08-06T20:56:49 --delay 1 --endMP 204:152 --enddatetime 2016-08-06T21:35:47 --enforcementcount 0</v>
      </c>
    </row>
    <row r="140" spans="1:34" x14ac:dyDescent="0.25">
      <c r="A140" s="25" t="s">
        <v>774</v>
      </c>
      <c r="B140" s="134">
        <v>4031</v>
      </c>
      <c r="C140" s="135" t="s">
        <v>156</v>
      </c>
      <c r="D140" s="135" t="s">
        <v>115</v>
      </c>
      <c r="E140" s="136">
        <v>42588.851284722223</v>
      </c>
      <c r="F140" s="136">
        <v>42588.85229166667</v>
      </c>
      <c r="G140" s="134">
        <v>1</v>
      </c>
      <c r="H140" s="136" t="s">
        <v>387</v>
      </c>
      <c r="I140" s="136">
        <v>42588.879618055558</v>
      </c>
      <c r="J140" s="134">
        <v>0</v>
      </c>
      <c r="K140" s="25" t="str">
        <f t="shared" si="48"/>
        <v>4031/4032</v>
      </c>
      <c r="L140" s="25" t="str">
        <f>VLOOKUP(A140,'Trips&amp;Operators'!$C$1:$E$10000,3,FALSE)</f>
        <v>STAMBAUGH</v>
      </c>
      <c r="M140" s="6">
        <f t="shared" si="49"/>
        <v>2.73263888884685E-2</v>
      </c>
      <c r="N140" s="7">
        <f t="shared" si="63"/>
        <v>39.34999999939464</v>
      </c>
      <c r="O140" s="7"/>
      <c r="P140" s="7"/>
      <c r="Q140" s="26"/>
      <c r="R140" s="26"/>
      <c r="S140" s="38">
        <f t="shared" si="64"/>
        <v>1</v>
      </c>
      <c r="T140" s="55" t="str">
        <f t="shared" si="50"/>
        <v>NorthBound</v>
      </c>
      <c r="U140" s="15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22" t="str">
        <f t="shared" si="51"/>
        <v>https://search-rtdc-monitor-bjffxe2xuh6vdkpspy63sjmuny.us-east-1.es.amazonaws.com/_plugin/kibana/#/discover/Steve-Slow-Train-Analysis-(2080s-and-2083s)?_g=(refreshInterval:(display:Off,section:0,value:0),time:(from:'2016-08-06 19:25:51-0600',mode:absolute,to:'2016-08-06 22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40" s="57" t="str">
        <f t="shared" si="52"/>
        <v>N</v>
      </c>
      <c r="X140" s="145">
        <f t="shared" si="66"/>
        <v>1</v>
      </c>
      <c r="Y140" s="72">
        <f t="shared" si="54"/>
        <v>4.58E-2</v>
      </c>
      <c r="Z140" s="72">
        <f t="shared" si="55"/>
        <v>23.331700000000001</v>
      </c>
      <c r="AA140" s="72">
        <f t="shared" si="56"/>
        <v>23.285900000000002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57"/>
        <v>0227-06</v>
      </c>
      <c r="AE140" s="115" t="str">
        <f t="shared" si="58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140" s="112" t="str">
        <f t="shared" si="59"/>
        <v>"C:\Program Files (x86)\AstroGrep\AstroGrep.exe" /spath="%USERPROFILE%\AppData\Local\Temp\OnboardLogs" /stypes="*4031*20160807*" /stext=" 03:.+((SYSTEM_STATE.+slice.+state.+changed )|(ment ac)|(system.+state.+changed )|(\|lc)|(penalty)|(\[timeout)|(PRM\|1\|D)|(kpr)|(kdp))" /e /r /s</v>
      </c>
      <c r="AG140" s="1" t="str">
        <f t="shared" si="60"/>
        <v>EC</v>
      </c>
      <c r="AH140" s="116" t="str">
        <f t="shared" si="61"/>
        <v>"%USERPROFILE%\Documents\GitHub\eaglep3\Utilities\RefineRTDCRunTimes.py" --tripid 227-06 --locoid 4031 --swversion DE.1.0.7.0 --startMP 204:458 --initTime 2016-08-06T20:25:51 --startdatetime 2016-08-06T20:27:18 --delay 1 --endMP 204:233317 --enddatetime 2016-08-06T21:06:39 --enforcementcount 0</v>
      </c>
    </row>
    <row r="141" spans="1:34" x14ac:dyDescent="0.25">
      <c r="A141" s="25" t="s">
        <v>775</v>
      </c>
      <c r="B141" s="134">
        <v>4032</v>
      </c>
      <c r="C141" s="135" t="s">
        <v>156</v>
      </c>
      <c r="D141" s="135" t="s">
        <v>776</v>
      </c>
      <c r="E141" s="136">
        <v>42588.890115740738</v>
      </c>
      <c r="F141" s="136">
        <v>42588.890787037039</v>
      </c>
      <c r="G141" s="134">
        <v>0</v>
      </c>
      <c r="H141" s="136" t="s">
        <v>496</v>
      </c>
      <c r="I141" s="136">
        <v>42588.920983796299</v>
      </c>
      <c r="J141" s="134">
        <v>0</v>
      </c>
      <c r="K141" s="25" t="str">
        <f t="shared" ref="K141:K172" si="67">IF(ISEVEN(B141),(B141-1)&amp;"/"&amp;B141,B141&amp;"/"&amp;(B141+1))</f>
        <v>4031/4032</v>
      </c>
      <c r="L141" s="25" t="str">
        <f>VLOOKUP(A141,'Trips&amp;Operators'!$C$1:$E$10000,3,FALSE)</f>
        <v>STAMBAUGH</v>
      </c>
      <c r="M141" s="6">
        <f t="shared" ref="M141:M172" si="68">I141-F141</f>
        <v>3.0196759260434192E-2</v>
      </c>
      <c r="N141" s="7">
        <f t="shared" si="63"/>
        <v>43.483333335025236</v>
      </c>
      <c r="O141" s="7"/>
      <c r="P141" s="7"/>
      <c r="Q141" s="26"/>
      <c r="R141" s="26"/>
      <c r="S141" s="38">
        <f t="shared" si="64"/>
        <v>1</v>
      </c>
      <c r="T141" s="55" t="str">
        <f t="shared" ref="T141:T172" si="69">IF(ISEVEN(LEFT(AD141,4)),"Southbound","NorthBound")</f>
        <v>Southbound</v>
      </c>
      <c r="U141" s="15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22" t="str">
        <f t="shared" ref="V141:V172" si="7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https://search-rtdc-monitor-bjffxe2xuh6vdkpspy63sjmuny.us-east-1.es.amazonaws.com/_plugin/kibana/#/discover/Steve-Slow-Train-Analysis-(2080s-and-2083s)?_g=(refreshInterval:(display:Off,section:0,value:0),time:(from:'2016-08-06 20:21:46-0600',mode:absolute,to:'2016-08-06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41" s="57" t="str">
        <f t="shared" ref="W141:W172" si="71">IF(AA141&lt;IF(AG141="EC",23,5.65),"Y","N")</f>
        <v>N</v>
      </c>
      <c r="X141" s="145">
        <f t="shared" si="66"/>
        <v>1</v>
      </c>
      <c r="Y141" s="72">
        <f t="shared" ref="Y141:Y172" si="72">RIGHT(D141,LEN(D141)-4)/10000</f>
        <v>23.299600000000002</v>
      </c>
      <c r="Z141" s="72">
        <f t="shared" ref="Z141:Z169" si="73">RIGHT(H141,LEN(H141)-4)/10000</f>
        <v>1.38E-2</v>
      </c>
      <c r="AA141" s="72">
        <f t="shared" ref="AA141:AA172" si="74">ABS(Z141-Y141)</f>
        <v>23.285800000000002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172" si="75">IF(LEN(A141)=6,"0"&amp;A141,A141)</f>
        <v>0228-06</v>
      </c>
      <c r="AE141" s="115" t="str">
        <f t="shared" ref="AE141:AE172" si="76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41" s="112" t="str">
        <f t="shared" ref="AF141:AF172" si="77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/stypes="*4032*20160807*" /stext=" 04:.+((SYSTEM_STATE.+slice.+state.+changed )|(ment ac)|(system.+state.+changed )|(\|lc)|(penalty)|(\[timeout)|(PRM\|1\|D)|(kpr)|(kdp))" /e /r /s</v>
      </c>
      <c r="AG141" s="1" t="str">
        <f t="shared" ref="AG141:AG172" si="78">IF(VALUE(LEFT(AD141,2))&lt;=2,"EC",IF(OR(VALUE(LEFT(AD141,2))=8,VALUE(LEFT(AD141,2))=18),"NW","GL"))</f>
        <v>EC</v>
      </c>
      <c r="AH141" s="116" t="str">
        <f t="shared" ref="AH141:AH172" si="7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228-06 --locoid 4032 --swversion DE.1.0.7.0 --startMP 204:232996 --initTime 2016-08-06T21:21:46 --startdatetime 2016-08-06T21:22:44 --delay 0 --endMP 204:138 --enddatetime 2016-08-06T22:06:13 --enforcementcount 0</v>
      </c>
    </row>
    <row r="142" spans="1:34" x14ac:dyDescent="0.25">
      <c r="A142" s="25" t="s">
        <v>777</v>
      </c>
      <c r="B142" s="134">
        <v>4011</v>
      </c>
      <c r="C142" s="135" t="s">
        <v>156</v>
      </c>
      <c r="D142" s="135" t="s">
        <v>554</v>
      </c>
      <c r="E142" s="136">
        <v>42588.866006944445</v>
      </c>
      <c r="F142" s="136">
        <v>42588.867569444446</v>
      </c>
      <c r="G142" s="134">
        <v>2</v>
      </c>
      <c r="H142" s="136" t="s">
        <v>328</v>
      </c>
      <c r="I142" s="136">
        <v>42588.901979166665</v>
      </c>
      <c r="J142" s="134">
        <v>0</v>
      </c>
      <c r="K142" s="25" t="str">
        <f t="shared" si="67"/>
        <v>4011/4012</v>
      </c>
      <c r="L142" s="25" t="str">
        <f>VLOOKUP(A142,'Trips&amp;Operators'!$C$1:$E$10000,3,FALSE)</f>
        <v>DE LA ROSA</v>
      </c>
      <c r="M142" s="6">
        <f t="shared" si="68"/>
        <v>3.4409722218697425E-2</v>
      </c>
      <c r="N142" s="7">
        <f t="shared" si="63"/>
        <v>49.549999994924292</v>
      </c>
      <c r="O142" s="7"/>
      <c r="P142" s="7"/>
      <c r="Q142" s="26"/>
      <c r="R142" s="26"/>
      <c r="S142" s="38">
        <f t="shared" si="64"/>
        <v>1</v>
      </c>
      <c r="T142" s="55" t="str">
        <f t="shared" si="69"/>
        <v>NorthBound</v>
      </c>
      <c r="U142" s="15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19:47:03-0600',mode:absolute,to:'2016-08-06 22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42" s="57" t="str">
        <f t="shared" si="71"/>
        <v>N</v>
      </c>
      <c r="X142" s="145">
        <f t="shared" si="66"/>
        <v>1</v>
      </c>
      <c r="Y142" s="72">
        <f t="shared" si="72"/>
        <v>4.4900000000000002E-2</v>
      </c>
      <c r="Z142" s="72">
        <f t="shared" si="73"/>
        <v>23.3278</v>
      </c>
      <c r="AA142" s="72">
        <f t="shared" si="74"/>
        <v>23.282900000000001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75"/>
        <v>0229-06</v>
      </c>
      <c r="AE142" s="115" t="str">
        <f t="shared" si="76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42" s="112" t="str">
        <f t="shared" si="77"/>
        <v>"C:\Program Files (x86)\AstroGrep\AstroGrep.exe" /spath="%USERPROFILE%\AppData\Local\Temp\OnboardLogs" /stypes="*4011*20160807*" /stext=" 03:.+((SYSTEM_STATE.+slice.+state.+changed )|(ment ac)|(system.+state.+changed )|(\|lc)|(penalty)|(\[timeout)|(PRM\|1\|D)|(kpr)|(kdp))" /e /r /s</v>
      </c>
      <c r="AG142" s="1" t="str">
        <f t="shared" si="78"/>
        <v>EC</v>
      </c>
      <c r="AH142" s="116" t="str">
        <f t="shared" si="79"/>
        <v>"%USERPROFILE%\Documents\GitHub\eaglep3\Utilities\RefineRTDCRunTimes.py" --tripid 229-06 --locoid 4011 --swversion DE.1.0.7.0 --startMP 204:449 --initTime 2016-08-06T20:47:03 --startdatetime 2016-08-06T20:49:18 --delay 2 --endMP 204:233278 --enddatetime 2016-08-06T21:38:51 --enforcementcount 0</v>
      </c>
    </row>
    <row r="143" spans="1:34" x14ac:dyDescent="0.25">
      <c r="A143" s="25" t="s">
        <v>778</v>
      </c>
      <c r="B143" s="134">
        <v>4012</v>
      </c>
      <c r="C143" s="135" t="s">
        <v>156</v>
      </c>
      <c r="D143" s="135" t="s">
        <v>571</v>
      </c>
      <c r="E143" s="136">
        <v>42588.909803240742</v>
      </c>
      <c r="F143" s="136">
        <v>42588.911041666666</v>
      </c>
      <c r="G143" s="134">
        <v>1</v>
      </c>
      <c r="H143" s="136" t="s">
        <v>744</v>
      </c>
      <c r="I143" s="136">
        <v>42588.941261574073</v>
      </c>
      <c r="J143" s="134">
        <v>0</v>
      </c>
      <c r="K143" s="25" t="str">
        <f t="shared" si="67"/>
        <v>4011/4012</v>
      </c>
      <c r="L143" s="25" t="str">
        <f>VLOOKUP(A143,'Trips&amp;Operators'!$C$1:$E$10000,3,FALSE)</f>
        <v>DE LA ROSA</v>
      </c>
      <c r="M143" s="6">
        <f t="shared" si="68"/>
        <v>3.0219907406717539E-2</v>
      </c>
      <c r="N143" s="7">
        <f t="shared" si="63"/>
        <v>43.516666665673256</v>
      </c>
      <c r="O143" s="7"/>
      <c r="P143" s="7"/>
      <c r="Q143" s="26"/>
      <c r="R143" s="26"/>
      <c r="S143" s="38">
        <f t="shared" si="64"/>
        <v>1</v>
      </c>
      <c r="T143" s="55" t="str">
        <f t="shared" si="69"/>
        <v>Southbound</v>
      </c>
      <c r="U143" s="15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20:50:07-0600',mode:absolute,to:'2016-08-06 23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43" s="57" t="str">
        <f t="shared" si="71"/>
        <v>N</v>
      </c>
      <c r="X143" s="145">
        <f t="shared" si="66"/>
        <v>1</v>
      </c>
      <c r="Y143" s="72">
        <f t="shared" si="72"/>
        <v>23.2973</v>
      </c>
      <c r="Z143" s="72">
        <f t="shared" si="73"/>
        <v>1.6899999999999998E-2</v>
      </c>
      <c r="AA143" s="72">
        <f t="shared" si="74"/>
        <v>23.2804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75"/>
        <v>0230-06</v>
      </c>
      <c r="AE143" s="115" t="str">
        <f t="shared" si="76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143" s="112" t="str">
        <f t="shared" si="77"/>
        <v>"C:\Program Files (x86)\AstroGrep\AstroGrep.exe" /spath="%USERPROFILE%\AppData\Local\Temp\OnboardLogs" /stypes="*4012*20160807*" /stext=" 04:.+((SYSTEM_STATE.+slice.+state.+changed )|(ment ac)|(system.+state.+changed )|(\|lc)|(penalty)|(\[timeout)|(PRM\|1\|D)|(kpr)|(kdp))" /e /r /s</v>
      </c>
      <c r="AG143" s="1" t="str">
        <f t="shared" si="78"/>
        <v>EC</v>
      </c>
      <c r="AH143" s="116" t="str">
        <f t="shared" si="79"/>
        <v>"%USERPROFILE%\Documents\GitHub\eaglep3\Utilities\RefineRTDCRunTimes.py" --tripid 230-06 --locoid 4012 --swversion DE.1.0.7.0 --startMP 204:232973 --initTime 2016-08-06T21:50:07 --startdatetime 2016-08-06T21:51:54 --delay 1 --endMP 204:169 --enddatetime 2016-08-06T22:35:25 --enforcementcount 0</v>
      </c>
    </row>
    <row r="144" spans="1:34" x14ac:dyDescent="0.25">
      <c r="A144" s="25" t="s">
        <v>489</v>
      </c>
      <c r="B144" s="134">
        <v>4009</v>
      </c>
      <c r="C144" s="135" t="s">
        <v>156</v>
      </c>
      <c r="D144" s="135" t="s">
        <v>779</v>
      </c>
      <c r="E144" s="136">
        <v>42588.88559027778</v>
      </c>
      <c r="F144" s="136">
        <v>42588.886550925927</v>
      </c>
      <c r="G144" s="134">
        <v>1</v>
      </c>
      <c r="H144" s="136" t="s">
        <v>780</v>
      </c>
      <c r="I144" s="136">
        <v>42588.921249999999</v>
      </c>
      <c r="J144" s="134">
        <v>1</v>
      </c>
      <c r="K144" s="25" t="str">
        <f t="shared" si="67"/>
        <v>4009/4010</v>
      </c>
      <c r="L144" s="25" t="str">
        <f>VLOOKUP(A144,'Trips&amp;Operators'!$C$1:$E$10000,3,FALSE)</f>
        <v>NEWELL</v>
      </c>
      <c r="M144" s="6">
        <f t="shared" si="68"/>
        <v>3.4699074072705116E-2</v>
      </c>
      <c r="N144" s="7">
        <f t="shared" si="63"/>
        <v>49.966666664695367</v>
      </c>
      <c r="O144" s="7"/>
      <c r="P144" s="7"/>
      <c r="Q144" s="26"/>
      <c r="R144" s="26"/>
      <c r="S144" s="38">
        <f t="shared" si="64"/>
        <v>1</v>
      </c>
      <c r="T144" s="55" t="str">
        <f t="shared" si="69"/>
        <v>NorthBound</v>
      </c>
      <c r="U144" s="15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44" s="57" t="str">
        <f t="shared" si="71"/>
        <v>N</v>
      </c>
      <c r="X144" s="145">
        <f t="shared" si="66"/>
        <v>1</v>
      </c>
      <c r="Y144" s="72">
        <f t="shared" si="72"/>
        <v>4.1799999999999997E-2</v>
      </c>
      <c r="Z144" s="72">
        <f t="shared" si="73"/>
        <v>23.33</v>
      </c>
      <c r="AA144" s="72">
        <f t="shared" si="74"/>
        <v>23.2882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75"/>
        <v>0231-06</v>
      </c>
      <c r="AE144" s="115" t="str">
        <f t="shared" si="76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144" s="112" t="str">
        <f t="shared" si="77"/>
        <v>"C:\Program Files (x86)\AstroGrep\AstroGrep.exe" /spath="%USERPROFILE%\AppData\Local\Temp\OnboardLogs" /stypes="*4009*20160807*" /stext=" 04:.+((SYSTEM_STATE.+slice.+state.+changed )|(ment ac)|(system.+state.+changed )|(\|lc)|(penalty)|(\[timeout)|(PRM\|1\|D)|(kpr)|(kdp))" /e /r /s</v>
      </c>
      <c r="AG144" s="1" t="str">
        <f t="shared" si="78"/>
        <v>EC</v>
      </c>
      <c r="AH144" s="116" t="str">
        <f t="shared" si="79"/>
        <v>"%USERPROFILE%\Documents\GitHub\eaglep3\Utilities\RefineRTDCRunTimes.py" --tripid 231-06 --locoid 4009 --swversion DE.1.0.7.0 --startMP 204:418 --initTime 2016-08-06T21:15:15 --startdatetime 2016-08-06T21:16:38 --delay 1 --endMP 204:233300 --enddatetime 2016-08-06T22:06:36 --enforcementcount 1</v>
      </c>
    </row>
    <row r="145" spans="1:34" x14ac:dyDescent="0.25">
      <c r="A145" s="25" t="s">
        <v>781</v>
      </c>
      <c r="B145" s="134">
        <v>4010</v>
      </c>
      <c r="C145" s="135" t="s">
        <v>156</v>
      </c>
      <c r="D145" s="135" t="s">
        <v>302</v>
      </c>
      <c r="E145" s="136">
        <v>42588.927685185183</v>
      </c>
      <c r="F145" s="136">
        <v>42588.928425925929</v>
      </c>
      <c r="G145" s="134">
        <v>1</v>
      </c>
      <c r="H145" s="136" t="s">
        <v>564</v>
      </c>
      <c r="I145" s="136">
        <v>42588.964131944442</v>
      </c>
      <c r="J145" s="134">
        <v>0</v>
      </c>
      <c r="K145" s="25" t="str">
        <f t="shared" si="67"/>
        <v>4009/4010</v>
      </c>
      <c r="L145" s="25" t="str">
        <f>VLOOKUP(A145,'Trips&amp;Operators'!$C$1:$E$10000,3,FALSE)</f>
        <v>NEWELL</v>
      </c>
      <c r="M145" s="6">
        <f t="shared" si="68"/>
        <v>3.5706018512428273E-2</v>
      </c>
      <c r="N145" s="7">
        <f t="shared" si="63"/>
        <v>51.416666657896712</v>
      </c>
      <c r="O145" s="7"/>
      <c r="P145" s="7"/>
      <c r="Q145" s="26"/>
      <c r="R145" s="26"/>
      <c r="S145" s="38">
        <f t="shared" si="64"/>
        <v>1</v>
      </c>
      <c r="T145" s="55" t="str">
        <f t="shared" si="69"/>
        <v>Southbound</v>
      </c>
      <c r="U145" s="15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21:15:52-0600',mode:absolute,to:'2016-08-07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5" s="57" t="str">
        <f t="shared" si="71"/>
        <v>N</v>
      </c>
      <c r="X145" s="145">
        <f t="shared" si="66"/>
        <v>1</v>
      </c>
      <c r="Y145" s="72">
        <f t="shared" si="72"/>
        <v>23.299800000000001</v>
      </c>
      <c r="Z145" s="72">
        <f t="shared" si="73"/>
        <v>1.49E-2</v>
      </c>
      <c r="AA145" s="72">
        <f t="shared" si="74"/>
        <v>23.2849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75"/>
        <v>0232-06</v>
      </c>
      <c r="AE145" s="115" t="str">
        <f t="shared" si="76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45" s="112" t="str">
        <f t="shared" si="77"/>
        <v>"C:\Program Files (x86)\AstroGrep\AstroGrep.exe" /spath="%USERPROFILE%\AppData\Local\Temp\OnboardLogs" /stypes="*4010*20160807*" /stext=" 05:.+((SYSTEM_STATE.+slice.+state.+changed )|(ment ac)|(system.+state.+changed )|(\|lc)|(penalty)|(\[timeout)|(PRM\|1\|D)|(kpr)|(kdp))" /e /r /s</v>
      </c>
      <c r="AG145" s="1" t="str">
        <f t="shared" si="78"/>
        <v>EC</v>
      </c>
      <c r="AH145" s="116" t="str">
        <f t="shared" si="79"/>
        <v>"%USERPROFILE%\Documents\GitHub\eaglep3\Utilities\RefineRTDCRunTimes.py" --tripid 232-06 --locoid 4010 --swversion DE.1.0.7.0 --startMP 204:232998 --initTime 2016-08-06T22:15:52 --startdatetime 2016-08-06T22:16:56 --delay 1 --endMP 204:149 --enddatetime 2016-08-06T23:08:21 --enforcementcount 0</v>
      </c>
    </row>
    <row r="146" spans="1:34" x14ac:dyDescent="0.25">
      <c r="A146" s="25" t="s">
        <v>782</v>
      </c>
      <c r="B146" s="134">
        <v>4014</v>
      </c>
      <c r="C146" s="135" t="s">
        <v>156</v>
      </c>
      <c r="D146" s="135" t="s">
        <v>138</v>
      </c>
      <c r="E146" s="136">
        <v>42588.914942129632</v>
      </c>
      <c r="F146" s="136">
        <v>42588.915960648148</v>
      </c>
      <c r="G146" s="134">
        <v>1</v>
      </c>
      <c r="H146" s="136" t="s">
        <v>783</v>
      </c>
      <c r="I146" s="136">
        <v>42588.943483796298</v>
      </c>
      <c r="J146" s="134">
        <v>0</v>
      </c>
      <c r="K146" s="25" t="str">
        <f t="shared" si="67"/>
        <v>4013/4014</v>
      </c>
      <c r="L146" s="25" t="str">
        <f>VLOOKUP(A146,'Trips&amp;Operators'!$C$1:$E$10000,3,FALSE)</f>
        <v>CHANDLER</v>
      </c>
      <c r="M146" s="6">
        <f t="shared" si="68"/>
        <v>2.7523148150066845E-2</v>
      </c>
      <c r="N146" s="7">
        <f t="shared" si="63"/>
        <v>39.633333336096257</v>
      </c>
      <c r="O146" s="7"/>
      <c r="P146" s="7"/>
      <c r="Q146" s="26"/>
      <c r="R146" s="26"/>
      <c r="S146" s="38">
        <f t="shared" si="64"/>
        <v>1</v>
      </c>
      <c r="T146" s="55" t="str">
        <f t="shared" si="69"/>
        <v>NorthBound</v>
      </c>
      <c r="U146" s="15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20:57:31-0600',mode:absolute,to:'2016-08-06 23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46" s="57" t="str">
        <f t="shared" si="71"/>
        <v>N</v>
      </c>
      <c r="X146" s="145">
        <f t="shared" si="66"/>
        <v>1</v>
      </c>
      <c r="Y146" s="72">
        <f t="shared" si="72"/>
        <v>4.6199999999999998E-2</v>
      </c>
      <c r="Z146" s="72">
        <f t="shared" si="73"/>
        <v>23.329899999999999</v>
      </c>
      <c r="AA146" s="72">
        <f t="shared" si="74"/>
        <v>23.2837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75"/>
        <v>0233-06</v>
      </c>
      <c r="AE146" s="115" t="str">
        <f t="shared" si="76"/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AF146" s="112" t="str">
        <f t="shared" si="77"/>
        <v>"C:\Program Files (x86)\AstroGrep\AstroGrep.exe" /spath="%USERPROFILE%\AppData\Local\Temp\OnboardLogs" /stypes="*4014*20160807*" /stext=" 04:.+((SYSTEM_STATE.+slice.+state.+changed )|(ment ac)|(system.+state.+changed )|(\|lc)|(penalty)|(\[timeout)|(PRM\|1\|D)|(kpr)|(kdp))" /e /r /s</v>
      </c>
      <c r="AG146" s="1" t="str">
        <f t="shared" si="78"/>
        <v>EC</v>
      </c>
      <c r="AH146" s="116" t="str">
        <f t="shared" si="79"/>
        <v>"%USERPROFILE%\Documents\GitHub\eaglep3\Utilities\RefineRTDCRunTimes.py" --tripid 233-06 --locoid 4014 --swversion DE.1.0.7.0 --startMP 204:462 --initTime 2016-08-06T21:57:31 --startdatetime 2016-08-06T21:58:59 --delay 1 --endMP 204:233299 --enddatetime 2016-08-06T22:38:37 --enforcementcount 0</v>
      </c>
    </row>
    <row r="147" spans="1:34" x14ac:dyDescent="0.25">
      <c r="A147" s="25" t="s">
        <v>784</v>
      </c>
      <c r="B147" s="134">
        <v>4013</v>
      </c>
      <c r="C147" s="135" t="s">
        <v>156</v>
      </c>
      <c r="D147" s="135" t="s">
        <v>438</v>
      </c>
      <c r="E147" s="136">
        <v>42588.953888888886</v>
      </c>
      <c r="F147" s="136">
        <v>42588.954826388886</v>
      </c>
      <c r="G147" s="134">
        <v>1</v>
      </c>
      <c r="H147" s="136" t="s">
        <v>99</v>
      </c>
      <c r="I147" s="136">
        <v>42588.987685185188</v>
      </c>
      <c r="J147" s="134">
        <v>0</v>
      </c>
      <c r="K147" s="25" t="str">
        <f t="shared" si="67"/>
        <v>4013/4014</v>
      </c>
      <c r="L147" s="25" t="str">
        <f>VLOOKUP(A147,'Trips&amp;Operators'!$C$1:$E$10000,3,FALSE)</f>
        <v>CHANDLER</v>
      </c>
      <c r="M147" s="6">
        <f t="shared" si="68"/>
        <v>3.2858796301297843E-2</v>
      </c>
      <c r="N147" s="7">
        <f t="shared" si="63"/>
        <v>47.316666673868895</v>
      </c>
      <c r="O147" s="7"/>
      <c r="P147" s="7"/>
      <c r="Q147" s="26"/>
      <c r="R147" s="26"/>
      <c r="S147" s="38">
        <f t="shared" si="64"/>
        <v>1</v>
      </c>
      <c r="T147" s="55" t="str">
        <f t="shared" si="69"/>
        <v>Southbound</v>
      </c>
      <c r="U147" s="15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7" s="57" t="str">
        <f t="shared" si="71"/>
        <v>N</v>
      </c>
      <c r="X147" s="145">
        <f t="shared" si="66"/>
        <v>1</v>
      </c>
      <c r="Y147" s="72">
        <f t="shared" si="72"/>
        <v>23.2971</v>
      </c>
      <c r="Z147" s="72">
        <f t="shared" si="73"/>
        <v>1.43E-2</v>
      </c>
      <c r="AA147" s="72">
        <f t="shared" si="74"/>
        <v>23.282800000000002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75"/>
        <v>0234-06</v>
      </c>
      <c r="AE147" s="115" t="str">
        <f t="shared" si="76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47" s="112" t="str">
        <f t="shared" si="77"/>
        <v>"C:\Program Files (x86)\AstroGrep\AstroGrep.exe" /spath="%USERPROFILE%\AppData\Local\Temp\OnboardLogs" /stypes="*4013*20160807*" /stext=" 05:.+((SYSTEM_STATE.+slice.+state.+changed )|(ment ac)|(system.+state.+changed )|(\|lc)|(penalty)|(\[timeout)|(PRM\|1\|D)|(kpr)|(kdp))" /e /r /s</v>
      </c>
      <c r="AG147" s="1" t="str">
        <f t="shared" si="78"/>
        <v>EC</v>
      </c>
      <c r="AH147" s="116" t="str">
        <f t="shared" si="79"/>
        <v>"%USERPROFILE%\Documents\GitHub\eaglep3\Utilities\RefineRTDCRunTimes.py" --tripid 234-06 --locoid 4013 --swversion DE.1.0.7.0 --startMP 204:232971 --initTime 2016-08-06T22:53:36 --startdatetime 2016-08-06T22:54:57 --delay 1 --endMP 204:143 --enddatetime 2016-08-06T23:42:16 --enforcementcount 0</v>
      </c>
    </row>
    <row r="148" spans="1:34" x14ac:dyDescent="0.25">
      <c r="A148" s="25" t="s">
        <v>784</v>
      </c>
      <c r="B148" s="134">
        <v>4013</v>
      </c>
      <c r="C148" s="135" t="s">
        <v>156</v>
      </c>
      <c r="D148" s="135" t="s">
        <v>438</v>
      </c>
      <c r="E148" s="136">
        <v>42588.953888888886</v>
      </c>
      <c r="F148" s="136">
        <v>42588.955011574071</v>
      </c>
      <c r="G148" s="134">
        <v>1</v>
      </c>
      <c r="H148" s="136" t="s">
        <v>99</v>
      </c>
      <c r="I148" s="136">
        <v>42588.987685185188</v>
      </c>
      <c r="J148" s="134">
        <v>0</v>
      </c>
      <c r="K148" s="25" t="str">
        <f t="shared" si="67"/>
        <v>4013/4014</v>
      </c>
      <c r="L148" s="25" t="str">
        <f>VLOOKUP(A148,'Trips&amp;Operators'!$C$1:$E$10000,3,FALSE)</f>
        <v>CHANDLER</v>
      </c>
      <c r="M148" s="6">
        <f t="shared" si="68"/>
        <v>3.2673611116479151E-2</v>
      </c>
      <c r="N148" s="7">
        <f t="shared" si="63"/>
        <v>47.050000007729977</v>
      </c>
      <c r="O148" s="7"/>
      <c r="P148" s="7"/>
      <c r="Q148" s="26"/>
      <c r="R148" s="26"/>
      <c r="S148" s="38">
        <f t="shared" si="64"/>
        <v>1</v>
      </c>
      <c r="T148" s="55" t="str">
        <f t="shared" si="69"/>
        <v>Southbound</v>
      </c>
      <c r="U148" s="15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8" s="57" t="str">
        <f t="shared" si="71"/>
        <v>N</v>
      </c>
      <c r="X148" s="145">
        <f t="shared" si="66"/>
        <v>0</v>
      </c>
      <c r="Y148" s="72">
        <f t="shared" si="72"/>
        <v>23.2971</v>
      </c>
      <c r="Z148" s="72">
        <f t="shared" si="73"/>
        <v>1.43E-2</v>
      </c>
      <c r="AA148" s="72">
        <f t="shared" si="74"/>
        <v>23.282800000000002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75"/>
        <v>0234-06</v>
      </c>
      <c r="AE148" s="115" t="str">
        <f t="shared" si="76"/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AF148" s="112" t="str">
        <f t="shared" si="77"/>
        <v>"C:\Program Files (x86)\AstroGrep\AstroGrep.exe" /spath="%USERPROFILE%\AppData\Local\Temp\OnboardLogs" /stypes="*4013*20160807*" /stext=" 05:.+((SYSTEM_STATE.+slice.+state.+changed )|(ment ac)|(system.+state.+changed )|(\|lc)|(penalty)|(\[timeout)|(PRM\|1\|D)|(kpr)|(kdp))" /e /r /s</v>
      </c>
      <c r="AG148" s="1" t="str">
        <f t="shared" si="78"/>
        <v>EC</v>
      </c>
      <c r="AH148" s="116" t="str">
        <f t="shared" si="79"/>
        <v>"%USERPROFILE%\Documents\GitHub\eaglep3\Utilities\RefineRTDCRunTimes.py" --tripid 234-06 --locoid 4013 --swversion DE.1.0.7.0 --startMP 204:232971 --initTime 2016-08-06T22:53:36 --startdatetime 2016-08-06T22:55:13 --delay 1 --endMP 204:143 --enddatetime 2016-08-06T23:42:16 --enforcementcount 0</v>
      </c>
    </row>
    <row r="149" spans="1:34" x14ac:dyDescent="0.25">
      <c r="A149" s="25" t="s">
        <v>785</v>
      </c>
      <c r="B149" s="134">
        <v>4031</v>
      </c>
      <c r="C149" s="135" t="s">
        <v>156</v>
      </c>
      <c r="D149" s="135" t="s">
        <v>305</v>
      </c>
      <c r="E149" s="136">
        <v>42588.936238425929</v>
      </c>
      <c r="F149" s="136">
        <v>42588.9371875</v>
      </c>
      <c r="G149" s="134">
        <v>1</v>
      </c>
      <c r="H149" s="136" t="s">
        <v>435</v>
      </c>
      <c r="I149" s="136">
        <v>42588.963379629633</v>
      </c>
      <c r="J149" s="134">
        <v>0</v>
      </c>
      <c r="K149" s="25" t="str">
        <f t="shared" si="67"/>
        <v>4031/4032</v>
      </c>
      <c r="L149" s="25" t="str">
        <f>VLOOKUP(A149,'Trips&amp;Operators'!$C$1:$E$10000,3,FALSE)</f>
        <v>STAMBAUGH</v>
      </c>
      <c r="M149" s="6">
        <f t="shared" si="68"/>
        <v>2.6192129633272998E-2</v>
      </c>
      <c r="N149" s="7">
        <f t="shared" si="63"/>
        <v>37.716666671913117</v>
      </c>
      <c r="O149" s="7"/>
      <c r="P149" s="7"/>
      <c r="Q149" s="26"/>
      <c r="R149" s="26"/>
      <c r="S149" s="38">
        <f t="shared" si="64"/>
        <v>1</v>
      </c>
      <c r="T149" s="55" t="str">
        <f t="shared" si="69"/>
        <v>NorthBound</v>
      </c>
      <c r="U149" s="15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21:28:11-0600',mode:absolute,to:'2016-08-07 00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49" s="57" t="str">
        <f t="shared" si="71"/>
        <v>N</v>
      </c>
      <c r="X149" s="145">
        <f t="shared" si="66"/>
        <v>1</v>
      </c>
      <c r="Y149" s="72">
        <f t="shared" si="72"/>
        <v>4.3700000000000003E-2</v>
      </c>
      <c r="Z149" s="72">
        <f t="shared" si="73"/>
        <v>23.332899999999999</v>
      </c>
      <c r="AA149" s="72">
        <f t="shared" si="74"/>
        <v>23.289199999999997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75"/>
        <v>0235-06</v>
      </c>
      <c r="AE149" s="115" t="str">
        <f t="shared" si="76"/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AF149" s="112" t="str">
        <f t="shared" si="77"/>
        <v>"C:\Program Files (x86)\AstroGrep\AstroGrep.exe" /spath="%USERPROFILE%\AppData\Local\Temp\OnboardLogs" /stypes="*4031*20160807*" /stext=" 05:.+((SYSTEM_STATE.+slice.+state.+changed )|(ment ac)|(system.+state.+changed )|(\|lc)|(penalty)|(\[timeout)|(PRM\|1\|D)|(kpr)|(kdp))" /e /r /s</v>
      </c>
      <c r="AG149" s="1" t="str">
        <f t="shared" si="78"/>
        <v>EC</v>
      </c>
      <c r="AH149" s="116" t="str">
        <f t="shared" si="79"/>
        <v>"%USERPROFILE%\Documents\GitHub\eaglep3\Utilities\RefineRTDCRunTimes.py" --tripid 235-06 --locoid 4031 --swversion DE.1.0.7.0 --startMP 204:437 --initTime 2016-08-06T22:28:11 --startdatetime 2016-08-06T22:29:33 --delay 1 --endMP 204:233329 --enddatetime 2016-08-06T23:07:16 --enforcementcount 0</v>
      </c>
    </row>
    <row r="150" spans="1:34" x14ac:dyDescent="0.25">
      <c r="A150" s="25" t="s">
        <v>786</v>
      </c>
      <c r="B150" s="134">
        <v>4032</v>
      </c>
      <c r="C150" s="135" t="s">
        <v>156</v>
      </c>
      <c r="D150" s="135" t="s">
        <v>787</v>
      </c>
      <c r="E150" s="136">
        <v>42588.97519675926</v>
      </c>
      <c r="F150" s="136">
        <v>42588.975960648146</v>
      </c>
      <c r="G150" s="134">
        <v>1</v>
      </c>
      <c r="H150" s="136" t="s">
        <v>135</v>
      </c>
      <c r="I150" s="136">
        <v>42589.006435185183</v>
      </c>
      <c r="J150" s="134">
        <v>0</v>
      </c>
      <c r="K150" s="25" t="str">
        <f t="shared" si="67"/>
        <v>4031/4032</v>
      </c>
      <c r="L150" s="25" t="str">
        <f>VLOOKUP(A150,'Trips&amp;Operators'!$C$1:$E$10000,3,FALSE)</f>
        <v>STAMBAUGH</v>
      </c>
      <c r="M150" s="6">
        <f t="shared" si="68"/>
        <v>3.047453703766223E-2</v>
      </c>
      <c r="N150" s="7">
        <f t="shared" si="63"/>
        <v>43.883333334233612</v>
      </c>
      <c r="O150" s="7"/>
      <c r="P150" s="7"/>
      <c r="Q150" s="26"/>
      <c r="R150" s="26"/>
      <c r="S150" s="38">
        <f t="shared" si="64"/>
        <v>1</v>
      </c>
      <c r="T150" s="55" t="str">
        <f t="shared" si="69"/>
        <v>Southbound</v>
      </c>
      <c r="U150" s="15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22:24:17-0600',mode:absolute,to:'2016-08-07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50" s="57" t="str">
        <f t="shared" si="71"/>
        <v>N</v>
      </c>
      <c r="X150" s="145">
        <f t="shared" si="66"/>
        <v>1</v>
      </c>
      <c r="Y150" s="72">
        <f t="shared" si="72"/>
        <v>23.300999999999998</v>
      </c>
      <c r="Z150" s="72">
        <f t="shared" si="73"/>
        <v>1.4999999999999999E-2</v>
      </c>
      <c r="AA150" s="72">
        <f t="shared" si="74"/>
        <v>23.285999999999998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75"/>
        <v>0236-06</v>
      </c>
      <c r="AE150" s="115" t="str">
        <f t="shared" si="76"/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AF150" s="112" t="str">
        <f t="shared" si="77"/>
        <v>"C:\Program Files (x86)\AstroGrep\AstroGrep.exe" /spath="%USERPROFILE%\AppData\Local\Temp\OnboardLogs" /stypes="*4032*20160807*" /stext=" 06:.+((SYSTEM_STATE.+slice.+state.+changed )|(ment ac)|(system.+state.+changed )|(\|lc)|(penalty)|(\[timeout)|(PRM\|1\|D)|(kpr)|(kdp))" /e /r /s</v>
      </c>
      <c r="AG150" s="1" t="str">
        <f t="shared" si="78"/>
        <v>EC</v>
      </c>
      <c r="AH150" s="116" t="str">
        <f t="shared" si="79"/>
        <v>"%USERPROFILE%\Documents\GitHub\eaglep3\Utilities\RefineRTDCRunTimes.py" --tripid 236-06 --locoid 4032 --swversion DE.1.0.7.0 --startMP 204:233010 --initTime 2016-08-06T23:24:17 --startdatetime 2016-08-06T23:25:23 --delay 1 --endMP 204:150 --enddatetime 2016-08-07T00:09:16 --enforcementcount 0</v>
      </c>
    </row>
    <row r="151" spans="1:34" x14ac:dyDescent="0.25">
      <c r="A151" s="25" t="s">
        <v>788</v>
      </c>
      <c r="B151" s="134">
        <v>4011</v>
      </c>
      <c r="C151" s="135" t="s">
        <v>156</v>
      </c>
      <c r="D151" s="135" t="s">
        <v>136</v>
      </c>
      <c r="E151" s="136">
        <v>42588.946192129632</v>
      </c>
      <c r="F151" s="136">
        <v>42588.947210648148</v>
      </c>
      <c r="G151" s="134">
        <v>1</v>
      </c>
      <c r="H151" s="136" t="s">
        <v>534</v>
      </c>
      <c r="I151" s="136">
        <v>42588.984282407408</v>
      </c>
      <c r="J151" s="134">
        <v>0</v>
      </c>
      <c r="K151" s="25" t="str">
        <f t="shared" si="67"/>
        <v>4011/4012</v>
      </c>
      <c r="L151" s="25" t="str">
        <f>VLOOKUP(A151,'Trips&amp;Operators'!$C$1:$E$10000,3,FALSE)</f>
        <v>GOLIGHTLY</v>
      </c>
      <c r="M151" s="6">
        <f t="shared" si="68"/>
        <v>3.7071759259561077E-2</v>
      </c>
      <c r="N151" s="7">
        <f t="shared" si="63"/>
        <v>53.383333333767951</v>
      </c>
      <c r="O151" s="7"/>
      <c r="P151" s="7"/>
      <c r="Q151" s="26"/>
      <c r="R151" s="26"/>
      <c r="S151" s="38">
        <f t="shared" si="64"/>
        <v>1</v>
      </c>
      <c r="T151" s="55" t="str">
        <f t="shared" si="69"/>
        <v>NorthBound</v>
      </c>
      <c r="U151" s="15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21:42:31-0600',mode:absolute,to:'2016-08-07 00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51" s="57" t="str">
        <f t="shared" si="71"/>
        <v>N</v>
      </c>
      <c r="X151" s="145">
        <f t="shared" si="66"/>
        <v>1</v>
      </c>
      <c r="Y151" s="72">
        <f t="shared" si="72"/>
        <v>4.6399999999999997E-2</v>
      </c>
      <c r="Z151" s="72">
        <f t="shared" si="73"/>
        <v>23.331399999999999</v>
      </c>
      <c r="AA151" s="72">
        <f t="shared" si="74"/>
        <v>23.285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75"/>
        <v>0237-06</v>
      </c>
      <c r="AE151" s="115" t="str">
        <f t="shared" si="76"/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AF151" s="112" t="str">
        <f t="shared" si="77"/>
        <v>"C:\Program Files (x86)\AstroGrep\AstroGrep.exe" /spath="%USERPROFILE%\AppData\Local\Temp\OnboardLogs" /stypes="*4011*20160807*" /stext=" 05:.+((SYSTEM_STATE.+slice.+state.+changed )|(ment ac)|(system.+state.+changed )|(\|lc)|(penalty)|(\[timeout)|(PRM\|1\|D)|(kpr)|(kdp))" /e /r /s</v>
      </c>
      <c r="AG151" s="1" t="str">
        <f t="shared" si="78"/>
        <v>EC</v>
      </c>
      <c r="AH151" s="116" t="str">
        <f t="shared" si="79"/>
        <v>"%USERPROFILE%\Documents\GitHub\eaglep3\Utilities\RefineRTDCRunTimes.py" --tripid 237-06 --locoid 4011 --swversion DE.1.0.7.0 --startMP 204:464 --initTime 2016-08-06T22:42:31 --startdatetime 2016-08-06T22:43:59 --delay 1 --endMP 204:233314 --enddatetime 2016-08-06T23:37:22 --enforcementcount 0</v>
      </c>
    </row>
    <row r="152" spans="1:34" x14ac:dyDescent="0.25">
      <c r="A152" s="25" t="s">
        <v>789</v>
      </c>
      <c r="B152" s="134">
        <v>4012</v>
      </c>
      <c r="C152" s="135" t="s">
        <v>156</v>
      </c>
      <c r="D152" s="135" t="s">
        <v>790</v>
      </c>
      <c r="E152" s="136">
        <v>42589.018553240741</v>
      </c>
      <c r="F152" s="136">
        <v>42589.019247685188</v>
      </c>
      <c r="G152" s="134">
        <v>0</v>
      </c>
      <c r="H152" s="136" t="s">
        <v>623</v>
      </c>
      <c r="I152" s="136">
        <v>42589.037569444445</v>
      </c>
      <c r="J152" s="134">
        <v>0</v>
      </c>
      <c r="K152" s="25" t="str">
        <f t="shared" si="67"/>
        <v>4011/4012</v>
      </c>
      <c r="L152" s="25" t="str">
        <f>VLOOKUP(A152,'Trips&amp;Operators'!$C$1:$E$10000,3,FALSE)</f>
        <v>GOLIGHTLY</v>
      </c>
      <c r="M152" s="6">
        <f t="shared" si="68"/>
        <v>1.8321759256650694E-2</v>
      </c>
      <c r="N152" s="7"/>
      <c r="O152" s="7"/>
      <c r="P152" s="7">
        <f>24*60*SUM($M152:$M153)</f>
        <v>45.749999986728653</v>
      </c>
      <c r="Q152" s="26"/>
      <c r="R152" s="26" t="s">
        <v>843</v>
      </c>
      <c r="S152" s="38">
        <f>SUM(U152:U153)/IF(AG152="EC",12,1)</f>
        <v>1</v>
      </c>
      <c r="T152" s="55" t="str">
        <f t="shared" si="69"/>
        <v>Southbound</v>
      </c>
      <c r="U152" s="15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23:26:43-0600',mode:absolute,to:'2016-08-07 01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52" s="57" t="str">
        <f t="shared" si="71"/>
        <v>Y</v>
      </c>
      <c r="X152" s="145">
        <f t="shared" si="66"/>
        <v>1</v>
      </c>
      <c r="Y152" s="72">
        <f t="shared" si="72"/>
        <v>12.7849</v>
      </c>
      <c r="Z152" s="72">
        <f t="shared" si="73"/>
        <v>1.41E-2</v>
      </c>
      <c r="AA152" s="72">
        <f t="shared" si="74"/>
        <v>12.770800000000001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75"/>
        <v>0238-06</v>
      </c>
      <c r="AE152" s="115" t="str">
        <f t="shared" si="76"/>
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</c>
      <c r="AF152" s="112" t="str">
        <f t="shared" si="77"/>
        <v>"C:\Program Files (x86)\AstroGrep\AstroGrep.exe" /spath="%USERPROFILE%\AppData\Local\Temp\OnboardLogs" /stypes="*4012*20160807*" /stext=" 06:.+((SYSTEM_STATE.+slice.+state.+changed )|(ment ac)|(system.+state.+changed )|(\|lc)|(penalty)|(\[timeout)|(PRM\|1\|D)|(kpr)|(kdp))" /e /r /s</v>
      </c>
      <c r="AG152" s="1" t="str">
        <f t="shared" si="78"/>
        <v>EC</v>
      </c>
      <c r="AH152" s="116" t="str">
        <f t="shared" si="79"/>
        <v>"%USERPROFILE%\Documents\GitHub\eaglep3\Utilities\RefineRTDCRunTimes.py" --tripid 238-06 --locoid 4012 --swversion DE.1.0.7.0 --startMP 204:127849 --initTime 2016-08-07T00:26:43 --startdatetime 2016-08-07T00:27:43 --delay 0 --endMP 204:141 --enddatetime 2016-08-07T00:54:06 --enforcementcount 0</v>
      </c>
    </row>
    <row r="153" spans="1:34" x14ac:dyDescent="0.25">
      <c r="A153" s="25" t="s">
        <v>789</v>
      </c>
      <c r="B153" s="134">
        <v>4012</v>
      </c>
      <c r="C153" s="135" t="s">
        <v>156</v>
      </c>
      <c r="D153" s="135" t="s">
        <v>536</v>
      </c>
      <c r="E153" s="136">
        <v>42588.988518518519</v>
      </c>
      <c r="F153" s="136">
        <v>42588.989930555559</v>
      </c>
      <c r="G153" s="134">
        <v>2</v>
      </c>
      <c r="H153" s="136" t="s">
        <v>791</v>
      </c>
      <c r="I153" s="136">
        <v>42589.003379629627</v>
      </c>
      <c r="J153" s="134">
        <v>0</v>
      </c>
      <c r="K153" s="25" t="str">
        <f t="shared" si="67"/>
        <v>4011/4012</v>
      </c>
      <c r="L153" s="25" t="str">
        <f>VLOOKUP(A153,'Trips&amp;Operators'!$C$1:$E$10000,3,FALSE)</f>
        <v>GOLIGHTLY</v>
      </c>
      <c r="M153" s="6">
        <f t="shared" si="68"/>
        <v>1.3449074067466427E-2</v>
      </c>
      <c r="N153" s="7"/>
      <c r="O153" s="7"/>
      <c r="P153" s="7"/>
      <c r="Q153" s="26"/>
      <c r="R153" s="26"/>
      <c r="S153" s="38"/>
      <c r="T153" s="55" t="str">
        <f t="shared" si="69"/>
        <v>Southbound</v>
      </c>
      <c r="U153" s="15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22:43:28-0600',mode:absolute,to:'2016-08-07 01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53" s="57" t="str">
        <f t="shared" si="71"/>
        <v>Y</v>
      </c>
      <c r="X153" s="145">
        <f t="shared" si="66"/>
        <v>0</v>
      </c>
      <c r="Y153" s="72">
        <f t="shared" si="72"/>
        <v>23.298200000000001</v>
      </c>
      <c r="Z153" s="72">
        <f t="shared" si="73"/>
        <v>22.049499999999998</v>
      </c>
      <c r="AA153" s="72">
        <f t="shared" si="74"/>
        <v>1.248700000000003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75"/>
        <v>0238-06</v>
      </c>
      <c r="AE153" s="115" t="str">
        <f t="shared" si="76"/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AF153" s="112" t="str">
        <f t="shared" si="77"/>
        <v>"C:\Program Files (x86)\AstroGrep\AstroGrep.exe" /spath="%USERPROFILE%\AppData\Local\Temp\OnboardLogs" /stypes="*4012*20160807*" /stext=" 06:.+((SYSTEM_STATE.+slice.+state.+changed )|(ment ac)|(system.+state.+changed )|(\|lc)|(penalty)|(\[timeout)|(PRM\|1\|D)|(kpr)|(kdp))" /e /r /s</v>
      </c>
      <c r="AG153" s="1" t="str">
        <f t="shared" si="78"/>
        <v>EC</v>
      </c>
      <c r="AH153" s="116" t="str">
        <f t="shared" si="79"/>
        <v>"%USERPROFILE%\Documents\GitHub\eaglep3\Utilities\RefineRTDCRunTimes.py" --tripid 238-06 --locoid 4012 --swversion DE.1.0.7.0 --startMP 204:232982 --initTime 2016-08-06T23:43:28 --startdatetime 2016-08-06T23:45:30 --delay 2 --endMP 204:220495 --enddatetime 2016-08-07T00:04:52 --enforcementcount 0</v>
      </c>
    </row>
    <row r="154" spans="1:34" x14ac:dyDescent="0.25">
      <c r="A154" s="25" t="s">
        <v>490</v>
      </c>
      <c r="B154" s="134">
        <v>4009</v>
      </c>
      <c r="C154" s="135" t="s">
        <v>156</v>
      </c>
      <c r="D154" s="135" t="s">
        <v>138</v>
      </c>
      <c r="E154" s="136">
        <v>42588.970208333332</v>
      </c>
      <c r="F154" s="136">
        <v>42588.971145833333</v>
      </c>
      <c r="G154" s="134">
        <v>1</v>
      </c>
      <c r="H154" s="136" t="s">
        <v>792</v>
      </c>
      <c r="I154" s="136">
        <v>42589.005636574075</v>
      </c>
      <c r="J154" s="134">
        <v>1</v>
      </c>
      <c r="K154" s="25" t="str">
        <f t="shared" si="67"/>
        <v>4009/4010</v>
      </c>
      <c r="L154" s="25" t="str">
        <f>VLOOKUP(A154,'Trips&amp;Operators'!$C$1:$E$10000,3,FALSE)</f>
        <v>NEWELL</v>
      </c>
      <c r="M154" s="6">
        <f t="shared" si="68"/>
        <v>3.4490740741603076E-2</v>
      </c>
      <c r="N154" s="7">
        <f t="shared" ref="N154:N192" si="80">24*60*SUM($M154:$M154)</f>
        <v>49.66666666790843</v>
      </c>
      <c r="O154" s="7"/>
      <c r="P154" s="7"/>
      <c r="Q154" s="26"/>
      <c r="R154" s="26"/>
      <c r="S154" s="38">
        <f t="shared" ref="S154:S192" si="81">SUM(U154:U154)/IF(AG154="EC",12,1)</f>
        <v>1</v>
      </c>
      <c r="T154" s="55" t="str">
        <f t="shared" si="69"/>
        <v>NorthBound</v>
      </c>
      <c r="U154" s="15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54" s="57" t="str">
        <f t="shared" si="71"/>
        <v>N</v>
      </c>
      <c r="X154" s="145">
        <f t="shared" si="66"/>
        <v>1</v>
      </c>
      <c r="Y154" s="72">
        <f t="shared" si="72"/>
        <v>4.6199999999999998E-2</v>
      </c>
      <c r="Z154" s="72">
        <f t="shared" si="73"/>
        <v>23.333600000000001</v>
      </c>
      <c r="AA154" s="72">
        <f t="shared" si="74"/>
        <v>23.287400000000002</v>
      </c>
      <c r="AB154" s="69">
        <f>VLOOKUP(A154,Enforcements!$C$7:$J$24,8,0)</f>
        <v>0</v>
      </c>
      <c r="AC154" s="65" t="str">
        <f>VLOOKUP(A154,Enforcements!$C$7:$E$24,3,0)</f>
        <v>PERMANENT SPEED RESTRICTION</v>
      </c>
      <c r="AD154" s="66" t="str">
        <f t="shared" si="75"/>
        <v>0239-06</v>
      </c>
      <c r="AE154" s="115" t="str">
        <f t="shared" si="76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154" s="112" t="str">
        <f t="shared" si="77"/>
        <v>"C:\Program Files (x86)\AstroGrep\AstroGrep.exe" /spath="%USERPROFILE%\AppData\Local\Temp\OnboardLogs" /stypes="*4009*20160807*" /stext=" 06:.+((SYSTEM_STATE.+slice.+state.+changed )|(ment ac)|(system.+state.+changed )|(\|lc)|(penalty)|(\[timeout)|(PRM\|1\|D)|(kpr)|(kdp))" /e /r /s</v>
      </c>
      <c r="AG154" s="1" t="str">
        <f t="shared" si="78"/>
        <v>EC</v>
      </c>
      <c r="AH154" s="116" t="str">
        <f t="shared" si="79"/>
        <v>"%USERPROFILE%\Documents\GitHub\eaglep3\Utilities\RefineRTDCRunTimes.py" --tripid 239-06 --locoid 4009 --swversion DE.1.0.7.0 --startMP 204:462 --initTime 2016-08-06T23:17:06 --startdatetime 2016-08-06T23:18:27 --delay 1 --endMP 204:233336 --enddatetime 2016-08-07T00:08:07 --enforcementcount 1</v>
      </c>
    </row>
    <row r="155" spans="1:34" x14ac:dyDescent="0.25">
      <c r="A155" s="25" t="s">
        <v>793</v>
      </c>
      <c r="B155" s="134">
        <v>4010</v>
      </c>
      <c r="C155" s="135" t="s">
        <v>156</v>
      </c>
      <c r="D155" s="135" t="s">
        <v>428</v>
      </c>
      <c r="E155" s="136">
        <v>42589.014097222222</v>
      </c>
      <c r="F155" s="136">
        <v>42589.015127314815</v>
      </c>
      <c r="G155" s="134">
        <v>1</v>
      </c>
      <c r="H155" s="136" t="s">
        <v>135</v>
      </c>
      <c r="I155" s="136">
        <v>42589.046423611115</v>
      </c>
      <c r="J155" s="134">
        <v>0</v>
      </c>
      <c r="K155" s="25" t="str">
        <f t="shared" si="67"/>
        <v>4009/4010</v>
      </c>
      <c r="L155" s="25" t="str">
        <f>VLOOKUP(A155,'Trips&amp;Operators'!$C$1:$E$10000,3,FALSE)</f>
        <v>NEWELL</v>
      </c>
      <c r="M155" s="6">
        <f t="shared" si="68"/>
        <v>3.1296296299842652E-2</v>
      </c>
      <c r="N155" s="7">
        <f t="shared" si="80"/>
        <v>45.066666671773419</v>
      </c>
      <c r="O155" s="7"/>
      <c r="P155" s="7"/>
      <c r="Q155" s="26"/>
      <c r="R155" s="26"/>
      <c r="S155" s="38">
        <f t="shared" si="81"/>
        <v>1</v>
      </c>
      <c r="T155" s="55" t="str">
        <f t="shared" si="69"/>
        <v>Southbound</v>
      </c>
      <c r="U155" s="15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23:20:18-0600',mode:absolute,to:'2016-08-07 02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55" s="57" t="str">
        <f t="shared" si="71"/>
        <v>N</v>
      </c>
      <c r="X155" s="145">
        <f t="shared" si="66"/>
        <v>1</v>
      </c>
      <c r="Y155" s="72">
        <f t="shared" si="72"/>
        <v>23.303000000000001</v>
      </c>
      <c r="Z155" s="72">
        <f t="shared" si="73"/>
        <v>1.4999999999999999E-2</v>
      </c>
      <c r="AA155" s="72">
        <f t="shared" si="74"/>
        <v>23.288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75"/>
        <v>0240-06</v>
      </c>
      <c r="AE155" s="115" t="str">
        <f t="shared" si="76"/>
        <v>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 &amp; aws s3 cp s3://rtdc.mdm.uploadarchive/RTDC4010/2016-08-08/ "%USERPROFILE%\AppData\Local\Temp\OnboardLogs"\RTDC4010\2016-08-08 --recursive &amp; "%USERPROFILE%\Documents\GitHub\mrs-test-scripts\Headless Mode &amp; Sideloading\WalkAndUnGZ.bat" "%USERPROFILE%\AppData\Local\Temp\OnboardLogs"\RTDC4010\2016-08-08</v>
      </c>
      <c r="AF155" s="112" t="str">
        <f t="shared" si="77"/>
        <v>"C:\Program Files (x86)\AstroGrep\AstroGrep.exe" /spath="%USERPROFILE%\AppData\Local\Temp\OnboardLogs" /stypes="*4010*20160807*" /stext=" 07:.+((SYSTEM_STATE.+slice.+state.+changed )|(ment ac)|(system.+state.+changed )|(\|lc)|(penalty)|(\[timeout)|(PRM\|1\|D)|(kpr)|(kdp))" /e /r /s</v>
      </c>
      <c r="AG155" s="1" t="str">
        <f t="shared" si="78"/>
        <v>EC</v>
      </c>
      <c r="AH155" s="116" t="str">
        <f t="shared" si="79"/>
        <v>"%USERPROFILE%\Documents\GitHub\eaglep3\Utilities\RefineRTDCRunTimes.py" --tripid 240-06 --locoid 4010 --swversion DE.1.0.7.0 --startMP 204:233030 --initTime 2016-08-07T00:20:18 --startdatetime 2016-08-07T00:21:47 --delay 1 --endMP 204:150 --enddatetime 2016-08-07T01:06:51 --enforcementcount 0</v>
      </c>
    </row>
    <row r="156" spans="1:34" x14ac:dyDescent="0.25">
      <c r="A156" s="25" t="s">
        <v>491</v>
      </c>
      <c r="B156" s="134">
        <v>4014</v>
      </c>
      <c r="C156" s="135" t="s">
        <v>156</v>
      </c>
      <c r="D156" s="135" t="s">
        <v>289</v>
      </c>
      <c r="E156" s="136">
        <v>42588.999861111108</v>
      </c>
      <c r="F156" s="136">
        <v>42589.000578703701</v>
      </c>
      <c r="G156" s="134">
        <v>1</v>
      </c>
      <c r="H156" s="136" t="s">
        <v>369</v>
      </c>
      <c r="I156" s="136">
        <v>42589.027789351851</v>
      </c>
      <c r="J156" s="134">
        <v>1</v>
      </c>
      <c r="K156" s="25" t="str">
        <f t="shared" si="67"/>
        <v>4013/4014</v>
      </c>
      <c r="L156" s="25" t="str">
        <f>VLOOKUP(A156,'Trips&amp;Operators'!$C$1:$E$10000,3,FALSE)</f>
        <v>CHANDLER</v>
      </c>
      <c r="M156" s="6">
        <f t="shared" si="68"/>
        <v>2.7210648149775807E-2</v>
      </c>
      <c r="N156" s="7">
        <f t="shared" si="80"/>
        <v>39.183333335677162</v>
      </c>
      <c r="O156" s="7"/>
      <c r="P156" s="7"/>
      <c r="Q156" s="26"/>
      <c r="R156" s="26"/>
      <c r="S156" s="38">
        <f t="shared" si="81"/>
        <v>1</v>
      </c>
      <c r="T156" s="55" t="str">
        <f t="shared" si="69"/>
        <v>NorthBound</v>
      </c>
      <c r="U156" s="15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56" s="57" t="str">
        <f t="shared" si="71"/>
        <v>N</v>
      </c>
      <c r="X156" s="145">
        <f t="shared" si="66"/>
        <v>1</v>
      </c>
      <c r="Y156" s="72">
        <f t="shared" si="72"/>
        <v>4.5100000000000001E-2</v>
      </c>
      <c r="Z156" s="72">
        <f t="shared" si="73"/>
        <v>23.331800000000001</v>
      </c>
      <c r="AA156" s="72">
        <f t="shared" si="74"/>
        <v>23.2867</v>
      </c>
      <c r="AB156" s="69">
        <f>VLOOKUP(A156,Enforcements!$C$7:$J$24,8,0)</f>
        <v>53155</v>
      </c>
      <c r="AC156" s="65" t="str">
        <f>VLOOKUP(A156,Enforcements!$C$7:$E$24,3,0)</f>
        <v>GRADE CROSSING</v>
      </c>
      <c r="AD156" s="66" t="str">
        <f t="shared" si="75"/>
        <v>0241-06</v>
      </c>
      <c r="AE156" s="115" t="str">
        <f t="shared" si="76"/>
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</c>
      <c r="AF156" s="112" t="str">
        <f t="shared" si="77"/>
        <v>"C:\Program Files (x86)\AstroGrep\AstroGrep.exe" /spath="%USERPROFILE%\AppData\Local\Temp\OnboardLogs" /stypes="*4014*20160807*" /stext=" 06:.+((SYSTEM_STATE.+slice.+state.+changed )|(ment ac)|(system.+state.+changed )|(\|lc)|(penalty)|(\[timeout)|(PRM\|1\|D)|(kpr)|(kdp))" /e /r /s</v>
      </c>
      <c r="AG156" s="1" t="str">
        <f t="shared" si="78"/>
        <v>EC</v>
      </c>
      <c r="AH156" s="116" t="str">
        <f t="shared" si="79"/>
        <v>"%USERPROFILE%\Documents\GitHub\eaglep3\Utilities\RefineRTDCRunTimes.py" --tripid 241-06 --locoid 4014 --swversion DE.1.0.7.0 --startMP 204:451 --initTime 2016-08-06T23:59:48 --startdatetime 2016-08-07T00:00:50 --delay 1 --endMP 204:233318 --enddatetime 2016-08-07T00:40:01 --enforcementcount 1</v>
      </c>
    </row>
    <row r="157" spans="1:34" x14ac:dyDescent="0.25">
      <c r="A157" s="25" t="s">
        <v>794</v>
      </c>
      <c r="B157" s="134">
        <v>4013</v>
      </c>
      <c r="C157" s="135" t="s">
        <v>156</v>
      </c>
      <c r="D157" s="135" t="s">
        <v>571</v>
      </c>
      <c r="E157" s="136">
        <v>42589.036840277775</v>
      </c>
      <c r="F157" s="136">
        <v>42589.037719907406</v>
      </c>
      <c r="G157" s="134">
        <v>1</v>
      </c>
      <c r="H157" s="136" t="s">
        <v>572</v>
      </c>
      <c r="I157" s="136">
        <v>42589.067418981482</v>
      </c>
      <c r="J157" s="134">
        <v>0</v>
      </c>
      <c r="K157" s="25" t="str">
        <f t="shared" si="67"/>
        <v>4013/4014</v>
      </c>
      <c r="L157" s="25" t="str">
        <f>VLOOKUP(A157,'Trips&amp;Operators'!$C$1:$E$10000,3,FALSE)</f>
        <v>CHANDLER</v>
      </c>
      <c r="M157" s="6">
        <f t="shared" si="68"/>
        <v>2.9699074075324461E-2</v>
      </c>
      <c r="N157" s="7">
        <f t="shared" si="80"/>
        <v>42.766666668467224</v>
      </c>
      <c r="O157" s="7"/>
      <c r="P157" s="7"/>
      <c r="Q157" s="26"/>
      <c r="R157" s="26"/>
      <c r="S157" s="38">
        <f t="shared" si="81"/>
        <v>1</v>
      </c>
      <c r="T157" s="55" t="str">
        <f t="shared" si="69"/>
        <v>Southbound</v>
      </c>
      <c r="U157" s="15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23:53:03-0600',mode:absolute,to:'2016-08-07 02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7" s="57" t="str">
        <f t="shared" si="71"/>
        <v>N</v>
      </c>
      <c r="X157" s="145">
        <f t="shared" si="66"/>
        <v>1</v>
      </c>
      <c r="Y157" s="72">
        <f t="shared" si="72"/>
        <v>23.2973</v>
      </c>
      <c r="Z157" s="72">
        <f t="shared" si="73"/>
        <v>1.54E-2</v>
      </c>
      <c r="AA157" s="72">
        <f t="shared" si="74"/>
        <v>23.2819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75"/>
        <v>0242-06</v>
      </c>
      <c r="AE157" s="115" t="str">
        <f t="shared" si="76"/>
        <v>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 &amp; 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</v>
      </c>
      <c r="AF157" s="112" t="str">
        <f t="shared" si="77"/>
        <v>"C:\Program Files (x86)\AstroGrep\AstroGrep.exe" /spath="%USERPROFILE%\AppData\Local\Temp\OnboardLogs" /stypes="*4013*20160807*" /stext=" 07:.+((SYSTEM_STATE.+slice.+state.+changed )|(ment ac)|(system.+state.+changed )|(\|lc)|(penalty)|(\[timeout)|(PRM\|1\|D)|(kpr)|(kdp))" /e /r /s</v>
      </c>
      <c r="AG157" s="1" t="str">
        <f t="shared" si="78"/>
        <v>EC</v>
      </c>
      <c r="AH157" s="116" t="str">
        <f t="shared" si="79"/>
        <v>"%USERPROFILE%\Documents\GitHub\eaglep3\Utilities\RefineRTDCRunTimes.py" --tripid 242-06 --locoid 4013 --swversion DE.1.0.7.0 --startMP 204:232973 --initTime 2016-08-07T00:53:03 --startdatetime 2016-08-07T00:54:19 --delay 1 --endMP 204:154 --enddatetime 2016-08-07T01:37:05 --enforcementcount 0</v>
      </c>
    </row>
    <row r="158" spans="1:34" x14ac:dyDescent="0.25">
      <c r="A158" s="25" t="s">
        <v>795</v>
      </c>
      <c r="B158" s="134">
        <v>4031</v>
      </c>
      <c r="C158" s="135" t="s">
        <v>156</v>
      </c>
      <c r="D158" s="135" t="s">
        <v>63</v>
      </c>
      <c r="E158" s="136">
        <v>42589.017951388887</v>
      </c>
      <c r="F158" s="136">
        <v>42589.019293981481</v>
      </c>
      <c r="G158" s="134">
        <v>1</v>
      </c>
      <c r="H158" s="136" t="s">
        <v>153</v>
      </c>
      <c r="I158" s="136">
        <v>42589.046967592592</v>
      </c>
      <c r="J158" s="134">
        <v>0</v>
      </c>
      <c r="K158" s="25" t="str">
        <f t="shared" si="67"/>
        <v>4031/4032</v>
      </c>
      <c r="L158" s="25" t="str">
        <f>VLOOKUP(A158,'Trips&amp;Operators'!$C$1:$E$10000,3,FALSE)</f>
        <v>STAMBAUGH</v>
      </c>
      <c r="M158" s="6">
        <f t="shared" si="68"/>
        <v>2.7673611111822538E-2</v>
      </c>
      <c r="N158" s="7">
        <f t="shared" si="80"/>
        <v>39.850000001024455</v>
      </c>
      <c r="O158" s="7"/>
      <c r="P158" s="7"/>
      <c r="Q158" s="26"/>
      <c r="R158" s="26"/>
      <c r="S158" s="38">
        <f t="shared" si="81"/>
        <v>1</v>
      </c>
      <c r="T158" s="55" t="str">
        <f t="shared" si="69"/>
        <v>NorthBound</v>
      </c>
      <c r="U158" s="15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23:25:51-0600',mode:absolute,to:'2016-08-07 02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58" s="57" t="str">
        <f t="shared" si="71"/>
        <v>N</v>
      </c>
      <c r="X158" s="145">
        <f t="shared" si="66"/>
        <v>1</v>
      </c>
      <c r="Y158" s="72">
        <f t="shared" si="72"/>
        <v>4.5999999999999999E-2</v>
      </c>
      <c r="Z158" s="72">
        <f t="shared" si="73"/>
        <v>23.3308</v>
      </c>
      <c r="AA158" s="72">
        <f t="shared" si="74"/>
        <v>23.284800000000001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75"/>
        <v>0243-06</v>
      </c>
      <c r="AE158" s="115" t="str">
        <f t="shared" si="76"/>
        <v>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 &amp; 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</v>
      </c>
      <c r="AF158" s="112" t="str">
        <f t="shared" si="77"/>
        <v>"C:\Program Files (x86)\AstroGrep\AstroGrep.exe" /spath="%USERPROFILE%\AppData\Local\Temp\OnboardLogs" /stypes="*4031*20160807*" /stext=" 07:.+((SYSTEM_STATE.+slice.+state.+changed )|(ment ac)|(system.+state.+changed )|(\|lc)|(penalty)|(\[timeout)|(PRM\|1\|D)|(kpr)|(kdp))" /e /r /s</v>
      </c>
      <c r="AG158" s="1" t="str">
        <f t="shared" si="78"/>
        <v>EC</v>
      </c>
      <c r="AH158" s="116" t="str">
        <f t="shared" si="79"/>
        <v>"%USERPROFILE%\Documents\GitHub\eaglep3\Utilities\RefineRTDCRunTimes.py" --tripid 243-06 --locoid 4031 --swversion DE.1.0.7.0 --startMP 204:460 --initTime 2016-08-07T00:25:51 --startdatetime 2016-08-07T00:27:47 --delay 1 --endMP 204:233308 --enddatetime 2016-08-07T01:07:38 --enforcementcount 0</v>
      </c>
    </row>
    <row r="159" spans="1:34" x14ac:dyDescent="0.25">
      <c r="A159" s="25" t="s">
        <v>796</v>
      </c>
      <c r="B159" s="134">
        <v>4032</v>
      </c>
      <c r="C159" s="135" t="s">
        <v>156</v>
      </c>
      <c r="D159" s="135" t="s">
        <v>303</v>
      </c>
      <c r="E159" s="136">
        <v>42589.058379629627</v>
      </c>
      <c r="F159" s="136">
        <v>42589.05909722222</v>
      </c>
      <c r="G159" s="134">
        <v>1</v>
      </c>
      <c r="H159" s="136" t="s">
        <v>578</v>
      </c>
      <c r="I159" s="136">
        <v>42589.086817129632</v>
      </c>
      <c r="J159" s="134">
        <v>0</v>
      </c>
      <c r="K159" s="25" t="str">
        <f t="shared" si="67"/>
        <v>4031/4032</v>
      </c>
      <c r="L159" s="25" t="str">
        <f>VLOOKUP(A159,'Trips&amp;Operators'!$C$1:$E$10000,3,FALSE)</f>
        <v>STAMBAUGH</v>
      </c>
      <c r="M159" s="6">
        <f t="shared" si="68"/>
        <v>2.771990741166519E-2</v>
      </c>
      <c r="N159" s="7">
        <f t="shared" si="80"/>
        <v>39.916666672797874</v>
      </c>
      <c r="O159" s="7"/>
      <c r="P159" s="7"/>
      <c r="Q159" s="26"/>
      <c r="R159" s="26"/>
      <c r="S159" s="38">
        <f t="shared" si="81"/>
        <v>1</v>
      </c>
      <c r="T159" s="55" t="str">
        <f t="shared" si="69"/>
        <v>Southbound</v>
      </c>
      <c r="U159" s="15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https://search-rtdc-monitor-bjffxe2xuh6vdkpspy63sjmuny.us-east-1.es.amazonaws.com/_plugin/kibana/#/discover/Steve-Slow-Train-Analysis-(2080s-and-2083s)?_g=(refreshInterval:(display:Off,section:0,value:0),time:(from:'2016-08-07 00:24:04-0600',mode:absolute,to:'2016-08-07 03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59" s="57" t="str">
        <f t="shared" si="71"/>
        <v>N</v>
      </c>
      <c r="X159" s="145">
        <f t="shared" si="66"/>
        <v>1</v>
      </c>
      <c r="Y159" s="72">
        <f t="shared" si="72"/>
        <v>23.3004</v>
      </c>
      <c r="Z159" s="72">
        <f t="shared" si="73"/>
        <v>1.4500000000000001E-2</v>
      </c>
      <c r="AA159" s="72">
        <f t="shared" si="74"/>
        <v>23.285899999999998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75"/>
        <v>0244-06</v>
      </c>
      <c r="AE159" s="115" t="str">
        <f t="shared" si="76"/>
        <v>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 &amp; 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</v>
      </c>
      <c r="AF159" s="112" t="str">
        <f t="shared" si="77"/>
        <v>"C:\Program Files (x86)\AstroGrep\AstroGrep.exe" /spath="%USERPROFILE%\AppData\Local\Temp\OnboardLogs" /stypes="*4032*20160807*" /stext=" 08:.+((SYSTEM_STATE.+slice.+state.+changed )|(ment ac)|(system.+state.+changed )|(\|lc)|(penalty)|(\[timeout)|(PRM\|1\|D)|(kpr)|(kdp))" /e /r /s</v>
      </c>
      <c r="AG159" s="1" t="str">
        <f t="shared" si="78"/>
        <v>EC</v>
      </c>
      <c r="AH159" s="116" t="str">
        <f t="shared" si="79"/>
        <v>"%USERPROFILE%\Documents\GitHub\eaglep3\Utilities\RefineRTDCRunTimes.py" --tripid 244-06 --locoid 4032 --swversion DE.1.0.7.0 --startMP 204:233004 --initTime 2016-08-07T01:24:04 --startdatetime 2016-08-07T01:25:06 --delay 1 --endMP 204:145 --enddatetime 2016-08-07T02:05:01 --enforcementcount 0</v>
      </c>
    </row>
    <row r="160" spans="1:34" x14ac:dyDescent="0.25">
      <c r="A160" s="25" t="s">
        <v>797</v>
      </c>
      <c r="B160" s="134">
        <v>4011</v>
      </c>
      <c r="C160" s="135" t="s">
        <v>156</v>
      </c>
      <c r="D160" s="135" t="s">
        <v>63</v>
      </c>
      <c r="E160" s="136">
        <v>42589.039907407408</v>
      </c>
      <c r="F160" s="136">
        <v>42589.040914351855</v>
      </c>
      <c r="G160" s="134">
        <v>1</v>
      </c>
      <c r="H160" s="136" t="s">
        <v>306</v>
      </c>
      <c r="I160" s="136">
        <v>42589.067314814813</v>
      </c>
      <c r="J160" s="134">
        <v>0</v>
      </c>
      <c r="K160" s="25" t="str">
        <f t="shared" si="67"/>
        <v>4011/4012</v>
      </c>
      <c r="L160" s="25" t="str">
        <f>VLOOKUP(A160,'Trips&amp;Operators'!$C$1:$E$10000,3,FALSE)</f>
        <v>GOLIGHTLY</v>
      </c>
      <c r="M160" s="6">
        <f t="shared" si="68"/>
        <v>2.640046295709908E-2</v>
      </c>
      <c r="N160" s="7">
        <f t="shared" si="80"/>
        <v>38.016666658222675</v>
      </c>
      <c r="O160" s="7"/>
      <c r="P160" s="7"/>
      <c r="Q160" s="26"/>
      <c r="R160" s="26"/>
      <c r="S160" s="38">
        <f t="shared" si="81"/>
        <v>1</v>
      </c>
      <c r="T160" s="55" t="str">
        <f t="shared" si="69"/>
        <v>NorthBound</v>
      </c>
      <c r="U160" s="15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23:57:28-0600',mode:absolute,to:'2016-08-07 02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60" s="57" t="str">
        <f t="shared" si="71"/>
        <v>N</v>
      </c>
      <c r="X160" s="145">
        <f t="shared" si="66"/>
        <v>1</v>
      </c>
      <c r="Y160" s="72">
        <f t="shared" si="72"/>
        <v>4.5999999999999999E-2</v>
      </c>
      <c r="Z160" s="72">
        <f t="shared" si="73"/>
        <v>23.329699999999999</v>
      </c>
      <c r="AA160" s="72">
        <f t="shared" si="74"/>
        <v>23.2837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75"/>
        <v>0245-06</v>
      </c>
      <c r="AE160" s="115" t="str">
        <f t="shared" si="76"/>
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</c>
      <c r="AF160" s="112" t="str">
        <f t="shared" si="77"/>
        <v>"C:\Program Files (x86)\AstroGrep\AstroGrep.exe" /spath="%USERPROFILE%\AppData\Local\Temp\OnboardLogs" /stypes="*4011*20160807*" /stext=" 07:.+((SYSTEM_STATE.+slice.+state.+changed )|(ment ac)|(system.+state.+changed )|(\|lc)|(penalty)|(\[timeout)|(PRM\|1\|D)|(kpr)|(kdp))" /e /r /s</v>
      </c>
      <c r="AG160" s="1" t="str">
        <f t="shared" si="78"/>
        <v>EC</v>
      </c>
      <c r="AH160" s="116" t="str">
        <f t="shared" si="79"/>
        <v>"%USERPROFILE%\Documents\GitHub\eaglep3\Utilities\RefineRTDCRunTimes.py" --tripid 245-06 --locoid 4011 --swversion DE.1.0.7.0 --startMP 204:460 --initTime 2016-08-07T00:57:28 --startdatetime 2016-08-07T00:58:55 --delay 1 --endMP 204:233297 --enddatetime 2016-08-07T01:36:56 --enforcementcount 0</v>
      </c>
    </row>
    <row r="161" spans="1:34" x14ac:dyDescent="0.25">
      <c r="A161" s="25" t="s">
        <v>798</v>
      </c>
      <c r="B161" s="134">
        <v>4043</v>
      </c>
      <c r="C161" s="135" t="s">
        <v>156</v>
      </c>
      <c r="D161" s="135" t="s">
        <v>358</v>
      </c>
      <c r="E161" s="136">
        <v>42588.074166666665</v>
      </c>
      <c r="F161" s="136">
        <v>42588.074953703705</v>
      </c>
      <c r="G161" s="134">
        <v>1</v>
      </c>
      <c r="H161" s="136" t="s">
        <v>109</v>
      </c>
      <c r="I161" s="136">
        <v>42588.10659722222</v>
      </c>
      <c r="J161" s="134">
        <v>0</v>
      </c>
      <c r="K161" s="25" t="str">
        <f t="shared" si="67"/>
        <v>4043/4044</v>
      </c>
      <c r="L161" s="25" t="str">
        <f>VLOOKUP(A161,'Trips&amp;Operators'!$C$1:$E$10000,3,FALSE)</f>
        <v>LEVIN</v>
      </c>
      <c r="M161" s="6">
        <f t="shared" si="68"/>
        <v>3.1643518515920732E-2</v>
      </c>
      <c r="N161" s="7">
        <f t="shared" si="80"/>
        <v>45.566666662925854</v>
      </c>
      <c r="O161" s="7"/>
      <c r="P161" s="7"/>
      <c r="Q161" s="26"/>
      <c r="R161" s="26"/>
      <c r="S161" s="38">
        <f t="shared" si="81"/>
        <v>1</v>
      </c>
      <c r="T161" s="55" t="str">
        <f t="shared" si="69"/>
        <v>Southbound</v>
      </c>
      <c r="U161" s="15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61" s="57" t="str">
        <f t="shared" si="71"/>
        <v>N</v>
      </c>
      <c r="X161" s="145">
        <f t="shared" si="66"/>
        <v>1</v>
      </c>
      <c r="Y161" s="72">
        <f t="shared" si="72"/>
        <v>23.299199999999999</v>
      </c>
      <c r="Z161" s="72">
        <f t="shared" si="73"/>
        <v>1.5599999999999999E-2</v>
      </c>
      <c r="AA161" s="72">
        <f t="shared" si="74"/>
        <v>23.2836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75"/>
        <v>0246-05</v>
      </c>
      <c r="AE161" s="115" t="str">
        <f t="shared" si="76"/>
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</c>
      <c r="AF161" s="112" t="str">
        <f t="shared" si="77"/>
        <v>"C:\Program Files (x86)\AstroGrep\AstroGrep.exe" /spath="%USERPROFILE%\AppData\Local\Temp\OnboardLogs" /stypes="*4043*20160806*" /stext=" 08:.+((SYSTEM_STATE.+slice.+state.+changed )|(ment ac)|(system.+state.+changed )|(\|lc)|(penalty)|(\[timeout)|(PRM\|1\|D)|(kpr)|(kdp))" /e /r /s</v>
      </c>
      <c r="AG161" s="1" t="str">
        <f t="shared" si="78"/>
        <v>EC</v>
      </c>
      <c r="AH161" s="116" t="str">
        <f t="shared" si="79"/>
        <v>"%USERPROFILE%\Documents\GitHub\eaglep3\Utilities\RefineRTDCRunTimes.py" --tripid 246-05 --locoid 4043 --swversion DE.1.0.7.0 --startMP 204:232992 --initTime 2016-08-06T01:46:48 --startdatetime 2016-08-06T01:47:56 --delay 1 --endMP 204:156 --enddatetime 2016-08-06T02:33:30 --enforcementcount 0</v>
      </c>
    </row>
    <row r="162" spans="1:34" x14ac:dyDescent="0.25">
      <c r="A162" s="25" t="s">
        <v>799</v>
      </c>
      <c r="B162" s="134">
        <v>4012</v>
      </c>
      <c r="C162" s="135" t="s">
        <v>156</v>
      </c>
      <c r="D162" s="135" t="s">
        <v>299</v>
      </c>
      <c r="E162" s="136">
        <v>42589.073969907404</v>
      </c>
      <c r="F162" s="136">
        <v>42589.074930555558</v>
      </c>
      <c r="G162" s="134">
        <v>1</v>
      </c>
      <c r="H162" s="136" t="s">
        <v>58</v>
      </c>
      <c r="I162" s="136">
        <v>42589.108113425929</v>
      </c>
      <c r="J162" s="134">
        <v>1</v>
      </c>
      <c r="K162" s="25" t="str">
        <f t="shared" si="67"/>
        <v>4011/4012</v>
      </c>
      <c r="L162" s="25" t="str">
        <f>VLOOKUP(A162,'Trips&amp;Operators'!$C$1:$E$10000,3,FALSE)</f>
        <v>GOLIGHTLY</v>
      </c>
      <c r="M162" s="6">
        <f t="shared" si="68"/>
        <v>3.3182870371092577E-2</v>
      </c>
      <c r="N162" s="7">
        <f t="shared" si="80"/>
        <v>47.78333333437331</v>
      </c>
      <c r="O162" s="7"/>
      <c r="P162" s="7"/>
      <c r="Q162" s="26"/>
      <c r="R162" s="26"/>
      <c r="S162" s="38">
        <f t="shared" si="81"/>
        <v>1</v>
      </c>
      <c r="T162" s="55" t="str">
        <f t="shared" si="69"/>
        <v>Southbound</v>
      </c>
      <c r="U162" s="15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62" s="57" t="str">
        <f t="shared" si="71"/>
        <v>N</v>
      </c>
      <c r="X162" s="145">
        <f t="shared" si="66"/>
        <v>0</v>
      </c>
      <c r="Y162" s="72">
        <f t="shared" si="72"/>
        <v>23.297499999999999</v>
      </c>
      <c r="Z162" s="72">
        <f t="shared" si="73"/>
        <v>1.52E-2</v>
      </c>
      <c r="AA162" s="72">
        <f t="shared" si="74"/>
        <v>23.282299999999999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75"/>
        <v>0246-06</v>
      </c>
      <c r="AE162" s="115" t="str">
        <f t="shared" si="76"/>
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</c>
      <c r="AF162" s="112" t="str">
        <f t="shared" si="77"/>
        <v>"C:\Program Files (x86)\AstroGrep\AstroGrep.exe" /spath="%USERPROFILE%\AppData\Local\Temp\OnboardLogs" /stypes="*4012*20160807*" /stext=" 08:.+((SYSTEM_STATE.+slice.+state.+changed )|(ment ac)|(system.+state.+changed )|(\|lc)|(penalty)|(\[timeout)|(PRM\|1\|D)|(kpr)|(kdp))" /e /r /s</v>
      </c>
      <c r="AG162" s="1" t="str">
        <f t="shared" si="78"/>
        <v>EC</v>
      </c>
      <c r="AH162" s="116" t="str">
        <f t="shared" si="79"/>
        <v>"%USERPROFILE%\Documents\GitHub\eaglep3\Utilities\RefineRTDCRunTimes.py" --tripid 246-06 --locoid 4012 --swversion DE.1.0.7.0 --startMP 204:232975 --initTime 2016-08-07T01:46:31 --startdatetime 2016-08-07T01:47:54 --delay 1 --endMP 204:152 --enddatetime 2016-08-07T02:35:41 --enforcementcount 1</v>
      </c>
    </row>
    <row r="163" spans="1:34" x14ac:dyDescent="0.25">
      <c r="A163" s="25" t="s">
        <v>628</v>
      </c>
      <c r="B163" s="134">
        <v>4029</v>
      </c>
      <c r="C163" s="135" t="s">
        <v>156</v>
      </c>
      <c r="D163" s="135" t="s">
        <v>629</v>
      </c>
      <c r="E163" s="136">
        <v>42588.251747685186</v>
      </c>
      <c r="F163" s="136">
        <v>42588.252986111111</v>
      </c>
      <c r="G163" s="134">
        <v>1</v>
      </c>
      <c r="H163" s="136" t="s">
        <v>630</v>
      </c>
      <c r="I163" s="136">
        <v>42588.274502314816</v>
      </c>
      <c r="J163" s="134">
        <v>0</v>
      </c>
      <c r="K163" s="25" t="str">
        <f t="shared" si="67"/>
        <v>4029/4030</v>
      </c>
      <c r="L163" s="25" t="str">
        <f>VLOOKUP(A163,'Trips&amp;Operators'!$C$1:$E$10000,3,FALSE)</f>
        <v>YORK</v>
      </c>
      <c r="M163" s="6">
        <f t="shared" si="68"/>
        <v>2.1516203705687076E-2</v>
      </c>
      <c r="N163" s="7">
        <f t="shared" si="80"/>
        <v>30.983333336189389</v>
      </c>
      <c r="O163" s="7"/>
      <c r="P163" s="7"/>
      <c r="Q163" s="26"/>
      <c r="R163" s="26"/>
      <c r="S163" s="38">
        <f t="shared" si="81"/>
        <v>1</v>
      </c>
      <c r="T163" s="55" t="str">
        <f t="shared" si="69"/>
        <v>NorthBound</v>
      </c>
      <c r="U163" s="15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05:02:31-0600',mode:absolute,to:'2016-08-06 07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63" s="57" t="str">
        <f t="shared" si="71"/>
        <v>N</v>
      </c>
      <c r="X163" s="145">
        <f>VALUE(LEFT(AD163,4))-VALUE(LEFT(AD201,4))</f>
        <v>1486</v>
      </c>
      <c r="Y163" s="72">
        <f t="shared" si="72"/>
        <v>0.1128</v>
      </c>
      <c r="Z163" s="72">
        <f t="shared" si="73"/>
        <v>5.8944000000000001</v>
      </c>
      <c r="AA163" s="72">
        <f t="shared" si="74"/>
        <v>5.7816000000000001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75"/>
        <v>1801-06</v>
      </c>
      <c r="AE163" s="115" t="str">
        <f t="shared" si="76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63" s="112" t="str">
        <f t="shared" si="77"/>
        <v>"C:\Program Files (x86)\AstroGrep\AstroGrep.exe" /spath="%USERPROFILE%\AppData\Local\Temp\OnboardLogs" /stypes="*4029*20160806*" /stext=" 12:.+((SYSTEM_STATE.+slice.+state.+changed )|(ment ac)|(system.+state.+changed )|(\|lc)|(penalty)|(\[timeout)|(PRM\|1\|D)|(kpr)|(kdp))" /e /r /s</v>
      </c>
      <c r="AG163" s="1" t="str">
        <f t="shared" si="78"/>
        <v>NW</v>
      </c>
      <c r="AH163" s="116" t="str">
        <f t="shared" si="79"/>
        <v>"%USERPROFILE%\Documents\GitHub\eaglep3\Utilities\RefineRTDCRunTimes.py" --tripid 1801-06 --locoid 4029 --swversion DE.1.0.7.0 --startMP 204:1128 --initTime 2016-08-06T06:02:31 --startdatetime 2016-08-06T06:04:18 --delay 1 --endMP 300:58944 --enddatetime 2016-08-06T06:35:17 --enforcementcount 0</v>
      </c>
    </row>
    <row r="164" spans="1:34" x14ac:dyDescent="0.25">
      <c r="A164" s="25" t="s">
        <v>631</v>
      </c>
      <c r="B164" s="134">
        <v>4030</v>
      </c>
      <c r="C164" s="135" t="s">
        <v>156</v>
      </c>
      <c r="D164" s="135" t="s">
        <v>632</v>
      </c>
      <c r="E164" s="136">
        <v>42588.276307870372</v>
      </c>
      <c r="F164" s="136">
        <v>42588.276979166665</v>
      </c>
      <c r="G164" s="134">
        <v>0</v>
      </c>
      <c r="H164" s="136" t="s">
        <v>633</v>
      </c>
      <c r="I164" s="136">
        <v>42588.287858796299</v>
      </c>
      <c r="J164" s="134">
        <v>0</v>
      </c>
      <c r="K164" s="25" t="str">
        <f t="shared" si="67"/>
        <v>4029/4030</v>
      </c>
      <c r="L164" s="25" t="str">
        <f>VLOOKUP(A164,'Trips&amp;Operators'!$C$1:$E$10000,3,FALSE)</f>
        <v>YORK</v>
      </c>
      <c r="M164" s="6">
        <f t="shared" si="68"/>
        <v>1.0879629633564036E-2</v>
      </c>
      <c r="N164" s="7">
        <f t="shared" si="80"/>
        <v>15.666666672332212</v>
      </c>
      <c r="O164" s="7"/>
      <c r="P164" s="7"/>
      <c r="Q164" s="26"/>
      <c r="R164" s="26"/>
      <c r="S164" s="38">
        <f t="shared" si="81"/>
        <v>1</v>
      </c>
      <c r="T164" s="55" t="str">
        <f t="shared" si="69"/>
        <v>Southbound</v>
      </c>
      <c r="U164" s="15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05:37:53-0600',mode:absolute,to:'2016-08-06 07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64" s="57" t="str">
        <f t="shared" si="71"/>
        <v>N</v>
      </c>
      <c r="X164" s="145">
        <f t="shared" ref="X164:X192" si="82">VALUE(LEFT(AD164,4))-VALUE(LEFT(AD163,4))</f>
        <v>1</v>
      </c>
      <c r="Y164" s="72">
        <f t="shared" si="72"/>
        <v>5.8632</v>
      </c>
      <c r="Z164" s="72">
        <f t="shared" si="73"/>
        <v>8.43E-2</v>
      </c>
      <c r="AA164" s="72">
        <f t="shared" si="74"/>
        <v>5.7789000000000001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75"/>
        <v>1802-06</v>
      </c>
      <c r="AE164" s="115" t="str">
        <f t="shared" si="76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64" s="112" t="str">
        <f t="shared" si="77"/>
        <v>"C:\Program Files (x86)\AstroGrep\AstroGrep.exe" /spath="%USERPROFILE%\AppData\Local\Temp\OnboardLogs" /stypes="*4030*20160806*" /stext=" 12:.+((SYSTEM_STATE.+slice.+state.+changed )|(ment ac)|(system.+state.+changed )|(\|lc)|(penalty)|(\[timeout)|(PRM\|1\|D)|(kpr)|(kdp))" /e /r /s</v>
      </c>
      <c r="AG164" s="1" t="str">
        <f t="shared" si="78"/>
        <v>NW</v>
      </c>
      <c r="AH164" s="116" t="str">
        <f t="shared" si="79"/>
        <v>"%USERPROFILE%\Documents\GitHub\eaglep3\Utilities\RefineRTDCRunTimes.py" --tripid 1802-06 --locoid 4030 --swversion DE.1.0.7.0 --startMP 300:58632 --initTime 2016-08-06T06:37:53 --startdatetime 2016-08-06T06:38:51 --delay 0 --endMP 204:843 --enddatetime 2016-08-06T06:54:31 --enforcementcount 0</v>
      </c>
    </row>
    <row r="165" spans="1:34" x14ac:dyDescent="0.25">
      <c r="A165" s="25" t="s">
        <v>458</v>
      </c>
      <c r="B165" s="134">
        <v>4029</v>
      </c>
      <c r="C165" s="135" t="s">
        <v>156</v>
      </c>
      <c r="D165" s="135" t="s">
        <v>634</v>
      </c>
      <c r="E165" s="136">
        <v>42588.290219907409</v>
      </c>
      <c r="F165" s="136">
        <v>42588.291041666664</v>
      </c>
      <c r="G165" s="134">
        <v>1</v>
      </c>
      <c r="H165" s="136" t="s">
        <v>635</v>
      </c>
      <c r="I165" s="136">
        <v>42588.316527777781</v>
      </c>
      <c r="J165" s="134">
        <v>1</v>
      </c>
      <c r="K165" s="25" t="str">
        <f t="shared" si="67"/>
        <v>4029/4030</v>
      </c>
      <c r="L165" s="25" t="str">
        <f>VLOOKUP(A165,'Trips&amp;Operators'!$C$1:$E$10000,3,FALSE)</f>
        <v>YORK</v>
      </c>
      <c r="M165" s="6">
        <f t="shared" si="68"/>
        <v>2.5486111117061228E-2</v>
      </c>
      <c r="N165" s="7">
        <f t="shared" si="80"/>
        <v>36.700000008568168</v>
      </c>
      <c r="O165" s="7"/>
      <c r="P165" s="7"/>
      <c r="Q165" s="26"/>
      <c r="R165" s="26"/>
      <c r="S165" s="38">
        <f t="shared" si="81"/>
        <v>1</v>
      </c>
      <c r="T165" s="55" t="str">
        <f t="shared" si="69"/>
        <v>NorthBound</v>
      </c>
      <c r="U165" s="15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65" s="57" t="str">
        <f t="shared" si="71"/>
        <v>N</v>
      </c>
      <c r="X165" s="145">
        <f t="shared" si="82"/>
        <v>1</v>
      </c>
      <c r="Y165" s="72">
        <f t="shared" si="72"/>
        <v>0.1123</v>
      </c>
      <c r="Z165" s="72">
        <f t="shared" si="73"/>
        <v>5.8954000000000004</v>
      </c>
      <c r="AA165" s="72">
        <f t="shared" si="74"/>
        <v>5.7831000000000001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75"/>
        <v>1803-06</v>
      </c>
      <c r="AE165" s="115" t="str">
        <f t="shared" si="76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65" s="112" t="str">
        <f t="shared" si="77"/>
        <v>"C:\Program Files (x86)\AstroGrep\AstroGrep.exe" /spath="%USERPROFILE%\AppData\Local\Temp\OnboardLogs" /stypes="*4029*20160806*" /stext=" 13:.+((SYSTEM_STATE.+slice.+state.+changed )|(ment ac)|(system.+state.+changed )|(\|lc)|(penalty)|(\[timeout)|(PRM\|1\|D)|(kpr)|(kdp))" /e /r /s</v>
      </c>
      <c r="AG165" s="1" t="str">
        <f t="shared" si="78"/>
        <v>NW</v>
      </c>
      <c r="AH165" s="116" t="str">
        <f t="shared" si="79"/>
        <v>"%USERPROFILE%\Documents\GitHub\eaglep3\Utilities\RefineRTDCRunTimes.py" --tripid 1803-06 --locoid 4029 --swversion DE.1.0.7.0 --startMP 204:1123 --initTime 2016-08-06T06:57:55 --startdatetime 2016-08-06T06:59:06 --delay 1 --endMP 300:58954 --enddatetime 2016-08-06T07:35:48 --enforcementcount 1</v>
      </c>
    </row>
    <row r="166" spans="1:34" x14ac:dyDescent="0.25">
      <c r="A166" s="25" t="s">
        <v>636</v>
      </c>
      <c r="B166" s="134">
        <v>4030</v>
      </c>
      <c r="C166" s="135" t="s">
        <v>156</v>
      </c>
      <c r="D166" s="135" t="s">
        <v>637</v>
      </c>
      <c r="E166" s="136">
        <v>42588.317569444444</v>
      </c>
      <c r="F166" s="136">
        <v>42588.318483796298</v>
      </c>
      <c r="G166" s="134">
        <v>1</v>
      </c>
      <c r="H166" s="136" t="s">
        <v>638</v>
      </c>
      <c r="I166" s="136">
        <v>42588.329421296294</v>
      </c>
      <c r="J166" s="134">
        <v>0</v>
      </c>
      <c r="K166" s="25" t="str">
        <f t="shared" si="67"/>
        <v>4029/4030</v>
      </c>
      <c r="L166" s="25" t="str">
        <f>VLOOKUP(A166,'Trips&amp;Operators'!$C$1:$E$10000,3,FALSE)</f>
        <v>YORK</v>
      </c>
      <c r="M166" s="6">
        <f t="shared" si="68"/>
        <v>1.0937499995634425E-2</v>
      </c>
      <c r="N166" s="7">
        <f t="shared" si="80"/>
        <v>15.749999993713573</v>
      </c>
      <c r="O166" s="7"/>
      <c r="P166" s="7"/>
      <c r="Q166" s="26"/>
      <c r="R166" s="26"/>
      <c r="S166" s="38">
        <f t="shared" si="81"/>
        <v>1</v>
      </c>
      <c r="T166" s="55" t="str">
        <f t="shared" si="69"/>
        <v>Southbound</v>
      </c>
      <c r="U166" s="15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06:37:18-0600',mode:absolute,to:'2016-08-06 08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66" s="57" t="str">
        <f t="shared" si="71"/>
        <v>N</v>
      </c>
      <c r="X166" s="145">
        <f t="shared" si="82"/>
        <v>1</v>
      </c>
      <c r="Y166" s="72">
        <f t="shared" si="72"/>
        <v>5.8635999999999999</v>
      </c>
      <c r="Z166" s="72">
        <f t="shared" si="73"/>
        <v>8.9200000000000002E-2</v>
      </c>
      <c r="AA166" s="72">
        <f t="shared" si="74"/>
        <v>5.7744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75"/>
        <v>1804-06</v>
      </c>
      <c r="AE166" s="115" t="str">
        <f t="shared" si="76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66" s="112" t="str">
        <f t="shared" si="77"/>
        <v>"C:\Program Files (x86)\AstroGrep\AstroGrep.exe" /spath="%USERPROFILE%\AppData\Local\Temp\OnboardLogs" /stypes="*4030*20160806*" /stext=" 13:.+((SYSTEM_STATE.+slice.+state.+changed )|(ment ac)|(system.+state.+changed )|(\|lc)|(penalty)|(\[timeout)|(PRM\|1\|D)|(kpr)|(kdp))" /e /r /s</v>
      </c>
      <c r="AG166" s="1" t="str">
        <f t="shared" si="78"/>
        <v>NW</v>
      </c>
      <c r="AH166" s="116" t="str">
        <f t="shared" si="79"/>
        <v>"%USERPROFILE%\Documents\GitHub\eaglep3\Utilities\RefineRTDCRunTimes.py" --tripid 1804-06 --locoid 4030 --swversion DE.1.0.7.0 --startMP 300:58636 --initTime 2016-08-06T07:37:18 --startdatetime 2016-08-06T07:38:37 --delay 1 --endMP 204:892 --enddatetime 2016-08-06T07:54:22 --enforcementcount 0</v>
      </c>
    </row>
    <row r="167" spans="1:34" x14ac:dyDescent="0.25">
      <c r="A167" s="25" t="s">
        <v>460</v>
      </c>
      <c r="B167" s="134">
        <v>4029</v>
      </c>
      <c r="C167" s="135" t="s">
        <v>156</v>
      </c>
      <c r="D167" s="135" t="s">
        <v>639</v>
      </c>
      <c r="E167" s="136">
        <v>42588.332118055558</v>
      </c>
      <c r="F167" s="136">
        <v>42588.333402777775</v>
      </c>
      <c r="G167" s="134">
        <v>1</v>
      </c>
      <c r="H167" s="136" t="s">
        <v>640</v>
      </c>
      <c r="I167" s="136">
        <v>42588.358935185184</v>
      </c>
      <c r="J167" s="134">
        <v>1</v>
      </c>
      <c r="K167" s="25" t="str">
        <f t="shared" si="67"/>
        <v>4029/4030</v>
      </c>
      <c r="L167" s="25" t="str">
        <f>VLOOKUP(A167,'Trips&amp;Operators'!$C$1:$E$10000,3,FALSE)</f>
        <v>YORK</v>
      </c>
      <c r="M167" s="6">
        <f t="shared" si="68"/>
        <v>2.5532407409627922E-2</v>
      </c>
      <c r="N167" s="7">
        <f t="shared" si="80"/>
        <v>36.766666669864208</v>
      </c>
      <c r="O167" s="7"/>
      <c r="P167" s="7"/>
      <c r="Q167" s="26"/>
      <c r="R167" s="26"/>
      <c r="S167" s="38">
        <f t="shared" si="81"/>
        <v>1</v>
      </c>
      <c r="T167" s="55" t="str">
        <f t="shared" si="69"/>
        <v>NorthBound</v>
      </c>
      <c r="U167" s="15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67" s="57" t="str">
        <f t="shared" si="71"/>
        <v>N</v>
      </c>
      <c r="X167" s="145">
        <f t="shared" si="82"/>
        <v>1</v>
      </c>
      <c r="Y167" s="72">
        <f t="shared" si="72"/>
        <v>0.1191</v>
      </c>
      <c r="Z167" s="72">
        <f t="shared" si="73"/>
        <v>5.8943000000000003</v>
      </c>
      <c r="AA167" s="72">
        <f t="shared" si="74"/>
        <v>5.7751999999999999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75"/>
        <v>1805-06</v>
      </c>
      <c r="AE167" s="115" t="str">
        <f t="shared" si="76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67" s="112" t="str">
        <f t="shared" si="77"/>
        <v>"C:\Program Files (x86)\AstroGrep\AstroGrep.exe" /spath="%USERPROFILE%\AppData\Local\Temp\OnboardLogs" /stypes="*4029*20160806*" /stext=" 14:.+((SYSTEM_STATE.+slice.+state.+changed )|(ment ac)|(system.+state.+changed )|(\|lc)|(penalty)|(\[timeout)|(PRM\|1\|D)|(kpr)|(kdp))" /e /r /s</v>
      </c>
      <c r="AG167" s="1" t="str">
        <f t="shared" si="78"/>
        <v>NW</v>
      </c>
      <c r="AH167" s="116" t="str">
        <f t="shared" si="79"/>
        <v>"%USERPROFILE%\Documents\GitHub\eaglep3\Utilities\RefineRTDCRunTimes.py" --tripid 1805-06 --locoid 4029 --swversion DE.1.0.7.0 --startMP 204:1191 --initTime 2016-08-06T07:58:15 --startdatetime 2016-08-06T08:00:06 --delay 1 --endMP 300:58943 --enddatetime 2016-08-06T08:36:52 --enforcementcount 1</v>
      </c>
    </row>
    <row r="168" spans="1:34" x14ac:dyDescent="0.25">
      <c r="A168" s="25" t="s">
        <v>641</v>
      </c>
      <c r="B168" s="134">
        <v>4030</v>
      </c>
      <c r="C168" s="135" t="s">
        <v>156</v>
      </c>
      <c r="D168" s="135" t="s">
        <v>642</v>
      </c>
      <c r="E168" s="136">
        <v>42588.360092592593</v>
      </c>
      <c r="F168" s="136">
        <v>42588.361157407409</v>
      </c>
      <c r="G168" s="134">
        <v>1</v>
      </c>
      <c r="H168" s="136" t="s">
        <v>643</v>
      </c>
      <c r="I168" s="136">
        <v>42588.371006944442</v>
      </c>
      <c r="J168" s="134">
        <v>0</v>
      </c>
      <c r="K168" s="25" t="str">
        <f t="shared" si="67"/>
        <v>4029/4030</v>
      </c>
      <c r="L168" s="25" t="str">
        <f>VLOOKUP(A168,'Trips&amp;Operators'!$C$1:$E$10000,3,FALSE)</f>
        <v>YORK</v>
      </c>
      <c r="M168" s="6">
        <f t="shared" si="68"/>
        <v>9.8495370330056176E-3</v>
      </c>
      <c r="N168" s="7">
        <f t="shared" si="80"/>
        <v>14.183333327528089</v>
      </c>
      <c r="O168" s="7"/>
      <c r="P168" s="7"/>
      <c r="Q168" s="26"/>
      <c r="R168" s="26"/>
      <c r="S168" s="38">
        <f t="shared" si="81"/>
        <v>1</v>
      </c>
      <c r="T168" s="55" t="str">
        <f t="shared" si="69"/>
        <v>Southbound</v>
      </c>
      <c r="U168" s="15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07:38:32-0600',mode:absolute,to:'2016-08-06 09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68" s="57" t="str">
        <f t="shared" si="71"/>
        <v>N</v>
      </c>
      <c r="X168" s="145">
        <f t="shared" si="82"/>
        <v>1</v>
      </c>
      <c r="Y168" s="72">
        <f t="shared" si="72"/>
        <v>5.8624000000000001</v>
      </c>
      <c r="Z168" s="72">
        <f t="shared" si="73"/>
        <v>8.4099999999999994E-2</v>
      </c>
      <c r="AA168" s="72">
        <f t="shared" si="74"/>
        <v>5.7782999999999998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75"/>
        <v>1806-06</v>
      </c>
      <c r="AE168" s="115" t="str">
        <f t="shared" si="76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68" s="112" t="str">
        <f t="shared" si="77"/>
        <v>"C:\Program Files (x86)\AstroGrep\AstroGrep.exe" /spath="%USERPROFILE%\AppData\Local\Temp\OnboardLogs" /stypes="*4030*20160806*" /stext=" 14:.+((SYSTEM_STATE.+slice.+state.+changed )|(ment ac)|(system.+state.+changed )|(\|lc)|(penalty)|(\[timeout)|(PRM\|1\|D)|(kpr)|(kdp))" /e /r /s</v>
      </c>
      <c r="AG168" s="1" t="str">
        <f t="shared" si="78"/>
        <v>NW</v>
      </c>
      <c r="AH168" s="116" t="str">
        <f t="shared" si="79"/>
        <v>"%USERPROFILE%\Documents\GitHub\eaglep3\Utilities\RefineRTDCRunTimes.py" --tripid 1806-06 --locoid 4030 --swversion DE.1.0.7.0 --startMP 300:58624 --initTime 2016-08-06T08:38:32 --startdatetime 2016-08-06T08:40:04 --delay 1 --endMP 204:841 --enddatetime 2016-08-06T08:54:15 --enforcementcount 0</v>
      </c>
    </row>
    <row r="169" spans="1:34" x14ac:dyDescent="0.25">
      <c r="A169" s="25" t="s">
        <v>644</v>
      </c>
      <c r="B169" s="134">
        <v>4029</v>
      </c>
      <c r="C169" s="135" t="s">
        <v>156</v>
      </c>
      <c r="D169" s="135" t="s">
        <v>446</v>
      </c>
      <c r="E169" s="136">
        <v>42588.372928240744</v>
      </c>
      <c r="F169" s="136">
        <v>42588.373726851853</v>
      </c>
      <c r="G169" s="134">
        <v>1</v>
      </c>
      <c r="H169" s="136" t="s">
        <v>640</v>
      </c>
      <c r="I169" s="136">
        <v>42588.399444444447</v>
      </c>
      <c r="J169" s="134">
        <v>0</v>
      </c>
      <c r="K169" s="25" t="str">
        <f t="shared" si="67"/>
        <v>4029/4030</v>
      </c>
      <c r="L169" s="25" t="str">
        <f>VLOOKUP(A169,'Trips&amp;Operators'!$C$1:$E$10000,3,FALSE)</f>
        <v>YORK</v>
      </c>
      <c r="M169" s="6">
        <f t="shared" si="68"/>
        <v>2.5717592594446614E-2</v>
      </c>
      <c r="N169" s="7">
        <f t="shared" si="80"/>
        <v>37.033333336003125</v>
      </c>
      <c r="O169" s="7"/>
      <c r="P169" s="7"/>
      <c r="Q169" s="26"/>
      <c r="R169" s="26"/>
      <c r="S169" s="38">
        <f t="shared" si="81"/>
        <v>1</v>
      </c>
      <c r="T169" s="55" t="str">
        <f t="shared" si="69"/>
        <v>NorthBound</v>
      </c>
      <c r="U169" s="15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07:57:01-0600',mode:absolute,to:'2016-08-06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69" s="57" t="str">
        <f t="shared" si="71"/>
        <v>N</v>
      </c>
      <c r="X169" s="145">
        <f t="shared" si="82"/>
        <v>1</v>
      </c>
      <c r="Y169" s="72">
        <f t="shared" si="72"/>
        <v>0.1147</v>
      </c>
      <c r="Z169" s="72">
        <f t="shared" si="73"/>
        <v>5.8943000000000003</v>
      </c>
      <c r="AA169" s="72">
        <f t="shared" si="74"/>
        <v>5.7796000000000003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75"/>
        <v>1807-06</v>
      </c>
      <c r="AE169" s="115" t="str">
        <f t="shared" si="76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69" s="112" t="str">
        <f t="shared" si="77"/>
        <v>"C:\Program Files (x86)\AstroGrep\AstroGrep.exe" /spath="%USERPROFILE%\AppData\Local\Temp\OnboardLogs" /stypes="*4029*20160806*" /stext=" 15:.+((SYSTEM_STATE.+slice.+state.+changed )|(ment ac)|(system.+state.+changed )|(\|lc)|(penalty)|(\[timeout)|(PRM\|1\|D)|(kpr)|(kdp))" /e /r /s</v>
      </c>
      <c r="AG169" s="1" t="str">
        <f t="shared" si="78"/>
        <v>NW</v>
      </c>
      <c r="AH169" s="116" t="str">
        <f t="shared" si="79"/>
        <v>"%USERPROFILE%\Documents\GitHub\eaglep3\Utilities\RefineRTDCRunTimes.py" --tripid 1807-06 --locoid 4029 --swversion DE.1.0.7.0 --startMP 204:1147 --initTime 2016-08-06T08:57:01 --startdatetime 2016-08-06T08:58:10 --delay 1 --endMP 300:58943 --enddatetime 2016-08-06T09:35:12 --enforcementcount 0</v>
      </c>
    </row>
    <row r="170" spans="1:34" x14ac:dyDescent="0.25">
      <c r="A170" s="25" t="s">
        <v>645</v>
      </c>
      <c r="B170" s="134">
        <v>4030</v>
      </c>
      <c r="C170" s="135" t="s">
        <v>156</v>
      </c>
      <c r="D170" s="135" t="s">
        <v>632</v>
      </c>
      <c r="E170" s="136">
        <v>42588.400706018518</v>
      </c>
      <c r="F170" s="136">
        <v>42588.401516203703</v>
      </c>
      <c r="G170" s="134">
        <v>1</v>
      </c>
      <c r="H170" s="136" t="s">
        <v>646</v>
      </c>
      <c r="I170" s="136">
        <v>42588.409918981481</v>
      </c>
      <c r="J170" s="134">
        <v>0</v>
      </c>
      <c r="K170" s="25" t="str">
        <f t="shared" si="67"/>
        <v>4029/4030</v>
      </c>
      <c r="L170" s="25" t="str">
        <f>VLOOKUP(A170,'Trips&amp;Operators'!$C$1:$E$10000,3,FALSE)</f>
        <v>YORK</v>
      </c>
      <c r="M170" s="6">
        <f t="shared" si="68"/>
        <v>8.4027777775190771E-3</v>
      </c>
      <c r="N170" s="7">
        <f t="shared" si="80"/>
        <v>12.099999999627471</v>
      </c>
      <c r="O170" s="7"/>
      <c r="P170" s="7"/>
      <c r="Q170" s="26"/>
      <c r="R170" s="26"/>
      <c r="S170" s="38">
        <f t="shared" si="81"/>
        <v>1</v>
      </c>
      <c r="T170" s="55" t="str">
        <f t="shared" si="69"/>
        <v>Southbound</v>
      </c>
      <c r="U170" s="15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08:37:01-0600',mode:absolute,to:'2016-08-06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70" s="57" t="str">
        <f t="shared" si="71"/>
        <v>N</v>
      </c>
      <c r="X170" s="145">
        <f t="shared" si="82"/>
        <v>1</v>
      </c>
      <c r="Y170" s="72">
        <f t="shared" si="72"/>
        <v>5.8632</v>
      </c>
      <c r="Z170" s="72">
        <v>0.08</v>
      </c>
      <c r="AA170" s="72">
        <f t="shared" si="74"/>
        <v>5.7831999999999999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75"/>
        <v>1808-06</v>
      </c>
      <c r="AE170" s="115" t="str">
        <f t="shared" si="76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70" s="112" t="str">
        <f t="shared" si="77"/>
        <v>"C:\Program Files (x86)\AstroGrep\AstroGrep.exe" /spath="%USERPROFILE%\AppData\Local\Temp\OnboardLogs" /stypes="*4030*20160806*" /stext=" 15:.+((SYSTEM_STATE.+slice.+state.+changed )|(ment ac)|(system.+state.+changed )|(\|lc)|(penalty)|(\[timeout)|(PRM\|1\|D)|(kpr)|(kdp))" /e /r /s</v>
      </c>
      <c r="AG170" s="1" t="str">
        <f t="shared" si="78"/>
        <v>NW</v>
      </c>
      <c r="AH170" s="116" t="str">
        <f t="shared" si="79"/>
        <v>"%USERPROFILE%\Documents\GitHub\eaglep3\Utilities\RefineRTDCRunTimes.py" --tripid 1808-06 --locoid 4030 --swversion DE.1.0.7.0 --startMP 300:58632 --initTime 2016-08-06T09:37:01 --startdatetime 2016-08-06T09:38:11 --delay 1 --endMP 300:14044 --enddatetime 2016-08-06T09:50:17 --enforcementcount 0</v>
      </c>
    </row>
    <row r="171" spans="1:34" x14ac:dyDescent="0.25">
      <c r="A171" s="25" t="s">
        <v>647</v>
      </c>
      <c r="B171" s="134">
        <v>4029</v>
      </c>
      <c r="C171" s="135" t="s">
        <v>156</v>
      </c>
      <c r="D171" s="135" t="s">
        <v>648</v>
      </c>
      <c r="E171" s="136">
        <v>42588.416365740741</v>
      </c>
      <c r="F171" s="136">
        <v>42588.417175925926</v>
      </c>
      <c r="G171" s="134">
        <v>1</v>
      </c>
      <c r="H171" s="136" t="s">
        <v>649</v>
      </c>
      <c r="I171" s="136">
        <v>42588.441921296297</v>
      </c>
      <c r="J171" s="134">
        <v>0</v>
      </c>
      <c r="K171" s="25" t="str">
        <f t="shared" si="67"/>
        <v>4029/4030</v>
      </c>
      <c r="L171" s="25" t="str">
        <f>VLOOKUP(A171,'Trips&amp;Operators'!$C$1:$E$10000,3,FALSE)</f>
        <v>YORK</v>
      </c>
      <c r="M171" s="6">
        <f t="shared" si="68"/>
        <v>2.47453703705105E-2</v>
      </c>
      <c r="N171" s="7">
        <f t="shared" si="80"/>
        <v>35.63333333353512</v>
      </c>
      <c r="O171" s="7"/>
      <c r="P171" s="7"/>
      <c r="Q171" s="26"/>
      <c r="R171" s="26"/>
      <c r="S171" s="38">
        <f t="shared" si="81"/>
        <v>1</v>
      </c>
      <c r="T171" s="55" t="str">
        <f t="shared" si="69"/>
        <v>NorthBound</v>
      </c>
      <c r="U171" s="15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08:59:34-0600',mode:absolute,to:'2016-08-06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71" s="57" t="str">
        <f t="shared" si="71"/>
        <v>N</v>
      </c>
      <c r="X171" s="145">
        <f t="shared" si="82"/>
        <v>1</v>
      </c>
      <c r="Y171" s="72">
        <f t="shared" si="72"/>
        <v>0.11260000000000001</v>
      </c>
      <c r="Z171" s="72">
        <f t="shared" ref="Z171:Z192" si="83">RIGHT(H171,LEN(H171)-4)/10000</f>
        <v>5.8933</v>
      </c>
      <c r="AA171" s="72">
        <f t="shared" si="74"/>
        <v>5.7807000000000004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75"/>
        <v>1809-06</v>
      </c>
      <c r="AE171" s="115" t="str">
        <f t="shared" si="76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71" s="112" t="str">
        <f t="shared" si="77"/>
        <v>"C:\Program Files (x86)\AstroGrep\AstroGrep.exe" /spath="%USERPROFILE%\AppData\Local\Temp\OnboardLogs" /stypes="*4029*20160806*" /stext=" 16:.+((SYSTEM_STATE.+slice.+state.+changed )|(ment ac)|(system.+state.+changed )|(\|lc)|(penalty)|(\[timeout)|(PRM\|1\|D)|(kpr)|(kdp))" /e /r /s</v>
      </c>
      <c r="AG171" s="1" t="str">
        <f t="shared" si="78"/>
        <v>NW</v>
      </c>
      <c r="AH171" s="116" t="str">
        <f t="shared" si="79"/>
        <v>"%USERPROFILE%\Documents\GitHub\eaglep3\Utilities\RefineRTDCRunTimes.py" --tripid 1809-06 --locoid 4029 --swversion DE.1.0.7.0 --startMP 204:1126 --initTime 2016-08-06T09:59:34 --startdatetime 2016-08-06T10:00:44 --delay 1 --endMP 300:58933 --enddatetime 2016-08-06T10:36:22 --enforcementcount 0</v>
      </c>
    </row>
    <row r="172" spans="1:34" x14ac:dyDescent="0.25">
      <c r="A172" s="25" t="s">
        <v>652</v>
      </c>
      <c r="B172" s="134">
        <v>4030</v>
      </c>
      <c r="C172" s="135" t="s">
        <v>156</v>
      </c>
      <c r="D172" s="135" t="s">
        <v>653</v>
      </c>
      <c r="E172" s="136">
        <v>42588.442719907405</v>
      </c>
      <c r="F172" s="136">
        <v>42588.443414351852</v>
      </c>
      <c r="G172" s="134">
        <v>0</v>
      </c>
      <c r="H172" s="136" t="s">
        <v>654</v>
      </c>
      <c r="I172" s="136">
        <v>42588.45453703704</v>
      </c>
      <c r="J172" s="134">
        <v>0</v>
      </c>
      <c r="K172" s="25" t="str">
        <f t="shared" si="67"/>
        <v>4029/4030</v>
      </c>
      <c r="L172" s="25" t="str">
        <f>VLOOKUP(A172,'Trips&amp;Operators'!$C$1:$E$10000,3,FALSE)</f>
        <v>YORK</v>
      </c>
      <c r="M172" s="6">
        <f t="shared" si="68"/>
        <v>1.1122685187729076E-2</v>
      </c>
      <c r="N172" s="7">
        <f t="shared" si="80"/>
        <v>16.016666670329869</v>
      </c>
      <c r="O172" s="7"/>
      <c r="P172" s="7"/>
      <c r="Q172" s="26"/>
      <c r="R172" s="26"/>
      <c r="S172" s="38">
        <f t="shared" si="81"/>
        <v>1</v>
      </c>
      <c r="T172" s="55" t="str">
        <f t="shared" si="69"/>
        <v>Southbound</v>
      </c>
      <c r="U172" s="15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22" t="str">
        <f t="shared" si="70"/>
        <v>https://search-rtdc-monitor-bjffxe2xuh6vdkpspy63sjmuny.us-east-1.es.amazonaws.com/_plugin/kibana/#/discover/Steve-Slow-Train-Analysis-(2080s-and-2083s)?_g=(refreshInterval:(display:Off,section:0,value:0),time:(from:'2016-08-06 09:37:31-0600',mode:absolute,to:'2016-08-06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72" s="57" t="str">
        <f t="shared" si="71"/>
        <v>N</v>
      </c>
      <c r="X172" s="145">
        <f t="shared" si="82"/>
        <v>1</v>
      </c>
      <c r="Y172" s="72">
        <f t="shared" si="72"/>
        <v>5.8619000000000003</v>
      </c>
      <c r="Z172" s="72">
        <f t="shared" si="83"/>
        <v>8.5300000000000001E-2</v>
      </c>
      <c r="AA172" s="72">
        <f t="shared" si="74"/>
        <v>5.7766000000000002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75"/>
        <v>1810-06</v>
      </c>
      <c r="AE172" s="115" t="str">
        <f t="shared" si="76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72" s="112" t="str">
        <f t="shared" si="77"/>
        <v>"C:\Program Files (x86)\AstroGrep\AstroGrep.exe" /spath="%USERPROFILE%\AppData\Local\Temp\OnboardLogs" /stypes="*4030*20160806*" /stext=" 16:.+((SYSTEM_STATE.+slice.+state.+changed )|(ment ac)|(system.+state.+changed )|(\|lc)|(penalty)|(\[timeout)|(PRM\|1\|D)|(kpr)|(kdp))" /e /r /s</v>
      </c>
      <c r="AG172" s="1" t="str">
        <f t="shared" si="78"/>
        <v>NW</v>
      </c>
      <c r="AH172" s="116" t="str">
        <f t="shared" si="79"/>
        <v>"%USERPROFILE%\Documents\GitHub\eaglep3\Utilities\RefineRTDCRunTimes.py" --tripid 1810-06 --locoid 4030 --swversion DE.1.0.7.0 --startMP 300:58619 --initTime 2016-08-06T10:37:31 --startdatetime 2016-08-06T10:38:31 --delay 0 --endMP 204:853 --enddatetime 2016-08-06T10:54:32 --enforcementcount 0</v>
      </c>
    </row>
    <row r="173" spans="1:34" x14ac:dyDescent="0.25">
      <c r="A173" s="25" t="s">
        <v>655</v>
      </c>
      <c r="B173" s="134">
        <v>4029</v>
      </c>
      <c r="C173" s="135" t="s">
        <v>156</v>
      </c>
      <c r="D173" s="135" t="s">
        <v>448</v>
      </c>
      <c r="E173" s="136">
        <v>42588.456307870372</v>
      </c>
      <c r="F173" s="136">
        <v>42588.457083333335</v>
      </c>
      <c r="G173" s="134">
        <v>1</v>
      </c>
      <c r="H173" s="136" t="s">
        <v>443</v>
      </c>
      <c r="I173" s="136">
        <v>42588.482268518521</v>
      </c>
      <c r="J173" s="134">
        <v>0</v>
      </c>
      <c r="K173" s="25" t="str">
        <f t="shared" ref="K173:K192" si="84">IF(ISEVEN(B173),(B173-1)&amp;"/"&amp;B173,B173&amp;"/"&amp;(B173+1))</f>
        <v>4029/4030</v>
      </c>
      <c r="L173" s="25" t="str">
        <f>VLOOKUP(A173,'Trips&amp;Operators'!$C$1:$E$10000,3,FALSE)</f>
        <v>YORK</v>
      </c>
      <c r="M173" s="6">
        <f t="shared" ref="M173:M192" si="85">I173-F173</f>
        <v>2.5185185186273884E-2</v>
      </c>
      <c r="N173" s="7">
        <f t="shared" si="80"/>
        <v>36.266666668234393</v>
      </c>
      <c r="O173" s="7"/>
      <c r="P173" s="7"/>
      <c r="Q173" s="26"/>
      <c r="R173" s="26"/>
      <c r="S173" s="38">
        <f t="shared" si="81"/>
        <v>1</v>
      </c>
      <c r="T173" s="55" t="str">
        <f t="shared" ref="T173:T192" si="86">IF(ISEVEN(LEFT(AD173,4)),"Southbound","NorthBound")</f>
        <v>NorthBound</v>
      </c>
      <c r="U173" s="15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22" t="str">
        <f t="shared" ref="V173:V192" si="87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https://search-rtdc-monitor-bjffxe2xuh6vdkpspy63sjmuny.us-east-1.es.amazonaws.com/_plugin/kibana/#/discover/Steve-Slow-Train-Analysis-(2080s-and-2083s)?_g=(refreshInterval:(display:Off,section:0,value:0),time:(from:'2016-08-06 09:57:05-0600',mode:absolute,to:'2016-08-06 12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73" s="57" t="str">
        <f t="shared" ref="W173:W192" si="88">IF(AA173&lt;IF(AG173="EC",23,5.65),"Y","N")</f>
        <v>N</v>
      </c>
      <c r="X173" s="145">
        <f t="shared" si="82"/>
        <v>1</v>
      </c>
      <c r="Y173" s="72">
        <f t="shared" ref="Y173:Y192" si="89">RIGHT(D173,LEN(D173)-4)/10000</f>
        <v>0.1149</v>
      </c>
      <c r="Z173" s="72">
        <f t="shared" si="83"/>
        <v>5.8940999999999999</v>
      </c>
      <c r="AA173" s="72">
        <f t="shared" ref="AA173:AA192" si="90">ABS(Z173-Y173)</f>
        <v>5.7791999999999994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ref="AD173:AD192" si="91">IF(LEN(A173)=6,"0"&amp;A173,A173)</f>
        <v>1811-06</v>
      </c>
      <c r="AE173" s="115" t="str">
        <f t="shared" ref="AE173:AE203" si="92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73" s="112" t="str">
        <f t="shared" ref="AF173:AF203" si="93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/stypes="*4029*20160806*" /stext=" 17:.+((SYSTEM_STATE.+slice.+state.+changed )|(ment ac)|(system.+state.+changed )|(\|lc)|(penalty)|(\[timeout)|(PRM\|1\|D)|(kpr)|(kdp))" /e /r /s</v>
      </c>
      <c r="AG173" s="1" t="str">
        <f t="shared" ref="AG173:AG192" si="94">IF(VALUE(LEFT(AD173,2))&lt;=2,"EC",IF(OR(VALUE(LEFT(AD173,2))=8,VALUE(LEFT(AD173,2))=18),"NW","GL"))</f>
        <v>NW</v>
      </c>
      <c r="AH173" s="116" t="str">
        <f t="shared" ref="AH173:AH203" si="95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</f>
        <v>"%USERPROFILE%\Documents\GitHub\eaglep3\Utilities\RefineRTDCRunTimes.py" --tripid 1811-06 --locoid 4029 --swversion DE.1.0.7.0 --startMP 204:1149 --initTime 2016-08-06T10:57:05 --startdatetime 2016-08-06T10:58:12 --delay 1 --endMP 300:58941 --enddatetime 2016-08-06T11:34:28 --enforcementcount 0</v>
      </c>
    </row>
    <row r="174" spans="1:34" x14ac:dyDescent="0.25">
      <c r="A174" s="25" t="s">
        <v>656</v>
      </c>
      <c r="B174" s="134">
        <v>4030</v>
      </c>
      <c r="C174" s="135" t="s">
        <v>156</v>
      </c>
      <c r="D174" s="135" t="s">
        <v>657</v>
      </c>
      <c r="E174" s="136">
        <v>42588.483275462961</v>
      </c>
      <c r="F174" s="136">
        <v>42588.4841087963</v>
      </c>
      <c r="G174" s="134">
        <v>1</v>
      </c>
      <c r="H174" s="136" t="s">
        <v>658</v>
      </c>
      <c r="I174" s="136">
        <v>42588.496354166666</v>
      </c>
      <c r="J174" s="134">
        <v>0</v>
      </c>
      <c r="K174" s="25" t="str">
        <f t="shared" si="84"/>
        <v>4029/4030</v>
      </c>
      <c r="L174" s="25" t="str">
        <f>VLOOKUP(A174,'Trips&amp;Operators'!$C$1:$E$10000,3,FALSE)</f>
        <v>YORK</v>
      </c>
      <c r="M174" s="6">
        <f t="shared" si="85"/>
        <v>1.2245370366144925E-2</v>
      </c>
      <c r="N174" s="7">
        <f t="shared" si="80"/>
        <v>17.633333327248693</v>
      </c>
      <c r="O174" s="7"/>
      <c r="P174" s="7"/>
      <c r="Q174" s="26"/>
      <c r="R174" s="26"/>
      <c r="S174" s="38">
        <f t="shared" si="81"/>
        <v>1</v>
      </c>
      <c r="T174" s="55" t="str">
        <f t="shared" si="86"/>
        <v>Southbound</v>
      </c>
      <c r="U174" s="15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10:35:55-0600',mode:absolute,to:'2016-08-06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74" s="57" t="str">
        <f t="shared" si="88"/>
        <v>N</v>
      </c>
      <c r="X174" s="145">
        <f t="shared" si="82"/>
        <v>1</v>
      </c>
      <c r="Y174" s="72">
        <f t="shared" si="89"/>
        <v>5.8620999999999999</v>
      </c>
      <c r="Z174" s="72">
        <f t="shared" si="83"/>
        <v>8.4599999999999995E-2</v>
      </c>
      <c r="AA174" s="72">
        <f t="shared" si="90"/>
        <v>5.7774999999999999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91"/>
        <v>1812-06</v>
      </c>
      <c r="AE174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74" s="112" t="str">
        <f t="shared" si="93"/>
        <v>"C:\Program Files (x86)\AstroGrep\AstroGrep.exe" /spath="%USERPROFILE%\AppData\Local\Temp\OnboardLogs" /stypes="*4030*20160806*" /stext=" 17:.+((SYSTEM_STATE.+slice.+state.+changed )|(ment ac)|(system.+state.+changed )|(\|lc)|(penalty)|(\[timeout)|(PRM\|1\|D)|(kpr)|(kdp))" /e /r /s</v>
      </c>
      <c r="AG174" s="1" t="str">
        <f t="shared" si="94"/>
        <v>NW</v>
      </c>
      <c r="AH174" s="116" t="str">
        <f t="shared" si="95"/>
        <v>"%USERPROFILE%\Documents\GitHub\eaglep3\Utilities\RefineRTDCRunTimes.py" --tripid 1812-06 --locoid 4030 --swversion DE.1.0.7.0 --startMP 300:58621 --initTime 2016-08-06T11:35:55 --startdatetime 2016-08-06T11:37:07 --delay 1 --endMP 204:846 --enddatetime 2016-08-06T11:54:45 --enforcementcount 0</v>
      </c>
    </row>
    <row r="175" spans="1:34" x14ac:dyDescent="0.25">
      <c r="A175" s="25" t="s">
        <v>659</v>
      </c>
      <c r="B175" s="134">
        <v>4029</v>
      </c>
      <c r="C175" s="135" t="s">
        <v>156</v>
      </c>
      <c r="D175" s="135" t="s">
        <v>660</v>
      </c>
      <c r="E175" s="136">
        <v>42588.497615740744</v>
      </c>
      <c r="F175" s="136">
        <v>42588.498425925929</v>
      </c>
      <c r="G175" s="134">
        <v>1</v>
      </c>
      <c r="H175" s="136" t="s">
        <v>447</v>
      </c>
      <c r="I175" s="136">
        <v>42588.524513888886</v>
      </c>
      <c r="J175" s="134">
        <v>0</v>
      </c>
      <c r="K175" s="25" t="str">
        <f t="shared" si="84"/>
        <v>4029/4030</v>
      </c>
      <c r="L175" s="25" t="str">
        <f>VLOOKUP(A175,'Trips&amp;Operators'!$C$1:$E$10000,3,FALSE)</f>
        <v>YORK</v>
      </c>
      <c r="M175" s="6">
        <f t="shared" si="85"/>
        <v>2.6087962956808042E-2</v>
      </c>
      <c r="N175" s="7">
        <f t="shared" si="80"/>
        <v>37.56666665780358</v>
      </c>
      <c r="O175" s="7"/>
      <c r="P175" s="7"/>
      <c r="Q175" s="26"/>
      <c r="R175" s="26"/>
      <c r="S175" s="38">
        <f t="shared" si="81"/>
        <v>1</v>
      </c>
      <c r="T175" s="55" t="str">
        <f t="shared" si="86"/>
        <v>NorthBound</v>
      </c>
      <c r="U175" s="15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10:56:34-0600',mode:absolute,to:'2016-08-06 13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75" s="57" t="str">
        <f t="shared" si="88"/>
        <v>N</v>
      </c>
      <c r="X175" s="145">
        <f t="shared" si="82"/>
        <v>1</v>
      </c>
      <c r="Y175" s="72">
        <f t="shared" si="89"/>
        <v>0.1144</v>
      </c>
      <c r="Z175" s="72">
        <f t="shared" si="83"/>
        <v>5.8945999999999996</v>
      </c>
      <c r="AA175" s="72">
        <f t="shared" si="90"/>
        <v>5.7801999999999998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91"/>
        <v>1813-06</v>
      </c>
      <c r="AE175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75" s="112" t="str">
        <f t="shared" si="93"/>
        <v>"C:\Program Files (x86)\AstroGrep\AstroGrep.exe" /spath="%USERPROFILE%\AppData\Local\Temp\OnboardLogs" /stypes="*4029*20160806*" /stext=" 18:.+((SYSTEM_STATE.+slice.+state.+changed )|(ment ac)|(system.+state.+changed )|(\|lc)|(penalty)|(\[timeout)|(PRM\|1\|D)|(kpr)|(kdp))" /e /r /s</v>
      </c>
      <c r="AG175" s="1" t="str">
        <f t="shared" si="94"/>
        <v>NW</v>
      </c>
      <c r="AH175" s="116" t="str">
        <f t="shared" si="95"/>
        <v>"%USERPROFILE%\Documents\GitHub\eaglep3\Utilities\RefineRTDCRunTimes.py" --tripid 1813-06 --locoid 4029 --swversion DE.1.0.7.0 --startMP 204:1144 --initTime 2016-08-06T11:56:34 --startdatetime 2016-08-06T11:57:44 --delay 1 --endMP 300:58946 --enddatetime 2016-08-06T12:35:18 --enforcementcount 0</v>
      </c>
    </row>
    <row r="176" spans="1:34" x14ac:dyDescent="0.25">
      <c r="A176" s="25" t="s">
        <v>471</v>
      </c>
      <c r="B176" s="134">
        <v>4030</v>
      </c>
      <c r="C176" s="135" t="s">
        <v>156</v>
      </c>
      <c r="D176" s="135" t="s">
        <v>444</v>
      </c>
      <c r="E176" s="136">
        <v>42588.526458333334</v>
      </c>
      <c r="F176" s="136">
        <v>42588.527337962965</v>
      </c>
      <c r="G176" s="134">
        <v>1</v>
      </c>
      <c r="H176" s="136" t="s">
        <v>654</v>
      </c>
      <c r="I176" s="136">
        <v>42588.538576388892</v>
      </c>
      <c r="J176" s="134">
        <v>1</v>
      </c>
      <c r="K176" s="25" t="str">
        <f t="shared" si="84"/>
        <v>4029/4030</v>
      </c>
      <c r="L176" s="25" t="str">
        <f>VLOOKUP(A176,'Trips&amp;Operators'!$C$1:$E$10000,3,FALSE)</f>
        <v>YORK</v>
      </c>
      <c r="M176" s="6">
        <f t="shared" si="85"/>
        <v>1.1238425926421769E-2</v>
      </c>
      <c r="N176" s="7">
        <f t="shared" si="80"/>
        <v>16.183333334047347</v>
      </c>
      <c r="O176" s="7"/>
      <c r="P176" s="7"/>
      <c r="Q176" s="26"/>
      <c r="R176" s="26"/>
      <c r="S176" s="38">
        <f t="shared" si="81"/>
        <v>1</v>
      </c>
      <c r="T176" s="55" t="str">
        <f t="shared" si="86"/>
        <v>Southbound</v>
      </c>
      <c r="U176" s="15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76" s="57" t="str">
        <f t="shared" si="88"/>
        <v>N</v>
      </c>
      <c r="X176" s="145">
        <f t="shared" si="82"/>
        <v>1</v>
      </c>
      <c r="Y176" s="72">
        <f t="shared" si="89"/>
        <v>5.8625999999999996</v>
      </c>
      <c r="Z176" s="72">
        <f t="shared" si="83"/>
        <v>8.5300000000000001E-2</v>
      </c>
      <c r="AA176" s="72">
        <f t="shared" si="90"/>
        <v>5.7772999999999994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91"/>
        <v>1814-06</v>
      </c>
      <c r="AE176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76" s="112" t="str">
        <f t="shared" si="93"/>
        <v>"C:\Program Files (x86)\AstroGrep\AstroGrep.exe" /spath="%USERPROFILE%\AppData\Local\Temp\OnboardLogs" /stypes="*4030*20160806*" /stext=" 18:.+((SYSTEM_STATE.+slice.+state.+changed )|(ment ac)|(system.+state.+changed )|(\|lc)|(penalty)|(\[timeout)|(PRM\|1\|D)|(kpr)|(kdp))" /e /r /s</v>
      </c>
      <c r="AG176" s="1" t="str">
        <f t="shared" si="94"/>
        <v>NW</v>
      </c>
      <c r="AH176" s="116" t="str">
        <f t="shared" si="95"/>
        <v>"%USERPROFILE%\Documents\GitHub\eaglep3\Utilities\RefineRTDCRunTimes.py" --tripid 1814-06 --locoid 4030 --swversion DE.1.0.7.0 --startMP 300:58626 --initTime 2016-08-06T12:38:06 --startdatetime 2016-08-06T12:39:22 --delay 1 --endMP 204:853 --enddatetime 2016-08-06T12:55:33 --enforcementcount 1</v>
      </c>
    </row>
    <row r="177" spans="1:34" x14ac:dyDescent="0.25">
      <c r="A177" s="25" t="s">
        <v>661</v>
      </c>
      <c r="B177" s="134">
        <v>4029</v>
      </c>
      <c r="C177" s="135" t="s">
        <v>156</v>
      </c>
      <c r="D177" s="135" t="s">
        <v>662</v>
      </c>
      <c r="E177" s="136">
        <v>42588.540578703702</v>
      </c>
      <c r="F177" s="136">
        <v>42588.541284722225</v>
      </c>
      <c r="G177" s="134">
        <v>1</v>
      </c>
      <c r="H177" s="136" t="s">
        <v>663</v>
      </c>
      <c r="I177" s="136">
        <v>42588.566423611112</v>
      </c>
      <c r="J177" s="134">
        <v>0</v>
      </c>
      <c r="K177" s="25" t="str">
        <f t="shared" si="84"/>
        <v>4029/4030</v>
      </c>
      <c r="L177" s="25" t="str">
        <f>VLOOKUP(A177,'Trips&amp;Operators'!$C$1:$E$10000,3,FALSE)</f>
        <v>YORK</v>
      </c>
      <c r="M177" s="6">
        <f t="shared" si="85"/>
        <v>2.5138888886431232E-2</v>
      </c>
      <c r="N177" s="7">
        <f t="shared" si="80"/>
        <v>36.199999996460974</v>
      </c>
      <c r="O177" s="7"/>
      <c r="P177" s="7"/>
      <c r="Q177" s="26"/>
      <c r="R177" s="26"/>
      <c r="S177" s="38">
        <f t="shared" si="81"/>
        <v>1</v>
      </c>
      <c r="T177" s="55" t="str">
        <f t="shared" si="86"/>
        <v>NorthBound</v>
      </c>
      <c r="U177" s="15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11:58:26-0600',mode:absolute,to:'2016-08-06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77" s="57" t="str">
        <f t="shared" si="88"/>
        <v>N</v>
      </c>
      <c r="X177" s="145">
        <f t="shared" si="82"/>
        <v>1</v>
      </c>
      <c r="Y177" s="72">
        <f t="shared" si="89"/>
        <v>0.1133</v>
      </c>
      <c r="Z177" s="72">
        <f t="shared" si="83"/>
        <v>5.8939000000000004</v>
      </c>
      <c r="AA177" s="72">
        <f t="shared" si="90"/>
        <v>5.7806000000000006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91"/>
        <v>1815-06</v>
      </c>
      <c r="AE177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77" s="112" t="str">
        <f t="shared" si="93"/>
        <v>"C:\Program Files (x86)\AstroGrep\AstroGrep.exe" /spath="%USERPROFILE%\AppData\Local\Temp\OnboardLogs" /stypes="*4029*20160806*" /stext=" 19:.+((SYSTEM_STATE.+slice.+state.+changed )|(ment ac)|(system.+state.+changed )|(\|lc)|(penalty)|(\[timeout)|(PRM\|1\|D)|(kpr)|(kdp))" /e /r /s</v>
      </c>
      <c r="AG177" s="1" t="str">
        <f t="shared" si="94"/>
        <v>NW</v>
      </c>
      <c r="AH177" s="116" t="str">
        <f t="shared" si="95"/>
        <v>"%USERPROFILE%\Documents\GitHub\eaglep3\Utilities\RefineRTDCRunTimes.py" --tripid 1815-06 --locoid 4029 --swversion DE.1.0.7.0 --startMP 204:1133 --initTime 2016-08-06T12:58:26 --startdatetime 2016-08-06T12:59:27 --delay 1 --endMP 300:58939 --enddatetime 2016-08-06T13:35:39 --enforcementcount 0</v>
      </c>
    </row>
    <row r="178" spans="1:34" x14ac:dyDescent="0.25">
      <c r="A178" s="25" t="s">
        <v>664</v>
      </c>
      <c r="B178" s="134">
        <v>4030</v>
      </c>
      <c r="C178" s="135" t="s">
        <v>156</v>
      </c>
      <c r="D178" s="135" t="s">
        <v>665</v>
      </c>
      <c r="E178" s="136">
        <v>42588.567430555559</v>
      </c>
      <c r="F178" s="136">
        <v>42588.568287037036</v>
      </c>
      <c r="G178" s="134">
        <v>1</v>
      </c>
      <c r="H178" s="136" t="s">
        <v>445</v>
      </c>
      <c r="I178" s="136">
        <v>42588.579560185186</v>
      </c>
      <c r="J178" s="134">
        <v>0</v>
      </c>
      <c r="K178" s="25" t="str">
        <f t="shared" si="84"/>
        <v>4029/4030</v>
      </c>
      <c r="L178" s="25" t="str">
        <f>VLOOKUP(A178,'Trips&amp;Operators'!$C$1:$E$10000,3,FALSE)</f>
        <v>YORK</v>
      </c>
      <c r="M178" s="6">
        <f t="shared" si="85"/>
        <v>1.1273148149484769E-2</v>
      </c>
      <c r="N178" s="7">
        <f t="shared" si="80"/>
        <v>16.233333335258067</v>
      </c>
      <c r="O178" s="7"/>
      <c r="P178" s="7"/>
      <c r="Q178" s="26"/>
      <c r="R178" s="26"/>
      <c r="S178" s="38">
        <f t="shared" si="81"/>
        <v>1</v>
      </c>
      <c r="T178" s="55" t="str">
        <f t="shared" si="86"/>
        <v>Southbound</v>
      </c>
      <c r="U178" s="15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12:37:06-0600',mode:absolute,to:'2016-08-06 14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78" s="57" t="str">
        <f t="shared" si="88"/>
        <v>N</v>
      </c>
      <c r="X178" s="145">
        <f t="shared" si="82"/>
        <v>1</v>
      </c>
      <c r="Y178" s="72">
        <f t="shared" si="89"/>
        <v>5.8630000000000004</v>
      </c>
      <c r="Z178" s="72">
        <f t="shared" si="83"/>
        <v>8.5500000000000007E-2</v>
      </c>
      <c r="AA178" s="72">
        <f t="shared" si="90"/>
        <v>5.7775000000000007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91"/>
        <v>1816-06</v>
      </c>
      <c r="AE178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78" s="112" t="str">
        <f t="shared" si="93"/>
        <v>"C:\Program Files (x86)\AstroGrep\AstroGrep.exe" /spath="%USERPROFILE%\AppData\Local\Temp\OnboardLogs" /stypes="*4030*20160806*" /stext=" 19:.+((SYSTEM_STATE.+slice.+state.+changed )|(ment ac)|(system.+state.+changed )|(\|lc)|(penalty)|(\[timeout)|(PRM\|1\|D)|(kpr)|(kdp))" /e /r /s</v>
      </c>
      <c r="AG178" s="1" t="str">
        <f t="shared" si="94"/>
        <v>NW</v>
      </c>
      <c r="AH178" s="116" t="str">
        <f t="shared" si="95"/>
        <v>"%USERPROFILE%\Documents\GitHub\eaglep3\Utilities\RefineRTDCRunTimes.py" --tripid 1816-06 --locoid 4030 --swversion DE.1.0.7.0 --startMP 300:58630 --initTime 2016-08-06T13:37:06 --startdatetime 2016-08-06T13:38:20 --delay 1 --endMP 204:855 --enddatetime 2016-08-06T13:54:34 --enforcementcount 0</v>
      </c>
    </row>
    <row r="179" spans="1:34" x14ac:dyDescent="0.25">
      <c r="A179" s="25" t="s">
        <v>666</v>
      </c>
      <c r="B179" s="134">
        <v>4029</v>
      </c>
      <c r="C179" s="135" t="s">
        <v>156</v>
      </c>
      <c r="D179" s="135" t="s">
        <v>667</v>
      </c>
      <c r="E179" s="136">
        <v>42588.582743055558</v>
      </c>
      <c r="F179" s="136">
        <v>42588.58390046296</v>
      </c>
      <c r="G179" s="134">
        <v>1</v>
      </c>
      <c r="H179" s="136" t="s">
        <v>668</v>
      </c>
      <c r="I179" s="136">
        <v>42588.608067129629</v>
      </c>
      <c r="J179" s="134">
        <v>0</v>
      </c>
      <c r="K179" s="25" t="str">
        <f t="shared" si="84"/>
        <v>4029/4030</v>
      </c>
      <c r="L179" s="25" t="str">
        <f>VLOOKUP(A179,'Trips&amp;Operators'!$C$1:$E$10000,3,FALSE)</f>
        <v>KILLION</v>
      </c>
      <c r="M179" s="6">
        <f t="shared" si="85"/>
        <v>2.4166666669771075E-2</v>
      </c>
      <c r="N179" s="7">
        <f t="shared" si="80"/>
        <v>34.800000004470348</v>
      </c>
      <c r="O179" s="7"/>
      <c r="P179" s="7"/>
      <c r="Q179" s="26"/>
      <c r="R179" s="26"/>
      <c r="S179" s="38">
        <f t="shared" si="81"/>
        <v>1</v>
      </c>
      <c r="T179" s="55" t="str">
        <f t="shared" si="86"/>
        <v>NorthBound</v>
      </c>
      <c r="U179" s="15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12:59:09-0600',mode:absolute,to:'2016-08-06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79" s="57" t="str">
        <f t="shared" si="88"/>
        <v>N</v>
      </c>
      <c r="X179" s="145">
        <f t="shared" si="82"/>
        <v>1</v>
      </c>
      <c r="Y179" s="72">
        <f t="shared" si="89"/>
        <v>0.1163</v>
      </c>
      <c r="Z179" s="72">
        <f t="shared" si="83"/>
        <v>5.8901000000000003</v>
      </c>
      <c r="AA179" s="72">
        <f t="shared" si="90"/>
        <v>5.7738000000000005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91"/>
        <v>1817-06</v>
      </c>
      <c r="AE179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79" s="112" t="str">
        <f t="shared" si="93"/>
        <v>"C:\Program Files (x86)\AstroGrep\AstroGrep.exe" /spath="%USERPROFILE%\AppData\Local\Temp\OnboardLogs" /stypes="*4029*20160806*" /stext=" 20:.+((SYSTEM_STATE.+slice.+state.+changed )|(ment ac)|(system.+state.+changed )|(\|lc)|(penalty)|(\[timeout)|(PRM\|1\|D)|(kpr)|(kdp))" /e /r /s</v>
      </c>
      <c r="AG179" s="1" t="str">
        <f t="shared" si="94"/>
        <v>NW</v>
      </c>
      <c r="AH179" s="116" t="str">
        <f t="shared" si="95"/>
        <v>"%USERPROFILE%\Documents\GitHub\eaglep3\Utilities\RefineRTDCRunTimes.py" --tripid 1817-06 --locoid 4029 --swversion DE.1.0.7.0 --startMP 204:1163 --initTime 2016-08-06T13:59:09 --startdatetime 2016-08-06T14:00:49 --delay 1 --endMP 300:58901 --enddatetime 2016-08-06T14:35:37 --enforcementcount 0</v>
      </c>
    </row>
    <row r="180" spans="1:34" x14ac:dyDescent="0.25">
      <c r="A180" s="25" t="s">
        <v>669</v>
      </c>
      <c r="B180" s="134">
        <v>4030</v>
      </c>
      <c r="C180" s="135" t="s">
        <v>156</v>
      </c>
      <c r="D180" s="135" t="s">
        <v>670</v>
      </c>
      <c r="E180" s="136">
        <v>42588.609282407408</v>
      </c>
      <c r="F180" s="136">
        <v>42588.610381944447</v>
      </c>
      <c r="G180" s="134">
        <v>1</v>
      </c>
      <c r="H180" s="136" t="s">
        <v>671</v>
      </c>
      <c r="I180" s="136">
        <v>42588.621666666666</v>
      </c>
      <c r="J180" s="134">
        <v>0</v>
      </c>
      <c r="K180" s="25" t="str">
        <f t="shared" si="84"/>
        <v>4029/4030</v>
      </c>
      <c r="L180" s="25" t="str">
        <f>VLOOKUP(A180,'Trips&amp;Operators'!$C$1:$E$10000,3,FALSE)</f>
        <v>KILLION</v>
      </c>
      <c r="M180" s="6">
        <f t="shared" si="85"/>
        <v>1.1284722218988463E-2</v>
      </c>
      <c r="N180" s="7">
        <f t="shared" si="80"/>
        <v>16.249999995343387</v>
      </c>
      <c r="O180" s="7"/>
      <c r="P180" s="7"/>
      <c r="Q180" s="26"/>
      <c r="R180" s="26"/>
      <c r="S180" s="38">
        <f t="shared" si="81"/>
        <v>1</v>
      </c>
      <c r="T180" s="55" t="str">
        <f t="shared" si="86"/>
        <v>Southbound</v>
      </c>
      <c r="U180" s="15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13:37:22-0600',mode:absolute,to:'2016-08-06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80" s="57" t="str">
        <f t="shared" si="88"/>
        <v>N</v>
      </c>
      <c r="X180" s="145">
        <f t="shared" si="82"/>
        <v>1</v>
      </c>
      <c r="Y180" s="72">
        <f t="shared" si="89"/>
        <v>5.8586999999999998</v>
      </c>
      <c r="Z180" s="72">
        <f t="shared" si="83"/>
        <v>6.3100000000000003E-2</v>
      </c>
      <c r="AA180" s="72">
        <f t="shared" si="90"/>
        <v>5.7955999999999994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91"/>
        <v>1818-06</v>
      </c>
      <c r="AE180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80" s="112" t="str">
        <f t="shared" si="93"/>
        <v>"C:\Program Files (x86)\AstroGrep\AstroGrep.exe" /spath="%USERPROFILE%\AppData\Local\Temp\OnboardLogs" /stypes="*4030*20160806*" /stext=" 20:.+((SYSTEM_STATE.+slice.+state.+changed )|(ment ac)|(system.+state.+changed )|(\|lc)|(penalty)|(\[timeout)|(PRM\|1\|D)|(kpr)|(kdp))" /e /r /s</v>
      </c>
      <c r="AG180" s="1" t="str">
        <f t="shared" si="94"/>
        <v>NW</v>
      </c>
      <c r="AH180" s="116" t="str">
        <f t="shared" si="95"/>
        <v>"%USERPROFILE%\Documents\GitHub\eaglep3\Utilities\RefineRTDCRunTimes.py" --tripid 1818-06 --locoid 4030 --swversion DE.1.0.7.0 --startMP 300:58587 --initTime 2016-08-06T14:37:22 --startdatetime 2016-08-06T14:38:57 --delay 1 --endMP 204:631 --enddatetime 2016-08-06T14:55:12 --enforcementcount 0</v>
      </c>
    </row>
    <row r="181" spans="1:34" x14ac:dyDescent="0.25">
      <c r="A181" s="25" t="s">
        <v>672</v>
      </c>
      <c r="B181" s="134">
        <v>4029</v>
      </c>
      <c r="C181" s="135" t="s">
        <v>156</v>
      </c>
      <c r="D181" s="135" t="s">
        <v>673</v>
      </c>
      <c r="E181" s="136">
        <v>42588.625949074078</v>
      </c>
      <c r="F181" s="136">
        <v>42588.626967592594</v>
      </c>
      <c r="G181" s="134">
        <v>1</v>
      </c>
      <c r="H181" s="136" t="s">
        <v>674</v>
      </c>
      <c r="I181" s="136">
        <v>42588.649502314816</v>
      </c>
      <c r="J181" s="134">
        <v>0</v>
      </c>
      <c r="K181" s="25" t="str">
        <f t="shared" si="84"/>
        <v>4029/4030</v>
      </c>
      <c r="L181" s="25" t="str">
        <f>VLOOKUP(A181,'Trips&amp;Operators'!$C$1:$E$10000,3,FALSE)</f>
        <v>KILLION</v>
      </c>
      <c r="M181" s="6">
        <f t="shared" si="85"/>
        <v>2.2534722222189885E-2</v>
      </c>
      <c r="N181" s="7">
        <f t="shared" si="80"/>
        <v>32.449999999953434</v>
      </c>
      <c r="O181" s="7"/>
      <c r="P181" s="7"/>
      <c r="Q181" s="26"/>
      <c r="R181" s="26"/>
      <c r="S181" s="38">
        <f t="shared" si="81"/>
        <v>1</v>
      </c>
      <c r="T181" s="55" t="str">
        <f t="shared" si="86"/>
        <v>NorthBound</v>
      </c>
      <c r="U181" s="15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14:01:22-0600',mode:absolute,to:'2016-08-06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81" s="57" t="str">
        <f t="shared" si="88"/>
        <v>N</v>
      </c>
      <c r="X181" s="145">
        <f t="shared" si="82"/>
        <v>1</v>
      </c>
      <c r="Y181" s="72">
        <f t="shared" si="89"/>
        <v>9.1999999999999998E-2</v>
      </c>
      <c r="Z181" s="72">
        <f t="shared" si="83"/>
        <v>5.8917999999999999</v>
      </c>
      <c r="AA181" s="72">
        <f t="shared" si="90"/>
        <v>5.7998000000000003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91"/>
        <v>1819-06</v>
      </c>
      <c r="AE181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81" s="112" t="str">
        <f t="shared" si="93"/>
        <v>"C:\Program Files (x86)\AstroGrep\AstroGrep.exe" /spath="%USERPROFILE%\AppData\Local\Temp\OnboardLogs" /stypes="*4029*20160806*" /stext=" 21:.+((SYSTEM_STATE.+slice.+state.+changed )|(ment ac)|(system.+state.+changed )|(\|lc)|(penalty)|(\[timeout)|(PRM\|1\|D)|(kpr)|(kdp))" /e /r /s</v>
      </c>
      <c r="AG181" s="1" t="str">
        <f t="shared" si="94"/>
        <v>NW</v>
      </c>
      <c r="AH181" s="116" t="str">
        <f t="shared" si="95"/>
        <v>"%USERPROFILE%\Documents\GitHub\eaglep3\Utilities\RefineRTDCRunTimes.py" --tripid 1819-06 --locoid 4029 --swversion DE.1.0.7.0 --startMP 204:920 --initTime 2016-08-06T15:01:22 --startdatetime 2016-08-06T15:02:50 --delay 1 --endMP 300:58918 --enddatetime 2016-08-06T15:35:17 --enforcementcount 0</v>
      </c>
    </row>
    <row r="182" spans="1:34" x14ac:dyDescent="0.25">
      <c r="A182" s="25" t="s">
        <v>676</v>
      </c>
      <c r="B182" s="134">
        <v>4030</v>
      </c>
      <c r="C182" s="135" t="s">
        <v>156</v>
      </c>
      <c r="D182" s="135" t="s">
        <v>677</v>
      </c>
      <c r="E182" s="136">
        <v>42588.650902777779</v>
      </c>
      <c r="F182" s="136">
        <v>42588.651643518519</v>
      </c>
      <c r="G182" s="134">
        <v>1</v>
      </c>
      <c r="H182" s="136" t="s">
        <v>678</v>
      </c>
      <c r="I182" s="136">
        <v>42588.663402777776</v>
      </c>
      <c r="J182" s="134">
        <v>0</v>
      </c>
      <c r="K182" s="25" t="str">
        <f t="shared" si="84"/>
        <v>4029/4030</v>
      </c>
      <c r="L182" s="25" t="str">
        <f>VLOOKUP(A182,'Trips&amp;Operators'!$C$1:$E$10000,3,FALSE)</f>
        <v>KILLION</v>
      </c>
      <c r="M182" s="6">
        <f t="shared" si="85"/>
        <v>1.1759259257814847E-2</v>
      </c>
      <c r="N182" s="7">
        <f t="shared" si="80"/>
        <v>16.93333333125338</v>
      </c>
      <c r="O182" s="7"/>
      <c r="P182" s="7"/>
      <c r="Q182" s="26"/>
      <c r="R182" s="26"/>
      <c r="S182" s="38">
        <f t="shared" si="81"/>
        <v>1</v>
      </c>
      <c r="T182" s="55" t="str">
        <f t="shared" si="86"/>
        <v>Southbound</v>
      </c>
      <c r="U182" s="15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14:37:18-0600',mode:absolute,to:'2016-08-06 16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82" s="57" t="str">
        <f t="shared" si="88"/>
        <v>N</v>
      </c>
      <c r="X182" s="145">
        <f t="shared" si="82"/>
        <v>1</v>
      </c>
      <c r="Y182" s="72">
        <f t="shared" si="89"/>
        <v>5.8596000000000004</v>
      </c>
      <c r="Z182" s="72">
        <f t="shared" si="83"/>
        <v>6.3799999999999996E-2</v>
      </c>
      <c r="AA182" s="72">
        <f t="shared" si="90"/>
        <v>5.7958000000000007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91"/>
        <v>1820-06</v>
      </c>
      <c r="AE182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82" s="112" t="str">
        <f t="shared" si="93"/>
        <v>"C:\Program Files (x86)\AstroGrep\AstroGrep.exe" /spath="%USERPROFILE%\AppData\Local\Temp\OnboardLogs" /stypes="*4030*20160806*" /stext=" 21:.+((SYSTEM_STATE.+slice.+state.+changed )|(ment ac)|(system.+state.+changed )|(\|lc)|(penalty)|(\[timeout)|(PRM\|1\|D)|(kpr)|(kdp))" /e /r /s</v>
      </c>
      <c r="AG182" s="1" t="str">
        <f t="shared" si="94"/>
        <v>NW</v>
      </c>
      <c r="AH182" s="116" t="str">
        <f t="shared" si="95"/>
        <v>"%USERPROFILE%\Documents\GitHub\eaglep3\Utilities\RefineRTDCRunTimes.py" --tripid 1820-06 --locoid 4030 --swversion DE.1.0.7.0 --startMP 300:58596 --initTime 2016-08-06T15:37:18 --startdatetime 2016-08-06T15:38:22 --delay 1 --endMP 204:638 --enddatetime 2016-08-06T15:55:18 --enforcementcount 0</v>
      </c>
    </row>
    <row r="183" spans="1:34" x14ac:dyDescent="0.25">
      <c r="A183" s="25" t="s">
        <v>679</v>
      </c>
      <c r="B183" s="134">
        <v>4029</v>
      </c>
      <c r="C183" s="135" t="s">
        <v>156</v>
      </c>
      <c r="D183" s="135" t="s">
        <v>680</v>
      </c>
      <c r="E183" s="136">
        <v>42588.665578703702</v>
      </c>
      <c r="F183" s="136">
        <v>42588.666805555556</v>
      </c>
      <c r="G183" s="134">
        <v>1</v>
      </c>
      <c r="H183" s="136" t="s">
        <v>681</v>
      </c>
      <c r="I183" s="136">
        <v>42588.69122685185</v>
      </c>
      <c r="J183" s="134">
        <v>0</v>
      </c>
      <c r="K183" s="25" t="str">
        <f t="shared" si="84"/>
        <v>4029/4030</v>
      </c>
      <c r="L183" s="25" t="str">
        <f>VLOOKUP(A183,'Trips&amp;Operators'!$C$1:$E$10000,3,FALSE)</f>
        <v>KILLION</v>
      </c>
      <c r="M183" s="6">
        <f t="shared" si="85"/>
        <v>2.4421296293439809E-2</v>
      </c>
      <c r="N183" s="7">
        <f t="shared" si="80"/>
        <v>35.166666662553325</v>
      </c>
      <c r="O183" s="7"/>
      <c r="P183" s="7"/>
      <c r="Q183" s="26"/>
      <c r="R183" s="26"/>
      <c r="S183" s="38">
        <f t="shared" si="81"/>
        <v>1</v>
      </c>
      <c r="T183" s="55" t="str">
        <f t="shared" si="86"/>
        <v>NorthBound</v>
      </c>
      <c r="U183" s="15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14:58:26-0600',mode:absolute,to:'2016-08-06 17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83" s="57" t="str">
        <f t="shared" si="88"/>
        <v>N</v>
      </c>
      <c r="X183" s="145">
        <f t="shared" si="82"/>
        <v>1</v>
      </c>
      <c r="Y183" s="72">
        <f t="shared" si="89"/>
        <v>9.3700000000000006E-2</v>
      </c>
      <c r="Z183" s="72">
        <f t="shared" si="83"/>
        <v>5.8920000000000003</v>
      </c>
      <c r="AA183" s="72">
        <f t="shared" si="90"/>
        <v>5.7983000000000002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91"/>
        <v>1821-06</v>
      </c>
      <c r="AE183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83" s="112" t="str">
        <f t="shared" si="93"/>
        <v>"C:\Program Files (x86)\AstroGrep\AstroGrep.exe" /spath="%USERPROFILE%\AppData\Local\Temp\OnboardLogs" /stypes="*4029*20160806*" /stext=" 22:.+((SYSTEM_STATE.+slice.+state.+changed )|(ment ac)|(system.+state.+changed )|(\|lc)|(penalty)|(\[timeout)|(PRM\|1\|D)|(kpr)|(kdp))" /e /r /s</v>
      </c>
      <c r="AG183" s="1" t="str">
        <f t="shared" si="94"/>
        <v>NW</v>
      </c>
      <c r="AH183" s="116" t="str">
        <f t="shared" si="95"/>
        <v>"%USERPROFILE%\Documents\GitHub\eaglep3\Utilities\RefineRTDCRunTimes.py" --tripid 1821-06 --locoid 4029 --swversion DE.1.0.7.0 --startMP 204:937 --initTime 2016-08-06T15:58:26 --startdatetime 2016-08-06T16:00:12 --delay 1 --endMP 300:58920 --enddatetime 2016-08-06T16:35:22 --enforcementcount 0</v>
      </c>
    </row>
    <row r="184" spans="1:34" x14ac:dyDescent="0.25">
      <c r="A184" s="25" t="s">
        <v>479</v>
      </c>
      <c r="B184" s="134">
        <v>4030</v>
      </c>
      <c r="C184" s="135" t="s">
        <v>156</v>
      </c>
      <c r="D184" s="135" t="s">
        <v>682</v>
      </c>
      <c r="E184" s="136">
        <v>42588.692303240743</v>
      </c>
      <c r="F184" s="136">
        <v>42588.693148148152</v>
      </c>
      <c r="G184" s="134">
        <v>1</v>
      </c>
      <c r="H184" s="136" t="s">
        <v>683</v>
      </c>
      <c r="I184" s="136">
        <v>42588.719282407408</v>
      </c>
      <c r="J184" s="134">
        <v>1</v>
      </c>
      <c r="K184" s="25" t="str">
        <f t="shared" si="84"/>
        <v>4029/4030</v>
      </c>
      <c r="L184" s="25" t="str">
        <f>VLOOKUP(A184,'Trips&amp;Operators'!$C$1:$E$10000,3,FALSE)</f>
        <v>KILLION</v>
      </c>
      <c r="M184" s="6">
        <f t="shared" si="85"/>
        <v>2.6134259256650694E-2</v>
      </c>
      <c r="N184" s="7">
        <f t="shared" si="80"/>
        <v>37.633333329576999</v>
      </c>
      <c r="O184" s="7"/>
      <c r="P184" s="7"/>
      <c r="Q184" s="26"/>
      <c r="R184" s="26"/>
      <c r="S184" s="38">
        <f t="shared" si="81"/>
        <v>1</v>
      </c>
      <c r="T184" s="55" t="str">
        <f t="shared" si="86"/>
        <v>Southbound</v>
      </c>
      <c r="U184" s="15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84" s="57" t="str">
        <f t="shared" si="88"/>
        <v>N</v>
      </c>
      <c r="X184" s="145">
        <f t="shared" si="82"/>
        <v>1</v>
      </c>
      <c r="Y184" s="72">
        <f t="shared" si="89"/>
        <v>5.8597999999999999</v>
      </c>
      <c r="Z184" s="72">
        <f t="shared" si="83"/>
        <v>6.3500000000000001E-2</v>
      </c>
      <c r="AA184" s="72">
        <f t="shared" si="90"/>
        <v>5.7962999999999996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91"/>
        <v>1822-06</v>
      </c>
      <c r="AE184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84" s="112" t="str">
        <f t="shared" si="93"/>
        <v>"C:\Program Files (x86)\AstroGrep\AstroGrep.exe" /spath="%USERPROFILE%\AppData\Local\Temp\OnboardLogs" /stypes="*4030*20160806*" /stext=" 23:.+((SYSTEM_STATE.+slice.+state.+changed )|(ment ac)|(system.+state.+changed )|(\|lc)|(penalty)|(\[timeout)|(PRM\|1\|D)|(kpr)|(kdp))" /e /r /s</v>
      </c>
      <c r="AG184" s="1" t="str">
        <f t="shared" si="94"/>
        <v>NW</v>
      </c>
      <c r="AH184" s="116" t="str">
        <f t="shared" si="95"/>
        <v>"%USERPROFILE%\Documents\GitHub\eaglep3\Utilities\RefineRTDCRunTimes.py" --tripid 1822-06 --locoid 4030 --swversion DE.1.0.7.0 --startMP 300:58598 --initTime 2016-08-06T16:36:55 --startdatetime 2016-08-06T16:38:08 --delay 1 --endMP 204:635 --enddatetime 2016-08-06T17:15:46 --enforcementcount 1</v>
      </c>
    </row>
    <row r="185" spans="1:34" x14ac:dyDescent="0.25">
      <c r="A185" s="25" t="s">
        <v>684</v>
      </c>
      <c r="B185" s="134">
        <v>4029</v>
      </c>
      <c r="C185" s="135" t="s">
        <v>156</v>
      </c>
      <c r="D185" s="135" t="s">
        <v>685</v>
      </c>
      <c r="E185" s="136">
        <v>42588.707337962966</v>
      </c>
      <c r="F185" s="136">
        <v>42588.708182870374</v>
      </c>
      <c r="G185" s="134">
        <v>1</v>
      </c>
      <c r="H185" s="136" t="s">
        <v>686</v>
      </c>
      <c r="I185" s="136">
        <v>42588.733078703706</v>
      </c>
      <c r="J185" s="134">
        <v>0</v>
      </c>
      <c r="K185" s="25" t="str">
        <f t="shared" si="84"/>
        <v>4029/4030</v>
      </c>
      <c r="L185" s="25" t="str">
        <f>VLOOKUP(A185,'Trips&amp;Operators'!$C$1:$E$10000,3,FALSE)</f>
        <v>KILLION</v>
      </c>
      <c r="M185" s="6">
        <f t="shared" si="85"/>
        <v>2.4895833332266193E-2</v>
      </c>
      <c r="N185" s="7">
        <f t="shared" si="80"/>
        <v>35.849999998463318</v>
      </c>
      <c r="O185" s="7"/>
      <c r="P185" s="7"/>
      <c r="Q185" s="26"/>
      <c r="R185" s="26"/>
      <c r="S185" s="38">
        <f t="shared" si="81"/>
        <v>1</v>
      </c>
      <c r="T185" s="55" t="str">
        <f t="shared" si="86"/>
        <v>NorthBound</v>
      </c>
      <c r="U185" s="15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15:58:34-0600',mode:absolute,to:'2016-08-06 18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85" s="57" t="str">
        <f t="shared" si="88"/>
        <v>N</v>
      </c>
      <c r="X185" s="145">
        <f t="shared" si="82"/>
        <v>1</v>
      </c>
      <c r="Y185" s="72">
        <f t="shared" si="89"/>
        <v>9.3899999999999997E-2</v>
      </c>
      <c r="Z185" s="72">
        <f t="shared" si="83"/>
        <v>5.8909000000000002</v>
      </c>
      <c r="AA185" s="72">
        <f t="shared" si="90"/>
        <v>5.7970000000000006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91"/>
        <v>1823-06</v>
      </c>
      <c r="AE185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85" s="112" t="str">
        <f t="shared" si="93"/>
        <v>"C:\Program Files (x86)\AstroGrep\AstroGrep.exe" /spath="%USERPROFILE%\AppData\Local\Temp\OnboardLogs" /stypes="*4029*20160806*" /stext=" 23:.+((SYSTEM_STATE.+slice.+state.+changed )|(ment ac)|(system.+state.+changed )|(\|lc)|(penalty)|(\[timeout)|(PRM\|1\|D)|(kpr)|(kdp))" /e /r /s</v>
      </c>
      <c r="AG185" s="1" t="str">
        <f t="shared" si="94"/>
        <v>NW</v>
      </c>
      <c r="AH185" s="116" t="str">
        <f t="shared" si="95"/>
        <v>"%USERPROFILE%\Documents\GitHub\eaglep3\Utilities\RefineRTDCRunTimes.py" --tripid 1823-06 --locoid 4029 --swversion DE.1.0.7.0 --startMP 204:939 --initTime 2016-08-06T16:58:34 --startdatetime 2016-08-06T16:59:47 --delay 1 --endMP 300:58909 --enddatetime 2016-08-06T17:35:38 --enforcementcount 0</v>
      </c>
    </row>
    <row r="186" spans="1:34" x14ac:dyDescent="0.25">
      <c r="A186" s="25" t="s">
        <v>481</v>
      </c>
      <c r="B186" s="134">
        <v>4030</v>
      </c>
      <c r="C186" s="135" t="s">
        <v>156</v>
      </c>
      <c r="D186" s="135" t="s">
        <v>677</v>
      </c>
      <c r="E186" s="136">
        <v>42588.734120370369</v>
      </c>
      <c r="F186" s="136">
        <v>42588.734953703701</v>
      </c>
      <c r="G186" s="134">
        <v>1</v>
      </c>
      <c r="H186" s="136" t="s">
        <v>687</v>
      </c>
      <c r="I186" s="136">
        <v>42588.747453703705</v>
      </c>
      <c r="J186" s="134">
        <v>2</v>
      </c>
      <c r="K186" s="25" t="str">
        <f t="shared" si="84"/>
        <v>4029/4030</v>
      </c>
      <c r="L186" s="25" t="str">
        <f>VLOOKUP(A186,'Trips&amp;Operators'!$C$1:$E$10000,3,FALSE)</f>
        <v>KILLION</v>
      </c>
      <c r="M186" s="6">
        <f t="shared" si="85"/>
        <v>1.2500000004365575E-2</v>
      </c>
      <c r="N186" s="7">
        <f t="shared" si="80"/>
        <v>18.000000006286427</v>
      </c>
      <c r="O186" s="7"/>
      <c r="P186" s="7"/>
      <c r="Q186" s="26"/>
      <c r="R186" s="26"/>
      <c r="S186" s="38">
        <f t="shared" si="81"/>
        <v>1</v>
      </c>
      <c r="T186" s="55" t="str">
        <f t="shared" si="86"/>
        <v>Southbound</v>
      </c>
      <c r="U186" s="15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86" s="57" t="str">
        <f t="shared" si="88"/>
        <v>N</v>
      </c>
      <c r="X186" s="145">
        <f t="shared" si="82"/>
        <v>1</v>
      </c>
      <c r="Y186" s="72">
        <f t="shared" si="89"/>
        <v>5.8596000000000004</v>
      </c>
      <c r="Z186" s="72">
        <f t="shared" si="83"/>
        <v>6.6299999999999998E-2</v>
      </c>
      <c r="AA186" s="72">
        <f t="shared" si="90"/>
        <v>5.7933000000000003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91"/>
        <v>1824-06</v>
      </c>
      <c r="AE186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86" s="112" t="str">
        <f t="shared" si="93"/>
        <v>"C:\Program Files (x86)\AstroGrep\AstroGrep.exe" /spath="%USERPROFILE%\AppData\Local\Temp\OnboardLogs" /stypes="*4030*20160806*" /stext=" 23:.+((SYSTEM_STATE.+slice.+state.+changed )|(ment ac)|(system.+state.+changed )|(\|lc)|(penalty)|(\[timeout)|(PRM\|1\|D)|(kpr)|(kdp))" /e /r /s</v>
      </c>
      <c r="AG186" s="1" t="str">
        <f t="shared" si="94"/>
        <v>NW</v>
      </c>
      <c r="AH186" s="116" t="str">
        <f t="shared" si="95"/>
        <v>"%USERPROFILE%\Documents\GitHub\eaglep3\Utilities\RefineRTDCRunTimes.py" --tripid 1824-06 --locoid 4030 --swversion DE.1.0.7.0 --startMP 300:58596 --initTime 2016-08-06T17:37:08 --startdatetime 2016-08-06T17:38:20 --delay 1 --endMP 204:663 --enddatetime 2016-08-06T17:56:20 --enforcementcount 2</v>
      </c>
    </row>
    <row r="187" spans="1:34" x14ac:dyDescent="0.25">
      <c r="A187" s="25" t="s">
        <v>483</v>
      </c>
      <c r="B187" s="134">
        <v>4029</v>
      </c>
      <c r="C187" s="135" t="s">
        <v>156</v>
      </c>
      <c r="D187" s="135" t="s">
        <v>688</v>
      </c>
      <c r="E187" s="136">
        <v>42588.750138888892</v>
      </c>
      <c r="F187" s="136">
        <v>42588.751597222225</v>
      </c>
      <c r="G187" s="134">
        <v>2</v>
      </c>
      <c r="H187" s="136" t="s">
        <v>689</v>
      </c>
      <c r="I187" s="136">
        <v>42588.775127314817</v>
      </c>
      <c r="J187" s="134">
        <v>1</v>
      </c>
      <c r="K187" s="25" t="str">
        <f t="shared" si="84"/>
        <v>4029/4030</v>
      </c>
      <c r="L187" s="25" t="str">
        <f>VLOOKUP(A187,'Trips&amp;Operators'!$C$1:$E$10000,3,FALSE)</f>
        <v>KILLION</v>
      </c>
      <c r="M187" s="6">
        <f t="shared" si="85"/>
        <v>2.3530092592409346E-2</v>
      </c>
      <c r="N187" s="7">
        <f t="shared" si="80"/>
        <v>33.883333333069459</v>
      </c>
      <c r="O187" s="7"/>
      <c r="P187" s="7"/>
      <c r="Q187" s="26"/>
      <c r="R187" s="26"/>
      <c r="S187" s="38">
        <f t="shared" si="81"/>
        <v>1</v>
      </c>
      <c r="T187" s="55" t="str">
        <f t="shared" si="86"/>
        <v>NorthBound</v>
      </c>
      <c r="U187" s="15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87" s="57" t="str">
        <f t="shared" si="88"/>
        <v>N</v>
      </c>
      <c r="X187" s="145">
        <f t="shared" si="82"/>
        <v>1</v>
      </c>
      <c r="Y187" s="72">
        <f t="shared" si="89"/>
        <v>9.5100000000000004E-2</v>
      </c>
      <c r="Z187" s="72">
        <f t="shared" si="83"/>
        <v>5.8910999999999998</v>
      </c>
      <c r="AA187" s="72">
        <f t="shared" si="90"/>
        <v>5.7959999999999994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91"/>
        <v>1825-06</v>
      </c>
      <c r="AE187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87" s="112" t="str">
        <f t="shared" si="93"/>
        <v>"C:\Program Files (x86)\AstroGrep\AstroGrep.exe" /spath="%USERPROFILE%\AppData\Local\Temp\OnboardLogs" /stypes="*4029*20160807*" /stext=" 00:.+((SYSTEM_STATE.+slice.+state.+changed )|(ment ac)|(system.+state.+changed )|(\|lc)|(penalty)|(\[timeout)|(PRM\|1\|D)|(kpr)|(kdp))" /e /r /s</v>
      </c>
      <c r="AG187" s="1" t="str">
        <f t="shared" si="94"/>
        <v>NW</v>
      </c>
      <c r="AH187" s="116" t="str">
        <f t="shared" si="95"/>
        <v>"%USERPROFILE%\Documents\GitHub\eaglep3\Utilities\RefineRTDCRunTimes.py" --tripid 1825-06 --locoid 4029 --swversion DE.1.0.7.0 --startMP 204:951 --initTime 2016-08-06T18:00:12 --startdatetime 2016-08-06T18:02:18 --delay 2 --endMP 300:58911 --enddatetime 2016-08-06T18:36:11 --enforcementcount 1</v>
      </c>
    </row>
    <row r="188" spans="1:34" x14ac:dyDescent="0.25">
      <c r="A188" s="25" t="s">
        <v>485</v>
      </c>
      <c r="B188" s="134">
        <v>4030</v>
      </c>
      <c r="C188" s="135" t="s">
        <v>156</v>
      </c>
      <c r="D188" s="135" t="s">
        <v>690</v>
      </c>
      <c r="E188" s="136">
        <v>42588.776469907411</v>
      </c>
      <c r="F188" s="136">
        <v>42588.777245370373</v>
      </c>
      <c r="G188" s="134">
        <v>1</v>
      </c>
      <c r="H188" s="136" t="s">
        <v>691</v>
      </c>
      <c r="I188" s="136">
        <v>42588.788738425923</v>
      </c>
      <c r="J188" s="134">
        <v>2</v>
      </c>
      <c r="K188" s="25" t="str">
        <f t="shared" si="84"/>
        <v>4029/4030</v>
      </c>
      <c r="L188" s="25" t="str">
        <f>VLOOKUP(A188,'Trips&amp;Operators'!$C$1:$E$10000,3,FALSE)</f>
        <v>KILLION</v>
      </c>
      <c r="M188" s="6">
        <f t="shared" si="85"/>
        <v>1.1493055550090503E-2</v>
      </c>
      <c r="N188" s="7">
        <f t="shared" si="80"/>
        <v>16.549999992130324</v>
      </c>
      <c r="O188" s="7"/>
      <c r="P188" s="7"/>
      <c r="Q188" s="26"/>
      <c r="R188" s="26"/>
      <c r="S188" s="38">
        <f t="shared" si="81"/>
        <v>1</v>
      </c>
      <c r="T188" s="55" t="str">
        <f t="shared" si="86"/>
        <v>Southbound</v>
      </c>
      <c r="U188" s="15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88" s="57" t="str">
        <f t="shared" si="88"/>
        <v>N</v>
      </c>
      <c r="X188" s="145">
        <f t="shared" si="82"/>
        <v>1</v>
      </c>
      <c r="Y188" s="72">
        <f t="shared" si="89"/>
        <v>5.8585000000000003</v>
      </c>
      <c r="Z188" s="72">
        <f t="shared" si="83"/>
        <v>7.8200000000000006E-2</v>
      </c>
      <c r="AA188" s="72">
        <f t="shared" si="90"/>
        <v>5.7803000000000004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91"/>
        <v>1826-06</v>
      </c>
      <c r="AE188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88" s="112" t="str">
        <f t="shared" si="93"/>
        <v>"C:\Program Files (x86)\AstroGrep\AstroGrep.exe" /spath="%USERPROFILE%\AppData\Local\Temp\OnboardLogs" /stypes="*4030*20160807*" /stext=" 00:.+((SYSTEM_STATE.+slice.+state.+changed )|(ment ac)|(system.+state.+changed )|(\|lc)|(penalty)|(\[timeout)|(PRM\|1\|D)|(kpr)|(kdp))" /e /r /s</v>
      </c>
      <c r="AG188" s="1" t="str">
        <f t="shared" si="94"/>
        <v>NW</v>
      </c>
      <c r="AH188" s="116" t="str">
        <f t="shared" si="95"/>
        <v>"%USERPROFILE%\Documents\GitHub\eaglep3\Utilities\RefineRTDCRunTimes.py" --tripid 1826-06 --locoid 4030 --swversion DE.1.0.7.0 --startMP 300:58585 --initTime 2016-08-06T18:38:07 --startdatetime 2016-08-06T18:39:14 --delay 1 --endMP 204:782 --enddatetime 2016-08-06T18:55:47 --enforcementcount 2</v>
      </c>
    </row>
    <row r="189" spans="1:34" x14ac:dyDescent="0.25">
      <c r="A189" s="25" t="s">
        <v>486</v>
      </c>
      <c r="B189" s="134">
        <v>4029</v>
      </c>
      <c r="C189" s="135" t="s">
        <v>156</v>
      </c>
      <c r="D189" s="135" t="s">
        <v>692</v>
      </c>
      <c r="E189" s="136">
        <v>42588.790671296294</v>
      </c>
      <c r="F189" s="136">
        <v>42588.79142361111</v>
      </c>
      <c r="G189" s="134">
        <v>1</v>
      </c>
      <c r="H189" s="136" t="s">
        <v>693</v>
      </c>
      <c r="I189" s="136">
        <v>42588.816157407404</v>
      </c>
      <c r="J189" s="134">
        <v>1</v>
      </c>
      <c r="K189" s="25" t="str">
        <f t="shared" si="84"/>
        <v>4029/4030</v>
      </c>
      <c r="L189" s="25" t="str">
        <f>VLOOKUP(A189,'Trips&amp;Operators'!$C$1:$E$10000,3,FALSE)</f>
        <v>KILLION</v>
      </c>
      <c r="M189" s="6">
        <f t="shared" si="85"/>
        <v>2.4733796293730848E-2</v>
      </c>
      <c r="N189" s="7">
        <f t="shared" si="80"/>
        <v>35.61666666297242</v>
      </c>
      <c r="O189" s="7"/>
      <c r="P189" s="7"/>
      <c r="Q189" s="26"/>
      <c r="R189" s="26"/>
      <c r="S189" s="38">
        <f t="shared" si="81"/>
        <v>1</v>
      </c>
      <c r="T189" s="55" t="str">
        <f t="shared" si="86"/>
        <v>NorthBound</v>
      </c>
      <c r="U189" s="15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89" s="57" t="str">
        <f t="shared" si="88"/>
        <v>N</v>
      </c>
      <c r="X189" s="145">
        <f t="shared" si="82"/>
        <v>1</v>
      </c>
      <c r="Y189" s="72">
        <f t="shared" si="89"/>
        <v>0.1074</v>
      </c>
      <c r="Z189" s="72">
        <f t="shared" si="83"/>
        <v>5.8916000000000004</v>
      </c>
      <c r="AA189" s="72">
        <f t="shared" si="90"/>
        <v>5.7842000000000002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91"/>
        <v>1827-06</v>
      </c>
      <c r="AE189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89" s="112" t="str">
        <f t="shared" si="93"/>
        <v>"C:\Program Files (x86)\AstroGrep\AstroGrep.exe" /spath="%USERPROFILE%\AppData\Local\Temp\OnboardLogs" /stypes="*4029*20160807*" /stext=" 01:.+((SYSTEM_STATE.+slice.+state.+changed )|(ment ac)|(system.+state.+changed )|(\|lc)|(penalty)|(\[timeout)|(PRM\|1\|D)|(kpr)|(kdp))" /e /r /s</v>
      </c>
      <c r="AG189" s="1" t="str">
        <f t="shared" si="94"/>
        <v>NW</v>
      </c>
      <c r="AH189" s="116" t="str">
        <f t="shared" si="95"/>
        <v>"%USERPROFILE%\Documents\GitHub\eaglep3\Utilities\RefineRTDCRunTimes.py" --tripid 1827-06 --locoid 4029 --swversion DE.1.0.7.0 --startMP 204:1074 --initTime 2016-08-06T18:58:34 --startdatetime 2016-08-06T18:59:39 --delay 1 --endMP 300:58916 --enddatetime 2016-08-06T19:35:16 --enforcementcount 1</v>
      </c>
    </row>
    <row r="190" spans="1:34" x14ac:dyDescent="0.25">
      <c r="A190" s="25" t="s">
        <v>487</v>
      </c>
      <c r="B190" s="134">
        <v>4030</v>
      </c>
      <c r="C190" s="135" t="s">
        <v>156</v>
      </c>
      <c r="D190" s="135" t="s">
        <v>682</v>
      </c>
      <c r="E190" s="136">
        <v>42588.817395833335</v>
      </c>
      <c r="F190" s="136">
        <v>42588.818194444444</v>
      </c>
      <c r="G190" s="134">
        <v>1</v>
      </c>
      <c r="H190" s="136" t="s">
        <v>694</v>
      </c>
      <c r="I190" s="136">
        <v>42588.830601851849</v>
      </c>
      <c r="J190" s="134">
        <v>1</v>
      </c>
      <c r="K190" s="25" t="str">
        <f t="shared" si="84"/>
        <v>4029/4030</v>
      </c>
      <c r="L190" s="25" t="str">
        <f>VLOOKUP(A190,'Trips&amp;Operators'!$C$1:$E$10000,3,FALSE)</f>
        <v>KILLION</v>
      </c>
      <c r="M190" s="6">
        <f t="shared" si="85"/>
        <v>1.2407407404680271E-2</v>
      </c>
      <c r="N190" s="7">
        <f t="shared" si="80"/>
        <v>17.86666666273959</v>
      </c>
      <c r="O190" s="7"/>
      <c r="P190" s="7"/>
      <c r="Q190" s="26"/>
      <c r="R190" s="26"/>
      <c r="S190" s="38">
        <f t="shared" si="81"/>
        <v>1</v>
      </c>
      <c r="T190" s="55" t="str">
        <f t="shared" si="86"/>
        <v>Southbound</v>
      </c>
      <c r="U190" s="15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90" s="57" t="str">
        <f t="shared" si="88"/>
        <v>N</v>
      </c>
      <c r="X190" s="145">
        <f t="shared" si="82"/>
        <v>1</v>
      </c>
      <c r="Y190" s="72">
        <f t="shared" si="89"/>
        <v>5.8597999999999999</v>
      </c>
      <c r="Z190" s="72">
        <f t="shared" si="83"/>
        <v>6.5000000000000002E-2</v>
      </c>
      <c r="AA190" s="72">
        <f t="shared" si="90"/>
        <v>5.7947999999999995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91"/>
        <v>1828-06</v>
      </c>
      <c r="AE190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90" s="112" t="str">
        <f t="shared" si="93"/>
        <v>"C:\Program Files (x86)\AstroGrep\AstroGrep.exe" /spath="%USERPROFILE%\AppData\Local\Temp\OnboardLogs" /stypes="*4030*20160807*" /stext=" 01:.+((SYSTEM_STATE.+slice.+state.+changed )|(ment ac)|(system.+state.+changed )|(\|lc)|(penalty)|(\[timeout)|(PRM\|1\|D)|(kpr)|(kdp))" /e /r /s</v>
      </c>
      <c r="AG190" s="1" t="str">
        <f t="shared" si="94"/>
        <v>NW</v>
      </c>
      <c r="AH190" s="116" t="str">
        <f t="shared" si="95"/>
        <v>"%USERPROFILE%\Documents\GitHub\eaglep3\Utilities\RefineRTDCRunTimes.py" --tripid 1828-06 --locoid 4030 --swversion DE.1.0.7.0 --startMP 300:58598 --initTime 2016-08-06T19:37:03 --startdatetime 2016-08-06T19:38:12 --delay 1 --endMP 204:650 --enddatetime 2016-08-06T19:56:04 --enforcementcount 1</v>
      </c>
    </row>
    <row r="191" spans="1:34" x14ac:dyDescent="0.25">
      <c r="A191" s="25" t="s">
        <v>488</v>
      </c>
      <c r="B191" s="134">
        <v>4029</v>
      </c>
      <c r="C191" s="135" t="s">
        <v>156</v>
      </c>
      <c r="D191" s="135" t="s">
        <v>695</v>
      </c>
      <c r="E191" s="136">
        <v>42588.832766203705</v>
      </c>
      <c r="F191" s="136">
        <v>42588.83353009259</v>
      </c>
      <c r="G191" s="134">
        <v>1</v>
      </c>
      <c r="H191" s="136" t="s">
        <v>696</v>
      </c>
      <c r="I191" s="136">
        <v>42588.858530092592</v>
      </c>
      <c r="J191" s="134">
        <v>1</v>
      </c>
      <c r="K191" s="25" t="str">
        <f t="shared" si="84"/>
        <v>4029/4030</v>
      </c>
      <c r="L191" s="25" t="str">
        <f>VLOOKUP(A191,'Trips&amp;Operators'!$C$1:$E$10000,3,FALSE)</f>
        <v>KILLION</v>
      </c>
      <c r="M191" s="6">
        <f t="shared" si="85"/>
        <v>2.5000000001455192E-2</v>
      </c>
      <c r="N191" s="7">
        <f t="shared" si="80"/>
        <v>36.000000002095476</v>
      </c>
      <c r="O191" s="7"/>
      <c r="P191" s="7"/>
      <c r="Q191" s="26"/>
      <c r="R191" s="26"/>
      <c r="S191" s="38">
        <f t="shared" si="81"/>
        <v>1</v>
      </c>
      <c r="T191" s="55" t="str">
        <f t="shared" si="86"/>
        <v>NorthBound</v>
      </c>
      <c r="U191" s="15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1" s="57" t="str">
        <f t="shared" si="88"/>
        <v>N</v>
      </c>
      <c r="X191" s="145">
        <f t="shared" si="82"/>
        <v>1</v>
      </c>
      <c r="Y191" s="72">
        <f t="shared" si="89"/>
        <v>9.4600000000000004E-2</v>
      </c>
      <c r="Z191" s="72">
        <f t="shared" si="83"/>
        <v>5.8912000000000004</v>
      </c>
      <c r="AA191" s="72">
        <f t="shared" si="90"/>
        <v>5.7966000000000006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91"/>
        <v>1829-06</v>
      </c>
      <c r="AE191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91" s="112" t="str">
        <f t="shared" si="93"/>
        <v>"C:\Program Files (x86)\AstroGrep\AstroGrep.exe" /spath="%USERPROFILE%\AppData\Local\Temp\OnboardLogs" /stypes="*4029*20160807*" /stext=" 02:.+((SYSTEM_STATE.+slice.+state.+changed )|(ment ac)|(system.+state.+changed )|(\|lc)|(penalty)|(\[timeout)|(PRM\|1\|D)|(kpr)|(kdp))" /e /r /s</v>
      </c>
      <c r="AG191" s="1" t="str">
        <f t="shared" si="94"/>
        <v>NW</v>
      </c>
      <c r="AH191" s="116" t="str">
        <f t="shared" si="95"/>
        <v>"%USERPROFILE%\Documents\GitHub\eaglep3\Utilities\RefineRTDCRunTimes.py" --tripid 1829-06 --locoid 4029 --swversion DE.1.0.7.0 --startMP 204:946 --initTime 2016-08-06T19:59:11 --startdatetime 2016-08-06T20:00:17 --delay 1 --endMP 300:58912 --enddatetime 2016-08-06T20:36:17 --enforcementcount 1</v>
      </c>
    </row>
    <row r="192" spans="1:34" x14ac:dyDescent="0.25">
      <c r="A192" s="25" t="s">
        <v>698</v>
      </c>
      <c r="B192" s="134">
        <v>4030</v>
      </c>
      <c r="C192" s="135" t="s">
        <v>156</v>
      </c>
      <c r="D192" s="135" t="s">
        <v>699</v>
      </c>
      <c r="E192" s="136">
        <v>42588.859675925924</v>
      </c>
      <c r="F192" s="136">
        <v>42588.860451388886</v>
      </c>
      <c r="G192" s="134">
        <v>1</v>
      </c>
      <c r="H192" s="136" t="s">
        <v>700</v>
      </c>
      <c r="I192" s="136">
        <v>42588.871747685182</v>
      </c>
      <c r="J192" s="134">
        <v>0</v>
      </c>
      <c r="K192" s="25" t="str">
        <f t="shared" si="84"/>
        <v>4029/4030</v>
      </c>
      <c r="L192" s="25" t="str">
        <f>VLOOKUP(A192,'Trips&amp;Operators'!$C$1:$E$10000,3,FALSE)</f>
        <v>KILLION</v>
      </c>
      <c r="M192" s="6">
        <f t="shared" si="85"/>
        <v>1.1296296295768116E-2</v>
      </c>
      <c r="N192" s="7">
        <f t="shared" si="80"/>
        <v>16.266666665906087</v>
      </c>
      <c r="O192" s="7"/>
      <c r="P192" s="7"/>
      <c r="Q192" s="26"/>
      <c r="R192" s="26"/>
      <c r="S192" s="38">
        <f t="shared" si="81"/>
        <v>1</v>
      </c>
      <c r="T192" s="55" t="str">
        <f t="shared" si="86"/>
        <v>Southbound</v>
      </c>
      <c r="U192" s="15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22" t="str">
        <f t="shared" si="87"/>
        <v>https://search-rtdc-monitor-bjffxe2xuh6vdkpspy63sjmuny.us-east-1.es.amazonaws.com/_plugin/kibana/#/discover/Steve-Slow-Train-Analysis-(2080s-and-2083s)?_g=(refreshInterval:(display:Off,section:0,value:0),time:(from:'2016-08-06 19:37:56-0600',mode:absolute,to:'2016-08-06 21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92" s="57" t="str">
        <f t="shared" si="88"/>
        <v>N</v>
      </c>
      <c r="X192" s="145">
        <f t="shared" si="82"/>
        <v>1</v>
      </c>
      <c r="Y192" s="72">
        <f t="shared" si="89"/>
        <v>5.86</v>
      </c>
      <c r="Z192" s="72">
        <f t="shared" si="83"/>
        <v>6.4500000000000002E-2</v>
      </c>
      <c r="AA192" s="72">
        <f t="shared" si="90"/>
        <v>5.7955000000000005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91"/>
        <v>1830-06</v>
      </c>
      <c r="AE192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92" s="112" t="str">
        <f t="shared" si="93"/>
        <v>"C:\Program Files (x86)\AstroGrep\AstroGrep.exe" /spath="%USERPROFILE%\AppData\Local\Temp\OnboardLogs" /stypes="*4030*20160807*" /stext=" 02:.+((SYSTEM_STATE.+slice.+state.+changed )|(ment ac)|(system.+state.+changed )|(\|lc)|(penalty)|(\[timeout)|(PRM\|1\|D)|(kpr)|(kdp))" /e /r /s</v>
      </c>
      <c r="AG192" s="1" t="str">
        <f t="shared" si="94"/>
        <v>NW</v>
      </c>
      <c r="AH192" s="116" t="str">
        <f t="shared" si="95"/>
        <v>"%USERPROFILE%\Documents\GitHub\eaglep3\Utilities\RefineRTDCRunTimes.py" --tripid 1830-06 --locoid 4030 --swversion DE.1.0.7.0 --startMP 300:58600 --initTime 2016-08-06T20:37:56 --startdatetime 2016-08-06T20:39:03 --delay 1 --endMP 204:645 --enddatetime 2016-08-06T20:55:19 --enforcementcount 0</v>
      </c>
    </row>
    <row r="193" spans="1:35" x14ac:dyDescent="0.25">
      <c r="A193" s="25" t="s">
        <v>701</v>
      </c>
      <c r="B193" s="134">
        <v>4029</v>
      </c>
      <c r="C193" s="135" t="s">
        <v>156</v>
      </c>
      <c r="D193" s="135" t="s">
        <v>702</v>
      </c>
      <c r="E193" s="136">
        <v>42588.873425925929</v>
      </c>
      <c r="F193" s="136">
        <v>42588.874328703707</v>
      </c>
      <c r="G193" s="134">
        <v>1</v>
      </c>
      <c r="H193" s="136" t="s">
        <v>686</v>
      </c>
      <c r="I193" s="136">
        <v>42588.899953703702</v>
      </c>
      <c r="J193" s="134">
        <v>0</v>
      </c>
      <c r="K193" s="25" t="str">
        <f t="shared" ref="K193:K203" si="96">IF(ISEVEN(B193),(B193-1)&amp;"/"&amp;B193,B193&amp;"/"&amp;(B193+1))</f>
        <v>4029/4030</v>
      </c>
      <c r="L193" s="25" t="str">
        <f>VLOOKUP(A193,'Trips&amp;Operators'!$C$1:$E$10000,3,FALSE)</f>
        <v>KILLION</v>
      </c>
      <c r="M193" s="6">
        <f t="shared" ref="M193:M203" si="97">I193-F193</f>
        <v>2.5624999994761311E-2</v>
      </c>
      <c r="N193" s="7">
        <f t="shared" ref="N193:N203" si="98">24*60*SUM($M193:$M193)</f>
        <v>36.899999992456287</v>
      </c>
      <c r="O193" s="7"/>
      <c r="P193" s="7"/>
      <c r="Q193" s="26"/>
      <c r="R193" s="26"/>
      <c r="S193" s="38">
        <f t="shared" ref="S193:S203" si="99">SUM(U193:U193)/IF(AG193="EC",12,1)</f>
        <v>1</v>
      </c>
      <c r="T193" s="55" t="str">
        <f t="shared" ref="T193:T203" si="100">IF(ISEVEN(LEFT(AD193,4)),"Southbound","NorthBound")</f>
        <v>NorthBound</v>
      </c>
      <c r="U193" s="15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22" t="str">
        <f t="shared" ref="V193:V203" si="101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https://search-rtdc-monitor-bjffxe2xuh6vdkpspy63sjmuny.us-east-1.es.amazonaws.com/_plugin/kibana/#/discover/Steve-Slow-Train-Analysis-(2080s-and-2083s)?_g=(refreshInterval:(display:Off,section:0,value:0),time:(from:'2016-08-06 19:57:44-0600',mode:absolute,to:'2016-08-06 22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3" s="57" t="str">
        <f t="shared" ref="W193:W203" si="102">IF(AA193&lt;IF(AG193="EC",23,5.65),"Y","N")</f>
        <v>N</v>
      </c>
      <c r="X193" s="145">
        <f t="shared" ref="X193:X203" si="103">VALUE(LEFT(AD193,4))-VALUE(LEFT(AD192,4))</f>
        <v>1</v>
      </c>
      <c r="Y193" s="72">
        <f t="shared" ref="Y193:Y203" si="104">RIGHT(D193,LEN(D193)-4)/10000</f>
        <v>9.3399999999999997E-2</v>
      </c>
      <c r="Z193" s="72">
        <f t="shared" ref="Z193:Z203" si="105">RIGHT(H193,LEN(H193)-4)/10000</f>
        <v>5.8909000000000002</v>
      </c>
      <c r="AA193" s="72">
        <f t="shared" ref="AA193:AA203" si="106">ABS(Z193-Y193)</f>
        <v>5.7975000000000003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ref="AD193:AD203" si="107">IF(LEN(A193)=6,"0"&amp;A193,A193)</f>
        <v>1831-06</v>
      </c>
      <c r="AE193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93" s="112" t="str">
        <f t="shared" si="93"/>
        <v>"C:\Program Files (x86)\AstroGrep\AstroGrep.exe" /spath="%USERPROFILE%\AppData\Local\Temp\OnboardLogs" /stypes="*4029*20160807*" /stext=" 03:.+((SYSTEM_STATE.+slice.+state.+changed )|(ment ac)|(system.+state.+changed )|(\|lc)|(penalty)|(\[timeout)|(PRM\|1\|D)|(kpr)|(kdp))" /e /r /s</v>
      </c>
      <c r="AG193" s="1" t="str">
        <f t="shared" ref="AG193:AG203" si="108">IF(VALUE(LEFT(AD193,2))&lt;=2,"EC",IF(OR(VALUE(LEFT(AD193,2))=8,VALUE(LEFT(AD193,2))=18),"NW","GL"))</f>
        <v>NW</v>
      </c>
      <c r="AH193" s="116" t="str">
        <f t="shared" si="95"/>
        <v>"%USERPROFILE%\Documents\GitHub\eaglep3\Utilities\RefineRTDCRunTimes.py" --tripid 1831-06 --locoid 4029 --swversion DE.1.0.7.0 --startMP 204:934 --initTime 2016-08-06T20:57:44 --startdatetime 2016-08-06T20:59:02 --delay 1 --endMP 300:58909 --enddatetime 2016-08-06T21:35:56 --enforcementcount 0</v>
      </c>
      <c r="AI193" s="24"/>
    </row>
    <row r="194" spans="1:35" x14ac:dyDescent="0.25">
      <c r="A194" s="25" t="s">
        <v>703</v>
      </c>
      <c r="B194" s="134">
        <v>4030</v>
      </c>
      <c r="C194" s="135" t="s">
        <v>156</v>
      </c>
      <c r="D194" s="135" t="s">
        <v>704</v>
      </c>
      <c r="E194" s="136">
        <v>42588.901099537034</v>
      </c>
      <c r="F194" s="136">
        <v>42588.901932870373</v>
      </c>
      <c r="G194" s="134">
        <v>1</v>
      </c>
      <c r="H194" s="136" t="s">
        <v>427</v>
      </c>
      <c r="I194" s="136">
        <v>42588.912881944445</v>
      </c>
      <c r="J194" s="134">
        <v>0</v>
      </c>
      <c r="K194" s="25" t="str">
        <f t="shared" si="96"/>
        <v>4029/4030</v>
      </c>
      <c r="L194" s="25" t="str">
        <f>VLOOKUP(A194,'Trips&amp;Operators'!$C$1:$E$10000,3,FALSE)</f>
        <v>KILLION</v>
      </c>
      <c r="M194" s="6">
        <f t="shared" si="97"/>
        <v>1.0949074072414078E-2</v>
      </c>
      <c r="N194" s="7">
        <f t="shared" si="98"/>
        <v>15.766666664276272</v>
      </c>
      <c r="O194" s="7"/>
      <c r="P194" s="7"/>
      <c r="Q194" s="26"/>
      <c r="R194" s="26"/>
      <c r="S194" s="38">
        <f t="shared" si="99"/>
        <v>1</v>
      </c>
      <c r="T194" s="55" t="str">
        <f t="shared" si="100"/>
        <v>Southbound</v>
      </c>
      <c r="U194" s="15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20:37:35-0600',mode:absolute,to:'2016-08-06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94" s="57" t="str">
        <f t="shared" si="102"/>
        <v>N</v>
      </c>
      <c r="X194" s="145">
        <f t="shared" si="103"/>
        <v>1</v>
      </c>
      <c r="Y194" s="72">
        <f t="shared" si="104"/>
        <v>5.8589000000000002</v>
      </c>
      <c r="Z194" s="72">
        <f t="shared" si="105"/>
        <v>7.6100000000000001E-2</v>
      </c>
      <c r="AA194" s="72">
        <f t="shared" si="106"/>
        <v>5.7827999999999999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07"/>
        <v>1832-06</v>
      </c>
      <c r="AE194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194" s="112" t="str">
        <f t="shared" si="93"/>
        <v>"C:\Program Files (x86)\AstroGrep\AstroGrep.exe" /spath="%USERPROFILE%\AppData\Local\Temp\OnboardLogs" /stypes="*4030*20160807*" /stext=" 03:.+((SYSTEM_STATE.+slice.+state.+changed )|(ment ac)|(system.+state.+changed )|(\|lc)|(penalty)|(\[timeout)|(PRM\|1\|D)|(kpr)|(kdp))" /e /r /s</v>
      </c>
      <c r="AG194" s="1" t="str">
        <f t="shared" si="108"/>
        <v>NW</v>
      </c>
      <c r="AH194" s="116" t="str">
        <f t="shared" si="95"/>
        <v>"%USERPROFILE%\Documents\GitHub\eaglep3\Utilities\RefineRTDCRunTimes.py" --tripid 1832-06 --locoid 4030 --swversion DE.1.0.7.0 --startMP 300:58589 --initTime 2016-08-06T21:37:35 --startdatetime 2016-08-06T21:38:47 --delay 1 --endMP 204:761 --enddatetime 2016-08-06T21:54:33 --enforcementcount 0</v>
      </c>
      <c r="AI194" s="24"/>
    </row>
    <row r="195" spans="1:35" x14ac:dyDescent="0.25">
      <c r="A195" s="25" t="s">
        <v>705</v>
      </c>
      <c r="B195" s="134">
        <v>4029</v>
      </c>
      <c r="C195" s="135" t="s">
        <v>156</v>
      </c>
      <c r="D195" s="135" t="s">
        <v>706</v>
      </c>
      <c r="E195" s="136">
        <v>42588.91511574074</v>
      </c>
      <c r="F195" s="136">
        <v>42588.915891203702</v>
      </c>
      <c r="G195" s="134">
        <v>1</v>
      </c>
      <c r="H195" s="136" t="s">
        <v>689</v>
      </c>
      <c r="I195" s="136">
        <v>42588.941689814812</v>
      </c>
      <c r="J195" s="134">
        <v>0</v>
      </c>
      <c r="K195" s="25" t="str">
        <f t="shared" si="96"/>
        <v>4029/4030</v>
      </c>
      <c r="L195" s="25" t="str">
        <f>VLOOKUP(A195,'Trips&amp;Operators'!$C$1:$E$10000,3,FALSE)</f>
        <v>KILLION</v>
      </c>
      <c r="M195" s="6">
        <f t="shared" si="97"/>
        <v>2.5798611110076308E-2</v>
      </c>
      <c r="N195" s="7">
        <f t="shared" si="98"/>
        <v>37.149999998509884</v>
      </c>
      <c r="O195" s="7"/>
      <c r="P195" s="7"/>
      <c r="Q195" s="26"/>
      <c r="R195" s="26"/>
      <c r="S195" s="38">
        <f t="shared" si="99"/>
        <v>1</v>
      </c>
      <c r="T195" s="55" t="str">
        <f t="shared" si="100"/>
        <v>NorthBound</v>
      </c>
      <c r="U195" s="15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20:57:46-0600',mode:absolute,to:'2016-08-06 23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5" s="57" t="str">
        <f t="shared" si="102"/>
        <v>N</v>
      </c>
      <c r="X195" s="145">
        <f t="shared" si="103"/>
        <v>1</v>
      </c>
      <c r="Y195" s="72">
        <f t="shared" si="104"/>
        <v>0.1042</v>
      </c>
      <c r="Z195" s="72">
        <f t="shared" si="105"/>
        <v>5.8910999999999998</v>
      </c>
      <c r="AA195" s="72">
        <f t="shared" si="106"/>
        <v>5.7869000000000002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07"/>
        <v>1833-06</v>
      </c>
      <c r="AE195" s="115" t="str">
        <f t="shared" si="92"/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AF195" s="112" t="str">
        <f t="shared" si="93"/>
        <v>"C:\Program Files (x86)\AstroGrep\AstroGrep.exe" /spath="%USERPROFILE%\AppData\Local\Temp\OnboardLogs" /stypes="*4029*20160807*" /stext=" 04:.+((SYSTEM_STATE.+slice.+state.+changed )|(ment ac)|(system.+state.+changed )|(\|lc)|(penalty)|(\[timeout)|(PRM\|1\|D)|(kpr)|(kdp))" /e /r /s</v>
      </c>
      <c r="AG195" s="1" t="str">
        <f t="shared" si="108"/>
        <v>NW</v>
      </c>
      <c r="AH195" s="116" t="str">
        <f t="shared" si="95"/>
        <v>"%USERPROFILE%\Documents\GitHub\eaglep3\Utilities\RefineRTDCRunTimes.py" --tripid 1833-06 --locoid 4029 --swversion DE.1.0.7.0 --startMP 204:1042 --initTime 2016-08-06T21:57:46 --startdatetime 2016-08-06T21:58:53 --delay 1 --endMP 300:58911 --enddatetime 2016-08-06T22:36:02 --enforcementcount 0</v>
      </c>
      <c r="AI195" s="24"/>
    </row>
    <row r="196" spans="1:35" x14ac:dyDescent="0.25">
      <c r="A196" s="25" t="s">
        <v>800</v>
      </c>
      <c r="B196" s="134">
        <v>4007</v>
      </c>
      <c r="C196" s="135" t="s">
        <v>156</v>
      </c>
      <c r="D196" s="135" t="s">
        <v>801</v>
      </c>
      <c r="E196" s="136">
        <v>42588.748773148145</v>
      </c>
      <c r="F196" s="136">
        <v>42588.750150462962</v>
      </c>
      <c r="G196" s="134">
        <v>1</v>
      </c>
      <c r="H196" s="136" t="s">
        <v>802</v>
      </c>
      <c r="I196" s="136">
        <v>42588.763449074075</v>
      </c>
      <c r="J196" s="134">
        <v>0</v>
      </c>
      <c r="K196" s="25" t="str">
        <f t="shared" si="96"/>
        <v>4007/4008</v>
      </c>
      <c r="L196" s="25" t="str">
        <f>VLOOKUP(A196,'Trips&amp;Operators'!$C$1:$E$10000,3,FALSE)</f>
        <v>MAYBERRY</v>
      </c>
      <c r="M196" s="6">
        <f t="shared" si="97"/>
        <v>1.3298611112986691E-2</v>
      </c>
      <c r="N196" s="7">
        <f t="shared" si="98"/>
        <v>19.150000002700835</v>
      </c>
      <c r="O196" s="7"/>
      <c r="P196" s="7"/>
      <c r="Q196" s="26"/>
      <c r="R196" s="26"/>
      <c r="S196" s="38">
        <f t="shared" si="99"/>
        <v>1</v>
      </c>
      <c r="T196" s="55" t="str">
        <f t="shared" si="100"/>
        <v>NorthBound</v>
      </c>
      <c r="U196" s="15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16:58:14-0600',mode:absolute,to:'2016-08-06 19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6" s="57" t="str">
        <f t="shared" si="102"/>
        <v>Y</v>
      </c>
      <c r="X196" s="145">
        <f t="shared" si="103"/>
        <v>-1530</v>
      </c>
      <c r="Y196" s="72">
        <f t="shared" si="104"/>
        <v>0.11990000000000001</v>
      </c>
      <c r="Z196" s="72">
        <f t="shared" si="105"/>
        <v>2.3306</v>
      </c>
      <c r="AA196" s="72">
        <f t="shared" si="106"/>
        <v>2.2107000000000001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07"/>
        <v>0303-06</v>
      </c>
      <c r="AE196" s="115" t="str">
        <f t="shared" si="92"/>
        <v>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 &amp; 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</v>
      </c>
      <c r="AF196" s="112" t="str">
        <f t="shared" si="93"/>
        <v>"C:\Program Files (x86)\AstroGrep\AstroGrep.exe" /spath="%USERPROFILE%\AppData\Local\Temp\OnboardLogs" /stypes="*4007*20160807*" /stext=" 00:.+((SYSTEM_STATE.+slice.+state.+changed )|(ment ac)|(system.+state.+changed )|(\|lc)|(penalty)|(\[timeout)|(PRM\|1\|D)|(kpr)|(kdp))" /e /r /s</v>
      </c>
      <c r="AG196" s="1" t="str">
        <f t="shared" si="108"/>
        <v>GL</v>
      </c>
      <c r="AH196" s="116" t="str">
        <f t="shared" si="95"/>
        <v>"%USERPROFILE%\Documents\GitHub\eaglep3\Utilities\RefineRTDCRunTimes.py" --tripid 303-06 --locoid 4007 --swversion DE.1.0.7.0 --startMP 204:1199 --initTime 2016-08-06T17:58:14 --startdatetime 2016-08-06T18:00:13 --delay 1 --endMP 300:23306 --enddatetime 2016-08-06T18:19:22 --enforcementcount 0</v>
      </c>
      <c r="AI196" s="24"/>
    </row>
    <row r="197" spans="1:35" x14ac:dyDescent="0.25">
      <c r="A197" s="25" t="s">
        <v>803</v>
      </c>
      <c r="B197" s="134">
        <v>4025</v>
      </c>
      <c r="C197" s="135" t="s">
        <v>156</v>
      </c>
      <c r="D197" s="135" t="s">
        <v>558</v>
      </c>
      <c r="E197" s="136">
        <v>42588.790648148148</v>
      </c>
      <c r="F197" s="136">
        <v>42588.791747685187</v>
      </c>
      <c r="G197" s="134">
        <v>1</v>
      </c>
      <c r="H197" s="136" t="s">
        <v>804</v>
      </c>
      <c r="I197" s="136">
        <v>42588.799247685187</v>
      </c>
      <c r="J197" s="134">
        <v>0</v>
      </c>
      <c r="K197" s="25" t="str">
        <f t="shared" si="96"/>
        <v>4025/4026</v>
      </c>
      <c r="L197" s="25" t="str">
        <f>VLOOKUP(A197,'Trips&amp;Operators'!$C$1:$E$10000,3,FALSE)</f>
        <v>MOSES</v>
      </c>
      <c r="M197" s="6">
        <f t="shared" si="97"/>
        <v>7.4999999997089617E-3</v>
      </c>
      <c r="N197" s="7">
        <f t="shared" si="98"/>
        <v>10.799999999580905</v>
      </c>
      <c r="O197" s="7"/>
      <c r="P197" s="7"/>
      <c r="Q197" s="26"/>
      <c r="R197" s="26"/>
      <c r="S197" s="38">
        <f t="shared" si="99"/>
        <v>0</v>
      </c>
      <c r="T197" s="55" t="str">
        <f t="shared" si="100"/>
        <v>Southbound</v>
      </c>
      <c r="U197" s="15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17:58:32-0600',mode:absolute,to:'2016-08-06 20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97" s="57" t="str">
        <f t="shared" si="102"/>
        <v>Y</v>
      </c>
      <c r="X197" s="145">
        <f t="shared" si="103"/>
        <v>5</v>
      </c>
      <c r="Y197" s="72">
        <f t="shared" si="104"/>
        <v>4.6600000000000003E-2</v>
      </c>
      <c r="Z197" s="72">
        <f t="shared" si="105"/>
        <v>2.3302</v>
      </c>
      <c r="AA197" s="72">
        <f t="shared" si="106"/>
        <v>2.2835999999999999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07"/>
        <v>0308-06</v>
      </c>
      <c r="AE197" s="115" t="str">
        <f t="shared" si="92"/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AF197" s="112" t="str">
        <f t="shared" si="93"/>
        <v>"C:\Program Files (x86)\AstroGrep\AstroGrep.exe" /spath="%USERPROFILE%\AppData\Local\Temp\OnboardLogs" /stypes="*4025*20160807*" /stext=" 01:.+((SYSTEM_STATE.+slice.+state.+changed )|(ment ac)|(system.+state.+changed )|(\|lc)|(penalty)|(\[timeout)|(PRM\|1\|D)|(kpr)|(kdp))" /e /r /s</v>
      </c>
      <c r="AG197" s="1" t="str">
        <f t="shared" si="108"/>
        <v>GL</v>
      </c>
      <c r="AH197" s="116" t="str">
        <f t="shared" si="95"/>
        <v>"%USERPROFILE%\Documents\GitHub\eaglep3\Utilities\RefineRTDCRunTimes.py" --tripid 308-06 --locoid 4025 --swversion DE.1.0.7.0 --startMP 204:466 --initTime 2016-08-06T18:58:32 --startdatetime 2016-08-06T19:00:07 --delay 1 --endMP 300:23302 --enddatetime 2016-08-06T19:10:55 --enforcementcount 0</v>
      </c>
      <c r="AI197" s="24"/>
    </row>
    <row r="198" spans="1:35" x14ac:dyDescent="0.25">
      <c r="A198" s="25" t="s">
        <v>805</v>
      </c>
      <c r="B198" s="134">
        <v>4009</v>
      </c>
      <c r="C198" s="135" t="s">
        <v>156</v>
      </c>
      <c r="D198" s="135" t="s">
        <v>298</v>
      </c>
      <c r="E198" s="136">
        <v>42589.048807870371</v>
      </c>
      <c r="F198" s="136">
        <v>42589.049803240741</v>
      </c>
      <c r="G198" s="134">
        <v>1</v>
      </c>
      <c r="H198" s="136" t="s">
        <v>806</v>
      </c>
      <c r="I198" s="136">
        <v>42589.056562500002</v>
      </c>
      <c r="J198" s="134">
        <v>0</v>
      </c>
      <c r="K198" s="25" t="str">
        <f t="shared" si="96"/>
        <v>4009/4010</v>
      </c>
      <c r="L198" s="25" t="str">
        <f>VLOOKUP(A198,'Trips&amp;Operators'!$C$1:$E$10000,3,FALSE)</f>
        <v>NEWELL</v>
      </c>
      <c r="M198" s="6">
        <f t="shared" si="97"/>
        <v>6.7592592604341917E-3</v>
      </c>
      <c r="N198" s="7">
        <f t="shared" si="98"/>
        <v>9.733333335025236</v>
      </c>
      <c r="O198" s="7"/>
      <c r="P198" s="7"/>
      <c r="Q198" s="26"/>
      <c r="R198" s="26"/>
      <c r="S198" s="38">
        <f t="shared" si="99"/>
        <v>1</v>
      </c>
      <c r="T198" s="55" t="str">
        <f t="shared" si="100"/>
        <v>NorthBound</v>
      </c>
      <c r="U198" s="15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https://search-rtdc-monitor-bjffxe2xuh6vdkpspy63sjmuny.us-east-1.es.amazonaws.com/_plugin/kibana/#/discover/Steve-Slow-Train-Analysis-(2080s-and-2083s)?_g=(refreshInterval:(display:Off,section:0,value:0),time:(from:'2016-08-07 00:10:17-0600',mode:absolute,to:'2016-08-07 02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98" s="57" t="str">
        <f t="shared" si="102"/>
        <v>Y</v>
      </c>
      <c r="X198" s="145">
        <f t="shared" si="103"/>
        <v>1</v>
      </c>
      <c r="Y198" s="72">
        <f t="shared" si="104"/>
        <v>4.4699999999999997E-2</v>
      </c>
      <c r="Z198" s="72">
        <f t="shared" si="105"/>
        <v>2.3300999999999998</v>
      </c>
      <c r="AA198" s="72">
        <f t="shared" si="106"/>
        <v>2.2853999999999997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07"/>
        <v>0309-06</v>
      </c>
      <c r="AE198" s="115" t="str">
        <f t="shared" si="92"/>
        <v>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 &amp; aws s3 cp s3://rtdc.mdm.uploadarchive/RTDC4009/2016-08-08/ "%USERPROFILE%\AppData\Local\Temp\OnboardLogs"\RTDC4009\2016-08-08 --recursive &amp; "%USERPROFILE%\Documents\GitHub\mrs-test-scripts\Headless Mode &amp; Sideloading\WalkAndUnGZ.bat" "%USERPROFILE%\AppData\Local\Temp\OnboardLogs"\RTDC4009\2016-08-08</v>
      </c>
      <c r="AF198" s="112" t="str">
        <f t="shared" si="93"/>
        <v>"C:\Program Files (x86)\AstroGrep\AstroGrep.exe" /spath="%USERPROFILE%\AppData\Local\Temp\OnboardLogs" /stypes="*4009*20160807*" /stext=" 07:.+((SYSTEM_STATE.+slice.+state.+changed )|(ment ac)|(system.+state.+changed )|(\|lc)|(penalty)|(\[timeout)|(PRM\|1\|D)|(kpr)|(kdp))" /e /r /s</v>
      </c>
      <c r="AG198" s="1" t="str">
        <f t="shared" si="108"/>
        <v>GL</v>
      </c>
      <c r="AH198" s="116" t="str">
        <f t="shared" si="95"/>
        <v>"%USERPROFILE%\Documents\GitHub\eaglep3\Utilities\RefineRTDCRunTimes.py" --tripid 309-06 --locoid 4009 --swversion DE.1.0.7.0 --startMP 204:447 --initTime 2016-08-07T01:10:17 --startdatetime 2016-08-07T01:11:43 --delay 1 --endMP 300:23301 --enddatetime 2016-08-07T01:21:27 --enforcementcount 0</v>
      </c>
      <c r="AI198" s="24"/>
    </row>
    <row r="199" spans="1:35" x14ac:dyDescent="0.25">
      <c r="A199" s="25" t="s">
        <v>807</v>
      </c>
      <c r="B199" s="134">
        <v>4014</v>
      </c>
      <c r="C199" s="135" t="s">
        <v>156</v>
      </c>
      <c r="D199" s="135" t="s">
        <v>115</v>
      </c>
      <c r="E199" s="136">
        <v>42589.070520833331</v>
      </c>
      <c r="F199" s="136">
        <v>42589.071851851855</v>
      </c>
      <c r="G199" s="134">
        <v>1</v>
      </c>
      <c r="H199" s="136" t="s">
        <v>311</v>
      </c>
      <c r="I199" s="136">
        <v>42589.080972222226</v>
      </c>
      <c r="J199" s="134">
        <v>0</v>
      </c>
      <c r="K199" s="25" t="str">
        <f t="shared" si="96"/>
        <v>4013/4014</v>
      </c>
      <c r="L199" s="25" t="str">
        <f>VLOOKUP(A199,'Trips&amp;Operators'!$C$1:$E$10000,3,FALSE)</f>
        <v>CHANDLER</v>
      </c>
      <c r="M199" s="6">
        <f t="shared" si="97"/>
        <v>9.1203703705104999E-3</v>
      </c>
      <c r="N199" s="7">
        <f t="shared" si="98"/>
        <v>13.13333333353512</v>
      </c>
      <c r="O199" s="7"/>
      <c r="P199" s="7"/>
      <c r="Q199" s="26"/>
      <c r="R199" s="26"/>
      <c r="S199" s="38">
        <f t="shared" si="99"/>
        <v>1</v>
      </c>
      <c r="T199" s="55" t="str">
        <f t="shared" si="100"/>
        <v>NorthBound</v>
      </c>
      <c r="U199" s="15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https://search-rtdc-monitor-bjffxe2xuh6vdkpspy63sjmuny.us-east-1.es.amazonaws.com/_plugin/kibana/#/discover/Steve-Slow-Train-Analysis-(2080s-and-2083s)?_g=(refreshInterval:(display:Off,section:0,value:0),time:(from:'2016-08-07 00:41:33-0600',mode:absolute,to:'2016-08-07 02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9" s="57" t="str">
        <f t="shared" si="102"/>
        <v>Y</v>
      </c>
      <c r="X199" s="145">
        <f t="shared" si="103"/>
        <v>2</v>
      </c>
      <c r="Y199" s="72">
        <f t="shared" si="104"/>
        <v>4.58E-2</v>
      </c>
      <c r="Z199" s="72">
        <f t="shared" si="105"/>
        <v>2.3304</v>
      </c>
      <c r="AA199" s="72">
        <f t="shared" si="106"/>
        <v>2.2846000000000002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07"/>
        <v>0311-06</v>
      </c>
      <c r="AE199" s="115" t="str">
        <f t="shared" si="92"/>
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</c>
      <c r="AF199" s="112" t="str">
        <f t="shared" si="93"/>
        <v>"C:\Program Files (x86)\AstroGrep\AstroGrep.exe" /spath="%USERPROFILE%\AppData\Local\Temp\OnboardLogs" /stypes="*4014*20160807*" /stext=" 07:.+((SYSTEM_STATE.+slice.+state.+changed )|(ment ac)|(system.+state.+changed )|(\|lc)|(penalty)|(\[timeout)|(PRM\|1\|D)|(kpr)|(kdp))" /e /r /s</v>
      </c>
      <c r="AG199" s="1" t="str">
        <f t="shared" si="108"/>
        <v>GL</v>
      </c>
      <c r="AH199" s="116" t="str">
        <f t="shared" si="95"/>
        <v>"%USERPROFILE%\Documents\GitHub\eaglep3\Utilities\RefineRTDCRunTimes.py" --tripid 311-06 --locoid 4014 --swversion DE.1.0.7.0 --startMP 204:458 --initTime 2016-08-07T01:41:33 --startdatetime 2016-08-07T01:43:28 --delay 1 --endMP 300:23304 --enddatetime 2016-08-07T01:56:36 --enforcementcount 0</v>
      </c>
      <c r="AI199" s="24"/>
    </row>
    <row r="200" spans="1:35" x14ac:dyDescent="0.25">
      <c r="A200" s="25" t="s">
        <v>808</v>
      </c>
      <c r="B200" s="134">
        <v>4038</v>
      </c>
      <c r="C200" s="135" t="s">
        <v>156</v>
      </c>
      <c r="D200" s="135" t="s">
        <v>307</v>
      </c>
      <c r="E200" s="136">
        <v>42588.090729166666</v>
      </c>
      <c r="F200" s="136">
        <v>42588.091863425929</v>
      </c>
      <c r="G200" s="134">
        <v>1</v>
      </c>
      <c r="H200" s="136" t="s">
        <v>802</v>
      </c>
      <c r="I200" s="136">
        <v>42588.103518518517</v>
      </c>
      <c r="J200" s="134">
        <v>0</v>
      </c>
      <c r="K200" s="25" t="str">
        <f t="shared" si="96"/>
        <v>4037/4038</v>
      </c>
      <c r="L200" s="25" t="str">
        <f>VLOOKUP(A200,'Trips&amp;Operators'!$C$1:$E$10000,3,FALSE)</f>
        <v>ROBINSON</v>
      </c>
      <c r="M200" s="6">
        <f t="shared" si="97"/>
        <v>1.1655092588625848E-2</v>
      </c>
      <c r="N200" s="7">
        <f t="shared" si="98"/>
        <v>16.783333327621222</v>
      </c>
      <c r="O200" s="7"/>
      <c r="P200" s="7"/>
      <c r="Q200" s="26"/>
      <c r="R200" s="26"/>
      <c r="S200" s="38">
        <f t="shared" si="99"/>
        <v>1</v>
      </c>
      <c r="T200" s="55" t="str">
        <f t="shared" si="100"/>
        <v>NorthBound</v>
      </c>
      <c r="U200" s="15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00" s="57" t="str">
        <f t="shared" si="102"/>
        <v>Y</v>
      </c>
      <c r="X200" s="145">
        <f t="shared" si="103"/>
        <v>2</v>
      </c>
      <c r="Y200" s="72">
        <f t="shared" si="104"/>
        <v>4.4600000000000001E-2</v>
      </c>
      <c r="Z200" s="72">
        <f t="shared" si="105"/>
        <v>2.3306</v>
      </c>
      <c r="AA200" s="72">
        <f t="shared" si="106"/>
        <v>2.286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07"/>
        <v>0313-05</v>
      </c>
      <c r="AE200" s="115" t="str">
        <f t="shared" si="92"/>
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</c>
      <c r="AF200" s="112" t="str">
        <f t="shared" si="93"/>
        <v>"C:\Program Files (x86)\AstroGrep\AstroGrep.exe" /spath="%USERPROFILE%\AppData\Local\Temp\OnboardLogs" /stypes="*4038*20160806*" /stext=" 08:.+((SYSTEM_STATE.+slice.+state.+changed )|(ment ac)|(system.+state.+changed )|(\|lc)|(penalty)|(\[timeout)|(PRM\|1\|D)|(kpr)|(kdp))" /e /r /s</v>
      </c>
      <c r="AG200" s="1" t="str">
        <f t="shared" si="108"/>
        <v>GL</v>
      </c>
      <c r="AH200" s="116" t="str">
        <f t="shared" si="95"/>
        <v>"%USERPROFILE%\Documents\GitHub\eaglep3\Utilities\RefineRTDCRunTimes.py" --tripid 313-05 --locoid 4038 --swversion DE.1.0.7.0 --startMP 204:446 --initTime 2016-08-06T02:10:39 --startdatetime 2016-08-06T02:12:17 --delay 1 --endMP 300:23306 --enddatetime 2016-08-06T02:29:04 --enforcementcount 0</v>
      </c>
      <c r="AI200" s="24"/>
    </row>
    <row r="201" spans="1:35" x14ac:dyDescent="0.25">
      <c r="A201" s="25" t="s">
        <v>809</v>
      </c>
      <c r="B201" s="134">
        <v>4011</v>
      </c>
      <c r="C201" s="135" t="s">
        <v>156</v>
      </c>
      <c r="D201" s="135" t="s">
        <v>300</v>
      </c>
      <c r="E201" s="136">
        <v>42589.110254629632</v>
      </c>
      <c r="F201" s="136">
        <v>42589.110925925925</v>
      </c>
      <c r="G201" s="134">
        <v>0</v>
      </c>
      <c r="H201" s="136" t="s">
        <v>810</v>
      </c>
      <c r="I201" s="136">
        <v>42589.117465277777</v>
      </c>
      <c r="J201" s="134">
        <v>0</v>
      </c>
      <c r="K201" s="25" t="str">
        <f t="shared" si="96"/>
        <v>4011/4012</v>
      </c>
      <c r="L201" s="25" t="str">
        <f>VLOOKUP(A201,'Trips&amp;Operators'!$C$1:$E$10000,3,FALSE)</f>
        <v>GOLIGHTLY</v>
      </c>
      <c r="M201" s="6">
        <f t="shared" si="97"/>
        <v>6.5393518525524996E-3</v>
      </c>
      <c r="N201" s="7">
        <f t="shared" si="98"/>
        <v>9.4166666676755995</v>
      </c>
      <c r="O201" s="7"/>
      <c r="P201" s="7"/>
      <c r="Q201" s="26"/>
      <c r="R201" s="26"/>
      <c r="S201" s="38">
        <f t="shared" si="99"/>
        <v>1</v>
      </c>
      <c r="T201" s="55" t="str">
        <f t="shared" si="100"/>
        <v>NorthBound</v>
      </c>
      <c r="U201" s="15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01" s="57" t="str">
        <f t="shared" si="102"/>
        <v>Y</v>
      </c>
      <c r="X201" s="145">
        <f t="shared" si="103"/>
        <v>2</v>
      </c>
      <c r="Y201" s="72">
        <f t="shared" si="104"/>
        <v>4.5699999999999998E-2</v>
      </c>
      <c r="Z201" s="72">
        <f t="shared" si="105"/>
        <v>2.3121</v>
      </c>
      <c r="AA201" s="72">
        <f t="shared" si="106"/>
        <v>2.2664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107"/>
        <v>0315-06</v>
      </c>
      <c r="AE201" s="115" t="str">
        <f t="shared" si="92"/>
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</c>
      <c r="AF201" s="112" t="str">
        <f t="shared" si="93"/>
        <v>"C:\Program Files (x86)\AstroGrep\AstroGrep.exe" /spath="%USERPROFILE%\AppData\Local\Temp\OnboardLogs" /stypes="*4011*20160807*" /stext=" 08:.+((SYSTEM_STATE.+slice.+state.+changed )|(ment ac)|(system.+state.+changed )|(\|lc)|(penalty)|(\[timeout)|(PRM\|1\|D)|(kpr)|(kdp))" /e /r /s</v>
      </c>
      <c r="AG201" s="1" t="str">
        <f t="shared" si="108"/>
        <v>GL</v>
      </c>
      <c r="AH201" s="116" t="str">
        <f t="shared" si="95"/>
        <v>"%USERPROFILE%\Documents\GitHub\eaglep3\Utilities\RefineRTDCRunTimes.py" --tripid 315-06 --locoid 4011 --swversion DE.1.0.7.0 --startMP 204:457 --initTime 2016-08-07T02:38:46 --startdatetime 2016-08-07T02:39:44 --delay 0 --endMP 300:23121 --enddatetime 2016-08-07T02:49:09 --enforcementcount 0</v>
      </c>
      <c r="AI201" s="24"/>
    </row>
    <row r="202" spans="1:35" x14ac:dyDescent="0.25">
      <c r="A202" s="25" t="s">
        <v>715</v>
      </c>
      <c r="B202" s="134">
        <v>4030</v>
      </c>
      <c r="C202" s="135" t="s">
        <v>156</v>
      </c>
      <c r="D202" s="135" t="s">
        <v>442</v>
      </c>
      <c r="E202" s="136">
        <v>42588.231678240743</v>
      </c>
      <c r="F202" s="136">
        <v>42588.232708333337</v>
      </c>
      <c r="G202" s="134">
        <v>1</v>
      </c>
      <c r="H202" s="136" t="s">
        <v>716</v>
      </c>
      <c r="I202" s="136">
        <v>42588.24722222222</v>
      </c>
      <c r="J202" s="134">
        <v>0</v>
      </c>
      <c r="K202" s="25" t="str">
        <f t="shared" si="96"/>
        <v>4029/4030</v>
      </c>
      <c r="L202" s="25" t="str">
        <f>VLOOKUP(A202,'Trips&amp;Operators'!$C$1:$E$10000,3,FALSE)</f>
        <v>YORK</v>
      </c>
      <c r="M202" s="6">
        <f t="shared" si="97"/>
        <v>1.4513888883811887E-2</v>
      </c>
      <c r="N202" s="7">
        <f t="shared" si="98"/>
        <v>20.899999992689118</v>
      </c>
      <c r="O202" s="7"/>
      <c r="P202" s="7"/>
      <c r="Q202" s="26"/>
      <c r="R202" s="26"/>
      <c r="S202" s="38">
        <f t="shared" si="99"/>
        <v>0</v>
      </c>
      <c r="T202" s="55" t="str">
        <f t="shared" si="100"/>
        <v>NorthBound</v>
      </c>
      <c r="U202" s="15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04:33:37-0600',mode:absolute,to:'2016-08-06 06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02" s="57" t="str">
        <f t="shared" si="102"/>
        <v>N</v>
      </c>
      <c r="X202" s="145">
        <f t="shared" si="103"/>
        <v>1586</v>
      </c>
      <c r="Y202" s="72">
        <f t="shared" si="104"/>
        <v>5.8639999999999999</v>
      </c>
      <c r="Z202" s="72">
        <f t="shared" si="105"/>
        <v>8.9899999999999994E-2</v>
      </c>
      <c r="AA202" s="72">
        <f t="shared" si="106"/>
        <v>5.7740999999999998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107"/>
        <v>1901-06</v>
      </c>
      <c r="AE202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202" s="112" t="str">
        <f t="shared" si="93"/>
        <v>"C:\Program Files (x86)\AstroGrep\AstroGrep.exe" /spath="%USERPROFILE%\AppData\Local\Temp\OnboardLogs" /stypes="*4030*20160806*" /stext=" 11:.+((SYSTEM_STATE.+slice.+state.+changed )|(ment ac)|(system.+state.+changed )|(\|lc)|(penalty)|(\[timeout)|(PRM\|1\|D)|(kpr)|(kdp))" /e /r /s</v>
      </c>
      <c r="AG202" s="1" t="str">
        <f t="shared" si="108"/>
        <v>GL</v>
      </c>
      <c r="AH202" s="116" t="str">
        <f t="shared" si="95"/>
        <v>"%USERPROFILE%\Documents\GitHub\eaglep3\Utilities\RefineRTDCRunTimes.py" --tripid 1901-06 --locoid 4030 --swversion DE.1.0.7.0 --startMP 300:58640 --initTime 2016-08-06T05:33:37 --startdatetime 2016-08-06T05:35:06 --delay 1 --endMP 204:899 --enddatetime 2016-08-06T05:56:00 --enforcementcount 0</v>
      </c>
      <c r="AI202" s="24"/>
    </row>
    <row r="203" spans="1:35" x14ac:dyDescent="0.25">
      <c r="A203" s="25" t="s">
        <v>717</v>
      </c>
      <c r="B203" s="134">
        <v>4030</v>
      </c>
      <c r="C203" s="135" t="s">
        <v>156</v>
      </c>
      <c r="D203" s="135" t="s">
        <v>704</v>
      </c>
      <c r="E203" s="136">
        <v>42588.942800925928</v>
      </c>
      <c r="F203" s="136">
        <v>42588.943564814814</v>
      </c>
      <c r="G203" s="134">
        <v>1</v>
      </c>
      <c r="H203" s="136" t="s">
        <v>718</v>
      </c>
      <c r="I203" s="136">
        <v>42588.950868055559</v>
      </c>
      <c r="J203" s="134">
        <v>0</v>
      </c>
      <c r="K203" s="25" t="str">
        <f t="shared" si="96"/>
        <v>4029/4030</v>
      </c>
      <c r="L203" s="25" t="str">
        <f>VLOOKUP(A203,'Trips&amp;Operators'!$C$1:$E$10000,3,FALSE)</f>
        <v>KILLION</v>
      </c>
      <c r="M203" s="6">
        <f t="shared" si="97"/>
        <v>7.3032407453865744E-3</v>
      </c>
      <c r="N203" s="7">
        <f t="shared" si="98"/>
        <v>10.516666673356667</v>
      </c>
      <c r="O203" s="7"/>
      <c r="P203" s="7"/>
      <c r="Q203" s="26"/>
      <c r="R203" s="26"/>
      <c r="S203" s="38">
        <f t="shared" si="99"/>
        <v>0</v>
      </c>
      <c r="T203" s="55" t="str">
        <f t="shared" si="100"/>
        <v>Southbound</v>
      </c>
      <c r="U203" s="15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22" t="str">
        <f t="shared" si="101"/>
        <v>https://search-rtdc-monitor-bjffxe2xuh6vdkpspy63sjmuny.us-east-1.es.amazonaws.com/_plugin/kibana/#/discover/Steve-Slow-Train-Analysis-(2080s-and-2083s)?_g=(refreshInterval:(display:Off,section:0,value:0),time:(from:'2016-08-06 21:37:38-0600',mode:absolute,to:'2016-08-06 23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03" s="57" t="str">
        <f t="shared" si="102"/>
        <v>Y</v>
      </c>
      <c r="X203" s="145">
        <f t="shared" si="103"/>
        <v>1</v>
      </c>
      <c r="Y203" s="72">
        <f t="shared" si="104"/>
        <v>5.8589000000000002</v>
      </c>
      <c r="Z203" s="72">
        <f t="shared" si="105"/>
        <v>2.1551</v>
      </c>
      <c r="AA203" s="72">
        <f t="shared" si="106"/>
        <v>3.7038000000000002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107"/>
        <v>1902-06</v>
      </c>
      <c r="AE203" s="115" t="str">
        <f t="shared" si="92"/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AF203" s="112" t="str">
        <f t="shared" si="93"/>
        <v>"C:\Program Files (x86)\AstroGrep\AstroGrep.exe" /spath="%USERPROFILE%\AppData\Local\Temp\OnboardLogs" /stypes="*4030*20160807*" /stext=" 04:.+((SYSTEM_STATE.+slice.+state.+changed )|(ment ac)|(system.+state.+changed )|(\|lc)|(penalty)|(\[timeout)|(PRM\|1\|D)|(kpr)|(kdp))" /e /r /s</v>
      </c>
      <c r="AG203" s="1" t="str">
        <f t="shared" si="108"/>
        <v>GL</v>
      </c>
      <c r="AH203" s="116" t="str">
        <f t="shared" si="95"/>
        <v>"%USERPROFILE%\Documents\GitHub\eaglep3\Utilities\RefineRTDCRunTimes.py" --tripid 1902-06 --locoid 4030 --swversion DE.1.0.7.0 --startMP 300:58589 --initTime 2016-08-06T22:37:38 --startdatetime 2016-08-06T22:38:44 --delay 1 --endMP 300:21551 --enddatetime 2016-08-06T22:49:15 --enforcementcount 0</v>
      </c>
      <c r="AI203" s="24"/>
    </row>
  </sheetData>
  <autoFilter ref="A12:AG203"/>
  <sortState ref="A13:AC160">
    <sortCondition ref="A13:A160"/>
    <sortCondition ref="F13:F160"/>
  </sortState>
  <mergeCells count="1">
    <mergeCell ref="A11:P11"/>
  </mergeCells>
  <conditionalFormatting sqref="W11:W12 W13:X1048576">
    <cfRule type="cellIs" dxfId="14" priority="88" operator="equal">
      <formula>"Y"</formula>
    </cfRule>
  </conditionalFormatting>
  <conditionalFormatting sqref="X13:X1048576">
    <cfRule type="cellIs" dxfId="13" priority="71" operator="greaterThan">
      <formula>1</formula>
    </cfRule>
  </conditionalFormatting>
  <conditionalFormatting sqref="X12:X1048576">
    <cfRule type="cellIs" dxfId="12" priority="68" operator="equal">
      <formula>0</formula>
    </cfRule>
  </conditionalFormatting>
  <conditionalFormatting sqref="N14:O14 Q13:S14 O13 A13:M119 A120:S203 N15:S119">
    <cfRule type="expression" dxfId="11" priority="64">
      <formula>$O13&gt;0</formula>
    </cfRule>
  </conditionalFormatting>
  <conditionalFormatting sqref="N14:O14 Q13:S14 O13 A13:M119 A120:S203 N15:S119">
    <cfRule type="expression" dxfId="10" priority="63">
      <formula>$P13&gt;0</formula>
    </cfRule>
  </conditionalFormatting>
  <conditionalFormatting sqref="P13:P14">
    <cfRule type="expression" dxfId="9" priority="6">
      <formula>$O13&gt;0</formula>
    </cfRule>
  </conditionalFormatting>
  <conditionalFormatting sqref="P13:P14">
    <cfRule type="expression" dxfId="8" priority="5">
      <formula>$P13&gt;0</formula>
    </cfRule>
  </conditionalFormatting>
  <conditionalFormatting sqref="N13">
    <cfRule type="expression" dxfId="7" priority="3">
      <formula>$O13&gt;0</formula>
    </cfRule>
  </conditionalFormatting>
  <conditionalFormatting sqref="N13">
    <cfRule type="expression" dxfId="6" priority="2">
      <formula>$P13&gt;0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N14:O14 Q13:S14 O13 A13:M119 A120:S203 N15:S119</xm:sqref>
        </x14:conditionalFormatting>
        <x14:conditionalFormatting xmlns:xm="http://schemas.microsoft.com/office/excel/2006/main">
          <x14:cfRule type="expression" priority="4" id="{BE0B9365-755C-4C72-8A87-8E3413FE342D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P13:P14</xm:sqref>
        </x14:conditionalFormatting>
        <x14:conditionalFormatting xmlns:xm="http://schemas.microsoft.com/office/excel/2006/main">
          <x14:cfRule type="expression" priority="1" id="{E2A8EF86-9D39-4B83-AC99-075494DA667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1"/>
  <sheetViews>
    <sheetView topLeftCell="A19" workbookViewId="0">
      <selection activeCell="D35" sqref="D3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4.28515625" customWidth="1"/>
    <col min="14" max="14" width="24.140625" customWidth="1"/>
    <col min="15" max="15" width="5" hidden="1" customWidth="1"/>
    <col min="16" max="16" width="5.7109375" style="113" customWidth="1"/>
    <col min="17" max="17" width="5.7109375" style="127" customWidth="1"/>
    <col min="18" max="18" width="6" style="110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P1" s="113"/>
      <c r="Q1" s="127"/>
      <c r="R1" s="110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97</v>
      </c>
      <c r="L2" s="76"/>
      <c r="M2" s="78">
        <f>COUNTIF($M$7:$M$444,"=Y")</f>
        <v>6</v>
      </c>
      <c r="P2" s="113"/>
      <c r="Q2" s="127"/>
      <c r="R2" s="110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98</v>
      </c>
      <c r="L3" s="77"/>
      <c r="M3" s="79">
        <f>COUNTA($M$7:$M$444)-M2</f>
        <v>48</v>
      </c>
      <c r="P3" s="113"/>
      <c r="Q3" s="127"/>
      <c r="R3" s="110"/>
      <c r="T3" s="53"/>
    </row>
    <row r="4" spans="1:22" s="24" customFormat="1" x14ac:dyDescent="0.25">
      <c r="A4" s="8"/>
      <c r="F4" s="2"/>
      <c r="G4" s="2"/>
      <c r="H4" s="2"/>
      <c r="J4" s="2"/>
      <c r="L4" s="31"/>
      <c r="P4" s="113"/>
      <c r="Q4" s="127"/>
      <c r="R4" s="110"/>
      <c r="T4" s="53"/>
    </row>
    <row r="5" spans="1:22" s="12" customFormat="1" ht="15" customHeight="1" x14ac:dyDescent="0.25">
      <c r="A5" s="137" t="str">
        <f>"Eagle P3 Braking Events - "&amp;TEXT(Variables!$A$2,"YYYY-mm-dd")</f>
        <v>Eagle P3 Braking Events - 2016-08-06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"/>
      <c r="P5" s="124"/>
      <c r="Q5" s="128"/>
      <c r="R5" s="131"/>
      <c r="T5" s="54"/>
    </row>
    <row r="6" spans="1:22" s="1" customFormat="1" ht="135" x14ac:dyDescent="0.25">
      <c r="A6" s="11" t="s">
        <v>38</v>
      </c>
      <c r="B6" s="80" t="s">
        <v>37</v>
      </c>
      <c r="C6" s="80" t="s">
        <v>36</v>
      </c>
      <c r="D6" s="80" t="s">
        <v>35</v>
      </c>
      <c r="E6" s="80" t="s">
        <v>34</v>
      </c>
      <c r="F6" s="81" t="s">
        <v>33</v>
      </c>
      <c r="G6" s="81" t="s">
        <v>32</v>
      </c>
      <c r="H6" s="81" t="s">
        <v>31</v>
      </c>
      <c r="I6" s="80" t="s">
        <v>30</v>
      </c>
      <c r="J6" s="81" t="s">
        <v>29</v>
      </c>
      <c r="K6" s="80" t="s">
        <v>28</v>
      </c>
      <c r="L6" s="17" t="s">
        <v>47</v>
      </c>
      <c r="M6" s="80" t="s">
        <v>27</v>
      </c>
      <c r="N6" s="80" t="s">
        <v>24</v>
      </c>
      <c r="O6" s="55"/>
      <c r="P6" s="125" t="s">
        <v>123</v>
      </c>
      <c r="Q6" s="129" t="s">
        <v>65</v>
      </c>
      <c r="R6" s="132" t="s">
        <v>122</v>
      </c>
      <c r="S6" s="80" t="s">
        <v>117</v>
      </c>
      <c r="T6" s="82" t="s">
        <v>118</v>
      </c>
      <c r="U6" s="55" t="s">
        <v>134</v>
      </c>
      <c r="V6" s="55" t="s">
        <v>139</v>
      </c>
    </row>
    <row r="7" spans="1:22" s="1" customFormat="1" x14ac:dyDescent="0.25">
      <c r="A7" s="41">
        <v>42588.193402777775</v>
      </c>
      <c r="B7" s="34" t="s">
        <v>104</v>
      </c>
      <c r="C7" s="34" t="s">
        <v>450</v>
      </c>
      <c r="D7" s="34" t="s">
        <v>140</v>
      </c>
      <c r="E7" s="34" t="s">
        <v>130</v>
      </c>
      <c r="F7" s="52">
        <v>0</v>
      </c>
      <c r="G7" s="52">
        <v>315</v>
      </c>
      <c r="H7" s="52">
        <v>33139</v>
      </c>
      <c r="I7" s="34" t="s">
        <v>131</v>
      </c>
      <c r="J7" s="52">
        <v>33137</v>
      </c>
      <c r="K7" s="34" t="s">
        <v>52</v>
      </c>
      <c r="L7" s="108" t="str">
        <f>VLOOKUP(C7,'Trips&amp;Operators'!$C$1:$E$9999,3,0)</f>
        <v>DAVIS</v>
      </c>
      <c r="M7" s="9" t="s">
        <v>96</v>
      </c>
      <c r="N7" s="10" t="s">
        <v>828</v>
      </c>
      <c r="O7" s="34"/>
      <c r="P7" s="126" t="str">
        <f>VLOOKUP(C7,'Train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Q7" s="130" t="str">
        <f>VLOOKUP(C7,'Train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7" s="133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/stypes="*4025*201608061*" /stext=" 10:.+((SYSTEM_STATE.+slice.+state.+changed )|(ment ac)|(system.+state.+changed )|(\|lc)|(penalty)|(\[timeout)|(PRM\|1\|D)|(kpr)|(kdp))" /e /r /s</v>
      </c>
      <c r="S7" s="9" t="str">
        <f t="shared" ref="S7:S38" si="1">MID(B7,13,4)</f>
        <v>4025</v>
      </c>
      <c r="T7" s="41">
        <f t="shared" ref="T7:T38" si="2">A7+6/24</f>
        <v>42588.443402777775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42588.245289351849</v>
      </c>
      <c r="B8" s="34" t="s">
        <v>108</v>
      </c>
      <c r="C8" s="34" t="s">
        <v>452</v>
      </c>
      <c r="D8" s="34" t="s">
        <v>49</v>
      </c>
      <c r="E8" s="34" t="s">
        <v>130</v>
      </c>
      <c r="F8" s="52">
        <v>0</v>
      </c>
      <c r="G8" s="52">
        <v>229</v>
      </c>
      <c r="H8" s="52">
        <v>33101</v>
      </c>
      <c r="I8" s="34" t="s">
        <v>131</v>
      </c>
      <c r="J8" s="52">
        <v>33137</v>
      </c>
      <c r="K8" s="34" t="s">
        <v>52</v>
      </c>
      <c r="L8" s="108" t="str">
        <f>VLOOKUP(C8,'Trips&amp;Operators'!$C$1:$E$9999,3,0)</f>
        <v>SANTIZO</v>
      </c>
      <c r="M8" s="9" t="s">
        <v>96</v>
      </c>
      <c r="N8" s="10" t="s">
        <v>828</v>
      </c>
      <c r="O8" s="34"/>
      <c r="P8" s="126" t="str">
        <f>VLOOKUP(C8,'Train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8" s="130" t="str">
        <f>VLOOKUP(C8,'Train Runs'!$A$13:$AE$530,22,0)</f>
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8" s="133" t="str">
        <f t="shared" si="0"/>
        <v>"C:\Program Files (x86)\AstroGrep\AstroGrep.exe" /spath="%USERPROFILE%\AppData\Local\Temp\OnboardLogs" /stypes="*4027*201608061*" /stext=" 11:.+((SYSTEM_STATE.+slice.+state.+changed )|(ment ac)|(system.+state.+changed )|(\|lc)|(penalty)|(\[timeout)|(PRM\|1\|D)|(kpr)|(kdp))" /e /r /s</v>
      </c>
      <c r="S8" s="9" t="str">
        <f t="shared" si="1"/>
        <v>4027</v>
      </c>
      <c r="T8" s="41">
        <f t="shared" si="2"/>
        <v>42588.495289351849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42588.537222222221</v>
      </c>
      <c r="B9" s="34" t="s">
        <v>108</v>
      </c>
      <c r="C9" s="34" t="s">
        <v>472</v>
      </c>
      <c r="D9" s="34" t="s">
        <v>140</v>
      </c>
      <c r="E9" s="34" t="s">
        <v>130</v>
      </c>
      <c r="F9" s="52">
        <v>0</v>
      </c>
      <c r="G9" s="52">
        <v>258</v>
      </c>
      <c r="H9" s="52">
        <v>33143</v>
      </c>
      <c r="I9" s="34" t="s">
        <v>131</v>
      </c>
      <c r="J9" s="52">
        <v>33137</v>
      </c>
      <c r="K9" s="34" t="s">
        <v>52</v>
      </c>
      <c r="L9" s="108" t="str">
        <f>VLOOKUP(C9,'Trips&amp;Operators'!$C$1:$E$9999,3,0)</f>
        <v>STEWART</v>
      </c>
      <c r="M9" s="9" t="s">
        <v>96</v>
      </c>
      <c r="N9" s="10" t="s">
        <v>828</v>
      </c>
      <c r="O9" s="34"/>
      <c r="P9" s="126" t="str">
        <f>VLOOKUP(C9,'Train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9" s="130" t="str">
        <f>VLOOKUP(C9,'Train Runs'!$A$13:$AE$530,22,0)</f>
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9" s="133" t="str">
        <f t="shared" si="0"/>
        <v>"C:\Program Files (x86)\AstroGrep\AstroGrep.exe" /spath="%USERPROFILE%\AppData\Local\Temp\OnboardLogs" /stypes="*4027*201608061*" /stext=" 18:.+((SYSTEM_STATE.+slice.+state.+changed )|(ment ac)|(system.+state.+changed )|(\|lc)|(penalty)|(\[timeout)|(PRM\|1\|D)|(kpr)|(kdp))" /e /r /s</v>
      </c>
      <c r="S9" s="9" t="str">
        <f t="shared" si="1"/>
        <v>4027</v>
      </c>
      <c r="T9" s="41">
        <f t="shared" si="2"/>
        <v>42588.787222222221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42588.362905092596</v>
      </c>
      <c r="B10" s="34" t="s">
        <v>144</v>
      </c>
      <c r="C10" s="34" t="s">
        <v>461</v>
      </c>
      <c r="D10" s="34" t="s">
        <v>49</v>
      </c>
      <c r="E10" s="34" t="s">
        <v>130</v>
      </c>
      <c r="F10" s="52">
        <v>200</v>
      </c>
      <c r="G10" s="52">
        <v>276</v>
      </c>
      <c r="H10" s="52">
        <v>33437</v>
      </c>
      <c r="I10" s="34" t="s">
        <v>131</v>
      </c>
      <c r="J10" s="52">
        <v>33257</v>
      </c>
      <c r="K10" s="34" t="s">
        <v>53</v>
      </c>
      <c r="L10" s="108" t="str">
        <f>VLOOKUP(C10,'Trips&amp;Operators'!$C$1:$E$9999,3,0)</f>
        <v>STRICKLAND</v>
      </c>
      <c r="M10" s="9" t="s">
        <v>96</v>
      </c>
      <c r="N10" s="10" t="s">
        <v>828</v>
      </c>
      <c r="O10" s="34"/>
      <c r="P10" s="126" t="str">
        <f>VLOOKUP(C10,'Train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10" s="130" t="str">
        <f>VLOOKUP(C10,'Train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0" s="133" t="str">
        <f t="shared" si="0"/>
        <v>"C:\Program Files (x86)\AstroGrep\AstroGrep.exe" /spath="%USERPROFILE%\AppData\Local\Temp\OnboardLogs" /stypes="*4041*201608061*" /stext=" 14:.+((SYSTEM_STATE.+slice.+state.+changed )|(ment ac)|(system.+state.+changed )|(\|lc)|(penalty)|(\[timeout)|(PRM\|1\|D)|(kpr)|(kdp))" /e /r /s</v>
      </c>
      <c r="S10" s="9" t="str">
        <f t="shared" si="1"/>
        <v>4041</v>
      </c>
      <c r="T10" s="41">
        <f t="shared" si="2"/>
        <v>42588.612905092596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42589.009664351855</v>
      </c>
      <c r="B11" s="34" t="s">
        <v>155</v>
      </c>
      <c r="C11" s="34" t="s">
        <v>491</v>
      </c>
      <c r="D11" s="34" t="s">
        <v>49</v>
      </c>
      <c r="E11" s="34" t="s">
        <v>130</v>
      </c>
      <c r="F11" s="52">
        <v>0</v>
      </c>
      <c r="G11" s="52">
        <v>82</v>
      </c>
      <c r="H11" s="52">
        <v>52703</v>
      </c>
      <c r="I11" s="34" t="s">
        <v>131</v>
      </c>
      <c r="J11" s="52">
        <v>53155</v>
      </c>
      <c r="K11" s="34" t="s">
        <v>52</v>
      </c>
      <c r="L11" s="108" t="str">
        <f>VLOOKUP(C11,'Trips&amp;Operators'!$C$1:$E$9999,3,0)</f>
        <v>CHANDLER</v>
      </c>
      <c r="M11" s="9" t="s">
        <v>96</v>
      </c>
      <c r="N11" s="10" t="s">
        <v>829</v>
      </c>
      <c r="O11" s="34"/>
      <c r="P11" s="126" t="str">
        <f>VLOOKUP(C11,'Train Runs'!$A$13:$AE$530,31,0)</f>
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</c>
      <c r="Q11" s="130" t="str">
        <f>VLOOKUP(C11,'Train Runs'!$A$13:$AE$530,22,0)</f>
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1" s="133" t="str">
        <f t="shared" si="0"/>
        <v>"C:\Program Files (x86)\AstroGrep\AstroGrep.exe" /spath="%USERPROFILE%\AppData\Local\Temp\OnboardLogs" /stypes="*4014*201608070*" /stext=" 06:.+((SYSTEM_STATE.+slice.+state.+changed )|(ment ac)|(system.+state.+changed )|(\|lc)|(penalty)|(\[timeout)|(PRM\|1\|D)|(kpr)|(kdp))" /e /r /s</v>
      </c>
      <c r="S11" s="9" t="str">
        <f t="shared" si="1"/>
        <v>4014</v>
      </c>
      <c r="T11" s="41">
        <f t="shared" si="2"/>
        <v>42589.259664351855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42588.303240740737</v>
      </c>
      <c r="B12" s="34" t="s">
        <v>75</v>
      </c>
      <c r="C12" s="34" t="s">
        <v>455</v>
      </c>
      <c r="D12" s="34" t="s">
        <v>140</v>
      </c>
      <c r="E12" s="34" t="s">
        <v>56</v>
      </c>
      <c r="F12" s="52">
        <v>150</v>
      </c>
      <c r="G12" s="52">
        <v>201</v>
      </c>
      <c r="H12" s="52">
        <v>1508</v>
      </c>
      <c r="I12" s="34" t="s">
        <v>57</v>
      </c>
      <c r="J12" s="52">
        <v>0</v>
      </c>
      <c r="K12" s="34" t="s">
        <v>52</v>
      </c>
      <c r="L12" s="108" t="str">
        <f>VLOOKUP(C12,'Trips&amp;Operators'!$C$1:$E$9999,3,0)</f>
        <v>STRICKLAND</v>
      </c>
      <c r="M12" s="9" t="s">
        <v>96</v>
      </c>
      <c r="N12" s="10"/>
      <c r="O12" s="34"/>
      <c r="P12" s="126" t="str">
        <f>VLOOKUP(C12,'Train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12" s="130" t="str">
        <f>VLOOKUP(C12,'Train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2" s="133" t="str">
        <f t="shared" si="0"/>
        <v>"C:\Program Files (x86)\AstroGrep\AstroGrep.exe" /spath="%USERPROFILE%\AppData\Local\Temp\OnboardLogs" /stypes="*4042*201608061*" /stext=" 13:.+((SYSTEM_STATE.+slice.+state.+changed )|(ment ac)|(system.+state.+changed )|(\|lc)|(penalty)|(\[timeout)|(PRM\|1\|D)|(kpr)|(kdp))" /e /r /s</v>
      </c>
      <c r="S12" s="9" t="str">
        <f t="shared" si="1"/>
        <v>4042</v>
      </c>
      <c r="T12" s="41">
        <f t="shared" si="2"/>
        <v>42588.553240740737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42588.376250000001</v>
      </c>
      <c r="B13" s="34" t="s">
        <v>75</v>
      </c>
      <c r="C13" s="34" t="s">
        <v>462</v>
      </c>
      <c r="D13" s="34" t="s">
        <v>140</v>
      </c>
      <c r="E13" s="34" t="s">
        <v>56</v>
      </c>
      <c r="F13" s="52">
        <v>150</v>
      </c>
      <c r="G13" s="52">
        <v>203</v>
      </c>
      <c r="H13" s="52">
        <v>1990</v>
      </c>
      <c r="I13" s="34" t="s">
        <v>57</v>
      </c>
      <c r="J13" s="52">
        <v>0</v>
      </c>
      <c r="K13" s="34" t="s">
        <v>52</v>
      </c>
      <c r="L13" s="108" t="str">
        <f>VLOOKUP(C13,'Trips&amp;Operators'!$C$1:$E$9999,3,0)</f>
        <v>STRICKLAND</v>
      </c>
      <c r="M13" s="9" t="s">
        <v>96</v>
      </c>
      <c r="N13" s="10"/>
      <c r="O13" s="34"/>
      <c r="P13" s="126" t="str">
        <f>VLOOKUP(C13,'Train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13" s="130" t="str">
        <f>VLOOKUP(C13,'Train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3" s="133" t="str">
        <f t="shared" si="0"/>
        <v>"C:\Program Files (x86)\AstroGrep\AstroGrep.exe" /spath="%USERPROFILE%\AppData\Local\Temp\OnboardLogs" /stypes="*4042*201608061*" /stext=" 15:.+((SYSTEM_STATE.+slice.+state.+changed )|(ment ac)|(system.+state.+changed )|(\|lc)|(penalty)|(\[timeout)|(PRM\|1\|D)|(kpr)|(kdp))" /e /r /s</v>
      </c>
      <c r="S13" s="9" t="str">
        <f t="shared" si="1"/>
        <v>4042</v>
      </c>
      <c r="T13" s="41">
        <f t="shared" si="2"/>
        <v>42588.626250000001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42588.37699074074</v>
      </c>
      <c r="B14" s="34" t="s">
        <v>75</v>
      </c>
      <c r="C14" s="34" t="s">
        <v>462</v>
      </c>
      <c r="D14" s="34" t="s">
        <v>140</v>
      </c>
      <c r="E14" s="34" t="s">
        <v>56</v>
      </c>
      <c r="F14" s="52">
        <v>150</v>
      </c>
      <c r="G14" s="52">
        <v>206</v>
      </c>
      <c r="H14" s="52">
        <v>3536</v>
      </c>
      <c r="I14" s="34" t="s">
        <v>57</v>
      </c>
      <c r="J14" s="52">
        <v>0</v>
      </c>
      <c r="K14" s="34" t="s">
        <v>52</v>
      </c>
      <c r="L14" s="108" t="str">
        <f>VLOOKUP(C14,'Trips&amp;Operators'!$C$1:$E$9999,3,0)</f>
        <v>STRICKLAND</v>
      </c>
      <c r="M14" s="9" t="s">
        <v>96</v>
      </c>
      <c r="N14" s="10"/>
      <c r="O14" s="34"/>
      <c r="P14" s="126" t="str">
        <f>VLOOKUP(C14,'Train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14" s="130" t="str">
        <f>VLOOKUP(C14,'Train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4" s="133" t="str">
        <f t="shared" si="0"/>
        <v>"C:\Program Files (x86)\AstroGrep\AstroGrep.exe" /spath="%USERPROFILE%\AppData\Local\Temp\OnboardLogs" /stypes="*4042*201608061*" /stext=" 15:.+((SYSTEM_STATE.+slice.+state.+changed )|(ment ac)|(system.+state.+changed )|(\|lc)|(penalty)|(\[timeout)|(PRM\|1\|D)|(kpr)|(kdp))" /e /r /s</v>
      </c>
      <c r="S14" s="9" t="str">
        <f t="shared" si="1"/>
        <v>4042</v>
      </c>
      <c r="T14" s="41">
        <f t="shared" si="2"/>
        <v>42588.62699074074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42588.980185185188</v>
      </c>
      <c r="B15" s="34" t="s">
        <v>141</v>
      </c>
      <c r="C15" s="34" t="s">
        <v>490</v>
      </c>
      <c r="D15" s="34" t="s">
        <v>140</v>
      </c>
      <c r="E15" s="34" t="s">
        <v>56</v>
      </c>
      <c r="F15" s="52">
        <v>150</v>
      </c>
      <c r="G15" s="52">
        <v>210</v>
      </c>
      <c r="H15" s="52">
        <v>3247</v>
      </c>
      <c r="I15" s="34" t="s">
        <v>57</v>
      </c>
      <c r="J15" s="52">
        <v>0</v>
      </c>
      <c r="K15" s="34" t="s">
        <v>52</v>
      </c>
      <c r="L15" s="108" t="str">
        <f>VLOOKUP(C15,'Trips&amp;Operators'!$C$1:$E$9999,3,0)</f>
        <v>NEWELL</v>
      </c>
      <c r="M15" s="9" t="s">
        <v>96</v>
      </c>
      <c r="N15" s="10"/>
      <c r="O15" s="34"/>
      <c r="P15" s="126" t="str">
        <f>VLOOKUP(C15,'Train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15" s="130" t="str">
        <f>VLOOKUP(C15,'Train Runs'!$A$13:$AE$530,22,0)</f>
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15" s="133" t="str">
        <f t="shared" si="0"/>
        <v>"C:\Program Files (x86)\AstroGrep\AstroGrep.exe" /spath="%USERPROFILE%\AppData\Local\Temp\OnboardLogs" /stypes="*4009*201608070*" /stext=" 05:.+((SYSTEM_STATE.+slice.+state.+changed )|(ment ac)|(system.+state.+changed )|(\|lc)|(penalty)|(\[timeout)|(PRM\|1\|D)|(kpr)|(kdp))" /e /r /s</v>
      </c>
      <c r="S15" s="9" t="str">
        <f t="shared" si="1"/>
        <v>4009</v>
      </c>
      <c r="T15" s="41">
        <f t="shared" si="2"/>
        <v>42589.230185185188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42588.478761574072</v>
      </c>
      <c r="B16" s="34" t="s">
        <v>142</v>
      </c>
      <c r="C16" s="34" t="s">
        <v>468</v>
      </c>
      <c r="D16" s="34" t="s">
        <v>49</v>
      </c>
      <c r="E16" s="34" t="s">
        <v>56</v>
      </c>
      <c r="F16" s="52">
        <v>300</v>
      </c>
      <c r="G16" s="52">
        <v>442</v>
      </c>
      <c r="H16" s="52">
        <v>23513</v>
      </c>
      <c r="I16" s="34" t="s">
        <v>57</v>
      </c>
      <c r="J16" s="52">
        <v>21848</v>
      </c>
      <c r="K16" s="34" t="s">
        <v>53</v>
      </c>
      <c r="L16" s="108" t="str">
        <f>VLOOKUP(C16,'Trips&amp;Operators'!$C$1:$E$9999,3,0)</f>
        <v>STORY</v>
      </c>
      <c r="M16" s="9" t="s">
        <v>96</v>
      </c>
      <c r="N16" s="10"/>
      <c r="O16" s="34"/>
      <c r="P16" s="126" t="str">
        <f>VLOOKUP(C16,'Train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16" s="130" t="str">
        <f>VLOOKUP(C16,'Train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16" s="133" t="str">
        <f t="shared" si="0"/>
        <v>"C:\Program Files (x86)\AstroGrep\AstroGrep.exe" /spath="%USERPROFILE%\AppData\Local\Temp\OnboardLogs" /stypes="*4010*201608061*" /stext=" 17:.+((SYSTEM_STATE.+slice.+state.+changed )|(ment ac)|(system.+state.+changed )|(\|lc)|(penalty)|(\[timeout)|(PRM\|1\|D)|(kpr)|(kdp))" /e /r /s</v>
      </c>
      <c r="S16" s="9" t="str">
        <f t="shared" si="1"/>
        <v>4010</v>
      </c>
      <c r="T16" s="41">
        <f t="shared" si="2"/>
        <v>42588.728761574072</v>
      </c>
      <c r="U16" s="55" t="str">
        <f t="shared" si="3"/>
        <v>EC</v>
      </c>
      <c r="V16" s="55" t="str">
        <f t="shared" si="4"/>
        <v>KEEP</v>
      </c>
    </row>
    <row r="17" spans="1:22" s="1" customFormat="1" x14ac:dyDescent="0.25">
      <c r="A17" s="41">
        <v>42588.364085648151</v>
      </c>
      <c r="B17" s="34" t="s">
        <v>144</v>
      </c>
      <c r="C17" s="34" t="s">
        <v>461</v>
      </c>
      <c r="D17" s="34" t="s">
        <v>140</v>
      </c>
      <c r="E17" s="34" t="s">
        <v>56</v>
      </c>
      <c r="F17" s="52">
        <v>200</v>
      </c>
      <c r="G17" s="52">
        <v>251</v>
      </c>
      <c r="H17" s="52">
        <v>30172</v>
      </c>
      <c r="I17" s="34" t="s">
        <v>57</v>
      </c>
      <c r="J17" s="52">
        <v>30562</v>
      </c>
      <c r="K17" s="34" t="s">
        <v>53</v>
      </c>
      <c r="L17" s="108" t="str">
        <f>VLOOKUP(C17,'Trips&amp;Operators'!$C$1:$E$9999,3,0)</f>
        <v>STRICKLAND</v>
      </c>
      <c r="M17" s="9" t="s">
        <v>96</v>
      </c>
      <c r="N17" s="10"/>
      <c r="O17" s="34"/>
      <c r="P17" s="126" t="str">
        <f>VLOOKUP(C17,'Train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17" s="130" t="str">
        <f>VLOOKUP(C17,'Train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7" s="133" t="str">
        <f t="shared" si="0"/>
        <v>"C:\Program Files (x86)\AstroGrep\AstroGrep.exe" /spath="%USERPROFILE%\AppData\Local\Temp\OnboardLogs" /stypes="*4041*201608061*" /stext=" 14:.+((SYSTEM_STATE.+slice.+state.+changed )|(ment ac)|(system.+state.+changed )|(\|lc)|(penalty)|(\[timeout)|(PRM\|1\|D)|(kpr)|(kdp))" /e /r /s</v>
      </c>
      <c r="S17" s="9" t="str">
        <f t="shared" si="1"/>
        <v>4041</v>
      </c>
      <c r="T17" s="41">
        <f t="shared" si="2"/>
        <v>42588.614085648151</v>
      </c>
      <c r="U17" s="55" t="str">
        <f t="shared" si="3"/>
        <v>EC</v>
      </c>
      <c r="V17" s="55" t="str">
        <f t="shared" si="4"/>
        <v>KEEP</v>
      </c>
    </row>
    <row r="18" spans="1:22" s="1" customFormat="1" x14ac:dyDescent="0.25">
      <c r="A18" s="41">
        <v>42588.435416666667</v>
      </c>
      <c r="B18" s="34" t="s">
        <v>144</v>
      </c>
      <c r="C18" s="34" t="s">
        <v>467</v>
      </c>
      <c r="D18" s="34" t="s">
        <v>140</v>
      </c>
      <c r="E18" s="34" t="s">
        <v>56</v>
      </c>
      <c r="F18" s="52">
        <v>200</v>
      </c>
      <c r="G18" s="52">
        <v>252</v>
      </c>
      <c r="H18" s="52">
        <v>30279</v>
      </c>
      <c r="I18" s="34" t="s">
        <v>57</v>
      </c>
      <c r="J18" s="52">
        <v>30562</v>
      </c>
      <c r="K18" s="34" t="s">
        <v>53</v>
      </c>
      <c r="L18" s="108" t="str">
        <f>VLOOKUP(C18,'Trips&amp;Operators'!$C$1:$E$9999,3,0)</f>
        <v>STRICKLAND</v>
      </c>
      <c r="M18" s="9" t="s">
        <v>96</v>
      </c>
      <c r="N18" s="10"/>
      <c r="O18" s="34"/>
      <c r="P18" s="126" t="str">
        <f>VLOOKUP(C18,'Train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18" s="130" t="str">
        <f>VLOOKUP(C18,'Train Runs'!$A$13:$AE$530,22,0)</f>
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8" s="133" t="str">
        <f t="shared" si="0"/>
        <v>"C:\Program Files (x86)\AstroGrep\AstroGrep.exe" /spath="%USERPROFILE%\AppData\Local\Temp\OnboardLogs" /stypes="*4041*201608061*" /stext=" 16:.+((SYSTEM_STATE.+slice.+state.+changed )|(ment ac)|(system.+state.+changed )|(\|lc)|(penalty)|(\[timeout)|(PRM\|1\|D)|(kpr)|(kdp))" /e /r /s</v>
      </c>
      <c r="S18" s="9" t="str">
        <f t="shared" si="1"/>
        <v>4041</v>
      </c>
      <c r="T18" s="41">
        <f t="shared" si="2"/>
        <v>42588.685416666667</v>
      </c>
      <c r="U18" s="55" t="str">
        <f t="shared" si="3"/>
        <v>EC</v>
      </c>
      <c r="V18" s="55" t="str">
        <f t="shared" si="4"/>
        <v>KEEP</v>
      </c>
    </row>
    <row r="19" spans="1:22" s="1" customFormat="1" x14ac:dyDescent="0.25">
      <c r="A19" s="41">
        <v>42588.671863425923</v>
      </c>
      <c r="B19" s="34" t="s">
        <v>155</v>
      </c>
      <c r="C19" s="34" t="s">
        <v>475</v>
      </c>
      <c r="D19" s="34" t="s">
        <v>49</v>
      </c>
      <c r="E19" s="34" t="s">
        <v>56</v>
      </c>
      <c r="F19" s="52">
        <v>400</v>
      </c>
      <c r="G19" s="52">
        <v>683</v>
      </c>
      <c r="H19" s="52">
        <v>113667</v>
      </c>
      <c r="I19" s="34" t="s">
        <v>57</v>
      </c>
      <c r="J19" s="52">
        <v>116838</v>
      </c>
      <c r="K19" s="34" t="s">
        <v>52</v>
      </c>
      <c r="L19" s="108" t="str">
        <f>VLOOKUP(C19,'Trips&amp;Operators'!$C$1:$E$9999,3,0)</f>
        <v>MAYBERRY</v>
      </c>
      <c r="M19" s="9" t="s">
        <v>96</v>
      </c>
      <c r="N19" s="10"/>
      <c r="O19" s="34"/>
      <c r="P19" s="126" t="str">
        <f>VLOOKUP(C19,'Train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Q19" s="130" t="str">
        <f>VLOOKUP(C19,'Train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9" s="133" t="str">
        <f t="shared" si="0"/>
        <v>"C:\Program Files (x86)\AstroGrep\AstroGrep.exe" /spath="%USERPROFILE%\AppData\Local\Temp\OnboardLogs" /stypes="*4014*201608062*" /stext=" 22:.+((SYSTEM_STATE.+slice.+state.+changed )|(ment ac)|(system.+state.+changed )|(\|lc)|(penalty)|(\[timeout)|(PRM\|1\|D)|(kpr)|(kdp))" /e /r /s</v>
      </c>
      <c r="S19" s="9" t="str">
        <f t="shared" si="1"/>
        <v>4014</v>
      </c>
      <c r="T19" s="41">
        <f t="shared" si="2"/>
        <v>42588.921863425923</v>
      </c>
      <c r="U19" s="55" t="str">
        <f t="shared" si="3"/>
        <v>EC</v>
      </c>
      <c r="V19" s="55" t="str">
        <f t="shared" si="4"/>
        <v>KEEP</v>
      </c>
    </row>
    <row r="20" spans="1:22" s="1" customFormat="1" x14ac:dyDescent="0.25">
      <c r="A20" s="41">
        <v>42588.67292824074</v>
      </c>
      <c r="B20" s="34" t="s">
        <v>155</v>
      </c>
      <c r="C20" s="34" t="s">
        <v>475</v>
      </c>
      <c r="D20" s="34" t="s">
        <v>140</v>
      </c>
      <c r="E20" s="34" t="s">
        <v>56</v>
      </c>
      <c r="F20" s="52">
        <v>400</v>
      </c>
      <c r="G20" s="52">
        <v>455</v>
      </c>
      <c r="H20" s="52">
        <v>119747</v>
      </c>
      <c r="I20" s="34" t="s">
        <v>57</v>
      </c>
      <c r="J20" s="52">
        <v>116838</v>
      </c>
      <c r="K20" s="34" t="s">
        <v>52</v>
      </c>
      <c r="L20" s="108" t="str">
        <f>VLOOKUP(C20,'Trips&amp;Operators'!$C$1:$E$9999,3,0)</f>
        <v>MAYBERRY</v>
      </c>
      <c r="M20" s="9" t="s">
        <v>96</v>
      </c>
      <c r="N20" s="10"/>
      <c r="O20" s="34"/>
      <c r="P20" s="126" t="str">
        <f>VLOOKUP(C20,'Train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Q20" s="130" t="str">
        <f>VLOOKUP(C20,'Train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20" s="133" t="str">
        <f t="shared" si="0"/>
        <v>"C:\Program Files (x86)\AstroGrep\AstroGrep.exe" /spath="%USERPROFILE%\AppData\Local\Temp\OnboardLogs" /stypes="*4014*201608062*" /stext=" 22:.+((SYSTEM_STATE.+slice.+state.+changed )|(ment ac)|(system.+state.+changed )|(\|lc)|(penalty)|(\[timeout)|(PRM\|1\|D)|(kpr)|(kdp))" /e /r /s</v>
      </c>
      <c r="S20" s="9" t="str">
        <f t="shared" si="1"/>
        <v>4014</v>
      </c>
      <c r="T20" s="41">
        <f t="shared" si="2"/>
        <v>42588.92292824074</v>
      </c>
      <c r="U20" s="55" t="str">
        <f t="shared" si="3"/>
        <v>EC</v>
      </c>
      <c r="V20" s="55" t="str">
        <f t="shared" si="4"/>
        <v>KEEP</v>
      </c>
    </row>
    <row r="21" spans="1:22" s="1" customFormat="1" x14ac:dyDescent="0.25">
      <c r="A21" s="41">
        <v>42588.321203703701</v>
      </c>
      <c r="B21" s="34" t="s">
        <v>142</v>
      </c>
      <c r="C21" s="34" t="s">
        <v>459</v>
      </c>
      <c r="D21" s="34" t="s">
        <v>49</v>
      </c>
      <c r="E21" s="34" t="s">
        <v>56</v>
      </c>
      <c r="F21" s="52">
        <v>400</v>
      </c>
      <c r="G21" s="52">
        <v>509</v>
      </c>
      <c r="H21" s="52">
        <v>121189</v>
      </c>
      <c r="I21" s="34" t="s">
        <v>57</v>
      </c>
      <c r="J21" s="52">
        <v>119716</v>
      </c>
      <c r="K21" s="34" t="s">
        <v>53</v>
      </c>
      <c r="L21" s="108" t="str">
        <f>VLOOKUP(C21,'Trips&amp;Operators'!$C$1:$E$9999,3,0)</f>
        <v>STORY</v>
      </c>
      <c r="M21" s="9" t="s">
        <v>96</v>
      </c>
      <c r="N21" s="10"/>
      <c r="O21" s="34"/>
      <c r="P21" s="126" t="str">
        <f>VLOOKUP(C21,'Train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21" s="130" t="str">
        <f>VLOOKUP(C21,'Train Runs'!$A$13:$AE$530,22,0)</f>
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1" s="133" t="str">
        <f t="shared" si="0"/>
        <v>"C:\Program Files (x86)\AstroGrep\AstroGrep.exe" /spath="%USERPROFILE%\AppData\Local\Temp\OnboardLogs" /stypes="*4010*201608061*" /stext=" 13:.+((SYSTEM_STATE.+slice.+state.+changed )|(ment ac)|(system.+state.+changed )|(\|lc)|(penalty)|(\[timeout)|(PRM\|1\|D)|(kpr)|(kdp))" /e /r /s</v>
      </c>
      <c r="S21" s="9" t="str">
        <f t="shared" si="1"/>
        <v>4010</v>
      </c>
      <c r="T21" s="41">
        <f t="shared" si="2"/>
        <v>42588.571203703701</v>
      </c>
      <c r="U21" s="55" t="str">
        <f t="shared" si="3"/>
        <v>EC</v>
      </c>
      <c r="V21" s="55" t="str">
        <f t="shared" si="4"/>
        <v>KEEP</v>
      </c>
    </row>
    <row r="22" spans="1:22" s="1" customFormat="1" x14ac:dyDescent="0.25">
      <c r="A22" s="41">
        <v>42588.466631944444</v>
      </c>
      <c r="B22" s="34" t="s">
        <v>142</v>
      </c>
      <c r="C22" s="34" t="s">
        <v>468</v>
      </c>
      <c r="D22" s="34" t="s">
        <v>49</v>
      </c>
      <c r="E22" s="34" t="s">
        <v>56</v>
      </c>
      <c r="F22" s="52">
        <v>400</v>
      </c>
      <c r="G22" s="52">
        <v>512</v>
      </c>
      <c r="H22" s="52">
        <v>121223</v>
      </c>
      <c r="I22" s="34" t="s">
        <v>57</v>
      </c>
      <c r="J22" s="52">
        <v>119716</v>
      </c>
      <c r="K22" s="34" t="s">
        <v>53</v>
      </c>
      <c r="L22" s="108" t="str">
        <f>VLOOKUP(C22,'Trips&amp;Operators'!$C$1:$E$9999,3,0)</f>
        <v>STORY</v>
      </c>
      <c r="M22" s="9" t="s">
        <v>96</v>
      </c>
      <c r="N22" s="10"/>
      <c r="O22" s="34"/>
      <c r="P22" s="126" t="str">
        <f>VLOOKUP(C22,'Train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22" s="130" t="str">
        <f>VLOOKUP(C22,'Train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2" s="133" t="str">
        <f t="shared" si="0"/>
        <v>"C:\Program Files (x86)\AstroGrep\AstroGrep.exe" /spath="%USERPROFILE%\AppData\Local\Temp\OnboardLogs" /stypes="*4010*201608061*" /stext=" 17:.+((SYSTEM_STATE.+slice.+state.+changed )|(ment ac)|(system.+state.+changed )|(\|lc)|(penalty)|(\[timeout)|(PRM\|1\|D)|(kpr)|(kdp))" /e /r /s</v>
      </c>
      <c r="S22" s="9" t="str">
        <f t="shared" si="1"/>
        <v>4010</v>
      </c>
      <c r="T22" s="41">
        <f t="shared" si="2"/>
        <v>42588.716631944444</v>
      </c>
      <c r="U22" s="55" t="str">
        <f t="shared" si="3"/>
        <v>EC</v>
      </c>
      <c r="V22" s="55" t="str">
        <f t="shared" si="4"/>
        <v>KEEP</v>
      </c>
    </row>
    <row r="23" spans="1:22" x14ac:dyDescent="0.25">
      <c r="A23" s="41">
        <v>42588.498148148145</v>
      </c>
      <c r="B23" s="34" t="s">
        <v>162</v>
      </c>
      <c r="C23" s="34" t="s">
        <v>470</v>
      </c>
      <c r="D23" s="34" t="s">
        <v>49</v>
      </c>
      <c r="E23" s="34" t="s">
        <v>56</v>
      </c>
      <c r="F23" s="52">
        <v>400</v>
      </c>
      <c r="G23" s="52">
        <v>583</v>
      </c>
      <c r="H23" s="52">
        <v>122423</v>
      </c>
      <c r="I23" s="34" t="s">
        <v>57</v>
      </c>
      <c r="J23" s="52">
        <v>119716</v>
      </c>
      <c r="K23" s="34" t="s">
        <v>53</v>
      </c>
      <c r="L23" s="108" t="str">
        <f>VLOOKUP(C23,'Trips&amp;Operators'!$C$1:$E$9999,3,0)</f>
        <v>STRICKLAND</v>
      </c>
      <c r="M23" s="9" t="s">
        <v>96</v>
      </c>
      <c r="N23" s="10"/>
      <c r="O23" s="34"/>
      <c r="P23" s="126" t="str">
        <f>VLOOKUP(C23,'Train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Q23" s="130" t="str">
        <f>VLOOKUP(C23,'Train Runs'!$A$13:$AE$530,22,0)</f>
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3" s="133" t="str">
        <f t="shared" si="0"/>
        <v>"C:\Program Files (x86)\AstroGrep\AstroGrep.exe" /spath="%USERPROFILE%\AppData\Local\Temp\OnboardLogs" /stypes="*4032*201608061*" /stext=" 17:.+((SYSTEM_STATE.+slice.+state.+changed )|(ment ac)|(system.+state.+changed )|(\|lc)|(penalty)|(\[timeout)|(PRM\|1\|D)|(kpr)|(kdp))" /e /r /s</v>
      </c>
      <c r="S23" s="9" t="str">
        <f t="shared" si="1"/>
        <v>4032</v>
      </c>
      <c r="T23" s="41">
        <f t="shared" si="2"/>
        <v>42588.748148148145</v>
      </c>
      <c r="U23" s="55" t="str">
        <f t="shared" si="3"/>
        <v>EC</v>
      </c>
      <c r="V23" s="55" t="str">
        <f t="shared" si="4"/>
        <v>KEEP</v>
      </c>
    </row>
    <row r="24" spans="1:22" s="1" customFormat="1" x14ac:dyDescent="0.25">
      <c r="A24" s="41">
        <v>42588.397870370369</v>
      </c>
      <c r="B24" s="34" t="s">
        <v>75</v>
      </c>
      <c r="C24" s="34" t="s">
        <v>462</v>
      </c>
      <c r="D24" s="34" t="s">
        <v>140</v>
      </c>
      <c r="E24" s="34" t="s">
        <v>56</v>
      </c>
      <c r="F24" s="52">
        <v>600</v>
      </c>
      <c r="G24" s="52">
        <v>652</v>
      </c>
      <c r="H24" s="52">
        <v>188974</v>
      </c>
      <c r="I24" s="34" t="s">
        <v>57</v>
      </c>
      <c r="J24" s="52">
        <v>183829</v>
      </c>
      <c r="K24" s="34" t="s">
        <v>52</v>
      </c>
      <c r="L24" s="108" t="str">
        <f>VLOOKUP(C24,'Trips&amp;Operators'!$C$1:$E$9999,3,0)</f>
        <v>STRICKLAND</v>
      </c>
      <c r="M24" s="9" t="s">
        <v>96</v>
      </c>
      <c r="N24" s="10"/>
      <c r="O24" s="34"/>
      <c r="P24" s="126" t="str">
        <f>VLOOKUP(C24,'Train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24" s="130" t="str">
        <f>VLOOKUP(C24,'Train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4" s="133" t="str">
        <f t="shared" si="0"/>
        <v>"C:\Program Files (x86)\AstroGrep\AstroGrep.exe" /spath="%USERPROFILE%\AppData\Local\Temp\OnboardLogs" /stypes="*4042*201608061*" /stext=" 15:.+((SYSTEM_STATE.+slice.+state.+changed )|(ment ac)|(system.+state.+changed )|(\|lc)|(penalty)|(\[timeout)|(PRM\|1\|D)|(kpr)|(kdp))" /e /r /s</v>
      </c>
      <c r="S24" s="9" t="str">
        <f t="shared" si="1"/>
        <v>4042</v>
      </c>
      <c r="T24" s="41">
        <f t="shared" si="2"/>
        <v>42588.647870370369</v>
      </c>
      <c r="U24" s="55" t="str">
        <f t="shared" si="3"/>
        <v>EC</v>
      </c>
      <c r="V24" s="55" t="str">
        <f t="shared" si="4"/>
        <v>KEEP</v>
      </c>
    </row>
    <row r="25" spans="1:22" x14ac:dyDescent="0.25">
      <c r="A25" s="41">
        <v>42588.376770833333</v>
      </c>
      <c r="B25" s="34" t="s">
        <v>68</v>
      </c>
      <c r="C25" s="34" t="s">
        <v>463</v>
      </c>
      <c r="D25" s="34" t="s">
        <v>49</v>
      </c>
      <c r="E25" s="34" t="s">
        <v>56</v>
      </c>
      <c r="F25" s="52">
        <v>550</v>
      </c>
      <c r="G25" s="52">
        <v>626</v>
      </c>
      <c r="H25" s="52">
        <v>219952</v>
      </c>
      <c r="I25" s="34" t="s">
        <v>57</v>
      </c>
      <c r="J25" s="52">
        <v>222090</v>
      </c>
      <c r="K25" s="34" t="s">
        <v>52</v>
      </c>
      <c r="L25" s="108" t="str">
        <f>VLOOKUP(C25,'Trips&amp;Operators'!$C$1:$E$9999,3,0)</f>
        <v>GEBRETEKLE</v>
      </c>
      <c r="M25" s="9" t="s">
        <v>96</v>
      </c>
      <c r="N25" s="10"/>
      <c r="O25" s="34"/>
      <c r="P25" s="126" t="str">
        <f>VLOOKUP(C25,'Train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25" s="130" t="str">
        <f>VLOOKUP(C25,'Train Runs'!$A$13:$AE$530,22,0)</f>
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5" s="133" t="str">
        <f t="shared" si="0"/>
        <v>"C:\Program Files (x86)\AstroGrep\AstroGrep.exe" /spath="%USERPROFILE%\AppData\Local\Temp\OnboardLogs" /stypes="*4018*201608061*" /stext=" 15:.+((SYSTEM_STATE.+slice.+state.+changed )|(ment ac)|(system.+state.+changed )|(\|lc)|(penalty)|(\[timeout)|(PRM\|1\|D)|(kpr)|(kdp))" /e /r /s</v>
      </c>
      <c r="S25" s="9" t="str">
        <f t="shared" si="1"/>
        <v>4018</v>
      </c>
      <c r="T25" s="41">
        <f t="shared" si="2"/>
        <v>42588.626770833333</v>
      </c>
      <c r="U25" s="55" t="str">
        <f t="shared" si="3"/>
        <v>EC</v>
      </c>
      <c r="V25" s="55" t="str">
        <f t="shared" si="4"/>
        <v>KEEP</v>
      </c>
    </row>
    <row r="26" spans="1:22" x14ac:dyDescent="0.25">
      <c r="A26" s="41">
        <v>42588.655034722222</v>
      </c>
      <c r="B26" s="34" t="s">
        <v>162</v>
      </c>
      <c r="C26" s="34" t="s">
        <v>474</v>
      </c>
      <c r="D26" s="34" t="s">
        <v>49</v>
      </c>
      <c r="E26" s="34" t="s">
        <v>54</v>
      </c>
      <c r="F26" s="52">
        <v>0</v>
      </c>
      <c r="G26" s="52">
        <v>108</v>
      </c>
      <c r="H26" s="52">
        <v>28615</v>
      </c>
      <c r="I26" s="34" t="s">
        <v>55</v>
      </c>
      <c r="J26" s="52">
        <v>28061</v>
      </c>
      <c r="K26" s="34" t="s">
        <v>53</v>
      </c>
      <c r="L26" s="108" t="str">
        <f>VLOOKUP(C26,'Trips&amp;Operators'!$C$1:$E$9999,3,0)</f>
        <v>WEBSTER</v>
      </c>
      <c r="M26" s="9" t="s">
        <v>95</v>
      </c>
      <c r="N26" s="10" t="s">
        <v>830</v>
      </c>
      <c r="O26" s="34"/>
      <c r="P26" s="126" t="str">
        <f>VLOOKUP(C26,'Train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Q26" s="130" t="str">
        <f>VLOOKUP(C26,'Train Runs'!$A$13:$AE$530,22,0)</f>
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6" s="133" t="str">
        <f t="shared" si="0"/>
        <v>"C:\Program Files (x86)\AstroGrep\AstroGrep.exe" /spath="%USERPROFILE%\AppData\Local\Temp\OnboardLogs" /stypes="*4032*201608062*" /stext=" 21:.+((SYSTEM_STATE.+slice.+state.+changed )|(ment ac)|(system.+state.+changed )|(\|lc)|(penalty)|(\[timeout)|(PRM\|1\|D)|(kpr)|(kdp))" /e /r /s</v>
      </c>
      <c r="S26" s="9" t="str">
        <f t="shared" si="1"/>
        <v>4032</v>
      </c>
      <c r="T26" s="41">
        <f t="shared" si="2"/>
        <v>42588.905034722222</v>
      </c>
      <c r="U26" s="55" t="str">
        <f t="shared" si="3"/>
        <v>EC</v>
      </c>
      <c r="V26" s="55" t="str">
        <f t="shared" si="4"/>
        <v>KEEP</v>
      </c>
    </row>
    <row r="27" spans="1:22" x14ac:dyDescent="0.25">
      <c r="A27" s="41">
        <v>42588.14167824074</v>
      </c>
      <c r="B27" s="34" t="s">
        <v>68</v>
      </c>
      <c r="C27" s="34" t="s">
        <v>449</v>
      </c>
      <c r="D27" s="34" t="s">
        <v>49</v>
      </c>
      <c r="E27" s="34" t="s">
        <v>54</v>
      </c>
      <c r="F27" s="52">
        <v>0</v>
      </c>
      <c r="G27" s="52">
        <v>231</v>
      </c>
      <c r="H27" s="52">
        <v>36376</v>
      </c>
      <c r="I27" s="34" t="s">
        <v>55</v>
      </c>
      <c r="J27" s="52">
        <v>36645</v>
      </c>
      <c r="K27" s="34" t="s">
        <v>52</v>
      </c>
      <c r="L27" s="108" t="str">
        <f>VLOOKUP(C27,'Trips&amp;Operators'!$C$1:$E$9999,3,0)</f>
        <v>MAELZER</v>
      </c>
      <c r="M27" s="9" t="s">
        <v>95</v>
      </c>
      <c r="N27" s="10" t="s">
        <v>830</v>
      </c>
      <c r="O27" s="34"/>
      <c r="P27" s="126" t="str">
        <f>VLOOKUP(C27,'Train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27" s="130" t="str">
        <f>VLOOKUP(C27,'Train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7" s="133" t="str">
        <f t="shared" si="0"/>
        <v>"C:\Program Files (x86)\AstroGrep\AstroGrep.exe" /spath="%USERPROFILE%\AppData\Local\Temp\OnboardLogs" /stypes="*4018*201608060*" /stext=" 09:.+((SYSTEM_STATE.+slice.+state.+changed )|(ment ac)|(system.+state.+changed )|(\|lc)|(penalty)|(\[timeout)|(PRM\|1\|D)|(kpr)|(kdp))" /e /r /s</v>
      </c>
      <c r="S27" s="9" t="str">
        <f t="shared" si="1"/>
        <v>4018</v>
      </c>
      <c r="T27" s="41">
        <f t="shared" si="2"/>
        <v>42588.39167824074</v>
      </c>
      <c r="U27" s="55" t="str">
        <f t="shared" si="3"/>
        <v>EC</v>
      </c>
      <c r="V27" s="55" t="str">
        <f t="shared" si="4"/>
        <v>KEEP</v>
      </c>
    </row>
    <row r="28" spans="1:22" x14ac:dyDescent="0.25">
      <c r="A28" s="41">
        <v>42588.142152777778</v>
      </c>
      <c r="B28" s="34" t="s">
        <v>68</v>
      </c>
      <c r="C28" s="34" t="s">
        <v>449</v>
      </c>
      <c r="D28" s="34" t="s">
        <v>140</v>
      </c>
      <c r="E28" s="34" t="s">
        <v>54</v>
      </c>
      <c r="F28" s="52">
        <v>0</v>
      </c>
      <c r="G28" s="52">
        <v>3</v>
      </c>
      <c r="H28" s="52">
        <v>36688</v>
      </c>
      <c r="I28" s="34" t="s">
        <v>55</v>
      </c>
      <c r="J28" s="52">
        <v>36645</v>
      </c>
      <c r="K28" s="34" t="s">
        <v>52</v>
      </c>
      <c r="L28" s="108" t="str">
        <f>VLOOKUP(C28,'Trips&amp;Operators'!$C$1:$E$9999,3,0)</f>
        <v>MAELZER</v>
      </c>
      <c r="M28" s="9" t="s">
        <v>95</v>
      </c>
      <c r="N28" s="10" t="s">
        <v>830</v>
      </c>
      <c r="O28" s="34"/>
      <c r="P28" s="126" t="str">
        <f>VLOOKUP(C28,'Train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28" s="130" t="str">
        <f>VLOOKUP(C28,'Train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8" s="133" t="str">
        <f t="shared" si="0"/>
        <v>"C:\Program Files (x86)\AstroGrep\AstroGrep.exe" /spath="%USERPROFILE%\AppData\Local\Temp\OnboardLogs" /stypes="*4018*201608060*" /stext=" 09:.+((SYSTEM_STATE.+slice.+state.+changed )|(ment ac)|(system.+state.+changed )|(\|lc)|(penalty)|(\[timeout)|(PRM\|1\|D)|(kpr)|(kdp))" /e /r /s</v>
      </c>
      <c r="S28" s="9" t="str">
        <f t="shared" si="1"/>
        <v>4018</v>
      </c>
      <c r="T28" s="41">
        <f t="shared" si="2"/>
        <v>42588.392152777778</v>
      </c>
      <c r="U28" s="55" t="str">
        <f t="shared" si="3"/>
        <v>EC</v>
      </c>
      <c r="V28" s="55" t="str">
        <f t="shared" si="4"/>
        <v>KEEP</v>
      </c>
    </row>
    <row r="29" spans="1:22" x14ac:dyDescent="0.25">
      <c r="A29" s="41">
        <v>42588.278136574074</v>
      </c>
      <c r="B29" s="34" t="s">
        <v>141</v>
      </c>
      <c r="C29" s="34" t="s">
        <v>454</v>
      </c>
      <c r="D29" s="34" t="s">
        <v>49</v>
      </c>
      <c r="E29" s="34" t="s">
        <v>54</v>
      </c>
      <c r="F29" s="52">
        <v>0</v>
      </c>
      <c r="G29" s="52">
        <v>317</v>
      </c>
      <c r="H29" s="52">
        <v>38335</v>
      </c>
      <c r="I29" s="34" t="s">
        <v>55</v>
      </c>
      <c r="J29" s="52">
        <v>38639</v>
      </c>
      <c r="K29" s="34" t="s">
        <v>52</v>
      </c>
      <c r="L29" s="108" t="str">
        <f>VLOOKUP(C29,'Trips&amp;Operators'!$C$1:$E$9999,3,0)</f>
        <v>STORY</v>
      </c>
      <c r="M29" s="9" t="s">
        <v>95</v>
      </c>
      <c r="N29" s="10" t="s">
        <v>830</v>
      </c>
      <c r="O29" s="34"/>
      <c r="P29" s="126" t="str">
        <f>VLOOKUP(C29,'Train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29" s="130" t="str">
        <f>VLOOKUP(C29,'Train Runs'!$A$13:$AE$530,22,0)</f>
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9" s="133" t="str">
        <f t="shared" si="0"/>
        <v>"C:\Program Files (x86)\AstroGrep\AstroGrep.exe" /spath="%USERPROFILE%\AppData\Local\Temp\OnboardLogs" /stypes="*4009*201608061*" /stext=" 12:.+((SYSTEM_STATE.+slice.+state.+changed )|(ment ac)|(system.+state.+changed )|(\|lc)|(penalty)|(\[timeout)|(PRM\|1\|D)|(kpr)|(kdp))" /e /r /s</v>
      </c>
      <c r="S29" s="9" t="str">
        <f t="shared" si="1"/>
        <v>4009</v>
      </c>
      <c r="T29" s="41">
        <f t="shared" si="2"/>
        <v>42588.528136574074</v>
      </c>
      <c r="U29" s="55" t="str">
        <f t="shared" si="3"/>
        <v>EC</v>
      </c>
      <c r="V29" s="55" t="str">
        <f t="shared" si="4"/>
        <v>KEEP</v>
      </c>
    </row>
    <row r="30" spans="1:22" x14ac:dyDescent="0.25">
      <c r="A30" s="41">
        <v>42588.682013888887</v>
      </c>
      <c r="B30" s="34" t="s">
        <v>161</v>
      </c>
      <c r="C30" s="34" t="s">
        <v>477</v>
      </c>
      <c r="D30" s="34" t="s">
        <v>140</v>
      </c>
      <c r="E30" s="34" t="s">
        <v>54</v>
      </c>
      <c r="F30" s="52">
        <v>0</v>
      </c>
      <c r="G30" s="52">
        <v>680</v>
      </c>
      <c r="H30" s="52">
        <v>108079</v>
      </c>
      <c r="I30" s="34" t="s">
        <v>55</v>
      </c>
      <c r="J30" s="52">
        <v>107939</v>
      </c>
      <c r="K30" s="34" t="s">
        <v>52</v>
      </c>
      <c r="L30" s="108" t="str">
        <f>VLOOKUP(C30,'Trips&amp;Operators'!$C$1:$E$9999,3,0)</f>
        <v>WEBSTER</v>
      </c>
      <c r="M30" s="9" t="s">
        <v>95</v>
      </c>
      <c r="N30" s="10" t="s">
        <v>842</v>
      </c>
      <c r="O30" s="34"/>
      <c r="P30" s="126" t="str">
        <f>VLOOKUP(C30,'Train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Q30" s="130" t="str">
        <f>VLOOKUP(C30,'Train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30" s="133" t="str">
        <f t="shared" si="0"/>
        <v>"C:\Program Files (x86)\AstroGrep\AstroGrep.exe" /spath="%USERPROFILE%\AppData\Local\Temp\OnboardLogs" /stypes="*4031*201608062*" /stext=" 22:.+((SYSTEM_STATE.+slice.+state.+changed )|(ment ac)|(system.+state.+changed )|(\|lc)|(penalty)|(\[timeout)|(PRM\|1\|D)|(kpr)|(kdp))" /e /r /s</v>
      </c>
      <c r="S30" s="9" t="str">
        <f t="shared" si="1"/>
        <v>4031</v>
      </c>
      <c r="T30" s="41">
        <f t="shared" si="2"/>
        <v>42588.932013888887</v>
      </c>
      <c r="U30" s="55" t="str">
        <f t="shared" si="3"/>
        <v>EC</v>
      </c>
      <c r="V30" s="55" t="str">
        <f t="shared" si="4"/>
        <v>KEEP</v>
      </c>
    </row>
    <row r="31" spans="1:22" x14ac:dyDescent="0.25">
      <c r="A31" s="41">
        <v>42588.433553240742</v>
      </c>
      <c r="B31" s="34" t="s">
        <v>105</v>
      </c>
      <c r="C31" s="34" t="s">
        <v>466</v>
      </c>
      <c r="D31" s="34" t="s">
        <v>49</v>
      </c>
      <c r="E31" s="34" t="s">
        <v>54</v>
      </c>
      <c r="F31" s="52">
        <v>0</v>
      </c>
      <c r="G31" s="52">
        <v>389</v>
      </c>
      <c r="H31" s="52">
        <v>130212</v>
      </c>
      <c r="I31" s="34" t="s">
        <v>55</v>
      </c>
      <c r="J31" s="52">
        <v>127587</v>
      </c>
      <c r="K31" s="34" t="s">
        <v>53</v>
      </c>
      <c r="L31" s="108" t="str">
        <f>VLOOKUP(C31,'Trips&amp;Operators'!$C$1:$E$9999,3,0)</f>
        <v>SANTIZO</v>
      </c>
      <c r="M31" s="9" t="s">
        <v>96</v>
      </c>
      <c r="N31" s="10" t="s">
        <v>831</v>
      </c>
      <c r="O31" s="34"/>
      <c r="P31" s="126" t="str">
        <f>VLOOKUP(C31,'Train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Q31" s="130" t="str">
        <f>VLOOKUP(C31,'Train Runs'!$A$13:$AE$530,22,0)</f>
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1" s="133" t="str">
        <f t="shared" si="0"/>
        <v>"C:\Program Files (x86)\AstroGrep\AstroGrep.exe" /spath="%USERPROFILE%\AppData\Local\Temp\OnboardLogs" /stypes="*4028*201608061*" /stext=" 16:.+((SYSTEM_STATE.+slice.+state.+changed )|(ment ac)|(system.+state.+changed )|(\|lc)|(penalty)|(\[timeout)|(PRM\|1\|D)|(kpr)|(kdp))" /e /r /s</v>
      </c>
      <c r="S31" s="9" t="str">
        <f t="shared" si="1"/>
        <v>4028</v>
      </c>
      <c r="T31" s="41">
        <f t="shared" si="2"/>
        <v>42588.683553240742</v>
      </c>
      <c r="U31" s="55" t="str">
        <f t="shared" si="3"/>
        <v>EC</v>
      </c>
      <c r="V31" s="55" t="str">
        <f t="shared" si="4"/>
        <v>KEEP</v>
      </c>
    </row>
    <row r="32" spans="1:22" x14ac:dyDescent="0.25">
      <c r="A32" s="41">
        <v>42588.72861111111</v>
      </c>
      <c r="B32" s="34" t="s">
        <v>149</v>
      </c>
      <c r="C32" s="34" t="s">
        <v>480</v>
      </c>
      <c r="D32" s="34" t="s">
        <v>49</v>
      </c>
      <c r="E32" s="34" t="s">
        <v>54</v>
      </c>
      <c r="F32" s="52">
        <v>0</v>
      </c>
      <c r="G32" s="52">
        <v>539</v>
      </c>
      <c r="H32" s="52">
        <v>152335</v>
      </c>
      <c r="I32" s="34" t="s">
        <v>55</v>
      </c>
      <c r="J32" s="52">
        <v>155600</v>
      </c>
      <c r="K32" s="34" t="s">
        <v>52</v>
      </c>
      <c r="L32" s="108" t="str">
        <f>VLOOKUP(C32,'Trips&amp;Operators'!$C$1:$E$9999,3,0)</f>
        <v>HELVIE</v>
      </c>
      <c r="M32" s="9" t="s">
        <v>96</v>
      </c>
      <c r="N32" s="10" t="s">
        <v>832</v>
      </c>
      <c r="O32" s="34"/>
      <c r="P32" s="126" t="str">
        <f>VLOOKUP(C32,'Train Runs'!$A$13:$AE$530,31,0)</f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Q32" s="130" t="str">
        <f>VLOOKUP(C32,'Train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32" s="133" t="str">
        <f t="shared" si="0"/>
        <v>"C:\Program Files (x86)\AstroGrep\AstroGrep.exe" /spath="%USERPROFILE%\AppData\Local\Temp\OnboardLogs" /stypes="*4011*201608062*" /stext=" 23:.+((SYSTEM_STATE.+slice.+state.+changed )|(ment ac)|(system.+state.+changed )|(\|lc)|(penalty)|(\[timeout)|(PRM\|1\|D)|(kpr)|(kdp))" /e /r /s</v>
      </c>
      <c r="S32" s="9" t="str">
        <f t="shared" si="1"/>
        <v>4011</v>
      </c>
      <c r="T32" s="41">
        <f t="shared" si="2"/>
        <v>42588.97861111111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42588.200914351852</v>
      </c>
      <c r="B33" s="34" t="s">
        <v>103</v>
      </c>
      <c r="C33" s="34" t="s">
        <v>451</v>
      </c>
      <c r="D33" s="34" t="s">
        <v>49</v>
      </c>
      <c r="E33" s="34" t="s">
        <v>50</v>
      </c>
      <c r="F33" s="52">
        <v>0</v>
      </c>
      <c r="G33" s="52">
        <v>38</v>
      </c>
      <c r="H33" s="52">
        <v>136</v>
      </c>
      <c r="I33" s="34" t="s">
        <v>51</v>
      </c>
      <c r="J33" s="52">
        <v>1</v>
      </c>
      <c r="K33" s="34" t="s">
        <v>53</v>
      </c>
      <c r="L33" s="108" t="str">
        <f>VLOOKUP(C33,'Trips&amp;Operators'!$C$1:$E$9999,3,0)</f>
        <v>MAELZER</v>
      </c>
      <c r="M33" s="9" t="s">
        <v>96</v>
      </c>
      <c r="N33" s="10"/>
      <c r="O33" s="34"/>
      <c r="P33" s="126" t="str">
        <f>VLOOKUP(C33,'Train Runs'!$A$13:$AE$530,31,0)</f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Q33" s="130" t="str">
        <f>VLOOKUP(C33,'Train Runs'!$A$13:$AE$530,22,0)</f>
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3" s="133" t="str">
        <f t="shared" si="0"/>
        <v>"C:\Program Files (x86)\AstroGrep\AstroGrep.exe" /spath="%USERPROFILE%\AppData\Local\Temp\OnboardLogs" /stypes="*4013*201608061*" /stext=" 10:.+((SYSTEM_STATE.+slice.+state.+changed )|(ment ac)|(system.+state.+changed )|(\|lc)|(penalty)|(\[timeout)|(PRM\|1\|D)|(kpr)|(kdp))" /e /r /s</v>
      </c>
      <c r="S33" s="9" t="str">
        <f t="shared" si="1"/>
        <v>4013</v>
      </c>
      <c r="T33" s="41">
        <f t="shared" si="2"/>
        <v>42588.450914351852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42588.273854166669</v>
      </c>
      <c r="B34" s="34" t="s">
        <v>69</v>
      </c>
      <c r="C34" s="34" t="s">
        <v>453</v>
      </c>
      <c r="D34" s="34" t="s">
        <v>49</v>
      </c>
      <c r="E34" s="34" t="s">
        <v>50</v>
      </c>
      <c r="F34" s="52">
        <v>0</v>
      </c>
      <c r="G34" s="52">
        <v>42</v>
      </c>
      <c r="H34" s="52">
        <v>138</v>
      </c>
      <c r="I34" s="34" t="s">
        <v>51</v>
      </c>
      <c r="J34" s="52">
        <v>1</v>
      </c>
      <c r="K34" s="34" t="s">
        <v>53</v>
      </c>
      <c r="L34" s="108" t="str">
        <f>VLOOKUP(C34,'Trips&amp;Operators'!$C$1:$E$9999,3,0)</f>
        <v>GEBRETEKLE</v>
      </c>
      <c r="M34" s="9" t="s">
        <v>96</v>
      </c>
      <c r="N34" s="10"/>
      <c r="O34" s="34"/>
      <c r="P34" s="126" t="str">
        <f>VLOOKUP(C34,'Train Runs'!$A$13:$AE$530,31,0)</f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Q34" s="130" t="str">
        <f>VLOOKUP(C34,'Train Runs'!$A$13:$AE$530,22,0)</f>
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4" s="133" t="str">
        <f t="shared" si="0"/>
        <v>"C:\Program Files (x86)\AstroGrep\AstroGrep.exe" /spath="%USERPROFILE%\AppData\Local\Temp\OnboardLogs" /stypes="*4017*201608061*" /stext=" 12:.+((SYSTEM_STATE.+slice.+state.+changed )|(ment ac)|(system.+state.+changed )|(\|lc)|(penalty)|(\[timeout)|(PRM\|1\|D)|(kpr)|(kdp))" /e /r /s</v>
      </c>
      <c r="S34" s="9" t="str">
        <f t="shared" si="1"/>
        <v>4017</v>
      </c>
      <c r="T34" s="41">
        <f t="shared" si="2"/>
        <v>42588.523854166669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42588.3046412037</v>
      </c>
      <c r="B35" s="34" t="s">
        <v>105</v>
      </c>
      <c r="C35" s="34" t="s">
        <v>456</v>
      </c>
      <c r="D35" s="34" t="s">
        <v>49</v>
      </c>
      <c r="E35" s="34" t="s">
        <v>50</v>
      </c>
      <c r="F35" s="52">
        <v>0</v>
      </c>
      <c r="G35" s="52">
        <v>52</v>
      </c>
      <c r="H35" s="52">
        <v>180</v>
      </c>
      <c r="I35" s="34" t="s">
        <v>51</v>
      </c>
      <c r="J35" s="52">
        <v>1</v>
      </c>
      <c r="K35" s="34" t="s">
        <v>53</v>
      </c>
      <c r="L35" s="108" t="str">
        <f>VLOOKUP(C35,'Trips&amp;Operators'!$C$1:$E$9999,3,0)</f>
        <v>SANTIZO</v>
      </c>
      <c r="M35" s="9" t="s">
        <v>96</v>
      </c>
      <c r="N35" s="10"/>
      <c r="O35" s="34"/>
      <c r="P35" s="126" t="str">
        <f>VLOOKUP(C35,'Train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Q35" s="130" t="str">
        <f>VLOOKUP(C35,'Train Runs'!$A$13:$AE$530,22,0)</f>
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5" s="133" t="str">
        <f t="shared" si="0"/>
        <v>"C:\Program Files (x86)\AstroGrep\AstroGrep.exe" /spath="%USERPROFILE%\AppData\Local\Temp\OnboardLogs" /stypes="*4028*201608061*" /stext=" 13:.+((SYSTEM_STATE.+slice.+state.+changed )|(ment ac)|(system.+state.+changed )|(\|lc)|(penalty)|(\[timeout)|(PRM\|1\|D)|(kpr)|(kdp))" /e /r /s</v>
      </c>
      <c r="S35" s="9" t="str">
        <f t="shared" si="1"/>
        <v>4028</v>
      </c>
      <c r="T35" s="41">
        <f t="shared" si="2"/>
        <v>42588.5546412037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42588.315034722225</v>
      </c>
      <c r="B36" s="34" t="s">
        <v>151</v>
      </c>
      <c r="C36" s="34" t="s">
        <v>457</v>
      </c>
      <c r="D36" s="34" t="s">
        <v>49</v>
      </c>
      <c r="E36" s="34" t="s">
        <v>50</v>
      </c>
      <c r="F36" s="52">
        <v>0</v>
      </c>
      <c r="G36" s="52">
        <v>39</v>
      </c>
      <c r="H36" s="52">
        <v>118</v>
      </c>
      <c r="I36" s="34" t="s">
        <v>51</v>
      </c>
      <c r="J36" s="52">
        <v>1</v>
      </c>
      <c r="K36" s="34" t="s">
        <v>53</v>
      </c>
      <c r="L36" s="108" t="str">
        <f>VLOOKUP(C36,'Trips&amp;Operators'!$C$1:$E$9999,3,0)</f>
        <v>ACKERMAN</v>
      </c>
      <c r="M36" s="9" t="s">
        <v>96</v>
      </c>
      <c r="N36" s="10"/>
      <c r="O36" s="34"/>
      <c r="P36" s="126" t="str">
        <f>VLOOKUP(C36,'Train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36" s="130" t="str">
        <f>VLOOKUP(C36,'Train Runs'!$A$13:$AE$530,22,0)</f>
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6" s="133" t="str">
        <f t="shared" si="0"/>
        <v>"C:\Program Files (x86)\AstroGrep\AstroGrep.exe" /spath="%USERPROFILE%\AppData\Local\Temp\OnboardLogs" /stypes="*4012*201608061*" /stext=" 13:.+((SYSTEM_STATE.+slice.+state.+changed )|(ment ac)|(system.+state.+changed )|(\|lc)|(penalty)|(\[timeout)|(PRM\|1\|D)|(kpr)|(kdp))" /e /r /s</v>
      </c>
      <c r="S36" s="9" t="str">
        <f t="shared" si="1"/>
        <v>4012</v>
      </c>
      <c r="T36" s="41">
        <f t="shared" si="2"/>
        <v>42588.565034722225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42588.370069444441</v>
      </c>
      <c r="B37" s="34" t="s">
        <v>144</v>
      </c>
      <c r="C37" s="34" t="s">
        <v>461</v>
      </c>
      <c r="D37" s="34" t="s">
        <v>49</v>
      </c>
      <c r="E37" s="34" t="s">
        <v>50</v>
      </c>
      <c r="F37" s="52">
        <v>0</v>
      </c>
      <c r="G37" s="52">
        <v>54</v>
      </c>
      <c r="H37" s="52">
        <v>192</v>
      </c>
      <c r="I37" s="34" t="s">
        <v>51</v>
      </c>
      <c r="J37" s="52">
        <v>1</v>
      </c>
      <c r="K37" s="34" t="s">
        <v>53</v>
      </c>
      <c r="L37" s="108" t="str">
        <f>VLOOKUP(C37,'Trips&amp;Operators'!$C$1:$E$9999,3,0)</f>
        <v>STRICKLAND</v>
      </c>
      <c r="M37" s="9" t="s">
        <v>96</v>
      </c>
      <c r="N37" s="10"/>
      <c r="O37" s="34"/>
      <c r="P37" s="126" t="str">
        <f>VLOOKUP(C37,'Train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37" s="130" t="str">
        <f>VLOOKUP(C37,'Train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7" s="133" t="str">
        <f t="shared" si="0"/>
        <v>"C:\Program Files (x86)\AstroGrep\AstroGrep.exe" /spath="%USERPROFILE%\AppData\Local\Temp\OnboardLogs" /stypes="*4041*201608061*" /stext=" 14:.+((SYSTEM_STATE.+slice.+state.+changed )|(ment ac)|(system.+state.+changed )|(\|lc)|(penalty)|(\[timeout)|(PRM\|1\|D)|(kpr)|(kdp))" /e /r /s</v>
      </c>
      <c r="S37" s="9" t="str">
        <f t="shared" si="1"/>
        <v>4041</v>
      </c>
      <c r="T37" s="41">
        <f t="shared" si="2"/>
        <v>42588.620069444441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42588.388240740744</v>
      </c>
      <c r="B38" s="34" t="s">
        <v>151</v>
      </c>
      <c r="C38" s="34" t="s">
        <v>464</v>
      </c>
      <c r="D38" s="34" t="s">
        <v>49</v>
      </c>
      <c r="E38" s="34" t="s">
        <v>50</v>
      </c>
      <c r="F38" s="52">
        <v>0</v>
      </c>
      <c r="G38" s="52">
        <v>52</v>
      </c>
      <c r="H38" s="52">
        <v>163</v>
      </c>
      <c r="I38" s="34" t="s">
        <v>51</v>
      </c>
      <c r="J38" s="52">
        <v>1</v>
      </c>
      <c r="K38" s="34" t="s">
        <v>53</v>
      </c>
      <c r="L38" s="108" t="str">
        <f>VLOOKUP(C38,'Trips&amp;Operators'!$C$1:$E$9999,3,0)</f>
        <v>ACKERMAN</v>
      </c>
      <c r="M38" s="9" t="s">
        <v>96</v>
      </c>
      <c r="N38" s="10"/>
      <c r="O38" s="34"/>
      <c r="P38" s="126" t="str">
        <f>VLOOKUP(C38,'Train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38" s="130" t="str">
        <f>VLOOKUP(C38,'Train Runs'!$A$13:$AE$530,22,0)</f>
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8" s="133" t="str">
        <f t="shared" si="0"/>
        <v>"C:\Program Files (x86)\AstroGrep\AstroGrep.exe" /spath="%USERPROFILE%\AppData\Local\Temp\OnboardLogs" /stypes="*4012*201608061*" /stext=" 15:.+((SYSTEM_STATE.+slice.+state.+changed )|(ment ac)|(system.+state.+changed )|(\|lc)|(penalty)|(\[timeout)|(PRM\|1\|D)|(kpr)|(kdp))" /e /r /s</v>
      </c>
      <c r="S38" s="9" t="str">
        <f t="shared" si="1"/>
        <v>4012</v>
      </c>
      <c r="T38" s="41">
        <f t="shared" si="2"/>
        <v>42588.638240740744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42588.409988425927</v>
      </c>
      <c r="B39" s="34" t="s">
        <v>142</v>
      </c>
      <c r="C39" s="34" t="s">
        <v>465</v>
      </c>
      <c r="D39" s="34" t="s">
        <v>49</v>
      </c>
      <c r="E39" s="34" t="s">
        <v>50</v>
      </c>
      <c r="F39" s="52">
        <v>0</v>
      </c>
      <c r="G39" s="52">
        <v>64</v>
      </c>
      <c r="H39" s="52">
        <v>216</v>
      </c>
      <c r="I39" s="34" t="s">
        <v>51</v>
      </c>
      <c r="J39" s="52">
        <v>1</v>
      </c>
      <c r="K39" s="34" t="s">
        <v>53</v>
      </c>
      <c r="L39" s="108" t="str">
        <f>VLOOKUP(C39,'Trips&amp;Operators'!$C$1:$E$9999,3,0)</f>
        <v>STORY</v>
      </c>
      <c r="M39" s="9" t="s">
        <v>96</v>
      </c>
      <c r="N39" s="10"/>
      <c r="O39" s="34"/>
      <c r="P39" s="126" t="str">
        <f>VLOOKUP(C39,'Train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39" s="130" t="str">
        <f>VLOOKUP(C39,'Train Runs'!$A$13:$AE$530,22,0)</f>
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39" s="133" t="str">
        <f t="shared" ref="R39:R6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/stypes="*4010*201608061*" /stext=" 15:.+((SYSTEM_STATE.+slice.+state.+changed )|(ment ac)|(system.+state.+changed )|(\|lc)|(penalty)|(\[timeout)|(PRM\|1\|D)|(kpr)|(kdp))" /e /r /s</v>
      </c>
      <c r="S39" s="9" t="str">
        <f t="shared" ref="S39:S60" si="6">MID(B39,13,4)</f>
        <v>4010</v>
      </c>
      <c r="T39" s="41">
        <f t="shared" ref="T39:T60" si="7">A39+6/24</f>
        <v>42588.659988425927</v>
      </c>
      <c r="U39" s="55" t="str">
        <f t="shared" ref="U39:U60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60" si="9">IF(AND(E39="TRACK WARRANT AUTHORITY",G39&lt;10),"OMIT","KEEP")</f>
        <v>KEEP</v>
      </c>
    </row>
    <row r="40" spans="1:22" x14ac:dyDescent="0.25">
      <c r="A40" s="41">
        <v>42588.679375</v>
      </c>
      <c r="B40" s="34" t="s">
        <v>151</v>
      </c>
      <c r="C40" s="34" t="s">
        <v>476</v>
      </c>
      <c r="D40" s="34" t="s">
        <v>49</v>
      </c>
      <c r="E40" s="34" t="s">
        <v>50</v>
      </c>
      <c r="F40" s="52">
        <v>0</v>
      </c>
      <c r="G40" s="52">
        <v>67</v>
      </c>
      <c r="H40" s="52">
        <v>229</v>
      </c>
      <c r="I40" s="34" t="s">
        <v>51</v>
      </c>
      <c r="J40" s="52">
        <v>1</v>
      </c>
      <c r="K40" s="34" t="s">
        <v>53</v>
      </c>
      <c r="L40" s="108" t="str">
        <f>VLOOKUP(C40,'Trips&amp;Operators'!$C$1:$E$9999,3,0)</f>
        <v>HELVIE</v>
      </c>
      <c r="M40" s="9" t="s">
        <v>96</v>
      </c>
      <c r="N40" s="10"/>
      <c r="O40" s="34"/>
      <c r="P40" s="126" t="str">
        <f>VLOOKUP(C40,'Train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40" s="130" t="str">
        <f>VLOOKUP(C40,'Train Runs'!$A$13:$AE$530,22,0)</f>
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0" s="133" t="str">
        <f t="shared" si="5"/>
        <v>"C:\Program Files (x86)\AstroGrep\AstroGrep.exe" /spath="%USERPROFILE%\AppData\Local\Temp\OnboardLogs" /stypes="*4012*201608062*" /stext=" 22:.+((SYSTEM_STATE.+slice.+state.+changed )|(ment ac)|(system.+state.+changed )|(\|lc)|(penalty)|(\[timeout)|(PRM\|1\|D)|(kpr)|(kdp))" /e /r /s</v>
      </c>
      <c r="S40" s="9" t="str">
        <f t="shared" si="6"/>
        <v>4012</v>
      </c>
      <c r="T40" s="41">
        <f t="shared" si="7"/>
        <v>42588.929375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42588.692152777781</v>
      </c>
      <c r="B41" s="34" t="s">
        <v>102</v>
      </c>
      <c r="C41" s="34" t="s">
        <v>478</v>
      </c>
      <c r="D41" s="34" t="s">
        <v>49</v>
      </c>
      <c r="E41" s="34" t="s">
        <v>50</v>
      </c>
      <c r="F41" s="52">
        <v>0</v>
      </c>
      <c r="G41" s="52">
        <v>78</v>
      </c>
      <c r="H41" s="52">
        <v>254</v>
      </c>
      <c r="I41" s="34" t="s">
        <v>51</v>
      </c>
      <c r="J41" s="52">
        <v>1</v>
      </c>
      <c r="K41" s="34" t="s">
        <v>53</v>
      </c>
      <c r="L41" s="108" t="str">
        <f>VLOOKUP(C41,'Trips&amp;Operators'!$C$1:$E$9999,3,0)</f>
        <v>MOSES</v>
      </c>
      <c r="M41" s="9" t="s">
        <v>96</v>
      </c>
      <c r="N41" s="10"/>
      <c r="O41" s="34"/>
      <c r="P41" s="126" t="str">
        <f>VLOOKUP(C41,'Train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Q41" s="130" t="str">
        <f>VLOOKUP(C41,'Train Runs'!$A$13:$AE$530,22,0)</f>
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1" s="133" t="str">
        <f t="shared" si="5"/>
        <v>"C:\Program Files (x86)\AstroGrep\AstroGrep.exe" /spath="%USERPROFILE%\AppData\Local\Temp\OnboardLogs" /stypes="*4026*201608062*" /stext=" 22:.+((SYSTEM_STATE.+slice.+state.+changed )|(ment ac)|(system.+state.+changed )|(\|lc)|(penalty)|(\[timeout)|(PRM\|1\|D)|(kpr)|(kdp))" /e /r /s</v>
      </c>
      <c r="S41" s="9" t="str">
        <f t="shared" si="6"/>
        <v>4026</v>
      </c>
      <c r="T41" s="41">
        <f t="shared" si="7"/>
        <v>42588.942152777781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42588.784837962965</v>
      </c>
      <c r="B42" s="34" t="s">
        <v>102</v>
      </c>
      <c r="C42" s="34" t="s">
        <v>484</v>
      </c>
      <c r="D42" s="34" t="s">
        <v>49</v>
      </c>
      <c r="E42" s="34" t="s">
        <v>50</v>
      </c>
      <c r="F42" s="52">
        <v>0</v>
      </c>
      <c r="G42" s="52">
        <v>49</v>
      </c>
      <c r="H42" s="52">
        <v>163</v>
      </c>
      <c r="I42" s="34" t="s">
        <v>51</v>
      </c>
      <c r="J42" s="52">
        <v>1</v>
      </c>
      <c r="K42" s="34" t="s">
        <v>53</v>
      </c>
      <c r="L42" s="108" t="str">
        <f>VLOOKUP(C42,'Trips&amp;Operators'!$C$1:$E$9999,3,0)</f>
        <v>MOSES</v>
      </c>
      <c r="M42" s="9" t="s">
        <v>96</v>
      </c>
      <c r="N42" s="10"/>
      <c r="O42" s="34"/>
      <c r="P42" s="126" t="str">
        <f>VLOOKUP(C42,'Train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Q42" s="130" t="str">
        <f>VLOOKUP(C42,'Train Runs'!$A$13:$AE$530,22,0)</f>
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2" s="133" t="str">
        <f t="shared" si="5"/>
        <v>"C:\Program Files (x86)\AstroGrep\AstroGrep.exe" /spath="%USERPROFILE%\AppData\Local\Temp\OnboardLogs" /stypes="*4026*201608070*" /stext=" 00:.+((SYSTEM_STATE.+slice.+state.+changed )|(ment ac)|(system.+state.+changed )|(\|lc)|(penalty)|(\[timeout)|(PRM\|1\|D)|(kpr)|(kdp))" /e /r /s</v>
      </c>
      <c r="S42" s="9" t="str">
        <f t="shared" si="6"/>
        <v>4026</v>
      </c>
      <c r="T42" s="41">
        <f t="shared" si="7"/>
        <v>42589.034837962965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42588.214050925926</v>
      </c>
      <c r="B43" s="34" t="s">
        <v>104</v>
      </c>
      <c r="C43" s="34" t="s">
        <v>450</v>
      </c>
      <c r="D43" s="34" t="s">
        <v>49</v>
      </c>
      <c r="E43" s="34" t="s">
        <v>50</v>
      </c>
      <c r="F43" s="52">
        <v>0</v>
      </c>
      <c r="G43" s="52">
        <v>36</v>
      </c>
      <c r="H43" s="52">
        <v>233336</v>
      </c>
      <c r="I43" s="34" t="s">
        <v>51</v>
      </c>
      <c r="J43" s="52">
        <v>233491</v>
      </c>
      <c r="K43" s="34" t="s">
        <v>52</v>
      </c>
      <c r="L43" s="108" t="str">
        <f>VLOOKUP(C43,'Trips&amp;Operators'!$C$1:$E$9999,3,0)</f>
        <v>DAVIS</v>
      </c>
      <c r="M43" s="9" t="s">
        <v>96</v>
      </c>
      <c r="N43" s="10"/>
      <c r="O43" s="34"/>
      <c r="P43" s="126" t="str">
        <f>VLOOKUP(C43,'Train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Q43" s="130" t="str">
        <f>VLOOKUP(C43,'Train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43" s="133" t="str">
        <f t="shared" si="5"/>
        <v>"C:\Program Files (x86)\AstroGrep\AstroGrep.exe" /spath="%USERPROFILE%\AppData\Local\Temp\OnboardLogs" /stypes="*4025*201608061*" /stext=" 11:.+((SYSTEM_STATE.+slice.+state.+changed )|(ment ac)|(system.+state.+changed )|(\|lc)|(penalty)|(\[timeout)|(PRM\|1\|D)|(kpr)|(kdp))" /e /r /s</v>
      </c>
      <c r="S43" s="9" t="str">
        <f t="shared" si="6"/>
        <v>4025</v>
      </c>
      <c r="T43" s="41">
        <f t="shared" si="7"/>
        <v>42588.464050925926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42588.328761574077</v>
      </c>
      <c r="B44" s="34" t="s">
        <v>75</v>
      </c>
      <c r="C44" s="34" t="s">
        <v>455</v>
      </c>
      <c r="D44" s="34" t="s">
        <v>49</v>
      </c>
      <c r="E44" s="34" t="s">
        <v>50</v>
      </c>
      <c r="F44" s="52">
        <v>0</v>
      </c>
      <c r="G44" s="52">
        <v>154</v>
      </c>
      <c r="H44" s="52">
        <v>232809</v>
      </c>
      <c r="I44" s="34" t="s">
        <v>51</v>
      </c>
      <c r="J44" s="52">
        <v>233491</v>
      </c>
      <c r="K44" s="34" t="s">
        <v>52</v>
      </c>
      <c r="L44" s="108" t="str">
        <f>VLOOKUP(C44,'Trips&amp;Operators'!$C$1:$E$9999,3,0)</f>
        <v>STRICKLAND</v>
      </c>
      <c r="M44" s="9" t="s">
        <v>96</v>
      </c>
      <c r="N44" s="10"/>
      <c r="O44" s="34"/>
      <c r="P44" s="126" t="str">
        <f>VLOOKUP(C44,'Train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44" s="130" t="str">
        <f>VLOOKUP(C44,'Train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4" s="133" t="str">
        <f t="shared" si="5"/>
        <v>"C:\Program Files (x86)\AstroGrep\AstroGrep.exe" /spath="%USERPROFILE%\AppData\Local\Temp\OnboardLogs" /stypes="*4042*201608061*" /stext=" 13:.+((SYSTEM_STATE.+slice.+state.+changed )|(ment ac)|(system.+state.+changed )|(\|lc)|(penalty)|(\[timeout)|(PRM\|1\|D)|(kpr)|(kdp))" /e /r /s</v>
      </c>
      <c r="S44" s="9" t="str">
        <f t="shared" si="6"/>
        <v>4042</v>
      </c>
      <c r="T44" s="41">
        <f t="shared" si="7"/>
        <v>42588.578761574077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42588.402789351851</v>
      </c>
      <c r="B45" s="34" t="s">
        <v>75</v>
      </c>
      <c r="C45" s="34" t="s">
        <v>462</v>
      </c>
      <c r="D45" s="34" t="s">
        <v>49</v>
      </c>
      <c r="E45" s="34" t="s">
        <v>50</v>
      </c>
      <c r="F45" s="52">
        <v>0</v>
      </c>
      <c r="G45" s="52">
        <v>64</v>
      </c>
      <c r="H45" s="52">
        <v>233276</v>
      </c>
      <c r="I45" s="34" t="s">
        <v>51</v>
      </c>
      <c r="J45" s="52">
        <v>233491</v>
      </c>
      <c r="K45" s="34" t="s">
        <v>52</v>
      </c>
      <c r="L45" s="108" t="str">
        <f>VLOOKUP(C45,'Trips&amp;Operators'!$C$1:$E$9999,3,0)</f>
        <v>STRICKLAND</v>
      </c>
      <c r="M45" s="9" t="s">
        <v>96</v>
      </c>
      <c r="N45" s="10"/>
      <c r="O45" s="34"/>
      <c r="P45" s="126" t="str">
        <f>VLOOKUP(C45,'Train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45" s="130" t="str">
        <f>VLOOKUP(C45,'Train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5" s="133" t="str">
        <f t="shared" si="5"/>
        <v>"C:\Program Files (x86)\AstroGrep\AstroGrep.exe" /spath="%USERPROFILE%\AppData\Local\Temp\OnboardLogs" /stypes="*4042*201608061*" /stext=" 15:.+((SYSTEM_STATE.+slice.+state.+changed )|(ment ac)|(system.+state.+changed )|(\|lc)|(penalty)|(\[timeout)|(PRM\|1\|D)|(kpr)|(kdp))" /e /r /s</v>
      </c>
      <c r="S45" s="9" t="str">
        <f t="shared" si="6"/>
        <v>4042</v>
      </c>
      <c r="T45" s="41">
        <f t="shared" si="7"/>
        <v>42588.652789351851</v>
      </c>
      <c r="U45" s="55" t="str">
        <f t="shared" si="8"/>
        <v>EC</v>
      </c>
      <c r="V45" s="55" t="str">
        <f t="shared" si="9"/>
        <v>KEEP</v>
      </c>
    </row>
    <row r="46" spans="1:22" x14ac:dyDescent="0.25">
      <c r="A46" s="41">
        <v>42588.47420138889</v>
      </c>
      <c r="B46" s="34" t="s">
        <v>161</v>
      </c>
      <c r="C46" s="34" t="s">
        <v>469</v>
      </c>
      <c r="D46" s="34" t="s">
        <v>49</v>
      </c>
      <c r="E46" s="34" t="s">
        <v>50</v>
      </c>
      <c r="F46" s="52">
        <v>0</v>
      </c>
      <c r="G46" s="52">
        <v>53</v>
      </c>
      <c r="H46" s="52">
        <v>233228</v>
      </c>
      <c r="I46" s="34" t="s">
        <v>51</v>
      </c>
      <c r="J46" s="52">
        <v>233491</v>
      </c>
      <c r="K46" s="34" t="s">
        <v>52</v>
      </c>
      <c r="L46" s="108" t="str">
        <f>VLOOKUP(C46,'Trips&amp;Operators'!$C$1:$E$9999,3,0)</f>
        <v>STRICKLAND</v>
      </c>
      <c r="M46" s="9" t="s">
        <v>96</v>
      </c>
      <c r="N46" s="10"/>
      <c r="O46" s="34"/>
      <c r="P46" s="126" t="str">
        <f>VLOOKUP(C46,'Train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Q46" s="130" t="str">
        <f>VLOOKUP(C46,'Train Runs'!$A$13:$AE$530,22,0)</f>
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6" s="133" t="str">
        <f t="shared" si="5"/>
        <v>"C:\Program Files (x86)\AstroGrep\AstroGrep.exe" /spath="%USERPROFILE%\AppData\Local\Temp\OnboardLogs" /stypes="*4031*201608061*" /stext=" 17:.+((SYSTEM_STATE.+slice.+state.+changed )|(ment ac)|(system.+state.+changed )|(\|lc)|(penalty)|(\[timeout)|(PRM\|1\|D)|(kpr)|(kdp))" /e /r /s</v>
      </c>
      <c r="S46" s="9" t="str">
        <f t="shared" si="6"/>
        <v>4031</v>
      </c>
      <c r="T46" s="41">
        <f t="shared" si="7"/>
        <v>42588.72420138889</v>
      </c>
      <c r="U46" s="55" t="str">
        <f t="shared" si="8"/>
        <v>EC</v>
      </c>
      <c r="V46" s="55" t="str">
        <f t="shared" si="9"/>
        <v>KEEP</v>
      </c>
    </row>
    <row r="47" spans="1:22" x14ac:dyDescent="0.25">
      <c r="A47" s="41">
        <v>42588.629699074074</v>
      </c>
      <c r="B47" s="34" t="s">
        <v>108</v>
      </c>
      <c r="C47" s="34" t="s">
        <v>473</v>
      </c>
      <c r="D47" s="34" t="s">
        <v>49</v>
      </c>
      <c r="E47" s="34" t="s">
        <v>50</v>
      </c>
      <c r="F47" s="52">
        <v>0</v>
      </c>
      <c r="G47" s="52">
        <v>64</v>
      </c>
      <c r="H47" s="52">
        <v>233261</v>
      </c>
      <c r="I47" s="34" t="s">
        <v>51</v>
      </c>
      <c r="J47" s="52">
        <v>233491</v>
      </c>
      <c r="K47" s="34" t="s">
        <v>52</v>
      </c>
      <c r="L47" s="108" t="str">
        <f>VLOOKUP(C47,'Trips&amp;Operators'!$C$1:$E$9999,3,0)</f>
        <v>STEWART</v>
      </c>
      <c r="M47" s="9" t="s">
        <v>96</v>
      </c>
      <c r="N47" s="10"/>
      <c r="O47" s="34"/>
      <c r="P47" s="126" t="str">
        <f>VLOOKUP(C47,'Train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47" s="130" t="str">
        <f>VLOOKUP(C47,'Train Runs'!$A$13:$AE$530,22,0)</f>
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7" s="133" t="str">
        <f t="shared" si="5"/>
        <v>"C:\Program Files (x86)\AstroGrep\AstroGrep.exe" /spath="%USERPROFILE%\AppData\Local\Temp\OnboardLogs" /stypes="*4027*201608062*" /stext=" 21:.+((SYSTEM_STATE.+slice.+state.+changed )|(ment ac)|(system.+state.+changed )|(\|lc)|(penalty)|(\[timeout)|(PRM\|1\|D)|(kpr)|(kdp))" /e /r /s</v>
      </c>
      <c r="S47" s="9" t="str">
        <f t="shared" si="6"/>
        <v>4027</v>
      </c>
      <c r="T47" s="41">
        <f t="shared" si="7"/>
        <v>42588.879699074074</v>
      </c>
      <c r="U47" s="55" t="str">
        <f t="shared" si="8"/>
        <v>EC</v>
      </c>
      <c r="V47" s="55" t="str">
        <f t="shared" si="9"/>
        <v>KEEP</v>
      </c>
    </row>
    <row r="48" spans="1:22" x14ac:dyDescent="0.25">
      <c r="A48" s="41">
        <v>42588.920636574076</v>
      </c>
      <c r="B48" s="34" t="s">
        <v>141</v>
      </c>
      <c r="C48" s="34" t="s">
        <v>489</v>
      </c>
      <c r="D48" s="34" t="s">
        <v>49</v>
      </c>
      <c r="E48" s="34" t="s">
        <v>50</v>
      </c>
      <c r="F48" s="52">
        <v>0</v>
      </c>
      <c r="G48" s="52">
        <v>148</v>
      </c>
      <c r="H48" s="52">
        <v>232902</v>
      </c>
      <c r="I48" s="34" t="s">
        <v>51</v>
      </c>
      <c r="J48" s="52">
        <v>233491</v>
      </c>
      <c r="K48" s="34" t="s">
        <v>52</v>
      </c>
      <c r="L48" s="108" t="str">
        <f>VLOOKUP(C48,'Trips&amp;Operators'!$C$1:$E$9999,3,0)</f>
        <v>NEWELL</v>
      </c>
      <c r="M48" s="9" t="s">
        <v>96</v>
      </c>
      <c r="N48" s="10"/>
      <c r="O48" s="34"/>
      <c r="P48" s="126" t="str">
        <f>VLOOKUP(C48,'Train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48" s="130" t="str">
        <f>VLOOKUP(C48,'Train Runs'!$A$13:$AE$530,22,0)</f>
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48" s="133" t="str">
        <f t="shared" si="5"/>
        <v>"C:\Program Files (x86)\AstroGrep\AstroGrep.exe" /spath="%USERPROFILE%\AppData\Local\Temp\OnboardLogs" /stypes="*4009*201608070*" /stext=" 04:.+((SYSTEM_STATE.+slice.+state.+changed )|(ment ac)|(system.+state.+changed )|(\|lc)|(penalty)|(\[timeout)|(PRM\|1\|D)|(kpr)|(kdp))" /e /r /s</v>
      </c>
      <c r="S48" s="9" t="str">
        <f t="shared" si="6"/>
        <v>4009</v>
      </c>
      <c r="T48" s="41">
        <f t="shared" si="7"/>
        <v>42589.170636574076</v>
      </c>
      <c r="U48" s="55" t="str">
        <f t="shared" si="8"/>
        <v>EC</v>
      </c>
      <c r="V48" s="55" t="str">
        <f t="shared" si="9"/>
        <v>KEEP</v>
      </c>
    </row>
    <row r="49" spans="1:22" x14ac:dyDescent="0.25">
      <c r="A49" s="41">
        <v>42588.786365740743</v>
      </c>
      <c r="B49" s="34" t="s">
        <v>107</v>
      </c>
      <c r="C49" s="34" t="s">
        <v>485</v>
      </c>
      <c r="D49" s="34" t="s">
        <v>49</v>
      </c>
      <c r="E49" s="34" t="s">
        <v>56</v>
      </c>
      <c r="F49" s="52">
        <v>200</v>
      </c>
      <c r="G49" s="52">
        <v>275</v>
      </c>
      <c r="H49" s="52">
        <v>7169</v>
      </c>
      <c r="I49" s="34" t="s">
        <v>57</v>
      </c>
      <c r="J49" s="52">
        <v>5990</v>
      </c>
      <c r="K49" s="34" t="s">
        <v>53</v>
      </c>
      <c r="L49" s="108" t="str">
        <f>VLOOKUP(C49,'Trips&amp;Operators'!$C$1:$E$9999,3,0)</f>
        <v>KILLION</v>
      </c>
      <c r="M49" s="9" t="s">
        <v>96</v>
      </c>
      <c r="N49" s="10"/>
      <c r="O49" s="34"/>
      <c r="P49" s="126" t="str">
        <f>VLOOKUP(C49,'Train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49" s="130" t="str">
        <f>VLOOKUP(C49,'Train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9" s="133" t="str">
        <f t="shared" si="5"/>
        <v>"C:\Program Files (x86)\AstroGrep\AstroGrep.exe" /spath="%USERPROFILE%\AppData\Local\Temp\OnboardLogs" /stypes="*4030*201608070*" /stext=" 00:.+((SYSTEM_STATE.+slice.+state.+changed )|(ment ac)|(system.+state.+changed )|(\|lc)|(penalty)|(\[timeout)|(PRM\|1\|D)|(kpr)|(kdp))" /e /r /s</v>
      </c>
      <c r="S49" s="9" t="str">
        <f t="shared" si="6"/>
        <v>4030</v>
      </c>
      <c r="T49" s="41">
        <f t="shared" si="7"/>
        <v>42589.036365740743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42588.740405092591</v>
      </c>
      <c r="B50" s="34" t="s">
        <v>107</v>
      </c>
      <c r="C50" s="34" t="s">
        <v>481</v>
      </c>
      <c r="D50" s="34" t="s">
        <v>49</v>
      </c>
      <c r="E50" s="34" t="s">
        <v>56</v>
      </c>
      <c r="F50" s="52">
        <v>400</v>
      </c>
      <c r="G50" s="52">
        <v>456</v>
      </c>
      <c r="H50" s="52">
        <v>44466</v>
      </c>
      <c r="I50" s="34" t="s">
        <v>57</v>
      </c>
      <c r="J50" s="52">
        <v>43595</v>
      </c>
      <c r="K50" s="34" t="s">
        <v>53</v>
      </c>
      <c r="L50" s="108" t="str">
        <f>VLOOKUP(C50,'Trips&amp;Operators'!$C$1:$E$9999,3,0)</f>
        <v>KILLION</v>
      </c>
      <c r="M50" s="9" t="s">
        <v>96</v>
      </c>
      <c r="N50" s="10"/>
      <c r="O50" s="34"/>
      <c r="P50" s="126" t="str">
        <f>VLOOKUP(C50,'Train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0" s="130" t="str">
        <f>VLOOKUP(C50,'Train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0" s="133" t="str">
        <f t="shared" si="5"/>
        <v>"C:\Program Files (x86)\AstroGrep\AstroGrep.exe" /spath="%USERPROFILE%\AppData\Local\Temp\OnboardLogs" /stypes="*4030*201608062*" /stext=" 23:.+((SYSTEM_STATE.+slice.+state.+changed )|(ment ac)|(system.+state.+changed )|(\|lc)|(penalty)|(\[timeout)|(PRM\|1\|D)|(kpr)|(kdp))" /e /r /s</v>
      </c>
      <c r="S50" s="9" t="str">
        <f t="shared" si="6"/>
        <v>4030</v>
      </c>
      <c r="T50" s="41">
        <f t="shared" si="7"/>
        <v>42588.990405092591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42588.772870370369</v>
      </c>
      <c r="B51" s="34" t="s">
        <v>106</v>
      </c>
      <c r="C51" s="34" t="s">
        <v>483</v>
      </c>
      <c r="D51" s="34" t="s">
        <v>49</v>
      </c>
      <c r="E51" s="34" t="s">
        <v>56</v>
      </c>
      <c r="F51" s="52">
        <v>150</v>
      </c>
      <c r="G51" s="52">
        <v>268</v>
      </c>
      <c r="H51" s="52">
        <v>56481</v>
      </c>
      <c r="I51" s="34" t="s">
        <v>57</v>
      </c>
      <c r="J51" s="52">
        <v>57008</v>
      </c>
      <c r="K51" s="34" t="s">
        <v>52</v>
      </c>
      <c r="L51" s="108" t="str">
        <f>VLOOKUP(C51,'Trips&amp;Operators'!$C$1:$E$9999,3,0)</f>
        <v>KILLION</v>
      </c>
      <c r="M51" s="9" t="s">
        <v>96</v>
      </c>
      <c r="N51" s="10"/>
      <c r="O51" s="34"/>
      <c r="P51" s="126" t="str">
        <f>VLOOKUP(C51,'Train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51" s="130" t="str">
        <f>VLOOKUP(C51,'Train Runs'!$A$13:$AE$530,22,0)</f>
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1" s="133" t="str">
        <f t="shared" si="5"/>
        <v>"C:\Program Files (x86)\AstroGrep\AstroGrep.exe" /spath="%USERPROFILE%\AppData\Local\Temp\OnboardLogs" /stypes="*4029*201608070*" /stext=" 00:.+((SYSTEM_STATE.+slice.+state.+changed )|(ment ac)|(system.+state.+changed )|(\|lc)|(penalty)|(\[timeout)|(PRM\|1\|D)|(kpr)|(kdp))" /e /r /s</v>
      </c>
      <c r="S51" s="9" t="str">
        <f t="shared" si="6"/>
        <v>4029</v>
      </c>
      <c r="T51" s="41">
        <f t="shared" si="7"/>
        <v>42589.022870370369</v>
      </c>
      <c r="U51" s="55" t="str">
        <f t="shared" si="8"/>
        <v>NW</v>
      </c>
      <c r="V51" s="55" t="str">
        <f t="shared" si="9"/>
        <v>KEEP</v>
      </c>
    </row>
    <row r="52" spans="1:22" x14ac:dyDescent="0.25">
      <c r="A52" s="41">
        <v>42588.353391203702</v>
      </c>
      <c r="B52" s="34" t="s">
        <v>106</v>
      </c>
      <c r="C52" s="34" t="s">
        <v>460</v>
      </c>
      <c r="D52" s="34" t="s">
        <v>49</v>
      </c>
      <c r="E52" s="34" t="s">
        <v>54</v>
      </c>
      <c r="F52" s="52">
        <v>0</v>
      </c>
      <c r="G52" s="52">
        <v>479</v>
      </c>
      <c r="H52" s="52">
        <v>33356</v>
      </c>
      <c r="I52" s="34" t="s">
        <v>55</v>
      </c>
      <c r="J52" s="52">
        <v>34671</v>
      </c>
      <c r="K52" s="34" t="s">
        <v>52</v>
      </c>
      <c r="L52" s="108" t="str">
        <f>VLOOKUP(C52,'Trips&amp;Operators'!$C$1:$E$9999,3,0)</f>
        <v>YORK</v>
      </c>
      <c r="M52" s="9" t="s">
        <v>95</v>
      </c>
      <c r="N52" s="10" t="s">
        <v>830</v>
      </c>
      <c r="O52" s="34"/>
      <c r="P52" s="126" t="str">
        <f>VLOOKUP(C52,'Train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52" s="130" t="str">
        <f>VLOOKUP(C52,'Train Runs'!$A$13:$AE$530,22,0)</f>
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2" s="133" t="str">
        <f t="shared" si="5"/>
        <v>"C:\Program Files (x86)\AstroGrep\AstroGrep.exe" /spath="%USERPROFILE%\AppData\Local\Temp\OnboardLogs" /stypes="*4029*201608061*" /stext=" 14:.+((SYSTEM_STATE.+slice.+state.+changed )|(ment ac)|(system.+state.+changed )|(\|lc)|(penalty)|(\[timeout)|(PRM\|1\|D)|(kpr)|(kdp))" /e /r /s</v>
      </c>
      <c r="S52" s="9" t="str">
        <f t="shared" si="6"/>
        <v>4029</v>
      </c>
      <c r="T52" s="41">
        <f t="shared" si="7"/>
        <v>42588.603391203702</v>
      </c>
      <c r="U52" s="55" t="str">
        <f t="shared" si="8"/>
        <v>NW</v>
      </c>
      <c r="V52" s="55" t="str">
        <f t="shared" si="9"/>
        <v>KEEP</v>
      </c>
    </row>
    <row r="53" spans="1:22" x14ac:dyDescent="0.25">
      <c r="A53" s="41">
        <v>42588.850543981483</v>
      </c>
      <c r="B53" s="34" t="s">
        <v>106</v>
      </c>
      <c r="C53" s="34" t="s">
        <v>488</v>
      </c>
      <c r="D53" s="34" t="s">
        <v>49</v>
      </c>
      <c r="E53" s="34" t="s">
        <v>301</v>
      </c>
      <c r="F53" s="52">
        <v>100</v>
      </c>
      <c r="G53" s="52">
        <v>247</v>
      </c>
      <c r="H53" s="52">
        <v>9999</v>
      </c>
      <c r="I53" s="34" t="s">
        <v>131</v>
      </c>
      <c r="J53" s="52">
        <v>10701</v>
      </c>
      <c r="K53" s="34" t="s">
        <v>52</v>
      </c>
      <c r="L53" s="108" t="str">
        <f>VLOOKUP(C53,'Trips&amp;Operators'!$C$1:$E$9999,3,0)</f>
        <v>KILLION</v>
      </c>
      <c r="M53" s="9" t="s">
        <v>96</v>
      </c>
      <c r="N53" s="10"/>
      <c r="O53" s="34"/>
      <c r="P53" s="126" t="str">
        <f>VLOOKUP(C53,'Train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53" s="130" t="str">
        <f>VLOOKUP(C53,'Train Runs'!$A$13:$AE$530,22,0)</f>
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3" s="133" t="str">
        <f t="shared" si="5"/>
        <v>"C:\Program Files (x86)\AstroGrep\AstroGrep.exe" /spath="%USERPROFILE%\AppData\Local\Temp\OnboardLogs" /stypes="*4029*201608070*" /stext=" 02:.+((SYSTEM_STATE.+slice.+state.+changed )|(ment ac)|(system.+state.+changed )|(\|lc)|(penalty)|(\[timeout)|(PRM\|1\|D)|(kpr)|(kdp))" /e /r /s</v>
      </c>
      <c r="S53" s="9" t="str">
        <f t="shared" si="6"/>
        <v>4029</v>
      </c>
      <c r="T53" s="41">
        <f t="shared" si="7"/>
        <v>42589.100543981483</v>
      </c>
      <c r="U53" s="55" t="str">
        <f t="shared" si="8"/>
        <v>NW</v>
      </c>
      <c r="V53" s="55" t="str">
        <f t="shared" si="9"/>
        <v>KEEP</v>
      </c>
    </row>
    <row r="54" spans="1:22" x14ac:dyDescent="0.25">
      <c r="A54" s="41">
        <v>42588.53528935185</v>
      </c>
      <c r="B54" s="34" t="s">
        <v>107</v>
      </c>
      <c r="C54" s="34" t="s">
        <v>471</v>
      </c>
      <c r="D54" s="34" t="s">
        <v>49</v>
      </c>
      <c r="E54" s="34" t="s">
        <v>301</v>
      </c>
      <c r="F54" s="52">
        <v>100</v>
      </c>
      <c r="G54" s="52">
        <v>174</v>
      </c>
      <c r="H54" s="52">
        <v>11339</v>
      </c>
      <c r="I54" s="34" t="s">
        <v>131</v>
      </c>
      <c r="J54" s="52">
        <v>11000</v>
      </c>
      <c r="K54" s="34" t="s">
        <v>53</v>
      </c>
      <c r="L54" s="108" t="str">
        <f>VLOOKUP(C54,'Trips&amp;Operators'!$C$1:$E$9999,3,0)</f>
        <v>YORK</v>
      </c>
      <c r="M54" s="9" t="s">
        <v>96</v>
      </c>
      <c r="N54" s="10"/>
      <c r="O54" s="34"/>
      <c r="P54" s="126" t="str">
        <f>VLOOKUP(C54,'Train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4" s="130" t="str">
        <f>VLOOKUP(C54,'Train Runs'!$A$13:$AE$530,22,0)</f>
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4" s="133" t="str">
        <f t="shared" si="5"/>
        <v>"C:\Program Files (x86)\AstroGrep\AstroGrep.exe" /spath="%USERPROFILE%\AppData\Local\Temp\OnboardLogs" /stypes="*4030*201608061*" /stext=" 18:.+((SYSTEM_STATE.+slice.+state.+changed )|(ment ac)|(system.+state.+changed )|(\|lc)|(penalty)|(\[timeout)|(PRM\|1\|D)|(kpr)|(kdp))" /e /r /s</v>
      </c>
      <c r="S54" s="9" t="str">
        <f t="shared" si="6"/>
        <v>4030</v>
      </c>
      <c r="T54" s="41">
        <f t="shared" si="7"/>
        <v>42588.78528935185</v>
      </c>
      <c r="U54" s="55" t="str">
        <f t="shared" si="8"/>
        <v>NW</v>
      </c>
      <c r="V54" s="55" t="str">
        <f t="shared" si="9"/>
        <v>KEEP</v>
      </c>
    </row>
    <row r="55" spans="1:22" x14ac:dyDescent="0.25">
      <c r="A55" s="41">
        <v>42588.705347222225</v>
      </c>
      <c r="B55" s="34" t="s">
        <v>107</v>
      </c>
      <c r="C55" s="34" t="s">
        <v>479</v>
      </c>
      <c r="D55" s="34" t="s">
        <v>49</v>
      </c>
      <c r="E55" s="34" t="s">
        <v>50</v>
      </c>
      <c r="F55" s="52">
        <v>0</v>
      </c>
      <c r="G55" s="52">
        <v>33</v>
      </c>
      <c r="H55" s="52">
        <v>652</v>
      </c>
      <c r="I55" s="34" t="s">
        <v>51</v>
      </c>
      <c r="J55" s="52">
        <v>575</v>
      </c>
      <c r="K55" s="34" t="s">
        <v>53</v>
      </c>
      <c r="L55" s="108" t="str">
        <f>VLOOKUP(C55,'Trips&amp;Operators'!$C$1:$E$9999,3,0)</f>
        <v>KILLION</v>
      </c>
      <c r="M55" s="9" t="s">
        <v>96</v>
      </c>
      <c r="N55" s="10"/>
      <c r="O55" s="34"/>
      <c r="P55" s="126" t="str">
        <f>VLOOKUP(C55,'Train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5" s="130" t="str">
        <f>VLOOKUP(C55,'Train Runs'!$A$13:$AE$530,22,0)</f>
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5" s="133" t="str">
        <f t="shared" si="5"/>
        <v>"C:\Program Files (x86)\AstroGrep\AstroGrep.exe" /spath="%USERPROFILE%\AppData\Local\Temp\OnboardLogs" /stypes="*4030*201608062*" /stext=" 22:.+((SYSTEM_STATE.+slice.+state.+changed )|(ment ac)|(system.+state.+changed )|(\|lc)|(penalty)|(\[timeout)|(PRM\|1\|D)|(kpr)|(kdp))" /e /r /s</v>
      </c>
      <c r="S55" s="9" t="str">
        <f t="shared" si="6"/>
        <v>4030</v>
      </c>
      <c r="T55" s="41">
        <f t="shared" si="7"/>
        <v>42588.955347222225</v>
      </c>
      <c r="U55" s="55" t="str">
        <f t="shared" si="8"/>
        <v>NW</v>
      </c>
      <c r="V55" s="55" t="str">
        <f t="shared" si="9"/>
        <v>KEEP</v>
      </c>
    </row>
    <row r="56" spans="1:22" x14ac:dyDescent="0.25">
      <c r="A56" s="41">
        <v>42588.747291666667</v>
      </c>
      <c r="B56" s="34" t="s">
        <v>107</v>
      </c>
      <c r="C56" s="34" t="s">
        <v>481</v>
      </c>
      <c r="D56" s="34" t="s">
        <v>49</v>
      </c>
      <c r="E56" s="34" t="s">
        <v>50</v>
      </c>
      <c r="F56" s="52">
        <v>0</v>
      </c>
      <c r="G56" s="52">
        <v>40</v>
      </c>
      <c r="H56" s="52">
        <v>680</v>
      </c>
      <c r="I56" s="34" t="s">
        <v>51</v>
      </c>
      <c r="J56" s="52">
        <v>575</v>
      </c>
      <c r="K56" s="34" t="s">
        <v>53</v>
      </c>
      <c r="L56" s="108" t="str">
        <f>VLOOKUP(C56,'Trips&amp;Operators'!$C$1:$E$9999,3,0)</f>
        <v>KILLION</v>
      </c>
      <c r="M56" s="9" t="s">
        <v>96</v>
      </c>
      <c r="N56" s="10"/>
      <c r="O56" s="34"/>
      <c r="P56" s="126" t="str">
        <f>VLOOKUP(C56,'Train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6" s="130" t="str">
        <f>VLOOKUP(C56,'Train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6" s="133" t="str">
        <f t="shared" si="5"/>
        <v>"C:\Program Files (x86)\AstroGrep\AstroGrep.exe" /spath="%USERPROFILE%\AppData\Local\Temp\OnboardLogs" /stypes="*4030*201608062*" /stext=" 23:.+((SYSTEM_STATE.+slice.+state.+changed )|(ment ac)|(system.+state.+changed )|(\|lc)|(penalty)|(\[timeout)|(PRM\|1\|D)|(kpr)|(kdp))" /e /r /s</v>
      </c>
      <c r="S56" s="9" t="str">
        <f t="shared" si="6"/>
        <v>4030</v>
      </c>
      <c r="T56" s="41">
        <f t="shared" si="7"/>
        <v>42588.997291666667</v>
      </c>
      <c r="U56" s="55" t="str">
        <f t="shared" si="8"/>
        <v>NW</v>
      </c>
      <c r="V56" s="55" t="str">
        <f t="shared" si="9"/>
        <v>KEEP</v>
      </c>
    </row>
    <row r="57" spans="1:22" x14ac:dyDescent="0.25">
      <c r="A57" s="41">
        <v>42588.788634259261</v>
      </c>
      <c r="B57" s="34" t="s">
        <v>107</v>
      </c>
      <c r="C57" s="34" t="s">
        <v>485</v>
      </c>
      <c r="D57" s="34" t="s">
        <v>49</v>
      </c>
      <c r="E57" s="34" t="s">
        <v>50</v>
      </c>
      <c r="F57" s="52">
        <v>0</v>
      </c>
      <c r="G57" s="52">
        <v>73</v>
      </c>
      <c r="H57" s="52">
        <v>822</v>
      </c>
      <c r="I57" s="34" t="s">
        <v>51</v>
      </c>
      <c r="J57" s="52">
        <v>575</v>
      </c>
      <c r="K57" s="34" t="s">
        <v>53</v>
      </c>
      <c r="L57" s="108" t="str">
        <f>VLOOKUP(C57,'Trips&amp;Operators'!$C$1:$E$9999,3,0)</f>
        <v>KILLION</v>
      </c>
      <c r="M57" s="9" t="s">
        <v>96</v>
      </c>
      <c r="N57" s="10"/>
      <c r="O57" s="34"/>
      <c r="P57" s="126" t="str">
        <f>VLOOKUP(C57,'Train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7" s="130" t="str">
        <f>VLOOKUP(C57,'Train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7" s="133" t="str">
        <f t="shared" si="5"/>
        <v>"C:\Program Files (x86)\AstroGrep\AstroGrep.exe" /spath="%USERPROFILE%\AppData\Local\Temp\OnboardLogs" /stypes="*4030*201608070*" /stext=" 00:.+((SYSTEM_STATE.+slice.+state.+changed )|(ment ac)|(system.+state.+changed )|(\|lc)|(penalty)|(\[timeout)|(PRM\|1\|D)|(kpr)|(kdp))" /e /r /s</v>
      </c>
      <c r="S57" s="9" t="str">
        <f t="shared" si="6"/>
        <v>4030</v>
      </c>
      <c r="T57" s="41">
        <f t="shared" si="7"/>
        <v>42589.038634259261</v>
      </c>
      <c r="U57" s="55" t="str">
        <f t="shared" si="8"/>
        <v>NW</v>
      </c>
      <c r="V57" s="55" t="str">
        <f t="shared" si="9"/>
        <v>KEEP</v>
      </c>
    </row>
    <row r="58" spans="1:22" x14ac:dyDescent="0.25">
      <c r="A58" s="41">
        <v>42588.830497685187</v>
      </c>
      <c r="B58" s="34" t="s">
        <v>107</v>
      </c>
      <c r="C58" s="34" t="s">
        <v>487</v>
      </c>
      <c r="D58" s="34" t="s">
        <v>49</v>
      </c>
      <c r="E58" s="34" t="s">
        <v>50</v>
      </c>
      <c r="F58" s="52">
        <v>0</v>
      </c>
      <c r="G58" s="52">
        <v>34</v>
      </c>
      <c r="H58" s="52">
        <v>659</v>
      </c>
      <c r="I58" s="34" t="s">
        <v>51</v>
      </c>
      <c r="J58" s="52">
        <v>575</v>
      </c>
      <c r="K58" s="34" t="s">
        <v>53</v>
      </c>
      <c r="L58" s="108" t="str">
        <f>VLOOKUP(C58,'Trips&amp;Operators'!$C$1:$E$9999,3,0)</f>
        <v>KILLION</v>
      </c>
      <c r="M58" s="9" t="s">
        <v>96</v>
      </c>
      <c r="N58" s="10"/>
      <c r="O58" s="34"/>
      <c r="P58" s="126" t="str">
        <f>VLOOKUP(C58,'Train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58" s="130" t="str">
        <f>VLOOKUP(C58,'Train Runs'!$A$13:$AE$530,22,0)</f>
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8" s="133" t="str">
        <f t="shared" si="5"/>
        <v>"C:\Program Files (x86)\AstroGrep\AstroGrep.exe" /spath="%USERPROFILE%\AppData\Local\Temp\OnboardLogs" /stypes="*4030*201608070*" /stext=" 01:.+((SYSTEM_STATE.+slice.+state.+changed )|(ment ac)|(system.+state.+changed )|(\|lc)|(penalty)|(\[timeout)|(PRM\|1\|D)|(kpr)|(kdp))" /e /r /s</v>
      </c>
      <c r="S58" s="9" t="str">
        <f t="shared" si="6"/>
        <v>4030</v>
      </c>
      <c r="T58" s="41">
        <f t="shared" si="7"/>
        <v>42589.080497685187</v>
      </c>
      <c r="U58" s="55" t="str">
        <f t="shared" si="8"/>
        <v>NW</v>
      </c>
      <c r="V58" s="55" t="str">
        <f t="shared" si="9"/>
        <v>KEEP</v>
      </c>
    </row>
    <row r="59" spans="1:22" x14ac:dyDescent="0.25">
      <c r="A59" s="41">
        <v>42588.315798611111</v>
      </c>
      <c r="B59" s="34" t="s">
        <v>106</v>
      </c>
      <c r="C59" s="34" t="s">
        <v>458</v>
      </c>
      <c r="D59" s="34" t="s">
        <v>49</v>
      </c>
      <c r="E59" s="34" t="s">
        <v>50</v>
      </c>
      <c r="F59" s="52">
        <v>0</v>
      </c>
      <c r="G59" s="52">
        <v>79</v>
      </c>
      <c r="H59" s="52">
        <v>58762</v>
      </c>
      <c r="I59" s="34" t="s">
        <v>51</v>
      </c>
      <c r="J59" s="52">
        <v>59048</v>
      </c>
      <c r="K59" s="34" t="s">
        <v>52</v>
      </c>
      <c r="L59" s="108" t="str">
        <f>VLOOKUP(C59,'Trips&amp;Operators'!$C$1:$E$9999,3,0)</f>
        <v>YORK</v>
      </c>
      <c r="M59" s="9" t="s">
        <v>96</v>
      </c>
      <c r="N59" s="10"/>
      <c r="O59" s="34"/>
      <c r="P59" s="126" t="str">
        <f>VLOOKUP(C59,'Train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59" s="130" t="str">
        <f>VLOOKUP(C59,'Train Runs'!$A$13:$AE$530,22,0)</f>
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9" s="133" t="str">
        <f t="shared" si="5"/>
        <v>"C:\Program Files (x86)\AstroGrep\AstroGrep.exe" /spath="%USERPROFILE%\AppData\Local\Temp\OnboardLogs" /stypes="*4029*201608061*" /stext=" 13:.+((SYSTEM_STATE.+slice.+state.+changed )|(ment ac)|(system.+state.+changed )|(\|lc)|(penalty)|(\[timeout)|(PRM\|1\|D)|(kpr)|(kdp))" /e /r /s</v>
      </c>
      <c r="S59" s="9" t="str">
        <f t="shared" si="6"/>
        <v>4029</v>
      </c>
      <c r="T59" s="41">
        <f t="shared" si="7"/>
        <v>42588.565798611111</v>
      </c>
      <c r="U59" s="55" t="str">
        <f t="shared" si="8"/>
        <v>NW</v>
      </c>
      <c r="V59" s="55" t="str">
        <f t="shared" si="9"/>
        <v>KEEP</v>
      </c>
    </row>
    <row r="60" spans="1:22" x14ac:dyDescent="0.25">
      <c r="A60" s="41">
        <v>42588.816041666665</v>
      </c>
      <c r="B60" s="34" t="s">
        <v>106</v>
      </c>
      <c r="C60" s="34" t="s">
        <v>486</v>
      </c>
      <c r="D60" s="34" t="s">
        <v>49</v>
      </c>
      <c r="E60" s="34" t="s">
        <v>50</v>
      </c>
      <c r="F60" s="52">
        <v>0</v>
      </c>
      <c r="G60" s="52">
        <v>49</v>
      </c>
      <c r="H60" s="52">
        <v>58914</v>
      </c>
      <c r="I60" s="34" t="s">
        <v>51</v>
      </c>
      <c r="J60" s="52">
        <v>59048</v>
      </c>
      <c r="K60" s="34" t="s">
        <v>52</v>
      </c>
      <c r="L60" s="108" t="str">
        <f>VLOOKUP(C60,'Trips&amp;Operators'!$C$1:$E$9999,3,0)</f>
        <v>KILLION</v>
      </c>
      <c r="M60" s="9" t="s">
        <v>96</v>
      </c>
      <c r="N60" s="10"/>
      <c r="O60" s="34"/>
      <c r="P60" s="126" t="str">
        <f>VLOOKUP(C60,'Train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60" s="130" t="str">
        <f>VLOOKUP(C60,'Train Runs'!$A$13:$AE$530,22,0)</f>
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60" s="133" t="str">
        <f t="shared" si="5"/>
        <v>"C:\Program Files (x86)\AstroGrep\AstroGrep.exe" /spath="%USERPROFILE%\AppData\Local\Temp\OnboardLogs" /stypes="*4029*201608070*" /stext=" 01:.+((SYSTEM_STATE.+slice.+state.+changed )|(ment ac)|(system.+state.+changed )|(\|lc)|(penalty)|(\[timeout)|(PRM\|1\|D)|(kpr)|(kdp))" /e /r /s</v>
      </c>
      <c r="S60" s="9" t="str">
        <f t="shared" si="6"/>
        <v>4029</v>
      </c>
      <c r="T60" s="41">
        <f t="shared" si="7"/>
        <v>42589.066041666665</v>
      </c>
      <c r="U60" s="55" t="str">
        <f t="shared" si="8"/>
        <v>NW</v>
      </c>
      <c r="V60" s="55" t="str">
        <f t="shared" si="9"/>
        <v>KEEP</v>
      </c>
    </row>
    <row r="61" spans="1:22" x14ac:dyDescent="0.25">
      <c r="B61" s="24"/>
      <c r="C61" s="24"/>
      <c r="D61" s="24"/>
      <c r="E61" s="24"/>
      <c r="I61" s="24"/>
      <c r="K61" s="24"/>
    </row>
  </sheetData>
  <autoFilter ref="A6:V60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0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0"/>
  <sheetViews>
    <sheetView workbookViewId="0">
      <selection activeCell="A7" sqref="A7"/>
    </sheetView>
  </sheetViews>
  <sheetFormatPr defaultRowHeight="15" x14ac:dyDescent="0.25"/>
  <cols>
    <col min="1" max="1" width="9.140625" style="73" customWidth="1"/>
    <col min="2" max="2" width="8" style="86" bestFit="1" customWidth="1"/>
    <col min="3" max="3" width="9.85546875" style="88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38" t="str">
        <f>"Trips that did not appear in PTC Data "&amp;TEXT(Variables!$A$2,"YYYY-mm-dd")</f>
        <v>Trips that did not appear in PTC Data 2016-08-06</v>
      </c>
      <c r="B1" s="138"/>
      <c r="C1" s="138"/>
      <c r="D1" s="138"/>
      <c r="E1" s="138"/>
    </row>
    <row r="2" spans="1:10" s="27" customFormat="1" ht="45" x14ac:dyDescent="0.25">
      <c r="A2" s="123" t="s">
        <v>72</v>
      </c>
      <c r="B2" s="84" t="s">
        <v>73</v>
      </c>
      <c r="C2" s="87" t="s">
        <v>74</v>
      </c>
      <c r="D2" s="27" t="s">
        <v>70</v>
      </c>
      <c r="E2" s="27" t="s">
        <v>71</v>
      </c>
      <c r="F2" s="27" t="s">
        <v>76</v>
      </c>
      <c r="G2" s="32" t="s">
        <v>77</v>
      </c>
      <c r="H2" s="32" t="s">
        <v>284</v>
      </c>
    </row>
    <row r="3" spans="1:10" x14ac:dyDescent="0.25">
      <c r="A3" s="74" t="s">
        <v>735</v>
      </c>
      <c r="B3" s="85">
        <v>1</v>
      </c>
      <c r="C3" s="85">
        <v>4032</v>
      </c>
      <c r="D3" s="34" t="s">
        <v>835</v>
      </c>
      <c r="E3" s="25" t="str">
        <f>VLOOKUP(A3,'Trips&amp;Operators'!$C$2:$E$10000,3,FALSE)</f>
        <v>WEBSTER</v>
      </c>
      <c r="F3" s="25" t="str">
        <f>VLOOKUP(A3,'Trips&amp;Operators'!$C$1:$F$10000,4,FALSE)</f>
        <v>rtdc.l.rtdc.4032:itc</v>
      </c>
      <c r="G3" s="33">
        <f>VLOOKUP(A3,'Trips&amp;Operators'!$C$1:$H$10000,5,FALSE)</f>
        <v>42588.703622685185</v>
      </c>
      <c r="H3" s="32" t="str">
        <f t="shared" ref="H3:H4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22200-06%22)),sort:!(Time,asc))</v>
      </c>
      <c r="I3" s="24"/>
      <c r="J3" s="24"/>
    </row>
    <row r="4" spans="1:10" x14ac:dyDescent="0.25">
      <c r="A4" s="85" t="s">
        <v>742</v>
      </c>
      <c r="B4" s="85">
        <v>1</v>
      </c>
      <c r="C4" s="85">
        <v>4025</v>
      </c>
      <c r="D4" s="34" t="s">
        <v>836</v>
      </c>
      <c r="E4" s="25" t="str">
        <f>VLOOKUP(A4,'Trips&amp;Operators'!$C$2:$E$10000,3,FALSE)</f>
        <v>MOSES</v>
      </c>
      <c r="F4" s="25" t="str">
        <f>VLOOKUP(A4,'Trips&amp;Operators'!$C$1:$F$10000,4,FALSE)</f>
        <v>rtdc.l.rtdc.4025:itc</v>
      </c>
      <c r="G4" s="33">
        <f>VLOOKUP(A4,'Trips&amp;Operators'!$C$1:$H$10000,5,FALSE)</f>
        <v>42588.696203703701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22205-06%22)),sort:!(Time,asc))</v>
      </c>
      <c r="I4" s="24"/>
      <c r="J4" s="24"/>
    </row>
    <row r="5" spans="1:10" x14ac:dyDescent="0.25">
      <c r="A5" s="85" t="s">
        <v>837</v>
      </c>
      <c r="B5" s="85">
        <v>1</v>
      </c>
      <c r="C5" s="85">
        <v>4011</v>
      </c>
      <c r="D5" s="55" t="s">
        <v>839</v>
      </c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ref="H5:H6" si="1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5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22204-06%22)),sort:!(Time,asc))</v>
      </c>
      <c r="I5" s="24"/>
      <c r="J5" s="24"/>
    </row>
    <row r="6" spans="1:10" x14ac:dyDescent="0.25">
      <c r="A6" s="74" t="s">
        <v>838</v>
      </c>
      <c r="B6" s="85">
        <v>1</v>
      </c>
      <c r="C6" s="85" t="s">
        <v>840</v>
      </c>
      <c r="D6" s="55" t="s">
        <v>841</v>
      </c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1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22209-06%22)),sort:!(Time,asc))</v>
      </c>
      <c r="I6" s="24"/>
      <c r="J6" s="24"/>
    </row>
    <row r="7" spans="1:10" x14ac:dyDescent="0.25">
      <c r="B7" s="73"/>
      <c r="C7" s="73"/>
      <c r="H7" s="24"/>
      <c r="I7" s="24"/>
      <c r="J7" s="24"/>
    </row>
    <row r="8" spans="1:10" x14ac:dyDescent="0.25">
      <c r="B8" s="73"/>
      <c r="C8" s="73"/>
      <c r="H8" s="24"/>
      <c r="I8" s="24"/>
      <c r="J8" s="24"/>
    </row>
    <row r="9" spans="1:10" x14ac:dyDescent="0.25">
      <c r="B9" s="73"/>
      <c r="C9" s="73"/>
      <c r="H9" s="24"/>
      <c r="I9" s="24"/>
      <c r="J9" s="24"/>
    </row>
    <row r="10" spans="1:10" x14ac:dyDescent="0.25">
      <c r="B10" s="73"/>
      <c r="C10" s="73"/>
      <c r="H10" s="24"/>
      <c r="I10" s="24"/>
      <c r="J10" s="24"/>
    </row>
    <row r="11" spans="1:10" x14ac:dyDescent="0.25">
      <c r="B11" s="73"/>
      <c r="C11" s="73"/>
      <c r="H11" s="24"/>
      <c r="I11" s="24"/>
      <c r="J11" s="24"/>
    </row>
    <row r="12" spans="1:10" x14ac:dyDescent="0.25">
      <c r="B12" s="73"/>
      <c r="C12" s="73"/>
      <c r="H12" s="24"/>
      <c r="I12" s="24"/>
      <c r="J12" s="24"/>
    </row>
    <row r="13" spans="1:10" x14ac:dyDescent="0.25">
      <c r="B13" s="73"/>
      <c r="C13" s="73"/>
      <c r="H13" s="24"/>
      <c r="I13" s="24"/>
      <c r="J13" s="24"/>
    </row>
    <row r="14" spans="1:10" x14ac:dyDescent="0.25">
      <c r="B14" s="73"/>
      <c r="C14" s="73"/>
      <c r="H14" s="24"/>
      <c r="I14" s="24"/>
      <c r="J14" s="24"/>
    </row>
    <row r="15" spans="1:10" x14ac:dyDescent="0.25">
      <c r="B15" s="73"/>
      <c r="C15" s="73"/>
      <c r="H15" s="24"/>
      <c r="I15" s="24"/>
      <c r="J15" s="24"/>
    </row>
    <row r="16" spans="1:10" x14ac:dyDescent="0.25">
      <c r="B16" s="73"/>
      <c r="C16" s="73"/>
      <c r="H16" s="24"/>
      <c r="I16" s="24"/>
      <c r="J16" s="24"/>
    </row>
    <row r="17" spans="2:10" x14ac:dyDescent="0.25">
      <c r="B17" s="73"/>
      <c r="C17" s="73"/>
      <c r="H17" s="24"/>
      <c r="I17" s="24"/>
      <c r="J17" s="24"/>
    </row>
    <row r="18" spans="2:10" x14ac:dyDescent="0.25">
      <c r="B18" s="73"/>
      <c r="C18" s="73"/>
      <c r="H18" s="24"/>
      <c r="I18" s="24"/>
      <c r="J18" s="24"/>
    </row>
    <row r="19" spans="2:10" x14ac:dyDescent="0.25">
      <c r="B19" s="73"/>
      <c r="C19" s="73"/>
      <c r="H19" s="24"/>
      <c r="I19" s="24"/>
      <c r="J19" s="24"/>
    </row>
    <row r="20" spans="2:10" x14ac:dyDescent="0.25">
      <c r="B20" s="73"/>
      <c r="C20" s="73"/>
      <c r="H20" s="24"/>
      <c r="I20" s="24"/>
      <c r="J20" s="24"/>
    </row>
    <row r="21" spans="2:10" x14ac:dyDescent="0.25">
      <c r="B21" s="73"/>
      <c r="C21" s="73"/>
      <c r="H21" s="24"/>
      <c r="I21" s="24"/>
      <c r="J21" s="24"/>
    </row>
    <row r="22" spans="2:10" x14ac:dyDescent="0.25">
      <c r="B22" s="73"/>
      <c r="C22" s="73"/>
      <c r="H22" s="24"/>
      <c r="I22" s="24"/>
      <c r="J22" s="24"/>
    </row>
    <row r="23" spans="2:10" x14ac:dyDescent="0.25">
      <c r="B23" s="73"/>
      <c r="C23" s="73"/>
      <c r="H23" s="24"/>
      <c r="I23" s="24"/>
      <c r="J23" s="24"/>
    </row>
    <row r="24" spans="2:10" x14ac:dyDescent="0.25">
      <c r="B24" s="73"/>
      <c r="C24" s="73"/>
      <c r="H24" s="24"/>
      <c r="I24" s="24"/>
      <c r="J24" s="24"/>
    </row>
    <row r="25" spans="2:10" x14ac:dyDescent="0.25">
      <c r="B25" s="73"/>
      <c r="C25" s="73"/>
      <c r="H25" s="24"/>
      <c r="I25" s="24"/>
      <c r="J25" s="24"/>
    </row>
    <row r="26" spans="2:10" x14ac:dyDescent="0.25">
      <c r="B26" s="73"/>
      <c r="C26" s="73"/>
      <c r="H26" s="24"/>
      <c r="I26" s="24"/>
      <c r="J26" s="24"/>
    </row>
    <row r="27" spans="2:10" x14ac:dyDescent="0.25">
      <c r="B27" s="73"/>
      <c r="C27" s="73"/>
      <c r="H27" s="24"/>
      <c r="I27" s="24"/>
      <c r="J27" s="24"/>
    </row>
    <row r="28" spans="2:10" x14ac:dyDescent="0.25">
      <c r="B28" s="73"/>
      <c r="C28" s="73"/>
      <c r="H28" s="24"/>
      <c r="I28" s="24"/>
      <c r="J28" s="24"/>
    </row>
    <row r="29" spans="2:10" x14ac:dyDescent="0.25">
      <c r="B29" s="73"/>
      <c r="C29" s="73"/>
      <c r="H29" s="24"/>
      <c r="I29" s="24"/>
      <c r="J29" s="24"/>
    </row>
    <row r="30" spans="2:10" x14ac:dyDescent="0.25">
      <c r="B30" s="73"/>
      <c r="C30" s="73"/>
      <c r="H30" s="24"/>
      <c r="I30" s="24"/>
      <c r="J30" s="24"/>
    </row>
    <row r="31" spans="2:10" x14ac:dyDescent="0.25">
      <c r="B31" s="73"/>
      <c r="C31" s="73"/>
      <c r="H31" s="24"/>
      <c r="I31" s="24"/>
      <c r="J31" s="24"/>
    </row>
    <row r="32" spans="2:10" x14ac:dyDescent="0.25">
      <c r="B32" s="73"/>
      <c r="C32" s="73"/>
      <c r="H32" s="24"/>
      <c r="I32" s="24"/>
      <c r="J32" s="24"/>
    </row>
    <row r="33" spans="2:10" x14ac:dyDescent="0.25">
      <c r="B33" s="73"/>
      <c r="C33" s="73"/>
      <c r="H33" s="24"/>
      <c r="I33" s="24"/>
      <c r="J33" s="24"/>
    </row>
    <row r="34" spans="2:10" x14ac:dyDescent="0.25">
      <c r="B34" s="73"/>
      <c r="C34" s="73"/>
      <c r="H34" s="24"/>
      <c r="I34" s="24"/>
      <c r="J34" s="24"/>
    </row>
    <row r="35" spans="2:10" x14ac:dyDescent="0.25">
      <c r="B35" s="73"/>
      <c r="C35" s="73"/>
      <c r="H35" s="24"/>
      <c r="I35" s="24"/>
      <c r="J35" s="24"/>
    </row>
    <row r="36" spans="2:10" x14ac:dyDescent="0.25">
      <c r="B36" s="73"/>
      <c r="C36" s="73"/>
      <c r="H36" s="24"/>
      <c r="I36" s="24"/>
      <c r="J36" s="24"/>
    </row>
    <row r="37" spans="2:10" x14ac:dyDescent="0.25">
      <c r="B37" s="73"/>
      <c r="C37" s="73"/>
      <c r="H37" s="24"/>
      <c r="I37" s="24"/>
      <c r="J37" s="24"/>
    </row>
    <row r="38" spans="2:10" x14ac:dyDescent="0.25">
      <c r="B38" s="73"/>
      <c r="C38" s="73"/>
      <c r="H38" s="24"/>
      <c r="I38" s="24"/>
      <c r="J38" s="24"/>
    </row>
    <row r="39" spans="2:10" x14ac:dyDescent="0.25">
      <c r="B39" s="73"/>
      <c r="C39" s="73"/>
      <c r="H39" s="24"/>
      <c r="I39" s="24"/>
      <c r="J39" s="24"/>
    </row>
    <row r="40" spans="2:10" x14ac:dyDescent="0.25">
      <c r="B40" s="73"/>
      <c r="C40" s="73"/>
      <c r="H40" s="24"/>
      <c r="I40" s="24"/>
      <c r="J40" s="24"/>
    </row>
    <row r="41" spans="2:10" x14ac:dyDescent="0.25">
      <c r="B41" s="73"/>
      <c r="C41" s="73"/>
      <c r="H41" s="24"/>
      <c r="I41" s="24"/>
      <c r="J41" s="24"/>
    </row>
    <row r="42" spans="2:10" x14ac:dyDescent="0.25">
      <c r="B42" s="73"/>
      <c r="C42" s="73"/>
      <c r="H42" s="24"/>
      <c r="I42" s="24"/>
      <c r="J42" s="24"/>
    </row>
    <row r="43" spans="2:10" x14ac:dyDescent="0.25">
      <c r="B43" s="73"/>
      <c r="C43" s="73"/>
      <c r="H43" s="24"/>
      <c r="I43" s="24"/>
      <c r="J43" s="24"/>
    </row>
    <row r="44" spans="2:10" x14ac:dyDescent="0.25">
      <c r="B44" s="73"/>
      <c r="C44" s="73"/>
      <c r="H44" s="24"/>
      <c r="I44" s="24"/>
      <c r="J44" s="24"/>
    </row>
    <row r="45" spans="2:10" x14ac:dyDescent="0.25">
      <c r="B45" s="73"/>
      <c r="C45" s="73"/>
      <c r="H45" s="24"/>
      <c r="I45" s="24"/>
      <c r="J45" s="24"/>
    </row>
    <row r="46" spans="2:10" x14ac:dyDescent="0.25">
      <c r="B46" s="73"/>
      <c r="C46" s="73"/>
      <c r="H46" s="24"/>
      <c r="I46" s="24"/>
      <c r="J46" s="24"/>
    </row>
    <row r="47" spans="2:10" x14ac:dyDescent="0.25">
      <c r="B47" s="73"/>
      <c r="C47" s="73"/>
      <c r="H47" s="24"/>
      <c r="I47" s="24"/>
      <c r="J47" s="24"/>
    </row>
    <row r="48" spans="2:10" x14ac:dyDescent="0.25">
      <c r="B48" s="73"/>
      <c r="C48" s="73"/>
      <c r="H48" s="24"/>
      <c r="I48" s="24"/>
      <c r="J48" s="24"/>
    </row>
    <row r="49" spans="2:10" x14ac:dyDescent="0.25">
      <c r="B49" s="73"/>
      <c r="C49" s="73"/>
      <c r="H49" s="24"/>
      <c r="I49" s="24"/>
      <c r="J49" s="24"/>
    </row>
    <row r="50" spans="2:10" x14ac:dyDescent="0.25">
      <c r="B50" s="73"/>
      <c r="C50" s="73"/>
      <c r="H50" s="24"/>
      <c r="I50" s="24"/>
      <c r="J50" s="24"/>
    </row>
    <row r="51" spans="2:10" x14ac:dyDescent="0.25">
      <c r="B51" s="73"/>
      <c r="C51" s="73"/>
      <c r="H51" s="24"/>
      <c r="I51" s="24"/>
      <c r="J51" s="24"/>
    </row>
    <row r="52" spans="2:10" x14ac:dyDescent="0.25">
      <c r="B52" s="73"/>
      <c r="C52" s="73"/>
      <c r="H52" s="24"/>
      <c r="I52" s="24"/>
      <c r="J52" s="24"/>
    </row>
    <row r="53" spans="2:10" x14ac:dyDescent="0.25">
      <c r="B53" s="73"/>
      <c r="C53" s="73"/>
      <c r="H53" s="24"/>
      <c r="I53" s="24"/>
      <c r="J53" s="24"/>
    </row>
    <row r="54" spans="2:10" x14ac:dyDescent="0.25">
      <c r="B54" s="73"/>
      <c r="C54" s="73"/>
      <c r="H54" s="24"/>
      <c r="I54" s="24"/>
      <c r="J54" s="24"/>
    </row>
    <row r="55" spans="2:10" x14ac:dyDescent="0.25">
      <c r="B55" s="73"/>
      <c r="C55" s="73"/>
      <c r="H55" s="24"/>
      <c r="I55" s="24"/>
      <c r="J55" s="24"/>
    </row>
    <row r="56" spans="2:10" x14ac:dyDescent="0.25">
      <c r="B56" s="73"/>
      <c r="C56" s="73"/>
      <c r="H56" s="24"/>
      <c r="I56" s="24"/>
      <c r="J56" s="24"/>
    </row>
    <row r="57" spans="2:10" x14ac:dyDescent="0.25">
      <c r="B57" s="73"/>
      <c r="C57" s="73"/>
      <c r="H57" s="24"/>
      <c r="I57" s="24"/>
      <c r="J57" s="24"/>
    </row>
    <row r="58" spans="2:10" x14ac:dyDescent="0.25">
      <c r="B58" s="73"/>
      <c r="C58" s="73"/>
      <c r="H58" s="24"/>
      <c r="I58" s="24"/>
      <c r="J58" s="24"/>
    </row>
    <row r="59" spans="2:10" x14ac:dyDescent="0.25">
      <c r="B59" s="73"/>
      <c r="C59" s="73"/>
      <c r="H59" s="24"/>
      <c r="I59" s="24"/>
      <c r="J59" s="24"/>
    </row>
    <row r="60" spans="2:10" x14ac:dyDescent="0.25">
      <c r="B60" s="73"/>
      <c r="C60" s="73"/>
      <c r="H60" s="24"/>
      <c r="I60" s="24"/>
      <c r="J60" s="24"/>
    </row>
    <row r="61" spans="2:10" x14ac:dyDescent="0.25">
      <c r="B61" s="73"/>
      <c r="C61" s="73"/>
      <c r="H61" s="24"/>
      <c r="I61" s="24"/>
      <c r="J61" s="24"/>
    </row>
    <row r="62" spans="2:10" x14ac:dyDescent="0.25">
      <c r="B62" s="73"/>
      <c r="C62" s="73"/>
      <c r="H62" s="24"/>
      <c r="I62" s="24"/>
      <c r="J62" s="24"/>
    </row>
    <row r="63" spans="2:10" x14ac:dyDescent="0.25">
      <c r="B63" s="73"/>
      <c r="C63" s="73"/>
      <c r="H63" s="24"/>
      <c r="I63" s="24"/>
      <c r="J63" s="24"/>
    </row>
    <row r="64" spans="2:10" x14ac:dyDescent="0.25">
      <c r="B64" s="73"/>
      <c r="C64" s="73"/>
      <c r="H64" s="24"/>
      <c r="I64" s="24"/>
      <c r="J64" s="24"/>
    </row>
    <row r="65" spans="2:10" x14ac:dyDescent="0.25">
      <c r="B65" s="73"/>
      <c r="C65" s="73"/>
      <c r="H65" s="24"/>
      <c r="I65" s="24"/>
      <c r="J65" s="24"/>
    </row>
    <row r="66" spans="2:10" x14ac:dyDescent="0.25">
      <c r="B66" s="73"/>
      <c r="C66" s="73"/>
      <c r="H66" s="24"/>
      <c r="I66" s="24"/>
      <c r="J66" s="24"/>
    </row>
    <row r="67" spans="2:10" x14ac:dyDescent="0.25">
      <c r="B67" s="73"/>
      <c r="C67" s="73"/>
      <c r="H67" s="24"/>
      <c r="I67" s="24"/>
      <c r="J67" s="24"/>
    </row>
    <row r="68" spans="2:10" x14ac:dyDescent="0.25">
      <c r="B68" s="73"/>
      <c r="C68" s="73"/>
      <c r="H68" s="24"/>
      <c r="I68" s="24"/>
      <c r="J68" s="24"/>
    </row>
    <row r="69" spans="2:10" x14ac:dyDescent="0.25">
      <c r="B69" s="73"/>
      <c r="C69" s="73"/>
      <c r="H69" s="24"/>
      <c r="I69" s="24"/>
      <c r="J69" s="24"/>
    </row>
    <row r="70" spans="2:10" x14ac:dyDescent="0.25">
      <c r="B70" s="73"/>
      <c r="C70" s="73"/>
      <c r="H70" s="24"/>
      <c r="I70" s="24"/>
      <c r="J70" s="24"/>
    </row>
    <row r="71" spans="2:10" x14ac:dyDescent="0.25">
      <c r="B71" s="73"/>
      <c r="C71" s="73"/>
      <c r="H71" s="24"/>
      <c r="I71" s="24"/>
      <c r="J71" s="24"/>
    </row>
    <row r="72" spans="2:10" x14ac:dyDescent="0.25">
      <c r="B72" s="73"/>
      <c r="C72" s="73"/>
      <c r="H72" s="24"/>
      <c r="I72" s="24"/>
      <c r="J72" s="24"/>
    </row>
    <row r="73" spans="2:10" x14ac:dyDescent="0.25">
      <c r="B73" s="73"/>
      <c r="C73" s="73"/>
      <c r="H73" s="24"/>
      <c r="I73" s="24"/>
      <c r="J73" s="24"/>
    </row>
    <row r="74" spans="2:10" x14ac:dyDescent="0.25">
      <c r="B74" s="73"/>
      <c r="C74" s="73"/>
      <c r="H74" s="24"/>
      <c r="I74" s="24"/>
      <c r="J74" s="24"/>
    </row>
    <row r="75" spans="2:10" x14ac:dyDescent="0.25">
      <c r="B75" s="73"/>
      <c r="C75" s="73"/>
      <c r="H75" s="24"/>
      <c r="I75" s="24"/>
      <c r="J75" s="24"/>
    </row>
    <row r="76" spans="2:10" x14ac:dyDescent="0.25">
      <c r="B76" s="73"/>
      <c r="C76" s="73"/>
      <c r="H76" s="24"/>
      <c r="I76" s="24"/>
      <c r="J76" s="24"/>
    </row>
    <row r="77" spans="2:10" x14ac:dyDescent="0.25">
      <c r="B77" s="73"/>
      <c r="C77" s="73"/>
      <c r="H77" s="24"/>
      <c r="I77" s="24"/>
      <c r="J77" s="24"/>
    </row>
    <row r="78" spans="2:10" x14ac:dyDescent="0.25">
      <c r="B78" s="73"/>
      <c r="C78" s="73"/>
      <c r="H78" s="24"/>
      <c r="I78" s="24"/>
      <c r="J78" s="24"/>
    </row>
    <row r="79" spans="2:10" x14ac:dyDescent="0.25">
      <c r="B79" s="73"/>
      <c r="C79" s="73"/>
      <c r="H79" s="24"/>
      <c r="I79" s="24"/>
      <c r="J79" s="24"/>
    </row>
    <row r="80" spans="2:10" x14ac:dyDescent="0.25">
      <c r="B80" s="73"/>
      <c r="C80" s="73"/>
      <c r="H80" s="24"/>
      <c r="I80" s="24"/>
      <c r="J80" s="24"/>
    </row>
    <row r="81" spans="2:10" x14ac:dyDescent="0.25">
      <c r="B81" s="73"/>
      <c r="C81" s="73"/>
      <c r="H81" s="24"/>
      <c r="I81" s="24"/>
      <c r="J81" s="24"/>
    </row>
    <row r="82" spans="2:10" x14ac:dyDescent="0.25">
      <c r="B82" s="73"/>
      <c r="C82" s="73"/>
      <c r="H82" s="24"/>
      <c r="I82" s="24"/>
      <c r="J82" s="24"/>
    </row>
    <row r="83" spans="2:10" x14ac:dyDescent="0.25">
      <c r="B83" s="73"/>
      <c r="C83" s="73"/>
      <c r="H83" s="24"/>
      <c r="I83" s="24"/>
      <c r="J83" s="24"/>
    </row>
    <row r="84" spans="2:10" x14ac:dyDescent="0.25">
      <c r="B84" s="73"/>
      <c r="C84" s="73"/>
      <c r="H84" s="24"/>
      <c r="I84" s="24"/>
      <c r="J84" s="24"/>
    </row>
    <row r="85" spans="2:10" x14ac:dyDescent="0.25">
      <c r="B85" s="73"/>
      <c r="C85" s="73"/>
      <c r="H85" s="24"/>
      <c r="I85" s="24"/>
      <c r="J85" s="24"/>
    </row>
    <row r="86" spans="2:10" x14ac:dyDescent="0.25">
      <c r="B86" s="73"/>
      <c r="C86" s="73"/>
      <c r="H86" s="24"/>
      <c r="I86" s="24"/>
      <c r="J86" s="24"/>
    </row>
    <row r="87" spans="2:10" x14ac:dyDescent="0.25">
      <c r="B87" s="73"/>
      <c r="C87" s="73"/>
      <c r="H87" s="24"/>
      <c r="I87" s="24"/>
      <c r="J87" s="24"/>
    </row>
    <row r="88" spans="2:10" x14ac:dyDescent="0.25">
      <c r="B88" s="73"/>
      <c r="C88" s="73"/>
      <c r="H88" s="24"/>
      <c r="I88" s="24"/>
      <c r="J88" s="24"/>
    </row>
    <row r="89" spans="2:10" x14ac:dyDescent="0.25">
      <c r="B89" s="73"/>
      <c r="C89" s="73"/>
      <c r="H89" s="24"/>
      <c r="I89" s="24"/>
      <c r="J89" s="24"/>
    </row>
    <row r="90" spans="2:10" x14ac:dyDescent="0.25">
      <c r="B90" s="73"/>
      <c r="C90" s="73"/>
      <c r="H90" s="24"/>
      <c r="I90" s="24"/>
      <c r="J90" s="24"/>
    </row>
    <row r="91" spans="2:10" x14ac:dyDescent="0.25">
      <c r="B91" s="73"/>
      <c r="C91" s="73"/>
      <c r="H91" s="24"/>
      <c r="I91" s="24"/>
      <c r="J91" s="24"/>
    </row>
    <row r="92" spans="2:10" x14ac:dyDescent="0.25">
      <c r="B92" s="73"/>
      <c r="C92" s="73"/>
      <c r="H92" s="24"/>
      <c r="I92" s="24"/>
      <c r="J92" s="24"/>
    </row>
    <row r="93" spans="2:10" x14ac:dyDescent="0.25">
      <c r="B93" s="73"/>
      <c r="C93" s="73"/>
      <c r="H93" s="24"/>
      <c r="I93" s="24"/>
      <c r="J93" s="24"/>
    </row>
    <row r="94" spans="2:10" x14ac:dyDescent="0.25">
      <c r="B94" s="73"/>
      <c r="C94" s="73"/>
      <c r="H94" s="24"/>
      <c r="I94" s="24"/>
      <c r="J94" s="24"/>
    </row>
    <row r="95" spans="2:10" x14ac:dyDescent="0.25">
      <c r="B95" s="73"/>
      <c r="C95" s="73"/>
      <c r="H95" s="24"/>
      <c r="I95" s="24"/>
      <c r="J95" s="24"/>
    </row>
    <row r="96" spans="2:10" x14ac:dyDescent="0.25">
      <c r="B96" s="73"/>
      <c r="C96" s="73"/>
      <c r="H96" s="24"/>
      <c r="I96" s="24"/>
      <c r="J96" s="24"/>
    </row>
    <row r="97" spans="2:10" x14ac:dyDescent="0.25">
      <c r="B97" s="73"/>
      <c r="C97" s="73"/>
      <c r="H97" s="24"/>
      <c r="I97" s="24"/>
      <c r="J97" s="24"/>
    </row>
    <row r="98" spans="2:10" x14ac:dyDescent="0.25">
      <c r="B98" s="73"/>
      <c r="C98" s="73"/>
      <c r="H98" s="24"/>
      <c r="I98" s="24"/>
      <c r="J98" s="24"/>
    </row>
    <row r="99" spans="2:10" x14ac:dyDescent="0.25">
      <c r="B99" s="73"/>
      <c r="C99" s="73"/>
      <c r="H99" s="24"/>
      <c r="I99" s="24"/>
      <c r="J99" s="24"/>
    </row>
    <row r="100" spans="2:10" x14ac:dyDescent="0.25">
      <c r="B100" s="73"/>
      <c r="C100" s="73"/>
      <c r="H100" s="24"/>
      <c r="I100" s="24"/>
      <c r="J100" s="24"/>
    </row>
    <row r="101" spans="2:10" x14ac:dyDescent="0.25">
      <c r="B101" s="73"/>
      <c r="C101" s="73"/>
      <c r="H101" s="24"/>
      <c r="I101" s="24"/>
      <c r="J101" s="24"/>
    </row>
    <row r="102" spans="2:10" x14ac:dyDescent="0.25">
      <c r="B102" s="73"/>
      <c r="C102" s="73"/>
      <c r="H102" s="24"/>
      <c r="I102" s="24"/>
      <c r="J102" s="24"/>
    </row>
    <row r="103" spans="2:10" x14ac:dyDescent="0.25">
      <c r="B103" s="73"/>
      <c r="C103" s="73"/>
      <c r="H103" s="24"/>
      <c r="I103" s="24"/>
      <c r="J103" s="24"/>
    </row>
    <row r="104" spans="2:10" x14ac:dyDescent="0.25">
      <c r="B104" s="73"/>
      <c r="C104" s="73"/>
      <c r="H104" s="24"/>
      <c r="I104" s="24"/>
      <c r="J104" s="24"/>
    </row>
    <row r="105" spans="2:10" x14ac:dyDescent="0.25">
      <c r="B105" s="73"/>
      <c r="C105" s="73"/>
      <c r="H105" s="24"/>
      <c r="I105" s="24"/>
      <c r="J105" s="24"/>
    </row>
    <row r="106" spans="2:10" x14ac:dyDescent="0.25">
      <c r="B106" s="73"/>
      <c r="C106" s="73"/>
      <c r="H106" s="24"/>
      <c r="I106" s="24"/>
      <c r="J106" s="24"/>
    </row>
    <row r="107" spans="2:10" x14ac:dyDescent="0.25">
      <c r="B107" s="73"/>
      <c r="C107" s="73"/>
      <c r="H107" s="24"/>
      <c r="I107" s="24"/>
      <c r="J107" s="24"/>
    </row>
    <row r="108" spans="2:10" x14ac:dyDescent="0.25">
      <c r="B108" s="73"/>
      <c r="C108" s="73"/>
      <c r="H108" s="24"/>
      <c r="I108" s="24"/>
      <c r="J108" s="24"/>
    </row>
    <row r="109" spans="2:10" x14ac:dyDescent="0.25">
      <c r="B109" s="73"/>
      <c r="C109" s="73"/>
      <c r="H109" s="24"/>
      <c r="I109" s="24"/>
      <c r="J109" s="24"/>
    </row>
    <row r="110" spans="2:10" x14ac:dyDescent="0.25">
      <c r="H110" s="24"/>
      <c r="I110" s="24"/>
      <c r="J110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" workbookViewId="0">
      <selection activeCell="C54" sqref="A1:E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42588.046770833331</v>
      </c>
      <c r="B1" s="24" t="s">
        <v>141</v>
      </c>
      <c r="C1" s="24" t="s">
        <v>811</v>
      </c>
      <c r="D1" s="24">
        <v>2090000</v>
      </c>
      <c r="E1" s="24" t="s">
        <v>312</v>
      </c>
      <c r="F1" s="24" t="str">
        <f>B1</f>
        <v>rtdc.l.rtdc.4009:itc</v>
      </c>
      <c r="G1" s="8">
        <f>A1</f>
        <v>42588.046770833331</v>
      </c>
    </row>
    <row r="2" spans="1:7" x14ac:dyDescent="0.25">
      <c r="A2" s="8">
        <v>42588.703622685185</v>
      </c>
      <c r="B2" s="24" t="s">
        <v>162</v>
      </c>
      <c r="C2" s="24" t="s">
        <v>735</v>
      </c>
      <c r="D2" s="24">
        <v>950000</v>
      </c>
      <c r="E2" s="24" t="s">
        <v>268</v>
      </c>
      <c r="F2" s="24" t="str">
        <f t="shared" ref="F2:F65" si="0">B2</f>
        <v>rtdc.l.rtdc.4032:itc</v>
      </c>
      <c r="G2" s="8">
        <f t="shared" ref="G2:G65" si="1">A2</f>
        <v>42588.703622685185</v>
      </c>
    </row>
    <row r="3" spans="1:7" x14ac:dyDescent="0.25">
      <c r="A3" s="8">
        <v>42588.759884259256</v>
      </c>
      <c r="B3" s="24" t="s">
        <v>155</v>
      </c>
      <c r="C3" s="24" t="s">
        <v>760</v>
      </c>
      <c r="D3" s="24">
        <v>1800000</v>
      </c>
      <c r="E3" s="24" t="s">
        <v>168</v>
      </c>
      <c r="F3" s="24" t="str">
        <f t="shared" si="0"/>
        <v>rtdc.l.rtdc.4014:itc</v>
      </c>
      <c r="G3" s="8">
        <f t="shared" si="1"/>
        <v>42588.759884259256</v>
      </c>
    </row>
    <row r="4" spans="1:7" x14ac:dyDescent="0.25">
      <c r="A4" s="8">
        <v>42588.915555555555</v>
      </c>
      <c r="B4" s="24" t="s">
        <v>106</v>
      </c>
      <c r="C4" s="24" t="s">
        <v>705</v>
      </c>
      <c r="D4" s="24">
        <v>2030000</v>
      </c>
      <c r="E4" s="24" t="s">
        <v>337</v>
      </c>
      <c r="F4" s="24" t="str">
        <f t="shared" si="0"/>
        <v>rtdc.l.rtdc.4029:itc</v>
      </c>
      <c r="G4" s="8">
        <f t="shared" si="1"/>
        <v>42588.915555555555</v>
      </c>
    </row>
    <row r="5" spans="1:7" x14ac:dyDescent="0.25">
      <c r="A5" s="8">
        <v>42588.680092592593</v>
      </c>
      <c r="B5" s="24" t="s">
        <v>69</v>
      </c>
      <c r="C5" s="24" t="s">
        <v>731</v>
      </c>
      <c r="D5" s="24">
        <v>1780000</v>
      </c>
      <c r="E5" s="24" t="s">
        <v>275</v>
      </c>
      <c r="F5" s="24" t="str">
        <f t="shared" si="0"/>
        <v>rtdc.l.rtdc.4017:itc</v>
      </c>
      <c r="G5" s="8">
        <f t="shared" si="1"/>
        <v>42588.680092592593</v>
      </c>
    </row>
    <row r="6" spans="1:7" x14ac:dyDescent="0.25">
      <c r="A6" s="8">
        <v>42588.459502314814</v>
      </c>
      <c r="B6" s="24" t="s">
        <v>69</v>
      </c>
      <c r="C6" s="24" t="s">
        <v>584</v>
      </c>
      <c r="D6" s="24">
        <v>1100000</v>
      </c>
      <c r="E6" s="24" t="s">
        <v>154</v>
      </c>
      <c r="F6" s="24" t="str">
        <f t="shared" si="0"/>
        <v>rtdc.l.rtdc.4017:itc</v>
      </c>
      <c r="G6" s="8">
        <f t="shared" si="1"/>
        <v>42588.459502314814</v>
      </c>
    </row>
    <row r="7" spans="1:7" x14ac:dyDescent="0.25">
      <c r="A7" s="8">
        <v>42588.525925925926</v>
      </c>
      <c r="B7" s="24" t="s">
        <v>107</v>
      </c>
      <c r="C7" s="24" t="s">
        <v>659</v>
      </c>
      <c r="D7" s="24">
        <v>1830000</v>
      </c>
      <c r="E7" s="24" t="s">
        <v>291</v>
      </c>
      <c r="F7" s="24" t="str">
        <f t="shared" si="0"/>
        <v>rtdc.l.rtdc.4030:itc</v>
      </c>
      <c r="G7" s="8">
        <f t="shared" si="1"/>
        <v>42588.525925925926</v>
      </c>
    </row>
    <row r="8" spans="1:7" x14ac:dyDescent="0.25">
      <c r="A8" s="8">
        <v>42588.583379629628</v>
      </c>
      <c r="B8" s="24" t="s">
        <v>106</v>
      </c>
      <c r="C8" s="24" t="s">
        <v>666</v>
      </c>
      <c r="D8" s="24">
        <v>2030000</v>
      </c>
      <c r="E8" s="24" t="s">
        <v>337</v>
      </c>
      <c r="F8" s="24" t="str">
        <f t="shared" si="0"/>
        <v>rtdc.l.rtdc.4029:itc</v>
      </c>
      <c r="G8" s="8">
        <f t="shared" si="1"/>
        <v>42588.583379629628</v>
      </c>
    </row>
    <row r="9" spans="1:7" ht="15.75" thickBot="1" x14ac:dyDescent="0.3">
      <c r="A9" s="28">
        <v>42588.910381944443</v>
      </c>
      <c r="B9" s="24" t="s">
        <v>151</v>
      </c>
      <c r="C9" s="24" t="s">
        <v>778</v>
      </c>
      <c r="D9" s="24">
        <v>1780000</v>
      </c>
      <c r="E9" s="24" t="s">
        <v>275</v>
      </c>
      <c r="F9" s="24" t="str">
        <f t="shared" si="0"/>
        <v>rtdc.l.rtdc.4012:itc</v>
      </c>
      <c r="G9" s="8">
        <f t="shared" si="1"/>
        <v>42588.910381944443</v>
      </c>
    </row>
    <row r="10" spans="1:7" x14ac:dyDescent="0.25">
      <c r="A10" s="8">
        <v>42588.928055555552</v>
      </c>
      <c r="B10" s="24" t="s">
        <v>142</v>
      </c>
      <c r="C10" s="24" t="s">
        <v>781</v>
      </c>
      <c r="D10" s="24">
        <v>1810000</v>
      </c>
      <c r="E10" s="24" t="s">
        <v>166</v>
      </c>
      <c r="F10" s="24" t="str">
        <f t="shared" si="0"/>
        <v>rtdc.l.rtdc.4010:itc</v>
      </c>
      <c r="G10" s="8">
        <f t="shared" si="1"/>
        <v>42588.928055555552</v>
      </c>
    </row>
    <row r="11" spans="1:7" x14ac:dyDescent="0.25">
      <c r="A11" s="8">
        <v>42588.549004629633</v>
      </c>
      <c r="B11" s="24" t="s">
        <v>104</v>
      </c>
      <c r="C11" s="24" t="s">
        <v>621</v>
      </c>
      <c r="D11" s="24">
        <v>2040000</v>
      </c>
      <c r="E11" s="24" t="s">
        <v>335</v>
      </c>
      <c r="F11" s="24" t="str">
        <f t="shared" si="0"/>
        <v>rtdc.l.rtdc.4025:itc</v>
      </c>
      <c r="G11" s="8">
        <f t="shared" si="1"/>
        <v>42588.549004629633</v>
      </c>
    </row>
    <row r="12" spans="1:7" x14ac:dyDescent="0.25">
      <c r="A12" s="8">
        <v>42588.936620370368</v>
      </c>
      <c r="B12" s="24" t="s">
        <v>161</v>
      </c>
      <c r="C12" s="24" t="s">
        <v>785</v>
      </c>
      <c r="D12" s="24">
        <v>2000000</v>
      </c>
      <c r="E12" s="24" t="s">
        <v>304</v>
      </c>
      <c r="F12" s="24" t="str">
        <f t="shared" si="0"/>
        <v>rtdc.l.rtdc.4031:itc</v>
      </c>
      <c r="G12" s="8">
        <f t="shared" si="1"/>
        <v>42588.936620370368</v>
      </c>
    </row>
    <row r="13" spans="1:7" x14ac:dyDescent="0.25">
      <c r="A13" s="8">
        <v>42588.515648148146</v>
      </c>
      <c r="B13" s="24" t="s">
        <v>102</v>
      </c>
      <c r="C13" s="24" t="s">
        <v>601</v>
      </c>
      <c r="D13" s="24">
        <v>2040000</v>
      </c>
      <c r="E13" s="24" t="s">
        <v>335</v>
      </c>
      <c r="F13" s="24" t="str">
        <f t="shared" si="0"/>
        <v>rtdc.l.rtdc.4026:itc</v>
      </c>
      <c r="G13" s="8">
        <f t="shared" si="1"/>
        <v>42588.515648148146</v>
      </c>
    </row>
    <row r="14" spans="1:7" x14ac:dyDescent="0.25">
      <c r="A14" s="8">
        <v>42588.441319444442</v>
      </c>
      <c r="B14" s="24" t="s">
        <v>102</v>
      </c>
      <c r="C14" s="24" t="s">
        <v>577</v>
      </c>
      <c r="D14" s="24">
        <v>1990000</v>
      </c>
      <c r="E14" s="24" t="s">
        <v>191</v>
      </c>
      <c r="F14" s="24" t="str">
        <f t="shared" si="0"/>
        <v>rtdc.l.rtdc.4026:itc</v>
      </c>
      <c r="G14" s="8">
        <f t="shared" si="1"/>
        <v>42588.441319444442</v>
      </c>
    </row>
    <row r="15" spans="1:7" x14ac:dyDescent="0.25">
      <c r="A15" s="8">
        <v>42588.328912037039</v>
      </c>
      <c r="B15" s="24" t="s">
        <v>104</v>
      </c>
      <c r="C15" s="24" t="s">
        <v>557</v>
      </c>
      <c r="D15" s="24">
        <v>1990000</v>
      </c>
      <c r="E15" s="24" t="s">
        <v>191</v>
      </c>
      <c r="F15" s="24" t="str">
        <f t="shared" si="0"/>
        <v>rtdc.l.rtdc.4025:itc</v>
      </c>
      <c r="G15" s="8">
        <f t="shared" si="1"/>
        <v>42588.328912037039</v>
      </c>
    </row>
    <row r="16" spans="1:7" x14ac:dyDescent="0.25">
      <c r="A16" s="8">
        <v>42588.472743055558</v>
      </c>
      <c r="B16" s="24" t="s">
        <v>103</v>
      </c>
      <c r="C16" s="24" t="s">
        <v>587</v>
      </c>
      <c r="D16" s="24">
        <v>1520000</v>
      </c>
      <c r="E16" s="24" t="s">
        <v>163</v>
      </c>
      <c r="F16" s="24" t="str">
        <f t="shared" si="0"/>
        <v>rtdc.l.rtdc.4013:itc</v>
      </c>
      <c r="G16" s="8">
        <f t="shared" si="1"/>
        <v>42588.472743055558</v>
      </c>
    </row>
    <row r="17" spans="1:7" x14ac:dyDescent="0.25">
      <c r="A17" s="8">
        <v>42588.307013888887</v>
      </c>
      <c r="B17" s="24" t="s">
        <v>142</v>
      </c>
      <c r="C17" s="24" t="s">
        <v>459</v>
      </c>
      <c r="D17" s="24">
        <v>1740000</v>
      </c>
      <c r="E17" s="24" t="s">
        <v>812</v>
      </c>
      <c r="F17" s="24" t="str">
        <f t="shared" si="0"/>
        <v>rtdc.l.rtdc.4010:itc</v>
      </c>
      <c r="G17" s="8">
        <f t="shared" si="1"/>
        <v>42588.307013888887</v>
      </c>
    </row>
    <row r="18" spans="1:7" x14ac:dyDescent="0.25">
      <c r="A18" s="8">
        <v>42588.483680555553</v>
      </c>
      <c r="B18" s="24" t="s">
        <v>107</v>
      </c>
      <c r="C18" s="24" t="s">
        <v>656</v>
      </c>
      <c r="D18" s="24">
        <v>1830000</v>
      </c>
      <c r="E18" s="24" t="s">
        <v>291</v>
      </c>
      <c r="F18" s="24" t="str">
        <f t="shared" si="0"/>
        <v>rtdc.l.rtdc.4030:itc</v>
      </c>
      <c r="G18" s="8">
        <f t="shared" si="1"/>
        <v>42588.483680555553</v>
      </c>
    </row>
    <row r="19" spans="1:7" x14ac:dyDescent="0.25">
      <c r="A19" s="8">
        <v>42588.285486111112</v>
      </c>
      <c r="B19" s="24" t="s">
        <v>151</v>
      </c>
      <c r="C19" s="24" t="s">
        <v>457</v>
      </c>
      <c r="D19" s="24">
        <v>1260000</v>
      </c>
      <c r="E19" s="24" t="s">
        <v>170</v>
      </c>
      <c r="F19" s="24" t="str">
        <f t="shared" si="0"/>
        <v>rtdc.l.rtdc.4012:itc</v>
      </c>
      <c r="G19" s="8">
        <f t="shared" si="1"/>
        <v>42588.285486111112</v>
      </c>
    </row>
    <row r="20" spans="1:7" x14ac:dyDescent="0.25">
      <c r="A20" s="8">
        <v>42588.504618055558</v>
      </c>
      <c r="B20" s="24" t="s">
        <v>151</v>
      </c>
      <c r="C20" s="24" t="s">
        <v>598</v>
      </c>
      <c r="D20" s="24">
        <v>1540000</v>
      </c>
      <c r="E20" s="24" t="s">
        <v>172</v>
      </c>
      <c r="F20" s="24" t="str">
        <f t="shared" si="0"/>
        <v>rtdc.l.rtdc.4012:itc</v>
      </c>
      <c r="G20" s="8">
        <f t="shared" si="1"/>
        <v>42588.504618055558</v>
      </c>
    </row>
    <row r="21" spans="1:7" x14ac:dyDescent="0.25">
      <c r="A21" s="8">
        <v>42588.267581018517</v>
      </c>
      <c r="B21" s="24" t="s">
        <v>141</v>
      </c>
      <c r="C21" s="24" t="s">
        <v>454</v>
      </c>
      <c r="D21" s="24">
        <v>1740000</v>
      </c>
      <c r="E21" s="24" t="s">
        <v>812</v>
      </c>
      <c r="F21" s="24" t="str">
        <f t="shared" si="0"/>
        <v>rtdc.l.rtdc.4009:itc</v>
      </c>
      <c r="G21" s="8">
        <f t="shared" si="1"/>
        <v>42588.267581018517</v>
      </c>
    </row>
    <row r="22" spans="1:7" x14ac:dyDescent="0.25">
      <c r="A22" s="30">
        <v>42588.669791666667</v>
      </c>
      <c r="B22" s="24" t="s">
        <v>142</v>
      </c>
      <c r="C22" s="24" t="s">
        <v>725</v>
      </c>
      <c r="D22" s="24">
        <v>2020000</v>
      </c>
      <c r="E22" s="24" t="s">
        <v>408</v>
      </c>
      <c r="F22" s="24" t="str">
        <f t="shared" si="0"/>
        <v>rtdc.l.rtdc.4010:itc</v>
      </c>
      <c r="G22" s="8">
        <f t="shared" si="1"/>
        <v>42588.669791666667</v>
      </c>
    </row>
    <row r="23" spans="1:7" x14ac:dyDescent="0.25">
      <c r="A23" s="8">
        <v>42588.25167824074</v>
      </c>
      <c r="B23" s="24" t="s">
        <v>149</v>
      </c>
      <c r="C23" s="24" t="s">
        <v>528</v>
      </c>
      <c r="D23" s="24">
        <v>1260000</v>
      </c>
      <c r="E23" s="24" t="s">
        <v>170</v>
      </c>
      <c r="F23" s="24" t="str">
        <f t="shared" si="0"/>
        <v>rtdc.l.rtdc.4011:itc</v>
      </c>
      <c r="G23" s="8">
        <f t="shared" si="1"/>
        <v>42588.25167824074</v>
      </c>
    </row>
    <row r="24" spans="1:7" x14ac:dyDescent="0.25">
      <c r="A24" s="8">
        <v>42588.833518518521</v>
      </c>
      <c r="B24" s="24" t="s">
        <v>155</v>
      </c>
      <c r="C24" s="24" t="s">
        <v>771</v>
      </c>
      <c r="D24" s="24">
        <v>1800000</v>
      </c>
      <c r="E24" s="24" t="s">
        <v>168</v>
      </c>
      <c r="F24" s="24" t="str">
        <f t="shared" si="0"/>
        <v>rtdc.l.rtdc.4014:itc</v>
      </c>
      <c r="G24" s="8">
        <f t="shared" si="1"/>
        <v>42588.833518518521</v>
      </c>
    </row>
    <row r="25" spans="1:7" x14ac:dyDescent="0.25">
      <c r="A25" s="8">
        <v>42588.297002314815</v>
      </c>
      <c r="B25" s="24" t="s">
        <v>102</v>
      </c>
      <c r="C25" s="24" t="s">
        <v>535</v>
      </c>
      <c r="D25" s="24">
        <v>1990000</v>
      </c>
      <c r="E25" s="24" t="s">
        <v>191</v>
      </c>
      <c r="F25" s="24" t="str">
        <f t="shared" si="0"/>
        <v>rtdc.l.rtdc.4026:itc</v>
      </c>
      <c r="G25" s="8">
        <f t="shared" si="1"/>
        <v>42588.297002314815</v>
      </c>
    </row>
    <row r="26" spans="1:7" x14ac:dyDescent="0.25">
      <c r="A26" s="8">
        <v>42588.872361111113</v>
      </c>
      <c r="B26" s="24" t="s">
        <v>103</v>
      </c>
      <c r="C26" s="24" t="s">
        <v>772</v>
      </c>
      <c r="D26" s="24">
        <v>1800000</v>
      </c>
      <c r="E26" s="24" t="s">
        <v>168</v>
      </c>
      <c r="F26" s="24" t="str">
        <f t="shared" si="0"/>
        <v>rtdc.l.rtdc.4013:itc</v>
      </c>
      <c r="G26" s="8">
        <f t="shared" si="1"/>
        <v>42588.872361111113</v>
      </c>
    </row>
    <row r="27" spans="1:7" x14ac:dyDescent="0.25">
      <c r="A27" s="8">
        <v>42588.290636574071</v>
      </c>
      <c r="B27" s="24" t="s">
        <v>106</v>
      </c>
      <c r="C27" s="24" t="s">
        <v>458</v>
      </c>
      <c r="D27" s="24">
        <v>1830000</v>
      </c>
      <c r="E27" s="24" t="s">
        <v>291</v>
      </c>
      <c r="F27" s="24" t="str">
        <f t="shared" si="0"/>
        <v>rtdc.l.rtdc.4029:itc</v>
      </c>
      <c r="G27" s="8">
        <f t="shared" si="1"/>
        <v>42588.290636574071</v>
      </c>
    </row>
    <row r="28" spans="1:7" x14ac:dyDescent="0.25">
      <c r="A28" s="8">
        <v>42588.97483796296</v>
      </c>
      <c r="B28" s="24" t="s">
        <v>162</v>
      </c>
      <c r="C28" s="24" t="s">
        <v>785</v>
      </c>
      <c r="D28" s="24">
        <v>2000000</v>
      </c>
      <c r="E28" s="24" t="s">
        <v>304</v>
      </c>
      <c r="F28" s="24" t="str">
        <f t="shared" si="0"/>
        <v>rtdc.l.rtdc.4032:itc</v>
      </c>
      <c r="G28" s="8">
        <f t="shared" si="1"/>
        <v>42588.97483796296</v>
      </c>
    </row>
    <row r="29" spans="1:7" x14ac:dyDescent="0.25">
      <c r="A29" s="8">
        <v>42588.211134259262</v>
      </c>
      <c r="B29" s="24" t="s">
        <v>162</v>
      </c>
      <c r="C29" s="24" t="s">
        <v>505</v>
      </c>
      <c r="D29" s="24">
        <v>1260000</v>
      </c>
      <c r="E29" s="24" t="s">
        <v>170</v>
      </c>
      <c r="F29" s="24" t="str">
        <f t="shared" si="0"/>
        <v>rtdc.l.rtdc.4032:itc</v>
      </c>
      <c r="G29" s="8">
        <f t="shared" si="1"/>
        <v>42588.211134259262</v>
      </c>
    </row>
    <row r="30" spans="1:7" x14ac:dyDescent="0.25">
      <c r="A30" s="8">
        <v>42589.03738425926</v>
      </c>
      <c r="B30" s="24" t="s">
        <v>103</v>
      </c>
      <c r="C30" s="24" t="s">
        <v>794</v>
      </c>
      <c r="D30" s="24">
        <v>1800000</v>
      </c>
      <c r="E30" s="24" t="s">
        <v>168</v>
      </c>
      <c r="F30" s="24" t="str">
        <f t="shared" si="0"/>
        <v>rtdc.l.rtdc.4013:itc</v>
      </c>
      <c r="G30" s="8">
        <f t="shared" si="1"/>
        <v>42589.03738425926</v>
      </c>
    </row>
    <row r="31" spans="1:7" x14ac:dyDescent="0.25">
      <c r="A31" s="8">
        <v>42588.153449074074</v>
      </c>
      <c r="B31" s="24" t="s">
        <v>75</v>
      </c>
      <c r="C31" s="24" t="s">
        <v>497</v>
      </c>
      <c r="D31" s="24">
        <v>1360000</v>
      </c>
      <c r="E31" s="24" t="s">
        <v>271</v>
      </c>
      <c r="F31" s="24" t="str">
        <f t="shared" si="0"/>
        <v>rtdc.l.rtdc.4042:itc</v>
      </c>
      <c r="G31" s="8">
        <f t="shared" si="1"/>
        <v>42588.153449074074</v>
      </c>
    </row>
    <row r="32" spans="1:7" x14ac:dyDescent="0.25">
      <c r="A32" s="8">
        <v>42588.323530092595</v>
      </c>
      <c r="B32" s="24" t="s">
        <v>103</v>
      </c>
      <c r="C32" s="24" t="s">
        <v>546</v>
      </c>
      <c r="D32" s="24">
        <v>2010000</v>
      </c>
      <c r="E32" s="24" t="s">
        <v>273</v>
      </c>
      <c r="F32" s="24" t="str">
        <f t="shared" si="0"/>
        <v>rtdc.l.rtdc.4013:itc</v>
      </c>
      <c r="G32" s="8">
        <f t="shared" si="1"/>
        <v>42588.323530092595</v>
      </c>
    </row>
    <row r="33" spans="1:7" x14ac:dyDescent="0.25">
      <c r="A33" s="8">
        <v>42588.145277777781</v>
      </c>
      <c r="B33" s="24" t="s">
        <v>68</v>
      </c>
      <c r="C33" s="24" t="s">
        <v>449</v>
      </c>
      <c r="D33" s="24">
        <v>2010000</v>
      </c>
      <c r="E33" s="24" t="s">
        <v>273</v>
      </c>
      <c r="F33" s="24" t="str">
        <f t="shared" si="0"/>
        <v>rtdc.l.rtdc.4018:itc</v>
      </c>
      <c r="G33" s="8">
        <f t="shared" si="1"/>
        <v>42588.145277777781</v>
      </c>
    </row>
    <row r="34" spans="1:7" x14ac:dyDescent="0.25">
      <c r="A34" s="8">
        <v>42588.340567129628</v>
      </c>
      <c r="B34" s="24" t="s">
        <v>141</v>
      </c>
      <c r="C34" s="24" t="s">
        <v>561</v>
      </c>
      <c r="D34" s="24">
        <v>1740000</v>
      </c>
      <c r="E34" s="24" t="s">
        <v>812</v>
      </c>
      <c r="F34" s="24" t="str">
        <f t="shared" si="0"/>
        <v>rtdc.l.rtdc.4009:itc</v>
      </c>
      <c r="G34" s="8">
        <f t="shared" si="1"/>
        <v>42588.340567129628</v>
      </c>
    </row>
    <row r="35" spans="1:7" x14ac:dyDescent="0.25">
      <c r="A35" s="8">
        <v>42588.108310185184</v>
      </c>
      <c r="B35" s="24" t="s">
        <v>314</v>
      </c>
      <c r="C35" s="24" t="s">
        <v>813</v>
      </c>
      <c r="D35" s="24">
        <v>1300000</v>
      </c>
      <c r="E35" s="24" t="s">
        <v>145</v>
      </c>
      <c r="F35" s="24" t="str">
        <f t="shared" si="0"/>
        <v>rtdc.l.rtdc.4044:itc</v>
      </c>
      <c r="G35" s="8">
        <f t="shared" si="1"/>
        <v>42588.108310185184</v>
      </c>
    </row>
    <row r="36" spans="1:7" x14ac:dyDescent="0.25">
      <c r="A36" s="8">
        <v>42588.359884259262</v>
      </c>
      <c r="B36" s="24" t="s">
        <v>155</v>
      </c>
      <c r="C36" s="24" t="s">
        <v>565</v>
      </c>
      <c r="D36" s="24">
        <v>2010000</v>
      </c>
      <c r="E36" s="24" t="s">
        <v>273</v>
      </c>
      <c r="F36" s="24" t="str">
        <f t="shared" si="0"/>
        <v>rtdc.l.rtdc.4014:itc</v>
      </c>
      <c r="G36" s="8">
        <f t="shared" si="1"/>
        <v>42588.359884259262</v>
      </c>
    </row>
    <row r="37" spans="1:7" x14ac:dyDescent="0.25">
      <c r="A37" s="8">
        <v>42588.070648148147</v>
      </c>
      <c r="B37" s="24" t="s">
        <v>67</v>
      </c>
      <c r="C37" s="24" t="s">
        <v>814</v>
      </c>
      <c r="D37" s="24">
        <v>1800000</v>
      </c>
      <c r="E37" s="24" t="s">
        <v>168</v>
      </c>
      <c r="F37" s="24" t="str">
        <f t="shared" si="0"/>
        <v>rtdc.l.rtdc.4020:itc</v>
      </c>
      <c r="G37" s="8">
        <f t="shared" si="1"/>
        <v>42588.070648148147</v>
      </c>
    </row>
    <row r="38" spans="1:7" x14ac:dyDescent="0.25">
      <c r="A38" s="8">
        <v>42588.466585648152</v>
      </c>
      <c r="B38" s="24" t="s">
        <v>149</v>
      </c>
      <c r="C38" s="24" t="s">
        <v>594</v>
      </c>
      <c r="D38" s="24">
        <v>1540000</v>
      </c>
      <c r="E38" s="24" t="s">
        <v>172</v>
      </c>
      <c r="F38" s="24" t="str">
        <f t="shared" si="0"/>
        <v>rtdc.l.rtdc.4011:itc</v>
      </c>
      <c r="G38" s="8">
        <f t="shared" si="1"/>
        <v>42588.466585648152</v>
      </c>
    </row>
    <row r="39" spans="1:7" x14ac:dyDescent="0.25">
      <c r="A39" s="8">
        <v>42588.012071759258</v>
      </c>
      <c r="B39" s="24" t="s">
        <v>100</v>
      </c>
      <c r="C39" s="24" t="s">
        <v>815</v>
      </c>
      <c r="D39" s="24">
        <v>2140000</v>
      </c>
      <c r="E39" s="24" t="s">
        <v>317</v>
      </c>
      <c r="F39" s="24" t="str">
        <f t="shared" si="0"/>
        <v>rtdc.l.rtdc.4038:itc</v>
      </c>
      <c r="G39" s="8">
        <f t="shared" si="1"/>
        <v>42588.012071759258</v>
      </c>
    </row>
    <row r="40" spans="1:7" x14ac:dyDescent="0.25">
      <c r="A40" s="8">
        <v>42588.672858796293</v>
      </c>
      <c r="B40" s="29" t="s">
        <v>108</v>
      </c>
      <c r="C40" s="24" t="s">
        <v>736</v>
      </c>
      <c r="D40" s="24">
        <v>880000</v>
      </c>
      <c r="E40" s="24" t="s">
        <v>167</v>
      </c>
      <c r="F40" s="24" t="str">
        <f t="shared" si="0"/>
        <v>rtdc.l.rtdc.4027:itc</v>
      </c>
      <c r="G40" s="8">
        <f t="shared" si="1"/>
        <v>42588.672858796293</v>
      </c>
    </row>
    <row r="41" spans="1:7" x14ac:dyDescent="0.25">
      <c r="A41" s="8">
        <v>42588.989421296297</v>
      </c>
      <c r="B41" s="24" t="s">
        <v>151</v>
      </c>
      <c r="C41" s="24" t="s">
        <v>789</v>
      </c>
      <c r="D41" s="24">
        <v>1410000</v>
      </c>
      <c r="E41" s="24" t="s">
        <v>413</v>
      </c>
      <c r="F41" s="24" t="str">
        <f t="shared" si="0"/>
        <v>rtdc.l.rtdc.4012:itc</v>
      </c>
      <c r="G41" s="8">
        <f t="shared" si="1"/>
        <v>42588.989421296297</v>
      </c>
    </row>
    <row r="42" spans="1:7" x14ac:dyDescent="0.25">
      <c r="A42" s="8">
        <v>42588.685358796298</v>
      </c>
      <c r="B42" s="24" t="s">
        <v>149</v>
      </c>
      <c r="C42" s="24" t="s">
        <v>480</v>
      </c>
      <c r="D42" s="24">
        <v>1540000</v>
      </c>
      <c r="E42" s="24" t="s">
        <v>172</v>
      </c>
      <c r="F42" s="24" t="str">
        <f t="shared" si="0"/>
        <v>rtdc.l.rtdc.4011:itc</v>
      </c>
      <c r="G42" s="8">
        <f t="shared" si="1"/>
        <v>42588.685358796298</v>
      </c>
    </row>
    <row r="43" spans="1:7" x14ac:dyDescent="0.25">
      <c r="A43" s="8">
        <v>42588.684571759259</v>
      </c>
      <c r="B43" s="24" t="s">
        <v>161</v>
      </c>
      <c r="C43" s="24" t="s">
        <v>477</v>
      </c>
      <c r="D43" s="24">
        <v>950000</v>
      </c>
      <c r="E43" s="24" t="s">
        <v>268</v>
      </c>
      <c r="F43" s="24" t="str">
        <f t="shared" si="0"/>
        <v>rtdc.l.rtdc.4031:itc</v>
      </c>
      <c r="G43" s="8">
        <f t="shared" si="1"/>
        <v>42588.684571759259</v>
      </c>
    </row>
    <row r="44" spans="1:7" x14ac:dyDescent="0.25">
      <c r="A44" s="8">
        <v>42589.074340277781</v>
      </c>
      <c r="B44" s="24" t="s">
        <v>151</v>
      </c>
      <c r="C44" s="24" t="s">
        <v>799</v>
      </c>
      <c r="D44" s="24">
        <v>1410000</v>
      </c>
      <c r="E44" s="24" t="s">
        <v>413</v>
      </c>
      <c r="F44" s="24" t="str">
        <f t="shared" si="0"/>
        <v>rtdc.l.rtdc.4012:itc</v>
      </c>
      <c r="G44" s="8">
        <f t="shared" si="1"/>
        <v>42589.074340277781</v>
      </c>
    </row>
    <row r="45" spans="1:7" x14ac:dyDescent="0.25">
      <c r="A45" s="8">
        <v>42588.612453703703</v>
      </c>
      <c r="B45" s="24" t="s">
        <v>149</v>
      </c>
      <c r="C45" s="24" t="s">
        <v>712</v>
      </c>
      <c r="D45" s="24">
        <v>1540000</v>
      </c>
      <c r="E45" s="24" t="s">
        <v>172</v>
      </c>
      <c r="F45" s="24" t="str">
        <f t="shared" si="0"/>
        <v>rtdc.l.rtdc.4011:itc</v>
      </c>
      <c r="G45" s="8">
        <f t="shared" si="1"/>
        <v>42588.612453703703</v>
      </c>
    </row>
    <row r="46" spans="1:7" x14ac:dyDescent="0.25">
      <c r="A46" s="8">
        <v>42589.13082175926</v>
      </c>
      <c r="B46" s="24" t="s">
        <v>100</v>
      </c>
      <c r="C46" s="24" t="s">
        <v>816</v>
      </c>
      <c r="D46" s="24">
        <v>1740000</v>
      </c>
      <c r="E46" s="24" t="s">
        <v>812</v>
      </c>
      <c r="F46" s="24" t="str">
        <f t="shared" si="0"/>
        <v>rtdc.l.rtdc.4038:itc</v>
      </c>
      <c r="G46" s="8">
        <f t="shared" si="1"/>
        <v>42589.13082175926</v>
      </c>
    </row>
    <row r="47" spans="1:7" x14ac:dyDescent="0.25">
      <c r="A47" s="8">
        <v>42588.567812499998</v>
      </c>
      <c r="B47" s="24" t="s">
        <v>107</v>
      </c>
      <c r="C47" s="24" t="s">
        <v>664</v>
      </c>
      <c r="D47" s="24">
        <v>1830000</v>
      </c>
      <c r="E47" s="24" t="s">
        <v>291</v>
      </c>
      <c r="F47" s="24" t="str">
        <f t="shared" si="0"/>
        <v>rtdc.l.rtdc.4030:itc</v>
      </c>
      <c r="G47" s="8">
        <f t="shared" si="1"/>
        <v>42588.567812499998</v>
      </c>
    </row>
    <row r="48" spans="1:7" x14ac:dyDescent="0.25">
      <c r="A48" s="8">
        <v>42588.447569444441</v>
      </c>
      <c r="B48" s="24" t="s">
        <v>161</v>
      </c>
      <c r="C48" s="24" t="s">
        <v>469</v>
      </c>
      <c r="D48" s="24">
        <v>1760000</v>
      </c>
      <c r="E48" s="24" t="s">
        <v>322</v>
      </c>
      <c r="F48" s="24" t="str">
        <f t="shared" si="0"/>
        <v>rtdc.l.rtdc.4031:itc</v>
      </c>
      <c r="G48" s="8">
        <f t="shared" si="1"/>
        <v>42588.447569444441</v>
      </c>
    </row>
    <row r="49" spans="1:7" x14ac:dyDescent="0.25">
      <c r="A49" s="8">
        <v>42588.539733796293</v>
      </c>
      <c r="B49" s="24" t="s">
        <v>149</v>
      </c>
      <c r="C49" s="24" t="s">
        <v>618</v>
      </c>
      <c r="D49" s="24">
        <v>1540000</v>
      </c>
      <c r="E49" s="24" t="s">
        <v>172</v>
      </c>
      <c r="F49" s="24" t="str">
        <f t="shared" si="0"/>
        <v>rtdc.l.rtdc.4011:itc</v>
      </c>
      <c r="G49" s="8">
        <f t="shared" si="1"/>
        <v>42588.539733796293</v>
      </c>
    </row>
    <row r="50" spans="1:7" x14ac:dyDescent="0.25">
      <c r="A50" s="8">
        <v>42588.569027777776</v>
      </c>
      <c r="B50" s="24" t="s">
        <v>68</v>
      </c>
      <c r="C50" s="24" t="s">
        <v>650</v>
      </c>
      <c r="D50" s="24">
        <v>1780000</v>
      </c>
      <c r="E50" s="24" t="s">
        <v>275</v>
      </c>
      <c r="F50" s="24" t="str">
        <f t="shared" si="0"/>
        <v>rtdc.l.rtdc.4018:itc</v>
      </c>
      <c r="G50" s="8">
        <f t="shared" si="1"/>
        <v>42588.569027777776</v>
      </c>
    </row>
    <row r="51" spans="1:7" x14ac:dyDescent="0.25">
      <c r="A51" s="8">
        <v>42588.483680555553</v>
      </c>
      <c r="B51" s="24" t="s">
        <v>162</v>
      </c>
      <c r="C51" s="24" t="s">
        <v>470</v>
      </c>
      <c r="D51" s="24">
        <v>1760000</v>
      </c>
      <c r="E51" s="24" t="s">
        <v>322</v>
      </c>
      <c r="F51" s="24" t="str">
        <f t="shared" si="0"/>
        <v>rtdc.l.rtdc.4032:itc</v>
      </c>
      <c r="G51" s="8">
        <f t="shared" si="1"/>
        <v>42588.483680555553</v>
      </c>
    </row>
    <row r="52" spans="1:7" x14ac:dyDescent="0.25">
      <c r="A52" s="8">
        <v>42588.643923611111</v>
      </c>
      <c r="B52" s="24" t="s">
        <v>68</v>
      </c>
      <c r="C52" s="24" t="s">
        <v>729</v>
      </c>
      <c r="D52" s="24">
        <v>1780000</v>
      </c>
      <c r="E52" s="24" t="s">
        <v>275</v>
      </c>
      <c r="F52" s="24" t="str">
        <f t="shared" si="0"/>
        <v>rtdc.l.rtdc.4018:itc</v>
      </c>
      <c r="G52" s="8">
        <f t="shared" si="1"/>
        <v>42588.643923611111</v>
      </c>
    </row>
    <row r="53" spans="1:7" x14ac:dyDescent="0.25">
      <c r="A53" s="8">
        <v>42588.475983796299</v>
      </c>
      <c r="B53" s="24" t="s">
        <v>104</v>
      </c>
      <c r="C53" s="24" t="s">
        <v>600</v>
      </c>
      <c r="D53" s="24">
        <v>2040000</v>
      </c>
      <c r="E53" s="24" t="s">
        <v>335</v>
      </c>
      <c r="F53" s="24" t="str">
        <f t="shared" si="0"/>
        <v>rtdc.l.rtdc.4025:itc</v>
      </c>
      <c r="G53" s="8">
        <f t="shared" si="1"/>
        <v>42588.475983796299</v>
      </c>
    </row>
    <row r="54" spans="1:7" x14ac:dyDescent="0.25">
      <c r="A54" s="8">
        <v>42588.780624999999</v>
      </c>
      <c r="B54" s="24" t="s">
        <v>336</v>
      </c>
      <c r="C54" s="24" t="s">
        <v>594</v>
      </c>
      <c r="D54" s="24">
        <v>1540000</v>
      </c>
      <c r="E54" s="24" t="s">
        <v>172</v>
      </c>
      <c r="F54" s="24" t="str">
        <f t="shared" si="0"/>
        <v>rtdc.l.rtdc.4040:itc</v>
      </c>
      <c r="G54" s="8">
        <f t="shared" si="1"/>
        <v>42588.780624999999</v>
      </c>
    </row>
    <row r="55" spans="1:7" x14ac:dyDescent="0.25">
      <c r="A55" s="8">
        <v>42588.41678240741</v>
      </c>
      <c r="B55" s="24" t="s">
        <v>106</v>
      </c>
      <c r="C55" s="24" t="s">
        <v>647</v>
      </c>
      <c r="D55" s="24">
        <v>1830000</v>
      </c>
      <c r="E55" s="24" t="s">
        <v>291</v>
      </c>
      <c r="F55" s="24" t="str">
        <f t="shared" si="0"/>
        <v>rtdc.l.rtdc.4029:itc</v>
      </c>
      <c r="G55" s="8">
        <f t="shared" si="1"/>
        <v>42588.41678240741</v>
      </c>
    </row>
    <row r="56" spans="1:7" x14ac:dyDescent="0.25">
      <c r="A56" s="8">
        <v>42588.885972222219</v>
      </c>
      <c r="B56" s="24" t="s">
        <v>141</v>
      </c>
      <c r="C56" s="24" t="s">
        <v>489</v>
      </c>
      <c r="D56" s="24">
        <v>1810000</v>
      </c>
      <c r="E56" s="24" t="s">
        <v>166</v>
      </c>
      <c r="F56" s="24" t="str">
        <f t="shared" si="0"/>
        <v>rtdc.l.rtdc.4009:itc</v>
      </c>
      <c r="G56" s="8">
        <f t="shared" si="1"/>
        <v>42588.885972222219</v>
      </c>
    </row>
    <row r="57" spans="1:7" x14ac:dyDescent="0.25">
      <c r="A57" s="8">
        <v>42588.36859953704</v>
      </c>
      <c r="B57" s="24" t="s">
        <v>102</v>
      </c>
      <c r="C57" s="24" t="s">
        <v>560</v>
      </c>
      <c r="D57" s="24">
        <v>1990000</v>
      </c>
      <c r="E57" s="24" t="s">
        <v>191</v>
      </c>
      <c r="F57" s="24" t="str">
        <f t="shared" si="0"/>
        <v>rtdc.l.rtdc.4026:itc</v>
      </c>
      <c r="G57" s="8">
        <f t="shared" si="1"/>
        <v>42588.36859953704</v>
      </c>
    </row>
    <row r="58" spans="1:7" x14ac:dyDescent="0.25">
      <c r="A58" s="8">
        <v>42588.360625000001</v>
      </c>
      <c r="B58" s="24" t="s">
        <v>107</v>
      </c>
      <c r="C58" s="24" t="s">
        <v>641</v>
      </c>
      <c r="D58" s="24">
        <v>1830000</v>
      </c>
      <c r="E58" s="24" t="s">
        <v>291</v>
      </c>
      <c r="F58" s="24" t="str">
        <f t="shared" si="0"/>
        <v>rtdc.l.rtdc.4030:itc</v>
      </c>
      <c r="G58" s="8">
        <f t="shared" si="1"/>
        <v>42588.360625000001</v>
      </c>
    </row>
    <row r="59" spans="1:7" x14ac:dyDescent="0.25">
      <c r="A59" s="8">
        <v>42588.351956018516</v>
      </c>
      <c r="B59" s="24" t="s">
        <v>68</v>
      </c>
      <c r="C59" s="24" t="s">
        <v>463</v>
      </c>
      <c r="D59" s="24">
        <v>1100000</v>
      </c>
      <c r="E59" s="24" t="s">
        <v>154</v>
      </c>
      <c r="F59" s="24" t="str">
        <f t="shared" si="0"/>
        <v>rtdc.l.rtdc.4018:itc</v>
      </c>
      <c r="G59" s="8">
        <f t="shared" si="1"/>
        <v>42588.351956018516</v>
      </c>
    </row>
    <row r="60" spans="1:7" x14ac:dyDescent="0.25">
      <c r="A60" s="8">
        <v>42588.31653935185</v>
      </c>
      <c r="B60" s="24" t="s">
        <v>69</v>
      </c>
      <c r="C60" s="24" t="s">
        <v>542</v>
      </c>
      <c r="D60" s="24">
        <v>1100000</v>
      </c>
      <c r="E60" s="24" t="s">
        <v>154</v>
      </c>
      <c r="F60" s="24" t="str">
        <f t="shared" si="0"/>
        <v>rtdc.l.rtdc.4017:itc</v>
      </c>
      <c r="G60" s="8">
        <f t="shared" si="1"/>
        <v>42588.31653935185</v>
      </c>
    </row>
    <row r="61" spans="1:7" x14ac:dyDescent="0.25">
      <c r="A61" s="8">
        <v>42588.851689814815</v>
      </c>
      <c r="B61" s="24" t="s">
        <v>161</v>
      </c>
      <c r="C61" s="24" t="s">
        <v>774</v>
      </c>
      <c r="D61" s="24">
        <v>2000000</v>
      </c>
      <c r="E61" s="24" t="s">
        <v>304</v>
      </c>
      <c r="F61" s="24" t="str">
        <f t="shared" si="0"/>
        <v>rtdc.l.rtdc.4031:itc</v>
      </c>
      <c r="G61" s="8">
        <f t="shared" si="1"/>
        <v>42588.851689814815</v>
      </c>
    </row>
    <row r="62" spans="1:7" x14ac:dyDescent="0.25">
      <c r="A62" s="8">
        <v>42588.337627314817</v>
      </c>
      <c r="B62" s="24" t="s">
        <v>144</v>
      </c>
      <c r="C62" s="24" t="s">
        <v>461</v>
      </c>
      <c r="D62" s="24">
        <v>1760000</v>
      </c>
      <c r="E62" s="24" t="s">
        <v>322</v>
      </c>
      <c r="F62" s="24" t="str">
        <f t="shared" si="0"/>
        <v>rtdc.l.rtdc.4041:itc</v>
      </c>
      <c r="G62" s="8">
        <f t="shared" si="1"/>
        <v>42588.337627314817</v>
      </c>
    </row>
    <row r="63" spans="1:7" x14ac:dyDescent="0.25">
      <c r="A63" s="8">
        <v>42588.746817129628</v>
      </c>
      <c r="B63" s="24" t="s">
        <v>316</v>
      </c>
      <c r="C63" s="24" t="s">
        <v>482</v>
      </c>
      <c r="D63" s="24">
        <v>2000000</v>
      </c>
      <c r="E63" s="24" t="s">
        <v>304</v>
      </c>
      <c r="F63" s="24" t="str">
        <f t="shared" si="0"/>
        <v>rtdc.l.rtdc.4039:itc</v>
      </c>
      <c r="G63" s="8">
        <f t="shared" si="1"/>
        <v>42588.746817129628</v>
      </c>
    </row>
    <row r="64" spans="1:7" x14ac:dyDescent="0.25">
      <c r="A64" s="30">
        <v>42588.377696759257</v>
      </c>
      <c r="B64" s="24" t="s">
        <v>142</v>
      </c>
      <c r="C64" s="24" t="s">
        <v>465</v>
      </c>
      <c r="D64" s="24">
        <v>1740000</v>
      </c>
      <c r="E64" s="24" t="s">
        <v>812</v>
      </c>
      <c r="F64" s="24" t="str">
        <f t="shared" si="0"/>
        <v>rtdc.l.rtdc.4010:itc</v>
      </c>
      <c r="G64" s="8">
        <f t="shared" si="1"/>
        <v>42588.377696759257</v>
      </c>
    </row>
    <row r="65" spans="1:7" x14ac:dyDescent="0.25">
      <c r="A65" s="8">
        <v>42588.609988425924</v>
      </c>
      <c r="B65" s="24" t="s">
        <v>107</v>
      </c>
      <c r="C65" s="24" t="s">
        <v>669</v>
      </c>
      <c r="D65" s="24">
        <v>2030000</v>
      </c>
      <c r="E65" s="24" t="s">
        <v>337</v>
      </c>
      <c r="F65" s="24" t="str">
        <f t="shared" si="0"/>
        <v>rtdc.l.rtdc.4030:itc</v>
      </c>
      <c r="G65" s="8">
        <f t="shared" si="1"/>
        <v>42588.609988425924</v>
      </c>
    </row>
    <row r="66" spans="1:7" x14ac:dyDescent="0.25">
      <c r="A66" s="8">
        <v>42588.236168981479</v>
      </c>
      <c r="B66" s="24" t="s">
        <v>142</v>
      </c>
      <c r="C66" s="24" t="s">
        <v>513</v>
      </c>
      <c r="D66" s="24">
        <v>1740000</v>
      </c>
      <c r="E66" s="24" t="s">
        <v>812</v>
      </c>
      <c r="F66" s="24" t="str">
        <f t="shared" ref="F66:F129" si="2">B66</f>
        <v>rtdc.l.rtdc.4010:itc</v>
      </c>
      <c r="G66" s="8">
        <f t="shared" ref="G66:G129" si="3">A66</f>
        <v>42588.236168981479</v>
      </c>
    </row>
    <row r="67" spans="1:7" x14ac:dyDescent="0.25">
      <c r="A67" s="8">
        <v>42588.496574074074</v>
      </c>
      <c r="B67" s="24" t="s">
        <v>68</v>
      </c>
      <c r="C67" s="24" t="s">
        <v>607</v>
      </c>
      <c r="D67" s="24">
        <v>750000</v>
      </c>
      <c r="E67" s="24" t="s">
        <v>817</v>
      </c>
      <c r="F67" s="24" t="str">
        <f t="shared" si="2"/>
        <v>rtdc.l.rtdc.4018:itc</v>
      </c>
      <c r="G67" s="8">
        <f t="shared" si="3"/>
        <v>42588.496574074074</v>
      </c>
    </row>
    <row r="68" spans="1:7" x14ac:dyDescent="0.25">
      <c r="A68" s="8">
        <v>42588.211053240739</v>
      </c>
      <c r="B68" s="24" t="s">
        <v>155</v>
      </c>
      <c r="C68" s="24" t="s">
        <v>519</v>
      </c>
      <c r="D68" s="24">
        <v>2010000</v>
      </c>
      <c r="E68" s="24" t="s">
        <v>273</v>
      </c>
      <c r="F68" s="24" t="str">
        <f t="shared" si="2"/>
        <v>rtdc.l.rtdc.4014:itc</v>
      </c>
      <c r="G68" s="8">
        <f t="shared" si="3"/>
        <v>42588.211053240739</v>
      </c>
    </row>
    <row r="69" spans="1:7" x14ac:dyDescent="0.25">
      <c r="A69" s="8">
        <v>42588.4531712963</v>
      </c>
      <c r="B69" s="24" t="s">
        <v>142</v>
      </c>
      <c r="C69" s="24" t="s">
        <v>468</v>
      </c>
      <c r="D69" s="24">
        <v>1740000</v>
      </c>
      <c r="E69" s="24" t="s">
        <v>812</v>
      </c>
      <c r="F69" s="24" t="str">
        <f t="shared" si="2"/>
        <v>rtdc.l.rtdc.4010:itc</v>
      </c>
      <c r="G69" s="8">
        <f t="shared" si="3"/>
        <v>42588.4531712963</v>
      </c>
    </row>
    <row r="70" spans="1:7" x14ac:dyDescent="0.25">
      <c r="A70" s="8">
        <v>42588.254074074073</v>
      </c>
      <c r="B70" s="24" t="s">
        <v>103</v>
      </c>
      <c r="C70" s="24" t="s">
        <v>522</v>
      </c>
      <c r="D70" s="24">
        <v>2010000</v>
      </c>
      <c r="E70" s="24" t="s">
        <v>273</v>
      </c>
      <c r="F70" s="24" t="str">
        <f t="shared" si="2"/>
        <v>rtdc.l.rtdc.4013:itc</v>
      </c>
      <c r="G70" s="8">
        <f t="shared" si="3"/>
        <v>42588.254074074073</v>
      </c>
    </row>
    <row r="71" spans="1:7" x14ac:dyDescent="0.25">
      <c r="A71" s="8">
        <v>42588.276666666665</v>
      </c>
      <c r="B71" s="24" t="s">
        <v>107</v>
      </c>
      <c r="C71" s="24" t="s">
        <v>631</v>
      </c>
      <c r="D71" s="24">
        <v>1830000</v>
      </c>
      <c r="E71" s="24" t="s">
        <v>291</v>
      </c>
      <c r="F71" s="24" t="str">
        <f t="shared" si="2"/>
        <v>rtdc.l.rtdc.4030:itc</v>
      </c>
      <c r="G71" s="8">
        <f t="shared" si="3"/>
        <v>42588.276666666665</v>
      </c>
    </row>
    <row r="72" spans="1:7" x14ac:dyDescent="0.25">
      <c r="A72" s="8">
        <v>42588.007326388892</v>
      </c>
      <c r="B72" s="24" t="s">
        <v>142</v>
      </c>
      <c r="C72" s="24" t="s">
        <v>818</v>
      </c>
      <c r="D72" s="24">
        <v>2090000</v>
      </c>
      <c r="E72" s="24" t="s">
        <v>312</v>
      </c>
      <c r="F72" s="24" t="str">
        <f t="shared" si="2"/>
        <v>rtdc.l.rtdc.4010:itc</v>
      </c>
      <c r="G72" s="8">
        <f t="shared" si="3"/>
        <v>42588.007326388892</v>
      </c>
    </row>
    <row r="73" spans="1:7" x14ac:dyDescent="0.25">
      <c r="A73" s="8">
        <v>42588.251226851855</v>
      </c>
      <c r="B73" s="24" t="s">
        <v>106</v>
      </c>
      <c r="C73" s="24" t="s">
        <v>628</v>
      </c>
      <c r="D73" s="24">
        <v>1830000</v>
      </c>
      <c r="E73" s="24" t="s">
        <v>291</v>
      </c>
      <c r="F73" s="24" t="str">
        <f t="shared" si="2"/>
        <v>rtdc.l.rtdc.4029:itc</v>
      </c>
      <c r="G73" s="8">
        <f t="shared" si="3"/>
        <v>42588.251226851855</v>
      </c>
    </row>
    <row r="74" spans="1:7" x14ac:dyDescent="0.25">
      <c r="A74" s="8">
        <v>42588.091354166667</v>
      </c>
      <c r="B74" s="24" t="s">
        <v>100</v>
      </c>
      <c r="C74" s="24" t="s">
        <v>808</v>
      </c>
      <c r="D74" s="24">
        <v>2140000</v>
      </c>
      <c r="E74" s="24" t="s">
        <v>317</v>
      </c>
      <c r="F74" s="24" t="str">
        <f t="shared" si="2"/>
        <v>rtdc.l.rtdc.4038:itc</v>
      </c>
      <c r="G74" s="8">
        <f t="shared" si="3"/>
        <v>42588.091354166667</v>
      </c>
    </row>
    <row r="75" spans="1:7" x14ac:dyDescent="0.25">
      <c r="A75" s="8">
        <v>42589.058680555558</v>
      </c>
      <c r="B75" s="24" t="s">
        <v>162</v>
      </c>
      <c r="C75" s="24" t="s">
        <v>796</v>
      </c>
      <c r="D75" s="24">
        <v>2000000</v>
      </c>
      <c r="E75" s="24" t="s">
        <v>304</v>
      </c>
      <c r="F75" s="24" t="str">
        <f t="shared" si="2"/>
        <v>rtdc.l.rtdc.4032:itc</v>
      </c>
      <c r="G75" s="8">
        <f t="shared" si="3"/>
        <v>42589.058680555558</v>
      </c>
    </row>
    <row r="76" spans="1:7" x14ac:dyDescent="0.25">
      <c r="A76" s="8">
        <v>42588.131979166668</v>
      </c>
      <c r="B76" s="24" t="s">
        <v>68</v>
      </c>
      <c r="C76" s="24" t="s">
        <v>449</v>
      </c>
      <c r="D76" s="24">
        <v>2010000</v>
      </c>
      <c r="E76" s="24" t="s">
        <v>273</v>
      </c>
      <c r="F76" s="24" t="str">
        <f t="shared" si="2"/>
        <v>rtdc.l.rtdc.4018:itc</v>
      </c>
      <c r="G76" s="8">
        <f t="shared" si="3"/>
        <v>42588.131979166668</v>
      </c>
    </row>
    <row r="77" spans="1:7" x14ac:dyDescent="0.25">
      <c r="A77" s="8">
        <v>42589.049178240741</v>
      </c>
      <c r="B77" s="24" t="s">
        <v>141</v>
      </c>
      <c r="C77" s="24" t="s">
        <v>805</v>
      </c>
      <c r="D77" s="24">
        <v>1810000</v>
      </c>
      <c r="E77" s="24" t="s">
        <v>166</v>
      </c>
      <c r="F77" s="24" t="str">
        <f t="shared" si="2"/>
        <v>rtdc.l.rtdc.4009:itc</v>
      </c>
      <c r="G77" s="8">
        <f t="shared" si="3"/>
        <v>42589.049178240741</v>
      </c>
    </row>
    <row r="78" spans="1:7" x14ac:dyDescent="0.25">
      <c r="A78" s="8">
        <v>42588.170405092591</v>
      </c>
      <c r="B78" s="24" t="s">
        <v>103</v>
      </c>
      <c r="C78" s="24" t="s">
        <v>451</v>
      </c>
      <c r="D78" s="24">
        <v>2010000</v>
      </c>
      <c r="E78" s="24" t="s">
        <v>273</v>
      </c>
      <c r="F78" s="24" t="str">
        <f t="shared" si="2"/>
        <v>rtdc.l.rtdc.4013:itc</v>
      </c>
      <c r="G78" s="8">
        <f t="shared" si="3"/>
        <v>42588.170405092591</v>
      </c>
    </row>
    <row r="79" spans="1:7" x14ac:dyDescent="0.25">
      <c r="A79" s="8">
        <v>42589.014537037037</v>
      </c>
      <c r="B79" s="24" t="s">
        <v>142</v>
      </c>
      <c r="C79" s="24" t="s">
        <v>793</v>
      </c>
      <c r="D79" s="24">
        <v>1810000</v>
      </c>
      <c r="E79" s="24" t="s">
        <v>166</v>
      </c>
      <c r="F79" s="24" t="str">
        <f t="shared" si="2"/>
        <v>rtdc.l.rtdc.4010:itc</v>
      </c>
      <c r="G79" s="8">
        <f t="shared" si="3"/>
        <v>42589.014537037037</v>
      </c>
    </row>
    <row r="80" spans="1:7" x14ac:dyDescent="0.25">
      <c r="A80" s="8">
        <v>42588.181481481479</v>
      </c>
      <c r="B80" s="24" t="s">
        <v>104</v>
      </c>
      <c r="C80" s="24" t="s">
        <v>450</v>
      </c>
      <c r="D80" s="24">
        <v>1990000</v>
      </c>
      <c r="E80" s="24" t="s">
        <v>191</v>
      </c>
      <c r="F80" s="24" t="str">
        <f t="shared" si="2"/>
        <v>rtdc.l.rtdc.4025:itc</v>
      </c>
      <c r="G80" s="8">
        <f t="shared" si="3"/>
        <v>42588.181481481479</v>
      </c>
    </row>
    <row r="81" spans="1:7" x14ac:dyDescent="0.25">
      <c r="A81" s="8">
        <v>42588.867106481484</v>
      </c>
      <c r="B81" s="24" t="s">
        <v>149</v>
      </c>
      <c r="C81" s="24" t="s">
        <v>777</v>
      </c>
      <c r="D81" s="24">
        <v>1780000</v>
      </c>
      <c r="E81" s="24" t="s">
        <v>275</v>
      </c>
      <c r="F81" s="24" t="str">
        <f t="shared" si="2"/>
        <v>rtdc.l.rtdc.4011:itc</v>
      </c>
      <c r="G81" s="8">
        <f t="shared" si="3"/>
        <v>42588.867106481484</v>
      </c>
    </row>
    <row r="82" spans="1:7" x14ac:dyDescent="0.25">
      <c r="A82" s="8">
        <v>42588.196446759262</v>
      </c>
      <c r="B82" s="24" t="s">
        <v>141</v>
      </c>
      <c r="C82" s="24" t="s">
        <v>511</v>
      </c>
      <c r="D82" s="24">
        <v>1740000</v>
      </c>
      <c r="E82" s="24" t="s">
        <v>812</v>
      </c>
      <c r="F82" s="24" t="str">
        <f t="shared" si="2"/>
        <v>rtdc.l.rtdc.4009:itc</v>
      </c>
      <c r="G82" s="8">
        <f t="shared" si="3"/>
        <v>42588.196446759262</v>
      </c>
    </row>
    <row r="83" spans="1:7" x14ac:dyDescent="0.25">
      <c r="A83" s="8">
        <v>42588.86010416667</v>
      </c>
      <c r="B83" s="24" t="s">
        <v>107</v>
      </c>
      <c r="C83" s="24" t="s">
        <v>698</v>
      </c>
      <c r="D83" s="24">
        <v>2030000</v>
      </c>
      <c r="E83" s="24" t="s">
        <v>337</v>
      </c>
      <c r="F83" s="24" t="str">
        <f t="shared" si="2"/>
        <v>rtdc.l.rtdc.4030:itc</v>
      </c>
      <c r="G83" s="8">
        <f t="shared" si="3"/>
        <v>42588.86010416667</v>
      </c>
    </row>
    <row r="84" spans="1:7" x14ac:dyDescent="0.25">
      <c r="A84" s="8">
        <v>42588.257037037038</v>
      </c>
      <c r="B84" s="24" t="s">
        <v>104</v>
      </c>
      <c r="C84" s="24" t="s">
        <v>532</v>
      </c>
      <c r="D84" s="24">
        <v>1990000</v>
      </c>
      <c r="E84" s="24" t="s">
        <v>191</v>
      </c>
      <c r="F84" s="24" t="str">
        <f t="shared" si="2"/>
        <v>rtdc.l.rtdc.4025:itc</v>
      </c>
      <c r="G84" s="8">
        <f t="shared" si="3"/>
        <v>42588.257037037038</v>
      </c>
    </row>
    <row r="85" spans="1:7" x14ac:dyDescent="0.25">
      <c r="A85" s="8">
        <v>42588.781412037039</v>
      </c>
      <c r="B85" s="24" t="s">
        <v>149</v>
      </c>
      <c r="C85" s="24" t="s">
        <v>765</v>
      </c>
      <c r="D85" s="24">
        <v>860000</v>
      </c>
      <c r="E85" s="24" t="s">
        <v>819</v>
      </c>
      <c r="F85" s="24" t="str">
        <f t="shared" si="2"/>
        <v>rtdc.l.rtdc.4011:itc</v>
      </c>
      <c r="G85" s="8">
        <f t="shared" si="3"/>
        <v>42588.781412037039</v>
      </c>
    </row>
    <row r="86" spans="1:7" x14ac:dyDescent="0.25">
      <c r="A86" s="8">
        <v>42588.319120370368</v>
      </c>
      <c r="B86" s="24" t="s">
        <v>149</v>
      </c>
      <c r="C86" s="24" t="s">
        <v>553</v>
      </c>
      <c r="D86" s="24">
        <v>1260000</v>
      </c>
      <c r="E86" s="24" t="s">
        <v>170</v>
      </c>
      <c r="F86" s="24" t="str">
        <f t="shared" si="2"/>
        <v>rtdc.l.rtdc.4011:itc</v>
      </c>
      <c r="G86" s="8">
        <f t="shared" si="3"/>
        <v>42588.319120370368</v>
      </c>
    </row>
    <row r="87" spans="1:7" x14ac:dyDescent="0.25">
      <c r="A87" s="8">
        <v>42588.689826388887</v>
      </c>
      <c r="B87" s="24" t="s">
        <v>103</v>
      </c>
      <c r="C87" s="24" t="s">
        <v>732</v>
      </c>
      <c r="D87" s="24">
        <v>1520000</v>
      </c>
      <c r="E87" s="24" t="s">
        <v>163</v>
      </c>
      <c r="F87" s="24" t="str">
        <f t="shared" si="2"/>
        <v>rtdc.l.rtdc.4013:itc</v>
      </c>
      <c r="G87" s="8">
        <f t="shared" si="3"/>
        <v>42588.689826388887</v>
      </c>
    </row>
    <row r="88" spans="1:7" x14ac:dyDescent="0.25">
      <c r="A88" s="8">
        <v>42588.631840277776</v>
      </c>
      <c r="B88" s="24" t="s">
        <v>141</v>
      </c>
      <c r="C88" s="24" t="s">
        <v>723</v>
      </c>
      <c r="D88" s="24">
        <v>2020000</v>
      </c>
      <c r="E88" s="24" t="s">
        <v>408</v>
      </c>
      <c r="F88" s="24" t="str">
        <f t="shared" si="2"/>
        <v>rtdc.l.rtdc.4009:itc</v>
      </c>
      <c r="G88" s="8">
        <f t="shared" si="3"/>
        <v>42588.631840277776</v>
      </c>
    </row>
    <row r="89" spans="1:7" x14ac:dyDescent="0.25">
      <c r="A89" s="8">
        <v>42588.487858796296</v>
      </c>
      <c r="B89" s="24" t="s">
        <v>141</v>
      </c>
      <c r="C89" s="24" t="s">
        <v>603</v>
      </c>
      <c r="D89" s="24">
        <v>2020000</v>
      </c>
      <c r="E89" s="24" t="s">
        <v>408</v>
      </c>
      <c r="F89" s="24" t="str">
        <f t="shared" si="2"/>
        <v>rtdc.l.rtdc.4009:itc</v>
      </c>
      <c r="G89" s="8">
        <f t="shared" si="3"/>
        <v>42588.487858796296</v>
      </c>
    </row>
    <row r="90" spans="1:7" x14ac:dyDescent="0.25">
      <c r="A90" s="8">
        <v>42588.791041666664</v>
      </c>
      <c r="B90" s="24" t="s">
        <v>106</v>
      </c>
      <c r="C90" s="24" t="s">
        <v>486</v>
      </c>
      <c r="D90" s="24">
        <v>2030000</v>
      </c>
      <c r="E90" s="24" t="s">
        <v>337</v>
      </c>
      <c r="F90" s="24" t="str">
        <f t="shared" si="2"/>
        <v>rtdc.l.rtdc.4029:itc</v>
      </c>
      <c r="G90" s="8">
        <f t="shared" si="3"/>
        <v>42588.791041666664</v>
      </c>
    </row>
    <row r="91" spans="1:7" x14ac:dyDescent="0.25">
      <c r="A91" s="8">
        <v>42588.410763888889</v>
      </c>
      <c r="B91" s="24" t="s">
        <v>144</v>
      </c>
      <c r="C91" s="24" t="s">
        <v>467</v>
      </c>
      <c r="D91" s="24">
        <v>1760000</v>
      </c>
      <c r="E91" s="24" t="s">
        <v>322</v>
      </c>
      <c r="F91" s="24" t="str">
        <f t="shared" si="2"/>
        <v>rtdc.l.rtdc.4041:itc</v>
      </c>
      <c r="G91" s="8">
        <f t="shared" si="3"/>
        <v>42588.410763888889</v>
      </c>
    </row>
    <row r="92" spans="1:7" x14ac:dyDescent="0.25">
      <c r="A92" s="8">
        <v>42588.833194444444</v>
      </c>
      <c r="B92" s="24" t="s">
        <v>106</v>
      </c>
      <c r="C92" s="24" t="s">
        <v>488</v>
      </c>
      <c r="D92" s="24">
        <v>2030000</v>
      </c>
      <c r="E92" s="24" t="s">
        <v>337</v>
      </c>
      <c r="F92" s="24" t="str">
        <f t="shared" si="2"/>
        <v>rtdc.l.rtdc.4029:itc</v>
      </c>
      <c r="G92" s="8">
        <f t="shared" si="3"/>
        <v>42588.833194444444</v>
      </c>
    </row>
    <row r="93" spans="1:7" x14ac:dyDescent="0.25">
      <c r="A93" s="8">
        <v>42588.373287037037</v>
      </c>
      <c r="B93" s="24" t="s">
        <v>106</v>
      </c>
      <c r="C93" s="24" t="s">
        <v>644</v>
      </c>
      <c r="D93" s="24">
        <v>1830000</v>
      </c>
      <c r="E93" s="24" t="s">
        <v>291</v>
      </c>
      <c r="F93" s="24" t="str">
        <f t="shared" si="2"/>
        <v>rtdc.l.rtdc.4029:itc</v>
      </c>
      <c r="G93" s="8">
        <f t="shared" si="3"/>
        <v>42588.373287037037</v>
      </c>
    </row>
    <row r="94" spans="1:7" x14ac:dyDescent="0.25">
      <c r="A94" s="8">
        <v>42588.97556712963</v>
      </c>
      <c r="B94" s="24" t="s">
        <v>162</v>
      </c>
      <c r="C94" s="24" t="s">
        <v>786</v>
      </c>
      <c r="D94" s="24">
        <v>2000000</v>
      </c>
      <c r="E94" s="24" t="s">
        <v>304</v>
      </c>
      <c r="F94" s="24" t="str">
        <f t="shared" si="2"/>
        <v>rtdc.l.rtdc.4032:itc</v>
      </c>
      <c r="G94" s="8">
        <f t="shared" si="3"/>
        <v>42588.97556712963</v>
      </c>
    </row>
    <row r="95" spans="1:7" x14ac:dyDescent="0.25">
      <c r="A95" s="8">
        <v>42588.339942129627</v>
      </c>
      <c r="B95" s="24" t="s">
        <v>105</v>
      </c>
      <c r="C95" s="24" t="s">
        <v>551</v>
      </c>
      <c r="D95" s="24">
        <v>1360000</v>
      </c>
      <c r="E95" s="24" t="s">
        <v>271</v>
      </c>
      <c r="F95" s="24" t="str">
        <f t="shared" si="2"/>
        <v>rtdc.l.rtdc.4028:itc</v>
      </c>
      <c r="G95" s="8">
        <f t="shared" si="3"/>
        <v>42588.339942129627</v>
      </c>
    </row>
    <row r="96" spans="1:7" x14ac:dyDescent="0.25">
      <c r="A96" s="8">
        <v>42588.440023148149</v>
      </c>
      <c r="B96" s="24" t="s">
        <v>102</v>
      </c>
      <c r="C96" s="24" t="s">
        <v>577</v>
      </c>
      <c r="D96" s="24">
        <v>1990000</v>
      </c>
      <c r="E96" s="24" t="s">
        <v>191</v>
      </c>
      <c r="F96" s="24" t="str">
        <f t="shared" si="2"/>
        <v>rtdc.l.rtdc.4026:itc</v>
      </c>
      <c r="G96" s="8">
        <f t="shared" si="3"/>
        <v>42588.440023148149</v>
      </c>
    </row>
    <row r="97" spans="1:7" x14ac:dyDescent="0.25">
      <c r="A97" s="8">
        <v>42588.252152777779</v>
      </c>
      <c r="B97" s="24" t="s">
        <v>106</v>
      </c>
      <c r="C97" s="24" t="s">
        <v>628</v>
      </c>
      <c r="D97" s="24">
        <v>1830000</v>
      </c>
      <c r="E97" s="24" t="s">
        <v>291</v>
      </c>
      <c r="F97" s="24" t="str">
        <f t="shared" si="2"/>
        <v>rtdc.l.rtdc.4029:itc</v>
      </c>
      <c r="G97" s="8">
        <f t="shared" si="3"/>
        <v>42588.252152777779</v>
      </c>
    </row>
    <row r="98" spans="1:7" x14ac:dyDescent="0.25">
      <c r="A98" s="8">
        <v>42588.707708333335</v>
      </c>
      <c r="B98" s="24" t="s">
        <v>106</v>
      </c>
      <c r="C98" s="24" t="s">
        <v>684</v>
      </c>
      <c r="D98" s="24">
        <v>2030000</v>
      </c>
      <c r="E98" s="24" t="s">
        <v>337</v>
      </c>
      <c r="F98" s="24" t="str">
        <f t="shared" si="2"/>
        <v>rtdc.l.rtdc.4029:itc</v>
      </c>
      <c r="G98" s="8">
        <f t="shared" si="3"/>
        <v>42588.707708333335</v>
      </c>
    </row>
    <row r="99" spans="1:7" x14ac:dyDescent="0.25">
      <c r="A99" s="8">
        <v>42588.24391203704</v>
      </c>
      <c r="B99" s="24" t="s">
        <v>69</v>
      </c>
      <c r="C99" s="24" t="s">
        <v>453</v>
      </c>
      <c r="D99" s="24">
        <v>1100000</v>
      </c>
      <c r="E99" s="24" t="s">
        <v>154</v>
      </c>
      <c r="F99" s="24" t="str">
        <f t="shared" si="2"/>
        <v>rtdc.l.rtdc.4017:itc</v>
      </c>
      <c r="G99" s="8">
        <f t="shared" si="3"/>
        <v>42588.24391203704</v>
      </c>
    </row>
    <row r="100" spans="1:7" x14ac:dyDescent="0.25">
      <c r="A100" s="8">
        <v>42588.714050925926</v>
      </c>
      <c r="B100" s="24" t="s">
        <v>162</v>
      </c>
      <c r="C100" s="24" t="s">
        <v>739</v>
      </c>
      <c r="D100" s="24">
        <v>950000</v>
      </c>
      <c r="E100" s="24" t="s">
        <v>268</v>
      </c>
      <c r="F100" s="24" t="str">
        <f t="shared" si="2"/>
        <v>rtdc.l.rtdc.4032:itc</v>
      </c>
      <c r="G100" s="8">
        <f t="shared" si="3"/>
        <v>42588.714050925926</v>
      </c>
    </row>
    <row r="101" spans="1:7" x14ac:dyDescent="0.25">
      <c r="A101" s="8">
        <v>42588.232349537036</v>
      </c>
      <c r="B101" s="24" t="s">
        <v>107</v>
      </c>
      <c r="C101" s="24" t="s">
        <v>715</v>
      </c>
      <c r="D101" s="24">
        <v>1830000</v>
      </c>
      <c r="E101" s="24" t="s">
        <v>291</v>
      </c>
      <c r="F101" s="24" t="str">
        <f t="shared" si="2"/>
        <v>rtdc.l.rtdc.4030:itc</v>
      </c>
      <c r="G101" s="8">
        <f t="shared" si="3"/>
        <v>42588.232349537036</v>
      </c>
    </row>
    <row r="102" spans="1:7" x14ac:dyDescent="0.25">
      <c r="A102" s="8">
        <v>42588.77685185185</v>
      </c>
      <c r="B102" s="24" t="s">
        <v>107</v>
      </c>
      <c r="C102" s="24" t="s">
        <v>485</v>
      </c>
      <c r="D102" s="24">
        <v>2030000</v>
      </c>
      <c r="E102" s="24" t="s">
        <v>337</v>
      </c>
      <c r="F102" s="24" t="str">
        <f t="shared" si="2"/>
        <v>rtdc.l.rtdc.4030:itc</v>
      </c>
      <c r="G102" s="8">
        <f t="shared" si="3"/>
        <v>42588.77685185185</v>
      </c>
    </row>
    <row r="103" spans="1:7" x14ac:dyDescent="0.25">
      <c r="A103" s="8">
        <v>42588.915347222224</v>
      </c>
      <c r="B103" s="24" t="s">
        <v>155</v>
      </c>
      <c r="C103" s="24" t="s">
        <v>782</v>
      </c>
      <c r="D103" s="24">
        <v>1800000</v>
      </c>
      <c r="E103" s="24" t="s">
        <v>168</v>
      </c>
      <c r="F103" s="24" t="str">
        <f t="shared" si="2"/>
        <v>rtdc.l.rtdc.4014:itc</v>
      </c>
      <c r="G103" s="8">
        <f t="shared" si="3"/>
        <v>42588.915347222224</v>
      </c>
    </row>
    <row r="104" spans="1:7" x14ac:dyDescent="0.25">
      <c r="A104" s="8">
        <v>42588.817835648151</v>
      </c>
      <c r="B104" s="24" t="s">
        <v>107</v>
      </c>
      <c r="C104" s="24" t="s">
        <v>487</v>
      </c>
      <c r="D104" s="24">
        <v>2030000</v>
      </c>
      <c r="E104" s="24" t="s">
        <v>337</v>
      </c>
      <c r="F104" s="24" t="str">
        <f t="shared" si="2"/>
        <v>rtdc.l.rtdc.4030:itc</v>
      </c>
      <c r="G104" s="8">
        <f t="shared" si="3"/>
        <v>42588.817835648151</v>
      </c>
    </row>
    <row r="105" spans="1:7" x14ac:dyDescent="0.25">
      <c r="A105" s="8">
        <v>42588.751018518517</v>
      </c>
      <c r="B105" s="24" t="s">
        <v>106</v>
      </c>
      <c r="C105" s="24" t="s">
        <v>483</v>
      </c>
      <c r="D105" s="24">
        <v>2030000</v>
      </c>
      <c r="E105" s="24" t="s">
        <v>337</v>
      </c>
      <c r="F105" s="24" t="str">
        <f t="shared" si="2"/>
        <v>rtdc.l.rtdc.4029:itc</v>
      </c>
      <c r="G105" s="8">
        <f t="shared" si="3"/>
        <v>42588.751018518517</v>
      </c>
    </row>
    <row r="106" spans="1:7" x14ac:dyDescent="0.25">
      <c r="A106" s="8">
        <v>42588.873842592591</v>
      </c>
      <c r="B106" s="24" t="s">
        <v>106</v>
      </c>
      <c r="C106" s="24" t="s">
        <v>701</v>
      </c>
      <c r="D106" s="24">
        <v>2030000</v>
      </c>
      <c r="E106" s="24" t="s">
        <v>337</v>
      </c>
      <c r="F106" s="24" t="str">
        <f t="shared" si="2"/>
        <v>rtdc.l.rtdc.4029:itc</v>
      </c>
      <c r="G106" s="8">
        <f t="shared" si="3"/>
        <v>42588.873842592591</v>
      </c>
    </row>
    <row r="107" spans="1:7" x14ac:dyDescent="0.25">
      <c r="A107" s="8">
        <v>42588.646979166668</v>
      </c>
      <c r="B107" s="24" t="s">
        <v>151</v>
      </c>
      <c r="C107" s="24" t="s">
        <v>476</v>
      </c>
      <c r="D107" s="24">
        <v>1540000</v>
      </c>
      <c r="E107" s="24" t="s">
        <v>172</v>
      </c>
      <c r="F107" s="24" t="str">
        <f t="shared" si="2"/>
        <v>rtdc.l.rtdc.4012:itc</v>
      </c>
      <c r="G107" s="8">
        <f t="shared" si="3"/>
        <v>42588.646979166668</v>
      </c>
    </row>
    <row r="108" spans="1:7" x14ac:dyDescent="0.25">
      <c r="A108" s="8">
        <v>42588.946817129632</v>
      </c>
      <c r="B108" s="24" t="s">
        <v>149</v>
      </c>
      <c r="C108" s="24" t="s">
        <v>788</v>
      </c>
      <c r="D108" s="24">
        <v>1410000</v>
      </c>
      <c r="E108" s="24" t="s">
        <v>413</v>
      </c>
      <c r="F108" s="24" t="str">
        <f t="shared" si="2"/>
        <v>rtdc.l.rtdc.4011:itc</v>
      </c>
      <c r="G108" s="8">
        <f t="shared" si="3"/>
        <v>42588.946817129632</v>
      </c>
    </row>
    <row r="109" spans="1:7" x14ac:dyDescent="0.25">
      <c r="A109" s="8">
        <v>42588.596863425926</v>
      </c>
      <c r="B109" s="24" t="s">
        <v>142</v>
      </c>
      <c r="C109" s="24" t="s">
        <v>626</v>
      </c>
      <c r="D109" s="24">
        <v>2020000</v>
      </c>
      <c r="E109" s="24" t="s">
        <v>408</v>
      </c>
      <c r="F109" s="24" t="str">
        <f t="shared" si="2"/>
        <v>rtdc.l.rtdc.4010:itc</v>
      </c>
      <c r="G109" s="8">
        <f t="shared" si="3"/>
        <v>42588.596863425926</v>
      </c>
    </row>
    <row r="110" spans="1:7" x14ac:dyDescent="0.25">
      <c r="A110" s="8">
        <v>42589.018622685187</v>
      </c>
      <c r="B110" s="24" t="s">
        <v>161</v>
      </c>
      <c r="C110" s="24" t="s">
        <v>795</v>
      </c>
      <c r="D110" s="24">
        <v>2000000</v>
      </c>
      <c r="E110" s="24" t="s">
        <v>304</v>
      </c>
      <c r="F110" s="24" t="str">
        <f t="shared" si="2"/>
        <v>rtdc.l.rtdc.4031:itc</v>
      </c>
      <c r="G110" s="8">
        <f t="shared" si="3"/>
        <v>42589.018622685187</v>
      </c>
    </row>
    <row r="111" spans="1:7" x14ac:dyDescent="0.25">
      <c r="A111" s="8">
        <v>42588.332939814813</v>
      </c>
      <c r="B111" s="24" t="s">
        <v>106</v>
      </c>
      <c r="C111" s="24" t="s">
        <v>460</v>
      </c>
      <c r="D111" s="24">
        <v>1830000</v>
      </c>
      <c r="E111" s="24" t="s">
        <v>291</v>
      </c>
      <c r="F111" s="24" t="str">
        <f t="shared" si="2"/>
        <v>rtdc.l.rtdc.4029:itc</v>
      </c>
      <c r="G111" s="8">
        <f t="shared" si="3"/>
        <v>42588.332939814813</v>
      </c>
    </row>
    <row r="112" spans="1:7" x14ac:dyDescent="0.25">
      <c r="A112" s="8">
        <v>42589.165706018517</v>
      </c>
      <c r="B112" s="24" t="s">
        <v>111</v>
      </c>
      <c r="C112" s="24" t="s">
        <v>820</v>
      </c>
      <c r="D112" s="24">
        <v>1740000</v>
      </c>
      <c r="E112" s="24" t="s">
        <v>812</v>
      </c>
      <c r="F112" s="24" t="str">
        <f t="shared" si="2"/>
        <v>rtdc.l.rtdc.4008:itc</v>
      </c>
      <c r="G112" s="8">
        <f t="shared" si="3"/>
        <v>42589.165706018517</v>
      </c>
    </row>
    <row r="113" spans="1:7" x14ac:dyDescent="0.25">
      <c r="A113" s="8">
        <v>42588.318043981482</v>
      </c>
      <c r="B113" s="24" t="s">
        <v>107</v>
      </c>
      <c r="C113" s="24" t="s">
        <v>636</v>
      </c>
      <c r="D113" s="24">
        <v>1830000</v>
      </c>
      <c r="E113" s="24" t="s">
        <v>291</v>
      </c>
      <c r="F113" s="24" t="str">
        <f t="shared" si="2"/>
        <v>rtdc.l.rtdc.4030:itc</v>
      </c>
      <c r="G113" s="8">
        <f t="shared" si="3"/>
        <v>42588.318043981482</v>
      </c>
    </row>
    <row r="114" spans="1:7" x14ac:dyDescent="0.25">
      <c r="A114" s="8">
        <v>42588.630127314813</v>
      </c>
      <c r="B114" s="24" t="s">
        <v>162</v>
      </c>
      <c r="C114" s="24" t="s">
        <v>474</v>
      </c>
      <c r="D114" s="24">
        <v>950000</v>
      </c>
      <c r="E114" s="24" t="s">
        <v>268</v>
      </c>
      <c r="F114" s="24" t="str">
        <f t="shared" si="2"/>
        <v>rtdc.l.rtdc.4032:itc</v>
      </c>
      <c r="G114" s="8">
        <f t="shared" si="3"/>
        <v>42588.630127314813</v>
      </c>
    </row>
    <row r="115" spans="1:7" x14ac:dyDescent="0.25">
      <c r="A115" s="8">
        <v>42588.295983796299</v>
      </c>
      <c r="B115" s="24" t="s">
        <v>102</v>
      </c>
      <c r="C115" s="24" t="s">
        <v>535</v>
      </c>
      <c r="D115" s="24">
        <v>1990000</v>
      </c>
      <c r="E115" s="24" t="s">
        <v>191</v>
      </c>
      <c r="F115" s="24" t="str">
        <f t="shared" si="2"/>
        <v>rtdc.l.rtdc.4026:itc</v>
      </c>
      <c r="G115" s="8">
        <f t="shared" si="3"/>
        <v>42588.295983796299</v>
      </c>
    </row>
    <row r="116" spans="1:7" x14ac:dyDescent="0.25">
      <c r="A116" s="8">
        <v>42588.65121527778</v>
      </c>
      <c r="B116" s="24" t="s">
        <v>155</v>
      </c>
      <c r="C116" s="24" t="s">
        <v>475</v>
      </c>
      <c r="D116" s="24">
        <v>1520000</v>
      </c>
      <c r="E116" s="24" t="s">
        <v>163</v>
      </c>
      <c r="F116" s="24" t="str">
        <f t="shared" si="2"/>
        <v>rtdc.l.rtdc.4014:itc</v>
      </c>
      <c r="G116" s="8">
        <f t="shared" si="3"/>
        <v>42588.65121527778</v>
      </c>
    </row>
    <row r="117" spans="1:7" x14ac:dyDescent="0.25">
      <c r="A117" s="8">
        <v>42588.224050925928</v>
      </c>
      <c r="B117" s="24" t="s">
        <v>102</v>
      </c>
      <c r="C117" s="24" t="s">
        <v>509</v>
      </c>
      <c r="D117" s="24">
        <v>1990000</v>
      </c>
      <c r="E117" s="24" t="s">
        <v>191</v>
      </c>
      <c r="F117" s="24" t="str">
        <f t="shared" si="2"/>
        <v>rtdc.l.rtdc.4026:itc</v>
      </c>
      <c r="G117" s="8">
        <f t="shared" si="3"/>
        <v>42588.224050925928</v>
      </c>
    </row>
    <row r="118" spans="1:7" x14ac:dyDescent="0.25">
      <c r="A118" s="8">
        <v>42588.745798611111</v>
      </c>
      <c r="B118" s="24" t="s">
        <v>316</v>
      </c>
      <c r="C118" s="24" t="s">
        <v>482</v>
      </c>
      <c r="D118" s="24">
        <v>2000000</v>
      </c>
      <c r="E118" s="24" t="s">
        <v>304</v>
      </c>
      <c r="F118" s="24" t="str">
        <f t="shared" si="2"/>
        <v>rtdc.l.rtdc.4039:itc</v>
      </c>
      <c r="G118" s="8">
        <f t="shared" si="3"/>
        <v>42588.745798611111</v>
      </c>
    </row>
    <row r="119" spans="1:7" x14ac:dyDescent="0.25">
      <c r="A119" s="8">
        <v>42589.071250000001</v>
      </c>
      <c r="B119" s="24" t="s">
        <v>155</v>
      </c>
      <c r="C119" s="24" t="s">
        <v>807</v>
      </c>
      <c r="D119" s="24">
        <v>1800000</v>
      </c>
      <c r="E119" s="24" t="s">
        <v>168</v>
      </c>
      <c r="F119" s="24" t="str">
        <f t="shared" si="2"/>
        <v>rtdc.l.rtdc.4014:itc</v>
      </c>
      <c r="G119" s="8">
        <f t="shared" si="3"/>
        <v>42589.071250000001</v>
      </c>
    </row>
    <row r="120" spans="1:7" x14ac:dyDescent="0.25">
      <c r="A120" s="8">
        <v>42588.842187499999</v>
      </c>
      <c r="B120" s="24" t="s">
        <v>142</v>
      </c>
      <c r="C120" s="24" t="s">
        <v>768</v>
      </c>
      <c r="D120" s="24">
        <v>1810000</v>
      </c>
      <c r="E120" s="24" t="s">
        <v>166</v>
      </c>
      <c r="F120" s="24" t="str">
        <f t="shared" si="2"/>
        <v>rtdc.l.rtdc.4010:itc</v>
      </c>
      <c r="G120" s="8">
        <f t="shared" si="3"/>
        <v>42588.842187499999</v>
      </c>
    </row>
    <row r="121" spans="1:7" x14ac:dyDescent="0.25">
      <c r="A121" s="8">
        <v>42588.763437499998</v>
      </c>
      <c r="B121" s="24" t="s">
        <v>161</v>
      </c>
      <c r="C121" s="24" t="s">
        <v>762</v>
      </c>
      <c r="D121" s="24">
        <v>2000000</v>
      </c>
      <c r="E121" s="24" t="s">
        <v>304</v>
      </c>
      <c r="F121" s="24" t="str">
        <f t="shared" si="2"/>
        <v>rtdc.l.rtdc.4031:itc</v>
      </c>
      <c r="G121" s="8">
        <f t="shared" si="3"/>
        <v>42588.763437499998</v>
      </c>
    </row>
    <row r="122" spans="1:7" x14ac:dyDescent="0.25">
      <c r="A122" s="8">
        <v>42588.90148148148</v>
      </c>
      <c r="B122" s="29" t="s">
        <v>107</v>
      </c>
      <c r="C122" s="24" t="s">
        <v>703</v>
      </c>
      <c r="D122" s="24">
        <v>2030000</v>
      </c>
      <c r="E122" s="24" t="s">
        <v>337</v>
      </c>
      <c r="F122" s="24" t="str">
        <f t="shared" si="2"/>
        <v>rtdc.l.rtdc.4030:itc</v>
      </c>
      <c r="G122" s="8">
        <f t="shared" si="3"/>
        <v>42588.90148148148</v>
      </c>
    </row>
    <row r="123" spans="1:7" x14ac:dyDescent="0.25">
      <c r="A123" s="8">
        <v>42588.758969907409</v>
      </c>
      <c r="B123" s="24" t="s">
        <v>155</v>
      </c>
      <c r="C123" s="24" t="s">
        <v>760</v>
      </c>
      <c r="D123" s="24">
        <v>1800000</v>
      </c>
      <c r="E123" s="24" t="s">
        <v>168</v>
      </c>
      <c r="F123" s="24" t="str">
        <f t="shared" si="2"/>
        <v>rtdc.l.rtdc.4014:itc</v>
      </c>
      <c r="G123" s="8">
        <f t="shared" si="3"/>
        <v>42588.758969907409</v>
      </c>
    </row>
    <row r="124" spans="1:7" x14ac:dyDescent="0.25">
      <c r="A124" s="8">
        <v>42588.527916666666</v>
      </c>
      <c r="B124" s="24" t="s">
        <v>108</v>
      </c>
      <c r="C124" s="24" t="s">
        <v>472</v>
      </c>
      <c r="D124" s="24">
        <v>880000</v>
      </c>
      <c r="E124" s="24" t="s">
        <v>167</v>
      </c>
      <c r="F124" s="24" t="str">
        <f t="shared" si="2"/>
        <v>rtdc.l.rtdc.4027:itc</v>
      </c>
      <c r="G124" s="8">
        <f t="shared" si="3"/>
        <v>42588.527916666666</v>
      </c>
    </row>
    <row r="125" spans="1:7" x14ac:dyDescent="0.25">
      <c r="A125" s="8">
        <v>42588.746076388888</v>
      </c>
      <c r="B125" s="24" t="s">
        <v>68</v>
      </c>
      <c r="C125" s="24" t="s">
        <v>756</v>
      </c>
      <c r="D125" s="24">
        <v>1780000</v>
      </c>
      <c r="E125" s="24" t="s">
        <v>275</v>
      </c>
      <c r="F125" s="24" t="str">
        <f t="shared" si="2"/>
        <v>rtdc.l.rtdc.4018:itc</v>
      </c>
      <c r="G125" s="8">
        <f t="shared" si="3"/>
        <v>42588.746076388888</v>
      </c>
    </row>
    <row r="126" spans="1:7" x14ac:dyDescent="0.25">
      <c r="A126" s="8">
        <v>42588.607361111113</v>
      </c>
      <c r="B126" s="24" t="s">
        <v>69</v>
      </c>
      <c r="C126" s="24" t="s">
        <v>675</v>
      </c>
      <c r="D126" s="24">
        <v>1780000</v>
      </c>
      <c r="E126" s="24" t="s">
        <v>275</v>
      </c>
      <c r="F126" s="24" t="str">
        <f t="shared" si="2"/>
        <v>rtdc.l.rtdc.4017:itc</v>
      </c>
      <c r="G126" s="8">
        <f t="shared" si="3"/>
        <v>42588.607361111113</v>
      </c>
    </row>
    <row r="127" spans="1:7" x14ac:dyDescent="0.25">
      <c r="A127" s="8">
        <v>42588.588125000002</v>
      </c>
      <c r="B127" s="24" t="s">
        <v>102</v>
      </c>
      <c r="C127" s="24" t="s">
        <v>622</v>
      </c>
      <c r="D127" s="24">
        <v>2040000</v>
      </c>
      <c r="E127" s="24" t="s">
        <v>335</v>
      </c>
      <c r="F127" s="24" t="str">
        <f t="shared" si="2"/>
        <v>rtdc.l.rtdc.4026:itc</v>
      </c>
      <c r="G127" s="8">
        <f t="shared" si="3"/>
        <v>42588.588125000002</v>
      </c>
    </row>
    <row r="128" spans="1:7" x14ac:dyDescent="0.25">
      <c r="A128" s="8">
        <v>42588.651331018518</v>
      </c>
      <c r="B128" s="24" t="s">
        <v>107</v>
      </c>
      <c r="C128" s="24" t="s">
        <v>676</v>
      </c>
      <c r="D128" s="24">
        <v>2030000</v>
      </c>
      <c r="E128" s="24" t="s">
        <v>337</v>
      </c>
      <c r="F128" s="24" t="str">
        <f t="shared" si="2"/>
        <v>rtdc.l.rtdc.4030:itc</v>
      </c>
      <c r="G128" s="8">
        <f t="shared" si="3"/>
        <v>42588.651331018518</v>
      </c>
    </row>
    <row r="129" spans="1:7" x14ac:dyDescent="0.25">
      <c r="A129" s="8">
        <v>42588.566134259258</v>
      </c>
      <c r="B129" s="24" t="s">
        <v>105</v>
      </c>
      <c r="C129" s="24" t="s">
        <v>617</v>
      </c>
      <c r="D129" s="24">
        <v>880000</v>
      </c>
      <c r="E129" s="24" t="s">
        <v>167</v>
      </c>
      <c r="F129" s="24" t="str">
        <f t="shared" si="2"/>
        <v>rtdc.l.rtdc.4028:itc</v>
      </c>
      <c r="G129" s="8">
        <f t="shared" si="3"/>
        <v>42588.566134259258</v>
      </c>
    </row>
    <row r="130" spans="1:7" x14ac:dyDescent="0.25">
      <c r="A130" s="8">
        <v>42588.825150462966</v>
      </c>
      <c r="B130" s="24" t="s">
        <v>151</v>
      </c>
      <c r="C130" s="24" t="s">
        <v>766</v>
      </c>
      <c r="D130" s="24">
        <v>860000</v>
      </c>
      <c r="E130" s="24" t="s">
        <v>819</v>
      </c>
      <c r="F130" s="24" t="str">
        <f t="shared" ref="F130:F193" si="4">B130</f>
        <v>rtdc.l.rtdc.4012:itc</v>
      </c>
      <c r="G130" s="8">
        <f t="shared" ref="G130:G193" si="5">A130</f>
        <v>42588.825150462966</v>
      </c>
    </row>
    <row r="131" spans="1:7" x14ac:dyDescent="0.25">
      <c r="A131" s="8">
        <v>42588.558437500003</v>
      </c>
      <c r="B131" s="24" t="s">
        <v>141</v>
      </c>
      <c r="C131" s="24" t="s">
        <v>624</v>
      </c>
      <c r="D131" s="24">
        <v>2020000</v>
      </c>
      <c r="E131" s="24" t="s">
        <v>408</v>
      </c>
      <c r="F131" s="24" t="str">
        <f t="shared" si="4"/>
        <v>rtdc.l.rtdc.4009:itc</v>
      </c>
      <c r="G131" s="8">
        <f t="shared" si="5"/>
        <v>42588.558437500003</v>
      </c>
    </row>
    <row r="132" spans="1:7" x14ac:dyDescent="0.25">
      <c r="A132" s="8">
        <v>42588.412442129629</v>
      </c>
      <c r="B132" s="24" t="s">
        <v>105</v>
      </c>
      <c r="C132" s="24" t="s">
        <v>466</v>
      </c>
      <c r="D132" s="24">
        <v>1360000</v>
      </c>
      <c r="E132" s="24" t="s">
        <v>271</v>
      </c>
      <c r="F132" s="24" t="str">
        <f t="shared" si="4"/>
        <v>rtdc.l.rtdc.4028:itc</v>
      </c>
      <c r="G132" s="8">
        <f t="shared" si="5"/>
        <v>42588.412442129629</v>
      </c>
    </row>
    <row r="133" spans="1:7" x14ac:dyDescent="0.25">
      <c r="A133" s="8">
        <v>42588.546342592592</v>
      </c>
      <c r="B133" s="24" t="s">
        <v>103</v>
      </c>
      <c r="C133" s="24" t="s">
        <v>612</v>
      </c>
      <c r="D133" s="24">
        <v>1520000</v>
      </c>
      <c r="E133" s="24" t="s">
        <v>163</v>
      </c>
      <c r="F133" s="24" t="str">
        <f t="shared" si="4"/>
        <v>rtdc.l.rtdc.4013:itc</v>
      </c>
      <c r="G133" s="8">
        <f t="shared" si="5"/>
        <v>42588.546342592592</v>
      </c>
    </row>
    <row r="134" spans="1:7" x14ac:dyDescent="0.25">
      <c r="A134" s="8">
        <v>42588.505011574074</v>
      </c>
      <c r="B134" s="24" t="s">
        <v>155</v>
      </c>
      <c r="C134" s="24" t="s">
        <v>610</v>
      </c>
      <c r="D134" s="24">
        <v>1520000</v>
      </c>
      <c r="E134" s="24" t="s">
        <v>163</v>
      </c>
      <c r="F134" s="24" t="str">
        <f t="shared" si="4"/>
        <v>rtdc.l.rtdc.4014:itc</v>
      </c>
      <c r="G134" s="8">
        <f t="shared" si="5"/>
        <v>42588.505011574074</v>
      </c>
    </row>
    <row r="135" spans="1:7" x14ac:dyDescent="0.25">
      <c r="A135" s="8">
        <v>42588.401053240741</v>
      </c>
      <c r="B135" s="24" t="s">
        <v>107</v>
      </c>
      <c r="C135" s="24" t="s">
        <v>645</v>
      </c>
      <c r="D135" s="24">
        <v>1830000</v>
      </c>
      <c r="E135" s="24" t="s">
        <v>291</v>
      </c>
      <c r="F135" s="24" t="str">
        <f t="shared" si="4"/>
        <v>rtdc.l.rtdc.4030:itc</v>
      </c>
      <c r="G135" s="8">
        <f t="shared" si="5"/>
        <v>42588.401053240741</v>
      </c>
    </row>
    <row r="136" spans="1:7" x14ac:dyDescent="0.25">
      <c r="A136" s="8">
        <v>42588.526909722219</v>
      </c>
      <c r="B136" s="24" t="s">
        <v>107</v>
      </c>
      <c r="C136" s="24" t="s">
        <v>471</v>
      </c>
      <c r="D136" s="24">
        <v>1830000</v>
      </c>
      <c r="E136" s="24" t="s">
        <v>291</v>
      </c>
      <c r="F136" s="24" t="str">
        <f t="shared" si="4"/>
        <v>rtdc.l.rtdc.4030:itc</v>
      </c>
      <c r="G136" s="8">
        <f t="shared" si="5"/>
        <v>42588.526909722219</v>
      </c>
    </row>
    <row r="137" spans="1:7" x14ac:dyDescent="0.25">
      <c r="A137" s="8">
        <v>42588.26489583333</v>
      </c>
      <c r="B137" s="24" t="s">
        <v>144</v>
      </c>
      <c r="C137" s="24" t="s">
        <v>525</v>
      </c>
      <c r="D137" s="24">
        <v>1760000</v>
      </c>
      <c r="E137" s="24" t="s">
        <v>322</v>
      </c>
      <c r="F137" s="24" t="str">
        <f t="shared" si="4"/>
        <v>rtdc.l.rtdc.4041:itc</v>
      </c>
      <c r="G137" s="8">
        <f t="shared" si="5"/>
        <v>42588.26489583333</v>
      </c>
    </row>
    <row r="138" spans="1:7" x14ac:dyDescent="0.25">
      <c r="A138" s="8">
        <v>42588.538055555553</v>
      </c>
      <c r="B138" s="24" t="s">
        <v>69</v>
      </c>
      <c r="C138" s="24" t="s">
        <v>609</v>
      </c>
      <c r="D138" s="24">
        <v>750000</v>
      </c>
      <c r="E138" s="24" t="s">
        <v>817</v>
      </c>
      <c r="F138" s="24" t="str">
        <f t="shared" si="4"/>
        <v>rtdc.l.rtdc.4017:itc</v>
      </c>
      <c r="G138" s="8">
        <f t="shared" si="5"/>
        <v>42588.538055555553</v>
      </c>
    </row>
    <row r="139" spans="1:7" x14ac:dyDescent="0.25">
      <c r="A139" s="8">
        <v>42588.172118055554</v>
      </c>
      <c r="B139" s="24" t="s">
        <v>149</v>
      </c>
      <c r="C139" s="24" t="s">
        <v>502</v>
      </c>
      <c r="D139" s="24">
        <v>1260000</v>
      </c>
      <c r="E139" s="24" t="s">
        <v>170</v>
      </c>
      <c r="F139" s="24" t="str">
        <f t="shared" si="4"/>
        <v>rtdc.l.rtdc.4011:itc</v>
      </c>
      <c r="G139" s="8">
        <f t="shared" si="5"/>
        <v>42588.172118055554</v>
      </c>
    </row>
    <row r="140" spans="1:7" x14ac:dyDescent="0.25">
      <c r="A140" s="8">
        <v>42588.785208333335</v>
      </c>
      <c r="B140" s="24" t="s">
        <v>69</v>
      </c>
      <c r="C140" s="24" t="s">
        <v>758</v>
      </c>
      <c r="D140" s="24">
        <v>1780000</v>
      </c>
      <c r="E140" s="24" t="s">
        <v>275</v>
      </c>
      <c r="F140" s="24" t="str">
        <f t="shared" si="4"/>
        <v>rtdc.l.rtdc.4017:itc</v>
      </c>
      <c r="G140" s="8">
        <f t="shared" si="5"/>
        <v>42588.785208333335</v>
      </c>
    </row>
    <row r="141" spans="1:7" x14ac:dyDescent="0.25">
      <c r="A141" s="8">
        <v>42588.662835648145</v>
      </c>
      <c r="B141" s="24" t="s">
        <v>161</v>
      </c>
      <c r="C141" s="24" t="s">
        <v>477</v>
      </c>
      <c r="D141" s="24">
        <v>950000</v>
      </c>
      <c r="E141" s="24" t="s">
        <v>268</v>
      </c>
      <c r="F141" s="24" t="str">
        <f t="shared" si="4"/>
        <v>rtdc.l.rtdc.4031:itc</v>
      </c>
      <c r="G141" s="8">
        <f t="shared" si="5"/>
        <v>42588.662835648145</v>
      </c>
    </row>
    <row r="142" spans="1:7" x14ac:dyDescent="0.25">
      <c r="A142" s="8">
        <v>42588.556504629632</v>
      </c>
      <c r="B142" s="24" t="s">
        <v>162</v>
      </c>
      <c r="C142" s="24" t="s">
        <v>615</v>
      </c>
      <c r="D142" s="24">
        <v>950000</v>
      </c>
      <c r="E142" s="24" t="s">
        <v>268</v>
      </c>
      <c r="F142" s="24" t="str">
        <f t="shared" si="4"/>
        <v>rtdc.l.rtdc.4032:itc</v>
      </c>
      <c r="G142" s="8">
        <f t="shared" si="5"/>
        <v>42588.556504629632</v>
      </c>
    </row>
    <row r="143" spans="1:7" x14ac:dyDescent="0.25">
      <c r="A143" s="8">
        <v>42588.033275462964</v>
      </c>
      <c r="B143" s="24" t="s">
        <v>314</v>
      </c>
      <c r="C143" s="24" t="s">
        <v>821</v>
      </c>
      <c r="D143" s="24">
        <v>1300000</v>
      </c>
      <c r="E143" s="24" t="s">
        <v>145</v>
      </c>
      <c r="F143" s="24" t="str">
        <f t="shared" si="4"/>
        <v>rtdc.l.rtdc.4044:itc</v>
      </c>
      <c r="G143" s="8">
        <f t="shared" si="5"/>
        <v>42588.033275462964</v>
      </c>
    </row>
    <row r="144" spans="1:7" x14ac:dyDescent="0.25">
      <c r="A144" s="8">
        <v>42588.745092592595</v>
      </c>
      <c r="B144" s="24" t="s">
        <v>151</v>
      </c>
      <c r="C144" s="24" t="s">
        <v>747</v>
      </c>
      <c r="D144" s="24">
        <v>1540000</v>
      </c>
      <c r="E144" s="24" t="s">
        <v>172</v>
      </c>
      <c r="F144" s="24" t="str">
        <f t="shared" si="4"/>
        <v>rtdc.l.rtdc.4012:itc</v>
      </c>
      <c r="G144" s="8">
        <f t="shared" si="5"/>
        <v>42588.745092592595</v>
      </c>
    </row>
    <row r="145" spans="1:7" x14ac:dyDescent="0.25">
      <c r="A145" s="8">
        <v>42588.970555555556</v>
      </c>
      <c r="B145" s="24" t="s">
        <v>141</v>
      </c>
      <c r="C145" s="24" t="s">
        <v>490</v>
      </c>
      <c r="D145" s="24">
        <v>1810000</v>
      </c>
      <c r="E145" s="24" t="s">
        <v>166</v>
      </c>
      <c r="F145" s="24" t="str">
        <f t="shared" si="4"/>
        <v>rtdc.l.rtdc.4009:itc</v>
      </c>
      <c r="G145" s="8">
        <f t="shared" si="5"/>
        <v>42588.970555555556</v>
      </c>
    </row>
    <row r="146" spans="1:7" x14ac:dyDescent="0.25">
      <c r="A146" s="8">
        <v>42588.795775462961</v>
      </c>
      <c r="B146" s="24" t="s">
        <v>103</v>
      </c>
      <c r="C146" s="24" t="s">
        <v>761</v>
      </c>
      <c r="D146" s="24">
        <v>1800000</v>
      </c>
      <c r="E146" s="24" t="s">
        <v>168</v>
      </c>
      <c r="F146" s="24" t="str">
        <f t="shared" si="4"/>
        <v>rtdc.l.rtdc.4013:itc</v>
      </c>
      <c r="G146" s="8">
        <f t="shared" si="5"/>
        <v>42588.795775462961</v>
      </c>
    </row>
    <row r="147" spans="1:7" x14ac:dyDescent="0.25">
      <c r="A147" s="8">
        <v>42588.791087962964</v>
      </c>
      <c r="B147" s="24" t="s">
        <v>104</v>
      </c>
      <c r="C147" s="24" t="s">
        <v>803</v>
      </c>
      <c r="D147" s="24">
        <v>2040000</v>
      </c>
      <c r="E147" s="24" t="s">
        <v>335</v>
      </c>
      <c r="F147" s="24" t="str">
        <f t="shared" si="4"/>
        <v>rtdc.l.rtdc.4025:itc</v>
      </c>
      <c r="G147" s="8">
        <f t="shared" si="5"/>
        <v>42588.791087962964</v>
      </c>
    </row>
    <row r="148" spans="1:7" x14ac:dyDescent="0.25">
      <c r="A148" s="8">
        <v>42588.130277777775</v>
      </c>
      <c r="B148" s="24" t="s">
        <v>68</v>
      </c>
      <c r="C148" s="24" t="s">
        <v>449</v>
      </c>
      <c r="D148" s="24">
        <v>2010000</v>
      </c>
      <c r="E148" s="24" t="s">
        <v>273</v>
      </c>
      <c r="F148" s="24" t="str">
        <f t="shared" si="4"/>
        <v>rtdc.l.rtdc.4018:itc</v>
      </c>
      <c r="G148" s="8">
        <f t="shared" si="5"/>
        <v>42588.130277777775</v>
      </c>
    </row>
    <row r="149" spans="1:7" x14ac:dyDescent="0.25">
      <c r="A149" s="8">
        <v>42588.773865740739</v>
      </c>
      <c r="B149" s="24" t="s">
        <v>144</v>
      </c>
      <c r="C149" s="24" t="s">
        <v>754</v>
      </c>
      <c r="D149" s="24">
        <v>2020000</v>
      </c>
      <c r="E149" s="24" t="s">
        <v>408</v>
      </c>
      <c r="F149" s="24" t="str">
        <f t="shared" si="4"/>
        <v>rtdc.l.rtdc.4041:itc</v>
      </c>
      <c r="G149" s="8">
        <f t="shared" si="5"/>
        <v>42588.773865740739</v>
      </c>
    </row>
    <row r="150" spans="1:7" x14ac:dyDescent="0.25">
      <c r="A150" s="8">
        <v>42588.20716435185</v>
      </c>
      <c r="B150" s="24" t="s">
        <v>68</v>
      </c>
      <c r="C150" s="24" t="s">
        <v>515</v>
      </c>
      <c r="D150" s="24">
        <v>1100000</v>
      </c>
      <c r="E150" s="24" t="s">
        <v>154</v>
      </c>
      <c r="F150" s="24" t="str">
        <f t="shared" si="4"/>
        <v>rtdc.l.rtdc.4018:itc</v>
      </c>
      <c r="G150" s="8">
        <f t="shared" si="5"/>
        <v>42588.20716435185</v>
      </c>
    </row>
    <row r="151" spans="1:7" x14ac:dyDescent="0.25">
      <c r="A151" s="8">
        <v>42588.729363425926</v>
      </c>
      <c r="B151" s="24" t="s">
        <v>141</v>
      </c>
      <c r="C151" s="24" t="s">
        <v>749</v>
      </c>
      <c r="D151" s="24">
        <v>1810000</v>
      </c>
      <c r="E151" s="24" t="s">
        <v>166</v>
      </c>
      <c r="F151" s="24" t="str">
        <f t="shared" si="4"/>
        <v>rtdc.l.rtdc.4009:itc</v>
      </c>
      <c r="G151" s="8">
        <f t="shared" si="5"/>
        <v>42588.729363425926</v>
      </c>
    </row>
    <row r="152" spans="1:7" x14ac:dyDescent="0.25">
      <c r="A152" s="8">
        <v>42588.250821759262</v>
      </c>
      <c r="B152" s="24" t="s">
        <v>149</v>
      </c>
      <c r="C152" s="24" t="s">
        <v>528</v>
      </c>
      <c r="D152" s="24">
        <v>1260000</v>
      </c>
      <c r="E152" s="24" t="s">
        <v>170</v>
      </c>
      <c r="F152" s="24" t="str">
        <f t="shared" si="4"/>
        <v>rtdc.l.rtdc.4011:itc</v>
      </c>
      <c r="G152" s="8">
        <f t="shared" si="5"/>
        <v>42588.250821759262</v>
      </c>
    </row>
    <row r="153" spans="1:7" x14ac:dyDescent="0.25">
      <c r="A153" s="8">
        <v>42588.721307870372</v>
      </c>
      <c r="B153" s="24" t="s">
        <v>108</v>
      </c>
      <c r="C153" s="24" t="s">
        <v>736</v>
      </c>
      <c r="D153" s="24">
        <v>880000</v>
      </c>
      <c r="E153" s="24" t="s">
        <v>167</v>
      </c>
      <c r="F153" s="24" t="str">
        <f t="shared" si="4"/>
        <v>rtdc.l.rtdc.4027:itc</v>
      </c>
      <c r="G153" s="8">
        <f t="shared" si="5"/>
        <v>42588.721307870372</v>
      </c>
    </row>
    <row r="154" spans="1:7" x14ac:dyDescent="0.25">
      <c r="A154" s="8">
        <v>42588.053587962961</v>
      </c>
      <c r="B154" s="24" t="s">
        <v>187</v>
      </c>
      <c r="C154" s="24" t="s">
        <v>822</v>
      </c>
      <c r="D154" s="24">
        <v>2140000</v>
      </c>
      <c r="E154" s="24" t="s">
        <v>317</v>
      </c>
      <c r="F154" s="24" t="str">
        <f t="shared" si="4"/>
        <v>rtdc.l.rtdc.4037:itc</v>
      </c>
      <c r="G154" s="8">
        <f t="shared" si="5"/>
        <v>42588.053587962961</v>
      </c>
    </row>
    <row r="155" spans="1:7" x14ac:dyDescent="0.25">
      <c r="A155" s="8">
        <v>42588.456724537034</v>
      </c>
      <c r="B155" s="24" t="s">
        <v>106</v>
      </c>
      <c r="C155" s="24" t="s">
        <v>655</v>
      </c>
      <c r="D155" s="24">
        <v>1830000</v>
      </c>
      <c r="E155" s="24" t="s">
        <v>291</v>
      </c>
      <c r="F155" s="24" t="str">
        <f t="shared" si="4"/>
        <v>rtdc.l.rtdc.4029:itc</v>
      </c>
      <c r="G155" s="8">
        <f t="shared" si="5"/>
        <v>42588.456724537034</v>
      </c>
    </row>
    <row r="156" spans="1:7" x14ac:dyDescent="0.25">
      <c r="A156" s="8">
        <v>42588.192615740743</v>
      </c>
      <c r="B156" s="24" t="s">
        <v>105</v>
      </c>
      <c r="C156" s="24" t="s">
        <v>500</v>
      </c>
      <c r="D156" s="24">
        <v>1360000</v>
      </c>
      <c r="E156" s="24" t="s">
        <v>271</v>
      </c>
      <c r="F156" s="24" t="str">
        <f t="shared" si="4"/>
        <v>rtdc.l.rtdc.4028:itc</v>
      </c>
      <c r="G156" s="8">
        <f t="shared" si="5"/>
        <v>42588.192615740743</v>
      </c>
    </row>
    <row r="157" spans="1:7" x14ac:dyDescent="0.25">
      <c r="A157" s="8">
        <v>42588.429861111108</v>
      </c>
      <c r="B157" s="24" t="s">
        <v>151</v>
      </c>
      <c r="C157" s="24" t="s">
        <v>575</v>
      </c>
      <c r="D157" s="24">
        <v>1260000</v>
      </c>
      <c r="E157" s="24" t="s">
        <v>170</v>
      </c>
      <c r="F157" s="24" t="str">
        <f t="shared" si="4"/>
        <v>rtdc.l.rtdc.4012:itc</v>
      </c>
      <c r="G157" s="8">
        <f t="shared" si="5"/>
        <v>42588.429861111108</v>
      </c>
    </row>
    <row r="158" spans="1:7" x14ac:dyDescent="0.25">
      <c r="A158" s="8">
        <v>42588.540914351855</v>
      </c>
      <c r="B158" s="24" t="s">
        <v>106</v>
      </c>
      <c r="C158" s="24" t="s">
        <v>661</v>
      </c>
      <c r="D158" s="24">
        <v>1830000</v>
      </c>
      <c r="E158" s="24" t="s">
        <v>291</v>
      </c>
      <c r="F158" s="24" t="str">
        <f t="shared" si="4"/>
        <v>rtdc.l.rtdc.4029:itc</v>
      </c>
      <c r="G158" s="8">
        <f t="shared" si="5"/>
        <v>42588.540914351855</v>
      </c>
    </row>
    <row r="159" spans="1:7" x14ac:dyDescent="0.25">
      <c r="A159" s="8">
        <v>42588.357245370367</v>
      </c>
      <c r="B159" s="24" t="s">
        <v>151</v>
      </c>
      <c r="C159" s="24" t="s">
        <v>464</v>
      </c>
      <c r="D159" s="24">
        <v>1260000</v>
      </c>
      <c r="E159" s="24" t="s">
        <v>170</v>
      </c>
      <c r="F159" s="24" t="str">
        <f t="shared" si="4"/>
        <v>rtdc.l.rtdc.4012:itc</v>
      </c>
      <c r="G159" s="8">
        <f t="shared" si="5"/>
        <v>42588.357245370367</v>
      </c>
    </row>
    <row r="160" spans="1:7" x14ac:dyDescent="0.25">
      <c r="A160" s="8">
        <v>42588.621168981481</v>
      </c>
      <c r="B160" s="24" t="s">
        <v>104</v>
      </c>
      <c r="C160" s="24" t="s">
        <v>719</v>
      </c>
      <c r="D160" s="24">
        <v>2040000</v>
      </c>
      <c r="E160" s="24" t="s">
        <v>335</v>
      </c>
      <c r="F160" s="24" t="str">
        <f t="shared" si="4"/>
        <v>rtdc.l.rtdc.4025:itc</v>
      </c>
      <c r="G160" s="8">
        <f t="shared" si="5"/>
        <v>42588.621168981481</v>
      </c>
    </row>
    <row r="161" spans="1:7" x14ac:dyDescent="0.25">
      <c r="A161" s="8">
        <v>42588.27516203704</v>
      </c>
      <c r="B161" s="24" t="s">
        <v>105</v>
      </c>
      <c r="C161" s="24" t="s">
        <v>456</v>
      </c>
      <c r="D161" s="24">
        <v>1360000</v>
      </c>
      <c r="E161" s="24" t="s">
        <v>271</v>
      </c>
      <c r="F161" s="24" t="str">
        <f t="shared" si="4"/>
        <v>rtdc.l.rtdc.4028:itc</v>
      </c>
      <c r="G161" s="8">
        <f t="shared" si="5"/>
        <v>42588.27516203704</v>
      </c>
    </row>
    <row r="162" spans="1:7" x14ac:dyDescent="0.25">
      <c r="A162" s="8">
        <v>42588.626562500001</v>
      </c>
      <c r="B162" s="24" t="s">
        <v>106</v>
      </c>
      <c r="C162" s="24" t="s">
        <v>672</v>
      </c>
      <c r="D162" s="24">
        <v>2030000</v>
      </c>
      <c r="E162" s="24" t="s">
        <v>337</v>
      </c>
      <c r="F162" s="24" t="str">
        <f t="shared" si="4"/>
        <v>rtdc.l.rtdc.4029:itc</v>
      </c>
      <c r="G162" s="8">
        <f t="shared" si="5"/>
        <v>42588.626562500001</v>
      </c>
    </row>
    <row r="163" spans="1:7" x14ac:dyDescent="0.25">
      <c r="A163" s="8">
        <v>42589.090138888889</v>
      </c>
      <c r="B163" s="24" t="s">
        <v>161</v>
      </c>
      <c r="C163" s="24" t="s">
        <v>823</v>
      </c>
      <c r="D163" s="24">
        <v>2000000</v>
      </c>
      <c r="E163" s="24" t="s">
        <v>304</v>
      </c>
      <c r="F163" s="24" t="str">
        <f t="shared" si="4"/>
        <v>rtdc.l.rtdc.4031:itc</v>
      </c>
      <c r="G163" s="8">
        <f t="shared" si="5"/>
        <v>42589.090138888889</v>
      </c>
    </row>
    <row r="164" spans="1:7" x14ac:dyDescent="0.25">
      <c r="A164" s="8">
        <v>42588.714432870373</v>
      </c>
      <c r="B164" s="24" t="s">
        <v>142</v>
      </c>
      <c r="C164" s="24" t="s">
        <v>725</v>
      </c>
      <c r="D164" s="24">
        <v>2020000</v>
      </c>
      <c r="E164" s="24" t="s">
        <v>408</v>
      </c>
      <c r="F164" s="24" t="str">
        <f t="shared" si="4"/>
        <v>rtdc.l.rtdc.4010:itc</v>
      </c>
      <c r="G164" s="8">
        <f t="shared" si="5"/>
        <v>42588.714432870373</v>
      </c>
    </row>
    <row r="165" spans="1:7" x14ac:dyDescent="0.25">
      <c r="A165" s="8">
        <v>42589.000196759262</v>
      </c>
      <c r="B165" s="24" t="s">
        <v>155</v>
      </c>
      <c r="C165" s="24" t="s">
        <v>491</v>
      </c>
      <c r="D165" s="24">
        <v>1800000</v>
      </c>
      <c r="E165" s="24" t="s">
        <v>168</v>
      </c>
      <c r="F165" s="24" t="str">
        <f t="shared" si="4"/>
        <v>rtdc.l.rtdc.4014:itc</v>
      </c>
      <c r="G165" s="8">
        <f t="shared" si="5"/>
        <v>42589.000196759262</v>
      </c>
    </row>
    <row r="166" spans="1:7" x14ac:dyDescent="0.25">
      <c r="A166" s="8">
        <v>42588.737129629626</v>
      </c>
      <c r="B166" s="24" t="s">
        <v>105</v>
      </c>
      <c r="C166" s="24" t="s">
        <v>743</v>
      </c>
      <c r="D166" s="24">
        <v>880000</v>
      </c>
      <c r="E166" s="24" t="s">
        <v>167</v>
      </c>
      <c r="F166" s="24" t="str">
        <f t="shared" si="4"/>
        <v>rtdc.l.rtdc.4028:itc</v>
      </c>
      <c r="G166" s="8">
        <f t="shared" si="5"/>
        <v>42588.737129629626</v>
      </c>
    </row>
    <row r="167" spans="1:7" x14ac:dyDescent="0.25">
      <c r="A167" s="8">
        <v>42588.954340277778</v>
      </c>
      <c r="B167" s="24" t="s">
        <v>103</v>
      </c>
      <c r="C167" s="24" t="s">
        <v>784</v>
      </c>
      <c r="D167" s="24">
        <v>1800000</v>
      </c>
      <c r="E167" s="24" t="s">
        <v>168</v>
      </c>
      <c r="F167" s="24" t="str">
        <f t="shared" si="4"/>
        <v>rtdc.l.rtdc.4013:itc</v>
      </c>
      <c r="G167" s="8">
        <f t="shared" si="5"/>
        <v>42588.954340277778</v>
      </c>
    </row>
    <row r="168" spans="1:7" x14ac:dyDescent="0.25">
      <c r="A168" s="8">
        <v>42588.762256944443</v>
      </c>
      <c r="B168" s="24" t="s">
        <v>142</v>
      </c>
      <c r="C168" s="24" t="s">
        <v>751</v>
      </c>
      <c r="D168" s="24">
        <v>1810000</v>
      </c>
      <c r="E168" s="24" t="s">
        <v>166</v>
      </c>
      <c r="F168" s="24" t="str">
        <f t="shared" si="4"/>
        <v>rtdc.l.rtdc.4010:itc</v>
      </c>
      <c r="G168" s="8">
        <f t="shared" si="5"/>
        <v>42588.762256944443</v>
      </c>
    </row>
    <row r="169" spans="1:7" x14ac:dyDescent="0.25">
      <c r="A169" s="8">
        <v>42588.94321759259</v>
      </c>
      <c r="B169" s="24" t="s">
        <v>107</v>
      </c>
      <c r="C169" s="24" t="s">
        <v>717</v>
      </c>
      <c r="D169" s="24">
        <v>2030000</v>
      </c>
      <c r="E169" s="24" t="s">
        <v>337</v>
      </c>
      <c r="F169" s="24" t="str">
        <f t="shared" si="4"/>
        <v>rtdc.l.rtdc.4030:itc</v>
      </c>
      <c r="G169" s="8">
        <f t="shared" si="5"/>
        <v>42588.94321759259</v>
      </c>
    </row>
    <row r="170" spans="1:7" x14ac:dyDescent="0.25">
      <c r="A170" s="8">
        <v>42588.277037037034</v>
      </c>
      <c r="B170" s="24" t="s">
        <v>68</v>
      </c>
      <c r="C170" s="24" t="s">
        <v>540</v>
      </c>
      <c r="D170" s="24">
        <v>1100000</v>
      </c>
      <c r="E170" s="24" t="s">
        <v>154</v>
      </c>
      <c r="F170" s="24" t="str">
        <f t="shared" si="4"/>
        <v>rtdc.l.rtdc.4018:itc</v>
      </c>
      <c r="G170" s="8">
        <f t="shared" si="5"/>
        <v>42588.277037037034</v>
      </c>
    </row>
    <row r="171" spans="1:7" x14ac:dyDescent="0.25">
      <c r="A171" s="8">
        <v>42588.737210648149</v>
      </c>
      <c r="B171" s="24" t="s">
        <v>75</v>
      </c>
      <c r="C171" s="24" t="s">
        <v>752</v>
      </c>
      <c r="D171" s="24">
        <v>2020000</v>
      </c>
      <c r="E171" s="24" t="s">
        <v>408</v>
      </c>
      <c r="F171" s="24" t="str">
        <f t="shared" si="4"/>
        <v>rtdc.l.rtdc.4042:itc</v>
      </c>
      <c r="G171" s="8">
        <f t="shared" si="5"/>
        <v>42588.737210648149</v>
      </c>
    </row>
    <row r="172" spans="1:7" x14ac:dyDescent="0.25">
      <c r="A172" s="8">
        <v>42588.425162037034</v>
      </c>
      <c r="B172" s="24" t="s">
        <v>68</v>
      </c>
      <c r="C172" s="24" t="s">
        <v>583</v>
      </c>
      <c r="D172" s="24">
        <v>1100000</v>
      </c>
      <c r="E172" s="24" t="s">
        <v>154</v>
      </c>
      <c r="F172" s="24" t="str">
        <f t="shared" si="4"/>
        <v>rtdc.l.rtdc.4018:itc</v>
      </c>
      <c r="G172" s="8">
        <f t="shared" si="5"/>
        <v>42588.425162037034</v>
      </c>
    </row>
    <row r="173" spans="1:7" x14ac:dyDescent="0.25">
      <c r="A173" s="8">
        <v>42588.589074074072</v>
      </c>
      <c r="B173" s="24" t="s">
        <v>161</v>
      </c>
      <c r="C173" s="24" t="s">
        <v>709</v>
      </c>
      <c r="D173" s="24">
        <v>950000</v>
      </c>
      <c r="E173" s="24" t="s">
        <v>268</v>
      </c>
      <c r="F173" s="24" t="str">
        <f t="shared" si="4"/>
        <v>rtdc.l.rtdc.4031:itc</v>
      </c>
      <c r="G173" s="8">
        <f t="shared" si="5"/>
        <v>42588.589074074072</v>
      </c>
    </row>
    <row r="174" spans="1:7" x14ac:dyDescent="0.25">
      <c r="A174" s="8">
        <v>42588.433333333334</v>
      </c>
      <c r="B174" s="24" t="s">
        <v>155</v>
      </c>
      <c r="C174" s="24" t="s">
        <v>586</v>
      </c>
      <c r="D174" s="24">
        <v>1520000</v>
      </c>
      <c r="E174" s="24" t="s">
        <v>163</v>
      </c>
      <c r="F174" s="24" t="str">
        <f t="shared" si="4"/>
        <v>rtdc.l.rtdc.4014:itc</v>
      </c>
      <c r="G174" s="8">
        <f t="shared" si="5"/>
        <v>42588.433333333334</v>
      </c>
    </row>
    <row r="175" spans="1:7" x14ac:dyDescent="0.25">
      <c r="A175" s="8">
        <v>42588.577233796299</v>
      </c>
      <c r="B175" s="24" t="s">
        <v>151</v>
      </c>
      <c r="C175" s="24" t="s">
        <v>619</v>
      </c>
      <c r="D175" s="24">
        <v>1540000</v>
      </c>
      <c r="E175" s="24" t="s">
        <v>172</v>
      </c>
      <c r="F175" s="24" t="str">
        <f t="shared" si="4"/>
        <v>rtdc.l.rtdc.4012:itc</v>
      </c>
      <c r="G175" s="8">
        <f t="shared" si="5"/>
        <v>42588.577233796299</v>
      </c>
    </row>
    <row r="176" spans="1:7" x14ac:dyDescent="0.25">
      <c r="A176" s="8">
        <v>42588.497928240744</v>
      </c>
      <c r="B176" s="24" t="s">
        <v>106</v>
      </c>
      <c r="C176" s="24" t="s">
        <v>659</v>
      </c>
      <c r="D176" s="24">
        <v>1830000</v>
      </c>
      <c r="E176" s="24" t="s">
        <v>291</v>
      </c>
      <c r="F176" s="24" t="str">
        <f t="shared" si="4"/>
        <v>rtdc.l.rtdc.4029:itc</v>
      </c>
      <c r="G176" s="8">
        <f t="shared" si="5"/>
        <v>42588.497928240744</v>
      </c>
    </row>
    <row r="177" spans="1:7" x14ac:dyDescent="0.25">
      <c r="A177" s="8">
        <v>42588.389722222222</v>
      </c>
      <c r="B177" s="24" t="s">
        <v>69</v>
      </c>
      <c r="C177" s="24" t="s">
        <v>563</v>
      </c>
      <c r="D177" s="24">
        <v>1100000</v>
      </c>
      <c r="E177" s="24" t="s">
        <v>154</v>
      </c>
      <c r="F177" s="24" t="str">
        <f t="shared" si="4"/>
        <v>rtdc.l.rtdc.4017:itc</v>
      </c>
      <c r="G177" s="8">
        <f t="shared" si="5"/>
        <v>42588.389722222222</v>
      </c>
    </row>
    <row r="178" spans="1:7" x14ac:dyDescent="0.25">
      <c r="A178" s="8">
        <v>42588.600868055553</v>
      </c>
      <c r="B178" s="24" t="s">
        <v>108</v>
      </c>
      <c r="C178" s="24" t="s">
        <v>473</v>
      </c>
      <c r="D178" s="24">
        <v>880000</v>
      </c>
      <c r="E178" s="24" t="s">
        <v>167</v>
      </c>
      <c r="F178" s="24" t="str">
        <f t="shared" si="4"/>
        <v>rtdc.l.rtdc.4027:itc</v>
      </c>
      <c r="G178" s="8">
        <f t="shared" si="5"/>
        <v>42588.600868055553</v>
      </c>
    </row>
    <row r="179" spans="1:7" x14ac:dyDescent="0.25">
      <c r="A179" s="8">
        <v>42588.287939814814</v>
      </c>
      <c r="B179" s="24" t="s">
        <v>155</v>
      </c>
      <c r="C179" s="24" t="s">
        <v>544</v>
      </c>
      <c r="D179" s="24">
        <v>2010000</v>
      </c>
      <c r="E179" s="24" t="s">
        <v>273</v>
      </c>
      <c r="F179" s="24" t="str">
        <f t="shared" si="4"/>
        <v>rtdc.l.rtdc.4014:itc</v>
      </c>
      <c r="G179" s="8">
        <f t="shared" si="5"/>
        <v>42588.287939814814</v>
      </c>
    </row>
    <row r="180" spans="1:7" x14ac:dyDescent="0.25">
      <c r="A180" s="8">
        <v>42588.696203703701</v>
      </c>
      <c r="B180" s="24" t="s">
        <v>104</v>
      </c>
      <c r="C180" s="24" t="s">
        <v>742</v>
      </c>
      <c r="D180" s="24">
        <v>2040000</v>
      </c>
      <c r="E180" s="24" t="s">
        <v>335</v>
      </c>
      <c r="F180" s="24" t="str">
        <f t="shared" si="4"/>
        <v>rtdc.l.rtdc.4025:itc</v>
      </c>
      <c r="G180" s="8">
        <f t="shared" si="5"/>
        <v>42588.696203703701</v>
      </c>
    </row>
    <row r="181" spans="1:7" x14ac:dyDescent="0.25">
      <c r="A181" s="8">
        <v>42588.252835648149</v>
      </c>
      <c r="B181" s="24" t="s">
        <v>149</v>
      </c>
      <c r="C181" s="24" t="s">
        <v>528</v>
      </c>
      <c r="D181" s="24">
        <v>1260000</v>
      </c>
      <c r="E181" s="24" t="s">
        <v>170</v>
      </c>
      <c r="F181" s="24" t="str">
        <f t="shared" si="4"/>
        <v>rtdc.l.rtdc.4011:itc</v>
      </c>
      <c r="G181" s="8">
        <f t="shared" si="5"/>
        <v>42588.252835648149</v>
      </c>
    </row>
    <row r="182" spans="1:7" x14ac:dyDescent="0.25">
      <c r="A182" s="8">
        <v>42588.71266203704</v>
      </c>
      <c r="B182" s="24" t="s">
        <v>162</v>
      </c>
      <c r="C182" s="24" t="s">
        <v>739</v>
      </c>
      <c r="D182" s="24">
        <v>950000</v>
      </c>
      <c r="E182" s="24" t="s">
        <v>268</v>
      </c>
      <c r="F182" s="24" t="str">
        <f t="shared" si="4"/>
        <v>rtdc.l.rtdc.4032:itc</v>
      </c>
      <c r="G182" s="8">
        <f t="shared" si="5"/>
        <v>42588.71266203704</v>
      </c>
    </row>
    <row r="183" spans="1:7" x14ac:dyDescent="0.25">
      <c r="A183" s="8">
        <v>42589.018888888888</v>
      </c>
      <c r="B183" s="24" t="s">
        <v>151</v>
      </c>
      <c r="C183" s="24" t="s">
        <v>789</v>
      </c>
      <c r="D183" s="24">
        <v>1410000</v>
      </c>
      <c r="E183" s="24" t="s">
        <v>413</v>
      </c>
      <c r="F183" s="24" t="str">
        <f t="shared" si="4"/>
        <v>rtdc.l.rtdc.4012:itc</v>
      </c>
      <c r="G183" s="8">
        <f t="shared" si="5"/>
        <v>42589.018888888888</v>
      </c>
    </row>
    <row r="184" spans="1:7" x14ac:dyDescent="0.25">
      <c r="A184" s="8">
        <v>42589.169537037036</v>
      </c>
      <c r="B184" s="24" t="s">
        <v>314</v>
      </c>
      <c r="C184" s="24" t="s">
        <v>824</v>
      </c>
      <c r="D184" s="24">
        <v>2010000</v>
      </c>
      <c r="E184" s="24" t="s">
        <v>273</v>
      </c>
      <c r="F184" s="24" t="str">
        <f t="shared" si="4"/>
        <v>rtdc.l.rtdc.4044:itc</v>
      </c>
      <c r="G184" s="8">
        <f t="shared" si="5"/>
        <v>42589.169537037036</v>
      </c>
    </row>
    <row r="185" spans="1:7" x14ac:dyDescent="0.25">
      <c r="A185" s="8">
        <v>42588.524652777778</v>
      </c>
      <c r="B185" s="24" t="s">
        <v>142</v>
      </c>
      <c r="C185" s="24" t="s">
        <v>605</v>
      </c>
      <c r="D185" s="24">
        <v>2020000</v>
      </c>
      <c r="E185" s="24" t="s">
        <v>408</v>
      </c>
      <c r="F185" s="24" t="str">
        <f t="shared" si="4"/>
        <v>rtdc.l.rtdc.4010:itc</v>
      </c>
      <c r="G185" s="8">
        <f t="shared" si="5"/>
        <v>42588.524652777778</v>
      </c>
    </row>
    <row r="186" spans="1:7" x14ac:dyDescent="0.25">
      <c r="A186" s="8">
        <v>42588.299363425926</v>
      </c>
      <c r="B186" s="24" t="s">
        <v>75</v>
      </c>
      <c r="C186" s="24" t="s">
        <v>455</v>
      </c>
      <c r="D186" s="24">
        <v>1760000</v>
      </c>
      <c r="E186" s="24" t="s">
        <v>322</v>
      </c>
      <c r="F186" s="24" t="str">
        <f t="shared" si="4"/>
        <v>rtdc.l.rtdc.4042:itc</v>
      </c>
      <c r="G186" s="8">
        <f t="shared" si="5"/>
        <v>42588.299363425926</v>
      </c>
    </row>
    <row r="187" spans="1:7" x14ac:dyDescent="0.25">
      <c r="A187" s="8">
        <v>42588.443113425928</v>
      </c>
      <c r="B187" s="24" t="s">
        <v>107</v>
      </c>
      <c r="C187" s="24" t="s">
        <v>652</v>
      </c>
      <c r="D187" s="24">
        <v>1830000</v>
      </c>
      <c r="E187" s="24" t="s">
        <v>291</v>
      </c>
      <c r="F187" s="24" t="str">
        <f t="shared" si="4"/>
        <v>rtdc.l.rtdc.4030:itc</v>
      </c>
      <c r="G187" s="8">
        <f t="shared" si="5"/>
        <v>42588.443113425928</v>
      </c>
    </row>
    <row r="188" spans="1:7" x14ac:dyDescent="0.25">
      <c r="A188" s="8">
        <v>42588.30878472222</v>
      </c>
      <c r="B188" s="24" t="s">
        <v>108</v>
      </c>
      <c r="C188" s="24" t="s">
        <v>549</v>
      </c>
      <c r="D188" s="24">
        <v>1360000</v>
      </c>
      <c r="E188" s="24" t="s">
        <v>271</v>
      </c>
      <c r="F188" s="24" t="str">
        <f t="shared" si="4"/>
        <v>rtdc.l.rtdc.4027:itc</v>
      </c>
      <c r="G188" s="8">
        <f t="shared" si="5"/>
        <v>42588.30878472222</v>
      </c>
    </row>
    <row r="189" spans="1:7" x14ac:dyDescent="0.25">
      <c r="A189" s="8">
        <v>42589.040497685186</v>
      </c>
      <c r="B189" s="24" t="s">
        <v>149</v>
      </c>
      <c r="C189" s="24" t="s">
        <v>797</v>
      </c>
      <c r="D189" s="24">
        <v>1410000</v>
      </c>
      <c r="E189" s="24" t="s">
        <v>413</v>
      </c>
      <c r="F189" s="24" t="str">
        <f t="shared" si="4"/>
        <v>rtdc.l.rtdc.4011:itc</v>
      </c>
      <c r="G189" s="8">
        <f t="shared" si="5"/>
        <v>42589.040497685186</v>
      </c>
    </row>
    <row r="190" spans="1:7" x14ac:dyDescent="0.25">
      <c r="A190" s="8">
        <v>42588.412893518522</v>
      </c>
      <c r="B190" s="24" t="s">
        <v>141</v>
      </c>
      <c r="C190" s="24" t="s">
        <v>579</v>
      </c>
      <c r="D190" s="24">
        <v>1740000</v>
      </c>
      <c r="E190" s="24" t="s">
        <v>812</v>
      </c>
      <c r="F190" s="24" t="str">
        <f t="shared" si="4"/>
        <v>rtdc.l.rtdc.4009:itc</v>
      </c>
      <c r="G190" s="8">
        <f t="shared" si="5"/>
        <v>42588.412893518522</v>
      </c>
    </row>
    <row r="191" spans="1:7" x14ac:dyDescent="0.25">
      <c r="A191" s="8">
        <v>42588.454745370371</v>
      </c>
      <c r="B191" s="24" t="s">
        <v>108</v>
      </c>
      <c r="C191" s="24" t="s">
        <v>591</v>
      </c>
      <c r="D191" s="24">
        <v>880000</v>
      </c>
      <c r="E191" s="24" t="s">
        <v>167</v>
      </c>
      <c r="F191" s="24" t="str">
        <f t="shared" si="4"/>
        <v>rtdc.l.rtdc.4027:itc</v>
      </c>
      <c r="G191" s="8">
        <f t="shared" si="5"/>
        <v>42588.454745370371</v>
      </c>
    </row>
    <row r="192" spans="1:7" x14ac:dyDescent="0.25">
      <c r="A192" s="8">
        <v>42588.640370370369</v>
      </c>
      <c r="B192" s="24" t="s">
        <v>105</v>
      </c>
      <c r="C192" s="24" t="s">
        <v>711</v>
      </c>
      <c r="D192" s="24">
        <v>880000</v>
      </c>
      <c r="E192" s="24" t="s">
        <v>167</v>
      </c>
      <c r="F192" s="24" t="str">
        <f t="shared" si="4"/>
        <v>rtdc.l.rtdc.4028:itc</v>
      </c>
      <c r="G192" s="8">
        <f t="shared" si="5"/>
        <v>42588.640370370369</v>
      </c>
    </row>
    <row r="193" spans="1:7" x14ac:dyDescent="0.25">
      <c r="A193" s="8">
        <v>42588.382986111108</v>
      </c>
      <c r="B193" s="24" t="s">
        <v>108</v>
      </c>
      <c r="C193" s="24" t="s">
        <v>570</v>
      </c>
      <c r="D193" s="24">
        <v>1360000</v>
      </c>
      <c r="E193" s="24" t="s">
        <v>271</v>
      </c>
      <c r="F193" s="24" t="str">
        <f t="shared" si="4"/>
        <v>rtdc.l.rtdc.4027:itc</v>
      </c>
      <c r="G193" s="8">
        <f t="shared" si="5"/>
        <v>42588.382986111108</v>
      </c>
    </row>
    <row r="194" spans="1:7" x14ac:dyDescent="0.25">
      <c r="A194" s="8">
        <v>42588.692800925928</v>
      </c>
      <c r="B194" s="24" t="s">
        <v>107</v>
      </c>
      <c r="C194" s="24" t="s">
        <v>479</v>
      </c>
      <c r="D194" s="24">
        <v>2030000</v>
      </c>
      <c r="E194" s="24" t="s">
        <v>337</v>
      </c>
      <c r="F194" s="24" t="str">
        <f t="shared" ref="F194:F235" si="6">B194</f>
        <v>rtdc.l.rtdc.4030:itc</v>
      </c>
      <c r="G194" s="8">
        <f t="shared" ref="G194:G235" si="7">A194</f>
        <v>42588.692800925928</v>
      </c>
    </row>
    <row r="195" spans="1:7" x14ac:dyDescent="0.25">
      <c r="A195" s="8">
        <v>42588.372442129628</v>
      </c>
      <c r="B195" s="24" t="s">
        <v>75</v>
      </c>
      <c r="C195" s="24" t="s">
        <v>462</v>
      </c>
      <c r="D195" s="24">
        <v>1760000</v>
      </c>
      <c r="E195" s="24" t="s">
        <v>322</v>
      </c>
      <c r="F195" s="24" t="str">
        <f t="shared" si="6"/>
        <v>rtdc.l.rtdc.4042:itc</v>
      </c>
      <c r="G195" s="8">
        <f t="shared" si="7"/>
        <v>42588.372442129628</v>
      </c>
    </row>
    <row r="196" spans="1:7" x14ac:dyDescent="0.25">
      <c r="A196" s="8">
        <v>42588.715405092589</v>
      </c>
      <c r="B196" s="24" t="s">
        <v>162</v>
      </c>
      <c r="C196" s="24" t="s">
        <v>739</v>
      </c>
      <c r="D196" s="24">
        <v>950000</v>
      </c>
      <c r="E196" s="24" t="s">
        <v>268</v>
      </c>
      <c r="F196" s="24" t="str">
        <f t="shared" si="6"/>
        <v>rtdc.l.rtdc.4032:itc</v>
      </c>
      <c r="G196" s="8">
        <f t="shared" si="7"/>
        <v>42588.715405092589</v>
      </c>
    </row>
    <row r="197" spans="1:7" x14ac:dyDescent="0.25">
      <c r="A197" s="8">
        <v>42589.181261574071</v>
      </c>
      <c r="B197" s="24" t="s">
        <v>68</v>
      </c>
      <c r="C197" s="24" t="s">
        <v>825</v>
      </c>
      <c r="D197" s="24">
        <v>1990000</v>
      </c>
      <c r="E197" s="24" t="s">
        <v>191</v>
      </c>
      <c r="F197" s="24" t="str">
        <f t="shared" si="6"/>
        <v>rtdc.l.rtdc.4018:itc</v>
      </c>
      <c r="G197" s="8">
        <f t="shared" si="7"/>
        <v>42589.181261574071</v>
      </c>
    </row>
    <row r="198" spans="1:7" x14ac:dyDescent="0.25">
      <c r="A198" s="8">
        <v>42588.734525462962</v>
      </c>
      <c r="B198" s="24" t="s">
        <v>107</v>
      </c>
      <c r="C198" s="24" t="s">
        <v>481</v>
      </c>
      <c r="D198" s="24">
        <v>2030000</v>
      </c>
      <c r="E198" s="24" t="s">
        <v>337</v>
      </c>
      <c r="F198" s="24" t="str">
        <f t="shared" si="6"/>
        <v>rtdc.l.rtdc.4030:itc</v>
      </c>
      <c r="G198" s="8">
        <f t="shared" si="7"/>
        <v>42588.734525462962</v>
      </c>
    </row>
    <row r="199" spans="1:7" x14ac:dyDescent="0.25">
      <c r="A199" s="8">
        <v>42588.618750000001</v>
      </c>
      <c r="B199" s="24" t="s">
        <v>103</v>
      </c>
      <c r="C199" s="24" t="s">
        <v>707</v>
      </c>
      <c r="D199" s="24">
        <v>1520000</v>
      </c>
      <c r="E199" s="24" t="s">
        <v>163</v>
      </c>
      <c r="F199" s="24" t="str">
        <f t="shared" si="6"/>
        <v>rtdc.l.rtdc.4013:itc</v>
      </c>
      <c r="G199" s="8">
        <f t="shared" si="7"/>
        <v>42588.618750000001</v>
      </c>
    </row>
    <row r="200" spans="1:7" x14ac:dyDescent="0.25">
      <c r="A200" s="8">
        <v>42588.753784722219</v>
      </c>
      <c r="B200" s="24" t="s">
        <v>102</v>
      </c>
      <c r="C200" s="24" t="s">
        <v>484</v>
      </c>
      <c r="D200" s="24">
        <v>2040000</v>
      </c>
      <c r="E200" s="24" t="s">
        <v>335</v>
      </c>
      <c r="F200" s="24" t="str">
        <f t="shared" si="6"/>
        <v>rtdc.l.rtdc.4026:itc</v>
      </c>
      <c r="G200" s="8">
        <f t="shared" si="7"/>
        <v>42588.753784722219</v>
      </c>
    </row>
    <row r="201" spans="1:7" x14ac:dyDescent="0.25">
      <c r="A201" s="8">
        <v>42588.579768518517</v>
      </c>
      <c r="B201" s="24" t="s">
        <v>155</v>
      </c>
      <c r="C201" s="24" t="s">
        <v>697</v>
      </c>
      <c r="D201" s="24">
        <v>1520000</v>
      </c>
      <c r="E201" s="24" t="s">
        <v>163</v>
      </c>
      <c r="F201" s="24" t="str">
        <f t="shared" si="6"/>
        <v>rtdc.l.rtdc.4014:itc</v>
      </c>
      <c r="G201" s="8">
        <f t="shared" si="7"/>
        <v>42588.579768518517</v>
      </c>
    </row>
    <row r="202" spans="1:7" x14ac:dyDescent="0.25">
      <c r="A202" s="30">
        <v>42589.151493055557</v>
      </c>
      <c r="B202" s="24" t="s">
        <v>104</v>
      </c>
      <c r="C202" s="24" t="s">
        <v>826</v>
      </c>
      <c r="D202" s="24">
        <v>1260000</v>
      </c>
      <c r="E202" s="24" t="s">
        <v>170</v>
      </c>
      <c r="F202" s="24" t="str">
        <f t="shared" si="6"/>
        <v>rtdc.l.rtdc.4025:itc</v>
      </c>
      <c r="G202" s="8">
        <f t="shared" si="7"/>
        <v>42589.151493055557</v>
      </c>
    </row>
    <row r="203" spans="1:7" x14ac:dyDescent="0.25">
      <c r="A203" s="8">
        <v>42588.890428240738</v>
      </c>
      <c r="B203" s="24" t="s">
        <v>162</v>
      </c>
      <c r="C203" s="24" t="s">
        <v>775</v>
      </c>
      <c r="D203" s="24">
        <v>2000000</v>
      </c>
      <c r="E203" s="24" t="s">
        <v>304</v>
      </c>
      <c r="F203" s="24" t="str">
        <f t="shared" si="6"/>
        <v>rtdc.l.rtdc.4032:itc</v>
      </c>
      <c r="G203" s="8">
        <f t="shared" si="7"/>
        <v>42588.890428240738</v>
      </c>
    </row>
    <row r="204" spans="1:7" x14ac:dyDescent="0.25">
      <c r="A204" s="8">
        <v>42588.390740740739</v>
      </c>
      <c r="B204" s="24" t="s">
        <v>149</v>
      </c>
      <c r="C204" s="24" t="s">
        <v>573</v>
      </c>
      <c r="D204" s="24">
        <v>1260000</v>
      </c>
      <c r="E204" s="24" t="s">
        <v>170</v>
      </c>
      <c r="F204" s="24" t="str">
        <f t="shared" si="6"/>
        <v>rtdc.l.rtdc.4011:itc</v>
      </c>
      <c r="G204" s="8">
        <f t="shared" si="7"/>
        <v>42588.390740740739</v>
      </c>
    </row>
    <row r="205" spans="1:7" x14ac:dyDescent="0.25">
      <c r="A205" s="8">
        <v>42588.666273148148</v>
      </c>
      <c r="B205" s="24" t="s">
        <v>106</v>
      </c>
      <c r="C205" s="24" t="s">
        <v>679</v>
      </c>
      <c r="D205" s="24">
        <v>2030000</v>
      </c>
      <c r="E205" s="24" t="s">
        <v>337</v>
      </c>
      <c r="F205" s="24" t="str">
        <f t="shared" si="6"/>
        <v>rtdc.l.rtdc.4029:itc</v>
      </c>
      <c r="G205" s="8">
        <f t="shared" si="7"/>
        <v>42588.666273148148</v>
      </c>
    </row>
    <row r="206" spans="1:7" x14ac:dyDescent="0.25">
      <c r="A206" s="8">
        <v>42588.661168981482</v>
      </c>
      <c r="B206" s="24" t="s">
        <v>102</v>
      </c>
      <c r="C206" s="24" t="s">
        <v>478</v>
      </c>
      <c r="D206" s="24">
        <v>2040000</v>
      </c>
      <c r="E206" s="24" t="s">
        <v>335</v>
      </c>
      <c r="F206" s="24" t="str">
        <f t="shared" si="6"/>
        <v>rtdc.l.rtdc.4026:itc</v>
      </c>
      <c r="G206" s="8">
        <f t="shared" si="7"/>
        <v>42588.661168981482</v>
      </c>
    </row>
    <row r="207" spans="1:7" x14ac:dyDescent="0.25">
      <c r="A207" s="8">
        <v>42588.493437500001</v>
      </c>
      <c r="B207" s="24" t="s">
        <v>105</v>
      </c>
      <c r="C207" s="24" t="s">
        <v>592</v>
      </c>
      <c r="D207" s="24">
        <v>880000</v>
      </c>
      <c r="E207" s="24" t="s">
        <v>167</v>
      </c>
      <c r="F207" s="24" t="str">
        <f t="shared" si="6"/>
        <v>rtdc.l.rtdc.4028:itc</v>
      </c>
      <c r="G207" s="8">
        <f t="shared" si="7"/>
        <v>42588.493437500001</v>
      </c>
    </row>
    <row r="208" spans="1:7" x14ac:dyDescent="0.25">
      <c r="A208" s="8">
        <v>42588.518206018518</v>
      </c>
      <c r="B208" s="24" t="s">
        <v>161</v>
      </c>
      <c r="C208" s="24" t="s">
        <v>613</v>
      </c>
      <c r="D208" s="24">
        <v>950000</v>
      </c>
      <c r="E208" s="24" t="s">
        <v>268</v>
      </c>
      <c r="F208" s="24" t="str">
        <f t="shared" si="6"/>
        <v>rtdc.l.rtdc.4031:itc</v>
      </c>
      <c r="G208" s="8">
        <f t="shared" si="7"/>
        <v>42588.518206018518</v>
      </c>
    </row>
    <row r="209" spans="1:7" x14ac:dyDescent="0.25">
      <c r="A209" s="8">
        <v>42588.402222222219</v>
      </c>
      <c r="B209" s="24" t="s">
        <v>104</v>
      </c>
      <c r="C209" s="24" t="s">
        <v>576</v>
      </c>
      <c r="D209" s="24">
        <v>1990000</v>
      </c>
      <c r="E209" s="24" t="s">
        <v>191</v>
      </c>
      <c r="F209" s="24" t="str">
        <f t="shared" si="6"/>
        <v>rtdc.l.rtdc.4025:itc</v>
      </c>
      <c r="G209" s="8">
        <f t="shared" si="7"/>
        <v>42588.402222222219</v>
      </c>
    </row>
    <row r="210" spans="1:7" x14ac:dyDescent="0.25">
      <c r="A210" s="8">
        <v>42588.749074074076</v>
      </c>
      <c r="B210" s="24" t="s">
        <v>316</v>
      </c>
      <c r="C210" s="24" t="s">
        <v>482</v>
      </c>
      <c r="D210" s="24">
        <v>2000000</v>
      </c>
      <c r="E210" s="24" t="s">
        <v>304</v>
      </c>
      <c r="F210" s="24" t="str">
        <f t="shared" si="6"/>
        <v>rtdc.l.rtdc.4039:itc</v>
      </c>
      <c r="G210" s="8">
        <f t="shared" si="7"/>
        <v>42588.749074074076</v>
      </c>
    </row>
    <row r="211" spans="1:7" x14ac:dyDescent="0.25">
      <c r="A211" s="8">
        <v>42588.038518518515</v>
      </c>
      <c r="B211" s="24" t="s">
        <v>66</v>
      </c>
      <c r="C211" s="24" t="s">
        <v>827</v>
      </c>
      <c r="D211" s="24">
        <v>1800000</v>
      </c>
      <c r="E211" s="24" t="s">
        <v>168</v>
      </c>
      <c r="F211" s="24" t="str">
        <f t="shared" si="6"/>
        <v>rtdc.l.rtdc.4019:itc</v>
      </c>
      <c r="G211" s="8">
        <f t="shared" si="7"/>
        <v>42588.038518518515</v>
      </c>
    </row>
    <row r="212" spans="1:7" x14ac:dyDescent="0.25">
      <c r="A212" s="8">
        <v>42588.399027777778</v>
      </c>
      <c r="B212" s="24" t="s">
        <v>103</v>
      </c>
      <c r="C212" s="24" t="s">
        <v>567</v>
      </c>
      <c r="D212" s="24">
        <v>2010000</v>
      </c>
      <c r="E212" s="24" t="s">
        <v>273</v>
      </c>
      <c r="F212" s="24" t="str">
        <f t="shared" si="6"/>
        <v>rtdc.l.rtdc.4013:itc</v>
      </c>
      <c r="G212" s="8">
        <f t="shared" si="7"/>
        <v>42588.399027777778</v>
      </c>
    </row>
    <row r="213" spans="1:7" x14ac:dyDescent="0.25">
      <c r="A213" s="8">
        <v>42588.236134259256</v>
      </c>
      <c r="B213" s="24" t="s">
        <v>108</v>
      </c>
      <c r="C213" s="24" t="s">
        <v>452</v>
      </c>
      <c r="D213" s="24">
        <v>1360000</v>
      </c>
      <c r="E213" s="24" t="s">
        <v>271</v>
      </c>
      <c r="F213" s="24" t="str">
        <f t="shared" si="6"/>
        <v>rtdc.l.rtdc.4027:itc</v>
      </c>
      <c r="G213" s="8">
        <f t="shared" si="7"/>
        <v>42588.236134259256</v>
      </c>
    </row>
    <row r="214" spans="1:7" x14ac:dyDescent="0.25">
      <c r="A214" s="8">
        <v>42588.704756944448</v>
      </c>
      <c r="B214" s="24" t="s">
        <v>104</v>
      </c>
      <c r="C214" s="24" t="s">
        <v>745</v>
      </c>
      <c r="D214" s="24">
        <v>2040000</v>
      </c>
      <c r="E214" s="24" t="s">
        <v>335</v>
      </c>
      <c r="F214" s="24" t="str">
        <f t="shared" si="6"/>
        <v>rtdc.l.rtdc.4025:itc</v>
      </c>
      <c r="G214" s="8">
        <f t="shared" si="7"/>
        <v>42588.704756944448</v>
      </c>
    </row>
    <row r="215" spans="1:7" x14ac:dyDescent="0.25">
      <c r="A215" s="8">
        <v>42588.223067129627</v>
      </c>
      <c r="B215" s="24" t="s">
        <v>102</v>
      </c>
      <c r="C215" s="24" t="s">
        <v>509</v>
      </c>
      <c r="D215" s="24">
        <v>1990000</v>
      </c>
      <c r="E215" s="24" t="s">
        <v>191</v>
      </c>
      <c r="F215" s="24" t="str">
        <f t="shared" si="6"/>
        <v>rtdc.l.rtdc.4026:itc</v>
      </c>
      <c r="G215" s="8">
        <f t="shared" si="7"/>
        <v>42588.223067129627</v>
      </c>
    </row>
    <row r="216" spans="1:7" x14ac:dyDescent="0.25">
      <c r="A216" s="8">
        <v>42588.749745370369</v>
      </c>
      <c r="B216" s="24" t="s">
        <v>113</v>
      </c>
      <c r="C216" s="24" t="s">
        <v>800</v>
      </c>
      <c r="D216" s="24">
        <v>1520000</v>
      </c>
      <c r="E216" s="24" t="s">
        <v>163</v>
      </c>
      <c r="F216" s="24" t="str">
        <f t="shared" si="6"/>
        <v>rtdc.l.rtdc.4007:itc</v>
      </c>
      <c r="G216" s="8">
        <f t="shared" si="7"/>
        <v>42588.749745370369</v>
      </c>
    </row>
    <row r="217" spans="1:7" x14ac:dyDescent="0.25">
      <c r="A217" s="8">
        <v>42588.22797453704</v>
      </c>
      <c r="B217" s="24" t="s">
        <v>75</v>
      </c>
      <c r="C217" s="24" t="s">
        <v>523</v>
      </c>
      <c r="D217" s="24">
        <v>1760000</v>
      </c>
      <c r="E217" s="24" t="s">
        <v>322</v>
      </c>
      <c r="F217" s="24" t="str">
        <f t="shared" si="6"/>
        <v>rtdc.l.rtdc.4042:itc</v>
      </c>
      <c r="G217" s="8">
        <f t="shared" si="7"/>
        <v>42588.22797453704</v>
      </c>
    </row>
    <row r="218" spans="1:7" x14ac:dyDescent="0.25">
      <c r="A218" s="8">
        <v>42588.80196759259</v>
      </c>
      <c r="B218" s="24" t="s">
        <v>141</v>
      </c>
      <c r="C218" s="24" t="s">
        <v>767</v>
      </c>
      <c r="D218" s="24">
        <v>1810000</v>
      </c>
      <c r="E218" s="24" t="s">
        <v>166</v>
      </c>
      <c r="F218" s="24" t="str">
        <f t="shared" si="6"/>
        <v>rtdc.l.rtdc.4009:itc</v>
      </c>
      <c r="G218" s="8">
        <f t="shared" si="7"/>
        <v>42588.80196759259</v>
      </c>
    </row>
    <row r="219" spans="1:7" x14ac:dyDescent="0.25">
      <c r="A219" s="8">
        <v>42588.074525462966</v>
      </c>
      <c r="B219" s="24" t="s">
        <v>292</v>
      </c>
      <c r="C219" s="24" t="s">
        <v>798</v>
      </c>
      <c r="D219" s="24">
        <v>1300000</v>
      </c>
      <c r="E219" s="24" t="s">
        <v>145</v>
      </c>
      <c r="F219" s="24" t="str">
        <f t="shared" si="6"/>
        <v>rtdc.l.rtdc.4043:itc</v>
      </c>
      <c r="G219" s="8">
        <f t="shared" si="7"/>
        <v>42588.074525462966</v>
      </c>
    </row>
    <row r="220" spans="1:7" x14ac:dyDescent="0.25">
      <c r="A220" s="8">
        <v>42588.808888888889</v>
      </c>
      <c r="B220" s="24" t="s">
        <v>162</v>
      </c>
      <c r="C220" s="24" t="s">
        <v>763</v>
      </c>
      <c r="D220" s="24">
        <v>2000000</v>
      </c>
      <c r="E220" s="24" t="s">
        <v>304</v>
      </c>
      <c r="F220" s="24" t="str">
        <f t="shared" si="6"/>
        <v>rtdc.l.rtdc.4032:itc</v>
      </c>
      <c r="G220" s="8">
        <f t="shared" si="7"/>
        <v>42588.808888888889</v>
      </c>
    </row>
    <row r="221" spans="1:7" x14ac:dyDescent="0.25">
      <c r="A221" s="8">
        <v>42589.110590277778</v>
      </c>
      <c r="B221" s="24" t="s">
        <v>149</v>
      </c>
      <c r="C221" s="24" t="s">
        <v>809</v>
      </c>
      <c r="D221" s="24">
        <v>1410000</v>
      </c>
      <c r="E221" s="24" t="s">
        <v>413</v>
      </c>
      <c r="F221" s="24" t="str">
        <f t="shared" si="6"/>
        <v>rtdc.l.rtdc.4011:itc</v>
      </c>
      <c r="G221" s="8">
        <f t="shared" si="7"/>
        <v>42589.110590277778</v>
      </c>
    </row>
    <row r="222" spans="1:7" x14ac:dyDescent="0.25">
      <c r="B222" s="24"/>
      <c r="C222" s="24"/>
      <c r="D222" s="24"/>
      <c r="E222" s="24"/>
      <c r="F222" s="24">
        <f t="shared" si="6"/>
        <v>0</v>
      </c>
      <c r="G222" s="8">
        <f t="shared" si="7"/>
        <v>0</v>
      </c>
    </row>
    <row r="223" spans="1:7" x14ac:dyDescent="0.25">
      <c r="A223" s="8">
        <v>42587.308738425927</v>
      </c>
      <c r="B223" s="24" t="s">
        <v>292</v>
      </c>
      <c r="C223" s="24" t="s">
        <v>416</v>
      </c>
      <c r="D223" s="24">
        <v>1360000</v>
      </c>
      <c r="E223" s="24" t="s">
        <v>271</v>
      </c>
      <c r="F223" s="24" t="str">
        <f t="shared" si="6"/>
        <v>rtdc.l.rtdc.4043:itc</v>
      </c>
      <c r="G223" s="8">
        <f t="shared" si="7"/>
        <v>42587.308738425927</v>
      </c>
    </row>
    <row r="224" spans="1:7" x14ac:dyDescent="0.25">
      <c r="A224" s="8">
        <v>42586.570532407408</v>
      </c>
      <c r="B224" t="s">
        <v>100</v>
      </c>
      <c r="C224" t="s">
        <v>375</v>
      </c>
      <c r="D224">
        <v>1540000</v>
      </c>
      <c r="E224" t="s">
        <v>172</v>
      </c>
      <c r="F224" s="24" t="str">
        <f t="shared" si="6"/>
        <v>rtdc.l.rtdc.4038:itc</v>
      </c>
      <c r="G224" s="8">
        <f t="shared" si="7"/>
        <v>42586.570532407408</v>
      </c>
    </row>
    <row r="225" spans="1:7" x14ac:dyDescent="0.25">
      <c r="A225" s="8">
        <v>42586.809594907405</v>
      </c>
      <c r="B225" t="s">
        <v>108</v>
      </c>
      <c r="C225" t="s">
        <v>392</v>
      </c>
      <c r="D225">
        <v>1290000</v>
      </c>
      <c r="E225" t="s">
        <v>148</v>
      </c>
      <c r="F225" s="24" t="str">
        <f t="shared" si="6"/>
        <v>rtdc.l.rtdc.4027:itc</v>
      </c>
      <c r="G225" s="8">
        <f t="shared" si="7"/>
        <v>42586.809594907405</v>
      </c>
    </row>
    <row r="226" spans="1:7" x14ac:dyDescent="0.25">
      <c r="A226" s="8">
        <v>42586.616180555553</v>
      </c>
      <c r="B226" t="s">
        <v>162</v>
      </c>
      <c r="C226" t="s">
        <v>377</v>
      </c>
      <c r="D226">
        <v>910000</v>
      </c>
      <c r="E226" t="s">
        <v>411</v>
      </c>
      <c r="F226" s="24" t="str">
        <f t="shared" si="6"/>
        <v>rtdc.l.rtdc.4032:itc</v>
      </c>
      <c r="G226" s="8">
        <f t="shared" si="7"/>
        <v>42586.616180555553</v>
      </c>
    </row>
    <row r="227" spans="1:7" x14ac:dyDescent="0.25">
      <c r="A227" s="8">
        <v>42586.687384259261</v>
      </c>
      <c r="B227" t="s">
        <v>162</v>
      </c>
      <c r="C227" t="s">
        <v>385</v>
      </c>
      <c r="D227">
        <v>910000</v>
      </c>
      <c r="E227" t="s">
        <v>411</v>
      </c>
      <c r="F227" s="24" t="str">
        <f t="shared" si="6"/>
        <v>rtdc.l.rtdc.4032:itc</v>
      </c>
      <c r="G227" s="8">
        <f t="shared" si="7"/>
        <v>42586.687384259261</v>
      </c>
    </row>
    <row r="228" spans="1:7" x14ac:dyDescent="0.25">
      <c r="A228" s="8">
        <v>42586.902291666665</v>
      </c>
      <c r="B228" t="s">
        <v>69</v>
      </c>
      <c r="C228" t="s">
        <v>356</v>
      </c>
      <c r="D228">
        <v>2000000</v>
      </c>
      <c r="E228" t="s">
        <v>304</v>
      </c>
      <c r="F228" s="24" t="str">
        <f t="shared" si="6"/>
        <v>rtdc.l.rtdc.4017:itc</v>
      </c>
      <c r="G228" s="8">
        <f t="shared" si="7"/>
        <v>42586.902291666665</v>
      </c>
    </row>
    <row r="229" spans="1:7" x14ac:dyDescent="0.25">
      <c r="A229" s="8">
        <v>42586.672118055554</v>
      </c>
      <c r="B229" t="s">
        <v>102</v>
      </c>
      <c r="C229" t="s">
        <v>382</v>
      </c>
      <c r="D229">
        <v>1810000</v>
      </c>
      <c r="E229" t="s">
        <v>166</v>
      </c>
      <c r="F229" s="24" t="str">
        <f t="shared" si="6"/>
        <v>rtdc.l.rtdc.4026:itc</v>
      </c>
      <c r="G229" s="8">
        <f t="shared" si="7"/>
        <v>42586.672118055554</v>
      </c>
    </row>
    <row r="230" spans="1:7" x14ac:dyDescent="0.25">
      <c r="A230" s="8">
        <v>42587.157835648148</v>
      </c>
      <c r="B230" t="s">
        <v>141</v>
      </c>
      <c r="C230" t="s">
        <v>410</v>
      </c>
      <c r="D230">
        <v>1990000</v>
      </c>
      <c r="E230" t="s">
        <v>191</v>
      </c>
      <c r="F230" s="24" t="str">
        <f t="shared" si="6"/>
        <v>rtdc.l.rtdc.4009:itc</v>
      </c>
      <c r="G230" s="8">
        <f t="shared" si="7"/>
        <v>42587.157835648148</v>
      </c>
    </row>
    <row r="231" spans="1:7" x14ac:dyDescent="0.25">
      <c r="A231" s="8">
        <v>42586.660914351851</v>
      </c>
      <c r="B231" t="s">
        <v>111</v>
      </c>
      <c r="C231" t="s">
        <v>380</v>
      </c>
      <c r="D231">
        <v>2040000</v>
      </c>
      <c r="E231" t="s">
        <v>335</v>
      </c>
      <c r="F231" s="24" t="str">
        <f t="shared" si="6"/>
        <v>rtdc.l.rtdc.4008:itc</v>
      </c>
      <c r="G231" s="8">
        <f t="shared" si="7"/>
        <v>42586.660914351851</v>
      </c>
    </row>
    <row r="232" spans="1:7" x14ac:dyDescent="0.25">
      <c r="A232" s="8">
        <v>42587.205150462964</v>
      </c>
      <c r="B232" t="s">
        <v>68</v>
      </c>
      <c r="C232" t="s">
        <v>412</v>
      </c>
      <c r="D232">
        <v>1760000</v>
      </c>
      <c r="E232" t="s">
        <v>322</v>
      </c>
      <c r="F232" s="24" t="str">
        <f t="shared" si="6"/>
        <v>rtdc.l.rtdc.4018:itc</v>
      </c>
      <c r="G232" s="8">
        <f t="shared" si="7"/>
        <v>42587.205150462964</v>
      </c>
    </row>
    <row r="233" spans="1:7" x14ac:dyDescent="0.25">
      <c r="A233" s="8">
        <v>42586.359594907408</v>
      </c>
      <c r="B233" t="s">
        <v>69</v>
      </c>
      <c r="C233" t="s">
        <v>344</v>
      </c>
      <c r="D233">
        <v>2100000</v>
      </c>
      <c r="E233" t="s">
        <v>313</v>
      </c>
      <c r="F233" s="24" t="str">
        <f t="shared" si="6"/>
        <v>rtdc.l.rtdc.4017:itc</v>
      </c>
      <c r="G233" s="8">
        <f t="shared" si="7"/>
        <v>42586.359594907408</v>
      </c>
    </row>
    <row r="234" spans="1:7" x14ac:dyDescent="0.25">
      <c r="A234" s="8">
        <v>42586.363877314812</v>
      </c>
      <c r="B234" t="s">
        <v>161</v>
      </c>
      <c r="C234" t="s">
        <v>345</v>
      </c>
      <c r="D234">
        <v>2010000</v>
      </c>
      <c r="E234" t="s">
        <v>273</v>
      </c>
      <c r="F234" s="24" t="str">
        <f t="shared" si="6"/>
        <v>rtdc.l.rtdc.4031:itc</v>
      </c>
      <c r="G234" s="8">
        <f t="shared" si="7"/>
        <v>42586.363877314812</v>
      </c>
    </row>
    <row r="235" spans="1:7" x14ac:dyDescent="0.25">
      <c r="A235" s="8">
        <v>42587.186990740738</v>
      </c>
      <c r="B235" t="s">
        <v>102</v>
      </c>
      <c r="C235" t="s">
        <v>414</v>
      </c>
      <c r="D235">
        <v>2010000</v>
      </c>
      <c r="E235" t="s">
        <v>273</v>
      </c>
      <c r="F235" s="24" t="str">
        <f t="shared" si="6"/>
        <v>rtdc.l.rtdc.4026:itc</v>
      </c>
      <c r="G235" s="8">
        <f t="shared" si="7"/>
        <v>42587.186990740738</v>
      </c>
    </row>
    <row r="236" spans="1:7" x14ac:dyDescent="0.25">
      <c r="A236" s="8">
        <v>42586.392233796294</v>
      </c>
      <c r="B236" t="s">
        <v>187</v>
      </c>
      <c r="C236" t="s">
        <v>346</v>
      </c>
      <c r="D236">
        <v>1110000</v>
      </c>
      <c r="E236" t="s">
        <v>116</v>
      </c>
      <c r="F236" s="24" t="str">
        <f t="shared" ref="F236:F265" si="8">B236</f>
        <v>rtdc.l.rtdc.4037:itc</v>
      </c>
      <c r="G236" s="8">
        <f t="shared" ref="G236:G265" si="9">A236</f>
        <v>42586.392233796294</v>
      </c>
    </row>
    <row r="237" spans="1:7" x14ac:dyDescent="0.25">
      <c r="A237" s="8">
        <v>42586.948703703703</v>
      </c>
      <c r="B237" t="s">
        <v>151</v>
      </c>
      <c r="C237" t="s">
        <v>395</v>
      </c>
      <c r="D237">
        <v>1300000</v>
      </c>
      <c r="E237" t="s">
        <v>145</v>
      </c>
      <c r="F237" s="24" t="str">
        <f t="shared" si="8"/>
        <v>rtdc.l.rtdc.4012:itc</v>
      </c>
      <c r="G237" s="8">
        <f t="shared" si="9"/>
        <v>42586.948703703703</v>
      </c>
    </row>
    <row r="238" spans="1:7" x14ac:dyDescent="0.25">
      <c r="A238" s="8">
        <v>42586.515625</v>
      </c>
      <c r="B238" t="s">
        <v>111</v>
      </c>
      <c r="C238" t="s">
        <v>368</v>
      </c>
      <c r="D238">
        <v>2040000</v>
      </c>
      <c r="E238" t="s">
        <v>335</v>
      </c>
      <c r="F238" s="24" t="str">
        <f t="shared" si="8"/>
        <v>rtdc.l.rtdc.4008:itc</v>
      </c>
      <c r="G238" s="8">
        <f t="shared" si="9"/>
        <v>42586.515625</v>
      </c>
    </row>
    <row r="239" spans="1:7" x14ac:dyDescent="0.25">
      <c r="A239" s="8">
        <v>42586.848460648151</v>
      </c>
      <c r="B239" t="s">
        <v>105</v>
      </c>
      <c r="C239" t="s">
        <v>393</v>
      </c>
      <c r="D239">
        <v>1290000</v>
      </c>
      <c r="E239" t="s">
        <v>148</v>
      </c>
      <c r="F239" s="24" t="str">
        <f t="shared" si="8"/>
        <v>rtdc.l.rtdc.4028:itc</v>
      </c>
      <c r="G239" s="8">
        <f t="shared" si="9"/>
        <v>42586.848460648151</v>
      </c>
    </row>
    <row r="240" spans="1:7" x14ac:dyDescent="0.25">
      <c r="A240" s="8">
        <v>42586.621759259258</v>
      </c>
      <c r="B240" t="s">
        <v>113</v>
      </c>
      <c r="C240" t="s">
        <v>379</v>
      </c>
      <c r="D240">
        <v>2040000</v>
      </c>
      <c r="E240" t="s">
        <v>335</v>
      </c>
      <c r="F240" s="24" t="str">
        <f t="shared" si="8"/>
        <v>rtdc.l.rtdc.4007:itc</v>
      </c>
      <c r="G240" s="8">
        <f t="shared" si="9"/>
        <v>42586.621759259258</v>
      </c>
    </row>
    <row r="241" spans="1:7" x14ac:dyDescent="0.25">
      <c r="A241" s="8">
        <v>42586.626261574071</v>
      </c>
      <c r="B241" t="s">
        <v>68</v>
      </c>
      <c r="C241" t="s">
        <v>351</v>
      </c>
      <c r="D241">
        <v>2030000</v>
      </c>
      <c r="E241" t="s">
        <v>337</v>
      </c>
      <c r="F241" s="24" t="str">
        <f t="shared" si="8"/>
        <v>rtdc.l.rtdc.4018:itc</v>
      </c>
      <c r="G241" s="8">
        <f t="shared" si="9"/>
        <v>42586.626261574071</v>
      </c>
    </row>
    <row r="242" spans="1:7" x14ac:dyDescent="0.25">
      <c r="A242" s="8">
        <v>42586.80296296296</v>
      </c>
      <c r="B242" t="s">
        <v>111</v>
      </c>
      <c r="C242" t="s">
        <v>390</v>
      </c>
      <c r="D242">
        <v>1480000</v>
      </c>
      <c r="E242" t="s">
        <v>101</v>
      </c>
      <c r="F242" s="24" t="str">
        <f t="shared" si="8"/>
        <v>rtdc.l.rtdc.4008:itc</v>
      </c>
      <c r="G242" s="8">
        <f t="shared" si="9"/>
        <v>42586.80296296296</v>
      </c>
    </row>
    <row r="243" spans="1:7" x14ac:dyDescent="0.25">
      <c r="A243" s="8">
        <v>42586.579027777778</v>
      </c>
      <c r="B243" t="s">
        <v>161</v>
      </c>
      <c r="C243" t="s">
        <v>376</v>
      </c>
      <c r="D243">
        <v>910000</v>
      </c>
      <c r="E243" t="s">
        <v>411</v>
      </c>
      <c r="F243" s="24" t="str">
        <f t="shared" si="8"/>
        <v>rtdc.l.rtdc.4031:itc</v>
      </c>
      <c r="G243" s="8">
        <f t="shared" si="9"/>
        <v>42586.579027777778</v>
      </c>
    </row>
    <row r="244" spans="1:7" x14ac:dyDescent="0.25">
      <c r="A244" s="8">
        <v>42586.808969907404</v>
      </c>
      <c r="B244" t="s">
        <v>108</v>
      </c>
      <c r="C244" t="s">
        <v>355</v>
      </c>
      <c r="D244">
        <v>1290000</v>
      </c>
      <c r="E244" t="s">
        <v>148</v>
      </c>
      <c r="F244" s="24" t="str">
        <f t="shared" si="8"/>
        <v>rtdc.l.rtdc.4027:itc</v>
      </c>
      <c r="G244" s="8">
        <f t="shared" si="9"/>
        <v>42586.808969907404</v>
      </c>
    </row>
    <row r="245" spans="1:7" x14ac:dyDescent="0.25">
      <c r="A245" s="8">
        <v>42586.410937499997</v>
      </c>
      <c r="B245" t="s">
        <v>105</v>
      </c>
      <c r="C245" t="s">
        <v>362</v>
      </c>
      <c r="D245">
        <v>930000</v>
      </c>
      <c r="E245" t="s">
        <v>340</v>
      </c>
      <c r="F245" s="24" t="str">
        <f t="shared" si="8"/>
        <v>rtdc.l.rtdc.4028:itc</v>
      </c>
      <c r="G245" s="8">
        <f t="shared" si="9"/>
        <v>42586.410937499997</v>
      </c>
    </row>
    <row r="246" spans="1:7" x14ac:dyDescent="0.25">
      <c r="A246" s="8">
        <v>42586.995289351849</v>
      </c>
      <c r="B246" t="s">
        <v>149</v>
      </c>
      <c r="C246" t="s">
        <v>398</v>
      </c>
      <c r="D246">
        <v>1300000</v>
      </c>
      <c r="E246" t="s">
        <v>145</v>
      </c>
      <c r="F246" s="24" t="str">
        <f t="shared" si="8"/>
        <v>rtdc.l.rtdc.4011:itc</v>
      </c>
      <c r="G246" s="8">
        <f t="shared" si="9"/>
        <v>42586.995289351849</v>
      </c>
    </row>
    <row r="247" spans="1:7" x14ac:dyDescent="0.25">
      <c r="A247" s="8">
        <v>42587.301562499997</v>
      </c>
      <c r="B247" t="s">
        <v>69</v>
      </c>
      <c r="C247" t="s">
        <v>417</v>
      </c>
      <c r="D247">
        <v>1760000</v>
      </c>
      <c r="E247" t="s">
        <v>322</v>
      </c>
      <c r="F247" s="24" t="str">
        <f t="shared" si="8"/>
        <v>rtdc.l.rtdc.4017:itc</v>
      </c>
      <c r="G247" s="8">
        <f t="shared" si="9"/>
        <v>42587.301562499997</v>
      </c>
    </row>
    <row r="248" spans="1:7" x14ac:dyDescent="0.25">
      <c r="A248" s="8">
        <v>42587.238576388889</v>
      </c>
      <c r="B248" t="s">
        <v>292</v>
      </c>
      <c r="C248" t="s">
        <v>418</v>
      </c>
      <c r="D248">
        <v>1360000</v>
      </c>
      <c r="E248" t="s">
        <v>271</v>
      </c>
      <c r="F248" s="24" t="str">
        <f t="shared" si="8"/>
        <v>rtdc.l.rtdc.4043:itc</v>
      </c>
      <c r="G248" s="8">
        <f t="shared" si="9"/>
        <v>42587.238576388889</v>
      </c>
    </row>
    <row r="249" spans="1:7" x14ac:dyDescent="0.25">
      <c r="A249" s="8">
        <v>42587.27579861111</v>
      </c>
      <c r="B249" t="s">
        <v>132</v>
      </c>
      <c r="C249" t="s">
        <v>419</v>
      </c>
      <c r="D249">
        <v>1830000</v>
      </c>
      <c r="E249" t="s">
        <v>291</v>
      </c>
      <c r="F249" s="24" t="str">
        <f t="shared" si="8"/>
        <v>rtdc.l.rtdc.4015:itc</v>
      </c>
      <c r="G249" s="8">
        <f t="shared" si="9"/>
        <v>42587.27579861111</v>
      </c>
    </row>
    <row r="250" spans="1:7" x14ac:dyDescent="0.25">
      <c r="A250" s="8">
        <v>42586.370787037034</v>
      </c>
      <c r="B250" t="s">
        <v>102</v>
      </c>
      <c r="C250" t="s">
        <v>361</v>
      </c>
      <c r="D250">
        <v>1360000</v>
      </c>
      <c r="E250" t="s">
        <v>271</v>
      </c>
      <c r="F250" s="24" t="str">
        <f t="shared" si="8"/>
        <v>rtdc.l.rtdc.4026:itc</v>
      </c>
      <c r="G250" s="8">
        <f t="shared" si="9"/>
        <v>42586.370787037034</v>
      </c>
    </row>
    <row r="251" spans="1:7" x14ac:dyDescent="0.25">
      <c r="A251" s="8">
        <v>42587.224293981482</v>
      </c>
      <c r="B251" t="s">
        <v>187</v>
      </c>
      <c r="C251" t="s">
        <v>420</v>
      </c>
      <c r="D251">
        <v>1240000</v>
      </c>
      <c r="E251" t="s">
        <v>112</v>
      </c>
      <c r="F251" s="24" t="str">
        <f t="shared" si="8"/>
        <v>rtdc.l.rtdc.4037:itc</v>
      </c>
      <c r="G251" s="8">
        <f t="shared" si="9"/>
        <v>42587.224293981482</v>
      </c>
    </row>
    <row r="252" spans="1:7" x14ac:dyDescent="0.25">
      <c r="A252" s="8">
        <v>42586.525879629633</v>
      </c>
      <c r="B252" t="s">
        <v>106</v>
      </c>
      <c r="C252" t="s">
        <v>372</v>
      </c>
      <c r="D252">
        <v>2110000</v>
      </c>
      <c r="E252" t="s">
        <v>315</v>
      </c>
      <c r="F252" s="24" t="str">
        <f t="shared" si="8"/>
        <v>rtdc.l.rtdc.4029:itc</v>
      </c>
      <c r="G252" s="8">
        <f t="shared" si="9"/>
        <v>42586.525879629633</v>
      </c>
    </row>
    <row r="253" spans="1:7" x14ac:dyDescent="0.25">
      <c r="A253" s="8">
        <v>42586.929224537038</v>
      </c>
      <c r="B253" t="s">
        <v>113</v>
      </c>
      <c r="C253" t="s">
        <v>396</v>
      </c>
      <c r="D253">
        <v>1480000</v>
      </c>
      <c r="E253" t="s">
        <v>101</v>
      </c>
      <c r="F253" s="24" t="str">
        <f t="shared" si="8"/>
        <v>rtdc.l.rtdc.4007:itc</v>
      </c>
      <c r="G253" s="8">
        <f t="shared" si="9"/>
        <v>42586.929224537038</v>
      </c>
    </row>
    <row r="254" spans="1:7" x14ac:dyDescent="0.25">
      <c r="A254" s="8">
        <v>42586.526307870372</v>
      </c>
      <c r="B254" t="s">
        <v>69</v>
      </c>
      <c r="C254" t="s">
        <v>402</v>
      </c>
      <c r="D254">
        <v>2100000</v>
      </c>
      <c r="E254" t="s">
        <v>313</v>
      </c>
      <c r="F254" s="24" t="str">
        <f t="shared" si="8"/>
        <v>rtdc.l.rtdc.4017:itc</v>
      </c>
      <c r="G254" s="8">
        <f t="shared" si="9"/>
        <v>42586.526307870372</v>
      </c>
    </row>
    <row r="255" spans="1:7" x14ac:dyDescent="0.25">
      <c r="A255" s="8">
        <v>42586.751342592594</v>
      </c>
      <c r="B255" t="s">
        <v>187</v>
      </c>
      <c r="C255" t="s">
        <v>354</v>
      </c>
      <c r="D255">
        <v>2140000</v>
      </c>
      <c r="E255" t="s">
        <v>317</v>
      </c>
      <c r="F255" s="24" t="str">
        <f t="shared" si="8"/>
        <v>rtdc.l.rtdc.4037:itc</v>
      </c>
      <c r="G255" s="8">
        <f t="shared" si="9"/>
        <v>42586.751342592594</v>
      </c>
    </row>
    <row r="256" spans="1:7" x14ac:dyDescent="0.25">
      <c r="A256" s="8">
        <v>42586.534942129627</v>
      </c>
      <c r="B256" t="s">
        <v>187</v>
      </c>
      <c r="C256" t="s">
        <v>370</v>
      </c>
      <c r="D256">
        <v>1540000</v>
      </c>
      <c r="E256" t="s">
        <v>172</v>
      </c>
      <c r="F256" s="24" t="str">
        <f t="shared" si="8"/>
        <v>rtdc.l.rtdc.4037:itc</v>
      </c>
      <c r="G256" s="8">
        <f t="shared" si="9"/>
        <v>42586.534942129627</v>
      </c>
    </row>
    <row r="257" spans="1:7" x14ac:dyDescent="0.25">
      <c r="A257" s="8">
        <v>42586.675000000003</v>
      </c>
      <c r="B257" t="s">
        <v>106</v>
      </c>
      <c r="C257" t="s">
        <v>386</v>
      </c>
      <c r="D257">
        <v>2110000</v>
      </c>
      <c r="E257" t="s">
        <v>315</v>
      </c>
      <c r="F257" s="24" t="str">
        <f t="shared" si="8"/>
        <v>rtdc.l.rtdc.4029:itc</v>
      </c>
      <c r="G257" s="8">
        <f t="shared" si="9"/>
        <v>42586.675000000003</v>
      </c>
    </row>
    <row r="258" spans="1:7" x14ac:dyDescent="0.25">
      <c r="A258" s="8">
        <v>42586.568854166668</v>
      </c>
      <c r="B258" t="s">
        <v>69</v>
      </c>
      <c r="C258" t="s">
        <v>349</v>
      </c>
      <c r="D258">
        <v>2030000</v>
      </c>
      <c r="E258" t="s">
        <v>337</v>
      </c>
      <c r="F258" s="24" t="str">
        <f t="shared" si="8"/>
        <v>rtdc.l.rtdc.4017:itc</v>
      </c>
      <c r="G258" s="8">
        <f t="shared" si="9"/>
        <v>42586.568854166668</v>
      </c>
    </row>
    <row r="259" spans="1:7" x14ac:dyDescent="0.25">
      <c r="A259" s="8">
        <v>42586.652384259258</v>
      </c>
      <c r="B259" t="s">
        <v>161</v>
      </c>
      <c r="C259" t="s">
        <v>384</v>
      </c>
      <c r="D259">
        <v>910000</v>
      </c>
      <c r="E259" t="s">
        <v>411</v>
      </c>
      <c r="F259" s="24" t="str">
        <f t="shared" si="8"/>
        <v>rtdc.l.rtdc.4031:itc</v>
      </c>
      <c r="G259" s="8">
        <f t="shared" si="9"/>
        <v>42586.652384259258</v>
      </c>
    </row>
    <row r="260" spans="1:7" x14ac:dyDescent="0.25">
      <c r="A260" s="8">
        <v>42587.144016203703</v>
      </c>
      <c r="B260" t="s">
        <v>314</v>
      </c>
      <c r="C260" t="s">
        <v>409</v>
      </c>
      <c r="D260">
        <v>2010000</v>
      </c>
      <c r="E260" t="s">
        <v>273</v>
      </c>
      <c r="F260" s="24" t="str">
        <f t="shared" si="8"/>
        <v>rtdc.l.rtdc.4044:itc</v>
      </c>
      <c r="G260" s="8">
        <f t="shared" si="9"/>
        <v>42587.144016203703</v>
      </c>
    </row>
    <row r="261" spans="1:7" x14ac:dyDescent="0.25">
      <c r="A261" s="8">
        <v>42586.586076388892</v>
      </c>
      <c r="B261" t="s">
        <v>68</v>
      </c>
      <c r="C261" t="s">
        <v>403</v>
      </c>
      <c r="D261">
        <v>2030000</v>
      </c>
      <c r="E261" t="s">
        <v>337</v>
      </c>
      <c r="F261" s="24" t="str">
        <f t="shared" si="8"/>
        <v>rtdc.l.rtdc.4018:itc</v>
      </c>
      <c r="G261" s="8">
        <f t="shared" si="9"/>
        <v>42586.586076388892</v>
      </c>
    </row>
    <row r="262" spans="1:7" x14ac:dyDescent="0.25">
      <c r="A262" s="8">
        <v>42587.196192129632</v>
      </c>
      <c r="B262" t="s">
        <v>107</v>
      </c>
      <c r="C262" t="s">
        <v>415</v>
      </c>
      <c r="D262">
        <v>1990000</v>
      </c>
      <c r="E262" t="s">
        <v>191</v>
      </c>
      <c r="F262" s="24" t="str">
        <f t="shared" si="8"/>
        <v>rtdc.l.rtdc.4030:itc</v>
      </c>
      <c r="G262" s="8">
        <f t="shared" si="9"/>
        <v>42587.196192129632</v>
      </c>
    </row>
    <row r="263" spans="1:7" x14ac:dyDescent="0.25">
      <c r="A263" s="8">
        <v>42587.33017361111</v>
      </c>
      <c r="B263" t="s">
        <v>100</v>
      </c>
      <c r="C263" t="s">
        <v>421</v>
      </c>
      <c r="D263">
        <v>1240000</v>
      </c>
      <c r="E263" t="s">
        <v>112</v>
      </c>
      <c r="F263" s="24" t="str">
        <f t="shared" si="8"/>
        <v>rtdc.l.rtdc.4038:itc</v>
      </c>
      <c r="G263" s="8">
        <f t="shared" si="9"/>
        <v>42587.33017361111</v>
      </c>
    </row>
    <row r="264" spans="1:7" x14ac:dyDescent="0.25">
      <c r="A264" s="8">
        <v>42587.266736111109</v>
      </c>
      <c r="B264" t="s">
        <v>108</v>
      </c>
      <c r="C264" t="s">
        <v>422</v>
      </c>
      <c r="D264">
        <v>2100000</v>
      </c>
      <c r="E264" t="s">
        <v>313</v>
      </c>
      <c r="F264" s="24" t="str">
        <f t="shared" si="8"/>
        <v>rtdc.l.rtdc.4027:itc</v>
      </c>
      <c r="G264" s="8">
        <f t="shared" si="9"/>
        <v>42587.266736111109</v>
      </c>
    </row>
    <row r="265" spans="1:7" x14ac:dyDescent="0.25">
      <c r="A265" s="8">
        <v>42587.271793981483</v>
      </c>
      <c r="B265" t="s">
        <v>107</v>
      </c>
      <c r="C265" t="s">
        <v>423</v>
      </c>
      <c r="D265">
        <v>1990000</v>
      </c>
      <c r="E265" t="s">
        <v>191</v>
      </c>
      <c r="F265" s="24" t="str">
        <f t="shared" si="8"/>
        <v>rtdc.l.rtdc.4030:itc</v>
      </c>
      <c r="G265" s="8">
        <f t="shared" si="9"/>
        <v>42587.271793981483</v>
      </c>
    </row>
    <row r="266" spans="1:7" x14ac:dyDescent="0.25">
      <c r="A266" s="8">
        <v>42586.538032407407</v>
      </c>
      <c r="B266" t="s">
        <v>149</v>
      </c>
      <c r="C266" t="s">
        <v>373</v>
      </c>
      <c r="D266">
        <v>2020000</v>
      </c>
      <c r="E266" t="s">
        <v>408</v>
      </c>
      <c r="F266" s="24" t="str">
        <f t="shared" ref="F266:F281" si="10">B266</f>
        <v>rtdc.l.rtdc.4011:itc</v>
      </c>
      <c r="G266" s="8">
        <f t="shared" ref="G266:G281" si="11">A266</f>
        <v>42586.538032407407</v>
      </c>
    </row>
    <row r="267" spans="1:7" x14ac:dyDescent="0.25">
      <c r="A267" s="8">
        <v>42587.131689814814</v>
      </c>
      <c r="B267" t="s">
        <v>314</v>
      </c>
      <c r="C267" t="s">
        <v>424</v>
      </c>
      <c r="D267">
        <v>2010000</v>
      </c>
      <c r="E267" t="s">
        <v>273</v>
      </c>
      <c r="F267" s="24" t="str">
        <f t="shared" si="10"/>
        <v>rtdc.l.rtdc.4044:itc</v>
      </c>
      <c r="G267" s="8">
        <f t="shared" si="11"/>
        <v>42587.131689814814</v>
      </c>
    </row>
    <row r="268" spans="1:7" x14ac:dyDescent="0.25">
      <c r="A268" s="8">
        <v>42586.558472222219</v>
      </c>
      <c r="B268" t="s">
        <v>104</v>
      </c>
      <c r="C268" t="s">
        <v>374</v>
      </c>
      <c r="D268">
        <v>1810000</v>
      </c>
      <c r="E268" t="s">
        <v>166</v>
      </c>
      <c r="F268" s="24" t="str">
        <f t="shared" si="10"/>
        <v>rtdc.l.rtdc.4025:itc</v>
      </c>
      <c r="G268" s="8">
        <f t="shared" si="11"/>
        <v>42586.558472222219</v>
      </c>
    </row>
    <row r="269" spans="1:7" x14ac:dyDescent="0.25">
      <c r="A269" s="8">
        <v>42586.992071759261</v>
      </c>
      <c r="B269" t="s">
        <v>187</v>
      </c>
      <c r="C269" t="s">
        <v>397</v>
      </c>
      <c r="D269">
        <v>2140000</v>
      </c>
      <c r="E269" t="s">
        <v>317</v>
      </c>
      <c r="F269" s="24" t="str">
        <f t="shared" si="10"/>
        <v>rtdc.l.rtdc.4037:itc</v>
      </c>
      <c r="G269" s="8">
        <f t="shared" si="11"/>
        <v>42586.992071759261</v>
      </c>
    </row>
    <row r="270" spans="1:7" x14ac:dyDescent="0.25">
      <c r="A270" s="8">
        <v>42586.611319444448</v>
      </c>
      <c r="B270" t="s">
        <v>69</v>
      </c>
      <c r="C270" t="s">
        <v>350</v>
      </c>
      <c r="D270">
        <v>2030000</v>
      </c>
      <c r="E270" t="s">
        <v>337</v>
      </c>
      <c r="F270" s="24" t="str">
        <f t="shared" si="10"/>
        <v>rtdc.l.rtdc.4017:itc</v>
      </c>
      <c r="G270" s="8">
        <f t="shared" si="11"/>
        <v>42586.611319444448</v>
      </c>
    </row>
    <row r="271" spans="1:7" x14ac:dyDescent="0.25">
      <c r="A271" s="8">
        <v>42586.823564814818</v>
      </c>
      <c r="B271" t="s">
        <v>187</v>
      </c>
      <c r="C271" t="s">
        <v>391</v>
      </c>
      <c r="D271">
        <v>2140000</v>
      </c>
      <c r="E271" t="s">
        <v>317</v>
      </c>
      <c r="F271" s="24" t="str">
        <f t="shared" si="10"/>
        <v>rtdc.l.rtdc.4037:itc</v>
      </c>
      <c r="G271" s="8">
        <f t="shared" si="11"/>
        <v>42586.823564814818</v>
      </c>
    </row>
    <row r="272" spans="1:7" x14ac:dyDescent="0.25">
      <c r="A272" s="8">
        <v>42586.424178240741</v>
      </c>
      <c r="B272" t="s">
        <v>100</v>
      </c>
      <c r="C272" t="s">
        <v>364</v>
      </c>
      <c r="D272">
        <v>1110000</v>
      </c>
      <c r="E272" t="s">
        <v>116</v>
      </c>
      <c r="F272" s="24" t="str">
        <f t="shared" si="10"/>
        <v>rtdc.l.rtdc.4038:itc</v>
      </c>
      <c r="G272" s="8">
        <f t="shared" si="11"/>
        <v>42586.424178240741</v>
      </c>
    </row>
    <row r="273" spans="1:7" x14ac:dyDescent="0.25">
      <c r="A273" s="8">
        <v>42586.775393518517</v>
      </c>
      <c r="B273" t="s">
        <v>105</v>
      </c>
      <c r="C273" t="s">
        <v>355</v>
      </c>
      <c r="D273">
        <v>1290000</v>
      </c>
      <c r="E273" t="s">
        <v>148</v>
      </c>
      <c r="F273" s="24" t="str">
        <f t="shared" si="10"/>
        <v>rtdc.l.rtdc.4028:itc</v>
      </c>
      <c r="G273" s="8">
        <f t="shared" si="11"/>
        <v>42586.775393518517</v>
      </c>
    </row>
    <row r="274" spans="1:7" x14ac:dyDescent="0.25">
      <c r="A274" s="8">
        <v>42586.502916666665</v>
      </c>
      <c r="B274" t="s">
        <v>151</v>
      </c>
      <c r="C274" t="s">
        <v>367</v>
      </c>
      <c r="D274">
        <v>2020000</v>
      </c>
      <c r="E274" t="s">
        <v>408</v>
      </c>
      <c r="F274" s="24" t="str">
        <f t="shared" si="10"/>
        <v>rtdc.l.rtdc.4012:itc</v>
      </c>
      <c r="G274" s="8">
        <f t="shared" si="11"/>
        <v>42586.502916666665</v>
      </c>
    </row>
    <row r="275" spans="1:7" x14ac:dyDescent="0.25">
      <c r="A275" s="8">
        <v>42586.735891203702</v>
      </c>
      <c r="B275" t="s">
        <v>108</v>
      </c>
      <c r="C275" t="s">
        <v>389</v>
      </c>
      <c r="D275">
        <v>1290000</v>
      </c>
      <c r="E275" t="s">
        <v>148</v>
      </c>
      <c r="F275" s="24" t="str">
        <f t="shared" si="10"/>
        <v>rtdc.l.rtdc.4027:itc</v>
      </c>
      <c r="G275" s="8">
        <f t="shared" si="11"/>
        <v>42586.735891203702</v>
      </c>
    </row>
    <row r="276" spans="1:7" x14ac:dyDescent="0.25">
      <c r="A276" s="8">
        <v>42586.621979166666</v>
      </c>
      <c r="B276" t="s">
        <v>105</v>
      </c>
      <c r="C276" t="s">
        <v>378</v>
      </c>
      <c r="D276">
        <v>2150000</v>
      </c>
      <c r="E276" t="s">
        <v>290</v>
      </c>
      <c r="F276" s="24" t="str">
        <f t="shared" si="10"/>
        <v>rtdc.l.rtdc.4028:itc</v>
      </c>
      <c r="G276" s="8">
        <f t="shared" si="11"/>
        <v>42586.621979166666</v>
      </c>
    </row>
    <row r="277" spans="1:7" x14ac:dyDescent="0.25">
      <c r="A277" s="8">
        <v>42586.673819444448</v>
      </c>
      <c r="B277" t="s">
        <v>106</v>
      </c>
      <c r="C277" t="s">
        <v>386</v>
      </c>
      <c r="D277">
        <v>2110000</v>
      </c>
      <c r="E277" t="s">
        <v>315</v>
      </c>
      <c r="F277" s="24" t="str">
        <f t="shared" si="10"/>
        <v>rtdc.l.rtdc.4029:itc</v>
      </c>
      <c r="G277" s="8">
        <f t="shared" si="11"/>
        <v>42586.673819444448</v>
      </c>
    </row>
    <row r="278" spans="1:7" x14ac:dyDescent="0.25">
      <c r="A278" s="8">
        <v>42586.682060185187</v>
      </c>
      <c r="B278" t="s">
        <v>187</v>
      </c>
      <c r="C278" t="s">
        <v>383</v>
      </c>
      <c r="D278">
        <v>1540000</v>
      </c>
      <c r="E278" t="s">
        <v>172</v>
      </c>
      <c r="F278" s="24" t="str">
        <f t="shared" si="10"/>
        <v>rtdc.l.rtdc.4037:itc</v>
      </c>
      <c r="G278" s="8">
        <f t="shared" si="11"/>
        <v>42586.682060185187</v>
      </c>
    </row>
    <row r="279" spans="1:7" x14ac:dyDescent="0.25">
      <c r="A279" s="8">
        <v>42586.661736111113</v>
      </c>
      <c r="B279" t="s">
        <v>75</v>
      </c>
      <c r="C279" t="s">
        <v>352</v>
      </c>
      <c r="D279">
        <v>2090000</v>
      </c>
      <c r="E279" t="s">
        <v>312</v>
      </c>
      <c r="F279" s="24" t="str">
        <f t="shared" si="10"/>
        <v>rtdc.l.rtdc.4042:itc</v>
      </c>
      <c r="G279" s="8">
        <f t="shared" si="11"/>
        <v>42586.661736111113</v>
      </c>
    </row>
    <row r="280" spans="1:7" x14ac:dyDescent="0.25">
      <c r="A280" s="8">
        <v>42586.766342592593</v>
      </c>
      <c r="B280" t="s">
        <v>144</v>
      </c>
      <c r="C280" t="s">
        <v>406</v>
      </c>
      <c r="D280">
        <v>2090000</v>
      </c>
      <c r="E280" t="s">
        <v>312</v>
      </c>
      <c r="F280" s="24" t="str">
        <f t="shared" si="10"/>
        <v>rtdc.l.rtdc.4041:itc</v>
      </c>
      <c r="G280" s="8">
        <f t="shared" si="11"/>
        <v>42586.766342592593</v>
      </c>
    </row>
    <row r="281" spans="1:7" x14ac:dyDescent="0.25">
      <c r="A281" s="8">
        <v>42586.54173611111</v>
      </c>
      <c r="B281" t="s">
        <v>162</v>
      </c>
      <c r="C281" t="s">
        <v>348</v>
      </c>
      <c r="D281">
        <v>910000</v>
      </c>
      <c r="E281" t="s">
        <v>411</v>
      </c>
      <c r="F281" s="24" t="str">
        <f t="shared" si="10"/>
        <v>rtdc.l.rtdc.4032:itc</v>
      </c>
      <c r="G281" s="8">
        <f t="shared" si="11"/>
        <v>42586.54173611111</v>
      </c>
    </row>
    <row r="282" spans="1:7" x14ac:dyDescent="0.25">
      <c r="A282" s="8">
        <v>42587.039178240739</v>
      </c>
      <c r="B282" t="s">
        <v>151</v>
      </c>
      <c r="C282" t="s">
        <v>399</v>
      </c>
      <c r="D282">
        <v>1300000</v>
      </c>
      <c r="E282" t="s">
        <v>145</v>
      </c>
      <c r="F282" s="24" t="str">
        <f t="shared" ref="F282:F345" si="12">B282</f>
        <v>rtdc.l.rtdc.4012:itc</v>
      </c>
      <c r="G282" s="8">
        <f t="shared" ref="G282:G345" si="13">A282</f>
        <v>42587.039178240739</v>
      </c>
    </row>
    <row r="283" spans="1:7" x14ac:dyDescent="0.25">
      <c r="A283" s="8">
        <v>42586.309953703705</v>
      </c>
      <c r="B283" t="s">
        <v>106</v>
      </c>
      <c r="C283" t="s">
        <v>359</v>
      </c>
      <c r="D283">
        <v>1090000</v>
      </c>
      <c r="E283" t="s">
        <v>110</v>
      </c>
      <c r="F283" s="24" t="str">
        <f t="shared" si="12"/>
        <v>rtdc.l.rtdc.4029:itc</v>
      </c>
      <c r="G283" s="8">
        <f t="shared" si="13"/>
        <v>42586.309953703705</v>
      </c>
    </row>
    <row r="284" spans="1:7" x14ac:dyDescent="0.25">
      <c r="A284" s="8">
        <v>42587.187071759261</v>
      </c>
      <c r="B284" t="s">
        <v>67</v>
      </c>
      <c r="C284" t="s">
        <v>425</v>
      </c>
      <c r="D284">
        <v>1310000</v>
      </c>
      <c r="E284" t="s">
        <v>339</v>
      </c>
      <c r="F284" s="24" t="str">
        <f t="shared" si="12"/>
        <v>rtdc.l.rtdc.4020:itc</v>
      </c>
      <c r="G284" s="8">
        <f t="shared" si="13"/>
        <v>42587.187071759261</v>
      </c>
    </row>
    <row r="285" spans="1:7" x14ac:dyDescent="0.25">
      <c r="A285" s="8">
        <v>42586.296631944446</v>
      </c>
      <c r="B285" t="s">
        <v>144</v>
      </c>
      <c r="C285" t="s">
        <v>341</v>
      </c>
      <c r="D285">
        <v>1830000</v>
      </c>
      <c r="E285" t="s">
        <v>291</v>
      </c>
      <c r="F285" s="24" t="str">
        <f t="shared" si="12"/>
        <v>rtdc.l.rtdc.4041:itc</v>
      </c>
      <c r="G285" s="8">
        <f t="shared" si="13"/>
        <v>42586.296631944446</v>
      </c>
    </row>
    <row r="286" spans="1:7" x14ac:dyDescent="0.25">
      <c r="A286" s="8">
        <v>42586.404467592591</v>
      </c>
      <c r="B286" t="s">
        <v>113</v>
      </c>
      <c r="C286" t="s">
        <v>347</v>
      </c>
      <c r="D286">
        <v>1760000</v>
      </c>
      <c r="E286" t="s">
        <v>322</v>
      </c>
      <c r="F286" s="24" t="str">
        <f t="shared" si="12"/>
        <v>rtdc.l.rtdc.4007:itc</v>
      </c>
      <c r="G286" s="8">
        <f t="shared" si="13"/>
        <v>42586.404467592591</v>
      </c>
    </row>
    <row r="287" spans="1:7" x14ac:dyDescent="0.25">
      <c r="A287" s="8">
        <v>42586.21702546296</v>
      </c>
      <c r="B287" t="s">
        <v>161</v>
      </c>
      <c r="C287" t="s">
        <v>338</v>
      </c>
      <c r="D287">
        <v>2010000</v>
      </c>
      <c r="E287" t="s">
        <v>273</v>
      </c>
      <c r="F287" s="24" t="str">
        <f t="shared" si="12"/>
        <v>rtdc.l.rtdc.4031:itc</v>
      </c>
      <c r="G287" s="8">
        <f t="shared" si="13"/>
        <v>42586.21702546296</v>
      </c>
    </row>
    <row r="288" spans="1:7" x14ac:dyDescent="0.25">
      <c r="A288" s="8">
        <v>42586.551099537035</v>
      </c>
      <c r="B288" t="s">
        <v>105</v>
      </c>
      <c r="C288" t="s">
        <v>371</v>
      </c>
      <c r="D288">
        <v>2150000</v>
      </c>
      <c r="E288" t="s">
        <v>290</v>
      </c>
      <c r="F288" s="24" t="str">
        <f t="shared" si="12"/>
        <v>rtdc.l.rtdc.4028:itc</v>
      </c>
      <c r="G288" s="8">
        <f t="shared" si="13"/>
        <v>42586.551099537035</v>
      </c>
    </row>
    <row r="289" spans="1:7" x14ac:dyDescent="0.25">
      <c r="A289" s="8">
        <v>42586.214467592596</v>
      </c>
      <c r="B289" t="s">
        <v>187</v>
      </c>
      <c r="C289" t="s">
        <v>342</v>
      </c>
      <c r="D289">
        <v>1310000</v>
      </c>
      <c r="E289" t="s">
        <v>339</v>
      </c>
      <c r="F289" s="24" t="str">
        <f t="shared" si="12"/>
        <v>rtdc.l.rtdc.4037:itc</v>
      </c>
      <c r="G289" s="8">
        <f t="shared" si="13"/>
        <v>42586.214467592596</v>
      </c>
    </row>
    <row r="290" spans="1:7" x14ac:dyDescent="0.25">
      <c r="A290" s="8">
        <v>42586.63208333333</v>
      </c>
      <c r="B290" t="s">
        <v>104</v>
      </c>
      <c r="C290" t="s">
        <v>381</v>
      </c>
      <c r="D290">
        <v>1810000</v>
      </c>
      <c r="E290" t="s">
        <v>166</v>
      </c>
      <c r="F290" s="24" t="str">
        <f t="shared" si="12"/>
        <v>rtdc.l.rtdc.4025:itc</v>
      </c>
      <c r="G290" s="8">
        <f t="shared" si="13"/>
        <v>42586.63208333333</v>
      </c>
    </row>
    <row r="291" spans="1:7" x14ac:dyDescent="0.25">
      <c r="A291" s="8">
        <v>42586.213865740741</v>
      </c>
      <c r="B291" t="s">
        <v>187</v>
      </c>
      <c r="C291" t="s">
        <v>342</v>
      </c>
      <c r="D291">
        <v>1310000</v>
      </c>
      <c r="E291" t="s">
        <v>339</v>
      </c>
      <c r="F291" s="24" t="str">
        <f t="shared" si="12"/>
        <v>rtdc.l.rtdc.4037:itc</v>
      </c>
      <c r="G291" s="8">
        <f t="shared" si="13"/>
        <v>42586.213865740741</v>
      </c>
    </row>
    <row r="292" spans="1:7" x14ac:dyDescent="0.25">
      <c r="A292" s="8">
        <v>42586.735763888886</v>
      </c>
      <c r="B292" t="s">
        <v>111</v>
      </c>
      <c r="C292" t="s">
        <v>388</v>
      </c>
      <c r="D292">
        <v>2040000</v>
      </c>
      <c r="E292" t="s">
        <v>335</v>
      </c>
      <c r="F292" s="24" t="str">
        <f t="shared" si="12"/>
        <v>rtdc.l.rtdc.4008:itc</v>
      </c>
      <c r="G292" s="8">
        <f t="shared" si="13"/>
        <v>42586.735763888886</v>
      </c>
    </row>
    <row r="293" spans="1:7" x14ac:dyDescent="0.25">
      <c r="A293" s="8">
        <v>42586.13212962963</v>
      </c>
      <c r="B293" t="s">
        <v>67</v>
      </c>
      <c r="C293" t="s">
        <v>343</v>
      </c>
      <c r="D293">
        <v>2010000</v>
      </c>
      <c r="E293" t="s">
        <v>273</v>
      </c>
      <c r="F293" s="24" t="str">
        <f t="shared" si="12"/>
        <v>rtdc.l.rtdc.4020:itc</v>
      </c>
      <c r="G293" s="8">
        <f t="shared" si="13"/>
        <v>42586.13212962963</v>
      </c>
    </row>
    <row r="294" spans="1:7" x14ac:dyDescent="0.25">
      <c r="A294" s="8">
        <v>42586.743715277778</v>
      </c>
      <c r="B294" t="s">
        <v>75</v>
      </c>
      <c r="C294" t="s">
        <v>405</v>
      </c>
      <c r="D294">
        <v>2090000</v>
      </c>
      <c r="E294" t="s">
        <v>312</v>
      </c>
      <c r="F294" s="24" t="str">
        <f t="shared" si="12"/>
        <v>rtdc.l.rtdc.4042:itc</v>
      </c>
      <c r="G294" s="8">
        <f t="shared" si="13"/>
        <v>42586.743715277778</v>
      </c>
    </row>
    <row r="295" spans="1:7" x14ac:dyDescent="0.25">
      <c r="A295" s="8">
        <v>42586.089085648149</v>
      </c>
      <c r="B295" t="s">
        <v>336</v>
      </c>
      <c r="C295" t="s">
        <v>334</v>
      </c>
      <c r="D295">
        <v>1290000</v>
      </c>
      <c r="E295" t="s">
        <v>148</v>
      </c>
      <c r="F295" s="24" t="str">
        <f t="shared" si="12"/>
        <v>rtdc.l.rtdc.4040:itc</v>
      </c>
      <c r="G295" s="8">
        <f t="shared" si="13"/>
        <v>42586.089085648149</v>
      </c>
    </row>
    <row r="296" spans="1:7" x14ac:dyDescent="0.25">
      <c r="A296" s="8">
        <v>42586.74386574074</v>
      </c>
      <c r="B296" t="s">
        <v>68</v>
      </c>
      <c r="C296" t="s">
        <v>353</v>
      </c>
      <c r="D296">
        <v>2030000</v>
      </c>
      <c r="E296" t="s">
        <v>337</v>
      </c>
      <c r="F296" s="24" t="str">
        <f t="shared" si="12"/>
        <v>rtdc.l.rtdc.4018:itc</v>
      </c>
      <c r="G296" s="8">
        <f t="shared" si="13"/>
        <v>42586.74386574074</v>
      </c>
    </row>
    <row r="297" spans="1:7" x14ac:dyDescent="0.25">
      <c r="A297" s="8">
        <v>42586.047453703701</v>
      </c>
      <c r="B297" t="s">
        <v>155</v>
      </c>
      <c r="C297" t="s">
        <v>333</v>
      </c>
      <c r="D297">
        <v>2090000</v>
      </c>
      <c r="E297" t="s">
        <v>312</v>
      </c>
      <c r="F297" s="24" t="str">
        <f t="shared" si="12"/>
        <v>rtdc.l.rtdc.4014:itc</v>
      </c>
      <c r="G297" s="8">
        <f t="shared" si="13"/>
        <v>42586.047453703701</v>
      </c>
    </row>
    <row r="298" spans="1:7" x14ac:dyDescent="0.25">
      <c r="A298" s="8">
        <v>42586.883356481485</v>
      </c>
      <c r="B298" t="s">
        <v>68</v>
      </c>
      <c r="C298" t="s">
        <v>407</v>
      </c>
      <c r="D298">
        <v>2000000</v>
      </c>
      <c r="E298" t="s">
        <v>304</v>
      </c>
      <c r="F298" s="24" t="str">
        <f t="shared" si="12"/>
        <v>rtdc.l.rtdc.4018:itc</v>
      </c>
      <c r="G298" s="8">
        <f t="shared" si="13"/>
        <v>42586.883356481485</v>
      </c>
    </row>
    <row r="299" spans="1:7" x14ac:dyDescent="0.25">
      <c r="A299" s="8">
        <v>42586.017835648148</v>
      </c>
      <c r="B299" t="s">
        <v>336</v>
      </c>
      <c r="C299" t="s">
        <v>332</v>
      </c>
      <c r="D299">
        <v>1290000</v>
      </c>
      <c r="E299" t="s">
        <v>148</v>
      </c>
      <c r="F299" s="24" t="str">
        <f t="shared" si="12"/>
        <v>rtdc.l.rtdc.4040:itc</v>
      </c>
      <c r="G299" s="8">
        <f t="shared" si="13"/>
        <v>42586.017835648148</v>
      </c>
    </row>
    <row r="300" spans="1:7" x14ac:dyDescent="0.25">
      <c r="A300" s="8">
        <v>42586.932256944441</v>
      </c>
      <c r="B300" t="s">
        <v>105</v>
      </c>
      <c r="C300" t="s">
        <v>394</v>
      </c>
      <c r="D300">
        <v>1290000</v>
      </c>
      <c r="E300" t="s">
        <v>148</v>
      </c>
      <c r="F300" s="24" t="str">
        <f t="shared" si="12"/>
        <v>rtdc.l.rtdc.4028:itc</v>
      </c>
      <c r="G300" s="8">
        <f t="shared" si="13"/>
        <v>42586.932256944441</v>
      </c>
    </row>
    <row r="301" spans="1:7" x14ac:dyDescent="0.25">
      <c r="A301" s="8">
        <v>42585.93472222222</v>
      </c>
      <c r="B301" t="s">
        <v>336</v>
      </c>
      <c r="C301" t="s">
        <v>331</v>
      </c>
      <c r="D301">
        <v>1290000</v>
      </c>
      <c r="E301" t="s">
        <v>148</v>
      </c>
      <c r="F301" s="24" t="str">
        <f t="shared" si="12"/>
        <v>rtdc.l.rtdc.4040:itc</v>
      </c>
      <c r="G301" s="8">
        <f t="shared" si="13"/>
        <v>42585.93472222222</v>
      </c>
    </row>
    <row r="302" spans="1:7" x14ac:dyDescent="0.25">
      <c r="A302" s="8">
        <v>42587.055300925924</v>
      </c>
      <c r="B302" t="s">
        <v>111</v>
      </c>
      <c r="C302" t="s">
        <v>400</v>
      </c>
      <c r="D302">
        <v>1480000</v>
      </c>
      <c r="E302" t="s">
        <v>101</v>
      </c>
      <c r="F302" s="24" t="str">
        <f t="shared" si="12"/>
        <v>rtdc.l.rtdc.4008:itc</v>
      </c>
      <c r="G302" s="8">
        <f t="shared" si="13"/>
        <v>42587.055300925924</v>
      </c>
    </row>
    <row r="303" spans="1:7" x14ac:dyDescent="0.25">
      <c r="A303" s="8">
        <v>42585.908206018517</v>
      </c>
      <c r="B303" t="s">
        <v>102</v>
      </c>
      <c r="C303" t="s">
        <v>330</v>
      </c>
      <c r="D303">
        <v>1480000</v>
      </c>
      <c r="E303" t="s">
        <v>101</v>
      </c>
      <c r="F303" s="24" t="str">
        <f t="shared" si="12"/>
        <v>rtdc.l.rtdc.4026:itc</v>
      </c>
      <c r="G303" s="8">
        <f t="shared" si="13"/>
        <v>42585.908206018517</v>
      </c>
    </row>
    <row r="304" spans="1:7" x14ac:dyDescent="0.25">
      <c r="A304" s="8">
        <v>42587.176805555559</v>
      </c>
      <c r="B304" t="s">
        <v>67</v>
      </c>
      <c r="C304" t="s">
        <v>425</v>
      </c>
      <c r="D304">
        <v>1310000</v>
      </c>
      <c r="E304" t="s">
        <v>339</v>
      </c>
      <c r="F304" s="24" t="str">
        <f t="shared" si="12"/>
        <v>rtdc.l.rtdc.4020:itc</v>
      </c>
      <c r="G304" s="8">
        <f t="shared" si="13"/>
        <v>42587.176805555559</v>
      </c>
    </row>
    <row r="305" spans="1:7" x14ac:dyDescent="0.25">
      <c r="A305" s="8">
        <v>42585.889525462961</v>
      </c>
      <c r="B305" t="s">
        <v>316</v>
      </c>
      <c r="C305" t="s">
        <v>329</v>
      </c>
      <c r="D305">
        <v>1290000</v>
      </c>
      <c r="E305" t="s">
        <v>148</v>
      </c>
      <c r="F305" s="24" t="str">
        <f t="shared" si="12"/>
        <v>rtdc.l.rtdc.4039:itc</v>
      </c>
      <c r="G305" s="8">
        <f t="shared" si="13"/>
        <v>42585.889525462961</v>
      </c>
    </row>
    <row r="306" spans="1:7" x14ac:dyDescent="0.25">
      <c r="A306" s="8">
        <v>42587.35328703704</v>
      </c>
      <c r="B306" t="s">
        <v>314</v>
      </c>
      <c r="C306" t="s">
        <v>426</v>
      </c>
      <c r="D306">
        <v>1360000</v>
      </c>
      <c r="E306" t="s">
        <v>271</v>
      </c>
      <c r="F306" s="24" t="str">
        <f t="shared" si="12"/>
        <v>rtdc.l.rtdc.4044:itc</v>
      </c>
      <c r="G306" s="8">
        <f t="shared" si="13"/>
        <v>42587.35328703704</v>
      </c>
    </row>
    <row r="307" spans="1:7" x14ac:dyDescent="0.25">
      <c r="A307" s="8">
        <v>42586.715601851851</v>
      </c>
      <c r="B307" t="s">
        <v>144</v>
      </c>
      <c r="C307" t="s">
        <v>404</v>
      </c>
      <c r="D307">
        <v>2090000</v>
      </c>
      <c r="E307" t="s">
        <v>312</v>
      </c>
      <c r="F307" s="24" t="str">
        <f t="shared" si="12"/>
        <v>rtdc.l.rtdc.4041:itc</v>
      </c>
      <c r="G307" s="8">
        <f t="shared" si="13"/>
        <v>42586.715601851851</v>
      </c>
    </row>
    <row r="308" spans="1:7" x14ac:dyDescent="0.25">
      <c r="F308" s="24">
        <f t="shared" si="12"/>
        <v>0</v>
      </c>
      <c r="G308" s="8">
        <f t="shared" si="13"/>
        <v>0</v>
      </c>
    </row>
    <row r="309" spans="1:7" x14ac:dyDescent="0.25">
      <c r="A309" s="8">
        <v>42579.120023148149</v>
      </c>
      <c r="B309" t="s">
        <v>292</v>
      </c>
      <c r="C309" t="s">
        <v>293</v>
      </c>
      <c r="D309">
        <v>2010000</v>
      </c>
      <c r="E309" t="s">
        <v>273</v>
      </c>
      <c r="F309" s="24" t="str">
        <f t="shared" si="12"/>
        <v>rtdc.l.rtdc.4043:itc</v>
      </c>
      <c r="G309" s="8">
        <f t="shared" si="13"/>
        <v>42579.120023148149</v>
      </c>
    </row>
    <row r="310" spans="1:7" x14ac:dyDescent="0.25">
      <c r="A310" s="8">
        <v>42577.944664351853</v>
      </c>
      <c r="B310" t="s">
        <v>187</v>
      </c>
      <c r="C310" t="s">
        <v>267</v>
      </c>
      <c r="D310">
        <v>1480000</v>
      </c>
      <c r="E310" t="s">
        <v>101</v>
      </c>
      <c r="F310" s="24" t="str">
        <f t="shared" si="12"/>
        <v>rtdc.l.rtdc.4037:itc</v>
      </c>
      <c r="G310" s="8">
        <f t="shared" si="13"/>
        <v>42577.944664351853</v>
      </c>
    </row>
    <row r="311" spans="1:7" x14ac:dyDescent="0.25">
      <c r="A311" s="8">
        <v>42579.134675925925</v>
      </c>
      <c r="B311" t="s">
        <v>68</v>
      </c>
      <c r="C311" t="s">
        <v>294</v>
      </c>
      <c r="D311">
        <v>2010000</v>
      </c>
      <c r="E311" t="s">
        <v>273</v>
      </c>
      <c r="F311" s="24" t="str">
        <f t="shared" si="12"/>
        <v>rtdc.l.rtdc.4018:itc</v>
      </c>
      <c r="G311" s="8">
        <f t="shared" si="13"/>
        <v>42579.134675925925</v>
      </c>
    </row>
    <row r="312" spans="1:7" x14ac:dyDescent="0.25">
      <c r="A312" s="8">
        <v>42577.909143518518</v>
      </c>
      <c r="B312" t="s">
        <v>69</v>
      </c>
      <c r="C312" t="s">
        <v>245</v>
      </c>
      <c r="D312">
        <v>1180000</v>
      </c>
      <c r="E312" t="s">
        <v>190</v>
      </c>
      <c r="F312" s="24" t="str">
        <f t="shared" si="12"/>
        <v>rtdc.l.rtdc.4017:itc</v>
      </c>
      <c r="G312" s="8">
        <f t="shared" si="13"/>
        <v>42577.909143518518</v>
      </c>
    </row>
    <row r="313" spans="1:7" x14ac:dyDescent="0.25">
      <c r="A313" s="8">
        <v>42579.169074074074</v>
      </c>
      <c r="B313" t="s">
        <v>292</v>
      </c>
      <c r="C313" t="s">
        <v>295</v>
      </c>
      <c r="D313">
        <v>2010000</v>
      </c>
      <c r="E313" t="s">
        <v>273</v>
      </c>
      <c r="F313" s="24" t="str">
        <f t="shared" si="12"/>
        <v>rtdc.l.rtdc.4043:itc</v>
      </c>
      <c r="G313" s="8">
        <f t="shared" si="13"/>
        <v>42579.169074074074</v>
      </c>
    </row>
    <row r="314" spans="1:7" x14ac:dyDescent="0.25">
      <c r="A314" s="8">
        <v>42577.903113425928</v>
      </c>
      <c r="B314" t="s">
        <v>187</v>
      </c>
      <c r="C314" t="s">
        <v>264</v>
      </c>
      <c r="D314">
        <v>1480000</v>
      </c>
      <c r="E314" t="s">
        <v>101</v>
      </c>
      <c r="F314" s="24" t="str">
        <f t="shared" si="12"/>
        <v>rtdc.l.rtdc.4037:itc</v>
      </c>
      <c r="G314" s="8">
        <f t="shared" si="13"/>
        <v>42577.903113425928</v>
      </c>
    </row>
    <row r="315" spans="1:7" x14ac:dyDescent="0.25">
      <c r="A315" s="8">
        <v>42579.25509259259</v>
      </c>
      <c r="B315" t="s">
        <v>66</v>
      </c>
      <c r="C315" t="s">
        <v>296</v>
      </c>
      <c r="D315">
        <v>1830000</v>
      </c>
      <c r="E315" t="s">
        <v>291</v>
      </c>
      <c r="F315" s="24" t="str">
        <f t="shared" si="12"/>
        <v>rtdc.l.rtdc.4019:itc</v>
      </c>
      <c r="G315" s="8">
        <f t="shared" si="13"/>
        <v>42579.25509259259</v>
      </c>
    </row>
    <row r="316" spans="1:7" x14ac:dyDescent="0.25">
      <c r="A316" s="8">
        <v>42577.821203703701</v>
      </c>
      <c r="B316" t="s">
        <v>106</v>
      </c>
      <c r="C316" t="s">
        <v>248</v>
      </c>
      <c r="D316">
        <v>950000</v>
      </c>
      <c r="E316" t="s">
        <v>268</v>
      </c>
      <c r="F316" s="24" t="str">
        <f t="shared" si="12"/>
        <v>rtdc.l.rtdc.4029:itc</v>
      </c>
      <c r="G316" s="8">
        <f t="shared" si="13"/>
        <v>42577.821203703701</v>
      </c>
    </row>
    <row r="317" spans="1:7" x14ac:dyDescent="0.25">
      <c r="A317" s="8">
        <v>42579.297511574077</v>
      </c>
      <c r="B317" t="s">
        <v>66</v>
      </c>
      <c r="C317" t="s">
        <v>297</v>
      </c>
      <c r="D317">
        <v>1830000</v>
      </c>
      <c r="E317" t="s">
        <v>291</v>
      </c>
      <c r="F317" s="24" t="str">
        <f t="shared" si="12"/>
        <v>rtdc.l.rtdc.4019:itc</v>
      </c>
      <c r="G317" s="8">
        <f t="shared" si="13"/>
        <v>42579.297511574077</v>
      </c>
    </row>
    <row r="318" spans="1:7" x14ac:dyDescent="0.25">
      <c r="A318" s="8">
        <v>42578.473680555559</v>
      </c>
      <c r="B318" t="s">
        <v>142</v>
      </c>
      <c r="C318" t="s">
        <v>288</v>
      </c>
      <c r="D318">
        <v>1110000</v>
      </c>
      <c r="E318" t="s">
        <v>116</v>
      </c>
      <c r="F318" s="24" t="str">
        <f t="shared" si="12"/>
        <v>rtdc.l.rtdc.4010:itc</v>
      </c>
      <c r="G318" s="8">
        <f t="shared" si="13"/>
        <v>42578.473680555559</v>
      </c>
    </row>
    <row r="319" spans="1:7" x14ac:dyDescent="0.25">
      <c r="F319" s="24">
        <f t="shared" si="12"/>
        <v>0</v>
      </c>
      <c r="G319" s="8">
        <f t="shared" si="13"/>
        <v>0</v>
      </c>
    </row>
    <row r="320" spans="1:7" x14ac:dyDescent="0.25">
      <c r="A320" s="8">
        <v>42577.30159722222</v>
      </c>
      <c r="B320" t="s">
        <v>100</v>
      </c>
      <c r="C320" t="s">
        <v>250</v>
      </c>
      <c r="D320">
        <v>1300000</v>
      </c>
      <c r="E320" t="s">
        <v>145</v>
      </c>
      <c r="F320" s="24" t="str">
        <f t="shared" si="12"/>
        <v>rtdc.l.rtdc.4038:itc</v>
      </c>
      <c r="G320" s="8">
        <f t="shared" si="13"/>
        <v>42577.30159722222</v>
      </c>
    </row>
    <row r="321" spans="1:7" x14ac:dyDescent="0.25">
      <c r="A321" s="8">
        <v>42578.120092592595</v>
      </c>
      <c r="B321" t="s">
        <v>162</v>
      </c>
      <c r="C321" t="s">
        <v>272</v>
      </c>
      <c r="D321">
        <v>2010000</v>
      </c>
      <c r="E321" t="s">
        <v>273</v>
      </c>
      <c r="F321" s="24" t="str">
        <f t="shared" si="12"/>
        <v>rtdc.l.rtdc.4032:itc</v>
      </c>
      <c r="G321" s="8">
        <f t="shared" si="13"/>
        <v>42578.120092592595</v>
      </c>
    </row>
    <row r="322" spans="1:7" x14ac:dyDescent="0.25">
      <c r="A322" s="8">
        <v>42577.302418981482</v>
      </c>
      <c r="B322" t="s">
        <v>162</v>
      </c>
      <c r="C322" t="s">
        <v>219</v>
      </c>
      <c r="D322">
        <v>1750000</v>
      </c>
      <c r="E322" t="s">
        <v>171</v>
      </c>
      <c r="F322" s="24" t="str">
        <f t="shared" si="12"/>
        <v>rtdc.l.rtdc.4032:itc</v>
      </c>
      <c r="G322" s="8">
        <f t="shared" si="13"/>
        <v>42577.302418981482</v>
      </c>
    </row>
    <row r="323" spans="1:7" x14ac:dyDescent="0.25">
      <c r="A323" s="8">
        <v>42577.993136574078</v>
      </c>
      <c r="B323" t="s">
        <v>69</v>
      </c>
      <c r="C323" t="s">
        <v>246</v>
      </c>
      <c r="D323">
        <v>1180000</v>
      </c>
      <c r="E323" t="s">
        <v>190</v>
      </c>
      <c r="F323" s="24" t="str">
        <f t="shared" si="12"/>
        <v>rtdc.l.rtdc.4017:itc</v>
      </c>
      <c r="G323" s="8">
        <f t="shared" si="13"/>
        <v>42577.993136574078</v>
      </c>
    </row>
    <row r="324" spans="1:7" x14ac:dyDescent="0.25">
      <c r="A324" s="8">
        <v>42577.313171296293</v>
      </c>
      <c r="B324" t="s">
        <v>105</v>
      </c>
      <c r="C324" t="s">
        <v>202</v>
      </c>
      <c r="D324">
        <v>1100000</v>
      </c>
      <c r="E324" t="s">
        <v>154</v>
      </c>
      <c r="F324" s="24" t="str">
        <f t="shared" si="12"/>
        <v>rtdc.l.rtdc.4028:itc</v>
      </c>
      <c r="G324" s="8">
        <f t="shared" si="13"/>
        <v>42577.313171296293</v>
      </c>
    </row>
    <row r="325" spans="1:7" x14ac:dyDescent="0.25">
      <c r="A325" s="8">
        <v>42577.944664351853</v>
      </c>
      <c r="B325" t="s">
        <v>187</v>
      </c>
      <c r="C325" t="s">
        <v>267</v>
      </c>
      <c r="D325">
        <v>1480000</v>
      </c>
      <c r="E325" t="s">
        <v>101</v>
      </c>
      <c r="F325" s="24" t="str">
        <f t="shared" si="12"/>
        <v>rtdc.l.rtdc.4037:itc</v>
      </c>
      <c r="G325" s="8">
        <f t="shared" si="13"/>
        <v>42577.944664351853</v>
      </c>
    </row>
    <row r="326" spans="1:7" x14ac:dyDescent="0.25">
      <c r="A326" s="8">
        <v>42577.338888888888</v>
      </c>
      <c r="B326" t="s">
        <v>161</v>
      </c>
      <c r="C326" t="s">
        <v>220</v>
      </c>
      <c r="D326">
        <v>1750000</v>
      </c>
      <c r="E326" t="s">
        <v>171</v>
      </c>
      <c r="F326" s="24" t="str">
        <f t="shared" si="12"/>
        <v>rtdc.l.rtdc.4031:itc</v>
      </c>
      <c r="G326" s="8">
        <f t="shared" si="13"/>
        <v>42577.338888888888</v>
      </c>
    </row>
    <row r="327" spans="1:7" x14ac:dyDescent="0.25">
      <c r="A327" s="8">
        <v>42577.909143518518</v>
      </c>
      <c r="B327" t="s">
        <v>69</v>
      </c>
      <c r="C327" t="s">
        <v>245</v>
      </c>
      <c r="D327">
        <v>1180000</v>
      </c>
      <c r="E327" t="s">
        <v>190</v>
      </c>
      <c r="F327" s="24" t="str">
        <f t="shared" si="12"/>
        <v>rtdc.l.rtdc.4017:itc</v>
      </c>
      <c r="G327" s="8">
        <f t="shared" si="13"/>
        <v>42577.909143518518</v>
      </c>
    </row>
    <row r="328" spans="1:7" x14ac:dyDescent="0.25">
      <c r="A328" s="8">
        <v>42577.349826388891</v>
      </c>
      <c r="B328" t="s">
        <v>107</v>
      </c>
      <c r="C328" t="s">
        <v>203</v>
      </c>
      <c r="D328">
        <v>1260000</v>
      </c>
      <c r="E328" t="s">
        <v>170</v>
      </c>
      <c r="F328" s="24" t="str">
        <f t="shared" si="12"/>
        <v>rtdc.l.rtdc.4030:itc</v>
      </c>
      <c r="G328" s="8">
        <f t="shared" si="13"/>
        <v>42577.349826388891</v>
      </c>
    </row>
    <row r="329" spans="1:7" x14ac:dyDescent="0.25">
      <c r="A329" s="8">
        <v>42577.903113425928</v>
      </c>
      <c r="B329" t="s">
        <v>187</v>
      </c>
      <c r="C329" t="s">
        <v>264</v>
      </c>
      <c r="D329">
        <v>1480000</v>
      </c>
      <c r="E329" t="s">
        <v>101</v>
      </c>
      <c r="F329" s="24" t="str">
        <f t="shared" si="12"/>
        <v>rtdc.l.rtdc.4037:itc</v>
      </c>
      <c r="G329" s="8">
        <f t="shared" si="13"/>
        <v>42577.903113425928</v>
      </c>
    </row>
    <row r="330" spans="1:7" x14ac:dyDescent="0.25">
      <c r="A330" s="8">
        <v>42577.352326388886</v>
      </c>
      <c r="B330" t="s">
        <v>107</v>
      </c>
      <c r="C330" t="s">
        <v>203</v>
      </c>
      <c r="D330">
        <v>1260000</v>
      </c>
      <c r="E330" t="s">
        <v>170</v>
      </c>
      <c r="F330" s="24" t="str">
        <f t="shared" si="12"/>
        <v>rtdc.l.rtdc.4030:itc</v>
      </c>
      <c r="G330" s="8">
        <f t="shared" si="13"/>
        <v>42577.352326388886</v>
      </c>
    </row>
    <row r="331" spans="1:7" x14ac:dyDescent="0.25">
      <c r="A331" s="8">
        <v>42577.821203703701</v>
      </c>
      <c r="B331" t="s">
        <v>106</v>
      </c>
      <c r="C331" t="s">
        <v>248</v>
      </c>
      <c r="D331">
        <v>950000</v>
      </c>
      <c r="E331" t="s">
        <v>268</v>
      </c>
      <c r="F331" s="24" t="str">
        <f t="shared" si="12"/>
        <v>rtdc.l.rtdc.4029:itc</v>
      </c>
      <c r="G331" s="8">
        <f t="shared" si="13"/>
        <v>42577.821203703701</v>
      </c>
    </row>
    <row r="332" spans="1:7" x14ac:dyDescent="0.25">
      <c r="A332" s="8">
        <v>42577.359351851854</v>
      </c>
      <c r="B332" t="s">
        <v>102</v>
      </c>
      <c r="C332" t="s">
        <v>205</v>
      </c>
      <c r="D332">
        <v>1990000</v>
      </c>
      <c r="E332" t="s">
        <v>191</v>
      </c>
      <c r="F332" s="24" t="str">
        <f t="shared" si="12"/>
        <v>rtdc.l.rtdc.4026:itc</v>
      </c>
      <c r="G332" s="8">
        <f t="shared" si="13"/>
        <v>42577.359351851854</v>
      </c>
    </row>
    <row r="333" spans="1:7" x14ac:dyDescent="0.25">
      <c r="A333" s="8">
        <v>42577.819699074076</v>
      </c>
      <c r="B333" t="s">
        <v>187</v>
      </c>
      <c r="C333" t="s">
        <v>261</v>
      </c>
      <c r="D333">
        <v>1770000</v>
      </c>
      <c r="E333" t="s">
        <v>165</v>
      </c>
      <c r="F333" s="24" t="str">
        <f t="shared" si="12"/>
        <v>rtdc.l.rtdc.4037:itc</v>
      </c>
      <c r="G333" s="8">
        <f t="shared" si="13"/>
        <v>42577.819699074076</v>
      </c>
    </row>
    <row r="334" spans="1:7" x14ac:dyDescent="0.25">
      <c r="A334" s="8">
        <v>42577.360810185186</v>
      </c>
      <c r="B334" t="s">
        <v>141</v>
      </c>
      <c r="C334" t="s">
        <v>222</v>
      </c>
      <c r="D334">
        <v>1540000</v>
      </c>
      <c r="E334" t="s">
        <v>172</v>
      </c>
      <c r="F334" s="24" t="str">
        <f t="shared" si="12"/>
        <v>rtdc.l.rtdc.4009:itc</v>
      </c>
      <c r="G334" s="8">
        <f t="shared" si="13"/>
        <v>42577.360810185186</v>
      </c>
    </row>
    <row r="335" spans="1:7" x14ac:dyDescent="0.25">
      <c r="A335" s="8">
        <v>42577.757962962962</v>
      </c>
      <c r="B335" t="s">
        <v>104</v>
      </c>
      <c r="C335" t="s">
        <v>244</v>
      </c>
      <c r="D335">
        <v>1780000</v>
      </c>
      <c r="E335" t="s">
        <v>275</v>
      </c>
      <c r="F335" s="24" t="str">
        <f t="shared" si="12"/>
        <v>rtdc.l.rtdc.4025:itc</v>
      </c>
      <c r="G335" s="8">
        <f t="shared" si="13"/>
        <v>42577.757962962962</v>
      </c>
    </row>
    <row r="336" spans="1:7" x14ac:dyDescent="0.25">
      <c r="A336" s="8">
        <v>42577.382928240739</v>
      </c>
      <c r="B336" t="s">
        <v>100</v>
      </c>
      <c r="C336" t="s">
        <v>252</v>
      </c>
      <c r="D336">
        <v>1300000</v>
      </c>
      <c r="E336" t="s">
        <v>145</v>
      </c>
      <c r="F336" s="24" t="str">
        <f t="shared" si="12"/>
        <v>rtdc.l.rtdc.4038:itc</v>
      </c>
      <c r="G336" s="8">
        <f t="shared" si="13"/>
        <v>42577.382928240739</v>
      </c>
    </row>
    <row r="337" spans="1:7" x14ac:dyDescent="0.25">
      <c r="A337" s="8">
        <v>42577.73809027778</v>
      </c>
      <c r="B337" t="s">
        <v>155</v>
      </c>
      <c r="C337" t="s">
        <v>260</v>
      </c>
      <c r="D337">
        <v>1480000</v>
      </c>
      <c r="E337" t="s">
        <v>101</v>
      </c>
      <c r="F337" s="24" t="str">
        <f t="shared" si="12"/>
        <v>rtdc.l.rtdc.4014:itc</v>
      </c>
      <c r="G337" s="8">
        <f t="shared" si="13"/>
        <v>42577.73809027778</v>
      </c>
    </row>
    <row r="338" spans="1:7" x14ac:dyDescent="0.25">
      <c r="A338" s="8">
        <v>42577.400347222225</v>
      </c>
      <c r="B338" t="s">
        <v>187</v>
      </c>
      <c r="C338" t="s">
        <v>253</v>
      </c>
      <c r="D338">
        <v>1300000</v>
      </c>
      <c r="E338" t="s">
        <v>145</v>
      </c>
      <c r="F338" s="24" t="str">
        <f t="shared" si="12"/>
        <v>rtdc.l.rtdc.4037:itc</v>
      </c>
      <c r="G338" s="8">
        <f t="shared" si="13"/>
        <v>42577.400347222225</v>
      </c>
    </row>
    <row r="339" spans="1:7" x14ac:dyDescent="0.25">
      <c r="A339" s="8">
        <v>42577.714189814818</v>
      </c>
      <c r="B339" t="s">
        <v>100</v>
      </c>
      <c r="C339" t="s">
        <v>259</v>
      </c>
      <c r="D339">
        <v>1770000</v>
      </c>
      <c r="E339" t="s">
        <v>165</v>
      </c>
      <c r="F339" s="24" t="str">
        <f t="shared" si="12"/>
        <v>rtdc.l.rtdc.4038:itc</v>
      </c>
      <c r="G339" s="8">
        <f t="shared" si="13"/>
        <v>42577.714189814818</v>
      </c>
    </row>
    <row r="340" spans="1:7" x14ac:dyDescent="0.25">
      <c r="A340" s="8">
        <v>42577.402118055557</v>
      </c>
      <c r="B340" t="s">
        <v>75</v>
      </c>
      <c r="C340" t="s">
        <v>206</v>
      </c>
      <c r="D340">
        <v>1090000</v>
      </c>
      <c r="E340" t="s">
        <v>110</v>
      </c>
      <c r="F340" s="24" t="str">
        <f t="shared" si="12"/>
        <v>rtdc.l.rtdc.4042:itc</v>
      </c>
      <c r="G340" s="8">
        <f t="shared" si="13"/>
        <v>42577.402118055557</v>
      </c>
    </row>
    <row r="341" spans="1:7" x14ac:dyDescent="0.25">
      <c r="A341" s="8">
        <v>42577.705046296294</v>
      </c>
      <c r="B341" t="s">
        <v>161</v>
      </c>
      <c r="C341" t="s">
        <v>242</v>
      </c>
      <c r="D341">
        <v>940000</v>
      </c>
      <c r="E341" t="s">
        <v>193</v>
      </c>
      <c r="F341" s="24" t="str">
        <f t="shared" si="12"/>
        <v>rtdc.l.rtdc.4031:itc</v>
      </c>
      <c r="G341" s="8">
        <f t="shared" si="13"/>
        <v>42577.705046296294</v>
      </c>
    </row>
    <row r="342" spans="1:7" x14ac:dyDescent="0.25">
      <c r="A342" s="8">
        <v>42577.411493055559</v>
      </c>
      <c r="B342" t="s">
        <v>161</v>
      </c>
      <c r="C342" t="s">
        <v>207</v>
      </c>
      <c r="D342">
        <v>1750000</v>
      </c>
      <c r="E342" t="s">
        <v>171</v>
      </c>
      <c r="F342" s="24" t="str">
        <f t="shared" si="12"/>
        <v>rtdc.l.rtdc.4031:itc</v>
      </c>
      <c r="G342" s="8">
        <f t="shared" si="13"/>
        <v>42577.411493055559</v>
      </c>
    </row>
    <row r="343" spans="1:7" x14ac:dyDescent="0.25">
      <c r="A343" s="8">
        <v>42577.692337962966</v>
      </c>
      <c r="B343" t="s">
        <v>155</v>
      </c>
      <c r="C343" t="s">
        <v>258</v>
      </c>
      <c r="D343">
        <v>1480000</v>
      </c>
      <c r="E343" t="s">
        <v>101</v>
      </c>
      <c r="F343" s="24" t="str">
        <f t="shared" si="12"/>
        <v>rtdc.l.rtdc.4014:itc</v>
      </c>
      <c r="G343" s="8">
        <f t="shared" si="13"/>
        <v>42577.692337962966</v>
      </c>
    </row>
    <row r="344" spans="1:7" x14ac:dyDescent="0.25">
      <c r="A344" s="8">
        <v>42577.42597222222</v>
      </c>
      <c r="B344" t="s">
        <v>100</v>
      </c>
      <c r="C344" t="s">
        <v>254</v>
      </c>
      <c r="D344">
        <v>1300000</v>
      </c>
      <c r="E344" t="s">
        <v>145</v>
      </c>
      <c r="F344" s="24" t="str">
        <f t="shared" si="12"/>
        <v>rtdc.l.rtdc.4038:itc</v>
      </c>
      <c r="G344" s="8">
        <f t="shared" si="13"/>
        <v>42577.42597222222</v>
      </c>
    </row>
    <row r="345" spans="1:7" x14ac:dyDescent="0.25">
      <c r="A345" s="8">
        <v>42577.685925925929</v>
      </c>
      <c r="B345" t="s">
        <v>142</v>
      </c>
      <c r="C345" t="s">
        <v>240</v>
      </c>
      <c r="D345">
        <v>1520000</v>
      </c>
      <c r="E345" t="s">
        <v>163</v>
      </c>
      <c r="F345" s="24" t="str">
        <f t="shared" si="12"/>
        <v>rtdc.l.rtdc.4010:itc</v>
      </c>
      <c r="G345" s="8">
        <f t="shared" si="13"/>
        <v>42577.685925925929</v>
      </c>
    </row>
    <row r="346" spans="1:7" x14ac:dyDescent="0.25">
      <c r="A346" s="8">
        <v>42577.449594907404</v>
      </c>
      <c r="B346" t="s">
        <v>162</v>
      </c>
      <c r="C346" t="s">
        <v>225</v>
      </c>
      <c r="D346">
        <v>1750000</v>
      </c>
      <c r="E346" t="s">
        <v>171</v>
      </c>
      <c r="F346" s="24" t="str">
        <f t="shared" ref="F346:F409" si="14">B346</f>
        <v>rtdc.l.rtdc.4032:itc</v>
      </c>
      <c r="G346" s="8">
        <f t="shared" ref="G346:G409" si="15">A346</f>
        <v>42577.449594907404</v>
      </c>
    </row>
    <row r="347" spans="1:7" x14ac:dyDescent="0.25">
      <c r="A347" s="8">
        <v>42577.684976851851</v>
      </c>
      <c r="B347" t="s">
        <v>104</v>
      </c>
      <c r="C347" t="s">
        <v>218</v>
      </c>
      <c r="D347">
        <v>880000</v>
      </c>
      <c r="E347" t="s">
        <v>167</v>
      </c>
      <c r="F347" s="24" t="str">
        <f t="shared" si="14"/>
        <v>rtdc.l.rtdc.4025:itc</v>
      </c>
      <c r="G347" s="8">
        <f t="shared" si="15"/>
        <v>42577.684976851851</v>
      </c>
    </row>
    <row r="348" spans="1:7" x14ac:dyDescent="0.25">
      <c r="A348" s="8">
        <v>42577.460543981484</v>
      </c>
      <c r="B348" t="s">
        <v>106</v>
      </c>
      <c r="C348" t="s">
        <v>227</v>
      </c>
      <c r="D348">
        <v>1280000</v>
      </c>
      <c r="E348" t="s">
        <v>169</v>
      </c>
      <c r="F348" s="24" t="str">
        <f t="shared" si="14"/>
        <v>rtdc.l.rtdc.4029:itc</v>
      </c>
      <c r="G348" s="8">
        <f t="shared" si="15"/>
        <v>42577.460543981484</v>
      </c>
    </row>
    <row r="349" spans="1:7" x14ac:dyDescent="0.25">
      <c r="A349" s="8">
        <v>42577.664375</v>
      </c>
      <c r="B349" t="s">
        <v>67</v>
      </c>
      <c r="C349" t="s">
        <v>241</v>
      </c>
      <c r="D349">
        <v>950000</v>
      </c>
      <c r="E349" t="s">
        <v>268</v>
      </c>
      <c r="F349" s="24" t="str">
        <f t="shared" si="14"/>
        <v>rtdc.l.rtdc.4020:itc</v>
      </c>
      <c r="G349" s="8">
        <f t="shared" si="15"/>
        <v>42577.664375</v>
      </c>
    </row>
    <row r="350" spans="1:7" x14ac:dyDescent="0.25">
      <c r="A350" s="8">
        <v>42577.483263888891</v>
      </c>
      <c r="B350" t="s">
        <v>66</v>
      </c>
      <c r="C350" t="s">
        <v>209</v>
      </c>
      <c r="D350">
        <v>1240000</v>
      </c>
      <c r="E350" t="s">
        <v>112</v>
      </c>
      <c r="F350" s="24" t="str">
        <f t="shared" si="14"/>
        <v>rtdc.l.rtdc.4019:itc</v>
      </c>
      <c r="G350" s="8">
        <f t="shared" si="15"/>
        <v>42577.483263888891</v>
      </c>
    </row>
    <row r="351" spans="1:7" x14ac:dyDescent="0.25">
      <c r="A351" s="8">
        <v>42577.654421296298</v>
      </c>
      <c r="B351" t="s">
        <v>141</v>
      </c>
      <c r="C351" t="s">
        <v>239</v>
      </c>
      <c r="D351">
        <v>1520000</v>
      </c>
      <c r="E351" t="s">
        <v>163</v>
      </c>
      <c r="F351" s="24" t="str">
        <f t="shared" si="14"/>
        <v>rtdc.l.rtdc.4009:itc</v>
      </c>
      <c r="G351" s="8">
        <f t="shared" si="15"/>
        <v>42577.654421296298</v>
      </c>
    </row>
    <row r="352" spans="1:7" x14ac:dyDescent="0.25">
      <c r="A352" s="8">
        <v>42577.525312500002</v>
      </c>
      <c r="B352" t="s">
        <v>67</v>
      </c>
      <c r="C352" t="s">
        <v>229</v>
      </c>
      <c r="D352">
        <v>950000</v>
      </c>
      <c r="E352" t="s">
        <v>268</v>
      </c>
      <c r="F352" s="24" t="str">
        <f t="shared" si="14"/>
        <v>rtdc.l.rtdc.4020:itc</v>
      </c>
      <c r="G352" s="8">
        <f t="shared" si="15"/>
        <v>42577.525312500002</v>
      </c>
    </row>
    <row r="353" spans="1:7" x14ac:dyDescent="0.25">
      <c r="A353" s="8">
        <v>42577.654097222221</v>
      </c>
      <c r="B353" t="s">
        <v>155</v>
      </c>
      <c r="C353" t="s">
        <v>256</v>
      </c>
      <c r="D353">
        <v>1480000</v>
      </c>
      <c r="E353" t="s">
        <v>101</v>
      </c>
      <c r="F353" s="24" t="str">
        <f t="shared" si="14"/>
        <v>rtdc.l.rtdc.4014:itc</v>
      </c>
      <c r="G353" s="8">
        <f t="shared" si="15"/>
        <v>42577.654097222221</v>
      </c>
    </row>
    <row r="354" spans="1:7" x14ac:dyDescent="0.25">
      <c r="A354" s="8">
        <v>42577.527569444443</v>
      </c>
      <c r="B354" t="s">
        <v>106</v>
      </c>
      <c r="C354" t="s">
        <v>230</v>
      </c>
      <c r="D354">
        <v>1280000</v>
      </c>
      <c r="E354" t="s">
        <v>169</v>
      </c>
      <c r="F354" s="24" t="str">
        <f t="shared" si="14"/>
        <v>rtdc.l.rtdc.4029:itc</v>
      </c>
      <c r="G354" s="8">
        <f t="shared" si="15"/>
        <v>42577.527569444443</v>
      </c>
    </row>
    <row r="355" spans="1:7" x14ac:dyDescent="0.25">
      <c r="A355" s="8">
        <v>42577.646643518521</v>
      </c>
      <c r="B355" t="s">
        <v>68</v>
      </c>
      <c r="C355" t="s">
        <v>238</v>
      </c>
      <c r="D355">
        <v>1140000</v>
      </c>
      <c r="E355" t="s">
        <v>164</v>
      </c>
      <c r="F355" s="24" t="str">
        <f t="shared" si="14"/>
        <v>rtdc.l.rtdc.4018:itc</v>
      </c>
      <c r="G355" s="8">
        <f t="shared" si="15"/>
        <v>42577.646643518521</v>
      </c>
    </row>
    <row r="356" spans="1:7" x14ac:dyDescent="0.25">
      <c r="A356" s="8">
        <v>42577.549317129633</v>
      </c>
      <c r="B356" t="s">
        <v>100</v>
      </c>
      <c r="C356" t="s">
        <v>213</v>
      </c>
      <c r="D356">
        <v>1770000</v>
      </c>
      <c r="E356" t="s">
        <v>165</v>
      </c>
      <c r="F356" s="24" t="str">
        <f t="shared" si="14"/>
        <v>rtdc.l.rtdc.4038:itc</v>
      </c>
      <c r="G356" s="8">
        <f t="shared" si="15"/>
        <v>42577.549317129633</v>
      </c>
    </row>
    <row r="357" spans="1:7" x14ac:dyDescent="0.25">
      <c r="A357" s="8">
        <v>42577.565370370372</v>
      </c>
      <c r="B357" t="s">
        <v>161</v>
      </c>
      <c r="C357" t="s">
        <v>214</v>
      </c>
      <c r="D357">
        <v>940000</v>
      </c>
      <c r="E357" t="s">
        <v>193</v>
      </c>
      <c r="F357" s="24" t="str">
        <f t="shared" si="14"/>
        <v>rtdc.l.rtdc.4031:itc</v>
      </c>
      <c r="G357" s="8">
        <f t="shared" si="15"/>
        <v>42577.565370370372</v>
      </c>
    </row>
    <row r="358" spans="1:7" x14ac:dyDescent="0.25">
      <c r="A358" s="8">
        <v>42577.569039351853</v>
      </c>
      <c r="B358" t="s">
        <v>187</v>
      </c>
      <c r="C358" t="s">
        <v>215</v>
      </c>
      <c r="D358">
        <v>1770000</v>
      </c>
      <c r="E358" t="s">
        <v>165</v>
      </c>
      <c r="F358" s="24" t="str">
        <f t="shared" si="14"/>
        <v>rtdc.l.rtdc.4037:itc</v>
      </c>
      <c r="G358" s="8">
        <f t="shared" si="15"/>
        <v>42577.569039351853</v>
      </c>
    </row>
    <row r="359" spans="1:7" x14ac:dyDescent="0.25">
      <c r="A359" s="8">
        <v>42577.55027777778</v>
      </c>
      <c r="B359" t="s">
        <v>75</v>
      </c>
      <c r="C359" t="s">
        <v>233</v>
      </c>
      <c r="D359">
        <v>1120000</v>
      </c>
      <c r="E359" t="s">
        <v>189</v>
      </c>
      <c r="F359" s="24" t="str">
        <f t="shared" si="14"/>
        <v>rtdc.l.rtdc.4042:itc</v>
      </c>
      <c r="G359" s="8">
        <f t="shared" si="15"/>
        <v>42577.55027777778</v>
      </c>
    </row>
    <row r="360" spans="1:7" x14ac:dyDescent="0.25">
      <c r="A360" s="8">
        <v>42577.572812500002</v>
      </c>
      <c r="B360" t="s">
        <v>68</v>
      </c>
      <c r="C360" t="s">
        <v>234</v>
      </c>
      <c r="D360">
        <v>1140000</v>
      </c>
      <c r="E360" t="s">
        <v>164</v>
      </c>
      <c r="F360" s="24" t="str">
        <f t="shared" si="14"/>
        <v>rtdc.l.rtdc.4018:itc</v>
      </c>
      <c r="G360" s="8">
        <f t="shared" si="15"/>
        <v>42577.572812500002</v>
      </c>
    </row>
    <row r="361" spans="1:7" x14ac:dyDescent="0.25">
      <c r="A361" s="8">
        <v>42577.540868055556</v>
      </c>
      <c r="B361" t="s">
        <v>104</v>
      </c>
      <c r="C361" t="s">
        <v>231</v>
      </c>
      <c r="D361">
        <v>880000</v>
      </c>
      <c r="E361" t="s">
        <v>167</v>
      </c>
      <c r="F361" s="24" t="str">
        <f t="shared" si="14"/>
        <v>rtdc.l.rtdc.4025:itc</v>
      </c>
      <c r="G361" s="8">
        <f t="shared" si="15"/>
        <v>42577.540868055556</v>
      </c>
    </row>
    <row r="362" spans="1:7" x14ac:dyDescent="0.25">
      <c r="A362" s="8">
        <v>42577.577905092592</v>
      </c>
      <c r="B362" t="s">
        <v>102</v>
      </c>
      <c r="C362" t="s">
        <v>232</v>
      </c>
      <c r="D362">
        <v>880000</v>
      </c>
      <c r="E362" t="s">
        <v>167</v>
      </c>
      <c r="F362" s="24" t="str">
        <f t="shared" si="14"/>
        <v>rtdc.l.rtdc.4026:itc</v>
      </c>
      <c r="G362" s="8">
        <f t="shared" si="15"/>
        <v>42577.577905092592</v>
      </c>
    </row>
    <row r="363" spans="1:7" x14ac:dyDescent="0.25">
      <c r="A363" s="8">
        <v>42577.539606481485</v>
      </c>
      <c r="B363" t="s">
        <v>142</v>
      </c>
      <c r="C363" t="s">
        <v>212</v>
      </c>
      <c r="D363">
        <v>1520000</v>
      </c>
      <c r="E363" t="s">
        <v>163</v>
      </c>
      <c r="F363" s="24" t="str">
        <f t="shared" si="14"/>
        <v>rtdc.l.rtdc.4010:itc</v>
      </c>
      <c r="G363" s="8">
        <f t="shared" si="15"/>
        <v>42577.539606481485</v>
      </c>
    </row>
    <row r="364" spans="1:7" x14ac:dyDescent="0.25">
      <c r="A364" s="8">
        <v>42577.581134259257</v>
      </c>
      <c r="B364" t="s">
        <v>141</v>
      </c>
      <c r="C364" t="s">
        <v>235</v>
      </c>
      <c r="D364">
        <v>1520000</v>
      </c>
      <c r="E364" t="s">
        <v>163</v>
      </c>
      <c r="F364" s="24" t="str">
        <f t="shared" si="14"/>
        <v>rtdc.l.rtdc.4009:itc</v>
      </c>
      <c r="G364" s="8">
        <f t="shared" si="15"/>
        <v>42577.581134259257</v>
      </c>
    </row>
    <row r="365" spans="1:7" x14ac:dyDescent="0.25">
      <c r="A365" s="8">
        <v>42577.507789351854</v>
      </c>
      <c r="B365" t="s">
        <v>100</v>
      </c>
      <c r="C365" t="s">
        <v>255</v>
      </c>
      <c r="D365">
        <v>1300000</v>
      </c>
      <c r="E365" t="s">
        <v>145</v>
      </c>
      <c r="F365" s="24" t="str">
        <f t="shared" si="14"/>
        <v>rtdc.l.rtdc.4038:itc</v>
      </c>
      <c r="G365" s="8">
        <f t="shared" si="15"/>
        <v>42577.507789351854</v>
      </c>
    </row>
    <row r="366" spans="1:7" x14ac:dyDescent="0.25">
      <c r="A366" s="8">
        <v>42577.588090277779</v>
      </c>
      <c r="B366" t="s">
        <v>144</v>
      </c>
      <c r="C366" t="s">
        <v>216</v>
      </c>
      <c r="D366">
        <v>1120000</v>
      </c>
      <c r="E366" t="s">
        <v>189</v>
      </c>
      <c r="F366" s="24" t="str">
        <f t="shared" si="14"/>
        <v>rtdc.l.rtdc.4041:itc</v>
      </c>
      <c r="G366" s="8">
        <f t="shared" si="15"/>
        <v>42577.588090277779</v>
      </c>
    </row>
    <row r="367" spans="1:7" x14ac:dyDescent="0.25">
      <c r="A367" s="8">
        <v>42577.505787037036</v>
      </c>
      <c r="B367" t="s">
        <v>102</v>
      </c>
      <c r="C367" t="s">
        <v>211</v>
      </c>
      <c r="D367">
        <v>880000</v>
      </c>
      <c r="E367" t="s">
        <v>167</v>
      </c>
      <c r="F367" s="24" t="str">
        <f t="shared" si="14"/>
        <v>rtdc.l.rtdc.4026:itc</v>
      </c>
      <c r="G367" s="8">
        <f t="shared" si="15"/>
        <v>42577.505787037036</v>
      </c>
    </row>
    <row r="368" spans="1:7" x14ac:dyDescent="0.25">
      <c r="A368" s="8">
        <v>42577.599224537036</v>
      </c>
      <c r="B368" t="s">
        <v>162</v>
      </c>
      <c r="C368" t="s">
        <v>217</v>
      </c>
      <c r="D368">
        <v>940000</v>
      </c>
      <c r="E368" t="s">
        <v>193</v>
      </c>
      <c r="F368" s="24" t="str">
        <f t="shared" si="14"/>
        <v>rtdc.l.rtdc.4032:itc</v>
      </c>
      <c r="G368" s="8">
        <f t="shared" si="15"/>
        <v>42577.599224537036</v>
      </c>
    </row>
    <row r="369" spans="1:7" x14ac:dyDescent="0.25">
      <c r="A369" s="8">
        <v>42577.477210648147</v>
      </c>
      <c r="B369" t="s">
        <v>75</v>
      </c>
      <c r="C369" t="s">
        <v>228</v>
      </c>
      <c r="D369">
        <v>1120000</v>
      </c>
      <c r="E369" t="s">
        <v>189</v>
      </c>
      <c r="F369" s="24" t="str">
        <f t="shared" si="14"/>
        <v>rtdc.l.rtdc.4042:itc</v>
      </c>
      <c r="G369" s="8">
        <f t="shared" si="15"/>
        <v>42577.477210648147</v>
      </c>
    </row>
    <row r="370" spans="1:7" x14ac:dyDescent="0.25">
      <c r="A370" s="8">
        <v>42577.601527777777</v>
      </c>
      <c r="B370" t="s">
        <v>106</v>
      </c>
      <c r="C370" t="s">
        <v>236</v>
      </c>
      <c r="D370">
        <v>1280000</v>
      </c>
      <c r="E370" t="s">
        <v>169</v>
      </c>
      <c r="F370" s="24" t="str">
        <f t="shared" si="14"/>
        <v>rtdc.l.rtdc.4029:itc</v>
      </c>
      <c r="G370" s="8">
        <f t="shared" si="15"/>
        <v>42577.601527777777</v>
      </c>
    </row>
    <row r="371" spans="1:7" x14ac:dyDescent="0.25">
      <c r="A371" s="8">
        <v>42577.445729166669</v>
      </c>
      <c r="B371" t="s">
        <v>67</v>
      </c>
      <c r="C371" t="s">
        <v>226</v>
      </c>
      <c r="D371">
        <v>1240000</v>
      </c>
      <c r="E371" t="s">
        <v>112</v>
      </c>
      <c r="F371" s="24" t="str">
        <f t="shared" si="14"/>
        <v>rtdc.l.rtdc.4020:itc</v>
      </c>
      <c r="G371" s="8">
        <f t="shared" si="15"/>
        <v>42577.445729166669</v>
      </c>
    </row>
    <row r="372" spans="1:7" x14ac:dyDescent="0.25">
      <c r="A372" s="8">
        <v>42577.639097222222</v>
      </c>
      <c r="B372" t="s">
        <v>107</v>
      </c>
      <c r="C372" t="s">
        <v>237</v>
      </c>
      <c r="D372">
        <v>1280000</v>
      </c>
      <c r="E372" t="s">
        <v>169</v>
      </c>
      <c r="F372" s="24" t="str">
        <f t="shared" si="14"/>
        <v>rtdc.l.rtdc.4030:itc</v>
      </c>
      <c r="G372" s="8">
        <f t="shared" si="15"/>
        <v>42577.639097222222</v>
      </c>
    </row>
    <row r="373" spans="1:7" x14ac:dyDescent="0.25">
      <c r="A373" s="8">
        <v>42577.442326388889</v>
      </c>
      <c r="B373" t="s">
        <v>187</v>
      </c>
      <c r="C373" t="s">
        <v>208</v>
      </c>
      <c r="D373">
        <v>1300000</v>
      </c>
      <c r="E373" t="s">
        <v>145</v>
      </c>
      <c r="F373" s="24" t="str">
        <f t="shared" si="14"/>
        <v>rtdc.l.rtdc.4037:itc</v>
      </c>
      <c r="G373" s="8">
        <f t="shared" si="15"/>
        <v>42577.442326388889</v>
      </c>
    </row>
    <row r="374" spans="1:7" x14ac:dyDescent="0.25">
      <c r="A374" s="8">
        <v>42577.692824074074</v>
      </c>
      <c r="B374" t="s">
        <v>187</v>
      </c>
      <c r="C374" t="s">
        <v>257</v>
      </c>
      <c r="D374">
        <v>1770000</v>
      </c>
      <c r="E374" t="s">
        <v>165</v>
      </c>
      <c r="F374" s="24" t="str">
        <f t="shared" si="14"/>
        <v>rtdc.l.rtdc.4037:itc</v>
      </c>
      <c r="G374" s="8">
        <f t="shared" si="15"/>
        <v>42577.692824074074</v>
      </c>
    </row>
    <row r="375" spans="1:7" x14ac:dyDescent="0.25">
      <c r="A375" s="8">
        <v>42577.410821759258</v>
      </c>
      <c r="B375" t="s">
        <v>66</v>
      </c>
      <c r="C375" t="s">
        <v>223</v>
      </c>
      <c r="D375">
        <v>1240000</v>
      </c>
      <c r="E375" t="s">
        <v>112</v>
      </c>
      <c r="F375" s="24" t="str">
        <f t="shared" si="14"/>
        <v>rtdc.l.rtdc.4019:itc</v>
      </c>
      <c r="G375" s="8">
        <f t="shared" si="15"/>
        <v>42577.410821759258</v>
      </c>
    </row>
    <row r="376" spans="1:7" x14ac:dyDescent="0.25">
      <c r="A376" s="8">
        <v>42577.719259259262</v>
      </c>
      <c r="B376" t="s">
        <v>68</v>
      </c>
      <c r="C376" t="s">
        <v>243</v>
      </c>
      <c r="D376">
        <v>1180000</v>
      </c>
      <c r="E376" t="s">
        <v>190</v>
      </c>
      <c r="F376" s="24" t="str">
        <f t="shared" si="14"/>
        <v>rtdc.l.rtdc.4018:itc</v>
      </c>
      <c r="G376" s="8">
        <f t="shared" si="15"/>
        <v>42577.719259259262</v>
      </c>
    </row>
    <row r="377" spans="1:7" x14ac:dyDescent="0.25">
      <c r="A377" s="8">
        <v>42577.390567129631</v>
      </c>
      <c r="B377" t="s">
        <v>105</v>
      </c>
      <c r="C377" t="s">
        <v>221</v>
      </c>
      <c r="D377">
        <v>1100000</v>
      </c>
      <c r="E377" t="s">
        <v>154</v>
      </c>
      <c r="F377" s="24" t="str">
        <f t="shared" si="14"/>
        <v>rtdc.l.rtdc.4028:itc</v>
      </c>
      <c r="G377" s="8">
        <f t="shared" si="15"/>
        <v>42577.390567129631</v>
      </c>
    </row>
    <row r="378" spans="1:7" x14ac:dyDescent="0.25">
      <c r="A378" s="8">
        <v>42577.79420138889</v>
      </c>
      <c r="B378" t="s">
        <v>155</v>
      </c>
      <c r="C378" t="s">
        <v>266</v>
      </c>
      <c r="D378">
        <v>1480000</v>
      </c>
      <c r="E378" t="s">
        <v>101</v>
      </c>
      <c r="F378" s="24" t="str">
        <f t="shared" si="14"/>
        <v>rtdc.l.rtdc.4014:itc</v>
      </c>
      <c r="G378" s="8">
        <f t="shared" si="15"/>
        <v>42577.79420138889</v>
      </c>
    </row>
    <row r="379" spans="1:7" x14ac:dyDescent="0.25">
      <c r="A379" s="8">
        <v>42577.361331018517</v>
      </c>
      <c r="B379" t="s">
        <v>102</v>
      </c>
      <c r="C379" t="s">
        <v>205</v>
      </c>
      <c r="D379">
        <v>1990000</v>
      </c>
      <c r="E379" t="s">
        <v>191</v>
      </c>
      <c r="F379" s="24" t="str">
        <f t="shared" si="14"/>
        <v>rtdc.l.rtdc.4026:itc</v>
      </c>
      <c r="G379" s="8">
        <f t="shared" si="15"/>
        <v>42577.361331018517</v>
      </c>
    </row>
    <row r="380" spans="1:7" x14ac:dyDescent="0.25">
      <c r="A380" s="8">
        <v>42577.843425925923</v>
      </c>
      <c r="B380" t="s">
        <v>100</v>
      </c>
      <c r="C380" t="s">
        <v>263</v>
      </c>
      <c r="D380">
        <v>1770000</v>
      </c>
      <c r="E380" t="s">
        <v>165</v>
      </c>
      <c r="F380" s="24" t="str">
        <f t="shared" si="14"/>
        <v>rtdc.l.rtdc.4038:itc</v>
      </c>
      <c r="G380" s="8">
        <f t="shared" si="15"/>
        <v>42577.843425925923</v>
      </c>
    </row>
    <row r="381" spans="1:7" x14ac:dyDescent="0.25">
      <c r="A381" s="8">
        <v>42577.359178240738</v>
      </c>
      <c r="B381" t="s">
        <v>187</v>
      </c>
      <c r="C381" t="s">
        <v>204</v>
      </c>
      <c r="D381">
        <v>1300000</v>
      </c>
      <c r="E381" t="s">
        <v>145</v>
      </c>
      <c r="F381" s="24" t="str">
        <f t="shared" si="14"/>
        <v>rtdc.l.rtdc.4037:itc</v>
      </c>
      <c r="G381" s="8">
        <f t="shared" si="15"/>
        <v>42577.359178240738</v>
      </c>
    </row>
    <row r="382" spans="1:7" x14ac:dyDescent="0.25">
      <c r="A382" s="8">
        <v>42577.859699074077</v>
      </c>
      <c r="B382" t="s">
        <v>187</v>
      </c>
      <c r="C382" t="s">
        <v>262</v>
      </c>
      <c r="D382">
        <v>1770000</v>
      </c>
      <c r="E382" t="s">
        <v>165</v>
      </c>
      <c r="F382" s="24" t="str">
        <f t="shared" si="14"/>
        <v>rtdc.l.rtdc.4037:itc</v>
      </c>
      <c r="G382" s="8">
        <f t="shared" si="15"/>
        <v>42577.859699074077</v>
      </c>
    </row>
    <row r="383" spans="1:7" x14ac:dyDescent="0.25">
      <c r="A383" s="8">
        <v>42577.324791666666</v>
      </c>
      <c r="B383" t="s">
        <v>155</v>
      </c>
      <c r="C383" t="s">
        <v>251</v>
      </c>
      <c r="D383">
        <v>1110000</v>
      </c>
      <c r="E383" t="s">
        <v>116</v>
      </c>
      <c r="F383" s="24" t="str">
        <f t="shared" si="14"/>
        <v>rtdc.l.rtdc.4014:itc</v>
      </c>
      <c r="G383" s="8">
        <f t="shared" si="15"/>
        <v>42577.324791666666</v>
      </c>
    </row>
    <row r="384" spans="1:7" x14ac:dyDescent="0.25">
      <c r="A384" s="8">
        <v>42577.878252314818</v>
      </c>
      <c r="B384" t="s">
        <v>100</v>
      </c>
      <c r="C384" t="s">
        <v>265</v>
      </c>
      <c r="D384">
        <v>1480000</v>
      </c>
      <c r="E384" t="s">
        <v>101</v>
      </c>
      <c r="F384" s="24" t="str">
        <f t="shared" si="14"/>
        <v>rtdc.l.rtdc.4038:itc</v>
      </c>
      <c r="G384" s="8">
        <f t="shared" si="15"/>
        <v>42577.878252314818</v>
      </c>
    </row>
    <row r="385" spans="1:7" x14ac:dyDescent="0.25">
      <c r="A385" s="8">
        <v>42577.288622685184</v>
      </c>
      <c r="B385" t="s">
        <v>102</v>
      </c>
      <c r="C385" t="s">
        <v>194</v>
      </c>
      <c r="D385">
        <v>1990000</v>
      </c>
      <c r="E385" t="s">
        <v>191</v>
      </c>
      <c r="F385" s="24" t="str">
        <f t="shared" si="14"/>
        <v>rtdc.l.rtdc.4026:itc</v>
      </c>
      <c r="G385" s="8">
        <f t="shared" si="15"/>
        <v>42577.288622685184</v>
      </c>
    </row>
    <row r="386" spans="1:7" x14ac:dyDescent="0.25">
      <c r="A386" s="8">
        <v>42577.983703703707</v>
      </c>
      <c r="B386" t="s">
        <v>104</v>
      </c>
      <c r="C386" t="s">
        <v>247</v>
      </c>
      <c r="D386">
        <v>1230000</v>
      </c>
      <c r="E386" t="s">
        <v>150</v>
      </c>
      <c r="F386" s="24" t="str">
        <f t="shared" si="14"/>
        <v>rtdc.l.rtdc.4025:itc</v>
      </c>
      <c r="G386" s="8">
        <f t="shared" si="15"/>
        <v>42577.983703703707</v>
      </c>
    </row>
    <row r="387" spans="1:7" x14ac:dyDescent="0.25">
      <c r="A387" s="8">
        <v>42577.276747685188</v>
      </c>
      <c r="B387" t="s">
        <v>187</v>
      </c>
      <c r="C387" t="s">
        <v>195</v>
      </c>
      <c r="D387">
        <v>1300000</v>
      </c>
      <c r="E387" t="s">
        <v>145</v>
      </c>
      <c r="F387" s="24" t="str">
        <f t="shared" si="14"/>
        <v>rtdc.l.rtdc.4037:itc</v>
      </c>
      <c r="G387" s="8">
        <f t="shared" si="15"/>
        <v>42577.276747685188</v>
      </c>
    </row>
    <row r="388" spans="1:7" x14ac:dyDescent="0.25">
      <c r="A388" s="8">
        <v>42578.094305555554</v>
      </c>
      <c r="B388" t="s">
        <v>75</v>
      </c>
      <c r="C388" t="s">
        <v>249</v>
      </c>
      <c r="D388">
        <v>1800000</v>
      </c>
      <c r="E388" t="s">
        <v>168</v>
      </c>
      <c r="F388" s="24" t="str">
        <f t="shared" si="14"/>
        <v>rtdc.l.rtdc.4042:itc</v>
      </c>
      <c r="G388" s="8">
        <f t="shared" si="15"/>
        <v>42578.094305555554</v>
      </c>
    </row>
    <row r="389" spans="1:7" x14ac:dyDescent="0.25">
      <c r="A389" s="8">
        <v>42577.220706018517</v>
      </c>
      <c r="B389" t="s">
        <v>144</v>
      </c>
      <c r="C389" t="s">
        <v>192</v>
      </c>
      <c r="D389">
        <v>1090000</v>
      </c>
      <c r="E389" t="s">
        <v>110</v>
      </c>
      <c r="F389" s="24" t="str">
        <f t="shared" si="14"/>
        <v>rtdc.l.rtdc.4041:itc</v>
      </c>
      <c r="G389" s="8">
        <f t="shared" si="15"/>
        <v>42577.220706018517</v>
      </c>
    </row>
    <row r="390" spans="1:7" x14ac:dyDescent="0.25">
      <c r="A390" s="8">
        <v>42578.187083333331</v>
      </c>
      <c r="B390" t="s">
        <v>162</v>
      </c>
      <c r="C390" t="s">
        <v>276</v>
      </c>
      <c r="D390">
        <v>2010000</v>
      </c>
      <c r="E390" t="s">
        <v>273</v>
      </c>
      <c r="F390" s="24" t="str">
        <f t="shared" si="14"/>
        <v>rtdc.l.rtdc.4032:itc</v>
      </c>
      <c r="G390" s="8">
        <f t="shared" si="15"/>
        <v>42578.187083333331</v>
      </c>
    </row>
    <row r="391" spans="1:7" x14ac:dyDescent="0.25">
      <c r="A391" s="8">
        <v>42576.956053240741</v>
      </c>
      <c r="B391" t="s">
        <v>100</v>
      </c>
      <c r="C391" t="s">
        <v>182</v>
      </c>
      <c r="D391">
        <v>1180000</v>
      </c>
      <c r="E391" t="s">
        <v>190</v>
      </c>
      <c r="F391" s="24" t="str">
        <f t="shared" si="14"/>
        <v>rtdc.l.rtdc.4038:itc</v>
      </c>
      <c r="G391" s="8">
        <f t="shared" si="15"/>
        <v>42576.956053240741</v>
      </c>
    </row>
    <row r="392" spans="1:7" x14ac:dyDescent="0.25">
      <c r="A392" s="8">
        <v>42578.27847222222</v>
      </c>
      <c r="B392" t="s">
        <v>66</v>
      </c>
      <c r="C392" t="s">
        <v>277</v>
      </c>
      <c r="D392">
        <v>1100000</v>
      </c>
      <c r="E392" t="s">
        <v>154</v>
      </c>
      <c r="F392" s="24" t="str">
        <f t="shared" si="14"/>
        <v>rtdc.l.rtdc.4019:itc</v>
      </c>
      <c r="G392" s="8">
        <f t="shared" si="15"/>
        <v>42578.27847222222</v>
      </c>
    </row>
    <row r="393" spans="1:7" x14ac:dyDescent="0.25">
      <c r="A393" s="8">
        <v>42576.955509259256</v>
      </c>
      <c r="B393" t="s">
        <v>132</v>
      </c>
      <c r="C393" t="s">
        <v>181</v>
      </c>
      <c r="D393">
        <v>1800000</v>
      </c>
      <c r="E393" t="s">
        <v>168</v>
      </c>
      <c r="F393" s="24" t="str">
        <f t="shared" si="14"/>
        <v>rtdc.l.rtdc.4015:itc</v>
      </c>
      <c r="G393" s="8">
        <f t="shared" si="15"/>
        <v>42576.955509259256</v>
      </c>
    </row>
    <row r="394" spans="1:7" x14ac:dyDescent="0.25">
      <c r="A394" s="8">
        <v>42578.253449074073</v>
      </c>
      <c r="B394" t="s">
        <v>108</v>
      </c>
      <c r="C394" t="s">
        <v>270</v>
      </c>
      <c r="D394">
        <v>1360000</v>
      </c>
      <c r="E394" t="s">
        <v>271</v>
      </c>
      <c r="F394" s="24" t="str">
        <f t="shared" si="14"/>
        <v>rtdc.l.rtdc.4027:itc</v>
      </c>
      <c r="G394" s="8">
        <f t="shared" si="15"/>
        <v>42578.253449074073</v>
      </c>
    </row>
    <row r="395" spans="1:7" x14ac:dyDescent="0.25">
      <c r="A395" s="8">
        <v>42576.954583333332</v>
      </c>
      <c r="B395" t="s">
        <v>132</v>
      </c>
      <c r="C395" t="s">
        <v>181</v>
      </c>
      <c r="D395">
        <v>1800000</v>
      </c>
      <c r="E395" t="s">
        <v>168</v>
      </c>
      <c r="F395" s="24" t="str">
        <f t="shared" si="14"/>
        <v>rtdc.l.rtdc.4015:itc</v>
      </c>
      <c r="G395" s="8">
        <f t="shared" si="15"/>
        <v>42576.954583333332</v>
      </c>
    </row>
    <row r="396" spans="1:7" x14ac:dyDescent="0.25">
      <c r="A396" s="8">
        <v>42578.301388888889</v>
      </c>
      <c r="B396" t="s">
        <v>67</v>
      </c>
      <c r="C396" t="s">
        <v>269</v>
      </c>
      <c r="D396">
        <v>1100000</v>
      </c>
      <c r="E396" t="s">
        <v>154</v>
      </c>
      <c r="F396" s="24" t="str">
        <f t="shared" si="14"/>
        <v>rtdc.l.rtdc.4020:itc</v>
      </c>
      <c r="G396" s="8">
        <f t="shared" si="15"/>
        <v>42578.301388888889</v>
      </c>
    </row>
    <row r="397" spans="1:7" x14ac:dyDescent="0.25">
      <c r="A397" s="8">
        <v>42576.909930555557</v>
      </c>
      <c r="B397" t="s">
        <v>187</v>
      </c>
      <c r="C397" t="s">
        <v>180</v>
      </c>
      <c r="D397">
        <v>1180000</v>
      </c>
      <c r="E397" t="s">
        <v>190</v>
      </c>
      <c r="F397" s="24" t="str">
        <f t="shared" si="14"/>
        <v>rtdc.l.rtdc.4037:itc</v>
      </c>
      <c r="G397" s="8">
        <f t="shared" si="15"/>
        <v>42576.909930555557</v>
      </c>
    </row>
    <row r="398" spans="1:7" x14ac:dyDescent="0.25">
      <c r="A398" s="8">
        <v>42578.298680555556</v>
      </c>
      <c r="B398" t="s">
        <v>106</v>
      </c>
      <c r="C398" t="s">
        <v>274</v>
      </c>
      <c r="D398">
        <v>1190000</v>
      </c>
      <c r="E398" t="s">
        <v>143</v>
      </c>
      <c r="F398" s="24" t="str">
        <f t="shared" si="14"/>
        <v>rtdc.l.rtdc.4029:itc</v>
      </c>
      <c r="G398" s="8">
        <f t="shared" si="15"/>
        <v>42578.298680555556</v>
      </c>
    </row>
    <row r="399" spans="1:7" x14ac:dyDescent="0.25">
      <c r="A399" s="8">
        <v>42576.883668981478</v>
      </c>
      <c r="B399" t="s">
        <v>144</v>
      </c>
      <c r="C399" t="s">
        <v>186</v>
      </c>
      <c r="D399">
        <v>1290000</v>
      </c>
      <c r="E399" t="s">
        <v>148</v>
      </c>
      <c r="F399" s="24" t="str">
        <f t="shared" si="14"/>
        <v>rtdc.l.rtdc.4041:itc</v>
      </c>
      <c r="G399" s="8">
        <f t="shared" si="15"/>
        <v>42576.883668981478</v>
      </c>
    </row>
    <row r="400" spans="1:7" x14ac:dyDescent="0.25">
      <c r="A400" s="8">
        <v>42578.25271990741</v>
      </c>
      <c r="B400" t="s">
        <v>108</v>
      </c>
      <c r="C400" t="s">
        <v>270</v>
      </c>
      <c r="D400">
        <v>1360000</v>
      </c>
      <c r="E400" t="s">
        <v>271</v>
      </c>
      <c r="F400" s="24" t="str">
        <f t="shared" si="14"/>
        <v>rtdc.l.rtdc.4027:itc</v>
      </c>
      <c r="G400" s="8">
        <f t="shared" si="15"/>
        <v>42578.25271990741</v>
      </c>
    </row>
    <row r="401" spans="1:7" x14ac:dyDescent="0.25">
      <c r="A401" s="8">
        <v>42576.844421296293</v>
      </c>
      <c r="B401" t="s">
        <v>103</v>
      </c>
      <c r="C401" t="s">
        <v>179</v>
      </c>
      <c r="D401">
        <v>1810000</v>
      </c>
      <c r="E401" t="s">
        <v>166</v>
      </c>
      <c r="F401" s="24" t="str">
        <f t="shared" si="14"/>
        <v>rtdc.l.rtdc.4013:itc</v>
      </c>
      <c r="G401" s="8">
        <f t="shared" si="15"/>
        <v>42576.844421296293</v>
      </c>
    </row>
    <row r="402" spans="1:7" x14ac:dyDescent="0.25">
      <c r="A402" s="8">
        <v>42578.316828703704</v>
      </c>
      <c r="B402" t="s">
        <v>111</v>
      </c>
      <c r="C402" t="s">
        <v>278</v>
      </c>
      <c r="D402">
        <v>900000</v>
      </c>
      <c r="E402" t="s">
        <v>188</v>
      </c>
      <c r="F402" s="24" t="str">
        <f t="shared" si="14"/>
        <v>rtdc.l.rtdc.4008:itc</v>
      </c>
      <c r="G402" s="8">
        <f t="shared" si="15"/>
        <v>42578.316828703704</v>
      </c>
    </row>
    <row r="403" spans="1:7" x14ac:dyDescent="0.25">
      <c r="A403" s="8">
        <v>42577.494490740741</v>
      </c>
      <c r="B403" t="s">
        <v>107</v>
      </c>
      <c r="C403" t="s">
        <v>210</v>
      </c>
      <c r="D403">
        <v>1280000</v>
      </c>
      <c r="E403" t="s">
        <v>169</v>
      </c>
      <c r="F403" s="24" t="str">
        <f t="shared" si="14"/>
        <v>rtdc.l.rtdc.4030:itc</v>
      </c>
      <c r="G403" s="8">
        <f t="shared" si="15"/>
        <v>42577.494490740741</v>
      </c>
    </row>
    <row r="404" spans="1:7" x14ac:dyDescent="0.25">
      <c r="F404" s="24">
        <f t="shared" si="14"/>
        <v>0</v>
      </c>
      <c r="G404" s="8">
        <f t="shared" si="15"/>
        <v>0</v>
      </c>
    </row>
    <row r="405" spans="1:7" x14ac:dyDescent="0.25">
      <c r="A405" s="8">
        <v>42576.21025462963</v>
      </c>
      <c r="B405" t="s">
        <v>100</v>
      </c>
      <c r="C405" t="s">
        <v>173</v>
      </c>
      <c r="D405">
        <v>1110000</v>
      </c>
      <c r="E405" t="s">
        <v>116</v>
      </c>
      <c r="F405" s="24" t="str">
        <f t="shared" si="14"/>
        <v>rtdc.l.rtdc.4038:itc</v>
      </c>
      <c r="G405" s="8">
        <f t="shared" si="15"/>
        <v>42576.21025462963</v>
      </c>
    </row>
    <row r="406" spans="1:7" x14ac:dyDescent="0.25">
      <c r="A406" s="8">
        <v>42576.997789351852</v>
      </c>
      <c r="B406" t="s">
        <v>133</v>
      </c>
      <c r="C406" t="s">
        <v>183</v>
      </c>
      <c r="D406">
        <v>1800000</v>
      </c>
      <c r="E406" t="s">
        <v>168</v>
      </c>
      <c r="F406" s="24" t="str">
        <f t="shared" si="14"/>
        <v>rtdc.l.rtdc.4016:itc</v>
      </c>
      <c r="G406" s="8">
        <f t="shared" si="15"/>
        <v>42576.997789351852</v>
      </c>
    </row>
    <row r="407" spans="1:7" x14ac:dyDescent="0.25">
      <c r="A407" s="8">
        <v>42576.173506944448</v>
      </c>
      <c r="B407" t="s">
        <v>142</v>
      </c>
      <c r="C407" t="s">
        <v>174</v>
      </c>
      <c r="D407">
        <v>1480000</v>
      </c>
      <c r="E407" t="s">
        <v>101</v>
      </c>
      <c r="F407" s="24" t="str">
        <f t="shared" si="14"/>
        <v>rtdc.l.rtdc.4010:itc</v>
      </c>
      <c r="G407" s="8">
        <f t="shared" si="15"/>
        <v>42576.173506944448</v>
      </c>
    </row>
    <row r="408" spans="1:7" x14ac:dyDescent="0.25">
      <c r="A408" s="8">
        <v>42577.006099537037</v>
      </c>
      <c r="B408" t="s">
        <v>113</v>
      </c>
      <c r="C408" t="s">
        <v>185</v>
      </c>
      <c r="D408">
        <v>1230000</v>
      </c>
      <c r="E408" t="s">
        <v>150</v>
      </c>
      <c r="F408" s="24" t="str">
        <f t="shared" si="14"/>
        <v>rtdc.l.rtdc.4007:itc</v>
      </c>
      <c r="G408" s="8">
        <f t="shared" si="15"/>
        <v>42577.006099537037</v>
      </c>
    </row>
    <row r="409" spans="1:7" x14ac:dyDescent="0.25">
      <c r="A409" s="8">
        <v>42576.171527777777</v>
      </c>
      <c r="B409" t="s">
        <v>133</v>
      </c>
      <c r="C409" t="s">
        <v>175</v>
      </c>
      <c r="D409">
        <v>1190000</v>
      </c>
      <c r="E409" t="s">
        <v>143</v>
      </c>
      <c r="F409" s="24" t="str">
        <f t="shared" si="14"/>
        <v>rtdc.l.rtdc.4016:itc</v>
      </c>
      <c r="G409" s="8">
        <f t="shared" si="15"/>
        <v>42576.171527777777</v>
      </c>
    </row>
    <row r="410" spans="1:7" x14ac:dyDescent="0.25">
      <c r="A410" s="8">
        <v>42577.038541666669</v>
      </c>
      <c r="B410" t="s">
        <v>132</v>
      </c>
      <c r="C410" t="s">
        <v>184</v>
      </c>
      <c r="D410">
        <v>1800000</v>
      </c>
      <c r="E410" t="s">
        <v>168</v>
      </c>
      <c r="F410" s="24" t="str">
        <f t="shared" ref="F410:F473" si="16">B410</f>
        <v>rtdc.l.rtdc.4015:itc</v>
      </c>
      <c r="G410" s="8">
        <f t="shared" ref="G410:G473" si="17">A410</f>
        <v>42577.038541666669</v>
      </c>
    </row>
    <row r="411" spans="1:7" x14ac:dyDescent="0.25">
      <c r="A411" s="8">
        <v>42576.140347222223</v>
      </c>
      <c r="B411" t="s">
        <v>100</v>
      </c>
      <c r="C411" t="s">
        <v>176</v>
      </c>
      <c r="D411">
        <v>1480000</v>
      </c>
      <c r="E411" t="s">
        <v>101</v>
      </c>
      <c r="F411" s="24" t="str">
        <f t="shared" si="16"/>
        <v>rtdc.l.rtdc.4038:itc</v>
      </c>
      <c r="G411" s="8">
        <f t="shared" si="17"/>
        <v>42576.140347222223</v>
      </c>
    </row>
    <row r="412" spans="1:7" x14ac:dyDescent="0.25">
      <c r="A412" s="8">
        <v>42577.175497685188</v>
      </c>
      <c r="B412" t="s">
        <v>104</v>
      </c>
      <c r="C412" t="s">
        <v>196</v>
      </c>
      <c r="D412">
        <v>1990000</v>
      </c>
      <c r="E412" t="s">
        <v>191</v>
      </c>
      <c r="F412" s="24" t="str">
        <f t="shared" si="16"/>
        <v>rtdc.l.rtdc.4025:itc</v>
      </c>
      <c r="G412" s="8">
        <f t="shared" si="17"/>
        <v>42577.175497685188</v>
      </c>
    </row>
    <row r="413" spans="1:7" x14ac:dyDescent="0.25">
      <c r="A413" s="8">
        <v>42576.058923611112</v>
      </c>
      <c r="B413" t="s">
        <v>151</v>
      </c>
      <c r="C413" t="s">
        <v>160</v>
      </c>
      <c r="D413">
        <v>1800000</v>
      </c>
      <c r="E413" t="s">
        <v>168</v>
      </c>
      <c r="F413" s="24" t="str">
        <f t="shared" si="16"/>
        <v>rtdc.l.rtdc.4012:itc</v>
      </c>
      <c r="G413" s="8">
        <f t="shared" si="17"/>
        <v>42576.058923611112</v>
      </c>
    </row>
    <row r="414" spans="1:7" x14ac:dyDescent="0.25">
      <c r="A414" s="8">
        <v>42577.184363425928</v>
      </c>
      <c r="B414" t="s">
        <v>75</v>
      </c>
      <c r="C414" t="s">
        <v>197</v>
      </c>
      <c r="D414">
        <v>1090000</v>
      </c>
      <c r="E414" t="s">
        <v>110</v>
      </c>
      <c r="F414" s="24" t="str">
        <f t="shared" si="16"/>
        <v>rtdc.l.rtdc.4042:itc</v>
      </c>
      <c r="G414" s="8">
        <f t="shared" si="17"/>
        <v>42577.184363425928</v>
      </c>
    </row>
    <row r="415" spans="1:7" x14ac:dyDescent="0.25">
      <c r="A415" s="8">
        <v>42576.017511574071</v>
      </c>
      <c r="B415" t="s">
        <v>149</v>
      </c>
      <c r="C415" t="s">
        <v>159</v>
      </c>
      <c r="D415">
        <v>1800000</v>
      </c>
      <c r="E415" t="s">
        <v>168</v>
      </c>
      <c r="F415" s="24" t="str">
        <f t="shared" si="16"/>
        <v>rtdc.l.rtdc.4011:itc</v>
      </c>
      <c r="G415" s="8">
        <f t="shared" si="17"/>
        <v>42576.017511574071</v>
      </c>
    </row>
    <row r="416" spans="1:7" x14ac:dyDescent="0.25">
      <c r="A416" s="8">
        <v>42577.213009259256</v>
      </c>
      <c r="B416" t="s">
        <v>69</v>
      </c>
      <c r="C416" t="s">
        <v>198</v>
      </c>
      <c r="D416">
        <v>1990000</v>
      </c>
      <c r="E416" t="s">
        <v>191</v>
      </c>
      <c r="F416" s="24" t="str">
        <f t="shared" si="16"/>
        <v>rtdc.l.rtdc.4017:itc</v>
      </c>
      <c r="G416" s="8">
        <f t="shared" si="17"/>
        <v>42577.213009259256</v>
      </c>
    </row>
    <row r="417" spans="1:7" x14ac:dyDescent="0.25">
      <c r="A417" s="8">
        <v>42575.883391203701</v>
      </c>
      <c r="B417" t="s">
        <v>162</v>
      </c>
      <c r="C417" t="s">
        <v>157</v>
      </c>
      <c r="D417">
        <v>1750000</v>
      </c>
      <c r="E417" t="s">
        <v>171</v>
      </c>
      <c r="F417" s="24" t="str">
        <f t="shared" si="16"/>
        <v>rtdc.l.rtdc.4032:itc</v>
      </c>
      <c r="G417" s="8">
        <f t="shared" si="17"/>
        <v>42575.883391203701</v>
      </c>
    </row>
    <row r="418" spans="1:7" x14ac:dyDescent="0.25">
      <c r="A418" s="8">
        <v>42577.214444444442</v>
      </c>
      <c r="B418" t="s">
        <v>141</v>
      </c>
      <c r="C418" t="s">
        <v>199</v>
      </c>
      <c r="D418">
        <v>1540000</v>
      </c>
      <c r="E418" t="s">
        <v>172</v>
      </c>
      <c r="F418" s="24" t="str">
        <f t="shared" si="16"/>
        <v>rtdc.l.rtdc.4009:itc</v>
      </c>
      <c r="G418" s="8">
        <f t="shared" si="17"/>
        <v>42577.214444444442</v>
      </c>
    </row>
    <row r="419" spans="1:7" x14ac:dyDescent="0.25">
      <c r="A419" s="8">
        <v>42575.847673611112</v>
      </c>
      <c r="B419" t="s">
        <v>103</v>
      </c>
      <c r="C419" t="s">
        <v>158</v>
      </c>
      <c r="D419">
        <v>1290000</v>
      </c>
      <c r="E419" t="s">
        <v>148</v>
      </c>
      <c r="F419" s="24" t="str">
        <f t="shared" si="16"/>
        <v>rtdc.l.rtdc.4013:itc</v>
      </c>
      <c r="G419" s="8">
        <f t="shared" si="17"/>
        <v>42575.847673611112</v>
      </c>
    </row>
    <row r="420" spans="1:7" x14ac:dyDescent="0.25">
      <c r="A420" s="8">
        <v>42577.276863425926</v>
      </c>
      <c r="B420" t="s">
        <v>108</v>
      </c>
      <c r="C420" t="s">
        <v>200</v>
      </c>
      <c r="D420">
        <v>1100000</v>
      </c>
      <c r="E420" t="s">
        <v>154</v>
      </c>
      <c r="F420" s="24" t="str">
        <f t="shared" si="16"/>
        <v>rtdc.l.rtdc.4027:itc</v>
      </c>
      <c r="G420" s="8">
        <f t="shared" si="17"/>
        <v>42577.276863425926</v>
      </c>
    </row>
    <row r="421" spans="1:7" x14ac:dyDescent="0.25">
      <c r="A421" s="8">
        <v>42576.376134259262</v>
      </c>
      <c r="B421" t="s">
        <v>133</v>
      </c>
      <c r="C421" t="s">
        <v>177</v>
      </c>
      <c r="D421">
        <v>1240000</v>
      </c>
      <c r="E421" t="s">
        <v>112</v>
      </c>
      <c r="F421" s="24" t="str">
        <f t="shared" si="16"/>
        <v>rtdc.l.rtdc.4016:itc</v>
      </c>
      <c r="G421" s="8">
        <f t="shared" si="17"/>
        <v>42576.376134259262</v>
      </c>
    </row>
    <row r="422" spans="1:7" x14ac:dyDescent="0.25">
      <c r="A422" s="8">
        <v>42577.289629629631</v>
      </c>
      <c r="B422" t="s">
        <v>141</v>
      </c>
      <c r="C422" t="s">
        <v>201</v>
      </c>
      <c r="D422">
        <v>1540000</v>
      </c>
      <c r="E422" t="s">
        <v>172</v>
      </c>
      <c r="F422" s="24" t="str">
        <f t="shared" si="16"/>
        <v>rtdc.l.rtdc.4009:itc</v>
      </c>
      <c r="G422" s="8">
        <f t="shared" si="17"/>
        <v>42577.289629629631</v>
      </c>
    </row>
    <row r="423" spans="1:7" x14ac:dyDescent="0.25">
      <c r="A423" s="8">
        <v>42576.578298611108</v>
      </c>
      <c r="B423" t="s">
        <v>111</v>
      </c>
      <c r="C423" t="s">
        <v>178</v>
      </c>
      <c r="D423">
        <v>880000</v>
      </c>
      <c r="E423" t="s">
        <v>167</v>
      </c>
      <c r="F423" s="24" t="str">
        <f t="shared" si="16"/>
        <v>rtdc.l.rtdc.4008:itc</v>
      </c>
      <c r="G423" s="8">
        <f t="shared" si="17"/>
        <v>42576.578298611108</v>
      </c>
    </row>
    <row r="424" spans="1:7" x14ac:dyDescent="0.25">
      <c r="F424" s="24">
        <f t="shared" si="16"/>
        <v>0</v>
      </c>
      <c r="G424" s="8">
        <f t="shared" si="17"/>
        <v>0</v>
      </c>
    </row>
    <row r="425" spans="1:7" x14ac:dyDescent="0.25">
      <c r="F425" s="24">
        <f t="shared" si="16"/>
        <v>0</v>
      </c>
      <c r="G425" s="8">
        <f t="shared" si="17"/>
        <v>0</v>
      </c>
    </row>
    <row r="426" spans="1:7" x14ac:dyDescent="0.25">
      <c r="F426" s="24">
        <f t="shared" si="16"/>
        <v>0</v>
      </c>
      <c r="G426" s="8">
        <f t="shared" si="17"/>
        <v>0</v>
      </c>
    </row>
    <row r="427" spans="1:7" x14ac:dyDescent="0.25">
      <c r="F427" s="24">
        <f t="shared" si="16"/>
        <v>0</v>
      </c>
      <c r="G427" s="8">
        <f t="shared" si="17"/>
        <v>0</v>
      </c>
    </row>
    <row r="428" spans="1:7" x14ac:dyDescent="0.25">
      <c r="F428" s="24">
        <f t="shared" si="16"/>
        <v>0</v>
      </c>
      <c r="G428" s="8">
        <f t="shared" si="17"/>
        <v>0</v>
      </c>
    </row>
    <row r="429" spans="1:7" x14ac:dyDescent="0.25">
      <c r="F429" s="24">
        <f t="shared" si="16"/>
        <v>0</v>
      </c>
      <c r="G429" s="8">
        <f t="shared" si="17"/>
        <v>0</v>
      </c>
    </row>
    <row r="430" spans="1:7" x14ac:dyDescent="0.25">
      <c r="F430" s="24">
        <f t="shared" si="16"/>
        <v>0</v>
      </c>
      <c r="G430" s="8">
        <f t="shared" si="17"/>
        <v>0</v>
      </c>
    </row>
    <row r="431" spans="1:7" x14ac:dyDescent="0.25">
      <c r="F431" s="24">
        <f t="shared" si="16"/>
        <v>0</v>
      </c>
      <c r="G431" s="8">
        <f t="shared" si="17"/>
        <v>0</v>
      </c>
    </row>
    <row r="432" spans="1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9" t="s">
        <v>279</v>
      </c>
      <c r="D1" s="90" t="s">
        <v>280</v>
      </c>
      <c r="J1" s="35" t="s">
        <v>281</v>
      </c>
      <c r="K1" s="35" t="s">
        <v>81</v>
      </c>
      <c r="L1" s="35" t="s">
        <v>82</v>
      </c>
      <c r="O1" s="93" t="s">
        <v>282</v>
      </c>
    </row>
    <row r="2" spans="1:16" ht="15.75" thickBot="1" x14ac:dyDescent="0.3">
      <c r="A2" s="15">
        <v>42588</v>
      </c>
      <c r="B2" s="4"/>
      <c r="C2" s="91">
        <v>50</v>
      </c>
      <c r="D2" s="92">
        <v>25</v>
      </c>
      <c r="F2" t="s">
        <v>59</v>
      </c>
      <c r="J2" s="35"/>
      <c r="K2" s="35" t="s">
        <v>81</v>
      </c>
      <c r="L2" s="35" t="s">
        <v>82</v>
      </c>
    </row>
    <row r="3" spans="1:16" x14ac:dyDescent="0.25">
      <c r="F3" t="s">
        <v>60</v>
      </c>
      <c r="J3" s="36" t="s">
        <v>83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283</v>
      </c>
      <c r="P3" s="73">
        <f>AVERAGE(1.0714,1.1016)</f>
        <v>1.0865</v>
      </c>
    </row>
    <row r="4" spans="1:16" x14ac:dyDescent="0.25">
      <c r="F4" t="s">
        <v>61</v>
      </c>
      <c r="J4" s="36" t="s">
        <v>84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85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86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87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88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89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90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91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92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93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94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119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120</v>
      </c>
      <c r="K19" s="37"/>
      <c r="L19" s="37"/>
      <c r="M19" s="73" t="s">
        <v>325</v>
      </c>
    </row>
    <row r="20" spans="10:13" x14ac:dyDescent="0.25">
      <c r="J20" t="s">
        <v>121</v>
      </c>
      <c r="M20" s="73" t="s">
        <v>318</v>
      </c>
    </row>
    <row r="21" spans="10:13" x14ac:dyDescent="0.25">
      <c r="J21" s="24" t="s">
        <v>124</v>
      </c>
      <c r="K21" s="24" t="s">
        <v>125</v>
      </c>
      <c r="M21" s="73" t="s">
        <v>125</v>
      </c>
    </row>
    <row r="22" spans="10:13" x14ac:dyDescent="0.25">
      <c r="J22" s="24" t="s">
        <v>126</v>
      </c>
      <c r="K22" s="24" t="s">
        <v>127</v>
      </c>
      <c r="M22" s="73" t="s">
        <v>324</v>
      </c>
    </row>
    <row r="23" spans="10:13" x14ac:dyDescent="0.25">
      <c r="J23" s="32" t="s">
        <v>129</v>
      </c>
      <c r="K23" s="24"/>
      <c r="M23" s="73">
        <v>-6</v>
      </c>
    </row>
    <row r="24" spans="10:13" x14ac:dyDescent="0.25">
      <c r="J24" s="24" t="s">
        <v>319</v>
      </c>
      <c r="K24" s="24"/>
      <c r="M24" s="73" t="s">
        <v>323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2016-08-08T17:56:11Z</dcterms:modified>
</cp:coreProperties>
</file>