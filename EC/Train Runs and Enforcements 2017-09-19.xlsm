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Enforcements!$A$6:$AC$45</definedName>
    <definedName name="_xlnm._FilterDatabase" localSheetId="2" hidden="1">'Missing Trips'!$A$2:$J$26</definedName>
    <definedName name="_xlnm._FilterDatabase" localSheetId="0" hidden="1">'Train Runs'!$A$12:$AG$302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22" i="1" l="1"/>
  <c r="P220" i="1" l="1"/>
  <c r="X188" i="1" l="1"/>
  <c r="K187" i="1"/>
  <c r="L187" i="1"/>
  <c r="M187" i="1"/>
  <c r="N187" i="1" s="1"/>
  <c r="V187" i="1"/>
  <c r="AA187" i="1"/>
  <c r="AB187" i="1"/>
  <c r="AC187" i="1"/>
  <c r="AD187" i="1"/>
  <c r="T187" i="1" s="1"/>
  <c r="AE187" i="1"/>
  <c r="R37" i="3" s="1"/>
  <c r="AF187" i="1"/>
  <c r="AH187" i="1"/>
  <c r="AM187" i="1"/>
  <c r="AN187" i="1"/>
  <c r="AO187" i="1"/>
  <c r="X153" i="1"/>
  <c r="X154" i="1"/>
  <c r="K153" i="1"/>
  <c r="L153" i="1"/>
  <c r="M153" i="1"/>
  <c r="N153" i="1" s="1"/>
  <c r="V153" i="1"/>
  <c r="AA153" i="1"/>
  <c r="AB153" i="1"/>
  <c r="AC153" i="1"/>
  <c r="AD153" i="1"/>
  <c r="T153" i="1" s="1"/>
  <c r="AE153" i="1"/>
  <c r="AF153" i="1"/>
  <c r="AH153" i="1"/>
  <c r="AM153" i="1"/>
  <c r="AN153" i="1"/>
  <c r="AO153" i="1"/>
  <c r="P109" i="1"/>
  <c r="P81" i="1"/>
  <c r="P55" i="1"/>
  <c r="X31" i="1"/>
  <c r="K30" i="1"/>
  <c r="M30" i="1"/>
  <c r="V30" i="1"/>
  <c r="AA30" i="1"/>
  <c r="AB30" i="1"/>
  <c r="AC30" i="1"/>
  <c r="AD30" i="1"/>
  <c r="T30" i="1" s="1"/>
  <c r="AE30" i="1"/>
  <c r="AF30" i="1"/>
  <c r="AH30" i="1"/>
  <c r="AM30" i="1"/>
  <c r="AN30" i="1"/>
  <c r="AO30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X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S26" i="3" s="1"/>
  <c r="Y16" i="1"/>
  <c r="Z16" i="1"/>
  <c r="AB16" i="1"/>
  <c r="AC16" i="1"/>
  <c r="AD16" i="1"/>
  <c r="X16" i="1" s="1"/>
  <c r="AE16" i="1"/>
  <c r="AF16" i="1"/>
  <c r="AH16" i="1"/>
  <c r="AM16" i="1"/>
  <c r="AN16" i="1"/>
  <c r="AO16" i="1"/>
  <c r="K17" i="1"/>
  <c r="L17" i="1"/>
  <c r="M17" i="1"/>
  <c r="N17" i="1" s="1"/>
  <c r="T17" i="1"/>
  <c r="V17" i="1"/>
  <c r="Y17" i="1"/>
  <c r="Z17" i="1"/>
  <c r="AA17" i="1" s="1"/>
  <c r="AB17" i="1"/>
  <c r="AC17" i="1"/>
  <c r="AD17" i="1"/>
  <c r="X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T19" i="1"/>
  <c r="V19" i="1"/>
  <c r="X19" i="1"/>
  <c r="Y19" i="1"/>
  <c r="Z19" i="1"/>
  <c r="AA19" i="1" s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X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A24" i="1" s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X26" i="1" s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A27" i="1" s="1"/>
  <c r="AB27" i="1"/>
  <c r="AC27" i="1"/>
  <c r="AD27" i="1"/>
  <c r="T27" i="1" s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A28" i="1" s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AO29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S12" i="3" s="1"/>
  <c r="Y32" i="1"/>
  <c r="Z32" i="1"/>
  <c r="AA32" i="1" s="1"/>
  <c r="AB32" i="1"/>
  <c r="AC32" i="1"/>
  <c r="AD32" i="1"/>
  <c r="T32" i="1" s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A33" i="1" s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X35" i="1" s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X37" i="1" s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A39" i="1" s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X40" i="1"/>
  <c r="Y40" i="1"/>
  <c r="Z40" i="1"/>
  <c r="AA40" i="1" s="1"/>
  <c r="AB40" i="1"/>
  <c r="AC40" i="1"/>
  <c r="AD40" i="1"/>
  <c r="T40" i="1" s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X41" i="1" s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X43" i="1" s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A44" i="1" s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A45" i="1" s="1"/>
  <c r="AB45" i="1"/>
  <c r="AC45" i="1"/>
  <c r="AD45" i="1"/>
  <c r="T45" i="1" s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A47" i="1" s="1"/>
  <c r="AB47" i="1"/>
  <c r="AC47" i="1"/>
  <c r="AD47" i="1"/>
  <c r="X47" i="1" s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AO48" i="1"/>
  <c r="K49" i="1"/>
  <c r="L49" i="1"/>
  <c r="M49" i="1"/>
  <c r="N49" i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/>
  <c r="V50" i="1"/>
  <c r="Y50" i="1"/>
  <c r="Z50" i="1"/>
  <c r="AA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T51" i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X52" i="1" s="1"/>
  <c r="AE52" i="1"/>
  <c r="AF52" i="1"/>
  <c r="AH52" i="1"/>
  <c r="AM52" i="1"/>
  <c r="AN52" i="1"/>
  <c r="AO52" i="1"/>
  <c r="K53" i="1"/>
  <c r="L53" i="1"/>
  <c r="M53" i="1"/>
  <c r="N53" i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AO53" i="1"/>
  <c r="K54" i="1"/>
  <c r="L54" i="1"/>
  <c r="M54" i="1"/>
  <c r="N54" i="1"/>
  <c r="V54" i="1"/>
  <c r="X54" i="1"/>
  <c r="Y54" i="1"/>
  <c r="Z54" i="1"/>
  <c r="AB54" i="1"/>
  <c r="AC54" i="1"/>
  <c r="AD54" i="1"/>
  <c r="T54" i="1" s="1"/>
  <c r="AE54" i="1"/>
  <c r="AF54" i="1"/>
  <c r="AH54" i="1"/>
  <c r="AM54" i="1"/>
  <c r="AN54" i="1"/>
  <c r="AO54" i="1"/>
  <c r="K55" i="1"/>
  <c r="L55" i="1"/>
  <c r="M55" i="1"/>
  <c r="V55" i="1"/>
  <c r="Y55" i="1"/>
  <c r="Z55" i="1"/>
  <c r="AA55" i="1" s="1"/>
  <c r="AB55" i="1"/>
  <c r="AC55" i="1"/>
  <c r="AD55" i="1"/>
  <c r="X55" i="1" s="1"/>
  <c r="AE55" i="1"/>
  <c r="AF55" i="1"/>
  <c r="AH55" i="1"/>
  <c r="AM55" i="1"/>
  <c r="AN55" i="1"/>
  <c r="AO55" i="1"/>
  <c r="K56" i="1"/>
  <c r="L56" i="1"/>
  <c r="M56" i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/>
  <c r="V58" i="1"/>
  <c r="Y58" i="1"/>
  <c r="AA58" i="1" s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A60" i="1" s="1"/>
  <c r="AB60" i="1"/>
  <c r="AC60" i="1"/>
  <c r="AD60" i="1"/>
  <c r="X60" i="1" s="1"/>
  <c r="AE60" i="1"/>
  <c r="R17" i="3" s="1"/>
  <c r="AF60" i="1"/>
  <c r="AH60" i="1"/>
  <c r="AM60" i="1"/>
  <c r="AN60" i="1"/>
  <c r="AO60" i="1"/>
  <c r="K61" i="1"/>
  <c r="L61" i="1"/>
  <c r="M61" i="1"/>
  <c r="N61" i="1" s="1"/>
  <c r="T61" i="1"/>
  <c r="V61" i="1"/>
  <c r="Y61" i="1"/>
  <c r="Z61" i="1"/>
  <c r="AA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AA62" i="1" s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/>
  <c r="V63" i="1"/>
  <c r="Y63" i="1"/>
  <c r="Z63" i="1"/>
  <c r="AA63" i="1" s="1"/>
  <c r="AB63" i="1"/>
  <c r="AC63" i="1"/>
  <c r="AD63" i="1"/>
  <c r="X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A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A65" i="1" s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X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X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X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A71" i="1" s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A72" i="1" s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A73" i="1" s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T74" i="1"/>
  <c r="V74" i="1"/>
  <c r="Y74" i="1"/>
  <c r="AA74" i="1" s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/>
  <c r="V75" i="1"/>
  <c r="Y75" i="1"/>
  <c r="Z75" i="1"/>
  <c r="AA75" i="1" s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T76" i="1"/>
  <c r="V76" i="1"/>
  <c r="Y76" i="1"/>
  <c r="AA76" i="1" s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AA77" i="1" s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/>
  <c r="V78" i="1"/>
  <c r="Y78" i="1"/>
  <c r="Z78" i="1"/>
  <c r="AA78" i="1" s="1"/>
  <c r="AB78" i="1"/>
  <c r="AC78" i="1"/>
  <c r="AD78" i="1"/>
  <c r="X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AA79" i="1" s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A80" i="1" s="1"/>
  <c r="AB80" i="1"/>
  <c r="AC80" i="1"/>
  <c r="AD80" i="1"/>
  <c r="AE80" i="1"/>
  <c r="AF80" i="1"/>
  <c r="AH80" i="1"/>
  <c r="AM80" i="1"/>
  <c r="AN80" i="1"/>
  <c r="AO80" i="1"/>
  <c r="K81" i="1"/>
  <c r="L81" i="1"/>
  <c r="M81" i="1"/>
  <c r="V81" i="1"/>
  <c r="S23" i="3" s="1"/>
  <c r="Y81" i="1"/>
  <c r="Z81" i="1"/>
  <c r="AA81" i="1" s="1"/>
  <c r="AB81" i="1"/>
  <c r="AC81" i="1"/>
  <c r="AD81" i="1"/>
  <c r="AE81" i="1"/>
  <c r="AF81" i="1"/>
  <c r="AH81" i="1"/>
  <c r="AM81" i="1"/>
  <c r="AN81" i="1"/>
  <c r="AO81" i="1"/>
  <c r="K82" i="1"/>
  <c r="L82" i="1"/>
  <c r="M82" i="1"/>
  <c r="T82" i="1"/>
  <c r="V82" i="1"/>
  <c r="Y82" i="1"/>
  <c r="AA82" i="1" s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/>
  <c r="V83" i="1"/>
  <c r="Y83" i="1"/>
  <c r="Z83" i="1"/>
  <c r="AA83" i="1" s="1"/>
  <c r="AB83" i="1"/>
  <c r="AC83" i="1"/>
  <c r="AD83" i="1"/>
  <c r="T83" i="1" s="1"/>
  <c r="AE83" i="1"/>
  <c r="AF83" i="1"/>
  <c r="AH83" i="1"/>
  <c r="AM83" i="1"/>
  <c r="AN83" i="1"/>
  <c r="AO83" i="1"/>
  <c r="K84" i="1"/>
  <c r="L84" i="1"/>
  <c r="M84" i="1"/>
  <c r="N84" i="1" s="1"/>
  <c r="T84" i="1"/>
  <c r="V84" i="1"/>
  <c r="Y84" i="1"/>
  <c r="AA84" i="1" s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S16" i="3" s="1"/>
  <c r="Y85" i="1"/>
  <c r="AA85" i="1" s="1"/>
  <c r="Z85" i="1"/>
  <c r="AB85" i="1"/>
  <c r="AC85" i="1"/>
  <c r="AD85" i="1"/>
  <c r="T85" i="1" s="1"/>
  <c r="AE85" i="1"/>
  <c r="AF85" i="1"/>
  <c r="AH85" i="1"/>
  <c r="AM85" i="1"/>
  <c r="AN85" i="1"/>
  <c r="AO85" i="1"/>
  <c r="K86" i="1"/>
  <c r="L86" i="1"/>
  <c r="M86" i="1"/>
  <c r="N86" i="1"/>
  <c r="V86" i="1"/>
  <c r="Y86" i="1"/>
  <c r="Z86" i="1"/>
  <c r="AA86" i="1" s="1"/>
  <c r="AB86" i="1"/>
  <c r="AC86" i="1"/>
  <c r="AD86" i="1"/>
  <c r="X86" i="1" s="1"/>
  <c r="AE86" i="1"/>
  <c r="AF86" i="1"/>
  <c r="AH86" i="1"/>
  <c r="AM86" i="1"/>
  <c r="AN86" i="1"/>
  <c r="AO86" i="1"/>
  <c r="K87" i="1"/>
  <c r="L87" i="1"/>
  <c r="M87" i="1"/>
  <c r="N87" i="1" s="1"/>
  <c r="V87" i="1"/>
  <c r="Y87" i="1"/>
  <c r="AA87" i="1" s="1"/>
  <c r="Z87" i="1"/>
  <c r="AB87" i="1"/>
  <c r="AC87" i="1"/>
  <c r="AD87" i="1"/>
  <c r="T87" i="1" s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A88" i="1" s="1"/>
  <c r="AB88" i="1"/>
  <c r="AC88" i="1"/>
  <c r="AD88" i="1"/>
  <c r="T88" i="1" s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A89" i="1" s="1"/>
  <c r="AB89" i="1"/>
  <c r="AC89" i="1"/>
  <c r="AD89" i="1"/>
  <c r="T89" i="1" s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A90" i="1" s="1"/>
  <c r="AB90" i="1"/>
  <c r="AC90" i="1"/>
  <c r="AD90" i="1"/>
  <c r="T90" i="1" s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A91" i="1" s="1"/>
  <c r="AB91" i="1"/>
  <c r="AC91" i="1"/>
  <c r="AD91" i="1"/>
  <c r="T91" i="1" s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A92" i="1" s="1"/>
  <c r="AB92" i="1"/>
  <c r="AC92" i="1"/>
  <c r="AD92" i="1"/>
  <c r="T92" i="1" s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A93" i="1" s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A94" i="1" s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A95" i="1" s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A96" i="1" s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A98" i="1" s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A99" i="1" s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A100" i="1" s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A101" i="1" s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A102" i="1" s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A103" i="1" s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A104" i="1" s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A105" i="1" s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A106" i="1" s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A107" i="1" s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A108" i="1" s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V109" i="1"/>
  <c r="Y109" i="1"/>
  <c r="Z109" i="1"/>
  <c r="AA109" i="1" s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V110" i="1"/>
  <c r="Y110" i="1"/>
  <c r="Z110" i="1"/>
  <c r="AA110" i="1" s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A111" i="1" s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A112" i="1" s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A113" i="1" s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S29" i="3" s="1"/>
  <c r="Y114" i="1"/>
  <c r="Z114" i="1"/>
  <c r="AA114" i="1" s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A115" i="1" s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A116" i="1" s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A117" i="1" s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A118" i="1" s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A120" i="1" s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A121" i="1" s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X122" i="1"/>
  <c r="Y122" i="1"/>
  <c r="Z122" i="1"/>
  <c r="AA122" i="1" s="1"/>
  <c r="AB122" i="1"/>
  <c r="AC122" i="1"/>
  <c r="AD122" i="1"/>
  <c r="T122" i="1" s="1"/>
  <c r="AE122" i="1"/>
  <c r="AF122" i="1"/>
  <c r="AH122" i="1"/>
  <c r="AM122" i="1"/>
  <c r="AN122" i="1"/>
  <c r="AO122" i="1"/>
  <c r="K123" i="1"/>
  <c r="L123" i="1"/>
  <c r="M123" i="1"/>
  <c r="N123" i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/>
  <c r="V124" i="1"/>
  <c r="X124" i="1"/>
  <c r="Y124" i="1"/>
  <c r="Z124" i="1"/>
  <c r="AB124" i="1"/>
  <c r="AC124" i="1"/>
  <c r="AD124" i="1"/>
  <c r="T124" i="1" s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T126" i="1"/>
  <c r="V126" i="1"/>
  <c r="Y126" i="1"/>
  <c r="Z126" i="1"/>
  <c r="AA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AA128" i="1" s="1"/>
  <c r="Z128" i="1"/>
  <c r="AB128" i="1"/>
  <c r="AC128" i="1"/>
  <c r="AD128" i="1"/>
  <c r="T128" i="1" s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A129" i="1" s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/>
  <c r="T132" i="1"/>
  <c r="V132" i="1"/>
  <c r="Y132" i="1"/>
  <c r="Z132" i="1"/>
  <c r="AA132" i="1" s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R7" i="3" s="1"/>
  <c r="AF133" i="1"/>
  <c r="AH133" i="1"/>
  <c r="AM133" i="1"/>
  <c r="AN133" i="1"/>
  <c r="AO133" i="1"/>
  <c r="K134" i="1"/>
  <c r="L134" i="1"/>
  <c r="M134" i="1"/>
  <c r="N134" i="1" s="1"/>
  <c r="T134" i="1"/>
  <c r="V134" i="1"/>
  <c r="Y134" i="1"/>
  <c r="AA134" i="1" s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A135" i="1" s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/>
  <c r="V137" i="1"/>
  <c r="Y137" i="1"/>
  <c r="Z137" i="1"/>
  <c r="AB137" i="1"/>
  <c r="AC137" i="1"/>
  <c r="AD137" i="1"/>
  <c r="X137" i="1" s="1"/>
  <c r="AE137" i="1"/>
  <c r="AF137" i="1"/>
  <c r="AH137" i="1"/>
  <c r="AM137" i="1"/>
  <c r="AN137" i="1"/>
  <c r="AO137" i="1"/>
  <c r="K138" i="1"/>
  <c r="L138" i="1"/>
  <c r="M138" i="1"/>
  <c r="N138" i="1"/>
  <c r="V138" i="1"/>
  <c r="Y138" i="1"/>
  <c r="Z138" i="1"/>
  <c r="AB138" i="1"/>
  <c r="AC138" i="1"/>
  <c r="AD138" i="1"/>
  <c r="X138" i="1" s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AA140" i="1" s="1"/>
  <c r="Z140" i="1"/>
  <c r="AB140" i="1"/>
  <c r="AC140" i="1"/>
  <c r="AD140" i="1"/>
  <c r="X140" i="1" s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AA142" i="1" s="1"/>
  <c r="Z142" i="1"/>
  <c r="AB142" i="1"/>
  <c r="AC142" i="1"/>
  <c r="AD142" i="1"/>
  <c r="T142" i="1" s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A143" i="1" s="1"/>
  <c r="AB143" i="1"/>
  <c r="AC143" i="1"/>
  <c r="AD143" i="1"/>
  <c r="X143" i="1" s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A144" i="1" s="1"/>
  <c r="AB144" i="1"/>
  <c r="AC144" i="1"/>
  <c r="AD144" i="1"/>
  <c r="T144" i="1" s="1"/>
  <c r="AE144" i="1"/>
  <c r="AF144" i="1"/>
  <c r="AH144" i="1"/>
  <c r="AM144" i="1"/>
  <c r="AN144" i="1"/>
  <c r="AO144" i="1"/>
  <c r="K145" i="1"/>
  <c r="L145" i="1"/>
  <c r="M145" i="1"/>
  <c r="N145" i="1"/>
  <c r="V145" i="1"/>
  <c r="Y145" i="1"/>
  <c r="AA145" i="1" s="1"/>
  <c r="Z145" i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 s="1"/>
  <c r="V146" i="1"/>
  <c r="X146" i="1"/>
  <c r="Y146" i="1"/>
  <c r="Z146" i="1"/>
  <c r="AA146" i="1" s="1"/>
  <c r="AB146" i="1"/>
  <c r="AC146" i="1"/>
  <c r="AD146" i="1"/>
  <c r="T146" i="1" s="1"/>
  <c r="AE146" i="1"/>
  <c r="AF146" i="1"/>
  <c r="AH146" i="1"/>
  <c r="AM146" i="1"/>
  <c r="AN146" i="1"/>
  <c r="AO146" i="1"/>
  <c r="K147" i="1"/>
  <c r="L147" i="1"/>
  <c r="M147" i="1"/>
  <c r="N147" i="1"/>
  <c r="V147" i="1"/>
  <c r="Y147" i="1"/>
  <c r="AA147" i="1" s="1"/>
  <c r="Z147" i="1"/>
  <c r="AB147" i="1"/>
  <c r="AC147" i="1"/>
  <c r="AD147" i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A148" i="1"/>
  <c r="AB148" i="1"/>
  <c r="AC148" i="1"/>
  <c r="AD148" i="1"/>
  <c r="T148" i="1" s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A149" i="1" s="1"/>
  <c r="AB149" i="1"/>
  <c r="AC149" i="1"/>
  <c r="AD149" i="1"/>
  <c r="X149" i="1" s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A152" i="1" s="1"/>
  <c r="AB152" i="1"/>
  <c r="AC152" i="1"/>
  <c r="AD152" i="1"/>
  <c r="AE152" i="1"/>
  <c r="AF152" i="1"/>
  <c r="AH152" i="1"/>
  <c r="AM152" i="1"/>
  <c r="AN152" i="1"/>
  <c r="AO152" i="1"/>
  <c r="K154" i="1"/>
  <c r="L154" i="1"/>
  <c r="M154" i="1"/>
  <c r="N154" i="1"/>
  <c r="V154" i="1"/>
  <c r="Y154" i="1"/>
  <c r="Z154" i="1"/>
  <c r="AB154" i="1"/>
  <c r="AC154" i="1"/>
  <c r="AD154" i="1"/>
  <c r="AE154" i="1"/>
  <c r="AF154" i="1"/>
  <c r="AH154" i="1"/>
  <c r="AM154" i="1"/>
  <c r="AN154" i="1"/>
  <c r="AO154" i="1"/>
  <c r="K155" i="1"/>
  <c r="L155" i="1"/>
  <c r="M155" i="1"/>
  <c r="N155" i="1"/>
  <c r="V155" i="1"/>
  <c r="Y155" i="1"/>
  <c r="Z155" i="1"/>
  <c r="AA155" i="1"/>
  <c r="AB155" i="1"/>
  <c r="AC155" i="1"/>
  <c r="AD155" i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AO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AO158" i="1"/>
  <c r="K159" i="1"/>
  <c r="L159" i="1"/>
  <c r="M159" i="1"/>
  <c r="N159" i="1" s="1"/>
  <c r="V159" i="1"/>
  <c r="Y159" i="1"/>
  <c r="Z159" i="1"/>
  <c r="AA159" i="1" s="1"/>
  <c r="AB159" i="1"/>
  <c r="AC159" i="1"/>
  <c r="AD159" i="1"/>
  <c r="AE159" i="1"/>
  <c r="AF159" i="1"/>
  <c r="AH159" i="1"/>
  <c r="AM159" i="1"/>
  <c r="AN159" i="1"/>
  <c r="AO159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0" i="1"/>
  <c r="AM160" i="1"/>
  <c r="AN160" i="1"/>
  <c r="AO160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1" i="1"/>
  <c r="AM161" i="1"/>
  <c r="AN161" i="1"/>
  <c r="AO161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A212" i="1" s="1"/>
  <c r="AB212" i="1"/>
  <c r="AC212" i="1"/>
  <c r="AD212" i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6" i="1"/>
  <c r="AM166" i="1"/>
  <c r="AN166" i="1"/>
  <c r="AO166" i="1"/>
  <c r="K216" i="1"/>
  <c r="L216" i="1"/>
  <c r="M216" i="1"/>
  <c r="N216" i="1" s="1"/>
  <c r="V216" i="1"/>
  <c r="Y216" i="1"/>
  <c r="Z216" i="1"/>
  <c r="AA216" i="1" s="1"/>
  <c r="AB216" i="1"/>
  <c r="AC216" i="1"/>
  <c r="AD216" i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8" i="1"/>
  <c r="AM168" i="1"/>
  <c r="AN168" i="1"/>
  <c r="AO168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9" i="1"/>
  <c r="AM169" i="1"/>
  <c r="AN169" i="1"/>
  <c r="AO169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0" i="1"/>
  <c r="AM170" i="1"/>
  <c r="AN170" i="1"/>
  <c r="AO170" i="1"/>
  <c r="K220" i="1"/>
  <c r="L220" i="1"/>
  <c r="M220" i="1"/>
  <c r="V220" i="1"/>
  <c r="S39" i="3" s="1"/>
  <c r="Y220" i="1"/>
  <c r="Z220" i="1"/>
  <c r="AA220" i="1" s="1"/>
  <c r="AB220" i="1"/>
  <c r="AC220" i="1"/>
  <c r="AD220" i="1"/>
  <c r="AE220" i="1"/>
  <c r="AF220" i="1"/>
  <c r="AH171" i="1"/>
  <c r="AM171" i="1"/>
  <c r="AN171" i="1"/>
  <c r="AO171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172" i="1"/>
  <c r="AM172" i="1"/>
  <c r="AN172" i="1"/>
  <c r="AO172" i="1"/>
  <c r="K228" i="1"/>
  <c r="L228" i="1"/>
  <c r="M228" i="1"/>
  <c r="N228" i="1" s="1"/>
  <c r="V228" i="1"/>
  <c r="Y228" i="1"/>
  <c r="AA228" i="1" s="1"/>
  <c r="Z228" i="1"/>
  <c r="AB228" i="1"/>
  <c r="AC228" i="1"/>
  <c r="AD228" i="1"/>
  <c r="AE228" i="1"/>
  <c r="AF228" i="1"/>
  <c r="AH173" i="1"/>
  <c r="AM173" i="1"/>
  <c r="AN173" i="1"/>
  <c r="AO173" i="1"/>
  <c r="K229" i="1"/>
  <c r="L229" i="1"/>
  <c r="M229" i="1"/>
  <c r="N229" i="1" s="1"/>
  <c r="V229" i="1"/>
  <c r="Y229" i="1"/>
  <c r="AA229" i="1" s="1"/>
  <c r="Z229" i="1"/>
  <c r="AB229" i="1"/>
  <c r="AC229" i="1"/>
  <c r="AD229" i="1"/>
  <c r="AE229" i="1"/>
  <c r="AF229" i="1"/>
  <c r="AH174" i="1"/>
  <c r="AM174" i="1"/>
  <c r="AN174" i="1"/>
  <c r="AO174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5" i="1"/>
  <c r="AM175" i="1"/>
  <c r="AN175" i="1"/>
  <c r="AO175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6" i="1"/>
  <c r="AM176" i="1"/>
  <c r="AN176" i="1"/>
  <c r="AO176" i="1"/>
  <c r="K232" i="1"/>
  <c r="L232" i="1"/>
  <c r="M232" i="1"/>
  <c r="N232" i="1" s="1"/>
  <c r="V232" i="1"/>
  <c r="Y232" i="1"/>
  <c r="Z232" i="1"/>
  <c r="AA232" i="1"/>
  <c r="AB232" i="1"/>
  <c r="AC232" i="1"/>
  <c r="AD232" i="1"/>
  <c r="AE232" i="1"/>
  <c r="AF232" i="1"/>
  <c r="AH177" i="1"/>
  <c r="AM177" i="1"/>
  <c r="AN177" i="1"/>
  <c r="AO177" i="1"/>
  <c r="K233" i="1"/>
  <c r="L233" i="1"/>
  <c r="M233" i="1"/>
  <c r="N233" i="1" s="1"/>
  <c r="V233" i="1"/>
  <c r="Y233" i="1"/>
  <c r="AA233" i="1" s="1"/>
  <c r="Z233" i="1"/>
  <c r="AB233" i="1"/>
  <c r="AC233" i="1"/>
  <c r="AD233" i="1"/>
  <c r="AE233" i="1"/>
  <c r="AF233" i="1"/>
  <c r="AH178" i="1"/>
  <c r="AM178" i="1"/>
  <c r="AN178" i="1"/>
  <c r="AO178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79" i="1"/>
  <c r="AM179" i="1"/>
  <c r="AN179" i="1"/>
  <c r="AO17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0" i="1"/>
  <c r="AM180" i="1"/>
  <c r="AN180" i="1"/>
  <c r="AO180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81" i="1"/>
  <c r="AM181" i="1"/>
  <c r="AN181" i="1"/>
  <c r="AO181" i="1"/>
  <c r="K162" i="1"/>
  <c r="L162" i="1"/>
  <c r="M162" i="1"/>
  <c r="N162" i="1" s="1"/>
  <c r="V162" i="1"/>
  <c r="Y162" i="1"/>
  <c r="AA162" i="1" s="1"/>
  <c r="Z162" i="1"/>
  <c r="AB162" i="1"/>
  <c r="AC162" i="1"/>
  <c r="AD162" i="1"/>
  <c r="AE162" i="1"/>
  <c r="AF162" i="1"/>
  <c r="AH182" i="1"/>
  <c r="AM182" i="1"/>
  <c r="AN182" i="1"/>
  <c r="AO182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3" i="1"/>
  <c r="AM183" i="1"/>
  <c r="AN183" i="1"/>
  <c r="AO183" i="1"/>
  <c r="K164" i="1"/>
  <c r="L164" i="1"/>
  <c r="M164" i="1"/>
  <c r="N164" i="1" s="1"/>
  <c r="V164" i="1"/>
  <c r="Y164" i="1"/>
  <c r="AA164" i="1" s="1"/>
  <c r="Z164" i="1"/>
  <c r="AB164" i="1"/>
  <c r="AC164" i="1"/>
  <c r="AD164" i="1"/>
  <c r="AE164" i="1"/>
  <c r="AF164" i="1"/>
  <c r="AH184" i="1"/>
  <c r="AM184" i="1"/>
  <c r="AN184" i="1"/>
  <c r="AO184" i="1"/>
  <c r="K165" i="1"/>
  <c r="L165" i="1"/>
  <c r="M165" i="1"/>
  <c r="N165" i="1" s="1"/>
  <c r="V165" i="1"/>
  <c r="Y165" i="1"/>
  <c r="Z165" i="1"/>
  <c r="AA165" i="1" s="1"/>
  <c r="AB165" i="1"/>
  <c r="AC165" i="1"/>
  <c r="AD165" i="1"/>
  <c r="AE165" i="1"/>
  <c r="AF165" i="1"/>
  <c r="AH185" i="1"/>
  <c r="AM185" i="1"/>
  <c r="AN185" i="1"/>
  <c r="AO185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6" i="1"/>
  <c r="AM186" i="1"/>
  <c r="AN186" i="1"/>
  <c r="AO186" i="1"/>
  <c r="K167" i="1"/>
  <c r="L167" i="1"/>
  <c r="M167" i="1"/>
  <c r="N167" i="1" s="1"/>
  <c r="V167" i="1"/>
  <c r="Y167" i="1"/>
  <c r="Z167" i="1"/>
  <c r="AA167" i="1" s="1"/>
  <c r="AB167" i="1"/>
  <c r="AC167" i="1"/>
  <c r="AD167" i="1"/>
  <c r="AE167" i="1"/>
  <c r="AF167" i="1"/>
  <c r="AH188" i="1"/>
  <c r="AM188" i="1"/>
  <c r="AN188" i="1"/>
  <c r="AO188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89" i="1"/>
  <c r="AM189" i="1"/>
  <c r="AN189" i="1"/>
  <c r="AO189" i="1"/>
  <c r="K169" i="1"/>
  <c r="L169" i="1"/>
  <c r="M169" i="1"/>
  <c r="N169" i="1" s="1"/>
  <c r="V169" i="1"/>
  <c r="Y169" i="1"/>
  <c r="AA169" i="1" s="1"/>
  <c r="Z169" i="1"/>
  <c r="AB169" i="1"/>
  <c r="AC169" i="1"/>
  <c r="AD169" i="1"/>
  <c r="AE169" i="1"/>
  <c r="R33" i="3" s="1"/>
  <c r="AF169" i="1"/>
  <c r="AH190" i="1"/>
  <c r="AM190" i="1"/>
  <c r="AN190" i="1"/>
  <c r="AO190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1" i="1"/>
  <c r="AM191" i="1"/>
  <c r="AN191" i="1"/>
  <c r="AO191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92" i="1"/>
  <c r="AM192" i="1"/>
  <c r="AN192" i="1"/>
  <c r="AO192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3" i="1"/>
  <c r="AM193" i="1"/>
  <c r="AN193" i="1"/>
  <c r="AO193" i="1"/>
  <c r="K173" i="1"/>
  <c r="L173" i="1"/>
  <c r="M173" i="1"/>
  <c r="N173" i="1" s="1"/>
  <c r="V173" i="1"/>
  <c r="S35" i="3" s="1"/>
  <c r="Y173" i="1"/>
  <c r="AA173" i="1" s="1"/>
  <c r="Z173" i="1"/>
  <c r="AB173" i="1"/>
  <c r="AC173" i="1"/>
  <c r="AD173" i="1"/>
  <c r="AE173" i="1"/>
  <c r="R35" i="3" s="1"/>
  <c r="AF173" i="1"/>
  <c r="AH194" i="1"/>
  <c r="AM194" i="1"/>
  <c r="AN194" i="1"/>
  <c r="AO194" i="1"/>
  <c r="K174" i="1"/>
  <c r="L174" i="1"/>
  <c r="M174" i="1"/>
  <c r="N174" i="1" s="1"/>
  <c r="V174" i="1"/>
  <c r="X174" i="1"/>
  <c r="Y174" i="1"/>
  <c r="Z174" i="1"/>
  <c r="AB174" i="1"/>
  <c r="AC174" i="1"/>
  <c r="AD174" i="1"/>
  <c r="T174" i="1" s="1"/>
  <c r="AE174" i="1"/>
  <c r="AF174" i="1"/>
  <c r="AH195" i="1"/>
  <c r="AM195" i="1"/>
  <c r="AN195" i="1"/>
  <c r="AO195" i="1"/>
  <c r="K175" i="1"/>
  <c r="L175" i="1"/>
  <c r="M175" i="1"/>
  <c r="N175" i="1" s="1"/>
  <c r="V175" i="1"/>
  <c r="Y175" i="1"/>
  <c r="AA175" i="1" s="1"/>
  <c r="Z175" i="1"/>
  <c r="AB175" i="1"/>
  <c r="AC175" i="1"/>
  <c r="AD175" i="1"/>
  <c r="X175" i="1" s="1"/>
  <c r="AE175" i="1"/>
  <c r="AF175" i="1"/>
  <c r="AH196" i="1"/>
  <c r="AM196" i="1"/>
  <c r="AN196" i="1"/>
  <c r="AO196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7" i="1"/>
  <c r="AM197" i="1"/>
  <c r="AN197" i="1"/>
  <c r="AO197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8" i="1"/>
  <c r="AM198" i="1"/>
  <c r="AN198" i="1"/>
  <c r="AO198" i="1"/>
  <c r="K178" i="1"/>
  <c r="L178" i="1"/>
  <c r="M178" i="1"/>
  <c r="N178" i="1" s="1"/>
  <c r="V178" i="1"/>
  <c r="S31" i="3" s="1"/>
  <c r="Y178" i="1"/>
  <c r="Z178" i="1"/>
  <c r="AB178" i="1"/>
  <c r="AC178" i="1"/>
  <c r="AD178" i="1"/>
  <c r="T178" i="1" s="1"/>
  <c r="AE178" i="1"/>
  <c r="R31" i="3" s="1"/>
  <c r="AF178" i="1"/>
  <c r="AH199" i="1"/>
  <c r="AM199" i="1"/>
  <c r="AN199" i="1"/>
  <c r="AO199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0" i="1"/>
  <c r="AM200" i="1"/>
  <c r="AN200" i="1"/>
  <c r="AO200" i="1"/>
  <c r="K180" i="1"/>
  <c r="L180" i="1"/>
  <c r="M180" i="1"/>
  <c r="N180" i="1" s="1"/>
  <c r="V180" i="1"/>
  <c r="Y180" i="1"/>
  <c r="Z180" i="1"/>
  <c r="AA180" i="1" s="1"/>
  <c r="AB180" i="1"/>
  <c r="AC180" i="1"/>
  <c r="AD180" i="1"/>
  <c r="T180" i="1" s="1"/>
  <c r="AE180" i="1"/>
  <c r="AF180" i="1"/>
  <c r="AH201" i="1"/>
  <c r="AM201" i="1"/>
  <c r="AN201" i="1"/>
  <c r="AO201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2" i="1"/>
  <c r="AM202" i="1"/>
  <c r="AN202" i="1"/>
  <c r="AO202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3" i="1"/>
  <c r="AM203" i="1"/>
  <c r="AN203" i="1"/>
  <c r="AO203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4" i="1"/>
  <c r="AM204" i="1"/>
  <c r="AN204" i="1"/>
  <c r="AO204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5" i="1"/>
  <c r="AM205" i="1"/>
  <c r="AN205" i="1"/>
  <c r="AO205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AF185" i="1"/>
  <c r="AH206" i="1"/>
  <c r="AM206" i="1"/>
  <c r="AN206" i="1"/>
  <c r="AO206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7" i="1"/>
  <c r="AM207" i="1"/>
  <c r="AN207" i="1"/>
  <c r="AO20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8" i="1"/>
  <c r="AM208" i="1"/>
  <c r="AN208" i="1"/>
  <c r="AO20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9" i="1"/>
  <c r="AM209" i="1"/>
  <c r="AN209" i="1"/>
  <c r="AO209" i="1"/>
  <c r="K190" i="1"/>
  <c r="L190" i="1"/>
  <c r="M190" i="1"/>
  <c r="N190" i="1" s="1"/>
  <c r="V190" i="1"/>
  <c r="Y190" i="1"/>
  <c r="Z190" i="1"/>
  <c r="AA190" i="1" s="1"/>
  <c r="AB190" i="1"/>
  <c r="AC190" i="1"/>
  <c r="AD190" i="1"/>
  <c r="T190" i="1" s="1"/>
  <c r="AE190" i="1"/>
  <c r="AF190" i="1"/>
  <c r="AH210" i="1"/>
  <c r="AM210" i="1"/>
  <c r="AN210" i="1"/>
  <c r="AO210" i="1"/>
  <c r="K191" i="1"/>
  <c r="L191" i="1"/>
  <c r="M191" i="1"/>
  <c r="N191" i="1" s="1"/>
  <c r="V191" i="1"/>
  <c r="S38" i="3" s="1"/>
  <c r="Y191" i="1"/>
  <c r="Z191" i="1"/>
  <c r="AB191" i="1"/>
  <c r="AC191" i="1"/>
  <c r="AD191" i="1"/>
  <c r="T191" i="1" s="1"/>
  <c r="AE191" i="1"/>
  <c r="R38" i="3" s="1"/>
  <c r="AF191" i="1"/>
  <c r="AH211" i="1"/>
  <c r="AM211" i="1"/>
  <c r="AN211" i="1"/>
  <c r="AO21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2" i="1"/>
  <c r="AM212" i="1"/>
  <c r="AN212" i="1"/>
  <c r="AO21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3" i="1"/>
  <c r="AM213" i="1"/>
  <c r="AN213" i="1"/>
  <c r="AO213" i="1"/>
  <c r="K194" i="1"/>
  <c r="L194" i="1"/>
  <c r="M194" i="1"/>
  <c r="N194" i="1" s="1"/>
  <c r="V194" i="1"/>
  <c r="Y194" i="1"/>
  <c r="Z194" i="1"/>
  <c r="AA194" i="1" s="1"/>
  <c r="AB194" i="1"/>
  <c r="AC194" i="1"/>
  <c r="AD194" i="1"/>
  <c r="T194" i="1" s="1"/>
  <c r="AE194" i="1"/>
  <c r="AF194" i="1"/>
  <c r="AH214" i="1"/>
  <c r="AM214" i="1"/>
  <c r="AN214" i="1"/>
  <c r="AO214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5" i="1"/>
  <c r="AM215" i="1"/>
  <c r="AN215" i="1"/>
  <c r="AO215" i="1"/>
  <c r="K196" i="1"/>
  <c r="L196" i="1"/>
  <c r="M196" i="1"/>
  <c r="N196" i="1" s="1"/>
  <c r="V196" i="1"/>
  <c r="S34" i="3" s="1"/>
  <c r="Y196" i="1"/>
  <c r="Z196" i="1"/>
  <c r="AB196" i="1"/>
  <c r="AC196" i="1"/>
  <c r="AD196" i="1"/>
  <c r="T196" i="1" s="1"/>
  <c r="AE196" i="1"/>
  <c r="R34" i="3" s="1"/>
  <c r="AF196" i="1"/>
  <c r="AH216" i="1"/>
  <c r="AM216" i="1"/>
  <c r="AN216" i="1"/>
  <c r="AO216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7" i="1"/>
  <c r="AM217" i="1"/>
  <c r="AN217" i="1"/>
  <c r="AO217" i="1"/>
  <c r="K198" i="1"/>
  <c r="L198" i="1"/>
  <c r="M198" i="1"/>
  <c r="N198" i="1" s="1"/>
  <c r="V198" i="1"/>
  <c r="Y198" i="1"/>
  <c r="Z198" i="1"/>
  <c r="AA198" i="1" s="1"/>
  <c r="AB198" i="1"/>
  <c r="AC198" i="1"/>
  <c r="AD198" i="1"/>
  <c r="T198" i="1" s="1"/>
  <c r="AE198" i="1"/>
  <c r="R32" i="3" s="1"/>
  <c r="AF198" i="1"/>
  <c r="AH218" i="1"/>
  <c r="AM218" i="1"/>
  <c r="AN218" i="1"/>
  <c r="AO218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19" i="1"/>
  <c r="AM219" i="1"/>
  <c r="AN219" i="1"/>
  <c r="AO21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0" i="1"/>
  <c r="AM220" i="1"/>
  <c r="AN220" i="1"/>
  <c r="AO22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1" i="1"/>
  <c r="AM221" i="1"/>
  <c r="AN221" i="1"/>
  <c r="AO221" i="1"/>
  <c r="K202" i="1"/>
  <c r="L202" i="1"/>
  <c r="M202" i="1"/>
  <c r="N202" i="1" s="1"/>
  <c r="V202" i="1"/>
  <c r="Y202" i="1"/>
  <c r="Z202" i="1"/>
  <c r="AA202" i="1" s="1"/>
  <c r="AB202" i="1"/>
  <c r="AC202" i="1"/>
  <c r="AD202" i="1"/>
  <c r="T202" i="1" s="1"/>
  <c r="AE202" i="1"/>
  <c r="AF202" i="1"/>
  <c r="AH222" i="1"/>
  <c r="AM222" i="1"/>
  <c r="AN222" i="1"/>
  <c r="AO22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3" i="1"/>
  <c r="AM223" i="1"/>
  <c r="AN223" i="1"/>
  <c r="AO223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4" i="1"/>
  <c r="AM224" i="1"/>
  <c r="AN224" i="1"/>
  <c r="AO22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5" i="1"/>
  <c r="AM225" i="1"/>
  <c r="AN225" i="1"/>
  <c r="AO225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AH226" i="1"/>
  <c r="AM226" i="1"/>
  <c r="AN226" i="1"/>
  <c r="AO22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27" i="1"/>
  <c r="AM227" i="1"/>
  <c r="AN227" i="1"/>
  <c r="AO22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28" i="1"/>
  <c r="AM228" i="1"/>
  <c r="AN228" i="1"/>
  <c r="AO228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229" i="1"/>
  <c r="AM229" i="1"/>
  <c r="AN229" i="1"/>
  <c r="AO229" i="1"/>
  <c r="K236" i="1"/>
  <c r="L236" i="1"/>
  <c r="M236" i="1"/>
  <c r="N236" i="1" s="1"/>
  <c r="V236" i="1"/>
  <c r="S40" i="3" s="1"/>
  <c r="Y236" i="1"/>
  <c r="Z236" i="1"/>
  <c r="AA236" i="1" s="1"/>
  <c r="AB236" i="1"/>
  <c r="AC236" i="1"/>
  <c r="AD236" i="1"/>
  <c r="AE236" i="1"/>
  <c r="R40" i="3" s="1"/>
  <c r="AF236" i="1"/>
  <c r="AH230" i="1"/>
  <c r="AM230" i="1"/>
  <c r="AN230" i="1"/>
  <c r="AO230" i="1"/>
  <c r="K222" i="1"/>
  <c r="L222" i="1"/>
  <c r="M222" i="1"/>
  <c r="V222" i="1"/>
  <c r="Y222" i="1"/>
  <c r="Z222" i="1"/>
  <c r="AB222" i="1"/>
  <c r="AC222" i="1"/>
  <c r="AD222" i="1"/>
  <c r="AE222" i="1"/>
  <c r="AF222" i="1"/>
  <c r="AH231" i="1"/>
  <c r="AM231" i="1"/>
  <c r="AN231" i="1"/>
  <c r="AO231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32" i="1"/>
  <c r="AM232" i="1"/>
  <c r="AN232" i="1"/>
  <c r="AO232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33" i="1"/>
  <c r="AM233" i="1"/>
  <c r="AN233" i="1"/>
  <c r="AO233" i="1"/>
  <c r="K225" i="1"/>
  <c r="L225" i="1"/>
  <c r="M225" i="1"/>
  <c r="N225" i="1" s="1"/>
  <c r="V225" i="1"/>
  <c r="Y225" i="1"/>
  <c r="Z225" i="1"/>
  <c r="AA225" i="1" s="1"/>
  <c r="AB225" i="1"/>
  <c r="AC225" i="1"/>
  <c r="AD225" i="1"/>
  <c r="AE225" i="1"/>
  <c r="AF225" i="1"/>
  <c r="AH234" i="1"/>
  <c r="AM234" i="1"/>
  <c r="AN234" i="1"/>
  <c r="AO234" i="1"/>
  <c r="K226" i="1"/>
  <c r="L226" i="1"/>
  <c r="M226" i="1"/>
  <c r="N226" i="1" s="1"/>
  <c r="V226" i="1"/>
  <c r="Y226" i="1"/>
  <c r="Z226" i="1"/>
  <c r="AA226" i="1" s="1"/>
  <c r="AB226" i="1"/>
  <c r="AC226" i="1"/>
  <c r="AD226" i="1"/>
  <c r="AE226" i="1"/>
  <c r="AF226" i="1"/>
  <c r="AH235" i="1"/>
  <c r="AM235" i="1"/>
  <c r="AN235" i="1"/>
  <c r="AO235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36" i="1"/>
  <c r="AM236" i="1"/>
  <c r="AN236" i="1"/>
  <c r="AO236" i="1"/>
  <c r="M26" i="3"/>
  <c r="R26" i="3"/>
  <c r="U26" i="3"/>
  <c r="T26" i="3" s="1"/>
  <c r="V26" i="3"/>
  <c r="X26" i="3"/>
  <c r="M39" i="3"/>
  <c r="R39" i="3"/>
  <c r="U39" i="3"/>
  <c r="AD39" i="3" s="1"/>
  <c r="V39" i="3"/>
  <c r="X39" i="3"/>
  <c r="M15" i="3"/>
  <c r="R15" i="3"/>
  <c r="S15" i="3"/>
  <c r="U15" i="3"/>
  <c r="AC15" i="3" s="1"/>
  <c r="V15" i="3"/>
  <c r="X15" i="3"/>
  <c r="M12" i="3"/>
  <c r="R12" i="3"/>
  <c r="U12" i="3"/>
  <c r="AC12" i="3" s="1"/>
  <c r="V12" i="3"/>
  <c r="X12" i="3"/>
  <c r="M33" i="3"/>
  <c r="S33" i="3"/>
  <c r="U33" i="3"/>
  <c r="T33" i="3" s="1"/>
  <c r="V33" i="3"/>
  <c r="X33" i="3"/>
  <c r="AC33" i="3"/>
  <c r="M11" i="3"/>
  <c r="R11" i="3"/>
  <c r="S11" i="3"/>
  <c r="U11" i="3"/>
  <c r="AD11" i="3" s="1"/>
  <c r="V11" i="3"/>
  <c r="X11" i="3"/>
  <c r="M8" i="3"/>
  <c r="R8" i="3"/>
  <c r="S8" i="3"/>
  <c r="U8" i="3"/>
  <c r="AC8" i="3" s="1"/>
  <c r="V8" i="3"/>
  <c r="X8" i="3"/>
  <c r="M9" i="3"/>
  <c r="R9" i="3"/>
  <c r="S9" i="3"/>
  <c r="U9" i="3"/>
  <c r="AC9" i="3" s="1"/>
  <c r="V9" i="3"/>
  <c r="X9" i="3"/>
  <c r="AD15" i="3"/>
  <c r="M22" i="3"/>
  <c r="R22" i="3"/>
  <c r="S22" i="3"/>
  <c r="U22" i="3"/>
  <c r="T22" i="3" s="1"/>
  <c r="V22" i="3"/>
  <c r="X22" i="3"/>
  <c r="M35" i="3"/>
  <c r="U35" i="3"/>
  <c r="AC35" i="3" s="1"/>
  <c r="V35" i="3"/>
  <c r="X35" i="3"/>
  <c r="M17" i="3"/>
  <c r="S17" i="3"/>
  <c r="U17" i="3"/>
  <c r="AC17" i="3" s="1"/>
  <c r="V17" i="3"/>
  <c r="X17" i="3"/>
  <c r="M27" i="3"/>
  <c r="R27" i="3"/>
  <c r="S27" i="3"/>
  <c r="T27" i="3"/>
  <c r="U27" i="3"/>
  <c r="AC27" i="3" s="1"/>
  <c r="V27" i="3"/>
  <c r="X27" i="3"/>
  <c r="M24" i="3"/>
  <c r="R24" i="3"/>
  <c r="S24" i="3"/>
  <c r="U24" i="3"/>
  <c r="T24" i="3" s="1"/>
  <c r="V24" i="3"/>
  <c r="X24" i="3"/>
  <c r="M36" i="3"/>
  <c r="R36" i="3"/>
  <c r="S36" i="3"/>
  <c r="U36" i="3"/>
  <c r="AC36" i="3" s="1"/>
  <c r="V36" i="3"/>
  <c r="X36" i="3"/>
  <c r="M18" i="3"/>
  <c r="R18" i="3"/>
  <c r="S18" i="3"/>
  <c r="U18" i="3"/>
  <c r="AC18" i="3" s="1"/>
  <c r="V18" i="3"/>
  <c r="X18" i="3"/>
  <c r="M31" i="3"/>
  <c r="U31" i="3"/>
  <c r="AC31" i="3" s="1"/>
  <c r="V31" i="3"/>
  <c r="X31" i="3"/>
  <c r="M25" i="3"/>
  <c r="R25" i="3"/>
  <c r="S25" i="3"/>
  <c r="U25" i="3"/>
  <c r="T25" i="3" s="1"/>
  <c r="V25" i="3"/>
  <c r="X25" i="3"/>
  <c r="M10" i="3"/>
  <c r="R10" i="3"/>
  <c r="S10" i="3"/>
  <c r="U10" i="3"/>
  <c r="AC10" i="3" s="1"/>
  <c r="V10" i="3"/>
  <c r="X10" i="3"/>
  <c r="M16" i="3"/>
  <c r="R16" i="3"/>
  <c r="T16" i="3"/>
  <c r="U16" i="3"/>
  <c r="AC16" i="3" s="1"/>
  <c r="V16" i="3"/>
  <c r="X16" i="3"/>
  <c r="AD26" i="3"/>
  <c r="M23" i="3"/>
  <c r="R23" i="3"/>
  <c r="U23" i="3"/>
  <c r="T23" i="3" s="1"/>
  <c r="V23" i="3"/>
  <c r="X23" i="3"/>
  <c r="AD27" i="3"/>
  <c r="M19" i="3"/>
  <c r="R19" i="3"/>
  <c r="S19" i="3"/>
  <c r="U19" i="3"/>
  <c r="AD19" i="3" s="1"/>
  <c r="V19" i="3"/>
  <c r="X19" i="3"/>
  <c r="M28" i="3"/>
  <c r="R28" i="3"/>
  <c r="S28" i="3"/>
  <c r="U28" i="3"/>
  <c r="AC28" i="3" s="1"/>
  <c r="V28" i="3"/>
  <c r="X28" i="3"/>
  <c r="M21" i="3"/>
  <c r="R21" i="3"/>
  <c r="S21" i="3"/>
  <c r="U21" i="3"/>
  <c r="AC21" i="3" s="1"/>
  <c r="V21" i="3"/>
  <c r="X21" i="3"/>
  <c r="M37" i="3"/>
  <c r="S37" i="3"/>
  <c r="U37" i="3"/>
  <c r="T37" i="3" s="1"/>
  <c r="V37" i="3"/>
  <c r="X37" i="3"/>
  <c r="M20" i="3"/>
  <c r="R20" i="3"/>
  <c r="S20" i="3"/>
  <c r="U20" i="3"/>
  <c r="V20" i="3"/>
  <c r="X20" i="3"/>
  <c r="AC20" i="3"/>
  <c r="M29" i="3"/>
  <c r="R29" i="3"/>
  <c r="U29" i="3"/>
  <c r="AC29" i="3" s="1"/>
  <c r="V29" i="3"/>
  <c r="X29" i="3"/>
  <c r="M30" i="3"/>
  <c r="R30" i="3"/>
  <c r="U30" i="3"/>
  <c r="AC30" i="3" s="1"/>
  <c r="V30" i="3"/>
  <c r="X30" i="3"/>
  <c r="M38" i="3"/>
  <c r="U38" i="3"/>
  <c r="T38" i="3" s="1"/>
  <c r="V38" i="3"/>
  <c r="X38" i="3"/>
  <c r="AD35" i="3"/>
  <c r="M34" i="3"/>
  <c r="U34" i="3"/>
  <c r="AD34" i="3" s="1"/>
  <c r="V34" i="3"/>
  <c r="X34" i="3"/>
  <c r="M32" i="3"/>
  <c r="S32" i="3"/>
  <c r="U32" i="3"/>
  <c r="AC32" i="3" s="1"/>
  <c r="V32" i="3"/>
  <c r="X32" i="3"/>
  <c r="M7" i="3"/>
  <c r="S7" i="3"/>
  <c r="U7" i="3"/>
  <c r="AC7" i="3" s="1"/>
  <c r="V7" i="3"/>
  <c r="X7" i="3"/>
  <c r="M40" i="3"/>
  <c r="U40" i="3"/>
  <c r="T40" i="3" s="1"/>
  <c r="V40" i="3"/>
  <c r="X40" i="3"/>
  <c r="M14" i="3"/>
  <c r="R14" i="3"/>
  <c r="S14" i="3"/>
  <c r="U14" i="3"/>
  <c r="V14" i="3"/>
  <c r="X14" i="3"/>
  <c r="AG187" i="1"/>
  <c r="AG153" i="1"/>
  <c r="AG30" i="1"/>
  <c r="AG16" i="1"/>
  <c r="AG20" i="1"/>
  <c r="AG24" i="1"/>
  <c r="AG28" i="1"/>
  <c r="AG33" i="1"/>
  <c r="AG37" i="1"/>
  <c r="AG41" i="1"/>
  <c r="AG45" i="1"/>
  <c r="AG49" i="1"/>
  <c r="AG53" i="1"/>
  <c r="AG57" i="1"/>
  <c r="AG61" i="1"/>
  <c r="AG65" i="1"/>
  <c r="AG17" i="1"/>
  <c r="AG22" i="1"/>
  <c r="AG27" i="1"/>
  <c r="AG34" i="1"/>
  <c r="AG39" i="1"/>
  <c r="AG44" i="1"/>
  <c r="AG50" i="1"/>
  <c r="AG55" i="1"/>
  <c r="AG60" i="1"/>
  <c r="AG66" i="1"/>
  <c r="AG70" i="1"/>
  <c r="AG74" i="1"/>
  <c r="AG78" i="1"/>
  <c r="AG82" i="1"/>
  <c r="AG86" i="1"/>
  <c r="AG90" i="1"/>
  <c r="AG94" i="1"/>
  <c r="AG98" i="1"/>
  <c r="AG102" i="1"/>
  <c r="AG106" i="1"/>
  <c r="AG110" i="1"/>
  <c r="AG114" i="1"/>
  <c r="AG118" i="1"/>
  <c r="AG122" i="1"/>
  <c r="AG126" i="1"/>
  <c r="AG130" i="1"/>
  <c r="AG134" i="1"/>
  <c r="AG138" i="1"/>
  <c r="AG142" i="1"/>
  <c r="AG146" i="1"/>
  <c r="AG150" i="1"/>
  <c r="AG159" i="1"/>
  <c r="AG216" i="1"/>
  <c r="AG230" i="1"/>
  <c r="AG163" i="1"/>
  <c r="AG154" i="1"/>
  <c r="AG211" i="1"/>
  <c r="AG219" i="1"/>
  <c r="AG233" i="1"/>
  <c r="AG168" i="1"/>
  <c r="AG176" i="1"/>
  <c r="AG180" i="1"/>
  <c r="AG184" i="1"/>
  <c r="AG189" i="1"/>
  <c r="AG193" i="1"/>
  <c r="AG197" i="1"/>
  <c r="AG201" i="1"/>
  <c r="AG205" i="1"/>
  <c r="AG235" i="1"/>
  <c r="AG224" i="1"/>
  <c r="AG166" i="1"/>
  <c r="AG173" i="1"/>
  <c r="AG18" i="1"/>
  <c r="AG23" i="1"/>
  <c r="AG29" i="1"/>
  <c r="AG35" i="1"/>
  <c r="AG40" i="1"/>
  <c r="AG14" i="1"/>
  <c r="AG19" i="1"/>
  <c r="AG25" i="1"/>
  <c r="AG31" i="1"/>
  <c r="AG36" i="1"/>
  <c r="AG42" i="1"/>
  <c r="AG47" i="1"/>
  <c r="AG52" i="1"/>
  <c r="AG58" i="1"/>
  <c r="AG63" i="1"/>
  <c r="AG68" i="1"/>
  <c r="AG72" i="1"/>
  <c r="AG76" i="1"/>
  <c r="AG80" i="1"/>
  <c r="AG84" i="1"/>
  <c r="AG88" i="1"/>
  <c r="AG92" i="1"/>
  <c r="AG96" i="1"/>
  <c r="AG100" i="1"/>
  <c r="AG104" i="1"/>
  <c r="AG108" i="1"/>
  <c r="AG112" i="1"/>
  <c r="AG116" i="1"/>
  <c r="AG120" i="1"/>
  <c r="AG124" i="1"/>
  <c r="AG128" i="1"/>
  <c r="AG132" i="1"/>
  <c r="AG136" i="1"/>
  <c r="AG140" i="1"/>
  <c r="AG144" i="1"/>
  <c r="AG148" i="1"/>
  <c r="AG155" i="1"/>
  <c r="AG212" i="1"/>
  <c r="AG220" i="1"/>
  <c r="AG234" i="1"/>
  <c r="AG167" i="1"/>
  <c r="AG158" i="1"/>
  <c r="AG215" i="1"/>
  <c r="AG229" i="1"/>
  <c r="AG162" i="1"/>
  <c r="AG171" i="1"/>
  <c r="AG178" i="1"/>
  <c r="AG182" i="1"/>
  <c r="AG186" i="1"/>
  <c r="AG191" i="1"/>
  <c r="AG195" i="1"/>
  <c r="AG199" i="1"/>
  <c r="AG203" i="1"/>
  <c r="AG207" i="1"/>
  <c r="AG222" i="1"/>
  <c r="AG226" i="1"/>
  <c r="AG174" i="1"/>
  <c r="AG15" i="1"/>
  <c r="AG26" i="1"/>
  <c r="AG32" i="1"/>
  <c r="AG43" i="1"/>
  <c r="AG48" i="1"/>
  <c r="AG54" i="1"/>
  <c r="AG64" i="1"/>
  <c r="AG69" i="1"/>
  <c r="AG77" i="1"/>
  <c r="AG85" i="1"/>
  <c r="AG89" i="1"/>
  <c r="AG97" i="1"/>
  <c r="AG101" i="1"/>
  <c r="AG109" i="1"/>
  <c r="AG117" i="1"/>
  <c r="AG125" i="1"/>
  <c r="AG133" i="1"/>
  <c r="AG141" i="1"/>
  <c r="AG145" i="1"/>
  <c r="AG157" i="1"/>
  <c r="AG228" i="1"/>
  <c r="AG151" i="1"/>
  <c r="AG217" i="1"/>
  <c r="AG164" i="1"/>
  <c r="AG175" i="1"/>
  <c r="AG183" i="1"/>
  <c r="AG192" i="1"/>
  <c r="AG200" i="1"/>
  <c r="AG208" i="1"/>
  <c r="AG223" i="1"/>
  <c r="AG169" i="1"/>
  <c r="AG21" i="1"/>
  <c r="AG38" i="1"/>
  <c r="AG59" i="1"/>
  <c r="AG73" i="1"/>
  <c r="AG81" i="1"/>
  <c r="AG93" i="1"/>
  <c r="AG105" i="1"/>
  <c r="AG113" i="1"/>
  <c r="AG121" i="1"/>
  <c r="AG129" i="1"/>
  <c r="AG137" i="1"/>
  <c r="AG149" i="1"/>
  <c r="AG214" i="1"/>
  <c r="AG161" i="1"/>
  <c r="AG209" i="1"/>
  <c r="AG231" i="1"/>
  <c r="AG179" i="1"/>
  <c r="AG188" i="1"/>
  <c r="AG196" i="1"/>
  <c r="AG204" i="1"/>
  <c r="AG227" i="1"/>
  <c r="AG51" i="1"/>
  <c r="AG71" i="1"/>
  <c r="AG87" i="1"/>
  <c r="AG103" i="1"/>
  <c r="AG119" i="1"/>
  <c r="AG135" i="1"/>
  <c r="AG152" i="1"/>
  <c r="AG165" i="1"/>
  <c r="AG160" i="1"/>
  <c r="AG185" i="1"/>
  <c r="AG202" i="1"/>
  <c r="AG170" i="1"/>
  <c r="AG56" i="1"/>
  <c r="AG91" i="1"/>
  <c r="AG107" i="1"/>
  <c r="AG123" i="1"/>
  <c r="AG139" i="1"/>
  <c r="AG156" i="1"/>
  <c r="AG172" i="1"/>
  <c r="AG206" i="1"/>
  <c r="AG62" i="1"/>
  <c r="AG79" i="1"/>
  <c r="AG95" i="1"/>
  <c r="AG111" i="1"/>
  <c r="AG127" i="1"/>
  <c r="AG143" i="1"/>
  <c r="AG218" i="1"/>
  <c r="AG213" i="1"/>
  <c r="AG177" i="1"/>
  <c r="AG194" i="1"/>
  <c r="AG236" i="1"/>
  <c r="AG46" i="1"/>
  <c r="AG83" i="1"/>
  <c r="AG115" i="1"/>
  <c r="AG147" i="1"/>
  <c r="AG232" i="1"/>
  <c r="AG181" i="1"/>
  <c r="AG225" i="1"/>
  <c r="AG75" i="1"/>
  <c r="AG210" i="1"/>
  <c r="AG190" i="1"/>
  <c r="AG67" i="1"/>
  <c r="AG99" i="1"/>
  <c r="AG131" i="1"/>
  <c r="AG221" i="1"/>
  <c r="AG198" i="1"/>
  <c r="W19" i="3"/>
  <c r="W32" i="3"/>
  <c r="W35" i="3"/>
  <c r="W10" i="3"/>
  <c r="W36" i="3"/>
  <c r="W28" i="3"/>
  <c r="W39" i="3"/>
  <c r="W29" i="3"/>
  <c r="W16" i="3"/>
  <c r="W11" i="3"/>
  <c r="W40" i="3"/>
  <c r="W15" i="3"/>
  <c r="W26" i="3"/>
  <c r="W8" i="3"/>
  <c r="W17" i="3"/>
  <c r="W25" i="3"/>
  <c r="W22" i="3"/>
  <c r="W27" i="3"/>
  <c r="W20" i="3"/>
  <c r="W7" i="3"/>
  <c r="W34" i="3"/>
  <c r="W12" i="3"/>
  <c r="W14" i="3"/>
  <c r="W9" i="3"/>
  <c r="W38" i="3"/>
  <c r="W30" i="3"/>
  <c r="W31" i="3"/>
  <c r="W23" i="3"/>
  <c r="W37" i="3"/>
  <c r="W21" i="3"/>
  <c r="W18" i="3"/>
  <c r="W33" i="3"/>
  <c r="W24" i="3"/>
  <c r="AE38" i="3" l="1"/>
  <c r="U187" i="1"/>
  <c r="S187" i="1" s="1"/>
  <c r="AI187" i="1"/>
  <c r="W187" i="1"/>
  <c r="X187" i="1"/>
  <c r="AC11" i="3"/>
  <c r="AC39" i="3"/>
  <c r="AC38" i="3"/>
  <c r="AD31" i="3"/>
  <c r="T31" i="3"/>
  <c r="T9" i="3"/>
  <c r="U153" i="1"/>
  <c r="S153" i="1" s="1"/>
  <c r="AI153" i="1"/>
  <c r="W153" i="1"/>
  <c r="AI30" i="1"/>
  <c r="U30" i="1"/>
  <c r="S30" i="1" s="1"/>
  <c r="W30" i="1"/>
  <c r="X30" i="1"/>
  <c r="S30" i="3"/>
  <c r="AD32" i="3"/>
  <c r="AE27" i="3"/>
  <c r="AD23" i="3"/>
  <c r="AD40" i="3"/>
  <c r="AD36" i="3"/>
  <c r="AC23" i="3"/>
  <c r="AD25" i="3"/>
  <c r="AD24" i="3"/>
  <c r="AD12" i="3"/>
  <c r="T12" i="3"/>
  <c r="AC26" i="3"/>
  <c r="AE35" i="3"/>
  <c r="AE26" i="3"/>
  <c r="AE15" i="3"/>
  <c r="AA223" i="1"/>
  <c r="AA208" i="1"/>
  <c r="AA204" i="1"/>
  <c r="AA200" i="1"/>
  <c r="AA196" i="1"/>
  <c r="AA192" i="1"/>
  <c r="AA188" i="1"/>
  <c r="AA183" i="1"/>
  <c r="AA179" i="1"/>
  <c r="AA219" i="1"/>
  <c r="AA150" i="1"/>
  <c r="X148" i="1"/>
  <c r="X141" i="1"/>
  <c r="X142" i="1"/>
  <c r="AA224" i="1"/>
  <c r="AA235" i="1"/>
  <c r="AA205" i="1"/>
  <c r="AA201" i="1"/>
  <c r="AA197" i="1"/>
  <c r="AA193" i="1"/>
  <c r="AA189" i="1"/>
  <c r="AA184" i="1"/>
  <c r="T130" i="1"/>
  <c r="X130" i="1"/>
  <c r="AA181" i="1"/>
  <c r="AA177" i="1"/>
  <c r="AA170" i="1"/>
  <c r="AA161" i="1"/>
  <c r="X151" i="1"/>
  <c r="X150" i="1"/>
  <c r="X144" i="1"/>
  <c r="T136" i="1"/>
  <c r="X136" i="1"/>
  <c r="X120" i="1"/>
  <c r="AA222" i="1"/>
  <c r="AA207" i="1"/>
  <c r="AA203" i="1"/>
  <c r="AA199" i="1"/>
  <c r="AA195" i="1"/>
  <c r="AA191" i="1"/>
  <c r="AA186" i="1"/>
  <c r="AA182" i="1"/>
  <c r="AA178" i="1"/>
  <c r="AA163" i="1"/>
  <c r="AA234" i="1"/>
  <c r="AA214" i="1"/>
  <c r="AA210" i="1"/>
  <c r="AA157" i="1"/>
  <c r="AA218" i="1"/>
  <c r="AA213" i="1"/>
  <c r="AA154" i="1"/>
  <c r="X147" i="1"/>
  <c r="AA141" i="1"/>
  <c r="X132" i="1"/>
  <c r="AA130" i="1"/>
  <c r="X128" i="1"/>
  <c r="AA123" i="1"/>
  <c r="T86" i="1"/>
  <c r="X85" i="1"/>
  <c r="T78" i="1"/>
  <c r="X77" i="1"/>
  <c r="X72" i="1"/>
  <c r="T63" i="1"/>
  <c r="X62" i="1"/>
  <c r="T60" i="1"/>
  <c r="X56" i="1"/>
  <c r="AA54" i="1"/>
  <c r="AA53" i="1"/>
  <c r="AA52" i="1"/>
  <c r="AA51" i="1"/>
  <c r="X50" i="1"/>
  <c r="AA49" i="1"/>
  <c r="AA48" i="1"/>
  <c r="T47" i="1"/>
  <c r="AA43" i="1"/>
  <c r="AA42" i="1"/>
  <c r="X39" i="1"/>
  <c r="X38" i="1"/>
  <c r="AA20" i="1"/>
  <c r="T20" i="1"/>
  <c r="X18" i="1"/>
  <c r="AA16" i="1"/>
  <c r="T16" i="1"/>
  <c r="AA34" i="1"/>
  <c r="X33" i="1"/>
  <c r="AA29" i="1"/>
  <c r="X28" i="1"/>
  <c r="AA25" i="1"/>
  <c r="X24" i="1"/>
  <c r="X23" i="1"/>
  <c r="X22" i="1"/>
  <c r="AA14" i="1"/>
  <c r="X145" i="1"/>
  <c r="AA138" i="1"/>
  <c r="AA136" i="1"/>
  <c r="AA127" i="1"/>
  <c r="X87" i="1"/>
  <c r="X83" i="1"/>
  <c r="X79" i="1"/>
  <c r="X75" i="1"/>
  <c r="X64" i="1"/>
  <c r="AA59" i="1"/>
  <c r="AA57" i="1"/>
  <c r="AA56" i="1"/>
  <c r="T55" i="1"/>
  <c r="X48" i="1"/>
  <c r="AA46" i="1"/>
  <c r="X44" i="1"/>
  <c r="AA38" i="1"/>
  <c r="AA35" i="1"/>
  <c r="AA31" i="1"/>
  <c r="AA26" i="1"/>
  <c r="X21" i="1"/>
  <c r="AA18" i="1"/>
  <c r="AA22" i="1"/>
  <c r="X58" i="1"/>
  <c r="X49" i="1"/>
  <c r="T49" i="1"/>
  <c r="AA231" i="1"/>
  <c r="AA156" i="1"/>
  <c r="X139" i="1"/>
  <c r="AA124" i="1"/>
  <c r="X81" i="1"/>
  <c r="X73" i="1"/>
  <c r="X71" i="1"/>
  <c r="X57" i="1"/>
  <c r="T57" i="1"/>
  <c r="T52" i="1"/>
  <c r="T175" i="1"/>
  <c r="T138" i="1"/>
  <c r="T118" i="1"/>
  <c r="X118" i="1"/>
  <c r="X80" i="1"/>
  <c r="T80" i="1"/>
  <c r="X65" i="1"/>
  <c r="T65" i="1"/>
  <c r="AA227" i="1"/>
  <c r="AA171" i="1"/>
  <c r="AA166" i="1"/>
  <c r="AA230" i="1"/>
  <c r="AA217" i="1"/>
  <c r="AA211" i="1"/>
  <c r="T44" i="1"/>
  <c r="T140" i="1"/>
  <c r="T120" i="1"/>
  <c r="T81" i="1"/>
  <c r="T73" i="1"/>
  <c r="T71" i="1"/>
  <c r="T58" i="1"/>
  <c r="T50" i="1"/>
  <c r="X46" i="1"/>
  <c r="X42" i="1"/>
  <c r="AA41" i="1"/>
  <c r="AA37" i="1"/>
  <c r="AA36" i="1"/>
  <c r="AA176" i="1"/>
  <c r="AA174" i="1"/>
  <c r="AA172" i="1"/>
  <c r="AA168" i="1"/>
  <c r="AA160" i="1"/>
  <c r="AA221" i="1"/>
  <c r="AA215" i="1"/>
  <c r="AA151" i="1"/>
  <c r="AA137" i="1"/>
  <c r="AA131" i="1"/>
  <c r="AA125" i="1"/>
  <c r="X84" i="1"/>
  <c r="X76" i="1"/>
  <c r="X61" i="1"/>
  <c r="X53" i="1"/>
  <c r="X45" i="1"/>
  <c r="AA23" i="1"/>
  <c r="AA21" i="1"/>
  <c r="AA15" i="1"/>
  <c r="AA209" i="1"/>
  <c r="AA158" i="1"/>
  <c r="T143" i="1"/>
  <c r="AA139" i="1"/>
  <c r="AA133" i="1"/>
  <c r="AA119" i="1"/>
  <c r="X82" i="1"/>
  <c r="X74" i="1"/>
  <c r="AA70" i="1"/>
  <c r="AA69" i="1"/>
  <c r="AA68" i="1"/>
  <c r="AA67" i="1"/>
  <c r="AA66" i="1"/>
  <c r="X59" i="1"/>
  <c r="X51" i="1"/>
  <c r="X36" i="1"/>
  <c r="AI194" i="1"/>
  <c r="AI190" i="1"/>
  <c r="AI195" i="1"/>
  <c r="U174" i="1"/>
  <c r="S174" i="1" s="1"/>
  <c r="AI191" i="1"/>
  <c r="AI186" i="1"/>
  <c r="AI236" i="1"/>
  <c r="AI235" i="1"/>
  <c r="AI234" i="1"/>
  <c r="AI233" i="1"/>
  <c r="AI232" i="1"/>
  <c r="AI231" i="1"/>
  <c r="AI230" i="1"/>
  <c r="AI229" i="1"/>
  <c r="U208" i="1"/>
  <c r="S208" i="1" s="1"/>
  <c r="AI228" i="1"/>
  <c r="U207" i="1"/>
  <c r="S207" i="1" s="1"/>
  <c r="AI227" i="1"/>
  <c r="U206" i="1"/>
  <c r="S206" i="1" s="1"/>
  <c r="AI226" i="1"/>
  <c r="U205" i="1"/>
  <c r="S205" i="1" s="1"/>
  <c r="AI225" i="1"/>
  <c r="U204" i="1"/>
  <c r="S204" i="1" s="1"/>
  <c r="AI224" i="1"/>
  <c r="U203" i="1"/>
  <c r="S203" i="1"/>
  <c r="AI223" i="1"/>
  <c r="U202" i="1"/>
  <c r="S202" i="1" s="1"/>
  <c r="AI222" i="1"/>
  <c r="U201" i="1"/>
  <c r="S201" i="1" s="1"/>
  <c r="AI221" i="1"/>
  <c r="U200" i="1"/>
  <c r="S200" i="1" s="1"/>
  <c r="AI220" i="1"/>
  <c r="U199" i="1"/>
  <c r="S199" i="1" s="1"/>
  <c r="AI219" i="1"/>
  <c r="U198" i="1"/>
  <c r="S198" i="1" s="1"/>
  <c r="AI218" i="1"/>
  <c r="U197" i="1"/>
  <c r="S197" i="1" s="1"/>
  <c r="AI217" i="1"/>
  <c r="U196" i="1"/>
  <c r="S196" i="1" s="1"/>
  <c r="AI216" i="1"/>
  <c r="U195" i="1"/>
  <c r="S195" i="1" s="1"/>
  <c r="AI215" i="1"/>
  <c r="U194" i="1"/>
  <c r="S194" i="1" s="1"/>
  <c r="AI214" i="1"/>
  <c r="U193" i="1"/>
  <c r="S193" i="1" s="1"/>
  <c r="AI213" i="1"/>
  <c r="U192" i="1"/>
  <c r="S192" i="1" s="1"/>
  <c r="AI212" i="1"/>
  <c r="U191" i="1"/>
  <c r="S191" i="1" s="1"/>
  <c r="AI211" i="1"/>
  <c r="U190" i="1"/>
  <c r="S190" i="1" s="1"/>
  <c r="AI210" i="1"/>
  <c r="U189" i="1"/>
  <c r="S189" i="1" s="1"/>
  <c r="AI209" i="1"/>
  <c r="U188" i="1"/>
  <c r="S188" i="1" s="1"/>
  <c r="AI208" i="1"/>
  <c r="U186" i="1"/>
  <c r="S186" i="1" s="1"/>
  <c r="AI207" i="1"/>
  <c r="U185" i="1"/>
  <c r="S185" i="1"/>
  <c r="AI206" i="1"/>
  <c r="U184" i="1"/>
  <c r="S184" i="1" s="1"/>
  <c r="AI205" i="1"/>
  <c r="U183" i="1"/>
  <c r="S183" i="1" s="1"/>
  <c r="AI204" i="1"/>
  <c r="U182" i="1"/>
  <c r="S182" i="1" s="1"/>
  <c r="AI203" i="1"/>
  <c r="U181" i="1"/>
  <c r="S181" i="1" s="1"/>
  <c r="AI202" i="1"/>
  <c r="U180" i="1"/>
  <c r="S180" i="1" s="1"/>
  <c r="AI201" i="1"/>
  <c r="U179" i="1"/>
  <c r="S179" i="1" s="1"/>
  <c r="AI200" i="1"/>
  <c r="U178" i="1"/>
  <c r="S178" i="1" s="1"/>
  <c r="AI199" i="1"/>
  <c r="U177" i="1"/>
  <c r="S177" i="1" s="1"/>
  <c r="AI198" i="1"/>
  <c r="U176" i="1"/>
  <c r="S176" i="1" s="1"/>
  <c r="AI197" i="1"/>
  <c r="U175" i="1"/>
  <c r="S175" i="1" s="1"/>
  <c r="AI196" i="1"/>
  <c r="AI192" i="1"/>
  <c r="AI193" i="1"/>
  <c r="AI189" i="1"/>
  <c r="AI184" i="1"/>
  <c r="AI182" i="1"/>
  <c r="AI180" i="1"/>
  <c r="AI178" i="1"/>
  <c r="AI176" i="1"/>
  <c r="AI174" i="1"/>
  <c r="AI172" i="1"/>
  <c r="AI170" i="1"/>
  <c r="AI168" i="1"/>
  <c r="AI166" i="1"/>
  <c r="AI164" i="1"/>
  <c r="AI162" i="1"/>
  <c r="AI160" i="1"/>
  <c r="AI158" i="1"/>
  <c r="AI156" i="1"/>
  <c r="AI154" i="1"/>
  <c r="AI151" i="1"/>
  <c r="AI188" i="1"/>
  <c r="AI185" i="1"/>
  <c r="AI183" i="1"/>
  <c r="AI181" i="1"/>
  <c r="AI179" i="1"/>
  <c r="AI177" i="1"/>
  <c r="AI175" i="1"/>
  <c r="AI173" i="1"/>
  <c r="AI171" i="1"/>
  <c r="AI169" i="1"/>
  <c r="AI167" i="1"/>
  <c r="AI165" i="1"/>
  <c r="AI163" i="1"/>
  <c r="AI161" i="1"/>
  <c r="AI159" i="1"/>
  <c r="AI157" i="1"/>
  <c r="W157" i="1"/>
  <c r="AI155" i="1"/>
  <c r="W155" i="1"/>
  <c r="AI152" i="1"/>
  <c r="W152" i="1"/>
  <c r="U150" i="1"/>
  <c r="S150" i="1" s="1"/>
  <c r="AI150" i="1"/>
  <c r="AI149" i="1"/>
  <c r="U148" i="1"/>
  <c r="S148" i="1" s="1"/>
  <c r="AI148" i="1"/>
  <c r="AI147" i="1"/>
  <c r="U146" i="1"/>
  <c r="S146" i="1" s="1"/>
  <c r="AI146" i="1"/>
  <c r="AI145" i="1"/>
  <c r="W145" i="1"/>
  <c r="U144" i="1"/>
  <c r="S144" i="1" s="1"/>
  <c r="AI144" i="1"/>
  <c r="U143" i="1"/>
  <c r="S143" i="1" s="1"/>
  <c r="AI143" i="1"/>
  <c r="U142" i="1"/>
  <c r="S142" i="1" s="1"/>
  <c r="AI142" i="1"/>
  <c r="AI141" i="1"/>
  <c r="U140" i="1"/>
  <c r="S140" i="1" s="1"/>
  <c r="AI140" i="1"/>
  <c r="AI139" i="1"/>
  <c r="U138" i="1"/>
  <c r="S138" i="1" s="1"/>
  <c r="AI138" i="1"/>
  <c r="AI137" i="1"/>
  <c r="U136" i="1"/>
  <c r="S136" i="1" s="1"/>
  <c r="AI136" i="1"/>
  <c r="AI135" i="1"/>
  <c r="U134" i="1"/>
  <c r="S134" i="1" s="1"/>
  <c r="AI134" i="1"/>
  <c r="AI133" i="1"/>
  <c r="U132" i="1"/>
  <c r="S132" i="1" s="1"/>
  <c r="AI132" i="1"/>
  <c r="AI131" i="1"/>
  <c r="U130" i="1"/>
  <c r="S130" i="1" s="1"/>
  <c r="AI130" i="1"/>
  <c r="AI129" i="1"/>
  <c r="U128" i="1"/>
  <c r="S128" i="1" s="1"/>
  <c r="AI128" i="1"/>
  <c r="AI127" i="1"/>
  <c r="U126" i="1"/>
  <c r="S126" i="1" s="1"/>
  <c r="AI126" i="1"/>
  <c r="AI125" i="1"/>
  <c r="U124" i="1"/>
  <c r="S124" i="1" s="1"/>
  <c r="AI124" i="1"/>
  <c r="AI123" i="1"/>
  <c r="U122" i="1"/>
  <c r="AI122" i="1"/>
  <c r="S122" i="1"/>
  <c r="AI121" i="1"/>
  <c r="U120" i="1"/>
  <c r="S120" i="1" s="1"/>
  <c r="AI120" i="1"/>
  <c r="AI119" i="1"/>
  <c r="U118" i="1"/>
  <c r="S118" i="1" s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U92" i="1"/>
  <c r="S92" i="1" s="1"/>
  <c r="AI91" i="1"/>
  <c r="U91" i="1"/>
  <c r="S91" i="1" s="1"/>
  <c r="AI90" i="1"/>
  <c r="U90" i="1"/>
  <c r="S90" i="1" s="1"/>
  <c r="AI89" i="1"/>
  <c r="U89" i="1"/>
  <c r="S89" i="1" s="1"/>
  <c r="AI88" i="1"/>
  <c r="U88" i="1"/>
  <c r="S88" i="1" s="1"/>
  <c r="U87" i="1"/>
  <c r="S87" i="1" s="1"/>
  <c r="AI87" i="1"/>
  <c r="U86" i="1"/>
  <c r="S86" i="1" s="1"/>
  <c r="AI86" i="1"/>
  <c r="U85" i="1"/>
  <c r="S85" i="1" s="1"/>
  <c r="AI85" i="1"/>
  <c r="U84" i="1"/>
  <c r="S84" i="1" s="1"/>
  <c r="AI84" i="1"/>
  <c r="U83" i="1"/>
  <c r="S83" i="1" s="1"/>
  <c r="AI83" i="1"/>
  <c r="U82" i="1"/>
  <c r="AI82" i="1"/>
  <c r="U81" i="1"/>
  <c r="AI81" i="1"/>
  <c r="U80" i="1"/>
  <c r="S80" i="1" s="1"/>
  <c r="AI80" i="1"/>
  <c r="U79" i="1"/>
  <c r="S79" i="1" s="1"/>
  <c r="AI79" i="1"/>
  <c r="U78" i="1"/>
  <c r="S78" i="1" s="1"/>
  <c r="AI78" i="1"/>
  <c r="U77" i="1"/>
  <c r="S77" i="1" s="1"/>
  <c r="AI77" i="1"/>
  <c r="U76" i="1"/>
  <c r="S76" i="1" s="1"/>
  <c r="AI76" i="1"/>
  <c r="U75" i="1"/>
  <c r="S75" i="1" s="1"/>
  <c r="AI75" i="1"/>
  <c r="U74" i="1"/>
  <c r="S74" i="1" s="1"/>
  <c r="AI74" i="1"/>
  <c r="U73" i="1"/>
  <c r="S73" i="1" s="1"/>
  <c r="AI73" i="1"/>
  <c r="AI72" i="1"/>
  <c r="U71" i="1"/>
  <c r="S71" i="1" s="1"/>
  <c r="AI71" i="1"/>
  <c r="AI70" i="1"/>
  <c r="U69" i="1"/>
  <c r="S69" i="1" s="1"/>
  <c r="AI69" i="1"/>
  <c r="AI68" i="1"/>
  <c r="U67" i="1"/>
  <c r="S67" i="1" s="1"/>
  <c r="AI67" i="1"/>
  <c r="AI66" i="1"/>
  <c r="U65" i="1"/>
  <c r="S65" i="1" s="1"/>
  <c r="AI65" i="1"/>
  <c r="W65" i="1"/>
  <c r="U64" i="1"/>
  <c r="S64" i="1" s="1"/>
  <c r="AI64" i="1"/>
  <c r="U63" i="1"/>
  <c r="S63" i="1" s="1"/>
  <c r="AI63" i="1"/>
  <c r="U62" i="1"/>
  <c r="S62" i="1" s="1"/>
  <c r="AI62" i="1"/>
  <c r="U61" i="1"/>
  <c r="S61" i="1" s="1"/>
  <c r="AI61" i="1"/>
  <c r="U60" i="1"/>
  <c r="S60" i="1" s="1"/>
  <c r="AI60" i="1"/>
  <c r="U59" i="1"/>
  <c r="S59" i="1" s="1"/>
  <c r="AI59" i="1"/>
  <c r="W59" i="1"/>
  <c r="U58" i="1"/>
  <c r="S58" i="1" s="1"/>
  <c r="AI58" i="1"/>
  <c r="U57" i="1"/>
  <c r="S57" i="1" s="1"/>
  <c r="AI57" i="1"/>
  <c r="W57" i="1"/>
  <c r="U56" i="1"/>
  <c r="AI56" i="1"/>
  <c r="U55" i="1"/>
  <c r="AI55" i="1"/>
  <c r="W55" i="1"/>
  <c r="U54" i="1"/>
  <c r="S54" i="1" s="1"/>
  <c r="AI54" i="1"/>
  <c r="U53" i="1"/>
  <c r="S53" i="1" s="1"/>
  <c r="AI53" i="1"/>
  <c r="W53" i="1"/>
  <c r="U52" i="1"/>
  <c r="S52" i="1" s="1"/>
  <c r="AI52" i="1"/>
  <c r="U51" i="1"/>
  <c r="S51" i="1" s="1"/>
  <c r="AI51" i="1"/>
  <c r="U50" i="1"/>
  <c r="S50" i="1" s="1"/>
  <c r="AI50" i="1"/>
  <c r="U49" i="1"/>
  <c r="S49" i="1" s="1"/>
  <c r="AI49" i="1"/>
  <c r="U48" i="1"/>
  <c r="S48" i="1" s="1"/>
  <c r="AI48" i="1"/>
  <c r="U47" i="1"/>
  <c r="S47" i="1" s="1"/>
  <c r="AI47" i="1"/>
  <c r="U46" i="1"/>
  <c r="S46" i="1" s="1"/>
  <c r="AI46" i="1"/>
  <c r="U45" i="1"/>
  <c r="S45" i="1" s="1"/>
  <c r="AI45" i="1"/>
  <c r="U44" i="1"/>
  <c r="S44" i="1" s="1"/>
  <c r="AI44" i="1"/>
  <c r="AI43" i="1"/>
  <c r="U42" i="1"/>
  <c r="S42" i="1" s="1"/>
  <c r="AI42" i="1"/>
  <c r="AI41" i="1"/>
  <c r="U40" i="1"/>
  <c r="S40" i="1" s="1"/>
  <c r="AI40" i="1"/>
  <c r="AI39" i="1"/>
  <c r="U38" i="1"/>
  <c r="S38" i="1" s="1"/>
  <c r="AI38" i="1"/>
  <c r="AI37" i="1"/>
  <c r="U36" i="1"/>
  <c r="S36" i="1" s="1"/>
  <c r="AI36" i="1"/>
  <c r="AI35" i="1"/>
  <c r="U34" i="1"/>
  <c r="S34" i="1" s="1"/>
  <c r="AI34" i="1"/>
  <c r="AI33" i="1"/>
  <c r="AI32" i="1"/>
  <c r="U32" i="1"/>
  <c r="S32" i="1" s="1"/>
  <c r="AI31" i="1"/>
  <c r="AI29" i="1"/>
  <c r="U29" i="1"/>
  <c r="S29" i="1" s="1"/>
  <c r="AI28" i="1"/>
  <c r="AI27" i="1"/>
  <c r="U27" i="1"/>
  <c r="S27" i="1" s="1"/>
  <c r="AI26" i="1"/>
  <c r="AI25" i="1"/>
  <c r="U25" i="1"/>
  <c r="S25" i="1" s="1"/>
  <c r="AI24" i="1"/>
  <c r="AI23" i="1"/>
  <c r="U23" i="1"/>
  <c r="S23" i="1" s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26" i="1"/>
  <c r="W225" i="1"/>
  <c r="W227" i="1"/>
  <c r="T227" i="1"/>
  <c r="U227" i="1" s="1"/>
  <c r="S227" i="1" s="1"/>
  <c r="X227" i="1"/>
  <c r="T226" i="1"/>
  <c r="U226" i="1" s="1"/>
  <c r="S226" i="1" s="1"/>
  <c r="X226" i="1"/>
  <c r="T225" i="1"/>
  <c r="U225" i="1" s="1"/>
  <c r="S225" i="1" s="1"/>
  <c r="X225" i="1"/>
  <c r="W170" i="1"/>
  <c r="W173" i="1"/>
  <c r="W235" i="1"/>
  <c r="W208" i="1"/>
  <c r="W20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6" i="1"/>
  <c r="W185" i="1"/>
  <c r="W184" i="1"/>
  <c r="W183" i="1"/>
  <c r="W182" i="1"/>
  <c r="W181" i="1"/>
  <c r="W180" i="1"/>
  <c r="W179" i="1"/>
  <c r="W178" i="1"/>
  <c r="W177" i="1"/>
  <c r="W175" i="1"/>
  <c r="W171" i="1"/>
  <c r="W169" i="1"/>
  <c r="W224" i="1"/>
  <c r="W223" i="1"/>
  <c r="W222" i="1"/>
  <c r="W236" i="1"/>
  <c r="T224" i="1"/>
  <c r="U224" i="1" s="1"/>
  <c r="S224" i="1" s="1"/>
  <c r="X224" i="1"/>
  <c r="T223" i="1"/>
  <c r="U223" i="1" s="1"/>
  <c r="S223" i="1" s="1"/>
  <c r="X223" i="1"/>
  <c r="T222" i="1"/>
  <c r="U222" i="1" s="1"/>
  <c r="S222" i="1" s="1"/>
  <c r="X222" i="1"/>
  <c r="T236" i="1"/>
  <c r="U236" i="1" s="1"/>
  <c r="S236" i="1" s="1"/>
  <c r="X236" i="1"/>
  <c r="T235" i="1"/>
  <c r="U235" i="1" s="1"/>
  <c r="S235" i="1" s="1"/>
  <c r="X235" i="1"/>
  <c r="W176" i="1"/>
  <c r="W174" i="1"/>
  <c r="W172" i="1"/>
  <c r="W166" i="1"/>
  <c r="W165" i="1"/>
  <c r="W234" i="1"/>
  <c r="W231" i="1"/>
  <c r="W220" i="1"/>
  <c r="W219" i="1"/>
  <c r="W212" i="1"/>
  <c r="W211" i="1"/>
  <c r="W156" i="1"/>
  <c r="W147" i="1"/>
  <c r="W140" i="1"/>
  <c r="W161" i="1"/>
  <c r="W233" i="1"/>
  <c r="W228" i="1"/>
  <c r="W214" i="1"/>
  <c r="W213" i="1"/>
  <c r="W154" i="1"/>
  <c r="W149" i="1"/>
  <c r="W148" i="1"/>
  <c r="W146" i="1"/>
  <c r="W144" i="1"/>
  <c r="W142" i="1"/>
  <c r="W168" i="1"/>
  <c r="W167" i="1"/>
  <c r="W164" i="1"/>
  <c r="W163" i="1"/>
  <c r="W160" i="1"/>
  <c r="W230" i="1"/>
  <c r="W221" i="1"/>
  <c r="W216" i="1"/>
  <c r="W215" i="1"/>
  <c r="W159" i="1"/>
  <c r="W151" i="1"/>
  <c r="W150" i="1"/>
  <c r="W136" i="1"/>
  <c r="X208" i="1"/>
  <c r="X207" i="1"/>
  <c r="X206" i="1"/>
  <c r="X205" i="1"/>
  <c r="X204" i="1"/>
  <c r="X203" i="1"/>
  <c r="X202" i="1"/>
  <c r="X201" i="1"/>
  <c r="X200" i="1"/>
  <c r="X199" i="1"/>
  <c r="X198" i="1"/>
  <c r="X197" i="1"/>
  <c r="X196" i="1"/>
  <c r="X195" i="1"/>
  <c r="X194" i="1"/>
  <c r="X193" i="1"/>
  <c r="X192" i="1"/>
  <c r="X191" i="1"/>
  <c r="X190" i="1"/>
  <c r="X189" i="1"/>
  <c r="X186" i="1"/>
  <c r="X185" i="1"/>
  <c r="X184" i="1"/>
  <c r="X183" i="1"/>
  <c r="X182" i="1"/>
  <c r="X181" i="1"/>
  <c r="X180" i="1"/>
  <c r="X179" i="1"/>
  <c r="X178" i="1"/>
  <c r="X177" i="1"/>
  <c r="X176" i="1"/>
  <c r="W162" i="1"/>
  <c r="W232" i="1"/>
  <c r="W229" i="1"/>
  <c r="W218" i="1"/>
  <c r="W217" i="1"/>
  <c r="W210" i="1"/>
  <c r="W209" i="1"/>
  <c r="W158" i="1"/>
  <c r="W138" i="1"/>
  <c r="T172" i="1"/>
  <c r="U172" i="1" s="1"/>
  <c r="S172" i="1" s="1"/>
  <c r="X172" i="1"/>
  <c r="T170" i="1"/>
  <c r="U170" i="1" s="1"/>
  <c r="S170" i="1" s="1"/>
  <c r="X170" i="1"/>
  <c r="T168" i="1"/>
  <c r="U168" i="1" s="1"/>
  <c r="S168" i="1" s="1"/>
  <c r="X168" i="1"/>
  <c r="T166" i="1"/>
  <c r="U166" i="1" s="1"/>
  <c r="S166" i="1" s="1"/>
  <c r="X166" i="1"/>
  <c r="T164" i="1"/>
  <c r="U164" i="1" s="1"/>
  <c r="S164" i="1" s="1"/>
  <c r="X164" i="1"/>
  <c r="T162" i="1"/>
  <c r="U162" i="1" s="1"/>
  <c r="S162" i="1" s="1"/>
  <c r="X162" i="1"/>
  <c r="T160" i="1"/>
  <c r="U160" i="1" s="1"/>
  <c r="S160" i="1" s="1"/>
  <c r="X160" i="1"/>
  <c r="T233" i="1"/>
  <c r="U233" i="1" s="1"/>
  <c r="S233" i="1" s="1"/>
  <c r="X233" i="1"/>
  <c r="T231" i="1"/>
  <c r="U231" i="1" s="1"/>
  <c r="S231" i="1" s="1"/>
  <c r="X231" i="1"/>
  <c r="T229" i="1"/>
  <c r="U229" i="1" s="1"/>
  <c r="S229" i="1" s="1"/>
  <c r="X229" i="1"/>
  <c r="T221" i="1"/>
  <c r="U221" i="1" s="1"/>
  <c r="S221" i="1" s="1"/>
  <c r="X221" i="1"/>
  <c r="T219" i="1"/>
  <c r="U219" i="1" s="1"/>
  <c r="S219" i="1" s="1"/>
  <c r="X219" i="1"/>
  <c r="T217" i="1"/>
  <c r="U217" i="1" s="1"/>
  <c r="S217" i="1" s="1"/>
  <c r="X217" i="1"/>
  <c r="T215" i="1"/>
  <c r="U215" i="1" s="1"/>
  <c r="S215" i="1" s="1"/>
  <c r="X215" i="1"/>
  <c r="T213" i="1"/>
  <c r="U213" i="1" s="1"/>
  <c r="S213" i="1" s="1"/>
  <c r="X213" i="1"/>
  <c r="T211" i="1"/>
  <c r="U211" i="1" s="1"/>
  <c r="S211" i="1" s="1"/>
  <c r="X211" i="1"/>
  <c r="T209" i="1"/>
  <c r="U209" i="1" s="1"/>
  <c r="S209" i="1" s="1"/>
  <c r="X209" i="1"/>
  <c r="T158" i="1"/>
  <c r="U158" i="1" s="1"/>
  <c r="S158" i="1" s="1"/>
  <c r="X158" i="1"/>
  <c r="T156" i="1"/>
  <c r="U156" i="1" s="1"/>
  <c r="S156" i="1" s="1"/>
  <c r="X156" i="1"/>
  <c r="T154" i="1"/>
  <c r="U154" i="1" s="1"/>
  <c r="S154" i="1" s="1"/>
  <c r="T151" i="1"/>
  <c r="U151" i="1" s="1"/>
  <c r="S151" i="1" s="1"/>
  <c r="T139" i="1"/>
  <c r="U139" i="1" s="1"/>
  <c r="S139" i="1" s="1"/>
  <c r="W137" i="1"/>
  <c r="X135" i="1"/>
  <c r="T135" i="1"/>
  <c r="U135" i="1" s="1"/>
  <c r="S135" i="1" s="1"/>
  <c r="W133" i="1"/>
  <c r="W132" i="1"/>
  <c r="X127" i="1"/>
  <c r="T127" i="1"/>
  <c r="U127" i="1" s="1"/>
  <c r="S127" i="1" s="1"/>
  <c r="W125" i="1"/>
  <c r="W124" i="1"/>
  <c r="X119" i="1"/>
  <c r="T119" i="1"/>
  <c r="U119" i="1" s="1"/>
  <c r="S119" i="1" s="1"/>
  <c r="T149" i="1"/>
  <c r="U149" i="1" s="1"/>
  <c r="S149" i="1" s="1"/>
  <c r="T141" i="1"/>
  <c r="U141" i="1" s="1"/>
  <c r="S141" i="1" s="1"/>
  <c r="W139" i="1"/>
  <c r="X133" i="1"/>
  <c r="T133" i="1"/>
  <c r="U133" i="1" s="1"/>
  <c r="S133" i="1" s="1"/>
  <c r="W131" i="1"/>
  <c r="W130" i="1"/>
  <c r="X125" i="1"/>
  <c r="T125" i="1"/>
  <c r="U125" i="1" s="1"/>
  <c r="S125" i="1" s="1"/>
  <c r="W123" i="1"/>
  <c r="W122" i="1"/>
  <c r="T173" i="1"/>
  <c r="U173" i="1" s="1"/>
  <c r="S173" i="1" s="1"/>
  <c r="X173" i="1"/>
  <c r="T171" i="1"/>
  <c r="U171" i="1" s="1"/>
  <c r="S171" i="1" s="1"/>
  <c r="X171" i="1"/>
  <c r="T169" i="1"/>
  <c r="U169" i="1" s="1"/>
  <c r="S169" i="1" s="1"/>
  <c r="X169" i="1"/>
  <c r="T167" i="1"/>
  <c r="U167" i="1" s="1"/>
  <c r="S167" i="1" s="1"/>
  <c r="X167" i="1"/>
  <c r="T165" i="1"/>
  <c r="U165" i="1" s="1"/>
  <c r="S165" i="1" s="1"/>
  <c r="X165" i="1"/>
  <c r="T163" i="1"/>
  <c r="U163" i="1" s="1"/>
  <c r="S163" i="1" s="1"/>
  <c r="X163" i="1"/>
  <c r="T161" i="1"/>
  <c r="U161" i="1" s="1"/>
  <c r="S161" i="1" s="1"/>
  <c r="X161" i="1"/>
  <c r="T234" i="1"/>
  <c r="U234" i="1" s="1"/>
  <c r="S234" i="1" s="1"/>
  <c r="X234" i="1"/>
  <c r="T232" i="1"/>
  <c r="U232" i="1" s="1"/>
  <c r="S232" i="1" s="1"/>
  <c r="X232" i="1"/>
  <c r="T230" i="1"/>
  <c r="U230" i="1" s="1"/>
  <c r="S230" i="1" s="1"/>
  <c r="X230" i="1"/>
  <c r="T228" i="1"/>
  <c r="U228" i="1" s="1"/>
  <c r="S228" i="1" s="1"/>
  <c r="X228" i="1"/>
  <c r="T220" i="1"/>
  <c r="U220" i="1" s="1"/>
  <c r="S220" i="1" s="1"/>
  <c r="X220" i="1"/>
  <c r="T218" i="1"/>
  <c r="U218" i="1" s="1"/>
  <c r="S218" i="1" s="1"/>
  <c r="X218" i="1"/>
  <c r="T216" i="1"/>
  <c r="U216" i="1" s="1"/>
  <c r="S216" i="1" s="1"/>
  <c r="X216" i="1"/>
  <c r="T214" i="1"/>
  <c r="U214" i="1" s="1"/>
  <c r="S214" i="1" s="1"/>
  <c r="X214" i="1"/>
  <c r="T212" i="1"/>
  <c r="U212" i="1" s="1"/>
  <c r="S212" i="1" s="1"/>
  <c r="X212" i="1"/>
  <c r="T210" i="1"/>
  <c r="U210" i="1" s="1"/>
  <c r="S210" i="1" s="1"/>
  <c r="X210" i="1"/>
  <c r="T159" i="1"/>
  <c r="U159" i="1" s="1"/>
  <c r="S159" i="1" s="1"/>
  <c r="X159" i="1"/>
  <c r="T157" i="1"/>
  <c r="U157" i="1" s="1"/>
  <c r="S157" i="1" s="1"/>
  <c r="X157" i="1"/>
  <c r="T155" i="1"/>
  <c r="U155" i="1" s="1"/>
  <c r="S155" i="1" s="1"/>
  <c r="X155" i="1"/>
  <c r="T152" i="1"/>
  <c r="U152" i="1" s="1"/>
  <c r="S152" i="1" s="1"/>
  <c r="X152" i="1"/>
  <c r="T147" i="1"/>
  <c r="U147" i="1" s="1"/>
  <c r="S147" i="1" s="1"/>
  <c r="W141" i="1"/>
  <c r="X134" i="1"/>
  <c r="X131" i="1"/>
  <c r="T131" i="1"/>
  <c r="U131" i="1" s="1"/>
  <c r="S131" i="1" s="1"/>
  <c r="W129" i="1"/>
  <c r="W128" i="1"/>
  <c r="X126" i="1"/>
  <c r="X123" i="1"/>
  <c r="T123" i="1"/>
  <c r="U123" i="1" s="1"/>
  <c r="S123" i="1" s="1"/>
  <c r="W121" i="1"/>
  <c r="W120" i="1"/>
  <c r="T145" i="1"/>
  <c r="U145" i="1" s="1"/>
  <c r="S145" i="1" s="1"/>
  <c r="W143" i="1"/>
  <c r="T137" i="1"/>
  <c r="U137" i="1" s="1"/>
  <c r="S137" i="1" s="1"/>
  <c r="W135" i="1"/>
  <c r="W134" i="1"/>
  <c r="X129" i="1"/>
  <c r="T129" i="1"/>
  <c r="U129" i="1" s="1"/>
  <c r="S129" i="1" s="1"/>
  <c r="W127" i="1"/>
  <c r="W126" i="1"/>
  <c r="X121" i="1"/>
  <c r="T121" i="1"/>
  <c r="U121" i="1" s="1"/>
  <c r="S121" i="1" s="1"/>
  <c r="W119" i="1"/>
  <c r="W118" i="1"/>
  <c r="W86" i="1"/>
  <c r="W81" i="1"/>
  <c r="W78" i="1"/>
  <c r="W73" i="1"/>
  <c r="W71" i="1"/>
  <c r="W63" i="1"/>
  <c r="W5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4" i="1"/>
  <c r="W79" i="1"/>
  <c r="W76" i="1"/>
  <c r="W64" i="1"/>
  <c r="W61" i="1"/>
  <c r="W56" i="1"/>
  <c r="T117" i="1"/>
  <c r="U117" i="1" s="1"/>
  <c r="S117" i="1" s="1"/>
  <c r="X117" i="1"/>
  <c r="T116" i="1"/>
  <c r="U116" i="1" s="1"/>
  <c r="S116" i="1" s="1"/>
  <c r="X116" i="1"/>
  <c r="T115" i="1"/>
  <c r="U115" i="1" s="1"/>
  <c r="S115" i="1" s="1"/>
  <c r="X115" i="1"/>
  <c r="T114" i="1"/>
  <c r="U114" i="1" s="1"/>
  <c r="S114" i="1" s="1"/>
  <c r="X114" i="1"/>
  <c r="T113" i="1"/>
  <c r="U113" i="1" s="1"/>
  <c r="S113" i="1" s="1"/>
  <c r="X113" i="1"/>
  <c r="T112" i="1"/>
  <c r="U112" i="1" s="1"/>
  <c r="S112" i="1" s="1"/>
  <c r="X112" i="1"/>
  <c r="T111" i="1"/>
  <c r="U111" i="1" s="1"/>
  <c r="S111" i="1" s="1"/>
  <c r="X111" i="1"/>
  <c r="T110" i="1"/>
  <c r="U110" i="1" s="1"/>
  <c r="X110" i="1"/>
  <c r="T109" i="1"/>
  <c r="U109" i="1" s="1"/>
  <c r="X109" i="1"/>
  <c r="T108" i="1"/>
  <c r="U108" i="1" s="1"/>
  <c r="S108" i="1" s="1"/>
  <c r="X108" i="1"/>
  <c r="T107" i="1"/>
  <c r="U107" i="1" s="1"/>
  <c r="S107" i="1" s="1"/>
  <c r="X107" i="1"/>
  <c r="T106" i="1"/>
  <c r="U106" i="1" s="1"/>
  <c r="S106" i="1" s="1"/>
  <c r="X106" i="1"/>
  <c r="T105" i="1"/>
  <c r="U105" i="1" s="1"/>
  <c r="S105" i="1" s="1"/>
  <c r="X105" i="1"/>
  <c r="T104" i="1"/>
  <c r="U104" i="1" s="1"/>
  <c r="S104" i="1" s="1"/>
  <c r="X104" i="1"/>
  <c r="T103" i="1"/>
  <c r="U103" i="1" s="1"/>
  <c r="S103" i="1" s="1"/>
  <c r="X103" i="1"/>
  <c r="T102" i="1"/>
  <c r="U102" i="1" s="1"/>
  <c r="S102" i="1" s="1"/>
  <c r="X102" i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T97" i="1"/>
  <c r="U97" i="1" s="1"/>
  <c r="S97" i="1" s="1"/>
  <c r="X97" i="1"/>
  <c r="T96" i="1"/>
  <c r="U96" i="1" s="1"/>
  <c r="S96" i="1" s="1"/>
  <c r="X96" i="1"/>
  <c r="T95" i="1"/>
  <c r="U95" i="1" s="1"/>
  <c r="S95" i="1" s="1"/>
  <c r="X95" i="1"/>
  <c r="T94" i="1"/>
  <c r="U94" i="1" s="1"/>
  <c r="S94" i="1" s="1"/>
  <c r="X94" i="1"/>
  <c r="T93" i="1"/>
  <c r="U93" i="1" s="1"/>
  <c r="S93" i="1" s="1"/>
  <c r="X93" i="1"/>
  <c r="W85" i="1"/>
  <c r="W82" i="1"/>
  <c r="W77" i="1"/>
  <c r="W74" i="1"/>
  <c r="W62" i="1"/>
  <c r="W54" i="1"/>
  <c r="W83" i="1"/>
  <c r="W80" i="1"/>
  <c r="W75" i="1"/>
  <c r="W72" i="1"/>
  <c r="W70" i="1"/>
  <c r="W60" i="1"/>
  <c r="X69" i="1"/>
  <c r="W68" i="1"/>
  <c r="T68" i="1"/>
  <c r="U68" i="1" s="1"/>
  <c r="S68" i="1" s="1"/>
  <c r="X67" i="1"/>
  <c r="W66" i="1"/>
  <c r="T66" i="1"/>
  <c r="U66" i="1" s="1"/>
  <c r="S66" i="1" s="1"/>
  <c r="W50" i="1"/>
  <c r="W47" i="1"/>
  <c r="W39" i="1"/>
  <c r="W38" i="1"/>
  <c r="W48" i="1"/>
  <c r="W45" i="1"/>
  <c r="W41" i="1"/>
  <c r="W40" i="1"/>
  <c r="W37" i="1"/>
  <c r="W36" i="1"/>
  <c r="X92" i="1"/>
  <c r="X91" i="1"/>
  <c r="X90" i="1"/>
  <c r="X89" i="1"/>
  <c r="X88" i="1"/>
  <c r="T72" i="1"/>
  <c r="U72" i="1" s="1"/>
  <c r="S72" i="1" s="1"/>
  <c r="T70" i="1"/>
  <c r="U70" i="1" s="1"/>
  <c r="S70" i="1" s="1"/>
  <c r="W69" i="1"/>
  <c r="W67" i="1"/>
  <c r="W51" i="1"/>
  <c r="W46" i="1"/>
  <c r="W43" i="1"/>
  <c r="W42" i="1"/>
  <c r="W35" i="1"/>
  <c r="W52" i="1"/>
  <c r="W49" i="1"/>
  <c r="W44" i="1"/>
  <c r="X34" i="1"/>
  <c r="W33" i="1"/>
  <c r="T33" i="1"/>
  <c r="U33" i="1" s="1"/>
  <c r="S33" i="1" s="1"/>
  <c r="X32" i="1"/>
  <c r="W31" i="1"/>
  <c r="T31" i="1"/>
  <c r="U31" i="1" s="1"/>
  <c r="S31" i="1" s="1"/>
  <c r="X29" i="1"/>
  <c r="W28" i="1"/>
  <c r="T28" i="1"/>
  <c r="U28" i="1" s="1"/>
  <c r="S28" i="1" s="1"/>
  <c r="X27" i="1"/>
  <c r="W26" i="1"/>
  <c r="T26" i="1"/>
  <c r="U26" i="1" s="1"/>
  <c r="S26" i="1" s="1"/>
  <c r="X25" i="1"/>
  <c r="W24" i="1"/>
  <c r="T24" i="1"/>
  <c r="U24" i="1" s="1"/>
  <c r="S24" i="1" s="1"/>
  <c r="W22" i="1"/>
  <c r="W20" i="1"/>
  <c r="W18" i="1"/>
  <c r="W16" i="1"/>
  <c r="W14" i="1"/>
  <c r="T43" i="1"/>
  <c r="U43" i="1" s="1"/>
  <c r="S43" i="1" s="1"/>
  <c r="T41" i="1"/>
  <c r="U41" i="1" s="1"/>
  <c r="S41" i="1" s="1"/>
  <c r="T39" i="1"/>
  <c r="U39" i="1" s="1"/>
  <c r="S39" i="1" s="1"/>
  <c r="T37" i="1"/>
  <c r="U37" i="1" s="1"/>
  <c r="S37" i="1" s="1"/>
  <c r="T35" i="1"/>
  <c r="U35" i="1" s="1"/>
  <c r="S35" i="1" s="1"/>
  <c r="W34" i="1"/>
  <c r="W32" i="1"/>
  <c r="W29" i="1"/>
  <c r="W27" i="1"/>
  <c r="W25" i="1"/>
  <c r="W23" i="1"/>
  <c r="W21" i="1"/>
  <c r="W19" i="1"/>
  <c r="W17" i="1"/>
  <c r="W15" i="1"/>
  <c r="AD21" i="3"/>
  <c r="AD17" i="3"/>
  <c r="AE30" i="3"/>
  <c r="AD20" i="3"/>
  <c r="AD16" i="3"/>
  <c r="AC14" i="3"/>
  <c r="T30" i="3"/>
  <c r="AD28" i="3"/>
  <c r="AE11" i="3"/>
  <c r="AD9" i="3"/>
  <c r="AE34" i="3"/>
  <c r="AE23" i="3"/>
  <c r="AE19" i="3"/>
  <c r="AD8" i="3"/>
  <c r="AC40" i="3"/>
  <c r="AE31" i="3"/>
  <c r="AD30" i="3"/>
  <c r="T21" i="3"/>
  <c r="AC19" i="3"/>
  <c r="AC25" i="3"/>
  <c r="AC22" i="3"/>
  <c r="AE39" i="3"/>
  <c r="AD38" i="3"/>
  <c r="T7" i="3"/>
  <c r="AC34" i="3"/>
  <c r="AC37" i="3"/>
  <c r="AE24" i="3"/>
  <c r="AC24" i="3"/>
  <c r="Y40" i="3"/>
  <c r="Y25" i="3"/>
  <c r="Y33" i="3"/>
  <c r="Y26" i="3"/>
  <c r="Y30" i="3"/>
  <c r="Y21" i="3"/>
  <c r="Y16" i="3"/>
  <c r="Y31" i="3"/>
  <c r="Y27" i="3"/>
  <c r="Y9" i="3"/>
  <c r="Y12" i="3"/>
  <c r="Y7" i="3"/>
  <c r="Y32" i="3"/>
  <c r="Y29" i="3"/>
  <c r="Y28" i="3"/>
  <c r="Y10" i="3"/>
  <c r="Y18" i="3"/>
  <c r="Y17" i="3"/>
  <c r="Y8" i="3"/>
  <c r="Y15" i="3"/>
  <c r="Y38" i="3"/>
  <c r="Y37" i="3"/>
  <c r="Y23" i="3"/>
  <c r="Y24" i="3"/>
  <c r="Y22" i="3"/>
  <c r="Y14" i="3"/>
  <c r="Y34" i="3"/>
  <c r="Y20" i="3"/>
  <c r="Y19" i="3"/>
  <c r="Y36" i="3"/>
  <c r="Y35" i="3"/>
  <c r="Y11" i="3"/>
  <c r="Y39" i="3"/>
  <c r="AE37" i="3"/>
  <c r="T32" i="3"/>
  <c r="AE33" i="3"/>
  <c r="AE18" i="3"/>
  <c r="T17" i="3"/>
  <c r="AE14" i="3"/>
  <c r="T8" i="3"/>
  <c r="AE10" i="3"/>
  <c r="T15" i="3"/>
  <c r="T29" i="3"/>
  <c r="AE29" i="3"/>
  <c r="T28" i="3"/>
  <c r="T10" i="3"/>
  <c r="AE22" i="3"/>
  <c r="T18" i="3"/>
  <c r="AE40" i="3"/>
  <c r="T14" i="3"/>
  <c r="AD37" i="3"/>
  <c r="AE36" i="3"/>
  <c r="T34" i="3"/>
  <c r="AD33" i="3"/>
  <c r="AE32" i="3"/>
  <c r="T20" i="3"/>
  <c r="AD29" i="3"/>
  <c r="AE28" i="3"/>
  <c r="T19" i="3"/>
  <c r="AE25" i="3"/>
  <c r="AD22" i="3"/>
  <c r="AE21" i="3"/>
  <c r="T36" i="3"/>
  <c r="AD18" i="3"/>
  <c r="AE17" i="3"/>
  <c r="T35" i="3"/>
  <c r="AD14" i="3"/>
  <c r="T11" i="3"/>
  <c r="AD10" i="3"/>
  <c r="AE9" i="3"/>
  <c r="T39" i="3"/>
  <c r="AE20" i="3"/>
  <c r="AE16" i="3"/>
  <c r="AE12" i="3"/>
  <c r="AE8" i="3"/>
  <c r="S55" i="1" l="1"/>
  <c r="S81" i="1"/>
  <c r="S109" i="1"/>
  <c r="M13" i="3"/>
  <c r="S13" i="3"/>
  <c r="U13" i="3"/>
  <c r="V13" i="3"/>
  <c r="X13" i="3"/>
  <c r="W13" i="3"/>
  <c r="AE13" i="3" l="1"/>
  <c r="AD13" i="3"/>
  <c r="R13" i="3"/>
  <c r="AC13" i="3"/>
  <c r="Y13" i="3"/>
  <c r="T13" i="3"/>
  <c r="AO13" i="1" l="1"/>
  <c r="B3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3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I13" i="1" l="1"/>
  <c r="AA13" i="1"/>
  <c r="W13" i="1" s="1"/>
  <c r="T13" i="1"/>
  <c r="U13" i="1" s="1"/>
  <c r="S13" i="1" s="1"/>
  <c r="X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N26" i="3" s="1"/>
  <c r="G19" i="4"/>
  <c r="G20" i="4"/>
  <c r="G21" i="4"/>
  <c r="G22" i="4"/>
  <c r="G23" i="4"/>
  <c r="G24" i="4"/>
  <c r="G25" i="4"/>
  <c r="G26" i="4"/>
  <c r="G27" i="4"/>
  <c r="N39" i="3" s="1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N15" i="3" s="1"/>
  <c r="G47" i="4"/>
  <c r="N12" i="3" s="1"/>
  <c r="G48" i="4"/>
  <c r="G49" i="4"/>
  <c r="G50" i="4"/>
  <c r="G51" i="4"/>
  <c r="G52" i="4"/>
  <c r="G53" i="4"/>
  <c r="G54" i="4"/>
  <c r="G55" i="4"/>
  <c r="N33" i="3" s="1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N9" i="3" s="1"/>
  <c r="G70" i="4"/>
  <c r="G71" i="4"/>
  <c r="N22" i="3" s="1"/>
  <c r="G72" i="4"/>
  <c r="N35" i="3" s="1"/>
  <c r="G73" i="4"/>
  <c r="G74" i="4"/>
  <c r="G75" i="4"/>
  <c r="G76" i="4"/>
  <c r="N27" i="3" s="1"/>
  <c r="G77" i="4"/>
  <c r="G78" i="4"/>
  <c r="N17" i="3" s="1"/>
  <c r="G79" i="4"/>
  <c r="G80" i="4"/>
  <c r="G81" i="4"/>
  <c r="G82" i="4"/>
  <c r="G83" i="4"/>
  <c r="G84" i="4"/>
  <c r="N24" i="3" s="1"/>
  <c r="G85" i="4"/>
  <c r="G86" i="4"/>
  <c r="G87" i="4"/>
  <c r="G88" i="4"/>
  <c r="G89" i="4"/>
  <c r="G90" i="4"/>
  <c r="G91" i="4"/>
  <c r="G92" i="4"/>
  <c r="N18" i="3" s="1"/>
  <c r="G93" i="4"/>
  <c r="N36" i="3" s="1"/>
  <c r="G94" i="4"/>
  <c r="G95" i="4"/>
  <c r="G96" i="4"/>
  <c r="G97" i="4"/>
  <c r="G98" i="4"/>
  <c r="N31" i="3" s="1"/>
  <c r="G99" i="4"/>
  <c r="G100" i="4"/>
  <c r="G101" i="4"/>
  <c r="G102" i="4"/>
  <c r="G103" i="4"/>
  <c r="G104" i="4"/>
  <c r="G105" i="4"/>
  <c r="G106" i="4"/>
  <c r="G107" i="4"/>
  <c r="N10" i="3" s="1"/>
  <c r="G108" i="4"/>
  <c r="G109" i="4"/>
  <c r="N16" i="3" s="1"/>
  <c r="G110" i="4"/>
  <c r="G111" i="4"/>
  <c r="G112" i="4"/>
  <c r="N23" i="3" s="1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N19" i="3" s="1"/>
  <c r="G128" i="4"/>
  <c r="G129" i="4"/>
  <c r="G130" i="4"/>
  <c r="G131" i="4"/>
  <c r="N28" i="3" s="1"/>
  <c r="G132" i="4"/>
  <c r="G133" i="4"/>
  <c r="G134" i="4"/>
  <c r="G135" i="4"/>
  <c r="G136" i="4"/>
  <c r="G137" i="4"/>
  <c r="G138" i="4"/>
  <c r="G139" i="4"/>
  <c r="G140" i="4"/>
  <c r="G141" i="4"/>
  <c r="G142" i="4"/>
  <c r="G143" i="4"/>
  <c r="N37" i="3" s="1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N38" i="3" s="1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N34" i="3" s="1"/>
  <c r="G176" i="4"/>
  <c r="G177" i="4"/>
  <c r="G178" i="4"/>
  <c r="G179" i="4"/>
  <c r="G180" i="4"/>
  <c r="G181" i="4"/>
  <c r="G182" i="4"/>
  <c r="N32" i="3" s="1"/>
  <c r="G183" i="4"/>
  <c r="G184" i="4"/>
  <c r="G185" i="4"/>
  <c r="G186" i="4"/>
  <c r="G187" i="4"/>
  <c r="G188" i="4"/>
  <c r="G189" i="4"/>
  <c r="N7" i="3" s="1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N14" i="3" s="1"/>
  <c r="G215" i="4"/>
  <c r="G216" i="4"/>
  <c r="G217" i="4"/>
  <c r="G218" i="4"/>
  <c r="G219" i="4"/>
  <c r="N40" i="3" s="1"/>
  <c r="G220" i="4"/>
  <c r="G221" i="4"/>
  <c r="G222" i="4"/>
  <c r="G223" i="4"/>
  <c r="G2" i="4"/>
  <c r="N25" i="3" l="1"/>
  <c r="N30" i="3"/>
  <c r="N29" i="3"/>
  <c r="N11" i="3"/>
  <c r="N8" i="3"/>
  <c r="N21" i="3"/>
  <c r="N20" i="3"/>
  <c r="N13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3" i="6" l="1"/>
  <c r="G3" i="6"/>
  <c r="I3" i="6"/>
  <c r="H3" i="6"/>
  <c r="J3" i="6"/>
  <c r="J8" i="1"/>
  <c r="J4" i="1"/>
  <c r="S8" i="1"/>
  <c r="S4" i="1"/>
  <c r="S9" i="1" l="1"/>
  <c r="J9" i="1"/>
  <c r="S11" i="1" l="1"/>
  <c r="A11" i="1"/>
  <c r="B1" i="6" l="1"/>
  <c r="A5" i="3"/>
  <c r="B4" i="6" l="1"/>
  <c r="D4" i="6" s="1"/>
  <c r="B5" i="6" l="1"/>
  <c r="D5" i="6" s="1"/>
  <c r="I4" i="6"/>
  <c r="G4" i="6"/>
  <c r="F4" i="6"/>
  <c r="H4" i="6"/>
  <c r="J4" i="6"/>
  <c r="G5" i="6" l="1"/>
  <c r="F5" i="6"/>
  <c r="H5" i="6"/>
  <c r="I5" i="6"/>
  <c r="J5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<sst xmlns="http://schemas.openxmlformats.org/spreadsheetml/2006/main" count="2698" uniqueCount="1018">
  <si>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</si>
  <si>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</si>
  <si>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</si>
  <si>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</si>
  <si>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</si>
  <si>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</si>
  <si>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</si>
  <si>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</si>
  <si>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</si>
  <si>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</si>
  <si>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</si>
  <si>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</si>
  <si>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</si>
  <si>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</si>
  <si>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</si>
  <si>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</si>
  <si>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</si>
  <si>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</si>
  <si>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</si>
  <si>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</si>
  <si>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</si>
  <si>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</si>
  <si>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</si>
  <si>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</si>
  <si>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</si>
  <si>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</si>
  <si>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</si>
  <si>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</si>
  <si>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</si>
  <si>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</si>
  <si>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</si>
  <si>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</si>
  <si>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</si>
  <si>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</si>
  <si>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</si>
  <si>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</si>
  <si>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</si>
  <si>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</si>
  <si>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</si>
  <si>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</si>
  <si>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</si>
  <si>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</si>
  <si>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</si>
  <si>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</si>
  <si>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</si>
  <si>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</si>
  <si>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</si>
  <si>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</si>
  <si>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</si>
  <si>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</si>
  <si>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</si>
  <si>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</si>
  <si>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</si>
  <si>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</si>
  <si>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</si>
  <si>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</si>
  <si>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</si>
  <si>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</si>
  <si>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</si>
  <si>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</si>
  <si>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</si>
  <si>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</si>
  <si>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</si>
  <si>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</si>
  <si>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</si>
  <si>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</si>
  <si>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</si>
  <si>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</si>
  <si>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</si>
  <si>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</si>
  <si>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</si>
  <si>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</si>
  <si>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</si>
  <si>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</si>
  <si>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</si>
  <si>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</si>
  <si>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</si>
  <si>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</si>
  <si>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</si>
  <si>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</si>
  <si>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</si>
  <si>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</si>
  <si>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</si>
  <si>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</si>
  <si>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</si>
  <si>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</si>
  <si>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</si>
  <si>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</si>
  <si>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</si>
  <si>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</si>
  <si>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</si>
  <si>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</si>
  <si>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</si>
  <si>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</si>
  <si>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</si>
  <si>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</si>
  <si>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</si>
  <si>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</si>
  <si>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</si>
  <si>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</si>
  <si>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</si>
  <si>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</si>
  <si>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</si>
  <si>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</si>
  <si>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</si>
  <si>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</si>
  <si>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</si>
  <si>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</si>
  <si>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</si>
  <si>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</si>
  <si>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</si>
  <si>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</si>
  <si>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</si>
  <si>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</si>
  <si>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</si>
  <si>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</si>
  <si>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</si>
  <si>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</si>
  <si>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</si>
  <si>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</si>
  <si>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</si>
  <si>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</si>
  <si>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</si>
  <si>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</si>
  <si>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</si>
  <si>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</si>
  <si>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</si>
  <si>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</si>
  <si>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</si>
  <si>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</si>
  <si>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</si>
  <si>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</si>
  <si>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</si>
  <si>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</si>
  <si>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</si>
  <si>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</si>
  <si>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</si>
  <si>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</si>
  <si>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</si>
  <si>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</si>
  <si>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</si>
  <si>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</si>
  <si>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</si>
  <si>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</si>
  <si>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</si>
  <si>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</si>
  <si>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</si>
  <si>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</si>
  <si>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</si>
  <si>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</si>
  <si>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</si>
  <si>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</si>
  <si>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</si>
  <si>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</si>
  <si>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</si>
  <si>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</si>
  <si>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</si>
  <si>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</si>
  <si>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</si>
  <si>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</si>
  <si>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</si>
  <si>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</si>
  <si>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</si>
  <si>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</si>
  <si>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</si>
  <si>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</si>
  <si>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</si>
  <si>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</si>
  <si>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</si>
  <si>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</si>
  <si>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</si>
  <si>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</si>
  <si>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</si>
  <si>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</si>
  <si>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</si>
  <si>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</si>
  <si>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</si>
  <si>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</si>
  <si>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</si>
  <si>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</si>
  <si>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</si>
  <si>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</si>
  <si>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</si>
  <si>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</si>
  <si>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</si>
  <si>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</si>
  <si>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</si>
  <si>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</si>
  <si>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</si>
  <si>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</si>
  <si>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</si>
  <si>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</si>
  <si>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</si>
  <si>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</si>
  <si>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</si>
  <si>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</si>
  <si>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</si>
  <si>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</si>
  <si>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</si>
  <si>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</si>
  <si>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</si>
  <si>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</si>
  <si>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</si>
  <si>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</si>
  <si>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</si>
  <si>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</si>
  <si>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</si>
  <si>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</si>
  <si>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</si>
  <si>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</si>
  <si>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</si>
  <si>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</si>
  <si>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</si>
  <si>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</si>
  <si>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</si>
  <si>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</si>
  <si>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</si>
  <si>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</si>
  <si>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</si>
  <si>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</si>
  <si>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</si>
  <si>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</si>
  <si>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</si>
  <si>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</si>
  <si>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</si>
  <si>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</si>
  <si>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</si>
  <si>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</si>
  <si>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</si>
  <si>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</si>
  <si>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</si>
  <si>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</si>
  <si>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</si>
  <si>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</si>
  <si>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</si>
  <si>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</si>
  <si>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</si>
  <si>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</si>
  <si>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</si>
  <si>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</si>
  <si>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</si>
  <si>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</si>
  <si>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</si>
  <si>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</si>
  <si>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</si>
  <si>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</si>
  <si>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</si>
  <si>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</si>
  <si>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</si>
  <si>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</si>
  <si>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</si>
  <si>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</si>
  <si>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</si>
  <si>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</si>
  <si>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</si>
  <si>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</si>
  <si>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</si>
  <si>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</si>
  <si>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</si>
  <si>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</si>
  <si>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</si>
  <si>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</si>
  <si>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</si>
  <si>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</si>
  <si>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</si>
  <si>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</si>
  <si>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</si>
  <si>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</si>
  <si>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</si>
  <si>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</si>
  <si>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</si>
  <si>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</si>
  <si>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</si>
  <si>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</si>
  <si>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</si>
  <si>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</si>
  <si>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</si>
  <si>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</si>
  <si>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</si>
  <si>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</si>
  <si>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</si>
  <si>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</si>
  <si>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</si>
  <si>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</si>
  <si>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</si>
  <si>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</si>
  <si>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</si>
  <si>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</si>
  <si>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</si>
  <si>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</si>
  <si>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</si>
  <si>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</si>
  <si>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</si>
  <si>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</si>
  <si>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</si>
  <si>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</si>
  <si>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</si>
  <si>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</si>
  <si>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</si>
  <si>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</si>
  <si>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</si>
  <si>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</si>
  <si>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</si>
  <si>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</si>
  <si>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</si>
  <si>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</si>
  <si>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</si>
  <si>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</si>
  <si>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</si>
  <si>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</si>
  <si>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</si>
  <si>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</si>
  <si>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</si>
  <si>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</si>
  <si>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</si>
  <si>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</si>
  <si>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</si>
  <si>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</si>
  <si>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</si>
  <si>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</si>
  <si>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</si>
  <si>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</si>
  <si>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</si>
  <si>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</si>
  <si>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</si>
  <si>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</si>
  <si>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</si>
  <si>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</si>
  <si>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</si>
  <si>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</si>
  <si>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</si>
  <si>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</si>
  <si>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</si>
  <si>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</si>
  <si>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</si>
  <si>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</si>
  <si>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</si>
  <si>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</si>
  <si>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</si>
  <si>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</si>
  <si>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</si>
  <si>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</si>
  <si>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</si>
  <si>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</si>
  <si>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</si>
  <si>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</si>
  <si>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</si>
  <si>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</si>
  <si>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</si>
  <si>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</si>
  <si>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</si>
  <si>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</si>
  <si>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</si>
  <si>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</si>
  <si>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</si>
  <si>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</si>
  <si>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</si>
  <si>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</si>
  <si>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</si>
  <si>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</si>
  <si>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204:449</t>
  </si>
  <si>
    <t>SIGNAL</t>
  </si>
  <si>
    <t>Signal based authority (5)</t>
  </si>
  <si>
    <t>204:464</t>
  </si>
  <si>
    <t>204:145</t>
  </si>
  <si>
    <t>204:138</t>
  </si>
  <si>
    <t>clear-day</t>
  </si>
  <si>
    <t>Clear</t>
  </si>
  <si>
    <t>clear-night</t>
  </si>
  <si>
    <t>Early Arrival</t>
  </si>
  <si>
    <t>204:156</t>
  </si>
  <si>
    <t>204:467</t>
  </si>
  <si>
    <t>LOZA</t>
  </si>
  <si>
    <t>FIDEL</t>
  </si>
  <si>
    <t>204:232977</t>
  </si>
  <si>
    <t>rtdc.l.rtdc.4030:itc</t>
  </si>
  <si>
    <t>204:469</t>
  </si>
  <si>
    <t>204:161</t>
  </si>
  <si>
    <t>204:442</t>
  </si>
  <si>
    <t>JAMES</t>
  </si>
  <si>
    <t>204:160</t>
  </si>
  <si>
    <t>204:460</t>
  </si>
  <si>
    <t>204:158</t>
  </si>
  <si>
    <t>rtdc.l.rtdc.4032:itc</t>
  </si>
  <si>
    <t>204:232994</t>
  </si>
  <si>
    <t>rtdc.l.rtdc.4009:itc</t>
  </si>
  <si>
    <t>DUNCAN</t>
  </si>
  <si>
    <t>SHEILA</t>
  </si>
  <si>
    <t>rtdc.l.rtdc.4061:itc</t>
  </si>
  <si>
    <t>rtdc.l.rtdc.4020:itc</t>
  </si>
  <si>
    <t>rtdc.l.rtdc.4019:itc</t>
  </si>
  <si>
    <t>PERKINS</t>
  </si>
  <si>
    <t>DARREN</t>
  </si>
  <si>
    <t>HART</t>
  </si>
  <si>
    <t>KEVIN</t>
  </si>
  <si>
    <t>204:440</t>
  </si>
  <si>
    <t>204:233000</t>
  </si>
  <si>
    <t>204:139</t>
  </si>
  <si>
    <t>rtdc.l.rtdc.4031:itc</t>
  </si>
  <si>
    <t>rtdc.l.rtdc.4015:itc</t>
  </si>
  <si>
    <t>rtdc.l.rtdc.4016:itc</t>
  </si>
  <si>
    <t>313-06</t>
  </si>
  <si>
    <t>rtdc.l.rtdc.4062:itc</t>
  </si>
  <si>
    <t>NICHOLSON</t>
  </si>
  <si>
    <t>WESLEY</t>
  </si>
  <si>
    <t>238-06</t>
  </si>
  <si>
    <t>240-06</t>
  </si>
  <si>
    <t>243-06</t>
  </si>
  <si>
    <t>307-06</t>
  </si>
  <si>
    <t>242-06</t>
  </si>
  <si>
    <t>309-06</t>
  </si>
  <si>
    <t>244-06</t>
  </si>
  <si>
    <t>311-06</t>
  </si>
  <si>
    <t>204:136</t>
  </si>
  <si>
    <t>204:163</t>
  </si>
  <si>
    <t>204:462</t>
  </si>
  <si>
    <t>204:232996</t>
  </si>
  <si>
    <t>204:451</t>
  </si>
  <si>
    <t>204:444</t>
  </si>
  <si>
    <t>rtdc.l.rtdc.4029:itc</t>
  </si>
  <si>
    <t>204:233289</t>
  </si>
  <si>
    <t>204:233291</t>
  </si>
  <si>
    <t>204:233312</t>
  </si>
  <si>
    <t>204:471</t>
  </si>
  <si>
    <t>204:232998</t>
  </si>
  <si>
    <t>STAMBAUGH</t>
  </si>
  <si>
    <t>204:233013</t>
  </si>
  <si>
    <t>204:232980</t>
  </si>
  <si>
    <t>rtdc.l.rtdc.4058:itc</t>
  </si>
  <si>
    <t>204:154</t>
  </si>
  <si>
    <t>204:232981</t>
  </si>
  <si>
    <t>204:233315</t>
  </si>
  <si>
    <t>204:437</t>
  </si>
  <si>
    <t>204:466</t>
  </si>
  <si>
    <t>rtdc.l.rtdc.4028:itc</t>
  </si>
  <si>
    <t>204:447</t>
  </si>
  <si>
    <t>204:233293</t>
  </si>
  <si>
    <t>204:232978</t>
  </si>
  <si>
    <t>204:438</t>
  </si>
  <si>
    <t>204:233319</t>
  </si>
  <si>
    <t>204:232991</t>
  </si>
  <si>
    <t>204:433</t>
  </si>
  <si>
    <t>204:685</t>
  </si>
  <si>
    <t>rtdc.l.rtdc.4043:itc</t>
  </si>
  <si>
    <t>YORK</t>
  </si>
  <si>
    <t>EDGAR</t>
  </si>
  <si>
    <t>LOPES</t>
  </si>
  <si>
    <t>KIMBERLY</t>
  </si>
  <si>
    <t>rtdc.l.rtdc.4003:itc</t>
  </si>
  <si>
    <t>204:232983</t>
  </si>
  <si>
    <t>204:232990</t>
  </si>
  <si>
    <t>204:233299</t>
  </si>
  <si>
    <t>204:473</t>
  </si>
  <si>
    <t>SWITCH UNKNOWN</t>
  </si>
  <si>
    <t>Track device (7)</t>
  </si>
  <si>
    <t>rtdc.l.rtdc.4034:itc</t>
  </si>
  <si>
    <t>rtdc.l.rtdc.4004:itc</t>
  </si>
  <si>
    <t>rtdc.l.rtdc.4057:itc</t>
  </si>
  <si>
    <t>rtdc.l.rtdc.4033:itc</t>
  </si>
  <si>
    <t>849-14</t>
  </si>
  <si>
    <t>243-14</t>
  </si>
  <si>
    <t>244-14</t>
  </si>
  <si>
    <t>Y</t>
  </si>
  <si>
    <t>WILLIAMS</t>
  </si>
  <si>
    <t>DONTE</t>
  </si>
  <si>
    <t>ELBAUM</t>
  </si>
  <si>
    <t>MIKE</t>
  </si>
  <si>
    <t>rtdc.l.rtdc.4035:itc</t>
  </si>
  <si>
    <t>81-14</t>
  </si>
  <si>
    <t>rtdc.l.rtdc.4036:itc</t>
  </si>
  <si>
    <t>82-14</t>
  </si>
  <si>
    <t>237-14</t>
  </si>
  <si>
    <t>239-14</t>
  </si>
  <si>
    <t>236-14</t>
  </si>
  <si>
    <t>908-14</t>
  </si>
  <si>
    <t>238-14</t>
  </si>
  <si>
    <t>241-14</t>
  </si>
  <si>
    <t>240-14</t>
  </si>
  <si>
    <t>307-14</t>
  </si>
  <si>
    <t>242-14</t>
  </si>
  <si>
    <t>309-14</t>
  </si>
  <si>
    <t>311-14</t>
  </si>
  <si>
    <t>55-15</t>
  </si>
  <si>
    <t>313-14</t>
  </si>
  <si>
    <t>300-15</t>
  </si>
  <si>
    <t>204:232982</t>
  </si>
  <si>
    <t>204:475</t>
  </si>
  <si>
    <t>204:232993</t>
  </si>
  <si>
    <t>204:232985</t>
  </si>
  <si>
    <t>204:233332</t>
  </si>
  <si>
    <t>204:233003</t>
  </si>
  <si>
    <t>204:431</t>
  </si>
  <si>
    <t>204:233325</t>
  </si>
  <si>
    <t>300:23308</t>
  </si>
  <si>
    <t>204:233027</t>
  </si>
  <si>
    <t>rtdc.l.rtdc.4023:itc</t>
  </si>
  <si>
    <t>rtdc.l.rtdc.4024:itc</t>
  </si>
  <si>
    <t>rtdc.l.rtdc.4056:itc</t>
  </si>
  <si>
    <t>rtdc.l.rtdc.4005:itc</t>
  </si>
  <si>
    <t>THOMPSON</t>
  </si>
  <si>
    <t>LESTER</t>
  </si>
  <si>
    <t>rtdc.l.rtdc.4055:itc</t>
  </si>
  <si>
    <t>LALONDE</t>
  </si>
  <si>
    <t>GREGORY</t>
  </si>
  <si>
    <t>LAMAR</t>
  </si>
  <si>
    <t>NEKESHA</t>
  </si>
  <si>
    <t>SAFIEF</t>
  </si>
  <si>
    <t>AEIMEN</t>
  </si>
  <si>
    <t>SMITH</t>
  </si>
  <si>
    <t>RESPASS</t>
  </si>
  <si>
    <t>AARON</t>
  </si>
  <si>
    <t>204:233017</t>
  </si>
  <si>
    <t>204:233302</t>
  </si>
  <si>
    <t>204:232965</t>
  </si>
  <si>
    <t>204:233318</t>
  </si>
  <si>
    <t>204:233001</t>
  </si>
  <si>
    <t>204:233310</t>
  </si>
  <si>
    <t>204:232975</t>
  </si>
  <si>
    <t>204:233006</t>
  </si>
  <si>
    <t>204:233019</t>
  </si>
  <si>
    <t>204:233309</t>
  </si>
  <si>
    <t>204:233330</t>
  </si>
  <si>
    <t>204:233015</t>
  </si>
  <si>
    <t>204:130</t>
  </si>
  <si>
    <t>204:670</t>
  </si>
  <si>
    <t>204:457</t>
  </si>
  <si>
    <t>204:967</t>
  </si>
  <si>
    <t>204:134</t>
  </si>
  <si>
    <t>204:232971</t>
  </si>
  <si>
    <t>204:233023</t>
  </si>
  <si>
    <t>204:233021</t>
  </si>
  <si>
    <t>204:233340</t>
  </si>
  <si>
    <t>204:233329</t>
  </si>
  <si>
    <t>Sat - Sun = 36 Trips</t>
  </si>
  <si>
    <t>"Summary View"</t>
  </si>
  <si>
    <t>rtdc.l.rtdc.4039:itc</t>
  </si>
  <si>
    <t>rtdc.l.rtdc.4018:itc</t>
  </si>
  <si>
    <t>rtdc.l.rtdc.4010:itc</t>
  </si>
  <si>
    <t>SPECTOR</t>
  </si>
  <si>
    <t>rtdc.l.rtdc.4006:itc</t>
  </si>
  <si>
    <t>rtdc.l.rtdc.4017:itc</t>
  </si>
  <si>
    <t>BARRON</t>
  </si>
  <si>
    <t>PERLA</t>
  </si>
  <si>
    <t>rtdc.l.rtdc.4040:itc</t>
  </si>
  <si>
    <t>BIRENBAUM</t>
  </si>
  <si>
    <t>THOMAS</t>
  </si>
  <si>
    <t>SWANSON</t>
  </si>
  <si>
    <t>BRYCE</t>
  </si>
  <si>
    <t>LEVERE</t>
  </si>
  <si>
    <t>CRAIG</t>
  </si>
  <si>
    <t>LEVIN</t>
  </si>
  <si>
    <t>SCOTT</t>
  </si>
  <si>
    <t>242-18</t>
  </si>
  <si>
    <t>307-18</t>
  </si>
  <si>
    <t>244-18</t>
  </si>
  <si>
    <t>309-18</t>
  </si>
  <si>
    <t>311-18</t>
  </si>
  <si>
    <t>rtdc.l.rtdc.4011:itc</t>
  </si>
  <si>
    <t>300-19</t>
  </si>
  <si>
    <t>204:233297</t>
  </si>
  <si>
    <t>204:233306</t>
  </si>
  <si>
    <t>204:232987</t>
  </si>
  <si>
    <t>204:233351</t>
  </si>
  <si>
    <t>204:233005</t>
  </si>
  <si>
    <t>204:233304</t>
  </si>
  <si>
    <t>204:233268</t>
  </si>
  <si>
    <t>204:233295</t>
  </si>
  <si>
    <t>204:233264</t>
  </si>
  <si>
    <t>204:233314</t>
  </si>
  <si>
    <t>204:233303</t>
  </si>
  <si>
    <t>204:480</t>
  </si>
  <si>
    <t>204:232984</t>
  </si>
  <si>
    <t>204:435</t>
  </si>
  <si>
    <t>204:233298</t>
  </si>
  <si>
    <t>204:233317</t>
  </si>
  <si>
    <t>204:233311</t>
  </si>
  <si>
    <t>204:232992</t>
  </si>
  <si>
    <t>204:233053</t>
  </si>
  <si>
    <t>204:172</t>
  </si>
  <si>
    <t>204:180</t>
  </si>
  <si>
    <t>204:232988</t>
  </si>
  <si>
    <t>204:232986</t>
  </si>
  <si>
    <t>204:422</t>
  </si>
  <si>
    <t>300:23302</t>
  </si>
  <si>
    <t>204:694</t>
  </si>
  <si>
    <t>204:663</t>
  </si>
  <si>
    <t>300:58698</t>
  </si>
  <si>
    <t>204:981</t>
  </si>
  <si>
    <t>300:58954</t>
  </si>
  <si>
    <t>300:58645</t>
  </si>
  <si>
    <t>300:58982</t>
  </si>
  <si>
    <t>204:971</t>
  </si>
  <si>
    <t>204:1002</t>
  </si>
  <si>
    <t>204:710</t>
  </si>
  <si>
    <t>300:58944</t>
  </si>
  <si>
    <t>300:58628</t>
  </si>
  <si>
    <t>300:58965</t>
  </si>
  <si>
    <t>300:58640</t>
  </si>
  <si>
    <t>300:58939</t>
  </si>
  <si>
    <t>204:731</t>
  </si>
  <si>
    <t>204:678</t>
  </si>
  <si>
    <t>300:58958</t>
  </si>
  <si>
    <t>204:974</t>
  </si>
  <si>
    <t>300:58630</t>
  </si>
  <si>
    <t>start /low /b %USERPROFILE%\Documents\GitHub\eaglep3\Utilities\DownloadLogsFromS3.py --loco 4029 --day 2017-09-19</t>
  </si>
  <si>
    <t>204:233321</t>
  </si>
  <si>
    <t>204:233344</t>
  </si>
  <si>
    <t>Wi-MAX data drop</t>
  </si>
  <si>
    <t>105-19</t>
  </si>
  <si>
    <t>rtdc.l.rtdc.4027:itc</t>
  </si>
  <si>
    <t>104-19</t>
  </si>
  <si>
    <t>rtdc.l.rtdc.4013:itc</t>
  </si>
  <si>
    <t>312-19</t>
  </si>
  <si>
    <t>rtdc.l.rtdc.4054:itc</t>
  </si>
  <si>
    <t>127-19</t>
  </si>
  <si>
    <t>120-19</t>
  </si>
  <si>
    <t>809-19</t>
  </si>
  <si>
    <t>130-19</t>
  </si>
  <si>
    <t>141-19</t>
  </si>
  <si>
    <t>143-19</t>
  </si>
  <si>
    <t>rtdc.l.rtdc.4044:itc</t>
  </si>
  <si>
    <t>813-19</t>
  </si>
  <si>
    <t>147-19</t>
  </si>
  <si>
    <t>rtdc.l.rtdc.4053:itc</t>
  </si>
  <si>
    <t>142-19</t>
  </si>
  <si>
    <t>rtdc.l.rtdc.4050:itc</t>
  </si>
  <si>
    <t>153-19</t>
  </si>
  <si>
    <t>817-19</t>
  </si>
  <si>
    <t>rtdc.l.rtdc.4014:itc</t>
  </si>
  <si>
    <t>159-19</t>
  </si>
  <si>
    <t>818-19</t>
  </si>
  <si>
    <t>169-19</t>
  </si>
  <si>
    <t>164-19</t>
  </si>
  <si>
    <t>171-19</t>
  </si>
  <si>
    <t>rtdc.l.rtdc.4049:itc</t>
  </si>
  <si>
    <t>168-19</t>
  </si>
  <si>
    <t>185-19</t>
  </si>
  <si>
    <t>182-19</t>
  </si>
  <si>
    <t>195-19</t>
  </si>
  <si>
    <t>827-19</t>
  </si>
  <si>
    <t>199-19</t>
  </si>
  <si>
    <t>831-19</t>
  </si>
  <si>
    <t>836-19</t>
  </si>
  <si>
    <t>838-19</t>
  </si>
  <si>
    <t>218-19</t>
  </si>
  <si>
    <t>88-19</t>
  </si>
  <si>
    <t>234-19</t>
  </si>
  <si>
    <t>101-19</t>
  </si>
  <si>
    <t>rtdc.l.rtdc.4012:itc</t>
  </si>
  <si>
    <t>67-19</t>
  </si>
  <si>
    <t>302-19</t>
  </si>
  <si>
    <t>ACKERMAN</t>
  </si>
  <si>
    <t>JARED</t>
  </si>
  <si>
    <t>68-19</t>
  </si>
  <si>
    <t>103-19</t>
  </si>
  <si>
    <t>304-19</t>
  </si>
  <si>
    <t>102-19</t>
  </si>
  <si>
    <t>306-19</t>
  </si>
  <si>
    <t>107-19</t>
  </si>
  <si>
    <t>308-19</t>
  </si>
  <si>
    <t>109-19</t>
  </si>
  <si>
    <t>310-19</t>
  </si>
  <si>
    <t>111-19</t>
  </si>
  <si>
    <t>901-19</t>
  </si>
  <si>
    <t>YANG</t>
  </si>
  <si>
    <t>JAN</t>
  </si>
  <si>
    <t>113-19</t>
  </si>
  <si>
    <t>108-19</t>
  </si>
  <si>
    <t>106-19</t>
  </si>
  <si>
    <t>800-19</t>
  </si>
  <si>
    <t>115-19</t>
  </si>
  <si>
    <t>801-19</t>
  </si>
  <si>
    <t>112-19</t>
  </si>
  <si>
    <t>110-19</t>
  </si>
  <si>
    <t>117-19</t>
  </si>
  <si>
    <t>902-19</t>
  </si>
  <si>
    <t>FORTUNATO</t>
  </si>
  <si>
    <t>FRANK</t>
  </si>
  <si>
    <t>114-19</t>
  </si>
  <si>
    <t>119-19</t>
  </si>
  <si>
    <t>803-19</t>
  </si>
  <si>
    <t>802-19</t>
  </si>
  <si>
    <t>121-19</t>
  </si>
  <si>
    <t>116-19</t>
  </si>
  <si>
    <t>123-19</t>
  </si>
  <si>
    <t>804-19</t>
  </si>
  <si>
    <t>805-19</t>
  </si>
  <si>
    <t>125-19</t>
  </si>
  <si>
    <t>122-19</t>
  </si>
  <si>
    <t>807-19</t>
  </si>
  <si>
    <t>806-19</t>
  </si>
  <si>
    <t>129-19</t>
  </si>
  <si>
    <t>BROWN</t>
  </si>
  <si>
    <t>JACOB</t>
  </si>
  <si>
    <t>131-19</t>
  </si>
  <si>
    <t>126-19</t>
  </si>
  <si>
    <t>124-19</t>
  </si>
  <si>
    <t>808-19</t>
  </si>
  <si>
    <t>128-19</t>
  </si>
  <si>
    <t>133-19</t>
  </si>
  <si>
    <t>LANGERAK</t>
  </si>
  <si>
    <t>WILLIAM</t>
  </si>
  <si>
    <t>135-19</t>
  </si>
  <si>
    <t>810-19</t>
  </si>
  <si>
    <t>811-19</t>
  </si>
  <si>
    <t>137-19</t>
  </si>
  <si>
    <t>ROMERO</t>
  </si>
  <si>
    <t>CHAD</t>
  </si>
  <si>
    <t>132-19</t>
  </si>
  <si>
    <t>139-19</t>
  </si>
  <si>
    <t>BEAM</t>
  </si>
  <si>
    <t>ROSS</t>
  </si>
  <si>
    <t>134-19</t>
  </si>
  <si>
    <t>812-19</t>
  </si>
  <si>
    <t>903-19</t>
  </si>
  <si>
    <t>136-19</t>
  </si>
  <si>
    <t>138-19</t>
  </si>
  <si>
    <t>140-19</t>
  </si>
  <si>
    <t>145-19</t>
  </si>
  <si>
    <t>814-19</t>
  </si>
  <si>
    <t>149-19</t>
  </si>
  <si>
    <t>144-19</t>
  </si>
  <si>
    <t>151-19</t>
  </si>
  <si>
    <t>815-19</t>
  </si>
  <si>
    <t>146-19</t>
  </si>
  <si>
    <t>155-19</t>
  </si>
  <si>
    <t>150-19</t>
  </si>
  <si>
    <t>148-19</t>
  </si>
  <si>
    <t>816-19</t>
  </si>
  <si>
    <t>56-19</t>
  </si>
  <si>
    <t>157-19</t>
  </si>
  <si>
    <t>152-19</t>
  </si>
  <si>
    <t>154-19</t>
  </si>
  <si>
    <t>156-19</t>
  </si>
  <si>
    <t>161-19</t>
  </si>
  <si>
    <t>BRUDER</t>
  </si>
  <si>
    <t>RICHARD</t>
  </si>
  <si>
    <t>163-19</t>
  </si>
  <si>
    <t>MOSES</t>
  </si>
  <si>
    <t>BRADLEY</t>
  </si>
  <si>
    <t>57-19</t>
  </si>
  <si>
    <t>160-19</t>
  </si>
  <si>
    <t>165-19</t>
  </si>
  <si>
    <t>158-19</t>
  </si>
  <si>
    <t>167-19</t>
  </si>
  <si>
    <t>819-19</t>
  </si>
  <si>
    <t>162-19</t>
  </si>
  <si>
    <t>820-19</t>
  </si>
  <si>
    <t>166-19</t>
  </si>
  <si>
    <t>173-19</t>
  </si>
  <si>
    <t>170-19</t>
  </si>
  <si>
    <t>821-19</t>
  </si>
  <si>
    <t>ZEWDU</t>
  </si>
  <si>
    <t>DEREJE</t>
  </si>
  <si>
    <t>175-19</t>
  </si>
  <si>
    <t>177-19</t>
  </si>
  <si>
    <t>179-19</t>
  </si>
  <si>
    <t>172-19</t>
  </si>
  <si>
    <t>822-19</t>
  </si>
  <si>
    <t>174-19</t>
  </si>
  <si>
    <t>181-19</t>
  </si>
  <si>
    <t>176-19</t>
  </si>
  <si>
    <t>183-19</t>
  </si>
  <si>
    <t>823-19</t>
  </si>
  <si>
    <t>178-19</t>
  </si>
  <si>
    <t>180-19</t>
  </si>
  <si>
    <t>187-19</t>
  </si>
  <si>
    <t>824-19</t>
  </si>
  <si>
    <t>189-19</t>
  </si>
  <si>
    <t>184-19</t>
  </si>
  <si>
    <t>191-19</t>
  </si>
  <si>
    <t>825-19</t>
  </si>
  <si>
    <t>188-19</t>
  </si>
  <si>
    <t>186-19</t>
  </si>
  <si>
    <t>193-19</t>
  </si>
  <si>
    <t>904-19</t>
  </si>
  <si>
    <t>826-19</t>
  </si>
  <si>
    <t>190-19</t>
  </si>
  <si>
    <t>192-19</t>
  </si>
  <si>
    <t>197-19</t>
  </si>
  <si>
    <t>828-19</t>
  </si>
  <si>
    <t>194-19</t>
  </si>
  <si>
    <t>829-19</t>
  </si>
  <si>
    <t>201-19</t>
  </si>
  <si>
    <t>75-19</t>
  </si>
  <si>
    <t>NEWELL</t>
  </si>
  <si>
    <t>203-19</t>
  </si>
  <si>
    <t>198-19</t>
  </si>
  <si>
    <t>196-19</t>
  </si>
  <si>
    <t>830-19</t>
  </si>
  <si>
    <t>205-19</t>
  </si>
  <si>
    <t>202-19</t>
  </si>
  <si>
    <t>207-19</t>
  </si>
  <si>
    <t>200-19</t>
  </si>
  <si>
    <t>832-19</t>
  </si>
  <si>
    <t>833-19</t>
  </si>
  <si>
    <t>209-19</t>
  </si>
  <si>
    <t>rtdc.l.rtdc.4060:itc</t>
  </si>
  <si>
    <t>61-19</t>
  </si>
  <si>
    <t>NELSON</t>
  </si>
  <si>
    <t>ARIANE</t>
  </si>
  <si>
    <t>204-19</t>
  </si>
  <si>
    <t>211-19</t>
  </si>
  <si>
    <t>206-19</t>
  </si>
  <si>
    <t>834-19</t>
  </si>
  <si>
    <t>835-19</t>
  </si>
  <si>
    <t>213-19</t>
  </si>
  <si>
    <t>208-19</t>
  </si>
  <si>
    <t>50-19</t>
  </si>
  <si>
    <t>215-19</t>
  </si>
  <si>
    <t>210-19</t>
  </si>
  <si>
    <t>837-19</t>
  </si>
  <si>
    <t>217-19</t>
  </si>
  <si>
    <t>212-19</t>
  </si>
  <si>
    <t>219-19</t>
  </si>
  <si>
    <t>301-19</t>
  </si>
  <si>
    <t>839-19</t>
  </si>
  <si>
    <t>214-19</t>
  </si>
  <si>
    <t>216-19</t>
  </si>
  <si>
    <t>221-19</t>
  </si>
  <si>
    <t>906-19</t>
  </si>
  <si>
    <t>841-19</t>
  </si>
  <si>
    <t>303-19</t>
  </si>
  <si>
    <t>220-19</t>
  </si>
  <si>
    <t>223-19</t>
  </si>
  <si>
    <t>840-19</t>
  </si>
  <si>
    <t>305-19</t>
  </si>
  <si>
    <t>222-19</t>
  </si>
  <si>
    <t>225-19</t>
  </si>
  <si>
    <t>843-19</t>
  </si>
  <si>
    <t>224-19</t>
  </si>
  <si>
    <t>227-19</t>
  </si>
  <si>
    <t>842-19</t>
  </si>
  <si>
    <t>226-19</t>
  </si>
  <si>
    <t>229-19</t>
  </si>
  <si>
    <t>BIRKHOLZ</t>
  </si>
  <si>
    <t>NADINE</t>
  </si>
  <si>
    <t>845-19</t>
  </si>
  <si>
    <t>231-19</t>
  </si>
  <si>
    <t>228-19</t>
  </si>
  <si>
    <t>844-19</t>
  </si>
  <si>
    <t>233-19</t>
  </si>
  <si>
    <t>230-19</t>
  </si>
  <si>
    <t>847-19</t>
  </si>
  <si>
    <t>232-19</t>
  </si>
  <si>
    <t>846-19</t>
  </si>
  <si>
    <t>235-19</t>
  </si>
  <si>
    <t>87-19</t>
  </si>
  <si>
    <t>237-19</t>
  </si>
  <si>
    <t>849-19</t>
  </si>
  <si>
    <t>239-19</t>
  </si>
  <si>
    <t>908-19</t>
  </si>
  <si>
    <t>236-19</t>
  </si>
  <si>
    <t>238-19</t>
  </si>
  <si>
    <t>241-19</t>
  </si>
  <si>
    <t>240-19</t>
  </si>
  <si>
    <t>243-19</t>
  </si>
  <si>
    <t>313-19</t>
  </si>
  <si>
    <t>242-19</t>
  </si>
  <si>
    <t>307-19</t>
  </si>
  <si>
    <t>244-19</t>
  </si>
  <si>
    <t>309-19</t>
  </si>
  <si>
    <t>311-19</t>
  </si>
  <si>
    <t>204:759</t>
  </si>
  <si>
    <t>204:232979</t>
  </si>
  <si>
    <t>204:232989</t>
  </si>
  <si>
    <t>204:233286</t>
  </si>
  <si>
    <t>204:482</t>
  </si>
  <si>
    <t>204:233278</t>
  </si>
  <si>
    <t>204:165</t>
  </si>
  <si>
    <t>204:233320</t>
  </si>
  <si>
    <t>204:233364</t>
  </si>
  <si>
    <t>204:233068</t>
  </si>
  <si>
    <t>204:233288</t>
  </si>
  <si>
    <t>204:70268</t>
  </si>
  <si>
    <t>204:86375</t>
  </si>
  <si>
    <t>204:233347</t>
  </si>
  <si>
    <t>204:429</t>
  </si>
  <si>
    <t>204:233008</t>
  </si>
  <si>
    <t>204:233374</t>
  </si>
  <si>
    <t>204:233077</t>
  </si>
  <si>
    <t>204:233324</t>
  </si>
  <si>
    <t>204:66801</t>
  </si>
  <si>
    <t>204:64147</t>
  </si>
  <si>
    <t>204:233341</t>
  </si>
  <si>
    <t>204:233042</t>
  </si>
  <si>
    <t>204:233010</t>
  </si>
  <si>
    <t>204:233346</t>
  </si>
  <si>
    <t>204:233284</t>
  </si>
  <si>
    <t>204:233323</t>
  </si>
  <si>
    <t>204:64684</t>
  </si>
  <si>
    <t>204:218967</t>
  </si>
  <si>
    <t>204:56949</t>
  </si>
  <si>
    <t>204:232973</t>
  </si>
  <si>
    <t>204:232944</t>
  </si>
  <si>
    <t>204:123</t>
  </si>
  <si>
    <t>204:233372</t>
  </si>
  <si>
    <t>204:233004</t>
  </si>
  <si>
    <t>204:233334</t>
  </si>
  <si>
    <t>204:233028</t>
  </si>
  <si>
    <t>204:125</t>
  </si>
  <si>
    <t>204:427</t>
  </si>
  <si>
    <t>204:233359</t>
  </si>
  <si>
    <t>204:1156</t>
  </si>
  <si>
    <t>204:233353</t>
  </si>
  <si>
    <t>204:137</t>
  </si>
  <si>
    <t>204:233331</t>
  </si>
  <si>
    <t>300:23372</t>
  </si>
  <si>
    <t>300:23299</t>
  </si>
  <si>
    <t>300:23406</t>
  </si>
  <si>
    <t>300:23453</t>
  </si>
  <si>
    <t>300:23295</t>
  </si>
  <si>
    <t>300:22703</t>
  </si>
  <si>
    <t>300:23713</t>
  </si>
  <si>
    <t>300:23306</t>
  </si>
  <si>
    <t>300:23226</t>
  </si>
  <si>
    <t>300:14800</t>
  </si>
  <si>
    <t>204:333</t>
  </si>
  <si>
    <t>300:23346</t>
  </si>
  <si>
    <t>300:22291</t>
  </si>
  <si>
    <t>204:1128</t>
  </si>
  <si>
    <t>300:21871</t>
  </si>
  <si>
    <t>204:943</t>
  </si>
  <si>
    <t>204:1259</t>
  </si>
  <si>
    <t>300:24267</t>
  </si>
  <si>
    <t>204:1148</t>
  </si>
  <si>
    <t>204:3583</t>
  </si>
  <si>
    <t>204:3245</t>
  </si>
  <si>
    <t>204:1177</t>
  </si>
  <si>
    <t>204:1494</t>
  </si>
  <si>
    <t>300:58649</t>
  </si>
  <si>
    <t>204:696</t>
  </si>
  <si>
    <t>300:58952</t>
  </si>
  <si>
    <t>300:58647</t>
  </si>
  <si>
    <t>204:689</t>
  </si>
  <si>
    <t>204:990</t>
  </si>
  <si>
    <t>204:691</t>
  </si>
  <si>
    <t>204:978</t>
  </si>
  <si>
    <t>300:58946</t>
  </si>
  <si>
    <t>300:58632</t>
  </si>
  <si>
    <t>204:972</t>
  </si>
  <si>
    <t>300:58971</t>
  </si>
  <si>
    <t>300:58653</t>
  </si>
  <si>
    <t>300:58976</t>
  </si>
  <si>
    <t>300:58679</t>
  </si>
  <si>
    <t>204:708</t>
  </si>
  <si>
    <t>204:965</t>
  </si>
  <si>
    <t>300:58668</t>
  </si>
  <si>
    <t>300:58967</t>
  </si>
  <si>
    <t>204:748</t>
  </si>
  <si>
    <t>204:1016</t>
  </si>
  <si>
    <t>300:59005</t>
  </si>
  <si>
    <t>204:720</t>
  </si>
  <si>
    <t>300:58643</t>
  </si>
  <si>
    <t>204:740</t>
  </si>
  <si>
    <t>204:1028</t>
  </si>
  <si>
    <t>300:58961</t>
  </si>
  <si>
    <t>300:58662</t>
  </si>
  <si>
    <t>204:764</t>
  </si>
  <si>
    <t>204:1062</t>
  </si>
  <si>
    <t>300:58656</t>
  </si>
  <si>
    <t>204:776</t>
  </si>
  <si>
    <t>204:1025</t>
  </si>
  <si>
    <t>300:58986</t>
  </si>
  <si>
    <t>300:58666</t>
  </si>
  <si>
    <t>204:957</t>
  </si>
  <si>
    <t>204:1023</t>
  </si>
  <si>
    <t>300:58651</t>
  </si>
  <si>
    <t>204:768</t>
  </si>
  <si>
    <t>204:964</t>
  </si>
  <si>
    <t>204:636</t>
  </si>
  <si>
    <t>300:58978</t>
  </si>
  <si>
    <t>204:743</t>
  </si>
  <si>
    <t>204:916</t>
  </si>
  <si>
    <t>300:58655</t>
  </si>
  <si>
    <t>204:727</t>
  </si>
  <si>
    <t>204:1046</t>
  </si>
  <si>
    <t>300:58660</t>
  </si>
  <si>
    <t>204:750</t>
  </si>
  <si>
    <t>204:1020</t>
  </si>
  <si>
    <t>300:58980</t>
  </si>
  <si>
    <t>204:703</t>
  </si>
  <si>
    <t>204:1058</t>
  </si>
  <si>
    <t>300:58941</t>
  </si>
  <si>
    <t>204:4050</t>
  </si>
  <si>
    <t>204:3742</t>
  </si>
  <si>
    <t>300:29889</t>
  </si>
  <si>
    <t>300:23716</t>
  </si>
  <si>
    <t>300:24260</t>
  </si>
  <si>
    <t>300:23665</t>
  </si>
  <si>
    <t>300:28715</t>
  </si>
  <si>
    <t>300:58634</t>
  </si>
  <si>
    <t>300:28761</t>
  </si>
  <si>
    <t>start /low /b %USERPROFILE%\Documents\GitHub\eaglep3\Utilities\DownloadLogsFromS3.py --loco 4028 --day 2017-09-19</t>
  </si>
  <si>
    <t>start /low /b %USERPROFILE%\Documents\GitHub\eaglep3\Utilities\DownloadLogsFromS3.py --loco 4049 --day 2017-09-19</t>
  </si>
  <si>
    <t>start /low /b %USERPROFILE%\Documents\GitHub\eaglep3\Utilities\DownloadLogsFromS3.py --loco 4050 --day 2017-09-19</t>
  </si>
  <si>
    <t>start /low /b %USERPROFILE%\Documents\GitHub\eaglep3\Utilities\DownloadLogsFromS3.py --loco 4055 --day 2017-09-20</t>
  </si>
  <si>
    <t>start /low /b %USERPROFILE%\Documents\GitHub\eaglep3\Utilities\DownloadLogsFromS3.py --loco 4027 --day 2017-09-19</t>
  </si>
  <si>
    <t>start /low /b %USERPROFILE%\Documents\GitHub\eaglep3\Utilities\DownloadLogsFromS3.py --loco 4054 --day 2017-09-19</t>
  </si>
  <si>
    <t>start /low /b %USERPROFILE%\Documents\GitHub\eaglep3\Utilities\DownloadLogsFromS3.py --loco 4055 --day 2017-09-19</t>
  </si>
  <si>
    <t>start /low /b %USERPROFILE%\Documents\GitHub\eaglep3\Utilities\DownloadLogsFromS3.py --loco 4056 --day 2017-09-19</t>
  </si>
  <si>
    <t>start /low /b %USERPROFILE%\Documents\GitHub\eaglep3\Utilities\DownloadLogsFromS3.py --loco 4014 --day 2017-09-19</t>
  </si>
  <si>
    <t>start /low /b %USERPROFILE%\Documents\GitHub\eaglep3\Utilities\DownloadLogsFromS3.py --loco 4053 --day 2017-09-19</t>
  </si>
  <si>
    <t>start /low /b %USERPROFILE%\Documents\GitHub\eaglep3\Utilities\DownloadLogsFromS3.py --loco 4043 --day 2017-09-19</t>
  </si>
  <si>
    <t>start /low /b %USERPROFILE%\Documents\GitHub\eaglep3\Utilities\DownloadLogsFromS3.py --loco 4043 --day 2017-09-20</t>
  </si>
  <si>
    <t>start /low /b %USERPROFILE%\Documents\GitHub\eaglep3\Utilities\DownloadLogsFromS3.py --loco 4006 --day 2017-09-19</t>
  </si>
  <si>
    <t>start /low /b %USERPROFILE%\Documents\GitHub\eaglep3\Utilities\DownloadLogsFromS3.py --loco 4005 --day 2017-09-20</t>
  </si>
  <si>
    <t>start /low /b %USERPROFILE%\Documents\GitHub\eaglep3\Utilities\DownloadLogsFromS3.py --loco 4044 --day 2017-09-19</t>
  </si>
  <si>
    <t>118-19</t>
  </si>
  <si>
    <t>Extended Onboard Wi-MAX outage</t>
  </si>
  <si>
    <t>16:08:40 - 78th 2n dropped from proceed cab to stop while train was 50 ft away, anything unusual in logs or just business as usual?</t>
  </si>
  <si>
    <t>RESTRICTING aspect</t>
  </si>
  <si>
    <t>BIRENBAUM THOMAS</t>
  </si>
  <si>
    <t>Wi-MAX data drop (same set of outages as affected 118-19)</t>
  </si>
  <si>
    <t>Wi-MAX data drop (54076)</t>
  </si>
  <si>
    <t>No switch unknown banners observed (54099)</t>
  </si>
  <si>
    <t>Premature downgrade at 78th 4N</t>
  </si>
  <si>
    <t>Red fence due to mid-block init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</si>
</sst>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07"/>
  <sheetViews>
    <sheetView tabSelected="1" topLeftCell="A58" zoomScaleNormal="100" workbookViewId="0">
      <selection activeCell="R78" sqref="R78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169"/>
      <c r="M1" s="35"/>
      <c r="N1" s="36"/>
      <c r="O1" s="2"/>
      <c r="P1" s="2"/>
      <c r="R1" s="160" t="s">
        <v>104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42997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42997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COUNTIFS($N$13:$N$9350,"&gt;0",$AG$13:$AG$9350,I1)</f>
        <v>140</v>
      </c>
      <c r="K5" s="39"/>
      <c r="L5" s="172"/>
      <c r="M5" s="40">
        <f>AVERAGEIFS($N$13:$N$9350,$AG$13:$AG$9350,I1)</f>
        <v>36.899880952442928</v>
      </c>
      <c r="N5" s="38">
        <f t="array" ref="N5">MIN(IF($AG$13:$AG$9350=I1,IF(ISNUMBER($N$13:$N$9350),IF($N$13:$N$9350&gt;0,$N$13:$N$9350))))</f>
        <v>33.466666663298383</v>
      </c>
      <c r="O5" s="3">
        <f t="array" ref="O5">MAX(IF($AG$13:$AG$9350=I1,IF(ISNUMBER($N$13:$N$9350),IF($N$13:$N$9350&gt;0,$N$13:$N$9350))))</f>
        <v>42.600000004749745</v>
      </c>
      <c r="P5" s="2"/>
      <c r="R5" s="163" t="s">
        <v>17</v>
      </c>
      <c r="S5" s="207">
        <f>COUNTIFS($N$13:$N$9350,"&gt;0",$AG$13:$AG$9350,R1)</f>
        <v>49</v>
      </c>
      <c r="T5" s="172"/>
      <c r="U5" s="195"/>
      <c r="V5" s="211">
        <f>AVERAGEIFS($N$13:$N$9350,$AG$13:$AG$9350,R1)</f>
        <v>16.046258503932279</v>
      </c>
      <c r="W5" s="212">
        <f t="array" ref="W5">MIN(IF($AG$13:$AG$9350=R1,IF(ISNUMBER($N$13:$N$9350),IF($N$13:$N$9350&gt;0,$N$13:$N$9350))))</f>
        <v>12.583333330694586</v>
      </c>
      <c r="X5" s="200">
        <f t="array" ref="X5">MAX(IF($AG$13:$AG$9350=R1,IF(ISNUMBER($N$13:$N$9350),IF($N$13:$N$9350&gt;0,$N$13:$N$9350))))</f>
        <v>22.750000006053597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COUNT($O$13:$O$146)</f>
        <v>0</v>
      </c>
      <c r="K6" s="39"/>
      <c r="L6" s="172"/>
      <c r="M6" s="40">
        <f>IFERROR(AVERAGE($O$13:$O$146),0)</f>
        <v>0</v>
      </c>
      <c r="N6" s="38">
        <f>MIN($O$13:$O$146)</f>
        <v>0</v>
      </c>
      <c r="O6" s="3">
        <f>MAX($O$13:$O$146)</f>
        <v>0</v>
      </c>
      <c r="P6" s="2"/>
      <c r="R6" s="164" t="s">
        <v>43</v>
      </c>
      <c r="S6" s="207">
        <f>COUNT($O$13:$O$146)</f>
        <v>0</v>
      </c>
      <c r="T6" s="172"/>
      <c r="U6" s="195"/>
      <c r="V6" s="211">
        <f>IFERROR(AVERAGE($O$13:$O$146),0)</f>
        <v>0</v>
      </c>
      <c r="W6" s="212">
        <f>MIN($O$13:$O$146)</f>
        <v>0</v>
      </c>
      <c r="X6" s="200">
        <f>MAX($O$13:$O$146)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COUNTIFS($P$13:$P$9350,"&gt;0",$AG$13:$AG$9350,I1)</f>
        <v>4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COUNTIFS($P$13:$P$9350,"&gt;0",$AG$13:$AG$9350,R1)</f>
        <v>0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140</v>
      </c>
      <c r="K8" s="39"/>
      <c r="L8" s="172"/>
      <c r="M8" s="40">
        <f>M5</f>
        <v>36.899880952442928</v>
      </c>
      <c r="N8" s="38">
        <f>N5</f>
        <v>33.466666663298383</v>
      </c>
      <c r="O8" s="3">
        <f>O5</f>
        <v>42.600000004749745</v>
      </c>
      <c r="P8" s="2"/>
      <c r="R8" s="163" t="s">
        <v>16</v>
      </c>
      <c r="S8" s="207">
        <f>S5</f>
        <v>49</v>
      </c>
      <c r="T8" s="172"/>
      <c r="U8" s="195"/>
      <c r="V8" s="211">
        <f>V5</f>
        <v>16.046258503932279</v>
      </c>
      <c r="W8" s="212">
        <f>W5</f>
        <v>12.583333330694586</v>
      </c>
      <c r="X8" s="200">
        <f>X5</f>
        <v>22.750000006053597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0.97222222222222221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5" t="str">
        <f>"Eagle P3 System Performance - "&amp;TEXT(Variables!A2,"yyyy-mm-dd")</f>
        <v>Eagle P3 System Performance - 2017-09-19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S11" s="219">
        <f>AVERAGE(S13:S107)</f>
        <v>0.9883512544802866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94</v>
      </c>
      <c r="AG12" s="177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192</v>
      </c>
      <c r="AN12" s="46" t="s">
        <v>334</v>
      </c>
      <c r="AO12" s="177" t="s">
        <v>534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647</v>
      </c>
      <c r="B13" s="7">
        <v>4050</v>
      </c>
      <c r="C13" s="21" t="s">
        <v>197</v>
      </c>
      <c r="D13" s="21" t="s">
        <v>863</v>
      </c>
      <c r="E13" s="13">
        <v>42997.122453703705</v>
      </c>
      <c r="F13" s="13">
        <v>42997.13559027778</v>
      </c>
      <c r="G13" s="7">
        <v>60</v>
      </c>
      <c r="H13" s="21" t="s">
        <v>573</v>
      </c>
      <c r="I13" s="13">
        <v>42997.159490740742</v>
      </c>
      <c r="J13" s="7">
        <v>0</v>
      </c>
      <c r="K13" s="89" t="str">
        <f t="shared" ref="K13:K76" si="0">IF(ISEVEN(B13),(B13-1)&amp;"/"&amp;B13,B13&amp;"/"&amp;(B13+1))</f>
        <v>4049/4050</v>
      </c>
      <c r="L13" s="185" t="str">
        <f>VLOOKUP(A13,'Trips&amp;Operators'!$C$1:$G$99911,5,FALSE)</f>
        <v>YORK EDGAR</v>
      </c>
      <c r="M13" s="6">
        <f t="shared" ref="M13:M76" si="1">I13-F13</f>
        <v>2.3900462962046731E-2</v>
      </c>
      <c r="N13" s="7">
        <f t="shared" ref="N13:N29" si="2">24*60*SUM($M13:$M13)</f>
        <v>34.416666665347293</v>
      </c>
      <c r="O13" s="7"/>
      <c r="P13" s="7"/>
      <c r="Q13" s="22"/>
      <c r="R13" s="167"/>
      <c r="S13" s="221">
        <f t="shared" ref="S13:S54" si="3">1/IF(AG13="EC",12,1)*SUM(U13:U13)</f>
        <v>1</v>
      </c>
      <c r="T13" s="174" t="str">
        <f t="shared" ref="T13:T76" si="4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-19T01:56:20-0600',mode:absolute,to:'2017-09-19T04:49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" s="204" t="str">
        <f>IF(AA13&lt;VLOOKUP(AG13,Variables!$AC$3:$AD$8,2,FALSE),"Y","N")</f>
        <v>N</v>
      </c>
      <c r="X13" s="204" t="e">
        <f t="shared" ref="X13:X44" si="6">VALUE(LEFT(AD13,4))-VALUE(LEFT(AD12,4))</f>
        <v>#VALUE!</v>
      </c>
      <c r="Y13" s="204">
        <f t="shared" ref="Y13:Y29" si="7">RIGHT(D13,LEN(D13)-4)/10000</f>
        <v>7.5899999999999995E-2</v>
      </c>
      <c r="Z13" s="204">
        <f t="shared" ref="Z13:Z29" si="8">RIGHT(H13,LEN(H13)-4)/10000</f>
        <v>23.329799999999999</v>
      </c>
      <c r="AA13" s="204">
        <f t="shared" ref="AA13:AA76" si="9">ABS(Z13-Y13)</f>
        <v>23.253899999999998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s3://rtdc.mdm.uploadarchive.raw/RTDC4050/ "%USERPROFILE%\AppData\Local\Temp\OnboardLogs"\RTDC4050\2017-09-19 --exclude "*" --recursive --include "*20170919*" &amp; "%USERPROFILE%\Documents\GitHub\mrs-test-scripts\Headless Mode &amp; Sideloading\WalkAndUnGZ.bat" "%USERPROFILE%\AppData\Local\Temp\OnboardLogs"\RTDC4050\2017-09-19 &amp; aws s3 cp s3://rtdc.mdm.uploadarchive.raw/RTDC4050/ "%USERPROFILE%\AppData\Local\Temp\OnboardLogs"\RTDC4050\2017-09-20 --exclude "*" --recursive --include "*20170920*" &amp; "%USERPROFILE%\Documents\GitHub\mrs-test-scripts\Headless Mode &amp; Sideloading\WalkAndUnGZ.bat" "%USERPROFILE%\AppData\Local\Temp\OnboardLogs"\RTDC4050\2017-09-20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/stypes="app*4050*20170919*" /stext=" 09:.+((SYSTEM_STATE.+slice.+state.+changed )|(ment ac)|(multiple cpu faults)|(system.+state.+changed )|(\[timeout)|(PRM\|1\|D)|(kpr)|(kdp)|(train st.+moving)|(\|lc)|(penalty))"</v>
      </c>
      <c r="AG13" s="182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101-19 --locoid 4050 --swversion DE.1.0.9.0 --startMP 204:759 --initTime 2017-09-19T02:56:20 --startdatetime 2017-09-19T03:15:15 --delay 60 --endMP 204:233298 --enddatetime 2017-09-19T03:49:40 --enforcementcount 0 &gt;&gt;C:\Users\stu\Documents\GitHub\eaglep3-reporting\EC\2017-09-19-refined-times.txt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{"issue":{"subject":"","project_id":79,"tracker_id":40,"status_id":1,"priority_id":2,"assigned_to_id":338,"start_date":"2017-09-19","description":"","custom_fields":[{"id":1,"name":"Subdivision","value":"EC"},{"id":4,"name":"Milepost","value":"23.3298"},{"id":17,"name":"Train ID","value":"101-19"},{"id":16,"name":"Locomotive ID","value":"4050"},{"id":130,"name":"Impact","value":""},{"id":150,"name":"Time of Event (Mountain Time)","value":"03:49:40"},{"id":151,"name":"Denver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4050 --day 2017-09-19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09:49:40"},{"id":29,"name":"Sharepoint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Message%5C+ID:(*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-19T01:56:20-0600',mode:absolute,to:'2017-09-19T04:49:40-0600'))&amp;_a=(columns:!('Message%20ID',Summary),filters:!(),index:'emp_*',interval:auto,query:(query_string:(analyze_wildcard:!t,query:'Message%5C+ID:(*)+AND+%22rtdc.l.rtdc.4050%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656</v>
      </c>
      <c r="B14" s="7">
        <v>4049</v>
      </c>
      <c r="C14" s="21" t="s">
        <v>197</v>
      </c>
      <c r="D14" s="21" t="s">
        <v>488</v>
      </c>
      <c r="E14" s="13">
        <v>42997.160254629627</v>
      </c>
      <c r="F14" s="13">
        <v>42997.175185185188</v>
      </c>
      <c r="G14" s="7">
        <v>53</v>
      </c>
      <c r="H14" s="21" t="s">
        <v>429</v>
      </c>
      <c r="I14" s="13">
        <v>42997.20045138889</v>
      </c>
      <c r="J14" s="7">
        <v>0</v>
      </c>
      <c r="K14" s="89" t="str">
        <f t="shared" si="0"/>
        <v>4049/4050</v>
      </c>
      <c r="L14" s="185" t="str">
        <f>VLOOKUP(A14,'Trips&amp;Operators'!$C$1:$G$99911,5,FALSE)</f>
        <v>YORK EDGAR</v>
      </c>
      <c r="M14" s="6">
        <f t="shared" si="1"/>
        <v>2.5266203701903578E-2</v>
      </c>
      <c r="N14" s="7">
        <f t="shared" si="2"/>
        <v>36.383333330741152</v>
      </c>
      <c r="O14" s="7"/>
      <c r="P14" s="7"/>
      <c r="Q14" s="22"/>
      <c r="R14" s="174"/>
      <c r="S14" s="221">
        <f t="shared" si="3"/>
        <v>1</v>
      </c>
      <c r="T14" s="174" t="str">
        <f t="shared" si="4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5"/>
        <v>https://d0f6bd738d7f1b3e5a7ca70fe4ff75f0.us-east-1.aws.found.io/app/kibana#/discover/Steve-Slow-Train-Analysis-(2080s-and-2083s)?_g=(refreshInterval:(display:Off,pause:!f,section:0,value:0),time:(from:'2017-09-19T02:50:46-0600',mode:absolute,to:'2017-09-19T05:48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" s="204" t="str">
        <f>IF(AA14&lt;VLOOKUP(AG14,Variables!$AC$3:$AD$8,2,FALSE),"Y","N")</f>
        <v>N</v>
      </c>
      <c r="X14" s="204">
        <f t="shared" si="6"/>
        <v>1</v>
      </c>
      <c r="Y14" s="204">
        <f t="shared" si="7"/>
        <v>23.298500000000001</v>
      </c>
      <c r="Z14" s="204">
        <f t="shared" si="8"/>
        <v>1.54E-2</v>
      </c>
      <c r="AA14" s="204">
        <f t="shared" si="9"/>
        <v>23.283100000000001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 t="shared" si="10"/>
        <v>102</v>
      </c>
      <c r="AE14" s="77" t="str">
        <f t="shared" si="11"/>
        <v>aws s3 cp s3://rtdc.mdm.uploadarchive.raw/RTDC4049/ "%USERPROFILE%\AppData\Local\Temp\OnboardLogs"\RTDC4049\2017-09-19 --exclude "*" --recursive --include "*20170919*" &amp; "%USERPROFILE%\Documents\GitHub\mrs-test-scripts\Headless Mode &amp; Sideloading\WalkAndUnGZ.bat" "%USERPROFILE%\AppData\Local\Temp\OnboardLogs"\RTDC4049\2017-09-19 &amp; aws s3 cp s3://rtdc.mdm.uploadarchive.raw/RTDC4049/ "%USERPROFILE%\AppData\Local\Temp\OnboardLogs"\RTDC4049\2017-09-20 --exclude "*" --recursive --include "*20170920*" &amp; "%USERPROFILE%\Documents\GitHub\mrs-test-scripts\Headless Mode &amp; Sideloading\WalkAndUnGZ.bat" "%USERPROFILE%\AppData\Local\Temp\OnboardLogs"\RTDC4049\2017-09-20</v>
      </c>
      <c r="AF14" s="74" t="str">
        <f t="shared" si="12"/>
        <v>"C:\Program Files (x86)\AstroGrep\AstroGrep.exe" /e /r /s /spath="%USERPROFILE%\AppData\Local\Temp\OnboardLogs" /stypes="app*4049*20170919*" /stext=" 10:.+((SYSTEM_STATE.+slice.+state.+changed )|(ment ac)|(multiple cpu faults)|(system.+state.+changed )|(\[timeout)|(PRM\|1\|D)|(kpr)|(kdp)|(train st.+moving)|(\|lc)|(penalty))"</v>
      </c>
      <c r="AG14" s="182" t="str">
        <f t="shared" si="13"/>
        <v>EC</v>
      </c>
      <c r="AH14" s="78" t="str">
        <f t="shared" ref="AH14:AH78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102-19 --locoid 4049 --swversion DE.1.0.9.0 --startMP 204:232985 --initTime 2017-09-19T03:50:46 --startdatetime 2017-09-19T04:12:16 --delay 53 --endMP 204:154 --enddatetime 2017-09-19T04:48:39 --enforcementcount 0 &gt;&gt;C:\Users\stu\Documents\GitHub\eaglep3-reporting\EC\2017-09-19-refined-times.txt</v>
      </c>
      <c r="AI14" s="96" t="str">
        <f t="shared" ref="AI14:AI78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{"issue":{"subject":"","project_id":79,"tracker_id":40,"status_id":1,"priority_id":2,"assigned_to_id":338,"start_date":"2017-09-19","description":"","custom_fields":[{"id":1,"name":"Subdivision","value":"EC"},{"id":4,"name":"Milepost","value":"0.0154"},{"id":17,"name":"Train ID","value":"102-19"},{"id":16,"name":"Locomotive ID","value":"4049"},{"id":130,"name":"Impact","value":""},{"id":150,"name":"Time of Event (Mountain Time)","value":"04:48:39"},{"id":151,"name":"Denver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8" si="21">"start /low /b "&amp;dls3logs&amp;" --loco "&amp;B14&amp;" --day "&amp;TEXT(F14,"YYYY-MM-DD")</f>
        <v>start /low /b %USERPROFILE%\Documents\GitHub\eaglep3\Utilities\DownloadLogsFromS3.py --loco 4049 --day 2017-09-19</v>
      </c>
      <c r="AN14" s="151" t="str">
        <f t="shared" ref="AN14:AN78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10:48:39"},{"id":29,"name":"Sharepoint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8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Message%5C+ID:(*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-09-19T02:50:46-0600',mode:absolute,to:'2017-09-19T05:48:39-0600'))&amp;_a=(columns:!('Message%20ID',Summary),filters:!(),index:'emp_*',interval:auto,query:(query_string:(analyze_wildcard:!t,query:'Message%5C+ID:(*)+AND+%22rtdc.l.rtdc.4049%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654</v>
      </c>
      <c r="B15" s="7">
        <v>4028</v>
      </c>
      <c r="C15" s="21" t="s">
        <v>197</v>
      </c>
      <c r="D15" s="21" t="s">
        <v>525</v>
      </c>
      <c r="E15" s="13">
        <v>42997.148495370369</v>
      </c>
      <c r="F15" s="13">
        <v>42997.156782407408</v>
      </c>
      <c r="G15" s="7">
        <v>78</v>
      </c>
      <c r="H15" s="21" t="s">
        <v>559</v>
      </c>
      <c r="I15" s="13">
        <v>42997.18173611111</v>
      </c>
      <c r="J15" s="7">
        <v>0</v>
      </c>
      <c r="K15" s="89" t="str">
        <f t="shared" si="0"/>
        <v>4027/4028</v>
      </c>
      <c r="L15" s="185" t="str">
        <f>VLOOKUP(A15,'Trips&amp;Operators'!$C$1:$G$99911,5,FALSE)</f>
        <v>ACKERMAN JARED</v>
      </c>
      <c r="M15" s="6">
        <f t="shared" si="1"/>
        <v>2.495370370161254E-2</v>
      </c>
      <c r="N15" s="7">
        <f t="shared" si="2"/>
        <v>35.933333330322057</v>
      </c>
      <c r="O15" s="7"/>
      <c r="P15" s="7"/>
      <c r="Q15" s="22"/>
      <c r="R15" s="174"/>
      <c r="S15" s="221">
        <f t="shared" si="3"/>
        <v>1</v>
      </c>
      <c r="T15" s="174" t="str">
        <f t="shared" si="4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5"/>
        <v>https://d0f6bd738d7f1b3e5a7ca70fe4ff75f0.us-east-1.aws.found.io/app/kibana#/discover/Steve-Slow-Train-Analysis-(2080s-and-2083s)?_g=(refreshInterval:(display:Off,pause:!f,section:0,value:0),time:(from:'2017-09-19T02:33:50-0600',mode:absolute,to:'2017-09-19T05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" s="204" t="str">
        <f>IF(AA15&lt;VLOOKUP(AG15,Variables!$AC$3:$AD$8,2,FALSE),"Y","N")</f>
        <v>N</v>
      </c>
      <c r="X15" s="204">
        <f t="shared" si="6"/>
        <v>1</v>
      </c>
      <c r="Y15" s="204">
        <f t="shared" si="7"/>
        <v>4.5699999999999998E-2</v>
      </c>
      <c r="Z15" s="204">
        <f t="shared" si="8"/>
        <v>23.329699999999999</v>
      </c>
      <c r="AA15" s="204">
        <f t="shared" si="9"/>
        <v>23.283999999999999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 t="shared" si="10"/>
        <v>103</v>
      </c>
      <c r="AE15" s="77" t="str">
        <f t="shared" si="11"/>
        <v>aws s3 cp s3://rtdc.mdm.uploadarchive.raw/RTDC4028/ "%USERPROFILE%\AppData\Local\Temp\OnboardLogs"\RTDC4028\2017-09-19 --exclude "*" --recursive --include "*20170919*" &amp; "%USERPROFILE%\Documents\GitHub\mrs-test-scripts\Headless Mode &amp; Sideloading\WalkAndUnGZ.bat" "%USERPROFILE%\AppData\Local\Temp\OnboardLogs"\RTDC4028\2017-09-19 &amp; aws s3 cp s3://rtdc.mdm.uploadarchive.raw/RTDC4028/ "%USERPROFILE%\AppData\Local\Temp\OnboardLogs"\RTDC4028\2017-09-20 --exclude "*" --recursive --include "*20170920*" &amp; "%USERPROFILE%\Documents\GitHub\mrs-test-scripts\Headless Mode &amp; Sideloading\WalkAndUnGZ.bat" "%USERPROFILE%\AppData\Local\Temp\OnboardLogs"\RTDC4028\2017-09-20</v>
      </c>
      <c r="AF15" s="74" t="str">
        <f t="shared" si="12"/>
        <v>"C:\Program Files (x86)\AstroGrep\AstroGrep.exe" /e /r /s /spath="%USERPROFILE%\AppData\Local\Temp\OnboardLogs" /stypes="app*4028*20170919*" /stext=" 10:.+((SYSTEM_STATE.+slice.+state.+changed )|(ment ac)|(multiple cpu faults)|(system.+state.+changed )|(\[timeout)|(PRM\|1\|D)|(kpr)|(kdp)|(train st.+moving)|(\|lc)|(penalty))"</v>
      </c>
      <c r="AG15" s="182" t="str">
        <f t="shared" si="13"/>
        <v>EC</v>
      </c>
      <c r="AH15" s="78" t="str">
        <f t="shared" si="19"/>
        <v>"%USERPROFILE%\Documents\GitHub\eaglep3\Utilities\RefineRTDCRunTimes.py" --tripid 103-19 --locoid 4028 --swversion DE.1.0.9.0 --startMP 204:457 --initTime 2017-09-19T03:33:50 --startdatetime 2017-09-19T03:45:46 --delay 78 --endMP 204:233297 --enddatetime 2017-09-19T04:21:42 --enforcementcount 0 &gt;&gt;C:\Users\stu\Documents\GitHub\eaglep3-reporting\EC\2017-09-19-refined-times.txt</v>
      </c>
      <c r="AI15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{"issue":{"subject":"","project_id":79,"tracker_id":40,"status_id":1,"priority_id":2,"assigned_to_id":338,"start_date":"2017-09-19","description":"","custom_fields":[{"id":1,"name":"Subdivision","value":"EC"},{"id":4,"name":"Milepost","value":"23.3297"},{"id":17,"name":"Train ID","value":"103-19"},{"id":16,"name":"Locomotive ID","value":"4028"},{"id":130,"name":"Impact","value":""},{"id":150,"name":"Time of Event (Mountain Time)","value":"04:21:42"},{"id":151,"name":"Denver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1"/>
        <v>start /low /b %USERPROFILE%\Documents\GitHub\eaglep3\Utilities\DownloadLogsFromS3.py --loco 4028 --day 2017-09-19</v>
      </c>
      <c r="AN15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10:21:42"},{"id":29,"name":"Sharepoint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3"/>
        <v>https://d0f6bd738d7f1b3e5a7ca70fe4ff75f0.us-east-1.aws.found.io/app/kibana#/discover/Steve-Slow-Train-Analysis-(2080s-and-2083s)?_g=(refreshInterval:(display:Off,pause:!f,section:0,value:0),time:(from:'2017-09-19T02:33:50-0600',mode:absolute,to:'2017-09-19T05:21:42-0600'))&amp;_a=(columns:!('Message%20ID',Summary),filters:!(),index:'emp_*',interval:auto,query:(query_string:(analyze_wildcard:!t,query:'Message%5C+ID:(*)+AND+%22rtdc.l.rtdc.4028%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610</v>
      </c>
      <c r="B16" s="7">
        <v>4027</v>
      </c>
      <c r="C16" s="21" t="s">
        <v>197</v>
      </c>
      <c r="D16" s="21" t="s">
        <v>581</v>
      </c>
      <c r="E16" s="13">
        <v>42997.188263888886</v>
      </c>
      <c r="F16" s="13">
        <v>42997.196076388886</v>
      </c>
      <c r="G16" s="7">
        <v>88</v>
      </c>
      <c r="H16" s="21" t="s">
        <v>397</v>
      </c>
      <c r="I16" s="13">
        <v>42997.223275462966</v>
      </c>
      <c r="J16" s="7">
        <v>0</v>
      </c>
      <c r="K16" s="89" t="str">
        <f t="shared" si="0"/>
        <v>4027/4028</v>
      </c>
      <c r="L16" s="185" t="str">
        <f>VLOOKUP(A16,'Trips&amp;Operators'!$C$1:$G$99911,5,FALSE)</f>
        <v>ACKERMAN JARED</v>
      </c>
      <c r="M16" s="6">
        <f t="shared" si="1"/>
        <v>2.7199074080272112E-2</v>
      </c>
      <c r="N16" s="7">
        <f t="shared" si="2"/>
        <v>39.166666675591841</v>
      </c>
      <c r="O16" s="7"/>
      <c r="P16" s="7"/>
      <c r="Q16" s="22"/>
      <c r="R16" s="174"/>
      <c r="S16" s="221">
        <f t="shared" si="3"/>
        <v>1</v>
      </c>
      <c r="T16" s="174" t="str">
        <f t="shared" si="4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5"/>
        <v>https://d0f6bd738d7f1b3e5a7ca70fe4ff75f0.us-east-1.aws.found.io/app/kibana#/discover/Steve-Slow-Train-Analysis-(2080s-and-2083s)?_g=(refreshInterval:(display:Off,pause:!f,section:0,value:0),time:(from:'2017-09-19T03:31:06-0600',mode:absolute,to:'2017-09-19T06:21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" s="204" t="str">
        <f>IF(AA16&lt;VLOOKUP(AG16,Variables!$AC$3:$AD$8,2,FALSE),"Y","N")</f>
        <v>N</v>
      </c>
      <c r="X16" s="204">
        <f t="shared" si="6"/>
        <v>1</v>
      </c>
      <c r="Y16" s="204">
        <f t="shared" si="7"/>
        <v>23.2986</v>
      </c>
      <c r="Z16" s="204">
        <f t="shared" si="8"/>
        <v>1.3899999999999999E-2</v>
      </c>
      <c r="AA16" s="204">
        <f t="shared" si="9"/>
        <v>23.284700000000001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 t="shared" si="10"/>
        <v>104</v>
      </c>
      <c r="AE16" s="77" t="str">
        <f t="shared" si="11"/>
        <v>aws s3 cp s3://rtdc.mdm.uploadarchive.raw/RTDC4027/ "%USERPROFILE%\AppData\Local\Temp\OnboardLogs"\RTDC4027\2017-09-19 --exclude "*" --recursive --include "*20170919*" &amp; "%USERPROFILE%\Documents\GitHub\mrs-test-scripts\Headless Mode &amp; Sideloading\WalkAndUnGZ.bat" "%USERPROFILE%\AppData\Local\Temp\OnboardLogs"\RTDC4027\2017-09-19 &amp; aws s3 cp s3://rtdc.mdm.uploadarchive.raw/RTDC4027/ "%USERPROFILE%\AppData\Local\Temp\OnboardLogs"\RTDC4027\2017-09-20 --exclude "*" --recursive --include "*20170920*" &amp; "%USERPROFILE%\Documents\GitHub\mrs-test-scripts\Headless Mode &amp; Sideloading\WalkAndUnGZ.bat" "%USERPROFILE%\AppData\Local\Temp\OnboardLogs"\RTDC4027\2017-09-20</v>
      </c>
      <c r="AF16" s="74" t="str">
        <f t="shared" si="12"/>
        <v>"C:\Program Files (x86)\AstroGrep\AstroGrep.exe" /e /r /s /spath="%USERPROFILE%\AppData\Local\Temp\OnboardLogs" /stypes="app*4027*20170919*" /stext=" 11:.+((SYSTEM_STATE.+slice.+state.+changed )|(ment ac)|(multiple cpu faults)|(system.+state.+changed )|(\[timeout)|(PRM\|1\|D)|(kpr)|(kdp)|(train st.+moving)|(\|lc)|(penalty))"</v>
      </c>
      <c r="AG16" s="182" t="str">
        <f t="shared" si="13"/>
        <v>EC</v>
      </c>
      <c r="AH16" s="78" t="str">
        <f t="shared" si="19"/>
        <v>"%USERPROFILE%\Documents\GitHub\eaglep3\Utilities\RefineRTDCRunTimes.py" --tripid 104-19 --locoid 4027 --swversion DE.1.0.9.0 --startMP 204:232986 --initTime 2017-09-19T04:31:06 --startdatetime 2017-09-19T04:42:21 --delay 88 --endMP 204:139 --enddatetime 2017-09-19T05:21:31 --enforcementcount 0 &gt;&gt;C:\Users\stu\Documents\GitHub\eaglep3-reporting\EC\2017-09-19-refined-times.txt</v>
      </c>
      <c r="AI16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{"issue":{"subject":"","project_id":79,"tracker_id":40,"status_id":1,"priority_id":2,"assigned_to_id":338,"start_date":"2017-09-19","description":"","custom_fields":[{"id":1,"name":"Subdivision","value":"EC"},{"id":4,"name":"Milepost","value":"0.0139"},{"id":17,"name":"Train ID","value":"104-19"},{"id":16,"name":"Locomotive ID","value":"4027"},{"id":130,"name":"Impact","value":""},{"id":150,"name":"Time of Event (Mountain Time)","value":"05:21:31"},{"id":151,"name":"Denver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1"/>
        <v>start /low /b %USERPROFILE%\Documents\GitHub\eaglep3\Utilities\DownloadLogsFromS3.py --loco 4027 --day 2017-09-19</v>
      </c>
      <c r="AN16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11:21:31"},{"id":29,"name":"Sharepoint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3"/>
        <v>https://d0f6bd738d7f1b3e5a7ca70fe4ff75f0.us-east-1.aws.found.io/app/kibana#/discover/Steve-Slow-Train-Analysis-(2080s-and-2083s)?_g=(refreshInterval:(display:Off,pause:!f,section:0,value:0),time:(from:'2017-09-19T03:31:06-0600',mode:absolute,to:'2017-09-19T06:21:31-0600'))&amp;_a=(columns:!('Message%20ID',Summary),filters:!(),index:'emp_*',interval:auto,query:(query_string:(analyze_wildcard:!t,query:'Message%5C+ID:(*)+AND+%22rtdc.l.rtdc.4027%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608</v>
      </c>
      <c r="B17" s="7">
        <v>4056</v>
      </c>
      <c r="C17" s="21" t="s">
        <v>197</v>
      </c>
      <c r="D17" s="21" t="s">
        <v>438</v>
      </c>
      <c r="E17" s="13">
        <v>42997.172476851854</v>
      </c>
      <c r="F17" s="13">
        <v>42997.177372685182</v>
      </c>
      <c r="G17" s="7">
        <v>70</v>
      </c>
      <c r="H17" s="21" t="s">
        <v>420</v>
      </c>
      <c r="I17" s="13">
        <v>42997.203032407408</v>
      </c>
      <c r="J17" s="7">
        <v>0</v>
      </c>
      <c r="K17" s="89" t="str">
        <f t="shared" si="0"/>
        <v>4055/4056</v>
      </c>
      <c r="L17" s="185" t="str">
        <f>VLOOKUP(A17,'Trips&amp;Operators'!$C$1:$G$99911,5,FALSE)</f>
        <v>THOMPSON LESTER</v>
      </c>
      <c r="M17" s="6">
        <f t="shared" si="1"/>
        <v>2.5659722225100268E-2</v>
      </c>
      <c r="N17" s="7">
        <f t="shared" si="2"/>
        <v>36.950000004144385</v>
      </c>
      <c r="O17" s="7"/>
      <c r="P17" s="7"/>
      <c r="Q17" s="22"/>
      <c r="R17" s="174"/>
      <c r="S17" s="221">
        <f t="shared" si="3"/>
        <v>1</v>
      </c>
      <c r="T17" s="174" t="str">
        <f t="shared" si="4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5"/>
        <v>https://d0f6bd738d7f1b3e5a7ca70fe4ff75f0.us-east-1.aws.found.io/app/kibana#/discover/Steve-Slow-Train-Analysis-(2080s-and-2083s)?_g=(refreshInterval:(display:Off,pause:!f,section:0,value:0),time:(from:'2017-09-19T03:08:22-0600',mode:absolute,to:'2017-09-19T05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" s="204" t="str">
        <f>IF(AA17&lt;VLOOKUP(AG17,Variables!$AC$3:$AD$8,2,FALSE),"Y","N")</f>
        <v>N</v>
      </c>
      <c r="X17" s="204">
        <f t="shared" si="6"/>
        <v>1</v>
      </c>
      <c r="Y17" s="204">
        <f t="shared" si="7"/>
        <v>4.3799999999999999E-2</v>
      </c>
      <c r="Z17" s="204">
        <f t="shared" si="8"/>
        <v>23.328900000000001</v>
      </c>
      <c r="AA17" s="204">
        <f t="shared" si="9"/>
        <v>23.2851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 t="shared" si="10"/>
        <v>105</v>
      </c>
      <c r="AE17" s="77" t="str">
        <f t="shared" si="11"/>
        <v>aws s3 cp s3://rtdc.mdm.uploadarchive.raw/RTDC4056/ "%USERPROFILE%\AppData\Local\Temp\OnboardLogs"\RTDC4056\2017-09-19 --exclude "*" --recursive --include "*20170919*" &amp; "%USERPROFILE%\Documents\GitHub\mrs-test-scripts\Headless Mode &amp; Sideloading\WalkAndUnGZ.bat" "%USERPROFILE%\AppData\Local\Temp\OnboardLogs"\RTDC4056\2017-09-19 &amp; aws s3 cp s3://rtdc.mdm.uploadarchive.raw/RTDC4056/ "%USERPROFILE%\AppData\Local\Temp\OnboardLogs"\RTDC4056\2017-09-20 --exclude "*" --recursive --include "*20170920*" &amp; "%USERPROFILE%\Documents\GitHub\mrs-test-scripts\Headless Mode &amp; Sideloading\WalkAndUnGZ.bat" "%USERPROFILE%\AppData\Local\Temp\OnboardLogs"\RTDC4056\2017-09-20</v>
      </c>
      <c r="AF17" s="74" t="str">
        <f t="shared" si="12"/>
        <v>"C:\Program Files (x86)\AstroGrep\AstroGrep.exe" /e /r /s /spath="%USERPROFILE%\AppData\Local\Temp\OnboardLogs" /stypes="app*4056*20170919*" /stext=" 10:.+((SYSTEM_STATE.+slice.+state.+changed )|(ment ac)|(multiple cpu faults)|(system.+state.+changed )|(\[timeout)|(PRM\|1\|D)|(kpr)|(kdp)|(train st.+moving)|(\|lc)|(penalty))"</v>
      </c>
      <c r="AG17" s="182" t="str">
        <f t="shared" si="13"/>
        <v>EC</v>
      </c>
      <c r="AH17" s="78" t="str">
        <f t="shared" si="19"/>
        <v>"%USERPROFILE%\Documents\GitHub\eaglep3\Utilities\RefineRTDCRunTimes.py" --tripid 105-19 --locoid 4056 --swversion DE.1.0.9.0 --startMP 204:438 --initTime 2017-09-19T04:08:22 --startdatetime 2017-09-19T04:15:25 --delay 70 --endMP 204:233289 --enddatetime 2017-09-19T04:52:22 --enforcementcount 0 &gt;&gt;C:\Users\stu\Documents\GitHub\eaglep3-reporting\EC\2017-09-19-refined-times.txt</v>
      </c>
      <c r="AI17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{"issue":{"subject":"","project_id":79,"tracker_id":40,"status_id":1,"priority_id":2,"assigned_to_id":338,"start_date":"2017-09-19","description":"","custom_fields":[{"id":1,"name":"Subdivision","value":"EC"},{"id":4,"name":"Milepost","value":"23.3289"},{"id":17,"name":"Train ID","value":"105-19"},{"id":16,"name":"Locomotive ID","value":"4056"},{"id":130,"name":"Impact","value":""},{"id":150,"name":"Time of Event (Mountain Time)","value":"04:52:22"},{"id":151,"name":"Denver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1"/>
        <v>start /low /b %USERPROFILE%\Documents\GitHub\eaglep3\Utilities\DownloadLogsFromS3.py --loco 4056 --day 2017-09-19</v>
      </c>
      <c r="AN17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10:52:22"},{"id":29,"name":"Sharepoint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3"/>
        <v>https://d0f6bd738d7f1b3e5a7ca70fe4ff75f0.us-east-1.aws.found.io/app/kibana#/discover/Steve-Slow-Train-Analysis-(2080s-and-2083s)?_g=(refreshInterval:(display:Off,pause:!f,section:0,value:0),time:(from:'2017-09-19T03:08:22-0600',mode:absolute,to:'2017-09-19T05:52:22-0600'))&amp;_a=(columns:!('Message%20ID',Summary),filters:!(),index:'emp_*',interval:auto,query:(query_string:(analyze_wildcard:!t,query:'Message%5C+ID:(*)+AND+%22rtdc.l.rtdc.4056%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668</v>
      </c>
      <c r="B18" s="7">
        <v>4055</v>
      </c>
      <c r="C18" s="21" t="s">
        <v>197</v>
      </c>
      <c r="D18" s="21" t="s">
        <v>430</v>
      </c>
      <c r="E18" s="13">
        <v>42997.214849537035</v>
      </c>
      <c r="F18" s="13">
        <v>42997.216979166667</v>
      </c>
      <c r="G18" s="7">
        <v>79</v>
      </c>
      <c r="H18" s="21" t="s">
        <v>343</v>
      </c>
      <c r="I18" s="13">
        <v>42997.244074074071</v>
      </c>
      <c r="J18" s="7">
        <v>0</v>
      </c>
      <c r="K18" s="89" t="str">
        <f t="shared" si="0"/>
        <v>4055/4056</v>
      </c>
      <c r="L18" s="185" t="str">
        <f>VLOOKUP(A18,'Trips&amp;Operators'!$C$1:$G$99911,5,FALSE)</f>
        <v>THOMPSON LESTER</v>
      </c>
      <c r="M18" s="6">
        <f t="shared" si="1"/>
        <v>2.7094907403807156E-2</v>
      </c>
      <c r="N18" s="7">
        <f t="shared" si="2"/>
        <v>39.016666661482304</v>
      </c>
      <c r="O18" s="7"/>
      <c r="P18" s="7"/>
      <c r="Q18" s="22"/>
      <c r="R18" s="174"/>
      <c r="S18" s="221">
        <f t="shared" si="3"/>
        <v>1</v>
      </c>
      <c r="T18" s="174" t="str">
        <f t="shared" si="4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5"/>
        <v>https://d0f6bd738d7f1b3e5a7ca70fe4ff75f0.us-east-1.aws.found.io/app/kibana#/discover/Steve-Slow-Train-Analysis-(2080s-and-2083s)?_g=(refreshInterval:(display:Off,pause:!f,section:0,value:0),time:(from:'2017-09-19T04:09:23-0600',mode:absolute,to:'2017-09-19T06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" s="204" t="str">
        <f>IF(AA18&lt;VLOOKUP(AG18,Variables!$AC$3:$AD$8,2,FALSE),"Y","N")</f>
        <v>N</v>
      </c>
      <c r="X18" s="204">
        <f t="shared" si="6"/>
        <v>1</v>
      </c>
      <c r="Y18" s="204">
        <f t="shared" si="7"/>
        <v>23.298100000000002</v>
      </c>
      <c r="Z18" s="204">
        <f t="shared" si="8"/>
        <v>1.47E-2</v>
      </c>
      <c r="AA18" s="204">
        <f t="shared" si="9"/>
        <v>23.2834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 t="shared" si="10"/>
        <v>106</v>
      </c>
      <c r="AE18" s="77" t="str">
        <f t="shared" si="11"/>
        <v>aws s3 cp s3://rtdc.mdm.uploadarchive.raw/RTDC4055/ "%USERPROFILE%\AppData\Local\Temp\OnboardLogs"\RTDC4055\2017-09-19 --exclude "*" --recursive --include "*20170919*" &amp; "%USERPROFILE%\Documents\GitHub\mrs-test-scripts\Headless Mode &amp; Sideloading\WalkAndUnGZ.bat" "%USERPROFILE%\AppData\Local\Temp\OnboardLogs"\RTDC4055\2017-09-19 &amp; aws s3 cp s3://rtdc.mdm.uploadarchive.raw/RTDC4055/ "%USERPROFILE%\AppData\Local\Temp\OnboardLogs"\RTDC4055\2017-09-20 --exclude "*" --recursive --include "*20170920*" &amp; "%USERPROFILE%\Documents\GitHub\mrs-test-scripts\Headless Mode &amp; Sideloading\WalkAndUnGZ.bat" "%USERPROFILE%\AppData\Local\Temp\OnboardLogs"\RTDC4055\2017-09-20</v>
      </c>
      <c r="AF18" s="74" t="str">
        <f t="shared" si="12"/>
        <v>"C:\Program Files (x86)\AstroGrep\AstroGrep.exe" /e /r /s /spath="%USERPROFILE%\AppData\Local\Temp\OnboardLogs" /stypes="app*4055*20170919*" /stext=" 11:.+((SYSTEM_STATE.+slice.+state.+changed )|(ment ac)|(multiple cpu faults)|(system.+state.+changed )|(\[timeout)|(PRM\|1\|D)|(kpr)|(kdp)|(train st.+moving)|(\|lc)|(penalty))"</v>
      </c>
      <c r="AG18" s="182" t="str">
        <f t="shared" si="13"/>
        <v>EC</v>
      </c>
      <c r="AH18" s="78" t="str">
        <f t="shared" si="19"/>
        <v>"%USERPROFILE%\Documents\GitHub\eaglep3\Utilities\RefineRTDCRunTimes.py" --tripid 106-19 --locoid 4055 --swversion DE.1.0.9.0 --startMP 204:232981 --initTime 2017-09-19T05:09:23 --startdatetime 2017-09-19T05:12:27 --delay 79 --endMP 204:147 --enddatetime 2017-09-19T05:51:28 --enforcementcount 0 &gt;&gt;C:\Users\stu\Documents\GitHub\eaglep3-reporting\EC\2017-09-19-refined-times.txt</v>
      </c>
      <c r="AI18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{"issue":{"subject":"","project_id":79,"tracker_id":40,"status_id":1,"priority_id":2,"assigned_to_id":338,"start_date":"2017-09-19","description":"","custom_fields":[{"id":1,"name":"Subdivision","value":"EC"},{"id":4,"name":"Milepost","value":"0.0147"},{"id":17,"name":"Train ID","value":"106-19"},{"id":16,"name":"Locomotive ID","value":"4055"},{"id":130,"name":"Impact","value":""},{"id":150,"name":"Time of Event (Mountain Time)","value":"05:51:28"},{"id":151,"name":"Denver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1"/>
        <v>start /low /b %USERPROFILE%\Documents\GitHub\eaglep3\Utilities\DownloadLogsFromS3.py --loco 4055 --day 2017-09-19</v>
      </c>
      <c r="AN18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11:51:28"},{"id":29,"name":"Sharepoint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3"/>
        <v>https://d0f6bd738d7f1b3e5a7ca70fe4ff75f0.us-east-1.aws.found.io/app/kibana#/discover/Steve-Slow-Train-Analysis-(2080s-and-2083s)?_g=(refreshInterval:(display:Off,pause:!f,section:0,value:0),time:(from:'2017-09-19T04:09:23-0600',mode:absolute,to:'2017-09-19T06:51:28-0600'))&amp;_a=(columns:!('Message%20ID',Summary),filters:!(),index:'emp_*',interval:auto,query:(query_string:(analyze_wildcard:!t,query:'Message%5C+ID:(*)+AND+%22rtdc.l.rtdc.4055%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658</v>
      </c>
      <c r="B19" s="7">
        <v>4030</v>
      </c>
      <c r="C19" s="21" t="s">
        <v>197</v>
      </c>
      <c r="D19" s="21" t="s">
        <v>341</v>
      </c>
      <c r="E19" s="13">
        <v>42997.178946759261</v>
      </c>
      <c r="F19" s="13">
        <v>42997.187743055554</v>
      </c>
      <c r="G19" s="7">
        <v>90</v>
      </c>
      <c r="H19" s="21" t="s">
        <v>521</v>
      </c>
      <c r="I19" s="13">
        <v>42997.211134259262</v>
      </c>
      <c r="J19" s="7">
        <v>0</v>
      </c>
      <c r="K19" s="89" t="str">
        <f t="shared" si="0"/>
        <v>4029/4030</v>
      </c>
      <c r="L19" s="185" t="str">
        <f>VLOOKUP(A19,'Trips&amp;Operators'!$C$1:$G$99911,5,FALSE)</f>
        <v>LALONDE GREGORY</v>
      </c>
      <c r="M19" s="6">
        <f t="shared" si="1"/>
        <v>2.3391203707433306E-2</v>
      </c>
      <c r="N19" s="7">
        <f t="shared" si="2"/>
        <v>33.68333333870396</v>
      </c>
      <c r="O19" s="7"/>
      <c r="P19" s="7"/>
      <c r="Q19" s="22"/>
      <c r="R19" s="174"/>
      <c r="S19" s="221">
        <f t="shared" si="3"/>
        <v>1</v>
      </c>
      <c r="T19" s="174" t="str">
        <f t="shared" si="4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5"/>
        <v>https://d0f6bd738d7f1b3e5a7ca70fe4ff75f0.us-east-1.aws.found.io/app/kibana#/discover/Steve-Slow-Train-Analysis-(2080s-and-2083s)?_g=(refreshInterval:(display:Off,pause:!f,section:0,value:0),time:(from:'2017-09-19T03:17:41-0600',mode:absolute,to:'2017-09-19T06:04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" s="204" t="str">
        <f>IF(AA19&lt;VLOOKUP(AG19,Variables!$AC$3:$AD$8,2,FALSE),"Y","N")</f>
        <v>N</v>
      </c>
      <c r="X19" s="204">
        <f t="shared" si="6"/>
        <v>1</v>
      </c>
      <c r="Y19" s="204">
        <f t="shared" si="7"/>
        <v>4.53E-2</v>
      </c>
      <c r="Z19" s="204">
        <f t="shared" si="8"/>
        <v>23.332999999999998</v>
      </c>
      <c r="AA19" s="204">
        <f t="shared" si="9"/>
        <v>23.287699999999997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 t="shared" si="10"/>
        <v>107</v>
      </c>
      <c r="AE19" s="77" t="str">
        <f t="shared" si="11"/>
        <v>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 &amp; aws s3 cp s3://rtdc.mdm.uploadarchive.raw/RTDC4030/ "%USERPROFILE%\AppData\Local\Temp\OnboardLogs"\RTDC4030\2017-09-20 --exclude "*" --recursive --include "*20170920*" &amp; "%USERPROFILE%\Documents\GitHub\mrs-test-scripts\Headless Mode &amp; Sideloading\WalkAndUnGZ.bat" "%USERPROFILE%\AppData\Local\Temp\OnboardLogs"\RTDC4030\2017-09-20</v>
      </c>
      <c r="AF19" s="74" t="str">
        <f t="shared" si="12"/>
        <v>"C:\Program Files (x86)\AstroGrep\AstroGrep.exe" /e /r /s /spath="%USERPROFILE%\AppData\Local\Temp\OnboardLogs" /stypes="app*4030*20170919*" /stext=" 11:.+((SYSTEM_STATE.+slice.+state.+changed )|(ment ac)|(multiple cpu faults)|(system.+state.+changed )|(\[timeout)|(PRM\|1\|D)|(kpr)|(kdp)|(train st.+moving)|(\|lc)|(penalty))"</v>
      </c>
      <c r="AG19" s="182" t="str">
        <f t="shared" si="13"/>
        <v>EC</v>
      </c>
      <c r="AH19" s="78" t="str">
        <f t="shared" si="19"/>
        <v>"%USERPROFILE%\Documents\GitHub\eaglep3\Utilities\RefineRTDCRunTimes.py" --tripid 107-19 --locoid 4030 --swversion DE.1.0.9.0 --startMP 204:453 --initTime 2017-09-19T04:17:41 --startdatetime 2017-09-19T04:30:21 --delay 90 --endMP 204:233330 --enddatetime 2017-09-19T05:04:02 --enforcementcount 0 &gt;&gt;C:\Users\stu\Documents\GitHub\eaglep3-reporting\EC\2017-09-19-refined-times.txt</v>
      </c>
      <c r="AI19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{"issue":{"subject":"","project_id":79,"tracker_id":40,"status_id":1,"priority_id":2,"assigned_to_id":338,"start_date":"2017-09-19","description":"","custom_fields":[{"id":1,"name":"Subdivision","value":"EC"},{"id":4,"name":"Milepost","value":"23.333"},{"id":17,"name":"Train ID","value":"107-19"},{"id":16,"name":"Locomotive ID","value":"4030"},{"id":130,"name":"Impact","value":""},{"id":150,"name":"Time of Event (Mountain Time)","value":"05:04:02"},{"id":151,"name":"Denver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1"/>
        <v>start /low /b %USERPROFILE%\Documents\GitHub\eaglep3\Utilities\DownloadLogsFromS3.py --loco 4030 --day 2017-09-19</v>
      </c>
      <c r="AN19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11:04:02"},{"id":29,"name":"Sharepoint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3"/>
        <v>https://d0f6bd738d7f1b3e5a7ca70fe4ff75f0.us-east-1.aws.found.io/app/kibana#/discover/Steve-Slow-Train-Analysis-(2080s-and-2083s)?_g=(refreshInterval:(display:Off,pause:!f,section:0,value:0),time:(from:'2017-09-19T03:17:41-0600',mode:absolute,to:'2017-09-19T06:04:02-0600'))&amp;_a=(columns:!('Message%20ID',Summary),filters:!(),index:'emp_*',interval:auto,query:(query_string:(analyze_wildcard:!t,query:'Message%5C+ID:(*)+AND+%22rtdc.l.rtdc.4030%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667</v>
      </c>
      <c r="B20" s="7">
        <v>4029</v>
      </c>
      <c r="C20" s="21" t="s">
        <v>197</v>
      </c>
      <c r="D20" s="21" t="s">
        <v>563</v>
      </c>
      <c r="E20" s="13">
        <v>42997.213645833333</v>
      </c>
      <c r="F20" s="13">
        <v>42997.227337962962</v>
      </c>
      <c r="G20" s="7">
        <v>43</v>
      </c>
      <c r="H20" s="21" t="s">
        <v>429</v>
      </c>
      <c r="I20" s="13">
        <v>42997.252199074072</v>
      </c>
      <c r="J20" s="7">
        <v>0</v>
      </c>
      <c r="K20" s="89" t="str">
        <f t="shared" si="0"/>
        <v>4029/4030</v>
      </c>
      <c r="L20" s="185" t="str">
        <f>VLOOKUP(A20,'Trips&amp;Operators'!$C$1:$G$99911,5,FALSE)</f>
        <v>LALONDE GREGORY</v>
      </c>
      <c r="M20" s="6">
        <f t="shared" si="1"/>
        <v>2.4861111109203193E-2</v>
      </c>
      <c r="N20" s="7">
        <f t="shared" si="2"/>
        <v>35.799999997252598</v>
      </c>
      <c r="O20" s="7"/>
      <c r="P20" s="7"/>
      <c r="Q20" s="22"/>
      <c r="R20" s="174"/>
      <c r="S20" s="221">
        <f t="shared" si="3"/>
        <v>1</v>
      </c>
      <c r="T20" s="174" t="str">
        <f t="shared" si="4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5"/>
        <v>https://d0f6bd738d7f1b3e5a7ca70fe4ff75f0.us-east-1.aws.found.io/app/kibana#/discover/Steve-Slow-Train-Analysis-(2080s-and-2083s)?_g=(refreshInterval:(display:Off,pause:!f,section:0,value:0),time:(from:'2017-09-19T04:07:39-0600',mode:absolute,to:'2017-09-19T07:03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" s="204" t="str">
        <f>IF(AA20&lt;VLOOKUP(AG20,Variables!$AC$3:$AD$8,2,FALSE),"Y","N")</f>
        <v>N</v>
      </c>
      <c r="X20" s="204">
        <f t="shared" si="6"/>
        <v>1</v>
      </c>
      <c r="Y20" s="204">
        <f t="shared" si="7"/>
        <v>23.3005</v>
      </c>
      <c r="Z20" s="204">
        <f t="shared" si="8"/>
        <v>1.54E-2</v>
      </c>
      <c r="AA20" s="204">
        <f t="shared" si="9"/>
        <v>23.2851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 t="shared" si="10"/>
        <v>108</v>
      </c>
      <c r="AE20" s="77" t="str">
        <f t="shared" si="11"/>
        <v>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 &amp; aws s3 cp s3://rtdc.mdm.uploadarchive.raw/RTDC4029/ "%USERPROFILE%\AppData\Local\Temp\OnboardLogs"\RTDC4029\2017-09-20 --exclude "*" --recursive --include "*20170920*" &amp; "%USERPROFILE%\Documents\GitHub\mrs-test-scripts\Headless Mode &amp; Sideloading\WalkAndUnGZ.bat" "%USERPROFILE%\AppData\Local\Temp\OnboardLogs"\RTDC4029\2017-09-20</v>
      </c>
      <c r="AF20" s="74" t="str">
        <f t="shared" si="12"/>
        <v>"C:\Program Files (x86)\AstroGrep\AstroGrep.exe" /e /r /s /spath="%USERPROFILE%\AppData\Local\Temp\OnboardLogs" /stypes="app*4029*20170919*" /stext=" 12:.+((SYSTEM_STATE.+slice.+state.+changed )|(ment ac)|(multiple cpu faults)|(system.+state.+changed )|(\[timeout)|(PRM\|1\|D)|(kpr)|(kdp)|(train st.+moving)|(\|lc)|(penalty))"</v>
      </c>
      <c r="AG20" s="182" t="str">
        <f t="shared" si="13"/>
        <v>EC</v>
      </c>
      <c r="AH20" s="78" t="str">
        <f t="shared" si="19"/>
        <v>"%USERPROFILE%\Documents\GitHub\eaglep3\Utilities\RefineRTDCRunTimes.py" --tripid 108-19 --locoid 4029 --swversion DE.1.0.9.0 --startMP 204:233005 --initTime 2017-09-19T05:07:39 --startdatetime 2017-09-19T05:27:22 --delay 43 --endMP 204:154 --enddatetime 2017-09-19T06:03:10 --enforcementcount 0 &gt;&gt;C:\Users\stu\Documents\GitHub\eaglep3-reporting\EC\2017-09-19-refined-times.txt</v>
      </c>
      <c r="AI20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{"issue":{"subject":"","project_id":79,"tracker_id":40,"status_id":1,"priority_id":2,"assigned_to_id":338,"start_date":"2017-09-19","description":"","custom_fields":[{"id":1,"name":"Subdivision","value":"EC"},{"id":4,"name":"Milepost","value":"0.0154"},{"id":17,"name":"Train ID","value":"108-19"},{"id":16,"name":"Locomotive ID","value":"4029"},{"id":130,"name":"Impact","value":""},{"id":150,"name":"Time of Event (Mountain Time)","value":"06:03:10"},{"id":151,"name":"Denver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1"/>
        <v>start /low /b %USERPROFILE%\Documents\GitHub\eaglep3\Utilities\DownloadLogsFromS3.py --loco 4029 --day 2017-09-19</v>
      </c>
      <c r="AN20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12:03:10"},{"id":29,"name":"Sharepoint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3"/>
        <v>https://d0f6bd738d7f1b3e5a7ca70fe4ff75f0.us-east-1.aws.found.io/app/kibana#/discover/Steve-Slow-Train-Analysis-(2080s-and-2083s)?_g=(refreshInterval:(display:Off,pause:!f,section:0,value:0),time:(from:'2017-09-19T04:07:39-0600',mode:absolute,to:'2017-09-19T07:03:10-0600'))&amp;_a=(columns:!('Message%20ID',Summary),filters:!(),index:'emp_*',interval:auto,query:(query_string:(analyze_wildcard:!t,query:'Message%5C+ID:(*)+AND+%22rtdc.l.rtdc.4029%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660</v>
      </c>
      <c r="B21" s="7">
        <v>4016</v>
      </c>
      <c r="C21" s="21" t="s">
        <v>197</v>
      </c>
      <c r="D21" s="21" t="s">
        <v>376</v>
      </c>
      <c r="E21" s="13">
        <v>42997.193564814814</v>
      </c>
      <c r="F21" s="13">
        <v>42997.198078703703</v>
      </c>
      <c r="G21" s="7">
        <v>66</v>
      </c>
      <c r="H21" s="21" t="s">
        <v>566</v>
      </c>
      <c r="I21" s="13">
        <v>42997.22284722222</v>
      </c>
      <c r="J21" s="7">
        <v>0</v>
      </c>
      <c r="K21" s="89" t="str">
        <f t="shared" si="0"/>
        <v>4015/4016</v>
      </c>
      <c r="L21" s="185" t="str">
        <f>VLOOKUP(A21,'Trips&amp;Operators'!$C$1:$G$99911,5,FALSE)</f>
        <v>LAMAR NEKESHA</v>
      </c>
      <c r="M21" s="6">
        <f t="shared" si="1"/>
        <v>2.4768518516793847E-2</v>
      </c>
      <c r="N21" s="7">
        <f t="shared" si="2"/>
        <v>35.66666666418314</v>
      </c>
      <c r="O21" s="7"/>
      <c r="P21" s="7"/>
      <c r="Q21" s="22"/>
      <c r="R21" s="174"/>
      <c r="S21" s="221">
        <f t="shared" si="3"/>
        <v>1</v>
      </c>
      <c r="T21" s="174" t="str">
        <f t="shared" si="4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5"/>
        <v>https://d0f6bd738d7f1b3e5a7ca70fe4ff75f0.us-east-1.aws.found.io/app/kibana#/discover/Steve-Slow-Train-Analysis-(2080s-and-2083s)?_g=(refreshInterval:(display:Off,pause:!f,section:0,value:0),time:(from:'2017-09-19T03:38:44-0600',mode:absolute,to:'2017-09-19T06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" s="204" t="str">
        <f>IF(AA21&lt;VLOOKUP(AG21,Variables!$AC$3:$AD$8,2,FALSE),"Y","N")</f>
        <v>N</v>
      </c>
      <c r="X21" s="204">
        <f t="shared" si="6"/>
        <v>1</v>
      </c>
      <c r="Y21" s="204">
        <f t="shared" si="7"/>
        <v>4.6899999999999997E-2</v>
      </c>
      <c r="Z21" s="204">
        <f t="shared" si="8"/>
        <v>23.329499999999999</v>
      </c>
      <c r="AA21" s="204">
        <f t="shared" si="9"/>
        <v>23.282599999999999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 t="shared" si="10"/>
        <v>109</v>
      </c>
      <c r="AE21" s="77" t="str">
        <f t="shared" si="11"/>
        <v>aws s3 cp s3://rtdc.mdm.uploadarchive.raw/RTDC4016/ "%USERPROFILE%\AppData\Local\Temp\OnboardLogs"\RTDC4016\2017-09-19 --exclude "*" --recursive --include "*20170919*" &amp; "%USERPROFILE%\Documents\GitHub\mrs-test-scripts\Headless Mode &amp; Sideloading\WalkAndUnGZ.bat" "%USERPROFILE%\AppData\Local\Temp\OnboardLogs"\RTDC4016\2017-09-19 &amp; 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</v>
      </c>
      <c r="AF21" s="74" t="str">
        <f t="shared" si="12"/>
        <v>"C:\Program Files (x86)\AstroGrep\AstroGrep.exe" /e /r /s /spath="%USERPROFILE%\AppData\Local\Temp\OnboardLogs" /stypes="app*4016*20170919*" /stext=" 11:.+((SYSTEM_STATE.+slice.+state.+changed )|(ment ac)|(multiple cpu faults)|(system.+state.+changed )|(\[timeout)|(PRM\|1\|D)|(kpr)|(kdp)|(train st.+moving)|(\|lc)|(penalty))"</v>
      </c>
      <c r="AG21" s="182" t="str">
        <f t="shared" si="13"/>
        <v>EC</v>
      </c>
      <c r="AH21" s="78" t="str">
        <f t="shared" si="19"/>
        <v>"%USERPROFILE%\Documents\GitHub\eaglep3\Utilities\RefineRTDCRunTimes.py" --tripid 109-19 --locoid 4016 --swversion DE.1.0.9.0 --startMP 204:469 --initTime 2017-09-19T04:38:44 --startdatetime 2017-09-19T04:45:14 --delay 66 --endMP 204:233295 --enddatetime 2017-09-19T05:20:54 --enforcementcount 0 &gt;&gt;C:\Users\stu\Documents\GitHub\eaglep3-reporting\EC\2017-09-19-refined-times.txt</v>
      </c>
      <c r="AI21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{"issue":{"subject":"","project_id":79,"tracker_id":40,"status_id":1,"priority_id":2,"assigned_to_id":338,"start_date":"2017-09-19","description":"","custom_fields":[{"id":1,"name":"Subdivision","value":"EC"},{"id":4,"name":"Milepost","value":"23.3295"},{"id":17,"name":"Train ID","value":"109-19"},{"id":16,"name":"Locomotive ID","value":"4016"},{"id":130,"name":"Impact","value":""},{"id":150,"name":"Time of Event (Mountain Time)","value":"05:20:54"},{"id":151,"name":"Denver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1"/>
        <v>start /low /b %USERPROFILE%\Documents\GitHub\eaglep3\Utilities\DownloadLogsFromS3.py --loco 4016 --day 2017-09-19</v>
      </c>
      <c r="AN21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11:20:54"},{"id":29,"name":"Sharepoint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3"/>
        <v>https://d0f6bd738d7f1b3e5a7ca70fe4ff75f0.us-east-1.aws.found.io/app/kibana#/discover/Steve-Slow-Train-Analysis-(2080s-and-2083s)?_g=(refreshInterval:(display:Off,pause:!f,section:0,value:0),time:(from:'2017-09-19T03:38:44-0600',mode:absolute,to:'2017-09-19T06:20:54-0600'))&amp;_a=(columns:!('Message%20ID',Summary),filters:!(),index:'emp_*',interval:auto,query:(query_string:(analyze_wildcard:!t,query:'Message%5C+ID:(*)+AND+%22rtdc.l.rtdc.4016%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673</v>
      </c>
      <c r="B22" s="7">
        <v>4015</v>
      </c>
      <c r="C22" s="21" t="s">
        <v>197</v>
      </c>
      <c r="D22" s="21" t="s">
        <v>864</v>
      </c>
      <c r="E22" s="13">
        <v>42997.2346412037</v>
      </c>
      <c r="F22" s="13">
        <v>42997.237650462965</v>
      </c>
      <c r="G22" s="7">
        <v>61</v>
      </c>
      <c r="H22" s="21" t="s">
        <v>343</v>
      </c>
      <c r="I22" s="13">
        <v>42997.263819444444</v>
      </c>
      <c r="J22" s="7">
        <v>0</v>
      </c>
      <c r="K22" s="89" t="str">
        <f t="shared" si="0"/>
        <v>4015/4016</v>
      </c>
      <c r="L22" s="185" t="str">
        <f>VLOOKUP(A22,'Trips&amp;Operators'!$C$1:$G$99911,5,FALSE)</f>
        <v>LAMAR NEKESHA</v>
      </c>
      <c r="M22" s="6">
        <f t="shared" si="1"/>
        <v>2.6168981479713693E-2</v>
      </c>
      <c r="N22" s="7">
        <f t="shared" si="2"/>
        <v>37.683333330787718</v>
      </c>
      <c r="O22" s="7"/>
      <c r="P22" s="7"/>
      <c r="Q22" s="22"/>
      <c r="R22" s="174"/>
      <c r="S22" s="221">
        <f t="shared" si="3"/>
        <v>1</v>
      </c>
      <c r="T22" s="174" t="str">
        <f t="shared" si="4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5"/>
        <v>https://d0f6bd738d7f1b3e5a7ca70fe4ff75f0.us-east-1.aws.found.io/app/kibana#/discover/Steve-Slow-Train-Analysis-(2080s-and-2083s)?_g=(refreshInterval:(display:Off,pause:!f,section:0,value:0),time:(from:'2017-09-19T04:37:53-0600',mode:absolute,to:'2017-09-19T07:19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" s="204" t="str">
        <f>IF(AA22&lt;VLOOKUP(AG22,Variables!$AC$3:$AD$8,2,FALSE),"Y","N")</f>
        <v>N</v>
      </c>
      <c r="X22" s="204">
        <f t="shared" si="6"/>
        <v>1</v>
      </c>
      <c r="Y22" s="204">
        <f t="shared" si="7"/>
        <v>23.297899999999998</v>
      </c>
      <c r="Z22" s="204">
        <f t="shared" si="8"/>
        <v>1.47E-2</v>
      </c>
      <c r="AA22" s="204">
        <f t="shared" si="9"/>
        <v>23.283199999999997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 t="shared" si="10"/>
        <v>110</v>
      </c>
      <c r="AE22" s="77" t="str">
        <f t="shared" si="11"/>
        <v>aws s3 cp s3://rtdc.mdm.uploadarchive.raw/RTDC4015/ "%USERPROFILE%\AppData\Local\Temp\OnboardLogs"\RTDC4015\2017-09-19 --exclude "*" --recursive --include "*20170919*" &amp; "%USERPROFILE%\Documents\GitHub\mrs-test-scripts\Headless Mode &amp; Sideloading\WalkAndUnGZ.bat" "%USERPROFILE%\AppData\Local\Temp\OnboardLogs"\RTDC4015\2017-09-19 &amp; 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</v>
      </c>
      <c r="AF22" s="74" t="str">
        <f t="shared" si="12"/>
        <v>"C:\Program Files (x86)\AstroGrep\AstroGrep.exe" /e /r /s /spath="%USERPROFILE%\AppData\Local\Temp\OnboardLogs" /stypes="app*4015*20170919*" /stext=" 12:.+((SYSTEM_STATE.+slice.+state.+changed )|(ment ac)|(multiple cpu faults)|(system.+state.+changed )|(\[timeout)|(PRM\|1\|D)|(kpr)|(kdp)|(train st.+moving)|(\|lc)|(penalty))"</v>
      </c>
      <c r="AG22" s="182" t="str">
        <f t="shared" si="13"/>
        <v>EC</v>
      </c>
      <c r="AH22" s="78" t="str">
        <f t="shared" si="19"/>
        <v>"%USERPROFILE%\Documents\GitHub\eaglep3\Utilities\RefineRTDCRunTimes.py" --tripid 110-19 --locoid 4015 --swversion DE.1.0.9.0 --startMP 204:232979 --initTime 2017-09-19T05:37:53 --startdatetime 2017-09-19T05:42:13 --delay 61 --endMP 204:147 --enddatetime 2017-09-19T06:19:54 --enforcementcount 0 &gt;&gt;C:\Users\stu\Documents\GitHub\eaglep3-reporting\EC\2017-09-19-refined-times.txt</v>
      </c>
      <c r="AI22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{"issue":{"subject":"","project_id":79,"tracker_id":40,"status_id":1,"priority_id":2,"assigned_to_id":338,"start_date":"2017-09-19","description":"","custom_fields":[{"id":1,"name":"Subdivision","value":"EC"},{"id":4,"name":"Milepost","value":"0.0147"},{"id":17,"name":"Train ID","value":"110-19"},{"id":16,"name":"Locomotive ID","value":"4015"},{"id":130,"name":"Impact","value":""},{"id":150,"name":"Time of Event (Mountain Time)","value":"06:19:54"},{"id":151,"name":"Denver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1"/>
        <v>start /low /b %USERPROFILE%\Documents\GitHub\eaglep3\Utilities\DownloadLogsFromS3.py --loco 4015 --day 2017-09-19</v>
      </c>
      <c r="AN22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12:19:54"},{"id":29,"name":"Sharepoint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3"/>
        <v>https://d0f6bd738d7f1b3e5a7ca70fe4ff75f0.us-east-1.aws.found.io/app/kibana#/discover/Steve-Slow-Train-Analysis-(2080s-and-2083s)?_g=(refreshInterval:(display:Off,pause:!f,section:0,value:0),time:(from:'2017-09-19T04:37:53-0600',mode:absolute,to:'2017-09-19T07:19:54-0600'))&amp;_a=(columns:!('Message%20ID',Summary),filters:!(),index:'emp_*',interval:auto,query:(query_string:(analyze_wildcard:!t,query:'Message%5C+ID:(*)+AND+%22rtdc.l.rtdc.4015%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662</v>
      </c>
      <c r="B23" s="7">
        <v>4050</v>
      </c>
      <c r="C23" s="21" t="s">
        <v>197</v>
      </c>
      <c r="D23" s="21" t="s">
        <v>417</v>
      </c>
      <c r="E23" s="13">
        <v>42997.201608796298</v>
      </c>
      <c r="F23" s="13">
        <v>42997.208749999998</v>
      </c>
      <c r="G23" s="7">
        <v>45</v>
      </c>
      <c r="H23" s="21" t="s">
        <v>569</v>
      </c>
      <c r="I23" s="13">
        <v>42997.233414351853</v>
      </c>
      <c r="J23" s="7">
        <v>0</v>
      </c>
      <c r="K23" s="89" t="str">
        <f t="shared" si="0"/>
        <v>4049/4050</v>
      </c>
      <c r="L23" s="185" t="str">
        <f>VLOOKUP(A23,'Trips&amp;Operators'!$C$1:$G$99911,5,FALSE)</f>
        <v>YORK EDGAR</v>
      </c>
      <c r="M23" s="6">
        <f t="shared" si="1"/>
        <v>2.4664351854880806E-2</v>
      </c>
      <c r="N23" s="7">
        <f t="shared" si="2"/>
        <v>35.516666671028361</v>
      </c>
      <c r="O23" s="7"/>
      <c r="P23" s="7"/>
      <c r="Q23" s="22"/>
      <c r="R23" s="174"/>
      <c r="S23" s="221">
        <f t="shared" si="3"/>
        <v>1</v>
      </c>
      <c r="T23" s="174" t="str">
        <f t="shared" si="4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5"/>
        <v>https://d0f6bd738d7f1b3e5a7ca70fe4ff75f0.us-east-1.aws.found.io/app/kibana#/discover/Steve-Slow-Train-Analysis-(2080s-and-2083s)?_g=(refreshInterval:(display:Off,pause:!f,section:0,value:0),time:(from:'2017-09-19T03:50:19-0600',mode:absolute,to:'2017-09-19T06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" s="204" t="str">
        <f>IF(AA23&lt;VLOOKUP(AG23,Variables!$AC$3:$AD$8,2,FALSE),"Y","N")</f>
        <v>N</v>
      </c>
      <c r="X23" s="204">
        <f t="shared" si="6"/>
        <v>1</v>
      </c>
      <c r="Y23" s="204">
        <f t="shared" si="7"/>
        <v>4.5100000000000001E-2</v>
      </c>
      <c r="Z23" s="204">
        <f t="shared" si="8"/>
        <v>23.330300000000001</v>
      </c>
      <c r="AA23" s="204">
        <f t="shared" si="9"/>
        <v>23.2852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 t="shared" si="10"/>
        <v>111</v>
      </c>
      <c r="AE23" s="77" t="str">
        <f t="shared" si="11"/>
        <v>aws s3 cp s3://rtdc.mdm.uploadarchive.raw/RTDC4050/ "%USERPROFILE%\AppData\Local\Temp\OnboardLogs"\RTDC4050\2017-09-19 --exclude "*" --recursive --include "*20170919*" &amp; "%USERPROFILE%\Documents\GitHub\mrs-test-scripts\Headless Mode &amp; Sideloading\WalkAndUnGZ.bat" "%USERPROFILE%\AppData\Local\Temp\OnboardLogs"\RTDC4050\2017-09-19 &amp; aws s3 cp s3://rtdc.mdm.uploadarchive.raw/RTDC4050/ "%USERPROFILE%\AppData\Local\Temp\OnboardLogs"\RTDC4050\2017-09-20 --exclude "*" --recursive --include "*20170920*" &amp; "%USERPROFILE%\Documents\GitHub\mrs-test-scripts\Headless Mode &amp; Sideloading\WalkAndUnGZ.bat" "%USERPROFILE%\AppData\Local\Temp\OnboardLogs"\RTDC4050\2017-09-20</v>
      </c>
      <c r="AF23" s="74" t="str">
        <f t="shared" si="12"/>
        <v>"C:\Program Files (x86)\AstroGrep\AstroGrep.exe" /e /r /s /spath="%USERPROFILE%\AppData\Local\Temp\OnboardLogs" /stypes="app*4050*20170919*" /stext=" 11:.+((SYSTEM_STATE.+slice.+state.+changed )|(ment ac)|(multiple cpu faults)|(system.+state.+changed )|(\[timeout)|(PRM\|1\|D)|(kpr)|(kdp)|(train st.+moving)|(\|lc)|(penalty))"</v>
      </c>
      <c r="AG23" s="182" t="str">
        <f t="shared" si="13"/>
        <v>EC</v>
      </c>
      <c r="AH23" s="78" t="str">
        <f t="shared" si="19"/>
        <v>"%USERPROFILE%\Documents\GitHub\eaglep3\Utilities\RefineRTDCRunTimes.py" --tripid 111-19 --locoid 4050 --swversion DE.1.0.9.0 --startMP 204:451 --initTime 2017-09-19T04:50:19 --startdatetime 2017-09-19T05:00:36 --delay 45 --endMP 204:233303 --enddatetime 2017-09-19T05:36:07 --enforcementcount 0 &gt;&gt;C:\Users\stu\Documents\GitHub\eaglep3-reporting\EC\2017-09-19-refined-times.txt</v>
      </c>
      <c r="AI23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{"issue":{"subject":"","project_id":79,"tracker_id":40,"status_id":1,"priority_id":2,"assigned_to_id":338,"start_date":"2017-09-19","description":"","custom_fields":[{"id":1,"name":"Subdivision","value":"EC"},{"id":4,"name":"Milepost","value":"23.3303"},{"id":17,"name":"Train ID","value":"111-19"},{"id":16,"name":"Locomotive ID","value":"4050"},{"id":130,"name":"Impact","value":""},{"id":150,"name":"Time of Event (Mountain Time)","value":"05:36:07"},{"id":151,"name":"Denver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1"/>
        <v>start /low /b %USERPROFILE%\Documents\GitHub\eaglep3\Utilities\DownloadLogsFromS3.py --loco 4050 --day 2017-09-19</v>
      </c>
      <c r="AN23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11:36:07"},{"id":29,"name":"Sharepoint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3"/>
        <v>https://d0f6bd738d7f1b3e5a7ca70fe4ff75f0.us-east-1.aws.found.io/app/kibana#/discover/Steve-Slow-Train-Analysis-(2080s-and-2083s)?_g=(refreshInterval:(display:Off,pause:!f,section:0,value:0),time:(from:'2017-09-19T03:50:19-0600',mode:absolute,to:'2017-09-19T06:36:07-0600'))&amp;_a=(columns:!('Message%20ID',Summary),filters:!(),index:'emp_*',interval:auto,query:(query_string:(analyze_wildcard:!t,query:'Message%5C+ID:(*)+AND+%22rtdc.l.rtdc.4050%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672</v>
      </c>
      <c r="B24" s="7">
        <v>4049</v>
      </c>
      <c r="C24" s="21" t="s">
        <v>197</v>
      </c>
      <c r="D24" s="21" t="s">
        <v>528</v>
      </c>
      <c r="E24" s="13">
        <v>42997.234502314815</v>
      </c>
      <c r="F24" s="13">
        <v>42997.248078703706</v>
      </c>
      <c r="G24" s="7">
        <v>42</v>
      </c>
      <c r="H24" s="21" t="s">
        <v>359</v>
      </c>
      <c r="I24" s="13">
        <v>42997.273587962962</v>
      </c>
      <c r="J24" s="7">
        <v>0</v>
      </c>
      <c r="K24" s="89" t="str">
        <f t="shared" si="0"/>
        <v>4049/4050</v>
      </c>
      <c r="L24" s="185" t="str">
        <f>VLOOKUP(A24,'Trips&amp;Operators'!$C$1:$G$99911,5,FALSE)</f>
        <v>YORK EDGAR</v>
      </c>
      <c r="M24" s="6">
        <f t="shared" si="1"/>
        <v>2.5509259256068617E-2</v>
      </c>
      <c r="N24" s="7">
        <f t="shared" si="2"/>
        <v>36.733333328738809</v>
      </c>
      <c r="O24" s="7"/>
      <c r="P24" s="7"/>
      <c r="Q24" s="22"/>
      <c r="R24" s="174"/>
      <c r="S24" s="221">
        <f t="shared" si="3"/>
        <v>1</v>
      </c>
      <c r="T24" s="174" t="str">
        <f t="shared" si="4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5"/>
        <v>https://d0f6bd738d7f1b3e5a7ca70fe4ff75f0.us-east-1.aws.found.io/app/kibana#/discover/Steve-Slow-Train-Analysis-(2080s-and-2083s)?_g=(refreshInterval:(display:Off,pause:!f,section:0,value:0),time:(from:'2017-09-19T04:37:41-0600',mode:absolute,to:'2017-09-19T07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" s="204" t="str">
        <f>IF(AA24&lt;VLOOKUP(AG24,Variables!$AC$3:$AD$8,2,FALSE),"Y","N")</f>
        <v>N</v>
      </c>
      <c r="X24" s="204">
        <f t="shared" si="6"/>
        <v>1</v>
      </c>
      <c r="Y24" s="204">
        <f t="shared" si="7"/>
        <v>23.2971</v>
      </c>
      <c r="Z24" s="204">
        <f t="shared" si="8"/>
        <v>1.52E-2</v>
      </c>
      <c r="AA24" s="204">
        <f t="shared" si="9"/>
        <v>23.2819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 t="shared" si="10"/>
        <v>112</v>
      </c>
      <c r="AE24" s="77" t="str">
        <f t="shared" si="11"/>
        <v>aws s3 cp s3://rtdc.mdm.uploadarchive.raw/RTDC4049/ "%USERPROFILE%\AppData\Local\Temp\OnboardLogs"\RTDC4049\2017-09-19 --exclude "*" --recursive --include "*20170919*" &amp; "%USERPROFILE%\Documents\GitHub\mrs-test-scripts\Headless Mode &amp; Sideloading\WalkAndUnGZ.bat" "%USERPROFILE%\AppData\Local\Temp\OnboardLogs"\RTDC4049\2017-09-19 &amp; aws s3 cp s3://rtdc.mdm.uploadarchive.raw/RTDC4049/ "%USERPROFILE%\AppData\Local\Temp\OnboardLogs"\RTDC4049\2017-09-20 --exclude "*" --recursive --include "*20170920*" &amp; "%USERPROFILE%\Documents\GitHub\mrs-test-scripts\Headless Mode &amp; Sideloading\WalkAndUnGZ.bat" "%USERPROFILE%\AppData\Local\Temp\OnboardLogs"\RTDC4049\2017-09-20</v>
      </c>
      <c r="AF24" s="74" t="str">
        <f t="shared" si="12"/>
        <v>"C:\Program Files (x86)\AstroGrep\AstroGrep.exe" /e /r /s /spath="%USERPROFILE%\AppData\Local\Temp\OnboardLogs" /stypes="app*4049*20170919*" /stext=" 12:.+((SYSTEM_STATE.+slice.+state.+changed )|(ment ac)|(multiple cpu faults)|(system.+state.+changed )|(\[timeout)|(PRM\|1\|D)|(kpr)|(kdp)|(train st.+moving)|(\|lc)|(penalty))"</v>
      </c>
      <c r="AG24" s="182" t="str">
        <f t="shared" si="13"/>
        <v>EC</v>
      </c>
      <c r="AH24" s="78" t="str">
        <f t="shared" si="19"/>
        <v>"%USERPROFILE%\Documents\GitHub\eaglep3\Utilities\RefineRTDCRunTimes.py" --tripid 112-19 --locoid 4049 --swversion DE.1.0.9.0 --startMP 204:232971 --initTime 2017-09-19T05:37:41 --startdatetime 2017-09-19T05:57:14 --delay 42 --endMP 204:152 --enddatetime 2017-09-19T06:33:58 --enforcementcount 0 &gt;&gt;C:\Users\stu\Documents\GitHub\eaglep3-reporting\EC\2017-09-19-refined-times.txt</v>
      </c>
      <c r="AI24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{"issue":{"subject":"","project_id":79,"tracker_id":40,"status_id":1,"priority_id":2,"assigned_to_id":338,"start_date":"2017-09-19","description":"","custom_fields":[{"id":1,"name":"Subdivision","value":"EC"},{"id":4,"name":"Milepost","value":"0.0152"},{"id":17,"name":"Train ID","value":"112-19"},{"id":16,"name":"Locomotive ID","value":"4049"},{"id":130,"name":"Impact","value":""},{"id":150,"name":"Time of Event (Mountain Time)","value":"06:33:58"},{"id":151,"name":"Denver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1"/>
        <v>start /low /b %USERPROFILE%\Documents\GitHub\eaglep3\Utilities\DownloadLogsFromS3.py --loco 4049 --day 2017-09-19</v>
      </c>
      <c r="AN24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12:33:58"},{"id":29,"name":"Sharepoint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3"/>
        <v>https://d0f6bd738d7f1b3e5a7ca70fe4ff75f0.us-east-1.aws.found.io/app/kibana#/discover/Steve-Slow-Train-Analysis-(2080s-and-2083s)?_g=(refreshInterval:(display:Off,pause:!f,section:0,value:0),time:(from:'2017-09-19T04:37:41-0600',mode:absolute,to:'2017-09-19T07:33:58-0600'))&amp;_a=(columns:!('Message%20ID',Summary),filters:!(),index:'emp_*',interval:auto,query:(query_string:(analyze_wildcard:!t,query:'Message%5C+ID:(*)+AND+%22rtdc.l.rtdc.4049%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666</v>
      </c>
      <c r="B25" s="7">
        <v>4054</v>
      </c>
      <c r="C25" s="21" t="s">
        <v>197</v>
      </c>
      <c r="D25" s="21" t="s">
        <v>486</v>
      </c>
      <c r="E25" s="13">
        <v>42997.210324074076</v>
      </c>
      <c r="F25" s="13">
        <v>42997.218888888892</v>
      </c>
      <c r="G25" s="7">
        <v>121</v>
      </c>
      <c r="H25" s="21" t="s">
        <v>516</v>
      </c>
      <c r="I25" s="13">
        <v>42997.243923611109</v>
      </c>
      <c r="J25" s="7">
        <v>0</v>
      </c>
      <c r="K25" s="89" t="str">
        <f t="shared" si="0"/>
        <v>4053/4054</v>
      </c>
      <c r="L25" s="185" t="str">
        <f>VLOOKUP(A25,'Trips&amp;Operators'!$C$1:$G$99911,5,FALSE)</f>
        <v>BARRON PERLA</v>
      </c>
      <c r="M25" s="6">
        <f t="shared" si="1"/>
        <v>2.5034722217242233E-2</v>
      </c>
      <c r="N25" s="7">
        <f t="shared" si="2"/>
        <v>36.049999992828816</v>
      </c>
      <c r="O25" s="7"/>
      <c r="P25" s="7"/>
      <c r="Q25" s="22"/>
      <c r="R25" s="174"/>
      <c r="S25" s="221">
        <f t="shared" si="3"/>
        <v>1</v>
      </c>
      <c r="T25" s="174" t="str">
        <f t="shared" si="4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5"/>
        <v>https://d0f6bd738d7f1b3e5a7ca70fe4ff75f0.us-east-1.aws.found.io/app/kibana#/discover/Steve-Slow-Train-Analysis-(2080s-and-2083s)?_g=(refreshInterval:(display:Off,pause:!f,section:0,value:0),time:(from:'2017-09-19T04:02:52-0600',mode:absolute,to:'2017-09-19T06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5" s="204" t="str">
        <f>IF(AA25&lt;VLOOKUP(AG25,Variables!$AC$3:$AD$8,2,FALSE),"Y","N")</f>
        <v>N</v>
      </c>
      <c r="X25" s="204">
        <f t="shared" si="6"/>
        <v>1</v>
      </c>
      <c r="Y25" s="204">
        <f t="shared" si="7"/>
        <v>4.7500000000000001E-2</v>
      </c>
      <c r="Z25" s="204">
        <f t="shared" si="8"/>
        <v>23.331</v>
      </c>
      <c r="AA25" s="204">
        <f t="shared" si="9"/>
        <v>23.2835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 t="shared" si="10"/>
        <v>113</v>
      </c>
      <c r="AE25" s="77" t="str">
        <f t="shared" si="11"/>
        <v>aws s3 cp s3://rtdc.mdm.uploadarchive.raw/RTDC4054/ "%USERPROFILE%\AppData\Local\Temp\OnboardLogs"\RTDC4054\2017-09-19 --exclude "*" --recursive --include "*20170919*" &amp; "%USERPROFILE%\Documents\GitHub\mrs-test-scripts\Headless Mode &amp; Sideloading\WalkAndUnGZ.bat" "%USERPROFILE%\AppData\Local\Temp\OnboardLogs"\RTDC4054\2017-09-19 &amp; aws s3 cp s3://rtdc.mdm.uploadarchive.raw/RTDC4054/ "%USERPROFILE%\AppData\Local\Temp\OnboardLogs"\RTDC4054\2017-09-20 --exclude "*" --recursive --include "*20170920*" &amp; "%USERPROFILE%\Documents\GitHub\mrs-test-scripts\Headless Mode &amp; Sideloading\WalkAndUnGZ.bat" "%USERPROFILE%\AppData\Local\Temp\OnboardLogs"\RTDC4054\2017-09-20</v>
      </c>
      <c r="AF25" s="74" t="str">
        <f t="shared" si="12"/>
        <v>"C:\Program Files (x86)\AstroGrep\AstroGrep.exe" /e /r /s /spath="%USERPROFILE%\AppData\Local\Temp\OnboardLogs" /stypes="app*4054*20170919*" /stext=" 11:.+((SYSTEM_STATE.+slice.+state.+changed )|(ment ac)|(multiple cpu faults)|(system.+state.+changed )|(\[timeout)|(PRM\|1\|D)|(kpr)|(kdp)|(train st.+moving)|(\|lc)|(penalty))"</v>
      </c>
      <c r="AG25" s="182" t="str">
        <f t="shared" si="13"/>
        <v>EC</v>
      </c>
      <c r="AH25" s="78" t="str">
        <f t="shared" si="19"/>
        <v>"%USERPROFILE%\Documents\GitHub\eaglep3\Utilities\RefineRTDCRunTimes.py" --tripid 113-19 --locoid 4054 --swversion DE.1.0.9.0 --startMP 204:475 --initTime 2017-09-19T05:02:52 --startdatetime 2017-09-19T05:15:12 --delay 121 --endMP 204:233310 --enddatetime 2017-09-19T05:51:15 --enforcementcount 0 &gt;&gt;C:\Users\stu\Documents\GitHub\eaglep3-reporting\EC\2017-09-19-refined-times.txt</v>
      </c>
      <c r="AI25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{"issue":{"subject":"","project_id":79,"tracker_id":40,"status_id":1,"priority_id":2,"assigned_to_id":338,"start_date":"2017-09-19","description":"","custom_fields":[{"id":1,"name":"Subdivision","value":"EC"},{"id":4,"name":"Milepost","value":"23.331"},{"id":17,"name":"Train ID","value":"113-19"},{"id":16,"name":"Locomotive ID","value":"4054"},{"id":130,"name":"Impact","value":""},{"id":150,"name":"Time of Event (Mountain Time)","value":"05:51:15"},{"id":151,"name":"Denver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1"/>
        <v>start /low /b %USERPROFILE%\Documents\GitHub\eaglep3\Utilities\DownloadLogsFromS3.py --loco 4054 --day 2017-09-19</v>
      </c>
      <c r="AN25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11:51:15"},{"id":29,"name":"Sharepoint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3"/>
        <v>https://d0f6bd738d7f1b3e5a7ca70fe4ff75f0.us-east-1.aws.found.io/app/kibana#/discover/Steve-Slow-Train-Analysis-(2080s-and-2083s)?_g=(refreshInterval:(display:Off,pause:!f,section:0,value:0),time:(from:'2017-09-19T04:02:52-0600',mode:absolute,to:'2017-09-19T06:51:15-0600'))&amp;_a=(columns:!('Message%20ID',Summary),filters:!(),index:'emp_*',interval:auto,query:(query_string:(analyze_wildcard:!t,query:'Message%5C+ID:(*)+AND+%22rtdc.l.rtdc.4054%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678</v>
      </c>
      <c r="B26" s="7">
        <v>4053</v>
      </c>
      <c r="C26" s="21" t="s">
        <v>197</v>
      </c>
      <c r="D26" s="21" t="s">
        <v>865</v>
      </c>
      <c r="E26" s="13">
        <v>42997.245254629626</v>
      </c>
      <c r="F26" s="13">
        <v>42997.258483796293</v>
      </c>
      <c r="G26" s="7">
        <v>49</v>
      </c>
      <c r="H26" s="21" t="s">
        <v>340</v>
      </c>
      <c r="I26" s="13">
        <v>42997.284212962964</v>
      </c>
      <c r="J26" s="7">
        <v>0</v>
      </c>
      <c r="K26" s="89" t="str">
        <f t="shared" si="0"/>
        <v>4053/4054</v>
      </c>
      <c r="L26" s="185" t="str">
        <f>VLOOKUP(A26,'Trips&amp;Operators'!$C$1:$G$99911,5,FALSE)</f>
        <v>BARRON PERLA</v>
      </c>
      <c r="M26" s="6">
        <f t="shared" si="1"/>
        <v>2.5729166671226267E-2</v>
      </c>
      <c r="N26" s="7">
        <f t="shared" si="2"/>
        <v>37.050000006565824</v>
      </c>
      <c r="O26" s="7"/>
      <c r="P26" s="7"/>
      <c r="Q26" s="22"/>
      <c r="R26" s="174"/>
      <c r="S26" s="221">
        <f t="shared" si="3"/>
        <v>1</v>
      </c>
      <c r="T26" s="174" t="str">
        <f t="shared" si="4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5"/>
        <v>https://d0f6bd738d7f1b3e5a7ca70fe4ff75f0.us-east-1.aws.found.io/app/kibana#/discover/Steve-Slow-Train-Analysis-(2080s-and-2083s)?_g=(refreshInterval:(display:Off,pause:!f,section:0,value:0),time:(from:'2017-09-19T04:53:10-0600',mode:absolute,to:'2017-09-19T07:49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6" s="204" t="str">
        <f>IF(AA26&lt;VLOOKUP(AG26,Variables!$AC$3:$AD$8,2,FALSE),"Y","N")</f>
        <v>N</v>
      </c>
      <c r="X26" s="204">
        <f t="shared" si="6"/>
        <v>1</v>
      </c>
      <c r="Y26" s="204">
        <f t="shared" si="7"/>
        <v>23.2989</v>
      </c>
      <c r="Z26" s="204">
        <f t="shared" si="8"/>
        <v>1.43E-2</v>
      </c>
      <c r="AA26" s="204">
        <f t="shared" si="9"/>
        <v>23.284600000000001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 t="shared" si="10"/>
        <v>114</v>
      </c>
      <c r="AE26" s="77" t="str">
        <f t="shared" si="11"/>
        <v>aws s3 cp s3://rtdc.mdm.uploadarchive.raw/RTDC4053/ "%USERPROFILE%\AppData\Local\Temp\OnboardLogs"\RTDC4053\2017-09-19 --exclude "*" --recursive --include "*20170919*" &amp; "%USERPROFILE%\Documents\GitHub\mrs-test-scripts\Headless Mode &amp; Sideloading\WalkAndUnGZ.bat" "%USERPROFILE%\AppData\Local\Temp\OnboardLogs"\RTDC4053\2017-09-19 &amp; aws s3 cp s3://rtdc.mdm.uploadarchive.raw/RTDC4053/ "%USERPROFILE%\AppData\Local\Temp\OnboardLogs"\RTDC4053\2017-09-20 --exclude "*" --recursive --include "*20170920*" &amp; "%USERPROFILE%\Documents\GitHub\mrs-test-scripts\Headless Mode &amp; Sideloading\WalkAndUnGZ.bat" "%USERPROFILE%\AppData\Local\Temp\OnboardLogs"\RTDC4053\2017-09-20</v>
      </c>
      <c r="AF26" s="74" t="str">
        <f t="shared" si="12"/>
        <v>"C:\Program Files (x86)\AstroGrep\AstroGrep.exe" /e /r /s /spath="%USERPROFILE%\AppData\Local\Temp\OnboardLogs" /stypes="app*4053*20170919*" /stext=" 12:.+((SYSTEM_STATE.+slice.+state.+changed )|(ment ac)|(multiple cpu faults)|(system.+state.+changed )|(\[timeout)|(PRM\|1\|D)|(kpr)|(kdp)|(train st.+moving)|(\|lc)|(penalty))"</v>
      </c>
      <c r="AG26" s="182" t="str">
        <f t="shared" si="13"/>
        <v>EC</v>
      </c>
      <c r="AH26" s="78" t="str">
        <f t="shared" si="19"/>
        <v>"%USERPROFILE%\Documents\GitHub\eaglep3\Utilities\RefineRTDCRunTimes.py" --tripid 114-19 --locoid 4053 --swversion DE.1.0.9.0 --startMP 204:232989 --initTime 2017-09-19T05:53:10 --startdatetime 2017-09-19T06:12:13 --delay 49 --endMP 204:143 --enddatetime 2017-09-19T06:49:16 --enforcementcount 0 &gt;&gt;C:\Users\stu\Documents\GitHub\eaglep3-reporting\EC\2017-09-19-refined-times.txt</v>
      </c>
      <c r="AI26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{"issue":{"subject":"","project_id":79,"tracker_id":40,"status_id":1,"priority_id":2,"assigned_to_id":338,"start_date":"2017-09-19","description":"","custom_fields":[{"id":1,"name":"Subdivision","value":"EC"},{"id":4,"name":"Milepost","value":"0.0143"},{"id":17,"name":"Train ID","value":"114-19"},{"id":16,"name":"Locomotive ID","value":"4053"},{"id":130,"name":"Impact","value":""},{"id":150,"name":"Time of Event (Mountain Time)","value":"06:49:16"},{"id":151,"name":"Denver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1"/>
        <v>start /low /b %USERPROFILE%\Documents\GitHub\eaglep3\Utilities\DownloadLogsFromS3.py --loco 4053 --day 2017-09-19</v>
      </c>
      <c r="AN26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12:49:16"},{"id":29,"name":"Sharepoint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3"/>
        <v>https://d0f6bd738d7f1b3e5a7ca70fe4ff75f0.us-east-1.aws.found.io/app/kibana#/discover/Steve-Slow-Train-Analysis-(2080s-and-2083s)?_g=(refreshInterval:(display:Off,pause:!f,section:0,value:0),time:(from:'2017-09-19T04:53:10-0600',mode:absolute,to:'2017-09-19T07:49:16-0600'))&amp;_a=(columns:!('Message%20ID',Summary),filters:!(),index:'emp_*',interval:auto,query:(query_string:(analyze_wildcard:!t,query:'Message%5C+ID:(*)+AND+%22rtdc.l.rtdc.4053%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670</v>
      </c>
      <c r="B27" s="7">
        <v>4028</v>
      </c>
      <c r="C27" s="21" t="s">
        <v>197</v>
      </c>
      <c r="D27" s="21" t="s">
        <v>360</v>
      </c>
      <c r="E27" s="13">
        <v>42997.224803240744</v>
      </c>
      <c r="F27" s="13">
        <v>42997.22934027778</v>
      </c>
      <c r="G27" s="7">
        <v>69</v>
      </c>
      <c r="H27" s="21" t="s">
        <v>514</v>
      </c>
      <c r="I27" s="13">
        <v>42997.254606481481</v>
      </c>
      <c r="J27" s="7">
        <v>0</v>
      </c>
      <c r="K27" s="89" t="str">
        <f t="shared" si="0"/>
        <v>4027/4028</v>
      </c>
      <c r="L27" s="185" t="str">
        <f>VLOOKUP(A27,'Trips&amp;Operators'!$C$1:$G$99911,5,FALSE)</f>
        <v>ACKERMAN JARED</v>
      </c>
      <c r="M27" s="6">
        <f t="shared" si="1"/>
        <v>2.5266203701903578E-2</v>
      </c>
      <c r="N27" s="7">
        <f t="shared" si="2"/>
        <v>36.383333330741152</v>
      </c>
      <c r="O27" s="7"/>
      <c r="P27" s="7"/>
      <c r="Q27" s="22"/>
      <c r="R27" s="174"/>
      <c r="S27" s="221">
        <f t="shared" si="3"/>
        <v>1</v>
      </c>
      <c r="T27" s="174" t="str">
        <f t="shared" si="4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5"/>
        <v>https://d0f6bd738d7f1b3e5a7ca70fe4ff75f0.us-east-1.aws.found.io/app/kibana#/discover/Steve-Slow-Train-Analysis-(2080s-and-2083s)?_g=(refreshInterval:(display:Off,pause:!f,section:0,value:0),time:(from:'2017-09-19T04:23:43-0600',mode:absolute,to:'2017-09-19T07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7" s="204" t="str">
        <f>IF(AA27&lt;VLOOKUP(AG27,Variables!$AC$3:$AD$8,2,FALSE),"Y","N")</f>
        <v>N</v>
      </c>
      <c r="X27" s="204">
        <f t="shared" si="6"/>
        <v>1</v>
      </c>
      <c r="Y27" s="204">
        <f t="shared" si="7"/>
        <v>4.4900000000000002E-2</v>
      </c>
      <c r="Z27" s="204">
        <f t="shared" si="8"/>
        <v>23.331800000000001</v>
      </c>
      <c r="AA27" s="204">
        <f t="shared" si="9"/>
        <v>23.286900000000003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 t="shared" si="10"/>
        <v>115</v>
      </c>
      <c r="AE27" s="77" t="str">
        <f t="shared" si="11"/>
        <v>aws s3 cp s3://rtdc.mdm.uploadarchive.raw/RTDC4028/ "%USERPROFILE%\AppData\Local\Temp\OnboardLogs"\RTDC4028\2017-09-19 --exclude "*" --recursive --include "*20170919*" &amp; "%USERPROFILE%\Documents\GitHub\mrs-test-scripts\Headless Mode &amp; Sideloading\WalkAndUnGZ.bat" "%USERPROFILE%\AppData\Local\Temp\OnboardLogs"\RTDC4028\2017-09-19 &amp; aws s3 cp s3://rtdc.mdm.uploadarchive.raw/RTDC4028/ "%USERPROFILE%\AppData\Local\Temp\OnboardLogs"\RTDC4028\2017-09-20 --exclude "*" --recursive --include "*20170920*" &amp; "%USERPROFILE%\Documents\GitHub\mrs-test-scripts\Headless Mode &amp; Sideloading\WalkAndUnGZ.bat" "%USERPROFILE%\AppData\Local\Temp\OnboardLogs"\RTDC4028\2017-09-20</v>
      </c>
      <c r="AF27" s="74" t="str">
        <f t="shared" si="12"/>
        <v>"C:\Program Files (x86)\AstroGrep\AstroGrep.exe" /e /r /s /spath="%USERPROFILE%\AppData\Local\Temp\OnboardLogs" /stypes="app*4028*20170919*" /stext=" 12:.+((SYSTEM_STATE.+slice.+state.+changed )|(ment ac)|(multiple cpu faults)|(system.+state.+changed )|(\[timeout)|(PRM\|1\|D)|(kpr)|(kdp)|(train st.+moving)|(\|lc)|(penalty))"</v>
      </c>
      <c r="AG27" s="182" t="str">
        <f t="shared" si="13"/>
        <v>EC</v>
      </c>
      <c r="AH27" s="78" t="str">
        <f t="shared" si="19"/>
        <v>"%USERPROFILE%\Documents\GitHub\eaglep3\Utilities\RefineRTDCRunTimes.py" --tripid 115-19 --locoid 4028 --swversion DE.1.0.9.0 --startMP 204:449 --initTime 2017-09-19T05:23:43 --startdatetime 2017-09-19T05:30:15 --delay 69 --endMP 204:233318 --enddatetime 2017-09-19T06:06:38 --enforcementcount 0 &gt;&gt;C:\Users\stu\Documents\GitHub\eaglep3-reporting\EC\2017-09-19-refined-times.txt</v>
      </c>
      <c r="AI27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{"issue":{"subject":"","project_id":79,"tracker_id":40,"status_id":1,"priority_id":2,"assigned_to_id":338,"start_date":"2017-09-19","description":"","custom_fields":[{"id":1,"name":"Subdivision","value":"EC"},{"id":4,"name":"Milepost","value":"23.3318"},{"id":17,"name":"Train ID","value":"115-19"},{"id":16,"name":"Locomotive ID","value":"4028"},{"id":130,"name":"Impact","value":""},{"id":150,"name":"Time of Event (Mountain Time)","value":"06:06:38"},{"id":151,"name":"Denver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1"/>
        <v>start /low /b %USERPROFILE%\Documents\GitHub\eaglep3\Utilities\DownloadLogsFromS3.py --loco 4028 --day 2017-09-19</v>
      </c>
      <c r="AN27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12:06:38"},{"id":29,"name":"Sharepoint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3"/>
        <v>https://d0f6bd738d7f1b3e5a7ca70fe4ff75f0.us-east-1.aws.found.io/app/kibana#/discover/Steve-Slow-Train-Analysis-(2080s-and-2083s)?_g=(refreshInterval:(display:Off,pause:!f,section:0,value:0),time:(from:'2017-09-19T04:23:43-0600',mode:absolute,to:'2017-09-19T07:06:38-0600'))&amp;_a=(columns:!('Message%20ID',Summary),filters:!(),index:'emp_*',interval:auto,query:(query_string:(analyze_wildcard:!t,query:'Message%5C+ID:(*)+AND+%22rtdc.l.rtdc.4028%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683</v>
      </c>
      <c r="B28" s="7">
        <v>4027</v>
      </c>
      <c r="C28" s="21" t="s">
        <v>197</v>
      </c>
      <c r="D28" s="21" t="s">
        <v>515</v>
      </c>
      <c r="E28" s="13">
        <v>42997.262858796297</v>
      </c>
      <c r="F28" s="13">
        <v>42997.268923611111</v>
      </c>
      <c r="G28" s="7">
        <v>84</v>
      </c>
      <c r="H28" s="21" t="s">
        <v>414</v>
      </c>
      <c r="I28" s="13">
        <v>42997.296585648146</v>
      </c>
      <c r="J28" s="7">
        <v>0</v>
      </c>
      <c r="K28" s="89" t="str">
        <f t="shared" si="0"/>
        <v>4027/4028</v>
      </c>
      <c r="L28" s="185" t="str">
        <f>VLOOKUP(A28,'Trips&amp;Operators'!$C$1:$G$99911,5,FALSE)</f>
        <v>ACKERMAN JARED</v>
      </c>
      <c r="M28" s="6">
        <f t="shared" si="1"/>
        <v>2.7662037035042886E-2</v>
      </c>
      <c r="N28" s="7">
        <f t="shared" si="2"/>
        <v>39.833333330461755</v>
      </c>
      <c r="O28" s="7"/>
      <c r="P28" s="7"/>
      <c r="Q28" s="22"/>
      <c r="R28" s="174"/>
      <c r="S28" s="221">
        <f t="shared" si="3"/>
        <v>1</v>
      </c>
      <c r="T28" s="174" t="str">
        <f t="shared" si="4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5"/>
        <v>https://d0f6bd738d7f1b3e5a7ca70fe4ff75f0.us-east-1.aws.found.io/app/kibana#/discover/Steve-Slow-Train-Analysis-(2080s-and-2083s)?_g=(refreshInterval:(display:Off,pause:!f,section:0,value:0),time:(from:'2017-09-19T05:18:31-0600',mode:absolute,to:'2017-09-19T08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8" s="204" t="str">
        <f>IF(AA28&lt;VLOOKUP(AG28,Variables!$AC$3:$AD$8,2,FALSE),"Y","N")</f>
        <v>N</v>
      </c>
      <c r="X28" s="204">
        <f t="shared" si="6"/>
        <v>1</v>
      </c>
      <c r="Y28" s="204">
        <f t="shared" si="7"/>
        <v>23.3001</v>
      </c>
      <c r="Z28" s="204">
        <f t="shared" si="8"/>
        <v>1.6299999999999999E-2</v>
      </c>
      <c r="AA28" s="204">
        <f t="shared" si="9"/>
        <v>23.283799999999999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 t="shared" si="10"/>
        <v>116</v>
      </c>
      <c r="AE28" s="77" t="str">
        <f t="shared" si="11"/>
        <v>aws s3 cp s3://rtdc.mdm.uploadarchive.raw/RTDC4027/ "%USERPROFILE%\AppData\Local\Temp\OnboardLogs"\RTDC4027\2017-09-19 --exclude "*" --recursive --include "*20170919*" &amp; "%USERPROFILE%\Documents\GitHub\mrs-test-scripts\Headless Mode &amp; Sideloading\WalkAndUnGZ.bat" "%USERPROFILE%\AppData\Local\Temp\OnboardLogs"\RTDC4027\2017-09-19 &amp; aws s3 cp s3://rtdc.mdm.uploadarchive.raw/RTDC4027/ "%USERPROFILE%\AppData\Local\Temp\OnboardLogs"\RTDC4027\2017-09-20 --exclude "*" --recursive --include "*20170920*" &amp; "%USERPROFILE%\Documents\GitHub\mrs-test-scripts\Headless Mode &amp; Sideloading\WalkAndUnGZ.bat" "%USERPROFILE%\AppData\Local\Temp\OnboardLogs"\RTDC4027\2017-09-20</v>
      </c>
      <c r="AF28" s="74" t="str">
        <f t="shared" si="12"/>
        <v>"C:\Program Files (x86)\AstroGrep\AstroGrep.exe" /e /r /s /spath="%USERPROFILE%\AppData\Local\Temp\OnboardLogs" /stypes="app*4027*20170919*" /stext=" 13:.+((SYSTEM_STATE.+slice.+state.+changed )|(ment ac)|(multiple cpu faults)|(system.+state.+changed )|(\[timeout)|(PRM\|1\|D)|(kpr)|(kdp)|(train st.+moving)|(\|lc)|(penalty))"</v>
      </c>
      <c r="AG28" s="182" t="str">
        <f t="shared" si="13"/>
        <v>EC</v>
      </c>
      <c r="AH28" s="78" t="str">
        <f t="shared" si="19"/>
        <v>"%USERPROFILE%\Documents\GitHub\eaglep3\Utilities\RefineRTDCRunTimes.py" --tripid 116-19 --locoid 4027 --swversion DE.1.0.9.0 --startMP 204:233001 --initTime 2017-09-19T06:18:31 --startdatetime 2017-09-19T06:27:15 --delay 84 --endMP 204:163 --enddatetime 2017-09-19T07:07:05 --enforcementcount 0 &gt;&gt;C:\Users\stu\Documents\GitHub\eaglep3-reporting\EC\2017-09-19-refined-times.txt</v>
      </c>
      <c r="AI28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{"issue":{"subject":"","project_id":79,"tracker_id":40,"status_id":1,"priority_id":2,"assigned_to_id":338,"start_date":"2017-09-19","description":"","custom_fields":[{"id":1,"name":"Subdivision","value":"EC"},{"id":4,"name":"Milepost","value":"0.0163"},{"id":17,"name":"Train ID","value":"116-19"},{"id":16,"name":"Locomotive ID","value":"4027"},{"id":130,"name":"Impact","value":""},{"id":150,"name":"Time of Event (Mountain Time)","value":"07:07:05"},{"id":151,"name":"Denver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1"/>
        <v>start /low /b %USERPROFILE%\Documents\GitHub\eaglep3\Utilities\DownloadLogsFromS3.py --loco 4027 --day 2017-09-19</v>
      </c>
      <c r="AN28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13:07:05"},{"id":29,"name":"Sharepoint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3"/>
        <v>https://d0f6bd738d7f1b3e5a7ca70fe4ff75f0.us-east-1.aws.found.io/app/kibana#/discover/Steve-Slow-Train-Analysis-(2080s-and-2083s)?_g=(refreshInterval:(display:Off,pause:!f,section:0,value:0),time:(from:'2017-09-19T05:18:31-0600',mode:absolute,to:'2017-09-19T08:07:05-0600'))&amp;_a=(columns:!('Message%20ID',Summary),filters:!(),index:'emp_*',interval:auto,query:(query_string:(analyze_wildcard:!t,query:'Message%5C+ID:(*)+AND+%22rtdc.l.rtdc.4027%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674</v>
      </c>
      <c r="B29" s="7">
        <v>4014</v>
      </c>
      <c r="C29" s="21" t="s">
        <v>197</v>
      </c>
      <c r="D29" s="21" t="s">
        <v>438</v>
      </c>
      <c r="E29" s="13">
        <v>42997.235798611109</v>
      </c>
      <c r="F29" s="13">
        <v>42997.23978009259</v>
      </c>
      <c r="G29" s="7">
        <v>71</v>
      </c>
      <c r="H29" s="21" t="s">
        <v>560</v>
      </c>
      <c r="I29" s="13">
        <v>42997.264282407406</v>
      </c>
      <c r="J29" s="7">
        <v>0</v>
      </c>
      <c r="K29" s="89" t="str">
        <f t="shared" si="0"/>
        <v>4013/4014</v>
      </c>
      <c r="L29" s="185" t="str">
        <f>VLOOKUP(A29,'Trips&amp;Operators'!$C$1:$G$99911,5,FALSE)</f>
        <v>BIRENBAUM THOMAS</v>
      </c>
      <c r="M29" s="6">
        <f t="shared" si="1"/>
        <v>2.4502314816345461E-2</v>
      </c>
      <c r="N29" s="7">
        <f t="shared" si="2"/>
        <v>35.283333335537463</v>
      </c>
      <c r="O29" s="7"/>
      <c r="P29" s="7"/>
      <c r="Q29" s="22"/>
      <c r="R29" s="174"/>
      <c r="S29" s="221">
        <f t="shared" si="3"/>
        <v>1</v>
      </c>
      <c r="T29" s="174" t="str">
        <f t="shared" si="4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5"/>
        <v>https://d0f6bd738d7f1b3e5a7ca70fe4ff75f0.us-east-1.aws.found.io/app/kibana#/discover/Steve-Slow-Train-Analysis-(2080s-and-2083s)?_g=(refreshInterval:(display:Off,pause:!f,section:0,value:0),time:(from:'2017-09-19T04:39:33-0600',mode:absolute,to:'2017-09-19T07:20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9" s="204" t="str">
        <f>IF(AA29&lt;VLOOKUP(AG29,Variables!$AC$3:$AD$8,2,FALSE),"Y","N")</f>
        <v>N</v>
      </c>
      <c r="X29" s="204">
        <f t="shared" si="6"/>
        <v>1</v>
      </c>
      <c r="Y29" s="204">
        <f t="shared" si="7"/>
        <v>4.3799999999999999E-2</v>
      </c>
      <c r="Z29" s="204">
        <f t="shared" si="8"/>
        <v>23.3306</v>
      </c>
      <c r="AA29" s="204">
        <f t="shared" si="9"/>
        <v>23.286799999999999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 t="shared" si="10"/>
        <v>117</v>
      </c>
      <c r="AE29" s="77" t="str">
        <f t="shared" si="11"/>
        <v>aws s3 cp s3://rtdc.mdm.uploadarchive.raw/RTDC4014/ "%USERPROFILE%\AppData\Local\Temp\OnboardLogs"\RTDC4014\2017-09-19 --exclude "*" --recursive --include "*20170919*" &amp; "%USERPROFILE%\Documents\GitHub\mrs-test-scripts\Headless Mode &amp; Sideloading\WalkAndUnGZ.bat" "%USERPROFILE%\AppData\Local\Temp\OnboardLogs"\RTDC4014\2017-09-19 &amp; aws s3 cp s3://rtdc.mdm.uploadarchive.raw/RTDC4014/ "%USERPROFILE%\AppData\Local\Temp\OnboardLogs"\RTDC4014\2017-09-20 --exclude "*" --recursive --include "*20170920*" &amp; "%USERPROFILE%\Documents\GitHub\mrs-test-scripts\Headless Mode &amp; Sideloading\WalkAndUnGZ.bat" "%USERPROFILE%\AppData\Local\Temp\OnboardLogs"\RTDC4014\2017-09-20</v>
      </c>
      <c r="AF29" s="74" t="str">
        <f t="shared" si="12"/>
        <v>"C:\Program Files (x86)\AstroGrep\AstroGrep.exe" /e /r /s /spath="%USERPROFILE%\AppData\Local\Temp\OnboardLogs" /stypes="app*4014*20170919*" /stext=" 12:.+((SYSTEM_STATE.+slice.+state.+changed )|(ment ac)|(multiple cpu faults)|(system.+state.+changed )|(\[timeout)|(PRM\|1\|D)|(kpr)|(kdp)|(train st.+moving)|(\|lc)|(penalty))"</v>
      </c>
      <c r="AG29" s="182" t="str">
        <f t="shared" si="13"/>
        <v>EC</v>
      </c>
      <c r="AH29" s="78" t="str">
        <f t="shared" si="19"/>
        <v>"%USERPROFILE%\Documents\GitHub\eaglep3\Utilities\RefineRTDCRunTimes.py" --tripid 117-19 --locoid 4014 --swversion DE.1.0.9.0 --startMP 204:438 --initTime 2017-09-19T05:39:33 --startdatetime 2017-09-19T05:45:17 --delay 71 --endMP 204:233306 --enddatetime 2017-09-19T06:20:34 --enforcementcount 0 &gt;&gt;C:\Users\stu\Documents\GitHub\eaglep3-reporting\EC\2017-09-19-refined-times.txt</v>
      </c>
      <c r="AI29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{"issue":{"subject":"","project_id":79,"tracker_id":40,"status_id":1,"priority_id":2,"assigned_to_id":338,"start_date":"2017-09-19","description":"","custom_fields":[{"id":1,"name":"Subdivision","value":"EC"},{"id":4,"name":"Milepost","value":"23.3306"},{"id":17,"name":"Train ID","value":"117-19"},{"id":16,"name":"Locomotive ID","value":"4014"},{"id":130,"name":"Impact","value":""},{"id":150,"name":"Time of Event (Mountain Time)","value":"06:20:34"},{"id":151,"name":"Denver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1"/>
        <v>start /low /b %USERPROFILE%\Documents\GitHub\eaglep3\Utilities\DownloadLogsFromS3.py --loco 4014 --day 2017-09-19</v>
      </c>
      <c r="AN29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12:20:34"},{"id":29,"name":"Sharepoint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3"/>
        <v>https://d0f6bd738d7f1b3e5a7ca70fe4ff75f0.us-east-1.aws.found.io/app/kibana#/discover/Steve-Slow-Train-Analysis-(2080s-and-2083s)?_g=(refreshInterval:(display:Off,pause:!f,section:0,value:0),time:(from:'2017-09-19T04:39:33-0600',mode:absolute,to:'2017-09-19T07:20:34-0600'))&amp;_a=(columns:!('Message%20ID',Summary),filters:!(),index:'emp_*',interval:auto,query:(query_string:(analyze_wildcard:!t,query:'Message%5C+ID:(*)+AND+%22rtdc.l.rtdc.4014%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1008</v>
      </c>
      <c r="B30" s="7">
        <v>4013</v>
      </c>
      <c r="C30" s="21" t="s">
        <v>197</v>
      </c>
      <c r="D30" s="21" t="s">
        <v>438</v>
      </c>
      <c r="E30" s="13">
        <v>42997.235798611109</v>
      </c>
      <c r="F30" s="13">
        <v>42997.23978009259</v>
      </c>
      <c r="G30" s="7">
        <v>71</v>
      </c>
      <c r="H30" s="21" t="s">
        <v>560</v>
      </c>
      <c r="I30" s="13">
        <v>42997.264282407406</v>
      </c>
      <c r="J30" s="7">
        <v>0</v>
      </c>
      <c r="K30" s="89" t="str">
        <f t="shared" si="0"/>
        <v>4013/4014</v>
      </c>
      <c r="L30" s="185" t="s">
        <v>1012</v>
      </c>
      <c r="M30" s="6">
        <f t="shared" si="1"/>
        <v>2.4502314816345461E-2</v>
      </c>
      <c r="N30" s="7"/>
      <c r="O30" s="7"/>
      <c r="P30" s="7">
        <v>1</v>
      </c>
      <c r="Q30" s="22"/>
      <c r="R30" s="174" t="s">
        <v>1009</v>
      </c>
      <c r="S30" s="221">
        <f t="shared" si="3"/>
        <v>0</v>
      </c>
      <c r="T30" s="174" t="str">
        <f t="shared" si="4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0</v>
      </c>
      <c r="V30" s="216" t="str">
        <f t="shared" si="5"/>
        <v>https://d0f6bd738d7f1b3e5a7ca70fe4ff75f0.us-east-1.aws.found.io/app/kibana#/discover/Steve-Slow-Train-Analysis-(2080s-and-2083s)?_g=(refreshInterval:(display:Off,pause:!f,section:0,value:0),time:(from:'2017-09-19T04:39:33-0600',mode:absolute,to:'2017-09-19T07:20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0" s="204" t="str">
        <f>IF(AA30&lt;VLOOKUP(AG30,Variables!$AC$3:$AD$8,2,FALSE),"Y","N")</f>
        <v>Y</v>
      </c>
      <c r="X30" s="204">
        <f t="shared" si="6"/>
        <v>1</v>
      </c>
      <c r="Y30" s="204">
        <v>0</v>
      </c>
      <c r="Z30" s="204">
        <v>0</v>
      </c>
      <c r="AA30" s="204">
        <f t="shared" si="9"/>
        <v>0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 t="shared" si="10"/>
        <v>118</v>
      </c>
      <c r="AE30" s="77" t="str">
        <f t="shared" si="11"/>
        <v>aws s3 cp s3://rtdc.mdm.uploadarchive.raw/RTDC4013/ "%USERPROFILE%\AppData\Local\Temp\OnboardLogs"\RTDC4013\2017-09-19 --exclude "*" --recursive --include "*20170919*" &amp; "%USERPROFILE%\Documents\GitHub\mrs-test-scripts\Headless Mode &amp; Sideloading\WalkAndUnGZ.bat" "%USERPROFILE%\AppData\Local\Temp\OnboardLogs"\RTDC4013\2017-09-19 &amp; aws s3 cp s3://rtdc.mdm.uploadarchive.raw/RTDC4013/ "%USERPROFILE%\AppData\Local\Temp\OnboardLogs"\RTDC4013\2017-09-20 --exclude "*" --recursive --include "*20170920*" &amp; "%USERPROFILE%\Documents\GitHub\mrs-test-scripts\Headless Mode &amp; Sideloading\WalkAndUnGZ.bat" "%USERPROFILE%\AppData\Local\Temp\OnboardLogs"\RTDC4013\2017-09-20</v>
      </c>
      <c r="AF30" s="74" t="str">
        <f t="shared" si="12"/>
        <v>"C:\Program Files (x86)\AstroGrep\AstroGrep.exe" /e /r /s /spath="%USERPROFILE%\AppData\Local\Temp\OnboardLogs" /stypes="app*4013*20170919*" /stext=" 12:.+((SYSTEM_STATE.+slice.+state.+changed )|(ment ac)|(multiple cpu faults)|(system.+state.+changed )|(\[timeout)|(PRM\|1\|D)|(kpr)|(kdp)|(train st.+moving)|(\|lc)|(penalty))"</v>
      </c>
      <c r="AG30" s="182" t="str">
        <f t="shared" si="13"/>
        <v>EC</v>
      </c>
      <c r="AH30" s="78" t="str">
        <f t="shared" ref="AH30" si="24">refinertdcruntimes&amp;" --tripid "&amp;A30&amp;" --locoid "&amp;B30&amp;" --swversion "&amp;C30&amp;" --startMP "&amp;D30&amp;" --initTime "&amp;TEXT(E30,"yyyy-mm-ddTHH:MM:SS")&amp;" --startdatetime "&amp;TEXT(F30,"yyyy-mm-ddTHH:MM:SS")&amp;" --delay "&amp;G30&amp;" --endMP "&amp;H30&amp;" --enddatetime "&amp;TEXT(I30,"yyyy-mm-ddTHH:MM:SS")&amp;" --enforcementcount "&amp;J30&amp;IF(outputrefinedruntimes," &gt;&gt;"&amp;RefinedRTDCRunTimesOutputFile,"")</f>
        <v>"%USERPROFILE%\Documents\GitHub\eaglep3\Utilities\RefineRTDCRunTimes.py" --tripid 118-19 --locoid 4013 --swversion DE.1.0.9.0 --startMP 204:438 --initTime 2017-09-19T05:39:33 --startdatetime 2017-09-19T05:45:17 --delay 71 --endMP 204:233306 --enddatetime 2017-09-19T06:20:34 --enforcementcount 0 &gt;&gt;C:\Users\stu\Documents\GitHub\eaglep3-reporting\EC\2017-09-19-refined-times.txt</v>
      </c>
      <c r="AI30" s="96" t="str">
        <f t="shared" ref="AI30" si="25">"echo {""issue"":{""subject"":"""&amp;R30&amp;""",""project_id"":79,""tracker_id"":40,""status_id"":"&amp;redmine_status&amp;",""priority_id"":"&amp;redmine_priority&amp;",""assigned_to_id"":"&amp;redmine_assignee&amp;",""start_date"":"""&amp;TEXT(I30,"YYYY-mm-dd")&amp;""",""description"":"""&amp;AJ30&amp;""",""custom_fields"":[{""id"":1,""name"":""Subdivision"",""value"":"""&amp;AG30&amp;"""},{""id"":4,""name"":""Milepost"",""value"":"""&amp;Z30&amp;"""},{""id"":17,""name"":""Train ID"",""value"":"""&amp;A30&amp;"""},{""id"":16,""name"":""Locomotive ID"",""value"":"""&amp;B30&amp;"""},{""id"":130,""name"":""Impact"",""value"":"""&amp;AK30&amp;"""},{""id"":150,""name"":""Time of Event (Mountain Time)"",""value"":"""&amp;TEXT(I30,"hh:mm:ss")&amp;"""},{""id"":151,""name"":""Denver Issue ID"",""value"":"""&amp;"""},{""id"":178,""name"":""Operational Impact"",""value"":"""&amp;redmine_op_impact&amp;"""},{""id"":179,""name"":""Denver Segment Assigned"",""value"":"""&amp;AL30&amp;"""}]}}"&amp;" | curl --insecure -X POST -H ""Content-Type: application/json"" -H ""X-Redmine-API-Key: "&amp;redm_api_key&amp;""" "&amp;redm_url&amp;" --data @-"</f>
        <v>echo {"issue":{"subject":"Extended Onboard Wi-MAX outage","project_id":79,"tracker_id":40,"status_id":1,"priority_id":2,"assigned_to_id":338,"start_date":"2017-09-19","description":"","custom_fields":[{"id":1,"name":"Subdivision","value":"EC"},{"id":4,"name":"Milepost","value":"0"},{"id":17,"name":"Train ID","value":"118-19"},{"id":16,"name":"Locomotive ID","value":"4013"},{"id":130,"name":"Impact","value":""},{"id":150,"name":"Time of Event (Mountain Time)","value":"06:20:34"},{"id":151,"name":"Denver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ref="AM30" si="26">"start /low /b "&amp;dls3logs&amp;" --loco "&amp;B30&amp;" --day "&amp;TEXT(F30,"YYYY-MM-DD")</f>
        <v>start /low /b %USERPROFILE%\Documents\GitHub\eaglep3\Utilities\DownloadLogsFromS3.py --loco 4013 --day 2017-09-19</v>
      </c>
      <c r="AN30" s="151" t="str">
        <f t="shared" ref="AN30" si="27">"echo {""issue"":{""subject"":"""&amp;R30&amp;""",""project_id"":30,""tracker_id"":4,""status_id"":"&amp;redmine_status_wcr&amp;",""priority_id"":"&amp;redmine_priority_wcr&amp;",""assigned_to_id"":"&amp;redmine_assignee_wcr&amp;",""start_date"":"""&amp;TEXT(I30-utc_offset/24,"YYYY-mm-dd")&amp;""",""description"":"""&amp;AJ30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Onboard Wi-MAX outage","project_id":30,"tracker_id":4,"status_id":1,"priority_id":1,"assigned_to_id":10,"start_date":"2017-09-19","description":"","custom_fields":[{"id":30,"name":"Category","value":"Issue"},{"id":3,"name":"Functional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12:20:34"},{"id":29,"name":"Sharepoint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ref="AO30" si="28"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Message%20ID',Summary),filters:!(),index:'emp_*',interval:auto,query:"&amp;"(query_string:(analyze_wildcard:!t,query:'Message%5C+ID:(*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-09-19T04:39:33-0600',mode:absolute,to:'2017-09-19T07:20:34-0600'))&amp;_a=(columns:!('Message%20ID',Summary),filters:!(),index:'emp_*',interval:auto,query:(query_string:(analyze_wildcard:!t,query:'Message%5C+ID:(*)+AND+%22rtdc.l.rtdc.4013%22')),sort:!(Time.ISO8601,asc))</v>
      </c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</row>
    <row r="31" spans="1:91" s="1" customFormat="1" x14ac:dyDescent="0.25">
      <c r="A31" s="32" t="s">
        <v>679</v>
      </c>
      <c r="B31" s="7">
        <v>4056</v>
      </c>
      <c r="C31" s="21" t="s">
        <v>197</v>
      </c>
      <c r="D31" s="21" t="s">
        <v>423</v>
      </c>
      <c r="E31" s="13">
        <v>42997.247835648152</v>
      </c>
      <c r="F31" s="13">
        <v>42997.250439814816</v>
      </c>
      <c r="G31" s="7">
        <v>62</v>
      </c>
      <c r="H31" s="21" t="s">
        <v>866</v>
      </c>
      <c r="I31" s="13">
        <v>42997.275173611109</v>
      </c>
      <c r="J31" s="7">
        <v>0</v>
      </c>
      <c r="K31" s="89" t="str">
        <f t="shared" si="0"/>
        <v>4055/4056</v>
      </c>
      <c r="L31" s="185" t="str">
        <f>VLOOKUP(A31,'Trips&amp;Operators'!$C$1:$G$99911,5,FALSE)</f>
        <v>THOMPSON LESTER</v>
      </c>
      <c r="M31" s="6">
        <f t="shared" si="1"/>
        <v>2.4733796293730848E-2</v>
      </c>
      <c r="N31" s="7">
        <f t="shared" ref="N31:N54" si="29">24*60*SUM($M31:$M31)</f>
        <v>35.61666666297242</v>
      </c>
      <c r="O31" s="7"/>
      <c r="P31" s="7"/>
      <c r="Q31" s="22"/>
      <c r="R31" s="174"/>
      <c r="S31" s="221">
        <f t="shared" si="3"/>
        <v>1</v>
      </c>
      <c r="T31" s="174" t="str">
        <f t="shared" si="4"/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5"/>
        <v>https://d0f6bd738d7f1b3e5a7ca70fe4ff75f0.us-east-1.aws.found.io/app/kibana#/discover/Steve-Slow-Train-Analysis-(2080s-and-2083s)?_g=(refreshInterval:(display:Off,pause:!f,section:0,value:0),time:(from:'2017-09-19T04:56:53-0600',mode:absolute,to:'2017-09-19T07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1" s="204" t="str">
        <f>IF(AA31&lt;VLOOKUP(AG31,Variables!$AC$3:$AD$8,2,FALSE),"Y","N")</f>
        <v>N</v>
      </c>
      <c r="X31" s="204">
        <f t="shared" si="6"/>
        <v>1</v>
      </c>
      <c r="Y31" s="204">
        <f t="shared" ref="Y31:Y62" si="30">RIGHT(D31,LEN(D31)-4)/10000</f>
        <v>4.7100000000000003E-2</v>
      </c>
      <c r="Z31" s="204">
        <f t="shared" ref="Z31:Z62" si="31">RIGHT(H31,LEN(H31)-4)/10000</f>
        <v>23.328600000000002</v>
      </c>
      <c r="AA31" s="204">
        <f t="shared" si="9"/>
        <v>23.281500000000001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 t="shared" si="10"/>
        <v>119</v>
      </c>
      <c r="AE31" s="77" t="str">
        <f t="shared" si="11"/>
        <v>aws s3 cp s3://rtdc.mdm.uploadarchive.raw/RTDC4056/ "%USERPROFILE%\AppData\Local\Temp\OnboardLogs"\RTDC4056\2017-09-19 --exclude "*" --recursive --include "*20170919*" &amp; "%USERPROFILE%\Documents\GitHub\mrs-test-scripts\Headless Mode &amp; Sideloading\WalkAndUnGZ.bat" "%USERPROFILE%\AppData\Local\Temp\OnboardLogs"\RTDC4056\2017-09-19 &amp; aws s3 cp s3://rtdc.mdm.uploadarchive.raw/RTDC4056/ "%USERPROFILE%\AppData\Local\Temp\OnboardLogs"\RTDC4056\2017-09-20 --exclude "*" --recursive --include "*20170920*" &amp; "%USERPROFILE%\Documents\GitHub\mrs-test-scripts\Headless Mode &amp; Sideloading\WalkAndUnGZ.bat" "%USERPROFILE%\AppData\Local\Temp\OnboardLogs"\RTDC4056\2017-09-20</v>
      </c>
      <c r="AF31" s="74" t="str">
        <f t="shared" si="12"/>
        <v>"C:\Program Files (x86)\AstroGrep\AstroGrep.exe" /e /r /s /spath="%USERPROFILE%\AppData\Local\Temp\OnboardLogs" /stypes="app*4056*20170919*" /stext=" 12:.+((SYSTEM_STATE.+slice.+state.+changed )|(ment ac)|(multiple cpu faults)|(system.+state.+changed )|(\[timeout)|(PRM\|1\|D)|(kpr)|(kdp)|(train st.+moving)|(\|lc)|(penalty))"</v>
      </c>
      <c r="AG31" s="182" t="str">
        <f t="shared" si="13"/>
        <v>EC</v>
      </c>
      <c r="AH31" s="78" t="str">
        <f t="shared" si="19"/>
        <v>"%USERPROFILE%\Documents\GitHub\eaglep3\Utilities\RefineRTDCRunTimes.py" --tripid 119-19 --locoid 4056 --swversion DE.1.0.9.0 --startMP 204:471 --initTime 2017-09-19T05:56:53 --startdatetime 2017-09-19T06:00:38 --delay 62 --endMP 204:233286 --enddatetime 2017-09-19T06:36:15 --enforcementcount 0 &gt;&gt;C:\Users\stu\Documents\GitHub\eaglep3-reporting\EC\2017-09-19-refined-times.txt</v>
      </c>
      <c r="AI31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{"issue":{"subject":"","project_id":79,"tracker_id":40,"status_id":1,"priority_id":2,"assigned_to_id":338,"start_date":"2017-09-19","description":"","custom_fields":[{"id":1,"name":"Subdivision","value":"EC"},{"id":4,"name":"Milepost","value":"23.3286"},{"id":17,"name":"Train ID","value":"119-19"},{"id":16,"name":"Locomotive ID","value":"4056"},{"id":130,"name":"Impact","value":""},{"id":150,"name":"Time of Event (Mountain Time)","value":"06:36:15"},{"id":151,"name":"Denver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1"/>
        <v>start /low /b %USERPROFILE%\Documents\GitHub\eaglep3\Utilities\DownloadLogsFromS3.py --loco 4056 --day 2017-09-19</v>
      </c>
      <c r="AN31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12:36:15"},{"id":29,"name":"Sharepoint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3"/>
        <v>https://d0f6bd738d7f1b3e5a7ca70fe4ff75f0.us-east-1.aws.found.io/app/kibana#/discover/Steve-Slow-Train-Analysis-(2080s-and-2083s)?_g=(refreshInterval:(display:Off,pause:!f,section:0,value:0),time:(from:'2017-09-19T04:56:53-0600',mode:absolute,to:'2017-09-19T07:36:15-0600'))&amp;_a=(columns:!('Message%20ID',Summary),filters:!(),index:'emp_*',interval:auto,query:(query_string:(analyze_wildcard:!t,query:'Message%5C+ID:(*)+AND+%22rtdc.l.rtdc.4056%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615</v>
      </c>
      <c r="B32" s="7">
        <v>4055</v>
      </c>
      <c r="C32" s="21" t="s">
        <v>197</v>
      </c>
      <c r="D32" s="21" t="s">
        <v>437</v>
      </c>
      <c r="E32" s="13">
        <v>42997.28769675926</v>
      </c>
      <c r="F32" s="13">
        <v>42997.289814814816</v>
      </c>
      <c r="G32" s="7">
        <v>61</v>
      </c>
      <c r="H32" s="21" t="s">
        <v>380</v>
      </c>
      <c r="I32" s="13">
        <v>42997.318391203706</v>
      </c>
      <c r="J32" s="7">
        <v>0</v>
      </c>
      <c r="K32" s="89" t="str">
        <f t="shared" si="0"/>
        <v>4055/4056</v>
      </c>
      <c r="L32" s="185" t="str">
        <f>VLOOKUP(A32,'Trips&amp;Operators'!$C$1:$G$99911,5,FALSE)</f>
        <v>THOMPSON LESTER</v>
      </c>
      <c r="M32" s="6">
        <f t="shared" si="1"/>
        <v>2.8576388889632653E-2</v>
      </c>
      <c r="N32" s="7">
        <f t="shared" si="29"/>
        <v>41.150000001071021</v>
      </c>
      <c r="O32" s="7"/>
      <c r="P32" s="7"/>
      <c r="Q32" s="22"/>
      <c r="R32" s="174"/>
      <c r="S32" s="221">
        <f t="shared" si="3"/>
        <v>1</v>
      </c>
      <c r="T32" s="174" t="str">
        <f t="shared" si="4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5"/>
        <v>https://d0f6bd738d7f1b3e5a7ca70fe4ff75f0.us-east-1.aws.found.io/app/kibana#/discover/Steve-Slow-Train-Analysis-(2080s-and-2083s)?_g=(refreshInterval:(display:Off,pause:!f,section:0,value:0),time:(from:'2017-09-19T05:54:17-0600',mode:absolute,to:'2017-09-19T08:38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2" s="204" t="str">
        <f>IF(AA32&lt;VLOOKUP(AG32,Variables!$AC$3:$AD$8,2,FALSE),"Y","N")</f>
        <v>N</v>
      </c>
      <c r="X32" s="204">
        <f t="shared" si="6"/>
        <v>1</v>
      </c>
      <c r="Y32" s="204">
        <f t="shared" si="30"/>
        <v>23.297799999999999</v>
      </c>
      <c r="Z32" s="204">
        <f t="shared" si="31"/>
        <v>1.6E-2</v>
      </c>
      <c r="AA32" s="204">
        <f t="shared" si="9"/>
        <v>23.2818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 t="shared" si="10"/>
        <v>120</v>
      </c>
      <c r="AE32" s="77" t="str">
        <f t="shared" si="11"/>
        <v>aws s3 cp s3://rtdc.mdm.uploadarchive.raw/RTDC4055/ "%USERPROFILE%\AppData\Local\Temp\OnboardLogs"\RTDC4055\2017-09-19 --exclude "*" --recursive --include "*20170919*" &amp; "%USERPROFILE%\Documents\GitHub\mrs-test-scripts\Headless Mode &amp; Sideloading\WalkAndUnGZ.bat" "%USERPROFILE%\AppData\Local\Temp\OnboardLogs"\RTDC4055\2017-09-19 &amp; aws s3 cp s3://rtdc.mdm.uploadarchive.raw/RTDC4055/ "%USERPROFILE%\AppData\Local\Temp\OnboardLogs"\RTDC4055\2017-09-20 --exclude "*" --recursive --include "*20170920*" &amp; "%USERPROFILE%\Documents\GitHub\mrs-test-scripts\Headless Mode &amp; Sideloading\WalkAndUnGZ.bat" "%USERPROFILE%\AppData\Local\Temp\OnboardLogs"\RTDC4055\2017-09-20</v>
      </c>
      <c r="AF32" s="74" t="str">
        <f t="shared" si="12"/>
        <v>"C:\Program Files (x86)\AstroGrep\AstroGrep.exe" /e /r /s /spath="%USERPROFILE%\AppData\Local\Temp\OnboardLogs" /stypes="app*4055*20170919*" /stext=" 13:.+((SYSTEM_STATE.+slice.+state.+changed )|(ment ac)|(multiple cpu faults)|(system.+state.+changed )|(\[timeout)|(PRM\|1\|D)|(kpr)|(kdp)|(train st.+moving)|(\|lc)|(penalty))"</v>
      </c>
      <c r="AG32" s="182" t="str">
        <f t="shared" si="13"/>
        <v>EC</v>
      </c>
      <c r="AH32" s="78" t="str">
        <f t="shared" si="19"/>
        <v>"%USERPROFILE%\Documents\GitHub\eaglep3\Utilities\RefineRTDCRunTimes.py" --tripid 120-19 --locoid 4055 --swversion DE.1.0.9.0 --startMP 204:232978 --initTime 2017-09-19T06:54:17 --startdatetime 2017-09-19T06:57:20 --delay 61 --endMP 204:160 --enddatetime 2017-09-19T07:38:29 --enforcementcount 0 &gt;&gt;C:\Users\stu\Documents\GitHub\eaglep3-reporting\EC\2017-09-19-refined-times.txt</v>
      </c>
      <c r="AI32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{"issue":{"subject":"","project_id":79,"tracker_id":40,"status_id":1,"priority_id":2,"assigned_to_id":338,"start_date":"2017-09-19","description":"","custom_fields":[{"id":1,"name":"Subdivision","value":"EC"},{"id":4,"name":"Milepost","value":"0.016"},{"id":17,"name":"Train ID","value":"120-19"},{"id":16,"name":"Locomotive ID","value":"4055"},{"id":130,"name":"Impact","value":""},{"id":150,"name":"Time of Event (Mountain Time)","value":"07:38:29"},{"id":151,"name":"Denver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1"/>
        <v>start /low /b %USERPROFILE%\Documents\GitHub\eaglep3\Utilities\DownloadLogsFromS3.py --loco 4055 --day 2017-09-19</v>
      </c>
      <c r="AN32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13:38:29"},{"id":29,"name":"Sharepoint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3"/>
        <v>https://d0f6bd738d7f1b3e5a7ca70fe4ff75f0.us-east-1.aws.found.io/app/kibana#/discover/Steve-Slow-Train-Analysis-(2080s-and-2083s)?_g=(refreshInterval:(display:Off,pause:!f,section:0,value:0),time:(from:'2017-09-19T05:54:17-0600',mode:absolute,to:'2017-09-19T08:38:29-0600'))&amp;_a=(columns:!('Message%20ID',Summary),filters:!(),index:'emp_*',interval:auto,query:(query_string:(analyze_wildcard:!t,query:'Message%5C+ID:(*)+AND+%22rtdc.l.rtdc.4055%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682</v>
      </c>
      <c r="B33" s="7">
        <v>4030</v>
      </c>
      <c r="C33" s="21" t="s">
        <v>197</v>
      </c>
      <c r="D33" s="21" t="s">
        <v>381</v>
      </c>
      <c r="E33" s="13">
        <v>42997.25371527778</v>
      </c>
      <c r="F33" s="13">
        <v>42997.26059027778</v>
      </c>
      <c r="G33" s="7">
        <v>84</v>
      </c>
      <c r="H33" s="21" t="s">
        <v>532</v>
      </c>
      <c r="I33" s="13">
        <v>42997.285925925928</v>
      </c>
      <c r="J33" s="7">
        <v>0</v>
      </c>
      <c r="K33" s="89" t="str">
        <f t="shared" si="0"/>
        <v>4029/4030</v>
      </c>
      <c r="L33" s="185" t="str">
        <f>VLOOKUP(A33,'Trips&amp;Operators'!$C$1:$G$99911,5,FALSE)</f>
        <v>LALONDE GREGORY</v>
      </c>
      <c r="M33" s="6">
        <f t="shared" si="1"/>
        <v>2.5335648148029577E-2</v>
      </c>
      <c r="N33" s="7">
        <f t="shared" si="29"/>
        <v>36.483333333162591</v>
      </c>
      <c r="O33" s="7"/>
      <c r="P33" s="7"/>
      <c r="Q33" s="22"/>
      <c r="R33" s="174"/>
      <c r="S33" s="221">
        <f t="shared" si="3"/>
        <v>1</v>
      </c>
      <c r="T33" s="174" t="str">
        <f t="shared" si="4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5"/>
        <v>https://d0f6bd738d7f1b3e5a7ca70fe4ff75f0.us-east-1.aws.found.io/app/kibana#/discover/Steve-Slow-Train-Analysis-(2080s-and-2083s)?_g=(refreshInterval:(display:Off,pause:!f,section:0,value:0),time:(from:'2017-09-19T05:05:21-0600',mode:absolute,to:'2017-09-19T07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3" s="204" t="str">
        <f>IF(AA33&lt;VLOOKUP(AG33,Variables!$AC$3:$AD$8,2,FALSE),"Y","N")</f>
        <v>N</v>
      </c>
      <c r="X33" s="204">
        <f t="shared" si="6"/>
        <v>1</v>
      </c>
      <c r="Y33" s="204">
        <f t="shared" si="30"/>
        <v>4.5999999999999999E-2</v>
      </c>
      <c r="Z33" s="204">
        <f t="shared" si="31"/>
        <v>23.332899999999999</v>
      </c>
      <c r="AA33" s="204">
        <f t="shared" si="9"/>
        <v>23.286899999999999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 t="shared" si="10"/>
        <v>121</v>
      </c>
      <c r="AE33" s="77" t="str">
        <f t="shared" si="11"/>
        <v>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 &amp; aws s3 cp s3://rtdc.mdm.uploadarchive.raw/RTDC4030/ "%USERPROFILE%\AppData\Local\Temp\OnboardLogs"\RTDC4030\2017-09-20 --exclude "*" --recursive --include "*20170920*" &amp; "%USERPROFILE%\Documents\GitHub\mrs-test-scripts\Headless Mode &amp; Sideloading\WalkAndUnGZ.bat" "%USERPROFILE%\AppData\Local\Temp\OnboardLogs"\RTDC4030\2017-09-20</v>
      </c>
      <c r="AF33" s="74" t="str">
        <f t="shared" si="12"/>
        <v>"C:\Program Files (x86)\AstroGrep\AstroGrep.exe" /e /r /s /spath="%USERPROFILE%\AppData\Local\Temp\OnboardLogs" /stypes="app*4030*20170919*" /stext=" 12:.+((SYSTEM_STATE.+slice.+state.+changed )|(ment ac)|(multiple cpu faults)|(system.+state.+changed )|(\[timeout)|(PRM\|1\|D)|(kpr)|(kdp)|(train st.+moving)|(\|lc)|(penalty))"</v>
      </c>
      <c r="AG33" s="182" t="str">
        <f t="shared" si="13"/>
        <v>EC</v>
      </c>
      <c r="AH33" s="78" t="str">
        <f t="shared" si="19"/>
        <v>"%USERPROFILE%\Documents\GitHub\eaglep3\Utilities\RefineRTDCRunTimes.py" --tripid 121-19 --locoid 4030 --swversion DE.1.0.9.0 --startMP 204:460 --initTime 2017-09-19T06:05:21 --startdatetime 2017-09-19T06:15:15 --delay 84 --endMP 204:233329 --enddatetime 2017-09-19T06:51:44 --enforcementcount 0 &gt;&gt;C:\Users\stu\Documents\GitHub\eaglep3-reporting\EC\2017-09-19-refined-times.txt</v>
      </c>
      <c r="AI33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{"issue":{"subject":"","project_id":79,"tracker_id":40,"status_id":1,"priority_id":2,"assigned_to_id":338,"start_date":"2017-09-19","description":"","custom_fields":[{"id":1,"name":"Subdivision","value":"EC"},{"id":4,"name":"Milepost","value":"23.3329"},{"id":17,"name":"Train ID","value":"121-19"},{"id":16,"name":"Locomotive ID","value":"4030"},{"id":130,"name":"Impact","value":""},{"id":150,"name":"Time of Event (Mountain Time)","value":"06:51:44"},{"id":151,"name":"Denver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1"/>
        <v>start /low /b %USERPROFILE%\Documents\GitHub\eaglep3\Utilities\DownloadLogsFromS3.py --loco 4030 --day 2017-09-19</v>
      </c>
      <c r="AN33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12:51:44"},{"id":29,"name":"Sharepoint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3"/>
        <v>https://d0f6bd738d7f1b3e5a7ca70fe4ff75f0.us-east-1.aws.found.io/app/kibana#/discover/Steve-Slow-Train-Analysis-(2080s-and-2083s)?_g=(refreshInterval:(display:Off,pause:!f,section:0,value:0),time:(from:'2017-09-19T05:05:21-0600',mode:absolute,to:'2017-09-19T07:51:44-0600'))&amp;_a=(columns:!('Message%20ID',Summary),filters:!(),index:'emp_*',interval:auto,query:(query_string:(analyze_wildcard:!t,query:'Message%5C+ID:(*)+AND+%22rtdc.l.rtdc.4030%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688</v>
      </c>
      <c r="B34" s="7">
        <v>4029</v>
      </c>
      <c r="C34" s="21" t="s">
        <v>197</v>
      </c>
      <c r="D34" s="21" t="s">
        <v>519</v>
      </c>
      <c r="E34" s="13">
        <v>42997.287106481483</v>
      </c>
      <c r="F34" s="13">
        <v>42997.300300925926</v>
      </c>
      <c r="G34" s="7">
        <v>44</v>
      </c>
      <c r="H34" s="21" t="s">
        <v>429</v>
      </c>
      <c r="I34" s="13">
        <v>42997.325150462966</v>
      </c>
      <c r="J34" s="7">
        <v>0</v>
      </c>
      <c r="K34" s="89" t="str">
        <f t="shared" si="0"/>
        <v>4029/4030</v>
      </c>
      <c r="L34" s="185" t="str">
        <f>VLOOKUP(A34,'Trips&amp;Operators'!$C$1:$G$99911,5,FALSE)</f>
        <v>LALONDE GREGORY</v>
      </c>
      <c r="M34" s="6">
        <f t="shared" si="1"/>
        <v>2.4849537039699499E-2</v>
      </c>
      <c r="N34" s="7">
        <f t="shared" si="29"/>
        <v>35.783333337167278</v>
      </c>
      <c r="O34" s="7"/>
      <c r="P34" s="7"/>
      <c r="Q34" s="22"/>
      <c r="R34" s="174"/>
      <c r="S34" s="221">
        <f t="shared" si="3"/>
        <v>1</v>
      </c>
      <c r="T34" s="174" t="str">
        <f t="shared" si="4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5"/>
        <v>https://d0f6bd738d7f1b3e5a7ca70fe4ff75f0.us-east-1.aws.found.io/app/kibana#/discover/Steve-Slow-Train-Analysis-(2080s-and-2083s)?_g=(refreshInterval:(display:Off,pause:!f,section:0,value:0),time:(from:'2017-09-19T05:53:26-0600',mode:absolute,to:'2017-09-19T08:48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4" s="204" t="str">
        <f>IF(AA34&lt;VLOOKUP(AG34,Variables!$AC$3:$AD$8,2,FALSE),"Y","N")</f>
        <v>N</v>
      </c>
      <c r="X34" s="204">
        <f t="shared" si="6"/>
        <v>1</v>
      </c>
      <c r="Y34" s="204">
        <f t="shared" si="30"/>
        <v>23.3019</v>
      </c>
      <c r="Z34" s="204">
        <f t="shared" si="31"/>
        <v>1.54E-2</v>
      </c>
      <c r="AA34" s="204">
        <f t="shared" si="9"/>
        <v>23.2865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 t="shared" si="10"/>
        <v>122</v>
      </c>
      <c r="AE34" s="77" t="str">
        <f t="shared" si="11"/>
        <v>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 &amp; aws s3 cp s3://rtdc.mdm.uploadarchive.raw/RTDC4029/ "%USERPROFILE%\AppData\Local\Temp\OnboardLogs"\RTDC4029\2017-09-20 --exclude "*" --recursive --include "*20170920*" &amp; "%USERPROFILE%\Documents\GitHub\mrs-test-scripts\Headless Mode &amp; Sideloading\WalkAndUnGZ.bat" "%USERPROFILE%\AppData\Local\Temp\OnboardLogs"\RTDC4029\2017-09-20</v>
      </c>
      <c r="AF34" s="74" t="str">
        <f t="shared" si="12"/>
        <v>"C:\Program Files (x86)\AstroGrep\AstroGrep.exe" /e /r /s /spath="%USERPROFILE%\AppData\Local\Temp\OnboardLogs" /stypes="app*4029*20170919*" /stext=" 13:.+((SYSTEM_STATE.+slice.+state.+changed )|(ment ac)|(multiple cpu faults)|(system.+state.+changed )|(\[timeout)|(PRM\|1\|D)|(kpr)|(kdp)|(train st.+moving)|(\|lc)|(penalty))"</v>
      </c>
      <c r="AG34" s="182" t="str">
        <f t="shared" si="13"/>
        <v>EC</v>
      </c>
      <c r="AH34" s="78" t="str">
        <f t="shared" si="19"/>
        <v>"%USERPROFILE%\Documents\GitHub\eaglep3\Utilities\RefineRTDCRunTimes.py" --tripid 122-19 --locoid 4029 --swversion DE.1.0.9.0 --startMP 204:233019 --initTime 2017-09-19T06:53:26 --startdatetime 2017-09-19T07:12:26 --delay 44 --endMP 204:154 --enddatetime 2017-09-19T07:48:13 --enforcementcount 0 &gt;&gt;C:\Users\stu\Documents\GitHub\eaglep3-reporting\EC\2017-09-19-refined-times.txt</v>
      </c>
      <c r="AI34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{"issue":{"subject":"","project_id":79,"tracker_id":40,"status_id":1,"priority_id":2,"assigned_to_id":338,"start_date":"2017-09-19","description":"","custom_fields":[{"id":1,"name":"Subdivision","value":"EC"},{"id":4,"name":"Milepost","value":"0.0154"},{"id":17,"name":"Train ID","value":"122-19"},{"id":16,"name":"Locomotive ID","value":"4029"},{"id":130,"name":"Impact","value":""},{"id":150,"name":"Time of Event (Mountain Time)","value":"07:48:13"},{"id":151,"name":"Denver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1"/>
        <v>start /low /b %USERPROFILE%\Documents\GitHub\eaglep3\Utilities\DownloadLogsFromS3.py --loco 4029 --day 2017-09-19</v>
      </c>
      <c r="AN34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13:48:13"},{"id":29,"name":"Sharepoint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3"/>
        <v>https://d0f6bd738d7f1b3e5a7ca70fe4ff75f0.us-east-1.aws.found.io/app/kibana#/discover/Steve-Slow-Train-Analysis-(2080s-and-2083s)?_g=(refreshInterval:(display:Off,pause:!f,section:0,value:0),time:(from:'2017-09-19T05:53:26-0600',mode:absolute,to:'2017-09-19T08:48:13-0600'))&amp;_a=(columns:!('Message%20ID',Summary),filters:!(),index:'emp_*',interval:auto,query:(query_string:(analyze_wildcard:!t,query:'Message%5C+ID:(*)+AND+%22rtdc.l.rtdc.4029%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684</v>
      </c>
      <c r="B35" s="7">
        <v>4016</v>
      </c>
      <c r="C35" s="21" t="s">
        <v>197</v>
      </c>
      <c r="D35" s="21" t="s">
        <v>867</v>
      </c>
      <c r="E35" s="13">
        <v>42997.265810185185</v>
      </c>
      <c r="F35" s="13">
        <v>42997.271180555559</v>
      </c>
      <c r="G35" s="7">
        <v>49</v>
      </c>
      <c r="H35" s="21" t="s">
        <v>575</v>
      </c>
      <c r="I35" s="13">
        <v>42997.29519675926</v>
      </c>
      <c r="J35" s="7">
        <v>0</v>
      </c>
      <c r="K35" s="89" t="str">
        <f t="shared" si="0"/>
        <v>4015/4016</v>
      </c>
      <c r="L35" s="185" t="str">
        <f>VLOOKUP(A35,'Trips&amp;Operators'!$C$1:$G$99911,5,FALSE)</f>
        <v>LAMAR NEKESHA</v>
      </c>
      <c r="M35" s="6">
        <f t="shared" si="1"/>
        <v>2.4016203700739425E-2</v>
      </c>
      <c r="N35" s="7">
        <f t="shared" si="29"/>
        <v>34.583333329064772</v>
      </c>
      <c r="O35" s="7"/>
      <c r="P35" s="7"/>
      <c r="Q35" s="22"/>
      <c r="R35" s="174"/>
      <c r="S35" s="221">
        <f t="shared" si="3"/>
        <v>1</v>
      </c>
      <c r="T35" s="174" t="str">
        <f t="shared" si="4"/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5"/>
        <v>https://d0f6bd738d7f1b3e5a7ca70fe4ff75f0.us-east-1.aws.found.io/app/kibana#/discover/Steve-Slow-Train-Analysis-(2080s-and-2083s)?_g=(refreshInterval:(display:Off,pause:!f,section:0,value:0),time:(from:'2017-09-19T05:22:46-0600',mode:absolute,to:'2017-09-19T08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5" s="204" t="str">
        <f>IF(AA35&lt;VLOOKUP(AG35,Variables!$AC$3:$AD$8,2,FALSE),"Y","N")</f>
        <v>N</v>
      </c>
      <c r="X35" s="204">
        <f t="shared" si="6"/>
        <v>1</v>
      </c>
      <c r="Y35" s="204">
        <f t="shared" si="30"/>
        <v>4.82E-2</v>
      </c>
      <c r="Z35" s="204">
        <f t="shared" si="31"/>
        <v>23.331099999999999</v>
      </c>
      <c r="AA35" s="204">
        <f t="shared" si="9"/>
        <v>23.282899999999998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 t="shared" si="10"/>
        <v>123</v>
      </c>
      <c r="AE35" s="77" t="str">
        <f t="shared" si="11"/>
        <v>aws s3 cp s3://rtdc.mdm.uploadarchive.raw/RTDC4016/ "%USERPROFILE%\AppData\Local\Temp\OnboardLogs"\RTDC4016\2017-09-19 --exclude "*" --recursive --include "*20170919*" &amp; "%USERPROFILE%\Documents\GitHub\mrs-test-scripts\Headless Mode &amp; Sideloading\WalkAndUnGZ.bat" "%USERPROFILE%\AppData\Local\Temp\OnboardLogs"\RTDC4016\2017-09-19 &amp; 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</v>
      </c>
      <c r="AF35" s="74" t="str">
        <f t="shared" si="12"/>
        <v>"C:\Program Files (x86)\AstroGrep\AstroGrep.exe" /e /r /s /spath="%USERPROFILE%\AppData\Local\Temp\OnboardLogs" /stypes="app*4016*20170919*" /stext=" 13:.+((SYSTEM_STATE.+slice.+state.+changed )|(ment ac)|(multiple cpu faults)|(system.+state.+changed )|(\[timeout)|(PRM\|1\|D)|(kpr)|(kdp)|(train st.+moving)|(\|lc)|(penalty))"</v>
      </c>
      <c r="AG35" s="182" t="str">
        <f t="shared" si="13"/>
        <v>EC</v>
      </c>
      <c r="AH35" s="78" t="str">
        <f t="shared" si="19"/>
        <v>"%USERPROFILE%\Documents\GitHub\eaglep3\Utilities\RefineRTDCRunTimes.py" --tripid 123-19 --locoid 4016 --swversion DE.1.0.9.0 --startMP 204:482 --initTime 2017-09-19T06:22:46 --startdatetime 2017-09-19T06:30:30 --delay 49 --endMP 204:233311 --enddatetime 2017-09-19T07:05:05 --enforcementcount 0 &gt;&gt;C:\Users\stu\Documents\GitHub\eaglep3-reporting\EC\2017-09-19-refined-times.txt</v>
      </c>
      <c r="AI35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{"issue":{"subject":"","project_id":79,"tracker_id":40,"status_id":1,"priority_id":2,"assigned_to_id":338,"start_date":"2017-09-19","description":"","custom_fields":[{"id":1,"name":"Subdivision","value":"EC"},{"id":4,"name":"Milepost","value":"23.3311"},{"id":17,"name":"Train ID","value":"123-19"},{"id":16,"name":"Locomotive ID","value":"4016"},{"id":130,"name":"Impact","value":""},{"id":150,"name":"Time of Event (Mountain Time)","value":"07:05:05"},{"id":151,"name":"Denver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1"/>
        <v>start /low /b %USERPROFILE%\Documents\GitHub\eaglep3\Utilities\DownloadLogsFromS3.py --loco 4016 --day 2017-09-19</v>
      </c>
      <c r="AN35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13:05:05"},{"id":29,"name":"Sharepoint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3"/>
        <v>https://d0f6bd738d7f1b3e5a7ca70fe4ff75f0.us-east-1.aws.found.io/app/kibana#/discover/Steve-Slow-Train-Analysis-(2080s-and-2083s)?_g=(refreshInterval:(display:Off,pause:!f,section:0,value:0),time:(from:'2017-09-19T05:22:46-0600',mode:absolute,to:'2017-09-19T08:05:05-0600'))&amp;_a=(columns:!('Message%20ID',Summary),filters:!(),index:'emp_*',interval:auto,query:(query_string:(analyze_wildcard:!t,query:'Message%5C+ID:(*)+AND+%22rtdc.l.rtdc.4016%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696</v>
      </c>
      <c r="B36" s="7">
        <v>4015</v>
      </c>
      <c r="C36" s="21" t="s">
        <v>197</v>
      </c>
      <c r="D36" s="21" t="s">
        <v>515</v>
      </c>
      <c r="E36" s="13">
        <v>42997.307083333333</v>
      </c>
      <c r="F36" s="13">
        <v>42997.310833333337</v>
      </c>
      <c r="G36" s="7">
        <v>56</v>
      </c>
      <c r="H36" s="21" t="s">
        <v>340</v>
      </c>
      <c r="I36" s="13">
        <v>42997.337175925924</v>
      </c>
      <c r="J36" s="7">
        <v>0</v>
      </c>
      <c r="K36" s="89" t="str">
        <f t="shared" si="0"/>
        <v>4015/4016</v>
      </c>
      <c r="L36" s="185" t="str">
        <f>VLOOKUP(A36,'Trips&amp;Operators'!$C$1:$G$99911,5,FALSE)</f>
        <v>LAMAR NEKESHA</v>
      </c>
      <c r="M36" s="6">
        <f t="shared" si="1"/>
        <v>2.6342592587752733E-2</v>
      </c>
      <c r="N36" s="7">
        <f t="shared" si="29"/>
        <v>37.933333326363936</v>
      </c>
      <c r="O36" s="7"/>
      <c r="P36" s="7"/>
      <c r="Q36" s="22"/>
      <c r="R36" s="174"/>
      <c r="S36" s="221">
        <f t="shared" si="3"/>
        <v>1</v>
      </c>
      <c r="T36" s="174" t="str">
        <f t="shared" si="4"/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5"/>
        <v>https://d0f6bd738d7f1b3e5a7ca70fe4ff75f0.us-east-1.aws.found.io/app/kibana#/discover/Steve-Slow-Train-Analysis-(2080s-and-2083s)?_g=(refreshInterval:(display:Off,pause:!f,section:0,value:0),time:(from:'2017-09-19T06:22:12-0600',mode:absolute,to:'2017-09-19T09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6" s="204" t="str">
        <f>IF(AA36&lt;VLOOKUP(AG36,Variables!$AC$3:$AD$8,2,FALSE),"Y","N")</f>
        <v>N</v>
      </c>
      <c r="X36" s="204">
        <f t="shared" si="6"/>
        <v>1</v>
      </c>
      <c r="Y36" s="204">
        <f t="shared" si="30"/>
        <v>23.3001</v>
      </c>
      <c r="Z36" s="204">
        <f t="shared" si="31"/>
        <v>1.43E-2</v>
      </c>
      <c r="AA36" s="204">
        <f t="shared" si="9"/>
        <v>23.285800000000002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 t="shared" si="10"/>
        <v>124</v>
      </c>
      <c r="AE36" s="77" t="str">
        <f t="shared" si="11"/>
        <v>aws s3 cp s3://rtdc.mdm.uploadarchive.raw/RTDC4015/ "%USERPROFILE%\AppData\Local\Temp\OnboardLogs"\RTDC4015\2017-09-19 --exclude "*" --recursive --include "*20170919*" &amp; "%USERPROFILE%\Documents\GitHub\mrs-test-scripts\Headless Mode &amp; Sideloading\WalkAndUnGZ.bat" "%USERPROFILE%\AppData\Local\Temp\OnboardLogs"\RTDC4015\2017-09-19 &amp; 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</v>
      </c>
      <c r="AF36" s="74" t="str">
        <f t="shared" si="12"/>
        <v>"C:\Program Files (x86)\AstroGrep\AstroGrep.exe" /e /r /s /spath="%USERPROFILE%\AppData\Local\Temp\OnboardLogs" /stypes="app*4015*20170919*" /stext=" 14:.+((SYSTEM_STATE.+slice.+state.+changed )|(ment ac)|(multiple cpu faults)|(system.+state.+changed )|(\[timeout)|(PRM\|1\|D)|(kpr)|(kdp)|(train st.+moving)|(\|lc)|(penalty))"</v>
      </c>
      <c r="AG36" s="182" t="str">
        <f t="shared" si="13"/>
        <v>EC</v>
      </c>
      <c r="AH36" s="78" t="str">
        <f t="shared" si="19"/>
        <v>"%USERPROFILE%\Documents\GitHub\eaglep3\Utilities\RefineRTDCRunTimes.py" --tripid 124-19 --locoid 4015 --swversion DE.1.0.9.0 --startMP 204:233001 --initTime 2017-09-19T07:22:12 --startdatetime 2017-09-19T07:27:36 --delay 56 --endMP 204:143 --enddatetime 2017-09-19T08:05:32 --enforcementcount 0 &gt;&gt;C:\Users\stu\Documents\GitHub\eaglep3-reporting\EC\2017-09-19-refined-times.txt</v>
      </c>
      <c r="AI36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{"issue":{"subject":"","project_id":79,"tracker_id":40,"status_id":1,"priority_id":2,"assigned_to_id":338,"start_date":"2017-09-19","description":"","custom_fields":[{"id":1,"name":"Subdivision","value":"EC"},{"id":4,"name":"Milepost","value":"0.0143"},{"id":17,"name":"Train ID","value":"124-19"},{"id":16,"name":"Locomotive ID","value":"4015"},{"id":130,"name":"Impact","value":""},{"id":150,"name":"Time of Event (Mountain Time)","value":"08:05:32"},{"id":151,"name":"Denver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1"/>
        <v>start /low /b %USERPROFILE%\Documents\GitHub\eaglep3\Utilities\DownloadLogsFromS3.py --loco 4015 --day 2017-09-19</v>
      </c>
      <c r="AN36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14:05:32"},{"id":29,"name":"Sharepoint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3"/>
        <v>https://d0f6bd738d7f1b3e5a7ca70fe4ff75f0.us-east-1.aws.found.io/app/kibana#/discover/Steve-Slow-Train-Analysis-(2080s-and-2083s)?_g=(refreshInterval:(display:Off,pause:!f,section:0,value:0),time:(from:'2017-09-19T06:22:12-0600',mode:absolute,to:'2017-09-19T09:05:32-0600'))&amp;_a=(columns:!('Message%20ID',Summary),filters:!(),index:'emp_*',interval:auto,query:(query_string:(analyze_wildcard:!t,query:'Message%5C+ID:(*)+AND+%22rtdc.l.rtdc.4015%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687</v>
      </c>
      <c r="B37" s="7">
        <v>4050</v>
      </c>
      <c r="C37" s="21" t="s">
        <v>197</v>
      </c>
      <c r="D37" s="21" t="s">
        <v>572</v>
      </c>
      <c r="E37" s="13">
        <v>42997.274652777778</v>
      </c>
      <c r="F37" s="13">
        <v>42997.281574074077</v>
      </c>
      <c r="G37" s="7">
        <v>95</v>
      </c>
      <c r="H37" s="21" t="s">
        <v>559</v>
      </c>
      <c r="I37" s="13">
        <v>42997.305659722224</v>
      </c>
      <c r="J37" s="7">
        <v>0</v>
      </c>
      <c r="K37" s="89" t="str">
        <f t="shared" si="0"/>
        <v>4049/4050</v>
      </c>
      <c r="L37" s="185" t="str">
        <f>VLOOKUP(A37,'Trips&amp;Operators'!$C$1:$G$99911,5,FALSE)</f>
        <v>YORK EDGAR</v>
      </c>
      <c r="M37" s="6">
        <f t="shared" si="1"/>
        <v>2.4085648146865424E-2</v>
      </c>
      <c r="N37" s="7">
        <f t="shared" si="29"/>
        <v>34.68333333148621</v>
      </c>
      <c r="O37" s="7"/>
      <c r="P37" s="7"/>
      <c r="Q37" s="22"/>
      <c r="R37" s="174"/>
      <c r="S37" s="221">
        <f t="shared" si="3"/>
        <v>1</v>
      </c>
      <c r="T37" s="174" t="str">
        <f t="shared" si="4"/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5"/>
        <v>https://d0f6bd738d7f1b3e5a7ca70fe4ff75f0.us-east-1.aws.found.io/app/kibana#/discover/Steve-Slow-Train-Analysis-(2080s-and-2083s)?_g=(refreshInterval:(display:Off,pause:!f,section:0,value:0),time:(from:'2017-09-19T05:35:30-0600',mode:absolute,to:'2017-09-19T08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7" s="204" t="str">
        <f>IF(AA37&lt;VLOOKUP(AG37,Variables!$AC$3:$AD$8,2,FALSE),"Y","N")</f>
        <v>N</v>
      </c>
      <c r="X37" s="204">
        <f t="shared" si="6"/>
        <v>1</v>
      </c>
      <c r="Y37" s="204">
        <f t="shared" si="30"/>
        <v>4.3499999999999997E-2</v>
      </c>
      <c r="Z37" s="204">
        <f t="shared" si="31"/>
        <v>23.329699999999999</v>
      </c>
      <c r="AA37" s="204">
        <f t="shared" si="9"/>
        <v>23.286199999999997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 t="shared" si="10"/>
        <v>125</v>
      </c>
      <c r="AE37" s="77" t="str">
        <f t="shared" si="11"/>
        <v>aws s3 cp s3://rtdc.mdm.uploadarchive.raw/RTDC4050/ "%USERPROFILE%\AppData\Local\Temp\OnboardLogs"\RTDC4050\2017-09-19 --exclude "*" --recursive --include "*20170919*" &amp; "%USERPROFILE%\Documents\GitHub\mrs-test-scripts\Headless Mode &amp; Sideloading\WalkAndUnGZ.bat" "%USERPROFILE%\AppData\Local\Temp\OnboardLogs"\RTDC4050\2017-09-19 &amp; aws s3 cp s3://rtdc.mdm.uploadarchive.raw/RTDC4050/ "%USERPROFILE%\AppData\Local\Temp\OnboardLogs"\RTDC4050\2017-09-20 --exclude "*" --recursive --include "*20170920*" &amp; "%USERPROFILE%\Documents\GitHub\mrs-test-scripts\Headless Mode &amp; Sideloading\WalkAndUnGZ.bat" "%USERPROFILE%\AppData\Local\Temp\OnboardLogs"\RTDC4050\2017-09-20</v>
      </c>
      <c r="AF37" s="74" t="str">
        <f t="shared" si="12"/>
        <v>"C:\Program Files (x86)\AstroGrep\AstroGrep.exe" /e /r /s /spath="%USERPROFILE%\AppData\Local\Temp\OnboardLogs" /stypes="app*4050*20170919*" /stext=" 13:.+((SYSTEM_STATE.+slice.+state.+changed )|(ment ac)|(multiple cpu faults)|(system.+state.+changed )|(\[timeout)|(PRM\|1\|D)|(kpr)|(kdp)|(train st.+moving)|(\|lc)|(penalty))"</v>
      </c>
      <c r="AG37" s="182" t="str">
        <f t="shared" si="13"/>
        <v>EC</v>
      </c>
      <c r="AH37" s="78" t="str">
        <f t="shared" si="19"/>
        <v>"%USERPROFILE%\Documents\GitHub\eaglep3\Utilities\RefineRTDCRunTimes.py" --tripid 125-19 --locoid 4050 --swversion DE.1.0.9.0 --startMP 204:435 --initTime 2017-09-19T06:35:30 --startdatetime 2017-09-19T06:45:28 --delay 95 --endMP 204:233297 --enddatetime 2017-09-19T07:20:09 --enforcementcount 0 &gt;&gt;C:\Users\stu\Documents\GitHub\eaglep3-reporting\EC\2017-09-19-refined-times.txt</v>
      </c>
      <c r="AI37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{"issue":{"subject":"","project_id":79,"tracker_id":40,"status_id":1,"priority_id":2,"assigned_to_id":338,"start_date":"2017-09-19","description":"","custom_fields":[{"id":1,"name":"Subdivision","value":"EC"},{"id":4,"name":"Milepost","value":"23.3297"},{"id":17,"name":"Train ID","value":"125-19"},{"id":16,"name":"Locomotive ID","value":"4050"},{"id":130,"name":"Impact","value":""},{"id":150,"name":"Time of Event (Mountain Time)","value":"07:20:09"},{"id":151,"name":"Denver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1"/>
        <v>start /low /b %USERPROFILE%\Documents\GitHub\eaglep3\Utilities\DownloadLogsFromS3.py --loco 4050 --day 2017-09-19</v>
      </c>
      <c r="AN37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13:20:09"},{"id":29,"name":"Sharepoint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3"/>
        <v>https://d0f6bd738d7f1b3e5a7ca70fe4ff75f0.us-east-1.aws.found.io/app/kibana#/discover/Steve-Slow-Train-Analysis-(2080s-and-2083s)?_g=(refreshInterval:(display:Off,pause:!f,section:0,value:0),time:(from:'2017-09-19T05:35:30-0600',mode:absolute,to:'2017-09-19T08:20:09-0600'))&amp;_a=(columns:!('Message%20ID',Summary),filters:!(),index:'emp_*',interval:auto,query:(query_string:(analyze_wildcard:!t,query:'Message%5C+ID:(*)+AND+%22rtdc.l.rtdc.4050%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695</v>
      </c>
      <c r="B38" s="7">
        <v>4049</v>
      </c>
      <c r="C38" s="21" t="s">
        <v>197</v>
      </c>
      <c r="D38" s="21" t="s">
        <v>488</v>
      </c>
      <c r="E38" s="13">
        <v>42997.306516203702</v>
      </c>
      <c r="F38" s="13">
        <v>42997.321053240739</v>
      </c>
      <c r="G38" s="7">
        <v>47</v>
      </c>
      <c r="H38" s="21" t="s">
        <v>343</v>
      </c>
      <c r="I38" s="13">
        <v>42997.346736111111</v>
      </c>
      <c r="J38" s="7">
        <v>0</v>
      </c>
      <c r="K38" s="89" t="str">
        <f t="shared" si="0"/>
        <v>4049/4050</v>
      </c>
      <c r="L38" s="185" t="str">
        <f>VLOOKUP(A38,'Trips&amp;Operators'!$C$1:$G$99911,5,FALSE)</f>
        <v>YORK EDGAR</v>
      </c>
      <c r="M38" s="6">
        <f t="shared" si="1"/>
        <v>2.5682870371383615E-2</v>
      </c>
      <c r="N38" s="7">
        <f t="shared" si="29"/>
        <v>36.983333334792405</v>
      </c>
      <c r="O38" s="7"/>
      <c r="P38" s="7"/>
      <c r="Q38" s="22"/>
      <c r="R38" s="174"/>
      <c r="S38" s="221">
        <f t="shared" si="3"/>
        <v>1</v>
      </c>
      <c r="T38" s="174" t="str">
        <f t="shared" si="4"/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5"/>
        <v>https://d0f6bd738d7f1b3e5a7ca70fe4ff75f0.us-east-1.aws.found.io/app/kibana#/discover/Steve-Slow-Train-Analysis-(2080s-and-2083s)?_g=(refreshInterval:(display:Off,pause:!f,section:0,value:0),time:(from:'2017-09-19T06:21:23-0600',mode:absolute,to:'2017-09-19T09:19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8" s="204" t="str">
        <f>IF(AA38&lt;VLOOKUP(AG38,Variables!$AC$3:$AD$8,2,FALSE),"Y","N")</f>
        <v>N</v>
      </c>
      <c r="X38" s="204">
        <f t="shared" si="6"/>
        <v>1</v>
      </c>
      <c r="Y38" s="204">
        <f t="shared" si="30"/>
        <v>23.298500000000001</v>
      </c>
      <c r="Z38" s="204">
        <f t="shared" si="31"/>
        <v>1.47E-2</v>
      </c>
      <c r="AA38" s="204">
        <f t="shared" si="9"/>
        <v>23.283799999999999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 t="shared" si="10"/>
        <v>126</v>
      </c>
      <c r="AE38" s="77" t="str">
        <f t="shared" si="11"/>
        <v>aws s3 cp s3://rtdc.mdm.uploadarchive.raw/RTDC4049/ "%USERPROFILE%\AppData\Local\Temp\OnboardLogs"\RTDC4049\2017-09-19 --exclude "*" --recursive --include "*20170919*" &amp; "%USERPROFILE%\Documents\GitHub\mrs-test-scripts\Headless Mode &amp; Sideloading\WalkAndUnGZ.bat" "%USERPROFILE%\AppData\Local\Temp\OnboardLogs"\RTDC4049\2017-09-19 &amp; aws s3 cp s3://rtdc.mdm.uploadarchive.raw/RTDC4049/ "%USERPROFILE%\AppData\Local\Temp\OnboardLogs"\RTDC4049\2017-09-20 --exclude "*" --recursive --include "*20170920*" &amp; "%USERPROFILE%\Documents\GitHub\mrs-test-scripts\Headless Mode &amp; Sideloading\WalkAndUnGZ.bat" "%USERPROFILE%\AppData\Local\Temp\OnboardLogs"\RTDC4049\2017-09-20</v>
      </c>
      <c r="AF38" s="74" t="str">
        <f t="shared" si="12"/>
        <v>"C:\Program Files (x86)\AstroGrep\AstroGrep.exe" /e /r /s /spath="%USERPROFILE%\AppData\Local\Temp\OnboardLogs" /stypes="app*4049*20170919*" /stext=" 14:.+((SYSTEM_STATE.+slice.+state.+changed )|(ment ac)|(multiple cpu faults)|(system.+state.+changed )|(\[timeout)|(PRM\|1\|D)|(kpr)|(kdp)|(train st.+moving)|(\|lc)|(penalty))"</v>
      </c>
      <c r="AG38" s="182" t="str">
        <f t="shared" si="13"/>
        <v>EC</v>
      </c>
      <c r="AH38" s="78" t="str">
        <f t="shared" si="19"/>
        <v>"%USERPROFILE%\Documents\GitHub\eaglep3\Utilities\RefineRTDCRunTimes.py" --tripid 126-19 --locoid 4049 --swversion DE.1.0.9.0 --startMP 204:232985 --initTime 2017-09-19T07:21:23 --startdatetime 2017-09-19T07:42:19 --delay 47 --endMP 204:147 --enddatetime 2017-09-19T08:19:18 --enforcementcount 0 &gt;&gt;C:\Users\stu\Documents\GitHub\eaglep3-reporting\EC\2017-09-19-refined-times.txt</v>
      </c>
      <c r="AI38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{"issue":{"subject":"","project_id":79,"tracker_id":40,"status_id":1,"priority_id":2,"assigned_to_id":338,"start_date":"2017-09-19","description":"","custom_fields":[{"id":1,"name":"Subdivision","value":"EC"},{"id":4,"name":"Milepost","value":"0.0147"},{"id":17,"name":"Train ID","value":"126-19"},{"id":16,"name":"Locomotive ID","value":"4049"},{"id":130,"name":"Impact","value":""},{"id":150,"name":"Time of Event (Mountain Time)","value":"08:19:18"},{"id":151,"name":"Denver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1"/>
        <v>start /low /b %USERPROFILE%\Documents\GitHub\eaglep3\Utilities\DownloadLogsFromS3.py --loco 4049 --day 2017-09-19</v>
      </c>
      <c r="AN38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14:19:18"},{"id":29,"name":"Sharepoint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3"/>
        <v>https://d0f6bd738d7f1b3e5a7ca70fe4ff75f0.us-east-1.aws.found.io/app/kibana#/discover/Steve-Slow-Train-Analysis-(2080s-and-2083s)?_g=(refreshInterval:(display:Off,pause:!f,section:0,value:0),time:(from:'2017-09-19T06:21:23-0600',mode:absolute,to:'2017-09-19T09:19:18-0600'))&amp;_a=(columns:!('Message%20ID',Summary),filters:!(),index:'emp_*',interval:auto,query:(query_string:(analyze_wildcard:!t,query:'Message%5C+ID:(*)+AND+%22rtdc.l.rtdc.4049%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614</v>
      </c>
      <c r="B39" s="7">
        <v>4054</v>
      </c>
      <c r="C39" s="21" t="s">
        <v>197</v>
      </c>
      <c r="D39" s="21" t="s">
        <v>438</v>
      </c>
      <c r="E39" s="13">
        <v>42997.286689814813</v>
      </c>
      <c r="F39" s="13">
        <v>42997.291898148149</v>
      </c>
      <c r="G39" s="7">
        <v>117</v>
      </c>
      <c r="H39" s="21" t="s">
        <v>868</v>
      </c>
      <c r="I39" s="13">
        <v>42997.316979166666</v>
      </c>
      <c r="J39" s="7">
        <v>0</v>
      </c>
      <c r="K39" s="89" t="str">
        <f t="shared" si="0"/>
        <v>4053/4054</v>
      </c>
      <c r="L39" s="185" t="str">
        <f>VLOOKUP(A39,'Trips&amp;Operators'!$C$1:$G$99911,5,FALSE)</f>
        <v>BARRON PERLA</v>
      </c>
      <c r="M39" s="6">
        <f t="shared" si="1"/>
        <v>2.5081018517084885E-2</v>
      </c>
      <c r="N39" s="7">
        <f t="shared" si="29"/>
        <v>36.116666664602235</v>
      </c>
      <c r="O39" s="7"/>
      <c r="P39" s="7"/>
      <c r="Q39" s="22"/>
      <c r="R39" s="174"/>
      <c r="S39" s="221">
        <f t="shared" si="3"/>
        <v>1</v>
      </c>
      <c r="T39" s="174" t="str">
        <f t="shared" si="4"/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5"/>
        <v>https://d0f6bd738d7f1b3e5a7ca70fe4ff75f0.us-east-1.aws.found.io/app/kibana#/discover/Steve-Slow-Train-Analysis-(2080s-and-2083s)?_g=(refreshInterval:(display:Off,pause:!f,section:0,value:0),time:(from:'2017-09-19T05:52:50-0600',mode:absolute,to:'2017-09-19T08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9" s="204" t="str">
        <f>IF(AA39&lt;VLOOKUP(AG39,Variables!$AC$3:$AD$8,2,FALSE),"Y","N")</f>
        <v>N</v>
      </c>
      <c r="X39" s="204">
        <f t="shared" si="6"/>
        <v>1</v>
      </c>
      <c r="Y39" s="204">
        <f t="shared" si="30"/>
        <v>4.3799999999999999E-2</v>
      </c>
      <c r="Z39" s="204">
        <f t="shared" si="31"/>
        <v>23.3278</v>
      </c>
      <c r="AA39" s="204">
        <f t="shared" si="9"/>
        <v>23.283999999999999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 t="shared" si="10"/>
        <v>127</v>
      </c>
      <c r="AE39" s="77" t="str">
        <f t="shared" si="11"/>
        <v>aws s3 cp s3://rtdc.mdm.uploadarchive.raw/RTDC4054/ "%USERPROFILE%\AppData\Local\Temp\OnboardLogs"\RTDC4054\2017-09-19 --exclude "*" --recursive --include "*20170919*" &amp; "%USERPROFILE%\Documents\GitHub\mrs-test-scripts\Headless Mode &amp; Sideloading\WalkAndUnGZ.bat" "%USERPROFILE%\AppData\Local\Temp\OnboardLogs"\RTDC4054\2017-09-19 &amp; aws s3 cp s3://rtdc.mdm.uploadarchive.raw/RTDC4054/ "%USERPROFILE%\AppData\Local\Temp\OnboardLogs"\RTDC4054\2017-09-20 --exclude "*" --recursive --include "*20170920*" &amp; "%USERPROFILE%\Documents\GitHub\mrs-test-scripts\Headless Mode &amp; Sideloading\WalkAndUnGZ.bat" "%USERPROFILE%\AppData\Local\Temp\OnboardLogs"\RTDC4054\2017-09-20</v>
      </c>
      <c r="AF39" s="74" t="str">
        <f t="shared" si="12"/>
        <v>"C:\Program Files (x86)\AstroGrep\AstroGrep.exe" /e /r /s /spath="%USERPROFILE%\AppData\Local\Temp\OnboardLogs" /stypes="app*4054*20170919*" /stext=" 13:.+((SYSTEM_STATE.+slice.+state.+changed )|(ment ac)|(multiple cpu faults)|(system.+state.+changed )|(\[timeout)|(PRM\|1\|D)|(kpr)|(kdp)|(train st.+moving)|(\|lc)|(penalty))"</v>
      </c>
      <c r="AG39" s="182" t="str">
        <f t="shared" si="13"/>
        <v>EC</v>
      </c>
      <c r="AH39" s="78" t="str">
        <f t="shared" si="19"/>
        <v>"%USERPROFILE%\Documents\GitHub\eaglep3\Utilities\RefineRTDCRunTimes.py" --tripid 127-19 --locoid 4054 --swversion DE.1.0.9.0 --startMP 204:438 --initTime 2017-09-19T06:52:50 --startdatetime 2017-09-19T07:00:20 --delay 117 --endMP 204:233278 --enddatetime 2017-09-19T07:36:27 --enforcementcount 0 &gt;&gt;C:\Users\stu\Documents\GitHub\eaglep3-reporting\EC\2017-09-19-refined-times.txt</v>
      </c>
      <c r="AI39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{"issue":{"subject":"","project_id":79,"tracker_id":40,"status_id":1,"priority_id":2,"assigned_to_id":338,"start_date":"2017-09-19","description":"","custom_fields":[{"id":1,"name":"Subdivision","value":"EC"},{"id":4,"name":"Milepost","value":"23.3278"},{"id":17,"name":"Train ID","value":"127-19"},{"id":16,"name":"Locomotive ID","value":"4054"},{"id":130,"name":"Impact","value":""},{"id":150,"name":"Time of Event (Mountain Time)","value":"07:36:27"},{"id":151,"name":"Denver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1"/>
        <v>start /low /b %USERPROFILE%\Documents\GitHub\eaglep3\Utilities\DownloadLogsFromS3.py --loco 4054 --day 2017-09-19</v>
      </c>
      <c r="AN39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13:36:27"},{"id":29,"name":"Sharepoint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3"/>
        <v>https://d0f6bd738d7f1b3e5a7ca70fe4ff75f0.us-east-1.aws.found.io/app/kibana#/discover/Steve-Slow-Train-Analysis-(2080s-and-2083s)?_g=(refreshInterval:(display:Off,pause:!f,section:0,value:0),time:(from:'2017-09-19T05:52:50-0600',mode:absolute,to:'2017-09-19T08:36:27-0600'))&amp;_a=(columns:!('Message%20ID',Summary),filters:!(),index:'emp_*',interval:auto,query:(query_string:(analyze_wildcard:!t,query:'Message%5C+ID:(*)+AND+%22rtdc.l.rtdc.4054%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698</v>
      </c>
      <c r="B40" s="7">
        <v>4053</v>
      </c>
      <c r="C40" s="21" t="s">
        <v>197</v>
      </c>
      <c r="D40" s="21" t="s">
        <v>427</v>
      </c>
      <c r="E40" s="13">
        <v>42997.318344907406</v>
      </c>
      <c r="F40" s="13">
        <v>42997.331469907411</v>
      </c>
      <c r="G40" s="7">
        <v>62</v>
      </c>
      <c r="H40" s="21" t="s">
        <v>382</v>
      </c>
      <c r="I40" s="13">
        <v>42997.358715277776</v>
      </c>
      <c r="J40" s="7">
        <v>0</v>
      </c>
      <c r="K40" s="89" t="str">
        <f t="shared" si="0"/>
        <v>4053/4054</v>
      </c>
      <c r="L40" s="185" t="str">
        <f>VLOOKUP(A40,'Trips&amp;Operators'!$C$1:$G$99911,5,FALSE)</f>
        <v>BARRON PERLA</v>
      </c>
      <c r="M40" s="6">
        <f t="shared" si="1"/>
        <v>2.7245370365562849E-2</v>
      </c>
      <c r="N40" s="7">
        <f t="shared" si="29"/>
        <v>39.233333326410502</v>
      </c>
      <c r="O40" s="7"/>
      <c r="P40" s="7"/>
      <c r="Q40" s="22"/>
      <c r="R40" s="174"/>
      <c r="S40" s="221">
        <f t="shared" si="3"/>
        <v>1</v>
      </c>
      <c r="T40" s="174" t="str">
        <f t="shared" si="4"/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5"/>
        <v>https://d0f6bd738d7f1b3e5a7ca70fe4ff75f0.us-east-1.aws.found.io/app/kibana#/discover/Steve-Slow-Train-Analysis-(2080s-and-2083s)?_g=(refreshInterval:(display:Off,pause:!f,section:0,value:0),time:(from:'2017-09-19T06:38:25-0600',mode:absolute,to:'2017-09-19T09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0" s="204" t="str">
        <f>IF(AA40&lt;VLOOKUP(AG40,Variables!$AC$3:$AD$8,2,FALSE),"Y","N")</f>
        <v>N</v>
      </c>
      <c r="X40" s="204">
        <f t="shared" si="6"/>
        <v>1</v>
      </c>
      <c r="Y40" s="204">
        <f t="shared" si="30"/>
        <v>23.297999999999998</v>
      </c>
      <c r="Z40" s="204">
        <f t="shared" si="31"/>
        <v>1.5800000000000002E-2</v>
      </c>
      <c r="AA40" s="204">
        <f t="shared" si="9"/>
        <v>23.2822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 t="shared" si="10"/>
        <v>128</v>
      </c>
      <c r="AE40" s="77" t="str">
        <f t="shared" si="11"/>
        <v>aws s3 cp s3://rtdc.mdm.uploadarchive.raw/RTDC4053/ "%USERPROFILE%\AppData\Local\Temp\OnboardLogs"\RTDC4053\2017-09-19 --exclude "*" --recursive --include "*20170919*" &amp; "%USERPROFILE%\Documents\GitHub\mrs-test-scripts\Headless Mode &amp; Sideloading\WalkAndUnGZ.bat" "%USERPROFILE%\AppData\Local\Temp\OnboardLogs"\RTDC4053\2017-09-19 &amp; aws s3 cp s3://rtdc.mdm.uploadarchive.raw/RTDC4053/ "%USERPROFILE%\AppData\Local\Temp\OnboardLogs"\RTDC4053\2017-09-20 --exclude "*" --recursive --include "*20170920*" &amp; "%USERPROFILE%\Documents\GitHub\mrs-test-scripts\Headless Mode &amp; Sideloading\WalkAndUnGZ.bat" "%USERPROFILE%\AppData\Local\Temp\OnboardLogs"\RTDC4053\2017-09-20</v>
      </c>
      <c r="AF40" s="74" t="str">
        <f t="shared" si="12"/>
        <v>"C:\Program Files (x86)\AstroGrep\AstroGrep.exe" /e /r /s /spath="%USERPROFILE%\AppData\Local\Temp\OnboardLogs" /stypes="app*4053*20170919*" /stext=" 14:.+((SYSTEM_STATE.+slice.+state.+changed )|(ment ac)|(multiple cpu faults)|(system.+state.+changed )|(\[timeout)|(PRM\|1\|D)|(kpr)|(kdp)|(train st.+moving)|(\|lc)|(penalty))"</v>
      </c>
      <c r="AG40" s="182" t="str">
        <f t="shared" si="13"/>
        <v>EC</v>
      </c>
      <c r="AH40" s="78" t="str">
        <f t="shared" si="19"/>
        <v>"%USERPROFILE%\Documents\GitHub\eaglep3\Utilities\RefineRTDCRunTimes.py" --tripid 128-19 --locoid 4053 --swversion DE.1.0.9.0 --startMP 204:232980 --initTime 2017-09-19T07:38:25 --startdatetime 2017-09-19T07:57:19 --delay 62 --endMP 204:158 --enddatetime 2017-09-19T08:36:33 --enforcementcount 0 &gt;&gt;C:\Users\stu\Documents\GitHub\eaglep3-reporting\EC\2017-09-19-refined-times.txt</v>
      </c>
      <c r="AI40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{"issue":{"subject":"","project_id":79,"tracker_id":40,"status_id":1,"priority_id":2,"assigned_to_id":338,"start_date":"2017-09-19","description":"","custom_fields":[{"id":1,"name":"Subdivision","value":"EC"},{"id":4,"name":"Milepost","value":"0.0158"},{"id":17,"name":"Train ID","value":"128-19"},{"id":16,"name":"Locomotive ID","value":"4053"},{"id":130,"name":"Impact","value":""},{"id":150,"name":"Time of Event (Mountain Time)","value":"08:36:33"},{"id":151,"name":"Denver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1"/>
        <v>start /low /b %USERPROFILE%\Documents\GitHub\eaglep3\Utilities\DownloadLogsFromS3.py --loco 4053 --day 2017-09-19</v>
      </c>
      <c r="AN40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14:36:33"},{"id":29,"name":"Sharepoint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3"/>
        <v>https://d0f6bd738d7f1b3e5a7ca70fe4ff75f0.us-east-1.aws.found.io/app/kibana#/discover/Steve-Slow-Train-Analysis-(2080s-and-2083s)?_g=(refreshInterval:(display:Off,pause:!f,section:0,value:0),time:(from:'2017-09-19T06:38:25-0600',mode:absolute,to:'2017-09-19T09:36:33-0600'))&amp;_a=(columns:!('Message%20ID',Summary),filters:!(),index:'emp_*',interval:auto,query:(query_string:(analyze_wildcard:!t,query:'Message%5C+ID:(*)+AND+%22rtdc.l.rtdc.4053%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691</v>
      </c>
      <c r="B41" s="7">
        <v>4028</v>
      </c>
      <c r="C41" s="21" t="s">
        <v>197</v>
      </c>
      <c r="D41" s="21" t="s">
        <v>381</v>
      </c>
      <c r="E41" s="13">
        <v>42997.298078703701</v>
      </c>
      <c r="F41" s="13">
        <v>42997.302233796298</v>
      </c>
      <c r="G41" s="7">
        <v>108</v>
      </c>
      <c r="H41" s="21" t="s">
        <v>568</v>
      </c>
      <c r="I41" s="13">
        <v>42997.327430555553</v>
      </c>
      <c r="J41" s="7">
        <v>0</v>
      </c>
      <c r="K41" s="89" t="str">
        <f t="shared" si="0"/>
        <v>4027/4028</v>
      </c>
      <c r="L41" s="185" t="str">
        <f>VLOOKUP(A41,'Trips&amp;Operators'!$C$1:$G$99911,5,FALSE)</f>
        <v>BROWN JACOB</v>
      </c>
      <c r="M41" s="6">
        <f t="shared" si="1"/>
        <v>2.5196759255777579E-2</v>
      </c>
      <c r="N41" s="7">
        <f t="shared" si="29"/>
        <v>36.283333328319713</v>
      </c>
      <c r="O41" s="7"/>
      <c r="P41" s="7"/>
      <c r="Q41" s="22"/>
      <c r="R41" s="174"/>
      <c r="S41" s="221">
        <f t="shared" si="3"/>
        <v>1</v>
      </c>
      <c r="T41" s="174" t="str">
        <f t="shared" si="4"/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5"/>
        <v>https://d0f6bd738d7f1b3e5a7ca70fe4ff75f0.us-east-1.aws.found.io/app/kibana#/discover/Steve-Slow-Train-Analysis-(2080s-and-2083s)?_g=(refreshInterval:(display:Off,pause:!f,section:0,value:0),time:(from:'2017-09-19T06:09:14-0600',mode:absolute,to:'2017-09-19T08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1" s="204" t="str">
        <f>IF(AA41&lt;VLOOKUP(AG41,Variables!$AC$3:$AD$8,2,FALSE),"Y","N")</f>
        <v>N</v>
      </c>
      <c r="X41" s="204">
        <f t="shared" si="6"/>
        <v>1</v>
      </c>
      <c r="Y41" s="204">
        <f t="shared" si="30"/>
        <v>4.5999999999999999E-2</v>
      </c>
      <c r="Z41" s="204">
        <f t="shared" si="31"/>
        <v>23.331399999999999</v>
      </c>
      <c r="AA41" s="204">
        <f t="shared" si="9"/>
        <v>23.285399999999999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 t="shared" si="10"/>
        <v>129</v>
      </c>
      <c r="AE41" s="77" t="str">
        <f t="shared" si="11"/>
        <v>aws s3 cp s3://rtdc.mdm.uploadarchive.raw/RTDC4028/ "%USERPROFILE%\AppData\Local\Temp\OnboardLogs"\RTDC4028\2017-09-19 --exclude "*" --recursive --include "*20170919*" &amp; "%USERPROFILE%\Documents\GitHub\mrs-test-scripts\Headless Mode &amp; Sideloading\WalkAndUnGZ.bat" "%USERPROFILE%\AppData\Local\Temp\OnboardLogs"\RTDC4028\2017-09-19 &amp; aws s3 cp s3://rtdc.mdm.uploadarchive.raw/RTDC4028/ "%USERPROFILE%\AppData\Local\Temp\OnboardLogs"\RTDC4028\2017-09-20 --exclude "*" --recursive --include "*20170920*" &amp; "%USERPROFILE%\Documents\GitHub\mrs-test-scripts\Headless Mode &amp; Sideloading\WalkAndUnGZ.bat" "%USERPROFILE%\AppData\Local\Temp\OnboardLogs"\RTDC4028\2017-09-20</v>
      </c>
      <c r="AF41" s="74" t="str">
        <f t="shared" si="12"/>
        <v>"C:\Program Files (x86)\AstroGrep\AstroGrep.exe" /e /r /s /spath="%USERPROFILE%\AppData\Local\Temp\OnboardLogs" /stypes="app*4028*20170919*" /stext=" 13:.+((SYSTEM_STATE.+slice.+state.+changed )|(ment ac)|(multiple cpu faults)|(system.+state.+changed )|(\[timeout)|(PRM\|1\|D)|(kpr)|(kdp)|(train st.+moving)|(\|lc)|(penalty))"</v>
      </c>
      <c r="AG41" s="182" t="str">
        <f t="shared" si="13"/>
        <v>EC</v>
      </c>
      <c r="AH41" s="78" t="str">
        <f t="shared" si="19"/>
        <v>"%USERPROFILE%\Documents\GitHub\eaglep3\Utilities\RefineRTDCRunTimes.py" --tripid 129-19 --locoid 4028 --swversion DE.1.0.9.0 --startMP 204:460 --initTime 2017-09-19T07:09:14 --startdatetime 2017-09-19T07:15:13 --delay 108 --endMP 204:233314 --enddatetime 2017-09-19T07:51:30 --enforcementcount 0 &gt;&gt;C:\Users\stu\Documents\GitHub\eaglep3-reporting\EC\2017-09-19-refined-times.txt</v>
      </c>
      <c r="AI41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{"issue":{"subject":"","project_id":79,"tracker_id":40,"status_id":1,"priority_id":2,"assigned_to_id":338,"start_date":"2017-09-19","description":"","custom_fields":[{"id":1,"name":"Subdivision","value":"EC"},{"id":4,"name":"Milepost","value":"23.3314"},{"id":17,"name":"Train ID","value":"129-19"},{"id":16,"name":"Locomotive ID","value":"4028"},{"id":130,"name":"Impact","value":""},{"id":150,"name":"Time of Event (Mountain Time)","value":"07:51:30"},{"id":151,"name":"Denver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1"/>
        <v>start /low /b %USERPROFILE%\Documents\GitHub\eaglep3\Utilities\DownloadLogsFromS3.py --loco 4028 --day 2017-09-19</v>
      </c>
      <c r="AN41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13:51:30"},{"id":29,"name":"Sharepoint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3"/>
        <v>https://d0f6bd738d7f1b3e5a7ca70fe4ff75f0.us-east-1.aws.found.io/app/kibana#/discover/Steve-Slow-Train-Analysis-(2080s-and-2083s)?_g=(refreshInterval:(display:Off,pause:!f,section:0,value:0),time:(from:'2017-09-19T06:09:14-0600',mode:absolute,to:'2017-09-19T08:51:30-0600'))&amp;_a=(columns:!('Message%20ID',Summary),filters:!(),index:'emp_*',interval:auto,query:(query_string:(analyze_wildcard:!t,query:'Message%5C+ID:(*)+AND+%22rtdc.l.rtdc.4028%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617</v>
      </c>
      <c r="B42" s="7">
        <v>4027</v>
      </c>
      <c r="C42" s="21" t="s">
        <v>197</v>
      </c>
      <c r="D42" s="21" t="s">
        <v>487</v>
      </c>
      <c r="E42" s="13">
        <v>42997.334780092591</v>
      </c>
      <c r="F42" s="13">
        <v>42997.341793981483</v>
      </c>
      <c r="G42" s="7">
        <v>89</v>
      </c>
      <c r="H42" s="21" t="s">
        <v>869</v>
      </c>
      <c r="I42" s="13">
        <v>42997.369502314818</v>
      </c>
      <c r="J42" s="7">
        <v>0</v>
      </c>
      <c r="K42" s="89" t="str">
        <f t="shared" si="0"/>
        <v>4027/4028</v>
      </c>
      <c r="L42" s="185" t="str">
        <f>VLOOKUP(A42,'Trips&amp;Operators'!$C$1:$G$99911,5,FALSE)</f>
        <v>BROWN JACOB</v>
      </c>
      <c r="M42" s="6">
        <f t="shared" si="1"/>
        <v>2.7708333334885538E-2</v>
      </c>
      <c r="N42" s="7">
        <f t="shared" si="29"/>
        <v>39.900000002235174</v>
      </c>
      <c r="O42" s="7"/>
      <c r="P42" s="7"/>
      <c r="Q42" s="22"/>
      <c r="R42" s="174"/>
      <c r="S42" s="221">
        <f t="shared" si="3"/>
        <v>1</v>
      </c>
      <c r="T42" s="174" t="str">
        <f t="shared" si="4"/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5"/>
        <v>https://d0f6bd738d7f1b3e5a7ca70fe4ff75f0.us-east-1.aws.found.io/app/kibana#/discover/Steve-Slow-Train-Analysis-(2080s-and-2083s)?_g=(refreshInterval:(display:Off,pause:!f,section:0,value:0),time:(from:'2017-09-19T07:02:05-0600',mode:absolute,to:'2017-09-19T09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2" s="204" t="str">
        <f>IF(AA42&lt;VLOOKUP(AG42,Variables!$AC$3:$AD$8,2,FALSE),"Y","N")</f>
        <v>N</v>
      </c>
      <c r="X42" s="204">
        <f t="shared" si="6"/>
        <v>1</v>
      </c>
      <c r="Y42" s="204">
        <f t="shared" si="30"/>
        <v>23.299299999999999</v>
      </c>
      <c r="Z42" s="204">
        <f t="shared" si="31"/>
        <v>1.6500000000000001E-2</v>
      </c>
      <c r="AA42" s="204">
        <f t="shared" si="9"/>
        <v>23.282799999999998</v>
      </c>
      <c r="AB42" s="54" t="str">
        <f>VLOOKUP(A42,Enforcements!$C$7:$K$11,8,0)</f>
        <v>Bulletin (2)</v>
      </c>
      <c r="AC42" s="51" t="str">
        <f>VLOOKUP(A42,Enforcements!$C$7:$E$11,3,0)</f>
        <v>GRADE CROSSING</v>
      </c>
      <c r="AD42" s="179">
        <f t="shared" si="10"/>
        <v>130</v>
      </c>
      <c r="AE42" s="77" t="str">
        <f t="shared" si="11"/>
        <v>aws s3 cp s3://rtdc.mdm.uploadarchive.raw/RTDC4027/ "%USERPROFILE%\AppData\Local\Temp\OnboardLogs"\RTDC4027\2017-09-19 --exclude "*" --recursive --include "*20170919*" &amp; "%USERPROFILE%\Documents\GitHub\mrs-test-scripts\Headless Mode &amp; Sideloading\WalkAndUnGZ.bat" "%USERPROFILE%\AppData\Local\Temp\OnboardLogs"\RTDC4027\2017-09-19 &amp; aws s3 cp s3://rtdc.mdm.uploadarchive.raw/RTDC4027/ "%USERPROFILE%\AppData\Local\Temp\OnboardLogs"\RTDC4027\2017-09-20 --exclude "*" --recursive --include "*20170920*" &amp; "%USERPROFILE%\Documents\GitHub\mrs-test-scripts\Headless Mode &amp; Sideloading\WalkAndUnGZ.bat" "%USERPROFILE%\AppData\Local\Temp\OnboardLogs"\RTDC4027\2017-09-20</v>
      </c>
      <c r="AF42" s="74" t="str">
        <f t="shared" si="12"/>
        <v>"C:\Program Files (x86)\AstroGrep\AstroGrep.exe" /e /r /s /spath="%USERPROFILE%\AppData\Local\Temp\OnboardLogs" /stypes="app*4027*20170919*" /stext=" 14:.+((SYSTEM_STATE.+slice.+state.+changed )|(ment ac)|(multiple cpu faults)|(system.+state.+changed )|(\[timeout)|(PRM\|1\|D)|(kpr)|(kdp)|(train st.+moving)|(\|lc)|(penalty))"</v>
      </c>
      <c r="AG42" s="182" t="str">
        <f t="shared" si="13"/>
        <v>EC</v>
      </c>
      <c r="AH42" s="78" t="str">
        <f t="shared" si="19"/>
        <v>"%USERPROFILE%\Documents\GitHub\eaglep3\Utilities\RefineRTDCRunTimes.py" --tripid 130-19 --locoid 4027 --swversion DE.1.0.9.0 --startMP 204:232993 --initTime 2017-09-19T08:02:05 --startdatetime 2017-09-19T08:12:11 --delay 89 --endMP 204:165 --enddatetime 2017-09-19T08:52:05 --enforcementcount 0 &gt;&gt;C:\Users\stu\Documents\GitHub\eaglep3-reporting\EC\2017-09-19-refined-times.txt</v>
      </c>
      <c r="AI42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{"issue":{"subject":"","project_id":79,"tracker_id":40,"status_id":1,"priority_id":2,"assigned_to_id":338,"start_date":"2017-09-19","description":"","custom_fields":[{"id":1,"name":"Subdivision","value":"EC"},{"id":4,"name":"Milepost","value":"0.0165"},{"id":17,"name":"Train ID","value":"130-19"},{"id":16,"name":"Locomotive ID","value":"4027"},{"id":130,"name":"Impact","value":""},{"id":150,"name":"Time of Event (Mountain Time)","value":"08:52:05"},{"id":151,"name":"Denver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1"/>
        <v>start /low /b %USERPROFILE%\Documents\GitHub\eaglep3\Utilities\DownloadLogsFromS3.py --loco 4027 --day 2017-09-19</v>
      </c>
      <c r="AN42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14:52:05"},{"id":29,"name":"Sharepoint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3"/>
        <v>https://d0f6bd738d7f1b3e5a7ca70fe4ff75f0.us-east-1.aws.found.io/app/kibana#/discover/Steve-Slow-Train-Analysis-(2080s-and-2083s)?_g=(refreshInterval:(display:Off,pause:!f,section:0,value:0),time:(from:'2017-09-19T07:02:05-0600',mode:absolute,to:'2017-09-19T09:52:05-0600'))&amp;_a=(columns:!('Message%20ID',Summary),filters:!(),index:'emp_*',interval:auto,query:(query_string:(analyze_wildcard:!t,query:'Message%5C+ID:(*)+AND+%22rtdc.l.rtdc.4027%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694</v>
      </c>
      <c r="B43" s="7">
        <v>4014</v>
      </c>
      <c r="C43" s="21" t="s">
        <v>197</v>
      </c>
      <c r="D43" s="21" t="s">
        <v>341</v>
      </c>
      <c r="E43" s="13">
        <v>42997.304988425924</v>
      </c>
      <c r="F43" s="13">
        <v>42997.312824074077</v>
      </c>
      <c r="G43" s="7">
        <v>45</v>
      </c>
      <c r="H43" s="21" t="s">
        <v>870</v>
      </c>
      <c r="I43" s="13">
        <v>42997.336064814815</v>
      </c>
      <c r="J43" s="7">
        <v>0</v>
      </c>
      <c r="K43" s="89" t="str">
        <f t="shared" si="0"/>
        <v>4013/4014</v>
      </c>
      <c r="L43" s="185" t="str">
        <f>VLOOKUP(A43,'Trips&amp;Operators'!$C$1:$G$99911,5,FALSE)</f>
        <v>BIRENBAUM THOMAS</v>
      </c>
      <c r="M43" s="6">
        <f t="shared" si="1"/>
        <v>2.3240740738401655E-2</v>
      </c>
      <c r="N43" s="7">
        <f t="shared" si="29"/>
        <v>33.466666663298383</v>
      </c>
      <c r="O43" s="7"/>
      <c r="P43" s="7"/>
      <c r="Q43" s="22"/>
      <c r="R43" s="174"/>
      <c r="S43" s="221">
        <f t="shared" si="3"/>
        <v>1</v>
      </c>
      <c r="T43" s="174" t="str">
        <f t="shared" si="4"/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5"/>
        <v>https://d0f6bd738d7f1b3e5a7ca70fe4ff75f0.us-east-1.aws.found.io/app/kibana#/discover/Steve-Slow-Train-Analysis-(2080s-and-2083s)?_g=(refreshInterval:(display:Off,pause:!f,section:0,value:0),time:(from:'2017-09-19T06:19:11-0600',mode:absolute,to:'2017-09-19T09:03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3" s="204" t="str">
        <f>IF(AA43&lt;VLOOKUP(AG43,Variables!$AC$3:$AD$8,2,FALSE),"Y","N")</f>
        <v>N</v>
      </c>
      <c r="X43" s="204">
        <f t="shared" si="6"/>
        <v>1</v>
      </c>
      <c r="Y43" s="204">
        <f t="shared" si="30"/>
        <v>4.53E-2</v>
      </c>
      <c r="Z43" s="204">
        <f t="shared" si="31"/>
        <v>23.332000000000001</v>
      </c>
      <c r="AA43" s="204">
        <f t="shared" si="9"/>
        <v>23.2867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 t="shared" si="10"/>
        <v>131</v>
      </c>
      <c r="AE43" s="77" t="str">
        <f t="shared" si="11"/>
        <v>aws s3 cp s3://rtdc.mdm.uploadarchive.raw/RTDC4014/ "%USERPROFILE%\AppData\Local\Temp\OnboardLogs"\RTDC4014\2017-09-19 --exclude "*" --recursive --include "*20170919*" &amp; "%USERPROFILE%\Documents\GitHub\mrs-test-scripts\Headless Mode &amp; Sideloading\WalkAndUnGZ.bat" "%USERPROFILE%\AppData\Local\Temp\OnboardLogs"\RTDC4014\2017-09-19 &amp; aws s3 cp s3://rtdc.mdm.uploadarchive.raw/RTDC4014/ "%USERPROFILE%\AppData\Local\Temp\OnboardLogs"\RTDC4014\2017-09-20 --exclude "*" --recursive --include "*20170920*" &amp; "%USERPROFILE%\Documents\GitHub\mrs-test-scripts\Headless Mode &amp; Sideloading\WalkAndUnGZ.bat" "%USERPROFILE%\AppData\Local\Temp\OnboardLogs"\RTDC4014\2017-09-20</v>
      </c>
      <c r="AF43" s="74" t="str">
        <f t="shared" si="12"/>
        <v>"C:\Program Files (x86)\AstroGrep\AstroGrep.exe" /e /r /s /spath="%USERPROFILE%\AppData\Local\Temp\OnboardLogs" /stypes="app*4014*20170919*" /stext=" 14:.+((SYSTEM_STATE.+slice.+state.+changed )|(ment ac)|(multiple cpu faults)|(system.+state.+changed )|(\[timeout)|(PRM\|1\|D)|(kpr)|(kdp)|(train st.+moving)|(\|lc)|(penalty))"</v>
      </c>
      <c r="AG43" s="182" t="str">
        <f t="shared" si="13"/>
        <v>EC</v>
      </c>
      <c r="AH43" s="78" t="str">
        <f t="shared" si="19"/>
        <v>"%USERPROFILE%\Documents\GitHub\eaglep3\Utilities\RefineRTDCRunTimes.py" --tripid 131-19 --locoid 4014 --swversion DE.1.0.9.0 --startMP 204:453 --initTime 2017-09-19T07:19:11 --startdatetime 2017-09-19T07:30:28 --delay 45 --endMP 204:233320 --enddatetime 2017-09-19T08:03:56 --enforcementcount 0 &gt;&gt;C:\Users\stu\Documents\GitHub\eaglep3-reporting\EC\2017-09-19-refined-times.txt</v>
      </c>
      <c r="AI43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{"issue":{"subject":"","project_id":79,"tracker_id":40,"status_id":1,"priority_id":2,"assigned_to_id":338,"start_date":"2017-09-19","description":"","custom_fields":[{"id":1,"name":"Subdivision","value":"EC"},{"id":4,"name":"Milepost","value":"23.332"},{"id":17,"name":"Train ID","value":"131-19"},{"id":16,"name":"Locomotive ID","value":"4014"},{"id":130,"name":"Impact","value":""},{"id":150,"name":"Time of Event (Mountain Time)","value":"08:03:56"},{"id":151,"name":"Denver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1"/>
        <v>start /low /b %USERPROFILE%\Documents\GitHub\eaglep3\Utilities\DownloadLogsFromS3.py --loco 4014 --day 2017-09-19</v>
      </c>
      <c r="AN43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14:03:56"},{"id":29,"name":"Sharepoint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3"/>
        <v>https://d0f6bd738d7f1b3e5a7ca70fe4ff75f0.us-east-1.aws.found.io/app/kibana#/discover/Steve-Slow-Train-Analysis-(2080s-and-2083s)?_g=(refreshInterval:(display:Off,pause:!f,section:0,value:0),time:(from:'2017-09-19T06:19:11-0600',mode:absolute,to:'2017-09-19T09:03:56-0600'))&amp;_a=(columns:!('Message%20ID',Summary),filters:!(),index:'emp_*',interval:auto,query:(query_string:(analyze_wildcard:!t,query:'Message%5C+ID:(*)+AND+%22rtdc.l.rtdc.4014%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708</v>
      </c>
      <c r="B44" s="7">
        <v>4013</v>
      </c>
      <c r="C44" s="21" t="s">
        <v>197</v>
      </c>
      <c r="D44" s="21" t="s">
        <v>580</v>
      </c>
      <c r="E44" s="13">
        <v>42997.337199074071</v>
      </c>
      <c r="F44" s="13">
        <v>42997.352233796293</v>
      </c>
      <c r="G44" s="7">
        <v>284</v>
      </c>
      <c r="H44" s="21" t="s">
        <v>340</v>
      </c>
      <c r="I44" s="13">
        <v>42997.377465277779</v>
      </c>
      <c r="J44" s="7">
        <v>0</v>
      </c>
      <c r="K44" s="89" t="str">
        <f t="shared" si="0"/>
        <v>4013/4014</v>
      </c>
      <c r="L44" s="185" t="str">
        <f>VLOOKUP(A44,'Trips&amp;Operators'!$C$1:$G$99911,5,FALSE)</f>
        <v>BIRENBAUM THOMAS</v>
      </c>
      <c r="M44" s="6">
        <f t="shared" si="1"/>
        <v>2.5231481486116536E-2</v>
      </c>
      <c r="N44" s="7">
        <f t="shared" si="29"/>
        <v>36.333333340007812</v>
      </c>
      <c r="O44" s="7"/>
      <c r="P44" s="7"/>
      <c r="Q44" s="22"/>
      <c r="R44" s="174"/>
      <c r="S44" s="221">
        <f t="shared" si="3"/>
        <v>1</v>
      </c>
      <c r="T44" s="174" t="str">
        <f t="shared" si="4"/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5"/>
        <v>https://d0f6bd738d7f1b3e5a7ca70fe4ff75f0.us-east-1.aws.found.io/app/kibana#/discover/Steve-Slow-Train-Analysis-(2080s-and-2083s)?_g=(refreshInterval:(display:Off,pause:!f,section:0,value:0),time:(from:'2017-09-19T07:05:34-0600',mode:absolute,to:'2017-09-19T10:03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4" s="204" t="str">
        <f>IF(AA44&lt;VLOOKUP(AG44,Variables!$AC$3:$AD$8,2,FALSE),"Y","N")</f>
        <v>N</v>
      </c>
      <c r="X44" s="204">
        <f t="shared" si="6"/>
        <v>1</v>
      </c>
      <c r="Y44" s="204">
        <f t="shared" si="30"/>
        <v>23.2988</v>
      </c>
      <c r="Z44" s="204">
        <f t="shared" si="31"/>
        <v>1.43E-2</v>
      </c>
      <c r="AA44" s="204">
        <f t="shared" si="9"/>
        <v>23.284500000000001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 t="shared" si="10"/>
        <v>132</v>
      </c>
      <c r="AE44" s="77" t="str">
        <f t="shared" si="11"/>
        <v>aws s3 cp s3://rtdc.mdm.uploadarchive.raw/RTDC4013/ "%USERPROFILE%\AppData\Local\Temp\OnboardLogs"\RTDC4013\2017-09-19 --exclude "*" --recursive --include "*20170919*" &amp; "%USERPROFILE%\Documents\GitHub\mrs-test-scripts\Headless Mode &amp; Sideloading\WalkAndUnGZ.bat" "%USERPROFILE%\AppData\Local\Temp\OnboardLogs"\RTDC4013\2017-09-19 &amp; aws s3 cp s3://rtdc.mdm.uploadarchive.raw/RTDC4013/ "%USERPROFILE%\AppData\Local\Temp\OnboardLogs"\RTDC4013\2017-09-20 --exclude "*" --recursive --include "*20170920*" &amp; "%USERPROFILE%\Documents\GitHub\mrs-test-scripts\Headless Mode &amp; Sideloading\WalkAndUnGZ.bat" "%USERPROFILE%\AppData\Local\Temp\OnboardLogs"\RTDC4013\2017-09-20</v>
      </c>
      <c r="AF44" s="74" t="str">
        <f t="shared" si="12"/>
        <v>"C:\Program Files (x86)\AstroGrep\AstroGrep.exe" /e /r /s /spath="%USERPROFILE%\AppData\Local\Temp\OnboardLogs" /stypes="app*4013*20170919*" /stext=" 15:.+((SYSTEM_STATE.+slice.+state.+changed )|(ment ac)|(multiple cpu faults)|(system.+state.+changed )|(\[timeout)|(PRM\|1\|D)|(kpr)|(kdp)|(train st.+moving)|(\|lc)|(penalty))"</v>
      </c>
      <c r="AG44" s="182" t="str">
        <f t="shared" si="13"/>
        <v>EC</v>
      </c>
      <c r="AH44" s="78" t="str">
        <f t="shared" si="19"/>
        <v>"%USERPROFILE%\Documents\GitHub\eaglep3\Utilities\RefineRTDCRunTimes.py" --tripid 132-19 --locoid 4013 --swversion DE.1.0.9.0 --startMP 204:232988 --initTime 2017-09-19T08:05:34 --startdatetime 2017-09-19T08:27:13 --delay 284 --endMP 204:143 --enddatetime 2017-09-19T09:03:33 --enforcementcount 0 &gt;&gt;C:\Users\stu\Documents\GitHub\eaglep3-reporting\EC\2017-09-19-refined-times.txt</v>
      </c>
      <c r="AI44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{"issue":{"subject":"","project_id":79,"tracker_id":40,"status_id":1,"priority_id":2,"assigned_to_id":338,"start_date":"2017-09-19","description":"","custom_fields":[{"id":1,"name":"Subdivision","value":"EC"},{"id":4,"name":"Milepost","value":"0.0143"},{"id":17,"name":"Train ID","value":"132-19"},{"id":16,"name":"Locomotive ID","value":"4013"},{"id":130,"name":"Impact","value":""},{"id":150,"name":"Time of Event (Mountain Time)","value":"09:03:33"},{"id":151,"name":"Denver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1"/>
        <v>start /low /b %USERPROFILE%\Documents\GitHub\eaglep3\Utilities\DownloadLogsFromS3.py --loco 4013 --day 2017-09-19</v>
      </c>
      <c r="AN44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15:03:33"},{"id":29,"name":"Sharepoint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3"/>
        <v>https://d0f6bd738d7f1b3e5a7ca70fe4ff75f0.us-east-1.aws.found.io/app/kibana#/discover/Steve-Slow-Train-Analysis-(2080s-and-2083s)?_g=(refreshInterval:(display:Off,pause:!f,section:0,value:0),time:(from:'2017-09-19T07:05:34-0600',mode:absolute,to:'2017-09-19T10:03:33-0600'))&amp;_a=(columns:!('Message%20ID',Summary),filters:!(),index:'emp_*',interval:auto,query:(query_string:(analyze_wildcard:!t,query:'Message%5C+ID:(*)+AND+%22rtdc.l.rtdc.4013%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699</v>
      </c>
      <c r="B45" s="7">
        <v>4056</v>
      </c>
      <c r="C45" s="21" t="s">
        <v>197</v>
      </c>
      <c r="D45" s="21" t="s">
        <v>525</v>
      </c>
      <c r="E45" s="13">
        <v>42997.321412037039</v>
      </c>
      <c r="F45" s="13">
        <v>42997.323263888888</v>
      </c>
      <c r="G45" s="7">
        <v>86</v>
      </c>
      <c r="H45" s="21" t="s">
        <v>532</v>
      </c>
      <c r="I45" s="13">
        <v>42997.34884259259</v>
      </c>
      <c r="J45" s="7">
        <v>0</v>
      </c>
      <c r="K45" s="89" t="str">
        <f t="shared" si="0"/>
        <v>4055/4056</v>
      </c>
      <c r="L45" s="185" t="str">
        <f>VLOOKUP(A45,'Trips&amp;Operators'!$C$1:$G$99911,5,FALSE)</f>
        <v>LANGERAK WILLIAM</v>
      </c>
      <c r="M45" s="6">
        <f t="shared" si="1"/>
        <v>2.5578703702194616E-2</v>
      </c>
      <c r="N45" s="7">
        <f t="shared" si="29"/>
        <v>36.833333331160247</v>
      </c>
      <c r="O45" s="7"/>
      <c r="P45" s="7"/>
      <c r="Q45" s="22"/>
      <c r="R45" s="174"/>
      <c r="S45" s="221">
        <f t="shared" si="3"/>
        <v>1</v>
      </c>
      <c r="T45" s="174" t="str">
        <f t="shared" si="4"/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5"/>
        <v>https://d0f6bd738d7f1b3e5a7ca70fe4ff75f0.us-east-1.aws.found.io/app/kibana#/discover/Steve-Slow-Train-Analysis-(2080s-and-2083s)?_g=(refreshInterval:(display:Off,pause:!f,section:0,value:0),time:(from:'2017-09-19T06:42:50-0600',mode:absolute,to:'2017-09-19T09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5" s="204" t="str">
        <f>IF(AA45&lt;VLOOKUP(AG45,Variables!$AC$3:$AD$8,2,FALSE),"Y","N")</f>
        <v>N</v>
      </c>
      <c r="X45" s="204">
        <f t="shared" ref="X45:X76" si="32">VALUE(LEFT(AD45,4))-VALUE(LEFT(AD44,4))</f>
        <v>1</v>
      </c>
      <c r="Y45" s="204">
        <f t="shared" si="30"/>
        <v>4.5699999999999998E-2</v>
      </c>
      <c r="Z45" s="204">
        <f t="shared" si="31"/>
        <v>23.332899999999999</v>
      </c>
      <c r="AA45" s="204">
        <f t="shared" si="9"/>
        <v>23.287199999999999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 t="shared" si="10"/>
        <v>133</v>
      </c>
      <c r="AE45" s="77" t="str">
        <f t="shared" si="11"/>
        <v>aws s3 cp s3://rtdc.mdm.uploadarchive.raw/RTDC4056/ "%USERPROFILE%\AppData\Local\Temp\OnboardLogs"\RTDC4056\2017-09-19 --exclude "*" --recursive --include "*20170919*" &amp; "%USERPROFILE%\Documents\GitHub\mrs-test-scripts\Headless Mode &amp; Sideloading\WalkAndUnGZ.bat" "%USERPROFILE%\AppData\Local\Temp\OnboardLogs"\RTDC4056\2017-09-19 &amp; aws s3 cp s3://rtdc.mdm.uploadarchive.raw/RTDC4056/ "%USERPROFILE%\AppData\Local\Temp\OnboardLogs"\RTDC4056\2017-09-20 --exclude "*" --recursive --include "*20170920*" &amp; "%USERPROFILE%\Documents\GitHub\mrs-test-scripts\Headless Mode &amp; Sideloading\WalkAndUnGZ.bat" "%USERPROFILE%\AppData\Local\Temp\OnboardLogs"\RTDC4056\2017-09-20</v>
      </c>
      <c r="AF45" s="74" t="str">
        <f t="shared" si="12"/>
        <v>"C:\Program Files (x86)\AstroGrep\AstroGrep.exe" /e /r /s /spath="%USERPROFILE%\AppData\Local\Temp\OnboardLogs" /stypes="app*4056*20170919*" /stext=" 14:.+((SYSTEM_STATE.+slice.+state.+changed )|(ment ac)|(multiple cpu faults)|(system.+state.+changed )|(\[timeout)|(PRM\|1\|D)|(kpr)|(kdp)|(train st.+moving)|(\|lc)|(penalty))"</v>
      </c>
      <c r="AG45" s="182" t="str">
        <f t="shared" si="13"/>
        <v>EC</v>
      </c>
      <c r="AH45" s="78" t="str">
        <f t="shared" si="19"/>
        <v>"%USERPROFILE%\Documents\GitHub\eaglep3\Utilities\RefineRTDCRunTimes.py" --tripid 133-19 --locoid 4056 --swversion DE.1.0.9.0 --startMP 204:457 --initTime 2017-09-19T07:42:50 --startdatetime 2017-09-19T07:45:30 --delay 86 --endMP 204:233329 --enddatetime 2017-09-19T08:22:20 --enforcementcount 0 &gt;&gt;C:\Users\stu\Documents\GitHub\eaglep3-reporting\EC\2017-09-19-refined-times.txt</v>
      </c>
      <c r="AI45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{"issue":{"subject":"","project_id":79,"tracker_id":40,"status_id":1,"priority_id":2,"assigned_to_id":338,"start_date":"2017-09-19","description":"","custom_fields":[{"id":1,"name":"Subdivision","value":"EC"},{"id":4,"name":"Milepost","value":"23.3329"},{"id":17,"name":"Train ID","value":"133-19"},{"id":16,"name":"Locomotive ID","value":"4056"},{"id":130,"name":"Impact","value":""},{"id":150,"name":"Time of Event (Mountain Time)","value":"08:22:20"},{"id":151,"name":"Denver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1"/>
        <v>start /low /b %USERPROFILE%\Documents\GitHub\eaglep3\Utilities\DownloadLogsFromS3.py --loco 4056 --day 2017-09-19</v>
      </c>
      <c r="AN45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14:22:20"},{"id":29,"name":"Sharepoint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3"/>
        <v>https://d0f6bd738d7f1b3e5a7ca70fe4ff75f0.us-east-1.aws.found.io/app/kibana#/discover/Steve-Slow-Train-Analysis-(2080s-and-2083s)?_g=(refreshInterval:(display:Off,pause:!f,section:0,value:0),time:(from:'2017-09-19T06:42:50-0600',mode:absolute,to:'2017-09-19T09:22:20-0600'))&amp;_a=(columns:!('Message%20ID',Summary),filters:!(),index:'emp_*',interval:auto,query:(query_string:(analyze_wildcard:!t,query:'Message%5C+ID:(*)+AND+%22rtdc.l.rtdc.4056%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712</v>
      </c>
      <c r="B46" s="7">
        <v>4055</v>
      </c>
      <c r="C46" s="21" t="s">
        <v>197</v>
      </c>
      <c r="D46" s="21" t="s">
        <v>488</v>
      </c>
      <c r="E46" s="13">
        <v>42997.3515625</v>
      </c>
      <c r="F46" s="13">
        <v>42997.362754629627</v>
      </c>
      <c r="G46" s="7">
        <v>66</v>
      </c>
      <c r="H46" s="21" t="s">
        <v>364</v>
      </c>
      <c r="I46" s="13">
        <v>42997.389456018522</v>
      </c>
      <c r="J46" s="7">
        <v>0</v>
      </c>
      <c r="K46" s="89" t="str">
        <f t="shared" si="0"/>
        <v>4055/4056</v>
      </c>
      <c r="L46" s="185" t="str">
        <f>VLOOKUP(A46,'Trips&amp;Operators'!$C$1:$G$99911,5,FALSE)</f>
        <v>LANGERAK WILLIAM</v>
      </c>
      <c r="M46" s="6">
        <f t="shared" si="1"/>
        <v>2.6701388895162381E-2</v>
      </c>
      <c r="N46" s="7">
        <f t="shared" si="29"/>
        <v>38.450000009033829</v>
      </c>
      <c r="O46" s="7"/>
      <c r="P46" s="7"/>
      <c r="Q46" s="22"/>
      <c r="R46" s="174"/>
      <c r="S46" s="221">
        <f t="shared" si="3"/>
        <v>1</v>
      </c>
      <c r="T46" s="174" t="str">
        <f t="shared" si="4"/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5"/>
        <v>https://d0f6bd738d7f1b3e5a7ca70fe4ff75f0.us-east-1.aws.found.io/app/kibana#/discover/Steve-Slow-Train-Analysis-(2080s-and-2083s)?_g=(refreshInterval:(display:Off,pause:!f,section:0,value:0),time:(from:'2017-09-19T07:26:15-0600',mode:absolute,to:'2017-09-19T10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6" s="204" t="str">
        <f>IF(AA46&lt;VLOOKUP(AG46,Variables!$AC$3:$AD$8,2,FALSE),"Y","N")</f>
        <v>N</v>
      </c>
      <c r="X46" s="204">
        <f t="shared" si="32"/>
        <v>1</v>
      </c>
      <c r="Y46" s="204">
        <f t="shared" si="30"/>
        <v>23.298500000000001</v>
      </c>
      <c r="Z46" s="204">
        <f t="shared" si="31"/>
        <v>1.4500000000000001E-2</v>
      </c>
      <c r="AA46" s="204">
        <f t="shared" si="9"/>
        <v>23.283999999999999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 t="shared" si="10"/>
        <v>134</v>
      </c>
      <c r="AE46" s="77" t="str">
        <f t="shared" si="11"/>
        <v>aws s3 cp s3://rtdc.mdm.uploadarchive.raw/RTDC4055/ "%USERPROFILE%\AppData\Local\Temp\OnboardLogs"\RTDC4055\2017-09-19 --exclude "*" --recursive --include "*20170919*" &amp; "%USERPROFILE%\Documents\GitHub\mrs-test-scripts\Headless Mode &amp; Sideloading\WalkAndUnGZ.bat" "%USERPROFILE%\AppData\Local\Temp\OnboardLogs"\RTDC4055\2017-09-19 &amp; aws s3 cp s3://rtdc.mdm.uploadarchive.raw/RTDC4055/ "%USERPROFILE%\AppData\Local\Temp\OnboardLogs"\RTDC4055\2017-09-20 --exclude "*" --recursive --include "*20170920*" &amp; "%USERPROFILE%\Documents\GitHub\mrs-test-scripts\Headless Mode &amp; Sideloading\WalkAndUnGZ.bat" "%USERPROFILE%\AppData\Local\Temp\OnboardLogs"\RTDC4055\2017-09-20</v>
      </c>
      <c r="AF46" s="74" t="str">
        <f t="shared" si="12"/>
        <v>"C:\Program Files (x86)\AstroGrep\AstroGrep.exe" /e /r /s /spath="%USERPROFILE%\AppData\Local\Temp\OnboardLogs" /stypes="app*4055*20170919*" /stext=" 15:.+((SYSTEM_STATE.+slice.+state.+changed )|(ment ac)|(multiple cpu faults)|(system.+state.+changed )|(\[timeout)|(PRM\|1\|D)|(kpr)|(kdp)|(train st.+moving)|(\|lc)|(penalty))"</v>
      </c>
      <c r="AG46" s="182" t="str">
        <f t="shared" si="13"/>
        <v>EC</v>
      </c>
      <c r="AH46" s="78" t="str">
        <f t="shared" si="19"/>
        <v>"%USERPROFILE%\Documents\GitHub\eaglep3\Utilities\RefineRTDCRunTimes.py" --tripid 134-19 --locoid 4055 --swversion DE.1.0.9.0 --startMP 204:232985 --initTime 2017-09-19T08:26:15 --startdatetime 2017-09-19T08:42:22 --delay 66 --endMP 204:145 --enddatetime 2017-09-19T09:20:49 --enforcementcount 0 &gt;&gt;C:\Users\stu\Documents\GitHub\eaglep3-reporting\EC\2017-09-19-refined-times.txt</v>
      </c>
      <c r="AI46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{"issue":{"subject":"","project_id":79,"tracker_id":40,"status_id":1,"priority_id":2,"assigned_to_id":338,"start_date":"2017-09-19","description":"","custom_fields":[{"id":1,"name":"Subdivision","value":"EC"},{"id":4,"name":"Milepost","value":"0.0145"},{"id":17,"name":"Train ID","value":"134-19"},{"id":16,"name":"Locomotive ID","value":"4055"},{"id":130,"name":"Impact","value":""},{"id":150,"name":"Time of Event (Mountain Time)","value":"09:20:49"},{"id":151,"name":"Denver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1"/>
        <v>start /low /b %USERPROFILE%\Documents\GitHub\eaglep3\Utilities\DownloadLogsFromS3.py --loco 4055 --day 2017-09-19</v>
      </c>
      <c r="AN46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15:20:49"},{"id":29,"name":"Sharepoint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3"/>
        <v>https://d0f6bd738d7f1b3e5a7ca70fe4ff75f0.us-east-1.aws.found.io/app/kibana#/discover/Steve-Slow-Train-Analysis-(2080s-and-2083s)?_g=(refreshInterval:(display:Off,pause:!f,section:0,value:0),time:(from:'2017-09-19T07:26:15-0600',mode:absolute,to:'2017-09-19T10:20:49-0600'))&amp;_a=(columns:!('Message%20ID',Summary),filters:!(),index:'emp_*',interval:auto,query:(query_string:(analyze_wildcard:!t,query:'Message%5C+ID:(*)+AND+%22rtdc.l.rtdc.4055%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702</v>
      </c>
      <c r="B47" s="7">
        <v>4030</v>
      </c>
      <c r="C47" s="21" t="s">
        <v>197</v>
      </c>
      <c r="D47" s="21" t="s">
        <v>441</v>
      </c>
      <c r="E47" s="13">
        <v>42997.326585648145</v>
      </c>
      <c r="F47" s="13">
        <v>42997.333506944444</v>
      </c>
      <c r="G47" s="7">
        <v>53</v>
      </c>
      <c r="H47" s="21" t="s">
        <v>422</v>
      </c>
      <c r="I47" s="13">
        <v>42997.356851851851</v>
      </c>
      <c r="J47" s="7">
        <v>0</v>
      </c>
      <c r="K47" s="89" t="str">
        <f t="shared" si="0"/>
        <v>4029/4030</v>
      </c>
      <c r="L47" s="185" t="str">
        <f>VLOOKUP(A47,'Trips&amp;Operators'!$C$1:$G$99911,5,FALSE)</f>
        <v>LALONDE GREGORY</v>
      </c>
      <c r="M47" s="6">
        <f t="shared" si="1"/>
        <v>2.3344907407590654E-2</v>
      </c>
      <c r="N47" s="7">
        <f t="shared" si="29"/>
        <v>33.616666666930541</v>
      </c>
      <c r="O47" s="7"/>
      <c r="P47" s="7"/>
      <c r="Q47" s="22"/>
      <c r="R47" s="174"/>
      <c r="S47" s="221">
        <f t="shared" si="3"/>
        <v>1</v>
      </c>
      <c r="T47" s="174" t="str">
        <f t="shared" si="4"/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5"/>
        <v>https://d0f6bd738d7f1b3e5a7ca70fe4ff75f0.us-east-1.aws.found.io/app/kibana#/discover/Steve-Slow-Train-Analysis-(2080s-and-2083s)?_g=(refreshInterval:(display:Off,pause:!f,section:0,value:0),time:(from:'2017-09-19T06:50:17-0600',mode:absolute,to:'2017-09-19T09:33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7" s="204" t="str">
        <f>IF(AA47&lt;VLOOKUP(AG47,Variables!$AC$3:$AD$8,2,FALSE),"Y","N")</f>
        <v>N</v>
      </c>
      <c r="X47" s="204">
        <f t="shared" si="32"/>
        <v>1</v>
      </c>
      <c r="Y47" s="204">
        <f t="shared" si="30"/>
        <v>4.3299999999999998E-2</v>
      </c>
      <c r="Z47" s="204">
        <f t="shared" si="31"/>
        <v>23.331199999999999</v>
      </c>
      <c r="AA47" s="204">
        <f t="shared" si="9"/>
        <v>23.2879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 t="shared" si="10"/>
        <v>135</v>
      </c>
      <c r="AE47" s="77" t="str">
        <f t="shared" si="11"/>
        <v>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 &amp; aws s3 cp s3://rtdc.mdm.uploadarchive.raw/RTDC4030/ "%USERPROFILE%\AppData\Local\Temp\OnboardLogs"\RTDC4030\2017-09-20 --exclude "*" --recursive --include "*20170920*" &amp; "%USERPROFILE%\Documents\GitHub\mrs-test-scripts\Headless Mode &amp; Sideloading\WalkAndUnGZ.bat" "%USERPROFILE%\AppData\Local\Temp\OnboardLogs"\RTDC4030\2017-09-20</v>
      </c>
      <c r="AF47" s="74" t="str">
        <f t="shared" si="12"/>
        <v>"C:\Program Files (x86)\AstroGrep\AstroGrep.exe" /e /r /s /spath="%USERPROFILE%\AppData\Local\Temp\OnboardLogs" /stypes="app*4030*20170919*" /stext=" 14:.+((SYSTEM_STATE.+slice.+state.+changed )|(ment ac)|(multiple cpu faults)|(system.+state.+changed )|(\[timeout)|(PRM\|1\|D)|(kpr)|(kdp)|(train st.+moving)|(\|lc)|(penalty))"</v>
      </c>
      <c r="AG47" s="182" t="str">
        <f t="shared" si="13"/>
        <v>EC</v>
      </c>
      <c r="AH47" s="78" t="str">
        <f t="shared" si="19"/>
        <v>"%USERPROFILE%\Documents\GitHub\eaglep3\Utilities\RefineRTDCRunTimes.py" --tripid 135-19 --locoid 4030 --swversion DE.1.0.9.0 --startMP 204:433 --initTime 2017-09-19T07:50:17 --startdatetime 2017-09-19T08:00:15 --delay 53 --endMP 204:233312 --enddatetime 2017-09-19T08:33:52 --enforcementcount 0 &gt;&gt;C:\Users\stu\Documents\GitHub\eaglep3-reporting\EC\2017-09-19-refined-times.txt</v>
      </c>
      <c r="AI47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{"issue":{"subject":"","project_id":79,"tracker_id":40,"status_id":1,"priority_id":2,"assigned_to_id":338,"start_date":"2017-09-19","description":"","custom_fields":[{"id":1,"name":"Subdivision","value":"EC"},{"id":4,"name":"Milepost","value":"23.3312"},{"id":17,"name":"Train ID","value":"135-19"},{"id":16,"name":"Locomotive ID","value":"4030"},{"id":130,"name":"Impact","value":""},{"id":150,"name":"Time of Event (Mountain Time)","value":"08:33:52"},{"id":151,"name":"Denver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1"/>
        <v>start /low /b %USERPROFILE%\Documents\GitHub\eaglep3\Utilities\DownloadLogsFromS3.py --loco 4030 --day 2017-09-19</v>
      </c>
      <c r="AN47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14:33:52"},{"id":29,"name":"Sharepoint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3"/>
        <v>https://d0f6bd738d7f1b3e5a7ca70fe4ff75f0.us-east-1.aws.found.io/app/kibana#/discover/Steve-Slow-Train-Analysis-(2080s-and-2083s)?_g=(refreshInterval:(display:Off,pause:!f,section:0,value:0),time:(from:'2017-09-19T06:50:17-0600',mode:absolute,to:'2017-09-19T09:33:52-0600'))&amp;_a=(columns:!('Message%20ID',Summary),filters:!(),index:'emp_*',interval:auto,query:(query_string:(analyze_wildcard:!t,query:'Message%5C+ID:(*)+AND+%22rtdc.l.rtdc.4030%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715</v>
      </c>
      <c r="B48" s="7">
        <v>4029</v>
      </c>
      <c r="C48" s="21" t="s">
        <v>197</v>
      </c>
      <c r="D48" s="21" t="s">
        <v>490</v>
      </c>
      <c r="E48" s="13">
        <v>42997.358067129629</v>
      </c>
      <c r="F48" s="13">
        <v>42997.373124999998</v>
      </c>
      <c r="G48" s="7">
        <v>45</v>
      </c>
      <c r="H48" s="21" t="s">
        <v>340</v>
      </c>
      <c r="I48" s="13">
        <v>42997.397951388892</v>
      </c>
      <c r="J48" s="7">
        <v>0</v>
      </c>
      <c r="K48" s="89" t="str">
        <f t="shared" si="0"/>
        <v>4029/4030</v>
      </c>
      <c r="L48" s="185" t="str">
        <f>VLOOKUP(A48,'Trips&amp;Operators'!$C$1:$G$99911,5,FALSE)</f>
        <v>LALONDE GREGORY</v>
      </c>
      <c r="M48" s="6">
        <f t="shared" si="1"/>
        <v>2.4826388893416151E-2</v>
      </c>
      <c r="N48" s="7">
        <f t="shared" si="29"/>
        <v>35.750000006519258</v>
      </c>
      <c r="O48" s="7"/>
      <c r="P48" s="7"/>
      <c r="Q48" s="22"/>
      <c r="R48" s="174"/>
      <c r="S48" s="221">
        <f t="shared" si="3"/>
        <v>1</v>
      </c>
      <c r="T48" s="174" t="str">
        <f t="shared" si="4"/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5"/>
        <v>https://d0f6bd738d7f1b3e5a7ca70fe4ff75f0.us-east-1.aws.found.io/app/kibana#/discover/Steve-Slow-Train-Analysis-(2080s-and-2083s)?_g=(refreshInterval:(display:Off,pause:!f,section:0,value:0),time:(from:'2017-09-19T07:35:37-0600',mode:absolute,to:'2017-09-19T10:33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8" s="204" t="str">
        <f>IF(AA48&lt;VLOOKUP(AG48,Variables!$AC$3:$AD$8,2,FALSE),"Y","N")</f>
        <v>N</v>
      </c>
      <c r="X48" s="204">
        <f t="shared" si="32"/>
        <v>1</v>
      </c>
      <c r="Y48" s="204">
        <f t="shared" si="30"/>
        <v>23.3003</v>
      </c>
      <c r="Z48" s="204">
        <f t="shared" si="31"/>
        <v>1.43E-2</v>
      </c>
      <c r="AA48" s="204">
        <f t="shared" si="9"/>
        <v>23.286000000000001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 t="shared" si="10"/>
        <v>136</v>
      </c>
      <c r="AE48" s="77" t="str">
        <f t="shared" si="11"/>
        <v>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 &amp; aws s3 cp s3://rtdc.mdm.uploadarchive.raw/RTDC4029/ "%USERPROFILE%\AppData\Local\Temp\OnboardLogs"\RTDC4029\2017-09-20 --exclude "*" --recursive --include "*20170920*" &amp; "%USERPROFILE%\Documents\GitHub\mrs-test-scripts\Headless Mode &amp; Sideloading\WalkAndUnGZ.bat" "%USERPROFILE%\AppData\Local\Temp\OnboardLogs"\RTDC4029\2017-09-20</v>
      </c>
      <c r="AF48" s="74" t="str">
        <f t="shared" si="12"/>
        <v>"C:\Program Files (x86)\AstroGrep\AstroGrep.exe" /e /r /s /spath="%USERPROFILE%\AppData\Local\Temp\OnboardLogs" /stypes="app*4029*20170919*" /stext=" 15:.+((SYSTEM_STATE.+slice.+state.+changed )|(ment ac)|(multiple cpu faults)|(system.+state.+changed )|(\[timeout)|(PRM\|1\|D)|(kpr)|(kdp)|(train st.+moving)|(\|lc)|(penalty))"</v>
      </c>
      <c r="AG48" s="182" t="str">
        <f t="shared" si="13"/>
        <v>EC</v>
      </c>
      <c r="AH48" s="78" t="str">
        <f t="shared" si="19"/>
        <v>"%USERPROFILE%\Documents\GitHub\eaglep3\Utilities\RefineRTDCRunTimes.py" --tripid 136-19 --locoid 4029 --swversion DE.1.0.9.0 --startMP 204:233003 --initTime 2017-09-19T08:35:37 --startdatetime 2017-09-19T08:57:18 --delay 45 --endMP 204:143 --enddatetime 2017-09-19T09:33:03 --enforcementcount 0 &gt;&gt;C:\Users\stu\Documents\GitHub\eaglep3-reporting\EC\2017-09-19-refined-times.txt</v>
      </c>
      <c r="AI48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{"issue":{"subject":"","project_id":79,"tracker_id":40,"status_id":1,"priority_id":2,"assigned_to_id":338,"start_date":"2017-09-19","description":"","custom_fields":[{"id":1,"name":"Subdivision","value":"EC"},{"id":4,"name":"Milepost","value":"0.0143"},{"id":17,"name":"Train ID","value":"136-19"},{"id":16,"name":"Locomotive ID","value":"4029"},{"id":130,"name":"Impact","value":""},{"id":150,"name":"Time of Event (Mountain Time)","value":"09:33:03"},{"id":151,"name":"Denver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1"/>
        <v>start /low /b %USERPROFILE%\Documents\GitHub\eaglep3\Utilities\DownloadLogsFromS3.py --loco 4029 --day 2017-09-19</v>
      </c>
      <c r="AN48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15:33:03"},{"id":29,"name":"Sharepoint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3"/>
        <v>https://d0f6bd738d7f1b3e5a7ca70fe4ff75f0.us-east-1.aws.found.io/app/kibana#/discover/Steve-Slow-Train-Analysis-(2080s-and-2083s)?_g=(refreshInterval:(display:Off,pause:!f,section:0,value:0),time:(from:'2017-09-19T07:35:37-0600',mode:absolute,to:'2017-09-19T10:33:03-0600'))&amp;_a=(columns:!('Message%20ID',Summary),filters:!(),index:'emp_*',interval:auto,query:(query_string:(analyze_wildcard:!t,query:'Message%5C+ID:(*)+AND+%22rtdc.l.rtdc.4029%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705</v>
      </c>
      <c r="B49" s="7">
        <v>4016</v>
      </c>
      <c r="C49" s="21" t="s">
        <v>197</v>
      </c>
      <c r="D49" s="21" t="s">
        <v>363</v>
      </c>
      <c r="E49" s="13">
        <v>42997.339004629626</v>
      </c>
      <c r="F49" s="13">
        <v>42997.343900462962</v>
      </c>
      <c r="G49" s="7">
        <v>82</v>
      </c>
      <c r="H49" s="21" t="s">
        <v>871</v>
      </c>
      <c r="I49" s="13">
        <v>42997.368252314816</v>
      </c>
      <c r="J49" s="7">
        <v>0</v>
      </c>
      <c r="K49" s="89" t="str">
        <f t="shared" si="0"/>
        <v>4015/4016</v>
      </c>
      <c r="L49" s="185" t="str">
        <f>VLOOKUP(A49,'Trips&amp;Operators'!$C$1:$G$99911,5,FALSE)</f>
        <v>ROMERO CHAD</v>
      </c>
      <c r="M49" s="6">
        <f t="shared" si="1"/>
        <v>2.4351851854589768E-2</v>
      </c>
      <c r="N49" s="7">
        <f t="shared" si="29"/>
        <v>35.066666670609266</v>
      </c>
      <c r="O49" s="7"/>
      <c r="P49" s="7"/>
      <c r="Q49" s="22"/>
      <c r="R49" s="174"/>
      <c r="S49" s="221">
        <f t="shared" si="3"/>
        <v>1</v>
      </c>
      <c r="T49" s="174" t="str">
        <f t="shared" si="4"/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5"/>
        <v>https://d0f6bd738d7f1b3e5a7ca70fe4ff75f0.us-east-1.aws.found.io/app/kibana#/discover/Steve-Slow-Train-Analysis-(2080s-and-2083s)?_g=(refreshInterval:(display:Off,pause:!f,section:0,value:0),time:(from:'2017-09-19T07:08:10-0600',mode:absolute,to:'2017-09-19T09:50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9" s="204" t="str">
        <f>IF(AA49&lt;VLOOKUP(AG49,Variables!$AC$3:$AD$8,2,FALSE),"Y","N")</f>
        <v>N</v>
      </c>
      <c r="X49" s="204">
        <f t="shared" si="32"/>
        <v>1</v>
      </c>
      <c r="Y49" s="204">
        <f t="shared" si="30"/>
        <v>4.6399999999999997E-2</v>
      </c>
      <c r="Z49" s="204">
        <f t="shared" si="31"/>
        <v>23.336400000000001</v>
      </c>
      <c r="AA49" s="204">
        <f t="shared" si="9"/>
        <v>23.290000000000003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 t="shared" si="10"/>
        <v>137</v>
      </c>
      <c r="AE49" s="77" t="str">
        <f t="shared" si="11"/>
        <v>aws s3 cp s3://rtdc.mdm.uploadarchive.raw/RTDC4016/ "%USERPROFILE%\AppData\Local\Temp\OnboardLogs"\RTDC4016\2017-09-19 --exclude "*" --recursive --include "*20170919*" &amp; "%USERPROFILE%\Documents\GitHub\mrs-test-scripts\Headless Mode &amp; Sideloading\WalkAndUnGZ.bat" "%USERPROFILE%\AppData\Local\Temp\OnboardLogs"\RTDC4016\2017-09-19 &amp; 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</v>
      </c>
      <c r="AF49" s="74" t="str">
        <f t="shared" si="12"/>
        <v>"C:\Program Files (x86)\AstroGrep\AstroGrep.exe" /e /r /s /spath="%USERPROFILE%\AppData\Local\Temp\OnboardLogs" /stypes="app*4016*20170919*" /stext=" 14:.+((SYSTEM_STATE.+slice.+state.+changed )|(ment ac)|(multiple cpu faults)|(system.+state.+changed )|(\[timeout)|(PRM\|1\|D)|(kpr)|(kdp)|(train st.+moving)|(\|lc)|(penalty))"</v>
      </c>
      <c r="AG49" s="182" t="str">
        <f t="shared" si="13"/>
        <v>EC</v>
      </c>
      <c r="AH49" s="78" t="str">
        <f t="shared" si="19"/>
        <v>"%USERPROFILE%\Documents\GitHub\eaglep3\Utilities\RefineRTDCRunTimes.py" --tripid 137-19 --locoid 4016 --swversion DE.1.0.9.0 --startMP 204:464 --initTime 2017-09-19T08:08:10 --startdatetime 2017-09-19T08:15:13 --delay 82 --endMP 204:233364 --enddatetime 2017-09-19T08:50:17 --enforcementcount 0 &gt;&gt;C:\Users\stu\Documents\GitHub\eaglep3-reporting\EC\2017-09-19-refined-times.txt</v>
      </c>
      <c r="AI49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{"issue":{"subject":"","project_id":79,"tracker_id":40,"status_id":1,"priority_id":2,"assigned_to_id":338,"start_date":"2017-09-19","description":"","custom_fields":[{"id":1,"name":"Subdivision","value":"EC"},{"id":4,"name":"Milepost","value":"23.3364"},{"id":17,"name":"Train ID","value":"137-19"},{"id":16,"name":"Locomotive ID","value":"4016"},{"id":130,"name":"Impact","value":""},{"id":150,"name":"Time of Event (Mountain Time)","value":"08:50:17"},{"id":151,"name":"Denver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1"/>
        <v>start /low /b %USERPROFILE%\Documents\GitHub\eaglep3\Utilities\DownloadLogsFromS3.py --loco 4016 --day 2017-09-19</v>
      </c>
      <c r="AN49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14:50:17"},{"id":29,"name":"Sharepoint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3"/>
        <v>https://d0f6bd738d7f1b3e5a7ca70fe4ff75f0.us-east-1.aws.found.io/app/kibana#/discover/Steve-Slow-Train-Analysis-(2080s-and-2083s)?_g=(refreshInterval:(display:Off,pause:!f,section:0,value:0),time:(from:'2017-09-19T07:08:10-0600',mode:absolute,to:'2017-09-19T09:50:17-0600'))&amp;_a=(columns:!('Message%20ID',Summary),filters:!(),index:'emp_*',interval:auto,query:(query_string:(analyze_wildcard:!t,query:'Message%5C+ID:(*)+AND+%22rtdc.l.rtdc.4016%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716</v>
      </c>
      <c r="B50" s="7">
        <v>4015</v>
      </c>
      <c r="C50" s="21" t="s">
        <v>197</v>
      </c>
      <c r="D50" s="21" t="s">
        <v>872</v>
      </c>
      <c r="E50" s="13">
        <v>42997.369537037041</v>
      </c>
      <c r="F50" s="13">
        <v>42997.38349537037</v>
      </c>
      <c r="G50" s="7">
        <v>60</v>
      </c>
      <c r="H50" s="21" t="s">
        <v>343</v>
      </c>
      <c r="I50" s="13">
        <v>42997.408680555556</v>
      </c>
      <c r="J50" s="7">
        <v>0</v>
      </c>
      <c r="K50" s="89" t="str">
        <f t="shared" si="0"/>
        <v>4015/4016</v>
      </c>
      <c r="L50" s="185" t="str">
        <f>VLOOKUP(A50,'Trips&amp;Operators'!$C$1:$G$99911,5,FALSE)</f>
        <v>ROMERO CHAD</v>
      </c>
      <c r="M50" s="6">
        <f t="shared" si="1"/>
        <v>2.5185185186273884E-2</v>
      </c>
      <c r="N50" s="7">
        <f t="shared" si="29"/>
        <v>36.266666668234393</v>
      </c>
      <c r="O50" s="7"/>
      <c r="P50" s="7"/>
      <c r="Q50" s="22"/>
      <c r="R50" s="174"/>
      <c r="S50" s="221">
        <f t="shared" si="3"/>
        <v>1</v>
      </c>
      <c r="T50" s="174" t="str">
        <f t="shared" si="4"/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5"/>
        <v>https://d0f6bd738d7f1b3e5a7ca70fe4ff75f0.us-east-1.aws.found.io/app/kibana#/discover/Steve-Slow-Train-Analysis-(2080s-and-2083s)?_g=(refreshInterval:(display:Off,pause:!f,section:0,value:0),time:(from:'2017-09-19T07:52:08-0600',mode:absolute,to:'2017-09-19T10:48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0" s="204" t="str">
        <f>IF(AA50&lt;VLOOKUP(AG50,Variables!$AC$3:$AD$8,2,FALSE),"Y","N")</f>
        <v>N</v>
      </c>
      <c r="X50" s="204">
        <f t="shared" si="32"/>
        <v>1</v>
      </c>
      <c r="Y50" s="204">
        <f t="shared" si="30"/>
        <v>23.306799999999999</v>
      </c>
      <c r="Z50" s="204">
        <f t="shared" si="31"/>
        <v>1.47E-2</v>
      </c>
      <c r="AA50" s="204">
        <f t="shared" si="9"/>
        <v>23.292099999999998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 t="shared" si="10"/>
        <v>138</v>
      </c>
      <c r="AE50" s="77" t="str">
        <f t="shared" si="11"/>
        <v>aws s3 cp s3://rtdc.mdm.uploadarchive.raw/RTDC4015/ "%USERPROFILE%\AppData\Local\Temp\OnboardLogs"\RTDC4015\2017-09-19 --exclude "*" --recursive --include "*20170919*" &amp; "%USERPROFILE%\Documents\GitHub\mrs-test-scripts\Headless Mode &amp; Sideloading\WalkAndUnGZ.bat" "%USERPROFILE%\AppData\Local\Temp\OnboardLogs"\RTDC4015\2017-09-19 &amp; 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</v>
      </c>
      <c r="AF50" s="74" t="str">
        <f t="shared" si="12"/>
        <v>"C:\Program Files (x86)\AstroGrep\AstroGrep.exe" /e /r /s /spath="%USERPROFILE%\AppData\Local\Temp\OnboardLogs" /stypes="app*4015*20170919*" /stext=" 15:.+((SYSTEM_STATE.+slice.+state.+changed )|(ment ac)|(multiple cpu faults)|(system.+state.+changed )|(\[timeout)|(PRM\|1\|D)|(kpr)|(kdp)|(train st.+moving)|(\|lc)|(penalty))"</v>
      </c>
      <c r="AG50" s="182" t="str">
        <f t="shared" si="13"/>
        <v>EC</v>
      </c>
      <c r="AH50" s="78" t="str">
        <f t="shared" si="19"/>
        <v>"%USERPROFILE%\Documents\GitHub\eaglep3\Utilities\RefineRTDCRunTimes.py" --tripid 138-19 --locoid 4015 --swversion DE.1.0.9.0 --startMP 204:233068 --initTime 2017-09-19T08:52:08 --startdatetime 2017-09-19T09:12:14 --delay 60 --endMP 204:147 --enddatetime 2017-09-19T09:48:30 --enforcementcount 0 &gt;&gt;C:\Users\stu\Documents\GitHub\eaglep3-reporting\EC\2017-09-19-refined-times.txt</v>
      </c>
      <c r="AI50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{"issue":{"subject":"","project_id":79,"tracker_id":40,"status_id":1,"priority_id":2,"assigned_to_id":338,"start_date":"2017-09-19","description":"","custom_fields":[{"id":1,"name":"Subdivision","value":"EC"},{"id":4,"name":"Milepost","value":"0.0147"},{"id":17,"name":"Train ID","value":"138-19"},{"id":16,"name":"Locomotive ID","value":"4015"},{"id":130,"name":"Impact","value":""},{"id":150,"name":"Time of Event (Mountain Time)","value":"09:48:30"},{"id":151,"name":"Denver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1"/>
        <v>start /low /b %USERPROFILE%\Documents\GitHub\eaglep3\Utilities\DownloadLogsFromS3.py --loco 4015 --day 2017-09-19</v>
      </c>
      <c r="AN50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15:48:30"},{"id":29,"name":"Sharepoint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3"/>
        <v>https://d0f6bd738d7f1b3e5a7ca70fe4ff75f0.us-east-1.aws.found.io/app/kibana#/discover/Steve-Slow-Train-Analysis-(2080s-and-2083s)?_g=(refreshInterval:(display:Off,pause:!f,section:0,value:0),time:(from:'2017-09-19T07:52:08-0600',mode:absolute,to:'2017-09-19T10:48:30-0600'))&amp;_a=(columns:!('Message%20ID',Summary),filters:!(),index:'emp_*',interval:auto,query:(query_string:(analyze_wildcard:!t,query:'Message%5C+ID:(*)+AND+%22rtdc.l.rtdc.4015%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709</v>
      </c>
      <c r="B51" s="7">
        <v>4050</v>
      </c>
      <c r="C51" s="21" t="s">
        <v>197</v>
      </c>
      <c r="D51" s="21" t="s">
        <v>525</v>
      </c>
      <c r="E51" s="13">
        <v>42997.349907407406</v>
      </c>
      <c r="F51" s="13">
        <v>42997.354328703703</v>
      </c>
      <c r="G51" s="7">
        <v>102</v>
      </c>
      <c r="H51" s="21" t="s">
        <v>873</v>
      </c>
      <c r="I51" s="13">
        <v>42997.379583333335</v>
      </c>
      <c r="J51" s="7">
        <v>0</v>
      </c>
      <c r="K51" s="89" t="str">
        <f t="shared" si="0"/>
        <v>4049/4050</v>
      </c>
      <c r="L51" s="185" t="str">
        <f>VLOOKUP(A51,'Trips&amp;Operators'!$C$1:$G$99911,5,FALSE)</f>
        <v>BEAM ROSS</v>
      </c>
      <c r="M51" s="6">
        <f t="shared" si="1"/>
        <v>2.5254629632399883E-2</v>
      </c>
      <c r="N51" s="7">
        <f t="shared" si="29"/>
        <v>36.366666670655832</v>
      </c>
      <c r="O51" s="7"/>
      <c r="P51" s="7"/>
      <c r="Q51" s="22"/>
      <c r="R51" s="174"/>
      <c r="S51" s="221">
        <f t="shared" si="3"/>
        <v>1</v>
      </c>
      <c r="T51" s="174" t="str">
        <f t="shared" si="4"/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5"/>
        <v>https://d0f6bd738d7f1b3e5a7ca70fe4ff75f0.us-east-1.aws.found.io/app/kibana#/discover/Steve-Slow-Train-Analysis-(2080s-and-2083s)?_g=(refreshInterval:(display:Off,pause:!f,section:0,value:0),time:(from:'2017-09-19T07:23:52-0600',mode:absolute,to:'2017-09-19T10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1" s="204" t="str">
        <f>IF(AA51&lt;VLOOKUP(AG51,Variables!$AC$3:$AD$8,2,FALSE),"Y","N")</f>
        <v>N</v>
      </c>
      <c r="X51" s="204">
        <f t="shared" si="32"/>
        <v>1</v>
      </c>
      <c r="Y51" s="204">
        <f t="shared" si="30"/>
        <v>4.5699999999999998E-2</v>
      </c>
      <c r="Z51" s="204">
        <f t="shared" si="31"/>
        <v>23.328800000000001</v>
      </c>
      <c r="AA51" s="204">
        <f t="shared" si="9"/>
        <v>23.283100000000001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 t="shared" si="10"/>
        <v>139</v>
      </c>
      <c r="AE51" s="77" t="str">
        <f t="shared" si="11"/>
        <v>aws s3 cp s3://rtdc.mdm.uploadarchive.raw/RTDC4050/ "%USERPROFILE%\AppData\Local\Temp\OnboardLogs"\RTDC4050\2017-09-19 --exclude "*" --recursive --include "*20170919*" &amp; "%USERPROFILE%\Documents\GitHub\mrs-test-scripts\Headless Mode &amp; Sideloading\WalkAndUnGZ.bat" "%USERPROFILE%\AppData\Local\Temp\OnboardLogs"\RTDC4050\2017-09-19 &amp; aws s3 cp s3://rtdc.mdm.uploadarchive.raw/RTDC4050/ "%USERPROFILE%\AppData\Local\Temp\OnboardLogs"\RTDC4050\2017-09-20 --exclude "*" --recursive --include "*20170920*" &amp; "%USERPROFILE%\Documents\GitHub\mrs-test-scripts\Headless Mode &amp; Sideloading\WalkAndUnGZ.bat" "%USERPROFILE%\AppData\Local\Temp\OnboardLogs"\RTDC4050\2017-09-20</v>
      </c>
      <c r="AF51" s="74" t="str">
        <f t="shared" si="12"/>
        <v>"C:\Program Files (x86)\AstroGrep\AstroGrep.exe" /e /r /s /spath="%USERPROFILE%\AppData\Local\Temp\OnboardLogs" /stypes="app*4050*20170919*" /stext=" 15:.+((SYSTEM_STATE.+slice.+state.+changed )|(ment ac)|(multiple cpu faults)|(system.+state.+changed )|(\[timeout)|(PRM\|1\|D)|(kpr)|(kdp)|(train st.+moving)|(\|lc)|(penalty))"</v>
      </c>
      <c r="AG51" s="182" t="str">
        <f t="shared" si="13"/>
        <v>EC</v>
      </c>
      <c r="AH51" s="78" t="str">
        <f t="shared" si="19"/>
        <v>"%USERPROFILE%\Documents\GitHub\eaglep3\Utilities\RefineRTDCRunTimes.py" --tripid 139-19 --locoid 4050 --swversion DE.1.0.9.0 --startMP 204:457 --initTime 2017-09-19T08:23:52 --startdatetime 2017-09-19T08:30:14 --delay 102 --endMP 204:233288 --enddatetime 2017-09-19T09:06:36 --enforcementcount 0 &gt;&gt;C:\Users\stu\Documents\GitHub\eaglep3-reporting\EC\2017-09-19-refined-times.txt</v>
      </c>
      <c r="AI51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{"issue":{"subject":"","project_id":79,"tracker_id":40,"status_id":1,"priority_id":2,"assigned_to_id":338,"start_date":"2017-09-19","description":"","custom_fields":[{"id":1,"name":"Subdivision","value":"EC"},{"id":4,"name":"Milepost","value":"23.3288"},{"id":17,"name":"Train ID","value":"139-19"},{"id":16,"name":"Locomotive ID","value":"4050"},{"id":130,"name":"Impact","value":""},{"id":150,"name":"Time of Event (Mountain Time)","value":"09:06:36"},{"id":151,"name":"Denver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1"/>
        <v>start /low /b %USERPROFILE%\Documents\GitHub\eaglep3\Utilities\DownloadLogsFromS3.py --loco 4050 --day 2017-09-19</v>
      </c>
      <c r="AN51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15:06:36"},{"id":29,"name":"Sharepoint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3"/>
        <v>https://d0f6bd738d7f1b3e5a7ca70fe4ff75f0.us-east-1.aws.found.io/app/kibana#/discover/Steve-Slow-Train-Analysis-(2080s-and-2083s)?_g=(refreshInterval:(display:Off,pause:!f,section:0,value:0),time:(from:'2017-09-19T07:23:52-0600',mode:absolute,to:'2017-09-19T10:06:36-0600'))&amp;_a=(columns:!('Message%20ID',Summary),filters:!(),index:'emp_*',interval:auto,query:(query_string:(analyze_wildcard:!t,query:'Message%5C+ID:(*)+AND+%22rtdc.l.rtdc.4050%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717</v>
      </c>
      <c r="B52" s="7">
        <v>4049</v>
      </c>
      <c r="C52" s="21" t="s">
        <v>197</v>
      </c>
      <c r="D52" s="21" t="s">
        <v>374</v>
      </c>
      <c r="E52" s="13">
        <v>42997.381180555552</v>
      </c>
      <c r="F52" s="13">
        <v>42997.393923611111</v>
      </c>
      <c r="G52" s="7">
        <v>62</v>
      </c>
      <c r="H52" s="21" t="s">
        <v>340</v>
      </c>
      <c r="I52" s="13">
        <v>42997.42083333333</v>
      </c>
      <c r="J52" s="7">
        <v>0</v>
      </c>
      <c r="K52" s="89" t="str">
        <f t="shared" si="0"/>
        <v>4049/4050</v>
      </c>
      <c r="L52" s="185" t="str">
        <f>VLOOKUP(A52,'Trips&amp;Operators'!$C$1:$G$99911,5,FALSE)</f>
        <v>BEAM ROSS</v>
      </c>
      <c r="M52" s="6">
        <f t="shared" si="1"/>
        <v>2.6909722218988463E-2</v>
      </c>
      <c r="N52" s="7">
        <f t="shared" si="29"/>
        <v>38.749999995343387</v>
      </c>
      <c r="O52" s="7"/>
      <c r="P52" s="7"/>
      <c r="Q52" s="22"/>
      <c r="R52" s="174"/>
      <c r="S52" s="221">
        <f t="shared" si="3"/>
        <v>1</v>
      </c>
      <c r="T52" s="174" t="str">
        <f t="shared" si="4"/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5"/>
        <v>https://d0f6bd738d7f1b3e5a7ca70fe4ff75f0.us-east-1.aws.found.io/app/kibana#/discover/Steve-Slow-Train-Analysis-(2080s-and-2083s)?_g=(refreshInterval:(display:Off,pause:!f,section:0,value:0),time:(from:'2017-09-19T08:08:54-0600',mode:absolute,to:'2017-09-19T11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2" s="204" t="str">
        <f>IF(AA52&lt;VLOOKUP(AG52,Variables!$AC$3:$AD$8,2,FALSE),"Y","N")</f>
        <v>N</v>
      </c>
      <c r="X52" s="204">
        <f t="shared" si="32"/>
        <v>1</v>
      </c>
      <c r="Y52" s="204">
        <f t="shared" si="30"/>
        <v>23.297699999999999</v>
      </c>
      <c r="Z52" s="204">
        <f t="shared" si="31"/>
        <v>1.43E-2</v>
      </c>
      <c r="AA52" s="204">
        <f t="shared" si="9"/>
        <v>23.2834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 t="shared" si="10"/>
        <v>140</v>
      </c>
      <c r="AE52" s="77" t="str">
        <f t="shared" si="11"/>
        <v>aws s3 cp s3://rtdc.mdm.uploadarchive.raw/RTDC4049/ "%USERPROFILE%\AppData\Local\Temp\OnboardLogs"\RTDC4049\2017-09-19 --exclude "*" --recursive --include "*20170919*" &amp; "%USERPROFILE%\Documents\GitHub\mrs-test-scripts\Headless Mode &amp; Sideloading\WalkAndUnGZ.bat" "%USERPROFILE%\AppData\Local\Temp\OnboardLogs"\RTDC4049\2017-09-19 &amp; aws s3 cp s3://rtdc.mdm.uploadarchive.raw/RTDC4049/ "%USERPROFILE%\AppData\Local\Temp\OnboardLogs"\RTDC4049\2017-09-20 --exclude "*" --recursive --include "*20170920*" &amp; "%USERPROFILE%\Documents\GitHub\mrs-test-scripts\Headless Mode &amp; Sideloading\WalkAndUnGZ.bat" "%USERPROFILE%\AppData\Local\Temp\OnboardLogs"\RTDC4049\2017-09-20</v>
      </c>
      <c r="AF52" s="74" t="str">
        <f t="shared" si="12"/>
        <v>"C:\Program Files (x86)\AstroGrep\AstroGrep.exe" /e /r /s /spath="%USERPROFILE%\AppData\Local\Temp\OnboardLogs" /stypes="app*4049*20170919*" /stext=" 16:.+((SYSTEM_STATE.+slice.+state.+changed )|(ment ac)|(multiple cpu faults)|(system.+state.+changed )|(\[timeout)|(PRM\|1\|D)|(kpr)|(kdp)|(train st.+moving)|(\|lc)|(penalty))"</v>
      </c>
      <c r="AG52" s="182" t="str">
        <f t="shared" si="13"/>
        <v>EC</v>
      </c>
      <c r="AH52" s="78" t="str">
        <f t="shared" si="19"/>
        <v>"%USERPROFILE%\Documents\GitHub\eaglep3\Utilities\RefineRTDCRunTimes.py" --tripid 140-19 --locoid 4049 --swversion DE.1.0.9.0 --startMP 204:232977 --initTime 2017-09-19T09:08:54 --startdatetime 2017-09-19T09:27:15 --delay 62 --endMP 204:143 --enddatetime 2017-09-19T10:06:00 --enforcementcount 0 &gt;&gt;C:\Users\stu\Documents\GitHub\eaglep3-reporting\EC\2017-09-19-refined-times.txt</v>
      </c>
      <c r="AI52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{"issue":{"subject":"","project_id":79,"tracker_id":40,"status_id":1,"priority_id":2,"assigned_to_id":338,"start_date":"2017-09-19","description":"","custom_fields":[{"id":1,"name":"Subdivision","value":"EC"},{"id":4,"name":"Milepost","value":"0.0143"},{"id":17,"name":"Train ID","value":"140-19"},{"id":16,"name":"Locomotive ID","value":"4049"},{"id":130,"name":"Impact","value":""},{"id":150,"name":"Time of Event (Mountain Time)","value":"10:06:00"},{"id":151,"name":"Denver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1"/>
        <v>start /low /b %USERPROFILE%\Documents\GitHub\eaglep3\Utilities\DownloadLogsFromS3.py --loco 4049 --day 2017-09-19</v>
      </c>
      <c r="AN52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16:06:00"},{"id":29,"name":"Sharepoint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3"/>
        <v>https://d0f6bd738d7f1b3e5a7ca70fe4ff75f0.us-east-1.aws.found.io/app/kibana#/discover/Steve-Slow-Train-Analysis-(2080s-and-2083s)?_g=(refreshInterval:(display:Off,pause:!f,section:0,value:0),time:(from:'2017-09-19T08:08:54-0600',mode:absolute,to:'2017-09-19T11:06:00-0600'))&amp;_a=(columns:!('Message%20ID',Summary),filters:!(),index:'emp_*',interval:auto,query:(query_string:(analyze_wildcard:!t,query:'Message%5C+ID:(*)+AND+%22rtdc.l.rtdc.4049%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618</v>
      </c>
      <c r="B53" s="7">
        <v>4054</v>
      </c>
      <c r="C53" s="21" t="s">
        <v>197</v>
      </c>
      <c r="D53" s="21" t="s">
        <v>438</v>
      </c>
      <c r="E53" s="13">
        <v>42997.360520833332</v>
      </c>
      <c r="F53" s="13">
        <v>42997.364733796298</v>
      </c>
      <c r="G53" s="7">
        <v>48</v>
      </c>
      <c r="H53" s="21" t="s">
        <v>564</v>
      </c>
      <c r="I53" s="13">
        <v>42997.389247685183</v>
      </c>
      <c r="J53" s="7">
        <v>0</v>
      </c>
      <c r="K53" s="89" t="str">
        <f t="shared" si="0"/>
        <v>4053/4054</v>
      </c>
      <c r="L53" s="185" t="str">
        <f>VLOOKUP(A53,'Trips&amp;Operators'!$C$1:$G$99911,5,FALSE)</f>
        <v>BARRON PERLA</v>
      </c>
      <c r="M53" s="6">
        <f t="shared" si="1"/>
        <v>2.4513888885849155E-2</v>
      </c>
      <c r="N53" s="7">
        <f t="shared" si="29"/>
        <v>35.299999995622784</v>
      </c>
      <c r="O53" s="7"/>
      <c r="P53" s="7"/>
      <c r="Q53" s="22"/>
      <c r="R53" s="174"/>
      <c r="S53" s="221">
        <f t="shared" si="3"/>
        <v>1</v>
      </c>
      <c r="T53" s="174" t="str">
        <f t="shared" si="4"/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5"/>
        <v>https://d0f6bd738d7f1b3e5a7ca70fe4ff75f0.us-east-1.aws.found.io/app/kibana#/discover/Steve-Slow-Train-Analysis-(2080s-and-2083s)?_g=(refreshInterval:(display:Off,pause:!f,section:0,value:0),time:(from:'2017-09-19T07:39:09-0600',mode:absolute,to:'2017-09-19T10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3" s="204" t="str">
        <f>IF(AA53&lt;VLOOKUP(AG53,Variables!$AC$3:$AD$8,2,FALSE),"Y","N")</f>
        <v>N</v>
      </c>
      <c r="X53" s="204">
        <f t="shared" si="32"/>
        <v>1</v>
      </c>
      <c r="Y53" s="204">
        <f t="shared" si="30"/>
        <v>4.3799999999999999E-2</v>
      </c>
      <c r="Z53" s="204">
        <f t="shared" si="31"/>
        <v>23.330400000000001</v>
      </c>
      <c r="AA53" s="204">
        <f t="shared" si="9"/>
        <v>23.2866</v>
      </c>
      <c r="AB53" s="54" t="str">
        <f>VLOOKUP(A53,Enforcements!$C$7:$K$11,8,0)</f>
        <v>Bulletin (2)</v>
      </c>
      <c r="AC53" s="51" t="str">
        <f>VLOOKUP(A53,Enforcements!$C$7:$E$11,3,0)</f>
        <v>GRADE CROSSING</v>
      </c>
      <c r="AD53" s="179">
        <f t="shared" si="10"/>
        <v>141</v>
      </c>
      <c r="AE53" s="77" t="str">
        <f t="shared" si="11"/>
        <v>aws s3 cp s3://rtdc.mdm.uploadarchive.raw/RTDC4054/ "%USERPROFILE%\AppData\Local\Temp\OnboardLogs"\RTDC4054\2017-09-19 --exclude "*" --recursive --include "*20170919*" &amp; "%USERPROFILE%\Documents\GitHub\mrs-test-scripts\Headless Mode &amp; Sideloading\WalkAndUnGZ.bat" "%USERPROFILE%\AppData\Local\Temp\OnboardLogs"\RTDC4054\2017-09-19 &amp; aws s3 cp s3://rtdc.mdm.uploadarchive.raw/RTDC4054/ "%USERPROFILE%\AppData\Local\Temp\OnboardLogs"\RTDC4054\2017-09-20 --exclude "*" --recursive --include "*20170920*" &amp; "%USERPROFILE%\Documents\GitHub\mrs-test-scripts\Headless Mode &amp; Sideloading\WalkAndUnGZ.bat" "%USERPROFILE%\AppData\Local\Temp\OnboardLogs"\RTDC4054\2017-09-20</v>
      </c>
      <c r="AF53" s="74" t="str">
        <f t="shared" si="12"/>
        <v>"C:\Program Files (x86)\AstroGrep\AstroGrep.exe" /e /r /s /spath="%USERPROFILE%\AppData\Local\Temp\OnboardLogs" /stypes="app*4054*20170919*" /stext=" 15:.+((SYSTEM_STATE.+slice.+state.+changed )|(ment ac)|(multiple cpu faults)|(system.+state.+changed )|(\[timeout)|(PRM\|1\|D)|(kpr)|(kdp)|(train st.+moving)|(\|lc)|(penalty))"</v>
      </c>
      <c r="AG53" s="182" t="str">
        <f t="shared" si="13"/>
        <v>EC</v>
      </c>
      <c r="AH53" s="78" t="str">
        <f t="shared" si="19"/>
        <v>"%USERPROFILE%\Documents\GitHub\eaglep3\Utilities\RefineRTDCRunTimes.py" --tripid 141-19 --locoid 4054 --swversion DE.1.0.9.0 --startMP 204:438 --initTime 2017-09-19T08:39:09 --startdatetime 2017-09-19T08:45:13 --delay 48 --endMP 204:233304 --enddatetime 2017-09-19T09:20:31 --enforcementcount 0 &gt;&gt;C:\Users\stu\Documents\GitHub\eaglep3-reporting\EC\2017-09-19-refined-times.txt</v>
      </c>
      <c r="AI53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{"issue":{"subject":"","project_id":79,"tracker_id":40,"status_id":1,"priority_id":2,"assigned_to_id":338,"start_date":"2017-09-19","description":"","custom_fields":[{"id":1,"name":"Subdivision","value":"EC"},{"id":4,"name":"Milepost","value":"23.3304"},{"id":17,"name":"Train ID","value":"141-19"},{"id":16,"name":"Locomotive ID","value":"4054"},{"id":130,"name":"Impact","value":""},{"id":150,"name":"Time of Event (Mountain Time)","value":"09:20:31"},{"id":151,"name":"Denver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1"/>
        <v>start /low /b %USERPROFILE%\Documents\GitHub\eaglep3\Utilities\DownloadLogsFromS3.py --loco 4054 --day 2017-09-19</v>
      </c>
      <c r="AN53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15:20:31"},{"id":29,"name":"Sharepoint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3"/>
        <v>https://d0f6bd738d7f1b3e5a7ca70fe4ff75f0.us-east-1.aws.found.io/app/kibana#/discover/Steve-Slow-Train-Analysis-(2080s-and-2083s)?_g=(refreshInterval:(display:Off,pause:!f,section:0,value:0),time:(from:'2017-09-19T07:39:09-0600',mode:absolute,to:'2017-09-19T10:20:31-0600'))&amp;_a=(columns:!('Message%20ID',Summary),filters:!(),index:'emp_*',interval:auto,query:(query_string:(analyze_wildcard:!t,query:'Message%5C+ID:(*)+AND+%22rtdc.l.rtdc.4054%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624</v>
      </c>
      <c r="B54" s="7">
        <v>4053</v>
      </c>
      <c r="C54" s="21" t="s">
        <v>197</v>
      </c>
      <c r="D54" s="21" t="s">
        <v>449</v>
      </c>
      <c r="E54" s="13">
        <v>42997.390555555554</v>
      </c>
      <c r="F54" s="13">
        <v>42997.404409722221</v>
      </c>
      <c r="G54" s="7">
        <v>49</v>
      </c>
      <c r="H54" s="21" t="s">
        <v>365</v>
      </c>
      <c r="I54" s="13">
        <v>42997.429212962961</v>
      </c>
      <c r="J54" s="7">
        <v>0</v>
      </c>
      <c r="K54" s="89" t="str">
        <f t="shared" si="0"/>
        <v>4053/4054</v>
      </c>
      <c r="L54" s="185" t="str">
        <f>VLOOKUP(A54,'Trips&amp;Operators'!$C$1:$G$99911,5,FALSE)</f>
        <v>BARRON PERLA</v>
      </c>
      <c r="M54" s="6">
        <f t="shared" si="1"/>
        <v>2.4803240739856847E-2</v>
      </c>
      <c r="N54" s="7">
        <f t="shared" si="29"/>
        <v>35.716666665393859</v>
      </c>
      <c r="O54" s="7"/>
      <c r="P54" s="7"/>
      <c r="Q54" s="22"/>
      <c r="R54" s="174"/>
      <c r="S54" s="221">
        <f t="shared" si="3"/>
        <v>1</v>
      </c>
      <c r="T54" s="174" t="str">
        <f t="shared" si="4"/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5"/>
        <v>https://d0f6bd738d7f1b3e5a7ca70fe4ff75f0.us-east-1.aws.found.io/app/kibana#/discover/Steve-Slow-Train-Analysis-(2080s-and-2083s)?_g=(refreshInterval:(display:Off,pause:!f,section:0,value:0),time:(from:'2017-09-19T08:22:24-0600',mode:absolute,to:'2017-09-19T11:18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4" s="204" t="str">
        <f>IF(AA54&lt;VLOOKUP(AG54,Variables!$AC$3:$AD$8,2,FALSE),"Y","N")</f>
        <v>N</v>
      </c>
      <c r="X54" s="204">
        <f t="shared" si="32"/>
        <v>1</v>
      </c>
      <c r="Y54" s="204">
        <f t="shared" si="30"/>
        <v>23.298300000000001</v>
      </c>
      <c r="Z54" s="204">
        <f t="shared" si="31"/>
        <v>1.38E-2</v>
      </c>
      <c r="AA54" s="204">
        <f t="shared" si="9"/>
        <v>23.284500000000001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 t="shared" si="10"/>
        <v>142</v>
      </c>
      <c r="AE54" s="77" t="str">
        <f t="shared" si="11"/>
        <v>aws s3 cp s3://rtdc.mdm.uploadarchive.raw/RTDC4053/ "%USERPROFILE%\AppData\Local\Temp\OnboardLogs"\RTDC4053\2017-09-19 --exclude "*" --recursive --include "*20170919*" &amp; "%USERPROFILE%\Documents\GitHub\mrs-test-scripts\Headless Mode &amp; Sideloading\WalkAndUnGZ.bat" "%USERPROFILE%\AppData\Local\Temp\OnboardLogs"\RTDC4053\2017-09-19 &amp; aws s3 cp s3://rtdc.mdm.uploadarchive.raw/RTDC4053/ "%USERPROFILE%\AppData\Local\Temp\OnboardLogs"\RTDC4053\2017-09-20 --exclude "*" --recursive --include "*20170920*" &amp; "%USERPROFILE%\Documents\GitHub\mrs-test-scripts\Headless Mode &amp; Sideloading\WalkAndUnGZ.bat" "%USERPROFILE%\AppData\Local\Temp\OnboardLogs"\RTDC4053\2017-09-20</v>
      </c>
      <c r="AF54" s="74" t="str">
        <f t="shared" si="12"/>
        <v>"C:\Program Files (x86)\AstroGrep\AstroGrep.exe" /e /r /s /spath="%USERPROFILE%\AppData\Local\Temp\OnboardLogs" /stypes="app*4053*20170919*" /stext=" 16:.+((SYSTEM_STATE.+slice.+state.+changed )|(ment ac)|(multiple cpu faults)|(system.+state.+changed )|(\[timeout)|(PRM\|1\|D)|(kpr)|(kdp)|(train st.+moving)|(\|lc)|(penalty))"</v>
      </c>
      <c r="AG54" s="182" t="str">
        <f t="shared" si="13"/>
        <v>EC</v>
      </c>
      <c r="AH54" s="78" t="str">
        <f t="shared" si="19"/>
        <v>"%USERPROFILE%\Documents\GitHub\eaglep3\Utilities\RefineRTDCRunTimes.py" --tripid 142-19 --locoid 4053 --swversion DE.1.0.9.0 --startMP 204:232983 --initTime 2017-09-19T09:22:24 --startdatetime 2017-09-19T09:42:21 --delay 49 --endMP 204:138 --enddatetime 2017-09-19T10:18:04 --enforcementcount 0 &gt;&gt;C:\Users\stu\Documents\GitHub\eaglep3-reporting\EC\2017-09-19-refined-times.txt</v>
      </c>
      <c r="AI54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{"issue":{"subject":"","project_id":79,"tracker_id":40,"status_id":1,"priority_id":2,"assigned_to_id":338,"start_date":"2017-09-19","description":"","custom_fields":[{"id":1,"name":"Subdivision","value":"EC"},{"id":4,"name":"Milepost","value":"0.0138"},{"id":17,"name":"Train ID","value":"142-19"},{"id":16,"name":"Locomotive ID","value":"4053"},{"id":130,"name":"Impact","value":""},{"id":150,"name":"Time of Event (Mountain Time)","value":"10:18:04"},{"id":151,"name":"Denver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1"/>
        <v>start /low /b %USERPROFILE%\Documents\GitHub\eaglep3\Utilities\DownloadLogsFromS3.py --loco 4053 --day 2017-09-19</v>
      </c>
      <c r="AN54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16:18:04"},{"id":29,"name":"Sharepoint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3"/>
        <v>https://d0f6bd738d7f1b3e5a7ca70fe4ff75f0.us-east-1.aws.found.io/app/kibana#/discover/Steve-Slow-Train-Analysis-(2080s-and-2083s)?_g=(refreshInterval:(display:Off,pause:!f,section:0,value:0),time:(from:'2017-09-19T08:22:24-0600',mode:absolute,to:'2017-09-19T11:18:04-0600'))&amp;_a=(columns:!('Message%20ID',Summary),filters:!(),index:'emp_*',interval:auto,query:(query_string:(analyze_wildcard:!t,query:'Message%5C+ID:(*)+AND+%22rtdc.l.rtdc.4053%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619</v>
      </c>
      <c r="B55" s="7">
        <v>4028</v>
      </c>
      <c r="C55" s="21" t="s">
        <v>197</v>
      </c>
      <c r="D55" s="21" t="s">
        <v>363</v>
      </c>
      <c r="E55" s="13">
        <v>42997.371539351851</v>
      </c>
      <c r="F55" s="13">
        <v>42997.38921296296</v>
      </c>
      <c r="G55" s="7">
        <v>69</v>
      </c>
      <c r="H55" s="21" t="s">
        <v>874</v>
      </c>
      <c r="I55" s="13">
        <v>42997.401770833334</v>
      </c>
      <c r="J55" s="7">
        <v>0</v>
      </c>
      <c r="K55" s="89" t="str">
        <f t="shared" si="0"/>
        <v>4027/4028</v>
      </c>
      <c r="L55" s="185" t="str">
        <f>VLOOKUP(A55,'Trips&amp;Operators'!$C$1:$G$99911,5,FALSE)</f>
        <v>ACKERMAN JARED</v>
      </c>
      <c r="M55" s="6">
        <f t="shared" si="1"/>
        <v>1.2557870373711921E-2</v>
      </c>
      <c r="N55" s="7"/>
      <c r="O55" s="7"/>
      <c r="P55" s="7">
        <f>24*60*SUM($M55:$M55)</f>
        <v>18.083333338145167</v>
      </c>
      <c r="Q55" s="22"/>
      <c r="R55" s="174" t="s">
        <v>607</v>
      </c>
      <c r="S55" s="221">
        <f>1/IF(AG55="EC",12,1)*SUM(U55:U56)</f>
        <v>0.91666666666666663</v>
      </c>
      <c r="T55" s="174" t="str">
        <f t="shared" si="4"/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9</v>
      </c>
      <c r="V55" s="216" t="str">
        <f t="shared" si="5"/>
        <v>https://d0f6bd738d7f1b3e5a7ca70fe4ff75f0.us-east-1.aws.found.io/app/kibana#/discover/Steve-Slow-Train-Analysis-(2080s-and-2083s)?_g=(refreshInterval:(display:Off,pause:!f,section:0,value:0),time:(from:'2017-09-19T07:55:01-0600',mode:absolute,to:'2017-09-19T10:38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5" s="204" t="str">
        <f>IF(AA55&lt;VLOOKUP(AG55,Variables!$AC$3:$AD$8,2,FALSE),"Y","N")</f>
        <v>Y</v>
      </c>
      <c r="X55" s="204">
        <f t="shared" si="32"/>
        <v>1</v>
      </c>
      <c r="Y55" s="204">
        <f t="shared" si="30"/>
        <v>4.6399999999999997E-2</v>
      </c>
      <c r="Z55" s="204">
        <f t="shared" si="31"/>
        <v>7.0267999999999997</v>
      </c>
      <c r="AA55" s="204">
        <f t="shared" si="9"/>
        <v>6.9803999999999995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 t="shared" si="10"/>
        <v>143</v>
      </c>
      <c r="AE55" s="77" t="str">
        <f t="shared" si="11"/>
        <v>aws s3 cp s3://rtdc.mdm.uploadarchive.raw/RTDC4028/ "%USERPROFILE%\AppData\Local\Temp\OnboardLogs"\RTDC4028\2017-09-19 --exclude "*" --recursive --include "*20170919*" &amp; "%USERPROFILE%\Documents\GitHub\mrs-test-scripts\Headless Mode &amp; Sideloading\WalkAndUnGZ.bat" "%USERPROFILE%\AppData\Local\Temp\OnboardLogs"\RTDC4028\2017-09-19 &amp; aws s3 cp s3://rtdc.mdm.uploadarchive.raw/RTDC4028/ "%USERPROFILE%\AppData\Local\Temp\OnboardLogs"\RTDC4028\2017-09-20 --exclude "*" --recursive --include "*20170920*" &amp; "%USERPROFILE%\Documents\GitHub\mrs-test-scripts\Headless Mode &amp; Sideloading\WalkAndUnGZ.bat" "%USERPROFILE%\AppData\Local\Temp\OnboardLogs"\RTDC4028\2017-09-20</v>
      </c>
      <c r="AF55" s="74" t="str">
        <f t="shared" si="12"/>
        <v>"C:\Program Files (x86)\AstroGrep\AstroGrep.exe" /e /r /s /spath="%USERPROFILE%\AppData\Local\Temp\OnboardLogs" /stypes="app*4028*20170919*" /stext=" 15:.+((SYSTEM_STATE.+slice.+state.+changed )|(ment ac)|(multiple cpu faults)|(system.+state.+changed )|(\[timeout)|(PRM\|1\|D)|(kpr)|(kdp)|(train st.+moving)|(\|lc)|(penalty))"</v>
      </c>
      <c r="AG55" s="182" t="str">
        <f t="shared" si="13"/>
        <v>EC</v>
      </c>
      <c r="AH55" s="78" t="str">
        <f t="shared" si="19"/>
        <v>"%USERPROFILE%\Documents\GitHub\eaglep3\Utilities\RefineRTDCRunTimes.py" --tripid 143-19 --locoid 4028 --swversion DE.1.0.9.0 --startMP 204:464 --initTime 2017-09-19T08:55:01 --startdatetime 2017-09-19T09:20:28 --delay 69 --endMP 204:70268 --enddatetime 2017-09-19T09:38:33 --enforcementcount 0 &gt;&gt;C:\Users\stu\Documents\GitHub\eaglep3-reporting\EC\2017-09-19-refined-times.txt</v>
      </c>
      <c r="AI55" s="96" t="str">
        <f t="shared" si="20"/>
        <v>echo {"issue":{"subject":"Wi-MAX data drop","project_id":79,"tracker_id":40,"status_id":1,"priority_id":2,"assigned_to_id":338,"start_date":"2017-09-19","description":"","custom_fields":[{"id":1,"name":"Subdivision","value":"EC"},{"id":4,"name":"Milepost","value":"7.0268"},{"id":17,"name":"Train ID","value":"143-19"},{"id":16,"name":"Locomotive ID","value":"4028"},{"id":130,"name":"Impact","value":""},{"id":150,"name":"Time of Event (Mountain Time)","value":"09:38:33"},{"id":151,"name":"Denver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1"/>
        <v>start /low /b %USERPROFILE%\Documents\GitHub\eaglep3\Utilities\DownloadLogsFromS3.py --loco 4028 --day 2017-09-19</v>
      </c>
      <c r="AN55" s="151" t="str">
        <f t="shared" si="22"/>
        <v>echo {"issue":{"subject":"Wi-MAX data drop","project_id":30,"tracker_id":4,"status_id":1,"priority_id":1,"assigned_to_id":10,"start_date":"2017-09-19","description":"","custom_fields":[{"id":30,"name":"Category","value":"Issue"},{"id":3,"name":"Functional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15:38:33"},{"id":29,"name":"Sharepoint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3"/>
        <v>https://d0f6bd738d7f1b3e5a7ca70fe4ff75f0.us-east-1.aws.found.io/app/kibana#/discover/Steve-Slow-Train-Analysis-(2080s-and-2083s)?_g=(refreshInterval:(display:Off,pause:!f,section:0,value:0),time:(from:'2017-09-19T07:55:01-0600',mode:absolute,to:'2017-09-19T10:38:33-0600'))&amp;_a=(columns:!('Message%20ID',Summary),filters:!(),index:'emp_*',interval:auto,query:(query_string:(analyze_wildcard:!t,query:'Message%5C+ID:(*)+AND+%22rtdc.l.rtdc.4028%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619</v>
      </c>
      <c r="B56" s="7">
        <v>4028</v>
      </c>
      <c r="C56" s="21" t="s">
        <v>197</v>
      </c>
      <c r="D56" s="21" t="s">
        <v>875</v>
      </c>
      <c r="E56" s="13">
        <v>42997.388356481482</v>
      </c>
      <c r="F56" s="13">
        <v>42997.38921296296</v>
      </c>
      <c r="G56" s="7">
        <v>39</v>
      </c>
      <c r="H56" s="21" t="s">
        <v>876</v>
      </c>
      <c r="I56" s="13">
        <v>42997.401770833334</v>
      </c>
      <c r="J56" s="7">
        <v>0</v>
      </c>
      <c r="K56" s="89" t="str">
        <f t="shared" si="0"/>
        <v>4027/4028</v>
      </c>
      <c r="L56" s="185" t="str">
        <f>VLOOKUP(A56,'Trips&amp;Operators'!$C$1:$G$99911,5,FALSE)</f>
        <v>ACKERMAN JARED</v>
      </c>
      <c r="M56" s="6">
        <f t="shared" si="1"/>
        <v>1.2557870373711921E-2</v>
      </c>
      <c r="N56" s="7"/>
      <c r="O56" s="7"/>
      <c r="P56" s="7"/>
      <c r="Q56" s="22"/>
      <c r="R56" s="174"/>
      <c r="S56" s="221"/>
      <c r="T56" s="174" t="str">
        <f t="shared" si="4"/>
        <v>NorthBound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2</v>
      </c>
      <c r="V56" s="216" t="str">
        <f t="shared" si="5"/>
        <v>https://d0f6bd738d7f1b3e5a7ca70fe4ff75f0.us-east-1.aws.found.io/app/kibana#/discover/Steve-Slow-Train-Analysis-(2080s-and-2083s)?_g=(refreshInterval:(display:Off,pause:!f,section:0,value:0),time:(from:'2017-09-19T08:19:14-0600',mode:absolute,to:'2017-09-19T10:38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6" s="204" t="str">
        <f>IF(AA56&lt;VLOOKUP(AG56,Variables!$AC$3:$AD$8,2,FALSE),"Y","N")</f>
        <v>Y</v>
      </c>
      <c r="X56" s="204">
        <f t="shared" si="32"/>
        <v>0</v>
      </c>
      <c r="Y56" s="204">
        <f t="shared" si="30"/>
        <v>8.6374999999999993</v>
      </c>
      <c r="Z56" s="204">
        <f t="shared" si="31"/>
        <v>23.334700000000002</v>
      </c>
      <c r="AA56" s="204">
        <f t="shared" si="9"/>
        <v>14.697200000000002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 t="shared" si="10"/>
        <v>143</v>
      </c>
      <c r="AE56" s="77" t="str">
        <f t="shared" si="11"/>
        <v>aws s3 cp s3://rtdc.mdm.uploadarchive.raw/RTDC4028/ "%USERPROFILE%\AppData\Local\Temp\OnboardLogs"\RTDC4028\2017-09-19 --exclude "*" --recursive --include "*20170919*" &amp; "%USERPROFILE%\Documents\GitHub\mrs-test-scripts\Headless Mode &amp; Sideloading\WalkAndUnGZ.bat" "%USERPROFILE%\AppData\Local\Temp\OnboardLogs"\RTDC4028\2017-09-19 &amp; aws s3 cp s3://rtdc.mdm.uploadarchive.raw/RTDC4028/ "%USERPROFILE%\AppData\Local\Temp\OnboardLogs"\RTDC4028\2017-09-20 --exclude "*" --recursive --include "*20170920*" &amp; "%USERPROFILE%\Documents\GitHub\mrs-test-scripts\Headless Mode &amp; Sideloading\WalkAndUnGZ.bat" "%USERPROFILE%\AppData\Local\Temp\OnboardLogs"\RTDC4028\2017-09-20</v>
      </c>
      <c r="AF56" s="74" t="str">
        <f t="shared" si="12"/>
        <v>"C:\Program Files (x86)\AstroGrep\AstroGrep.exe" /e /r /s /spath="%USERPROFILE%\AppData\Local\Temp\OnboardLogs" /stypes="app*4028*20170919*" /stext=" 15:.+((SYSTEM_STATE.+slice.+state.+changed )|(ment ac)|(multiple cpu faults)|(system.+state.+changed )|(\[timeout)|(PRM\|1\|D)|(kpr)|(kdp)|(train st.+moving)|(\|lc)|(penalty))"</v>
      </c>
      <c r="AG56" s="182" t="str">
        <f t="shared" si="13"/>
        <v>EC</v>
      </c>
      <c r="AH56" s="78" t="str">
        <f t="shared" si="19"/>
        <v>"%USERPROFILE%\Documents\GitHub\eaglep3\Utilities\RefineRTDCRunTimes.py" --tripid 143-19 --locoid 4028 --swversion DE.1.0.9.0 --startMP 204:86375 --initTime 2017-09-19T09:19:14 --startdatetime 2017-09-19T09:20:28 --delay 39 --endMP 204:233347 --enddatetime 2017-09-19T09:38:33 --enforcementcount 0 &gt;&gt;C:\Users\stu\Documents\GitHub\eaglep3-reporting\EC\2017-09-19-refined-times.txt</v>
      </c>
      <c r="AI56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{"issue":{"subject":"","project_id":79,"tracker_id":40,"status_id":1,"priority_id":2,"assigned_to_id":338,"start_date":"2017-09-19","description":"","custom_fields":[{"id":1,"name":"Subdivision","value":"EC"},{"id":4,"name":"Milepost","value":"23.3347"},{"id":17,"name":"Train ID","value":"143-19"},{"id":16,"name":"Locomotive ID","value":"4028"},{"id":130,"name":"Impact","value":""},{"id":150,"name":"Time of Event (Mountain Time)","value":"09:38:33"},{"id":151,"name":"Denver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1"/>
        <v>start /low /b %USERPROFILE%\Documents\GitHub\eaglep3\Utilities\DownloadLogsFromS3.py --loco 4028 --day 2017-09-19</v>
      </c>
      <c r="AN56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15:38:33"},{"id":29,"name":"Sharepoint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3"/>
        <v>https://d0f6bd738d7f1b3e5a7ca70fe4ff75f0.us-east-1.aws.found.io/app/kibana#/discover/Steve-Slow-Train-Analysis-(2080s-and-2083s)?_g=(refreshInterval:(display:Off,pause:!f,section:0,value:0),time:(from:'2017-09-19T08:19:14-0600',mode:absolute,to:'2017-09-19T10:38:33-0600'))&amp;_a=(columns:!('Message%20ID',Summary),filters:!(),index:'emp_*',interval:auto,query:(query_string:(analyze_wildcard:!t,query:'Message%5C+ID:(*)+AND+%22rtdc.l.rtdc.4028%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721</v>
      </c>
      <c r="B57" s="7">
        <v>4027</v>
      </c>
      <c r="C57" s="21" t="s">
        <v>197</v>
      </c>
      <c r="D57" s="21" t="s">
        <v>515</v>
      </c>
      <c r="E57" s="13">
        <v>42997.407268518517</v>
      </c>
      <c r="F57" s="13">
        <v>42997.414837962962</v>
      </c>
      <c r="G57" s="7">
        <v>117</v>
      </c>
      <c r="H57" s="21" t="s">
        <v>340</v>
      </c>
      <c r="I57" s="13">
        <v>42997.442210648151</v>
      </c>
      <c r="J57" s="7">
        <v>0</v>
      </c>
      <c r="K57" s="89" t="str">
        <f t="shared" si="0"/>
        <v>4027/4028</v>
      </c>
      <c r="L57" s="185" t="str">
        <f>VLOOKUP(A57,'Trips&amp;Operators'!$C$1:$G$99911,5,FALSE)</f>
        <v>ACKERMAN JARED</v>
      </c>
      <c r="M57" s="6">
        <f t="shared" si="1"/>
        <v>2.7372685188311152E-2</v>
      </c>
      <c r="N57" s="7">
        <f t="shared" ref="N57:N80" si="33">24*60*SUM($M57:$M57)</f>
        <v>39.416666671168059</v>
      </c>
      <c r="O57" s="7"/>
      <c r="P57" s="7"/>
      <c r="Q57" s="22"/>
      <c r="R57" s="174"/>
      <c r="S57" s="221">
        <f t="shared" ref="S57:S80" si="34">1/IF(AG57="EC",12,1)*SUM(U57:U57)</f>
        <v>1</v>
      </c>
      <c r="T57" s="174" t="str">
        <f t="shared" si="4"/>
        <v>Southbound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5"/>
        <v>https://d0f6bd738d7f1b3e5a7ca70fe4ff75f0.us-east-1.aws.found.io/app/kibana#/discover/Steve-Slow-Train-Analysis-(2080s-and-2083s)?_g=(refreshInterval:(display:Off,pause:!f,section:0,value:0),time:(from:'2017-09-19T08:46:28-0600',mode:absolute,to:'2017-09-19T11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7" s="204" t="str">
        <f>IF(AA57&lt;VLOOKUP(AG57,Variables!$AC$3:$AD$8,2,FALSE),"Y","N")</f>
        <v>N</v>
      </c>
      <c r="X57" s="204">
        <f t="shared" si="32"/>
        <v>1</v>
      </c>
      <c r="Y57" s="204">
        <f t="shared" si="30"/>
        <v>23.3001</v>
      </c>
      <c r="Z57" s="204">
        <f t="shared" si="31"/>
        <v>1.43E-2</v>
      </c>
      <c r="AA57" s="204">
        <f t="shared" si="9"/>
        <v>23.285800000000002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 t="shared" si="10"/>
        <v>144</v>
      </c>
      <c r="AE57" s="77" t="str">
        <f t="shared" si="11"/>
        <v>aws s3 cp s3://rtdc.mdm.uploadarchive.raw/RTDC4027/ "%USERPROFILE%\AppData\Local\Temp\OnboardLogs"\RTDC4027\2017-09-19 --exclude "*" --recursive --include "*20170919*" &amp; "%USERPROFILE%\Documents\GitHub\mrs-test-scripts\Headless Mode &amp; Sideloading\WalkAndUnGZ.bat" "%USERPROFILE%\AppData\Local\Temp\OnboardLogs"\RTDC4027\2017-09-19 &amp; aws s3 cp s3://rtdc.mdm.uploadarchive.raw/RTDC4027/ "%USERPROFILE%\AppData\Local\Temp\OnboardLogs"\RTDC4027\2017-09-20 --exclude "*" --recursive --include "*20170920*" &amp; "%USERPROFILE%\Documents\GitHub\mrs-test-scripts\Headless Mode &amp; Sideloading\WalkAndUnGZ.bat" "%USERPROFILE%\AppData\Local\Temp\OnboardLogs"\RTDC4027\2017-09-20</v>
      </c>
      <c r="AF57" s="74" t="str">
        <f t="shared" si="12"/>
        <v>"C:\Program Files (x86)\AstroGrep\AstroGrep.exe" /e /r /s /spath="%USERPROFILE%\AppData\Local\Temp\OnboardLogs" /stypes="app*4027*20170919*" /stext=" 16:.+((SYSTEM_STATE.+slice.+state.+changed )|(ment ac)|(multiple cpu faults)|(system.+state.+changed )|(\[timeout)|(PRM\|1\|D)|(kpr)|(kdp)|(train st.+moving)|(\|lc)|(penalty))"</v>
      </c>
      <c r="AG57" s="182" t="str">
        <f t="shared" si="13"/>
        <v>EC</v>
      </c>
      <c r="AH57" s="78" t="str">
        <f t="shared" si="19"/>
        <v>"%USERPROFILE%\Documents\GitHub\eaglep3\Utilities\RefineRTDCRunTimes.py" --tripid 144-19 --locoid 4027 --swversion DE.1.0.9.0 --startMP 204:233001 --initTime 2017-09-19T09:46:28 --startdatetime 2017-09-19T09:57:22 --delay 117 --endMP 204:143 --enddatetime 2017-09-19T10:36:47 --enforcementcount 0 &gt;&gt;C:\Users\stu\Documents\GitHub\eaglep3-reporting\EC\2017-09-19-refined-times.txt</v>
      </c>
      <c r="AI57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{"issue":{"subject":"","project_id":79,"tracker_id":40,"status_id":1,"priority_id":2,"assigned_to_id":338,"start_date":"2017-09-19","description":"","custom_fields":[{"id":1,"name":"Subdivision","value":"EC"},{"id":4,"name":"Milepost","value":"0.0143"},{"id":17,"name":"Train ID","value":"144-19"},{"id":16,"name":"Locomotive ID","value":"4027"},{"id":130,"name":"Impact","value":""},{"id":150,"name":"Time of Event (Mountain Time)","value":"10:36:47"},{"id":151,"name":"Denver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1"/>
        <v>start /low /b %USERPROFILE%\Documents\GitHub\eaglep3\Utilities\DownloadLogsFromS3.py --loco 4027 --day 2017-09-19</v>
      </c>
      <c r="AN57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16:36:47"},{"id":29,"name":"Sharepoint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3"/>
        <v>https://d0f6bd738d7f1b3e5a7ca70fe4ff75f0.us-east-1.aws.found.io/app/kibana#/discover/Steve-Slow-Train-Analysis-(2080s-and-2083s)?_g=(refreshInterval:(display:Off,pause:!f,section:0,value:0),time:(from:'2017-09-19T08:46:28-0600',mode:absolute,to:'2017-09-19T11:36:47-0600'))&amp;_a=(columns:!('Message%20ID',Summary),filters:!(),index:'emp_*',interval:auto,query:(query_string:(analyze_wildcard:!t,query:'Message%5C+ID:(*)+AND+%22rtdc.l.rtdc.4027%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718</v>
      </c>
      <c r="B58" s="7">
        <v>4014</v>
      </c>
      <c r="C58" s="21" t="s">
        <v>197</v>
      </c>
      <c r="D58" s="21" t="s">
        <v>376</v>
      </c>
      <c r="E58" s="13">
        <v>42997.382696759261</v>
      </c>
      <c r="F58" s="13">
        <v>42997.385659722226</v>
      </c>
      <c r="G58" s="7">
        <v>53</v>
      </c>
      <c r="H58" s="21" t="s">
        <v>431</v>
      </c>
      <c r="I58" s="13">
        <v>42997.409780092596</v>
      </c>
      <c r="J58" s="7">
        <v>0</v>
      </c>
      <c r="K58" s="89" t="str">
        <f t="shared" si="0"/>
        <v>4013/4014</v>
      </c>
      <c r="L58" s="185" t="str">
        <f>VLOOKUP(A58,'Trips&amp;Operators'!$C$1:$G$99911,5,FALSE)</f>
        <v>BIRENBAUM THOMAS</v>
      </c>
      <c r="M58" s="6">
        <f t="shared" si="1"/>
        <v>2.4120370369928423E-2</v>
      </c>
      <c r="N58" s="7">
        <f t="shared" si="33"/>
        <v>34.73333333269693</v>
      </c>
      <c r="O58" s="7"/>
      <c r="P58" s="7"/>
      <c r="Q58" s="22"/>
      <c r="R58" s="174"/>
      <c r="S58" s="221">
        <f t="shared" si="34"/>
        <v>1</v>
      </c>
      <c r="T58" s="174" t="str">
        <f t="shared" si="4"/>
        <v>NorthBound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5"/>
        <v>https://d0f6bd738d7f1b3e5a7ca70fe4ff75f0.us-east-1.aws.found.io/app/kibana#/discover/Steve-Slow-Train-Analysis-(2080s-and-2083s)?_g=(refreshInterval:(display:Off,pause:!f,section:0,value:0),time:(from:'2017-09-19T08:11:05-0600',mode:absolute,to:'2017-09-19T10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8" s="204" t="str">
        <f>IF(AA58&lt;VLOOKUP(AG58,Variables!$AC$3:$AD$8,2,FALSE),"Y","N")</f>
        <v>N</v>
      </c>
      <c r="X58" s="204">
        <f t="shared" si="32"/>
        <v>1</v>
      </c>
      <c r="Y58" s="204">
        <f t="shared" si="30"/>
        <v>4.6899999999999997E-2</v>
      </c>
      <c r="Z58" s="204">
        <f t="shared" si="31"/>
        <v>23.331499999999998</v>
      </c>
      <c r="AA58" s="204">
        <f t="shared" si="9"/>
        <v>23.284599999999998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 t="shared" si="10"/>
        <v>145</v>
      </c>
      <c r="AE58" s="77" t="str">
        <f t="shared" si="11"/>
        <v>aws s3 cp s3://rtdc.mdm.uploadarchive.raw/RTDC4014/ "%USERPROFILE%\AppData\Local\Temp\OnboardLogs"\RTDC4014\2017-09-19 --exclude "*" --recursive --include "*20170919*" &amp; "%USERPROFILE%\Documents\GitHub\mrs-test-scripts\Headless Mode &amp; Sideloading\WalkAndUnGZ.bat" "%USERPROFILE%\AppData\Local\Temp\OnboardLogs"\RTDC4014\2017-09-19 &amp; aws s3 cp s3://rtdc.mdm.uploadarchive.raw/RTDC4014/ "%USERPROFILE%\AppData\Local\Temp\OnboardLogs"\RTDC4014\2017-09-20 --exclude "*" --recursive --include "*20170920*" &amp; "%USERPROFILE%\Documents\GitHub\mrs-test-scripts\Headless Mode &amp; Sideloading\WalkAndUnGZ.bat" "%USERPROFILE%\AppData\Local\Temp\OnboardLogs"\RTDC4014\2017-09-20</v>
      </c>
      <c r="AF58" s="74" t="str">
        <f t="shared" si="12"/>
        <v>"C:\Program Files (x86)\AstroGrep\AstroGrep.exe" /e /r /s /spath="%USERPROFILE%\AppData\Local\Temp\OnboardLogs" /stypes="app*4014*20170919*" /stext=" 15:.+((SYSTEM_STATE.+slice.+state.+changed )|(ment ac)|(multiple cpu faults)|(system.+state.+changed )|(\[timeout)|(PRM\|1\|D)|(kpr)|(kdp)|(train st.+moving)|(\|lc)|(penalty))"</v>
      </c>
      <c r="AG58" s="182" t="str">
        <f t="shared" si="13"/>
        <v>EC</v>
      </c>
      <c r="AH58" s="78" t="str">
        <f t="shared" si="19"/>
        <v>"%USERPROFILE%\Documents\GitHub\eaglep3\Utilities\RefineRTDCRunTimes.py" --tripid 145-19 --locoid 4014 --swversion DE.1.0.9.0 --startMP 204:469 --initTime 2017-09-19T09:11:05 --startdatetime 2017-09-19T09:15:21 --delay 53 --endMP 204:233315 --enddatetime 2017-09-19T09:50:05 --enforcementcount 0 &gt;&gt;C:\Users\stu\Documents\GitHub\eaglep3-reporting\EC\2017-09-19-refined-times.txt</v>
      </c>
      <c r="AI58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{"issue":{"subject":"","project_id":79,"tracker_id":40,"status_id":1,"priority_id":2,"assigned_to_id":338,"start_date":"2017-09-19","description":"","custom_fields":[{"id":1,"name":"Subdivision","value":"EC"},{"id":4,"name":"Milepost","value":"23.3315"},{"id":17,"name":"Train ID","value":"145-19"},{"id":16,"name":"Locomotive ID","value":"4014"},{"id":130,"name":"Impact","value":""},{"id":150,"name":"Time of Event (Mountain Time)","value":"09:50:05"},{"id":151,"name":"Denver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1"/>
        <v>start /low /b %USERPROFILE%\Documents\GitHub\eaglep3\Utilities\DownloadLogsFromS3.py --loco 4014 --day 2017-09-19</v>
      </c>
      <c r="AN58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15:50:05"},{"id":29,"name":"Sharepoint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3"/>
        <v>https://d0f6bd738d7f1b3e5a7ca70fe4ff75f0.us-east-1.aws.found.io/app/kibana#/discover/Steve-Slow-Train-Analysis-(2080s-and-2083s)?_g=(refreshInterval:(display:Off,pause:!f,section:0,value:0),time:(from:'2017-09-19T08:11:05-0600',mode:absolute,to:'2017-09-19T10:50:05-0600'))&amp;_a=(columns:!('Message%20ID',Summary),filters:!(),index:'emp_*',interval:auto,query:(query_string:(analyze_wildcard:!t,query:'Message%5C+ID:(*)+AND+%22rtdc.l.rtdc.4014%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724</v>
      </c>
      <c r="B59" s="7">
        <v>4013</v>
      </c>
      <c r="C59" s="21" t="s">
        <v>197</v>
      </c>
      <c r="D59" s="21" t="s">
        <v>424</v>
      </c>
      <c r="E59" s="13">
        <v>42997.422638888886</v>
      </c>
      <c r="F59" s="13">
        <v>42997.425219907411</v>
      </c>
      <c r="G59" s="7">
        <v>49</v>
      </c>
      <c r="H59" s="21" t="s">
        <v>365</v>
      </c>
      <c r="I59" s="13">
        <v>42997.449814814812</v>
      </c>
      <c r="J59" s="7">
        <v>0</v>
      </c>
      <c r="K59" s="89" t="str">
        <f t="shared" si="0"/>
        <v>4013/4014</v>
      </c>
      <c r="L59" s="185" t="str">
        <f>VLOOKUP(A59,'Trips&amp;Operators'!$C$1:$G$99911,5,FALSE)</f>
        <v>BIRENBAUM THOMAS</v>
      </c>
      <c r="M59" s="6">
        <f t="shared" si="1"/>
        <v>2.4594907401478849E-2</v>
      </c>
      <c r="N59" s="7">
        <f t="shared" si="33"/>
        <v>35.416666658129543</v>
      </c>
      <c r="O59" s="7"/>
      <c r="P59" s="7"/>
      <c r="Q59" s="22"/>
      <c r="R59" s="174"/>
      <c r="S59" s="221">
        <f t="shared" si="34"/>
        <v>1</v>
      </c>
      <c r="T59" s="174" t="str">
        <f t="shared" si="4"/>
        <v>Southbound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5"/>
        <v>https://d0f6bd738d7f1b3e5a7ca70fe4ff75f0.us-east-1.aws.found.io/app/kibana#/discover/Steve-Slow-Train-Analysis-(2080s-and-2083s)?_g=(refreshInterval:(display:Off,pause:!f,section:0,value:0),time:(from:'2017-09-19T09:08:36-0600',mode:absolute,to:'2017-09-19T11:47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9" s="204" t="str">
        <f>IF(AA59&lt;VLOOKUP(AG59,Variables!$AC$3:$AD$8,2,FALSE),"Y","N")</f>
        <v>N</v>
      </c>
      <c r="X59" s="204">
        <f t="shared" si="32"/>
        <v>1</v>
      </c>
      <c r="Y59" s="204">
        <f t="shared" si="30"/>
        <v>23.299800000000001</v>
      </c>
      <c r="Z59" s="204">
        <f t="shared" si="31"/>
        <v>1.38E-2</v>
      </c>
      <c r="AA59" s="204">
        <f t="shared" si="9"/>
        <v>23.286000000000001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 t="shared" si="10"/>
        <v>146</v>
      </c>
      <c r="AE59" s="77" t="str">
        <f t="shared" si="11"/>
        <v>aws s3 cp s3://rtdc.mdm.uploadarchive.raw/RTDC4013/ "%USERPROFILE%\AppData\Local\Temp\OnboardLogs"\RTDC4013\2017-09-19 --exclude "*" --recursive --include "*20170919*" &amp; "%USERPROFILE%\Documents\GitHub\mrs-test-scripts\Headless Mode &amp; Sideloading\WalkAndUnGZ.bat" "%USERPROFILE%\AppData\Local\Temp\OnboardLogs"\RTDC4013\2017-09-19 &amp; aws s3 cp s3://rtdc.mdm.uploadarchive.raw/RTDC4013/ "%USERPROFILE%\AppData\Local\Temp\OnboardLogs"\RTDC4013\2017-09-20 --exclude "*" --recursive --include "*20170920*" &amp; "%USERPROFILE%\Documents\GitHub\mrs-test-scripts\Headless Mode &amp; Sideloading\WalkAndUnGZ.bat" "%USERPROFILE%\AppData\Local\Temp\OnboardLogs"\RTDC4013\2017-09-20</v>
      </c>
      <c r="AF59" s="74" t="str">
        <f t="shared" si="12"/>
        <v>"C:\Program Files (x86)\AstroGrep\AstroGrep.exe" /e /r /s /spath="%USERPROFILE%\AppData\Local\Temp\OnboardLogs" /stypes="app*4013*20170919*" /stext=" 16:.+((SYSTEM_STATE.+slice.+state.+changed )|(ment ac)|(multiple cpu faults)|(system.+state.+changed )|(\[timeout)|(PRM\|1\|D)|(kpr)|(kdp)|(train st.+moving)|(\|lc)|(penalty))"</v>
      </c>
      <c r="AG59" s="182" t="str">
        <f t="shared" si="13"/>
        <v>EC</v>
      </c>
      <c r="AH59" s="78" t="str">
        <f t="shared" si="19"/>
        <v>"%USERPROFILE%\Documents\GitHub\eaglep3\Utilities\RefineRTDCRunTimes.py" --tripid 146-19 --locoid 4013 --swversion DE.1.0.9.0 --startMP 204:232998 --initTime 2017-09-19T10:08:36 --startdatetime 2017-09-19T10:12:19 --delay 49 --endMP 204:138 --enddatetime 2017-09-19T10:47:44 --enforcementcount 0 &gt;&gt;C:\Users\stu\Documents\GitHub\eaglep3-reporting\EC\2017-09-19-refined-times.txt</v>
      </c>
      <c r="AI59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{"issue":{"subject":"","project_id":79,"tracker_id":40,"status_id":1,"priority_id":2,"assigned_to_id":338,"start_date":"2017-09-19","description":"","custom_fields":[{"id":1,"name":"Subdivision","value":"EC"},{"id":4,"name":"Milepost","value":"0.0138"},{"id":17,"name":"Train ID","value":"146-19"},{"id":16,"name":"Locomotive ID","value":"4013"},{"id":130,"name":"Impact","value":""},{"id":150,"name":"Time of Event (Mountain Time)","value":"10:47:44"},{"id":151,"name":"Denver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1"/>
        <v>start /low /b %USERPROFILE%\Documents\GitHub\eaglep3\Utilities\DownloadLogsFromS3.py --loco 4013 --day 2017-09-19</v>
      </c>
      <c r="AN59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16:47:44"},{"id":29,"name":"Sharepoint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3"/>
        <v>https://d0f6bd738d7f1b3e5a7ca70fe4ff75f0.us-east-1.aws.found.io/app/kibana#/discover/Steve-Slow-Train-Analysis-(2080s-and-2083s)?_g=(refreshInterval:(display:Off,pause:!f,section:0,value:0),time:(from:'2017-09-19T09:08:36-0600',mode:absolute,to:'2017-09-19T11:47:44-0600'))&amp;_a=(columns:!('Message%20ID',Summary),filters:!(),index:'emp_*',interval:auto,query:(query_string:(analyze_wildcard:!t,query:'Message%5C+ID:(*)+AND+%22rtdc.l.rtdc.4013%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622</v>
      </c>
      <c r="B60" s="7">
        <v>4056</v>
      </c>
      <c r="C60" s="21" t="s">
        <v>197</v>
      </c>
      <c r="D60" s="21" t="s">
        <v>417</v>
      </c>
      <c r="E60" s="13">
        <v>42997.393796296295</v>
      </c>
      <c r="F60" s="13">
        <v>42997.396249999998</v>
      </c>
      <c r="G60" s="7">
        <v>64</v>
      </c>
      <c r="H60" s="21" t="s">
        <v>421</v>
      </c>
      <c r="I60" s="13">
        <v>42997.421435185184</v>
      </c>
      <c r="J60" s="7">
        <v>0</v>
      </c>
      <c r="K60" s="89" t="str">
        <f t="shared" si="0"/>
        <v>4055/4056</v>
      </c>
      <c r="L60" s="185" t="str">
        <f>VLOOKUP(A60,'Trips&amp;Operators'!$C$1:$G$99911,5,FALSE)</f>
        <v>THOMPSON LESTER</v>
      </c>
      <c r="M60" s="6">
        <f t="shared" si="1"/>
        <v>2.5185185186273884E-2</v>
      </c>
      <c r="N60" s="7">
        <f t="shared" si="33"/>
        <v>36.266666668234393</v>
      </c>
      <c r="O60" s="7"/>
      <c r="P60" s="7"/>
      <c r="Q60" s="22"/>
      <c r="R60" s="174"/>
      <c r="S60" s="221">
        <f t="shared" si="34"/>
        <v>1</v>
      </c>
      <c r="T60" s="174" t="str">
        <f t="shared" si="4"/>
        <v>NorthBound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5"/>
        <v>https://d0f6bd738d7f1b3e5a7ca70fe4ff75f0.us-east-1.aws.found.io/app/kibana#/discover/Steve-Slow-Train-Analysis-(2080s-and-2083s)?_g=(refreshInterval:(display:Off,pause:!f,section:0,value:0),time:(from:'2017-09-19T08:27:04-0600',mode:absolute,to:'2017-09-19T11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0" s="204" t="str">
        <f>IF(AA60&lt;VLOOKUP(AG60,Variables!$AC$3:$AD$8,2,FALSE),"Y","N")</f>
        <v>N</v>
      </c>
      <c r="X60" s="204">
        <f t="shared" si="32"/>
        <v>1</v>
      </c>
      <c r="Y60" s="204">
        <f t="shared" si="30"/>
        <v>4.5100000000000001E-2</v>
      </c>
      <c r="Z60" s="204">
        <f t="shared" si="31"/>
        <v>23.3291</v>
      </c>
      <c r="AA60" s="204">
        <f t="shared" si="9"/>
        <v>23.283999999999999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 t="shared" si="10"/>
        <v>147</v>
      </c>
      <c r="AE60" s="77" t="str">
        <f t="shared" si="11"/>
        <v>aws s3 cp s3://rtdc.mdm.uploadarchive.raw/RTDC4056/ "%USERPROFILE%\AppData\Local\Temp\OnboardLogs"\RTDC4056\2017-09-19 --exclude "*" --recursive --include "*20170919*" &amp; "%USERPROFILE%\Documents\GitHub\mrs-test-scripts\Headless Mode &amp; Sideloading\WalkAndUnGZ.bat" "%USERPROFILE%\AppData\Local\Temp\OnboardLogs"\RTDC4056\2017-09-19 &amp; aws s3 cp s3://rtdc.mdm.uploadarchive.raw/RTDC4056/ "%USERPROFILE%\AppData\Local\Temp\OnboardLogs"\RTDC4056\2017-09-20 --exclude "*" --recursive --include "*20170920*" &amp; "%USERPROFILE%\Documents\GitHub\mrs-test-scripts\Headless Mode &amp; Sideloading\WalkAndUnGZ.bat" "%USERPROFILE%\AppData\Local\Temp\OnboardLogs"\RTDC4056\2017-09-20</v>
      </c>
      <c r="AF60" s="74" t="str">
        <f t="shared" si="12"/>
        <v>"C:\Program Files (x86)\AstroGrep\AstroGrep.exe" /e /r /s /spath="%USERPROFILE%\AppData\Local\Temp\OnboardLogs" /stypes="app*4056*20170919*" /stext=" 16:.+((SYSTEM_STATE.+slice.+state.+changed )|(ment ac)|(multiple cpu faults)|(system.+state.+changed )|(\[timeout)|(PRM\|1\|D)|(kpr)|(kdp)|(train st.+moving)|(\|lc)|(penalty))"</v>
      </c>
      <c r="AG60" s="182" t="str">
        <f t="shared" si="13"/>
        <v>EC</v>
      </c>
      <c r="AH60" s="78" t="str">
        <f t="shared" si="19"/>
        <v>"%USERPROFILE%\Documents\GitHub\eaglep3\Utilities\RefineRTDCRunTimes.py" --tripid 147-19 --locoid 4056 --swversion DE.1.0.9.0 --startMP 204:451 --initTime 2017-09-19T09:27:04 --startdatetime 2017-09-19T09:30:36 --delay 64 --endMP 204:233291 --enddatetime 2017-09-19T10:06:52 --enforcementcount 0 &gt;&gt;C:\Users\stu\Documents\GitHub\eaglep3-reporting\EC\2017-09-19-refined-times.txt</v>
      </c>
      <c r="AI60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{"issue":{"subject":"","project_id":79,"tracker_id":40,"status_id":1,"priority_id":2,"assigned_to_id":338,"start_date":"2017-09-19","description":"","custom_fields":[{"id":1,"name":"Subdivision","value":"EC"},{"id":4,"name":"Milepost","value":"23.3291"},{"id":17,"name":"Train ID","value":"147-19"},{"id":16,"name":"Locomotive ID","value":"4056"},{"id":130,"name":"Impact","value":""},{"id":150,"name":"Time of Event (Mountain Time)","value":"10:06:52"},{"id":151,"name":"Denver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1"/>
        <v>start /low /b %USERPROFILE%\Documents\GitHub\eaglep3\Utilities\DownloadLogsFromS3.py --loco 4056 --day 2017-09-19</v>
      </c>
      <c r="AN60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16:06:52"},{"id":29,"name":"Sharepoint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3"/>
        <v>https://d0f6bd738d7f1b3e5a7ca70fe4ff75f0.us-east-1.aws.found.io/app/kibana#/discover/Steve-Slow-Train-Analysis-(2080s-and-2083s)?_g=(refreshInterval:(display:Off,pause:!f,section:0,value:0),time:(from:'2017-09-19T08:27:04-0600',mode:absolute,to:'2017-09-19T11:06:52-0600'))&amp;_a=(columns:!('Message%20ID',Summary),filters:!(),index:'emp_*',interval:auto,query:(query_string:(analyze_wildcard:!t,query:'Message%5C+ID:(*)+AND+%22rtdc.l.rtdc.4056%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727</v>
      </c>
      <c r="B61" s="7">
        <v>4055</v>
      </c>
      <c r="C61" s="21" t="s">
        <v>197</v>
      </c>
      <c r="D61" s="21" t="s">
        <v>517</v>
      </c>
      <c r="E61" s="13">
        <v>42997.433981481481</v>
      </c>
      <c r="F61" s="13">
        <v>42997.435694444444</v>
      </c>
      <c r="G61" s="7">
        <v>69</v>
      </c>
      <c r="H61" s="21" t="s">
        <v>339</v>
      </c>
      <c r="I61" s="13">
        <v>42997.463067129633</v>
      </c>
      <c r="J61" s="7">
        <v>0</v>
      </c>
      <c r="K61" s="89" t="str">
        <f t="shared" si="0"/>
        <v>4055/4056</v>
      </c>
      <c r="L61" s="185" t="str">
        <f>VLOOKUP(A61,'Trips&amp;Operators'!$C$1:$G$99911,5,FALSE)</f>
        <v>THOMPSON LESTER</v>
      </c>
      <c r="M61" s="6">
        <f t="shared" si="1"/>
        <v>2.7372685188311152E-2</v>
      </c>
      <c r="N61" s="7">
        <f t="shared" si="33"/>
        <v>39.416666671168059</v>
      </c>
      <c r="O61" s="7"/>
      <c r="P61" s="7"/>
      <c r="Q61" s="22"/>
      <c r="R61" s="174"/>
      <c r="S61" s="221">
        <f t="shared" si="34"/>
        <v>1</v>
      </c>
      <c r="T61" s="174" t="str">
        <f t="shared" si="4"/>
        <v>Southbound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5"/>
        <v>https://d0f6bd738d7f1b3e5a7ca70fe4ff75f0.us-east-1.aws.found.io/app/kibana#/discover/Steve-Slow-Train-Analysis-(2080s-and-2083s)?_g=(refreshInterval:(display:Off,pause:!f,section:0,value:0),time:(from:'2017-09-19T09:24:56-0600',mode:absolute,to:'2017-09-19T12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1" s="204" t="str">
        <f>IF(AA61&lt;VLOOKUP(AG61,Variables!$AC$3:$AD$8,2,FALSE),"Y","N")</f>
        <v>N</v>
      </c>
      <c r="X61" s="204">
        <f t="shared" si="32"/>
        <v>1</v>
      </c>
      <c r="Y61" s="204">
        <f t="shared" si="30"/>
        <v>23.297499999999999</v>
      </c>
      <c r="Z61" s="204">
        <f t="shared" si="31"/>
        <v>1.49E-2</v>
      </c>
      <c r="AA61" s="204">
        <f t="shared" si="9"/>
        <v>23.282599999999999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 t="shared" si="10"/>
        <v>148</v>
      </c>
      <c r="AE61" s="77" t="str">
        <f t="shared" si="11"/>
        <v>aws s3 cp s3://rtdc.mdm.uploadarchive.raw/RTDC4055/ "%USERPROFILE%\AppData\Local\Temp\OnboardLogs"\RTDC4055\2017-09-19 --exclude "*" --recursive --include "*20170919*" &amp; "%USERPROFILE%\Documents\GitHub\mrs-test-scripts\Headless Mode &amp; Sideloading\WalkAndUnGZ.bat" "%USERPROFILE%\AppData\Local\Temp\OnboardLogs"\RTDC4055\2017-09-19 &amp; aws s3 cp s3://rtdc.mdm.uploadarchive.raw/RTDC4055/ "%USERPROFILE%\AppData\Local\Temp\OnboardLogs"\RTDC4055\2017-09-20 --exclude "*" --recursive --include "*20170920*" &amp; "%USERPROFILE%\Documents\GitHub\mrs-test-scripts\Headless Mode &amp; Sideloading\WalkAndUnGZ.bat" "%USERPROFILE%\AppData\Local\Temp\OnboardLogs"\RTDC4055\2017-09-20</v>
      </c>
      <c r="AF61" s="74" t="str">
        <f t="shared" si="12"/>
        <v>"C:\Program Files (x86)\AstroGrep\AstroGrep.exe" /e /r /s /spath="%USERPROFILE%\AppData\Local\Temp\OnboardLogs" /stypes="app*4055*20170919*" /stext=" 17:.+((SYSTEM_STATE.+slice.+state.+changed )|(ment ac)|(multiple cpu faults)|(system.+state.+changed )|(\[timeout)|(PRM\|1\|D)|(kpr)|(kdp)|(train st.+moving)|(\|lc)|(penalty))"</v>
      </c>
      <c r="AG61" s="182" t="str">
        <f t="shared" si="13"/>
        <v>EC</v>
      </c>
      <c r="AH61" s="78" t="str">
        <f t="shared" si="19"/>
        <v>"%USERPROFILE%\Documents\GitHub\eaglep3\Utilities\RefineRTDCRunTimes.py" --tripid 148-19 --locoid 4055 --swversion DE.1.0.9.0 --startMP 204:232975 --initTime 2017-09-19T10:24:56 --startdatetime 2017-09-19T10:27:24 --delay 69 --endMP 204:149 --enddatetime 2017-09-19T11:06:49 --enforcementcount 0 &gt;&gt;C:\Users\stu\Documents\GitHub\eaglep3-reporting\EC\2017-09-19-refined-times.txt</v>
      </c>
      <c r="AI61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{"issue":{"subject":"","project_id":79,"tracker_id":40,"status_id":1,"priority_id":2,"assigned_to_id":338,"start_date":"2017-09-19","description":"","custom_fields":[{"id":1,"name":"Subdivision","value":"EC"},{"id":4,"name":"Milepost","value":"0.0149"},{"id":17,"name":"Train ID","value":"148-19"},{"id":16,"name":"Locomotive ID","value":"4055"},{"id":130,"name":"Impact","value":""},{"id":150,"name":"Time of Event (Mountain Time)","value":"11:06:49"},{"id":151,"name":"Denver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1"/>
        <v>start /low /b %USERPROFILE%\Documents\GitHub\eaglep3\Utilities\DownloadLogsFromS3.py --loco 4055 --day 2017-09-19</v>
      </c>
      <c r="AN61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17:06:49"},{"id":29,"name":"Sharepoint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3"/>
        <v>https://d0f6bd738d7f1b3e5a7ca70fe4ff75f0.us-east-1.aws.found.io/app/kibana#/discover/Steve-Slow-Train-Analysis-(2080s-and-2083s)?_g=(refreshInterval:(display:Off,pause:!f,section:0,value:0),time:(from:'2017-09-19T09:24:56-0600',mode:absolute,to:'2017-09-19T12:06:49-0600'))&amp;_a=(columns:!('Message%20ID',Summary),filters:!(),index:'emp_*',interval:auto,query:(query_string:(analyze_wildcard:!t,query:'Message%5C+ID:(*)+AND+%22rtdc.l.rtdc.4055%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720</v>
      </c>
      <c r="B62" s="7">
        <v>4030</v>
      </c>
      <c r="C62" s="21" t="s">
        <v>197</v>
      </c>
      <c r="D62" s="21" t="s">
        <v>395</v>
      </c>
      <c r="E62" s="13">
        <v>42997.399513888886</v>
      </c>
      <c r="F62" s="13">
        <v>42997.406446759262</v>
      </c>
      <c r="G62" s="7">
        <v>48</v>
      </c>
      <c r="H62" s="21" t="s">
        <v>531</v>
      </c>
      <c r="I62" s="13">
        <v>42997.430555555555</v>
      </c>
      <c r="J62" s="7">
        <v>0</v>
      </c>
      <c r="K62" s="89" t="str">
        <f t="shared" si="0"/>
        <v>4029/4030</v>
      </c>
      <c r="L62" s="185" t="str">
        <f>VLOOKUP(A62,'Trips&amp;Operators'!$C$1:$G$99911,5,FALSE)</f>
        <v>LALONDE GREGORY</v>
      </c>
      <c r="M62" s="6">
        <f t="shared" si="1"/>
        <v>2.4108796293148771E-2</v>
      </c>
      <c r="N62" s="7">
        <f t="shared" si="33"/>
        <v>34.71666666213423</v>
      </c>
      <c r="O62" s="7"/>
      <c r="P62" s="7"/>
      <c r="Q62" s="22"/>
      <c r="R62" s="174"/>
      <c r="S62" s="221">
        <f t="shared" si="34"/>
        <v>1</v>
      </c>
      <c r="T62" s="174" t="str">
        <f t="shared" si="4"/>
        <v>NorthBound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5"/>
        <v>https://d0f6bd738d7f1b3e5a7ca70fe4ff75f0.us-east-1.aws.found.io/app/kibana#/discover/Steve-Slow-Train-Analysis-(2080s-and-2083s)?_g=(refreshInterval:(display:Off,pause:!f,section:0,value:0),time:(from:'2017-09-19T08:35:18-0600',mode:absolute,to:'2017-09-19T11:20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2" s="204" t="str">
        <f>IF(AA62&lt;VLOOKUP(AG62,Variables!$AC$3:$AD$8,2,FALSE),"Y","N")</f>
        <v>N</v>
      </c>
      <c r="X62" s="204">
        <f t="shared" si="32"/>
        <v>1</v>
      </c>
      <c r="Y62" s="204">
        <f t="shared" si="30"/>
        <v>4.3999999999999997E-2</v>
      </c>
      <c r="Z62" s="204">
        <f t="shared" si="31"/>
        <v>23.334</v>
      </c>
      <c r="AA62" s="204">
        <f t="shared" si="9"/>
        <v>23.29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 t="shared" si="10"/>
        <v>149</v>
      </c>
      <c r="AE62" s="77" t="str">
        <f t="shared" si="11"/>
        <v>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 &amp; aws s3 cp s3://rtdc.mdm.uploadarchive.raw/RTDC4030/ "%USERPROFILE%\AppData\Local\Temp\OnboardLogs"\RTDC4030\2017-09-20 --exclude "*" --recursive --include "*20170920*" &amp; "%USERPROFILE%\Documents\GitHub\mrs-test-scripts\Headless Mode &amp; Sideloading\WalkAndUnGZ.bat" "%USERPROFILE%\AppData\Local\Temp\OnboardLogs"\RTDC4030\2017-09-20</v>
      </c>
      <c r="AF62" s="74" t="str">
        <f t="shared" si="12"/>
        <v>"C:\Program Files (x86)\AstroGrep\AstroGrep.exe" /e /r /s /spath="%USERPROFILE%\AppData\Local\Temp\OnboardLogs" /stypes="app*4030*20170919*" /stext=" 16:.+((SYSTEM_STATE.+slice.+state.+changed )|(ment ac)|(multiple cpu faults)|(system.+state.+changed )|(\[timeout)|(PRM\|1\|D)|(kpr)|(kdp)|(train st.+moving)|(\|lc)|(penalty))"</v>
      </c>
      <c r="AG62" s="182" t="str">
        <f t="shared" si="13"/>
        <v>EC</v>
      </c>
      <c r="AH62" s="78" t="str">
        <f t="shared" si="19"/>
        <v>"%USERPROFILE%\Documents\GitHub\eaglep3\Utilities\RefineRTDCRunTimes.py" --tripid 149-19 --locoid 4030 --swversion DE.1.0.9.0 --startMP 204:440 --initTime 2017-09-19T09:35:18 --startdatetime 2017-09-19T09:45:17 --delay 48 --endMP 204:233340 --enddatetime 2017-09-19T10:20:00 --enforcementcount 0 &gt;&gt;C:\Users\stu\Documents\GitHub\eaglep3-reporting\EC\2017-09-19-refined-times.txt</v>
      </c>
      <c r="AI62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{"issue":{"subject":"","project_id":79,"tracker_id":40,"status_id":1,"priority_id":2,"assigned_to_id":338,"start_date":"2017-09-19","description":"","custom_fields":[{"id":1,"name":"Subdivision","value":"EC"},{"id":4,"name":"Milepost","value":"23.334"},{"id":17,"name":"Train ID","value":"149-19"},{"id":16,"name":"Locomotive ID","value":"4030"},{"id":130,"name":"Impact","value":""},{"id":150,"name":"Time of Event (Mountain Time)","value":"10:20:00"},{"id":151,"name":"Denver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1"/>
        <v>start /low /b %USERPROFILE%\Documents\GitHub\eaglep3\Utilities\DownloadLogsFromS3.py --loco 4030 --day 2017-09-19</v>
      </c>
      <c r="AN62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16:20:00"},{"id":29,"name":"Sharepoint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3"/>
        <v>https://d0f6bd738d7f1b3e5a7ca70fe4ff75f0.us-east-1.aws.found.io/app/kibana#/discover/Steve-Slow-Train-Analysis-(2080s-and-2083s)?_g=(refreshInterval:(display:Off,pause:!f,section:0,value:0),time:(from:'2017-09-19T08:35:18-0600',mode:absolute,to:'2017-09-19T11:20:00-0600'))&amp;_a=(columns:!('Message%20ID',Summary),filters:!(),index:'emp_*',interval:auto,query:(query_string:(analyze_wildcard:!t,query:'Message%5C+ID:(*)+AND+%22rtdc.l.rtdc.4030%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726</v>
      </c>
      <c r="B63" s="7">
        <v>4029</v>
      </c>
      <c r="C63" s="21" t="s">
        <v>197</v>
      </c>
      <c r="D63" s="21" t="s">
        <v>522</v>
      </c>
      <c r="E63" s="13">
        <v>42997.431770833333</v>
      </c>
      <c r="F63" s="13">
        <v>42997.446053240739</v>
      </c>
      <c r="G63" s="7">
        <v>55</v>
      </c>
      <c r="H63" s="21" t="s">
        <v>342</v>
      </c>
      <c r="I63" s="13">
        <v>42997.471990740742</v>
      </c>
      <c r="J63" s="7">
        <v>0</v>
      </c>
      <c r="K63" s="89" t="str">
        <f t="shared" si="0"/>
        <v>4029/4030</v>
      </c>
      <c r="L63" s="185" t="str">
        <f>VLOOKUP(A63,'Trips&amp;Operators'!$C$1:$G$99911,5,FALSE)</f>
        <v>LALONDE GREGORY</v>
      </c>
      <c r="M63" s="6">
        <f t="shared" si="1"/>
        <v>2.5937500002328306E-2</v>
      </c>
      <c r="N63" s="7">
        <f t="shared" si="33"/>
        <v>37.350000003352761</v>
      </c>
      <c r="O63" s="7"/>
      <c r="P63" s="7"/>
      <c r="Q63" s="22"/>
      <c r="R63" s="174"/>
      <c r="S63" s="221">
        <f t="shared" si="34"/>
        <v>1</v>
      </c>
      <c r="T63" s="174" t="str">
        <f t="shared" si="4"/>
        <v>Southbound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5"/>
        <v>https://d0f6bd738d7f1b3e5a7ca70fe4ff75f0.us-east-1.aws.found.io/app/kibana#/discover/Steve-Slow-Train-Analysis-(2080s-and-2083s)?_g=(refreshInterval:(display:Off,pause:!f,section:0,value:0),time:(from:'2017-09-19T09:21:45-0600',mode:absolute,to:'2017-09-19T12:19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3" s="204" t="str">
        <f>IF(AA63&lt;VLOOKUP(AG63,Variables!$AC$3:$AD$8,2,FALSE),"Y","N")</f>
        <v>N</v>
      </c>
      <c r="X63" s="204">
        <f t="shared" si="32"/>
        <v>1</v>
      </c>
      <c r="Y63" s="204">
        <f t="shared" ref="Y63:Y94" si="35">RIGHT(D63,LEN(D63)-4)/10000</f>
        <v>23.301500000000001</v>
      </c>
      <c r="Z63" s="204">
        <f t="shared" ref="Z63:Z94" si="36">RIGHT(H63,LEN(H63)-4)/10000</f>
        <v>1.41E-2</v>
      </c>
      <c r="AA63" s="204">
        <f t="shared" si="9"/>
        <v>23.287400000000002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 t="shared" si="10"/>
        <v>150</v>
      </c>
      <c r="AE63" s="77" t="str">
        <f t="shared" si="11"/>
        <v>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 &amp; aws s3 cp s3://rtdc.mdm.uploadarchive.raw/RTDC4029/ "%USERPROFILE%\AppData\Local\Temp\OnboardLogs"\RTDC4029\2017-09-20 --exclude "*" --recursive --include "*20170920*" &amp; "%USERPROFILE%\Documents\GitHub\mrs-test-scripts\Headless Mode &amp; Sideloading\WalkAndUnGZ.bat" "%USERPROFILE%\AppData\Local\Temp\OnboardLogs"\RTDC4029\2017-09-20</v>
      </c>
      <c r="AF63" s="74" t="str">
        <f t="shared" si="12"/>
        <v>"C:\Program Files (x86)\AstroGrep\AstroGrep.exe" /e /r /s /spath="%USERPROFILE%\AppData\Local\Temp\OnboardLogs" /stypes="app*4029*20170919*" /stext=" 17:.+((SYSTEM_STATE.+slice.+state.+changed )|(ment ac)|(multiple cpu faults)|(system.+state.+changed )|(\[timeout)|(PRM\|1\|D)|(kpr)|(kdp)|(train st.+moving)|(\|lc)|(penalty))"</v>
      </c>
      <c r="AG63" s="182" t="str">
        <f t="shared" si="13"/>
        <v>EC</v>
      </c>
      <c r="AH63" s="78" t="str">
        <f t="shared" si="19"/>
        <v>"%USERPROFILE%\Documents\GitHub\eaglep3\Utilities\RefineRTDCRunTimes.py" --tripid 150-19 --locoid 4029 --swversion DE.1.0.9.0 --startMP 204:233015 --initTime 2017-09-19T10:21:45 --startdatetime 2017-09-19T10:42:19 --delay 55 --endMP 204:141 --enddatetime 2017-09-19T11:19:40 --enforcementcount 0 &gt;&gt;C:\Users\stu\Documents\GitHub\eaglep3-reporting\EC\2017-09-19-refined-times.txt</v>
      </c>
      <c r="AI63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{"issue":{"subject":"","project_id":79,"tracker_id":40,"status_id":1,"priority_id":2,"assigned_to_id":338,"start_date":"2017-09-19","description":"","custom_fields":[{"id":1,"name":"Subdivision","value":"EC"},{"id":4,"name":"Milepost","value":"0.0141"},{"id":17,"name":"Train ID","value":"150-19"},{"id":16,"name":"Locomotive ID","value":"4029"},{"id":130,"name":"Impact","value":""},{"id":150,"name":"Time of Event (Mountain Time)","value":"11:19:40"},{"id":151,"name":"Denver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1"/>
        <v>start /low /b %USERPROFILE%\Documents\GitHub\eaglep3\Utilities\DownloadLogsFromS3.py --loco 4029 --day 2017-09-19</v>
      </c>
      <c r="AN63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17:19:40"},{"id":29,"name":"Sharepoint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3"/>
        <v>https://d0f6bd738d7f1b3e5a7ca70fe4ff75f0.us-east-1.aws.found.io/app/kibana#/discover/Steve-Slow-Train-Analysis-(2080s-and-2083s)?_g=(refreshInterval:(display:Off,pause:!f,section:0,value:0),time:(from:'2017-09-19T09:21:45-0600',mode:absolute,to:'2017-09-19T12:19:40-0600'))&amp;_a=(columns:!('Message%20ID',Summary),filters:!(),index:'emp_*',interval:auto,query:(query_string:(analyze_wildcard:!t,query:'Message%5C+ID:(*)+AND+%22rtdc.l.rtdc.4029%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722</v>
      </c>
      <c r="B64" s="7">
        <v>4016</v>
      </c>
      <c r="C64" s="21" t="s">
        <v>197</v>
      </c>
      <c r="D64" s="21" t="s">
        <v>877</v>
      </c>
      <c r="E64" s="13">
        <v>42997.413437499999</v>
      </c>
      <c r="F64" s="13">
        <v>42997.416805555556</v>
      </c>
      <c r="G64" s="7">
        <v>81</v>
      </c>
      <c r="H64" s="21" t="s">
        <v>559</v>
      </c>
      <c r="I64" s="13">
        <v>42997.440740740742</v>
      </c>
      <c r="J64" s="7">
        <v>0</v>
      </c>
      <c r="K64" s="89" t="str">
        <f t="shared" si="0"/>
        <v>4015/4016</v>
      </c>
      <c r="L64" s="185" t="str">
        <f>VLOOKUP(A64,'Trips&amp;Operators'!$C$1:$G$99911,5,FALSE)</f>
        <v>LAMAR NEKESHA</v>
      </c>
      <c r="M64" s="6">
        <f t="shared" si="1"/>
        <v>2.3935185185109731E-2</v>
      </c>
      <c r="N64" s="7">
        <f t="shared" si="33"/>
        <v>34.466666666558012</v>
      </c>
      <c r="O64" s="7"/>
      <c r="P64" s="7"/>
      <c r="Q64" s="22"/>
      <c r="R64" s="174"/>
      <c r="S64" s="221">
        <f t="shared" si="34"/>
        <v>1</v>
      </c>
      <c r="T64" s="174" t="str">
        <f t="shared" si="4"/>
        <v>NorthBound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5"/>
        <v>https://d0f6bd738d7f1b3e5a7ca70fe4ff75f0.us-east-1.aws.found.io/app/kibana#/discover/Steve-Slow-Train-Analysis-(2080s-and-2083s)?_g=(refreshInterval:(display:Off,pause:!f,section:0,value:0),time:(from:'2017-09-19T08:55:21-0600',mode:absolute,to:'2017-09-19T11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4" s="204" t="str">
        <f>IF(AA64&lt;VLOOKUP(AG64,Variables!$AC$3:$AD$8,2,FALSE),"Y","N")</f>
        <v>N</v>
      </c>
      <c r="X64" s="204">
        <f t="shared" si="32"/>
        <v>1</v>
      </c>
      <c r="Y64" s="204">
        <f t="shared" si="35"/>
        <v>4.2900000000000001E-2</v>
      </c>
      <c r="Z64" s="204">
        <f t="shared" si="36"/>
        <v>23.329699999999999</v>
      </c>
      <c r="AA64" s="204">
        <f t="shared" si="9"/>
        <v>23.286799999999999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 t="shared" si="10"/>
        <v>151</v>
      </c>
      <c r="AE64" s="77" t="str">
        <f t="shared" si="11"/>
        <v>aws s3 cp s3://rtdc.mdm.uploadarchive.raw/RTDC4016/ "%USERPROFILE%\AppData\Local\Temp\OnboardLogs"\RTDC4016\2017-09-19 --exclude "*" --recursive --include "*20170919*" &amp; "%USERPROFILE%\Documents\GitHub\mrs-test-scripts\Headless Mode &amp; Sideloading\WalkAndUnGZ.bat" "%USERPROFILE%\AppData\Local\Temp\OnboardLogs"\RTDC4016\2017-09-19 &amp; 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</v>
      </c>
      <c r="AF64" s="74" t="str">
        <f t="shared" si="12"/>
        <v>"C:\Program Files (x86)\AstroGrep\AstroGrep.exe" /e /r /s /spath="%USERPROFILE%\AppData\Local\Temp\OnboardLogs" /stypes="app*4016*20170919*" /stext=" 16:.+((SYSTEM_STATE.+slice.+state.+changed )|(ment ac)|(multiple cpu faults)|(system.+state.+changed )|(\[timeout)|(PRM\|1\|D)|(kpr)|(kdp)|(train st.+moving)|(\|lc)|(penalty))"</v>
      </c>
      <c r="AG64" s="182" t="str">
        <f t="shared" si="13"/>
        <v>EC</v>
      </c>
      <c r="AH64" s="78" t="str">
        <f t="shared" si="19"/>
        <v>"%USERPROFILE%\Documents\GitHub\eaglep3\Utilities\RefineRTDCRunTimes.py" --tripid 151-19 --locoid 4016 --swversion DE.1.0.9.0 --startMP 204:429 --initTime 2017-09-19T09:55:21 --startdatetime 2017-09-19T10:00:12 --delay 81 --endMP 204:233297 --enddatetime 2017-09-19T10:34:40 --enforcementcount 0 &gt;&gt;C:\Users\stu\Documents\GitHub\eaglep3-reporting\EC\2017-09-19-refined-times.txt</v>
      </c>
      <c r="AI64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{"issue":{"subject":"","project_id":79,"tracker_id":40,"status_id":1,"priority_id":2,"assigned_to_id":338,"start_date":"2017-09-19","description":"","custom_fields":[{"id":1,"name":"Subdivision","value":"EC"},{"id":4,"name":"Milepost","value":"23.3297"},{"id":17,"name":"Train ID","value":"151-19"},{"id":16,"name":"Locomotive ID","value":"4016"},{"id":130,"name":"Impact","value":""},{"id":150,"name":"Time of Event (Mountain Time)","value":"10:34:40"},{"id":151,"name":"Denver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1"/>
        <v>start /low /b %USERPROFILE%\Documents\GitHub\eaglep3\Utilities\DownloadLogsFromS3.py --loco 4016 --day 2017-09-19</v>
      </c>
      <c r="AN64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16:34:40"},{"id":29,"name":"Sharepoint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3"/>
        <v>https://d0f6bd738d7f1b3e5a7ca70fe4ff75f0.us-east-1.aws.found.io/app/kibana#/discover/Steve-Slow-Train-Analysis-(2080s-and-2083s)?_g=(refreshInterval:(display:Off,pause:!f,section:0,value:0),time:(from:'2017-09-19T08:55:21-0600',mode:absolute,to:'2017-09-19T11:34:40-0600'))&amp;_a=(columns:!('Message%20ID',Summary),filters:!(),index:'emp_*',interval:auto,query:(query_string:(analyze_wildcard:!t,query:'Message%5C+ID:(*)+AND+%22rtdc.l.rtdc.4016%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731</v>
      </c>
      <c r="B65" s="7">
        <v>4015</v>
      </c>
      <c r="C65" s="21" t="s">
        <v>197</v>
      </c>
      <c r="D65" s="21" t="s">
        <v>450</v>
      </c>
      <c r="E65" s="13">
        <v>42997.453726851854</v>
      </c>
      <c r="F65" s="13">
        <v>42997.456712962965</v>
      </c>
      <c r="G65" s="7">
        <v>65</v>
      </c>
      <c r="H65" s="21" t="s">
        <v>382</v>
      </c>
      <c r="I65" s="13">
        <v>42997.483402777776</v>
      </c>
      <c r="J65" s="7">
        <v>0</v>
      </c>
      <c r="K65" s="89" t="str">
        <f t="shared" si="0"/>
        <v>4015/4016</v>
      </c>
      <c r="L65" s="185" t="str">
        <f>VLOOKUP(A65,'Trips&amp;Operators'!$C$1:$G$99911,5,FALSE)</f>
        <v>LAMAR NEKESHA</v>
      </c>
      <c r="M65" s="6">
        <f t="shared" si="1"/>
        <v>2.6689814811106771E-2</v>
      </c>
      <c r="N65" s="7">
        <f t="shared" si="33"/>
        <v>38.433333327993751</v>
      </c>
      <c r="O65" s="7"/>
      <c r="P65" s="7"/>
      <c r="Q65" s="22"/>
      <c r="R65" s="174"/>
      <c r="S65" s="221">
        <f t="shared" si="34"/>
        <v>1</v>
      </c>
      <c r="T65" s="174" t="str">
        <f t="shared" si="4"/>
        <v>Southbound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5"/>
        <v>https://d0f6bd738d7f1b3e5a7ca70fe4ff75f0.us-east-1.aws.found.io/app/kibana#/discover/Steve-Slow-Train-Analysis-(2080s-and-2083s)?_g=(refreshInterval:(display:Off,pause:!f,section:0,value:0),time:(from:'2017-09-19T09:53:22-0600',mode:absolute,to:'2017-09-19T12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5" s="204" t="str">
        <f>IF(AA65&lt;VLOOKUP(AG65,Variables!$AC$3:$AD$8,2,FALSE),"Y","N")</f>
        <v>N</v>
      </c>
      <c r="X65" s="204">
        <f t="shared" si="32"/>
        <v>1</v>
      </c>
      <c r="Y65" s="204">
        <f t="shared" si="35"/>
        <v>23.298999999999999</v>
      </c>
      <c r="Z65" s="204">
        <f t="shared" si="36"/>
        <v>1.5800000000000002E-2</v>
      </c>
      <c r="AA65" s="204">
        <f t="shared" si="9"/>
        <v>23.283200000000001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 t="shared" si="10"/>
        <v>152</v>
      </c>
      <c r="AE65" s="77" t="str">
        <f t="shared" si="11"/>
        <v>aws s3 cp s3://rtdc.mdm.uploadarchive.raw/RTDC4015/ "%USERPROFILE%\AppData\Local\Temp\OnboardLogs"\RTDC4015\2017-09-19 --exclude "*" --recursive --include "*20170919*" &amp; "%USERPROFILE%\Documents\GitHub\mrs-test-scripts\Headless Mode &amp; Sideloading\WalkAndUnGZ.bat" "%USERPROFILE%\AppData\Local\Temp\OnboardLogs"\RTDC4015\2017-09-19 &amp; 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</v>
      </c>
      <c r="AF65" s="74" t="str">
        <f t="shared" si="12"/>
        <v>"C:\Program Files (x86)\AstroGrep\AstroGrep.exe" /e /r /s /spath="%USERPROFILE%\AppData\Local\Temp\OnboardLogs" /stypes="app*4015*20170919*" /stext=" 17:.+((SYSTEM_STATE.+slice.+state.+changed )|(ment ac)|(multiple cpu faults)|(system.+state.+changed )|(\[timeout)|(PRM\|1\|D)|(kpr)|(kdp)|(train st.+moving)|(\|lc)|(penalty))"</v>
      </c>
      <c r="AG65" s="182" t="str">
        <f t="shared" si="13"/>
        <v>EC</v>
      </c>
      <c r="AH65" s="78" t="str">
        <f t="shared" si="19"/>
        <v>"%USERPROFILE%\Documents\GitHub\eaglep3\Utilities\RefineRTDCRunTimes.py" --tripid 152-19 --locoid 4015 --swversion DE.1.0.9.0 --startMP 204:232990 --initTime 2017-09-19T10:53:22 --startdatetime 2017-09-19T10:57:40 --delay 65 --endMP 204:158 --enddatetime 2017-09-19T11:36:06 --enforcementcount 0 &gt;&gt;C:\Users\stu\Documents\GitHub\eaglep3-reporting\EC\2017-09-19-refined-times.txt</v>
      </c>
      <c r="AI65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{"issue":{"subject":"","project_id":79,"tracker_id":40,"status_id":1,"priority_id":2,"assigned_to_id":338,"start_date":"2017-09-19","description":"","custom_fields":[{"id":1,"name":"Subdivision","value":"EC"},{"id":4,"name":"Milepost","value":"0.0158"},{"id":17,"name":"Train ID","value":"152-19"},{"id":16,"name":"Locomotive ID","value":"4015"},{"id":130,"name":"Impact","value":""},{"id":150,"name":"Time of Event (Mountain Time)","value":"11:36:06"},{"id":151,"name":"Denver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1"/>
        <v>start /low /b %USERPROFILE%\Documents\GitHub\eaglep3\Utilities\DownloadLogsFromS3.py --loco 4015 --day 2017-09-19</v>
      </c>
      <c r="AN65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17:36:06"},{"id":29,"name":"Sharepoint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3"/>
        <v>https://d0f6bd738d7f1b3e5a7ca70fe4ff75f0.us-east-1.aws.found.io/app/kibana#/discover/Steve-Slow-Train-Analysis-(2080s-and-2083s)?_g=(refreshInterval:(display:Off,pause:!f,section:0,value:0),time:(from:'2017-09-19T09:53:22-0600',mode:absolute,to:'2017-09-19T12:36:06-0600'))&amp;_a=(columns:!('Message%20ID',Summary),filters:!(),index:'emp_*',interval:auto,query:(query_string:(analyze_wildcard:!t,query:'Message%5C+ID:(*)+AND+%22rtdc.l.rtdc.4015%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626</v>
      </c>
      <c r="B66" s="7">
        <v>4050</v>
      </c>
      <c r="C66" s="21" t="s">
        <v>197</v>
      </c>
      <c r="D66" s="21" t="s">
        <v>360</v>
      </c>
      <c r="E66" s="13">
        <v>42997.425428240742</v>
      </c>
      <c r="F66" s="13">
        <v>42997.428564814814</v>
      </c>
      <c r="G66" s="7">
        <v>201</v>
      </c>
      <c r="H66" s="21" t="s">
        <v>489</v>
      </c>
      <c r="I66" s="13">
        <v>42997.454375000001</v>
      </c>
      <c r="J66" s="7">
        <v>0</v>
      </c>
      <c r="K66" s="89" t="str">
        <f t="shared" si="0"/>
        <v>4049/4050</v>
      </c>
      <c r="L66" s="185" t="str">
        <f>VLOOKUP(A66,'Trips&amp;Operators'!$C$1:$G$99911,5,FALSE)</f>
        <v>YANG JAN</v>
      </c>
      <c r="M66" s="6">
        <f t="shared" si="1"/>
        <v>2.5810185186855961E-2</v>
      </c>
      <c r="N66" s="7">
        <f t="shared" si="33"/>
        <v>37.166666669072583</v>
      </c>
      <c r="O66" s="7"/>
      <c r="P66" s="7"/>
      <c r="Q66" s="22"/>
      <c r="R66" s="174"/>
      <c r="S66" s="221">
        <f t="shared" si="34"/>
        <v>1</v>
      </c>
      <c r="T66" s="174" t="str">
        <f t="shared" si="4"/>
        <v>NorthBound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5"/>
        <v>https://d0f6bd738d7f1b3e5a7ca70fe4ff75f0.us-east-1.aws.found.io/app/kibana#/discover/Steve-Slow-Train-Analysis-(2080s-and-2083s)?_g=(refreshInterval:(display:Off,pause:!f,section:0,value:0),time:(from:'2017-09-19T09:12:37-0600',mode:absolute,to:'2017-09-19T11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6" s="204" t="str">
        <f>IF(AA66&lt;VLOOKUP(AG66,Variables!$AC$3:$AD$8,2,FALSE),"Y","N")</f>
        <v>N</v>
      </c>
      <c r="X66" s="204">
        <f t="shared" si="32"/>
        <v>1</v>
      </c>
      <c r="Y66" s="204">
        <f t="shared" si="35"/>
        <v>4.4900000000000002E-2</v>
      </c>
      <c r="Z66" s="204">
        <f t="shared" si="36"/>
        <v>23.333200000000001</v>
      </c>
      <c r="AA66" s="204">
        <f t="shared" si="9"/>
        <v>23.288300000000003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 t="shared" si="10"/>
        <v>153</v>
      </c>
      <c r="AE66" s="77" t="str">
        <f t="shared" si="11"/>
        <v>aws s3 cp s3://rtdc.mdm.uploadarchive.raw/RTDC4050/ "%USERPROFILE%\AppData\Local\Temp\OnboardLogs"\RTDC4050\2017-09-19 --exclude "*" --recursive --include "*20170919*" &amp; "%USERPROFILE%\Documents\GitHub\mrs-test-scripts\Headless Mode &amp; Sideloading\WalkAndUnGZ.bat" "%USERPROFILE%\AppData\Local\Temp\OnboardLogs"\RTDC4050\2017-09-19 &amp; aws s3 cp s3://rtdc.mdm.uploadarchive.raw/RTDC4050/ "%USERPROFILE%\AppData\Local\Temp\OnboardLogs"\RTDC4050\2017-09-20 --exclude "*" --recursive --include "*20170920*" &amp; "%USERPROFILE%\Documents\GitHub\mrs-test-scripts\Headless Mode &amp; Sideloading\WalkAndUnGZ.bat" "%USERPROFILE%\AppData\Local\Temp\OnboardLogs"\RTDC4050\2017-09-20</v>
      </c>
      <c r="AF66" s="74" t="str">
        <f t="shared" si="12"/>
        <v>"C:\Program Files (x86)\AstroGrep\AstroGrep.exe" /e /r /s /spath="%USERPROFILE%\AppData\Local\Temp\OnboardLogs" /stypes="app*4050*20170919*" /stext=" 16:.+((SYSTEM_STATE.+slice.+state.+changed )|(ment ac)|(multiple cpu faults)|(system.+state.+changed )|(\[timeout)|(PRM\|1\|D)|(kpr)|(kdp)|(train st.+moving)|(\|lc)|(penalty))"</v>
      </c>
      <c r="AG66" s="182" t="str">
        <f t="shared" si="13"/>
        <v>EC</v>
      </c>
      <c r="AH66" s="78" t="str">
        <f t="shared" si="19"/>
        <v>"%USERPROFILE%\Documents\GitHub\eaglep3\Utilities\RefineRTDCRunTimes.py" --tripid 153-19 --locoid 4050 --swversion DE.1.0.9.0 --startMP 204:449 --initTime 2017-09-19T10:12:37 --startdatetime 2017-09-19T10:17:08 --delay 201 --endMP 204:233332 --enddatetime 2017-09-19T10:54:18 --enforcementcount 0 &gt;&gt;C:\Users\stu\Documents\GitHub\eaglep3-reporting\EC\2017-09-19-refined-times.txt</v>
      </c>
      <c r="AI66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{"issue":{"subject":"","project_id":79,"tracker_id":40,"status_id":1,"priority_id":2,"assigned_to_id":338,"start_date":"2017-09-19","description":"","custom_fields":[{"id":1,"name":"Subdivision","value":"EC"},{"id":4,"name":"Milepost","value":"23.3332"},{"id":17,"name":"Train ID","value":"153-19"},{"id":16,"name":"Locomotive ID","value":"4050"},{"id":130,"name":"Impact","value":""},{"id":150,"name":"Time of Event (Mountain Time)","value":"10:54:18"},{"id":151,"name":"Denver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1"/>
        <v>start /low /b %USERPROFILE%\Documents\GitHub\eaglep3\Utilities\DownloadLogsFromS3.py --loco 4050 --day 2017-09-19</v>
      </c>
      <c r="AN66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16:54:18"},{"id":29,"name":"Sharepoint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3"/>
        <v>https://d0f6bd738d7f1b3e5a7ca70fe4ff75f0.us-east-1.aws.found.io/app/kibana#/discover/Steve-Slow-Train-Analysis-(2080s-and-2083s)?_g=(refreshInterval:(display:Off,pause:!f,section:0,value:0),time:(from:'2017-09-19T09:12:37-0600',mode:absolute,to:'2017-09-19T11:54:18-0600'))&amp;_a=(columns:!('Message%20ID',Summary),filters:!(),index:'emp_*',interval:auto,query:(query_string:(analyze_wildcard:!t,query:'Message%5C+ID:(*)+AND+%22rtdc.l.rtdc.4050%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732</v>
      </c>
      <c r="B67" s="7">
        <v>4049</v>
      </c>
      <c r="C67" s="21" t="s">
        <v>197</v>
      </c>
      <c r="D67" s="21" t="s">
        <v>878</v>
      </c>
      <c r="E67" s="13">
        <v>42997.462939814817</v>
      </c>
      <c r="F67" s="13">
        <v>42997.466863425929</v>
      </c>
      <c r="G67" s="7">
        <v>76</v>
      </c>
      <c r="H67" s="21" t="s">
        <v>342</v>
      </c>
      <c r="I67" s="13">
        <v>42997.492974537039</v>
      </c>
      <c r="J67" s="7">
        <v>0</v>
      </c>
      <c r="K67" s="89" t="str">
        <f t="shared" si="0"/>
        <v>4049/4050</v>
      </c>
      <c r="L67" s="185" t="str">
        <f>VLOOKUP(A67,'Trips&amp;Operators'!$C$1:$G$99911,5,FALSE)</f>
        <v>YANG JAN</v>
      </c>
      <c r="M67" s="6">
        <f t="shared" si="1"/>
        <v>2.6111111110367347E-2</v>
      </c>
      <c r="N67" s="7">
        <f t="shared" si="33"/>
        <v>37.599999998928979</v>
      </c>
      <c r="O67" s="7"/>
      <c r="P67" s="7"/>
      <c r="Q67" s="22"/>
      <c r="R67" s="174"/>
      <c r="S67" s="221">
        <f t="shared" si="34"/>
        <v>1</v>
      </c>
      <c r="T67" s="174" t="str">
        <f t="shared" si="4"/>
        <v>Southbound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5"/>
        <v>https://d0f6bd738d7f1b3e5a7ca70fe4ff75f0.us-east-1.aws.found.io/app/kibana#/discover/Steve-Slow-Train-Analysis-(2080s-and-2083s)?_g=(refreshInterval:(display:Off,pause:!f,section:0,value:0),time:(from:'2017-09-19T10:06:38-0600',mode:absolute,to:'2017-09-19T12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7" s="204" t="str">
        <f>IF(AA67&lt;VLOOKUP(AG67,Variables!$AC$3:$AD$8,2,FALSE),"Y","N")</f>
        <v>N</v>
      </c>
      <c r="X67" s="204">
        <f t="shared" si="32"/>
        <v>1</v>
      </c>
      <c r="Y67" s="204">
        <f t="shared" si="35"/>
        <v>23.300799999999999</v>
      </c>
      <c r="Z67" s="204">
        <f t="shared" si="36"/>
        <v>1.41E-2</v>
      </c>
      <c r="AA67" s="204">
        <f t="shared" si="9"/>
        <v>23.2867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 t="shared" si="10"/>
        <v>154</v>
      </c>
      <c r="AE67" s="77" t="str">
        <f t="shared" si="11"/>
        <v>aws s3 cp s3://rtdc.mdm.uploadarchive.raw/RTDC4049/ "%USERPROFILE%\AppData\Local\Temp\OnboardLogs"\RTDC4049\2017-09-19 --exclude "*" --recursive --include "*20170919*" &amp; "%USERPROFILE%\Documents\GitHub\mrs-test-scripts\Headless Mode &amp; Sideloading\WalkAndUnGZ.bat" "%USERPROFILE%\AppData\Local\Temp\OnboardLogs"\RTDC4049\2017-09-19 &amp; aws s3 cp s3://rtdc.mdm.uploadarchive.raw/RTDC4049/ "%USERPROFILE%\AppData\Local\Temp\OnboardLogs"\RTDC4049\2017-09-20 --exclude "*" --recursive --include "*20170920*" &amp; "%USERPROFILE%\Documents\GitHub\mrs-test-scripts\Headless Mode &amp; Sideloading\WalkAndUnGZ.bat" "%USERPROFILE%\AppData\Local\Temp\OnboardLogs"\RTDC4049\2017-09-20</v>
      </c>
      <c r="AF67" s="74" t="str">
        <f t="shared" si="12"/>
        <v>"C:\Program Files (x86)\AstroGrep\AstroGrep.exe" /e /r /s /spath="%USERPROFILE%\AppData\Local\Temp\OnboardLogs" /stypes="app*4049*20170919*" /stext=" 17:.+((SYSTEM_STATE.+slice.+state.+changed )|(ment ac)|(multiple cpu faults)|(system.+state.+changed )|(\[timeout)|(PRM\|1\|D)|(kpr)|(kdp)|(train st.+moving)|(\|lc)|(penalty))"</v>
      </c>
      <c r="AG67" s="182" t="str">
        <f t="shared" si="13"/>
        <v>EC</v>
      </c>
      <c r="AH67" s="78" t="str">
        <f t="shared" si="19"/>
        <v>"%USERPROFILE%\Documents\GitHub\eaglep3\Utilities\RefineRTDCRunTimes.py" --tripid 154-19 --locoid 4049 --swversion DE.1.0.9.0 --startMP 204:233008 --initTime 2017-09-19T11:06:38 --startdatetime 2017-09-19T11:12:17 --delay 76 --endMP 204:141 --enddatetime 2017-09-19T11:49:53 --enforcementcount 0 &gt;&gt;C:\Users\stu\Documents\GitHub\eaglep3-reporting\EC\2017-09-19-refined-times.txt</v>
      </c>
      <c r="AI67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{"issue":{"subject":"","project_id":79,"tracker_id":40,"status_id":1,"priority_id":2,"assigned_to_id":338,"start_date":"2017-09-19","description":"","custom_fields":[{"id":1,"name":"Subdivision","value":"EC"},{"id":4,"name":"Milepost","value":"0.0141"},{"id":17,"name":"Train ID","value":"154-19"},{"id":16,"name":"Locomotive ID","value":"4049"},{"id":130,"name":"Impact","value":""},{"id":150,"name":"Time of Event (Mountain Time)","value":"11:49:53"},{"id":151,"name":"Denver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1"/>
        <v>start /low /b %USERPROFILE%\Documents\GitHub\eaglep3\Utilities\DownloadLogsFromS3.py --loco 4049 --day 2017-09-19</v>
      </c>
      <c r="AN67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17:49:53"},{"id":29,"name":"Sharepoint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3"/>
        <v>https://d0f6bd738d7f1b3e5a7ca70fe4ff75f0.us-east-1.aws.found.io/app/kibana#/discover/Steve-Slow-Train-Analysis-(2080s-and-2083s)?_g=(refreshInterval:(display:Off,pause:!f,section:0,value:0),time:(from:'2017-09-19T10:06:38-0600',mode:absolute,to:'2017-09-19T12:49:53-0600'))&amp;_a=(columns:!('Message%20ID',Summary),filters:!(),index:'emp_*',interval:auto,query:(query_string:(analyze_wildcard:!t,query:'Message%5C+ID:(*)+AND+%22rtdc.l.rtdc.4049%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725</v>
      </c>
      <c r="B68" s="7">
        <v>4054</v>
      </c>
      <c r="C68" s="21" t="s">
        <v>197</v>
      </c>
      <c r="D68" s="21" t="s">
        <v>378</v>
      </c>
      <c r="E68" s="13">
        <v>42997.431215277778</v>
      </c>
      <c r="F68" s="13">
        <v>42997.437662037039</v>
      </c>
      <c r="G68" s="7">
        <v>62</v>
      </c>
      <c r="H68" s="21" t="s">
        <v>568</v>
      </c>
      <c r="I68" s="13">
        <v>42997.46230324074</v>
      </c>
      <c r="J68" s="7">
        <v>0</v>
      </c>
      <c r="K68" s="89" t="str">
        <f t="shared" si="0"/>
        <v>4053/4054</v>
      </c>
      <c r="L68" s="185" t="str">
        <f>VLOOKUP(A68,'Trips&amp;Operators'!$C$1:$G$99911,5,FALSE)</f>
        <v>BARRON PERLA</v>
      </c>
      <c r="M68" s="6">
        <f t="shared" si="1"/>
        <v>2.4641203701321501E-2</v>
      </c>
      <c r="N68" s="7">
        <f t="shared" si="33"/>
        <v>35.483333329902962</v>
      </c>
      <c r="O68" s="7"/>
      <c r="P68" s="7"/>
      <c r="Q68" s="22"/>
      <c r="R68" s="174"/>
      <c r="S68" s="221">
        <f t="shared" si="34"/>
        <v>1</v>
      </c>
      <c r="T68" s="174" t="str">
        <f t="shared" si="4"/>
        <v>NorthBound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5"/>
        <v>https://d0f6bd738d7f1b3e5a7ca70fe4ff75f0.us-east-1.aws.found.io/app/kibana#/discover/Steve-Slow-Train-Analysis-(2080s-and-2083s)?_g=(refreshInterval:(display:Off,pause:!f,section:0,value:0),time:(from:'2017-09-19T09:20:57-0600',mode:absolute,to:'2017-09-19T12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8" s="204" t="str">
        <f>IF(AA68&lt;VLOOKUP(AG68,Variables!$AC$3:$AD$8,2,FALSE),"Y","N")</f>
        <v>N</v>
      </c>
      <c r="X68" s="204">
        <f t="shared" si="32"/>
        <v>1</v>
      </c>
      <c r="Y68" s="204">
        <f t="shared" si="35"/>
        <v>4.4200000000000003E-2</v>
      </c>
      <c r="Z68" s="204">
        <f t="shared" si="36"/>
        <v>23.331399999999999</v>
      </c>
      <c r="AA68" s="204">
        <f t="shared" si="9"/>
        <v>23.287199999999999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 t="shared" si="10"/>
        <v>155</v>
      </c>
      <c r="AE68" s="77" t="str">
        <f t="shared" si="11"/>
        <v>aws s3 cp s3://rtdc.mdm.uploadarchive.raw/RTDC4054/ "%USERPROFILE%\AppData\Local\Temp\OnboardLogs"\RTDC4054\2017-09-19 --exclude "*" --recursive --include "*20170919*" &amp; "%USERPROFILE%\Documents\GitHub\mrs-test-scripts\Headless Mode &amp; Sideloading\WalkAndUnGZ.bat" "%USERPROFILE%\AppData\Local\Temp\OnboardLogs"\RTDC4054\2017-09-19 &amp; aws s3 cp s3://rtdc.mdm.uploadarchive.raw/RTDC4054/ "%USERPROFILE%\AppData\Local\Temp\OnboardLogs"\RTDC4054\2017-09-20 --exclude "*" --recursive --include "*20170920*" &amp; "%USERPROFILE%\Documents\GitHub\mrs-test-scripts\Headless Mode &amp; Sideloading\WalkAndUnGZ.bat" "%USERPROFILE%\AppData\Local\Temp\OnboardLogs"\RTDC4054\2017-09-20</v>
      </c>
      <c r="AF68" s="74" t="str">
        <f t="shared" si="12"/>
        <v>"C:\Program Files (x86)\AstroGrep\AstroGrep.exe" /e /r /s /spath="%USERPROFILE%\AppData\Local\Temp\OnboardLogs" /stypes="app*4054*20170919*" /stext=" 17:.+((SYSTEM_STATE.+slice.+state.+changed )|(ment ac)|(multiple cpu faults)|(system.+state.+changed )|(\[timeout)|(PRM\|1\|D)|(kpr)|(kdp)|(train st.+moving)|(\|lc)|(penalty))"</v>
      </c>
      <c r="AG68" s="182" t="str">
        <f t="shared" si="13"/>
        <v>EC</v>
      </c>
      <c r="AH68" s="78" t="str">
        <f t="shared" si="19"/>
        <v>"%USERPROFILE%\Documents\GitHub\eaglep3\Utilities\RefineRTDCRunTimes.py" --tripid 155-19 --locoid 4054 --swversion DE.1.0.9.0 --startMP 204:442 --initTime 2017-09-19T10:20:57 --startdatetime 2017-09-19T10:30:14 --delay 62 --endMP 204:233314 --enddatetime 2017-09-19T11:05:43 --enforcementcount 0 &gt;&gt;C:\Users\stu\Documents\GitHub\eaglep3-reporting\EC\2017-09-19-refined-times.txt</v>
      </c>
      <c r="AI68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{"issue":{"subject":"","project_id":79,"tracker_id":40,"status_id":1,"priority_id":2,"assigned_to_id":338,"start_date":"2017-09-19","description":"","custom_fields":[{"id":1,"name":"Subdivision","value":"EC"},{"id":4,"name":"Milepost","value":"23.3314"},{"id":17,"name":"Train ID","value":"155-19"},{"id":16,"name":"Locomotive ID","value":"4054"},{"id":130,"name":"Impact","value":""},{"id":150,"name":"Time of Event (Mountain Time)","value":"11:05:43"},{"id":151,"name":"Denver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1"/>
        <v>start /low /b %USERPROFILE%\Documents\GitHub\eaglep3\Utilities\DownloadLogsFromS3.py --loco 4054 --day 2017-09-19</v>
      </c>
      <c r="AN68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17:05:43"},{"id":29,"name":"Sharepoint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3"/>
        <v>https://d0f6bd738d7f1b3e5a7ca70fe4ff75f0.us-east-1.aws.found.io/app/kibana#/discover/Steve-Slow-Train-Analysis-(2080s-and-2083s)?_g=(refreshInterval:(display:Off,pause:!f,section:0,value:0),time:(from:'2017-09-19T09:20:57-0600',mode:absolute,to:'2017-09-19T12:05:43-0600'))&amp;_a=(columns:!('Message%20ID',Summary),filters:!(),index:'emp_*',interval:auto,query:(query_string:(analyze_wildcard:!t,query:'Message%5C+ID:(*)+AND+%22rtdc.l.rtdc.4054%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733</v>
      </c>
      <c r="B69" s="7">
        <v>4053</v>
      </c>
      <c r="C69" s="21" t="s">
        <v>197</v>
      </c>
      <c r="D69" s="21" t="s">
        <v>576</v>
      </c>
      <c r="E69" s="13">
        <v>42997.46361111111</v>
      </c>
      <c r="F69" s="13">
        <v>42997.477418981478</v>
      </c>
      <c r="G69" s="7">
        <v>65</v>
      </c>
      <c r="H69" s="21" t="s">
        <v>338</v>
      </c>
      <c r="I69" s="13">
        <v>42997.504120370373</v>
      </c>
      <c r="J69" s="7">
        <v>0</v>
      </c>
      <c r="K69" s="89" t="str">
        <f t="shared" si="0"/>
        <v>4053/4054</v>
      </c>
      <c r="L69" s="185" t="str">
        <f>VLOOKUP(A69,'Trips&amp;Operators'!$C$1:$G$99911,5,FALSE)</f>
        <v>BARRON PERLA</v>
      </c>
      <c r="M69" s="6">
        <f t="shared" si="1"/>
        <v>2.6701388895162381E-2</v>
      </c>
      <c r="N69" s="7">
        <f t="shared" si="33"/>
        <v>38.450000009033829</v>
      </c>
      <c r="O69" s="7"/>
      <c r="P69" s="7"/>
      <c r="Q69" s="22"/>
      <c r="R69" s="174"/>
      <c r="S69" s="221">
        <f t="shared" si="34"/>
        <v>1</v>
      </c>
      <c r="T69" s="174" t="str">
        <f t="shared" si="4"/>
        <v>Southbound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5"/>
        <v>https://d0f6bd738d7f1b3e5a7ca70fe4ff75f0.us-east-1.aws.found.io/app/kibana#/discover/Steve-Slow-Train-Analysis-(2080s-and-2083s)?_g=(refreshInterval:(display:Off,pause:!f,section:0,value:0),time:(from:'2017-09-19T10:07:36-0600',mode:absolute,to:'2017-09-19T13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9" s="204" t="str">
        <f>IF(AA69&lt;VLOOKUP(AG69,Variables!$AC$3:$AD$8,2,FALSE),"Y","N")</f>
        <v>N</v>
      </c>
      <c r="X69" s="204">
        <f t="shared" si="32"/>
        <v>1</v>
      </c>
      <c r="Y69" s="204">
        <f t="shared" si="35"/>
        <v>23.299199999999999</v>
      </c>
      <c r="Z69" s="204">
        <f t="shared" si="36"/>
        <v>1.4999999999999999E-2</v>
      </c>
      <c r="AA69" s="204">
        <f t="shared" si="9"/>
        <v>23.284199999999998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 t="shared" si="10"/>
        <v>156</v>
      </c>
      <c r="AE69" s="77" t="str">
        <f t="shared" si="11"/>
        <v>aws s3 cp s3://rtdc.mdm.uploadarchive.raw/RTDC4053/ "%USERPROFILE%\AppData\Local\Temp\OnboardLogs"\RTDC4053\2017-09-19 --exclude "*" --recursive --include "*20170919*" &amp; "%USERPROFILE%\Documents\GitHub\mrs-test-scripts\Headless Mode &amp; Sideloading\WalkAndUnGZ.bat" "%USERPROFILE%\AppData\Local\Temp\OnboardLogs"\RTDC4053\2017-09-19 &amp; aws s3 cp s3://rtdc.mdm.uploadarchive.raw/RTDC4053/ "%USERPROFILE%\AppData\Local\Temp\OnboardLogs"\RTDC4053\2017-09-20 --exclude "*" --recursive --include "*20170920*" &amp; "%USERPROFILE%\Documents\GitHub\mrs-test-scripts\Headless Mode &amp; Sideloading\WalkAndUnGZ.bat" "%USERPROFILE%\AppData\Local\Temp\OnboardLogs"\RTDC4053\2017-09-20</v>
      </c>
      <c r="AF69" s="74" t="str">
        <f t="shared" si="12"/>
        <v>"C:\Program Files (x86)\AstroGrep\AstroGrep.exe" /e /r /s /spath="%USERPROFILE%\AppData\Local\Temp\OnboardLogs" /stypes="app*4053*20170919*" /stext=" 18:.+((SYSTEM_STATE.+slice.+state.+changed )|(ment ac)|(multiple cpu faults)|(system.+state.+changed )|(\[timeout)|(PRM\|1\|D)|(kpr)|(kdp)|(train st.+moving)|(\|lc)|(penalty))"</v>
      </c>
      <c r="AG69" s="182" t="str">
        <f t="shared" si="13"/>
        <v>EC</v>
      </c>
      <c r="AH69" s="78" t="str">
        <f t="shared" si="19"/>
        <v>"%USERPROFILE%\Documents\GitHub\eaglep3\Utilities\RefineRTDCRunTimes.py" --tripid 156-19 --locoid 4053 --swversion DE.1.0.9.0 --startMP 204:232992 --initTime 2017-09-19T11:07:36 --startdatetime 2017-09-19T11:27:29 --delay 65 --endMP 204:150 --enddatetime 2017-09-19T12:05:56 --enforcementcount 0 &gt;&gt;C:\Users\stu\Documents\GitHub\eaglep3-reporting\EC\2017-09-19-refined-times.txt</v>
      </c>
      <c r="AI69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{"issue":{"subject":"","project_id":79,"tracker_id":40,"status_id":1,"priority_id":2,"assigned_to_id":338,"start_date":"2017-09-19","description":"","custom_fields":[{"id":1,"name":"Subdivision","value":"EC"},{"id":4,"name":"Milepost","value":"0.015"},{"id":17,"name":"Train ID","value":"156-19"},{"id":16,"name":"Locomotive ID","value":"4053"},{"id":130,"name":"Impact","value":""},{"id":150,"name":"Time of Event (Mountain Time)","value":"12:05:56"},{"id":151,"name":"Denver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1"/>
        <v>start /low /b %USERPROFILE%\Documents\GitHub\eaglep3\Utilities\DownloadLogsFromS3.py --loco 4053 --day 2017-09-19</v>
      </c>
      <c r="AN69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18:05:56"},{"id":29,"name":"Sharepoint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3"/>
        <v>https://d0f6bd738d7f1b3e5a7ca70fe4ff75f0.us-east-1.aws.found.io/app/kibana#/discover/Steve-Slow-Train-Analysis-(2080s-and-2083s)?_g=(refreshInterval:(display:Off,pause:!f,section:0,value:0),time:(from:'2017-09-19T10:07:36-0600',mode:absolute,to:'2017-09-19T13:05:56-0600'))&amp;_a=(columns:!('Message%20ID',Summary),filters:!(),index:'emp_*',interval:auto,query:(query_string:(analyze_wildcard:!t,query:'Message%5C+ID:(*)+AND+%22rtdc.l.rtdc.4053%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730</v>
      </c>
      <c r="B70" s="7">
        <v>4028</v>
      </c>
      <c r="C70" s="21" t="s">
        <v>197</v>
      </c>
      <c r="D70" s="21" t="s">
        <v>358</v>
      </c>
      <c r="E70" s="13">
        <v>42997.44458333333</v>
      </c>
      <c r="F70" s="13">
        <v>42997.448287037034</v>
      </c>
      <c r="G70" s="7">
        <v>91</v>
      </c>
      <c r="H70" s="21" t="s">
        <v>562</v>
      </c>
      <c r="I70" s="13">
        <v>42997.47351851852</v>
      </c>
      <c r="J70" s="7">
        <v>0</v>
      </c>
      <c r="K70" s="89" t="str">
        <f t="shared" si="0"/>
        <v>4027/4028</v>
      </c>
      <c r="L70" s="185" t="str">
        <f>VLOOKUP(A70,'Trips&amp;Operators'!$C$1:$G$99911,5,FALSE)</f>
        <v>DAVIS MICHAEL</v>
      </c>
      <c r="M70" s="6">
        <f t="shared" si="1"/>
        <v>2.5231481486116536E-2</v>
      </c>
      <c r="N70" s="7">
        <f t="shared" si="33"/>
        <v>36.333333340007812</v>
      </c>
      <c r="O70" s="7"/>
      <c r="P70" s="7"/>
      <c r="Q70" s="22"/>
      <c r="R70" s="174"/>
      <c r="S70" s="221">
        <f t="shared" si="34"/>
        <v>1</v>
      </c>
      <c r="T70" s="174" t="str">
        <f t="shared" si="4"/>
        <v>NorthBound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5"/>
        <v>https://d0f6bd738d7f1b3e5a7ca70fe4ff75f0.us-east-1.aws.found.io/app/kibana#/discover/Steve-Slow-Train-Analysis-(2080s-and-2083s)?_g=(refreshInterval:(display:Off,pause:!f,section:0,value:0),time:(from:'2017-09-19T09:40:12-0600',mode:absolute,to:'2017-09-19T12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0" s="204" t="str">
        <f>IF(AA70&lt;VLOOKUP(AG70,Variables!$AC$3:$AD$8,2,FALSE),"Y","N")</f>
        <v>N</v>
      </c>
      <c r="X70" s="204">
        <f t="shared" si="32"/>
        <v>1</v>
      </c>
      <c r="Y70" s="204">
        <f t="shared" si="35"/>
        <v>4.58E-2</v>
      </c>
      <c r="Z70" s="204">
        <f t="shared" si="36"/>
        <v>23.335100000000001</v>
      </c>
      <c r="AA70" s="204">
        <f t="shared" si="9"/>
        <v>23.289300000000001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 t="shared" si="10"/>
        <v>157</v>
      </c>
      <c r="AE70" s="77" t="str">
        <f t="shared" si="11"/>
        <v>aws s3 cp s3://rtdc.mdm.uploadarchive.raw/RTDC4028/ "%USERPROFILE%\AppData\Local\Temp\OnboardLogs"\RTDC4028\2017-09-19 --exclude "*" --recursive --include "*20170919*" &amp; "%USERPROFILE%\Documents\GitHub\mrs-test-scripts\Headless Mode &amp; Sideloading\WalkAndUnGZ.bat" "%USERPROFILE%\AppData\Local\Temp\OnboardLogs"\RTDC4028\2017-09-19 &amp; aws s3 cp s3://rtdc.mdm.uploadarchive.raw/RTDC4028/ "%USERPROFILE%\AppData\Local\Temp\OnboardLogs"\RTDC4028\2017-09-20 --exclude "*" --recursive --include "*20170920*" &amp; "%USERPROFILE%\Documents\GitHub\mrs-test-scripts\Headless Mode &amp; Sideloading\WalkAndUnGZ.bat" "%USERPROFILE%\AppData\Local\Temp\OnboardLogs"\RTDC4028\2017-09-20</v>
      </c>
      <c r="AF70" s="74" t="str">
        <f t="shared" si="12"/>
        <v>"C:\Program Files (x86)\AstroGrep\AstroGrep.exe" /e /r /s /spath="%USERPROFILE%\AppData\Local\Temp\OnboardLogs" /stypes="app*4028*20170919*" /stext=" 17:.+((SYSTEM_STATE.+slice.+state.+changed )|(ment ac)|(multiple cpu faults)|(system.+state.+changed )|(\[timeout)|(PRM\|1\|D)|(kpr)|(kdp)|(train st.+moving)|(\|lc)|(penalty))"</v>
      </c>
      <c r="AG70" s="182" t="str">
        <f t="shared" si="13"/>
        <v>EC</v>
      </c>
      <c r="AH70" s="78" t="str">
        <f t="shared" si="19"/>
        <v>"%USERPROFILE%\Documents\GitHub\eaglep3\Utilities\RefineRTDCRunTimes.py" --tripid 157-19 --locoid 4028 --swversion DE.1.0.9.0 --startMP 204:458 --initTime 2017-09-19T10:40:12 --startdatetime 2017-09-19T10:45:32 --delay 91 --endMP 204:233351 --enddatetime 2017-09-19T11:21:52 --enforcementcount 0 &gt;&gt;C:\Users\stu\Documents\GitHub\eaglep3-reporting\EC\2017-09-19-refined-times.txt</v>
      </c>
      <c r="AI70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{"issue":{"subject":"","project_id":79,"tracker_id":40,"status_id":1,"priority_id":2,"assigned_to_id":338,"start_date":"2017-09-19","description":"","custom_fields":[{"id":1,"name":"Subdivision","value":"EC"},{"id":4,"name":"Milepost","value":"23.3351"},{"id":17,"name":"Train ID","value":"157-19"},{"id":16,"name":"Locomotive ID","value":"4028"},{"id":130,"name":"Impact","value":""},{"id":150,"name":"Time of Event (Mountain Time)","value":"11:21:52"},{"id":151,"name":"Denver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1"/>
        <v>start /low /b %USERPROFILE%\Documents\GitHub\eaglep3\Utilities\DownloadLogsFromS3.py --loco 4028 --day 2017-09-19</v>
      </c>
      <c r="AN70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17:21:52"},{"id":29,"name":"Sharepoint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3"/>
        <v>https://d0f6bd738d7f1b3e5a7ca70fe4ff75f0.us-east-1.aws.found.io/app/kibana#/discover/Steve-Slow-Train-Analysis-(2080s-and-2083s)?_g=(refreshInterval:(display:Off,pause:!f,section:0,value:0),time:(from:'2017-09-19T09:40:12-0600',mode:absolute,to:'2017-09-19T12:21:52-0600'))&amp;_a=(columns:!('Message%20ID',Summary),filters:!(),index:'emp_*',interval:auto,query:(query_string:(analyze_wildcard:!t,query:'Message%5C+ID:(*)+AND+%22rtdc.l.rtdc.4028%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743</v>
      </c>
      <c r="B71" s="7">
        <v>4027</v>
      </c>
      <c r="C71" s="21" t="s">
        <v>197</v>
      </c>
      <c r="D71" s="21" t="s">
        <v>519</v>
      </c>
      <c r="E71" s="13">
        <v>42997.48541666667</v>
      </c>
      <c r="F71" s="13">
        <v>42997.487986111111</v>
      </c>
      <c r="G71" s="7">
        <v>95</v>
      </c>
      <c r="H71" s="21" t="s">
        <v>340</v>
      </c>
      <c r="I71" s="13">
        <v>42997.514791666668</v>
      </c>
      <c r="J71" s="7">
        <v>0</v>
      </c>
      <c r="K71" s="89" t="str">
        <f t="shared" si="0"/>
        <v>4027/4028</v>
      </c>
      <c r="L71" s="185" t="str">
        <f>VLOOKUP(A71,'Trips&amp;Operators'!$C$1:$G$99911,5,FALSE)</f>
        <v>DAVIS MICHAEL</v>
      </c>
      <c r="M71" s="6">
        <f t="shared" si="1"/>
        <v>2.6805555557075422E-2</v>
      </c>
      <c r="N71" s="7">
        <f t="shared" si="33"/>
        <v>38.600000002188608</v>
      </c>
      <c r="O71" s="7"/>
      <c r="P71" s="7"/>
      <c r="Q71" s="22"/>
      <c r="R71" s="174"/>
      <c r="S71" s="221">
        <f t="shared" si="34"/>
        <v>1</v>
      </c>
      <c r="T71" s="174" t="str">
        <f t="shared" si="4"/>
        <v>Southbound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5"/>
        <v>https://d0f6bd738d7f1b3e5a7ca70fe4ff75f0.us-east-1.aws.found.io/app/kibana#/discover/Steve-Slow-Train-Analysis-(2080s-and-2083s)?_g=(refreshInterval:(display:Off,pause:!f,section:0,value:0),time:(from:'2017-09-19T10:39:00-0600',mode:absolute,to:'2017-09-19T13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1" s="204" t="str">
        <f>IF(AA71&lt;VLOOKUP(AG71,Variables!$AC$3:$AD$8,2,FALSE),"Y","N")</f>
        <v>N</v>
      </c>
      <c r="X71" s="204">
        <f t="shared" si="32"/>
        <v>1</v>
      </c>
      <c r="Y71" s="204">
        <f t="shared" si="35"/>
        <v>23.3019</v>
      </c>
      <c r="Z71" s="204">
        <f t="shared" si="36"/>
        <v>1.43E-2</v>
      </c>
      <c r="AA71" s="204">
        <f t="shared" si="9"/>
        <v>23.287600000000001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 t="shared" si="10"/>
        <v>158</v>
      </c>
      <c r="AE71" s="77" t="str">
        <f t="shared" si="11"/>
        <v>aws s3 cp s3://rtdc.mdm.uploadarchive.raw/RTDC4027/ "%USERPROFILE%\AppData\Local\Temp\OnboardLogs"\RTDC4027\2017-09-19 --exclude "*" --recursive --include "*20170919*" &amp; "%USERPROFILE%\Documents\GitHub\mrs-test-scripts\Headless Mode &amp; Sideloading\WalkAndUnGZ.bat" "%USERPROFILE%\AppData\Local\Temp\OnboardLogs"\RTDC4027\2017-09-19 &amp; aws s3 cp s3://rtdc.mdm.uploadarchive.raw/RTDC4027/ "%USERPROFILE%\AppData\Local\Temp\OnboardLogs"\RTDC4027\2017-09-20 --exclude "*" --recursive --include "*20170920*" &amp; "%USERPROFILE%\Documents\GitHub\mrs-test-scripts\Headless Mode &amp; Sideloading\WalkAndUnGZ.bat" "%USERPROFILE%\AppData\Local\Temp\OnboardLogs"\RTDC4027\2017-09-20</v>
      </c>
      <c r="AF71" s="74" t="str">
        <f t="shared" si="12"/>
        <v>"C:\Program Files (x86)\AstroGrep\AstroGrep.exe" /e /r /s /spath="%USERPROFILE%\AppData\Local\Temp\OnboardLogs" /stypes="app*4027*20170919*" /stext=" 18:.+((SYSTEM_STATE.+slice.+state.+changed )|(ment ac)|(multiple cpu faults)|(system.+state.+changed )|(\[timeout)|(PRM\|1\|D)|(kpr)|(kdp)|(train st.+moving)|(\|lc)|(penalty))"</v>
      </c>
      <c r="AG71" s="182" t="str">
        <f t="shared" si="13"/>
        <v>EC</v>
      </c>
      <c r="AH71" s="78" t="str">
        <f t="shared" si="19"/>
        <v>"%USERPROFILE%\Documents\GitHub\eaglep3\Utilities\RefineRTDCRunTimes.py" --tripid 158-19 --locoid 4027 --swversion DE.1.0.9.0 --startMP 204:233019 --initTime 2017-09-19T11:39:00 --startdatetime 2017-09-19T11:42:42 --delay 95 --endMP 204:143 --enddatetime 2017-09-19T12:21:18 --enforcementcount 0 &gt;&gt;C:\Users\stu\Documents\GitHub\eaglep3-reporting\EC\2017-09-19-refined-times.txt</v>
      </c>
      <c r="AI71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{"issue":{"subject":"","project_id":79,"tracker_id":40,"status_id":1,"priority_id":2,"assigned_to_id":338,"start_date":"2017-09-19","description":"","custom_fields":[{"id":1,"name":"Subdivision","value":"EC"},{"id":4,"name":"Milepost","value":"0.0143"},{"id":17,"name":"Train ID","value":"158-19"},{"id":16,"name":"Locomotive ID","value":"4027"},{"id":130,"name":"Impact","value":""},{"id":150,"name":"Time of Event (Mountain Time)","value":"12:21:18"},{"id":151,"name":"Denver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1"/>
        <v>start /low /b %USERPROFILE%\Documents\GitHub\eaglep3\Utilities\DownloadLogsFromS3.py --loco 4027 --day 2017-09-19</v>
      </c>
      <c r="AN71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18:21:18"},{"id":29,"name":"Sharepoint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3"/>
        <v>https://d0f6bd738d7f1b3e5a7ca70fe4ff75f0.us-east-1.aws.found.io/app/kibana#/discover/Steve-Slow-Train-Analysis-(2080s-and-2083s)?_g=(refreshInterval:(display:Off,pause:!f,section:0,value:0),time:(from:'2017-09-19T10:39:00-0600',mode:absolute,to:'2017-09-19T13:21:18-0600'))&amp;_a=(columns:!('Message%20ID',Summary),filters:!(),index:'emp_*',interval:auto,query:(query_string:(analyze_wildcard:!t,query:'Message%5C+ID:(*)+AND+%22rtdc.l.rtdc.4027%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629</v>
      </c>
      <c r="B72" s="7">
        <v>4014</v>
      </c>
      <c r="C72" s="21" t="s">
        <v>197</v>
      </c>
      <c r="D72" s="21" t="s">
        <v>360</v>
      </c>
      <c r="E72" s="13">
        <v>42997.455914351849</v>
      </c>
      <c r="F72" s="13">
        <v>42997.458460648151</v>
      </c>
      <c r="G72" s="7">
        <v>52</v>
      </c>
      <c r="H72" s="21" t="s">
        <v>569</v>
      </c>
      <c r="I72" s="13">
        <v>42997.482488425929</v>
      </c>
      <c r="J72" s="7">
        <v>0</v>
      </c>
      <c r="K72" s="89" t="str">
        <f t="shared" si="0"/>
        <v>4013/4014</v>
      </c>
      <c r="L72" s="185" t="str">
        <f>VLOOKUP(A72,'Trips&amp;Operators'!$C$1:$G$99911,5,FALSE)</f>
        <v>BIRENBAUM THOMAS</v>
      </c>
      <c r="M72" s="6">
        <f t="shared" si="1"/>
        <v>2.4027777777519077E-2</v>
      </c>
      <c r="N72" s="7">
        <f t="shared" si="33"/>
        <v>34.599999999627471</v>
      </c>
      <c r="O72" s="7"/>
      <c r="P72" s="7"/>
      <c r="Q72" s="22"/>
      <c r="R72" s="174"/>
      <c r="S72" s="221">
        <f t="shared" si="34"/>
        <v>1</v>
      </c>
      <c r="T72" s="174" t="str">
        <f t="shared" si="4"/>
        <v>NorthBound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5"/>
        <v>https://d0f6bd738d7f1b3e5a7ca70fe4ff75f0.us-east-1.aws.found.io/app/kibana#/discover/Steve-Slow-Train-Analysis-(2080s-and-2083s)?_g=(refreshInterval:(display:Off,pause:!f,section:0,value:0),time:(from:'2017-09-19T09:56:31-0600',mode:absolute,to:'2017-09-19T12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2" s="204" t="str">
        <f>IF(AA72&lt;VLOOKUP(AG72,Variables!$AC$3:$AD$8,2,FALSE),"Y","N")</f>
        <v>N</v>
      </c>
      <c r="X72" s="204">
        <f t="shared" si="32"/>
        <v>1</v>
      </c>
      <c r="Y72" s="204">
        <f t="shared" si="35"/>
        <v>4.4900000000000002E-2</v>
      </c>
      <c r="Z72" s="204">
        <f t="shared" si="36"/>
        <v>23.330300000000001</v>
      </c>
      <c r="AA72" s="204">
        <f t="shared" si="9"/>
        <v>23.285400000000003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 t="shared" si="10"/>
        <v>159</v>
      </c>
      <c r="AE72" s="77" t="str">
        <f t="shared" si="11"/>
        <v>aws s3 cp s3://rtdc.mdm.uploadarchive.raw/RTDC4014/ "%USERPROFILE%\AppData\Local\Temp\OnboardLogs"\RTDC4014\2017-09-19 --exclude "*" --recursive --include "*20170919*" &amp; "%USERPROFILE%\Documents\GitHub\mrs-test-scripts\Headless Mode &amp; Sideloading\WalkAndUnGZ.bat" "%USERPROFILE%\AppData\Local\Temp\OnboardLogs"\RTDC4014\2017-09-19 &amp; aws s3 cp s3://rtdc.mdm.uploadarchive.raw/RTDC4014/ "%USERPROFILE%\AppData\Local\Temp\OnboardLogs"\RTDC4014\2017-09-20 --exclude "*" --recursive --include "*20170920*" &amp; "%USERPROFILE%\Documents\GitHub\mrs-test-scripts\Headless Mode &amp; Sideloading\WalkAndUnGZ.bat" "%USERPROFILE%\AppData\Local\Temp\OnboardLogs"\RTDC4014\2017-09-20</v>
      </c>
      <c r="AF72" s="74" t="str">
        <f t="shared" si="12"/>
        <v>"C:\Program Files (x86)\AstroGrep\AstroGrep.exe" /e /r /s /spath="%USERPROFILE%\AppData\Local\Temp\OnboardLogs" /stypes="app*4014*20170919*" /stext=" 17:.+((SYSTEM_STATE.+slice.+state.+changed )|(ment ac)|(multiple cpu faults)|(system.+state.+changed )|(\[timeout)|(PRM\|1\|D)|(kpr)|(kdp)|(train st.+moving)|(\|lc)|(penalty))"</v>
      </c>
      <c r="AG72" s="182" t="str">
        <f t="shared" si="13"/>
        <v>EC</v>
      </c>
      <c r="AH72" s="78" t="str">
        <f t="shared" si="19"/>
        <v>"%USERPROFILE%\Documents\GitHub\eaglep3\Utilities\RefineRTDCRunTimes.py" --tripid 159-19 --locoid 4014 --swversion DE.1.0.9.0 --startMP 204:449 --initTime 2017-09-19T10:56:31 --startdatetime 2017-09-19T11:00:11 --delay 52 --endMP 204:233303 --enddatetime 2017-09-19T11:34:47 --enforcementcount 0 &gt;&gt;C:\Users\stu\Documents\GitHub\eaglep3-reporting\EC\2017-09-19-refined-times.txt</v>
      </c>
      <c r="AI72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{"issue":{"subject":"","project_id":79,"tracker_id":40,"status_id":1,"priority_id":2,"assigned_to_id":338,"start_date":"2017-09-19","description":"","custom_fields":[{"id":1,"name":"Subdivision","value":"EC"},{"id":4,"name":"Milepost","value":"23.3303"},{"id":17,"name":"Train ID","value":"159-19"},{"id":16,"name":"Locomotive ID","value":"4014"},{"id":130,"name":"Impact","value":""},{"id":150,"name":"Time of Event (Mountain Time)","value":"11:34:47"},{"id":151,"name":"Denver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1"/>
        <v>start /low /b %USERPROFILE%\Documents\GitHub\eaglep3\Utilities\DownloadLogsFromS3.py --loco 4014 --day 2017-09-19</v>
      </c>
      <c r="AN72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17:34:47"},{"id":29,"name":"Sharepoint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3"/>
        <v>https://d0f6bd738d7f1b3e5a7ca70fe4ff75f0.us-east-1.aws.found.io/app/kibana#/discover/Steve-Slow-Train-Analysis-(2080s-and-2083s)?_g=(refreshInterval:(display:Off,pause:!f,section:0,value:0),time:(from:'2017-09-19T09:56:31-0600',mode:absolute,to:'2017-09-19T12:34:47-0600'))&amp;_a=(columns:!('Message%20ID',Summary),filters:!(),index:'emp_*',interval:auto,query:(query_string:(analyze_wildcard:!t,query:'Message%5C+ID:(*)+AND+%22rtdc.l.rtdc.4014%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741</v>
      </c>
      <c r="B73" s="7">
        <v>4013</v>
      </c>
      <c r="C73" s="21" t="s">
        <v>197</v>
      </c>
      <c r="D73" s="21" t="s">
        <v>576</v>
      </c>
      <c r="E73" s="13">
        <v>42997.483796296299</v>
      </c>
      <c r="F73" s="13">
        <v>42997.498136574075</v>
      </c>
      <c r="G73" s="7">
        <v>52</v>
      </c>
      <c r="H73" s="21" t="s">
        <v>380</v>
      </c>
      <c r="I73" s="13">
        <v>42997.523159722223</v>
      </c>
      <c r="J73" s="7">
        <v>0</v>
      </c>
      <c r="K73" s="89" t="str">
        <f t="shared" si="0"/>
        <v>4013/4014</v>
      </c>
      <c r="L73" s="185" t="str">
        <f>VLOOKUP(A73,'Trips&amp;Operators'!$C$1:$G$99911,5,FALSE)</f>
        <v>BIRENBAUM THOMAS</v>
      </c>
      <c r="M73" s="6">
        <f t="shared" si="1"/>
        <v>2.5023148147738539E-2</v>
      </c>
      <c r="N73" s="7">
        <f t="shared" si="33"/>
        <v>36.033333332743496</v>
      </c>
      <c r="O73" s="7"/>
      <c r="P73" s="7"/>
      <c r="Q73" s="22"/>
      <c r="R73" s="174"/>
      <c r="S73" s="221">
        <f t="shared" si="34"/>
        <v>1</v>
      </c>
      <c r="T73" s="174" t="str">
        <f t="shared" si="4"/>
        <v>Southbound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5"/>
        <v>https://d0f6bd738d7f1b3e5a7ca70fe4ff75f0.us-east-1.aws.found.io/app/kibana#/discover/Steve-Slow-Train-Analysis-(2080s-and-2083s)?_g=(refreshInterval:(display:Off,pause:!f,section:0,value:0),time:(from:'2017-09-19T10:36:40-0600',mode:absolute,to:'2017-09-19T13:33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3" s="204" t="str">
        <f>IF(AA73&lt;VLOOKUP(AG73,Variables!$AC$3:$AD$8,2,FALSE),"Y","N")</f>
        <v>N</v>
      </c>
      <c r="X73" s="204">
        <f t="shared" si="32"/>
        <v>1</v>
      </c>
      <c r="Y73" s="204">
        <f t="shared" si="35"/>
        <v>23.299199999999999</v>
      </c>
      <c r="Z73" s="204">
        <f t="shared" si="36"/>
        <v>1.6E-2</v>
      </c>
      <c r="AA73" s="204">
        <f t="shared" si="9"/>
        <v>23.283200000000001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 t="shared" si="10"/>
        <v>160</v>
      </c>
      <c r="AE73" s="77" t="str">
        <f t="shared" si="11"/>
        <v>aws s3 cp s3://rtdc.mdm.uploadarchive.raw/RTDC4013/ "%USERPROFILE%\AppData\Local\Temp\OnboardLogs"\RTDC4013\2017-09-19 --exclude "*" --recursive --include "*20170919*" &amp; "%USERPROFILE%\Documents\GitHub\mrs-test-scripts\Headless Mode &amp; Sideloading\WalkAndUnGZ.bat" "%USERPROFILE%\AppData\Local\Temp\OnboardLogs"\RTDC4013\2017-09-19 &amp; aws s3 cp s3://rtdc.mdm.uploadarchive.raw/RTDC4013/ "%USERPROFILE%\AppData\Local\Temp\OnboardLogs"\RTDC4013\2017-09-20 --exclude "*" --recursive --include "*20170920*" &amp; "%USERPROFILE%\Documents\GitHub\mrs-test-scripts\Headless Mode &amp; Sideloading\WalkAndUnGZ.bat" "%USERPROFILE%\AppData\Local\Temp\OnboardLogs"\RTDC4013\2017-09-20</v>
      </c>
      <c r="AF73" s="74" t="str">
        <f t="shared" si="12"/>
        <v>"C:\Program Files (x86)\AstroGrep\AstroGrep.exe" /e /r /s /spath="%USERPROFILE%\AppData\Local\Temp\OnboardLogs" /stypes="app*4013*20170919*" /stext=" 18:.+((SYSTEM_STATE.+slice.+state.+changed )|(ment ac)|(multiple cpu faults)|(system.+state.+changed )|(\[timeout)|(PRM\|1\|D)|(kpr)|(kdp)|(train st.+moving)|(\|lc)|(penalty))"</v>
      </c>
      <c r="AG73" s="182" t="str">
        <f t="shared" si="13"/>
        <v>EC</v>
      </c>
      <c r="AH73" s="78" t="str">
        <f t="shared" si="19"/>
        <v>"%USERPROFILE%\Documents\GitHub\eaglep3\Utilities\RefineRTDCRunTimes.py" --tripid 160-19 --locoid 4013 --swversion DE.1.0.9.0 --startMP 204:232992 --initTime 2017-09-19T11:36:40 --startdatetime 2017-09-19T11:57:19 --delay 52 --endMP 204:160 --enddatetime 2017-09-19T12:33:21 --enforcementcount 0 &gt;&gt;C:\Users\stu\Documents\GitHub\eaglep3-reporting\EC\2017-09-19-refined-times.txt</v>
      </c>
      <c r="AI73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{"issue":{"subject":"","project_id":79,"tracker_id":40,"status_id":1,"priority_id":2,"assigned_to_id":338,"start_date":"2017-09-19","description":"","custom_fields":[{"id":1,"name":"Subdivision","value":"EC"},{"id":4,"name":"Milepost","value":"0.016"},{"id":17,"name":"Train ID","value":"160-19"},{"id":16,"name":"Locomotive ID","value":"4013"},{"id":130,"name":"Impact","value":""},{"id":150,"name":"Time of Event (Mountain Time)","value":"12:33:21"},{"id":151,"name":"Denver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1"/>
        <v>start /low /b %USERPROFILE%\Documents\GitHub\eaglep3\Utilities\DownloadLogsFromS3.py --loco 4013 --day 2017-09-19</v>
      </c>
      <c r="AN73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18:33:21"},{"id":29,"name":"Sharepoint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3"/>
        <v>https://d0f6bd738d7f1b3e5a7ca70fe4ff75f0.us-east-1.aws.found.io/app/kibana#/discover/Steve-Slow-Train-Analysis-(2080s-and-2083s)?_g=(refreshInterval:(display:Off,pause:!f,section:0,value:0),time:(from:'2017-09-19T10:36:40-0600',mode:absolute,to:'2017-09-19T13:33:21-0600'))&amp;_a=(columns:!('Message%20ID',Summary),filters:!(),index:'emp_*',interval:auto,query:(query_string:(analyze_wildcard:!t,query:'Message%5C+ID:(*)+AND+%22rtdc.l.rtdc.4013%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734</v>
      </c>
      <c r="B74" s="7">
        <v>4056</v>
      </c>
      <c r="C74" s="21" t="s">
        <v>197</v>
      </c>
      <c r="D74" s="21" t="s">
        <v>341</v>
      </c>
      <c r="E74" s="13">
        <v>42997.465752314813</v>
      </c>
      <c r="F74" s="13">
        <v>42997.468912037039</v>
      </c>
      <c r="G74" s="7">
        <v>83</v>
      </c>
      <c r="H74" s="21" t="s">
        <v>431</v>
      </c>
      <c r="I74" s="13">
        <v>42997.493622685186</v>
      </c>
      <c r="J74" s="7">
        <v>0</v>
      </c>
      <c r="K74" s="89" t="str">
        <f t="shared" si="0"/>
        <v>4055/4056</v>
      </c>
      <c r="L74" s="185" t="str">
        <f>VLOOKUP(A74,'Trips&amp;Operators'!$C$1:$G$99911,5,FALSE)</f>
        <v>BRUDER RICHARD</v>
      </c>
      <c r="M74" s="6">
        <f t="shared" si="1"/>
        <v>2.47106481474475E-2</v>
      </c>
      <c r="N74" s="7">
        <f t="shared" si="33"/>
        <v>35.583333332324401</v>
      </c>
      <c r="O74" s="7"/>
      <c r="P74" s="7"/>
      <c r="Q74" s="22"/>
      <c r="R74" s="174"/>
      <c r="S74" s="221">
        <f t="shared" si="34"/>
        <v>1</v>
      </c>
      <c r="T74" s="174" t="str">
        <f t="shared" si="4"/>
        <v>NorthBound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5"/>
        <v>https://d0f6bd738d7f1b3e5a7ca70fe4ff75f0.us-east-1.aws.found.io/app/kibana#/discover/Steve-Slow-Train-Analysis-(2080s-and-2083s)?_g=(refreshInterval:(display:Off,pause:!f,section:0,value:0),time:(from:'2017-09-19T10:10:41-0600',mode:absolute,to:'2017-09-19T12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4" s="204" t="str">
        <f>IF(AA74&lt;VLOOKUP(AG74,Variables!$AC$3:$AD$8,2,FALSE),"Y","N")</f>
        <v>N</v>
      </c>
      <c r="X74" s="204">
        <f t="shared" si="32"/>
        <v>1</v>
      </c>
      <c r="Y74" s="204">
        <f t="shared" si="35"/>
        <v>4.53E-2</v>
      </c>
      <c r="Z74" s="204">
        <f t="shared" si="36"/>
        <v>23.331499999999998</v>
      </c>
      <c r="AA74" s="204">
        <f t="shared" si="9"/>
        <v>23.286199999999997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 t="shared" si="10"/>
        <v>161</v>
      </c>
      <c r="AE74" s="77" t="str">
        <f t="shared" si="11"/>
        <v>aws s3 cp s3://rtdc.mdm.uploadarchive.raw/RTDC4056/ "%USERPROFILE%\AppData\Local\Temp\OnboardLogs"\RTDC4056\2017-09-19 --exclude "*" --recursive --include "*20170919*" &amp; "%USERPROFILE%\Documents\GitHub\mrs-test-scripts\Headless Mode &amp; Sideloading\WalkAndUnGZ.bat" "%USERPROFILE%\AppData\Local\Temp\OnboardLogs"\RTDC4056\2017-09-19 &amp; aws s3 cp s3://rtdc.mdm.uploadarchive.raw/RTDC4056/ "%USERPROFILE%\AppData\Local\Temp\OnboardLogs"\RTDC4056\2017-09-20 --exclude "*" --recursive --include "*20170920*" &amp; "%USERPROFILE%\Documents\GitHub\mrs-test-scripts\Headless Mode &amp; Sideloading\WalkAndUnGZ.bat" "%USERPROFILE%\AppData\Local\Temp\OnboardLogs"\RTDC4056\2017-09-20</v>
      </c>
      <c r="AF74" s="74" t="str">
        <f t="shared" si="12"/>
        <v>"C:\Program Files (x86)\AstroGrep\AstroGrep.exe" /e /r /s /spath="%USERPROFILE%\AppData\Local\Temp\OnboardLogs" /stypes="app*4056*20170919*" /stext=" 17:.+((SYSTEM_STATE.+slice.+state.+changed )|(ment ac)|(multiple cpu faults)|(system.+state.+changed )|(\[timeout)|(PRM\|1\|D)|(kpr)|(kdp)|(train st.+moving)|(\|lc)|(penalty))"</v>
      </c>
      <c r="AG74" s="182" t="str">
        <f t="shared" si="13"/>
        <v>EC</v>
      </c>
      <c r="AH74" s="78" t="str">
        <f t="shared" si="19"/>
        <v>"%USERPROFILE%\Documents\GitHub\eaglep3\Utilities\RefineRTDCRunTimes.py" --tripid 161-19 --locoid 4056 --swversion DE.1.0.9.0 --startMP 204:453 --initTime 2017-09-19T11:10:41 --startdatetime 2017-09-19T11:15:14 --delay 83 --endMP 204:233315 --enddatetime 2017-09-19T11:50:49 --enforcementcount 0 &gt;&gt;C:\Users\stu\Documents\GitHub\eaglep3-reporting\EC\2017-09-19-refined-times.txt</v>
      </c>
      <c r="AI74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{"issue":{"subject":"","project_id":79,"tracker_id":40,"status_id":1,"priority_id":2,"assigned_to_id":338,"start_date":"2017-09-19","description":"","custom_fields":[{"id":1,"name":"Subdivision","value":"EC"},{"id":4,"name":"Milepost","value":"23.3315"},{"id":17,"name":"Train ID","value":"161-19"},{"id":16,"name":"Locomotive ID","value":"4056"},{"id":130,"name":"Impact","value":""},{"id":150,"name":"Time of Event (Mountain Time)","value":"11:50:49"},{"id":151,"name":"Denver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1"/>
        <v>start /low /b %USERPROFILE%\Documents\GitHub\eaglep3\Utilities\DownloadLogsFromS3.py --loco 4056 --day 2017-09-19</v>
      </c>
      <c r="AN74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17:50:49"},{"id":29,"name":"Sharepoint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3"/>
        <v>https://d0f6bd738d7f1b3e5a7ca70fe4ff75f0.us-east-1.aws.found.io/app/kibana#/discover/Steve-Slow-Train-Analysis-(2080s-and-2083s)?_g=(refreshInterval:(display:Off,pause:!f,section:0,value:0),time:(from:'2017-09-19T10:10:41-0600',mode:absolute,to:'2017-09-19T12:50:49-0600'))&amp;_a=(columns:!('Message%20ID',Summary),filters:!(),index:'emp_*',interval:auto,query:(query_string:(analyze_wildcard:!t,query:'Message%5C+ID:(*)+AND+%22rtdc.l.rtdc.4056%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746</v>
      </c>
      <c r="B75" s="7">
        <v>4055</v>
      </c>
      <c r="C75" s="21" t="s">
        <v>197</v>
      </c>
      <c r="D75" s="21" t="s">
        <v>488</v>
      </c>
      <c r="E75" s="13">
        <v>42997.505104166667</v>
      </c>
      <c r="F75" s="13">
        <v>42997.508611111109</v>
      </c>
      <c r="G75" s="7">
        <v>93</v>
      </c>
      <c r="H75" s="21" t="s">
        <v>359</v>
      </c>
      <c r="I75" s="13">
        <v>42997.53398148148</v>
      </c>
      <c r="J75" s="7">
        <v>0</v>
      </c>
      <c r="K75" s="89" t="str">
        <f t="shared" si="0"/>
        <v>4055/4056</v>
      </c>
      <c r="L75" s="185" t="str">
        <f>VLOOKUP(A75,'Trips&amp;Operators'!$C$1:$G$99911,5,FALSE)</f>
        <v>BRUDER RICHARD</v>
      </c>
      <c r="M75" s="6">
        <f t="shared" si="1"/>
        <v>2.5370370371092577E-2</v>
      </c>
      <c r="N75" s="7">
        <f t="shared" si="33"/>
        <v>36.53333333437331</v>
      </c>
      <c r="O75" s="7"/>
      <c r="P75" s="7"/>
      <c r="Q75" s="22"/>
      <c r="R75" s="174"/>
      <c r="S75" s="221">
        <f t="shared" si="34"/>
        <v>1</v>
      </c>
      <c r="T75" s="174" t="str">
        <f t="shared" si="4"/>
        <v>Southbound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5"/>
        <v>https://d0f6bd738d7f1b3e5a7ca70fe4ff75f0.us-east-1.aws.found.io/app/kibana#/discover/Steve-Slow-Train-Analysis-(2080s-and-2083s)?_g=(refreshInterval:(display:Off,pause:!f,section:0,value:0),time:(from:'2017-09-19T11:07:21-0600',mode:absolute,to:'2017-09-19T13:48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5" s="204" t="str">
        <f>IF(AA75&lt;VLOOKUP(AG75,Variables!$AC$3:$AD$8,2,FALSE),"Y","N")</f>
        <v>N</v>
      </c>
      <c r="X75" s="204">
        <f t="shared" si="32"/>
        <v>1</v>
      </c>
      <c r="Y75" s="204">
        <f t="shared" si="35"/>
        <v>23.298500000000001</v>
      </c>
      <c r="Z75" s="204">
        <f t="shared" si="36"/>
        <v>1.52E-2</v>
      </c>
      <c r="AA75" s="204">
        <f t="shared" si="9"/>
        <v>23.283300000000001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 t="shared" si="10"/>
        <v>162</v>
      </c>
      <c r="AE75" s="77" t="str">
        <f t="shared" si="11"/>
        <v>aws s3 cp s3://rtdc.mdm.uploadarchive.raw/RTDC4055/ "%USERPROFILE%\AppData\Local\Temp\OnboardLogs"\RTDC4055\2017-09-19 --exclude "*" --recursive --include "*20170919*" &amp; "%USERPROFILE%\Documents\GitHub\mrs-test-scripts\Headless Mode &amp; Sideloading\WalkAndUnGZ.bat" "%USERPROFILE%\AppData\Local\Temp\OnboardLogs"\RTDC4055\2017-09-19 &amp; aws s3 cp s3://rtdc.mdm.uploadarchive.raw/RTDC4055/ "%USERPROFILE%\AppData\Local\Temp\OnboardLogs"\RTDC4055\2017-09-20 --exclude "*" --recursive --include "*20170920*" &amp; "%USERPROFILE%\Documents\GitHub\mrs-test-scripts\Headless Mode &amp; Sideloading\WalkAndUnGZ.bat" "%USERPROFILE%\AppData\Local\Temp\OnboardLogs"\RTDC4055\2017-09-20</v>
      </c>
      <c r="AF75" s="74" t="str">
        <f t="shared" si="12"/>
        <v>"C:\Program Files (x86)\AstroGrep\AstroGrep.exe" /e /r /s /spath="%USERPROFILE%\AppData\Local\Temp\OnboardLogs" /stypes="app*4055*20170919*" /stext=" 18:.+((SYSTEM_STATE.+slice.+state.+changed )|(ment ac)|(multiple cpu faults)|(system.+state.+changed )|(\[timeout)|(PRM\|1\|D)|(kpr)|(kdp)|(train st.+moving)|(\|lc)|(penalty))"</v>
      </c>
      <c r="AG75" s="182" t="str">
        <f t="shared" si="13"/>
        <v>EC</v>
      </c>
      <c r="AH75" s="78" t="str">
        <f t="shared" si="19"/>
        <v>"%USERPROFILE%\Documents\GitHub\eaglep3\Utilities\RefineRTDCRunTimes.py" --tripid 162-19 --locoid 4055 --swversion DE.1.0.9.0 --startMP 204:232985 --initTime 2017-09-19T12:07:21 --startdatetime 2017-09-19T12:12:24 --delay 93 --endMP 204:152 --enddatetime 2017-09-19T12:48:56 --enforcementcount 0 &gt;&gt;C:\Users\stu\Documents\GitHub\eaglep3-reporting\EC\2017-09-19-refined-times.txt</v>
      </c>
      <c r="AI75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{"issue":{"subject":"","project_id":79,"tracker_id":40,"status_id":1,"priority_id":2,"assigned_to_id":338,"start_date":"2017-09-19","description":"","custom_fields":[{"id":1,"name":"Subdivision","value":"EC"},{"id":4,"name":"Milepost","value":"0.0152"},{"id":17,"name":"Train ID","value":"162-19"},{"id":16,"name":"Locomotive ID","value":"4055"},{"id":130,"name":"Impact","value":""},{"id":150,"name":"Time of Event (Mountain Time)","value":"12:48:56"},{"id":151,"name":"Denver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1"/>
        <v>start /low /b %USERPROFILE%\Documents\GitHub\eaglep3\Utilities\DownloadLogsFromS3.py --loco 4055 --day 2017-09-19</v>
      </c>
      <c r="AN75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18:48:56"},{"id":29,"name":"Sharepoint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3"/>
        <v>https://d0f6bd738d7f1b3e5a7ca70fe4ff75f0.us-east-1.aws.found.io/app/kibana#/discover/Steve-Slow-Train-Analysis-(2080s-and-2083s)?_g=(refreshInterval:(display:Off,pause:!f,section:0,value:0),time:(from:'2017-09-19T11:07:21-0600',mode:absolute,to:'2017-09-19T13:48:56-0600'))&amp;_a=(columns:!('Message%20ID',Summary),filters:!(),index:'emp_*',interval:auto,query:(query_string:(analyze_wildcard:!t,query:'Message%5C+ID:(*)+AND+%22rtdc.l.rtdc.4055%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737</v>
      </c>
      <c r="B76" s="7">
        <v>4030</v>
      </c>
      <c r="C76" s="21" t="s">
        <v>197</v>
      </c>
      <c r="D76" s="21" t="s">
        <v>358</v>
      </c>
      <c r="E76" s="13">
        <v>42997.474675925929</v>
      </c>
      <c r="F76" s="13">
        <v>42997.479537037034</v>
      </c>
      <c r="G76" s="7">
        <v>70</v>
      </c>
      <c r="H76" s="21" t="s">
        <v>873</v>
      </c>
      <c r="I76" s="13">
        <v>42997.503483796296</v>
      </c>
      <c r="J76" s="7">
        <v>0</v>
      </c>
      <c r="K76" s="89" t="str">
        <f t="shared" si="0"/>
        <v>4029/4030</v>
      </c>
      <c r="L76" s="185" t="str">
        <f>VLOOKUP(A76,'Trips&amp;Operators'!$C$1:$G$99911,5,FALSE)</f>
        <v>MOSES BRADLEY</v>
      </c>
      <c r="M76" s="6">
        <f t="shared" si="1"/>
        <v>2.3946759261889383E-2</v>
      </c>
      <c r="N76" s="7">
        <f t="shared" si="33"/>
        <v>34.483333337120712</v>
      </c>
      <c r="O76" s="7"/>
      <c r="P76" s="7"/>
      <c r="Q76" s="22"/>
      <c r="R76" s="174"/>
      <c r="S76" s="221">
        <f t="shared" si="34"/>
        <v>1</v>
      </c>
      <c r="T76" s="174" t="str">
        <f t="shared" si="4"/>
        <v>NorthBound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5"/>
        <v>https://d0f6bd738d7f1b3e5a7ca70fe4ff75f0.us-east-1.aws.found.io/app/kibana#/discover/Steve-Slow-Train-Analysis-(2080s-and-2083s)?_g=(refreshInterval:(display:Off,pause:!f,section:0,value:0),time:(from:'2017-09-19T10:23:32-0600',mode:absolute,to:'2017-09-19T13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6" s="204" t="str">
        <f>IF(AA76&lt;VLOOKUP(AG76,Variables!$AC$3:$AD$8,2,FALSE),"Y","N")</f>
        <v>N</v>
      </c>
      <c r="X76" s="204">
        <f t="shared" si="32"/>
        <v>1</v>
      </c>
      <c r="Y76" s="204">
        <f t="shared" si="35"/>
        <v>4.58E-2</v>
      </c>
      <c r="Z76" s="204">
        <f t="shared" si="36"/>
        <v>23.328800000000001</v>
      </c>
      <c r="AA76" s="204">
        <f t="shared" si="9"/>
        <v>23.283000000000001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 t="shared" si="10"/>
        <v>163</v>
      </c>
      <c r="AE76" s="77" t="str">
        <f t="shared" si="11"/>
        <v>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 &amp; aws s3 cp s3://rtdc.mdm.uploadarchive.raw/RTDC4030/ "%USERPROFILE%\AppData\Local\Temp\OnboardLogs"\RTDC4030\2017-09-20 --exclude "*" --recursive --include "*20170920*" &amp; "%USERPROFILE%\Documents\GitHub\mrs-test-scripts\Headless Mode &amp; Sideloading\WalkAndUnGZ.bat" "%USERPROFILE%\AppData\Local\Temp\OnboardLogs"\RTDC4030\2017-09-20</v>
      </c>
      <c r="AF76" s="74" t="str">
        <f t="shared" si="12"/>
        <v>"C:\Program Files (x86)\AstroGrep\AstroGrep.exe" /e /r /s /spath="%USERPROFILE%\AppData\Local\Temp\OnboardLogs" /stypes="app*4030*20170919*" /stext=" 18:.+((SYSTEM_STATE.+slice.+state.+changed )|(ment ac)|(multiple cpu faults)|(system.+state.+changed )|(\[timeout)|(PRM\|1\|D)|(kpr)|(kdp)|(train st.+moving)|(\|lc)|(penalty))"</v>
      </c>
      <c r="AG76" s="182" t="str">
        <f t="shared" si="13"/>
        <v>EC</v>
      </c>
      <c r="AH76" s="78" t="str">
        <f t="shared" si="19"/>
        <v>"%USERPROFILE%\Documents\GitHub\eaglep3\Utilities\RefineRTDCRunTimes.py" --tripid 163-19 --locoid 4030 --swversion DE.1.0.9.0 --startMP 204:458 --initTime 2017-09-19T11:23:32 --startdatetime 2017-09-19T11:30:32 --delay 70 --endMP 204:233288 --enddatetime 2017-09-19T12:05:01 --enforcementcount 0 &gt;&gt;C:\Users\stu\Documents\GitHub\eaglep3-reporting\EC\2017-09-19-refined-times.txt</v>
      </c>
      <c r="AI76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{"issue":{"subject":"","project_id":79,"tracker_id":40,"status_id":1,"priority_id":2,"assigned_to_id":338,"start_date":"2017-09-19","description":"","custom_fields":[{"id":1,"name":"Subdivision","value":"EC"},{"id":4,"name":"Milepost","value":"23.3288"},{"id":17,"name":"Train ID","value":"163-19"},{"id":16,"name":"Locomotive ID","value":"4030"},{"id":130,"name":"Impact","value":""},{"id":150,"name":"Time of Event (Mountain Time)","value":"12:05:01"},{"id":151,"name":"Denver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1"/>
        <v>start /low /b %USERPROFILE%\Documents\GitHub\eaglep3\Utilities\DownloadLogsFromS3.py --loco 4030 --day 2017-09-19</v>
      </c>
      <c r="AN76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18:05:01"},{"id":29,"name":"Sharepoint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3"/>
        <v>https://d0f6bd738d7f1b3e5a7ca70fe4ff75f0.us-east-1.aws.found.io/app/kibana#/discover/Steve-Slow-Train-Analysis-(2080s-and-2083s)?_g=(refreshInterval:(display:Off,pause:!f,section:0,value:0),time:(from:'2017-09-19T10:23:32-0600',mode:absolute,to:'2017-09-19T13:05:01-0600'))&amp;_a=(columns:!('Message%20ID',Summary),filters:!(),index:'emp_*',interval:auto,query:(query_string:(analyze_wildcard:!t,query:'Message%5C+ID:(*)+AND+%22rtdc.l.rtdc.4030%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632</v>
      </c>
      <c r="B77" s="7">
        <v>4029</v>
      </c>
      <c r="C77" s="21" t="s">
        <v>197</v>
      </c>
      <c r="D77" s="21" t="s">
        <v>513</v>
      </c>
      <c r="E77" s="13">
        <v>42997.514745370368</v>
      </c>
      <c r="F77" s="13">
        <v>42997.519270833334</v>
      </c>
      <c r="G77" s="7">
        <v>76</v>
      </c>
      <c r="H77" s="21" t="s">
        <v>343</v>
      </c>
      <c r="I77" s="13">
        <v>42997.546516203707</v>
      </c>
      <c r="J77" s="7">
        <v>0</v>
      </c>
      <c r="K77" s="89" t="str">
        <f t="shared" ref="K77:K140" si="37">IF(ISEVEN(B77),(B77-1)&amp;"/"&amp;B77,B77&amp;"/"&amp;(B77+1))</f>
        <v>4029/4030</v>
      </c>
      <c r="L77" s="185" t="str">
        <f>VLOOKUP(A77,'Trips&amp;Operators'!$C$1:$G$99911,5,FALSE)</f>
        <v>MOSES BRADLEY</v>
      </c>
      <c r="M77" s="6">
        <f t="shared" ref="M77:M140" si="38">I77-F77</f>
        <v>2.7245370372838806E-2</v>
      </c>
      <c r="N77" s="7">
        <f t="shared" si="33"/>
        <v>39.233333336887881</v>
      </c>
      <c r="O77" s="7"/>
      <c r="P77" s="7"/>
      <c r="Q77" s="22"/>
      <c r="R77" s="174"/>
      <c r="S77" s="221">
        <f t="shared" si="34"/>
        <v>1</v>
      </c>
      <c r="T77" s="174" t="str">
        <f t="shared" ref="T77:T140" si="39">IF(ISEVEN(LEFT(AD77,4)),"Southbound","NorthBound")</f>
        <v>Southbound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4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-19T11:21:14-0600',mode:absolute,to:'2017-09-19T14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7" s="204" t="str">
        <f>IF(AA77&lt;VLOOKUP(AG77,Variables!$AC$3:$AD$8,2,FALSE),"Y","N")</f>
        <v>N</v>
      </c>
      <c r="X77" s="204">
        <f t="shared" ref="X77:X108" si="41">VALUE(LEFT(AD77,4))-VALUE(LEFT(AD76,4))</f>
        <v>1</v>
      </c>
      <c r="Y77" s="204">
        <f t="shared" si="35"/>
        <v>23.296500000000002</v>
      </c>
      <c r="Z77" s="204">
        <f t="shared" si="36"/>
        <v>1.47E-2</v>
      </c>
      <c r="AA77" s="204">
        <f t="shared" ref="AA77:AA140" si="42">ABS(Z77-Y77)</f>
        <v>23.2818</v>
      </c>
      <c r="AB77" s="54" t="str">
        <f>VLOOKUP(A77,Enforcements!$C$7:$K$11,8,0)</f>
        <v>Bulletin (2)</v>
      </c>
      <c r="AC77" s="51" t="str">
        <f>VLOOKUP(A77,Enforcements!$C$7:$E$11,3,0)</f>
        <v>GRADE CROSSING</v>
      </c>
      <c r="AD77" s="179">
        <f t="shared" ref="AD77:AD140" si="43">VALUE(LEFT(A77,LEN(A77)-3))</f>
        <v>164</v>
      </c>
      <c r="AE77" s="77" t="str">
        <f t="shared" ref="AE77:AE140" si="4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 &amp; aws s3 cp s3://rtdc.mdm.uploadarchive.raw/RTDC4029/ "%USERPROFILE%\AppData\Local\Temp\OnboardLogs"\RTDC4029\2017-09-20 --exclude "*" --recursive --include "*20170920*" &amp; "%USERPROFILE%\Documents\GitHub\mrs-test-scripts\Headless Mode &amp; Sideloading\WalkAndUnGZ.bat" "%USERPROFILE%\AppData\Local\Temp\OnboardLogs"\RTDC4029\2017-09-20</v>
      </c>
      <c r="AF77" s="74" t="str">
        <f t="shared" ref="AF77:AF140" si="45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/stypes="app*4029*20170919*" /stext=" 19:.+((SYSTEM_STATE.+slice.+state.+changed )|(ment ac)|(multiple cpu faults)|(system.+state.+changed )|(\[timeout)|(PRM\|1\|D)|(kpr)|(kdp)|(train st.+moving)|(\|lc)|(penalty))"</v>
      </c>
      <c r="AG77" s="182" t="str">
        <f t="shared" ref="AG77:AG140" si="46">DetSubdiv(A77)</f>
        <v>EC</v>
      </c>
      <c r="AH77" s="78" t="str">
        <f t="shared" si="19"/>
        <v>"%USERPROFILE%\Documents\GitHub\eaglep3\Utilities\RefineRTDCRunTimes.py" --tripid 164-19 --locoid 4029 --swversion DE.1.0.9.0 --startMP 204:232965 --initTime 2017-09-19T12:21:14 --startdatetime 2017-09-19T12:27:45 --delay 76 --endMP 204:147 --enddatetime 2017-09-19T13:06:59 --enforcementcount 0 &gt;&gt;C:\Users\stu\Documents\GitHub\eaglep3-reporting\EC\2017-09-19-refined-times.txt</v>
      </c>
      <c r="AI77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{"issue":{"subject":"","project_id":79,"tracker_id":40,"status_id":1,"priority_id":2,"assigned_to_id":338,"start_date":"2017-09-19","description":"","custom_fields":[{"id":1,"name":"Subdivision","value":"EC"},{"id":4,"name":"Milepost","value":"0.0147"},{"id":17,"name":"Train ID","value":"164-19"},{"id":16,"name":"Locomotive ID","value":"4029"},{"id":130,"name":"Impact","value":""},{"id":150,"name":"Time of Event (Mountain Time)","value":"13:06:59"},{"id":151,"name":"Denver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1"/>
        <v>start /low /b %USERPROFILE%\Documents\GitHub\eaglep3\Utilities\DownloadLogsFromS3.py --loco 4029 --day 2017-09-19</v>
      </c>
      <c r="AN77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19:06:59"},{"id":29,"name":"Sharepoint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23"/>
        <v>https://d0f6bd738d7f1b3e5a7ca70fe4ff75f0.us-east-1.aws.found.io/app/kibana#/discover/Steve-Slow-Train-Analysis-(2080s-and-2083s)?_g=(refreshInterval:(display:Off,pause:!f,section:0,value:0),time:(from:'2017-09-19T11:21:14-0600',mode:absolute,to:'2017-09-19T14:06:59-0600'))&amp;_a=(columns:!('Message%20ID',Summary),filters:!(),index:'emp_*',interval:auto,query:(query_string:(analyze_wildcard:!t,query:'Message%5C+ID:(*)+AND+%22rtdc.l.rtdc.4029%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742</v>
      </c>
      <c r="B78" s="7">
        <v>4016</v>
      </c>
      <c r="C78" s="21" t="s">
        <v>197</v>
      </c>
      <c r="D78" s="21" t="s">
        <v>423</v>
      </c>
      <c r="E78" s="13">
        <v>42997.484918981485</v>
      </c>
      <c r="F78" s="13">
        <v>42997.489768518521</v>
      </c>
      <c r="G78" s="7">
        <v>100</v>
      </c>
      <c r="H78" s="21" t="s">
        <v>879</v>
      </c>
      <c r="I78" s="13">
        <v>42997.514479166668</v>
      </c>
      <c r="J78" s="7">
        <v>0</v>
      </c>
      <c r="K78" s="89" t="str">
        <f t="shared" si="37"/>
        <v>4015/4016</v>
      </c>
      <c r="L78" s="185" t="str">
        <f>VLOOKUP(A78,'Trips&amp;Operators'!$C$1:$G$99911,5,FALSE)</f>
        <v>LEVIN SCOTT</v>
      </c>
      <c r="M78" s="6">
        <f t="shared" si="38"/>
        <v>2.47106481474475E-2</v>
      </c>
      <c r="N78" s="7">
        <f t="shared" si="33"/>
        <v>35.583333332324401</v>
      </c>
      <c r="O78" s="7"/>
      <c r="P78" s="7"/>
      <c r="Q78" s="22"/>
      <c r="R78" s="174"/>
      <c r="S78" s="221">
        <f t="shared" si="34"/>
        <v>1</v>
      </c>
      <c r="T78" s="174" t="str">
        <f t="shared" si="39"/>
        <v>NorthBound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40"/>
        <v>https://d0f6bd738d7f1b3e5a7ca70fe4ff75f0.us-east-1.aws.found.io/app/kibana#/discover/Steve-Slow-Train-Analysis-(2080s-and-2083s)?_g=(refreshInterval:(display:Off,pause:!f,section:0,value:0),time:(from:'2017-09-19T10:38:17-0600',mode:absolute,to:'2017-09-19T13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8" s="204" t="str">
        <f>IF(AA78&lt;VLOOKUP(AG78,Variables!$AC$3:$AD$8,2,FALSE),"Y","N")</f>
        <v>N</v>
      </c>
      <c r="X78" s="204">
        <f t="shared" si="41"/>
        <v>1</v>
      </c>
      <c r="Y78" s="204">
        <f t="shared" si="35"/>
        <v>4.7100000000000003E-2</v>
      </c>
      <c r="Z78" s="204">
        <f t="shared" si="36"/>
        <v>23.337399999999999</v>
      </c>
      <c r="AA78" s="204">
        <f t="shared" si="42"/>
        <v>23.290299999999998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 t="shared" si="43"/>
        <v>165</v>
      </c>
      <c r="AE78" s="77" t="str">
        <f t="shared" si="44"/>
        <v>aws s3 cp s3://rtdc.mdm.uploadarchive.raw/RTDC4016/ "%USERPROFILE%\AppData\Local\Temp\OnboardLogs"\RTDC4016\2017-09-19 --exclude "*" --recursive --include "*20170919*" &amp; "%USERPROFILE%\Documents\GitHub\mrs-test-scripts\Headless Mode &amp; Sideloading\WalkAndUnGZ.bat" "%USERPROFILE%\AppData\Local\Temp\OnboardLogs"\RTDC4016\2017-09-19 &amp; 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</v>
      </c>
      <c r="AF78" s="74" t="str">
        <f t="shared" si="45"/>
        <v>"C:\Program Files (x86)\AstroGrep\AstroGrep.exe" /e /r /s /spath="%USERPROFILE%\AppData\Local\Temp\OnboardLogs" /stypes="app*4016*20170919*" /stext=" 18:.+((SYSTEM_STATE.+slice.+state.+changed )|(ment ac)|(multiple cpu faults)|(system.+state.+changed )|(\[timeout)|(PRM\|1\|D)|(kpr)|(kdp)|(train st.+moving)|(\|lc)|(penalty))"</v>
      </c>
      <c r="AG78" s="182" t="str">
        <f t="shared" si="46"/>
        <v>EC</v>
      </c>
      <c r="AH78" s="78" t="str">
        <f t="shared" si="19"/>
        <v>"%USERPROFILE%\Documents\GitHub\eaglep3\Utilities\RefineRTDCRunTimes.py" --tripid 165-19 --locoid 4016 --swversion DE.1.0.9.0 --startMP 204:471 --initTime 2017-09-19T11:38:17 --startdatetime 2017-09-19T11:45:16 --delay 100 --endMP 204:233374 --enddatetime 2017-09-19T12:20:51 --enforcementcount 0 &gt;&gt;C:\Users\stu\Documents\GitHub\eaglep3-reporting\EC\2017-09-19-refined-times.txt</v>
      </c>
      <c r="AI78" s="96" t="str">
        <f t="shared" si="20"/>
        <v>echo {"issue":{"subject":"","project_id":79,"tracker_id":40,"status_id":1,"priority_id":2,"assigned_to_id":338,"start_date":"2017-09-19","description":"","custom_fields":[{"id":1,"name":"Subdivision","value":"EC"},{"id":4,"name":"Milepost","value":"23.3374"},{"id":17,"name":"Train ID","value":"165-19"},{"id":16,"name":"Locomotive ID","value":"4016"},{"id":130,"name":"Impact","value":""},{"id":150,"name":"Time of Event (Mountain Time)","value":"12:20:51"},{"id":151,"name":"Denver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21"/>
        <v>start /low /b %USERPROFILE%\Documents\GitHub\eaglep3\Utilities\DownloadLogsFromS3.py --loco 4016 --day 2017-09-19</v>
      </c>
      <c r="AN78" s="151" t="str">
        <f t="shared" si="22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18:20:51"},{"id":29,"name":"Sharepoint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si="23"/>
        <v>https://d0f6bd738d7f1b3e5a7ca70fe4ff75f0.us-east-1.aws.found.io/app/kibana#/discover/Steve-Slow-Train-Analysis-(2080s-and-2083s)?_g=(refreshInterval:(display:Off,pause:!f,section:0,value:0),time:(from:'2017-09-19T10:38:17-0600',mode:absolute,to:'2017-09-19T13:20:51-0600'))&amp;_a=(columns:!('Message%20ID',Summary),filters:!(),index:'emp_*',interval:auto,query:(query_string:(analyze_wildcard:!t,query:'Message%5C+ID:(*)+AND+%22rtdc.l.rtdc.4016%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748</v>
      </c>
      <c r="B79" s="7">
        <v>4015</v>
      </c>
      <c r="C79" s="21" t="s">
        <v>197</v>
      </c>
      <c r="D79" s="21" t="s">
        <v>880</v>
      </c>
      <c r="E79" s="13">
        <v>42997.523576388892</v>
      </c>
      <c r="F79" s="13">
        <v>42997.529409722221</v>
      </c>
      <c r="G79" s="7">
        <v>88</v>
      </c>
      <c r="H79" s="21" t="s">
        <v>340</v>
      </c>
      <c r="I79" s="13">
        <v>42997.555289351854</v>
      </c>
      <c r="J79" s="7">
        <v>0</v>
      </c>
      <c r="K79" s="89" t="str">
        <f t="shared" si="37"/>
        <v>4015/4016</v>
      </c>
      <c r="L79" s="185" t="str">
        <f>VLOOKUP(A79,'Trips&amp;Operators'!$C$1:$G$99911,5,FALSE)</f>
        <v>LEVIN SCOTT</v>
      </c>
      <c r="M79" s="6">
        <f t="shared" si="38"/>
        <v>2.587962963298196E-2</v>
      </c>
      <c r="N79" s="7">
        <f t="shared" si="33"/>
        <v>37.266666671494022</v>
      </c>
      <c r="O79" s="7"/>
      <c r="P79" s="7"/>
      <c r="Q79" s="22"/>
      <c r="R79" s="174"/>
      <c r="S79" s="221">
        <f t="shared" si="34"/>
        <v>1</v>
      </c>
      <c r="T79" s="174" t="str">
        <f t="shared" si="39"/>
        <v>Southbound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40"/>
        <v>https://d0f6bd738d7f1b3e5a7ca70fe4ff75f0.us-east-1.aws.found.io/app/kibana#/discover/Steve-Slow-Train-Analysis-(2080s-and-2083s)?_g=(refreshInterval:(display:Off,pause:!f,section:0,value:0),time:(from:'2017-09-19T11:33:57-0600',mode:absolute,to:'2017-09-19T14:19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9" s="204" t="str">
        <f>IF(AA79&lt;VLOOKUP(AG79,Variables!$AC$3:$AD$8,2,FALSE),"Y","N")</f>
        <v>N</v>
      </c>
      <c r="X79" s="204">
        <f t="shared" si="41"/>
        <v>1</v>
      </c>
      <c r="Y79" s="204">
        <f t="shared" si="35"/>
        <v>23.307700000000001</v>
      </c>
      <c r="Z79" s="204">
        <f t="shared" si="36"/>
        <v>1.43E-2</v>
      </c>
      <c r="AA79" s="204">
        <f t="shared" si="42"/>
        <v>23.293400000000002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 t="shared" si="43"/>
        <v>166</v>
      </c>
      <c r="AE79" s="77" t="str">
        <f t="shared" si="44"/>
        <v>aws s3 cp s3://rtdc.mdm.uploadarchive.raw/RTDC4015/ "%USERPROFILE%\AppData\Local\Temp\OnboardLogs"\RTDC4015\2017-09-19 --exclude "*" --recursive --include "*20170919*" &amp; "%USERPROFILE%\Documents\GitHub\mrs-test-scripts\Headless Mode &amp; Sideloading\WalkAndUnGZ.bat" "%USERPROFILE%\AppData\Local\Temp\OnboardLogs"\RTDC4015\2017-09-19 &amp; 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</v>
      </c>
      <c r="AF79" s="74" t="str">
        <f t="shared" si="45"/>
        <v>"C:\Program Files (x86)\AstroGrep\AstroGrep.exe" /e /r /s /spath="%USERPROFILE%\AppData\Local\Temp\OnboardLogs" /stypes="app*4015*20170919*" /stext=" 19:.+((SYSTEM_STATE.+slice.+state.+changed )|(ment ac)|(multiple cpu faults)|(system.+state.+changed )|(\[timeout)|(PRM\|1\|D)|(kpr)|(kdp)|(train st.+moving)|(\|lc)|(penalty))"</v>
      </c>
      <c r="AG79" s="182" t="str">
        <f t="shared" si="46"/>
        <v>EC</v>
      </c>
      <c r="AH79" s="78" t="str">
        <f t="shared" ref="AH79:AH142" si="47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166-19 --locoid 4015 --swversion DE.1.0.9.0 --startMP 204:233077 --initTime 2017-09-19T12:33:57 --startdatetime 2017-09-19T12:42:21 --delay 88 --endMP 204:143 --enddatetime 2017-09-19T13:19:37 --enforcementcount 0 &gt;&gt;C:\Users\stu\Documents\GitHub\eaglep3-reporting\EC\2017-09-19-refined-times.txt</v>
      </c>
      <c r="AI79" s="96" t="str">
        <f t="shared" ref="AI79:AI142" si="48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{"issue":{"subject":"","project_id":79,"tracker_id":40,"status_id":1,"priority_id":2,"assigned_to_id":338,"start_date":"2017-09-19","description":"","custom_fields":[{"id":1,"name":"Subdivision","value":"EC"},{"id":4,"name":"Milepost","value":"0.0143"},{"id":17,"name":"Train ID","value":"166-19"},{"id":16,"name":"Locomotive ID","value":"4015"},{"id":130,"name":"Impact","value":""},{"id":150,"name":"Time of Event (Mountain Time)","value":"13:19:37"},{"id":151,"name":"Denver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ref="AM79:AM142" si="49">"start /low /b "&amp;dls3logs&amp;" --loco "&amp;B79&amp;" --day "&amp;TEXT(F79,"YYYY-MM-DD")</f>
        <v>start /low /b %USERPROFILE%\Documents\GitHub\eaglep3\Utilities\DownloadLogsFromS3.py --loco 4015 --day 2017-09-19</v>
      </c>
      <c r="AN79" s="151" t="str">
        <f t="shared" ref="AN79:AN142" si="50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19:19:37"},{"id":29,"name":"Sharepoint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ref="AO79:AO142" si="51"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Message%20ID',Summary),filters:!(),index:'emp_*',interval:auto,query:"&amp;"(query_string:(analyze_wildcard:!t,query:'Message%5C+ID:(*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-09-19T11:33:57-0600',mode:absolute,to:'2017-09-19T14:19:37-0600'))&amp;_a=(columns:!('Message%20ID',Summary),filters:!(),index:'emp_*',interval:auto,query:(query_string:(analyze_wildcard:!t,query:'Message%5C+ID:(*)+AND+%22rtdc.l.rtdc.4015%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744</v>
      </c>
      <c r="B80" s="7">
        <v>4050</v>
      </c>
      <c r="C80" s="21" t="s">
        <v>197</v>
      </c>
      <c r="D80" s="21" t="s">
        <v>877</v>
      </c>
      <c r="E80" s="13">
        <v>42997.495300925926</v>
      </c>
      <c r="F80" s="13">
        <v>42997.500185185185</v>
      </c>
      <c r="G80" s="7">
        <v>76</v>
      </c>
      <c r="H80" s="21" t="s">
        <v>881</v>
      </c>
      <c r="I80" s="13">
        <v>42997.525254629632</v>
      </c>
      <c r="J80" s="7">
        <v>0</v>
      </c>
      <c r="K80" s="89" t="str">
        <f t="shared" si="37"/>
        <v>4049/4050</v>
      </c>
      <c r="L80" s="185" t="str">
        <f>VLOOKUP(A80,'Trips&amp;Operators'!$C$1:$G$99911,5,FALSE)</f>
        <v>LEVERE CRAIG</v>
      </c>
      <c r="M80" s="6">
        <f t="shared" si="38"/>
        <v>2.5069444447581191E-2</v>
      </c>
      <c r="N80" s="7">
        <f t="shared" si="33"/>
        <v>36.100000004516914</v>
      </c>
      <c r="O80" s="7"/>
      <c r="P80" s="7"/>
      <c r="Q80" s="22"/>
      <c r="R80" s="174"/>
      <c r="S80" s="221">
        <f t="shared" si="34"/>
        <v>1</v>
      </c>
      <c r="T80" s="174" t="str">
        <f t="shared" si="39"/>
        <v>NorthBound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40"/>
        <v>https://d0f6bd738d7f1b3e5a7ca70fe4ff75f0.us-east-1.aws.found.io/app/kibana#/discover/Steve-Slow-Train-Analysis-(2080s-and-2083s)?_g=(refreshInterval:(display:Off,pause:!f,section:0,value:0),time:(from:'2017-09-19T10:53:14-0600',mode:absolute,to:'2017-09-19T13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0" s="204" t="str">
        <f>IF(AA80&lt;VLOOKUP(AG80,Variables!$AC$3:$AD$8,2,FALSE),"Y","N")</f>
        <v>N</v>
      </c>
      <c r="X80" s="204">
        <f t="shared" si="41"/>
        <v>1</v>
      </c>
      <c r="Y80" s="204">
        <f t="shared" si="35"/>
        <v>4.2900000000000001E-2</v>
      </c>
      <c r="Z80" s="204">
        <f t="shared" si="36"/>
        <v>23.3324</v>
      </c>
      <c r="AA80" s="204">
        <f t="shared" si="42"/>
        <v>23.2895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 t="shared" si="43"/>
        <v>167</v>
      </c>
      <c r="AE80" s="77" t="str">
        <f t="shared" si="44"/>
        <v>aws s3 cp s3://rtdc.mdm.uploadarchive.raw/RTDC4050/ "%USERPROFILE%\AppData\Local\Temp\OnboardLogs"\RTDC4050\2017-09-19 --exclude "*" --recursive --include "*20170919*" &amp; "%USERPROFILE%\Documents\GitHub\mrs-test-scripts\Headless Mode &amp; Sideloading\WalkAndUnGZ.bat" "%USERPROFILE%\AppData\Local\Temp\OnboardLogs"\RTDC4050\2017-09-19 &amp; aws s3 cp s3://rtdc.mdm.uploadarchive.raw/RTDC4050/ "%USERPROFILE%\AppData\Local\Temp\OnboardLogs"\RTDC4050\2017-09-20 --exclude "*" --recursive --include "*20170920*" &amp; "%USERPROFILE%\Documents\GitHub\mrs-test-scripts\Headless Mode &amp; Sideloading\WalkAndUnGZ.bat" "%USERPROFILE%\AppData\Local\Temp\OnboardLogs"\RTDC4050\2017-09-20</v>
      </c>
      <c r="AF80" s="74" t="str">
        <f t="shared" si="45"/>
        <v>"C:\Program Files (x86)\AstroGrep\AstroGrep.exe" /e /r /s /spath="%USERPROFILE%\AppData\Local\Temp\OnboardLogs" /stypes="app*4050*20170919*" /stext=" 18:.+((SYSTEM_STATE.+slice.+state.+changed )|(ment ac)|(multiple cpu faults)|(system.+state.+changed )|(\[timeout)|(PRM\|1\|D)|(kpr)|(kdp)|(train st.+moving)|(\|lc)|(penalty))"</v>
      </c>
      <c r="AG80" s="182" t="str">
        <f t="shared" si="46"/>
        <v>EC</v>
      </c>
      <c r="AH80" s="78" t="str">
        <f t="shared" si="47"/>
        <v>"%USERPROFILE%\Documents\GitHub\eaglep3\Utilities\RefineRTDCRunTimes.py" --tripid 167-19 --locoid 4050 --swversion DE.1.0.9.0 --startMP 204:429 --initTime 2017-09-19T11:53:14 --startdatetime 2017-09-19T12:00:16 --delay 76 --endMP 204:233324 --enddatetime 2017-09-19T12:36:22 --enforcementcount 0 &gt;&gt;C:\Users\stu\Documents\GitHub\eaglep3-reporting\EC\2017-09-19-refined-times.txt</v>
      </c>
      <c r="AI80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{"issue":{"subject":"","project_id":79,"tracker_id":40,"status_id":1,"priority_id":2,"assigned_to_id":338,"start_date":"2017-09-19","description":"","custom_fields":[{"id":1,"name":"Subdivision","value":"EC"},{"id":4,"name":"Milepost","value":"23.3324"},{"id":17,"name":"Train ID","value":"167-19"},{"id":16,"name":"Locomotive ID","value":"4050"},{"id":130,"name":"Impact","value":""},{"id":150,"name":"Time of Event (Mountain Time)","value":"12:36:22"},{"id":151,"name":"Denver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9"/>
        <v>start /low /b %USERPROFILE%\Documents\GitHub\eaglep3\Utilities\DownloadLogsFromS3.py --loco 4050 --day 2017-09-19</v>
      </c>
      <c r="AN80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18:36:22"},{"id":29,"name":"Sharepoint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51"/>
        <v>https://d0f6bd738d7f1b3e5a7ca70fe4ff75f0.us-east-1.aws.found.io/app/kibana#/discover/Steve-Slow-Train-Analysis-(2080s-and-2083s)?_g=(refreshInterval:(display:Off,pause:!f,section:0,value:0),time:(from:'2017-09-19T10:53:14-0600',mode:absolute,to:'2017-09-19T13:36:22-0600'))&amp;_a=(columns:!('Message%20ID',Summary),filters:!(),index:'emp_*',interval:auto,query:(query_string:(analyze_wildcard:!t,query:'Message%5C+ID:(*)+AND+%22rtdc.l.rtdc.4050%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635</v>
      </c>
      <c r="B81" s="7">
        <v>4049</v>
      </c>
      <c r="C81" s="21" t="s">
        <v>197</v>
      </c>
      <c r="D81" s="21" t="s">
        <v>416</v>
      </c>
      <c r="E81" s="13">
        <v>42997.533483796295</v>
      </c>
      <c r="F81" s="13">
        <v>42997.560173611113</v>
      </c>
      <c r="G81" s="7">
        <v>65</v>
      </c>
      <c r="H81" s="21" t="s">
        <v>882</v>
      </c>
      <c r="I81" s="13">
        <v>42997.570324074077</v>
      </c>
      <c r="J81" s="7">
        <v>0</v>
      </c>
      <c r="K81" s="89" t="str">
        <f t="shared" si="37"/>
        <v>4049/4050</v>
      </c>
      <c r="L81" s="185" t="str">
        <f>VLOOKUP(A81,'Trips&amp;Operators'!$C$1:$G$99911,5,FALSE)</f>
        <v>LEVERE CRAIG</v>
      </c>
      <c r="M81" s="6">
        <f t="shared" si="38"/>
        <v>1.0150462963792961E-2</v>
      </c>
      <c r="N81" s="7"/>
      <c r="O81" s="7"/>
      <c r="P81" s="7">
        <f>24*60*SUM($M81:$M81)</f>
        <v>14.616666667861864</v>
      </c>
      <c r="Q81" s="22"/>
      <c r="R81" s="174" t="s">
        <v>607</v>
      </c>
      <c r="S81" s="221">
        <f>1/IF(AG81="EC",12,1)*SUM(U81:U82)</f>
        <v>1</v>
      </c>
      <c r="T81" s="174" t="str">
        <f t="shared" si="39"/>
        <v>Southbound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3</v>
      </c>
      <c r="V81" s="216" t="str">
        <f t="shared" si="40"/>
        <v>https://d0f6bd738d7f1b3e5a7ca70fe4ff75f0.us-east-1.aws.found.io/app/kibana#/discover/Steve-Slow-Train-Analysis-(2080s-and-2083s)?_g=(refreshInterval:(display:Off,pause:!f,section:0,value:0),time:(from:'2017-09-19T11:48:13-0600',mode:absolute,to:'2017-09-19T14:41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1" s="204" t="str">
        <f>IF(AA81&lt;VLOOKUP(AG81,Variables!$AC$3:$AD$8,2,FALSE),"Y","N")</f>
        <v>Y</v>
      </c>
      <c r="X81" s="204">
        <f t="shared" si="41"/>
        <v>1</v>
      </c>
      <c r="Y81" s="204">
        <f t="shared" si="35"/>
        <v>23.299600000000002</v>
      </c>
      <c r="Z81" s="204">
        <f t="shared" si="36"/>
        <v>6.6801000000000004</v>
      </c>
      <c r="AA81" s="204">
        <f t="shared" si="42"/>
        <v>16.619500000000002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 t="shared" si="43"/>
        <v>168</v>
      </c>
      <c r="AE81" s="77" t="str">
        <f t="shared" si="44"/>
        <v>aws s3 cp s3://rtdc.mdm.uploadarchive.raw/RTDC4049/ "%USERPROFILE%\AppData\Local\Temp\OnboardLogs"\RTDC4049\2017-09-19 --exclude "*" --recursive --include "*20170919*" &amp; "%USERPROFILE%\Documents\GitHub\mrs-test-scripts\Headless Mode &amp; Sideloading\WalkAndUnGZ.bat" "%USERPROFILE%\AppData\Local\Temp\OnboardLogs"\RTDC4049\2017-09-19 &amp; aws s3 cp s3://rtdc.mdm.uploadarchive.raw/RTDC4049/ "%USERPROFILE%\AppData\Local\Temp\OnboardLogs"\RTDC4049\2017-09-20 --exclude "*" --recursive --include "*20170920*" &amp; "%USERPROFILE%\Documents\GitHub\mrs-test-scripts\Headless Mode &amp; Sideloading\WalkAndUnGZ.bat" "%USERPROFILE%\AppData\Local\Temp\OnboardLogs"\RTDC4049\2017-09-20</v>
      </c>
      <c r="AF81" s="74" t="str">
        <f t="shared" si="45"/>
        <v>"C:\Program Files (x86)\AstroGrep\AstroGrep.exe" /e /r /s /spath="%USERPROFILE%\AppData\Local\Temp\OnboardLogs" /stypes="app*4049*20170919*" /stext=" 19:.+((SYSTEM_STATE.+slice.+state.+changed )|(ment ac)|(multiple cpu faults)|(system.+state.+changed )|(\[timeout)|(PRM\|1\|D)|(kpr)|(kdp)|(train st.+moving)|(\|lc)|(penalty))"</v>
      </c>
      <c r="AG81" s="182" t="str">
        <f t="shared" si="46"/>
        <v>EC</v>
      </c>
      <c r="AH81" s="78" t="str">
        <f t="shared" si="47"/>
        <v>"%USERPROFILE%\Documents\GitHub\eaglep3\Utilities\RefineRTDCRunTimes.py" --tripid 168-19 --locoid 4049 --swversion DE.1.0.9.0 --startMP 204:232996 --initTime 2017-09-19T12:48:13 --startdatetime 2017-09-19T13:26:39 --delay 65 --endMP 204:66801 --enddatetime 2017-09-19T13:41:16 --enforcementcount 0 &gt;&gt;C:\Users\stu\Documents\GitHub\eaglep3-reporting\EC\2017-09-19-refined-times.txt</v>
      </c>
      <c r="AI81" s="96" t="str">
        <f t="shared" si="48"/>
        <v>echo {"issue":{"subject":"Wi-MAX data drop","project_id":79,"tracker_id":40,"status_id":1,"priority_id":2,"assigned_to_id":338,"start_date":"2017-09-19","description":"","custom_fields":[{"id":1,"name":"Subdivision","value":"EC"},{"id":4,"name":"Milepost","value":"6.6801"},{"id":17,"name":"Train ID","value":"168-19"},{"id":16,"name":"Locomotive ID","value":"4049"},{"id":130,"name":"Impact","value":""},{"id":150,"name":"Time of Event (Mountain Time)","value":"13:41:16"},{"id":151,"name":"Denver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9"/>
        <v>start /low /b %USERPROFILE%\Documents\GitHub\eaglep3\Utilities\DownloadLogsFromS3.py --loco 4049 --day 2017-09-19</v>
      </c>
      <c r="AN81" s="151" t="str">
        <f t="shared" si="50"/>
        <v>echo {"issue":{"subject":"Wi-MAX data drop","project_id":30,"tracker_id":4,"status_id":1,"priority_id":1,"assigned_to_id":10,"start_date":"2017-09-19","description":"","custom_fields":[{"id":30,"name":"Category","value":"Issue"},{"id":3,"name":"Functional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19:41:16"},{"id":29,"name":"Sharepoint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51"/>
        <v>https://d0f6bd738d7f1b3e5a7ca70fe4ff75f0.us-east-1.aws.found.io/app/kibana#/discover/Steve-Slow-Train-Analysis-(2080s-and-2083s)?_g=(refreshInterval:(display:Off,pause:!f,section:0,value:0),time:(from:'2017-09-19T11:48:13-0600',mode:absolute,to:'2017-09-19T14:41:16-0600'))&amp;_a=(columns:!('Message%20ID',Summary),filters:!(),index:'emp_*',interval:auto,query:(query_string:(analyze_wildcard:!t,query:'Message%5C+ID:(*)+AND+%22rtdc.l.rtdc.4049%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635</v>
      </c>
      <c r="B82" s="7">
        <v>4049</v>
      </c>
      <c r="C82" s="21" t="s">
        <v>197</v>
      </c>
      <c r="D82" s="21" t="s">
        <v>883</v>
      </c>
      <c r="E82" s="13">
        <v>42997.558969907404</v>
      </c>
      <c r="F82" s="13">
        <v>42997.560173611113</v>
      </c>
      <c r="G82" s="7">
        <v>45</v>
      </c>
      <c r="H82" s="21" t="s">
        <v>359</v>
      </c>
      <c r="I82" s="13">
        <v>42997.570324074077</v>
      </c>
      <c r="J82" s="7">
        <v>0</v>
      </c>
      <c r="K82" s="89" t="str">
        <f t="shared" si="37"/>
        <v>4049/4050</v>
      </c>
      <c r="L82" s="185" t="str">
        <f>VLOOKUP(A82,'Trips&amp;Operators'!$C$1:$G$99911,5,FALSE)</f>
        <v>LEVERE CRAIG</v>
      </c>
      <c r="M82" s="6">
        <f t="shared" si="38"/>
        <v>1.0150462963792961E-2</v>
      </c>
      <c r="N82" s="7"/>
      <c r="O82" s="7"/>
      <c r="P82" s="7"/>
      <c r="Q82" s="22"/>
      <c r="R82" s="174"/>
      <c r="S82" s="221"/>
      <c r="T82" s="174" t="str">
        <f t="shared" si="39"/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9</v>
      </c>
      <c r="V82" s="216" t="str">
        <f t="shared" si="40"/>
        <v>https://d0f6bd738d7f1b3e5a7ca70fe4ff75f0.us-east-1.aws.found.io/app/kibana#/discover/Steve-Slow-Train-Analysis-(2080s-and-2083s)?_g=(refreshInterval:(display:Off,pause:!f,section:0,value:0),time:(from:'2017-09-19T12:24:55-0600',mode:absolute,to:'2017-09-19T14:41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2" s="204" t="str">
        <f>IF(AA82&lt;VLOOKUP(AG82,Variables!$AC$3:$AD$8,2,FALSE),"Y","N")</f>
        <v>Y</v>
      </c>
      <c r="X82" s="204">
        <f t="shared" si="41"/>
        <v>0</v>
      </c>
      <c r="Y82" s="204">
        <f t="shared" si="35"/>
        <v>6.4146999999999998</v>
      </c>
      <c r="Z82" s="204">
        <f t="shared" si="36"/>
        <v>1.52E-2</v>
      </c>
      <c r="AA82" s="204">
        <f t="shared" si="42"/>
        <v>6.3994999999999997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 t="shared" si="43"/>
        <v>168</v>
      </c>
      <c r="AE82" s="77" t="str">
        <f t="shared" si="44"/>
        <v>aws s3 cp s3://rtdc.mdm.uploadarchive.raw/RTDC4049/ "%USERPROFILE%\AppData\Local\Temp\OnboardLogs"\RTDC4049\2017-09-19 --exclude "*" --recursive --include "*20170919*" &amp; "%USERPROFILE%\Documents\GitHub\mrs-test-scripts\Headless Mode &amp; Sideloading\WalkAndUnGZ.bat" "%USERPROFILE%\AppData\Local\Temp\OnboardLogs"\RTDC4049\2017-09-19 &amp; aws s3 cp s3://rtdc.mdm.uploadarchive.raw/RTDC4049/ "%USERPROFILE%\AppData\Local\Temp\OnboardLogs"\RTDC4049\2017-09-20 --exclude "*" --recursive --include "*20170920*" &amp; "%USERPROFILE%\Documents\GitHub\mrs-test-scripts\Headless Mode &amp; Sideloading\WalkAndUnGZ.bat" "%USERPROFILE%\AppData\Local\Temp\OnboardLogs"\RTDC4049\2017-09-20</v>
      </c>
      <c r="AF82" s="74" t="str">
        <f t="shared" si="45"/>
        <v>"C:\Program Files (x86)\AstroGrep\AstroGrep.exe" /e /r /s /spath="%USERPROFILE%\AppData\Local\Temp\OnboardLogs" /stypes="app*4049*20170919*" /stext=" 19:.+((SYSTEM_STATE.+slice.+state.+changed )|(ment ac)|(multiple cpu faults)|(system.+state.+changed )|(\[timeout)|(PRM\|1\|D)|(kpr)|(kdp)|(train st.+moving)|(\|lc)|(penalty))"</v>
      </c>
      <c r="AG82" s="182" t="str">
        <f t="shared" si="46"/>
        <v>EC</v>
      </c>
      <c r="AH82" s="78" t="str">
        <f t="shared" si="47"/>
        <v>"%USERPROFILE%\Documents\GitHub\eaglep3\Utilities\RefineRTDCRunTimes.py" --tripid 168-19 --locoid 4049 --swversion DE.1.0.9.0 --startMP 204:64147 --initTime 2017-09-19T13:24:55 --startdatetime 2017-09-19T13:26:39 --delay 45 --endMP 204:152 --enddatetime 2017-09-19T13:41:16 --enforcementcount 0 &gt;&gt;C:\Users\stu\Documents\GitHub\eaglep3-reporting\EC\2017-09-19-refined-times.txt</v>
      </c>
      <c r="AI82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{"issue":{"subject":"","project_id":79,"tracker_id":40,"status_id":1,"priority_id":2,"assigned_to_id":338,"start_date":"2017-09-19","description":"","custom_fields":[{"id":1,"name":"Subdivision","value":"EC"},{"id":4,"name":"Milepost","value":"0.0152"},{"id":17,"name":"Train ID","value":"168-19"},{"id":16,"name":"Locomotive ID","value":"4049"},{"id":130,"name":"Impact","value":""},{"id":150,"name":"Time of Event (Mountain Time)","value":"13:41:16"},{"id":151,"name":"Denver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9"/>
        <v>start /low /b %USERPROFILE%\Documents\GitHub\eaglep3\Utilities\DownloadLogsFromS3.py --loco 4049 --day 2017-09-19</v>
      </c>
      <c r="AN82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19:41:16"},{"id":29,"name":"Sharepoint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51"/>
        <v>https://d0f6bd738d7f1b3e5a7ca70fe4ff75f0.us-east-1.aws.found.io/app/kibana#/discover/Steve-Slow-Train-Analysis-(2080s-and-2083s)?_g=(refreshInterval:(display:Off,pause:!f,section:0,value:0),time:(from:'2017-09-19T12:24:55-0600',mode:absolute,to:'2017-09-19T14:41:16-0600'))&amp;_a=(columns:!('Message%20ID',Summary),filters:!(),index:'emp_*',interval:auto,query:(query_string:(analyze_wildcard:!t,query:'Message%5C+ID:(*)+AND+%22rtdc.l.rtdc.4049%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631</v>
      </c>
      <c r="B83" s="7">
        <v>4054</v>
      </c>
      <c r="C83" s="21" t="s">
        <v>197</v>
      </c>
      <c r="D83" s="21" t="s">
        <v>360</v>
      </c>
      <c r="E83" s="13">
        <v>42997.50577546296</v>
      </c>
      <c r="F83" s="13">
        <v>42997.51085648148</v>
      </c>
      <c r="G83" s="7">
        <v>158</v>
      </c>
      <c r="H83" s="21" t="s">
        <v>606</v>
      </c>
      <c r="I83" s="13">
        <v>42997.537152777775</v>
      </c>
      <c r="J83" s="7">
        <v>0</v>
      </c>
      <c r="K83" s="89" t="str">
        <f t="shared" si="37"/>
        <v>4053/4054</v>
      </c>
      <c r="L83" s="185" t="str">
        <f>VLOOKUP(A83,'Trips&amp;Operators'!$C$1:$G$99911,5,FALSE)</f>
        <v>SAFIEF AEIMEN</v>
      </c>
      <c r="M83" s="6">
        <f t="shared" si="38"/>
        <v>2.6296296295186039E-2</v>
      </c>
      <c r="N83" s="7">
        <f t="shared" ref="N83:N108" si="52">24*60*SUM($M83:$M83)</f>
        <v>37.866666665067896</v>
      </c>
      <c r="O83" s="7"/>
      <c r="P83" s="7"/>
      <c r="Q83" s="22"/>
      <c r="R83" s="174"/>
      <c r="S83" s="221">
        <f t="shared" ref="S83:S108" si="53">1/IF(AG83="EC",12,1)*SUM(U83:U83)</f>
        <v>1</v>
      </c>
      <c r="T83" s="174" t="str">
        <f t="shared" si="39"/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40"/>
        <v>https://d0f6bd738d7f1b3e5a7ca70fe4ff75f0.us-east-1.aws.found.io/app/kibana#/discover/Steve-Slow-Train-Analysis-(2080s-and-2083s)?_g=(refreshInterval:(display:Off,pause:!f,section:0,value:0),time:(from:'2017-09-19T11:08:19-0600',mode:absolute,to:'2017-09-19T13:53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3" s="204" t="str">
        <f>IF(AA83&lt;VLOOKUP(AG83,Variables!$AC$3:$AD$8,2,FALSE),"Y","N")</f>
        <v>N</v>
      </c>
      <c r="X83" s="204">
        <f t="shared" si="41"/>
        <v>1</v>
      </c>
      <c r="Y83" s="204">
        <f t="shared" si="35"/>
        <v>4.4900000000000002E-2</v>
      </c>
      <c r="Z83" s="204">
        <f t="shared" si="36"/>
        <v>23.334399999999999</v>
      </c>
      <c r="AA83" s="204">
        <f t="shared" si="42"/>
        <v>23.2895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 t="shared" si="43"/>
        <v>169</v>
      </c>
      <c r="AE83" s="77" t="str">
        <f t="shared" si="44"/>
        <v>aws s3 cp s3://rtdc.mdm.uploadarchive.raw/RTDC4054/ "%USERPROFILE%\AppData\Local\Temp\OnboardLogs"\RTDC4054\2017-09-19 --exclude "*" --recursive --include "*20170919*" &amp; "%USERPROFILE%\Documents\GitHub\mrs-test-scripts\Headless Mode &amp; Sideloading\WalkAndUnGZ.bat" "%USERPROFILE%\AppData\Local\Temp\OnboardLogs"\RTDC4054\2017-09-19 &amp; aws s3 cp s3://rtdc.mdm.uploadarchive.raw/RTDC4054/ "%USERPROFILE%\AppData\Local\Temp\OnboardLogs"\RTDC4054\2017-09-20 --exclude "*" --recursive --include "*20170920*" &amp; "%USERPROFILE%\Documents\GitHub\mrs-test-scripts\Headless Mode &amp; Sideloading\WalkAndUnGZ.bat" "%USERPROFILE%\AppData\Local\Temp\OnboardLogs"\RTDC4054\2017-09-20</v>
      </c>
      <c r="AF83" s="74" t="str">
        <f t="shared" si="45"/>
        <v>"C:\Program Files (x86)\AstroGrep\AstroGrep.exe" /e /r /s /spath="%USERPROFILE%\AppData\Local\Temp\OnboardLogs" /stypes="app*4054*20170919*" /stext=" 18:.+((SYSTEM_STATE.+slice.+state.+changed )|(ment ac)|(multiple cpu faults)|(system.+state.+changed )|(\[timeout)|(PRM\|1\|D)|(kpr)|(kdp)|(train st.+moving)|(\|lc)|(penalty))"</v>
      </c>
      <c r="AG83" s="182" t="str">
        <f t="shared" si="46"/>
        <v>EC</v>
      </c>
      <c r="AH83" s="78" t="str">
        <f t="shared" si="47"/>
        <v>"%USERPROFILE%\Documents\GitHub\eaglep3\Utilities\RefineRTDCRunTimes.py" --tripid 169-19 --locoid 4054 --swversion DE.1.0.9.0 --startMP 204:449 --initTime 2017-09-19T12:08:19 --startdatetime 2017-09-19T12:15:38 --delay 158 --endMP 204:233344 --enddatetime 2017-09-19T12:53:30 --enforcementcount 0 &gt;&gt;C:\Users\stu\Documents\GitHub\eaglep3-reporting\EC\2017-09-19-refined-times.txt</v>
      </c>
      <c r="AI83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{"issue":{"subject":"","project_id":79,"tracker_id":40,"status_id":1,"priority_id":2,"assigned_to_id":338,"start_date":"2017-09-19","description":"","custom_fields":[{"id":1,"name":"Subdivision","value":"EC"},{"id":4,"name":"Milepost","value":"23.3344"},{"id":17,"name":"Train ID","value":"169-19"},{"id":16,"name":"Locomotive ID","value":"4054"},{"id":130,"name":"Impact","value":""},{"id":150,"name":"Time of Event (Mountain Time)","value":"12:53:30"},{"id":151,"name":"Denver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9"/>
        <v>start /low /b %USERPROFILE%\Documents\GitHub\eaglep3\Utilities\DownloadLogsFromS3.py --loco 4054 --day 2017-09-19</v>
      </c>
      <c r="AN83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18:53:30"},{"id":29,"name":"Sharepoint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51"/>
        <v>https://d0f6bd738d7f1b3e5a7ca70fe4ff75f0.us-east-1.aws.found.io/app/kibana#/discover/Steve-Slow-Train-Analysis-(2080s-and-2083s)?_g=(refreshInterval:(display:Off,pause:!f,section:0,value:0),time:(from:'2017-09-19T11:08:19-0600',mode:absolute,to:'2017-09-19T13:53:30-0600'))&amp;_a=(columns:!('Message%20ID',Summary),filters:!(),index:'emp_*',interval:auto,query:(query_string:(analyze_wildcard:!t,query:'Message%5C+ID:(*)+AND+%22rtdc.l.rtdc.4054%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750</v>
      </c>
      <c r="B84" s="7">
        <v>4053</v>
      </c>
      <c r="C84" s="21" t="s">
        <v>197</v>
      </c>
      <c r="D84" s="21" t="s">
        <v>511</v>
      </c>
      <c r="E84" s="13">
        <v>42997.541446759256</v>
      </c>
      <c r="F84" s="13">
        <v>42997.550312500003</v>
      </c>
      <c r="G84" s="7">
        <v>82</v>
      </c>
      <c r="H84" s="21" t="s">
        <v>523</v>
      </c>
      <c r="I84" s="13">
        <v>42997.576249999998</v>
      </c>
      <c r="J84" s="7">
        <v>0</v>
      </c>
      <c r="K84" s="89" t="str">
        <f t="shared" si="37"/>
        <v>4053/4054</v>
      </c>
      <c r="L84" s="185" t="str">
        <f>VLOOKUP(A84,'Trips&amp;Operators'!$C$1:$G$99911,5,FALSE)</f>
        <v>SAFIEF AEIMEN</v>
      </c>
      <c r="M84" s="6">
        <f t="shared" si="38"/>
        <v>2.5937499995052349E-2</v>
      </c>
      <c r="N84" s="7">
        <f t="shared" si="52"/>
        <v>37.349999992875382</v>
      </c>
      <c r="O84" s="7"/>
      <c r="P84" s="7"/>
      <c r="Q84" s="22"/>
      <c r="R84" s="174"/>
      <c r="S84" s="221">
        <f t="shared" si="53"/>
        <v>1</v>
      </c>
      <c r="T84" s="174" t="str">
        <f t="shared" si="39"/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40"/>
        <v>https://d0f6bd738d7f1b3e5a7ca70fe4ff75f0.us-east-1.aws.found.io/app/kibana#/discover/Steve-Slow-Train-Analysis-(2080s-and-2083s)?_g=(refreshInterval:(display:Off,pause:!f,section:0,value:0),time:(from:'2017-09-19T11:59:41-0600',mode:absolute,to:'2017-09-19T14:49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4" s="204" t="str">
        <f>IF(AA84&lt;VLOOKUP(AG84,Variables!$AC$3:$AD$8,2,FALSE),"Y","N")</f>
        <v>N</v>
      </c>
      <c r="X84" s="204">
        <f t="shared" si="41"/>
        <v>1</v>
      </c>
      <c r="Y84" s="204">
        <f t="shared" si="35"/>
        <v>23.3017</v>
      </c>
      <c r="Z84" s="204">
        <f t="shared" si="36"/>
        <v>1.2999999999999999E-2</v>
      </c>
      <c r="AA84" s="204">
        <f t="shared" si="42"/>
        <v>23.288699999999999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 t="shared" si="43"/>
        <v>170</v>
      </c>
      <c r="AE84" s="77" t="str">
        <f t="shared" si="44"/>
        <v>aws s3 cp s3://rtdc.mdm.uploadarchive.raw/RTDC4053/ "%USERPROFILE%\AppData\Local\Temp\OnboardLogs"\RTDC4053\2017-09-19 --exclude "*" --recursive --include "*20170919*" &amp; "%USERPROFILE%\Documents\GitHub\mrs-test-scripts\Headless Mode &amp; Sideloading\WalkAndUnGZ.bat" "%USERPROFILE%\AppData\Local\Temp\OnboardLogs"\RTDC4053\2017-09-19 &amp; aws s3 cp s3://rtdc.mdm.uploadarchive.raw/RTDC4053/ "%USERPROFILE%\AppData\Local\Temp\OnboardLogs"\RTDC4053\2017-09-20 --exclude "*" --recursive --include "*20170920*" &amp; "%USERPROFILE%\Documents\GitHub\mrs-test-scripts\Headless Mode &amp; Sideloading\WalkAndUnGZ.bat" "%USERPROFILE%\AppData\Local\Temp\OnboardLogs"\RTDC4053\2017-09-20</v>
      </c>
      <c r="AF84" s="74" t="str">
        <f t="shared" si="45"/>
        <v>"C:\Program Files (x86)\AstroGrep\AstroGrep.exe" /e /r /s /spath="%USERPROFILE%\AppData\Local\Temp\OnboardLogs" /stypes="app*4053*20170919*" /stext=" 19:.+((SYSTEM_STATE.+slice.+state.+changed )|(ment ac)|(multiple cpu faults)|(system.+state.+changed )|(\[timeout)|(PRM\|1\|D)|(kpr)|(kdp)|(train st.+moving)|(\|lc)|(penalty))"</v>
      </c>
      <c r="AG84" s="182" t="str">
        <f t="shared" si="46"/>
        <v>EC</v>
      </c>
      <c r="AH84" s="78" t="str">
        <f t="shared" si="47"/>
        <v>"%USERPROFILE%\Documents\GitHub\eaglep3\Utilities\RefineRTDCRunTimes.py" --tripid 170-19 --locoid 4053 --swversion DE.1.0.9.0 --startMP 204:233017 --initTime 2017-09-19T12:59:41 --startdatetime 2017-09-19T13:12:27 --delay 82 --endMP 204:130 --enddatetime 2017-09-19T13:49:48 --enforcementcount 0 &gt;&gt;C:\Users\stu\Documents\GitHub\eaglep3-reporting\EC\2017-09-19-refined-times.txt</v>
      </c>
      <c r="AI84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{"issue":{"subject":"","project_id":79,"tracker_id":40,"status_id":1,"priority_id":2,"assigned_to_id":338,"start_date":"2017-09-19","description":"","custom_fields":[{"id":1,"name":"Subdivision","value":"EC"},{"id":4,"name":"Milepost","value":"0.013"},{"id":17,"name":"Train ID","value":"170-19"},{"id":16,"name":"Locomotive ID","value":"4053"},{"id":130,"name":"Impact","value":""},{"id":150,"name":"Time of Event (Mountain Time)","value":"13:49:48"},{"id":151,"name":"Denver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9"/>
        <v>start /low /b %USERPROFILE%\Documents\GitHub\eaglep3\Utilities\DownloadLogsFromS3.py --loco 4053 --day 2017-09-19</v>
      </c>
      <c r="AN84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19:49:48"},{"id":29,"name":"Sharepoint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51"/>
        <v>https://d0f6bd738d7f1b3e5a7ca70fe4ff75f0.us-east-1.aws.found.io/app/kibana#/discover/Steve-Slow-Train-Analysis-(2080s-and-2083s)?_g=(refreshInterval:(display:Off,pause:!f,section:0,value:0),time:(from:'2017-09-19T11:59:41-0600',mode:absolute,to:'2017-09-19T14:49:48-0600'))&amp;_a=(columns:!('Message%20ID',Summary),filters:!(),index:'emp_*',interval:auto,query:(query_string:(analyze_wildcard:!t,query:'Message%5C+ID:(*)+AND+%22rtdc.l.rtdc.4053%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633</v>
      </c>
      <c r="B85" s="7">
        <v>4028</v>
      </c>
      <c r="C85" s="21" t="s">
        <v>197</v>
      </c>
      <c r="D85" s="21" t="s">
        <v>358</v>
      </c>
      <c r="E85" s="13">
        <v>42997.519467592596</v>
      </c>
      <c r="F85" s="13">
        <v>42997.521365740744</v>
      </c>
      <c r="G85" s="7">
        <v>64</v>
      </c>
      <c r="H85" s="21" t="s">
        <v>514</v>
      </c>
      <c r="I85" s="13">
        <v>42997.547800925924</v>
      </c>
      <c r="J85" s="7">
        <v>0</v>
      </c>
      <c r="K85" s="89" t="str">
        <f t="shared" si="37"/>
        <v>4027/4028</v>
      </c>
      <c r="L85" s="185" t="str">
        <f>VLOOKUP(A85,'Trips&amp;Operators'!$C$1:$G$99911,5,FALSE)</f>
        <v>DAVIS MICHAEL</v>
      </c>
      <c r="M85" s="6">
        <f t="shared" si="38"/>
        <v>2.643518518016208E-2</v>
      </c>
      <c r="N85" s="7">
        <f t="shared" si="52"/>
        <v>38.066666659433395</v>
      </c>
      <c r="O85" s="7"/>
      <c r="P85" s="7"/>
      <c r="Q85" s="22"/>
      <c r="R85" s="174"/>
      <c r="S85" s="221">
        <f t="shared" si="53"/>
        <v>1</v>
      </c>
      <c r="T85" s="174" t="str">
        <f t="shared" si="39"/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40"/>
        <v>https://d0f6bd738d7f1b3e5a7ca70fe4ff75f0.us-east-1.aws.found.io/app/kibana#/discover/Steve-Slow-Train-Analysis-(2080s-and-2083s)?_g=(refreshInterval:(display:Off,pause:!f,section:0,value:0),time:(from:'2017-09-19T11:28:02-0600',mode:absolute,to:'2017-09-19T14:08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5" s="204" t="str">
        <f>IF(AA85&lt;VLOOKUP(AG85,Variables!$AC$3:$AD$8,2,FALSE),"Y","N")</f>
        <v>N</v>
      </c>
      <c r="X85" s="204">
        <f t="shared" si="41"/>
        <v>1</v>
      </c>
      <c r="Y85" s="204">
        <f t="shared" si="35"/>
        <v>4.58E-2</v>
      </c>
      <c r="Z85" s="204">
        <f t="shared" si="36"/>
        <v>23.331800000000001</v>
      </c>
      <c r="AA85" s="204">
        <f t="shared" si="42"/>
        <v>23.286000000000001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 t="shared" si="43"/>
        <v>171</v>
      </c>
      <c r="AE85" s="77" t="str">
        <f t="shared" si="44"/>
        <v>aws s3 cp s3://rtdc.mdm.uploadarchive.raw/RTDC4028/ "%USERPROFILE%\AppData\Local\Temp\OnboardLogs"\RTDC4028\2017-09-19 --exclude "*" --recursive --include "*20170919*" &amp; "%USERPROFILE%\Documents\GitHub\mrs-test-scripts\Headless Mode &amp; Sideloading\WalkAndUnGZ.bat" "%USERPROFILE%\AppData\Local\Temp\OnboardLogs"\RTDC4028\2017-09-19 &amp; aws s3 cp s3://rtdc.mdm.uploadarchive.raw/RTDC4028/ "%USERPROFILE%\AppData\Local\Temp\OnboardLogs"\RTDC4028\2017-09-20 --exclude "*" --recursive --include "*20170920*" &amp; "%USERPROFILE%\Documents\GitHub\mrs-test-scripts\Headless Mode &amp; Sideloading\WalkAndUnGZ.bat" "%USERPROFILE%\AppData\Local\Temp\OnboardLogs"\RTDC4028\2017-09-20</v>
      </c>
      <c r="AF85" s="74" t="str">
        <f t="shared" si="45"/>
        <v>"C:\Program Files (x86)\AstroGrep\AstroGrep.exe" /e /r /s /spath="%USERPROFILE%\AppData\Local\Temp\OnboardLogs" /stypes="app*4028*20170919*" /stext=" 19:.+((SYSTEM_STATE.+slice.+state.+changed )|(ment ac)|(multiple cpu faults)|(system.+state.+changed )|(\[timeout)|(PRM\|1\|D)|(kpr)|(kdp)|(train st.+moving)|(\|lc)|(penalty))"</v>
      </c>
      <c r="AG85" s="182" t="str">
        <f t="shared" si="46"/>
        <v>EC</v>
      </c>
      <c r="AH85" s="78" t="str">
        <f t="shared" si="47"/>
        <v>"%USERPROFILE%\Documents\GitHub\eaglep3\Utilities\RefineRTDCRunTimes.py" --tripid 171-19 --locoid 4028 --swversion DE.1.0.9.0 --startMP 204:458 --initTime 2017-09-19T12:28:02 --startdatetime 2017-09-19T12:30:46 --delay 64 --endMP 204:233318 --enddatetime 2017-09-19T13:08:50 --enforcementcount 0 &gt;&gt;C:\Users\stu\Documents\GitHub\eaglep3-reporting\EC\2017-09-19-refined-times.txt</v>
      </c>
      <c r="AI85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{"issue":{"subject":"","project_id":79,"tracker_id":40,"status_id":1,"priority_id":2,"assigned_to_id":338,"start_date":"2017-09-19","description":"","custom_fields":[{"id":1,"name":"Subdivision","value":"EC"},{"id":4,"name":"Milepost","value":"23.3318"},{"id":17,"name":"Train ID","value":"171-19"},{"id":16,"name":"Locomotive ID","value":"4028"},{"id":130,"name":"Impact","value":""},{"id":150,"name":"Time of Event (Mountain Time)","value":"13:08:50"},{"id":151,"name":"Denver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9"/>
        <v>start /low /b %USERPROFILE%\Documents\GitHub\eaglep3\Utilities\DownloadLogsFromS3.py --loco 4028 --day 2017-09-19</v>
      </c>
      <c r="AN85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19:08:50"},{"id":29,"name":"Sharepoint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51"/>
        <v>https://d0f6bd738d7f1b3e5a7ca70fe4ff75f0.us-east-1.aws.found.io/app/kibana#/discover/Steve-Slow-Train-Analysis-(2080s-and-2083s)?_g=(refreshInterval:(display:Off,pause:!f,section:0,value:0),time:(from:'2017-09-19T11:28:02-0600',mode:absolute,to:'2017-09-19T14:08:50-0600'))&amp;_a=(columns:!('Message%20ID',Summary),filters:!(),index:'emp_*',interval:auto,query:(query_string:(analyze_wildcard:!t,query:'Message%5C+ID:(*)+AND+%22rtdc.l.rtdc.4028%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757</v>
      </c>
      <c r="B86" s="7">
        <v>4027</v>
      </c>
      <c r="C86" s="21" t="s">
        <v>197</v>
      </c>
      <c r="D86" s="21" t="s">
        <v>563</v>
      </c>
      <c r="E86" s="13">
        <v>42997.558182870373</v>
      </c>
      <c r="F86" s="13">
        <v>42997.560810185183</v>
      </c>
      <c r="G86" s="7">
        <v>81</v>
      </c>
      <c r="H86" s="21" t="s">
        <v>413</v>
      </c>
      <c r="I86" s="13">
        <v>42997.589108796295</v>
      </c>
      <c r="J86" s="7">
        <v>0</v>
      </c>
      <c r="K86" s="89" t="str">
        <f t="shared" si="37"/>
        <v>4027/4028</v>
      </c>
      <c r="L86" s="185" t="str">
        <f>VLOOKUP(A86,'Trips&amp;Operators'!$C$1:$G$99911,5,FALSE)</f>
        <v>DAVIS MICHAEL</v>
      </c>
      <c r="M86" s="6">
        <f t="shared" si="38"/>
        <v>2.8298611112404615E-2</v>
      </c>
      <c r="N86" s="7">
        <f t="shared" si="52"/>
        <v>40.750000001862645</v>
      </c>
      <c r="O86" s="7"/>
      <c r="P86" s="7"/>
      <c r="Q86" s="22"/>
      <c r="R86" s="174"/>
      <c r="S86" s="221">
        <f t="shared" si="53"/>
        <v>1</v>
      </c>
      <c r="T86" s="174" t="str">
        <f t="shared" si="39"/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40"/>
        <v>https://d0f6bd738d7f1b3e5a7ca70fe4ff75f0.us-east-1.aws.found.io/app/kibana#/discover/Steve-Slow-Train-Analysis-(2080s-and-2083s)?_g=(refreshInterval:(display:Off,pause:!f,section:0,value:0),time:(from:'2017-09-19T12:23:47-0600',mode:absolute,to:'2017-09-19T15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6" s="204" t="str">
        <f>IF(AA86&lt;VLOOKUP(AG86,Variables!$AC$3:$AD$8,2,FALSE),"Y","N")</f>
        <v>N</v>
      </c>
      <c r="X86" s="204">
        <f t="shared" si="41"/>
        <v>1</v>
      </c>
      <c r="Y86" s="204">
        <f t="shared" si="35"/>
        <v>23.3005</v>
      </c>
      <c r="Z86" s="204">
        <f t="shared" si="36"/>
        <v>1.3599999999999999E-2</v>
      </c>
      <c r="AA86" s="204">
        <f t="shared" si="42"/>
        <v>23.286899999999999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 t="shared" si="43"/>
        <v>172</v>
      </c>
      <c r="AE86" s="77" t="str">
        <f t="shared" si="44"/>
        <v>aws s3 cp s3://rtdc.mdm.uploadarchive.raw/RTDC4027/ "%USERPROFILE%\AppData\Local\Temp\OnboardLogs"\RTDC4027\2017-09-19 --exclude "*" --recursive --include "*20170919*" &amp; "%USERPROFILE%\Documents\GitHub\mrs-test-scripts\Headless Mode &amp; Sideloading\WalkAndUnGZ.bat" "%USERPROFILE%\AppData\Local\Temp\OnboardLogs"\RTDC4027\2017-09-19 &amp; aws s3 cp s3://rtdc.mdm.uploadarchive.raw/RTDC4027/ "%USERPROFILE%\AppData\Local\Temp\OnboardLogs"\RTDC4027\2017-09-20 --exclude "*" --recursive --include "*20170920*" &amp; "%USERPROFILE%\Documents\GitHub\mrs-test-scripts\Headless Mode &amp; Sideloading\WalkAndUnGZ.bat" "%USERPROFILE%\AppData\Local\Temp\OnboardLogs"\RTDC4027\2017-09-20</v>
      </c>
      <c r="AF86" s="74" t="str">
        <f t="shared" si="45"/>
        <v>"C:\Program Files (x86)\AstroGrep\AstroGrep.exe" /e /r /s /spath="%USERPROFILE%\AppData\Local\Temp\OnboardLogs" /stypes="app*4027*20170919*" /stext=" 20:.+((SYSTEM_STATE.+slice.+state.+changed )|(ment ac)|(multiple cpu faults)|(system.+state.+changed )|(\[timeout)|(PRM\|1\|D)|(kpr)|(kdp)|(train st.+moving)|(\|lc)|(penalty))"</v>
      </c>
      <c r="AG86" s="182" t="str">
        <f t="shared" si="46"/>
        <v>EC</v>
      </c>
      <c r="AH86" s="78" t="str">
        <f t="shared" si="47"/>
        <v>"%USERPROFILE%\Documents\GitHub\eaglep3\Utilities\RefineRTDCRunTimes.py" --tripid 172-19 --locoid 4027 --swversion DE.1.0.9.0 --startMP 204:233005 --initTime 2017-09-19T13:23:47 --startdatetime 2017-09-19T13:27:34 --delay 81 --endMP 204:136 --enddatetime 2017-09-19T14:08:19 --enforcementcount 0 &gt;&gt;C:\Users\stu\Documents\GitHub\eaglep3-reporting\EC\2017-09-19-refined-times.txt</v>
      </c>
      <c r="AI86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{"issue":{"subject":"","project_id":79,"tracker_id":40,"status_id":1,"priority_id":2,"assigned_to_id":338,"start_date":"2017-09-19","description":"","custom_fields":[{"id":1,"name":"Subdivision","value":"EC"},{"id":4,"name":"Milepost","value":"0.0136"},{"id":17,"name":"Train ID","value":"172-19"},{"id":16,"name":"Locomotive ID","value":"4027"},{"id":130,"name":"Impact","value":""},{"id":150,"name":"Time of Event (Mountain Time)","value":"14:08:19"},{"id":151,"name":"Denver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9"/>
        <v>start /low /b %USERPROFILE%\Documents\GitHub\eaglep3\Utilities\DownloadLogsFromS3.py --loco 4027 --day 2017-09-19</v>
      </c>
      <c r="AN86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20:08:19"},{"id":29,"name":"Sharepoint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51"/>
        <v>https://d0f6bd738d7f1b3e5a7ca70fe4ff75f0.us-east-1.aws.found.io/app/kibana#/discover/Steve-Slow-Train-Analysis-(2080s-and-2083s)?_g=(refreshInterval:(display:Off,pause:!f,section:0,value:0),time:(from:'2017-09-19T12:23:47-0600',mode:absolute,to:'2017-09-19T15:08:19-0600'))&amp;_a=(columns:!('Message%20ID',Summary),filters:!(),index:'emp_*',interval:auto,query:(query_string:(analyze_wildcard:!t,query:'Message%5C+ID:(*)+AND+%22rtdc.l.rtdc.4027%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749</v>
      </c>
      <c r="B87" s="7">
        <v>4014</v>
      </c>
      <c r="C87" s="21" t="s">
        <v>197</v>
      </c>
      <c r="D87" s="21" t="s">
        <v>438</v>
      </c>
      <c r="E87" s="13">
        <v>42997.526099537034</v>
      </c>
      <c r="F87" s="13">
        <v>42997.531504629631</v>
      </c>
      <c r="G87" s="7">
        <v>71</v>
      </c>
      <c r="H87" s="21" t="s">
        <v>421</v>
      </c>
      <c r="I87" s="13">
        <v>42997.556354166663</v>
      </c>
      <c r="J87" s="7">
        <v>0</v>
      </c>
      <c r="K87" s="89" t="str">
        <f t="shared" si="37"/>
        <v>4013/4014</v>
      </c>
      <c r="L87" s="185" t="str">
        <f>VLOOKUP(A87,'Trips&amp;Operators'!$C$1:$G$99911,5,FALSE)</f>
        <v>SMITH MICHAEL</v>
      </c>
      <c r="M87" s="6">
        <f t="shared" si="38"/>
        <v>2.4849537032423541E-2</v>
      </c>
      <c r="N87" s="7">
        <f t="shared" si="52"/>
        <v>35.783333326689899</v>
      </c>
      <c r="O87" s="7"/>
      <c r="P87" s="7"/>
      <c r="Q87" s="22"/>
      <c r="R87" s="174"/>
      <c r="S87" s="221">
        <f t="shared" si="53"/>
        <v>1</v>
      </c>
      <c r="T87" s="174" t="str">
        <f t="shared" si="39"/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40"/>
        <v>https://d0f6bd738d7f1b3e5a7ca70fe4ff75f0.us-east-1.aws.found.io/app/kibana#/discover/Steve-Slow-Train-Analysis-(2080s-and-2083s)?_g=(refreshInterval:(display:Off,pause:!f,section:0,value:0),time:(from:'2017-09-19T11:37:35-0600',mode:absolute,to:'2017-09-19T14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7" s="204" t="str">
        <f>IF(AA87&lt;VLOOKUP(AG87,Variables!$AC$3:$AD$8,2,FALSE),"Y","N")</f>
        <v>N</v>
      </c>
      <c r="X87" s="204">
        <f t="shared" si="41"/>
        <v>1</v>
      </c>
      <c r="Y87" s="204">
        <f t="shared" si="35"/>
        <v>4.3799999999999999E-2</v>
      </c>
      <c r="Z87" s="204">
        <f t="shared" si="36"/>
        <v>23.3291</v>
      </c>
      <c r="AA87" s="204">
        <f t="shared" si="42"/>
        <v>23.285299999999999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 t="shared" si="43"/>
        <v>173</v>
      </c>
      <c r="AE87" s="77" t="str">
        <f t="shared" si="44"/>
        <v>aws s3 cp s3://rtdc.mdm.uploadarchive.raw/RTDC4014/ "%USERPROFILE%\AppData\Local\Temp\OnboardLogs"\RTDC4014\2017-09-19 --exclude "*" --recursive --include "*20170919*" &amp; "%USERPROFILE%\Documents\GitHub\mrs-test-scripts\Headless Mode &amp; Sideloading\WalkAndUnGZ.bat" "%USERPROFILE%\AppData\Local\Temp\OnboardLogs"\RTDC4014\2017-09-19 &amp; aws s3 cp s3://rtdc.mdm.uploadarchive.raw/RTDC4014/ "%USERPROFILE%\AppData\Local\Temp\OnboardLogs"\RTDC4014\2017-09-20 --exclude "*" --recursive --include "*20170920*" &amp; "%USERPROFILE%\Documents\GitHub\mrs-test-scripts\Headless Mode &amp; Sideloading\WalkAndUnGZ.bat" "%USERPROFILE%\AppData\Local\Temp\OnboardLogs"\RTDC4014\2017-09-20</v>
      </c>
      <c r="AF87" s="74" t="str">
        <f t="shared" si="45"/>
        <v>"C:\Program Files (x86)\AstroGrep\AstroGrep.exe" /e /r /s /spath="%USERPROFILE%\AppData\Local\Temp\OnboardLogs" /stypes="app*4014*20170919*" /stext=" 19:.+((SYSTEM_STATE.+slice.+state.+changed )|(ment ac)|(multiple cpu faults)|(system.+state.+changed )|(\[timeout)|(PRM\|1\|D)|(kpr)|(kdp)|(train st.+moving)|(\|lc)|(penalty))"</v>
      </c>
      <c r="AG87" s="182" t="str">
        <f t="shared" si="46"/>
        <v>EC</v>
      </c>
      <c r="AH87" s="78" t="str">
        <f t="shared" si="47"/>
        <v>"%USERPROFILE%\Documents\GitHub\eaglep3\Utilities\RefineRTDCRunTimes.py" --tripid 173-19 --locoid 4014 --swversion DE.1.0.9.0 --startMP 204:438 --initTime 2017-09-19T12:37:35 --startdatetime 2017-09-19T12:45:22 --delay 71 --endMP 204:233291 --enddatetime 2017-09-19T13:21:09 --enforcementcount 0 &gt;&gt;C:\Users\stu\Documents\GitHub\eaglep3-reporting\EC\2017-09-19-refined-times.txt</v>
      </c>
      <c r="AI87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{"issue":{"subject":"","project_id":79,"tracker_id":40,"status_id":1,"priority_id":2,"assigned_to_id":338,"start_date":"2017-09-19","description":"","custom_fields":[{"id":1,"name":"Subdivision","value":"EC"},{"id":4,"name":"Milepost","value":"23.3291"},{"id":17,"name":"Train ID","value":"173-19"},{"id":16,"name":"Locomotive ID","value":"4014"},{"id":130,"name":"Impact","value":""},{"id":150,"name":"Time of Event (Mountain Time)","value":"13:21:09"},{"id":151,"name":"Denver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9"/>
        <v>start /low /b %USERPROFILE%\Documents\GitHub\eaglep3\Utilities\DownloadLogsFromS3.py --loco 4014 --day 2017-09-19</v>
      </c>
      <c r="AN87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19:21:09"},{"id":29,"name":"Sharepoint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51"/>
        <v>https://d0f6bd738d7f1b3e5a7ca70fe4ff75f0.us-east-1.aws.found.io/app/kibana#/discover/Steve-Slow-Train-Analysis-(2080s-and-2083s)?_g=(refreshInterval:(display:Off,pause:!f,section:0,value:0),time:(from:'2017-09-19T11:37:35-0600',mode:absolute,to:'2017-09-19T14:21:09-0600'))&amp;_a=(columns:!('Message%20ID',Summary),filters:!(),index:'emp_*',interval:auto,query:(query_string:(analyze_wildcard:!t,query:'Message%5C+ID:(*)+AND+%22rtdc.l.rtdc.4014%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759</v>
      </c>
      <c r="B88" s="7">
        <v>4013</v>
      </c>
      <c r="C88" s="21" t="s">
        <v>197</v>
      </c>
      <c r="D88" s="21" t="s">
        <v>865</v>
      </c>
      <c r="E88" s="13">
        <v>42997.562141203707</v>
      </c>
      <c r="F88" s="13">
        <v>42997.571539351855</v>
      </c>
      <c r="G88" s="7">
        <v>439</v>
      </c>
      <c r="H88" s="21" t="s">
        <v>365</v>
      </c>
      <c r="I88" s="13">
        <v>42997.596782407411</v>
      </c>
      <c r="J88" s="7">
        <v>0</v>
      </c>
      <c r="K88" s="89" t="str">
        <f t="shared" si="37"/>
        <v>4013/4014</v>
      </c>
      <c r="L88" s="185" t="str">
        <f>VLOOKUP(A88,'Trips&amp;Operators'!$C$1:$G$99911,5,FALSE)</f>
        <v>SMITH MICHAEL</v>
      </c>
      <c r="M88" s="6">
        <f t="shared" si="38"/>
        <v>2.5243055555620231E-2</v>
      </c>
      <c r="N88" s="7">
        <f t="shared" si="52"/>
        <v>36.350000000093132</v>
      </c>
      <c r="O88" s="7"/>
      <c r="P88" s="7"/>
      <c r="Q88" s="22"/>
      <c r="R88" s="174"/>
      <c r="S88" s="221">
        <f t="shared" si="53"/>
        <v>1</v>
      </c>
      <c r="T88" s="174" t="str">
        <f t="shared" si="39"/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40"/>
        <v>https://d0f6bd738d7f1b3e5a7ca70fe4ff75f0.us-east-1.aws.found.io/app/kibana#/discover/Steve-Slow-Train-Analysis-(2080s-and-2083s)?_g=(refreshInterval:(display:Off,pause:!f,section:0,value:0),time:(from:'2017-09-19T12:29:29-0600',mode:absolute,to:'2017-09-19T15:19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8" s="204" t="str">
        <f>IF(AA88&lt;VLOOKUP(AG88,Variables!$AC$3:$AD$8,2,FALSE),"Y","N")</f>
        <v>N</v>
      </c>
      <c r="X88" s="204">
        <f t="shared" si="41"/>
        <v>1</v>
      </c>
      <c r="Y88" s="204">
        <f t="shared" si="35"/>
        <v>23.2989</v>
      </c>
      <c r="Z88" s="204">
        <f t="shared" si="36"/>
        <v>1.38E-2</v>
      </c>
      <c r="AA88" s="204">
        <f t="shared" si="42"/>
        <v>23.2851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 t="shared" si="43"/>
        <v>174</v>
      </c>
      <c r="AE88" s="77" t="str">
        <f t="shared" si="44"/>
        <v>aws s3 cp s3://rtdc.mdm.uploadarchive.raw/RTDC4013/ "%USERPROFILE%\AppData\Local\Temp\OnboardLogs"\RTDC4013\2017-09-19 --exclude "*" --recursive --include "*20170919*" &amp; "%USERPROFILE%\Documents\GitHub\mrs-test-scripts\Headless Mode &amp; Sideloading\WalkAndUnGZ.bat" "%USERPROFILE%\AppData\Local\Temp\OnboardLogs"\RTDC4013\2017-09-19 &amp; aws s3 cp s3://rtdc.mdm.uploadarchive.raw/RTDC4013/ "%USERPROFILE%\AppData\Local\Temp\OnboardLogs"\RTDC4013\2017-09-20 --exclude "*" --recursive --include "*20170920*" &amp; "%USERPROFILE%\Documents\GitHub\mrs-test-scripts\Headless Mode &amp; Sideloading\WalkAndUnGZ.bat" "%USERPROFILE%\AppData\Local\Temp\OnboardLogs"\RTDC4013\2017-09-20</v>
      </c>
      <c r="AF88" s="74" t="str">
        <f t="shared" si="45"/>
        <v>"C:\Program Files (x86)\AstroGrep\AstroGrep.exe" /e /r /s /spath="%USERPROFILE%\AppData\Local\Temp\OnboardLogs" /stypes="app*4013*20170919*" /stext=" 20:.+((SYSTEM_STATE.+slice.+state.+changed )|(ment ac)|(multiple cpu faults)|(system.+state.+changed )|(\[timeout)|(PRM\|1\|D)|(kpr)|(kdp)|(train st.+moving)|(\|lc)|(penalty))"</v>
      </c>
      <c r="AG88" s="182" t="str">
        <f t="shared" si="46"/>
        <v>EC</v>
      </c>
      <c r="AH88" s="78" t="str">
        <f t="shared" si="47"/>
        <v>"%USERPROFILE%\Documents\GitHub\eaglep3\Utilities\RefineRTDCRunTimes.py" --tripid 174-19 --locoid 4013 --swversion DE.1.0.9.0 --startMP 204:232989 --initTime 2017-09-19T13:29:29 --startdatetime 2017-09-19T13:43:01 --delay 439 --endMP 204:138 --enddatetime 2017-09-19T14:19:22 --enforcementcount 0 &gt;&gt;C:\Users\stu\Documents\GitHub\eaglep3-reporting\EC\2017-09-19-refined-times.txt</v>
      </c>
      <c r="AI88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{"issue":{"subject":"","project_id":79,"tracker_id":40,"status_id":1,"priority_id":2,"assigned_to_id":338,"start_date":"2017-09-19","description":"","custom_fields":[{"id":1,"name":"Subdivision","value":"EC"},{"id":4,"name":"Milepost","value":"0.0138"},{"id":17,"name":"Train ID","value":"174-19"},{"id":16,"name":"Locomotive ID","value":"4013"},{"id":130,"name":"Impact","value":""},{"id":150,"name":"Time of Event (Mountain Time)","value":"14:19:22"},{"id":151,"name":"Denver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9"/>
        <v>start /low /b %USERPROFILE%\Documents\GitHub\eaglep3\Utilities\DownloadLogsFromS3.py --loco 4013 --day 2017-09-19</v>
      </c>
      <c r="AN88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20:19:22"},{"id":29,"name":"Sharepoint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51"/>
        <v>https://d0f6bd738d7f1b3e5a7ca70fe4ff75f0.us-east-1.aws.found.io/app/kibana#/discover/Steve-Slow-Train-Analysis-(2080s-and-2083s)?_g=(refreshInterval:(display:Off,pause:!f,section:0,value:0),time:(from:'2017-09-19T12:29:29-0600',mode:absolute,to:'2017-09-19T15:19:22-0600'))&amp;_a=(columns:!('Message%20ID',Summary),filters:!(),index:'emp_*',interval:auto,query:(query_string:(analyze_wildcard:!t,query:'Message%5C+ID:(*)+AND+%22rtdc.l.rtdc.4013%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754</v>
      </c>
      <c r="B89" s="7">
        <v>4056</v>
      </c>
      <c r="C89" s="21" t="s">
        <v>197</v>
      </c>
      <c r="D89" s="21" t="s">
        <v>433</v>
      </c>
      <c r="E89" s="13">
        <v>42997.542812500003</v>
      </c>
      <c r="F89" s="13">
        <v>42997.54420138889</v>
      </c>
      <c r="G89" s="7">
        <v>51</v>
      </c>
      <c r="H89" s="21" t="s">
        <v>420</v>
      </c>
      <c r="I89" s="13">
        <v>42997.567662037036</v>
      </c>
      <c r="J89" s="7">
        <v>0</v>
      </c>
      <c r="K89" s="89" t="str">
        <f t="shared" si="37"/>
        <v>4055/4056</v>
      </c>
      <c r="L89" s="185" t="str">
        <f>VLOOKUP(A89,'Trips&amp;Operators'!$C$1:$G$99911,5,FALSE)</f>
        <v>BRUDER RICHARD</v>
      </c>
      <c r="M89" s="6">
        <f t="shared" si="38"/>
        <v>2.3460648146283347E-2</v>
      </c>
      <c r="N89" s="7">
        <f t="shared" si="52"/>
        <v>33.78333333064802</v>
      </c>
      <c r="O89" s="7"/>
      <c r="P89" s="7"/>
      <c r="Q89" s="22"/>
      <c r="R89" s="174"/>
      <c r="S89" s="221">
        <f t="shared" si="53"/>
        <v>1</v>
      </c>
      <c r="T89" s="174" t="str">
        <f t="shared" si="39"/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40"/>
        <v>https://d0f6bd738d7f1b3e5a7ca70fe4ff75f0.us-east-1.aws.found.io/app/kibana#/discover/Steve-Slow-Train-Analysis-(2080s-and-2083s)?_g=(refreshInterval:(display:Off,pause:!f,section:0,value:0),time:(from:'2017-09-19T12:01:39-0600',mode:absolute,to:'2017-09-19T14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9" s="204" t="str">
        <f>IF(AA89&lt;VLOOKUP(AG89,Variables!$AC$3:$AD$8,2,FALSE),"Y","N")</f>
        <v>N</v>
      </c>
      <c r="X89" s="204">
        <f t="shared" si="41"/>
        <v>1</v>
      </c>
      <c r="Y89" s="204">
        <f t="shared" si="35"/>
        <v>4.6600000000000003E-2</v>
      </c>
      <c r="Z89" s="204">
        <f t="shared" si="36"/>
        <v>23.328900000000001</v>
      </c>
      <c r="AA89" s="204">
        <f t="shared" si="42"/>
        <v>23.282299999999999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 t="shared" si="43"/>
        <v>175</v>
      </c>
      <c r="AE89" s="77" t="str">
        <f t="shared" si="44"/>
        <v>aws s3 cp s3://rtdc.mdm.uploadarchive.raw/RTDC4056/ "%USERPROFILE%\AppData\Local\Temp\OnboardLogs"\RTDC4056\2017-09-19 --exclude "*" --recursive --include "*20170919*" &amp; "%USERPROFILE%\Documents\GitHub\mrs-test-scripts\Headless Mode &amp; Sideloading\WalkAndUnGZ.bat" "%USERPROFILE%\AppData\Local\Temp\OnboardLogs"\RTDC4056\2017-09-19 &amp; aws s3 cp s3://rtdc.mdm.uploadarchive.raw/RTDC4056/ "%USERPROFILE%\AppData\Local\Temp\OnboardLogs"\RTDC4056\2017-09-20 --exclude "*" --recursive --include "*20170920*" &amp; "%USERPROFILE%\Documents\GitHub\mrs-test-scripts\Headless Mode &amp; Sideloading\WalkAndUnGZ.bat" "%USERPROFILE%\AppData\Local\Temp\OnboardLogs"\RTDC4056\2017-09-20</v>
      </c>
      <c r="AF89" s="74" t="str">
        <f t="shared" si="45"/>
        <v>"C:\Program Files (x86)\AstroGrep\AstroGrep.exe" /e /r /s /spath="%USERPROFILE%\AppData\Local\Temp\OnboardLogs" /stypes="app*4056*20170919*" /stext=" 19:.+((SYSTEM_STATE.+slice.+state.+changed )|(ment ac)|(multiple cpu faults)|(system.+state.+changed )|(\[timeout)|(PRM\|1\|D)|(kpr)|(kdp)|(train st.+moving)|(\|lc)|(penalty))"</v>
      </c>
      <c r="AG89" s="182" t="str">
        <f t="shared" si="46"/>
        <v>EC</v>
      </c>
      <c r="AH89" s="78" t="str">
        <f t="shared" si="47"/>
        <v>"%USERPROFILE%\Documents\GitHub\eaglep3\Utilities\RefineRTDCRunTimes.py" --tripid 175-19 --locoid 4056 --swversion DE.1.0.9.0 --startMP 204:466 --initTime 2017-09-19T13:01:39 --startdatetime 2017-09-19T13:03:39 --delay 51 --endMP 204:233289 --enddatetime 2017-09-19T13:37:26 --enforcementcount 0 &gt;&gt;C:\Users\stu\Documents\GitHub\eaglep3-reporting\EC\2017-09-19-refined-times.txt</v>
      </c>
      <c r="AI89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{"issue":{"subject":"","project_id":79,"tracker_id":40,"status_id":1,"priority_id":2,"assigned_to_id":338,"start_date":"2017-09-19","description":"","custom_fields":[{"id":1,"name":"Subdivision","value":"EC"},{"id":4,"name":"Milepost","value":"23.3289"},{"id":17,"name":"Train ID","value":"175-19"},{"id":16,"name":"Locomotive ID","value":"4056"},{"id":130,"name":"Impact","value":""},{"id":150,"name":"Time of Event (Mountain Time)","value":"13:37:26"},{"id":151,"name":"Denver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9"/>
        <v>start /low /b %USERPROFILE%\Documents\GitHub\eaglep3\Utilities\DownloadLogsFromS3.py --loco 4056 --day 2017-09-19</v>
      </c>
      <c r="AN89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19:37:26"},{"id":29,"name":"Sharepoint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51"/>
        <v>https://d0f6bd738d7f1b3e5a7ca70fe4ff75f0.us-east-1.aws.found.io/app/kibana#/discover/Steve-Slow-Train-Analysis-(2080s-and-2083s)?_g=(refreshInterval:(display:Off,pause:!f,section:0,value:0),time:(from:'2017-09-19T12:01:39-0600',mode:absolute,to:'2017-09-19T14:37:26-0600'))&amp;_a=(columns:!('Message%20ID',Summary),filters:!(),index:'emp_*',interval:auto,query:(query_string:(analyze_wildcard:!t,query:'Message%5C+ID:(*)+AND+%22rtdc.l.rtdc.4056%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761</v>
      </c>
      <c r="B90" s="7">
        <v>4055</v>
      </c>
      <c r="C90" s="21" t="s">
        <v>197</v>
      </c>
      <c r="D90" s="21" t="s">
        <v>437</v>
      </c>
      <c r="E90" s="13">
        <v>42997.578101851854</v>
      </c>
      <c r="F90" s="13">
        <v>42997.581423611111</v>
      </c>
      <c r="G90" s="7">
        <v>87</v>
      </c>
      <c r="H90" s="21" t="s">
        <v>527</v>
      </c>
      <c r="I90" s="13">
        <v>42997.607210648152</v>
      </c>
      <c r="J90" s="7">
        <v>0</v>
      </c>
      <c r="K90" s="89" t="str">
        <f t="shared" si="37"/>
        <v>4055/4056</v>
      </c>
      <c r="L90" s="185" t="str">
        <f>VLOOKUP(A90,'Trips&amp;Operators'!$C$1:$G$99911,5,FALSE)</f>
        <v>BRUDER RICHARD</v>
      </c>
      <c r="M90" s="6">
        <f t="shared" si="38"/>
        <v>2.5787037040572613E-2</v>
      </c>
      <c r="N90" s="7">
        <f t="shared" si="52"/>
        <v>37.133333338424563</v>
      </c>
      <c r="O90" s="7"/>
      <c r="P90" s="7"/>
      <c r="Q90" s="22"/>
      <c r="R90" s="174"/>
      <c r="S90" s="221">
        <f t="shared" si="53"/>
        <v>1</v>
      </c>
      <c r="T90" s="174" t="str">
        <f t="shared" si="39"/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40"/>
        <v>https://d0f6bd738d7f1b3e5a7ca70fe4ff75f0.us-east-1.aws.found.io/app/kibana#/discover/Steve-Slow-Train-Analysis-(2080s-and-2083s)?_g=(refreshInterval:(display:Off,pause:!f,section:0,value:0),time:(from:'2017-09-19T12:52:28-0600',mode:absolute,to:'2017-09-19T15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0" s="204" t="str">
        <f>IF(AA90&lt;VLOOKUP(AG90,Variables!$AC$3:$AD$8,2,FALSE),"Y","N")</f>
        <v>N</v>
      </c>
      <c r="X90" s="204">
        <f t="shared" si="41"/>
        <v>1</v>
      </c>
      <c r="Y90" s="204">
        <f t="shared" si="35"/>
        <v>23.297799999999999</v>
      </c>
      <c r="Z90" s="204">
        <f t="shared" si="36"/>
        <v>1.34E-2</v>
      </c>
      <c r="AA90" s="204">
        <f t="shared" si="42"/>
        <v>23.284399999999998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 t="shared" si="43"/>
        <v>176</v>
      </c>
      <c r="AE90" s="77" t="str">
        <f t="shared" si="44"/>
        <v>aws s3 cp s3://rtdc.mdm.uploadarchive.raw/RTDC4055/ "%USERPROFILE%\AppData\Local\Temp\OnboardLogs"\RTDC4055\2017-09-19 --exclude "*" --recursive --include "*20170919*" &amp; "%USERPROFILE%\Documents\GitHub\mrs-test-scripts\Headless Mode &amp; Sideloading\WalkAndUnGZ.bat" "%USERPROFILE%\AppData\Local\Temp\OnboardLogs"\RTDC4055\2017-09-19 &amp; aws s3 cp s3://rtdc.mdm.uploadarchive.raw/RTDC4055/ "%USERPROFILE%\AppData\Local\Temp\OnboardLogs"\RTDC4055\2017-09-20 --exclude "*" --recursive --include "*20170920*" &amp; "%USERPROFILE%\Documents\GitHub\mrs-test-scripts\Headless Mode &amp; Sideloading\WalkAndUnGZ.bat" "%USERPROFILE%\AppData\Local\Temp\OnboardLogs"\RTDC4055\2017-09-20</v>
      </c>
      <c r="AF90" s="74" t="str">
        <f t="shared" si="45"/>
        <v>"C:\Program Files (x86)\AstroGrep\AstroGrep.exe" /e /r /s /spath="%USERPROFILE%\AppData\Local\Temp\OnboardLogs" /stypes="app*4055*20170919*" /stext=" 20:.+((SYSTEM_STATE.+slice.+state.+changed )|(ment ac)|(multiple cpu faults)|(system.+state.+changed )|(\[timeout)|(PRM\|1\|D)|(kpr)|(kdp)|(train st.+moving)|(\|lc)|(penalty))"</v>
      </c>
      <c r="AG90" s="182" t="str">
        <f t="shared" si="46"/>
        <v>EC</v>
      </c>
      <c r="AH90" s="78" t="str">
        <f t="shared" si="47"/>
        <v>"%USERPROFILE%\Documents\GitHub\eaglep3\Utilities\RefineRTDCRunTimes.py" --tripid 176-19 --locoid 4055 --swversion DE.1.0.9.0 --startMP 204:232978 --initTime 2017-09-19T13:52:28 --startdatetime 2017-09-19T13:57:15 --delay 87 --endMP 204:134 --enddatetime 2017-09-19T14:34:23 --enforcementcount 0 &gt;&gt;C:\Users\stu\Documents\GitHub\eaglep3-reporting\EC\2017-09-19-refined-times.txt</v>
      </c>
      <c r="AI90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{"issue":{"subject":"","project_id":79,"tracker_id":40,"status_id":1,"priority_id":2,"assigned_to_id":338,"start_date":"2017-09-19","description":"","custom_fields":[{"id":1,"name":"Subdivision","value":"EC"},{"id":4,"name":"Milepost","value":"0.0134"},{"id":17,"name":"Train ID","value":"176-19"},{"id":16,"name":"Locomotive ID","value":"4055"},{"id":130,"name":"Impact","value":""},{"id":150,"name":"Time of Event (Mountain Time)","value":"14:34:23"},{"id":151,"name":"Denver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9"/>
        <v>start /low /b %USERPROFILE%\Documents\GitHub\eaglep3\Utilities\DownloadLogsFromS3.py --loco 4055 --day 2017-09-19</v>
      </c>
      <c r="AN90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20:34:23"},{"id":29,"name":"Sharepoint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51"/>
        <v>https://d0f6bd738d7f1b3e5a7ca70fe4ff75f0.us-east-1.aws.found.io/app/kibana#/discover/Steve-Slow-Train-Analysis-(2080s-and-2083s)?_g=(refreshInterval:(display:Off,pause:!f,section:0,value:0),time:(from:'2017-09-19T12:52:28-0600',mode:absolute,to:'2017-09-19T15:34:23-0600'))&amp;_a=(columns:!('Message%20ID',Summary),filters:!(),index:'emp_*',interval:auto,query:(query_string:(analyze_wildcard:!t,query:'Message%5C+ID:(*)+AND+%22rtdc.l.rtdc.4055%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755</v>
      </c>
      <c r="B91" s="7">
        <v>4030</v>
      </c>
      <c r="C91" s="21" t="s">
        <v>197</v>
      </c>
      <c r="D91" s="21" t="s">
        <v>441</v>
      </c>
      <c r="E91" s="13">
        <v>42997.55</v>
      </c>
      <c r="F91" s="13">
        <v>42997.552685185183</v>
      </c>
      <c r="G91" s="7">
        <v>53</v>
      </c>
      <c r="H91" s="21" t="s">
        <v>605</v>
      </c>
      <c r="I91" s="13">
        <v>42997.577523148146</v>
      </c>
      <c r="J91" s="7">
        <v>0</v>
      </c>
      <c r="K91" s="89" t="str">
        <f t="shared" si="37"/>
        <v>4029/4030</v>
      </c>
      <c r="L91" s="185" t="str">
        <f>VLOOKUP(A91,'Trips&amp;Operators'!$C$1:$G$99911,5,FALSE)</f>
        <v>MOSES BRADLEY</v>
      </c>
      <c r="M91" s="6">
        <f t="shared" si="38"/>
        <v>2.4837962962919846E-2</v>
      </c>
      <c r="N91" s="7">
        <f t="shared" si="52"/>
        <v>35.766666666604578</v>
      </c>
      <c r="O91" s="7"/>
      <c r="P91" s="7"/>
      <c r="Q91" s="22"/>
      <c r="R91" s="174"/>
      <c r="S91" s="221">
        <f t="shared" si="53"/>
        <v>1</v>
      </c>
      <c r="T91" s="174" t="str">
        <f t="shared" si="39"/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40"/>
        <v>https://d0f6bd738d7f1b3e5a7ca70fe4ff75f0.us-east-1.aws.found.io/app/kibana#/discover/Steve-Slow-Train-Analysis-(2080s-and-2083s)?_g=(refreshInterval:(display:Off,pause:!f,section:0,value:0),time:(from:'2017-09-19T12:12:00-0600',mode:absolute,to:'2017-09-19T14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1" s="204" t="str">
        <f>IF(AA91&lt;VLOOKUP(AG91,Variables!$AC$3:$AD$8,2,FALSE),"Y","N")</f>
        <v>N</v>
      </c>
      <c r="X91" s="204">
        <f t="shared" si="41"/>
        <v>1</v>
      </c>
      <c r="Y91" s="204">
        <f t="shared" si="35"/>
        <v>4.3299999999999998E-2</v>
      </c>
      <c r="Z91" s="204">
        <f t="shared" si="36"/>
        <v>23.332100000000001</v>
      </c>
      <c r="AA91" s="204">
        <f t="shared" si="42"/>
        <v>23.288800000000002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 t="shared" si="43"/>
        <v>177</v>
      </c>
      <c r="AE91" s="77" t="str">
        <f t="shared" si="44"/>
        <v>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 &amp; aws s3 cp s3://rtdc.mdm.uploadarchive.raw/RTDC4030/ "%USERPROFILE%\AppData\Local\Temp\OnboardLogs"\RTDC4030\2017-09-20 --exclude "*" --recursive --include "*20170920*" &amp; "%USERPROFILE%\Documents\GitHub\mrs-test-scripts\Headless Mode &amp; Sideloading\WalkAndUnGZ.bat" "%USERPROFILE%\AppData\Local\Temp\OnboardLogs"\RTDC4030\2017-09-20</v>
      </c>
      <c r="AF91" s="74" t="str">
        <f t="shared" si="45"/>
        <v>"C:\Program Files (x86)\AstroGrep\AstroGrep.exe" /e /r /s /spath="%USERPROFILE%\AppData\Local\Temp\OnboardLogs" /stypes="app*4030*20170919*" /stext=" 19:.+((SYSTEM_STATE.+slice.+state.+changed )|(ment ac)|(multiple cpu faults)|(system.+state.+changed )|(\[timeout)|(PRM\|1\|D)|(kpr)|(kdp)|(train st.+moving)|(\|lc)|(penalty))"</v>
      </c>
      <c r="AG91" s="182" t="str">
        <f t="shared" si="46"/>
        <v>EC</v>
      </c>
      <c r="AH91" s="78" t="str">
        <f t="shared" si="47"/>
        <v>"%USERPROFILE%\Documents\GitHub\eaglep3\Utilities\RefineRTDCRunTimes.py" --tripid 177-19 --locoid 4030 --swversion DE.1.0.9.0 --startMP 204:433 --initTime 2017-09-19T13:12:00 --startdatetime 2017-09-19T13:15:52 --delay 53 --endMP 204:233321 --enddatetime 2017-09-19T13:51:38 --enforcementcount 0 &gt;&gt;C:\Users\stu\Documents\GitHub\eaglep3-reporting\EC\2017-09-19-refined-times.txt</v>
      </c>
      <c r="AI91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{"issue":{"subject":"","project_id":79,"tracker_id":40,"status_id":1,"priority_id":2,"assigned_to_id":338,"start_date":"2017-09-19","description":"","custom_fields":[{"id":1,"name":"Subdivision","value":"EC"},{"id":4,"name":"Milepost","value":"23.3321"},{"id":17,"name":"Train ID","value":"177-19"},{"id":16,"name":"Locomotive ID","value":"4030"},{"id":130,"name":"Impact","value":""},{"id":150,"name":"Time of Event (Mountain Time)","value":"13:51:38"},{"id":151,"name":"Denver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9"/>
        <v>start /low /b %USERPROFILE%\Documents\GitHub\eaglep3\Utilities\DownloadLogsFromS3.py --loco 4030 --day 2017-09-19</v>
      </c>
      <c r="AN91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19:51:38"},{"id":29,"name":"Sharepoint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51"/>
        <v>https://d0f6bd738d7f1b3e5a7ca70fe4ff75f0.us-east-1.aws.found.io/app/kibana#/discover/Steve-Slow-Train-Analysis-(2080s-and-2083s)?_g=(refreshInterval:(display:Off,pause:!f,section:0,value:0),time:(from:'2017-09-19T12:12:00-0600',mode:absolute,to:'2017-09-19T14:51:38-0600'))&amp;_a=(columns:!('Message%20ID',Summary),filters:!(),index:'emp_*',interval:auto,query:(query_string:(analyze_wildcard:!t,query:'Message%5C+ID:(*)+AND+%22rtdc.l.rtdc.4030%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764</v>
      </c>
      <c r="B92" s="7">
        <v>4029</v>
      </c>
      <c r="C92" s="21" t="s">
        <v>197</v>
      </c>
      <c r="D92" s="21" t="s">
        <v>426</v>
      </c>
      <c r="E92" s="13">
        <v>42997.585856481484</v>
      </c>
      <c r="F92" s="13">
        <v>42997.591932870368</v>
      </c>
      <c r="G92" s="7">
        <v>235</v>
      </c>
      <c r="H92" s="21" t="s">
        <v>527</v>
      </c>
      <c r="I92" s="13">
        <v>42997.617708333331</v>
      </c>
      <c r="J92" s="7">
        <v>0</v>
      </c>
      <c r="K92" s="89" t="str">
        <f t="shared" si="37"/>
        <v>4029/4030</v>
      </c>
      <c r="L92" s="185" t="str">
        <f>VLOOKUP(A92,'Trips&amp;Operators'!$C$1:$G$99911,5,FALSE)</f>
        <v>MOSES BRADLEY</v>
      </c>
      <c r="M92" s="6">
        <f t="shared" si="38"/>
        <v>2.5775462963792961E-2</v>
      </c>
      <c r="N92" s="7">
        <f t="shared" si="52"/>
        <v>37.116666667861864</v>
      </c>
      <c r="O92" s="7"/>
      <c r="P92" s="7"/>
      <c r="Q92" s="22"/>
      <c r="R92" s="174"/>
      <c r="S92" s="221">
        <f t="shared" si="53"/>
        <v>1</v>
      </c>
      <c r="T92" s="174" t="str">
        <f t="shared" si="39"/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40"/>
        <v>https://d0f6bd738d7f1b3e5a7ca70fe4ff75f0.us-east-1.aws.found.io/app/kibana#/discover/Steve-Slow-Train-Analysis-(2080s-and-2083s)?_g=(refreshInterval:(display:Off,pause:!f,section:0,value:0),time:(from:'2017-09-19T13:03:38-0600',mode:absolute,to:'2017-09-19T15:49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2" s="204" t="str">
        <f>IF(AA92&lt;VLOOKUP(AG92,Variables!$AC$3:$AD$8,2,FALSE),"Y","N")</f>
        <v>N</v>
      </c>
      <c r="X92" s="204">
        <f t="shared" si="41"/>
        <v>1</v>
      </c>
      <c r="Y92" s="204">
        <f t="shared" si="35"/>
        <v>23.301300000000001</v>
      </c>
      <c r="Z92" s="204">
        <f t="shared" si="36"/>
        <v>1.34E-2</v>
      </c>
      <c r="AA92" s="204">
        <f t="shared" si="42"/>
        <v>23.2879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 t="shared" si="43"/>
        <v>178</v>
      </c>
      <c r="AE92" s="77" t="str">
        <f t="shared" si="44"/>
        <v>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 &amp; aws s3 cp s3://rtdc.mdm.uploadarchive.raw/RTDC4029/ "%USERPROFILE%\AppData\Local\Temp\OnboardLogs"\RTDC4029\2017-09-20 --exclude "*" --recursive --include "*20170920*" &amp; "%USERPROFILE%\Documents\GitHub\mrs-test-scripts\Headless Mode &amp; Sideloading\WalkAndUnGZ.bat" "%USERPROFILE%\AppData\Local\Temp\OnboardLogs"\RTDC4029\2017-09-20</v>
      </c>
      <c r="AF92" s="74" t="str">
        <f t="shared" si="45"/>
        <v>"C:\Program Files (x86)\AstroGrep\AstroGrep.exe" /e /r /s /spath="%USERPROFILE%\AppData\Local\Temp\OnboardLogs" /stypes="app*4029*20170919*" /stext=" 20:.+((SYSTEM_STATE.+slice.+state.+changed )|(ment ac)|(multiple cpu faults)|(system.+state.+changed )|(\[timeout)|(PRM\|1\|D)|(kpr)|(kdp)|(train st.+moving)|(\|lc)|(penalty))"</v>
      </c>
      <c r="AG92" s="182" t="str">
        <f t="shared" si="46"/>
        <v>EC</v>
      </c>
      <c r="AH92" s="78" t="str">
        <f t="shared" si="47"/>
        <v>"%USERPROFILE%\Documents\GitHub\eaglep3\Utilities\RefineRTDCRunTimes.py" --tripid 178-19 --locoid 4029 --swversion DE.1.0.9.0 --startMP 204:233013 --initTime 2017-09-19T14:03:38 --startdatetime 2017-09-19T14:12:23 --delay 235 --endMP 204:134 --enddatetime 2017-09-19T14:49:30 --enforcementcount 0 &gt;&gt;C:\Users\stu\Documents\GitHub\eaglep3-reporting\EC\2017-09-19-refined-times.txt</v>
      </c>
      <c r="AI92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{"issue":{"subject":"","project_id":79,"tracker_id":40,"status_id":1,"priority_id":2,"assigned_to_id":338,"start_date":"2017-09-19","description":"","custom_fields":[{"id":1,"name":"Subdivision","value":"EC"},{"id":4,"name":"Milepost","value":"0.0134"},{"id":17,"name":"Train ID","value":"178-19"},{"id":16,"name":"Locomotive ID","value":"4029"},{"id":130,"name":"Impact","value":""},{"id":150,"name":"Time of Event (Mountain Time)","value":"14:49:30"},{"id":151,"name":"Denver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9"/>
        <v>start /low /b %USERPROFILE%\Documents\GitHub\eaglep3\Utilities\DownloadLogsFromS3.py --loco 4029 --day 2017-09-19</v>
      </c>
      <c r="AN92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20:49:30"},{"id":29,"name":"Sharepoint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51"/>
        <v>https://d0f6bd738d7f1b3e5a7ca70fe4ff75f0.us-east-1.aws.found.io/app/kibana#/discover/Steve-Slow-Train-Analysis-(2080s-and-2083s)?_g=(refreshInterval:(display:Off,pause:!f,section:0,value:0),time:(from:'2017-09-19T13:03:38-0600',mode:absolute,to:'2017-09-19T15:49:30-0600'))&amp;_a=(columns:!('Message%20ID',Summary),filters:!(),index:'emp_*',interval:auto,query:(query_string:(analyze_wildcard:!t,query:'Message%5C+ID:(*)+AND+%22rtdc.l.rtdc.4029%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756</v>
      </c>
      <c r="B93" s="7">
        <v>4016</v>
      </c>
      <c r="C93" s="21" t="s">
        <v>197</v>
      </c>
      <c r="D93" s="21" t="s">
        <v>378</v>
      </c>
      <c r="E93" s="13">
        <v>42997.556215277778</v>
      </c>
      <c r="F93" s="13">
        <v>42997.562673611108</v>
      </c>
      <c r="G93" s="7">
        <v>112</v>
      </c>
      <c r="H93" s="21" t="s">
        <v>884</v>
      </c>
      <c r="I93" s="13">
        <v>42997.586817129632</v>
      </c>
      <c r="J93" s="7">
        <v>0</v>
      </c>
      <c r="K93" s="89" t="str">
        <f t="shared" si="37"/>
        <v>4015/4016</v>
      </c>
      <c r="L93" s="185" t="str">
        <f>VLOOKUP(A93,'Trips&amp;Operators'!$C$1:$G$99911,5,FALSE)</f>
        <v>LEVIN SCOTT</v>
      </c>
      <c r="M93" s="6">
        <f t="shared" si="38"/>
        <v>2.4143518523487728E-2</v>
      </c>
      <c r="N93" s="7">
        <f t="shared" si="52"/>
        <v>34.766666673822328</v>
      </c>
      <c r="O93" s="7"/>
      <c r="P93" s="7"/>
      <c r="Q93" s="22"/>
      <c r="R93" s="174"/>
      <c r="S93" s="221">
        <f t="shared" si="53"/>
        <v>1</v>
      </c>
      <c r="T93" s="174" t="str">
        <f t="shared" si="39"/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40"/>
        <v>https://d0f6bd738d7f1b3e5a7ca70fe4ff75f0.us-east-1.aws.found.io/app/kibana#/discover/Steve-Slow-Train-Analysis-(2080s-and-2083s)?_g=(refreshInterval:(display:Off,pause:!f,section:0,value:0),time:(from:'2017-09-19T12:20:57-0600',mode:absolute,to:'2017-09-19T15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3" s="204" t="str">
        <f>IF(AA93&lt;VLOOKUP(AG93,Variables!$AC$3:$AD$8,2,FALSE),"Y","N")</f>
        <v>N</v>
      </c>
      <c r="X93" s="204">
        <f t="shared" si="41"/>
        <v>1</v>
      </c>
      <c r="Y93" s="204">
        <f t="shared" si="35"/>
        <v>4.4200000000000003E-2</v>
      </c>
      <c r="Z93" s="204">
        <f t="shared" si="36"/>
        <v>23.334099999999999</v>
      </c>
      <c r="AA93" s="204">
        <f t="shared" si="42"/>
        <v>23.289899999999999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 t="shared" si="43"/>
        <v>179</v>
      </c>
      <c r="AE93" s="77" t="str">
        <f t="shared" si="44"/>
        <v>aws s3 cp s3://rtdc.mdm.uploadarchive.raw/RTDC4016/ "%USERPROFILE%\AppData\Local\Temp\OnboardLogs"\RTDC4016\2017-09-19 --exclude "*" --recursive --include "*20170919*" &amp; "%USERPROFILE%\Documents\GitHub\mrs-test-scripts\Headless Mode &amp; Sideloading\WalkAndUnGZ.bat" "%USERPROFILE%\AppData\Local\Temp\OnboardLogs"\RTDC4016\2017-09-19 &amp; 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</v>
      </c>
      <c r="AF93" s="74" t="str">
        <f t="shared" si="45"/>
        <v>"C:\Program Files (x86)\AstroGrep\AstroGrep.exe" /e /r /s /spath="%USERPROFILE%\AppData\Local\Temp\OnboardLogs" /stypes="app*4016*20170919*" /stext=" 20:.+((SYSTEM_STATE.+slice.+state.+changed )|(ment ac)|(multiple cpu faults)|(system.+state.+changed )|(\[timeout)|(PRM\|1\|D)|(kpr)|(kdp)|(train st.+moving)|(\|lc)|(penalty))"</v>
      </c>
      <c r="AG93" s="182" t="str">
        <f t="shared" si="46"/>
        <v>EC</v>
      </c>
      <c r="AH93" s="78" t="str">
        <f t="shared" si="47"/>
        <v>"%USERPROFILE%\Documents\GitHub\eaglep3\Utilities\RefineRTDCRunTimes.py" --tripid 179-19 --locoid 4016 --swversion DE.1.0.9.0 --startMP 204:442 --initTime 2017-09-19T13:20:57 --startdatetime 2017-09-19T13:30:15 --delay 112 --endMP 204:233341 --enddatetime 2017-09-19T14:05:01 --enforcementcount 0 &gt;&gt;C:\Users\stu\Documents\GitHub\eaglep3-reporting\EC\2017-09-19-refined-times.txt</v>
      </c>
      <c r="AI93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{"issue":{"subject":"","project_id":79,"tracker_id":40,"status_id":1,"priority_id":2,"assigned_to_id":338,"start_date":"2017-09-19","description":"","custom_fields":[{"id":1,"name":"Subdivision","value":"EC"},{"id":4,"name":"Milepost","value":"23.3341"},{"id":17,"name":"Train ID","value":"179-19"},{"id":16,"name":"Locomotive ID","value":"4016"},{"id":130,"name":"Impact","value":""},{"id":150,"name":"Time of Event (Mountain Time)","value":"14:05:01"},{"id":151,"name":"Denver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9"/>
        <v>start /low /b %USERPROFILE%\Documents\GitHub\eaglep3\Utilities\DownloadLogsFromS3.py --loco 4016 --day 2017-09-19</v>
      </c>
      <c r="AN93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20:05:01"},{"id":29,"name":"Sharepoint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51"/>
        <v>https://d0f6bd738d7f1b3e5a7ca70fe4ff75f0.us-east-1.aws.found.io/app/kibana#/discover/Steve-Slow-Train-Analysis-(2080s-and-2083s)?_g=(refreshInterval:(display:Off,pause:!f,section:0,value:0),time:(from:'2017-09-19T12:20:57-0600',mode:absolute,to:'2017-09-19T15:05:01-0600'))&amp;_a=(columns:!('Message%20ID',Summary),filters:!(),index:'emp_*',interval:auto,query:(query_string:(analyze_wildcard:!t,query:'Message%5C+ID:(*)+AND+%22rtdc.l.rtdc.4016%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765</v>
      </c>
      <c r="B94" s="7">
        <v>4015</v>
      </c>
      <c r="C94" s="21" t="s">
        <v>197</v>
      </c>
      <c r="D94" s="21" t="s">
        <v>885</v>
      </c>
      <c r="E94" s="13">
        <v>42997.593877314815</v>
      </c>
      <c r="F94" s="13">
        <v>42997.602233796293</v>
      </c>
      <c r="G94" s="7">
        <v>49</v>
      </c>
      <c r="H94" s="21" t="s">
        <v>340</v>
      </c>
      <c r="I94" s="13">
        <v>42997.629155092596</v>
      </c>
      <c r="J94" s="7">
        <v>0</v>
      </c>
      <c r="K94" s="89" t="str">
        <f t="shared" si="37"/>
        <v>4015/4016</v>
      </c>
      <c r="L94" s="185" t="str">
        <f>VLOOKUP(A94,'Trips&amp;Operators'!$C$1:$G$99911,5,FALSE)</f>
        <v>LEVIN SCOTT</v>
      </c>
      <c r="M94" s="6">
        <f t="shared" si="38"/>
        <v>2.6921296303044073E-2</v>
      </c>
      <c r="N94" s="7">
        <f t="shared" si="52"/>
        <v>38.766666676383466</v>
      </c>
      <c r="O94" s="7"/>
      <c r="P94" s="7"/>
      <c r="Q94" s="22"/>
      <c r="R94" s="174"/>
      <c r="S94" s="221">
        <f t="shared" si="53"/>
        <v>1</v>
      </c>
      <c r="T94" s="174" t="str">
        <f t="shared" si="39"/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40"/>
        <v>https://d0f6bd738d7f1b3e5a7ca70fe4ff75f0.us-east-1.aws.found.io/app/kibana#/discover/Steve-Slow-Train-Analysis-(2080s-and-2083s)?_g=(refreshInterval:(display:Off,pause:!f,section:0,value:0),time:(from:'2017-09-19T13:15:11-0600',mode:absolute,to:'2017-09-19T16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4" s="204" t="str">
        <f>IF(AA94&lt;VLOOKUP(AG94,Variables!$AC$3:$AD$8,2,FALSE),"Y","N")</f>
        <v>N</v>
      </c>
      <c r="X94" s="204">
        <f t="shared" si="41"/>
        <v>1</v>
      </c>
      <c r="Y94" s="204">
        <f t="shared" si="35"/>
        <v>23.304200000000002</v>
      </c>
      <c r="Z94" s="204">
        <f t="shared" si="36"/>
        <v>1.43E-2</v>
      </c>
      <c r="AA94" s="204">
        <f t="shared" si="42"/>
        <v>23.289900000000003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 t="shared" si="43"/>
        <v>180</v>
      </c>
      <c r="AE94" s="77" t="str">
        <f t="shared" si="44"/>
        <v>aws s3 cp s3://rtdc.mdm.uploadarchive.raw/RTDC4015/ "%USERPROFILE%\AppData\Local\Temp\OnboardLogs"\RTDC4015\2017-09-19 --exclude "*" --recursive --include "*20170919*" &amp; "%USERPROFILE%\Documents\GitHub\mrs-test-scripts\Headless Mode &amp; Sideloading\WalkAndUnGZ.bat" "%USERPROFILE%\AppData\Local\Temp\OnboardLogs"\RTDC4015\2017-09-19 &amp; 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</v>
      </c>
      <c r="AF94" s="74" t="str">
        <f t="shared" si="45"/>
        <v>"C:\Program Files (x86)\AstroGrep\AstroGrep.exe" /e /r /s /spath="%USERPROFILE%\AppData\Local\Temp\OnboardLogs" /stypes="app*4015*20170919*" /stext=" 21:.+((SYSTEM_STATE.+slice.+state.+changed )|(ment ac)|(multiple cpu faults)|(system.+state.+changed )|(\[timeout)|(PRM\|1\|D)|(kpr)|(kdp)|(train st.+moving)|(\|lc)|(penalty))"</v>
      </c>
      <c r="AG94" s="182" t="str">
        <f t="shared" si="46"/>
        <v>EC</v>
      </c>
      <c r="AH94" s="78" t="str">
        <f t="shared" si="47"/>
        <v>"%USERPROFILE%\Documents\GitHub\eaglep3\Utilities\RefineRTDCRunTimes.py" --tripid 180-19 --locoid 4015 --swversion DE.1.0.9.0 --startMP 204:233042 --initTime 2017-09-19T14:15:11 --startdatetime 2017-09-19T14:27:13 --delay 49 --endMP 204:143 --enddatetime 2017-09-19T15:05:59 --enforcementcount 0 &gt;&gt;C:\Users\stu\Documents\GitHub\eaglep3-reporting\EC\2017-09-19-refined-times.txt</v>
      </c>
      <c r="AI94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{"issue":{"subject":"","project_id":79,"tracker_id":40,"status_id":1,"priority_id":2,"assigned_to_id":338,"start_date":"2017-09-19","description":"","custom_fields":[{"id":1,"name":"Subdivision","value":"EC"},{"id":4,"name":"Milepost","value":"0.0143"},{"id":17,"name":"Train ID","value":"180-19"},{"id":16,"name":"Locomotive ID","value":"4015"},{"id":130,"name":"Impact","value":""},{"id":150,"name":"Time of Event (Mountain Time)","value":"15:05:59"},{"id":151,"name":"Denver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49"/>
        <v>start /low /b %USERPROFILE%\Documents\GitHub\eaglep3\Utilities\DownloadLogsFromS3.py --loco 4015 --day 2017-09-19</v>
      </c>
      <c r="AN94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21:05:59"},{"id":29,"name":"Sharepoint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51"/>
        <v>https://d0f6bd738d7f1b3e5a7ca70fe4ff75f0.us-east-1.aws.found.io/app/kibana#/discover/Steve-Slow-Train-Analysis-(2080s-and-2083s)?_g=(refreshInterval:(display:Off,pause:!f,section:0,value:0),time:(from:'2017-09-19T13:15:11-0600',mode:absolute,to:'2017-09-19T16:05:59-0600'))&amp;_a=(columns:!('Message%20ID',Summary),filters:!(),index:'emp_*',interval:auto,query:(query_string:(analyze_wildcard:!t,query:'Message%5C+ID:(*)+AND+%22rtdc.l.rtdc.4015%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760</v>
      </c>
      <c r="B95" s="7">
        <v>4050</v>
      </c>
      <c r="C95" s="21" t="s">
        <v>197</v>
      </c>
      <c r="D95" s="21" t="s">
        <v>381</v>
      </c>
      <c r="E95" s="13">
        <v>42997.571377314816</v>
      </c>
      <c r="F95" s="13">
        <v>42997.573125000003</v>
      </c>
      <c r="G95" s="7">
        <v>59</v>
      </c>
      <c r="H95" s="21" t="s">
        <v>422</v>
      </c>
      <c r="I95" s="13">
        <v>42997.598495370374</v>
      </c>
      <c r="J95" s="7">
        <v>0</v>
      </c>
      <c r="K95" s="89" t="str">
        <f t="shared" si="37"/>
        <v>4049/4050</v>
      </c>
      <c r="L95" s="185" t="str">
        <f>VLOOKUP(A95,'Trips&amp;Operators'!$C$1:$G$99911,5,FALSE)</f>
        <v>LEVERE CRAIG</v>
      </c>
      <c r="M95" s="6">
        <f t="shared" si="38"/>
        <v>2.5370370371092577E-2</v>
      </c>
      <c r="N95" s="7">
        <f t="shared" si="52"/>
        <v>36.53333333437331</v>
      </c>
      <c r="O95" s="7"/>
      <c r="P95" s="7"/>
      <c r="Q95" s="22"/>
      <c r="R95" s="174"/>
      <c r="S95" s="221">
        <f t="shared" si="53"/>
        <v>1</v>
      </c>
      <c r="T95" s="174" t="str">
        <f t="shared" si="39"/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40"/>
        <v>https://d0f6bd738d7f1b3e5a7ca70fe4ff75f0.us-east-1.aws.found.io/app/kibana#/discover/Steve-Slow-Train-Analysis-(2080s-and-2083s)?_g=(refreshInterval:(display:Off,pause:!f,section:0,value:0),time:(from:'2017-09-19T12:42:47-0600',mode:absolute,to:'2017-09-19T15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5" s="204" t="str">
        <f>IF(AA95&lt;VLOOKUP(AG95,Variables!$AC$3:$AD$8,2,FALSE),"Y","N")</f>
        <v>N</v>
      </c>
      <c r="X95" s="204">
        <f t="shared" si="41"/>
        <v>1</v>
      </c>
      <c r="Y95" s="204">
        <f t="shared" ref="Y95:Y126" si="54">RIGHT(D95,LEN(D95)-4)/10000</f>
        <v>4.5999999999999999E-2</v>
      </c>
      <c r="Z95" s="204">
        <f t="shared" ref="Z95:Z126" si="55">RIGHT(H95,LEN(H95)-4)/10000</f>
        <v>23.331199999999999</v>
      </c>
      <c r="AA95" s="204">
        <f t="shared" si="42"/>
        <v>23.2852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 t="shared" si="43"/>
        <v>181</v>
      </c>
      <c r="AE95" s="77" t="str">
        <f t="shared" si="44"/>
        <v>aws s3 cp s3://rtdc.mdm.uploadarchive.raw/RTDC4050/ "%USERPROFILE%\AppData\Local\Temp\OnboardLogs"\RTDC4050\2017-09-19 --exclude "*" --recursive --include "*20170919*" &amp; "%USERPROFILE%\Documents\GitHub\mrs-test-scripts\Headless Mode &amp; Sideloading\WalkAndUnGZ.bat" "%USERPROFILE%\AppData\Local\Temp\OnboardLogs"\RTDC4050\2017-09-19 &amp; aws s3 cp s3://rtdc.mdm.uploadarchive.raw/RTDC4050/ "%USERPROFILE%\AppData\Local\Temp\OnboardLogs"\RTDC4050\2017-09-20 --exclude "*" --recursive --include "*20170920*" &amp; "%USERPROFILE%\Documents\GitHub\mrs-test-scripts\Headless Mode &amp; Sideloading\WalkAndUnGZ.bat" "%USERPROFILE%\AppData\Local\Temp\OnboardLogs"\RTDC4050\2017-09-20</v>
      </c>
      <c r="AF95" s="74" t="str">
        <f t="shared" si="45"/>
        <v>"C:\Program Files (x86)\AstroGrep\AstroGrep.exe" /e /r /s /spath="%USERPROFILE%\AppData\Local\Temp\OnboardLogs" /stypes="app*4050*20170919*" /stext=" 20:.+((SYSTEM_STATE.+slice.+state.+changed )|(ment ac)|(multiple cpu faults)|(system.+state.+changed )|(\[timeout)|(PRM\|1\|D)|(kpr)|(kdp)|(train st.+moving)|(\|lc)|(penalty))"</v>
      </c>
      <c r="AG95" s="182" t="str">
        <f t="shared" si="46"/>
        <v>EC</v>
      </c>
      <c r="AH95" s="78" t="str">
        <f t="shared" si="47"/>
        <v>"%USERPROFILE%\Documents\GitHub\eaglep3\Utilities\RefineRTDCRunTimes.py" --tripid 181-19 --locoid 4050 --swversion DE.1.0.9.0 --startMP 204:460 --initTime 2017-09-19T13:42:47 --startdatetime 2017-09-19T13:45:18 --delay 59 --endMP 204:233312 --enddatetime 2017-09-19T14:21:50 --enforcementcount 0 &gt;&gt;C:\Users\stu\Documents\GitHub\eaglep3-reporting\EC\2017-09-19-refined-times.txt</v>
      </c>
      <c r="AI95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{"issue":{"subject":"","project_id":79,"tracker_id":40,"status_id":1,"priority_id":2,"assigned_to_id":338,"start_date":"2017-09-19","description":"","custom_fields":[{"id":1,"name":"Subdivision","value":"EC"},{"id":4,"name":"Milepost","value":"23.3312"},{"id":17,"name":"Train ID","value":"181-19"},{"id":16,"name":"Locomotive ID","value":"4050"},{"id":130,"name":"Impact","value":""},{"id":150,"name":"Time of Event (Mountain Time)","value":"14:21:50"},{"id":151,"name":"Denver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49"/>
        <v>start /low /b %USERPROFILE%\Documents\GitHub\eaglep3\Utilities\DownloadLogsFromS3.py --loco 4050 --day 2017-09-19</v>
      </c>
      <c r="AN95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20:21:50"},{"id":29,"name":"Sharepoint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51"/>
        <v>https://d0f6bd738d7f1b3e5a7ca70fe4ff75f0.us-east-1.aws.found.io/app/kibana#/discover/Steve-Slow-Train-Analysis-(2080s-and-2083s)?_g=(refreshInterval:(display:Off,pause:!f,section:0,value:0),time:(from:'2017-09-19T12:42:47-0600',mode:absolute,to:'2017-09-19T15:21:50-0600'))&amp;_a=(columns:!('Message%20ID',Summary),filters:!(),index:'emp_*',interval:auto,query:(query_string:(analyze_wildcard:!t,query:'Message%5C+ID:(*)+AND+%22rtdc.l.rtdc.4050%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637</v>
      </c>
      <c r="B96" s="7">
        <v>4049</v>
      </c>
      <c r="C96" s="21" t="s">
        <v>197</v>
      </c>
      <c r="D96" s="21" t="s">
        <v>886</v>
      </c>
      <c r="E96" s="13">
        <v>42997.606307870374</v>
      </c>
      <c r="F96" s="13">
        <v>42997.612696759257</v>
      </c>
      <c r="G96" s="7">
        <v>70</v>
      </c>
      <c r="H96" s="21" t="s">
        <v>359</v>
      </c>
      <c r="I96" s="13">
        <v>42997.639398148145</v>
      </c>
      <c r="J96" s="7">
        <v>0</v>
      </c>
      <c r="K96" s="89" t="str">
        <f t="shared" si="37"/>
        <v>4049/4050</v>
      </c>
      <c r="L96" s="185" t="str">
        <f>VLOOKUP(A96,'Trips&amp;Operators'!$C$1:$G$99911,5,FALSE)</f>
        <v>LEVERE CRAIG</v>
      </c>
      <c r="M96" s="6">
        <f t="shared" si="38"/>
        <v>2.6701388887886424E-2</v>
      </c>
      <c r="N96" s="7">
        <f t="shared" si="52"/>
        <v>38.44999999855645</v>
      </c>
      <c r="O96" s="7"/>
      <c r="P96" s="7"/>
      <c r="Q96" s="22"/>
      <c r="R96" s="174"/>
      <c r="S96" s="221">
        <f t="shared" si="53"/>
        <v>1</v>
      </c>
      <c r="T96" s="174" t="str">
        <f t="shared" si="39"/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40"/>
        <v>https://d0f6bd738d7f1b3e5a7ca70fe4ff75f0.us-east-1.aws.found.io/app/kibana#/discover/Steve-Slow-Train-Analysis-(2080s-and-2083s)?_g=(refreshInterval:(display:Off,pause:!f,section:0,value:0),time:(from:'2017-09-19T13:33:05-0600',mode:absolute,to:'2017-09-19T16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6" s="204" t="str">
        <f>IF(AA96&lt;VLOOKUP(AG96,Variables!$AC$3:$AD$8,2,FALSE),"Y","N")</f>
        <v>N</v>
      </c>
      <c r="X96" s="204">
        <f t="shared" si="41"/>
        <v>1</v>
      </c>
      <c r="Y96" s="204">
        <f t="shared" si="54"/>
        <v>23.300999999999998</v>
      </c>
      <c r="Z96" s="204">
        <f t="shared" si="55"/>
        <v>1.52E-2</v>
      </c>
      <c r="AA96" s="204">
        <f t="shared" si="42"/>
        <v>23.285799999999998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 t="shared" si="43"/>
        <v>182</v>
      </c>
      <c r="AE96" s="77" t="str">
        <f t="shared" si="44"/>
        <v>aws s3 cp s3://rtdc.mdm.uploadarchive.raw/RTDC4049/ "%USERPROFILE%\AppData\Local\Temp\OnboardLogs"\RTDC4049\2017-09-19 --exclude "*" --recursive --include "*20170919*" &amp; "%USERPROFILE%\Documents\GitHub\mrs-test-scripts\Headless Mode &amp; Sideloading\WalkAndUnGZ.bat" "%USERPROFILE%\AppData\Local\Temp\OnboardLogs"\RTDC4049\2017-09-19 &amp; aws s3 cp s3://rtdc.mdm.uploadarchive.raw/RTDC4049/ "%USERPROFILE%\AppData\Local\Temp\OnboardLogs"\RTDC4049\2017-09-20 --exclude "*" --recursive --include "*20170920*" &amp; "%USERPROFILE%\Documents\GitHub\mrs-test-scripts\Headless Mode &amp; Sideloading\WalkAndUnGZ.bat" "%USERPROFILE%\AppData\Local\Temp\OnboardLogs"\RTDC4049\2017-09-20</v>
      </c>
      <c r="AF96" s="74" t="str">
        <f t="shared" si="45"/>
        <v>"C:\Program Files (x86)\AstroGrep\AstroGrep.exe" /e /r /s /spath="%USERPROFILE%\AppData\Local\Temp\OnboardLogs" /stypes="app*4049*20170919*" /stext=" 21:.+((SYSTEM_STATE.+slice.+state.+changed )|(ment ac)|(multiple cpu faults)|(system.+state.+changed )|(\[timeout)|(PRM\|1\|D)|(kpr)|(kdp)|(train st.+moving)|(\|lc)|(penalty))"</v>
      </c>
      <c r="AG96" s="182" t="str">
        <f t="shared" si="46"/>
        <v>EC</v>
      </c>
      <c r="AH96" s="78" t="str">
        <f t="shared" si="47"/>
        <v>"%USERPROFILE%\Documents\GitHub\eaglep3\Utilities\RefineRTDCRunTimes.py" --tripid 182-19 --locoid 4049 --swversion DE.1.0.9.0 --startMP 204:233010 --initTime 2017-09-19T14:33:05 --startdatetime 2017-09-19T14:42:17 --delay 70 --endMP 204:152 --enddatetime 2017-09-19T15:20:44 --enforcementcount 0 &gt;&gt;C:\Users\stu\Documents\GitHub\eaglep3-reporting\EC\2017-09-19-refined-times.txt</v>
      </c>
      <c r="AI96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{"issue":{"subject":"","project_id":79,"tracker_id":40,"status_id":1,"priority_id":2,"assigned_to_id":338,"start_date":"2017-09-19","description":"","custom_fields":[{"id":1,"name":"Subdivision","value":"EC"},{"id":4,"name":"Milepost","value":"0.0152"},{"id":17,"name":"Train ID","value":"182-19"},{"id":16,"name":"Locomotive ID","value":"4049"},{"id":130,"name":"Impact","value":""},{"id":150,"name":"Time of Event (Mountain Time)","value":"15:20:44"},{"id":151,"name":"Denver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49"/>
        <v>start /low /b %USERPROFILE%\Documents\GitHub\eaglep3\Utilities\DownloadLogsFromS3.py --loco 4049 --day 2017-09-19</v>
      </c>
      <c r="AN96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21:20:44"},{"id":29,"name":"Sharepoint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51"/>
        <v>https://d0f6bd738d7f1b3e5a7ca70fe4ff75f0.us-east-1.aws.found.io/app/kibana#/discover/Steve-Slow-Train-Analysis-(2080s-and-2083s)?_g=(refreshInterval:(display:Off,pause:!f,section:0,value:0),time:(from:'2017-09-19T13:33:05-0600',mode:absolute,to:'2017-09-19T16:20:44-0600'))&amp;_a=(columns:!('Message%20ID',Summary),filters:!(),index:'emp_*',interval:auto,query:(query_string:(analyze_wildcard:!t,query:'Message%5C+ID:(*)+AND+%22rtdc.l.rtdc.4049%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762</v>
      </c>
      <c r="B97" s="7">
        <v>4054</v>
      </c>
      <c r="C97" s="21" t="s">
        <v>197</v>
      </c>
      <c r="D97" s="21" t="s">
        <v>337</v>
      </c>
      <c r="E97" s="13">
        <v>42997.579004629632</v>
      </c>
      <c r="F97" s="13">
        <v>42997.583564814813</v>
      </c>
      <c r="G97" s="7">
        <v>91</v>
      </c>
      <c r="H97" s="21" t="s">
        <v>569</v>
      </c>
      <c r="I97" s="13">
        <v>42997.608495370368</v>
      </c>
      <c r="J97" s="7">
        <v>0</v>
      </c>
      <c r="K97" s="89" t="str">
        <f t="shared" si="37"/>
        <v>4053/4054</v>
      </c>
      <c r="L97" s="185" t="str">
        <f>VLOOKUP(A97,'Trips&amp;Operators'!$C$1:$G$99911,5,FALSE)</f>
        <v>SAFIEF AEIMEN</v>
      </c>
      <c r="M97" s="6">
        <f t="shared" si="38"/>
        <v>2.4930555555329192E-2</v>
      </c>
      <c r="N97" s="7">
        <f t="shared" si="52"/>
        <v>35.899999999674037</v>
      </c>
      <c r="O97" s="7"/>
      <c r="P97" s="7"/>
      <c r="Q97" s="22"/>
      <c r="R97" s="174"/>
      <c r="S97" s="221">
        <f t="shared" si="53"/>
        <v>1</v>
      </c>
      <c r="T97" s="174" t="str">
        <f t="shared" si="39"/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40"/>
        <v>https://d0f6bd738d7f1b3e5a7ca70fe4ff75f0.us-east-1.aws.found.io/app/kibana#/discover/Steve-Slow-Train-Analysis-(2080s-and-2083s)?_g=(refreshInterval:(display:Off,pause:!f,section:0,value:0),time:(from:'2017-09-19T12:53:46-0600',mode:absolute,to:'2017-09-19T15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7" s="204" t="str">
        <f>IF(AA97&lt;VLOOKUP(AG97,Variables!$AC$3:$AD$8,2,FALSE),"Y","N")</f>
        <v>N</v>
      </c>
      <c r="X97" s="204">
        <f t="shared" si="41"/>
        <v>1</v>
      </c>
      <c r="Y97" s="204">
        <f t="shared" si="54"/>
        <v>4.4600000000000001E-2</v>
      </c>
      <c r="Z97" s="204">
        <f t="shared" si="55"/>
        <v>23.330300000000001</v>
      </c>
      <c r="AA97" s="204">
        <f t="shared" si="42"/>
        <v>23.285700000000002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 t="shared" si="43"/>
        <v>183</v>
      </c>
      <c r="AE97" s="77" t="str">
        <f t="shared" si="44"/>
        <v>aws s3 cp s3://rtdc.mdm.uploadarchive.raw/RTDC4054/ "%USERPROFILE%\AppData\Local\Temp\OnboardLogs"\RTDC4054\2017-09-19 --exclude "*" --recursive --include "*20170919*" &amp; "%USERPROFILE%\Documents\GitHub\mrs-test-scripts\Headless Mode &amp; Sideloading\WalkAndUnGZ.bat" "%USERPROFILE%\AppData\Local\Temp\OnboardLogs"\RTDC4054\2017-09-19 &amp; aws s3 cp s3://rtdc.mdm.uploadarchive.raw/RTDC4054/ "%USERPROFILE%\AppData\Local\Temp\OnboardLogs"\RTDC4054\2017-09-20 --exclude "*" --recursive --include "*20170920*" &amp; "%USERPROFILE%\Documents\GitHub\mrs-test-scripts\Headless Mode &amp; Sideloading\WalkAndUnGZ.bat" "%USERPROFILE%\AppData\Local\Temp\OnboardLogs"\RTDC4054\2017-09-20</v>
      </c>
      <c r="AF97" s="74" t="str">
        <f t="shared" si="45"/>
        <v>"C:\Program Files (x86)\AstroGrep\AstroGrep.exe" /e /r /s /spath="%USERPROFILE%\AppData\Local\Temp\OnboardLogs" /stypes="app*4054*20170919*" /stext=" 20:.+((SYSTEM_STATE.+slice.+state.+changed )|(ment ac)|(multiple cpu faults)|(system.+state.+changed )|(\[timeout)|(PRM\|1\|D)|(kpr)|(kdp)|(train st.+moving)|(\|lc)|(penalty))"</v>
      </c>
      <c r="AG97" s="182" t="str">
        <f t="shared" si="46"/>
        <v>EC</v>
      </c>
      <c r="AH97" s="78" t="str">
        <f t="shared" si="47"/>
        <v>"%USERPROFILE%\Documents\GitHub\eaglep3\Utilities\RefineRTDCRunTimes.py" --tripid 183-19 --locoid 4054 --swversion DE.1.0.9.0 --startMP 204:446 --initTime 2017-09-19T13:53:46 --startdatetime 2017-09-19T14:00:20 --delay 91 --endMP 204:233303 --enddatetime 2017-09-19T14:36:14 --enforcementcount 0 &gt;&gt;C:\Users\stu\Documents\GitHub\eaglep3-reporting\EC\2017-09-19-refined-times.txt</v>
      </c>
      <c r="AI97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{"issue":{"subject":"","project_id":79,"tracker_id":40,"status_id":1,"priority_id":2,"assigned_to_id":338,"start_date":"2017-09-19","description":"","custom_fields":[{"id":1,"name":"Subdivision","value":"EC"},{"id":4,"name":"Milepost","value":"23.3303"},{"id":17,"name":"Train ID","value":"183-19"},{"id":16,"name":"Locomotive ID","value":"4054"},{"id":130,"name":"Impact","value":""},{"id":150,"name":"Time of Event (Mountain Time)","value":"14:36:14"},{"id":151,"name":"Denver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49"/>
        <v>start /low /b %USERPROFILE%\Documents\GitHub\eaglep3\Utilities\DownloadLogsFromS3.py --loco 4054 --day 2017-09-19</v>
      </c>
      <c r="AN97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20:36:14"},{"id":29,"name":"Sharepoint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51"/>
        <v>https://d0f6bd738d7f1b3e5a7ca70fe4ff75f0.us-east-1.aws.found.io/app/kibana#/discover/Steve-Slow-Train-Analysis-(2080s-and-2083s)?_g=(refreshInterval:(display:Off,pause:!f,section:0,value:0),time:(from:'2017-09-19T12:53:46-0600',mode:absolute,to:'2017-09-19T15:36:14-0600'))&amp;_a=(columns:!('Message%20ID',Summary),filters:!(),index:'emp_*',interval:auto,query:(query_string:(analyze_wildcard:!t,query:'Message%5C+ID:(*)+AND+%22rtdc.l.rtdc.4054%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769</v>
      </c>
      <c r="B98" s="7">
        <v>4053</v>
      </c>
      <c r="C98" s="21" t="s">
        <v>197</v>
      </c>
      <c r="D98" s="21" t="s">
        <v>426</v>
      </c>
      <c r="E98" s="13">
        <v>42997.613055555557</v>
      </c>
      <c r="F98" s="13">
        <v>42997.623171296298</v>
      </c>
      <c r="G98" s="7">
        <v>61</v>
      </c>
      <c r="H98" s="21" t="s">
        <v>365</v>
      </c>
      <c r="I98" s="13">
        <v>42997.649247685185</v>
      </c>
      <c r="J98" s="7">
        <v>0</v>
      </c>
      <c r="K98" s="89" t="str">
        <f t="shared" si="37"/>
        <v>4053/4054</v>
      </c>
      <c r="L98" s="185" t="str">
        <f>VLOOKUP(A98,'Trips&amp;Operators'!$C$1:$G$99911,5,FALSE)</f>
        <v>SAFIEF AEIMEN</v>
      </c>
      <c r="M98" s="6">
        <f t="shared" si="38"/>
        <v>2.6076388887304347E-2</v>
      </c>
      <c r="N98" s="7">
        <f t="shared" si="52"/>
        <v>37.54999999771826</v>
      </c>
      <c r="O98" s="7"/>
      <c r="P98" s="7"/>
      <c r="Q98" s="22"/>
      <c r="R98" s="174"/>
      <c r="S98" s="221">
        <f t="shared" si="53"/>
        <v>1</v>
      </c>
      <c r="T98" s="174" t="str">
        <f t="shared" si="39"/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40"/>
        <v>https://d0f6bd738d7f1b3e5a7ca70fe4ff75f0.us-east-1.aws.found.io/app/kibana#/discover/Steve-Slow-Train-Analysis-(2080s-and-2083s)?_g=(refreshInterval:(display:Off,pause:!f,section:0,value:0),time:(from:'2017-09-19T13:42:48-0600',mode:absolute,to:'2017-09-19T16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8" s="204" t="str">
        <f>IF(AA98&lt;VLOOKUP(AG98,Variables!$AC$3:$AD$8,2,FALSE),"Y","N")</f>
        <v>N</v>
      </c>
      <c r="X98" s="204">
        <f t="shared" si="41"/>
        <v>1</v>
      </c>
      <c r="Y98" s="204">
        <f t="shared" si="54"/>
        <v>23.301300000000001</v>
      </c>
      <c r="Z98" s="204">
        <f t="shared" si="55"/>
        <v>1.38E-2</v>
      </c>
      <c r="AA98" s="204">
        <f t="shared" si="42"/>
        <v>23.287500000000001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 t="shared" si="43"/>
        <v>184</v>
      </c>
      <c r="AE98" s="77" t="str">
        <f t="shared" si="44"/>
        <v>aws s3 cp s3://rtdc.mdm.uploadarchive.raw/RTDC4053/ "%USERPROFILE%\AppData\Local\Temp\OnboardLogs"\RTDC4053\2017-09-19 --exclude "*" --recursive --include "*20170919*" &amp; "%USERPROFILE%\Documents\GitHub\mrs-test-scripts\Headless Mode &amp; Sideloading\WalkAndUnGZ.bat" "%USERPROFILE%\AppData\Local\Temp\OnboardLogs"\RTDC4053\2017-09-19 &amp; aws s3 cp s3://rtdc.mdm.uploadarchive.raw/RTDC4053/ "%USERPROFILE%\AppData\Local\Temp\OnboardLogs"\RTDC4053\2017-09-20 --exclude "*" --recursive --include "*20170920*" &amp; "%USERPROFILE%\Documents\GitHub\mrs-test-scripts\Headless Mode &amp; Sideloading\WalkAndUnGZ.bat" "%USERPROFILE%\AppData\Local\Temp\OnboardLogs"\RTDC4053\2017-09-20</v>
      </c>
      <c r="AF98" s="74" t="str">
        <f t="shared" si="45"/>
        <v>"C:\Program Files (x86)\AstroGrep\AstroGrep.exe" /e /r /s /spath="%USERPROFILE%\AppData\Local\Temp\OnboardLogs" /stypes="app*4053*20170919*" /stext=" 21:.+((SYSTEM_STATE.+slice.+state.+changed )|(ment ac)|(multiple cpu faults)|(system.+state.+changed )|(\[timeout)|(PRM\|1\|D)|(kpr)|(kdp)|(train st.+moving)|(\|lc)|(penalty))"</v>
      </c>
      <c r="AG98" s="182" t="str">
        <f t="shared" si="46"/>
        <v>EC</v>
      </c>
      <c r="AH98" s="78" t="str">
        <f t="shared" si="47"/>
        <v>"%USERPROFILE%\Documents\GitHub\eaglep3\Utilities\RefineRTDCRunTimes.py" --tripid 184-19 --locoid 4053 --swversion DE.1.0.9.0 --startMP 204:233013 --initTime 2017-09-19T14:42:48 --startdatetime 2017-09-19T14:57:22 --delay 61 --endMP 204:138 --enddatetime 2017-09-19T15:34:55 --enforcementcount 0 &gt;&gt;C:\Users\stu\Documents\GitHub\eaglep3-reporting\EC\2017-09-19-refined-times.txt</v>
      </c>
      <c r="AI98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{"issue":{"subject":"","project_id":79,"tracker_id":40,"status_id":1,"priority_id":2,"assigned_to_id":338,"start_date":"2017-09-19","description":"","custom_fields":[{"id":1,"name":"Subdivision","value":"EC"},{"id":4,"name":"Milepost","value":"0.0138"},{"id":17,"name":"Train ID","value":"184-19"},{"id":16,"name":"Locomotive ID","value":"4053"},{"id":130,"name":"Impact","value":""},{"id":150,"name":"Time of Event (Mountain Time)","value":"15:34:55"},{"id":151,"name":"Denver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49"/>
        <v>start /low /b %USERPROFILE%\Documents\GitHub\eaglep3\Utilities\DownloadLogsFromS3.py --loco 4053 --day 2017-09-19</v>
      </c>
      <c r="AN98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21:34:55"},{"id":29,"name":"Sharepoint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51"/>
        <v>https://d0f6bd738d7f1b3e5a7ca70fe4ff75f0.us-east-1.aws.found.io/app/kibana#/discover/Steve-Slow-Train-Analysis-(2080s-and-2083s)?_g=(refreshInterval:(display:Off,pause:!f,section:0,value:0),time:(from:'2017-09-19T13:42:48-0600',mode:absolute,to:'2017-09-19T16:34:55-0600'))&amp;_a=(columns:!('Message%20ID',Summary),filters:!(),index:'emp_*',interval:auto,query:(query_string:(analyze_wildcard:!t,query:'Message%5C+ID:(*)+AND+%22rtdc.l.rtdc.4053%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2" t="s">
        <v>636</v>
      </c>
      <c r="B99" s="7">
        <v>4028</v>
      </c>
      <c r="C99" s="21" t="s">
        <v>197</v>
      </c>
      <c r="D99" s="21" t="s">
        <v>418</v>
      </c>
      <c r="E99" s="13">
        <v>42997.59171296296</v>
      </c>
      <c r="F99" s="13">
        <v>42997.594039351854</v>
      </c>
      <c r="G99" s="7">
        <v>54</v>
      </c>
      <c r="H99" s="21" t="s">
        <v>887</v>
      </c>
      <c r="I99" s="13">
        <v>42997.620104166665</v>
      </c>
      <c r="J99" s="7">
        <v>0</v>
      </c>
      <c r="K99" s="89" t="str">
        <f t="shared" si="37"/>
        <v>4027/4028</v>
      </c>
      <c r="L99" s="185" t="str">
        <f>VLOOKUP(A99,'Trips&amp;Operators'!$C$1:$G$99911,5,FALSE)</f>
        <v>DAVIS MICHAEL</v>
      </c>
      <c r="M99" s="6">
        <f t="shared" si="38"/>
        <v>2.6064814810524695E-2</v>
      </c>
      <c r="N99" s="7">
        <f t="shared" si="52"/>
        <v>37.53333332715556</v>
      </c>
      <c r="O99" s="7"/>
      <c r="P99" s="7"/>
      <c r="Q99" s="22"/>
      <c r="R99" s="174"/>
      <c r="S99" s="221">
        <f t="shared" si="53"/>
        <v>1</v>
      </c>
      <c r="T99" s="174" t="str">
        <f t="shared" si="39"/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40"/>
        <v>https://d0f6bd738d7f1b3e5a7ca70fe4ff75f0.us-east-1.aws.found.io/app/kibana#/discover/Steve-Slow-Train-Analysis-(2080s-and-2083s)?_g=(refreshInterval:(display:Off,pause:!f,section:0,value:0),time:(from:'2017-09-19T13:12:04-0600',mode:absolute,to:'2017-09-19T15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9" s="204" t="str">
        <f>IF(AA99&lt;VLOOKUP(AG99,Variables!$AC$3:$AD$8,2,FALSE),"Y","N")</f>
        <v>N</v>
      </c>
      <c r="X99" s="204">
        <f t="shared" si="41"/>
        <v>1</v>
      </c>
      <c r="Y99" s="204">
        <f t="shared" si="54"/>
        <v>4.4400000000000002E-2</v>
      </c>
      <c r="Z99" s="204">
        <f t="shared" si="55"/>
        <v>23.334599999999998</v>
      </c>
      <c r="AA99" s="204">
        <f t="shared" si="42"/>
        <v>23.290199999999999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 t="shared" si="43"/>
        <v>185</v>
      </c>
      <c r="AE99" s="77" t="str">
        <f t="shared" si="44"/>
        <v>aws s3 cp s3://rtdc.mdm.uploadarchive.raw/RTDC4028/ "%USERPROFILE%\AppData\Local\Temp\OnboardLogs"\RTDC4028\2017-09-19 --exclude "*" --recursive --include "*20170919*" &amp; "%USERPROFILE%\Documents\GitHub\mrs-test-scripts\Headless Mode &amp; Sideloading\WalkAndUnGZ.bat" "%USERPROFILE%\AppData\Local\Temp\OnboardLogs"\RTDC4028\2017-09-19 &amp; aws s3 cp s3://rtdc.mdm.uploadarchive.raw/RTDC4028/ "%USERPROFILE%\AppData\Local\Temp\OnboardLogs"\RTDC4028\2017-09-20 --exclude "*" --recursive --include "*20170920*" &amp; "%USERPROFILE%\Documents\GitHub\mrs-test-scripts\Headless Mode &amp; Sideloading\WalkAndUnGZ.bat" "%USERPROFILE%\AppData\Local\Temp\OnboardLogs"\RTDC4028\2017-09-20</v>
      </c>
      <c r="AF99" s="74" t="str">
        <f t="shared" si="45"/>
        <v>"C:\Program Files (x86)\AstroGrep\AstroGrep.exe" /e /r /s /spath="%USERPROFILE%\AppData\Local\Temp\OnboardLogs" /stypes="app*4028*20170919*" /stext=" 20:.+((SYSTEM_STATE.+slice.+state.+changed )|(ment ac)|(multiple cpu faults)|(system.+state.+changed )|(\[timeout)|(PRM\|1\|D)|(kpr)|(kdp)|(train st.+moving)|(\|lc)|(penalty))"</v>
      </c>
      <c r="AG99" s="182" t="str">
        <f t="shared" si="46"/>
        <v>EC</v>
      </c>
      <c r="AH99" s="78" t="str">
        <f t="shared" si="47"/>
        <v>"%USERPROFILE%\Documents\GitHub\eaglep3\Utilities\RefineRTDCRunTimes.py" --tripid 185-19 --locoid 4028 --swversion DE.1.0.9.0 --startMP 204:444 --initTime 2017-09-19T14:12:04 --startdatetime 2017-09-19T14:15:25 --delay 54 --endMP 204:233346 --enddatetime 2017-09-19T14:52:57 --enforcementcount 0 &gt;&gt;C:\Users\stu\Documents\GitHub\eaglep3-reporting\EC\2017-09-19-refined-times.txt</v>
      </c>
      <c r="AI99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{"issue":{"subject":"","project_id":79,"tracker_id":40,"status_id":1,"priority_id":2,"assigned_to_id":338,"start_date":"2017-09-19","description":"","custom_fields":[{"id":1,"name":"Subdivision","value":"EC"},{"id":4,"name":"Milepost","value":"23.3346"},{"id":17,"name":"Train ID","value":"185-19"},{"id":16,"name":"Locomotive ID","value":"4028"},{"id":130,"name":"Impact","value":""},{"id":150,"name":"Time of Event (Mountain Time)","value":"14:52:57"},{"id":151,"name":"Denver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2" t="str">
        <f t="shared" si="49"/>
        <v>start /low /b %USERPROFILE%\Documents\GitHub\eaglep3\Utilities\DownloadLogsFromS3.py --loco 4028 --day 2017-09-19</v>
      </c>
      <c r="AN99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20:52:57"},{"id":29,"name":"Sharepoint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51"/>
        <v>https://d0f6bd738d7f1b3e5a7ca70fe4ff75f0.us-east-1.aws.found.io/app/kibana#/discover/Steve-Slow-Train-Analysis-(2080s-and-2083s)?_g=(refreshInterval:(display:Off,pause:!f,section:0,value:0),time:(from:'2017-09-19T13:12:04-0600',mode:absolute,to:'2017-09-19T15:52:57-0600'))&amp;_a=(columns:!('Message%20ID',Summary),filters:!(),index:'emp_*',interval:auto,query:(query_string:(analyze_wildcard:!t,query:'Message%5C+ID:(*)+AND+%22rtdc.l.rtdc.4028%22')),sort:!(Time.ISO8601,asc))</v>
      </c>
    </row>
    <row r="100" spans="1:91" s="20" customFormat="1" x14ac:dyDescent="0.25">
      <c r="A100" s="32" t="s">
        <v>773</v>
      </c>
      <c r="B100" s="7">
        <v>4027</v>
      </c>
      <c r="C100" s="21" t="s">
        <v>197</v>
      </c>
      <c r="D100" s="21" t="s">
        <v>529</v>
      </c>
      <c r="E100" s="13">
        <v>42997.631631944445</v>
      </c>
      <c r="F100" s="13">
        <v>42997.633634259262</v>
      </c>
      <c r="G100" s="7">
        <v>62</v>
      </c>
      <c r="H100" s="21" t="s">
        <v>340</v>
      </c>
      <c r="I100" s="13">
        <v>42997.660810185182</v>
      </c>
      <c r="J100" s="7">
        <v>0</v>
      </c>
      <c r="K100" s="89" t="str">
        <f t="shared" si="37"/>
        <v>4027/4028</v>
      </c>
      <c r="L100" s="185" t="str">
        <f>VLOOKUP(A100,'Trips&amp;Operators'!$C$1:$G$99911,5,FALSE)</f>
        <v>DAVIS MICHAEL</v>
      </c>
      <c r="M100" s="6">
        <f t="shared" si="38"/>
        <v>2.717592591943685E-2</v>
      </c>
      <c r="N100" s="7">
        <f t="shared" si="52"/>
        <v>39.133333323989064</v>
      </c>
      <c r="O100" s="7"/>
      <c r="P100" s="7"/>
      <c r="Q100" s="22"/>
      <c r="R100" s="174"/>
      <c r="S100" s="221">
        <f t="shared" si="53"/>
        <v>1</v>
      </c>
      <c r="T100" s="174" t="str">
        <f t="shared" si="39"/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40"/>
        <v>https://d0f6bd738d7f1b3e5a7ca70fe4ff75f0.us-east-1.aws.found.io/app/kibana#/discover/Steve-Slow-Train-Analysis-(2080s-and-2083s)?_g=(refreshInterval:(display:Off,pause:!f,section:0,value:0),time:(from:'2017-09-19T14:09:33-0600',mode:absolute,to:'2017-09-19T16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0" s="204" t="str">
        <f>IF(AA100&lt;VLOOKUP(AG100,Variables!$AC$3:$AD$8,2,FALSE),"Y","N")</f>
        <v>N</v>
      </c>
      <c r="X100" s="204">
        <f t="shared" si="41"/>
        <v>1</v>
      </c>
      <c r="Y100" s="204">
        <f t="shared" si="54"/>
        <v>23.302299999999999</v>
      </c>
      <c r="Z100" s="204">
        <f t="shared" si="55"/>
        <v>1.43E-2</v>
      </c>
      <c r="AA100" s="204">
        <f t="shared" si="42"/>
        <v>23.288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 t="shared" si="43"/>
        <v>186</v>
      </c>
      <c r="AE100" s="77" t="str">
        <f t="shared" si="44"/>
        <v>aws s3 cp s3://rtdc.mdm.uploadarchive.raw/RTDC4027/ "%USERPROFILE%\AppData\Local\Temp\OnboardLogs"\RTDC4027\2017-09-19 --exclude "*" --recursive --include "*20170919*" &amp; "%USERPROFILE%\Documents\GitHub\mrs-test-scripts\Headless Mode &amp; Sideloading\WalkAndUnGZ.bat" "%USERPROFILE%\AppData\Local\Temp\OnboardLogs"\RTDC4027\2017-09-19 &amp; aws s3 cp s3://rtdc.mdm.uploadarchive.raw/RTDC4027/ "%USERPROFILE%\AppData\Local\Temp\OnboardLogs"\RTDC4027\2017-09-20 --exclude "*" --recursive --include "*20170920*" &amp; "%USERPROFILE%\Documents\GitHub\mrs-test-scripts\Headless Mode &amp; Sideloading\WalkAndUnGZ.bat" "%USERPROFILE%\AppData\Local\Temp\OnboardLogs"\RTDC4027\2017-09-20</v>
      </c>
      <c r="AF100" s="74" t="str">
        <f t="shared" si="45"/>
        <v>"C:\Program Files (x86)\AstroGrep\AstroGrep.exe" /e /r /s /spath="%USERPROFILE%\AppData\Local\Temp\OnboardLogs" /stypes="app*4027*20170919*" /stext=" 21:.+((SYSTEM_STATE.+slice.+state.+changed )|(ment ac)|(multiple cpu faults)|(system.+state.+changed )|(\[timeout)|(PRM\|1\|D)|(kpr)|(kdp)|(train st.+moving)|(\|lc)|(penalty))"</v>
      </c>
      <c r="AG100" s="182" t="str">
        <f t="shared" si="46"/>
        <v>EC</v>
      </c>
      <c r="AH100" s="78" t="str">
        <f t="shared" si="47"/>
        <v>"%USERPROFILE%\Documents\GitHub\eaglep3\Utilities\RefineRTDCRunTimes.py" --tripid 186-19 --locoid 4027 --swversion DE.1.0.9.0 --startMP 204:233023 --initTime 2017-09-19T15:09:33 --startdatetime 2017-09-19T15:12:26 --delay 62 --endMP 204:143 --enddatetime 2017-09-19T15:51:34 --enforcementcount 0 &gt;&gt;C:\Users\stu\Documents\GitHub\eaglep3-reporting\EC\2017-09-19-refined-times.txt</v>
      </c>
      <c r="AI100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{"issue":{"subject":"","project_id":79,"tracker_id":40,"status_id":1,"priority_id":2,"assigned_to_id":338,"start_date":"2017-09-19","description":"","custom_fields":[{"id":1,"name":"Subdivision","value":"EC"},{"id":4,"name":"Milepost","value":"0.0143"},{"id":17,"name":"Train ID","value":"186-19"},{"id":16,"name":"Locomotive ID","value":"4027"},{"id":130,"name":"Impact","value":""},{"id":150,"name":"Time of Event (Mountain Time)","value":"15:51:34"},{"id":151,"name":"Denver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9"/>
        <v>start /low /b %USERPROFILE%\Documents\GitHub\eaglep3\Utilities\DownloadLogsFromS3.py --loco 4027 --day 2017-09-19</v>
      </c>
      <c r="AN100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21:51:34"},{"id":29,"name":"Sharepoint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51"/>
        <v>https://d0f6bd738d7f1b3e5a7ca70fe4ff75f0.us-east-1.aws.found.io/app/kibana#/discover/Steve-Slow-Train-Analysis-(2080s-and-2083s)?_g=(refreshInterval:(display:Off,pause:!f,section:0,value:0),time:(from:'2017-09-19T14:09:33-0600',mode:absolute,to:'2017-09-19T16:51:34-0600'))&amp;_a=(columns:!('Message%20ID',Summary),filters:!(),index:'emp_*',interval:auto,query:(query_string:(analyze_wildcard:!t,query:'Message%5C+ID:(*)+AND+%22rtdc.l.rtdc.4027%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766</v>
      </c>
      <c r="B101" s="7">
        <v>4014</v>
      </c>
      <c r="C101" s="21" t="s">
        <v>197</v>
      </c>
      <c r="D101" s="21" t="s">
        <v>360</v>
      </c>
      <c r="E101" s="13">
        <v>42997.599224537036</v>
      </c>
      <c r="F101" s="13">
        <v>42997.604398148149</v>
      </c>
      <c r="G101" s="7">
        <v>62</v>
      </c>
      <c r="H101" s="21" t="s">
        <v>888</v>
      </c>
      <c r="I101" s="13">
        <v>42997.629386574074</v>
      </c>
      <c r="J101" s="7">
        <v>0</v>
      </c>
      <c r="K101" s="89" t="str">
        <f t="shared" si="37"/>
        <v>4013/4014</v>
      </c>
      <c r="L101" s="185" t="str">
        <f>VLOOKUP(A101,'Trips&amp;Operators'!$C$1:$G$99911,5,FALSE)</f>
        <v>SMITH MICHAEL</v>
      </c>
      <c r="M101" s="6">
        <f t="shared" si="38"/>
        <v>2.4988425924675539E-2</v>
      </c>
      <c r="N101" s="7">
        <f t="shared" si="52"/>
        <v>35.983333331532776</v>
      </c>
      <c r="O101" s="7"/>
      <c r="P101" s="7"/>
      <c r="Q101" s="22"/>
      <c r="R101" s="174"/>
      <c r="S101" s="221">
        <f t="shared" si="53"/>
        <v>1</v>
      </c>
      <c r="T101" s="174" t="str">
        <f t="shared" si="39"/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40"/>
        <v>https://d0f6bd738d7f1b3e5a7ca70fe4ff75f0.us-east-1.aws.found.io/app/kibana#/discover/Steve-Slow-Train-Analysis-(2080s-and-2083s)?_g=(refreshInterval:(display:Off,pause:!f,section:0,value:0),time:(from:'2017-09-19T13:22:53-0600',mode:absolute,to:'2017-09-19T16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1" s="204" t="str">
        <f>IF(AA101&lt;VLOOKUP(AG101,Variables!$AC$3:$AD$8,2,FALSE),"Y","N")</f>
        <v>N</v>
      </c>
      <c r="X101" s="204">
        <f t="shared" si="41"/>
        <v>1</v>
      </c>
      <c r="Y101" s="204">
        <f t="shared" si="54"/>
        <v>4.4900000000000002E-2</v>
      </c>
      <c r="Z101" s="204">
        <f t="shared" si="55"/>
        <v>23.328399999999998</v>
      </c>
      <c r="AA101" s="204">
        <f t="shared" si="42"/>
        <v>23.2835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 t="shared" si="43"/>
        <v>187</v>
      </c>
      <c r="AE101" s="77" t="str">
        <f t="shared" si="44"/>
        <v>aws s3 cp s3://rtdc.mdm.uploadarchive.raw/RTDC4014/ "%USERPROFILE%\AppData\Local\Temp\OnboardLogs"\RTDC4014\2017-09-19 --exclude "*" --recursive --include "*20170919*" &amp; "%USERPROFILE%\Documents\GitHub\mrs-test-scripts\Headless Mode &amp; Sideloading\WalkAndUnGZ.bat" "%USERPROFILE%\AppData\Local\Temp\OnboardLogs"\RTDC4014\2017-09-19 &amp; aws s3 cp s3://rtdc.mdm.uploadarchive.raw/RTDC4014/ "%USERPROFILE%\AppData\Local\Temp\OnboardLogs"\RTDC4014\2017-09-20 --exclude "*" --recursive --include "*20170920*" &amp; "%USERPROFILE%\Documents\GitHub\mrs-test-scripts\Headless Mode &amp; Sideloading\WalkAndUnGZ.bat" "%USERPROFILE%\AppData\Local\Temp\OnboardLogs"\RTDC4014\2017-09-20</v>
      </c>
      <c r="AF101" s="74" t="str">
        <f t="shared" si="45"/>
        <v>"C:\Program Files (x86)\AstroGrep\AstroGrep.exe" /e /r /s /spath="%USERPROFILE%\AppData\Local\Temp\OnboardLogs" /stypes="app*4014*20170919*" /stext=" 21:.+((SYSTEM_STATE.+slice.+state.+changed )|(ment ac)|(multiple cpu faults)|(system.+state.+changed )|(\[timeout)|(PRM\|1\|D)|(kpr)|(kdp)|(train st.+moving)|(\|lc)|(penalty))"</v>
      </c>
      <c r="AG101" s="182" t="str">
        <f t="shared" si="46"/>
        <v>EC</v>
      </c>
      <c r="AH101" s="78" t="str">
        <f t="shared" si="47"/>
        <v>"%USERPROFILE%\Documents\GitHub\eaglep3\Utilities\RefineRTDCRunTimes.py" --tripid 187-19 --locoid 4014 --swversion DE.1.0.9.0 --startMP 204:449 --initTime 2017-09-19T14:22:53 --startdatetime 2017-09-19T14:30:20 --delay 62 --endMP 204:233284 --enddatetime 2017-09-19T15:06:19 --enforcementcount 0 &gt;&gt;C:\Users\stu\Documents\GitHub\eaglep3-reporting\EC\2017-09-19-refined-times.txt</v>
      </c>
      <c r="AI101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{"issue":{"subject":"","project_id":79,"tracker_id":40,"status_id":1,"priority_id":2,"assigned_to_id":338,"start_date":"2017-09-19","description":"","custom_fields":[{"id":1,"name":"Subdivision","value":"EC"},{"id":4,"name":"Milepost","value":"23.3284"},{"id":17,"name":"Train ID","value":"187-19"},{"id":16,"name":"Locomotive ID","value":"4014"},{"id":130,"name":"Impact","value":""},{"id":150,"name":"Time of Event (Mountain Time)","value":"15:06:19"},{"id":151,"name":"Denver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9"/>
        <v>start /low /b %USERPROFILE%\Documents\GitHub\eaglep3\Utilities\DownloadLogsFromS3.py --loco 4014 --day 2017-09-19</v>
      </c>
      <c r="AN101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21:06:19"},{"id":29,"name":"Sharepoint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51"/>
        <v>https://d0f6bd738d7f1b3e5a7ca70fe4ff75f0.us-east-1.aws.found.io/app/kibana#/discover/Steve-Slow-Train-Analysis-(2080s-and-2083s)?_g=(refreshInterval:(display:Off,pause:!f,section:0,value:0),time:(from:'2017-09-19T13:22:53-0600',mode:absolute,to:'2017-09-19T16:06:19-0600'))&amp;_a=(columns:!('Message%20ID',Summary),filters:!(),index:'emp_*',interval:auto,query:(query_string:(analyze_wildcard:!t,query:'Message%5C+ID:(*)+AND+%22rtdc.l.rtdc.4014%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772</v>
      </c>
      <c r="B102" s="7">
        <v>4013</v>
      </c>
      <c r="C102" s="21" t="s">
        <v>197</v>
      </c>
      <c r="D102" s="21" t="s">
        <v>374</v>
      </c>
      <c r="E102" s="13">
        <v>42997.630879629629</v>
      </c>
      <c r="F102" s="13">
        <v>42997.64398148148</v>
      </c>
      <c r="G102" s="7">
        <v>58</v>
      </c>
      <c r="H102" s="21" t="s">
        <v>359</v>
      </c>
      <c r="I102" s="13">
        <v>42997.669814814813</v>
      </c>
      <c r="J102" s="7">
        <v>0</v>
      </c>
      <c r="K102" s="89" t="str">
        <f t="shared" si="37"/>
        <v>4013/4014</v>
      </c>
      <c r="L102" s="185" t="str">
        <f>VLOOKUP(A102,'Trips&amp;Operators'!$C$1:$G$99911,5,FALSE)</f>
        <v>SMITH MICHAEL</v>
      </c>
      <c r="M102" s="6">
        <f t="shared" si="38"/>
        <v>2.5833333333139308E-2</v>
      </c>
      <c r="N102" s="7">
        <f t="shared" si="52"/>
        <v>37.199999999720603</v>
      </c>
      <c r="O102" s="7"/>
      <c r="P102" s="7"/>
      <c r="Q102" s="22"/>
      <c r="R102" s="174"/>
      <c r="S102" s="221">
        <f t="shared" si="53"/>
        <v>1</v>
      </c>
      <c r="T102" s="174" t="str">
        <f t="shared" si="39"/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40"/>
        <v>https://d0f6bd738d7f1b3e5a7ca70fe4ff75f0.us-east-1.aws.found.io/app/kibana#/discover/Steve-Slow-Train-Analysis-(2080s-and-2083s)?_g=(refreshInterval:(display:Off,pause:!f,section:0,value:0),time:(from:'2017-09-19T14:08:28-0600',mode:absolute,to:'2017-09-19T17:04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2" s="204" t="str">
        <f>IF(AA102&lt;VLOOKUP(AG102,Variables!$AC$3:$AD$8,2,FALSE),"Y","N")</f>
        <v>N</v>
      </c>
      <c r="X102" s="204">
        <f t="shared" si="41"/>
        <v>1</v>
      </c>
      <c r="Y102" s="204">
        <f t="shared" si="54"/>
        <v>23.297699999999999</v>
      </c>
      <c r="Z102" s="204">
        <f t="shared" si="55"/>
        <v>1.52E-2</v>
      </c>
      <c r="AA102" s="204">
        <f t="shared" si="42"/>
        <v>23.282499999999999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 t="shared" si="43"/>
        <v>188</v>
      </c>
      <c r="AE102" s="77" t="str">
        <f t="shared" si="44"/>
        <v>aws s3 cp s3://rtdc.mdm.uploadarchive.raw/RTDC4013/ "%USERPROFILE%\AppData\Local\Temp\OnboardLogs"\RTDC4013\2017-09-19 --exclude "*" --recursive --include "*20170919*" &amp; "%USERPROFILE%\Documents\GitHub\mrs-test-scripts\Headless Mode &amp; Sideloading\WalkAndUnGZ.bat" "%USERPROFILE%\AppData\Local\Temp\OnboardLogs"\RTDC4013\2017-09-19 &amp; aws s3 cp s3://rtdc.mdm.uploadarchive.raw/RTDC4013/ "%USERPROFILE%\AppData\Local\Temp\OnboardLogs"\RTDC4013\2017-09-20 --exclude "*" --recursive --include "*20170920*" &amp; "%USERPROFILE%\Documents\GitHub\mrs-test-scripts\Headless Mode &amp; Sideloading\WalkAndUnGZ.bat" "%USERPROFILE%\AppData\Local\Temp\OnboardLogs"\RTDC4013\2017-09-20</v>
      </c>
      <c r="AF102" s="74" t="str">
        <f t="shared" si="45"/>
        <v>"C:\Program Files (x86)\AstroGrep\AstroGrep.exe" /e /r /s /spath="%USERPROFILE%\AppData\Local\Temp\OnboardLogs" /stypes="app*4013*20170919*" /stext=" 22:.+((SYSTEM_STATE.+slice.+state.+changed )|(ment ac)|(multiple cpu faults)|(system.+state.+changed )|(\[timeout)|(PRM\|1\|D)|(kpr)|(kdp)|(train st.+moving)|(\|lc)|(penalty))"</v>
      </c>
      <c r="AG102" s="182" t="str">
        <f t="shared" si="46"/>
        <v>EC</v>
      </c>
      <c r="AH102" s="78" t="str">
        <f t="shared" si="47"/>
        <v>"%USERPROFILE%\Documents\GitHub\eaglep3\Utilities\RefineRTDCRunTimes.py" --tripid 188-19 --locoid 4013 --swversion DE.1.0.9.0 --startMP 204:232977 --initTime 2017-09-19T15:08:28 --startdatetime 2017-09-19T15:27:20 --delay 58 --endMP 204:152 --enddatetime 2017-09-19T16:04:32 --enforcementcount 0 &gt;&gt;C:\Users\stu\Documents\GitHub\eaglep3-reporting\EC\2017-09-19-refined-times.txt</v>
      </c>
      <c r="AI102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{"issue":{"subject":"","project_id":79,"tracker_id":40,"status_id":1,"priority_id":2,"assigned_to_id":338,"start_date":"2017-09-19","description":"","custom_fields":[{"id":1,"name":"Subdivision","value":"EC"},{"id":4,"name":"Milepost","value":"0.0152"},{"id":17,"name":"Train ID","value":"188-19"},{"id":16,"name":"Locomotive ID","value":"4013"},{"id":130,"name":"Impact","value":""},{"id":150,"name":"Time of Event (Mountain Time)","value":"16:04:32"},{"id":151,"name":"Denver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9"/>
        <v>start /low /b %USERPROFILE%\Documents\GitHub\eaglep3\Utilities\DownloadLogsFromS3.py --loco 4013 --day 2017-09-19</v>
      </c>
      <c r="AN102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22:04:32"},{"id":29,"name":"Sharepoint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51"/>
        <v>https://d0f6bd738d7f1b3e5a7ca70fe4ff75f0.us-east-1.aws.found.io/app/kibana#/discover/Steve-Slow-Train-Analysis-(2080s-and-2083s)?_g=(refreshInterval:(display:Off,pause:!f,section:0,value:0),time:(from:'2017-09-19T14:08:28-0600',mode:absolute,to:'2017-09-19T17:04:32-0600'))&amp;_a=(columns:!('Message%20ID',Summary),filters:!(),index:'emp_*',interval:auto,query:(query_string:(analyze_wildcard:!t,query:'Message%5C+ID:(*)+AND+%22rtdc.l.rtdc.4013%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768</v>
      </c>
      <c r="B103" s="7">
        <v>4056</v>
      </c>
      <c r="C103" s="21" t="s">
        <v>197</v>
      </c>
      <c r="D103" s="21" t="s">
        <v>341</v>
      </c>
      <c r="E103" s="13">
        <v>42997.61037037037</v>
      </c>
      <c r="F103" s="13">
        <v>42997.614803240744</v>
      </c>
      <c r="G103" s="7">
        <v>114</v>
      </c>
      <c r="H103" s="21" t="s">
        <v>516</v>
      </c>
      <c r="I103" s="13">
        <v>42997.639282407406</v>
      </c>
      <c r="J103" s="7">
        <v>0</v>
      </c>
      <c r="K103" s="89" t="str">
        <f t="shared" si="37"/>
        <v>4055/4056</v>
      </c>
      <c r="L103" s="185" t="str">
        <f>VLOOKUP(A103,'Trips&amp;Operators'!$C$1:$G$99911,5,FALSE)</f>
        <v>BRUDER RICHARD</v>
      </c>
      <c r="M103" s="6">
        <f t="shared" si="38"/>
        <v>2.4479166662786156E-2</v>
      </c>
      <c r="N103" s="7">
        <f t="shared" si="52"/>
        <v>35.249999994412065</v>
      </c>
      <c r="O103" s="7"/>
      <c r="P103" s="7"/>
      <c r="Q103" s="22"/>
      <c r="R103" s="174"/>
      <c r="S103" s="221">
        <f t="shared" si="53"/>
        <v>1</v>
      </c>
      <c r="T103" s="174" t="str">
        <f t="shared" si="39"/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40"/>
        <v>https://d0f6bd738d7f1b3e5a7ca70fe4ff75f0.us-east-1.aws.found.io/app/kibana#/discover/Steve-Slow-Train-Analysis-(2080s-and-2083s)?_g=(refreshInterval:(display:Off,pause:!f,section:0,value:0),time:(from:'2017-09-19T13:38:56-0600',mode:absolute,to:'2017-09-19T16:20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3" s="204" t="str">
        <f>IF(AA103&lt;VLOOKUP(AG103,Variables!$AC$3:$AD$8,2,FALSE),"Y","N")</f>
        <v>N</v>
      </c>
      <c r="X103" s="204">
        <f t="shared" si="41"/>
        <v>1</v>
      </c>
      <c r="Y103" s="204">
        <f t="shared" si="54"/>
        <v>4.53E-2</v>
      </c>
      <c r="Z103" s="204">
        <f t="shared" si="55"/>
        <v>23.331</v>
      </c>
      <c r="AA103" s="204">
        <f t="shared" si="42"/>
        <v>23.285699999999999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 t="shared" si="43"/>
        <v>189</v>
      </c>
      <c r="AE103" s="77" t="str">
        <f t="shared" si="44"/>
        <v>aws s3 cp s3://rtdc.mdm.uploadarchive.raw/RTDC4056/ "%USERPROFILE%\AppData\Local\Temp\OnboardLogs"\RTDC4056\2017-09-19 --exclude "*" --recursive --include "*20170919*" &amp; "%USERPROFILE%\Documents\GitHub\mrs-test-scripts\Headless Mode &amp; Sideloading\WalkAndUnGZ.bat" "%USERPROFILE%\AppData\Local\Temp\OnboardLogs"\RTDC4056\2017-09-19 &amp; aws s3 cp s3://rtdc.mdm.uploadarchive.raw/RTDC4056/ "%USERPROFILE%\AppData\Local\Temp\OnboardLogs"\RTDC4056\2017-09-20 --exclude "*" --recursive --include "*20170920*" &amp; "%USERPROFILE%\Documents\GitHub\mrs-test-scripts\Headless Mode &amp; Sideloading\WalkAndUnGZ.bat" "%USERPROFILE%\AppData\Local\Temp\OnboardLogs"\RTDC4056\2017-09-20</v>
      </c>
      <c r="AF103" s="74" t="str">
        <f t="shared" si="45"/>
        <v>"C:\Program Files (x86)\AstroGrep\AstroGrep.exe" /e /r /s /spath="%USERPROFILE%\AppData\Local\Temp\OnboardLogs" /stypes="app*4056*20170919*" /stext=" 21:.+((SYSTEM_STATE.+slice.+state.+changed )|(ment ac)|(multiple cpu faults)|(system.+state.+changed )|(\[timeout)|(PRM\|1\|D)|(kpr)|(kdp)|(train st.+moving)|(\|lc)|(penalty))"</v>
      </c>
      <c r="AG103" s="182" t="str">
        <f t="shared" si="46"/>
        <v>EC</v>
      </c>
      <c r="AH103" s="78" t="str">
        <f t="shared" si="47"/>
        <v>"%USERPROFILE%\Documents\GitHub\eaglep3\Utilities\RefineRTDCRunTimes.py" --tripid 189-19 --locoid 4056 --swversion DE.1.0.9.0 --startMP 204:453 --initTime 2017-09-19T14:38:56 --startdatetime 2017-09-19T14:45:19 --delay 114 --endMP 204:233310 --enddatetime 2017-09-19T15:20:34 --enforcementcount 0 &gt;&gt;C:\Users\stu\Documents\GitHub\eaglep3-reporting\EC\2017-09-19-refined-times.txt</v>
      </c>
      <c r="AI103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{"issue":{"subject":"","project_id":79,"tracker_id":40,"status_id":1,"priority_id":2,"assigned_to_id":338,"start_date":"2017-09-19","description":"","custom_fields":[{"id":1,"name":"Subdivision","value":"EC"},{"id":4,"name":"Milepost","value":"23.331"},{"id":17,"name":"Train ID","value":"189-19"},{"id":16,"name":"Locomotive ID","value":"4056"},{"id":130,"name":"Impact","value":""},{"id":150,"name":"Time of Event (Mountain Time)","value":"15:20:34"},{"id":151,"name":"Denver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9"/>
        <v>start /low /b %USERPROFILE%\Documents\GitHub\eaglep3\Utilities\DownloadLogsFromS3.py --loco 4056 --day 2017-09-19</v>
      </c>
      <c r="AN103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21:20:34"},{"id":29,"name":"Sharepoint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51"/>
        <v>https://d0f6bd738d7f1b3e5a7ca70fe4ff75f0.us-east-1.aws.found.io/app/kibana#/discover/Steve-Slow-Train-Analysis-(2080s-and-2083s)?_g=(refreshInterval:(display:Off,pause:!f,section:0,value:0),time:(from:'2017-09-19T13:38:56-0600',mode:absolute,to:'2017-09-19T16:20:34-0600'))&amp;_a=(columns:!('Message%20ID',Summary),filters:!(),index:'emp_*',interval:auto,query:(query_string:(analyze_wildcard:!t,query:'Message%5C+ID:(*)+AND+%22rtdc.l.rtdc.4056%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777</v>
      </c>
      <c r="B104" s="7">
        <v>4055</v>
      </c>
      <c r="C104" s="21" t="s">
        <v>197</v>
      </c>
      <c r="D104" s="21" t="s">
        <v>384</v>
      </c>
      <c r="E104" s="13">
        <v>42997.651099537034</v>
      </c>
      <c r="F104" s="13">
        <v>42997.654351851852</v>
      </c>
      <c r="G104" s="7">
        <v>51</v>
      </c>
      <c r="H104" s="21" t="s">
        <v>429</v>
      </c>
      <c r="I104" s="13">
        <v>42997.682511574072</v>
      </c>
      <c r="J104" s="7">
        <v>0</v>
      </c>
      <c r="K104" s="89" t="str">
        <f t="shared" si="37"/>
        <v>4055/4056</v>
      </c>
      <c r="L104" s="185" t="str">
        <f>VLOOKUP(A104,'Trips&amp;Operators'!$C$1:$G$99911,5,FALSE)</f>
        <v>BRUDER RICHARD</v>
      </c>
      <c r="M104" s="6">
        <f t="shared" si="38"/>
        <v>2.8159722220152617E-2</v>
      </c>
      <c r="N104" s="7">
        <f t="shared" si="52"/>
        <v>40.549999997019768</v>
      </c>
      <c r="O104" s="7"/>
      <c r="P104" s="7"/>
      <c r="Q104" s="22"/>
      <c r="R104" s="174"/>
      <c r="S104" s="221">
        <f t="shared" si="53"/>
        <v>1</v>
      </c>
      <c r="T104" s="174" t="str">
        <f t="shared" si="39"/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40"/>
        <v>https://d0f6bd738d7f1b3e5a7ca70fe4ff75f0.us-east-1.aws.found.io/app/kibana#/discover/Steve-Slow-Train-Analysis-(2080s-and-2083s)?_g=(refreshInterval:(display:Off,pause:!f,section:0,value:0),time:(from:'2017-09-19T14:37:35-0600',mode:absolute,to:'2017-09-19T17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4" s="204" t="str">
        <f>IF(AA104&lt;VLOOKUP(AG104,Variables!$AC$3:$AD$8,2,FALSE),"Y","N")</f>
        <v>N</v>
      </c>
      <c r="X104" s="204">
        <f t="shared" si="41"/>
        <v>1</v>
      </c>
      <c r="Y104" s="204">
        <f t="shared" si="54"/>
        <v>23.299399999999999</v>
      </c>
      <c r="Z104" s="204">
        <f t="shared" si="55"/>
        <v>1.54E-2</v>
      </c>
      <c r="AA104" s="204">
        <f t="shared" si="42"/>
        <v>23.283999999999999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 t="shared" si="43"/>
        <v>190</v>
      </c>
      <c r="AE104" s="77" t="str">
        <f t="shared" si="44"/>
        <v>aws s3 cp s3://rtdc.mdm.uploadarchive.raw/RTDC4055/ "%USERPROFILE%\AppData\Local\Temp\OnboardLogs"\RTDC4055\2017-09-19 --exclude "*" --recursive --include "*20170919*" &amp; "%USERPROFILE%\Documents\GitHub\mrs-test-scripts\Headless Mode &amp; Sideloading\WalkAndUnGZ.bat" "%USERPROFILE%\AppData\Local\Temp\OnboardLogs"\RTDC4055\2017-09-19 &amp; aws s3 cp s3://rtdc.mdm.uploadarchive.raw/RTDC4055/ "%USERPROFILE%\AppData\Local\Temp\OnboardLogs"\RTDC4055\2017-09-20 --exclude "*" --recursive --include "*20170920*" &amp; "%USERPROFILE%\Documents\GitHub\mrs-test-scripts\Headless Mode &amp; Sideloading\WalkAndUnGZ.bat" "%USERPROFILE%\AppData\Local\Temp\OnboardLogs"\RTDC4055\2017-09-20</v>
      </c>
      <c r="AF104" s="74" t="str">
        <f t="shared" si="45"/>
        <v>"C:\Program Files (x86)\AstroGrep\AstroGrep.exe" /e /r /s /spath="%USERPROFILE%\AppData\Local\Temp\OnboardLogs" /stypes="app*4055*20170919*" /stext=" 22:.+((SYSTEM_STATE.+slice.+state.+changed )|(ment ac)|(multiple cpu faults)|(system.+state.+changed )|(\[timeout)|(PRM\|1\|D)|(kpr)|(kdp)|(train st.+moving)|(\|lc)|(penalty))"</v>
      </c>
      <c r="AG104" s="182" t="str">
        <f t="shared" si="46"/>
        <v>EC</v>
      </c>
      <c r="AH104" s="78" t="str">
        <f t="shared" si="47"/>
        <v>"%USERPROFILE%\Documents\GitHub\eaglep3\Utilities\RefineRTDCRunTimes.py" --tripid 190-19 --locoid 4055 --swversion DE.1.0.9.0 --startMP 204:232994 --initTime 2017-09-19T15:37:35 --startdatetime 2017-09-19T15:42:16 --delay 51 --endMP 204:154 --enddatetime 2017-09-19T16:22:49 --enforcementcount 0 &gt;&gt;C:\Users\stu\Documents\GitHub\eaglep3-reporting\EC\2017-09-19-refined-times.txt</v>
      </c>
      <c r="AI104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{"issue":{"subject":"","project_id":79,"tracker_id":40,"status_id":1,"priority_id":2,"assigned_to_id":338,"start_date":"2017-09-19","description":"","custom_fields":[{"id":1,"name":"Subdivision","value":"EC"},{"id":4,"name":"Milepost","value":"0.0154"},{"id":17,"name":"Train ID","value":"190-19"},{"id":16,"name":"Locomotive ID","value":"4055"},{"id":130,"name":"Impact","value":""},{"id":150,"name":"Time of Event (Mountain Time)","value":"16:22:49"},{"id":151,"name":"Denver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9"/>
        <v>start /low /b %USERPROFILE%\Documents\GitHub\eaglep3\Utilities\DownloadLogsFromS3.py --loco 4055 --day 2017-09-19</v>
      </c>
      <c r="AN104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22:22:49"},{"id":29,"name":"Sharepoint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51"/>
        <v>https://d0f6bd738d7f1b3e5a7ca70fe4ff75f0.us-east-1.aws.found.io/app/kibana#/discover/Steve-Slow-Train-Analysis-(2080s-and-2083s)?_g=(refreshInterval:(display:Off,pause:!f,section:0,value:0),time:(from:'2017-09-19T14:37:35-0600',mode:absolute,to:'2017-09-19T17:22:49-0600'))&amp;_a=(columns:!('Message%20ID',Summary),filters:!(),index:'emp_*',interval:auto,query:(query_string:(analyze_wildcard:!t,query:'Message%5C+ID:(*)+AND+%22rtdc.l.rtdc.4055%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770</v>
      </c>
      <c r="B105" s="7">
        <v>4030</v>
      </c>
      <c r="C105" s="21" t="s">
        <v>197</v>
      </c>
      <c r="D105" s="21" t="s">
        <v>395</v>
      </c>
      <c r="E105" s="13">
        <v>42997.620474537034</v>
      </c>
      <c r="F105" s="13">
        <v>42997.6253125</v>
      </c>
      <c r="G105" s="7">
        <v>65</v>
      </c>
      <c r="H105" s="21" t="s">
        <v>866</v>
      </c>
      <c r="I105" s="13">
        <v>42997.650925925926</v>
      </c>
      <c r="J105" s="7">
        <v>0</v>
      </c>
      <c r="K105" s="89" t="str">
        <f t="shared" si="37"/>
        <v>4029/4030</v>
      </c>
      <c r="L105" s="185" t="str">
        <f>VLOOKUP(A105,'Trips&amp;Operators'!$C$1:$G$99911,5,FALSE)</f>
        <v>MOSES BRADLEY</v>
      </c>
      <c r="M105" s="6">
        <f t="shared" si="38"/>
        <v>2.5613425925257616E-2</v>
      </c>
      <c r="N105" s="7">
        <f t="shared" si="52"/>
        <v>36.883333332370967</v>
      </c>
      <c r="O105" s="7"/>
      <c r="P105" s="7"/>
      <c r="Q105" s="22"/>
      <c r="R105" s="174"/>
      <c r="S105" s="221">
        <f t="shared" si="53"/>
        <v>1</v>
      </c>
      <c r="T105" s="174" t="str">
        <f t="shared" si="39"/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40"/>
        <v>https://d0f6bd738d7f1b3e5a7ca70fe4ff75f0.us-east-1.aws.found.io/app/kibana#/discover/Steve-Slow-Train-Analysis-(2080s-and-2083s)?_g=(refreshInterval:(display:Off,pause:!f,section:0,value:0),time:(from:'2017-09-19T13:53:29-0600',mode:absolute,to:'2017-09-19T16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5" s="204" t="str">
        <f>IF(AA105&lt;VLOOKUP(AG105,Variables!$AC$3:$AD$8,2,FALSE),"Y","N")</f>
        <v>N</v>
      </c>
      <c r="X105" s="204">
        <f t="shared" si="41"/>
        <v>1</v>
      </c>
      <c r="Y105" s="204">
        <f t="shared" si="54"/>
        <v>4.3999999999999997E-2</v>
      </c>
      <c r="Z105" s="204">
        <f t="shared" si="55"/>
        <v>23.328600000000002</v>
      </c>
      <c r="AA105" s="204">
        <f t="shared" si="42"/>
        <v>23.284600000000001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 t="shared" si="43"/>
        <v>191</v>
      </c>
      <c r="AE105" s="77" t="str">
        <f t="shared" si="44"/>
        <v>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 &amp; aws s3 cp s3://rtdc.mdm.uploadarchive.raw/RTDC4030/ "%USERPROFILE%\AppData\Local\Temp\OnboardLogs"\RTDC4030\2017-09-20 --exclude "*" --recursive --include "*20170920*" &amp; "%USERPROFILE%\Documents\GitHub\mrs-test-scripts\Headless Mode &amp; Sideloading\WalkAndUnGZ.bat" "%USERPROFILE%\AppData\Local\Temp\OnboardLogs"\RTDC4030\2017-09-20</v>
      </c>
      <c r="AF105" s="74" t="str">
        <f t="shared" si="45"/>
        <v>"C:\Program Files (x86)\AstroGrep\AstroGrep.exe" /e /r /s /spath="%USERPROFILE%\AppData\Local\Temp\OnboardLogs" /stypes="app*4030*20170919*" /stext=" 21:.+((SYSTEM_STATE.+slice.+state.+changed )|(ment ac)|(multiple cpu faults)|(system.+state.+changed )|(\[timeout)|(PRM\|1\|D)|(kpr)|(kdp)|(train st.+moving)|(\|lc)|(penalty))"</v>
      </c>
      <c r="AG105" s="182" t="str">
        <f t="shared" si="46"/>
        <v>EC</v>
      </c>
      <c r="AH105" s="78" t="str">
        <f t="shared" si="47"/>
        <v>"%USERPROFILE%\Documents\GitHub\eaglep3\Utilities\RefineRTDCRunTimes.py" --tripid 191-19 --locoid 4030 --swversion DE.1.0.9.0 --startMP 204:440 --initTime 2017-09-19T14:53:29 --startdatetime 2017-09-19T15:00:27 --delay 65 --endMP 204:233286 --enddatetime 2017-09-19T15:37:20 --enforcementcount 0 &gt;&gt;C:\Users\stu\Documents\GitHub\eaglep3-reporting\EC\2017-09-19-refined-times.txt</v>
      </c>
      <c r="AI105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{"issue":{"subject":"","project_id":79,"tracker_id":40,"status_id":1,"priority_id":2,"assigned_to_id":338,"start_date":"2017-09-19","description":"","custom_fields":[{"id":1,"name":"Subdivision","value":"EC"},{"id":4,"name":"Milepost","value":"23.3286"},{"id":17,"name":"Train ID","value":"191-19"},{"id":16,"name":"Locomotive ID","value":"4030"},{"id":130,"name":"Impact","value":""},{"id":150,"name":"Time of Event (Mountain Time)","value":"15:37:20"},{"id":151,"name":"Denver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9"/>
        <v>start /low /b %USERPROFILE%\Documents\GitHub\eaglep3\Utilities\DownloadLogsFromS3.py --loco 4030 --day 2017-09-19</v>
      </c>
      <c r="AN105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21:37:20"},{"id":29,"name":"Sharepoint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51"/>
        <v>https://d0f6bd738d7f1b3e5a7ca70fe4ff75f0.us-east-1.aws.found.io/app/kibana#/discover/Steve-Slow-Train-Analysis-(2080s-and-2083s)?_g=(refreshInterval:(display:Off,pause:!f,section:0,value:0),time:(from:'2017-09-19T13:53:29-0600',mode:absolute,to:'2017-09-19T16:37:20-0600'))&amp;_a=(columns:!('Message%20ID',Summary),filters:!(),index:'emp_*',interval:auto,query:(query_string:(analyze_wildcard:!t,query:'Message%5C+ID:(*)+AND+%22rtdc.l.rtdc.4030%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778</v>
      </c>
      <c r="B106" s="7">
        <v>4029</v>
      </c>
      <c r="C106" s="21" t="s">
        <v>197</v>
      </c>
      <c r="D106" s="21" t="s">
        <v>485</v>
      </c>
      <c r="E106" s="13">
        <v>42997.652280092596</v>
      </c>
      <c r="F106" s="13">
        <v>42997.664861111109</v>
      </c>
      <c r="G106" s="7">
        <v>45</v>
      </c>
      <c r="H106" s="21" t="s">
        <v>342</v>
      </c>
      <c r="I106" s="13">
        <v>42997.694444444445</v>
      </c>
      <c r="J106" s="7">
        <v>0</v>
      </c>
      <c r="K106" s="89" t="str">
        <f t="shared" si="37"/>
        <v>4029/4030</v>
      </c>
      <c r="L106" s="185" t="str">
        <f>VLOOKUP(A106,'Trips&amp;Operators'!$C$1:$G$99911,5,FALSE)</f>
        <v>MOSES BRADLEY</v>
      </c>
      <c r="M106" s="6">
        <f t="shared" si="38"/>
        <v>2.9583333336631767E-2</v>
      </c>
      <c r="N106" s="7">
        <f t="shared" si="52"/>
        <v>42.600000004749745</v>
      </c>
      <c r="O106" s="7"/>
      <c r="P106" s="7"/>
      <c r="Q106" s="22"/>
      <c r="R106" s="174"/>
      <c r="S106" s="221">
        <f t="shared" si="53"/>
        <v>1</v>
      </c>
      <c r="T106" s="174" t="str">
        <f t="shared" si="39"/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40"/>
        <v>https://d0f6bd738d7f1b3e5a7ca70fe4ff75f0.us-east-1.aws.found.io/app/kibana#/discover/Steve-Slow-Train-Analysis-(2080s-and-2083s)?_g=(refreshInterval:(display:Off,pause:!f,section:0,value:0),time:(from:'2017-09-19T14:39:17-0600',mode:absolute,to:'2017-09-19T17:40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6" s="204" t="str">
        <f>IF(AA106&lt;VLOOKUP(AG106,Variables!$AC$3:$AD$8,2,FALSE),"Y","N")</f>
        <v>N</v>
      </c>
      <c r="X106" s="204">
        <f t="shared" si="41"/>
        <v>1</v>
      </c>
      <c r="Y106" s="204">
        <f t="shared" si="54"/>
        <v>23.298200000000001</v>
      </c>
      <c r="Z106" s="204">
        <f t="shared" si="55"/>
        <v>1.41E-2</v>
      </c>
      <c r="AA106" s="204">
        <f t="shared" si="42"/>
        <v>23.284100000000002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 t="shared" si="43"/>
        <v>192</v>
      </c>
      <c r="AE106" s="77" t="str">
        <f t="shared" si="44"/>
        <v>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 &amp; aws s3 cp s3://rtdc.mdm.uploadarchive.raw/RTDC4029/ "%USERPROFILE%\AppData\Local\Temp\OnboardLogs"\RTDC4029\2017-09-20 --exclude "*" --recursive --include "*20170920*" &amp; "%USERPROFILE%\Documents\GitHub\mrs-test-scripts\Headless Mode &amp; Sideloading\WalkAndUnGZ.bat" "%USERPROFILE%\AppData\Local\Temp\OnboardLogs"\RTDC4029\2017-09-20</v>
      </c>
      <c r="AF106" s="74" t="str">
        <f t="shared" si="45"/>
        <v>"C:\Program Files (x86)\AstroGrep\AstroGrep.exe" /e /r /s /spath="%USERPROFILE%\AppData\Local\Temp\OnboardLogs" /stypes="app*4029*20170919*" /stext=" 22:.+((SYSTEM_STATE.+slice.+state.+changed )|(ment ac)|(multiple cpu faults)|(system.+state.+changed )|(\[timeout)|(PRM\|1\|D)|(kpr)|(kdp)|(train st.+moving)|(\|lc)|(penalty))"</v>
      </c>
      <c r="AG106" s="182" t="str">
        <f t="shared" si="46"/>
        <v>EC</v>
      </c>
      <c r="AH106" s="78" t="str">
        <f t="shared" si="47"/>
        <v>"%USERPROFILE%\Documents\GitHub\eaglep3\Utilities\RefineRTDCRunTimes.py" --tripid 192-19 --locoid 4029 --swversion DE.1.0.9.0 --startMP 204:232982 --initTime 2017-09-19T15:39:17 --startdatetime 2017-09-19T15:57:24 --delay 45 --endMP 204:141 --enddatetime 2017-09-19T16:40:00 --enforcementcount 0 &gt;&gt;C:\Users\stu\Documents\GitHub\eaglep3-reporting\EC\2017-09-19-refined-times.txt</v>
      </c>
      <c r="AI106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{"issue":{"subject":"","project_id":79,"tracker_id":40,"status_id":1,"priority_id":2,"assigned_to_id":338,"start_date":"2017-09-19","description":"","custom_fields":[{"id":1,"name":"Subdivision","value":"EC"},{"id":4,"name":"Milepost","value":"0.0141"},{"id":17,"name":"Train ID","value":"192-19"},{"id":16,"name":"Locomotive ID","value":"4029"},{"id":130,"name":"Impact","value":""},{"id":150,"name":"Time of Event (Mountain Time)","value":"16:40:00"},{"id":151,"name":"Denver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9"/>
        <v>start /low /b %USERPROFILE%\Documents\GitHub\eaglep3\Utilities\DownloadLogsFromS3.py --loco 4029 --day 2017-09-19</v>
      </c>
      <c r="AN106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22:40:00"},{"id":29,"name":"Sharepoint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51"/>
        <v>https://d0f6bd738d7f1b3e5a7ca70fe4ff75f0.us-east-1.aws.found.io/app/kibana#/discover/Steve-Slow-Train-Analysis-(2080s-and-2083s)?_g=(refreshInterval:(display:Off,pause:!f,section:0,value:0),time:(from:'2017-09-19T14:39:17-0600',mode:absolute,to:'2017-09-19T17:40:00-0600'))&amp;_a=(columns:!('Message%20ID',Summary),filters:!(),index:'emp_*',interval:auto,query:(query_string:(analyze_wildcard:!t,query:'Message%5C+ID:(*)+AND+%22rtdc.l.rtdc.4029%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774</v>
      </c>
      <c r="B107" s="7">
        <v>4016</v>
      </c>
      <c r="C107" s="21" t="s">
        <v>197</v>
      </c>
      <c r="D107" s="21" t="s">
        <v>415</v>
      </c>
      <c r="E107" s="13">
        <v>42997.632326388892</v>
      </c>
      <c r="F107" s="13">
        <v>42997.635578703703</v>
      </c>
      <c r="G107" s="7">
        <v>62</v>
      </c>
      <c r="H107" s="21" t="s">
        <v>889</v>
      </c>
      <c r="I107" s="13">
        <v>42997.66033564815</v>
      </c>
      <c r="J107" s="7">
        <v>0</v>
      </c>
      <c r="K107" s="89" t="str">
        <f t="shared" si="37"/>
        <v>4015/4016</v>
      </c>
      <c r="L107" s="185" t="str">
        <f>VLOOKUP(A107,'Trips&amp;Operators'!$C$1:$G$99911,5,FALSE)</f>
        <v>LEVIN SCOTT</v>
      </c>
      <c r="M107" s="6">
        <f t="shared" si="38"/>
        <v>2.4756944447290152E-2</v>
      </c>
      <c r="N107" s="7">
        <f t="shared" si="52"/>
        <v>35.650000004097819</v>
      </c>
      <c r="O107" s="7"/>
      <c r="P107" s="7"/>
      <c r="Q107" s="22"/>
      <c r="R107" s="174"/>
      <c r="S107" s="221">
        <f t="shared" si="53"/>
        <v>1</v>
      </c>
      <c r="T107" s="174" t="str">
        <f t="shared" si="39"/>
        <v>NorthBound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40"/>
        <v>https://d0f6bd738d7f1b3e5a7ca70fe4ff75f0.us-east-1.aws.found.io/app/kibana#/discover/Steve-Slow-Train-Analysis-(2080s-and-2083s)?_g=(refreshInterval:(display:Off,pause:!f,section:0,value:0),time:(from:'2017-09-19T14:10:33-0600',mode:absolute,to:'2017-09-19T16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7" s="204" t="str">
        <f>IF(AA107&lt;VLOOKUP(AG107,Variables!$AC$3:$AD$8,2,FALSE),"Y","N")</f>
        <v>N</v>
      </c>
      <c r="X107" s="204">
        <f t="shared" si="41"/>
        <v>1</v>
      </c>
      <c r="Y107" s="204">
        <f t="shared" si="54"/>
        <v>4.6199999999999998E-2</v>
      </c>
      <c r="Z107" s="204">
        <f t="shared" si="55"/>
        <v>23.3323</v>
      </c>
      <c r="AA107" s="204">
        <f t="shared" si="42"/>
        <v>23.286100000000001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 t="shared" si="43"/>
        <v>193</v>
      </c>
      <c r="AE107" s="77" t="str">
        <f t="shared" si="44"/>
        <v>aws s3 cp s3://rtdc.mdm.uploadarchive.raw/RTDC4016/ "%USERPROFILE%\AppData\Local\Temp\OnboardLogs"\RTDC4016\2017-09-19 --exclude "*" --recursive --include "*20170919*" &amp; "%USERPROFILE%\Documents\GitHub\mrs-test-scripts\Headless Mode &amp; Sideloading\WalkAndUnGZ.bat" "%USERPROFILE%\AppData\Local\Temp\OnboardLogs"\RTDC4016\2017-09-19 &amp; 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</v>
      </c>
      <c r="AF107" s="74" t="str">
        <f t="shared" si="45"/>
        <v>"C:\Program Files (x86)\AstroGrep\AstroGrep.exe" /e /r /s /spath="%USERPROFILE%\AppData\Local\Temp\OnboardLogs" /stypes="app*4016*20170919*" /stext=" 21:.+((SYSTEM_STATE.+slice.+state.+changed )|(ment ac)|(multiple cpu faults)|(system.+state.+changed )|(\[timeout)|(PRM\|1\|D)|(kpr)|(kdp)|(train st.+moving)|(\|lc)|(penalty))"</v>
      </c>
      <c r="AG107" s="182" t="str">
        <f t="shared" si="46"/>
        <v>EC</v>
      </c>
      <c r="AH107" s="78" t="str">
        <f t="shared" si="47"/>
        <v>"%USERPROFILE%\Documents\GitHub\eaglep3\Utilities\RefineRTDCRunTimes.py" --tripid 193-19 --locoid 4016 --swversion DE.1.0.9.0 --startMP 204:462 --initTime 2017-09-19T15:10:33 --startdatetime 2017-09-19T15:15:14 --delay 62 --endMP 204:233323 --enddatetime 2017-09-19T15:50:53 --enforcementcount 0 &gt;&gt;C:\Users\stu\Documents\GitHub\eaglep3-reporting\EC\2017-09-19-refined-times.txt</v>
      </c>
      <c r="AI107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{"issue":{"subject":"","project_id":79,"tracker_id":40,"status_id":1,"priority_id":2,"assigned_to_id":338,"start_date":"2017-09-19","description":"","custom_fields":[{"id":1,"name":"Subdivision","value":"EC"},{"id":4,"name":"Milepost","value":"23.3323"},{"id":17,"name":"Train ID","value":"193-19"},{"id":16,"name":"Locomotive ID","value":"4016"},{"id":130,"name":"Impact","value":""},{"id":150,"name":"Time of Event (Mountain Time)","value":"15:50:53"},{"id":151,"name":"Denver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9"/>
        <v>start /low /b %USERPROFILE%\Documents\GitHub\eaglep3\Utilities\DownloadLogsFromS3.py --loco 4016 --day 2017-09-19</v>
      </c>
      <c r="AN107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21:50:53"},{"id":29,"name":"Sharepoint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51"/>
        <v>https://d0f6bd738d7f1b3e5a7ca70fe4ff75f0.us-east-1.aws.found.io/app/kibana#/discover/Steve-Slow-Train-Analysis-(2080s-and-2083s)?_g=(refreshInterval:(display:Off,pause:!f,section:0,value:0),time:(from:'2017-09-19T14:10:33-0600',mode:absolute,to:'2017-09-19T16:50:53-0600'))&amp;_a=(columns:!('Message%20ID',Summary),filters:!(),index:'emp_*',interval:auto,query:(query_string:(analyze_wildcard:!t,query:'Message%5C+ID:(*)+AND+%22rtdc.l.rtdc.4016%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781</v>
      </c>
      <c r="B108" s="7">
        <v>4015</v>
      </c>
      <c r="C108" s="21" t="s">
        <v>197</v>
      </c>
      <c r="D108" s="21" t="s">
        <v>494</v>
      </c>
      <c r="E108" s="13">
        <v>42997.664687500001</v>
      </c>
      <c r="F108" s="13">
        <v>42997.675196759257</v>
      </c>
      <c r="G108" s="7">
        <v>55</v>
      </c>
      <c r="H108" s="21" t="s">
        <v>338</v>
      </c>
      <c r="I108" s="13">
        <v>42997.70103009259</v>
      </c>
      <c r="J108" s="7">
        <v>0</v>
      </c>
      <c r="K108" s="89" t="str">
        <f t="shared" si="37"/>
        <v>4015/4016</v>
      </c>
      <c r="L108" s="185" t="str">
        <f>VLOOKUP(A108,'Trips&amp;Operators'!$C$1:$G$99911,5,FALSE)</f>
        <v>LEVIN SCOTT</v>
      </c>
      <c r="M108" s="6">
        <f t="shared" si="38"/>
        <v>2.5833333333139308E-2</v>
      </c>
      <c r="N108" s="7">
        <f t="shared" si="52"/>
        <v>37.199999999720603</v>
      </c>
      <c r="O108" s="7"/>
      <c r="P108" s="7"/>
      <c r="Q108" s="22"/>
      <c r="R108" s="174"/>
      <c r="S108" s="221">
        <f t="shared" si="53"/>
        <v>1</v>
      </c>
      <c r="T108" s="174" t="str">
        <f t="shared" si="39"/>
        <v>Southbound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40"/>
        <v>https://d0f6bd738d7f1b3e5a7ca70fe4ff75f0.us-east-1.aws.found.io/app/kibana#/discover/Steve-Slow-Train-Analysis-(2080s-and-2083s)?_g=(refreshInterval:(display:Off,pause:!f,section:0,value:0),time:(from:'2017-09-19T14:57:09-0600',mode:absolute,to:'2017-09-19T17:49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8" s="204" t="str">
        <f>IF(AA108&lt;VLOOKUP(AG108,Variables!$AC$3:$AD$8,2,FALSE),"Y","N")</f>
        <v>N</v>
      </c>
      <c r="X108" s="204">
        <f t="shared" si="41"/>
        <v>1</v>
      </c>
      <c r="Y108" s="204">
        <f t="shared" si="54"/>
        <v>23.302700000000002</v>
      </c>
      <c r="Z108" s="204">
        <f t="shared" si="55"/>
        <v>1.4999999999999999E-2</v>
      </c>
      <c r="AA108" s="204">
        <f t="shared" si="42"/>
        <v>23.287700000000001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 t="shared" si="43"/>
        <v>194</v>
      </c>
      <c r="AE108" s="77" t="str">
        <f t="shared" si="44"/>
        <v>aws s3 cp s3://rtdc.mdm.uploadarchive.raw/RTDC4015/ "%USERPROFILE%\AppData\Local\Temp\OnboardLogs"\RTDC4015\2017-09-19 --exclude "*" --recursive --include "*20170919*" &amp; "%USERPROFILE%\Documents\GitHub\mrs-test-scripts\Headless Mode &amp; Sideloading\WalkAndUnGZ.bat" "%USERPROFILE%\AppData\Local\Temp\OnboardLogs"\RTDC4015\2017-09-19 &amp; 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</v>
      </c>
      <c r="AF108" s="74" t="str">
        <f t="shared" si="45"/>
        <v>"C:\Program Files (x86)\AstroGrep\AstroGrep.exe" /e /r /s /spath="%USERPROFILE%\AppData\Local\Temp\OnboardLogs" /stypes="app*4015*20170919*" /stext=" 22:.+((SYSTEM_STATE.+slice.+state.+changed )|(ment ac)|(multiple cpu faults)|(system.+state.+changed )|(\[timeout)|(PRM\|1\|D)|(kpr)|(kdp)|(train st.+moving)|(\|lc)|(penalty))"</v>
      </c>
      <c r="AG108" s="182" t="str">
        <f t="shared" si="46"/>
        <v>EC</v>
      </c>
      <c r="AH108" s="78" t="str">
        <f t="shared" si="47"/>
        <v>"%USERPROFILE%\Documents\GitHub\eaglep3\Utilities\RefineRTDCRunTimes.py" --tripid 194-19 --locoid 4015 --swversion DE.1.0.9.0 --startMP 204:233027 --initTime 2017-09-19T15:57:09 --startdatetime 2017-09-19T16:12:17 --delay 55 --endMP 204:150 --enddatetime 2017-09-19T16:49:29 --enforcementcount 0 &gt;&gt;C:\Users\stu\Documents\GitHub\eaglep3-reporting\EC\2017-09-19-refined-times.txt</v>
      </c>
      <c r="AI108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{"issue":{"subject":"","project_id":79,"tracker_id":40,"status_id":1,"priority_id":2,"assigned_to_id":338,"start_date":"2017-09-19","description":"","custom_fields":[{"id":1,"name":"Subdivision","value":"EC"},{"id":4,"name":"Milepost","value":"0.015"},{"id":17,"name":"Train ID","value":"194-19"},{"id":16,"name":"Locomotive ID","value":"4015"},{"id":130,"name":"Impact","value":""},{"id":150,"name":"Time of Event (Mountain Time)","value":"16:49:29"},{"id":151,"name":"Denver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9"/>
        <v>start /low /b %USERPROFILE%\Documents\GitHub\eaglep3\Utilities\DownloadLogsFromS3.py --loco 4015 --day 2017-09-19</v>
      </c>
      <c r="AN108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22:49:29"},{"id":29,"name":"Sharepoint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51"/>
        <v>https://d0f6bd738d7f1b3e5a7ca70fe4ff75f0.us-east-1.aws.found.io/app/kibana#/discover/Steve-Slow-Train-Analysis-(2080s-and-2083s)?_g=(refreshInterval:(display:Off,pause:!f,section:0,value:0),time:(from:'2017-09-19T14:57:09-0600',mode:absolute,to:'2017-09-19T17:49:29-0600'))&amp;_a=(columns:!('Message%20ID',Summary),filters:!(),index:'emp_*',interval:auto,query:(query_string:(analyze_wildcard:!t,query:'Message%5C+ID:(*)+AND+%22rtdc.l.rtdc.4015%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638</v>
      </c>
      <c r="B109" s="7">
        <v>4050</v>
      </c>
      <c r="C109" s="21" t="s">
        <v>197</v>
      </c>
      <c r="D109" s="21" t="s">
        <v>890</v>
      </c>
      <c r="E109" s="13">
        <v>42997.657627314817</v>
      </c>
      <c r="F109" s="13">
        <v>42997.65865740741</v>
      </c>
      <c r="G109" s="7">
        <v>44</v>
      </c>
      <c r="H109" s="21" t="s">
        <v>891</v>
      </c>
      <c r="I109" s="13">
        <v>42997.672951388886</v>
      </c>
      <c r="J109" s="7">
        <v>0</v>
      </c>
      <c r="K109" s="89" t="str">
        <f t="shared" si="37"/>
        <v>4049/4050</v>
      </c>
      <c r="L109" s="185" t="str">
        <f>VLOOKUP(A109,'Trips&amp;Operators'!$C$1:$G$99911,5,FALSE)</f>
        <v>LEVERE CRAIG</v>
      </c>
      <c r="M109" s="6">
        <f t="shared" si="38"/>
        <v>1.4293981475930195E-2</v>
      </c>
      <c r="N109" s="7"/>
      <c r="O109" s="7"/>
      <c r="P109" s="7">
        <f>24*60*SUM($M109:$M109)</f>
        <v>20.583333325339481</v>
      </c>
      <c r="Q109" s="22"/>
      <c r="R109" s="174" t="s">
        <v>607</v>
      </c>
      <c r="S109" s="221">
        <f>1/IF(AG109="EC",12,1)*SUM(U109:U110)</f>
        <v>0.75</v>
      </c>
      <c r="T109" s="174" t="str">
        <f t="shared" si="39"/>
        <v>NorthBound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3</v>
      </c>
      <c r="V109" s="216" t="str">
        <f t="shared" si="40"/>
        <v>https://d0f6bd738d7f1b3e5a7ca70fe4ff75f0.us-east-1.aws.found.io/app/kibana#/discover/Steve-Slow-Train-Analysis-(2080s-and-2083s)?_g=(refreshInterval:(display:Off,pause:!f,section:0,value:0),time:(from:'2017-09-19T14:46:59-0600',mode:absolute,to:'2017-09-19T17:09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9" s="204" t="str">
        <f>IF(AA109&lt;VLOOKUP(AG109,Variables!$AC$3:$AD$8,2,FALSE),"Y","N")</f>
        <v>Y</v>
      </c>
      <c r="X109" s="204">
        <f t="shared" ref="X109:X140" si="56">VALUE(LEFT(AD109,4))-VALUE(LEFT(AD108,4))</f>
        <v>1</v>
      </c>
      <c r="Y109" s="204">
        <f t="shared" si="54"/>
        <v>6.4683999999999999</v>
      </c>
      <c r="Z109" s="204">
        <f t="shared" si="55"/>
        <v>21.896699999999999</v>
      </c>
      <c r="AA109" s="204">
        <f t="shared" si="42"/>
        <v>15.4283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 t="shared" si="43"/>
        <v>195</v>
      </c>
      <c r="AE109" s="77" t="str">
        <f t="shared" si="44"/>
        <v>aws s3 cp s3://rtdc.mdm.uploadarchive.raw/RTDC4050/ "%USERPROFILE%\AppData\Local\Temp\OnboardLogs"\RTDC4050\2017-09-19 --exclude "*" --recursive --include "*20170919*" &amp; "%USERPROFILE%\Documents\GitHub\mrs-test-scripts\Headless Mode &amp; Sideloading\WalkAndUnGZ.bat" "%USERPROFILE%\AppData\Local\Temp\OnboardLogs"\RTDC4050\2017-09-19 &amp; aws s3 cp s3://rtdc.mdm.uploadarchive.raw/RTDC4050/ "%USERPROFILE%\AppData\Local\Temp\OnboardLogs"\RTDC4050\2017-09-20 --exclude "*" --recursive --include "*20170920*" &amp; "%USERPROFILE%\Documents\GitHub\mrs-test-scripts\Headless Mode &amp; Sideloading\WalkAndUnGZ.bat" "%USERPROFILE%\AppData\Local\Temp\OnboardLogs"\RTDC4050\2017-09-20</v>
      </c>
      <c r="AF109" s="74" t="str">
        <f t="shared" si="45"/>
        <v>"C:\Program Files (x86)\AstroGrep\AstroGrep.exe" /e /r /s /spath="%USERPROFILE%\AppData\Local\Temp\OnboardLogs" /stypes="app*4050*20170919*" /stext=" 22:.+((SYSTEM_STATE.+slice.+state.+changed )|(ment ac)|(multiple cpu faults)|(system.+state.+changed )|(\[timeout)|(PRM\|1\|D)|(kpr)|(kdp)|(train st.+moving)|(\|lc)|(penalty))"</v>
      </c>
      <c r="AG109" s="182" t="str">
        <f t="shared" si="46"/>
        <v>EC</v>
      </c>
      <c r="AH109" s="78" t="str">
        <f t="shared" si="47"/>
        <v>"%USERPROFILE%\Documents\GitHub\eaglep3\Utilities\RefineRTDCRunTimes.py" --tripid 195-19 --locoid 4050 --swversion DE.1.0.9.0 --startMP 204:64684 --initTime 2017-09-19T15:46:59 --startdatetime 2017-09-19T15:48:28 --delay 44 --endMP 204:218967 --enddatetime 2017-09-19T16:09:03 --enforcementcount 0 &gt;&gt;C:\Users\stu\Documents\GitHub\eaglep3-reporting\EC\2017-09-19-refined-times.txt</v>
      </c>
      <c r="AI109" s="96" t="str">
        <f t="shared" si="48"/>
        <v>echo {"issue":{"subject":"Wi-MAX data drop","project_id":79,"tracker_id":40,"status_id":1,"priority_id":2,"assigned_to_id":338,"start_date":"2017-09-19","description":"","custom_fields":[{"id":1,"name":"Subdivision","value":"EC"},{"id":4,"name":"Milepost","value":"21.8967"},{"id":17,"name":"Train ID","value":"195-19"},{"id":16,"name":"Locomotive ID","value":"4050"},{"id":130,"name":"Impact","value":""},{"id":150,"name":"Time of Event (Mountain Time)","value":"16:09:03"},{"id":151,"name":"Denver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9"/>
        <v>start /low /b %USERPROFILE%\Documents\GitHub\eaglep3\Utilities\DownloadLogsFromS3.py --loco 4050 --day 2017-09-19</v>
      </c>
      <c r="AN109" s="151" t="str">
        <f t="shared" si="50"/>
        <v>echo {"issue":{"subject":"Wi-MAX data drop","project_id":30,"tracker_id":4,"status_id":1,"priority_id":1,"assigned_to_id":10,"start_date":"2017-09-19","description":"","custom_fields":[{"id":30,"name":"Category","value":"Issue"},{"id":3,"name":"Functional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22:09:03"},{"id":29,"name":"Sharepoint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51"/>
        <v>https://d0f6bd738d7f1b3e5a7ca70fe4ff75f0.us-east-1.aws.found.io/app/kibana#/discover/Steve-Slow-Train-Analysis-(2080s-and-2083s)?_g=(refreshInterval:(display:Off,pause:!f,section:0,value:0),time:(from:'2017-09-19T14:46:59-0600',mode:absolute,to:'2017-09-19T17:09:03-0600'))&amp;_a=(columns:!('Message%20ID',Summary),filters:!(),index:'emp_*',interval:auto,query:(query_string:(analyze_wildcard:!t,query:'Message%5C+ID:(*)+AND+%22rtdc.l.rtdc.4050%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638</v>
      </c>
      <c r="B110" s="7">
        <v>4050</v>
      </c>
      <c r="C110" s="21" t="s">
        <v>197</v>
      </c>
      <c r="D110" s="21" t="s">
        <v>525</v>
      </c>
      <c r="E110" s="13">
        <v>42997.641064814816</v>
      </c>
      <c r="F110" s="13">
        <v>42997.65865740741</v>
      </c>
      <c r="G110" s="7">
        <v>65</v>
      </c>
      <c r="H110" s="21" t="s">
        <v>892</v>
      </c>
      <c r="I110" s="13">
        <v>42997.672951388886</v>
      </c>
      <c r="J110" s="7">
        <v>0</v>
      </c>
      <c r="K110" s="89" t="str">
        <f t="shared" si="37"/>
        <v>4049/4050</v>
      </c>
      <c r="L110" s="185" t="str">
        <f>VLOOKUP(A110,'Trips&amp;Operators'!$C$1:$G$99911,5,FALSE)</f>
        <v>LEVERE CRAIG</v>
      </c>
      <c r="M110" s="6">
        <f t="shared" si="38"/>
        <v>1.4293981475930195E-2</v>
      </c>
      <c r="N110" s="7"/>
      <c r="O110" s="7"/>
      <c r="P110" s="7"/>
      <c r="Q110" s="22"/>
      <c r="R110" s="174"/>
      <c r="S110" s="221"/>
      <c r="T110" s="174" t="str">
        <f t="shared" si="39"/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6</v>
      </c>
      <c r="V110" s="216" t="str">
        <f t="shared" si="40"/>
        <v>https://d0f6bd738d7f1b3e5a7ca70fe4ff75f0.us-east-1.aws.found.io/app/kibana#/discover/Steve-Slow-Train-Analysis-(2080s-and-2083s)?_g=(refreshInterval:(display:Off,pause:!f,section:0,value:0),time:(from:'2017-09-19T14:23:08-0600',mode:absolute,to:'2017-09-19T17:09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0" s="204" t="str">
        <f>IF(AA110&lt;VLOOKUP(AG110,Variables!$AC$3:$AD$8,2,FALSE),"Y","N")</f>
        <v>Y</v>
      </c>
      <c r="X110" s="204">
        <f t="shared" si="56"/>
        <v>0</v>
      </c>
      <c r="Y110" s="204">
        <f t="shared" si="54"/>
        <v>4.5699999999999998E-2</v>
      </c>
      <c r="Z110" s="204">
        <f t="shared" si="55"/>
        <v>5.6948999999999996</v>
      </c>
      <c r="AA110" s="204">
        <f t="shared" si="42"/>
        <v>5.6491999999999996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 t="shared" si="43"/>
        <v>195</v>
      </c>
      <c r="AE110" s="77" t="str">
        <f t="shared" si="44"/>
        <v>aws s3 cp s3://rtdc.mdm.uploadarchive.raw/RTDC4050/ "%USERPROFILE%\AppData\Local\Temp\OnboardLogs"\RTDC4050\2017-09-19 --exclude "*" --recursive --include "*20170919*" &amp; "%USERPROFILE%\Documents\GitHub\mrs-test-scripts\Headless Mode &amp; Sideloading\WalkAndUnGZ.bat" "%USERPROFILE%\AppData\Local\Temp\OnboardLogs"\RTDC4050\2017-09-19 &amp; aws s3 cp s3://rtdc.mdm.uploadarchive.raw/RTDC4050/ "%USERPROFILE%\AppData\Local\Temp\OnboardLogs"\RTDC4050\2017-09-20 --exclude "*" --recursive --include "*20170920*" &amp; "%USERPROFILE%\Documents\GitHub\mrs-test-scripts\Headless Mode &amp; Sideloading\WalkAndUnGZ.bat" "%USERPROFILE%\AppData\Local\Temp\OnboardLogs"\RTDC4050\2017-09-20</v>
      </c>
      <c r="AF110" s="74" t="str">
        <f t="shared" si="45"/>
        <v>"C:\Program Files (x86)\AstroGrep\AstroGrep.exe" /e /r /s /spath="%USERPROFILE%\AppData\Local\Temp\OnboardLogs" /stypes="app*4050*20170919*" /stext=" 22:.+((SYSTEM_STATE.+slice.+state.+changed )|(ment ac)|(multiple cpu faults)|(system.+state.+changed )|(\[timeout)|(PRM\|1\|D)|(kpr)|(kdp)|(train st.+moving)|(\|lc)|(penalty))"</v>
      </c>
      <c r="AG110" s="182" t="str">
        <f t="shared" si="46"/>
        <v>EC</v>
      </c>
      <c r="AH110" s="78" t="str">
        <f t="shared" si="47"/>
        <v>"%USERPROFILE%\Documents\GitHub\eaglep3\Utilities\RefineRTDCRunTimes.py" --tripid 195-19 --locoid 4050 --swversion DE.1.0.9.0 --startMP 204:457 --initTime 2017-09-19T15:23:08 --startdatetime 2017-09-19T15:48:28 --delay 65 --endMP 204:56949 --enddatetime 2017-09-19T16:09:03 --enforcementcount 0 &gt;&gt;C:\Users\stu\Documents\GitHub\eaglep3-reporting\EC\2017-09-19-refined-times.txt</v>
      </c>
      <c r="AI110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{"issue":{"subject":"","project_id":79,"tracker_id":40,"status_id":1,"priority_id":2,"assigned_to_id":338,"start_date":"2017-09-19","description":"","custom_fields":[{"id":1,"name":"Subdivision","value":"EC"},{"id":4,"name":"Milepost","value":"5.6949"},{"id":17,"name":"Train ID","value":"195-19"},{"id":16,"name":"Locomotive ID","value":"4050"},{"id":130,"name":"Impact","value":""},{"id":150,"name":"Time of Event (Mountain Time)","value":"16:09:03"},{"id":151,"name":"Denver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9"/>
        <v>start /low /b %USERPROFILE%\Documents\GitHub\eaglep3\Utilities\DownloadLogsFromS3.py --loco 4050 --day 2017-09-19</v>
      </c>
      <c r="AN110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22:09:03"},{"id":29,"name":"Sharepoint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51"/>
        <v>https://d0f6bd738d7f1b3e5a7ca70fe4ff75f0.us-east-1.aws.found.io/app/kibana#/discover/Steve-Slow-Train-Analysis-(2080s-and-2083s)?_g=(refreshInterval:(display:Off,pause:!f,section:0,value:0),time:(from:'2017-09-19T14:23:08-0600',mode:absolute,to:'2017-09-19T17:09:03-0600'))&amp;_a=(columns:!('Message%20ID',Summary),filters:!(),index:'emp_*',interval:auto,query:(query_string:(analyze_wildcard:!t,query:'Message%5C+ID:(*)+AND+%22rtdc.l.rtdc.4050%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788</v>
      </c>
      <c r="B111" s="7">
        <v>4049</v>
      </c>
      <c r="C111" s="21" t="s">
        <v>197</v>
      </c>
      <c r="D111" s="21" t="s">
        <v>893</v>
      </c>
      <c r="E111" s="13">
        <v>42997.686157407406</v>
      </c>
      <c r="F111" s="13">
        <v>42997.688414351855</v>
      </c>
      <c r="G111" s="7">
        <v>63</v>
      </c>
      <c r="H111" s="21" t="s">
        <v>359</v>
      </c>
      <c r="I111" s="13">
        <v>42997.715636574074</v>
      </c>
      <c r="J111" s="7">
        <v>0</v>
      </c>
      <c r="K111" s="89" t="str">
        <f t="shared" si="37"/>
        <v>4049/4050</v>
      </c>
      <c r="L111" s="185" t="str">
        <f>VLOOKUP(A111,'Trips&amp;Operators'!$C$1:$G$99911,5,FALSE)</f>
        <v>LEVERE CRAIG</v>
      </c>
      <c r="M111" s="6">
        <f t="shared" si="38"/>
        <v>2.7222222219279502E-2</v>
      </c>
      <c r="N111" s="7">
        <f t="shared" ref="N111:N142" si="57">24*60*SUM($M111:$M111)</f>
        <v>39.199999995762482</v>
      </c>
      <c r="O111" s="7"/>
      <c r="P111" s="7"/>
      <c r="Q111" s="22"/>
      <c r="R111" s="174"/>
      <c r="S111" s="221">
        <f t="shared" ref="S111:S142" si="58">1/IF(AG111="EC",12,1)*SUM(U111:U111)</f>
        <v>1</v>
      </c>
      <c r="T111" s="174" t="str">
        <f t="shared" si="39"/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40"/>
        <v>https://d0f6bd738d7f1b3e5a7ca70fe4ff75f0.us-east-1.aws.found.io/app/kibana#/discover/Steve-Slow-Train-Analysis-(2080s-and-2083s)?_g=(refreshInterval:(display:Off,pause:!f,section:0,value:0),time:(from:'2017-09-19T15:28:04-0600',mode:absolute,to:'2017-09-19T18:10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1" s="204" t="str">
        <f>IF(AA111&lt;VLOOKUP(AG111,Variables!$AC$3:$AD$8,2,FALSE),"Y","N")</f>
        <v>N</v>
      </c>
      <c r="X111" s="204">
        <f t="shared" si="56"/>
        <v>1</v>
      </c>
      <c r="Y111" s="204">
        <f t="shared" si="54"/>
        <v>23.2973</v>
      </c>
      <c r="Z111" s="204">
        <f t="shared" si="55"/>
        <v>1.52E-2</v>
      </c>
      <c r="AA111" s="204">
        <f t="shared" si="42"/>
        <v>23.2821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 t="shared" si="43"/>
        <v>196</v>
      </c>
      <c r="AE111" s="77" t="str">
        <f t="shared" si="44"/>
        <v>aws s3 cp s3://rtdc.mdm.uploadarchive.raw/RTDC4049/ "%USERPROFILE%\AppData\Local\Temp\OnboardLogs"\RTDC4049\2017-09-19 --exclude "*" --recursive --include "*20170919*" &amp; "%USERPROFILE%\Documents\GitHub\mrs-test-scripts\Headless Mode &amp; Sideloading\WalkAndUnGZ.bat" "%USERPROFILE%\AppData\Local\Temp\OnboardLogs"\RTDC4049\2017-09-19 &amp; aws s3 cp s3://rtdc.mdm.uploadarchive.raw/RTDC4049/ "%USERPROFILE%\AppData\Local\Temp\OnboardLogs"\RTDC4049\2017-09-20 --exclude "*" --recursive --include "*20170920*" &amp; "%USERPROFILE%\Documents\GitHub\mrs-test-scripts\Headless Mode &amp; Sideloading\WalkAndUnGZ.bat" "%USERPROFILE%\AppData\Local\Temp\OnboardLogs"\RTDC4049\2017-09-20</v>
      </c>
      <c r="AF111" s="74" t="str">
        <f t="shared" si="45"/>
        <v>"C:\Program Files (x86)\AstroGrep\AstroGrep.exe" /e /r /s /spath="%USERPROFILE%\AppData\Local\Temp\OnboardLogs" /stypes="app*4049*20170919*" /stext=" 23:.+((SYSTEM_STATE.+slice.+state.+changed )|(ment ac)|(multiple cpu faults)|(system.+state.+changed )|(\[timeout)|(PRM\|1\|D)|(kpr)|(kdp)|(train st.+moving)|(\|lc)|(penalty))"</v>
      </c>
      <c r="AG111" s="182" t="str">
        <f t="shared" si="46"/>
        <v>EC</v>
      </c>
      <c r="AH111" s="78" t="str">
        <f t="shared" si="47"/>
        <v>"%USERPROFILE%\Documents\GitHub\eaglep3\Utilities\RefineRTDCRunTimes.py" --tripid 196-19 --locoid 4049 --swversion DE.1.0.9.0 --startMP 204:232973 --initTime 2017-09-19T16:28:04 --startdatetime 2017-09-19T16:31:19 --delay 63 --endMP 204:152 --enddatetime 2017-09-19T17:10:31 --enforcementcount 0 &gt;&gt;C:\Users\stu\Documents\GitHub\eaglep3-reporting\EC\2017-09-19-refined-times.txt</v>
      </c>
      <c r="AI111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{"issue":{"subject":"","project_id":79,"tracker_id":40,"status_id":1,"priority_id":2,"assigned_to_id":338,"start_date":"2017-09-19","description":"","custom_fields":[{"id":1,"name":"Subdivision","value":"EC"},{"id":4,"name":"Milepost","value":"0.0152"},{"id":17,"name":"Train ID","value":"196-19"},{"id":16,"name":"Locomotive ID","value":"4049"},{"id":130,"name":"Impact","value":""},{"id":150,"name":"Time of Event (Mountain Time)","value":"17:10:31"},{"id":151,"name":"Denver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9"/>
        <v>start /low /b %USERPROFILE%\Documents\GitHub\eaglep3\Utilities\DownloadLogsFromS3.py --loco 4049 --day 2017-09-19</v>
      </c>
      <c r="AN111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23:10:31"},{"id":29,"name":"Sharepoint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51"/>
        <v>https://d0f6bd738d7f1b3e5a7ca70fe4ff75f0.us-east-1.aws.found.io/app/kibana#/discover/Steve-Slow-Train-Analysis-(2080s-and-2083s)?_g=(refreshInterval:(display:Off,pause:!f,section:0,value:0),time:(from:'2017-09-19T15:28:04-0600',mode:absolute,to:'2017-09-19T18:10:31-0600'))&amp;_a=(columns:!('Message%20ID',Summary),filters:!(),index:'emp_*',interval:auto,query:(query_string:(analyze_wildcard:!t,query:'Message%5C+ID:(*)+AND+%22rtdc.l.rtdc.4049%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779</v>
      </c>
      <c r="B112" s="7">
        <v>4054</v>
      </c>
      <c r="C112" s="21" t="s">
        <v>197</v>
      </c>
      <c r="D112" s="21" t="s">
        <v>433</v>
      </c>
      <c r="E112" s="13">
        <v>42997.651990740742</v>
      </c>
      <c r="F112" s="13">
        <v>42997.656875000001</v>
      </c>
      <c r="G112" s="7">
        <v>110</v>
      </c>
      <c r="H112" s="21" t="s">
        <v>431</v>
      </c>
      <c r="I112" s="13">
        <v>42997.682118055556</v>
      </c>
      <c r="J112" s="7">
        <v>0</v>
      </c>
      <c r="K112" s="89" t="str">
        <f t="shared" si="37"/>
        <v>4053/4054</v>
      </c>
      <c r="L112" s="185" t="str">
        <f>VLOOKUP(A112,'Trips&amp;Operators'!$C$1:$G$99911,5,FALSE)</f>
        <v>SAFIEF AEIMEN</v>
      </c>
      <c r="M112" s="6">
        <f t="shared" si="38"/>
        <v>2.5243055555620231E-2</v>
      </c>
      <c r="N112" s="7">
        <f t="shared" si="57"/>
        <v>36.350000000093132</v>
      </c>
      <c r="O112" s="7"/>
      <c r="P112" s="7"/>
      <c r="Q112" s="22"/>
      <c r="R112" s="174"/>
      <c r="S112" s="221">
        <f t="shared" si="58"/>
        <v>1</v>
      </c>
      <c r="T112" s="174" t="str">
        <f t="shared" si="39"/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40"/>
        <v>https://d0f6bd738d7f1b3e5a7ca70fe4ff75f0.us-east-1.aws.found.io/app/kibana#/discover/Steve-Slow-Train-Analysis-(2080s-and-2083s)?_g=(refreshInterval:(display:Off,pause:!f,section:0,value:0),time:(from:'2017-09-19T14:38:52-0600',mode:absolute,to:'2017-09-19T17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2" s="204" t="str">
        <f>IF(AA112&lt;VLOOKUP(AG112,Variables!$AC$3:$AD$8,2,FALSE),"Y","N")</f>
        <v>N</v>
      </c>
      <c r="X112" s="204">
        <f t="shared" si="56"/>
        <v>1</v>
      </c>
      <c r="Y112" s="204">
        <f t="shared" si="54"/>
        <v>4.6600000000000003E-2</v>
      </c>
      <c r="Z112" s="204">
        <f t="shared" si="55"/>
        <v>23.331499999999998</v>
      </c>
      <c r="AA112" s="204">
        <f t="shared" si="42"/>
        <v>23.284899999999997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 t="shared" si="43"/>
        <v>197</v>
      </c>
      <c r="AE112" s="77" t="str">
        <f t="shared" si="44"/>
        <v>aws s3 cp s3://rtdc.mdm.uploadarchive.raw/RTDC4054/ "%USERPROFILE%\AppData\Local\Temp\OnboardLogs"\RTDC4054\2017-09-19 --exclude "*" --recursive --include "*20170919*" &amp; "%USERPROFILE%\Documents\GitHub\mrs-test-scripts\Headless Mode &amp; Sideloading\WalkAndUnGZ.bat" "%USERPROFILE%\AppData\Local\Temp\OnboardLogs"\RTDC4054\2017-09-19 &amp; aws s3 cp s3://rtdc.mdm.uploadarchive.raw/RTDC4054/ "%USERPROFILE%\AppData\Local\Temp\OnboardLogs"\RTDC4054\2017-09-20 --exclude "*" --recursive --include "*20170920*" &amp; "%USERPROFILE%\Documents\GitHub\mrs-test-scripts\Headless Mode &amp; Sideloading\WalkAndUnGZ.bat" "%USERPROFILE%\AppData\Local\Temp\OnboardLogs"\RTDC4054\2017-09-20</v>
      </c>
      <c r="AF112" s="74" t="str">
        <f t="shared" si="45"/>
        <v>"C:\Program Files (x86)\AstroGrep\AstroGrep.exe" /e /r /s /spath="%USERPROFILE%\AppData\Local\Temp\OnboardLogs" /stypes="app*4054*20170919*" /stext=" 22:.+((SYSTEM_STATE.+slice.+state.+changed )|(ment ac)|(multiple cpu faults)|(system.+state.+changed )|(\[timeout)|(PRM\|1\|D)|(kpr)|(kdp)|(train st.+moving)|(\|lc)|(penalty))"</v>
      </c>
      <c r="AG112" s="182" t="str">
        <f t="shared" si="46"/>
        <v>EC</v>
      </c>
      <c r="AH112" s="78" t="str">
        <f t="shared" si="47"/>
        <v>"%USERPROFILE%\Documents\GitHub\eaglep3\Utilities\RefineRTDCRunTimes.py" --tripid 197-19 --locoid 4054 --swversion DE.1.0.9.0 --startMP 204:466 --initTime 2017-09-19T15:38:52 --startdatetime 2017-09-19T15:45:54 --delay 110 --endMP 204:233315 --enddatetime 2017-09-19T16:22:15 --enforcementcount 0 &gt;&gt;C:\Users\stu\Documents\GitHub\eaglep3-reporting\EC\2017-09-19-refined-times.txt</v>
      </c>
      <c r="AI112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{"issue":{"subject":"","project_id":79,"tracker_id":40,"status_id":1,"priority_id":2,"assigned_to_id":338,"start_date":"2017-09-19","description":"","custom_fields":[{"id":1,"name":"Subdivision","value":"EC"},{"id":4,"name":"Milepost","value":"23.3315"},{"id":17,"name":"Train ID","value":"197-19"},{"id":16,"name":"Locomotive ID","value":"4054"},{"id":130,"name":"Impact","value":""},{"id":150,"name":"Time of Event (Mountain Time)","value":"16:22:15"},{"id":151,"name":"Denver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9"/>
        <v>start /low /b %USERPROFILE%\Documents\GitHub\eaglep3\Utilities\DownloadLogsFromS3.py --loco 4054 --day 2017-09-19</v>
      </c>
      <c r="AN112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22:22:15"},{"id":29,"name":"Sharepoint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51"/>
        <v>https://d0f6bd738d7f1b3e5a7ca70fe4ff75f0.us-east-1.aws.found.io/app/kibana#/discover/Steve-Slow-Train-Analysis-(2080s-and-2083s)?_g=(refreshInterval:(display:Off,pause:!f,section:0,value:0),time:(from:'2017-09-19T14:38:52-0600',mode:absolute,to:'2017-09-19T17:22:15-0600'))&amp;_a=(columns:!('Message%20ID',Summary),filters:!(),index:'emp_*',interval:auto,query:(query_string:(analyze_wildcard:!t,query:'Message%5C+ID:(*)+AND+%22rtdc.l.rtdc.4054%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787</v>
      </c>
      <c r="B113" s="7">
        <v>4053</v>
      </c>
      <c r="C113" s="21" t="s">
        <v>197</v>
      </c>
      <c r="D113" s="21" t="s">
        <v>530</v>
      </c>
      <c r="E113" s="13">
        <v>42997.685439814813</v>
      </c>
      <c r="F113" s="13">
        <v>42997.69630787037</v>
      </c>
      <c r="G113" s="7">
        <v>68</v>
      </c>
      <c r="H113" s="21" t="s">
        <v>527</v>
      </c>
      <c r="I113" s="13">
        <v>42997.722453703704</v>
      </c>
      <c r="J113" s="7">
        <v>0</v>
      </c>
      <c r="K113" s="89" t="str">
        <f t="shared" si="37"/>
        <v>4053/4054</v>
      </c>
      <c r="L113" s="185" t="str">
        <f>VLOOKUP(A113,'Trips&amp;Operators'!$C$1:$G$99911,5,FALSE)</f>
        <v>SAFIEF AEIMEN</v>
      </c>
      <c r="M113" s="6">
        <f t="shared" si="38"/>
        <v>2.6145833333430346E-2</v>
      </c>
      <c r="N113" s="7">
        <f t="shared" si="57"/>
        <v>37.650000000139698</v>
      </c>
      <c r="O113" s="7"/>
      <c r="P113" s="7"/>
      <c r="Q113" s="22"/>
      <c r="R113" s="174"/>
      <c r="S113" s="221">
        <f t="shared" si="58"/>
        <v>1</v>
      </c>
      <c r="T113" s="174" t="str">
        <f t="shared" si="39"/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40"/>
        <v>https://d0f6bd738d7f1b3e5a7ca70fe4ff75f0.us-east-1.aws.found.io/app/kibana#/discover/Steve-Slow-Train-Analysis-(2080s-and-2083s)?_g=(refreshInterval:(display:Off,pause:!f,section:0,value:0),time:(from:'2017-09-19T15:27:02-0600',mode:absolute,to:'2017-09-19T18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3" s="204" t="str">
        <f>IF(AA113&lt;VLOOKUP(AG113,Variables!$AC$3:$AD$8,2,FALSE),"Y","N")</f>
        <v>N</v>
      </c>
      <c r="X113" s="204">
        <f t="shared" si="56"/>
        <v>1</v>
      </c>
      <c r="Y113" s="204">
        <f t="shared" si="54"/>
        <v>23.302099999999999</v>
      </c>
      <c r="Z113" s="204">
        <f t="shared" si="55"/>
        <v>1.34E-2</v>
      </c>
      <c r="AA113" s="204">
        <f t="shared" si="42"/>
        <v>23.288699999999999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 t="shared" si="43"/>
        <v>198</v>
      </c>
      <c r="AE113" s="77" t="str">
        <f t="shared" si="44"/>
        <v>aws s3 cp s3://rtdc.mdm.uploadarchive.raw/RTDC4053/ "%USERPROFILE%\AppData\Local\Temp\OnboardLogs"\RTDC4053\2017-09-19 --exclude "*" --recursive --include "*20170919*" &amp; "%USERPROFILE%\Documents\GitHub\mrs-test-scripts\Headless Mode &amp; Sideloading\WalkAndUnGZ.bat" "%USERPROFILE%\AppData\Local\Temp\OnboardLogs"\RTDC4053\2017-09-19 &amp; aws s3 cp s3://rtdc.mdm.uploadarchive.raw/RTDC4053/ "%USERPROFILE%\AppData\Local\Temp\OnboardLogs"\RTDC4053\2017-09-20 --exclude "*" --recursive --include "*20170920*" &amp; "%USERPROFILE%\Documents\GitHub\mrs-test-scripts\Headless Mode &amp; Sideloading\WalkAndUnGZ.bat" "%USERPROFILE%\AppData\Local\Temp\OnboardLogs"\RTDC4053\2017-09-20</v>
      </c>
      <c r="AF113" s="74" t="str">
        <f t="shared" si="45"/>
        <v>"C:\Program Files (x86)\AstroGrep\AstroGrep.exe" /e /r /s /spath="%USERPROFILE%\AppData\Local\Temp\OnboardLogs" /stypes="app*4053*20170919*" /stext=" 23:.+((SYSTEM_STATE.+slice.+state.+changed )|(ment ac)|(multiple cpu faults)|(system.+state.+changed )|(\[timeout)|(PRM\|1\|D)|(kpr)|(kdp)|(train st.+moving)|(\|lc)|(penalty))"</v>
      </c>
      <c r="AG113" s="182" t="str">
        <f t="shared" si="46"/>
        <v>EC</v>
      </c>
      <c r="AH113" s="78" t="str">
        <f t="shared" si="47"/>
        <v>"%USERPROFILE%\Documents\GitHub\eaglep3\Utilities\RefineRTDCRunTimes.py" --tripid 198-19 --locoid 4053 --swversion DE.1.0.9.0 --startMP 204:233021 --initTime 2017-09-19T16:27:02 --startdatetime 2017-09-19T16:42:41 --delay 68 --endMP 204:134 --enddatetime 2017-09-19T17:20:20 --enforcementcount 0 &gt;&gt;C:\Users\stu\Documents\GitHub\eaglep3-reporting\EC\2017-09-19-refined-times.txt</v>
      </c>
      <c r="AI113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{"issue":{"subject":"","project_id":79,"tracker_id":40,"status_id":1,"priority_id":2,"assigned_to_id":338,"start_date":"2017-09-19","description":"","custom_fields":[{"id":1,"name":"Subdivision","value":"EC"},{"id":4,"name":"Milepost","value":"0.0134"},{"id":17,"name":"Train ID","value":"198-19"},{"id":16,"name":"Locomotive ID","value":"4053"},{"id":130,"name":"Impact","value":""},{"id":150,"name":"Time of Event (Mountain Time)","value":"17:20:20"},{"id":151,"name":"Denver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9"/>
        <v>start /low /b %USERPROFILE%\Documents\GitHub\eaglep3\Utilities\DownloadLogsFromS3.py --loco 4053 --day 2017-09-19</v>
      </c>
      <c r="AN113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23:20:20"},{"id":29,"name":"Sharepoint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51"/>
        <v>https://d0f6bd738d7f1b3e5a7ca70fe4ff75f0.us-east-1.aws.found.io/app/kibana#/discover/Steve-Slow-Train-Analysis-(2080s-and-2083s)?_g=(refreshInterval:(display:Off,pause:!f,section:0,value:0),time:(from:'2017-09-19T15:27:02-0600',mode:absolute,to:'2017-09-19T18:20:20-0600'))&amp;_a=(columns:!('Message%20ID',Summary),filters:!(),index:'emp_*',interval:auto,query:(query_string:(analyze_wildcard:!t,query:'Message%5C+ID:(*)+AND+%22rtdc.l.rtdc.4053%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640</v>
      </c>
      <c r="B114" s="7">
        <v>4028</v>
      </c>
      <c r="C114" s="21" t="s">
        <v>197</v>
      </c>
      <c r="D114" s="21" t="s">
        <v>452</v>
      </c>
      <c r="E114" s="13">
        <v>42997.664803240739</v>
      </c>
      <c r="F114" s="13">
        <v>42997.66710648148</v>
      </c>
      <c r="G114" s="7">
        <v>57</v>
      </c>
      <c r="H114" s="21" t="s">
        <v>514</v>
      </c>
      <c r="I114" s="13">
        <v>42997.694236111114</v>
      </c>
      <c r="J114" s="7">
        <v>0</v>
      </c>
      <c r="K114" s="89" t="str">
        <f t="shared" si="37"/>
        <v>4027/4028</v>
      </c>
      <c r="L114" s="185" t="str">
        <f>VLOOKUP(A114,'Trips&amp;Operators'!$C$1:$G$99911,5,FALSE)</f>
        <v>DAVIS MICHAEL</v>
      </c>
      <c r="M114" s="6">
        <f t="shared" si="38"/>
        <v>2.7129629634146113E-2</v>
      </c>
      <c r="N114" s="7">
        <f t="shared" si="57"/>
        <v>39.066666673170403</v>
      </c>
      <c r="O114" s="7"/>
      <c r="P114" s="7"/>
      <c r="Q114" s="22"/>
      <c r="R114" s="174"/>
      <c r="S114" s="221">
        <f t="shared" si="58"/>
        <v>1</v>
      </c>
      <c r="T114" s="174" t="str">
        <f t="shared" si="39"/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40"/>
        <v>https://d0f6bd738d7f1b3e5a7ca70fe4ff75f0.us-east-1.aws.found.io/app/kibana#/discover/Steve-Slow-Train-Analysis-(2080s-and-2083s)?_g=(refreshInterval:(display:Off,pause:!f,section:0,value:0),time:(from:'2017-09-19T14:57:19-0600',mode:absolute,to:'2017-09-19T17:39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4" s="204" t="str">
        <f>IF(AA114&lt;VLOOKUP(AG114,Variables!$AC$3:$AD$8,2,FALSE),"Y","N")</f>
        <v>N</v>
      </c>
      <c r="X114" s="204">
        <f t="shared" si="56"/>
        <v>1</v>
      </c>
      <c r="Y114" s="204">
        <f t="shared" si="54"/>
        <v>4.7300000000000002E-2</v>
      </c>
      <c r="Z114" s="204">
        <f t="shared" si="55"/>
        <v>23.331800000000001</v>
      </c>
      <c r="AA114" s="204">
        <f t="shared" si="42"/>
        <v>23.284500000000001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 t="shared" si="43"/>
        <v>199</v>
      </c>
      <c r="AE114" s="77" t="str">
        <f t="shared" si="44"/>
        <v>aws s3 cp s3://rtdc.mdm.uploadarchive.raw/RTDC4028/ "%USERPROFILE%\AppData\Local\Temp\OnboardLogs"\RTDC4028\2017-09-19 --exclude "*" --recursive --include "*20170919*" &amp; "%USERPROFILE%\Documents\GitHub\mrs-test-scripts\Headless Mode &amp; Sideloading\WalkAndUnGZ.bat" "%USERPROFILE%\AppData\Local\Temp\OnboardLogs"\RTDC4028\2017-09-19 &amp; aws s3 cp s3://rtdc.mdm.uploadarchive.raw/RTDC4028/ "%USERPROFILE%\AppData\Local\Temp\OnboardLogs"\RTDC4028\2017-09-20 --exclude "*" --recursive --include "*20170920*" &amp; "%USERPROFILE%\Documents\GitHub\mrs-test-scripts\Headless Mode &amp; Sideloading\WalkAndUnGZ.bat" "%USERPROFILE%\AppData\Local\Temp\OnboardLogs"\RTDC4028\2017-09-20</v>
      </c>
      <c r="AF114" s="74" t="str">
        <f t="shared" si="45"/>
        <v>"C:\Program Files (x86)\AstroGrep\AstroGrep.exe" /e /r /s /spath="%USERPROFILE%\AppData\Local\Temp\OnboardLogs" /stypes="app*4028*20170919*" /stext=" 22:.+((SYSTEM_STATE.+slice.+state.+changed )|(ment ac)|(multiple cpu faults)|(system.+state.+changed )|(\[timeout)|(PRM\|1\|D)|(kpr)|(kdp)|(train st.+moving)|(\|lc)|(penalty))"</v>
      </c>
      <c r="AG114" s="182" t="str">
        <f t="shared" si="46"/>
        <v>EC</v>
      </c>
      <c r="AH114" s="78" t="str">
        <f t="shared" si="47"/>
        <v>"%USERPROFILE%\Documents\GitHub\eaglep3\Utilities\RefineRTDCRunTimes.py" --tripid 199-19 --locoid 4028 --swversion DE.1.0.9.0 --startMP 204:473 --initTime 2017-09-19T15:57:19 --startdatetime 2017-09-19T16:00:38 --delay 57 --endMP 204:233318 --enddatetime 2017-09-19T16:39:42 --enforcementcount 0 &gt;&gt;C:\Users\stu\Documents\GitHub\eaglep3-reporting\EC\2017-09-19-refined-times.txt</v>
      </c>
      <c r="AI114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{"issue":{"subject":"","project_id":79,"tracker_id":40,"status_id":1,"priority_id":2,"assigned_to_id":338,"start_date":"2017-09-19","description":"","custom_fields":[{"id":1,"name":"Subdivision","value":"EC"},{"id":4,"name":"Milepost","value":"23.3318"},{"id":17,"name":"Train ID","value":"199-19"},{"id":16,"name":"Locomotive ID","value":"4028"},{"id":130,"name":"Impact","value":""},{"id":150,"name":"Time of Event (Mountain Time)","value":"16:39:42"},{"id":151,"name":"Denver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9"/>
        <v>start /low /b %USERPROFILE%\Documents\GitHub\eaglep3\Utilities\DownloadLogsFromS3.py --loco 4028 --day 2017-09-19</v>
      </c>
      <c r="AN114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22:39:42"},{"id":29,"name":"Sharepoint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51"/>
        <v>https://d0f6bd738d7f1b3e5a7ca70fe4ff75f0.us-east-1.aws.found.io/app/kibana#/discover/Steve-Slow-Train-Analysis-(2080s-and-2083s)?_g=(refreshInterval:(display:Off,pause:!f,section:0,value:0),time:(from:'2017-09-19T14:57:19-0600',mode:absolute,to:'2017-09-19T17:39:42-0600'))&amp;_a=(columns:!('Message%20ID',Summary),filters:!(),index:'emp_*',interval:auto,query:(query_string:(analyze_wildcard:!t,query:'Message%5C+ID:(*)+AND+%22rtdc.l.rtdc.4028%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793</v>
      </c>
      <c r="B115" s="7">
        <v>4027</v>
      </c>
      <c r="C115" s="21" t="s">
        <v>197</v>
      </c>
      <c r="D115" s="21" t="s">
        <v>894</v>
      </c>
      <c r="E115" s="13">
        <v>42997.70484953704</v>
      </c>
      <c r="F115" s="13">
        <v>42997.706620370373</v>
      </c>
      <c r="G115" s="7">
        <v>72</v>
      </c>
      <c r="H115" s="21" t="s">
        <v>338</v>
      </c>
      <c r="I115" s="13">
        <v>42997.734236111108</v>
      </c>
      <c r="J115" s="7">
        <v>0</v>
      </c>
      <c r="K115" s="89" t="str">
        <f t="shared" si="37"/>
        <v>4027/4028</v>
      </c>
      <c r="L115" s="185" t="str">
        <f>VLOOKUP(A115,'Trips&amp;Operators'!$C$1:$G$99911,5,FALSE)</f>
        <v>DAVIS MICHAEL</v>
      </c>
      <c r="M115" s="6">
        <f t="shared" si="38"/>
        <v>2.7615740735200234E-2</v>
      </c>
      <c r="N115" s="7">
        <f t="shared" si="57"/>
        <v>39.766666658688337</v>
      </c>
      <c r="O115" s="7"/>
      <c r="P115" s="7"/>
      <c r="Q115" s="22"/>
      <c r="R115" s="174"/>
      <c r="S115" s="221">
        <f t="shared" si="58"/>
        <v>1</v>
      </c>
      <c r="T115" s="174" t="str">
        <f t="shared" si="39"/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40"/>
        <v>https://d0f6bd738d7f1b3e5a7ca70fe4ff75f0.us-east-1.aws.found.io/app/kibana#/discover/Steve-Slow-Train-Analysis-(2080s-and-2083s)?_g=(refreshInterval:(display:Off,pause:!f,section:0,value:0),time:(from:'2017-09-19T15:54:59-0600',mode:absolute,to:'2017-09-19T18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5" s="204" t="str">
        <f>IF(AA115&lt;VLOOKUP(AG115,Variables!$AC$3:$AD$8,2,FALSE),"Y","N")</f>
        <v>N</v>
      </c>
      <c r="X115" s="204">
        <f t="shared" si="56"/>
        <v>1</v>
      </c>
      <c r="Y115" s="204">
        <f t="shared" si="54"/>
        <v>23.2944</v>
      </c>
      <c r="Z115" s="204">
        <f t="shared" si="55"/>
        <v>1.4999999999999999E-2</v>
      </c>
      <c r="AA115" s="204">
        <f t="shared" si="42"/>
        <v>23.279399999999999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 t="shared" si="43"/>
        <v>200</v>
      </c>
      <c r="AE115" s="77" t="str">
        <f t="shared" si="44"/>
        <v>aws s3 cp s3://rtdc.mdm.uploadarchive.raw/RTDC4027/ "%USERPROFILE%\AppData\Local\Temp\OnboardLogs"\RTDC4027\2017-09-19 --exclude "*" --recursive --include "*20170919*" &amp; "%USERPROFILE%\Documents\GitHub\mrs-test-scripts\Headless Mode &amp; Sideloading\WalkAndUnGZ.bat" "%USERPROFILE%\AppData\Local\Temp\OnboardLogs"\RTDC4027\2017-09-19 &amp; aws s3 cp s3://rtdc.mdm.uploadarchive.raw/RTDC4027/ "%USERPROFILE%\AppData\Local\Temp\OnboardLogs"\RTDC4027\2017-09-20 --exclude "*" --recursive --include "*20170920*" &amp; "%USERPROFILE%\Documents\GitHub\mrs-test-scripts\Headless Mode &amp; Sideloading\WalkAndUnGZ.bat" "%USERPROFILE%\AppData\Local\Temp\OnboardLogs"\RTDC4027\2017-09-20</v>
      </c>
      <c r="AF115" s="74" t="str">
        <f t="shared" si="45"/>
        <v>"C:\Program Files (x86)\AstroGrep\AstroGrep.exe" /e /r /s /spath="%USERPROFILE%\AppData\Local\Temp\OnboardLogs" /stypes="app*4027*20170919*" /stext=" 23:.+((SYSTEM_STATE.+slice.+state.+changed )|(ment ac)|(multiple cpu faults)|(system.+state.+changed )|(\[timeout)|(PRM\|1\|D)|(kpr)|(kdp)|(train st.+moving)|(\|lc)|(penalty))"</v>
      </c>
      <c r="AG115" s="182" t="str">
        <f t="shared" si="46"/>
        <v>EC</v>
      </c>
      <c r="AH115" s="78" t="str">
        <f t="shared" si="47"/>
        <v>"%USERPROFILE%\Documents\GitHub\eaglep3\Utilities\RefineRTDCRunTimes.py" --tripid 200-19 --locoid 4027 --swversion DE.1.0.9.0 --startMP 204:232944 --initTime 2017-09-19T16:54:59 --startdatetime 2017-09-19T16:57:32 --delay 72 --endMP 204:150 --enddatetime 2017-09-19T17:37:18 --enforcementcount 0 &gt;&gt;C:\Users\stu\Documents\GitHub\eaglep3-reporting\EC\2017-09-19-refined-times.txt</v>
      </c>
      <c r="AI115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{"issue":{"subject":"","project_id":79,"tracker_id":40,"status_id":1,"priority_id":2,"assigned_to_id":338,"start_date":"2017-09-19","description":"","custom_fields":[{"id":1,"name":"Subdivision","value":"EC"},{"id":4,"name":"Milepost","value":"0.015"},{"id":17,"name":"Train ID","value":"200-19"},{"id":16,"name":"Locomotive ID","value":"4027"},{"id":130,"name":"Impact","value":""},{"id":150,"name":"Time of Event (Mountain Time)","value":"17:37:18"},{"id":151,"name":"Denver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9"/>
        <v>start /low /b %USERPROFILE%\Documents\GitHub\eaglep3\Utilities\DownloadLogsFromS3.py --loco 4027 --day 2017-09-19</v>
      </c>
      <c r="AN115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23:37:18"},{"id":29,"name":"Sharepoint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51"/>
        <v>https://d0f6bd738d7f1b3e5a7ca70fe4ff75f0.us-east-1.aws.found.io/app/kibana#/discover/Steve-Slow-Train-Analysis-(2080s-and-2083s)?_g=(refreshInterval:(display:Off,pause:!f,section:0,value:0),time:(from:'2017-09-19T15:54:59-0600',mode:absolute,to:'2017-09-19T18:37:18-0600'))&amp;_a=(columns:!('Message%20ID',Summary),filters:!(),index:'emp_*',interval:auto,query:(query_string:(analyze_wildcard:!t,query:'Message%5C+ID:(*)+AND+%22rtdc.l.rtdc.4027%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783</v>
      </c>
      <c r="B116" s="7">
        <v>4014</v>
      </c>
      <c r="C116" s="21" t="s">
        <v>197</v>
      </c>
      <c r="D116" s="21" t="s">
        <v>378</v>
      </c>
      <c r="E116" s="13">
        <v>42997.671747685185</v>
      </c>
      <c r="F116" s="13">
        <v>42997.677384259259</v>
      </c>
      <c r="G116" s="7">
        <v>69</v>
      </c>
      <c r="H116" s="21" t="s">
        <v>564</v>
      </c>
      <c r="I116" s="13">
        <v>42997.702974537038</v>
      </c>
      <c r="J116" s="7">
        <v>0</v>
      </c>
      <c r="K116" s="89" t="str">
        <f t="shared" si="37"/>
        <v>4013/4014</v>
      </c>
      <c r="L116" s="185" t="str">
        <f>VLOOKUP(A116,'Trips&amp;Operators'!$C$1:$G$99911,5,FALSE)</f>
        <v>SMITH MICHAEL</v>
      </c>
      <c r="M116" s="6">
        <f t="shared" si="38"/>
        <v>2.5590277778974269E-2</v>
      </c>
      <c r="N116" s="7">
        <f t="shared" si="57"/>
        <v>36.850000001722947</v>
      </c>
      <c r="O116" s="7"/>
      <c r="P116" s="7"/>
      <c r="Q116" s="22"/>
      <c r="R116" s="174"/>
      <c r="S116" s="221">
        <f t="shared" si="58"/>
        <v>1</v>
      </c>
      <c r="T116" s="174" t="str">
        <f t="shared" si="39"/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40"/>
        <v>https://d0f6bd738d7f1b3e5a7ca70fe4ff75f0.us-east-1.aws.found.io/app/kibana#/discover/Steve-Slow-Train-Analysis-(2080s-and-2083s)?_g=(refreshInterval:(display:Off,pause:!f,section:0,value:0),time:(from:'2017-09-19T15:07:19-0600',mode:absolute,to:'2017-09-19T17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6" s="204" t="str">
        <f>IF(AA116&lt;VLOOKUP(AG116,Variables!$AC$3:$AD$8,2,FALSE),"Y","N")</f>
        <v>N</v>
      </c>
      <c r="X116" s="204">
        <f t="shared" si="56"/>
        <v>1</v>
      </c>
      <c r="Y116" s="204">
        <f t="shared" si="54"/>
        <v>4.4200000000000003E-2</v>
      </c>
      <c r="Z116" s="204">
        <f t="shared" si="55"/>
        <v>23.330400000000001</v>
      </c>
      <c r="AA116" s="204">
        <f t="shared" si="42"/>
        <v>23.286200000000001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 t="shared" si="43"/>
        <v>201</v>
      </c>
      <c r="AE116" s="77" t="str">
        <f t="shared" si="44"/>
        <v>aws s3 cp s3://rtdc.mdm.uploadarchive.raw/RTDC4014/ "%USERPROFILE%\AppData\Local\Temp\OnboardLogs"\RTDC4014\2017-09-19 --exclude "*" --recursive --include "*20170919*" &amp; "%USERPROFILE%\Documents\GitHub\mrs-test-scripts\Headless Mode &amp; Sideloading\WalkAndUnGZ.bat" "%USERPROFILE%\AppData\Local\Temp\OnboardLogs"\RTDC4014\2017-09-19 &amp; aws s3 cp s3://rtdc.mdm.uploadarchive.raw/RTDC4014/ "%USERPROFILE%\AppData\Local\Temp\OnboardLogs"\RTDC4014\2017-09-20 --exclude "*" --recursive --include "*20170920*" &amp; "%USERPROFILE%\Documents\GitHub\mrs-test-scripts\Headless Mode &amp; Sideloading\WalkAndUnGZ.bat" "%USERPROFILE%\AppData\Local\Temp\OnboardLogs"\RTDC4014\2017-09-20</v>
      </c>
      <c r="AF116" s="74" t="str">
        <f t="shared" si="45"/>
        <v>"C:\Program Files (x86)\AstroGrep\AstroGrep.exe" /e /r /s /spath="%USERPROFILE%\AppData\Local\Temp\OnboardLogs" /stypes="app*4014*20170919*" /stext=" 22:.+((SYSTEM_STATE.+slice.+state.+changed )|(ment ac)|(multiple cpu faults)|(system.+state.+changed )|(\[timeout)|(PRM\|1\|D)|(kpr)|(kdp)|(train st.+moving)|(\|lc)|(penalty))"</v>
      </c>
      <c r="AG116" s="182" t="str">
        <f t="shared" si="46"/>
        <v>EC</v>
      </c>
      <c r="AH116" s="78" t="str">
        <f t="shared" si="47"/>
        <v>"%USERPROFILE%\Documents\GitHub\eaglep3\Utilities\RefineRTDCRunTimes.py" --tripid 201-19 --locoid 4014 --swversion DE.1.0.9.0 --startMP 204:442 --initTime 2017-09-19T16:07:19 --startdatetime 2017-09-19T16:15:26 --delay 69 --endMP 204:233304 --enddatetime 2017-09-19T16:52:17 --enforcementcount 0 &gt;&gt;C:\Users\stu\Documents\GitHub\eaglep3-reporting\EC\2017-09-19-refined-times.txt</v>
      </c>
      <c r="AI116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{"issue":{"subject":"","project_id":79,"tracker_id":40,"status_id":1,"priority_id":2,"assigned_to_id":338,"start_date":"2017-09-19","description":"","custom_fields":[{"id":1,"name":"Subdivision","value":"EC"},{"id":4,"name":"Milepost","value":"23.3304"},{"id":17,"name":"Train ID","value":"201-19"},{"id":16,"name":"Locomotive ID","value":"4014"},{"id":130,"name":"Impact","value":""},{"id":150,"name":"Time of Event (Mountain Time)","value":"16:52:17"},{"id":151,"name":"Denver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9"/>
        <v>start /low /b %USERPROFILE%\Documents\GitHub\eaglep3\Utilities\DownloadLogsFromS3.py --loco 4014 --day 2017-09-19</v>
      </c>
      <c r="AN116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22:52:17"},{"id":29,"name":"Sharepoint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51"/>
        <v>https://d0f6bd738d7f1b3e5a7ca70fe4ff75f0.us-east-1.aws.found.io/app/kibana#/discover/Steve-Slow-Train-Analysis-(2080s-and-2083s)?_g=(refreshInterval:(display:Off,pause:!f,section:0,value:0),time:(from:'2017-09-19T15:07:19-0600',mode:absolute,to:'2017-09-19T17:52:17-0600'))&amp;_a=(columns:!('Message%20ID',Summary),filters:!(),index:'emp_*',interval:auto,query:(query_string:(analyze_wildcard:!t,query:'Message%5C+ID:(*)+AND+%22rtdc.l.rtdc.4014%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791</v>
      </c>
      <c r="B117" s="7">
        <v>4013</v>
      </c>
      <c r="C117" s="21" t="s">
        <v>197</v>
      </c>
      <c r="D117" s="21" t="s">
        <v>561</v>
      </c>
      <c r="E117" s="13">
        <v>42997.70453703704</v>
      </c>
      <c r="F117" s="13">
        <v>42997.71702546296</v>
      </c>
      <c r="G117" s="7">
        <v>57</v>
      </c>
      <c r="H117" s="21" t="s">
        <v>338</v>
      </c>
      <c r="I117" s="13">
        <v>42997.742395833331</v>
      </c>
      <c r="J117" s="7">
        <v>0</v>
      </c>
      <c r="K117" s="89" t="str">
        <f t="shared" si="37"/>
        <v>4013/4014</v>
      </c>
      <c r="L117" s="185" t="str">
        <f>VLOOKUP(A117,'Trips&amp;Operators'!$C$1:$G$99911,5,FALSE)</f>
        <v>SMITH MICHAEL</v>
      </c>
      <c r="M117" s="6">
        <f t="shared" si="38"/>
        <v>2.5370370371092577E-2</v>
      </c>
      <c r="N117" s="7">
        <f t="shared" si="57"/>
        <v>36.53333333437331</v>
      </c>
      <c r="O117" s="7"/>
      <c r="P117" s="7"/>
      <c r="Q117" s="22"/>
      <c r="R117" s="174"/>
      <c r="S117" s="221">
        <f t="shared" si="58"/>
        <v>1</v>
      </c>
      <c r="T117" s="174" t="str">
        <f t="shared" si="39"/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40"/>
        <v>https://d0f6bd738d7f1b3e5a7ca70fe4ff75f0.us-east-1.aws.found.io/app/kibana#/discover/Steve-Slow-Train-Analysis-(2080s-and-2083s)?_g=(refreshInterval:(display:Off,pause:!f,section:0,value:0),time:(from:'2017-09-19T15:54:32-0600',mode:absolute,to:'2017-09-19T18:49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7" s="204" t="str">
        <f>IF(AA117&lt;VLOOKUP(AG117,Variables!$AC$3:$AD$8,2,FALSE),"Y","N")</f>
        <v>N</v>
      </c>
      <c r="X117" s="204">
        <f t="shared" si="56"/>
        <v>1</v>
      </c>
      <c r="Y117" s="204">
        <f t="shared" si="54"/>
        <v>23.2987</v>
      </c>
      <c r="Z117" s="204">
        <f t="shared" si="55"/>
        <v>1.4999999999999999E-2</v>
      </c>
      <c r="AA117" s="204">
        <f t="shared" si="42"/>
        <v>23.2837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 t="shared" si="43"/>
        <v>202</v>
      </c>
      <c r="AE117" s="77" t="str">
        <f t="shared" si="44"/>
        <v>aws s3 cp s3://rtdc.mdm.uploadarchive.raw/RTDC4013/ "%USERPROFILE%\AppData\Local\Temp\OnboardLogs"\RTDC4013\2017-09-19 --exclude "*" --recursive --include "*20170919*" &amp; "%USERPROFILE%\Documents\GitHub\mrs-test-scripts\Headless Mode &amp; Sideloading\WalkAndUnGZ.bat" "%USERPROFILE%\AppData\Local\Temp\OnboardLogs"\RTDC4013\2017-09-19 &amp; aws s3 cp s3://rtdc.mdm.uploadarchive.raw/RTDC4013/ "%USERPROFILE%\AppData\Local\Temp\OnboardLogs"\RTDC4013\2017-09-20 --exclude "*" --recursive --include "*20170920*" &amp; "%USERPROFILE%\Documents\GitHub\mrs-test-scripts\Headless Mode &amp; Sideloading\WalkAndUnGZ.bat" "%USERPROFILE%\AppData\Local\Temp\OnboardLogs"\RTDC4013\2017-09-20</v>
      </c>
      <c r="AF117" s="74" t="str">
        <f t="shared" si="45"/>
        <v>"C:\Program Files (x86)\AstroGrep\AstroGrep.exe" /e /r /s /spath="%USERPROFILE%\AppData\Local\Temp\OnboardLogs" /stypes="app*4013*20170919*" /stext=" 23:.+((SYSTEM_STATE.+slice.+state.+changed )|(ment ac)|(multiple cpu faults)|(system.+state.+changed )|(\[timeout)|(PRM\|1\|D)|(kpr)|(kdp)|(train st.+moving)|(\|lc)|(penalty))"</v>
      </c>
      <c r="AG117" s="182" t="str">
        <f t="shared" si="46"/>
        <v>EC</v>
      </c>
      <c r="AH117" s="78" t="str">
        <f t="shared" si="47"/>
        <v>"%USERPROFILE%\Documents\GitHub\eaglep3\Utilities\RefineRTDCRunTimes.py" --tripid 202-19 --locoid 4013 --swversion DE.1.0.9.0 --startMP 204:232987 --initTime 2017-09-19T16:54:32 --startdatetime 2017-09-19T17:12:31 --delay 57 --endMP 204:150 --enddatetime 2017-09-19T17:49:03 --enforcementcount 0 &gt;&gt;C:\Users\stu\Documents\GitHub\eaglep3-reporting\EC\2017-09-19-refined-times.txt</v>
      </c>
      <c r="AI117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{"issue":{"subject":"","project_id":79,"tracker_id":40,"status_id":1,"priority_id":2,"assigned_to_id":338,"start_date":"2017-09-19","description":"","custom_fields":[{"id":1,"name":"Subdivision","value":"EC"},{"id":4,"name":"Milepost","value":"0.015"},{"id":17,"name":"Train ID","value":"202-19"},{"id":16,"name":"Locomotive ID","value":"4013"},{"id":130,"name":"Impact","value":""},{"id":150,"name":"Time of Event (Mountain Time)","value":"17:49:03"},{"id":151,"name":"Denver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9"/>
        <v>start /low /b %USERPROFILE%\Documents\GitHub\eaglep3\Utilities\DownloadLogsFromS3.py --loco 4013 --day 2017-09-19</v>
      </c>
      <c r="AN117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23:49:03"},{"id":29,"name":"Sharepoint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51"/>
        <v>https://d0f6bd738d7f1b3e5a7ca70fe4ff75f0.us-east-1.aws.found.io/app/kibana#/discover/Steve-Slow-Train-Analysis-(2080s-and-2083s)?_g=(refreshInterval:(display:Off,pause:!f,section:0,value:0),time:(from:'2017-09-19T15:54:32-0600',mode:absolute,to:'2017-09-19T18:49:03-0600'))&amp;_a=(columns:!('Message%20ID',Summary),filters:!(),index:'emp_*',interval:auto,query:(query_string:(analyze_wildcard:!t,query:'Message%5C+ID:(*)+AND+%22rtdc.l.rtdc.4013%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786</v>
      </c>
      <c r="B118" s="7">
        <v>4056</v>
      </c>
      <c r="C118" s="21" t="s">
        <v>197</v>
      </c>
      <c r="D118" s="21" t="s">
        <v>435</v>
      </c>
      <c r="E118" s="13">
        <v>42997.684444444443</v>
      </c>
      <c r="F118" s="13">
        <v>42997.687696759262</v>
      </c>
      <c r="G118" s="7">
        <v>70</v>
      </c>
      <c r="H118" s="21" t="s">
        <v>873</v>
      </c>
      <c r="I118" s="13">
        <v>42997.713425925926</v>
      </c>
      <c r="J118" s="7">
        <v>0</v>
      </c>
      <c r="K118" s="89" t="str">
        <f t="shared" si="37"/>
        <v>4055/4056</v>
      </c>
      <c r="L118" s="185" t="str">
        <f>VLOOKUP(A118,'Trips&amp;Operators'!$C$1:$G$99911,5,FALSE)</f>
        <v>BRUDER RICHARD</v>
      </c>
      <c r="M118" s="6">
        <f t="shared" si="38"/>
        <v>2.5729166663950309E-2</v>
      </c>
      <c r="N118" s="7">
        <f t="shared" si="57"/>
        <v>37.049999996088445</v>
      </c>
      <c r="O118" s="7"/>
      <c r="P118" s="7"/>
      <c r="Q118" s="22"/>
      <c r="R118" s="174"/>
      <c r="S118" s="221">
        <f t="shared" si="58"/>
        <v>1</v>
      </c>
      <c r="T118" s="174" t="str">
        <f t="shared" si="39"/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40"/>
        <v>https://d0f6bd738d7f1b3e5a7ca70fe4ff75f0.us-east-1.aws.found.io/app/kibana#/discover/Steve-Slow-Train-Analysis-(2080s-and-2083s)?_g=(refreshInterval:(display:Off,pause:!f,section:0,value:0),time:(from:'2017-09-19T15:25:36-0600',mode:absolute,to:'2017-09-19T18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8" s="204" t="str">
        <f>IF(AA118&lt;VLOOKUP(AG118,Variables!$AC$3:$AD$8,2,FALSE),"Y","N")</f>
        <v>N</v>
      </c>
      <c r="X118" s="204">
        <f t="shared" si="56"/>
        <v>1</v>
      </c>
      <c r="Y118" s="204">
        <f t="shared" si="54"/>
        <v>4.4699999999999997E-2</v>
      </c>
      <c r="Z118" s="204">
        <f t="shared" si="55"/>
        <v>23.328800000000001</v>
      </c>
      <c r="AA118" s="204">
        <f t="shared" si="42"/>
        <v>23.284100000000002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 t="shared" si="43"/>
        <v>203</v>
      </c>
      <c r="AE118" s="77" t="str">
        <f t="shared" si="44"/>
        <v>aws s3 cp s3://rtdc.mdm.uploadarchive.raw/RTDC4056/ "%USERPROFILE%\AppData\Local\Temp\OnboardLogs"\RTDC4056\2017-09-19 --exclude "*" --recursive --include "*20170919*" &amp; "%USERPROFILE%\Documents\GitHub\mrs-test-scripts\Headless Mode &amp; Sideloading\WalkAndUnGZ.bat" "%USERPROFILE%\AppData\Local\Temp\OnboardLogs"\RTDC4056\2017-09-19 &amp; aws s3 cp s3://rtdc.mdm.uploadarchive.raw/RTDC4056/ "%USERPROFILE%\AppData\Local\Temp\OnboardLogs"\RTDC4056\2017-09-20 --exclude "*" --recursive --include "*20170920*" &amp; "%USERPROFILE%\Documents\GitHub\mrs-test-scripts\Headless Mode &amp; Sideloading\WalkAndUnGZ.bat" "%USERPROFILE%\AppData\Local\Temp\OnboardLogs"\RTDC4056\2017-09-20</v>
      </c>
      <c r="AF118" s="74" t="str">
        <f t="shared" si="45"/>
        <v>"C:\Program Files (x86)\AstroGrep\AstroGrep.exe" /e /r /s /spath="%USERPROFILE%\AppData\Local\Temp\OnboardLogs" /stypes="app*4056*20170919*" /stext=" 23:.+((SYSTEM_STATE.+slice.+state.+changed )|(ment ac)|(multiple cpu faults)|(system.+state.+changed )|(\[timeout)|(PRM\|1\|D)|(kpr)|(kdp)|(train st.+moving)|(\|lc)|(penalty))"</v>
      </c>
      <c r="AG118" s="182" t="str">
        <f t="shared" si="46"/>
        <v>EC</v>
      </c>
      <c r="AH118" s="78" t="str">
        <f t="shared" si="47"/>
        <v>"%USERPROFILE%\Documents\GitHub\eaglep3\Utilities\RefineRTDCRunTimes.py" --tripid 203-19 --locoid 4056 --swversion DE.1.0.9.0 --startMP 204:447 --initTime 2017-09-19T16:25:36 --startdatetime 2017-09-19T16:30:17 --delay 70 --endMP 204:233288 --enddatetime 2017-09-19T17:07:20 --enforcementcount 0 &gt;&gt;C:\Users\stu\Documents\GitHub\eaglep3-reporting\EC\2017-09-19-refined-times.txt</v>
      </c>
      <c r="AI118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{"issue":{"subject":"","project_id":79,"tracker_id":40,"status_id":1,"priority_id":2,"assigned_to_id":338,"start_date":"2017-09-19","description":"","custom_fields":[{"id":1,"name":"Subdivision","value":"EC"},{"id":4,"name":"Milepost","value":"23.3288"},{"id":17,"name":"Train ID","value":"203-19"},{"id":16,"name":"Locomotive ID","value":"4056"},{"id":130,"name":"Impact","value":""},{"id":150,"name":"Time of Event (Mountain Time)","value":"17:07:20"},{"id":151,"name":"Denver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9"/>
        <v>start /low /b %USERPROFILE%\Documents\GitHub\eaglep3\Utilities\DownloadLogsFromS3.py --loco 4056 --day 2017-09-19</v>
      </c>
      <c r="AN118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23:07:20"},{"id":29,"name":"Sharepoint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51"/>
        <v>https://d0f6bd738d7f1b3e5a7ca70fe4ff75f0.us-east-1.aws.found.io/app/kibana#/discover/Steve-Slow-Train-Analysis-(2080s-and-2083s)?_g=(refreshInterval:(display:Off,pause:!f,section:0,value:0),time:(from:'2017-09-19T15:25:36-0600',mode:absolute,to:'2017-09-19T18:07:20-0600'))&amp;_a=(columns:!('Message%20ID',Summary),filters:!(),index:'emp_*',interval:auto,query:(query_string:(analyze_wildcard:!t,query:'Message%5C+ID:(*)+AND+%22rtdc.l.rtdc.4056%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801</v>
      </c>
      <c r="B119" s="7">
        <v>4055</v>
      </c>
      <c r="C119" s="21" t="s">
        <v>197</v>
      </c>
      <c r="D119" s="21" t="s">
        <v>374</v>
      </c>
      <c r="E119" s="13">
        <v>42997.723726851851</v>
      </c>
      <c r="F119" s="13">
        <v>42997.727326388886</v>
      </c>
      <c r="G119" s="7">
        <v>68</v>
      </c>
      <c r="H119" s="21" t="s">
        <v>377</v>
      </c>
      <c r="I119" s="13">
        <v>42997.753310185188</v>
      </c>
      <c r="J119" s="7">
        <v>0</v>
      </c>
      <c r="K119" s="89" t="str">
        <f t="shared" si="37"/>
        <v>4055/4056</v>
      </c>
      <c r="L119" s="185" t="str">
        <f>VLOOKUP(A119,'Trips&amp;Operators'!$C$1:$G$99911,5,FALSE)</f>
        <v>BRUDER RICHARD</v>
      </c>
      <c r="M119" s="6">
        <f t="shared" si="38"/>
        <v>2.5983796302170958E-2</v>
      </c>
      <c r="N119" s="7">
        <f t="shared" si="57"/>
        <v>37.41666667512618</v>
      </c>
      <c r="O119" s="7"/>
      <c r="P119" s="7"/>
      <c r="Q119" s="22"/>
      <c r="R119" s="174"/>
      <c r="S119" s="221">
        <f t="shared" si="58"/>
        <v>1</v>
      </c>
      <c r="T119" s="174" t="str">
        <f t="shared" si="39"/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40"/>
        <v>https://d0f6bd738d7f1b3e5a7ca70fe4ff75f0.us-east-1.aws.found.io/app/kibana#/discover/Steve-Slow-Train-Analysis-(2080s-and-2083s)?_g=(refreshInterval:(display:Off,pause:!f,section:0,value:0),time:(from:'2017-09-19T16:22:10-0600',mode:absolute,to:'2017-09-19T19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9" s="204" t="str">
        <f>IF(AA119&lt;VLOOKUP(AG119,Variables!$AC$3:$AD$8,2,FALSE),"Y","N")</f>
        <v>N</v>
      </c>
      <c r="X119" s="204">
        <f t="shared" si="56"/>
        <v>1</v>
      </c>
      <c r="Y119" s="204">
        <f t="shared" si="54"/>
        <v>23.297699999999999</v>
      </c>
      <c r="Z119" s="204">
        <f t="shared" si="55"/>
        <v>1.61E-2</v>
      </c>
      <c r="AA119" s="204">
        <f t="shared" si="42"/>
        <v>23.281599999999997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 t="shared" si="43"/>
        <v>204</v>
      </c>
      <c r="AE119" s="77" t="str">
        <f t="shared" si="44"/>
        <v>aws s3 cp s3://rtdc.mdm.uploadarchive.raw/RTDC4055/ "%USERPROFILE%\AppData\Local\Temp\OnboardLogs"\RTDC4055\2017-09-19 --exclude "*" --recursive --include "*20170919*" &amp; "%USERPROFILE%\Documents\GitHub\mrs-test-scripts\Headless Mode &amp; Sideloading\WalkAndUnGZ.bat" "%USERPROFILE%\AppData\Local\Temp\OnboardLogs"\RTDC4055\2017-09-19 &amp; aws s3 cp s3://rtdc.mdm.uploadarchive.raw/RTDC4055/ "%USERPROFILE%\AppData\Local\Temp\OnboardLogs"\RTDC4055\2017-09-20 --exclude "*" --recursive --include "*20170920*" &amp; "%USERPROFILE%\Documents\GitHub\mrs-test-scripts\Headless Mode &amp; Sideloading\WalkAndUnGZ.bat" "%USERPROFILE%\AppData\Local\Temp\OnboardLogs"\RTDC4055\2017-09-20</v>
      </c>
      <c r="AF119" s="74" t="str">
        <f t="shared" si="45"/>
        <v>"C:\Program Files (x86)\AstroGrep\AstroGrep.exe" /e /r /s /spath="%USERPROFILE%\AppData\Local\Temp\OnboardLogs" /stypes="app*4055*20170920*" /stext=" 00:.+((SYSTEM_STATE.+slice.+state.+changed )|(ment ac)|(multiple cpu faults)|(system.+state.+changed )|(\[timeout)|(PRM\|1\|D)|(kpr)|(kdp)|(train st.+moving)|(\|lc)|(penalty))"</v>
      </c>
      <c r="AG119" s="182" t="str">
        <f t="shared" si="46"/>
        <v>EC</v>
      </c>
      <c r="AH119" s="78" t="str">
        <f t="shared" si="47"/>
        <v>"%USERPROFILE%\Documents\GitHub\eaglep3\Utilities\RefineRTDCRunTimes.py" --tripid 204-19 --locoid 4055 --swversion DE.1.0.9.0 --startMP 204:232977 --initTime 2017-09-19T17:22:10 --startdatetime 2017-09-19T17:27:21 --delay 68 --endMP 204:161 --enddatetime 2017-09-19T18:04:46 --enforcementcount 0 &gt;&gt;C:\Users\stu\Documents\GitHub\eaglep3-reporting\EC\2017-09-19-refined-times.txt</v>
      </c>
      <c r="AI119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{"issue":{"subject":"","project_id":79,"tracker_id":40,"status_id":1,"priority_id":2,"assigned_to_id":338,"start_date":"2017-09-19","description":"","custom_fields":[{"id":1,"name":"Subdivision","value":"EC"},{"id":4,"name":"Milepost","value":"0.0161"},{"id":17,"name":"Train ID","value":"204-19"},{"id":16,"name":"Locomotive ID","value":"4055"},{"id":130,"name":"Impact","value":""},{"id":150,"name":"Time of Event (Mountain Time)","value":"18:04:46"},{"id":151,"name":"Denver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9"/>
        <v>start /low /b %USERPROFILE%\Documents\GitHub\eaglep3\Utilities\DownloadLogsFromS3.py --loco 4055 --day 2017-09-19</v>
      </c>
      <c r="AN119" s="151" t="str">
        <f t="shared" si="5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00:04:46"},{"id":29,"name":"Sharepoint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51"/>
        <v>https://d0f6bd738d7f1b3e5a7ca70fe4ff75f0.us-east-1.aws.found.io/app/kibana#/discover/Steve-Slow-Train-Analysis-(2080s-and-2083s)?_g=(refreshInterval:(display:Off,pause:!f,section:0,value:0),time:(from:'2017-09-19T16:22:10-0600',mode:absolute,to:'2017-09-19T19:04:46-0600'))&amp;_a=(columns:!('Message%20ID',Summary),filters:!(),index:'emp_*',interval:auto,query:(query_string:(analyze_wildcard:!t,query:'Message%5C+ID:(*)+AND+%22rtdc.l.rtdc.4055%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790</v>
      </c>
      <c r="B120" s="7">
        <v>4030</v>
      </c>
      <c r="C120" s="21" t="s">
        <v>197</v>
      </c>
      <c r="D120" s="21" t="s">
        <v>432</v>
      </c>
      <c r="E120" s="13">
        <v>42997.696412037039</v>
      </c>
      <c r="F120" s="13">
        <v>42997.698194444441</v>
      </c>
      <c r="G120" s="7">
        <v>54</v>
      </c>
      <c r="H120" s="21" t="s">
        <v>574</v>
      </c>
      <c r="I120" s="13">
        <v>42997.722951388889</v>
      </c>
      <c r="J120" s="7">
        <v>0</v>
      </c>
      <c r="K120" s="89" t="str">
        <f t="shared" si="37"/>
        <v>4029/4030</v>
      </c>
      <c r="L120" s="185" t="str">
        <f>VLOOKUP(A120,'Trips&amp;Operators'!$C$1:$G$99911,5,FALSE)</f>
        <v>MOSES BRADLEY</v>
      </c>
      <c r="M120" s="6">
        <f t="shared" si="38"/>
        <v>2.4756944447290152E-2</v>
      </c>
      <c r="N120" s="7">
        <f t="shared" si="57"/>
        <v>35.650000004097819</v>
      </c>
      <c r="O120" s="7"/>
      <c r="P120" s="7"/>
      <c r="Q120" s="22"/>
      <c r="R120" s="174"/>
      <c r="S120" s="221">
        <f t="shared" si="58"/>
        <v>1</v>
      </c>
      <c r="T120" s="174" t="str">
        <f t="shared" si="39"/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40"/>
        <v>https://d0f6bd738d7f1b3e5a7ca70fe4ff75f0.us-east-1.aws.found.io/app/kibana#/discover/Steve-Slow-Train-Analysis-(2080s-and-2083s)?_g=(refreshInterval:(display:Off,pause:!f,section:0,value:0),time:(from:'2017-09-19T15:42:50-0600',mode:absolute,to:'2017-09-19T18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0" s="204" t="str">
        <f>IF(AA120&lt;VLOOKUP(AG120,Variables!$AC$3:$AD$8,2,FALSE),"Y","N")</f>
        <v>N</v>
      </c>
      <c r="X120" s="204">
        <f t="shared" si="56"/>
        <v>1</v>
      </c>
      <c r="Y120" s="204">
        <f t="shared" si="54"/>
        <v>4.3700000000000003E-2</v>
      </c>
      <c r="Z120" s="204">
        <f t="shared" si="55"/>
        <v>23.331700000000001</v>
      </c>
      <c r="AA120" s="204">
        <f t="shared" si="42"/>
        <v>23.288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 t="shared" si="43"/>
        <v>205</v>
      </c>
      <c r="AE120" s="77" t="str">
        <f t="shared" si="44"/>
        <v>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 &amp; aws s3 cp s3://rtdc.mdm.uploadarchive.raw/RTDC4030/ "%USERPROFILE%\AppData\Local\Temp\OnboardLogs"\RTDC4030\2017-09-20 --exclude "*" --recursive --include "*20170920*" &amp; "%USERPROFILE%\Documents\GitHub\mrs-test-scripts\Headless Mode &amp; Sideloading\WalkAndUnGZ.bat" "%USERPROFILE%\AppData\Local\Temp\OnboardLogs"\RTDC4030\2017-09-20</v>
      </c>
      <c r="AF120" s="74" t="str">
        <f t="shared" si="45"/>
        <v>"C:\Program Files (x86)\AstroGrep\AstroGrep.exe" /e /r /s /spath="%USERPROFILE%\AppData\Local\Temp\OnboardLogs" /stypes="app*4030*20170919*" /stext=" 23:.+((SYSTEM_STATE.+slice.+state.+changed )|(ment ac)|(multiple cpu faults)|(system.+state.+changed )|(\[timeout)|(PRM\|1\|D)|(kpr)|(kdp)|(train st.+moving)|(\|lc)|(penalty))"</v>
      </c>
      <c r="AG120" s="182" t="str">
        <f t="shared" si="46"/>
        <v>EC</v>
      </c>
      <c r="AH120" s="78" t="str">
        <f t="shared" si="47"/>
        <v>"%USERPROFILE%\Documents\GitHub\eaglep3\Utilities\RefineRTDCRunTimes.py" --tripid 205-19 --locoid 4030 --swversion DE.1.0.9.0 --startMP 204:437 --initTime 2017-09-19T16:42:50 --startdatetime 2017-09-19T16:45:24 --delay 54 --endMP 204:233317 --enddatetime 2017-09-19T17:21:03 --enforcementcount 0 &gt;&gt;C:\Users\stu\Documents\GitHub\eaglep3-reporting\EC\2017-09-19-refined-times.txt</v>
      </c>
      <c r="AI120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{"issue":{"subject":"","project_id":79,"tracker_id":40,"status_id":1,"priority_id":2,"assigned_to_id":338,"start_date":"2017-09-19","description":"","custom_fields":[{"id":1,"name":"Subdivision","value":"EC"},{"id":4,"name":"Milepost","value":"23.3317"},{"id":17,"name":"Train ID","value":"205-19"},{"id":16,"name":"Locomotive ID","value":"4030"},{"id":130,"name":"Impact","value":""},{"id":150,"name":"Time of Event (Mountain Time)","value":"17:21:03"},{"id":151,"name":"Denver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9"/>
        <v>start /low /b %USERPROFILE%\Documents\GitHub\eaglep3\Utilities\DownloadLogsFromS3.py --loco 4030 --day 2017-09-19</v>
      </c>
      <c r="AN120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23:21:03"},{"id":29,"name":"Sharepoint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51"/>
        <v>https://d0f6bd738d7f1b3e5a7ca70fe4ff75f0.us-east-1.aws.found.io/app/kibana#/discover/Steve-Slow-Train-Analysis-(2080s-and-2083s)?_g=(refreshInterval:(display:Off,pause:!f,section:0,value:0),time:(from:'2017-09-19T15:42:50-0600',mode:absolute,to:'2017-09-19T18:21:03-0600'))&amp;_a=(columns:!('Message%20ID',Summary),filters:!(),index:'emp_*',interval:auto,query:(query_string:(analyze_wildcard:!t,query:'Message%5C+ID:(*)+AND+%22rtdc.l.rtdc.4030%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803</v>
      </c>
      <c r="B121" s="7">
        <v>4029</v>
      </c>
      <c r="C121" s="21" t="s">
        <v>197</v>
      </c>
      <c r="D121" s="21" t="s">
        <v>396</v>
      </c>
      <c r="E121" s="13">
        <v>42997.731180555558</v>
      </c>
      <c r="F121" s="13">
        <v>42997.73777777778</v>
      </c>
      <c r="G121" s="7">
        <v>161</v>
      </c>
      <c r="H121" s="21" t="s">
        <v>895</v>
      </c>
      <c r="I121" s="13">
        <v>42997.763680555552</v>
      </c>
      <c r="J121" s="7">
        <v>0</v>
      </c>
      <c r="K121" s="89" t="str">
        <f t="shared" si="37"/>
        <v>4029/4030</v>
      </c>
      <c r="L121" s="185" t="str">
        <f>VLOOKUP(A121,'Trips&amp;Operators'!$C$1:$G$99911,5,FALSE)</f>
        <v>MOSES BRADLEY</v>
      </c>
      <c r="M121" s="6">
        <f t="shared" si="38"/>
        <v>2.5902777771989349E-2</v>
      </c>
      <c r="N121" s="7">
        <f t="shared" si="57"/>
        <v>37.299999991664663</v>
      </c>
      <c r="O121" s="7"/>
      <c r="P121" s="7"/>
      <c r="Q121" s="22"/>
      <c r="R121" s="174"/>
      <c r="S121" s="221">
        <f t="shared" si="58"/>
        <v>1</v>
      </c>
      <c r="T121" s="174" t="str">
        <f t="shared" si="39"/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40"/>
        <v>https://d0f6bd738d7f1b3e5a7ca70fe4ff75f0.us-east-1.aws.found.io/app/kibana#/discover/Steve-Slow-Train-Analysis-(2080s-and-2083s)?_g=(refreshInterval:(display:Off,pause:!f,section:0,value:0),time:(from:'2017-09-19T16:32:54-0600',mode:absolute,to:'2017-09-19T19:19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1" s="204" t="str">
        <f>IF(AA121&lt;VLOOKUP(AG121,Variables!$AC$3:$AD$8,2,FALSE),"Y","N")</f>
        <v>N</v>
      </c>
      <c r="X121" s="204">
        <f t="shared" si="56"/>
        <v>1</v>
      </c>
      <c r="Y121" s="204">
        <f t="shared" si="54"/>
        <v>23.3</v>
      </c>
      <c r="Z121" s="204">
        <f t="shared" si="55"/>
        <v>1.23E-2</v>
      </c>
      <c r="AA121" s="204">
        <f t="shared" si="42"/>
        <v>23.287700000000001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 t="shared" si="43"/>
        <v>206</v>
      </c>
      <c r="AE121" s="77" t="str">
        <f t="shared" si="44"/>
        <v>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 &amp; aws s3 cp s3://rtdc.mdm.uploadarchive.raw/RTDC4029/ "%USERPROFILE%\AppData\Local\Temp\OnboardLogs"\RTDC4029\2017-09-20 --exclude "*" --recursive --include "*20170920*" &amp; "%USERPROFILE%\Documents\GitHub\mrs-test-scripts\Headless Mode &amp; Sideloading\WalkAndUnGZ.bat" "%USERPROFILE%\AppData\Local\Temp\OnboardLogs"\RTDC4029\2017-09-20</v>
      </c>
      <c r="AF121" s="74" t="str">
        <f t="shared" si="45"/>
        <v>"C:\Program Files (x86)\AstroGrep\AstroGrep.exe" /e /r /s /spath="%USERPROFILE%\AppData\Local\Temp\OnboardLogs" /stypes="app*4029*20170920*" /stext=" 00:.+((SYSTEM_STATE.+slice.+state.+changed )|(ment ac)|(multiple cpu faults)|(system.+state.+changed )|(\[timeout)|(PRM\|1\|D)|(kpr)|(kdp)|(train st.+moving)|(\|lc)|(penalty))"</v>
      </c>
      <c r="AG121" s="182" t="str">
        <f t="shared" si="46"/>
        <v>EC</v>
      </c>
      <c r="AH121" s="78" t="str">
        <f t="shared" si="47"/>
        <v>"%USERPROFILE%\Documents\GitHub\eaglep3\Utilities\RefineRTDCRunTimes.py" --tripid 206-19 --locoid 4029 --swversion DE.1.0.9.0 --startMP 204:233000 --initTime 2017-09-19T17:32:54 --startdatetime 2017-09-19T17:42:24 --delay 161 --endMP 204:123 --enddatetime 2017-09-19T18:19:42 --enforcementcount 0 &gt;&gt;C:\Users\stu\Documents\GitHub\eaglep3-reporting\EC\2017-09-19-refined-times.txt</v>
      </c>
      <c r="AI121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{"issue":{"subject":"","project_id":79,"tracker_id":40,"status_id":1,"priority_id":2,"assigned_to_id":338,"start_date":"2017-09-19","description":"","custom_fields":[{"id":1,"name":"Subdivision","value":"EC"},{"id":4,"name":"Milepost","value":"0.0123"},{"id":17,"name":"Train ID","value":"206-19"},{"id":16,"name":"Locomotive ID","value":"4029"},{"id":130,"name":"Impact","value":""},{"id":150,"name":"Time of Event (Mountain Time)","value":"18:19:42"},{"id":151,"name":"Denver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9"/>
        <v>start /low /b %USERPROFILE%\Documents\GitHub\eaglep3\Utilities\DownloadLogsFromS3.py --loco 4029 --day 2017-09-19</v>
      </c>
      <c r="AN121" s="151" t="str">
        <f t="shared" si="5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00:19:42"},{"id":29,"name":"Sharepoint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51"/>
        <v>https://d0f6bd738d7f1b3e5a7ca70fe4ff75f0.us-east-1.aws.found.io/app/kibana#/discover/Steve-Slow-Train-Analysis-(2080s-and-2083s)?_g=(refreshInterval:(display:Off,pause:!f,section:0,value:0),time:(from:'2017-09-19T16:32:54-0600',mode:absolute,to:'2017-09-19T19:19:42-0600'))&amp;_a=(columns:!('Message%20ID',Summary),filters:!(),index:'emp_*',interval:auto,query:(query_string:(analyze_wildcard:!t,query:'Message%5C+ID:(*)+AND+%22rtdc.l.rtdc.4029%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792</v>
      </c>
      <c r="B122" s="7">
        <v>4016</v>
      </c>
      <c r="C122" s="21" t="s">
        <v>197</v>
      </c>
      <c r="D122" s="21" t="s">
        <v>360</v>
      </c>
      <c r="E122" s="13">
        <v>42997.70449074074</v>
      </c>
      <c r="F122" s="13">
        <v>42997.708483796298</v>
      </c>
      <c r="G122" s="7">
        <v>63</v>
      </c>
      <c r="H122" s="21" t="s">
        <v>896</v>
      </c>
      <c r="I122" s="13">
        <v>42997.733807870369</v>
      </c>
      <c r="J122" s="7">
        <v>0</v>
      </c>
      <c r="K122" s="89" t="str">
        <f t="shared" si="37"/>
        <v>4015/4016</v>
      </c>
      <c r="L122" s="185" t="str">
        <f>VLOOKUP(A122,'Trips&amp;Operators'!$C$1:$G$99911,5,FALSE)</f>
        <v>LEVIN SCOTT</v>
      </c>
      <c r="M122" s="6">
        <f t="shared" si="38"/>
        <v>2.5324074071249925E-2</v>
      </c>
      <c r="N122" s="7">
        <f t="shared" si="57"/>
        <v>36.466666662599891</v>
      </c>
      <c r="O122" s="7"/>
      <c r="P122" s="7"/>
      <c r="Q122" s="22"/>
      <c r="R122" s="174"/>
      <c r="S122" s="221">
        <f t="shared" si="58"/>
        <v>1</v>
      </c>
      <c r="T122" s="174" t="str">
        <f t="shared" si="39"/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40"/>
        <v>https://d0f6bd738d7f1b3e5a7ca70fe4ff75f0.us-east-1.aws.found.io/app/kibana#/discover/Steve-Slow-Train-Analysis-(2080s-and-2083s)?_g=(refreshInterval:(display:Off,pause:!f,section:0,value:0),time:(from:'2017-09-19T15:54:28-0600',mode:absolute,to:'2017-09-19T18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2" s="204" t="str">
        <f>IF(AA122&lt;VLOOKUP(AG122,Variables!$AC$3:$AD$8,2,FALSE),"Y","N")</f>
        <v>N</v>
      </c>
      <c r="X122" s="204">
        <f t="shared" si="56"/>
        <v>1</v>
      </c>
      <c r="Y122" s="204">
        <f t="shared" si="54"/>
        <v>4.4900000000000002E-2</v>
      </c>
      <c r="Z122" s="204">
        <f t="shared" si="55"/>
        <v>23.337199999999999</v>
      </c>
      <c r="AA122" s="204">
        <f t="shared" si="42"/>
        <v>23.292300000000001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 t="shared" si="43"/>
        <v>207</v>
      </c>
      <c r="AE122" s="77" t="str">
        <f t="shared" si="44"/>
        <v>aws s3 cp s3://rtdc.mdm.uploadarchive.raw/RTDC4016/ "%USERPROFILE%\AppData\Local\Temp\OnboardLogs"\RTDC4016\2017-09-19 --exclude "*" --recursive --include "*20170919*" &amp; "%USERPROFILE%\Documents\GitHub\mrs-test-scripts\Headless Mode &amp; Sideloading\WalkAndUnGZ.bat" "%USERPROFILE%\AppData\Local\Temp\OnboardLogs"\RTDC4016\2017-09-19 &amp; 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</v>
      </c>
      <c r="AF122" s="74" t="str">
        <f t="shared" si="45"/>
        <v>"C:\Program Files (x86)\AstroGrep\AstroGrep.exe" /e /r /s /spath="%USERPROFILE%\AppData\Local\Temp\OnboardLogs" /stypes="app*4016*20170919*" /stext=" 23:.+((SYSTEM_STATE.+slice.+state.+changed )|(ment ac)|(multiple cpu faults)|(system.+state.+changed )|(\[timeout)|(PRM\|1\|D)|(kpr)|(kdp)|(train st.+moving)|(\|lc)|(penalty))"</v>
      </c>
      <c r="AG122" s="182" t="str">
        <f t="shared" si="46"/>
        <v>EC</v>
      </c>
      <c r="AH122" s="78" t="str">
        <f t="shared" si="47"/>
        <v>"%USERPROFILE%\Documents\GitHub\eaglep3\Utilities\RefineRTDCRunTimes.py" --tripid 207-19 --locoid 4016 --swversion DE.1.0.9.0 --startMP 204:449 --initTime 2017-09-19T16:54:28 --startdatetime 2017-09-19T17:00:13 --delay 63 --endMP 204:233372 --enddatetime 2017-09-19T17:36:41 --enforcementcount 0 &gt;&gt;C:\Users\stu\Documents\GitHub\eaglep3-reporting\EC\2017-09-19-refined-times.txt</v>
      </c>
      <c r="AI122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{"issue":{"subject":"","project_id":79,"tracker_id":40,"status_id":1,"priority_id":2,"assigned_to_id":338,"start_date":"2017-09-19","description":"","custom_fields":[{"id":1,"name":"Subdivision","value":"EC"},{"id":4,"name":"Milepost","value":"23.3372"},{"id":17,"name":"Train ID","value":"207-19"},{"id":16,"name":"Locomotive ID","value":"4016"},{"id":130,"name":"Impact","value":""},{"id":150,"name":"Time of Event (Mountain Time)","value":"17:36:41"},{"id":151,"name":"Denver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9"/>
        <v>start /low /b %USERPROFILE%\Documents\GitHub\eaglep3\Utilities\DownloadLogsFromS3.py --loco 4016 --day 2017-09-19</v>
      </c>
      <c r="AN122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23:36:41"},{"id":29,"name":"Sharepoint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51"/>
        <v>https://d0f6bd738d7f1b3e5a7ca70fe4ff75f0.us-east-1.aws.found.io/app/kibana#/discover/Steve-Slow-Train-Analysis-(2080s-and-2083s)?_g=(refreshInterval:(display:Off,pause:!f,section:0,value:0),time:(from:'2017-09-19T15:54:28-0600',mode:absolute,to:'2017-09-19T18:36:41-0600'))&amp;_a=(columns:!('Message%20ID',Summary),filters:!(),index:'emp_*',interval:auto,query:(query_string:(analyze_wildcard:!t,query:'Message%5C+ID:(*)+AND+%22rtdc.l.rtdc.4016%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807</v>
      </c>
      <c r="B123" s="7">
        <v>4015</v>
      </c>
      <c r="C123" s="21" t="s">
        <v>197</v>
      </c>
      <c r="D123" s="21" t="s">
        <v>577</v>
      </c>
      <c r="E123" s="13">
        <v>42997.737928240742</v>
      </c>
      <c r="F123" s="13">
        <v>42997.748078703706</v>
      </c>
      <c r="G123" s="7">
        <v>56</v>
      </c>
      <c r="H123" s="21" t="s">
        <v>365</v>
      </c>
      <c r="I123" s="13">
        <v>42997.773969907408</v>
      </c>
      <c r="J123" s="7">
        <v>0</v>
      </c>
      <c r="K123" s="89" t="str">
        <f t="shared" si="37"/>
        <v>4015/4016</v>
      </c>
      <c r="L123" s="185" t="str">
        <f>VLOOKUP(A123,'Trips&amp;Operators'!$C$1:$G$99911,5,FALSE)</f>
        <v>LEVIN SCOTT</v>
      </c>
      <c r="M123" s="6">
        <f t="shared" si="38"/>
        <v>2.5891203702485655E-2</v>
      </c>
      <c r="N123" s="7">
        <f t="shared" si="57"/>
        <v>37.283333331579342</v>
      </c>
      <c r="O123" s="7"/>
      <c r="P123" s="7"/>
      <c r="Q123" s="22"/>
      <c r="R123" s="174"/>
      <c r="S123" s="221">
        <f t="shared" si="58"/>
        <v>1</v>
      </c>
      <c r="T123" s="174" t="str">
        <f t="shared" si="39"/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40"/>
        <v>https://d0f6bd738d7f1b3e5a7ca70fe4ff75f0.us-east-1.aws.found.io/app/kibana#/discover/Steve-Slow-Train-Analysis-(2080s-and-2083s)?_g=(refreshInterval:(display:Off,pause:!f,section:0,value:0),time:(from:'2017-09-19T16:42:37-0600',mode:absolute,to:'2017-09-19T19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3" s="204" t="str">
        <f>IF(AA123&lt;VLOOKUP(AG123,Variables!$AC$3:$AD$8,2,FALSE),"Y","N")</f>
        <v>N</v>
      </c>
      <c r="X123" s="204">
        <f t="shared" si="56"/>
        <v>1</v>
      </c>
      <c r="Y123" s="204">
        <f t="shared" si="54"/>
        <v>23.305299999999999</v>
      </c>
      <c r="Z123" s="204">
        <f t="shared" si="55"/>
        <v>1.38E-2</v>
      </c>
      <c r="AA123" s="204">
        <f t="shared" si="42"/>
        <v>23.291499999999999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 t="shared" si="43"/>
        <v>208</v>
      </c>
      <c r="AE123" s="77" t="str">
        <f t="shared" si="44"/>
        <v>aws s3 cp s3://rtdc.mdm.uploadarchive.raw/RTDC4015/ "%USERPROFILE%\AppData\Local\Temp\OnboardLogs"\RTDC4015\2017-09-19 --exclude "*" --recursive --include "*20170919*" &amp; "%USERPROFILE%\Documents\GitHub\mrs-test-scripts\Headless Mode &amp; Sideloading\WalkAndUnGZ.bat" "%USERPROFILE%\AppData\Local\Temp\OnboardLogs"\RTDC4015\2017-09-19 &amp; 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</v>
      </c>
      <c r="AF123" s="74" t="str">
        <f t="shared" si="45"/>
        <v>"C:\Program Files (x86)\AstroGrep\AstroGrep.exe" /e /r /s /spath="%USERPROFILE%\AppData\Local\Temp\OnboardLogs" /stypes="app*4015*20170920*" /stext=" 00:.+((SYSTEM_STATE.+slice.+state.+changed )|(ment ac)|(multiple cpu faults)|(system.+state.+changed )|(\[timeout)|(PRM\|1\|D)|(kpr)|(kdp)|(train st.+moving)|(\|lc)|(penalty))"</v>
      </c>
      <c r="AG123" s="182" t="str">
        <f t="shared" si="46"/>
        <v>EC</v>
      </c>
      <c r="AH123" s="78" t="str">
        <f t="shared" si="47"/>
        <v>"%USERPROFILE%\Documents\GitHub\eaglep3\Utilities\RefineRTDCRunTimes.py" --tripid 208-19 --locoid 4015 --swversion DE.1.0.9.0 --startMP 204:233053 --initTime 2017-09-19T17:42:37 --startdatetime 2017-09-19T17:57:14 --delay 56 --endMP 204:138 --enddatetime 2017-09-19T18:34:31 --enforcementcount 0 &gt;&gt;C:\Users\stu\Documents\GitHub\eaglep3-reporting\EC\2017-09-19-refined-times.txt</v>
      </c>
      <c r="AI123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{"issue":{"subject":"","project_id":79,"tracker_id":40,"status_id":1,"priority_id":2,"assigned_to_id":338,"start_date":"2017-09-19","description":"","custom_fields":[{"id":1,"name":"Subdivision","value":"EC"},{"id":4,"name":"Milepost","value":"0.0138"},{"id":17,"name":"Train ID","value":"208-19"},{"id":16,"name":"Locomotive ID","value":"4015"},{"id":130,"name":"Impact","value":""},{"id":150,"name":"Time of Event (Mountain Time)","value":"18:34:31"},{"id":151,"name":"Denver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9"/>
        <v>start /low /b %USERPROFILE%\Documents\GitHub\eaglep3\Utilities\DownloadLogsFromS3.py --loco 4015 --day 2017-09-19</v>
      </c>
      <c r="AN123" s="151" t="str">
        <f t="shared" si="5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00:34:31"},{"id":29,"name":"Sharepoint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51"/>
        <v>https://d0f6bd738d7f1b3e5a7ca70fe4ff75f0.us-east-1.aws.found.io/app/kibana#/discover/Steve-Slow-Train-Analysis-(2080s-and-2083s)?_g=(refreshInterval:(display:Off,pause:!f,section:0,value:0),time:(from:'2017-09-19T16:42:37-0600',mode:absolute,to:'2017-09-19T19:34:31-0600'))&amp;_a=(columns:!('Message%20ID',Summary),filters:!(),index:'emp_*',interval:auto,query:(query_string:(analyze_wildcard:!t,query:'Message%5C+ID:(*)+AND+%22rtdc.l.rtdc.4015%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796</v>
      </c>
      <c r="B124" s="7">
        <v>4050</v>
      </c>
      <c r="C124" s="21" t="s">
        <v>197</v>
      </c>
      <c r="D124" s="21" t="s">
        <v>360</v>
      </c>
      <c r="E124" s="13">
        <v>42997.717488425929</v>
      </c>
      <c r="F124" s="13">
        <v>42997.719108796293</v>
      </c>
      <c r="G124" s="7">
        <v>60</v>
      </c>
      <c r="H124" s="21" t="s">
        <v>439</v>
      </c>
      <c r="I124" s="13">
        <v>42997.744884259257</v>
      </c>
      <c r="J124" s="7">
        <v>0</v>
      </c>
      <c r="K124" s="89" t="str">
        <f t="shared" si="37"/>
        <v>4049/4050</v>
      </c>
      <c r="L124" s="185" t="str">
        <f>VLOOKUP(A124,'Trips&amp;Operators'!$C$1:$G$99911,5,FALSE)</f>
        <v>LEVERE CRAIG</v>
      </c>
      <c r="M124" s="6">
        <f t="shared" si="38"/>
        <v>2.5775462963792961E-2</v>
      </c>
      <c r="N124" s="7">
        <f t="shared" si="57"/>
        <v>37.116666667861864</v>
      </c>
      <c r="O124" s="7"/>
      <c r="P124" s="7"/>
      <c r="Q124" s="22"/>
      <c r="R124" s="174"/>
      <c r="S124" s="221">
        <f t="shared" si="58"/>
        <v>1</v>
      </c>
      <c r="T124" s="174" t="str">
        <f t="shared" si="39"/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40"/>
        <v>https://d0f6bd738d7f1b3e5a7ca70fe4ff75f0.us-east-1.aws.found.io/app/kibana#/discover/Steve-Slow-Train-Analysis-(2080s-and-2083s)?_g=(refreshInterval:(display:Off,pause:!f,section:0,value:0),time:(from:'2017-09-19T16:13:11-0600',mode:absolute,to:'2017-09-19T18:52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4" s="204" t="str">
        <f>IF(AA124&lt;VLOOKUP(AG124,Variables!$AC$3:$AD$8,2,FALSE),"Y","N")</f>
        <v>N</v>
      </c>
      <c r="X124" s="204">
        <f t="shared" si="56"/>
        <v>1</v>
      </c>
      <c r="Y124" s="204">
        <f t="shared" si="54"/>
        <v>4.4900000000000002E-2</v>
      </c>
      <c r="Z124" s="204">
        <f t="shared" si="55"/>
        <v>23.331900000000001</v>
      </c>
      <c r="AA124" s="204">
        <f t="shared" si="42"/>
        <v>23.287000000000003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 t="shared" si="43"/>
        <v>209</v>
      </c>
      <c r="AE124" s="77" t="str">
        <f t="shared" si="44"/>
        <v>aws s3 cp s3://rtdc.mdm.uploadarchive.raw/RTDC4050/ "%USERPROFILE%\AppData\Local\Temp\OnboardLogs"\RTDC4050\2017-09-19 --exclude "*" --recursive --include "*20170919*" &amp; "%USERPROFILE%\Documents\GitHub\mrs-test-scripts\Headless Mode &amp; Sideloading\WalkAndUnGZ.bat" "%USERPROFILE%\AppData\Local\Temp\OnboardLogs"\RTDC4050\2017-09-19 &amp; aws s3 cp s3://rtdc.mdm.uploadarchive.raw/RTDC4050/ "%USERPROFILE%\AppData\Local\Temp\OnboardLogs"\RTDC4050\2017-09-20 --exclude "*" --recursive --include "*20170920*" &amp; "%USERPROFILE%\Documents\GitHub\mrs-test-scripts\Headless Mode &amp; Sideloading\WalkAndUnGZ.bat" "%USERPROFILE%\AppData\Local\Temp\OnboardLogs"\RTDC4050\2017-09-20</v>
      </c>
      <c r="AF124" s="74" t="str">
        <f t="shared" si="45"/>
        <v>"C:\Program Files (x86)\AstroGrep\AstroGrep.exe" /e /r /s /spath="%USERPROFILE%\AppData\Local\Temp\OnboardLogs" /stypes="app*4050*20170919*" /stext=" 23:.+((SYSTEM_STATE.+slice.+state.+changed )|(ment ac)|(multiple cpu faults)|(system.+state.+changed )|(\[timeout)|(PRM\|1\|D)|(kpr)|(kdp)|(train st.+moving)|(\|lc)|(penalty))"</v>
      </c>
      <c r="AG124" s="182" t="str">
        <f t="shared" si="46"/>
        <v>EC</v>
      </c>
      <c r="AH124" s="78" t="str">
        <f t="shared" si="47"/>
        <v>"%USERPROFILE%\Documents\GitHub\eaglep3\Utilities\RefineRTDCRunTimes.py" --tripid 209-19 --locoid 4050 --swversion DE.1.0.9.0 --startMP 204:449 --initTime 2017-09-19T17:13:11 --startdatetime 2017-09-19T17:15:31 --delay 60 --endMP 204:233319 --enddatetime 2017-09-19T17:52:38 --enforcementcount 0 &gt;&gt;C:\Users\stu\Documents\GitHub\eaglep3-reporting\EC\2017-09-19-refined-times.txt</v>
      </c>
      <c r="AI124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{"issue":{"subject":"","project_id":79,"tracker_id":40,"status_id":1,"priority_id":2,"assigned_to_id":338,"start_date":"2017-09-19","description":"","custom_fields":[{"id":1,"name":"Subdivision","value":"EC"},{"id":4,"name":"Milepost","value":"23.3319"},{"id":17,"name":"Train ID","value":"209-19"},{"id":16,"name":"Locomotive ID","value":"4050"},{"id":130,"name":"Impact","value":""},{"id":150,"name":"Time of Event (Mountain Time)","value":"17:52:38"},{"id":151,"name":"Denver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9"/>
        <v>start /low /b %USERPROFILE%\Documents\GitHub\eaglep3\Utilities\DownloadLogsFromS3.py --loco 4050 --day 2017-09-19</v>
      </c>
      <c r="AN124" s="151" t="str">
        <f t="shared" si="50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23:52:38"},{"id":29,"name":"Sharepoint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51"/>
        <v>https://d0f6bd738d7f1b3e5a7ca70fe4ff75f0.us-east-1.aws.found.io/app/kibana#/discover/Steve-Slow-Train-Analysis-(2080s-and-2083s)?_g=(refreshInterval:(display:Off,pause:!f,section:0,value:0),time:(from:'2017-09-19T16:13:11-0600',mode:absolute,to:'2017-09-19T18:52:38-0600'))&amp;_a=(columns:!('Message%20ID',Summary),filters:!(),index:'emp_*',interval:auto,query:(query_string:(analyze_wildcard:!t,query:'Message%5C+ID:(*)+AND+%22rtdc.l.rtdc.4050%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810</v>
      </c>
      <c r="B125" s="7">
        <v>4049</v>
      </c>
      <c r="C125" s="21" t="s">
        <v>197</v>
      </c>
      <c r="D125" s="21" t="s">
        <v>897</v>
      </c>
      <c r="E125" s="13">
        <v>42997.752500000002</v>
      </c>
      <c r="F125" s="13">
        <v>42997.758518518516</v>
      </c>
      <c r="G125" s="7">
        <v>52</v>
      </c>
      <c r="H125" s="21" t="s">
        <v>578</v>
      </c>
      <c r="I125" s="13">
        <v>42997.785150462965</v>
      </c>
      <c r="J125" s="7">
        <v>0</v>
      </c>
      <c r="K125" s="89" t="str">
        <f t="shared" si="37"/>
        <v>4049/4050</v>
      </c>
      <c r="L125" s="185" t="str">
        <f>VLOOKUP(A125,'Trips&amp;Operators'!$C$1:$G$99911,5,FALSE)</f>
        <v>LEVERE CRAIG</v>
      </c>
      <c r="M125" s="6">
        <f t="shared" si="38"/>
        <v>2.6631944449036382E-2</v>
      </c>
      <c r="N125" s="7">
        <f t="shared" si="57"/>
        <v>38.35000000661239</v>
      </c>
      <c r="O125" s="7"/>
      <c r="P125" s="7"/>
      <c r="Q125" s="22"/>
      <c r="R125" s="174"/>
      <c r="S125" s="221">
        <f t="shared" si="58"/>
        <v>1</v>
      </c>
      <c r="T125" s="174" t="str">
        <f t="shared" si="39"/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40"/>
        <v>https://d0f6bd738d7f1b3e5a7ca70fe4ff75f0.us-east-1.aws.found.io/app/kibana#/discover/Steve-Slow-Train-Analysis-(2080s-and-2083s)?_g=(refreshInterval:(display:Off,pause:!f,section:0,value:0),time:(from:'2017-09-19T17:03:36-0600',mode:absolute,to:'2017-09-19T19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5" s="204" t="str">
        <f>IF(AA125&lt;VLOOKUP(AG125,Variables!$AC$3:$AD$8,2,FALSE),"Y","N")</f>
        <v>N</v>
      </c>
      <c r="X125" s="204">
        <f t="shared" si="56"/>
        <v>1</v>
      </c>
      <c r="Y125" s="204">
        <f t="shared" si="54"/>
        <v>23.3004</v>
      </c>
      <c r="Z125" s="204">
        <f t="shared" si="55"/>
        <v>1.72E-2</v>
      </c>
      <c r="AA125" s="204">
        <f t="shared" si="42"/>
        <v>23.283200000000001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 t="shared" si="43"/>
        <v>210</v>
      </c>
      <c r="AE125" s="77" t="str">
        <f t="shared" si="44"/>
        <v>aws s3 cp s3://rtdc.mdm.uploadarchive.raw/RTDC4049/ "%USERPROFILE%\AppData\Local\Temp\OnboardLogs"\RTDC4049\2017-09-19 --exclude "*" --recursive --include "*20170919*" &amp; "%USERPROFILE%\Documents\GitHub\mrs-test-scripts\Headless Mode &amp; Sideloading\WalkAndUnGZ.bat" "%USERPROFILE%\AppData\Local\Temp\OnboardLogs"\RTDC4049\2017-09-19 &amp; aws s3 cp s3://rtdc.mdm.uploadarchive.raw/RTDC4049/ "%USERPROFILE%\AppData\Local\Temp\OnboardLogs"\RTDC4049\2017-09-20 --exclude "*" --recursive --include "*20170920*" &amp; "%USERPROFILE%\Documents\GitHub\mrs-test-scripts\Headless Mode &amp; Sideloading\WalkAndUnGZ.bat" "%USERPROFILE%\AppData\Local\Temp\OnboardLogs"\RTDC4049\2017-09-20</v>
      </c>
      <c r="AF125" s="74" t="str">
        <f t="shared" si="45"/>
        <v>"C:\Program Files (x86)\AstroGrep\AstroGrep.exe" /e /r /s /spath="%USERPROFILE%\AppData\Local\Temp\OnboardLogs" /stypes="app*4049*20170920*" /stext=" 00:.+((SYSTEM_STATE.+slice.+state.+changed )|(ment ac)|(multiple cpu faults)|(system.+state.+changed )|(\[timeout)|(PRM\|1\|D)|(kpr)|(kdp)|(train st.+moving)|(\|lc)|(penalty))"</v>
      </c>
      <c r="AG125" s="182" t="str">
        <f t="shared" si="46"/>
        <v>EC</v>
      </c>
      <c r="AH125" s="78" t="str">
        <f t="shared" si="47"/>
        <v>"%USERPROFILE%\Documents\GitHub\eaglep3\Utilities\RefineRTDCRunTimes.py" --tripid 210-19 --locoid 4049 --swversion DE.1.0.9.0 --startMP 204:233004 --initTime 2017-09-19T18:03:36 --startdatetime 2017-09-19T18:12:16 --delay 52 --endMP 204:172 --enddatetime 2017-09-19T18:50:37 --enforcementcount 0 &gt;&gt;C:\Users\stu\Documents\GitHub\eaglep3-reporting\EC\2017-09-19-refined-times.txt</v>
      </c>
      <c r="AI125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{"issue":{"subject":"","project_id":79,"tracker_id":40,"status_id":1,"priority_id":2,"assigned_to_id":338,"start_date":"2017-09-19","description":"","custom_fields":[{"id":1,"name":"Subdivision","value":"EC"},{"id":4,"name":"Milepost","value":"0.0172"},{"id":17,"name":"Train ID","value":"210-19"},{"id":16,"name":"Locomotive ID","value":"4049"},{"id":130,"name":"Impact","value":""},{"id":150,"name":"Time of Event (Mountain Time)","value":"18:50:37"},{"id":151,"name":"Denver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9"/>
        <v>start /low /b %USERPROFILE%\Documents\GitHub\eaglep3\Utilities\DownloadLogsFromS3.py --loco 4049 --day 2017-09-19</v>
      </c>
      <c r="AN125" s="151" t="str">
        <f t="shared" si="5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00:50:37"},{"id":29,"name":"Sharepoint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51"/>
        <v>https://d0f6bd738d7f1b3e5a7ca70fe4ff75f0.us-east-1.aws.found.io/app/kibana#/discover/Steve-Slow-Train-Analysis-(2080s-and-2083s)?_g=(refreshInterval:(display:Off,pause:!f,section:0,value:0),time:(from:'2017-09-19T17:03:36-0600',mode:absolute,to:'2017-09-19T19:50:37-0600'))&amp;_a=(columns:!('Message%20ID',Summary),filters:!(),index:'emp_*',interval:auto,query:(query_string:(analyze_wildcard:!t,query:'Message%5C+ID:(*)+AND+%22rtdc.l.rtdc.4049%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802</v>
      </c>
      <c r="B126" s="7">
        <v>4054</v>
      </c>
      <c r="C126" s="21" t="s">
        <v>197</v>
      </c>
      <c r="D126" s="21" t="s">
        <v>378</v>
      </c>
      <c r="E126" s="13">
        <v>42997.725069444445</v>
      </c>
      <c r="F126" s="13">
        <v>42997.729548611111</v>
      </c>
      <c r="G126" s="7">
        <v>90</v>
      </c>
      <c r="H126" s="21" t="s">
        <v>898</v>
      </c>
      <c r="I126" s="13">
        <v>42997.75513888889</v>
      </c>
      <c r="J126" s="7">
        <v>0</v>
      </c>
      <c r="K126" s="89" t="str">
        <f t="shared" si="37"/>
        <v>4053/4054</v>
      </c>
      <c r="L126" s="185" t="str">
        <f>VLOOKUP(A126,'Trips&amp;Operators'!$C$1:$G$99911,5,FALSE)</f>
        <v>SAFIEF AEIMEN</v>
      </c>
      <c r="M126" s="6">
        <f t="shared" si="38"/>
        <v>2.5590277778974269E-2</v>
      </c>
      <c r="N126" s="7">
        <f t="shared" si="57"/>
        <v>36.850000001722947</v>
      </c>
      <c r="O126" s="7"/>
      <c r="P126" s="7"/>
      <c r="Q126" s="22"/>
      <c r="R126" s="174"/>
      <c r="S126" s="221">
        <f t="shared" si="58"/>
        <v>1</v>
      </c>
      <c r="T126" s="174" t="str">
        <f t="shared" si="39"/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40"/>
        <v>https://d0f6bd738d7f1b3e5a7ca70fe4ff75f0.us-east-1.aws.found.io/app/kibana#/discover/Steve-Slow-Train-Analysis-(2080s-and-2083s)?_g=(refreshInterval:(display:Off,pause:!f,section:0,value:0),time:(from:'2017-09-19T16:24:06-0600',mode:absolute,to:'2017-09-19T19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6" s="204" t="str">
        <f>IF(AA126&lt;VLOOKUP(AG126,Variables!$AC$3:$AD$8,2,FALSE),"Y","N")</f>
        <v>N</v>
      </c>
      <c r="X126" s="204">
        <f t="shared" si="56"/>
        <v>1</v>
      </c>
      <c r="Y126" s="204">
        <f t="shared" si="54"/>
        <v>4.4200000000000003E-2</v>
      </c>
      <c r="Z126" s="204">
        <f t="shared" si="55"/>
        <v>23.333400000000001</v>
      </c>
      <c r="AA126" s="204">
        <f t="shared" si="42"/>
        <v>23.289200000000001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 t="shared" si="43"/>
        <v>211</v>
      </c>
      <c r="AE126" s="77" t="str">
        <f t="shared" si="44"/>
        <v>aws s3 cp s3://rtdc.mdm.uploadarchive.raw/RTDC4054/ "%USERPROFILE%\AppData\Local\Temp\OnboardLogs"\RTDC4054\2017-09-19 --exclude "*" --recursive --include "*20170919*" &amp; "%USERPROFILE%\Documents\GitHub\mrs-test-scripts\Headless Mode &amp; Sideloading\WalkAndUnGZ.bat" "%USERPROFILE%\AppData\Local\Temp\OnboardLogs"\RTDC4054\2017-09-19 &amp; aws s3 cp s3://rtdc.mdm.uploadarchive.raw/RTDC4054/ "%USERPROFILE%\AppData\Local\Temp\OnboardLogs"\RTDC4054\2017-09-20 --exclude "*" --recursive --include "*20170920*" &amp; "%USERPROFILE%\Documents\GitHub\mrs-test-scripts\Headless Mode &amp; Sideloading\WalkAndUnGZ.bat" "%USERPROFILE%\AppData\Local\Temp\OnboardLogs"\RTDC4054\2017-09-20</v>
      </c>
      <c r="AF126" s="74" t="str">
        <f t="shared" si="45"/>
        <v>"C:\Program Files (x86)\AstroGrep\AstroGrep.exe" /e /r /s /spath="%USERPROFILE%\AppData\Local\Temp\OnboardLogs" /stypes="app*4054*20170920*" /stext=" 00:.+((SYSTEM_STATE.+slice.+state.+changed )|(ment ac)|(multiple cpu faults)|(system.+state.+changed )|(\[timeout)|(PRM\|1\|D)|(kpr)|(kdp)|(train st.+moving)|(\|lc)|(penalty))"</v>
      </c>
      <c r="AG126" s="182" t="str">
        <f t="shared" si="46"/>
        <v>EC</v>
      </c>
      <c r="AH126" s="78" t="str">
        <f t="shared" si="47"/>
        <v>"%USERPROFILE%\Documents\GitHub\eaglep3\Utilities\RefineRTDCRunTimes.py" --tripid 211-19 --locoid 4054 --swversion DE.1.0.9.0 --startMP 204:442 --initTime 2017-09-19T17:24:06 --startdatetime 2017-09-19T17:30:33 --delay 90 --endMP 204:233334 --enddatetime 2017-09-19T18:07:24 --enforcementcount 0 &gt;&gt;C:\Users\stu\Documents\GitHub\eaglep3-reporting\EC\2017-09-19-refined-times.txt</v>
      </c>
      <c r="AI126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{"issue":{"subject":"","project_id":79,"tracker_id":40,"status_id":1,"priority_id":2,"assigned_to_id":338,"start_date":"2017-09-19","description":"","custom_fields":[{"id":1,"name":"Subdivision","value":"EC"},{"id":4,"name":"Milepost","value":"23.3334"},{"id":17,"name":"Train ID","value":"211-19"},{"id":16,"name":"Locomotive ID","value":"4054"},{"id":130,"name":"Impact","value":""},{"id":150,"name":"Time of Event (Mountain Time)","value":"18:07:24"},{"id":151,"name":"Denver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9"/>
        <v>start /low /b %USERPROFILE%\Documents\GitHub\eaglep3\Utilities\DownloadLogsFromS3.py --loco 4054 --day 2017-09-19</v>
      </c>
      <c r="AN126" s="151" t="str">
        <f t="shared" si="5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00:07:24"},{"id":29,"name":"Sharepoint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51"/>
        <v>https://d0f6bd738d7f1b3e5a7ca70fe4ff75f0.us-east-1.aws.found.io/app/kibana#/discover/Steve-Slow-Train-Analysis-(2080s-and-2083s)?_g=(refreshInterval:(display:Off,pause:!f,section:0,value:0),time:(from:'2017-09-19T16:24:06-0600',mode:absolute,to:'2017-09-19T19:07:24-0600'))&amp;_a=(columns:!('Message%20ID',Summary),filters:!(),index:'emp_*',interval:auto,query:(query_string:(analyze_wildcard:!t,query:'Message%5C+ID:(*)+AND+%22rtdc.l.rtdc.4054%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813</v>
      </c>
      <c r="B127" s="7">
        <v>4053</v>
      </c>
      <c r="C127" s="21" t="s">
        <v>197</v>
      </c>
      <c r="D127" s="21" t="s">
        <v>530</v>
      </c>
      <c r="E127" s="13">
        <v>42997.758981481478</v>
      </c>
      <c r="F127" s="13">
        <v>42997.76898148148</v>
      </c>
      <c r="G127" s="7">
        <v>77</v>
      </c>
      <c r="H127" s="21" t="s">
        <v>364</v>
      </c>
      <c r="I127" s="13">
        <v>42997.794618055559</v>
      </c>
      <c r="J127" s="7">
        <v>0</v>
      </c>
      <c r="K127" s="89" t="str">
        <f t="shared" si="37"/>
        <v>4053/4054</v>
      </c>
      <c r="L127" s="185" t="str">
        <f>VLOOKUP(A127,'Trips&amp;Operators'!$C$1:$G$99911,5,FALSE)</f>
        <v>SAFIEF AEIMEN</v>
      </c>
      <c r="M127" s="6">
        <f t="shared" si="38"/>
        <v>2.5636574078816921E-2</v>
      </c>
      <c r="N127" s="7">
        <f t="shared" si="57"/>
        <v>36.916666673496366</v>
      </c>
      <c r="O127" s="7"/>
      <c r="P127" s="7"/>
      <c r="Q127" s="22"/>
      <c r="R127" s="174"/>
      <c r="S127" s="221">
        <f t="shared" si="58"/>
        <v>1</v>
      </c>
      <c r="T127" s="174" t="str">
        <f t="shared" si="39"/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40"/>
        <v>https://d0f6bd738d7f1b3e5a7ca70fe4ff75f0.us-east-1.aws.found.io/app/kibana#/discover/Steve-Slow-Train-Analysis-(2080s-and-2083s)?_g=(refreshInterval:(display:Off,pause:!f,section:0,value:0),time:(from:'2017-09-19T17:12:56-0600',mode:absolute,to:'2017-09-19T20:04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7" s="204" t="str">
        <f>IF(AA127&lt;VLOOKUP(AG127,Variables!$AC$3:$AD$8,2,FALSE),"Y","N")</f>
        <v>N</v>
      </c>
      <c r="X127" s="204">
        <f t="shared" si="56"/>
        <v>1</v>
      </c>
      <c r="Y127" s="204">
        <f t="shared" ref="Y127:Y152" si="59">RIGHT(D127,LEN(D127)-4)/10000</f>
        <v>23.302099999999999</v>
      </c>
      <c r="Z127" s="204">
        <f t="shared" ref="Z127:Z152" si="60">RIGHT(H127,LEN(H127)-4)/10000</f>
        <v>1.4500000000000001E-2</v>
      </c>
      <c r="AA127" s="204">
        <f t="shared" si="42"/>
        <v>23.287599999999998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 t="shared" si="43"/>
        <v>212</v>
      </c>
      <c r="AE127" s="77" t="str">
        <f t="shared" si="44"/>
        <v>aws s3 cp s3://rtdc.mdm.uploadarchive.raw/RTDC4053/ "%USERPROFILE%\AppData\Local\Temp\OnboardLogs"\RTDC4053\2017-09-19 --exclude "*" --recursive --include "*20170919*" &amp; "%USERPROFILE%\Documents\GitHub\mrs-test-scripts\Headless Mode &amp; Sideloading\WalkAndUnGZ.bat" "%USERPROFILE%\AppData\Local\Temp\OnboardLogs"\RTDC4053\2017-09-19 &amp; aws s3 cp s3://rtdc.mdm.uploadarchive.raw/RTDC4053/ "%USERPROFILE%\AppData\Local\Temp\OnboardLogs"\RTDC4053\2017-09-20 --exclude "*" --recursive --include "*20170920*" &amp; "%USERPROFILE%\Documents\GitHub\mrs-test-scripts\Headless Mode &amp; Sideloading\WalkAndUnGZ.bat" "%USERPROFILE%\AppData\Local\Temp\OnboardLogs"\RTDC4053\2017-09-20</v>
      </c>
      <c r="AF127" s="74" t="str">
        <f t="shared" si="45"/>
        <v>"C:\Program Files (x86)\AstroGrep\AstroGrep.exe" /e /r /s /spath="%USERPROFILE%\AppData\Local\Temp\OnboardLogs" /stypes="app*4053*20170920*" /stext=" 01:.+((SYSTEM_STATE.+slice.+state.+changed )|(ment ac)|(multiple cpu faults)|(system.+state.+changed )|(\[timeout)|(PRM\|1\|D)|(kpr)|(kdp)|(train st.+moving)|(\|lc)|(penalty))"</v>
      </c>
      <c r="AG127" s="182" t="str">
        <f t="shared" si="46"/>
        <v>EC</v>
      </c>
      <c r="AH127" s="78" t="str">
        <f t="shared" si="47"/>
        <v>"%USERPROFILE%\Documents\GitHub\eaglep3\Utilities\RefineRTDCRunTimes.py" --tripid 212-19 --locoid 4053 --swversion DE.1.0.9.0 --startMP 204:233021 --initTime 2017-09-19T18:12:56 --startdatetime 2017-09-19T18:27:20 --delay 77 --endMP 204:145 --enddatetime 2017-09-19T19:04:15 --enforcementcount 0 &gt;&gt;C:\Users\stu\Documents\GitHub\eaglep3-reporting\EC\2017-09-19-refined-times.txt</v>
      </c>
      <c r="AI127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{"issue":{"subject":"","project_id":79,"tracker_id":40,"status_id":1,"priority_id":2,"assigned_to_id":338,"start_date":"2017-09-19","description":"","custom_fields":[{"id":1,"name":"Subdivision","value":"EC"},{"id":4,"name":"Milepost","value":"0.0145"},{"id":17,"name":"Train ID","value":"212-19"},{"id":16,"name":"Locomotive ID","value":"4053"},{"id":130,"name":"Impact","value":""},{"id":150,"name":"Time of Event (Mountain Time)","value":"19:04:15"},{"id":151,"name":"Denver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9"/>
        <v>start /low /b %USERPROFILE%\Documents\GitHub\eaglep3\Utilities\DownloadLogsFromS3.py --loco 4053 --day 2017-09-19</v>
      </c>
      <c r="AN127" s="151" t="str">
        <f t="shared" si="5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01:04:15"},{"id":29,"name":"Sharepoint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51"/>
        <v>https://d0f6bd738d7f1b3e5a7ca70fe4ff75f0.us-east-1.aws.found.io/app/kibana#/discover/Steve-Slow-Train-Analysis-(2080s-and-2083s)?_g=(refreshInterval:(display:Off,pause:!f,section:0,value:0),time:(from:'2017-09-19T17:12:56-0600',mode:absolute,to:'2017-09-19T20:04:15-0600'))&amp;_a=(columns:!('Message%20ID',Summary),filters:!(),index:'emp_*',interval:auto,query:(query_string:(analyze_wildcard:!t,query:'Message%5C+ID:(*)+AND+%22rtdc.l.rtdc.4053%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806</v>
      </c>
      <c r="B128" s="7">
        <v>4028</v>
      </c>
      <c r="C128" s="21" t="s">
        <v>197</v>
      </c>
      <c r="D128" s="21" t="s">
        <v>337</v>
      </c>
      <c r="E128" s="13">
        <v>42997.737303240741</v>
      </c>
      <c r="F128" s="13">
        <v>42997.739884259259</v>
      </c>
      <c r="G128" s="7">
        <v>100</v>
      </c>
      <c r="H128" s="21" t="s">
        <v>562</v>
      </c>
      <c r="I128" s="13">
        <v>42997.764456018522</v>
      </c>
      <c r="J128" s="7">
        <v>0</v>
      </c>
      <c r="K128" s="89" t="str">
        <f t="shared" si="37"/>
        <v>4027/4028</v>
      </c>
      <c r="L128" s="185" t="str">
        <f>VLOOKUP(A128,'Trips&amp;Operators'!$C$1:$G$99911,5,FALSE)</f>
        <v>LOZA FIDEL</v>
      </c>
      <c r="M128" s="6">
        <f t="shared" si="38"/>
        <v>2.457175926247146E-2</v>
      </c>
      <c r="N128" s="7">
        <f t="shared" si="57"/>
        <v>35.383333337958902</v>
      </c>
      <c r="O128" s="7"/>
      <c r="P128" s="7"/>
      <c r="Q128" s="22"/>
      <c r="R128" s="174"/>
      <c r="S128" s="221">
        <f t="shared" si="58"/>
        <v>1</v>
      </c>
      <c r="T128" s="174" t="str">
        <f t="shared" si="39"/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40"/>
        <v>https://d0f6bd738d7f1b3e5a7ca70fe4ff75f0.us-east-1.aws.found.io/app/kibana#/discover/Steve-Slow-Train-Analysis-(2080s-and-2083s)?_g=(refreshInterval:(display:Off,pause:!f,section:0,value:0),time:(from:'2017-09-19T16:41:43-0600',mode:absolute,to:'2017-09-19T19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8" s="204" t="str">
        <f>IF(AA128&lt;VLOOKUP(AG128,Variables!$AC$3:$AD$8,2,FALSE),"Y","N")</f>
        <v>N</v>
      </c>
      <c r="X128" s="204">
        <f t="shared" si="56"/>
        <v>1</v>
      </c>
      <c r="Y128" s="204">
        <f t="shared" si="59"/>
        <v>4.4600000000000001E-2</v>
      </c>
      <c r="Z128" s="204">
        <f t="shared" si="60"/>
        <v>23.335100000000001</v>
      </c>
      <c r="AA128" s="204">
        <f t="shared" si="42"/>
        <v>23.290500000000002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 t="shared" si="43"/>
        <v>213</v>
      </c>
      <c r="AE128" s="77" t="str">
        <f t="shared" si="44"/>
        <v>aws s3 cp s3://rtdc.mdm.uploadarchive.raw/RTDC4028/ "%USERPROFILE%\AppData\Local\Temp\OnboardLogs"\RTDC4028\2017-09-19 --exclude "*" --recursive --include "*20170919*" &amp; "%USERPROFILE%\Documents\GitHub\mrs-test-scripts\Headless Mode &amp; Sideloading\WalkAndUnGZ.bat" "%USERPROFILE%\AppData\Local\Temp\OnboardLogs"\RTDC4028\2017-09-19 &amp; aws s3 cp s3://rtdc.mdm.uploadarchive.raw/RTDC4028/ "%USERPROFILE%\AppData\Local\Temp\OnboardLogs"\RTDC4028\2017-09-20 --exclude "*" --recursive --include "*20170920*" &amp; "%USERPROFILE%\Documents\GitHub\mrs-test-scripts\Headless Mode &amp; Sideloading\WalkAndUnGZ.bat" "%USERPROFILE%\AppData\Local\Temp\OnboardLogs"\RTDC4028\2017-09-20</v>
      </c>
      <c r="AF128" s="74" t="str">
        <f t="shared" si="45"/>
        <v>"C:\Program Files (x86)\AstroGrep\AstroGrep.exe" /e /r /s /spath="%USERPROFILE%\AppData\Local\Temp\OnboardLogs" /stypes="app*4028*20170920*" /stext=" 00:.+((SYSTEM_STATE.+slice.+state.+changed )|(ment ac)|(multiple cpu faults)|(system.+state.+changed )|(\[timeout)|(PRM\|1\|D)|(kpr)|(kdp)|(train st.+moving)|(\|lc)|(penalty))"</v>
      </c>
      <c r="AG128" s="182" t="str">
        <f t="shared" si="46"/>
        <v>EC</v>
      </c>
      <c r="AH128" s="78" t="str">
        <f t="shared" si="47"/>
        <v>"%USERPROFILE%\Documents\GitHub\eaglep3\Utilities\RefineRTDCRunTimes.py" --tripid 213-19 --locoid 4028 --swversion DE.1.0.9.0 --startMP 204:446 --initTime 2017-09-19T17:41:43 --startdatetime 2017-09-19T17:45:26 --delay 100 --endMP 204:233351 --enddatetime 2017-09-19T18:20:49 --enforcementcount 0 &gt;&gt;C:\Users\stu\Documents\GitHub\eaglep3-reporting\EC\2017-09-19-refined-times.txt</v>
      </c>
      <c r="AI128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{"issue":{"subject":"","project_id":79,"tracker_id":40,"status_id":1,"priority_id":2,"assigned_to_id":338,"start_date":"2017-09-19","description":"","custom_fields":[{"id":1,"name":"Subdivision","value":"EC"},{"id":4,"name":"Milepost","value":"23.3351"},{"id":17,"name":"Train ID","value":"213-19"},{"id":16,"name":"Locomotive ID","value":"4028"},{"id":130,"name":"Impact","value":""},{"id":150,"name":"Time of Event (Mountain Time)","value":"18:20:49"},{"id":151,"name":"Denver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9"/>
        <v>start /low /b %USERPROFILE%\Documents\GitHub\eaglep3\Utilities\DownloadLogsFromS3.py --loco 4028 --day 2017-09-19</v>
      </c>
      <c r="AN128" s="151" t="str">
        <f t="shared" si="5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00:20:49"},{"id":29,"name":"Sharepoint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51"/>
        <v>https://d0f6bd738d7f1b3e5a7ca70fe4ff75f0.us-east-1.aws.found.io/app/kibana#/discover/Steve-Slow-Train-Analysis-(2080s-and-2083s)?_g=(refreshInterval:(display:Off,pause:!f,section:0,value:0),time:(from:'2017-09-19T16:41:43-0600',mode:absolute,to:'2017-09-19T19:20:49-0600'))&amp;_a=(columns:!('Message%20ID',Summary),filters:!(),index:'emp_*',interval:auto,query:(query_string:(analyze_wildcard:!t,query:'Message%5C+ID:(*)+AND+%22rtdc.l.rtdc.4028%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817</v>
      </c>
      <c r="B129" s="7">
        <v>4027</v>
      </c>
      <c r="C129" s="21" t="s">
        <v>197</v>
      </c>
      <c r="D129" s="21" t="s">
        <v>899</v>
      </c>
      <c r="E129" s="13">
        <v>42997.775717592594</v>
      </c>
      <c r="F129" s="13">
        <v>42997.779409722221</v>
      </c>
      <c r="G129" s="7">
        <v>104</v>
      </c>
      <c r="H129" s="21" t="s">
        <v>579</v>
      </c>
      <c r="I129" s="13">
        <v>42997.804583333331</v>
      </c>
      <c r="J129" s="7">
        <v>0</v>
      </c>
      <c r="K129" s="89" t="str">
        <f t="shared" si="37"/>
        <v>4027/4028</v>
      </c>
      <c r="L129" s="185" t="str">
        <f>VLOOKUP(A129,'Trips&amp;Operators'!$C$1:$G$99911,5,FALSE)</f>
        <v>LOZA FIDEL</v>
      </c>
      <c r="M129" s="6">
        <f t="shared" si="38"/>
        <v>2.5173611109494232E-2</v>
      </c>
      <c r="N129" s="7">
        <f t="shared" si="57"/>
        <v>36.249999997671694</v>
      </c>
      <c r="O129" s="7"/>
      <c r="P129" s="7"/>
      <c r="Q129" s="22"/>
      <c r="R129" s="174"/>
      <c r="S129" s="221">
        <f t="shared" si="58"/>
        <v>1</v>
      </c>
      <c r="T129" s="174" t="str">
        <f t="shared" si="39"/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40"/>
        <v>https://d0f6bd738d7f1b3e5a7ca70fe4ff75f0.us-east-1.aws.found.io/app/kibana#/discover/Steve-Slow-Train-Analysis-(2080s-and-2083s)?_g=(refreshInterval:(display:Off,pause:!f,section:0,value:0),time:(from:'2017-09-19T17:37:02-0600',mode:absolute,to:'2017-09-19T20:18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9" s="204" t="str">
        <f>IF(AA129&lt;VLOOKUP(AG129,Variables!$AC$3:$AD$8,2,FALSE),"Y","N")</f>
        <v>N</v>
      </c>
      <c r="X129" s="204">
        <f t="shared" si="56"/>
        <v>1</v>
      </c>
      <c r="Y129" s="204">
        <f t="shared" si="59"/>
        <v>23.302800000000001</v>
      </c>
      <c r="Z129" s="204">
        <f t="shared" si="60"/>
        <v>1.7999999999999999E-2</v>
      </c>
      <c r="AA129" s="204">
        <f t="shared" si="42"/>
        <v>23.284800000000001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 t="shared" si="43"/>
        <v>214</v>
      </c>
      <c r="AE129" s="77" t="str">
        <f t="shared" si="44"/>
        <v>aws s3 cp s3://rtdc.mdm.uploadarchive.raw/RTDC4027/ "%USERPROFILE%\AppData\Local\Temp\OnboardLogs"\RTDC4027\2017-09-19 --exclude "*" --recursive --include "*20170919*" &amp; "%USERPROFILE%\Documents\GitHub\mrs-test-scripts\Headless Mode &amp; Sideloading\WalkAndUnGZ.bat" "%USERPROFILE%\AppData\Local\Temp\OnboardLogs"\RTDC4027\2017-09-19 &amp; aws s3 cp s3://rtdc.mdm.uploadarchive.raw/RTDC4027/ "%USERPROFILE%\AppData\Local\Temp\OnboardLogs"\RTDC4027\2017-09-20 --exclude "*" --recursive --include "*20170920*" &amp; "%USERPROFILE%\Documents\GitHub\mrs-test-scripts\Headless Mode &amp; Sideloading\WalkAndUnGZ.bat" "%USERPROFILE%\AppData\Local\Temp\OnboardLogs"\RTDC4027\2017-09-20</v>
      </c>
      <c r="AF129" s="74" t="str">
        <f t="shared" si="45"/>
        <v>"C:\Program Files (x86)\AstroGrep\AstroGrep.exe" /e /r /s /spath="%USERPROFILE%\AppData\Local\Temp\OnboardLogs" /stypes="app*4027*20170920*" /stext=" 01:.+((SYSTEM_STATE.+slice.+state.+changed )|(ment ac)|(multiple cpu faults)|(system.+state.+changed )|(\[timeout)|(PRM\|1\|D)|(kpr)|(kdp)|(train st.+moving)|(\|lc)|(penalty))"</v>
      </c>
      <c r="AG129" s="182" t="str">
        <f t="shared" si="46"/>
        <v>EC</v>
      </c>
      <c r="AH129" s="78" t="str">
        <f t="shared" si="47"/>
        <v>"%USERPROFILE%\Documents\GitHub\eaglep3\Utilities\RefineRTDCRunTimes.py" --tripid 214-19 --locoid 4027 --swversion DE.1.0.9.0 --startMP 204:233028 --initTime 2017-09-19T18:37:02 --startdatetime 2017-09-19T18:42:21 --delay 104 --endMP 204:180 --enddatetime 2017-09-19T19:18:36 --enforcementcount 0 &gt;&gt;C:\Users\stu\Documents\GitHub\eaglep3-reporting\EC\2017-09-19-refined-times.txt</v>
      </c>
      <c r="AI129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{"issue":{"subject":"","project_id":79,"tracker_id":40,"status_id":1,"priority_id":2,"assigned_to_id":338,"start_date":"2017-09-19","description":"","custom_fields":[{"id":1,"name":"Subdivision","value":"EC"},{"id":4,"name":"Milepost","value":"0.018"},{"id":17,"name":"Train ID","value":"214-19"},{"id":16,"name":"Locomotive ID","value":"4027"},{"id":130,"name":"Impact","value":""},{"id":150,"name":"Time of Event (Mountain Time)","value":"19:18:36"},{"id":151,"name":"Denver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9"/>
        <v>start /low /b %USERPROFILE%\Documents\GitHub\eaglep3\Utilities\DownloadLogsFromS3.py --loco 4027 --day 2017-09-19</v>
      </c>
      <c r="AN129" s="151" t="str">
        <f t="shared" si="5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01:18:36"},{"id":29,"name":"Sharepoint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51"/>
        <v>https://d0f6bd738d7f1b3e5a7ca70fe4ff75f0.us-east-1.aws.found.io/app/kibana#/discover/Steve-Slow-Train-Analysis-(2080s-and-2083s)?_g=(refreshInterval:(display:Off,pause:!f,section:0,value:0),time:(from:'2017-09-19T17:37:02-0600',mode:absolute,to:'2017-09-19T20:18:36-0600'))&amp;_a=(columns:!('Message%20ID',Summary),filters:!(),index:'emp_*',interval:auto,query:(query_string:(analyze_wildcard:!t,query:'Message%5C+ID:(*)+AND+%22rtdc.l.rtdc.4027%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809</v>
      </c>
      <c r="B130" s="7">
        <v>4014</v>
      </c>
      <c r="C130" s="21" t="s">
        <v>197</v>
      </c>
      <c r="D130" s="21" t="s">
        <v>525</v>
      </c>
      <c r="E130" s="13">
        <v>42997.744421296295</v>
      </c>
      <c r="F130" s="13">
        <v>42997.750277777777</v>
      </c>
      <c r="G130" s="7">
        <v>60</v>
      </c>
      <c r="H130" s="21" t="s">
        <v>520</v>
      </c>
      <c r="I130" s="13">
        <v>42997.775381944448</v>
      </c>
      <c r="J130" s="7">
        <v>0</v>
      </c>
      <c r="K130" s="89" t="str">
        <f t="shared" si="37"/>
        <v>4013/4014</v>
      </c>
      <c r="L130" s="185" t="str">
        <f>VLOOKUP(A130,'Trips&amp;Operators'!$C$1:$G$99911,5,FALSE)</f>
        <v>SMITH MICHAEL</v>
      </c>
      <c r="M130" s="6">
        <f t="shared" si="38"/>
        <v>2.510416667064419E-2</v>
      </c>
      <c r="N130" s="7">
        <f t="shared" si="57"/>
        <v>36.150000005727634</v>
      </c>
      <c r="O130" s="7"/>
      <c r="P130" s="7"/>
      <c r="Q130" s="22"/>
      <c r="R130" s="174"/>
      <c r="S130" s="221">
        <f t="shared" si="58"/>
        <v>1</v>
      </c>
      <c r="T130" s="174" t="str">
        <f t="shared" si="39"/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40"/>
        <v>https://d0f6bd738d7f1b3e5a7ca70fe4ff75f0.us-east-1.aws.found.io/app/kibana#/discover/Steve-Slow-Train-Analysis-(2080s-and-2083s)?_g=(refreshInterval:(display:Off,pause:!f,section:0,value:0),time:(from:'2017-09-19T16:51:58-0600',mode:absolute,to:'2017-09-19T19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0" s="204" t="str">
        <f>IF(AA130&lt;VLOOKUP(AG130,Variables!$AC$3:$AD$8,2,FALSE),"Y","N")</f>
        <v>N</v>
      </c>
      <c r="X130" s="204">
        <f t="shared" si="56"/>
        <v>1</v>
      </c>
      <c r="Y130" s="204">
        <f t="shared" si="59"/>
        <v>4.5699999999999998E-2</v>
      </c>
      <c r="Z130" s="204">
        <f t="shared" si="60"/>
        <v>23.3309</v>
      </c>
      <c r="AA130" s="204">
        <f t="shared" si="42"/>
        <v>23.2852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 t="shared" si="43"/>
        <v>215</v>
      </c>
      <c r="AE130" s="77" t="str">
        <f t="shared" si="44"/>
        <v>aws s3 cp s3://rtdc.mdm.uploadarchive.raw/RTDC4014/ "%USERPROFILE%\AppData\Local\Temp\OnboardLogs"\RTDC4014\2017-09-19 --exclude "*" --recursive --include "*20170919*" &amp; "%USERPROFILE%\Documents\GitHub\mrs-test-scripts\Headless Mode &amp; Sideloading\WalkAndUnGZ.bat" "%USERPROFILE%\AppData\Local\Temp\OnboardLogs"\RTDC4014\2017-09-19 &amp; aws s3 cp s3://rtdc.mdm.uploadarchive.raw/RTDC4014/ "%USERPROFILE%\AppData\Local\Temp\OnboardLogs"\RTDC4014\2017-09-20 --exclude "*" --recursive --include "*20170920*" &amp; "%USERPROFILE%\Documents\GitHub\mrs-test-scripts\Headless Mode &amp; Sideloading\WalkAndUnGZ.bat" "%USERPROFILE%\AppData\Local\Temp\OnboardLogs"\RTDC4014\2017-09-20</v>
      </c>
      <c r="AF130" s="74" t="str">
        <f t="shared" si="45"/>
        <v>"C:\Program Files (x86)\AstroGrep\AstroGrep.exe" /e /r /s /spath="%USERPROFILE%\AppData\Local\Temp\OnboardLogs" /stypes="app*4014*20170920*" /stext=" 00:.+((SYSTEM_STATE.+slice.+state.+changed )|(ment ac)|(multiple cpu faults)|(system.+state.+changed )|(\[timeout)|(PRM\|1\|D)|(kpr)|(kdp)|(train st.+moving)|(\|lc)|(penalty))"</v>
      </c>
      <c r="AG130" s="182" t="str">
        <f t="shared" si="46"/>
        <v>EC</v>
      </c>
      <c r="AH130" s="78" t="str">
        <f t="shared" si="47"/>
        <v>"%USERPROFILE%\Documents\GitHub\eaglep3\Utilities\RefineRTDCRunTimes.py" --tripid 215-19 --locoid 4014 --swversion DE.1.0.9.0 --startMP 204:457 --initTime 2017-09-19T17:51:58 --startdatetime 2017-09-19T18:00:24 --delay 60 --endMP 204:233309 --enddatetime 2017-09-19T18:36:33 --enforcementcount 0 &gt;&gt;C:\Users\stu\Documents\GitHub\eaglep3-reporting\EC\2017-09-19-refined-times.txt</v>
      </c>
      <c r="AI130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{"issue":{"subject":"","project_id":79,"tracker_id":40,"status_id":1,"priority_id":2,"assigned_to_id":338,"start_date":"2017-09-19","description":"","custom_fields":[{"id":1,"name":"Subdivision","value":"EC"},{"id":4,"name":"Milepost","value":"23.3309"},{"id":17,"name":"Train ID","value":"215-19"},{"id":16,"name":"Locomotive ID","value":"4014"},{"id":130,"name":"Impact","value":""},{"id":150,"name":"Time of Event (Mountain Time)","value":"18:36:33"},{"id":151,"name":"Denver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9"/>
        <v>start /low /b %USERPROFILE%\Documents\GitHub\eaglep3\Utilities\DownloadLogsFromS3.py --loco 4014 --day 2017-09-19</v>
      </c>
      <c r="AN130" s="151" t="str">
        <f t="shared" si="5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00:36:33"},{"id":29,"name":"Sharepoint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51"/>
        <v>https://d0f6bd738d7f1b3e5a7ca70fe4ff75f0.us-east-1.aws.found.io/app/kibana#/discover/Steve-Slow-Train-Analysis-(2080s-and-2083s)?_g=(refreshInterval:(display:Off,pause:!f,section:0,value:0),time:(from:'2017-09-19T16:51:58-0600',mode:absolute,to:'2017-09-19T19:36:33-0600'))&amp;_a=(columns:!('Message%20ID',Summary),filters:!(),index:'emp_*',interval:auto,query:(query_string:(analyze_wildcard:!t,query:'Message%5C+ID:(*)+AND+%22rtdc.l.rtdc.4014%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818</v>
      </c>
      <c r="B131" s="7">
        <v>4013</v>
      </c>
      <c r="C131" s="21" t="s">
        <v>197</v>
      </c>
      <c r="D131" s="21" t="s">
        <v>427</v>
      </c>
      <c r="E131" s="13">
        <v>42997.781574074077</v>
      </c>
      <c r="F131" s="13">
        <v>42997.78979166667</v>
      </c>
      <c r="G131" s="7">
        <v>57</v>
      </c>
      <c r="H131" s="21" t="s">
        <v>413</v>
      </c>
      <c r="I131" s="13">
        <v>42997.81527777778</v>
      </c>
      <c r="J131" s="7">
        <v>0</v>
      </c>
      <c r="K131" s="89" t="str">
        <f t="shared" si="37"/>
        <v>4013/4014</v>
      </c>
      <c r="L131" s="185" t="str">
        <f>VLOOKUP(A131,'Trips&amp;Operators'!$C$1:$G$99911,5,FALSE)</f>
        <v>SMITH MICHAEL</v>
      </c>
      <c r="M131" s="6">
        <f t="shared" si="38"/>
        <v>2.548611110978527E-2</v>
      </c>
      <c r="N131" s="7">
        <f t="shared" si="57"/>
        <v>36.699999998090789</v>
      </c>
      <c r="O131" s="7"/>
      <c r="P131" s="7"/>
      <c r="Q131" s="22"/>
      <c r="R131" s="174"/>
      <c r="S131" s="221">
        <f t="shared" si="58"/>
        <v>1</v>
      </c>
      <c r="T131" s="174" t="str">
        <f t="shared" si="39"/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40"/>
        <v>https://d0f6bd738d7f1b3e5a7ca70fe4ff75f0.us-east-1.aws.found.io/app/kibana#/discover/Steve-Slow-Train-Analysis-(2080s-and-2083s)?_g=(refreshInterval:(display:Off,pause:!f,section:0,value:0),time:(from:'2017-09-19T17:45:28-0600',mode:absolute,to:'2017-09-19T20:34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1" s="204" t="str">
        <f>IF(AA131&lt;VLOOKUP(AG131,Variables!$AC$3:$AD$8,2,FALSE),"Y","N")</f>
        <v>N</v>
      </c>
      <c r="X131" s="204">
        <f t="shared" si="56"/>
        <v>1</v>
      </c>
      <c r="Y131" s="204">
        <f t="shared" si="59"/>
        <v>23.297999999999998</v>
      </c>
      <c r="Z131" s="204">
        <f t="shared" si="60"/>
        <v>1.3599999999999999E-2</v>
      </c>
      <c r="AA131" s="204">
        <f t="shared" si="42"/>
        <v>23.284399999999998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 t="shared" si="43"/>
        <v>216</v>
      </c>
      <c r="AE131" s="77" t="str">
        <f t="shared" si="44"/>
        <v>aws s3 cp s3://rtdc.mdm.uploadarchive.raw/RTDC4013/ "%USERPROFILE%\AppData\Local\Temp\OnboardLogs"\RTDC4013\2017-09-19 --exclude "*" --recursive --include "*20170919*" &amp; "%USERPROFILE%\Documents\GitHub\mrs-test-scripts\Headless Mode &amp; Sideloading\WalkAndUnGZ.bat" "%USERPROFILE%\AppData\Local\Temp\OnboardLogs"\RTDC4013\2017-09-19 &amp; aws s3 cp s3://rtdc.mdm.uploadarchive.raw/RTDC4013/ "%USERPROFILE%\AppData\Local\Temp\OnboardLogs"\RTDC4013\2017-09-20 --exclude "*" --recursive --include "*20170920*" &amp; "%USERPROFILE%\Documents\GitHub\mrs-test-scripts\Headless Mode &amp; Sideloading\WalkAndUnGZ.bat" "%USERPROFILE%\AppData\Local\Temp\OnboardLogs"\RTDC4013\2017-09-20</v>
      </c>
      <c r="AF131" s="74" t="str">
        <f t="shared" si="45"/>
        <v>"C:\Program Files (x86)\AstroGrep\AstroGrep.exe" /e /r /s /spath="%USERPROFILE%\AppData\Local\Temp\OnboardLogs" /stypes="app*4013*20170920*" /stext=" 01:.+((SYSTEM_STATE.+slice.+state.+changed )|(ment ac)|(multiple cpu faults)|(system.+state.+changed )|(\[timeout)|(PRM\|1\|D)|(kpr)|(kdp)|(train st.+moving)|(\|lc)|(penalty))"</v>
      </c>
      <c r="AG131" s="182" t="str">
        <f t="shared" si="46"/>
        <v>EC</v>
      </c>
      <c r="AH131" s="78" t="str">
        <f t="shared" si="47"/>
        <v>"%USERPROFILE%\Documents\GitHub\eaglep3\Utilities\RefineRTDCRunTimes.py" --tripid 216-19 --locoid 4013 --swversion DE.1.0.9.0 --startMP 204:232980 --initTime 2017-09-19T18:45:28 --startdatetime 2017-09-19T18:57:18 --delay 57 --endMP 204:136 --enddatetime 2017-09-19T19:34:00 --enforcementcount 0 &gt;&gt;C:\Users\stu\Documents\GitHub\eaglep3-reporting\EC\2017-09-19-refined-times.txt</v>
      </c>
      <c r="AI131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{"issue":{"subject":"","project_id":79,"tracker_id":40,"status_id":1,"priority_id":2,"assigned_to_id":338,"start_date":"2017-09-19","description":"","custom_fields":[{"id":1,"name":"Subdivision","value":"EC"},{"id":4,"name":"Milepost","value":"0.0136"},{"id":17,"name":"Train ID","value":"216-19"},{"id":16,"name":"Locomotive ID","value":"4013"},{"id":130,"name":"Impact","value":""},{"id":150,"name":"Time of Event (Mountain Time)","value":"19:34:00"},{"id":151,"name":"Denver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9"/>
        <v>start /low /b %USERPROFILE%\Documents\GitHub\eaglep3\Utilities\DownloadLogsFromS3.py --loco 4013 --day 2017-09-19</v>
      </c>
      <c r="AN131" s="151" t="str">
        <f t="shared" si="5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01:34:00"},{"id":29,"name":"Sharepoint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51"/>
        <v>https://d0f6bd738d7f1b3e5a7ca70fe4ff75f0.us-east-1.aws.found.io/app/kibana#/discover/Steve-Slow-Train-Analysis-(2080s-and-2083s)?_g=(refreshInterval:(display:Off,pause:!f,section:0,value:0),time:(from:'2017-09-19T17:45:28-0600',mode:absolute,to:'2017-09-19T20:34:00-0600'))&amp;_a=(columns:!('Message%20ID',Summary),filters:!(),index:'emp_*',interval:auto,query:(query_string:(analyze_wildcard:!t,query:'Message%5C+ID:(*)+AND+%22rtdc.l.rtdc.4013%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812</v>
      </c>
      <c r="B132" s="7">
        <v>4056</v>
      </c>
      <c r="C132" s="21" t="s">
        <v>197</v>
      </c>
      <c r="D132" s="21" t="s">
        <v>376</v>
      </c>
      <c r="E132" s="13">
        <v>42997.755497685182</v>
      </c>
      <c r="F132" s="13">
        <v>42997.760671296295</v>
      </c>
      <c r="G132" s="7">
        <v>77</v>
      </c>
      <c r="H132" s="21" t="s">
        <v>567</v>
      </c>
      <c r="I132" s="13">
        <v>42997.785497685189</v>
      </c>
      <c r="J132" s="7">
        <v>0</v>
      </c>
      <c r="K132" s="89" t="str">
        <f t="shared" si="37"/>
        <v>4055/4056</v>
      </c>
      <c r="L132" s="185" t="str">
        <f>VLOOKUP(A132,'Trips&amp;Operators'!$C$1:$G$99911,5,FALSE)</f>
        <v>PERKINS DARREN</v>
      </c>
      <c r="M132" s="6">
        <f t="shared" si="38"/>
        <v>2.4826388893416151E-2</v>
      </c>
      <c r="N132" s="7">
        <f t="shared" si="57"/>
        <v>35.750000006519258</v>
      </c>
      <c r="O132" s="7"/>
      <c r="P132" s="7"/>
      <c r="Q132" s="22"/>
      <c r="R132" s="174"/>
      <c r="S132" s="221">
        <f t="shared" si="58"/>
        <v>1</v>
      </c>
      <c r="T132" s="174" t="str">
        <f t="shared" si="39"/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40"/>
        <v>https://d0f6bd738d7f1b3e5a7ca70fe4ff75f0.us-east-1.aws.found.io/app/kibana#/discover/Steve-Slow-Train-Analysis-(2080s-and-2083s)?_g=(refreshInterval:(display:Off,pause:!f,section:0,value:0),time:(from:'2017-09-19T17:07:55-0600',mode:absolute,to:'2017-09-19T19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2" s="204" t="str">
        <f>IF(AA132&lt;VLOOKUP(AG132,Variables!$AC$3:$AD$8,2,FALSE),"Y","N")</f>
        <v>N</v>
      </c>
      <c r="X132" s="204">
        <f t="shared" si="56"/>
        <v>1</v>
      </c>
      <c r="Y132" s="204">
        <f t="shared" si="59"/>
        <v>4.6899999999999997E-2</v>
      </c>
      <c r="Z132" s="204">
        <f t="shared" si="60"/>
        <v>23.3264</v>
      </c>
      <c r="AA132" s="204">
        <f t="shared" si="42"/>
        <v>23.279499999999999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 t="shared" si="43"/>
        <v>217</v>
      </c>
      <c r="AE132" s="77" t="str">
        <f t="shared" si="44"/>
        <v>aws s3 cp s3://rtdc.mdm.uploadarchive.raw/RTDC4056/ "%USERPROFILE%\AppData\Local\Temp\OnboardLogs"\RTDC4056\2017-09-19 --exclude "*" --recursive --include "*20170919*" &amp; "%USERPROFILE%\Documents\GitHub\mrs-test-scripts\Headless Mode &amp; Sideloading\WalkAndUnGZ.bat" "%USERPROFILE%\AppData\Local\Temp\OnboardLogs"\RTDC4056\2017-09-19 &amp; aws s3 cp s3://rtdc.mdm.uploadarchive.raw/RTDC4056/ "%USERPROFILE%\AppData\Local\Temp\OnboardLogs"\RTDC4056\2017-09-20 --exclude "*" --recursive --include "*20170920*" &amp; "%USERPROFILE%\Documents\GitHub\mrs-test-scripts\Headless Mode &amp; Sideloading\WalkAndUnGZ.bat" "%USERPROFILE%\AppData\Local\Temp\OnboardLogs"\RTDC4056\2017-09-20</v>
      </c>
      <c r="AF132" s="74" t="str">
        <f t="shared" si="45"/>
        <v>"C:\Program Files (x86)\AstroGrep\AstroGrep.exe" /e /r /s /spath="%USERPROFILE%\AppData\Local\Temp\OnboardLogs" /stypes="app*4056*20170920*" /stext=" 00:.+((SYSTEM_STATE.+slice.+state.+changed )|(ment ac)|(multiple cpu faults)|(system.+state.+changed )|(\[timeout)|(PRM\|1\|D)|(kpr)|(kdp)|(train st.+moving)|(\|lc)|(penalty))"</v>
      </c>
      <c r="AG132" s="182" t="str">
        <f t="shared" si="46"/>
        <v>EC</v>
      </c>
      <c r="AH132" s="78" t="str">
        <f t="shared" si="47"/>
        <v>"%USERPROFILE%\Documents\GitHub\eaglep3\Utilities\RefineRTDCRunTimes.py" --tripid 217-19 --locoid 4056 --swversion DE.1.0.9.0 --startMP 204:469 --initTime 2017-09-19T18:07:55 --startdatetime 2017-09-19T18:15:22 --delay 77 --endMP 204:233264 --enddatetime 2017-09-19T18:51:07 --enforcementcount 0 &gt;&gt;C:\Users\stu\Documents\GitHub\eaglep3-reporting\EC\2017-09-19-refined-times.txt</v>
      </c>
      <c r="AI132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{"issue":{"subject":"","project_id":79,"tracker_id":40,"status_id":1,"priority_id":2,"assigned_to_id":338,"start_date":"2017-09-19","description":"","custom_fields":[{"id":1,"name":"Subdivision","value":"EC"},{"id":4,"name":"Milepost","value":"23.3264"},{"id":17,"name":"Train ID","value":"217-19"},{"id":16,"name":"Locomotive ID","value":"4056"},{"id":130,"name":"Impact","value":""},{"id":150,"name":"Time of Event (Mountain Time)","value":"18:51:07"},{"id":151,"name":"Denver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9"/>
        <v>start /low /b %USERPROFILE%\Documents\GitHub\eaglep3\Utilities\DownloadLogsFromS3.py --loco 4056 --day 2017-09-19</v>
      </c>
      <c r="AN132" s="151" t="str">
        <f t="shared" si="5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00:51:07"},{"id":29,"name":"Sharepoint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51"/>
        <v>https://d0f6bd738d7f1b3e5a7ca70fe4ff75f0.us-east-1.aws.found.io/app/kibana#/discover/Steve-Slow-Train-Analysis-(2080s-and-2083s)?_g=(refreshInterval:(display:Off,pause:!f,section:0,value:0),time:(from:'2017-09-19T17:07:55-0600',mode:absolute,to:'2017-09-19T19:51:07-0600'))&amp;_a=(columns:!('Message%20ID',Summary),filters:!(),index:'emp_*',interval:auto,query:(query_string:(analyze_wildcard:!t,query:'Message%5C+ID:(*)+AND+%22rtdc.l.rtdc.4056%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644</v>
      </c>
      <c r="B133" s="7">
        <v>4055</v>
      </c>
      <c r="C133" s="21" t="s">
        <v>197</v>
      </c>
      <c r="D133" s="21" t="s">
        <v>440</v>
      </c>
      <c r="E133" s="13">
        <v>42997.789780092593</v>
      </c>
      <c r="F133" s="13">
        <v>42997.800219907411</v>
      </c>
      <c r="G133" s="7">
        <v>78</v>
      </c>
      <c r="H133" s="21" t="s">
        <v>397</v>
      </c>
      <c r="I133" s="13">
        <v>42997.826319444444</v>
      </c>
      <c r="J133" s="7">
        <v>0</v>
      </c>
      <c r="K133" s="89" t="str">
        <f t="shared" si="37"/>
        <v>4055/4056</v>
      </c>
      <c r="L133" s="185" t="str">
        <f>VLOOKUP(A133,'Trips&amp;Operators'!$C$1:$G$99911,5,FALSE)</f>
        <v>PERKINS DARREN</v>
      </c>
      <c r="M133" s="6">
        <f t="shared" si="38"/>
        <v>2.6099537033587694E-2</v>
      </c>
      <c r="N133" s="7">
        <f t="shared" si="57"/>
        <v>37.58333332836628</v>
      </c>
      <c r="O133" s="7"/>
      <c r="P133" s="7"/>
      <c r="Q133" s="22"/>
      <c r="R133" s="174"/>
      <c r="S133" s="221">
        <f t="shared" si="58"/>
        <v>1</v>
      </c>
      <c r="T133" s="174" t="str">
        <f t="shared" si="39"/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40"/>
        <v>https://d0f6bd738d7f1b3e5a7ca70fe4ff75f0.us-east-1.aws.found.io/app/kibana#/discover/Steve-Slow-Train-Analysis-(2080s-and-2083s)?_g=(refreshInterval:(display:Off,pause:!f,section:0,value:0),time:(from:'2017-09-19T17:57:17-0600',mode:absolute,to:'2017-09-19T20:49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3" s="204" t="str">
        <f>IF(AA133&lt;VLOOKUP(AG133,Variables!$AC$3:$AD$8,2,FALSE),"Y","N")</f>
        <v>N</v>
      </c>
      <c r="X133" s="204">
        <f t="shared" si="56"/>
        <v>1</v>
      </c>
      <c r="Y133" s="204">
        <f t="shared" si="59"/>
        <v>23.299099999999999</v>
      </c>
      <c r="Z133" s="204">
        <f t="shared" si="60"/>
        <v>1.3899999999999999E-2</v>
      </c>
      <c r="AA133" s="204">
        <f t="shared" si="42"/>
        <v>23.2852</v>
      </c>
      <c r="AB133" s="54" t="str">
        <f>VLOOKUP(A133,Enforcements!$C$7:$K$11,8,0)</f>
        <v>Bulletin (2)</v>
      </c>
      <c r="AC133" s="51" t="str">
        <f>VLOOKUP(A133,Enforcements!$C$7:$E$11,3,0)</f>
        <v>GRADE CROSSING</v>
      </c>
      <c r="AD133" s="179">
        <f t="shared" si="43"/>
        <v>218</v>
      </c>
      <c r="AE133" s="77" t="str">
        <f t="shared" si="44"/>
        <v>aws s3 cp s3://rtdc.mdm.uploadarchive.raw/RTDC4055/ "%USERPROFILE%\AppData\Local\Temp\OnboardLogs"\RTDC4055\2017-09-19 --exclude "*" --recursive --include "*20170919*" &amp; "%USERPROFILE%\Documents\GitHub\mrs-test-scripts\Headless Mode &amp; Sideloading\WalkAndUnGZ.bat" "%USERPROFILE%\AppData\Local\Temp\OnboardLogs"\RTDC4055\2017-09-19 &amp; aws s3 cp s3://rtdc.mdm.uploadarchive.raw/RTDC4055/ "%USERPROFILE%\AppData\Local\Temp\OnboardLogs"\RTDC4055\2017-09-20 --exclude "*" --recursive --include "*20170920*" &amp; "%USERPROFILE%\Documents\GitHub\mrs-test-scripts\Headless Mode &amp; Sideloading\WalkAndUnGZ.bat" "%USERPROFILE%\AppData\Local\Temp\OnboardLogs"\RTDC4055\2017-09-20</v>
      </c>
      <c r="AF133" s="74" t="str">
        <f t="shared" si="45"/>
        <v>"C:\Program Files (x86)\AstroGrep\AstroGrep.exe" /e /r /s /spath="%USERPROFILE%\AppData\Local\Temp\OnboardLogs" /stypes="app*4055*20170920*" /stext=" 01:.+((SYSTEM_STATE.+slice.+state.+changed )|(ment ac)|(multiple cpu faults)|(system.+state.+changed )|(\[timeout)|(PRM\|1\|D)|(kpr)|(kdp)|(train st.+moving)|(\|lc)|(penalty))"</v>
      </c>
      <c r="AG133" s="182" t="str">
        <f t="shared" si="46"/>
        <v>EC</v>
      </c>
      <c r="AH133" s="78" t="str">
        <f t="shared" si="47"/>
        <v>"%USERPROFILE%\Documents\GitHub\eaglep3\Utilities\RefineRTDCRunTimes.py" --tripid 218-19 --locoid 4055 --swversion DE.1.0.9.0 --startMP 204:232991 --initTime 2017-09-19T18:57:17 --startdatetime 2017-09-19T19:12:19 --delay 78 --endMP 204:139 --enddatetime 2017-09-19T19:49:54 --enforcementcount 0 &gt;&gt;C:\Users\stu\Documents\GitHub\eaglep3-reporting\EC\2017-09-19-refined-times.txt</v>
      </c>
      <c r="AI133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{"issue":{"subject":"","project_id":79,"tracker_id":40,"status_id":1,"priority_id":2,"assigned_to_id":338,"start_date":"2017-09-19","description":"","custom_fields":[{"id":1,"name":"Subdivision","value":"EC"},{"id":4,"name":"Milepost","value":"0.0139"},{"id":17,"name":"Train ID","value":"218-19"},{"id":16,"name":"Locomotive ID","value":"4055"},{"id":130,"name":"Impact","value":""},{"id":150,"name":"Time of Event (Mountain Time)","value":"19:49:54"},{"id":151,"name":"Denver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9"/>
        <v>start /low /b %USERPROFILE%\Documents\GitHub\eaglep3\Utilities\DownloadLogsFromS3.py --loco 4055 --day 2017-09-19</v>
      </c>
      <c r="AN133" s="151" t="str">
        <f t="shared" si="5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01:49:54"},{"id":29,"name":"Sharepoint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51"/>
        <v>https://d0f6bd738d7f1b3e5a7ca70fe4ff75f0.us-east-1.aws.found.io/app/kibana#/discover/Steve-Slow-Train-Analysis-(2080s-and-2083s)?_g=(refreshInterval:(display:Off,pause:!f,section:0,value:0),time:(from:'2017-09-19T17:57:17-0600',mode:absolute,to:'2017-09-19T20:49:54-0600'))&amp;_a=(columns:!('Message%20ID',Summary),filters:!(),index:'emp_*',interval:auto,query:(query_string:(analyze_wildcard:!t,query:'Message%5C+ID:(*)+AND+%22rtdc.l.rtdc.4055%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814</v>
      </c>
      <c r="B134" s="7">
        <v>4030</v>
      </c>
      <c r="C134" s="21" t="s">
        <v>197</v>
      </c>
      <c r="D134" s="21" t="s">
        <v>418</v>
      </c>
      <c r="E134" s="13">
        <v>42997.767199074071</v>
      </c>
      <c r="F134" s="13">
        <v>42997.771041666667</v>
      </c>
      <c r="G134" s="7">
        <v>81</v>
      </c>
      <c r="H134" s="21" t="s">
        <v>559</v>
      </c>
      <c r="I134" s="13">
        <v>42997.796030092592</v>
      </c>
      <c r="J134" s="7">
        <v>0</v>
      </c>
      <c r="K134" s="89" t="str">
        <f t="shared" si="37"/>
        <v>4029/4030</v>
      </c>
      <c r="L134" s="185" t="str">
        <f>VLOOKUP(A134,'Trips&amp;Operators'!$C$1:$G$99911,5,FALSE)</f>
        <v>HART KEVIN</v>
      </c>
      <c r="M134" s="6">
        <f t="shared" si="38"/>
        <v>2.4988425924675539E-2</v>
      </c>
      <c r="N134" s="7">
        <f t="shared" si="57"/>
        <v>35.983333331532776</v>
      </c>
      <c r="O134" s="7"/>
      <c r="P134" s="7"/>
      <c r="Q134" s="22"/>
      <c r="R134" s="174"/>
      <c r="S134" s="221">
        <f t="shared" si="58"/>
        <v>1</v>
      </c>
      <c r="T134" s="174" t="str">
        <f t="shared" si="39"/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40"/>
        <v>https://d0f6bd738d7f1b3e5a7ca70fe4ff75f0.us-east-1.aws.found.io/app/kibana#/discover/Steve-Slow-Train-Analysis-(2080s-and-2083s)?_g=(refreshInterval:(display:Off,pause:!f,section:0,value:0),time:(from:'2017-09-19T17:24:46-0600',mode:absolute,to:'2017-09-19T20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4" s="204" t="str">
        <f>IF(AA134&lt;VLOOKUP(AG134,Variables!$AC$3:$AD$8,2,FALSE),"Y","N")</f>
        <v>N</v>
      </c>
      <c r="X134" s="204">
        <f t="shared" si="56"/>
        <v>1</v>
      </c>
      <c r="Y134" s="204">
        <f t="shared" si="59"/>
        <v>4.4400000000000002E-2</v>
      </c>
      <c r="Z134" s="204">
        <f t="shared" si="60"/>
        <v>23.329699999999999</v>
      </c>
      <c r="AA134" s="204">
        <f t="shared" si="42"/>
        <v>23.285299999999999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 t="shared" si="43"/>
        <v>219</v>
      </c>
      <c r="AE134" s="77" t="str">
        <f t="shared" si="44"/>
        <v>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 &amp; aws s3 cp s3://rtdc.mdm.uploadarchive.raw/RTDC4030/ "%USERPROFILE%\AppData\Local\Temp\OnboardLogs"\RTDC4030\2017-09-20 --exclude "*" --recursive --include "*20170920*" &amp; "%USERPROFILE%\Documents\GitHub\mrs-test-scripts\Headless Mode &amp; Sideloading\WalkAndUnGZ.bat" "%USERPROFILE%\AppData\Local\Temp\OnboardLogs"\RTDC4030\2017-09-20</v>
      </c>
      <c r="AF134" s="74" t="str">
        <f t="shared" si="45"/>
        <v>"C:\Program Files (x86)\AstroGrep\AstroGrep.exe" /e /r /s /spath="%USERPROFILE%\AppData\Local\Temp\OnboardLogs" /stypes="app*4030*20170920*" /stext=" 01:.+((SYSTEM_STATE.+slice.+state.+changed )|(ment ac)|(multiple cpu faults)|(system.+state.+changed )|(\[timeout)|(PRM\|1\|D)|(kpr)|(kdp)|(train st.+moving)|(\|lc)|(penalty))"</v>
      </c>
      <c r="AG134" s="182" t="str">
        <f t="shared" si="46"/>
        <v>EC</v>
      </c>
      <c r="AH134" s="78" t="str">
        <f t="shared" si="47"/>
        <v>"%USERPROFILE%\Documents\GitHub\eaglep3\Utilities\RefineRTDCRunTimes.py" --tripid 219-19 --locoid 4030 --swversion DE.1.0.9.0 --startMP 204:444 --initTime 2017-09-19T18:24:46 --startdatetime 2017-09-19T18:30:18 --delay 81 --endMP 204:233297 --enddatetime 2017-09-19T19:06:17 --enforcementcount 0 &gt;&gt;C:\Users\stu\Documents\GitHub\eaglep3-reporting\EC\2017-09-19-refined-times.txt</v>
      </c>
      <c r="AI134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{"issue":{"subject":"","project_id":79,"tracker_id":40,"status_id":1,"priority_id":2,"assigned_to_id":338,"start_date":"2017-09-19","description":"","custom_fields":[{"id":1,"name":"Subdivision","value":"EC"},{"id":4,"name":"Milepost","value":"23.3297"},{"id":17,"name":"Train ID","value":"219-19"},{"id":16,"name":"Locomotive ID","value":"4030"},{"id":130,"name":"Impact","value":""},{"id":150,"name":"Time of Event (Mountain Time)","value":"19:06:17"},{"id":151,"name":"Denver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9"/>
        <v>start /low /b %USERPROFILE%\Documents\GitHub\eaglep3\Utilities\DownloadLogsFromS3.py --loco 4030 --day 2017-09-19</v>
      </c>
      <c r="AN134" s="151" t="str">
        <f t="shared" si="5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01:06:17"},{"id":29,"name":"Sharepoint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51"/>
        <v>https://d0f6bd738d7f1b3e5a7ca70fe4ff75f0.us-east-1.aws.found.io/app/kibana#/discover/Steve-Slow-Train-Analysis-(2080s-and-2083s)?_g=(refreshInterval:(display:Off,pause:!f,section:0,value:0),time:(from:'2017-09-19T17:24:46-0600',mode:absolute,to:'2017-09-19T20:06:17-0600'))&amp;_a=(columns:!('Message%20ID',Summary),filters:!(),index:'emp_*',interval:auto,query:(query_string:(analyze_wildcard:!t,query:'Message%5C+ID:(*)+AND+%22rtdc.l.rtdc.4030%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823</v>
      </c>
      <c r="B135" s="7">
        <v>4029</v>
      </c>
      <c r="C135" s="21" t="s">
        <v>197</v>
      </c>
      <c r="D135" s="21" t="s">
        <v>374</v>
      </c>
      <c r="E135" s="13">
        <v>42997.807534722226</v>
      </c>
      <c r="F135" s="13">
        <v>42997.810624999998</v>
      </c>
      <c r="G135" s="7">
        <v>67</v>
      </c>
      <c r="H135" s="21" t="s">
        <v>380</v>
      </c>
      <c r="I135" s="13">
        <v>42997.835439814815</v>
      </c>
      <c r="J135" s="7">
        <v>0</v>
      </c>
      <c r="K135" s="89" t="str">
        <f t="shared" si="37"/>
        <v>4029/4030</v>
      </c>
      <c r="L135" s="185" t="str">
        <f>VLOOKUP(A135,'Trips&amp;Operators'!$C$1:$G$99911,5,FALSE)</f>
        <v>HART KEVIN</v>
      </c>
      <c r="M135" s="6">
        <f t="shared" si="38"/>
        <v>2.4814814816636499E-2</v>
      </c>
      <c r="N135" s="7">
        <f t="shared" si="57"/>
        <v>35.733333335956559</v>
      </c>
      <c r="O135" s="7"/>
      <c r="P135" s="7"/>
      <c r="Q135" s="22"/>
      <c r="R135" s="174"/>
      <c r="S135" s="221">
        <f t="shared" si="58"/>
        <v>1</v>
      </c>
      <c r="T135" s="174" t="str">
        <f t="shared" si="39"/>
        <v>Southbound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40"/>
        <v>https://d0f6bd738d7f1b3e5a7ca70fe4ff75f0.us-east-1.aws.found.io/app/kibana#/discover/Steve-Slow-Train-Analysis-(2080s-and-2083s)?_g=(refreshInterval:(display:Off,pause:!f,section:0,value:0),time:(from:'2017-09-19T18:22:51-0600',mode:absolute,to:'2017-09-19T21:03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5" s="204" t="str">
        <f>IF(AA135&lt;VLOOKUP(AG135,Variables!$AC$3:$AD$8,2,FALSE),"Y","N")</f>
        <v>N</v>
      </c>
      <c r="X135" s="204">
        <f t="shared" si="56"/>
        <v>1</v>
      </c>
      <c r="Y135" s="204">
        <f t="shared" si="59"/>
        <v>23.297699999999999</v>
      </c>
      <c r="Z135" s="204">
        <f t="shared" si="60"/>
        <v>1.6E-2</v>
      </c>
      <c r="AA135" s="204">
        <f t="shared" si="42"/>
        <v>23.281700000000001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 t="shared" si="43"/>
        <v>220</v>
      </c>
      <c r="AE135" s="77" t="str">
        <f t="shared" si="44"/>
        <v>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 &amp; aws s3 cp s3://rtdc.mdm.uploadarchive.raw/RTDC4029/ "%USERPROFILE%\AppData\Local\Temp\OnboardLogs"\RTDC4029\2017-09-20 --exclude "*" --recursive --include "*20170920*" &amp; "%USERPROFILE%\Documents\GitHub\mrs-test-scripts\Headless Mode &amp; Sideloading\WalkAndUnGZ.bat" "%USERPROFILE%\AppData\Local\Temp\OnboardLogs"\RTDC4029\2017-09-20</v>
      </c>
      <c r="AF135" s="74" t="str">
        <f t="shared" si="45"/>
        <v>"C:\Program Files (x86)\AstroGrep\AstroGrep.exe" /e /r /s /spath="%USERPROFILE%\AppData\Local\Temp\OnboardLogs" /stypes="app*4029*20170920*" /stext=" 02:.+((SYSTEM_STATE.+slice.+state.+changed )|(ment ac)|(multiple cpu faults)|(system.+state.+changed )|(\[timeout)|(PRM\|1\|D)|(kpr)|(kdp)|(train st.+moving)|(\|lc)|(penalty))"</v>
      </c>
      <c r="AG135" s="182" t="str">
        <f t="shared" si="46"/>
        <v>EC</v>
      </c>
      <c r="AH135" s="78" t="str">
        <f t="shared" si="47"/>
        <v>"%USERPROFILE%\Documents\GitHub\eaglep3\Utilities\RefineRTDCRunTimes.py" --tripid 220-19 --locoid 4029 --swversion DE.1.0.9.0 --startMP 204:232977 --initTime 2017-09-19T19:22:51 --startdatetime 2017-09-19T19:27:18 --delay 67 --endMP 204:160 --enddatetime 2017-09-19T20:03:02 --enforcementcount 0 &gt;&gt;C:\Users\stu\Documents\GitHub\eaglep3-reporting\EC\2017-09-19-refined-times.txt</v>
      </c>
      <c r="AI135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{"issue":{"subject":"","project_id":79,"tracker_id":40,"status_id":1,"priority_id":2,"assigned_to_id":338,"start_date":"2017-09-19","description":"","custom_fields":[{"id":1,"name":"Subdivision","value":"EC"},{"id":4,"name":"Milepost","value":"0.016"},{"id":17,"name":"Train ID","value":"220-19"},{"id":16,"name":"Locomotive ID","value":"4029"},{"id":130,"name":"Impact","value":""},{"id":150,"name":"Time of Event (Mountain Time)","value":"20:03:02"},{"id":151,"name":"Denver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9"/>
        <v>start /low /b %USERPROFILE%\Documents\GitHub\eaglep3\Utilities\DownloadLogsFromS3.py --loco 4029 --day 2017-09-19</v>
      </c>
      <c r="AN135" s="151" t="str">
        <f t="shared" si="5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02:03:02"},{"id":29,"name":"Sharepoint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51"/>
        <v>https://d0f6bd738d7f1b3e5a7ca70fe4ff75f0.us-east-1.aws.found.io/app/kibana#/discover/Steve-Slow-Train-Analysis-(2080s-and-2083s)?_g=(refreshInterval:(display:Off,pause:!f,section:0,value:0),time:(from:'2017-09-19T18:22:51-0600',mode:absolute,to:'2017-09-19T21:03:02-0600'))&amp;_a=(columns:!('Message%20ID',Summary),filters:!(),index:'emp_*',interval:auto,query:(query_string:(analyze_wildcard:!t,query:'Message%5C+ID:(*)+AND+%22rtdc.l.rtdc.4029%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819</v>
      </c>
      <c r="B136" s="7">
        <v>4050</v>
      </c>
      <c r="C136" s="21" t="s">
        <v>197</v>
      </c>
      <c r="D136" s="21" t="s">
        <v>417</v>
      </c>
      <c r="E136" s="13">
        <v>42997.786909722221</v>
      </c>
      <c r="F136" s="13">
        <v>42997.79184027778</v>
      </c>
      <c r="G136" s="7">
        <v>78</v>
      </c>
      <c r="H136" s="21" t="s">
        <v>565</v>
      </c>
      <c r="I136" s="13">
        <v>42997.816990740743</v>
      </c>
      <c r="J136" s="7">
        <v>0</v>
      </c>
      <c r="K136" s="89" t="str">
        <f t="shared" si="37"/>
        <v>4049/4050</v>
      </c>
      <c r="L136" s="185" t="str">
        <f>VLOOKUP(A136,'Trips&amp;Operators'!$C$1:$G$99911,5,FALSE)</f>
        <v>DUNCAN SHEILA</v>
      </c>
      <c r="M136" s="6">
        <f t="shared" si="38"/>
        <v>2.5150462963210884E-2</v>
      </c>
      <c r="N136" s="7">
        <f t="shared" si="57"/>
        <v>36.216666667023674</v>
      </c>
      <c r="O136" s="7"/>
      <c r="P136" s="7"/>
      <c r="Q136" s="22"/>
      <c r="R136" s="174"/>
      <c r="S136" s="221">
        <f t="shared" si="58"/>
        <v>1</v>
      </c>
      <c r="T136" s="174" t="str">
        <f t="shared" si="39"/>
        <v>NorthBound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40"/>
        <v>https://d0f6bd738d7f1b3e5a7ca70fe4ff75f0.us-east-1.aws.found.io/app/kibana#/discover/Steve-Slow-Train-Analysis-(2080s-and-2083s)?_g=(refreshInterval:(display:Off,pause:!f,section:0,value:0),time:(from:'2017-09-19T17:53:09-0600',mode:absolute,to:'2017-09-19T20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6" s="204" t="str">
        <f>IF(AA136&lt;VLOOKUP(AG136,Variables!$AC$3:$AD$8,2,FALSE),"Y","N")</f>
        <v>N</v>
      </c>
      <c r="X136" s="204">
        <f t="shared" si="56"/>
        <v>1</v>
      </c>
      <c r="Y136" s="204">
        <f t="shared" si="59"/>
        <v>4.5100000000000001E-2</v>
      </c>
      <c r="Z136" s="204">
        <f t="shared" si="60"/>
        <v>23.326799999999999</v>
      </c>
      <c r="AA136" s="204">
        <f t="shared" si="42"/>
        <v>23.281699999999997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 t="shared" si="43"/>
        <v>221</v>
      </c>
      <c r="AE136" s="77" t="str">
        <f t="shared" si="44"/>
        <v>aws s3 cp s3://rtdc.mdm.uploadarchive.raw/RTDC4050/ "%USERPROFILE%\AppData\Local\Temp\OnboardLogs"\RTDC4050\2017-09-19 --exclude "*" --recursive --include "*20170919*" &amp; "%USERPROFILE%\Documents\GitHub\mrs-test-scripts\Headless Mode &amp; Sideloading\WalkAndUnGZ.bat" "%USERPROFILE%\AppData\Local\Temp\OnboardLogs"\RTDC4050\2017-09-19 &amp; aws s3 cp s3://rtdc.mdm.uploadarchive.raw/RTDC4050/ "%USERPROFILE%\AppData\Local\Temp\OnboardLogs"\RTDC4050\2017-09-20 --exclude "*" --recursive --include "*20170920*" &amp; "%USERPROFILE%\Documents\GitHub\mrs-test-scripts\Headless Mode &amp; Sideloading\WalkAndUnGZ.bat" "%USERPROFILE%\AppData\Local\Temp\OnboardLogs"\RTDC4050\2017-09-20</v>
      </c>
      <c r="AF136" s="74" t="str">
        <f t="shared" si="45"/>
        <v>"C:\Program Files (x86)\AstroGrep\AstroGrep.exe" /e /r /s /spath="%USERPROFILE%\AppData\Local\Temp\OnboardLogs" /stypes="app*4050*20170920*" /stext=" 01:.+((SYSTEM_STATE.+slice.+state.+changed )|(ment ac)|(multiple cpu faults)|(system.+state.+changed )|(\[timeout)|(PRM\|1\|D)|(kpr)|(kdp)|(train st.+moving)|(\|lc)|(penalty))"</v>
      </c>
      <c r="AG136" s="182" t="str">
        <f t="shared" si="46"/>
        <v>EC</v>
      </c>
      <c r="AH136" s="78" t="str">
        <f t="shared" si="47"/>
        <v>"%USERPROFILE%\Documents\GitHub\eaglep3\Utilities\RefineRTDCRunTimes.py" --tripid 221-19 --locoid 4050 --swversion DE.1.0.9.0 --startMP 204:451 --initTime 2017-09-19T18:53:09 --startdatetime 2017-09-19T19:00:15 --delay 78 --endMP 204:233268 --enddatetime 2017-09-19T19:36:28 --enforcementcount 0 &gt;&gt;C:\Users\stu\Documents\GitHub\eaglep3-reporting\EC\2017-09-19-refined-times.txt</v>
      </c>
      <c r="AI136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{"issue":{"subject":"","project_id":79,"tracker_id":40,"status_id":1,"priority_id":2,"assigned_to_id":338,"start_date":"2017-09-19","description":"","custom_fields":[{"id":1,"name":"Subdivision","value":"EC"},{"id":4,"name":"Milepost","value":"23.3268"},{"id":17,"name":"Train ID","value":"221-19"},{"id":16,"name":"Locomotive ID","value":"4050"},{"id":130,"name":"Impact","value":""},{"id":150,"name":"Time of Event (Mountain Time)","value":"19:36:28"},{"id":151,"name":"Denver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9"/>
        <v>start /low /b %USERPROFILE%\Documents\GitHub\eaglep3\Utilities\DownloadLogsFromS3.py --loco 4050 --day 2017-09-19</v>
      </c>
      <c r="AN136" s="151" t="str">
        <f t="shared" si="5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01:36:28"},{"id":29,"name":"Sharepoint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51"/>
        <v>https://d0f6bd738d7f1b3e5a7ca70fe4ff75f0.us-east-1.aws.found.io/app/kibana#/discover/Steve-Slow-Train-Analysis-(2080s-and-2083s)?_g=(refreshInterval:(display:Off,pause:!f,section:0,value:0),time:(from:'2017-09-19T17:53:09-0600',mode:absolute,to:'2017-09-19T20:36:28-0600'))&amp;_a=(columns:!('Message%20ID',Summary),filters:!(),index:'emp_*',interval:auto,query:(query_string:(analyze_wildcard:!t,query:'Message%5C+ID:(*)+AND+%22rtdc.l.rtdc.4050%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827</v>
      </c>
      <c r="B137" s="7">
        <v>4049</v>
      </c>
      <c r="C137" s="21" t="s">
        <v>197</v>
      </c>
      <c r="D137" s="21" t="s">
        <v>522</v>
      </c>
      <c r="E137" s="13">
        <v>42997.825497685182</v>
      </c>
      <c r="F137" s="13">
        <v>42997.831423611111</v>
      </c>
      <c r="G137" s="7">
        <v>66</v>
      </c>
      <c r="H137" s="21" t="s">
        <v>429</v>
      </c>
      <c r="I137" s="13">
        <v>42997.857222222221</v>
      </c>
      <c r="J137" s="7">
        <v>0</v>
      </c>
      <c r="K137" s="89" t="str">
        <f t="shared" si="37"/>
        <v>4049/4050</v>
      </c>
      <c r="L137" s="185" t="str">
        <f>VLOOKUP(A137,'Trips&amp;Operators'!$C$1:$G$99911,5,FALSE)</f>
        <v>DUNCAN SHEILA</v>
      </c>
      <c r="M137" s="6">
        <f t="shared" si="38"/>
        <v>2.5798611110076308E-2</v>
      </c>
      <c r="N137" s="7">
        <f t="shared" si="57"/>
        <v>37.149999998509884</v>
      </c>
      <c r="O137" s="7"/>
      <c r="P137" s="7"/>
      <c r="Q137" s="22"/>
      <c r="R137" s="174" t="s">
        <v>1015</v>
      </c>
      <c r="S137" s="221">
        <f t="shared" si="58"/>
        <v>1</v>
      </c>
      <c r="T137" s="174" t="str">
        <f t="shared" si="39"/>
        <v>Southbound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40"/>
        <v>https://d0f6bd738d7f1b3e5a7ca70fe4ff75f0.us-east-1.aws.found.io/app/kibana#/discover/Steve-Slow-Train-Analysis-(2080s-and-2083s)?_g=(refreshInterval:(display:Off,pause:!f,section:0,value:0),time:(from:'2017-09-19T18:48:43-0600',mode:absolute,to:'2017-09-19T21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7" s="204" t="str">
        <f>IF(AA137&lt;VLOOKUP(AG137,Variables!$AC$3:$AD$8,2,FALSE),"Y","N")</f>
        <v>N</v>
      </c>
      <c r="X137" s="204">
        <f t="shared" si="56"/>
        <v>1</v>
      </c>
      <c r="Y137" s="204">
        <f t="shared" si="59"/>
        <v>23.301500000000001</v>
      </c>
      <c r="Z137" s="204">
        <f t="shared" si="60"/>
        <v>1.54E-2</v>
      </c>
      <c r="AA137" s="204">
        <f t="shared" si="42"/>
        <v>23.286100000000001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 t="shared" si="43"/>
        <v>222</v>
      </c>
      <c r="AE137" s="77" t="str">
        <f t="shared" si="44"/>
        <v>aws s3 cp s3://rtdc.mdm.uploadarchive.raw/RTDC4049/ "%USERPROFILE%\AppData\Local\Temp\OnboardLogs"\RTDC4049\2017-09-19 --exclude "*" --recursive --include "*20170919*" &amp; "%USERPROFILE%\Documents\GitHub\mrs-test-scripts\Headless Mode &amp; Sideloading\WalkAndUnGZ.bat" "%USERPROFILE%\AppData\Local\Temp\OnboardLogs"\RTDC4049\2017-09-19 &amp; aws s3 cp s3://rtdc.mdm.uploadarchive.raw/RTDC4049/ "%USERPROFILE%\AppData\Local\Temp\OnboardLogs"\RTDC4049\2017-09-20 --exclude "*" --recursive --include "*20170920*" &amp; "%USERPROFILE%\Documents\GitHub\mrs-test-scripts\Headless Mode &amp; Sideloading\WalkAndUnGZ.bat" "%USERPROFILE%\AppData\Local\Temp\OnboardLogs"\RTDC4049\2017-09-20</v>
      </c>
      <c r="AF137" s="74" t="str">
        <f t="shared" si="45"/>
        <v>"C:\Program Files (x86)\AstroGrep\AstroGrep.exe" /e /r /s /spath="%USERPROFILE%\AppData\Local\Temp\OnboardLogs" /stypes="app*4049*20170920*" /stext=" 02:.+((SYSTEM_STATE.+slice.+state.+changed )|(ment ac)|(multiple cpu faults)|(system.+state.+changed )|(\[timeout)|(PRM\|1\|D)|(kpr)|(kdp)|(train st.+moving)|(\|lc)|(penalty))"</v>
      </c>
      <c r="AG137" s="182" t="str">
        <f t="shared" si="46"/>
        <v>EC</v>
      </c>
      <c r="AH137" s="78" t="str">
        <f t="shared" si="47"/>
        <v>"%USERPROFILE%\Documents\GitHub\eaglep3\Utilities\RefineRTDCRunTimes.py" --tripid 222-19 --locoid 4049 --swversion DE.1.0.9.0 --startMP 204:233015 --initTime 2017-09-19T19:48:43 --startdatetime 2017-09-19T19:57:15 --delay 66 --endMP 204:154 --enddatetime 2017-09-19T20:34:24 --enforcementcount 0 &gt;&gt;C:\Users\stu\Documents\GitHub\eaglep3-reporting\EC\2017-09-19-refined-times.txt</v>
      </c>
      <c r="AI137" s="96" t="str">
        <f t="shared" si="48"/>
        <v>echo {"issue":{"subject":"No switch unknown banners observed (54099)","project_id":79,"tracker_id":40,"status_id":1,"priority_id":2,"assigned_to_id":338,"start_date":"2017-09-19","description":"","custom_fields":[{"id":1,"name":"Subdivision","value":"EC"},{"id":4,"name":"Milepost","value":"0.0154"},{"id":17,"name":"Train ID","value":"222-19"},{"id":16,"name":"Locomotive ID","value":"4049"},{"id":130,"name":"Impact","value":""},{"id":150,"name":"Time of Event (Mountain Time)","value":"20:34:24"},{"id":151,"name":"Denver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9"/>
        <v>start /low /b %USERPROFILE%\Documents\GitHub\eaglep3\Utilities\DownloadLogsFromS3.py --loco 4049 --day 2017-09-19</v>
      </c>
      <c r="AN137" s="151" t="str">
        <f t="shared" si="50"/>
        <v>echo {"issue":{"subject":"No switch unknown banners observed (54099)","project_id":30,"tracker_id":4,"status_id":1,"priority_id":1,"assigned_to_id":10,"start_date":"2017-09-20","description":"","custom_fields":[{"id":30,"name":"Category","value":"Issue"},{"id":3,"name":"Functional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02:34:24"},{"id":29,"name":"Sharepoint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51"/>
        <v>https://d0f6bd738d7f1b3e5a7ca70fe4ff75f0.us-east-1.aws.found.io/app/kibana#/discover/Steve-Slow-Train-Analysis-(2080s-and-2083s)?_g=(refreshInterval:(display:Off,pause:!f,section:0,value:0),time:(from:'2017-09-19T18:48:43-0600',mode:absolute,to:'2017-09-19T21:34:24-0600'))&amp;_a=(columns:!('Message%20ID',Summary),filters:!(),index:'emp_*',interval:auto,query:(query_string:(analyze_wildcard:!t,query:'Message%5C+ID:(*)+AND+%22rtdc.l.rtdc.4049%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824</v>
      </c>
      <c r="B138" s="7">
        <v>4028</v>
      </c>
      <c r="C138" s="21" t="s">
        <v>197</v>
      </c>
      <c r="D138" s="21" t="s">
        <v>491</v>
      </c>
      <c r="E138" s="13">
        <v>42997.810069444444</v>
      </c>
      <c r="F138" s="13">
        <v>42997.8128125</v>
      </c>
      <c r="G138" s="7">
        <v>56</v>
      </c>
      <c r="H138" s="21" t="s">
        <v>575</v>
      </c>
      <c r="I138" s="13">
        <v>42997.837337962963</v>
      </c>
      <c r="J138" s="7">
        <v>0</v>
      </c>
      <c r="K138" s="89" t="str">
        <f t="shared" si="37"/>
        <v>4027/4028</v>
      </c>
      <c r="L138" s="185" t="str">
        <f>VLOOKUP(A138,'Trips&amp;Operators'!$C$1:$G$99911,5,FALSE)</f>
        <v>LOZA FIDEL</v>
      </c>
      <c r="M138" s="6">
        <f t="shared" si="38"/>
        <v>2.4525462962628808E-2</v>
      </c>
      <c r="N138" s="7">
        <f t="shared" si="57"/>
        <v>35.316666666185483</v>
      </c>
      <c r="O138" s="7"/>
      <c r="P138" s="7"/>
      <c r="Q138" s="22"/>
      <c r="R138" s="174"/>
      <c r="S138" s="221">
        <f t="shared" si="58"/>
        <v>1</v>
      </c>
      <c r="T138" s="174" t="str">
        <f t="shared" si="39"/>
        <v>NorthBound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40"/>
        <v>https://d0f6bd738d7f1b3e5a7ca70fe4ff75f0.us-east-1.aws.found.io/app/kibana#/discover/Steve-Slow-Train-Analysis-(2080s-and-2083s)?_g=(refreshInterval:(display:Off,pause:!f,section:0,value:0),time:(from:'2017-09-19T18:26:30-0600',mode:absolute,to:'2017-09-19T21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8" s="204" t="str">
        <f>IF(AA138&lt;VLOOKUP(AG138,Variables!$AC$3:$AD$8,2,FALSE),"Y","N")</f>
        <v>N</v>
      </c>
      <c r="X138" s="204">
        <f t="shared" si="56"/>
        <v>1</v>
      </c>
      <c r="Y138" s="204">
        <f t="shared" si="59"/>
        <v>4.3099999999999999E-2</v>
      </c>
      <c r="Z138" s="204">
        <f t="shared" si="60"/>
        <v>23.331099999999999</v>
      </c>
      <c r="AA138" s="204">
        <f t="shared" si="42"/>
        <v>23.288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 t="shared" si="43"/>
        <v>223</v>
      </c>
      <c r="AE138" s="77" t="str">
        <f t="shared" si="44"/>
        <v>aws s3 cp s3://rtdc.mdm.uploadarchive.raw/RTDC4028/ "%USERPROFILE%\AppData\Local\Temp\OnboardLogs"\RTDC4028\2017-09-19 --exclude "*" --recursive --include "*20170919*" &amp; "%USERPROFILE%\Documents\GitHub\mrs-test-scripts\Headless Mode &amp; Sideloading\WalkAndUnGZ.bat" "%USERPROFILE%\AppData\Local\Temp\OnboardLogs"\RTDC4028\2017-09-19 &amp; aws s3 cp s3://rtdc.mdm.uploadarchive.raw/RTDC4028/ "%USERPROFILE%\AppData\Local\Temp\OnboardLogs"\RTDC4028\2017-09-20 --exclude "*" --recursive --include "*20170920*" &amp; "%USERPROFILE%\Documents\GitHub\mrs-test-scripts\Headless Mode &amp; Sideloading\WalkAndUnGZ.bat" "%USERPROFILE%\AppData\Local\Temp\OnboardLogs"\RTDC4028\2017-09-20</v>
      </c>
      <c r="AF138" s="74" t="str">
        <f t="shared" si="45"/>
        <v>"C:\Program Files (x86)\AstroGrep\AstroGrep.exe" /e /r /s /spath="%USERPROFILE%\AppData\Local\Temp\OnboardLogs" /stypes="app*4028*20170920*" /stext=" 02:.+((SYSTEM_STATE.+slice.+state.+changed )|(ment ac)|(multiple cpu faults)|(system.+state.+changed )|(\[timeout)|(PRM\|1\|D)|(kpr)|(kdp)|(train st.+moving)|(\|lc)|(penalty))"</v>
      </c>
      <c r="AG138" s="182" t="str">
        <f t="shared" si="46"/>
        <v>EC</v>
      </c>
      <c r="AH138" s="78" t="str">
        <f t="shared" si="47"/>
        <v>"%USERPROFILE%\Documents\GitHub\eaglep3\Utilities\RefineRTDCRunTimes.py" --tripid 223-19 --locoid 4028 --swversion DE.1.0.9.0 --startMP 204:431 --initTime 2017-09-19T19:26:30 --startdatetime 2017-09-19T19:30:27 --delay 56 --endMP 204:233311 --enddatetime 2017-09-19T20:05:46 --enforcementcount 0 &gt;&gt;C:\Users\stu\Documents\GitHub\eaglep3-reporting\EC\2017-09-19-refined-times.txt</v>
      </c>
      <c r="AI138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{"issue":{"subject":"","project_id":79,"tracker_id":40,"status_id":1,"priority_id":2,"assigned_to_id":338,"start_date":"2017-09-19","description":"","custom_fields":[{"id":1,"name":"Subdivision","value":"EC"},{"id":4,"name":"Milepost","value":"23.3311"},{"id":17,"name":"Train ID","value":"223-19"},{"id":16,"name":"Locomotive ID","value":"4028"},{"id":130,"name":"Impact","value":""},{"id":150,"name":"Time of Event (Mountain Time)","value":"20:05:46"},{"id":151,"name":"Denver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9"/>
        <v>start /low /b %USERPROFILE%\Documents\GitHub\eaglep3\Utilities\DownloadLogsFromS3.py --loco 4028 --day 2017-09-19</v>
      </c>
      <c r="AN138" s="151" t="str">
        <f t="shared" si="5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02:05:46"},{"id":29,"name":"Sharepoint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51"/>
        <v>https://d0f6bd738d7f1b3e5a7ca70fe4ff75f0.us-east-1.aws.found.io/app/kibana#/discover/Steve-Slow-Train-Analysis-(2080s-and-2083s)?_g=(refreshInterval:(display:Off,pause:!f,section:0,value:0),time:(from:'2017-09-19T18:26:30-0600',mode:absolute,to:'2017-09-19T21:05:46-0600'))&amp;_a=(columns:!('Message%20ID',Summary),filters:!(),index:'emp_*',interval:auto,query:(query_string:(analyze_wildcard:!t,query:'Message%5C+ID:(*)+AND+%22rtdc.l.rtdc.4028%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830</v>
      </c>
      <c r="B139" s="7">
        <v>4027</v>
      </c>
      <c r="C139" s="21" t="s">
        <v>197</v>
      </c>
      <c r="D139" s="21" t="s">
        <v>427</v>
      </c>
      <c r="E139" s="13">
        <v>42997.850416666668</v>
      </c>
      <c r="F139" s="13">
        <v>42997.852453703701</v>
      </c>
      <c r="G139" s="7">
        <v>58</v>
      </c>
      <c r="H139" s="21" t="s">
        <v>869</v>
      </c>
      <c r="I139" s="13">
        <v>42997.877569444441</v>
      </c>
      <c r="J139" s="7">
        <v>0</v>
      </c>
      <c r="K139" s="89" t="str">
        <f t="shared" si="37"/>
        <v>4027/4028</v>
      </c>
      <c r="L139" s="185" t="str">
        <f>VLOOKUP(A139,'Trips&amp;Operators'!$C$1:$G$99911,5,FALSE)</f>
        <v>LOZA FIDEL</v>
      </c>
      <c r="M139" s="6">
        <f t="shared" si="38"/>
        <v>2.5115740740147885E-2</v>
      </c>
      <c r="N139" s="7">
        <f t="shared" si="57"/>
        <v>36.166666665812954</v>
      </c>
      <c r="O139" s="7"/>
      <c r="P139" s="7"/>
      <c r="Q139" s="22"/>
      <c r="R139" s="174"/>
      <c r="S139" s="221">
        <f t="shared" si="58"/>
        <v>1</v>
      </c>
      <c r="T139" s="174" t="str">
        <f t="shared" si="39"/>
        <v>Southbound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40"/>
        <v>https://d0f6bd738d7f1b3e5a7ca70fe4ff75f0.us-east-1.aws.found.io/app/kibana#/discover/Steve-Slow-Train-Analysis-(2080s-and-2083s)?_g=(refreshInterval:(display:Off,pause:!f,section:0,value:0),time:(from:'2017-09-19T19:24:36-0600',mode:absolute,to:'2017-09-19T22:03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9" s="204" t="str">
        <f>IF(AA139&lt;VLOOKUP(AG139,Variables!$AC$3:$AD$8,2,FALSE),"Y","N")</f>
        <v>N</v>
      </c>
      <c r="X139" s="204">
        <f t="shared" si="56"/>
        <v>1</v>
      </c>
      <c r="Y139" s="204">
        <f t="shared" si="59"/>
        <v>23.297999999999998</v>
      </c>
      <c r="Z139" s="204">
        <f t="shared" si="60"/>
        <v>1.6500000000000001E-2</v>
      </c>
      <c r="AA139" s="204">
        <f t="shared" si="42"/>
        <v>23.281499999999998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 t="shared" si="43"/>
        <v>224</v>
      </c>
      <c r="AE139" s="77" t="str">
        <f t="shared" si="44"/>
        <v>aws s3 cp s3://rtdc.mdm.uploadarchive.raw/RTDC4027/ "%USERPROFILE%\AppData\Local\Temp\OnboardLogs"\RTDC4027\2017-09-19 --exclude "*" --recursive --include "*20170919*" &amp; "%USERPROFILE%\Documents\GitHub\mrs-test-scripts\Headless Mode &amp; Sideloading\WalkAndUnGZ.bat" "%USERPROFILE%\AppData\Local\Temp\OnboardLogs"\RTDC4027\2017-09-19 &amp; aws s3 cp s3://rtdc.mdm.uploadarchive.raw/RTDC4027/ "%USERPROFILE%\AppData\Local\Temp\OnboardLogs"\RTDC4027\2017-09-20 --exclude "*" --recursive --include "*20170920*" &amp; "%USERPROFILE%\Documents\GitHub\mrs-test-scripts\Headless Mode &amp; Sideloading\WalkAndUnGZ.bat" "%USERPROFILE%\AppData\Local\Temp\OnboardLogs"\RTDC4027\2017-09-20</v>
      </c>
      <c r="AF139" s="74" t="str">
        <f t="shared" si="45"/>
        <v>"C:\Program Files (x86)\AstroGrep\AstroGrep.exe" /e /r /s /spath="%USERPROFILE%\AppData\Local\Temp\OnboardLogs" /stypes="app*4027*20170920*" /stext=" 03:.+((SYSTEM_STATE.+slice.+state.+changed )|(ment ac)|(multiple cpu faults)|(system.+state.+changed )|(\[timeout)|(PRM\|1\|D)|(kpr)|(kdp)|(train st.+moving)|(\|lc)|(penalty))"</v>
      </c>
      <c r="AG139" s="182" t="str">
        <f t="shared" si="46"/>
        <v>EC</v>
      </c>
      <c r="AH139" s="78" t="str">
        <f t="shared" si="47"/>
        <v>"%USERPROFILE%\Documents\GitHub\eaglep3\Utilities\RefineRTDCRunTimes.py" --tripid 224-19 --locoid 4027 --swversion DE.1.0.9.0 --startMP 204:232980 --initTime 2017-09-19T20:24:36 --startdatetime 2017-09-19T20:27:32 --delay 58 --endMP 204:165 --enddatetime 2017-09-19T21:03:42 --enforcementcount 0 &gt;&gt;C:\Users\stu\Documents\GitHub\eaglep3-reporting\EC\2017-09-19-refined-times.txt</v>
      </c>
      <c r="AI139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{"issue":{"subject":"","project_id":79,"tracker_id":40,"status_id":1,"priority_id":2,"assigned_to_id":338,"start_date":"2017-09-19","description":"","custom_fields":[{"id":1,"name":"Subdivision","value":"EC"},{"id":4,"name":"Milepost","value":"0.0165"},{"id":17,"name":"Train ID","value":"224-19"},{"id":16,"name":"Locomotive ID","value":"4027"},{"id":130,"name":"Impact","value":""},{"id":150,"name":"Time of Event (Mountain Time)","value":"21:03:42"},{"id":151,"name":"Denver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9"/>
        <v>start /low /b %USERPROFILE%\Documents\GitHub\eaglep3\Utilities\DownloadLogsFromS3.py --loco 4027 --day 2017-09-19</v>
      </c>
      <c r="AN139" s="151" t="str">
        <f t="shared" si="5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03:03:42"},{"id":29,"name":"Sharepoint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51"/>
        <v>https://d0f6bd738d7f1b3e5a7ca70fe4ff75f0.us-east-1.aws.found.io/app/kibana#/discover/Steve-Slow-Train-Analysis-(2080s-and-2083s)?_g=(refreshInterval:(display:Off,pause:!f,section:0,value:0),time:(from:'2017-09-19T19:24:36-0600',mode:absolute,to:'2017-09-19T22:03:42-0600'))&amp;_a=(columns:!('Message%20ID',Summary),filters:!(),index:'emp_*',interval:auto,query:(query_string:(analyze_wildcard:!t,query:'Message%5C+ID:(*)+AND+%22rtdc.l.rtdc.4027%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828</v>
      </c>
      <c r="B140" s="7">
        <v>4056</v>
      </c>
      <c r="C140" s="21" t="s">
        <v>197</v>
      </c>
      <c r="D140" s="21" t="s">
        <v>349</v>
      </c>
      <c r="E140" s="13">
        <v>42997.830254629633</v>
      </c>
      <c r="F140" s="13">
        <v>42997.833541666667</v>
      </c>
      <c r="G140" s="7">
        <v>54</v>
      </c>
      <c r="H140" s="21" t="s">
        <v>514</v>
      </c>
      <c r="I140" s="13">
        <v>42997.858472222222</v>
      </c>
      <c r="J140" s="7">
        <v>0</v>
      </c>
      <c r="K140" s="89" t="str">
        <f t="shared" si="37"/>
        <v>4055/4056</v>
      </c>
      <c r="L140" s="185" t="str">
        <f>VLOOKUP(A140,'Trips&amp;Operators'!$C$1:$G$99911,5,FALSE)</f>
        <v>PERKINS DARREN</v>
      </c>
      <c r="M140" s="6">
        <f t="shared" si="38"/>
        <v>2.4930555555329192E-2</v>
      </c>
      <c r="N140" s="7">
        <f t="shared" si="57"/>
        <v>35.899999999674037</v>
      </c>
      <c r="O140" s="7"/>
      <c r="P140" s="7"/>
      <c r="Q140" s="22"/>
      <c r="R140" s="174"/>
      <c r="S140" s="221">
        <f t="shared" si="58"/>
        <v>1</v>
      </c>
      <c r="T140" s="174" t="str">
        <f t="shared" si="39"/>
        <v>NorthBound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40"/>
        <v>https://d0f6bd738d7f1b3e5a7ca70fe4ff75f0.us-east-1.aws.found.io/app/kibana#/discover/Steve-Slow-Train-Analysis-(2080s-and-2083s)?_g=(refreshInterval:(display:Off,pause:!f,section:0,value:0),time:(from:'2017-09-19T18:55:34-0600',mode:absolute,to:'2017-09-19T21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0" s="204" t="str">
        <f>IF(AA140&lt;VLOOKUP(AG140,Variables!$AC$3:$AD$8,2,FALSE),"Y","N")</f>
        <v>N</v>
      </c>
      <c r="X140" s="204">
        <f t="shared" si="56"/>
        <v>1</v>
      </c>
      <c r="Y140" s="204">
        <f t="shared" si="59"/>
        <v>4.5499999999999999E-2</v>
      </c>
      <c r="Z140" s="204">
        <f t="shared" si="60"/>
        <v>23.331800000000001</v>
      </c>
      <c r="AA140" s="204">
        <f t="shared" si="42"/>
        <v>23.286300000000001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 t="shared" si="43"/>
        <v>225</v>
      </c>
      <c r="AE140" s="77" t="str">
        <f t="shared" si="44"/>
        <v>aws s3 cp s3://rtdc.mdm.uploadarchive.raw/RTDC4056/ "%USERPROFILE%\AppData\Local\Temp\OnboardLogs"\RTDC4056\2017-09-19 --exclude "*" --recursive --include "*20170919*" &amp; "%USERPROFILE%\Documents\GitHub\mrs-test-scripts\Headless Mode &amp; Sideloading\WalkAndUnGZ.bat" "%USERPROFILE%\AppData\Local\Temp\OnboardLogs"\RTDC4056\2017-09-19 &amp; aws s3 cp s3://rtdc.mdm.uploadarchive.raw/RTDC4056/ "%USERPROFILE%\AppData\Local\Temp\OnboardLogs"\RTDC4056\2017-09-20 --exclude "*" --recursive --include "*20170920*" &amp; "%USERPROFILE%\Documents\GitHub\mrs-test-scripts\Headless Mode &amp; Sideloading\WalkAndUnGZ.bat" "%USERPROFILE%\AppData\Local\Temp\OnboardLogs"\RTDC4056\2017-09-20</v>
      </c>
      <c r="AF140" s="74" t="str">
        <f t="shared" si="45"/>
        <v>"C:\Program Files (x86)\AstroGrep\AstroGrep.exe" /e /r /s /spath="%USERPROFILE%\AppData\Local\Temp\OnboardLogs" /stypes="app*4056*20170920*" /stext=" 02:.+((SYSTEM_STATE.+slice.+state.+changed )|(ment ac)|(multiple cpu faults)|(system.+state.+changed )|(\[timeout)|(PRM\|1\|D)|(kpr)|(kdp)|(train st.+moving)|(\|lc)|(penalty))"</v>
      </c>
      <c r="AG140" s="182" t="str">
        <f t="shared" si="46"/>
        <v>EC</v>
      </c>
      <c r="AH140" s="78" t="str">
        <f t="shared" si="47"/>
        <v>"%USERPROFILE%\Documents\GitHub\eaglep3\Utilities\RefineRTDCRunTimes.py" --tripid 225-19 --locoid 4056 --swversion DE.1.0.9.0 --startMP 204:455 --initTime 2017-09-19T19:55:34 --startdatetime 2017-09-19T20:00:18 --delay 54 --endMP 204:233318 --enddatetime 2017-09-19T20:36:12 --enforcementcount 0 &gt;&gt;C:\Users\stu\Documents\GitHub\eaglep3-reporting\EC\2017-09-19-refined-times.txt</v>
      </c>
      <c r="AI140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{"issue":{"subject":"","project_id":79,"tracker_id":40,"status_id":1,"priority_id":2,"assigned_to_id":338,"start_date":"2017-09-19","description":"","custom_fields":[{"id":1,"name":"Subdivision","value":"EC"},{"id":4,"name":"Milepost","value":"23.3318"},{"id":17,"name":"Train ID","value":"225-19"},{"id":16,"name":"Locomotive ID","value":"4056"},{"id":130,"name":"Impact","value":""},{"id":150,"name":"Time of Event (Mountain Time)","value":"20:36:12"},{"id":151,"name":"Denver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9"/>
        <v>start /low /b %USERPROFILE%\Documents\GitHub\eaglep3\Utilities\DownloadLogsFromS3.py --loco 4056 --day 2017-09-19</v>
      </c>
      <c r="AN140" s="151" t="str">
        <f t="shared" si="5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02:36:12"},{"id":29,"name":"Sharepoint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51"/>
        <v>https://d0f6bd738d7f1b3e5a7ca70fe4ff75f0.us-east-1.aws.found.io/app/kibana#/discover/Steve-Slow-Train-Analysis-(2080s-and-2083s)?_g=(refreshInterval:(display:Off,pause:!f,section:0,value:0),time:(from:'2017-09-19T18:55:34-0600',mode:absolute,to:'2017-09-19T21:36:12-0600'))&amp;_a=(columns:!('Message%20ID',Summary),filters:!(),index:'emp_*',interval:auto,query:(query_string:(analyze_wildcard:!t,query:'Message%5C+ID:(*)+AND+%22rtdc.l.rtdc.4056%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833</v>
      </c>
      <c r="B141" s="7">
        <v>4055</v>
      </c>
      <c r="C141" s="21" t="s">
        <v>197</v>
      </c>
      <c r="D141" s="21" t="s">
        <v>580</v>
      </c>
      <c r="E141" s="13">
        <v>42997.860231481478</v>
      </c>
      <c r="F141" s="13">
        <v>42997.873090277775</v>
      </c>
      <c r="G141" s="7">
        <v>53</v>
      </c>
      <c r="H141" s="21" t="s">
        <v>900</v>
      </c>
      <c r="I141" s="13">
        <v>42997.89875</v>
      </c>
      <c r="J141" s="7">
        <v>0</v>
      </c>
      <c r="K141" s="89" t="str">
        <f t="shared" ref="K141:K204" si="61">IF(ISEVEN(B141),(B141-1)&amp;"/"&amp;B141,B141&amp;"/"&amp;(B141+1))</f>
        <v>4055/4056</v>
      </c>
      <c r="L141" s="185" t="str">
        <f>VLOOKUP(A141,'Trips&amp;Operators'!$C$1:$G$99911,5,FALSE)</f>
        <v>PERKINS DARREN</v>
      </c>
      <c r="M141" s="6">
        <f t="shared" ref="M141:M204" si="62">I141-F141</f>
        <v>2.5659722225100268E-2</v>
      </c>
      <c r="N141" s="7">
        <f t="shared" si="57"/>
        <v>36.950000004144385</v>
      </c>
      <c r="O141" s="7"/>
      <c r="P141" s="7"/>
      <c r="Q141" s="22"/>
      <c r="R141" s="174"/>
      <c r="S141" s="221">
        <f t="shared" si="58"/>
        <v>1</v>
      </c>
      <c r="T141" s="174" t="str">
        <f t="shared" ref="T141:T204" si="63">IF(ISEVEN(LEFT(AD141,4)),"Southbound","NorthBound")</f>
        <v>Southbound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4" si="6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-19T19:38:44-0600',mode:absolute,to:'2017-09-19T22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1" s="204" t="str">
        <f>IF(AA141&lt;VLOOKUP(AG141,Variables!$AC$3:$AD$8,2,FALSE),"Y","N")</f>
        <v>N</v>
      </c>
      <c r="X141" s="204">
        <f t="shared" ref="X141:X152" si="65">VALUE(LEFT(AD141,4))-VALUE(LEFT(AD140,4))</f>
        <v>1</v>
      </c>
      <c r="Y141" s="204">
        <f t="shared" si="59"/>
        <v>23.2988</v>
      </c>
      <c r="Z141" s="204">
        <f t="shared" si="60"/>
        <v>1.2500000000000001E-2</v>
      </c>
      <c r="AA141" s="204">
        <f t="shared" ref="AA141:AA204" si="66">ABS(Z141-Y141)</f>
        <v>23.286300000000001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 t="shared" ref="AD141:AD204" si="67">VALUE(LEFT(A141,LEN(A141)-3))</f>
        <v>226</v>
      </c>
      <c r="AE141" s="77" t="str">
        <f t="shared" ref="AE141:AE204" si="6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s3://rtdc.mdm.uploadarchive.raw/RTDC4055/ "%USERPROFILE%\AppData\Local\Temp\OnboardLogs"\RTDC4055\2017-09-19 --exclude "*" --recursive --include "*20170919*" &amp; "%USERPROFILE%\Documents\GitHub\mrs-test-scripts\Headless Mode &amp; Sideloading\WalkAndUnGZ.bat" "%USERPROFILE%\AppData\Local\Temp\OnboardLogs"\RTDC4055\2017-09-19 &amp; aws s3 cp s3://rtdc.mdm.uploadarchive.raw/RTDC4055/ "%USERPROFILE%\AppData\Local\Temp\OnboardLogs"\RTDC4055\2017-09-20 --exclude "*" --recursive --include "*20170920*" &amp; "%USERPROFILE%\Documents\GitHub\mrs-test-scripts\Headless Mode &amp; Sideloading\WalkAndUnGZ.bat" "%USERPROFILE%\AppData\Local\Temp\OnboardLogs"\RTDC4055\2017-09-20</v>
      </c>
      <c r="AF141" s="74" t="str">
        <f t="shared" ref="AF141:AF204" si="69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/stypes="app*4055*20170920*" /stext=" 03:.+((SYSTEM_STATE.+slice.+state.+changed )|(ment ac)|(multiple cpu faults)|(system.+state.+changed )|(\[timeout)|(PRM\|1\|D)|(kpr)|(kdp)|(train st.+moving)|(\|lc)|(penalty))"</v>
      </c>
      <c r="AG141" s="182" t="str">
        <f t="shared" ref="AG141:AG204" si="70">DetSubdiv(A141)</f>
        <v>EC</v>
      </c>
      <c r="AH141" s="78" t="str">
        <f t="shared" si="47"/>
        <v>"%USERPROFILE%\Documents\GitHub\eaglep3\Utilities\RefineRTDCRunTimes.py" --tripid 226-19 --locoid 4055 --swversion DE.1.0.9.0 --startMP 204:232988 --initTime 2017-09-19T20:38:44 --startdatetime 2017-09-19T20:57:15 --delay 53 --endMP 204:125 --enddatetime 2017-09-19T21:34:12 --enforcementcount 0 &gt;&gt;C:\Users\stu\Documents\GitHub\eaglep3-reporting\EC\2017-09-19-refined-times.txt</v>
      </c>
      <c r="AI141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{"issue":{"subject":"","project_id":79,"tracker_id":40,"status_id":1,"priority_id":2,"assigned_to_id":338,"start_date":"2017-09-19","description":"","custom_fields":[{"id":1,"name":"Subdivision","value":"EC"},{"id":4,"name":"Milepost","value":"0.0125"},{"id":17,"name":"Train ID","value":"226-19"},{"id":16,"name":"Locomotive ID","value":"4055"},{"id":130,"name":"Impact","value":""},{"id":150,"name":"Time of Event (Mountain Time)","value":"21:34:12"},{"id":151,"name":"Denver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9"/>
        <v>start /low /b %USERPROFILE%\Documents\GitHub\eaglep3\Utilities\DownloadLogsFromS3.py --loco 4055 --day 2017-09-19</v>
      </c>
      <c r="AN141" s="151" t="str">
        <f t="shared" si="5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03:34:12"},{"id":29,"name":"Sharepoint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51"/>
        <v>https://d0f6bd738d7f1b3e5a7ca70fe4ff75f0.us-east-1.aws.found.io/app/kibana#/discover/Steve-Slow-Train-Analysis-(2080s-and-2083s)?_g=(refreshInterval:(display:Off,pause:!f,section:0,value:0),time:(from:'2017-09-19T19:38:44-0600',mode:absolute,to:'2017-09-19T22:34:12-0600'))&amp;_a=(columns:!('Message%20ID',Summary),filters:!(),index:'emp_*',interval:auto,query:(query_string:(analyze_wildcard:!t,query:'Message%5C+ID:(*)+AND+%22rtdc.l.rtdc.4055%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831</v>
      </c>
      <c r="B142" s="7">
        <v>4030</v>
      </c>
      <c r="C142" s="21" t="s">
        <v>197</v>
      </c>
      <c r="D142" s="21" t="s">
        <v>435</v>
      </c>
      <c r="E142" s="13">
        <v>42997.851678240739</v>
      </c>
      <c r="F142" s="13">
        <v>42997.854699074072</v>
      </c>
      <c r="G142" s="7">
        <v>58</v>
      </c>
      <c r="H142" s="21" t="s">
        <v>451</v>
      </c>
      <c r="I142" s="13">
        <v>42997.879571759258</v>
      </c>
      <c r="J142" s="7">
        <v>0</v>
      </c>
      <c r="K142" s="89" t="str">
        <f t="shared" si="61"/>
        <v>4029/4030</v>
      </c>
      <c r="L142" s="185" t="str">
        <f>VLOOKUP(A142,'Trips&amp;Operators'!$C$1:$G$99911,5,FALSE)</f>
        <v>HART KEVIN</v>
      </c>
      <c r="M142" s="6">
        <f t="shared" si="62"/>
        <v>2.4872685185982846E-2</v>
      </c>
      <c r="N142" s="7">
        <f t="shared" si="57"/>
        <v>35.816666667815298</v>
      </c>
      <c r="O142" s="7"/>
      <c r="P142" s="7"/>
      <c r="Q142" s="22"/>
      <c r="R142" s="174"/>
      <c r="S142" s="221">
        <f t="shared" si="58"/>
        <v>1</v>
      </c>
      <c r="T142" s="174" t="str">
        <f t="shared" si="63"/>
        <v>NorthBound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64"/>
        <v>https://d0f6bd738d7f1b3e5a7ca70fe4ff75f0.us-east-1.aws.found.io/app/kibana#/discover/Steve-Slow-Train-Analysis-(2080s-and-2083s)?_g=(refreshInterval:(display:Off,pause:!f,section:0,value:0),time:(from:'2017-09-19T19:26:25-0600',mode:absolute,to:'2017-09-19T22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2" s="204" t="str">
        <f>IF(AA142&lt;VLOOKUP(AG142,Variables!$AC$3:$AD$8,2,FALSE),"Y","N")</f>
        <v>N</v>
      </c>
      <c r="X142" s="204">
        <f t="shared" si="65"/>
        <v>1</v>
      </c>
      <c r="Y142" s="204">
        <f t="shared" si="59"/>
        <v>4.4699999999999997E-2</v>
      </c>
      <c r="Z142" s="204">
        <f t="shared" si="60"/>
        <v>23.329899999999999</v>
      </c>
      <c r="AA142" s="204">
        <f t="shared" si="66"/>
        <v>23.2852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 t="shared" si="67"/>
        <v>227</v>
      </c>
      <c r="AE142" s="77" t="str">
        <f t="shared" si="68"/>
        <v>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 &amp; aws s3 cp s3://rtdc.mdm.uploadarchive.raw/RTDC4030/ "%USERPROFILE%\AppData\Local\Temp\OnboardLogs"\RTDC4030\2017-09-20 --exclude "*" --recursive --include "*20170920*" &amp; "%USERPROFILE%\Documents\GitHub\mrs-test-scripts\Headless Mode &amp; Sideloading\WalkAndUnGZ.bat" "%USERPROFILE%\AppData\Local\Temp\OnboardLogs"\RTDC4030\2017-09-20</v>
      </c>
      <c r="AF142" s="74" t="str">
        <f t="shared" si="69"/>
        <v>"C:\Program Files (x86)\AstroGrep\AstroGrep.exe" /e /r /s /spath="%USERPROFILE%\AppData\Local\Temp\OnboardLogs" /stypes="app*4030*20170920*" /stext=" 03:.+((SYSTEM_STATE.+slice.+state.+changed )|(ment ac)|(multiple cpu faults)|(system.+state.+changed )|(\[timeout)|(PRM\|1\|D)|(kpr)|(kdp)|(train st.+moving)|(\|lc)|(penalty))"</v>
      </c>
      <c r="AG142" s="182" t="str">
        <f t="shared" si="70"/>
        <v>EC</v>
      </c>
      <c r="AH142" s="78" t="str">
        <f t="shared" si="47"/>
        <v>"%USERPROFILE%\Documents\GitHub\eaglep3\Utilities\RefineRTDCRunTimes.py" --tripid 227-19 --locoid 4030 --swversion DE.1.0.9.0 --startMP 204:447 --initTime 2017-09-19T20:26:25 --startdatetime 2017-09-19T20:30:46 --delay 58 --endMP 204:233299 --enddatetime 2017-09-19T21:06:35 --enforcementcount 0 &gt;&gt;C:\Users\stu\Documents\GitHub\eaglep3-reporting\EC\2017-09-19-refined-times.txt</v>
      </c>
      <c r="AI142" s="96" t="str">
        <f t="shared" si="48"/>
        <v>echo {"issue":{"subject":"","project_id":79,"tracker_id":40,"status_id":1,"priority_id":2,"assigned_to_id":338,"start_date":"2017-09-19","description":"","custom_fields":[{"id":1,"name":"Subdivision","value":"EC"},{"id":4,"name":"Milepost","value":"23.3299"},{"id":17,"name":"Train ID","value":"227-19"},{"id":16,"name":"Locomotive ID","value":"4030"},{"id":130,"name":"Impact","value":""},{"id":150,"name":"Time of Event (Mountain Time)","value":"21:06:35"},{"id":151,"name":"Denver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49"/>
        <v>start /low /b %USERPROFILE%\Documents\GitHub\eaglep3\Utilities\DownloadLogsFromS3.py --loco 4030 --day 2017-09-19</v>
      </c>
      <c r="AN142" s="151" t="str">
        <f t="shared" si="5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03:06:35"},{"id":29,"name":"Sharepoint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51"/>
        <v>https://d0f6bd738d7f1b3e5a7ca70fe4ff75f0.us-east-1.aws.found.io/app/kibana#/discover/Steve-Slow-Train-Analysis-(2080s-and-2083s)?_g=(refreshInterval:(display:Off,pause:!f,section:0,value:0),time:(from:'2017-09-19T19:26:25-0600',mode:absolute,to:'2017-09-19T22:06:35-0600'))&amp;_a=(columns:!('Message%20ID',Summary),filters:!(),index:'emp_*',interval:auto,query:(query_string:(analyze_wildcard:!t,query:'Message%5C+ID:(*)+AND+%22rtdc.l.rtdc.4030%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839</v>
      </c>
      <c r="B143" s="7">
        <v>4029</v>
      </c>
      <c r="C143" s="21" t="s">
        <v>197</v>
      </c>
      <c r="D143" s="21" t="s">
        <v>571</v>
      </c>
      <c r="E143" s="13">
        <v>42997.890219907407</v>
      </c>
      <c r="F143" s="13">
        <v>42997.893946759257</v>
      </c>
      <c r="G143" s="7">
        <v>70</v>
      </c>
      <c r="H143" s="21" t="s">
        <v>414</v>
      </c>
      <c r="I143" s="13">
        <v>42997.919293981482</v>
      </c>
      <c r="J143" s="7">
        <v>0</v>
      </c>
      <c r="K143" s="89" t="str">
        <f t="shared" si="61"/>
        <v>4029/4030</v>
      </c>
      <c r="L143" s="185" t="str">
        <f>VLOOKUP(A143,'Trips&amp;Operators'!$C$1:$G$99911,5,FALSE)</f>
        <v>HART KEVIN</v>
      </c>
      <c r="M143" s="6">
        <f t="shared" si="62"/>
        <v>2.5347222224809229E-2</v>
      </c>
      <c r="N143" s="7">
        <f t="shared" ref="N143:N174" si="71">24*60*SUM($M143:$M143)</f>
        <v>36.50000000372529</v>
      </c>
      <c r="O143" s="7"/>
      <c r="P143" s="7"/>
      <c r="Q143" s="22"/>
      <c r="R143" s="174"/>
      <c r="S143" s="221">
        <f t="shared" ref="S143:S174" si="72">1/IF(AG143="EC",12,1)*SUM(U143:U143)</f>
        <v>1</v>
      </c>
      <c r="T143" s="174" t="str">
        <f t="shared" si="63"/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64"/>
        <v>https://d0f6bd738d7f1b3e5a7ca70fe4ff75f0.us-east-1.aws.found.io/app/kibana#/discover/Steve-Slow-Train-Analysis-(2080s-and-2083s)?_g=(refreshInterval:(display:Off,pause:!f,section:0,value:0),time:(from:'2017-09-19T20:21:55-0600',mode:absolute,to:'2017-09-19T23:03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3" s="204" t="str">
        <f>IF(AA143&lt;VLOOKUP(AG143,Variables!$AC$3:$AD$8,2,FALSE),"Y","N")</f>
        <v>N</v>
      </c>
      <c r="X143" s="204">
        <f t="shared" si="65"/>
        <v>1</v>
      </c>
      <c r="Y143" s="204">
        <f t="shared" si="59"/>
        <v>23.298400000000001</v>
      </c>
      <c r="Z143" s="204">
        <f t="shared" si="60"/>
        <v>1.6299999999999999E-2</v>
      </c>
      <c r="AA143" s="204">
        <f t="shared" si="66"/>
        <v>23.2821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 t="shared" si="67"/>
        <v>228</v>
      </c>
      <c r="AE143" s="77" t="str">
        <f t="shared" si="68"/>
        <v>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 &amp; aws s3 cp s3://rtdc.mdm.uploadarchive.raw/RTDC4029/ "%USERPROFILE%\AppData\Local\Temp\OnboardLogs"\RTDC4029\2017-09-20 --exclude "*" --recursive --include "*20170920*" &amp; "%USERPROFILE%\Documents\GitHub\mrs-test-scripts\Headless Mode &amp; Sideloading\WalkAndUnGZ.bat" "%USERPROFILE%\AppData\Local\Temp\OnboardLogs"\RTDC4029\2017-09-20</v>
      </c>
      <c r="AF143" s="74" t="str">
        <f t="shared" si="69"/>
        <v>"C:\Program Files (x86)\AstroGrep\AstroGrep.exe" /e /r /s /spath="%USERPROFILE%\AppData\Local\Temp\OnboardLogs" /stypes="app*4029*20170920*" /stext=" 04:.+((SYSTEM_STATE.+slice.+state.+changed )|(ment ac)|(multiple cpu faults)|(system.+state.+changed )|(\[timeout)|(PRM\|1\|D)|(kpr)|(kdp)|(train st.+moving)|(\|lc)|(penalty))"</v>
      </c>
      <c r="AG143" s="182" t="str">
        <f t="shared" si="70"/>
        <v>EC</v>
      </c>
      <c r="AH143" s="78" t="str">
        <f t="shared" ref="AH143:AH208" si="73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228-19 --locoid 4029 --swversion DE.1.0.9.0 --startMP 204:232984 --initTime 2017-09-19T21:21:55 --startdatetime 2017-09-19T21:27:17 --delay 70 --endMP 204:163 --enddatetime 2017-09-19T22:03:47 --enforcementcount 0 &gt;&gt;C:\Users\stu\Documents\GitHub\eaglep3-reporting\EC\2017-09-19-refined-times.txt</v>
      </c>
      <c r="AI143" s="96" t="str">
        <f t="shared" ref="AI143:AI208" si="74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{"issue":{"subject":"","project_id":79,"tracker_id":40,"status_id":1,"priority_id":2,"assigned_to_id":338,"start_date":"2017-09-19","description":"","custom_fields":[{"id":1,"name":"Subdivision","value":"EC"},{"id":4,"name":"Milepost","value":"0.0163"},{"id":17,"name":"Train ID","value":"228-19"},{"id":16,"name":"Locomotive ID","value":"4029"},{"id":130,"name":"Impact","value":""},{"id":150,"name":"Time of Event (Mountain Time)","value":"22:03:47"},{"id":151,"name":"Denver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ref="AM143:AM208" si="75">"start /low /b "&amp;dls3logs&amp;" --loco "&amp;B143&amp;" --day "&amp;TEXT(F143,"YYYY-MM-DD")</f>
        <v>start /low /b %USERPROFILE%\Documents\GitHub\eaglep3\Utilities\DownloadLogsFromS3.py --loco 4029 --day 2017-09-19</v>
      </c>
      <c r="AN143" s="151" t="str">
        <f t="shared" ref="AN143:AN208" si="76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04:03:47"},{"id":29,"name":"Sharepoint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ref="AO143:AO208" si="77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Message%5C+ID:(*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-09-19T20:21:55-0600',mode:absolute,to:'2017-09-19T23:03:47-0600'))&amp;_a=(columns:!('Message%20ID',Summary),filters:!(),index:'emp_*',interval:auto,query:(query_string:(analyze_wildcard:!t,query:'Message%5C+ID:(*)+AND+%22rtdc.l.rtdc.4029%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834</v>
      </c>
      <c r="B144" s="7">
        <v>4050</v>
      </c>
      <c r="C144" s="21" t="s">
        <v>197</v>
      </c>
      <c r="D144" s="21" t="s">
        <v>341</v>
      </c>
      <c r="E144" s="13">
        <v>42997.860972222225</v>
      </c>
      <c r="F144" s="13">
        <v>42997.875231481485</v>
      </c>
      <c r="G144" s="7">
        <v>78</v>
      </c>
      <c r="H144" s="21" t="s">
        <v>436</v>
      </c>
      <c r="I144" s="13">
        <v>42997.900810185187</v>
      </c>
      <c r="J144" s="7">
        <v>0</v>
      </c>
      <c r="K144" s="89" t="str">
        <f t="shared" si="61"/>
        <v>4049/4050</v>
      </c>
      <c r="L144" s="185" t="str">
        <f>VLOOKUP(A144,'Trips&amp;Operators'!$C$1:$G$99911,5,FALSE)</f>
        <v>BIRKHOLZ NADINE</v>
      </c>
      <c r="M144" s="6">
        <f t="shared" si="62"/>
        <v>2.5578703702194616E-2</v>
      </c>
      <c r="N144" s="7">
        <f t="shared" si="71"/>
        <v>36.833333331160247</v>
      </c>
      <c r="O144" s="7"/>
      <c r="P144" s="7"/>
      <c r="Q144" s="22"/>
      <c r="R144" s="174"/>
      <c r="S144" s="221">
        <f t="shared" si="72"/>
        <v>1</v>
      </c>
      <c r="T144" s="174" t="str">
        <f t="shared" si="63"/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64"/>
        <v>https://d0f6bd738d7f1b3e5a7ca70fe4ff75f0.us-east-1.aws.found.io/app/kibana#/discover/Steve-Slow-Train-Analysis-(2080s-and-2083s)?_g=(refreshInterval:(display:Off,pause:!f,section:0,value:0),time:(from:'2017-09-19T19:39:48-0600',mode:absolute,to:'2017-09-19T22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4" s="204" t="str">
        <f>IF(AA144&lt;VLOOKUP(AG144,Variables!$AC$3:$AD$8,2,FALSE),"Y","N")</f>
        <v>N</v>
      </c>
      <c r="X144" s="204">
        <f t="shared" si="65"/>
        <v>1</v>
      </c>
      <c r="Y144" s="204">
        <f t="shared" si="59"/>
        <v>4.53E-2</v>
      </c>
      <c r="Z144" s="204">
        <f t="shared" si="60"/>
        <v>23.3293</v>
      </c>
      <c r="AA144" s="204">
        <f t="shared" si="66"/>
        <v>23.283999999999999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 t="shared" si="67"/>
        <v>229</v>
      </c>
      <c r="AE144" s="77" t="str">
        <f t="shared" si="68"/>
        <v>aws s3 cp s3://rtdc.mdm.uploadarchive.raw/RTDC4050/ "%USERPROFILE%\AppData\Local\Temp\OnboardLogs"\RTDC4050\2017-09-19 --exclude "*" --recursive --include "*20170919*" &amp; "%USERPROFILE%\Documents\GitHub\mrs-test-scripts\Headless Mode &amp; Sideloading\WalkAndUnGZ.bat" "%USERPROFILE%\AppData\Local\Temp\OnboardLogs"\RTDC4050\2017-09-19 &amp; aws s3 cp s3://rtdc.mdm.uploadarchive.raw/RTDC4050/ "%USERPROFILE%\AppData\Local\Temp\OnboardLogs"\RTDC4050\2017-09-20 --exclude "*" --recursive --include "*20170920*" &amp; "%USERPROFILE%\Documents\GitHub\mrs-test-scripts\Headless Mode &amp; Sideloading\WalkAndUnGZ.bat" "%USERPROFILE%\AppData\Local\Temp\OnboardLogs"\RTDC4050\2017-09-20</v>
      </c>
      <c r="AF144" s="74" t="str">
        <f t="shared" si="69"/>
        <v>"C:\Program Files (x86)\AstroGrep\AstroGrep.exe" /e /r /s /spath="%USERPROFILE%\AppData\Local\Temp\OnboardLogs" /stypes="app*4050*20170920*" /stext=" 03:.+((SYSTEM_STATE.+slice.+state.+changed )|(ment ac)|(multiple cpu faults)|(system.+state.+changed )|(\[timeout)|(PRM\|1\|D)|(kpr)|(kdp)|(train st.+moving)|(\|lc)|(penalty))"</v>
      </c>
      <c r="AG144" s="182" t="str">
        <f t="shared" si="70"/>
        <v>EC</v>
      </c>
      <c r="AH144" s="78" t="str">
        <f t="shared" si="73"/>
        <v>"%USERPROFILE%\Documents\GitHub\eaglep3\Utilities\RefineRTDCRunTimes.py" --tripid 229-19 --locoid 4050 --swversion DE.1.0.9.0 --startMP 204:453 --initTime 2017-09-19T20:39:48 --startdatetime 2017-09-19T21:00:20 --delay 78 --endMP 204:233293 --enddatetime 2017-09-19T21:37:10 --enforcementcount 0 &gt;&gt;C:\Users\stu\Documents\GitHub\eaglep3-reporting\EC\2017-09-19-refined-times.txt</v>
      </c>
      <c r="AI144" s="96" t="str">
        <f t="shared" si="74"/>
        <v>echo {"issue":{"subject":"","project_id":79,"tracker_id":40,"status_id":1,"priority_id":2,"assigned_to_id":338,"start_date":"2017-09-19","description":"","custom_fields":[{"id":1,"name":"Subdivision","value":"EC"},{"id":4,"name":"Milepost","value":"23.3293"},{"id":17,"name":"Train ID","value":"229-19"},{"id":16,"name":"Locomotive ID","value":"4050"},{"id":130,"name":"Impact","value":""},{"id":150,"name":"Time of Event (Mountain Time)","value":"21:37:10"},{"id":151,"name":"Denver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75"/>
        <v>start /low /b %USERPROFILE%\Documents\GitHub\eaglep3\Utilities\DownloadLogsFromS3.py --loco 4050 --day 2017-09-19</v>
      </c>
      <c r="AN144" s="151" t="str">
        <f t="shared" si="76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03:37:10"},{"id":29,"name":"Sharepoint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77"/>
        <v>https://d0f6bd738d7f1b3e5a7ca70fe4ff75f0.us-east-1.aws.found.io/app/kibana#/discover/Steve-Slow-Train-Analysis-(2080s-and-2083s)?_g=(refreshInterval:(display:Off,pause:!f,section:0,value:0),time:(from:'2017-09-19T19:39:48-0600',mode:absolute,to:'2017-09-19T22:37:10-0600'))&amp;_a=(columns:!('Message%20ID',Summary),filters:!(),index:'emp_*',interval:auto,query:(query_string:(analyze_wildcard:!t,query:'Message%5C+ID:(*)+AND+%22rtdc.l.rtdc.4050%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842</v>
      </c>
      <c r="B145" s="7">
        <v>4049</v>
      </c>
      <c r="C145" s="21" t="s">
        <v>197</v>
      </c>
      <c r="D145" s="21" t="s">
        <v>517</v>
      </c>
      <c r="E145" s="13">
        <v>42997.90997685185</v>
      </c>
      <c r="F145" s="13">
        <v>42997.914814814816</v>
      </c>
      <c r="G145" s="7">
        <v>64</v>
      </c>
      <c r="H145" s="21" t="s">
        <v>365</v>
      </c>
      <c r="I145" s="13">
        <v>42997.94190972222</v>
      </c>
      <c r="J145" s="7">
        <v>0</v>
      </c>
      <c r="K145" s="89" t="str">
        <f t="shared" si="61"/>
        <v>4049/4050</v>
      </c>
      <c r="L145" s="185" t="str">
        <f>VLOOKUP(A145,'Trips&amp;Operators'!$C$1:$G$99911,5,FALSE)</f>
        <v>BIRKHOLZ NADINE</v>
      </c>
      <c r="M145" s="6">
        <f t="shared" si="62"/>
        <v>2.7094907403807156E-2</v>
      </c>
      <c r="N145" s="7">
        <f t="shared" si="71"/>
        <v>39.016666661482304</v>
      </c>
      <c r="O145" s="7"/>
      <c r="P145" s="7"/>
      <c r="Q145" s="22"/>
      <c r="R145" s="174"/>
      <c r="S145" s="221">
        <f t="shared" si="72"/>
        <v>1</v>
      </c>
      <c r="T145" s="174" t="str">
        <f t="shared" si="63"/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64"/>
        <v>https://d0f6bd738d7f1b3e5a7ca70fe4ff75f0.us-east-1.aws.found.io/app/kibana#/discover/Steve-Slow-Train-Analysis-(2080s-and-2083s)?_g=(refreshInterval:(display:Off,pause:!f,section:0,value:0),time:(from:'2017-09-19T20:50:22-0600',mode:absolute,to:'2017-09-19T23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5" s="204" t="str">
        <f>IF(AA145&lt;VLOOKUP(AG145,Variables!$AC$3:$AD$8,2,FALSE),"Y","N")</f>
        <v>N</v>
      </c>
      <c r="X145" s="204">
        <f t="shared" si="65"/>
        <v>1</v>
      </c>
      <c r="Y145" s="204">
        <f t="shared" si="59"/>
        <v>23.297499999999999</v>
      </c>
      <c r="Z145" s="204">
        <f t="shared" si="60"/>
        <v>1.38E-2</v>
      </c>
      <c r="AA145" s="204">
        <f t="shared" si="66"/>
        <v>23.2837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 t="shared" si="67"/>
        <v>230</v>
      </c>
      <c r="AE145" s="77" t="str">
        <f t="shared" si="68"/>
        <v>aws s3 cp s3://rtdc.mdm.uploadarchive.raw/RTDC4049/ "%USERPROFILE%\AppData\Local\Temp\OnboardLogs"\RTDC4049\2017-09-19 --exclude "*" --recursive --include "*20170919*" &amp; "%USERPROFILE%\Documents\GitHub\mrs-test-scripts\Headless Mode &amp; Sideloading\WalkAndUnGZ.bat" "%USERPROFILE%\AppData\Local\Temp\OnboardLogs"\RTDC4049\2017-09-19 &amp; aws s3 cp s3://rtdc.mdm.uploadarchive.raw/RTDC4049/ "%USERPROFILE%\AppData\Local\Temp\OnboardLogs"\RTDC4049\2017-09-20 --exclude "*" --recursive --include "*20170920*" &amp; "%USERPROFILE%\Documents\GitHub\mrs-test-scripts\Headless Mode &amp; Sideloading\WalkAndUnGZ.bat" "%USERPROFILE%\AppData\Local\Temp\OnboardLogs"\RTDC4049\2017-09-20</v>
      </c>
      <c r="AF145" s="74" t="str">
        <f t="shared" si="69"/>
        <v>"C:\Program Files (x86)\AstroGrep\AstroGrep.exe" /e /r /s /spath="%USERPROFILE%\AppData\Local\Temp\OnboardLogs" /stypes="app*4049*20170920*" /stext=" 04:.+((SYSTEM_STATE.+slice.+state.+changed )|(ment ac)|(multiple cpu faults)|(system.+state.+changed )|(\[timeout)|(PRM\|1\|D)|(kpr)|(kdp)|(train st.+moving)|(\|lc)|(penalty))"</v>
      </c>
      <c r="AG145" s="182" t="str">
        <f t="shared" si="70"/>
        <v>EC</v>
      </c>
      <c r="AH145" s="78" t="str">
        <f t="shared" si="73"/>
        <v>"%USERPROFILE%\Documents\GitHub\eaglep3\Utilities\RefineRTDCRunTimes.py" --tripid 230-19 --locoid 4049 --swversion DE.1.0.9.0 --startMP 204:232975 --initTime 2017-09-19T21:50:22 --startdatetime 2017-09-19T21:57:20 --delay 64 --endMP 204:138 --enddatetime 2017-09-19T22:36:21 --enforcementcount 0 &gt;&gt;C:\Users\stu\Documents\GitHub\eaglep3-reporting\EC\2017-09-19-refined-times.txt</v>
      </c>
      <c r="AI145" s="96" t="str">
        <f t="shared" si="74"/>
        <v>echo {"issue":{"subject":"","project_id":79,"tracker_id":40,"status_id":1,"priority_id":2,"assigned_to_id":338,"start_date":"2017-09-19","description":"","custom_fields":[{"id":1,"name":"Subdivision","value":"EC"},{"id":4,"name":"Milepost","value":"0.0138"},{"id":17,"name":"Train ID","value":"230-19"},{"id":16,"name":"Locomotive ID","value":"4049"},{"id":130,"name":"Impact","value":""},{"id":150,"name":"Time of Event (Mountain Time)","value":"22:36:21"},{"id":151,"name":"Denver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75"/>
        <v>start /low /b %USERPROFILE%\Documents\GitHub\eaglep3\Utilities\DownloadLogsFromS3.py --loco 4049 --day 2017-09-19</v>
      </c>
      <c r="AN145" s="151" t="str">
        <f t="shared" si="76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04:36:21"},{"id":29,"name":"Sharepoint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77"/>
        <v>https://d0f6bd738d7f1b3e5a7ca70fe4ff75f0.us-east-1.aws.found.io/app/kibana#/discover/Steve-Slow-Train-Analysis-(2080s-and-2083s)?_g=(refreshInterval:(display:Off,pause:!f,section:0,value:0),time:(from:'2017-09-19T20:50:22-0600',mode:absolute,to:'2017-09-19T23:36:21-0600'))&amp;_a=(columns:!('Message%20ID',Summary),filters:!(),index:'emp_*',interval:auto,query:(query_string:(analyze_wildcard:!t,query:'Message%5C+ID:(*)+AND+%22rtdc.l.rtdc.4049%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838</v>
      </c>
      <c r="B146" s="7">
        <v>4028</v>
      </c>
      <c r="C146" s="21" t="s">
        <v>197</v>
      </c>
      <c r="D146" s="21" t="s">
        <v>570</v>
      </c>
      <c r="E146" s="13">
        <v>42997.883645833332</v>
      </c>
      <c r="F146" s="13">
        <v>42997.896018518521</v>
      </c>
      <c r="G146" s="7">
        <v>66</v>
      </c>
      <c r="H146" s="21" t="s">
        <v>492</v>
      </c>
      <c r="I146" s="13">
        <v>42997.920555555553</v>
      </c>
      <c r="J146" s="7">
        <v>0</v>
      </c>
      <c r="K146" s="89" t="str">
        <f t="shared" si="61"/>
        <v>4027/4028</v>
      </c>
      <c r="L146" s="185" t="str">
        <f>VLOOKUP(A146,'Trips&amp;Operators'!$C$1:$G$99911,5,FALSE)</f>
        <v>LOZA FIDEL</v>
      </c>
      <c r="M146" s="6">
        <f t="shared" si="62"/>
        <v>2.4537037032132503E-2</v>
      </c>
      <c r="N146" s="7">
        <f t="shared" si="71"/>
        <v>35.333333326270804</v>
      </c>
      <c r="O146" s="7"/>
      <c r="P146" s="7"/>
      <c r="Q146" s="22"/>
      <c r="R146" s="174"/>
      <c r="S146" s="221">
        <f t="shared" si="72"/>
        <v>1</v>
      </c>
      <c r="T146" s="174" t="str">
        <f t="shared" si="63"/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64"/>
        <v>https://d0f6bd738d7f1b3e5a7ca70fe4ff75f0.us-east-1.aws.found.io/app/kibana#/discover/Steve-Slow-Train-Analysis-(2080s-and-2083s)?_g=(refreshInterval:(display:Off,pause:!f,section:0,value:0),time:(from:'2017-09-19T20:12:27-0600',mode:absolute,to:'2017-09-19T23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6" s="204" t="str">
        <f>IF(AA146&lt;VLOOKUP(AG146,Variables!$AC$3:$AD$8,2,FALSE),"Y","N")</f>
        <v>N</v>
      </c>
      <c r="X146" s="204">
        <f t="shared" si="65"/>
        <v>1</v>
      </c>
      <c r="Y146" s="204">
        <f t="shared" si="59"/>
        <v>4.8000000000000001E-2</v>
      </c>
      <c r="Z146" s="204">
        <f t="shared" si="60"/>
        <v>23.3325</v>
      </c>
      <c r="AA146" s="204">
        <f t="shared" si="66"/>
        <v>23.284500000000001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 t="shared" si="67"/>
        <v>231</v>
      </c>
      <c r="AE146" s="77" t="str">
        <f t="shared" si="68"/>
        <v>aws s3 cp s3://rtdc.mdm.uploadarchive.raw/RTDC4028/ "%USERPROFILE%\AppData\Local\Temp\OnboardLogs"\RTDC4028\2017-09-19 --exclude "*" --recursive --include "*20170919*" &amp; "%USERPROFILE%\Documents\GitHub\mrs-test-scripts\Headless Mode &amp; Sideloading\WalkAndUnGZ.bat" "%USERPROFILE%\AppData\Local\Temp\OnboardLogs"\RTDC4028\2017-09-19 &amp; aws s3 cp s3://rtdc.mdm.uploadarchive.raw/RTDC4028/ "%USERPROFILE%\AppData\Local\Temp\OnboardLogs"\RTDC4028\2017-09-20 --exclude "*" --recursive --include "*20170920*" &amp; "%USERPROFILE%\Documents\GitHub\mrs-test-scripts\Headless Mode &amp; Sideloading\WalkAndUnGZ.bat" "%USERPROFILE%\AppData\Local\Temp\OnboardLogs"\RTDC4028\2017-09-20</v>
      </c>
      <c r="AF146" s="74" t="str">
        <f t="shared" si="69"/>
        <v>"C:\Program Files (x86)\AstroGrep\AstroGrep.exe" /e /r /s /spath="%USERPROFILE%\AppData\Local\Temp\OnboardLogs" /stypes="app*4028*20170920*" /stext=" 04:.+((SYSTEM_STATE.+slice.+state.+changed )|(ment ac)|(multiple cpu faults)|(system.+state.+changed )|(\[timeout)|(PRM\|1\|D)|(kpr)|(kdp)|(train st.+moving)|(\|lc)|(penalty))"</v>
      </c>
      <c r="AG146" s="182" t="str">
        <f t="shared" si="70"/>
        <v>EC</v>
      </c>
      <c r="AH146" s="78" t="str">
        <f t="shared" si="73"/>
        <v>"%USERPROFILE%\Documents\GitHub\eaglep3\Utilities\RefineRTDCRunTimes.py" --tripid 231-19 --locoid 4028 --swversion DE.1.0.9.0 --startMP 204:480 --initTime 2017-09-19T21:12:27 --startdatetime 2017-09-19T21:30:16 --delay 66 --endMP 204:233325 --enddatetime 2017-09-19T22:05:36 --enforcementcount 0 &gt;&gt;C:\Users\stu\Documents\GitHub\eaglep3-reporting\EC\2017-09-19-refined-times.txt</v>
      </c>
      <c r="AI146" s="96" t="str">
        <f t="shared" si="74"/>
        <v>echo {"issue":{"subject":"","project_id":79,"tracker_id":40,"status_id":1,"priority_id":2,"assigned_to_id":338,"start_date":"2017-09-19","description":"","custom_fields":[{"id":1,"name":"Subdivision","value":"EC"},{"id":4,"name":"Milepost","value":"23.3325"},{"id":17,"name":"Train ID","value":"231-19"},{"id":16,"name":"Locomotive ID","value":"4028"},{"id":130,"name":"Impact","value":""},{"id":150,"name":"Time of Event (Mountain Time)","value":"22:05:36"},{"id":151,"name":"Denver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75"/>
        <v>start /low /b %USERPROFILE%\Documents\GitHub\eaglep3\Utilities\DownloadLogsFromS3.py --loco 4028 --day 2017-09-19</v>
      </c>
      <c r="AN146" s="151" t="str">
        <f t="shared" si="76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04:05:36"},{"id":29,"name":"Sharepoint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77"/>
        <v>https://d0f6bd738d7f1b3e5a7ca70fe4ff75f0.us-east-1.aws.found.io/app/kibana#/discover/Steve-Slow-Train-Analysis-(2080s-and-2083s)?_g=(refreshInterval:(display:Off,pause:!f,section:0,value:0),time:(from:'2017-09-19T20:12:27-0600',mode:absolute,to:'2017-09-19T23:05:36-0600'))&amp;_a=(columns:!('Message%20ID',Summary),filters:!(),index:'emp_*',interval:auto,query:(query_string:(analyze_wildcard:!t,query:'Message%5C+ID:(*)+AND+%22rtdc.l.rtdc.4028%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844</v>
      </c>
      <c r="B147" s="7">
        <v>4027</v>
      </c>
      <c r="C147" s="21" t="s">
        <v>197</v>
      </c>
      <c r="D147" s="21" t="s">
        <v>886</v>
      </c>
      <c r="E147" s="13">
        <v>42997.932245370372</v>
      </c>
      <c r="F147" s="13">
        <v>42997.935636574075</v>
      </c>
      <c r="G147" s="7">
        <v>56</v>
      </c>
      <c r="H147" s="21" t="s">
        <v>380</v>
      </c>
      <c r="I147" s="13">
        <v>42997.962592592594</v>
      </c>
      <c r="J147" s="7">
        <v>0</v>
      </c>
      <c r="K147" s="89" t="str">
        <f t="shared" si="61"/>
        <v>4027/4028</v>
      </c>
      <c r="L147" s="185" t="str">
        <f>VLOOKUP(A147,'Trips&amp;Operators'!$C$1:$G$99911,5,FALSE)</f>
        <v>LOZA FIDEL</v>
      </c>
      <c r="M147" s="6">
        <f t="shared" si="62"/>
        <v>2.6956018518831115E-2</v>
      </c>
      <c r="N147" s="7">
        <f t="shared" si="71"/>
        <v>38.816666667116806</v>
      </c>
      <c r="O147" s="7"/>
      <c r="P147" s="7"/>
      <c r="Q147" s="22"/>
      <c r="R147" s="174"/>
      <c r="S147" s="221">
        <f t="shared" si="72"/>
        <v>1</v>
      </c>
      <c r="T147" s="174" t="str">
        <f t="shared" si="63"/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64"/>
        <v>https://d0f6bd738d7f1b3e5a7ca70fe4ff75f0.us-east-1.aws.found.io/app/kibana#/discover/Steve-Slow-Train-Analysis-(2080s-and-2083s)?_g=(refreshInterval:(display:Off,pause:!f,section:0,value:0),time:(from:'2017-09-19T21:22:26-0600',mode:absolute,to:'2017-09-20T00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7" s="204" t="str">
        <f>IF(AA147&lt;VLOOKUP(AG147,Variables!$AC$3:$AD$8,2,FALSE),"Y","N")</f>
        <v>N</v>
      </c>
      <c r="X147" s="204">
        <f t="shared" si="65"/>
        <v>1</v>
      </c>
      <c r="Y147" s="204">
        <f t="shared" si="59"/>
        <v>23.300999999999998</v>
      </c>
      <c r="Z147" s="204">
        <f t="shared" si="60"/>
        <v>1.6E-2</v>
      </c>
      <c r="AA147" s="204">
        <f t="shared" si="66"/>
        <v>23.285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 t="shared" si="67"/>
        <v>232</v>
      </c>
      <c r="AE147" s="77" t="str">
        <f t="shared" si="68"/>
        <v>aws s3 cp s3://rtdc.mdm.uploadarchive.raw/RTDC4027/ "%USERPROFILE%\AppData\Local\Temp\OnboardLogs"\RTDC4027\2017-09-19 --exclude "*" --recursive --include "*20170919*" &amp; "%USERPROFILE%\Documents\GitHub\mrs-test-scripts\Headless Mode &amp; Sideloading\WalkAndUnGZ.bat" "%USERPROFILE%\AppData\Local\Temp\OnboardLogs"\RTDC4027\2017-09-19 &amp; aws s3 cp s3://rtdc.mdm.uploadarchive.raw/RTDC4027/ "%USERPROFILE%\AppData\Local\Temp\OnboardLogs"\RTDC4027\2017-09-20 --exclude "*" --recursive --include "*20170920*" &amp; "%USERPROFILE%\Documents\GitHub\mrs-test-scripts\Headless Mode &amp; Sideloading\WalkAndUnGZ.bat" "%USERPROFILE%\AppData\Local\Temp\OnboardLogs"\RTDC4027\2017-09-20</v>
      </c>
      <c r="AF147" s="74" t="str">
        <f t="shared" si="69"/>
        <v>"C:\Program Files (x86)\AstroGrep\AstroGrep.exe" /e /r /s /spath="%USERPROFILE%\AppData\Local\Temp\OnboardLogs" /stypes="app*4027*20170920*" /stext=" 05:.+((SYSTEM_STATE.+slice.+state.+changed )|(ment ac)|(multiple cpu faults)|(system.+state.+changed )|(\[timeout)|(PRM\|1\|D)|(kpr)|(kdp)|(train st.+moving)|(\|lc)|(penalty))"</v>
      </c>
      <c r="AG147" s="182" t="str">
        <f t="shared" si="70"/>
        <v>EC</v>
      </c>
      <c r="AH147" s="78" t="str">
        <f t="shared" si="73"/>
        <v>"%USERPROFILE%\Documents\GitHub\eaglep3\Utilities\RefineRTDCRunTimes.py" --tripid 232-19 --locoid 4027 --swversion DE.1.0.9.0 --startMP 204:233010 --initTime 2017-09-19T22:22:26 --startdatetime 2017-09-19T22:27:19 --delay 56 --endMP 204:160 --enddatetime 2017-09-19T23:06:08 --enforcementcount 0 &gt;&gt;C:\Users\stu\Documents\GitHub\eaglep3-reporting\EC\2017-09-19-refined-times.txt</v>
      </c>
      <c r="AI147" s="96" t="str">
        <f t="shared" si="74"/>
        <v>echo {"issue":{"subject":"","project_id":79,"tracker_id":40,"status_id":1,"priority_id":2,"assigned_to_id":338,"start_date":"2017-09-19","description":"","custom_fields":[{"id":1,"name":"Subdivision","value":"EC"},{"id":4,"name":"Milepost","value":"0.016"},{"id":17,"name":"Train ID","value":"232-19"},{"id":16,"name":"Locomotive ID","value":"4027"},{"id":130,"name":"Impact","value":""},{"id":150,"name":"Time of Event (Mountain Time)","value":"23:06:08"},{"id":151,"name":"Denver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75"/>
        <v>start /low /b %USERPROFILE%\Documents\GitHub\eaglep3\Utilities\DownloadLogsFromS3.py --loco 4027 --day 2017-09-19</v>
      </c>
      <c r="AN147" s="151" t="str">
        <f t="shared" si="76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05:06:08"},{"id":29,"name":"Sharepoint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77"/>
        <v>https://d0f6bd738d7f1b3e5a7ca70fe4ff75f0.us-east-1.aws.found.io/app/kibana#/discover/Steve-Slow-Train-Analysis-(2080s-and-2083s)?_g=(refreshInterval:(display:Off,pause:!f,section:0,value:0),time:(from:'2017-09-19T21:22:26-0600',mode:absolute,to:'2017-09-20T00:06:08-0600'))&amp;_a=(columns:!('Message%20ID',Summary),filters:!(),index:'emp_*',interval:auto,query:(query_string:(analyze_wildcard:!t,query:'Message%5C+ID:(*)+AND+%22rtdc.l.rtdc.4027%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841</v>
      </c>
      <c r="B148" s="7">
        <v>4056</v>
      </c>
      <c r="C148" s="21" t="s">
        <v>197</v>
      </c>
      <c r="D148" s="21" t="s">
        <v>901</v>
      </c>
      <c r="E148" s="13">
        <v>42997.900370370371</v>
      </c>
      <c r="F148" s="13">
        <v>42997.916851851849</v>
      </c>
      <c r="G148" s="7">
        <v>60</v>
      </c>
      <c r="H148" s="21" t="s">
        <v>420</v>
      </c>
      <c r="I148" s="13">
        <v>42997.941412037035</v>
      </c>
      <c r="J148" s="7">
        <v>0</v>
      </c>
      <c r="K148" s="89" t="str">
        <f t="shared" si="61"/>
        <v>4055/4056</v>
      </c>
      <c r="L148" s="185" t="str">
        <f>VLOOKUP(A148,'Trips&amp;Operators'!$C$1:$G$99911,5,FALSE)</f>
        <v>PERKINS DARREN</v>
      </c>
      <c r="M148" s="6">
        <f t="shared" si="62"/>
        <v>2.4560185185691807E-2</v>
      </c>
      <c r="N148" s="7">
        <f t="shared" si="71"/>
        <v>35.366666667396203</v>
      </c>
      <c r="O148" s="7"/>
      <c r="P148" s="7"/>
      <c r="Q148" s="22"/>
      <c r="R148" s="174"/>
      <c r="S148" s="221">
        <f t="shared" si="72"/>
        <v>1</v>
      </c>
      <c r="T148" s="174" t="str">
        <f t="shared" si="63"/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64"/>
        <v>https://d0f6bd738d7f1b3e5a7ca70fe4ff75f0.us-east-1.aws.found.io/app/kibana#/discover/Steve-Slow-Train-Analysis-(2080s-and-2083s)?_g=(refreshInterval:(display:Off,pause:!f,section:0,value:0),time:(from:'2017-09-19T20:36:32-0600',mode:absolute,to:'2017-09-19T23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8" s="204" t="str">
        <f>IF(AA148&lt;VLOOKUP(AG148,Variables!$AC$3:$AD$8,2,FALSE),"Y","N")</f>
        <v>N</v>
      </c>
      <c r="X148" s="204">
        <f t="shared" si="65"/>
        <v>1</v>
      </c>
      <c r="Y148" s="204">
        <f t="shared" si="59"/>
        <v>4.2700000000000002E-2</v>
      </c>
      <c r="Z148" s="204">
        <f t="shared" si="60"/>
        <v>23.328900000000001</v>
      </c>
      <c r="AA148" s="204">
        <f t="shared" si="66"/>
        <v>23.286200000000001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 t="shared" si="67"/>
        <v>233</v>
      </c>
      <c r="AE148" s="77" t="str">
        <f t="shared" si="68"/>
        <v>aws s3 cp s3://rtdc.mdm.uploadarchive.raw/RTDC4056/ "%USERPROFILE%\AppData\Local\Temp\OnboardLogs"\RTDC4056\2017-09-19 --exclude "*" --recursive --include "*20170919*" &amp; "%USERPROFILE%\Documents\GitHub\mrs-test-scripts\Headless Mode &amp; Sideloading\WalkAndUnGZ.bat" "%USERPROFILE%\AppData\Local\Temp\OnboardLogs"\RTDC4056\2017-09-19 &amp; aws s3 cp s3://rtdc.mdm.uploadarchive.raw/RTDC4056/ "%USERPROFILE%\AppData\Local\Temp\OnboardLogs"\RTDC4056\2017-09-20 --exclude "*" --recursive --include "*20170920*" &amp; "%USERPROFILE%\Documents\GitHub\mrs-test-scripts\Headless Mode &amp; Sideloading\WalkAndUnGZ.bat" "%USERPROFILE%\AppData\Local\Temp\OnboardLogs"\RTDC4056\2017-09-20</v>
      </c>
      <c r="AF148" s="74" t="str">
        <f t="shared" si="69"/>
        <v>"C:\Program Files (x86)\AstroGrep\AstroGrep.exe" /e /r /s /spath="%USERPROFILE%\AppData\Local\Temp\OnboardLogs" /stypes="app*4056*20170920*" /stext=" 04:.+((SYSTEM_STATE.+slice.+state.+changed )|(ment ac)|(multiple cpu faults)|(system.+state.+changed )|(\[timeout)|(PRM\|1\|D)|(kpr)|(kdp)|(train st.+moving)|(\|lc)|(penalty))"</v>
      </c>
      <c r="AG148" s="182" t="str">
        <f t="shared" si="70"/>
        <v>EC</v>
      </c>
      <c r="AH148" s="78" t="str">
        <f t="shared" si="73"/>
        <v>"%USERPROFILE%\Documents\GitHub\eaglep3\Utilities\RefineRTDCRunTimes.py" --tripid 233-19 --locoid 4056 --swversion DE.1.0.9.0 --startMP 204:427 --initTime 2017-09-19T21:36:32 --startdatetime 2017-09-19T22:00:16 --delay 60 --endMP 204:233289 --enddatetime 2017-09-19T22:35:38 --enforcementcount 0 &gt;&gt;C:\Users\stu\Documents\GitHub\eaglep3-reporting\EC\2017-09-19-refined-times.txt</v>
      </c>
      <c r="AI148" s="96" t="str">
        <f t="shared" si="74"/>
        <v>echo {"issue":{"subject":"","project_id":79,"tracker_id":40,"status_id":1,"priority_id":2,"assigned_to_id":338,"start_date":"2017-09-19","description":"","custom_fields":[{"id":1,"name":"Subdivision","value":"EC"},{"id":4,"name":"Milepost","value":"23.3289"},{"id":17,"name":"Train ID","value":"233-19"},{"id":16,"name":"Locomotive ID","value":"4056"},{"id":130,"name":"Impact","value":""},{"id":150,"name":"Time of Event (Mountain Time)","value":"22:35:38"},{"id":151,"name":"Denver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75"/>
        <v>start /low /b %USERPROFILE%\Documents\GitHub\eaglep3\Utilities\DownloadLogsFromS3.py --loco 4056 --day 2017-09-19</v>
      </c>
      <c r="AN148" s="151" t="str">
        <f t="shared" si="76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04:35:38"},{"id":29,"name":"Sharepoint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77"/>
        <v>https://d0f6bd738d7f1b3e5a7ca70fe4ff75f0.us-east-1.aws.found.io/app/kibana#/discover/Steve-Slow-Train-Analysis-(2080s-and-2083s)?_g=(refreshInterval:(display:Off,pause:!f,section:0,value:0),time:(from:'2017-09-19T20:36:32-0600',mode:absolute,to:'2017-09-19T23:35:38-0600'))&amp;_a=(columns:!('Message%20ID',Summary),filters:!(),index:'emp_*',interval:auto,query:(query_string:(analyze_wildcard:!t,query:'Message%5C+ID:(*)+AND+%22rtdc.l.rtdc.4056%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646</v>
      </c>
      <c r="B149" s="7">
        <v>4055</v>
      </c>
      <c r="C149" s="21" t="s">
        <v>197</v>
      </c>
      <c r="D149" s="21" t="s">
        <v>416</v>
      </c>
      <c r="E149" s="13">
        <v>42997.943379629629</v>
      </c>
      <c r="F149" s="13">
        <v>42997.956631944442</v>
      </c>
      <c r="G149" s="7">
        <v>68</v>
      </c>
      <c r="H149" s="21" t="s">
        <v>342</v>
      </c>
      <c r="I149" s="13">
        <v>42997.98333333333</v>
      </c>
      <c r="J149" s="7">
        <v>0</v>
      </c>
      <c r="K149" s="89" t="str">
        <f t="shared" si="61"/>
        <v>4055/4056</v>
      </c>
      <c r="L149" s="185" t="str">
        <f>VLOOKUP(A149,'Trips&amp;Operators'!$C$1:$G$99911,5,FALSE)</f>
        <v>PERKINS DARREN</v>
      </c>
      <c r="M149" s="6">
        <f t="shared" si="62"/>
        <v>2.6701388887886424E-2</v>
      </c>
      <c r="N149" s="7">
        <f t="shared" si="71"/>
        <v>38.44999999855645</v>
      </c>
      <c r="O149" s="7"/>
      <c r="P149" s="7"/>
      <c r="Q149" s="22"/>
      <c r="R149" s="174"/>
      <c r="S149" s="221">
        <f t="shared" si="72"/>
        <v>1</v>
      </c>
      <c r="T149" s="174" t="str">
        <f t="shared" si="63"/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64"/>
        <v>https://d0f6bd738d7f1b3e5a7ca70fe4ff75f0.us-east-1.aws.found.io/app/kibana#/discover/Steve-Slow-Train-Analysis-(2080s-and-2083s)?_g=(refreshInterval:(display:Off,pause:!f,section:0,value:0),time:(from:'2017-09-19T21:38:28-0600',mode:absolute,to:'2017-09-20T00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9" s="204" t="str">
        <f>IF(AA149&lt;VLOOKUP(AG149,Variables!$AC$3:$AD$8,2,FALSE),"Y","N")</f>
        <v>N</v>
      </c>
      <c r="X149" s="204">
        <f t="shared" si="65"/>
        <v>1</v>
      </c>
      <c r="Y149" s="204">
        <f t="shared" si="59"/>
        <v>23.299600000000002</v>
      </c>
      <c r="Z149" s="204">
        <f t="shared" si="60"/>
        <v>1.41E-2</v>
      </c>
      <c r="AA149" s="204">
        <f t="shared" si="66"/>
        <v>23.285500000000003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 t="shared" si="67"/>
        <v>234</v>
      </c>
      <c r="AE149" s="77" t="str">
        <f t="shared" si="68"/>
        <v>aws s3 cp s3://rtdc.mdm.uploadarchive.raw/RTDC4055/ "%USERPROFILE%\AppData\Local\Temp\OnboardLogs"\RTDC4055\2017-09-19 --exclude "*" --recursive --include "*20170919*" &amp; "%USERPROFILE%\Documents\GitHub\mrs-test-scripts\Headless Mode &amp; Sideloading\WalkAndUnGZ.bat" "%USERPROFILE%\AppData\Local\Temp\OnboardLogs"\RTDC4055\2017-09-19 &amp; aws s3 cp s3://rtdc.mdm.uploadarchive.raw/RTDC4055/ "%USERPROFILE%\AppData\Local\Temp\OnboardLogs"\RTDC4055\2017-09-20 --exclude "*" --recursive --include "*20170920*" &amp; "%USERPROFILE%\Documents\GitHub\mrs-test-scripts\Headless Mode &amp; Sideloading\WalkAndUnGZ.bat" "%USERPROFILE%\AppData\Local\Temp\OnboardLogs"\RTDC4055\2017-09-20</v>
      </c>
      <c r="AF149" s="74" t="str">
        <f t="shared" si="69"/>
        <v>"C:\Program Files (x86)\AstroGrep\AstroGrep.exe" /e /r /s /spath="%USERPROFILE%\AppData\Local\Temp\OnboardLogs" /stypes="app*4055*20170920*" /stext=" 05:.+((SYSTEM_STATE.+slice.+state.+changed )|(ment ac)|(multiple cpu faults)|(system.+state.+changed )|(\[timeout)|(PRM\|1\|D)|(kpr)|(kdp)|(train st.+moving)|(\|lc)|(penalty))"</v>
      </c>
      <c r="AG149" s="182" t="str">
        <f t="shared" si="70"/>
        <v>EC</v>
      </c>
      <c r="AH149" s="78" t="str">
        <f t="shared" si="73"/>
        <v>"%USERPROFILE%\Documents\GitHub\eaglep3\Utilities\RefineRTDCRunTimes.py" --tripid 234-19 --locoid 4055 --swversion DE.1.0.9.0 --startMP 204:232996 --initTime 2017-09-19T22:38:28 --startdatetime 2017-09-19T22:57:33 --delay 68 --endMP 204:141 --enddatetime 2017-09-19T23:36:00 --enforcementcount 0 &gt;&gt;C:\Users\stu\Documents\GitHub\eaglep3-reporting\EC\2017-09-19-refined-times.txt</v>
      </c>
      <c r="AI149" s="96" t="str">
        <f t="shared" si="74"/>
        <v>echo {"issue":{"subject":"","project_id":79,"tracker_id":40,"status_id":1,"priority_id":2,"assigned_to_id":338,"start_date":"2017-09-19","description":"","custom_fields":[{"id":1,"name":"Subdivision","value":"EC"},{"id":4,"name":"Milepost","value":"0.0141"},{"id":17,"name":"Train ID","value":"234-19"},{"id":16,"name":"Locomotive ID","value":"4055"},{"id":130,"name":"Impact","value":""},{"id":150,"name":"Time of Event (Mountain Time)","value":"23:36:00"},{"id":151,"name":"Denver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75"/>
        <v>start /low /b %USERPROFILE%\Documents\GitHub\eaglep3\Utilities\DownloadLogsFromS3.py --loco 4055 --day 2017-09-19</v>
      </c>
      <c r="AN149" s="151" t="str">
        <f t="shared" si="76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05:36:00"},{"id":29,"name":"Sharepoint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77"/>
        <v>https://d0f6bd738d7f1b3e5a7ca70fe4ff75f0.us-east-1.aws.found.io/app/kibana#/discover/Steve-Slow-Train-Analysis-(2080s-and-2083s)?_g=(refreshInterval:(display:Off,pause:!f,section:0,value:0),time:(from:'2017-09-19T21:38:28-0600',mode:absolute,to:'2017-09-20T00:36:00-0600'))&amp;_a=(columns:!('Message%20ID',Summary),filters:!(),index:'emp_*',interval:auto,query:(query_string:(analyze_wildcard:!t,query:'Message%5C+ID:(*)+AND+%22rtdc.l.rtdc.4055%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846</v>
      </c>
      <c r="B150" s="7">
        <v>4030</v>
      </c>
      <c r="C150" s="21" t="s">
        <v>197</v>
      </c>
      <c r="D150" s="21" t="s">
        <v>381</v>
      </c>
      <c r="E150" s="13">
        <v>42997.934328703705</v>
      </c>
      <c r="F150" s="13">
        <v>42997.937696759262</v>
      </c>
      <c r="G150" s="7">
        <v>60</v>
      </c>
      <c r="H150" s="21" t="s">
        <v>902</v>
      </c>
      <c r="I150" s="13">
        <v>42997.961967592593</v>
      </c>
      <c r="J150" s="7">
        <v>0</v>
      </c>
      <c r="K150" s="89" t="str">
        <f t="shared" si="61"/>
        <v>4029/4030</v>
      </c>
      <c r="L150" s="185" t="str">
        <f>VLOOKUP(A150,'Trips&amp;Operators'!$C$1:$G$99911,5,FALSE)</f>
        <v>HART KEVIN</v>
      </c>
      <c r="M150" s="6">
        <f t="shared" si="62"/>
        <v>2.4270833331684116E-2</v>
      </c>
      <c r="N150" s="7">
        <f t="shared" si="71"/>
        <v>34.949999997625127</v>
      </c>
      <c r="O150" s="7"/>
      <c r="P150" s="7"/>
      <c r="Q150" s="22"/>
      <c r="R150" s="174"/>
      <c r="S150" s="221">
        <f t="shared" si="72"/>
        <v>1</v>
      </c>
      <c r="T150" s="174" t="str">
        <f t="shared" si="63"/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64"/>
        <v>https://d0f6bd738d7f1b3e5a7ca70fe4ff75f0.us-east-1.aws.found.io/app/kibana#/discover/Steve-Slow-Train-Analysis-(2080s-and-2083s)?_g=(refreshInterval:(display:Off,pause:!f,section:0,value:0),time:(from:'2017-09-19T21:25:26-0600',mode:absolute,to:'2017-09-20T00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0" s="204" t="str">
        <f>IF(AA150&lt;VLOOKUP(AG150,Variables!$AC$3:$AD$8,2,FALSE),"Y","N")</f>
        <v>N</v>
      </c>
      <c r="X150" s="204">
        <f t="shared" si="65"/>
        <v>1</v>
      </c>
      <c r="Y150" s="204">
        <f t="shared" si="59"/>
        <v>4.5999999999999999E-2</v>
      </c>
      <c r="Z150" s="204">
        <f t="shared" si="60"/>
        <v>23.335899999999999</v>
      </c>
      <c r="AA150" s="204">
        <f t="shared" si="66"/>
        <v>23.289899999999999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 t="shared" si="67"/>
        <v>235</v>
      </c>
      <c r="AE150" s="77" t="str">
        <f t="shared" si="68"/>
        <v>aws s3 cp s3://rtdc.mdm.uploadarchive.raw/RTDC4030/ "%USERPROFILE%\AppData\Local\Temp\OnboardLogs"\RTDC4030\2017-09-19 --exclude "*" --recursive --include "*20170919*" &amp; "%USERPROFILE%\Documents\GitHub\mrs-test-scripts\Headless Mode &amp; Sideloading\WalkAndUnGZ.bat" "%USERPROFILE%\AppData\Local\Temp\OnboardLogs"\RTDC4030\2017-09-19 &amp; aws s3 cp s3://rtdc.mdm.uploadarchive.raw/RTDC4030/ "%USERPROFILE%\AppData\Local\Temp\OnboardLogs"\RTDC4030\2017-09-20 --exclude "*" --recursive --include "*20170920*" &amp; "%USERPROFILE%\Documents\GitHub\mrs-test-scripts\Headless Mode &amp; Sideloading\WalkAndUnGZ.bat" "%USERPROFILE%\AppData\Local\Temp\OnboardLogs"\RTDC4030\2017-09-20</v>
      </c>
      <c r="AF150" s="74" t="str">
        <f t="shared" si="69"/>
        <v>"C:\Program Files (x86)\AstroGrep\AstroGrep.exe" /e /r /s /spath="%USERPROFILE%\AppData\Local\Temp\OnboardLogs" /stypes="app*4030*20170920*" /stext=" 05:.+((SYSTEM_STATE.+slice.+state.+changed )|(ment ac)|(multiple cpu faults)|(system.+state.+changed )|(\[timeout)|(PRM\|1\|D)|(kpr)|(kdp)|(train st.+moving)|(\|lc)|(penalty))"</v>
      </c>
      <c r="AG150" s="182" t="str">
        <f t="shared" si="70"/>
        <v>EC</v>
      </c>
      <c r="AH150" s="78" t="str">
        <f t="shared" si="73"/>
        <v>"%USERPROFILE%\Documents\GitHub\eaglep3\Utilities\RefineRTDCRunTimes.py" --tripid 235-19 --locoid 4030 --swversion DE.1.0.9.0 --startMP 204:460 --initTime 2017-09-19T22:25:26 --startdatetime 2017-09-19T22:30:17 --delay 60 --endMP 204:233359 --enddatetime 2017-09-19T23:05:14 --enforcementcount 0 &gt;&gt;C:\Users\stu\Documents\GitHub\eaglep3-reporting\EC\2017-09-19-refined-times.txt</v>
      </c>
      <c r="AI150" s="96" t="str">
        <f t="shared" si="74"/>
        <v>echo {"issue":{"subject":"","project_id":79,"tracker_id":40,"status_id":1,"priority_id":2,"assigned_to_id":338,"start_date":"2017-09-19","description":"","custom_fields":[{"id":1,"name":"Subdivision","value":"EC"},{"id":4,"name":"Milepost","value":"23.3359"},{"id":17,"name":"Train ID","value":"235-19"},{"id":16,"name":"Locomotive ID","value":"4030"},{"id":130,"name":"Impact","value":""},{"id":150,"name":"Time of Event (Mountain Time)","value":"23:05:14"},{"id":151,"name":"Denver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75"/>
        <v>start /low /b %USERPROFILE%\Documents\GitHub\eaglep3\Utilities\DownloadLogsFromS3.py --loco 4030 --day 2017-09-19</v>
      </c>
      <c r="AN150" s="151" t="str">
        <f t="shared" si="76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05:05:14"},{"id":29,"name":"Sharepoint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77"/>
        <v>https://d0f6bd738d7f1b3e5a7ca70fe4ff75f0.us-east-1.aws.found.io/app/kibana#/discover/Steve-Slow-Train-Analysis-(2080s-and-2083s)?_g=(refreshInterval:(display:Off,pause:!f,section:0,value:0),time:(from:'2017-09-19T21:25:26-0600',mode:absolute,to:'2017-09-20T00:05:14-0600'))&amp;_a=(columns:!('Message%20ID',Summary),filters:!(),index:'emp_*',interval:auto,query:(query_string:(analyze_wildcard:!t,query:'Message%5C+ID:(*)+AND+%22rtdc.l.rtdc.4030%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852</v>
      </c>
      <c r="B151" s="7">
        <v>4029</v>
      </c>
      <c r="C151" s="21" t="s">
        <v>197</v>
      </c>
      <c r="D151" s="21" t="s">
        <v>518</v>
      </c>
      <c r="E151" s="13">
        <v>42997.975277777776</v>
      </c>
      <c r="F151" s="13">
        <v>42997.97729166667</v>
      </c>
      <c r="G151" s="7">
        <v>49</v>
      </c>
      <c r="H151" s="21" t="s">
        <v>359</v>
      </c>
      <c r="I151" s="13">
        <v>42998.006238425929</v>
      </c>
      <c r="J151" s="7">
        <v>0</v>
      </c>
      <c r="K151" s="89" t="str">
        <f t="shared" si="61"/>
        <v>4029/4030</v>
      </c>
      <c r="L151" s="185" t="str">
        <f>VLOOKUP(A151,'Trips&amp;Operators'!$C$1:$G$99911,5,FALSE)</f>
        <v>HART KEVIN</v>
      </c>
      <c r="M151" s="6">
        <f t="shared" si="62"/>
        <v>2.8946759259270038E-2</v>
      </c>
      <c r="N151" s="7">
        <f t="shared" si="71"/>
        <v>41.683333333348855</v>
      </c>
      <c r="O151" s="7"/>
      <c r="P151" s="7"/>
      <c r="Q151" s="22"/>
      <c r="R151" s="174"/>
      <c r="S151" s="221">
        <f t="shared" si="72"/>
        <v>1</v>
      </c>
      <c r="T151" s="174" t="str">
        <f t="shared" si="63"/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64"/>
        <v>https://d0f6bd738d7f1b3e5a7ca70fe4ff75f0.us-east-1.aws.found.io/app/kibana#/discover/Steve-Slow-Train-Analysis-(2080s-and-2083s)?_g=(refreshInterval:(display:Off,pause:!f,section:0,value:0),time:(from:'2017-09-19T22:24:24-0600',mode:absolute,to:'2017-09-20T01:08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1" s="204" t="str">
        <f>IF(AA151&lt;VLOOKUP(AG151,Variables!$AC$3:$AD$8,2,FALSE),"Y","N")</f>
        <v>N</v>
      </c>
      <c r="X151" s="204">
        <f t="shared" si="65"/>
        <v>1</v>
      </c>
      <c r="Y151" s="204">
        <f t="shared" si="59"/>
        <v>23.300599999999999</v>
      </c>
      <c r="Z151" s="204">
        <f t="shared" si="60"/>
        <v>1.52E-2</v>
      </c>
      <c r="AA151" s="204">
        <f t="shared" si="66"/>
        <v>23.285399999999999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 t="shared" si="67"/>
        <v>236</v>
      </c>
      <c r="AE151" s="77" t="str">
        <f t="shared" si="68"/>
        <v>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 &amp; aws s3 cp s3://rtdc.mdm.uploadarchive.raw/RTDC4029/ "%USERPROFILE%\AppData\Local\Temp\OnboardLogs"\RTDC4029\2017-09-20 --exclude "*" --recursive --include "*20170920*" &amp; "%USERPROFILE%\Documents\GitHub\mrs-test-scripts\Headless Mode &amp; Sideloading\WalkAndUnGZ.bat" "%USERPROFILE%\AppData\Local\Temp\OnboardLogs"\RTDC4029\2017-09-20</v>
      </c>
      <c r="AF151" s="74" t="str">
        <f t="shared" si="69"/>
        <v>"C:\Program Files (x86)\AstroGrep\AstroGrep.exe" /e /r /s /spath="%USERPROFILE%\AppData\Local\Temp\OnboardLogs" /stypes="app*4029*20170920*" /stext=" 06:.+((SYSTEM_STATE.+slice.+state.+changed )|(ment ac)|(multiple cpu faults)|(system.+state.+changed )|(\[timeout)|(PRM\|1\|D)|(kpr)|(kdp)|(train st.+moving)|(\|lc)|(penalty))"</v>
      </c>
      <c r="AG151" s="182" t="str">
        <f t="shared" si="70"/>
        <v>EC</v>
      </c>
      <c r="AH151" s="78" t="str">
        <f t="shared" si="73"/>
        <v>"%USERPROFILE%\Documents\GitHub\eaglep3\Utilities\RefineRTDCRunTimes.py" --tripid 236-19 --locoid 4029 --swversion DE.1.0.9.0 --startMP 204:233006 --initTime 2017-09-19T23:24:24 --startdatetime 2017-09-19T23:27:18 --delay 49 --endMP 204:152 --enddatetime 2017-09-20T00:08:59 --enforcementcount 0 &gt;&gt;C:\Users\stu\Documents\GitHub\eaglep3-reporting\EC\2017-09-19-refined-times.txt</v>
      </c>
      <c r="AI151" s="96" t="str">
        <f t="shared" si="74"/>
        <v>echo {"issue":{"subject":"","project_id":79,"tracker_id":40,"status_id":1,"priority_id":2,"assigned_to_id":338,"start_date":"2017-09-20","description":"","custom_fields":[{"id":1,"name":"Subdivision","value":"EC"},{"id":4,"name":"Milepost","value":"0.0152"},{"id":17,"name":"Train ID","value":"236-19"},{"id":16,"name":"Locomotive ID","value":"4029"},{"id":130,"name":"Impact","value":""},{"id":150,"name":"Time of Event (Mountain Time)","value":"00:08:59"},{"id":151,"name":"Denver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75"/>
        <v>start /low /b %USERPROFILE%\Documents\GitHub\eaglep3\Utilities\DownloadLogsFromS3.py --loco 4029 --day 2017-09-19</v>
      </c>
      <c r="AN151" s="151" t="str">
        <f t="shared" si="76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06:08:59"},{"id":29,"name":"Sharepoint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77"/>
        <v>https://d0f6bd738d7f1b3e5a7ca70fe4ff75f0.us-east-1.aws.found.io/app/kibana#/discover/Steve-Slow-Train-Analysis-(2080s-and-2083s)?_g=(refreshInterval:(display:Off,pause:!f,section:0,value:0),time:(from:'2017-09-19T22:24:24-0600',mode:absolute,to:'2017-09-20T01:08:59-0600'))&amp;_a=(columns:!('Message%20ID',Summary),filters:!(),index:'emp_*',interval:auto,query:(query_string:(analyze_wildcard:!t,query:'Message%5C+ID:(*)+AND+%22rtdc.l.rtdc.4029%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848</v>
      </c>
      <c r="B152" s="7">
        <v>4010</v>
      </c>
      <c r="C152" s="21" t="s">
        <v>197</v>
      </c>
      <c r="D152" s="21" t="s">
        <v>903</v>
      </c>
      <c r="E152" s="13">
        <v>42997.9528587963</v>
      </c>
      <c r="F152" s="13">
        <v>42997.958611111113</v>
      </c>
      <c r="G152" s="7">
        <v>61</v>
      </c>
      <c r="H152" s="21" t="s">
        <v>904</v>
      </c>
      <c r="I152" s="13">
        <v>42997.983287037037</v>
      </c>
      <c r="J152" s="7">
        <v>0</v>
      </c>
      <c r="K152" s="89" t="str">
        <f t="shared" si="61"/>
        <v>4009/4010</v>
      </c>
      <c r="L152" s="185" t="str">
        <f>VLOOKUP(A152,'Trips&amp;Operators'!$C$1:$G$99911,5,FALSE)</f>
        <v>DUNCAN SHEILA</v>
      </c>
      <c r="M152" s="6">
        <f t="shared" si="62"/>
        <v>2.4675925924384501E-2</v>
      </c>
      <c r="N152" s="7">
        <f t="shared" si="71"/>
        <v>35.533333331113681</v>
      </c>
      <c r="O152" s="7"/>
      <c r="P152" s="7"/>
      <c r="Q152" s="22"/>
      <c r="R152" s="174"/>
      <c r="S152" s="221">
        <f t="shared" si="72"/>
        <v>1</v>
      </c>
      <c r="T152" s="174" t="str">
        <f t="shared" si="63"/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64"/>
        <v>https://d0f6bd738d7f1b3e5a7ca70fe4ff75f0.us-east-1.aws.found.io/app/kibana#/discover/Steve-Slow-Train-Analysis-(2080s-and-2083s)?_g=(refreshInterval:(display:Off,pause:!f,section:0,value:0),time:(from:'2017-09-19T21:52:07-0600',mode:absolute,to:'2017-09-20T00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2" s="204" t="str">
        <f>IF(AA152&lt;VLOOKUP(AG152,Variables!$AC$3:$AD$8,2,FALSE),"Y","N")</f>
        <v>N</v>
      </c>
      <c r="X152" s="204">
        <f t="shared" si="65"/>
        <v>1</v>
      </c>
      <c r="Y152" s="204">
        <f t="shared" si="59"/>
        <v>0.11559999999999999</v>
      </c>
      <c r="Z152" s="204">
        <f t="shared" si="60"/>
        <v>23.3353</v>
      </c>
      <c r="AA152" s="204">
        <f t="shared" si="66"/>
        <v>23.2197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 t="shared" si="67"/>
        <v>237</v>
      </c>
      <c r="AE152" s="77" t="str">
        <f t="shared" si="68"/>
        <v>aws s3 cp s3://rtdc.mdm.uploadarchive.raw/RTDC4010/ "%USERPROFILE%\AppData\Local\Temp\OnboardLogs"\RTDC4010\2017-09-19 --exclude "*" --recursive --include "*20170919*" &amp; "%USERPROFILE%\Documents\GitHub\mrs-test-scripts\Headless Mode &amp; Sideloading\WalkAndUnGZ.bat" "%USERPROFILE%\AppData\Local\Temp\OnboardLogs"\RTDC4010\2017-09-19 &amp; aws s3 cp s3://rtdc.mdm.uploadarchive.raw/RTDC4010/ "%USERPROFILE%\AppData\Local\Temp\OnboardLogs"\RTDC4010\2017-09-20 --exclude "*" --recursive --include "*20170920*" &amp; "%USERPROFILE%\Documents\GitHub\mrs-test-scripts\Headless Mode &amp; Sideloading\WalkAndUnGZ.bat" "%USERPROFILE%\AppData\Local\Temp\OnboardLogs"\RTDC4010\2017-09-20</v>
      </c>
      <c r="AF152" s="74" t="str">
        <f t="shared" si="69"/>
        <v>"C:\Program Files (x86)\AstroGrep\AstroGrep.exe" /e /r /s /spath="%USERPROFILE%\AppData\Local\Temp\OnboardLogs" /stypes="app*4010*20170920*" /stext=" 05:.+((SYSTEM_STATE.+slice.+state.+changed )|(ment ac)|(multiple cpu faults)|(system.+state.+changed )|(\[timeout)|(PRM\|1\|D)|(kpr)|(kdp)|(train st.+moving)|(\|lc)|(penalty))"</v>
      </c>
      <c r="AG152" s="182" t="str">
        <f t="shared" si="70"/>
        <v>EC</v>
      </c>
      <c r="AH152" s="78" t="str">
        <f t="shared" si="73"/>
        <v>"%USERPROFILE%\Documents\GitHub\eaglep3\Utilities\RefineRTDCRunTimes.py" --tripid 237-19 --locoid 4010 --swversion DE.1.0.9.0 --startMP 204:1156 --initTime 2017-09-19T22:52:07 --startdatetime 2017-09-19T23:00:24 --delay 61 --endMP 204:233353 --enddatetime 2017-09-19T23:35:56 --enforcementcount 0 &gt;&gt;C:\Users\stu\Documents\GitHub\eaglep3-reporting\EC\2017-09-19-refined-times.txt</v>
      </c>
      <c r="AI152" s="96" t="str">
        <f t="shared" si="74"/>
        <v>echo {"issue":{"subject":"","project_id":79,"tracker_id":40,"status_id":1,"priority_id":2,"assigned_to_id":338,"start_date":"2017-09-19","description":"","custom_fields":[{"id":1,"name":"Subdivision","value":"EC"},{"id":4,"name":"Milepost","value":"23.3353"},{"id":17,"name":"Train ID","value":"237-19"},{"id":16,"name":"Locomotive ID","value":"4010"},{"id":130,"name":"Impact","value":""},{"id":150,"name":"Time of Event (Mountain Time)","value":"23:35:56"},{"id":151,"name":"Denver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75"/>
        <v>start /low /b %USERPROFILE%\Documents\GitHub\eaglep3\Utilities\DownloadLogsFromS3.py --loco 4010 --day 2017-09-19</v>
      </c>
      <c r="AN152" s="151" t="str">
        <f t="shared" si="76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05:35:56"},{"id":29,"name":"Sharepoint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77"/>
        <v>https://d0f6bd738d7f1b3e5a7ca70fe4ff75f0.us-east-1.aws.found.io/app/kibana#/discover/Steve-Slow-Train-Analysis-(2080s-and-2083s)?_g=(refreshInterval:(display:Off,pause:!f,section:0,value:0),time:(from:'2017-09-19T21:52:07-0600',mode:absolute,to:'2017-09-20T00:35:56-0600'))&amp;_a=(columns:!('Message%20ID',Summary),filters:!(),index:'emp_*',interval:auto,query:(query_string:(analyze_wildcard:!t,query:'Message%5C+ID:(*)+AND+%22rtdc.l.rtdc.4010%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853</v>
      </c>
      <c r="B153" s="7">
        <v>4009</v>
      </c>
      <c r="C153" s="21" t="s">
        <v>197</v>
      </c>
      <c r="D153" s="21" t="s">
        <v>903</v>
      </c>
      <c r="E153" s="13">
        <v>42997.9528587963</v>
      </c>
      <c r="F153" s="13">
        <v>42997.998101851852</v>
      </c>
      <c r="G153" s="7">
        <v>61</v>
      </c>
      <c r="H153" s="21" t="s">
        <v>904</v>
      </c>
      <c r="I153" s="13">
        <v>42998.0231712963</v>
      </c>
      <c r="J153" s="7">
        <v>0</v>
      </c>
      <c r="K153" s="89" t="str">
        <f t="shared" si="61"/>
        <v>4009/4010</v>
      </c>
      <c r="L153" s="185" t="str">
        <f>VLOOKUP(A153,'Trips&amp;Operators'!$C$1:$G$99911,5,FALSE)</f>
        <v>DUNCAN SHEILA</v>
      </c>
      <c r="M153" s="6">
        <f t="shared" si="62"/>
        <v>2.5069444447581191E-2</v>
      </c>
      <c r="N153" s="7">
        <f t="shared" si="71"/>
        <v>36.100000004516914</v>
      </c>
      <c r="O153" s="7"/>
      <c r="P153" s="7"/>
      <c r="Q153" s="22"/>
      <c r="R153" s="174"/>
      <c r="S153" s="221">
        <f t="shared" si="72"/>
        <v>1</v>
      </c>
      <c r="T153" s="174" t="str">
        <f t="shared" si="63"/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64"/>
        <v>https://d0f6bd738d7f1b3e5a7ca70fe4ff75f0.us-east-1.aws.found.io/app/kibana#/discover/Steve-Slow-Train-Analysis-(2080s-and-2083s)?_g=(refreshInterval:(display:Off,pause:!f,section:0,value:0),time:(from:'2017-09-19T21:52:07-0600',mode:absolute,to:'2017-09-20T01:33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3" s="204" t="str">
        <f>IF(AA153&lt;VLOOKUP(AG153,Variables!$AC$3:$AD$8,2,FALSE),"Y","N")</f>
        <v>N</v>
      </c>
      <c r="X153" s="204">
        <f t="shared" ref="X153:X154" si="78">VALUE(LEFT(AD153,4))-VALUE(LEFT(AD152,4))</f>
        <v>1</v>
      </c>
      <c r="Y153" s="204">
        <v>23.300599999999999</v>
      </c>
      <c r="Z153" s="204">
        <v>1.52E-2</v>
      </c>
      <c r="AA153" s="204">
        <f t="shared" si="66"/>
        <v>23.285399999999999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 t="shared" si="67"/>
        <v>238</v>
      </c>
      <c r="AE153" s="77" t="str">
        <f t="shared" si="68"/>
        <v>aws s3 cp s3://rtdc.mdm.uploadarchive.raw/RTDC4009/ "%USERPROFILE%\AppData\Local\Temp\OnboardLogs"\RTDC4009\2017-09-19 --exclude "*" --recursive --include "*20170919*" &amp; "%USERPROFILE%\Documents\GitHub\mrs-test-scripts\Headless Mode &amp; Sideloading\WalkAndUnGZ.bat" "%USERPROFILE%\AppData\Local\Temp\OnboardLogs"\RTDC4009\2017-09-19 &amp; aws s3 cp s3://rtdc.mdm.uploadarchive.raw/RTDC4009/ "%USERPROFILE%\AppData\Local\Temp\OnboardLogs"\RTDC4009\2017-09-20 --exclude "*" --recursive --include "*20170920*" &amp; "%USERPROFILE%\Documents\GitHub\mrs-test-scripts\Headless Mode &amp; Sideloading\WalkAndUnGZ.bat" "%USERPROFILE%\AppData\Local\Temp\OnboardLogs"\RTDC4009\2017-09-20</v>
      </c>
      <c r="AF153" s="74" t="str">
        <f t="shared" si="69"/>
        <v>"C:\Program Files (x86)\AstroGrep\AstroGrep.exe" /e /r /s /spath="%USERPROFILE%\AppData\Local\Temp\OnboardLogs" /stypes="app*4009*20170920*" /stext=" 06:.+((SYSTEM_STATE.+slice.+state.+changed )|(ment ac)|(multiple cpu faults)|(system.+state.+changed )|(\[timeout)|(PRM\|1\|D)|(kpr)|(kdp)|(train st.+moving)|(\|lc)|(penalty))"</v>
      </c>
      <c r="AG153" s="182" t="str">
        <f t="shared" si="70"/>
        <v>EC</v>
      </c>
      <c r="AH153" s="78" t="str">
        <f t="shared" ref="AH153" si="79">refinertdcruntimes&amp;" --tripid "&amp;A153&amp;" --locoid "&amp;B153&amp;" --swversion "&amp;C153&amp;" --startMP "&amp;D153&amp;" --initTime "&amp;TEXT(E153,"yyyy-mm-ddTHH:MM:SS")&amp;" --startdatetime "&amp;TEXT(F153,"yyyy-mm-ddTHH:MM:SS")&amp;" --delay "&amp;G153&amp;" --endMP "&amp;H153&amp;" --enddatetime "&amp;TEXT(I153,"yyyy-mm-ddTHH:MM:SS")&amp;" --enforcementcount "&amp;J153&amp;IF(outputrefinedruntimes," &gt;&gt;"&amp;RefinedRTDCRunTimesOutputFile,"")</f>
        <v>"%USERPROFILE%\Documents\GitHub\eaglep3\Utilities\RefineRTDCRunTimes.py" --tripid 238-19 --locoid 4009 --swversion DE.1.0.9.0 --startMP 204:1156 --initTime 2017-09-19T22:52:07 --startdatetime 2017-09-19T23:57:16 --delay 61 --endMP 204:233353 --enddatetime 2017-09-20T00:33:22 --enforcementcount 0 &gt;&gt;C:\Users\stu\Documents\GitHub\eaglep3-reporting\EC\2017-09-19-refined-times.txt</v>
      </c>
      <c r="AI153" s="96" t="str">
        <f t="shared" ref="AI153" si="80">"echo {""issue"":{""subject"":"""&amp;R153&amp;""",""project_id"":79,""tracker_id"":40,""status_id"":"&amp;redmine_status&amp;",""priority_id"":"&amp;redmine_priority&amp;",""assigned_to_id"":"&amp;redmine_assignee&amp;",""start_date"":"""&amp;TEXT(I153,"YYYY-mm-dd")&amp;""",""description"":"""&amp;AJ153&amp;""",""custom_fields"":[{""id"":1,""name"":""Subdivision"",""value"":"""&amp;AG153&amp;"""},{""id"":4,""name"":""Milepost"",""value"":"""&amp;Z153&amp;"""},{""id"":17,""name"":""Train ID"",""value"":"""&amp;A153&amp;"""},{""id"":16,""name"":""Locomotive ID"",""value"":"""&amp;B153&amp;"""},{""id"":130,""name"":""Impact"",""value"":"""&amp;AK153&amp;"""},{""id"":150,""name"":""Time of Event (Mountain Time)"",""value"":"""&amp;TEXT(I153,"hh:mm:ss")&amp;"""},{""id"":151,""name"":""Denver Issue ID"",""value"":"""&amp;"""},{""id"":178,""name"":""Operational Impact"",""value"":"""&amp;redmine_op_impact&amp;"""},{""id"":179,""name"":""Denver Segment Assigned"",""value"":"""&amp;AL153&amp;"""}]}}"&amp;"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{"issue":{"subject":"","project_id":79,"tracker_id":40,"status_id":1,"priority_id":2,"assigned_to_id":338,"start_date":"2017-09-20","description":"","custom_fields":[{"id":1,"name":"Subdivision","value":"EC"},{"id":4,"name":"Milepost","value":"0.0152"},{"id":17,"name":"Train ID","value":"238-19"},{"id":16,"name":"Locomotive ID","value":"4009"},{"id":130,"name":"Impact","value":""},{"id":150,"name":"Time of Event (Mountain Time)","value":"00:33:22"},{"id":151,"name":"Denver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ref="AM153" si="81">"start /low /b "&amp;dls3logs&amp;" --loco "&amp;B153&amp;" --day "&amp;TEXT(F153,"YYYY-MM-DD")</f>
        <v>start /low /b %USERPROFILE%\Documents\GitHub\eaglep3\Utilities\DownloadLogsFromS3.py --loco 4009 --day 2017-09-19</v>
      </c>
      <c r="AN153" s="151" t="str">
        <f t="shared" ref="AN153" si="82">"echo {""issue"":{""subject"":"""&amp;R153&amp;""",""project_id"":30,""tracker_id"":4,""status_id"":"&amp;redmine_status_wcr&amp;",""priority_id"":"&amp;redmine_priority_wcr&amp;",""assigned_to_id"":"&amp;redmine_assignee_wcr&amp;",""start_date"":"""&amp;TEXT(I153-utc_offset/24,"YYYY-mm-dd")&amp;""",""description"":"""&amp;AJ153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06:33:22"},{"id":29,"name":"Sharepoint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ref="AO153" si="83"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Message%20ID',Summary),filters:!(),index:'emp_*',interval:auto,query:"&amp;"(query_string:(analyze_wildcard:!t,query:'Message%5C+ID:(*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-09-19T21:52:07-0600',mode:absolute,to:'2017-09-20T01:33:22-0600'))&amp;_a=(columns:!('Message%20ID',Summary),filters:!(),index:'emp_*',interval:auto,query:(query_string:(analyze_wildcard:!t,query:'Message%5C+ID:(*)+AND+%22rtdc.l.rtdc.4009%22')),sort:!(Time.ISO8601,asc))</v>
      </c>
    </row>
    <row r="154" spans="1:91" s="20" customFormat="1" x14ac:dyDescent="0.25">
      <c r="A154" s="32" t="s">
        <v>850</v>
      </c>
      <c r="B154" s="7">
        <v>4028</v>
      </c>
      <c r="C154" s="21" t="s">
        <v>197</v>
      </c>
      <c r="D154" s="21" t="s">
        <v>381</v>
      </c>
      <c r="E154" s="13">
        <v>42997.966111111113</v>
      </c>
      <c r="F154" s="13">
        <v>42997.979351851849</v>
      </c>
      <c r="G154" s="7">
        <v>54</v>
      </c>
      <c r="H154" s="21" t="s">
        <v>564</v>
      </c>
      <c r="I154" s="13">
        <v>42998.006574074076</v>
      </c>
      <c r="J154" s="7">
        <v>0</v>
      </c>
      <c r="K154" s="89" t="str">
        <f t="shared" si="61"/>
        <v>4027/4028</v>
      </c>
      <c r="L154" s="185" t="str">
        <f>VLOOKUP(A154,'Trips&amp;Operators'!$C$1:$G$99911,5,FALSE)</f>
        <v>LOZA FIDEL</v>
      </c>
      <c r="M154" s="6">
        <f t="shared" si="62"/>
        <v>2.7222222226555459E-2</v>
      </c>
      <c r="N154" s="7">
        <f t="shared" si="71"/>
        <v>39.200000006239861</v>
      </c>
      <c r="O154" s="7"/>
      <c r="P154" s="7"/>
      <c r="Q154" s="22"/>
      <c r="R154" s="174"/>
      <c r="S154" s="221">
        <f t="shared" si="72"/>
        <v>1</v>
      </c>
      <c r="T154" s="174" t="str">
        <f t="shared" si="63"/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64"/>
        <v>https://d0f6bd738d7f1b3e5a7ca70fe4ff75f0.us-east-1.aws.found.io/app/kibana#/discover/Steve-Slow-Train-Analysis-(2080s-and-2083s)?_g=(refreshInterval:(display:Off,pause:!f,section:0,value:0),time:(from:'2017-09-19T22:11:12-0600',mode:absolute,to:'2017-09-20T01:09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4" s="204" t="str">
        <f>IF(AA154&lt;VLOOKUP(AG154,Variables!$AC$3:$AD$8,2,FALSE),"Y","N")</f>
        <v>N</v>
      </c>
      <c r="X154" s="204">
        <f t="shared" si="78"/>
        <v>1</v>
      </c>
      <c r="Y154" s="204">
        <f t="shared" ref="Y154:Y186" si="84">RIGHT(D154,LEN(D154)-4)/10000</f>
        <v>4.5999999999999999E-2</v>
      </c>
      <c r="Z154" s="204">
        <f t="shared" ref="Z154:Z186" si="85">RIGHT(H154,LEN(H154)-4)/10000</f>
        <v>23.330400000000001</v>
      </c>
      <c r="AA154" s="204">
        <f t="shared" si="66"/>
        <v>23.284400000000002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 t="shared" si="67"/>
        <v>239</v>
      </c>
      <c r="AE154" s="77" t="str">
        <f t="shared" si="68"/>
        <v>aws s3 cp s3://rtdc.mdm.uploadarchive.raw/RTDC4028/ "%USERPROFILE%\AppData\Local\Temp\OnboardLogs"\RTDC4028\2017-09-19 --exclude "*" --recursive --include "*20170919*" &amp; "%USERPROFILE%\Documents\GitHub\mrs-test-scripts\Headless Mode &amp; Sideloading\WalkAndUnGZ.bat" "%USERPROFILE%\AppData\Local\Temp\OnboardLogs"\RTDC4028\2017-09-19 &amp; aws s3 cp s3://rtdc.mdm.uploadarchive.raw/RTDC4028/ "%USERPROFILE%\AppData\Local\Temp\OnboardLogs"\RTDC4028\2017-09-20 --exclude "*" --recursive --include "*20170920*" &amp; "%USERPROFILE%\Documents\GitHub\mrs-test-scripts\Headless Mode &amp; Sideloading\WalkAndUnGZ.bat" "%USERPROFILE%\AppData\Local\Temp\OnboardLogs"\RTDC4028\2017-09-20</v>
      </c>
      <c r="AF154" s="74" t="str">
        <f t="shared" si="69"/>
        <v>"C:\Program Files (x86)\AstroGrep\AstroGrep.exe" /e /r /s /spath="%USERPROFILE%\AppData\Local\Temp\OnboardLogs" /stypes="app*4028*20170920*" /stext=" 06:.+((SYSTEM_STATE.+slice.+state.+changed )|(ment ac)|(multiple cpu faults)|(system.+state.+changed )|(\[timeout)|(PRM\|1\|D)|(kpr)|(kdp)|(train st.+moving)|(\|lc)|(penalty))"</v>
      </c>
      <c r="AG154" s="182" t="str">
        <f t="shared" si="70"/>
        <v>EC</v>
      </c>
      <c r="AH154" s="78" t="str">
        <f t="shared" si="73"/>
        <v>"%USERPROFILE%\Documents\GitHub\eaglep3\Utilities\RefineRTDCRunTimes.py" --tripid 239-19 --locoid 4028 --swversion DE.1.0.9.0 --startMP 204:460 --initTime 2017-09-19T23:11:12 --startdatetime 2017-09-19T23:30:16 --delay 54 --endMP 204:233304 --enddatetime 2017-09-20T00:09:28 --enforcementcount 0 &gt;&gt;C:\Users\stu\Documents\GitHub\eaglep3-reporting\EC\2017-09-19-refined-times.txt</v>
      </c>
      <c r="AI154" s="96" t="str">
        <f t="shared" si="74"/>
        <v>echo {"issue":{"subject":"","project_id":79,"tracker_id":40,"status_id":1,"priority_id":2,"assigned_to_id":338,"start_date":"2017-09-20","description":"","custom_fields":[{"id":1,"name":"Subdivision","value":"EC"},{"id":4,"name":"Milepost","value":"23.3304"},{"id":17,"name":"Train ID","value":"239-19"},{"id":16,"name":"Locomotive ID","value":"4028"},{"id":130,"name":"Impact","value":""},{"id":150,"name":"Time of Event (Mountain Time)","value":"00:09:28"},{"id":151,"name":"Denver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75"/>
        <v>start /low /b %USERPROFILE%\Documents\GitHub\eaglep3\Utilities\DownloadLogsFromS3.py --loco 4028 --day 2017-09-19</v>
      </c>
      <c r="AN154" s="151" t="str">
        <f t="shared" si="76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06:09:28"},{"id":29,"name":"Sharepoint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77"/>
        <v>https://d0f6bd738d7f1b3e5a7ca70fe4ff75f0.us-east-1.aws.found.io/app/kibana#/discover/Steve-Slow-Train-Analysis-(2080s-and-2083s)?_g=(refreshInterval:(display:Off,pause:!f,section:0,value:0),time:(from:'2017-09-19T22:11:12-0600',mode:absolute,to:'2017-09-20T01:09:28-0600'))&amp;_a=(columns:!('Message%20ID',Summary),filters:!(),index:'emp_*',interval:auto,query:(query_string:(analyze_wildcard:!t,query:'Message%5C+ID:(*)+AND+%22rtdc.l.rtdc.4028%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855</v>
      </c>
      <c r="B155" s="7">
        <v>4027</v>
      </c>
      <c r="C155" s="21" t="s">
        <v>197</v>
      </c>
      <c r="D155" s="21" t="s">
        <v>487</v>
      </c>
      <c r="E155" s="13">
        <v>42998.009039351855</v>
      </c>
      <c r="F155" s="13">
        <v>42998.018958333334</v>
      </c>
      <c r="G155" s="7">
        <v>56</v>
      </c>
      <c r="H155" s="21" t="s">
        <v>905</v>
      </c>
      <c r="I155" s="13">
        <v>42998.044988425929</v>
      </c>
      <c r="J155" s="7">
        <v>0</v>
      </c>
      <c r="K155" s="89" t="str">
        <f t="shared" si="61"/>
        <v>4027/4028</v>
      </c>
      <c r="L155" s="185" t="str">
        <f>VLOOKUP(A155,'Trips&amp;Operators'!$C$1:$G$99911,5,FALSE)</f>
        <v>LOZA FIDEL</v>
      </c>
      <c r="M155" s="6">
        <f t="shared" si="62"/>
        <v>2.6030092594737653E-2</v>
      </c>
      <c r="N155" s="7">
        <f t="shared" si="71"/>
        <v>37.48333333642222</v>
      </c>
      <c r="O155" s="7"/>
      <c r="P155" s="7"/>
      <c r="Q155" s="22"/>
      <c r="R155" s="174"/>
      <c r="S155" s="221">
        <f t="shared" si="72"/>
        <v>1</v>
      </c>
      <c r="T155" s="174" t="str">
        <f t="shared" si="63"/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64"/>
        <v>https://d0f6bd738d7f1b3e5a7ca70fe4ff75f0.us-east-1.aws.found.io/app/kibana#/discover/Steve-Slow-Train-Analysis-(2080s-and-2083s)?_g=(refreshInterval:(display:Off,pause:!f,section:0,value:0),time:(from:'2017-09-19T23:13:01-0600',mode:absolute,to:'2017-09-20T02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5" s="204" t="str">
        <f>IF(AA155&lt;VLOOKUP(AG155,Variables!$AC$3:$AD$8,2,FALSE),"Y","N")</f>
        <v>N</v>
      </c>
      <c r="X155" s="204">
        <f t="shared" ref="X155:X186" si="86">VALUE(LEFT(AD155,4))-VALUE(LEFT(AD154,4))</f>
        <v>1</v>
      </c>
      <c r="Y155" s="204">
        <f t="shared" si="84"/>
        <v>23.299299999999999</v>
      </c>
      <c r="Z155" s="204">
        <f t="shared" si="85"/>
        <v>1.37E-2</v>
      </c>
      <c r="AA155" s="204">
        <f t="shared" si="66"/>
        <v>23.285599999999999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 t="shared" si="67"/>
        <v>240</v>
      </c>
      <c r="AE155" s="77" t="str">
        <f t="shared" si="68"/>
        <v>aws s3 cp s3://rtdc.mdm.uploadarchive.raw/RTDC4027/ "%USERPROFILE%\AppData\Local\Temp\OnboardLogs"\RTDC4027\2017-09-20 --exclude "*" --recursive --include "*20170920*" &amp; "%USERPROFILE%\Documents\GitHub\mrs-test-scripts\Headless Mode &amp; Sideloading\WalkAndUnGZ.bat" "%USERPROFILE%\AppData\Local\Temp\OnboardLogs"\RTDC4027\2017-09-20 &amp; aws s3 cp s3://rtdc.mdm.uploadarchive.raw/RTDC4027/ "%USERPROFILE%\AppData\Local\Temp\OnboardLogs"\RTDC4027\2017-09-21 --exclude "*" --recursive --include "*20170921*" &amp; "%USERPROFILE%\Documents\GitHub\mrs-test-scripts\Headless Mode &amp; Sideloading\WalkAndUnGZ.bat" "%USERPROFILE%\AppData\Local\Temp\OnboardLogs"\RTDC4027\2017-09-21</v>
      </c>
      <c r="AF155" s="74" t="str">
        <f t="shared" si="69"/>
        <v>"C:\Program Files (x86)\AstroGrep\AstroGrep.exe" /e /r /s /spath="%USERPROFILE%\AppData\Local\Temp\OnboardLogs" /stypes="app*4027*20170920*" /stext=" 07:.+((SYSTEM_STATE.+slice.+state.+changed )|(ment ac)|(multiple cpu faults)|(system.+state.+changed )|(\[timeout)|(PRM\|1\|D)|(kpr)|(kdp)|(train st.+moving)|(\|lc)|(penalty))"</v>
      </c>
      <c r="AG155" s="182" t="str">
        <f t="shared" si="70"/>
        <v>EC</v>
      </c>
      <c r="AH155" s="78" t="str">
        <f t="shared" si="73"/>
        <v>"%USERPROFILE%\Documents\GitHub\eaglep3\Utilities\RefineRTDCRunTimes.py" --tripid 240-19 --locoid 4027 --swversion DE.1.0.9.0 --startMP 204:232993 --initTime 2017-09-20T00:13:01 --startdatetime 2017-09-20T00:27:18 --delay 56 --endMP 204:137 --enddatetime 2017-09-20T01:04:47 --enforcementcount 0 &gt;&gt;C:\Users\stu\Documents\GitHub\eaglep3-reporting\EC\2017-09-19-refined-times.txt</v>
      </c>
      <c r="AI155" s="96" t="str">
        <f t="shared" si="74"/>
        <v>echo {"issue":{"subject":"","project_id":79,"tracker_id":40,"status_id":1,"priority_id":2,"assigned_to_id":338,"start_date":"2017-09-20","description":"","custom_fields":[{"id":1,"name":"Subdivision","value":"EC"},{"id":4,"name":"Milepost","value":"0.0137"},{"id":17,"name":"Train ID","value":"240-19"},{"id":16,"name":"Locomotive ID","value":"4027"},{"id":130,"name":"Impact","value":""},{"id":150,"name":"Time of Event (Mountain Time)","value":"01:04:47"},{"id":151,"name":"Denver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75"/>
        <v>start /low /b %USERPROFILE%\Documents\GitHub\eaglep3\Utilities\DownloadLogsFromS3.py --loco 4027 --day 2017-09-20</v>
      </c>
      <c r="AN155" s="151" t="str">
        <f t="shared" si="76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07:04:47"},{"id":29,"name":"Sharepoint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77"/>
        <v>https://d0f6bd738d7f1b3e5a7ca70fe4ff75f0.us-east-1.aws.found.io/app/kibana#/discover/Steve-Slow-Train-Analysis-(2080s-and-2083s)?_g=(refreshInterval:(display:Off,pause:!f,section:0,value:0),time:(from:'2017-09-19T23:13:01-0600',mode:absolute,to:'2017-09-20T02:04:47-0600'))&amp;_a=(columns:!('Message%20ID',Summary),filters:!(),index:'emp_*',interval:auto,query:(query_string:(analyze_wildcard:!t,query:'Message%5C+ID:(*)+AND+%22rtdc.l.rtdc.4027%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854</v>
      </c>
      <c r="B156" s="7">
        <v>4056</v>
      </c>
      <c r="C156" s="21" t="s">
        <v>197</v>
      </c>
      <c r="D156" s="21" t="s">
        <v>525</v>
      </c>
      <c r="E156" s="13">
        <v>42997.985300925924</v>
      </c>
      <c r="F156" s="13">
        <v>42998.000416666669</v>
      </c>
      <c r="G156" s="7">
        <v>52</v>
      </c>
      <c r="H156" s="21" t="s">
        <v>512</v>
      </c>
      <c r="I156" s="13">
        <v>42998.028599537036</v>
      </c>
      <c r="J156" s="7">
        <v>0</v>
      </c>
      <c r="K156" s="89" t="str">
        <f t="shared" si="61"/>
        <v>4055/4056</v>
      </c>
      <c r="L156" s="185" t="str">
        <f>VLOOKUP(A156,'Trips&amp;Operators'!$C$1:$G$99911,5,FALSE)</f>
        <v>PERKINS DARREN</v>
      </c>
      <c r="M156" s="6">
        <f t="shared" si="62"/>
        <v>2.8182870366435964E-2</v>
      </c>
      <c r="N156" s="7">
        <f t="shared" si="71"/>
        <v>40.583333327667788</v>
      </c>
      <c r="O156" s="7"/>
      <c r="P156" s="7"/>
      <c r="Q156" s="22"/>
      <c r="R156" s="174"/>
      <c r="S156" s="221">
        <f t="shared" si="72"/>
        <v>1</v>
      </c>
      <c r="T156" s="174" t="str">
        <f t="shared" si="63"/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64"/>
        <v>https://d0f6bd738d7f1b3e5a7ca70fe4ff75f0.us-east-1.aws.found.io/app/kibana#/discover/Steve-Slow-Train-Analysis-(2080s-and-2083s)?_g=(refreshInterval:(display:Off,pause:!f,section:0,value:0),time:(from:'2017-09-19T22:38:50-0600',mode:absolute,to:'2017-09-20T01:41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6" s="204" t="str">
        <f>IF(AA156&lt;VLOOKUP(AG156,Variables!$AC$3:$AD$8,2,FALSE),"Y","N")</f>
        <v>N</v>
      </c>
      <c r="X156" s="204">
        <f t="shared" si="86"/>
        <v>1</v>
      </c>
      <c r="Y156" s="204">
        <f t="shared" si="84"/>
        <v>4.5699999999999998E-2</v>
      </c>
      <c r="Z156" s="204">
        <f t="shared" si="85"/>
        <v>23.330200000000001</v>
      </c>
      <c r="AA156" s="204">
        <f t="shared" si="66"/>
        <v>23.284500000000001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 t="shared" si="67"/>
        <v>241</v>
      </c>
      <c r="AE156" s="77" t="str">
        <f t="shared" si="68"/>
        <v>aws s3 cp s3://rtdc.mdm.uploadarchive.raw/RTDC4056/ "%USERPROFILE%\AppData\Local\Temp\OnboardLogs"\RTDC4056\2017-09-20 --exclude "*" --recursive --include "*20170920*" &amp; "%USERPROFILE%\Documents\GitHub\mrs-test-scripts\Headless Mode &amp; Sideloading\WalkAndUnGZ.bat" "%USERPROFILE%\AppData\Local\Temp\OnboardLogs"\RTDC4056\2017-09-20 &amp; aws s3 cp s3://rtdc.mdm.uploadarchive.raw/RTDC4056/ "%USERPROFILE%\AppData\Local\Temp\OnboardLogs"\RTDC4056\2017-09-21 --exclude "*" --recursive --include "*20170921*" &amp; "%USERPROFILE%\Documents\GitHub\mrs-test-scripts\Headless Mode &amp; Sideloading\WalkAndUnGZ.bat" "%USERPROFILE%\AppData\Local\Temp\OnboardLogs"\RTDC4056\2017-09-21</v>
      </c>
      <c r="AF156" s="74" t="str">
        <f t="shared" si="69"/>
        <v>"C:\Program Files (x86)\AstroGrep\AstroGrep.exe" /e /r /s /spath="%USERPROFILE%\AppData\Local\Temp\OnboardLogs" /stypes="app*4056*20170920*" /stext=" 06:.+((SYSTEM_STATE.+slice.+state.+changed )|(ment ac)|(multiple cpu faults)|(system.+state.+changed )|(\[timeout)|(PRM\|1\|D)|(kpr)|(kdp)|(train st.+moving)|(\|lc)|(penalty))"</v>
      </c>
      <c r="AG156" s="182" t="str">
        <f t="shared" si="70"/>
        <v>EC</v>
      </c>
      <c r="AH156" s="78" t="str">
        <f t="shared" si="73"/>
        <v>"%USERPROFILE%\Documents\GitHub\eaglep3\Utilities\RefineRTDCRunTimes.py" --tripid 241-19 --locoid 4056 --swversion DE.1.0.9.0 --startMP 204:457 --initTime 2017-09-19T23:38:50 --startdatetime 2017-09-20T00:00:36 --delay 52 --endMP 204:233302 --enddatetime 2017-09-20T00:41:11 --enforcementcount 0 &gt;&gt;C:\Users\stu\Documents\GitHub\eaglep3-reporting\EC\2017-09-19-refined-times.txt</v>
      </c>
      <c r="AI156" s="96" t="str">
        <f t="shared" si="74"/>
        <v>echo {"issue":{"subject":"","project_id":79,"tracker_id":40,"status_id":1,"priority_id":2,"assigned_to_id":338,"start_date":"2017-09-20","description":"","custom_fields":[{"id":1,"name":"Subdivision","value":"EC"},{"id":4,"name":"Milepost","value":"23.3302"},{"id":17,"name":"Train ID","value":"241-19"},{"id":16,"name":"Locomotive ID","value":"4056"},{"id":130,"name":"Impact","value":""},{"id":150,"name":"Time of Event (Mountain Time)","value":"00:41:11"},{"id":151,"name":"Denver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75"/>
        <v>start /low /b %USERPROFILE%\Documents\GitHub\eaglep3\Utilities\DownloadLogsFromS3.py --loco 4056 --day 2017-09-20</v>
      </c>
      <c r="AN156" s="151" t="str">
        <f t="shared" si="76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06:41:11"},{"id":29,"name":"Sharepoint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77"/>
        <v>https://d0f6bd738d7f1b3e5a7ca70fe4ff75f0.us-east-1.aws.found.io/app/kibana#/discover/Steve-Slow-Train-Analysis-(2080s-and-2083s)?_g=(refreshInterval:(display:Off,pause:!f,section:0,value:0),time:(from:'2017-09-19T22:38:50-0600',mode:absolute,to:'2017-09-20T01:41:11-0600'))&amp;_a=(columns:!('Message%20ID',Summary),filters:!(),index:'emp_*',interval:auto,query:(query_string:(analyze_wildcard:!t,query:'Message%5C+ID:(*)+AND+%22rtdc.l.rtdc.4056%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858</v>
      </c>
      <c r="B157" s="7">
        <v>4055</v>
      </c>
      <c r="C157" s="21" t="s">
        <v>197</v>
      </c>
      <c r="D157" s="21" t="s">
        <v>897</v>
      </c>
      <c r="E157" s="13">
        <v>42998.030659722222</v>
      </c>
      <c r="F157" s="13">
        <v>42998.039803240739</v>
      </c>
      <c r="G157" s="7">
        <v>58</v>
      </c>
      <c r="H157" s="21" t="s">
        <v>900</v>
      </c>
      <c r="I157" s="13">
        <v>42998.065578703703</v>
      </c>
      <c r="J157" s="7">
        <v>0</v>
      </c>
      <c r="K157" s="89" t="str">
        <f t="shared" si="61"/>
        <v>4055/4056</v>
      </c>
      <c r="L157" s="185" t="str">
        <f>VLOOKUP(A157,'Trips&amp;Operators'!$C$1:$G$99911,5,FALSE)</f>
        <v>PERKINS DARREN</v>
      </c>
      <c r="M157" s="6">
        <f t="shared" si="62"/>
        <v>2.5775462963792961E-2</v>
      </c>
      <c r="N157" s="7">
        <f t="shared" si="71"/>
        <v>37.116666667861864</v>
      </c>
      <c r="O157" s="7"/>
      <c r="P157" s="7"/>
      <c r="Q157" s="22"/>
      <c r="R157" s="174"/>
      <c r="S157" s="221">
        <f t="shared" si="72"/>
        <v>1</v>
      </c>
      <c r="T157" s="174" t="str">
        <f t="shared" si="63"/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 t="shared" si="64"/>
        <v>https://d0f6bd738d7f1b3e5a7ca70fe4ff75f0.us-east-1.aws.found.io/app/kibana#/discover/Steve-Slow-Train-Analysis-(2080s-and-2083s)?_g=(refreshInterval:(display:Off,pause:!f,section:0,value:0),time:(from:'2017-09-19T23:44:09-0600',mode:absolute,to:'2017-09-20T02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7" s="204" t="str">
        <f>IF(AA157&lt;VLOOKUP(AG157,Variables!$AC$3:$AD$8,2,FALSE),"Y","N")</f>
        <v>N</v>
      </c>
      <c r="X157" s="204">
        <f t="shared" si="86"/>
        <v>1</v>
      </c>
      <c r="Y157" s="204">
        <f t="shared" si="84"/>
        <v>23.3004</v>
      </c>
      <c r="Z157" s="204">
        <f t="shared" si="85"/>
        <v>1.2500000000000001E-2</v>
      </c>
      <c r="AA157" s="204">
        <f t="shared" si="66"/>
        <v>23.2879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 t="shared" si="67"/>
        <v>242</v>
      </c>
      <c r="AE157" s="77" t="str">
        <f t="shared" si="68"/>
        <v>aws s3 cp s3://rtdc.mdm.uploadarchive.raw/RTDC4055/ "%USERPROFILE%\AppData\Local\Temp\OnboardLogs"\RTDC4055\2017-09-20 --exclude "*" --recursive --include "*20170920*" &amp; "%USERPROFILE%\Documents\GitHub\mrs-test-scripts\Headless Mode &amp; Sideloading\WalkAndUnGZ.bat" "%USERPROFILE%\AppData\Local\Temp\OnboardLogs"\RTDC4055\2017-09-20 &amp; aws s3 cp s3://rtdc.mdm.uploadarchive.raw/RTDC4055/ "%USERPROFILE%\AppData\Local\Temp\OnboardLogs"\RTDC4055\2017-09-21 --exclude "*" --recursive --include "*20170921*" &amp; "%USERPROFILE%\Documents\GitHub\mrs-test-scripts\Headless Mode &amp; Sideloading\WalkAndUnGZ.bat" "%USERPROFILE%\AppData\Local\Temp\OnboardLogs"\RTDC4055\2017-09-21</v>
      </c>
      <c r="AF157" s="74" t="str">
        <f t="shared" si="69"/>
        <v>"C:\Program Files (x86)\AstroGrep\AstroGrep.exe" /e /r /s /spath="%USERPROFILE%\AppData\Local\Temp\OnboardLogs" /stypes="app*4055*20170920*" /stext=" 07:.+((SYSTEM_STATE.+slice.+state.+changed )|(ment ac)|(multiple cpu faults)|(system.+state.+changed )|(\[timeout)|(PRM\|1\|D)|(kpr)|(kdp)|(train st.+moving)|(\|lc)|(penalty))"</v>
      </c>
      <c r="AG157" s="182" t="str">
        <f t="shared" si="70"/>
        <v>EC</v>
      </c>
      <c r="AH157" s="78" t="str">
        <f t="shared" si="73"/>
        <v>"%USERPROFILE%\Documents\GitHub\eaglep3\Utilities\RefineRTDCRunTimes.py" --tripid 242-19 --locoid 4055 --swversion DE.1.0.9.0 --startMP 204:233004 --initTime 2017-09-20T00:44:09 --startdatetime 2017-09-20T00:57:19 --delay 58 --endMP 204:125 --enddatetime 2017-09-20T01:34:26 --enforcementcount 0 &gt;&gt;C:\Users\stu\Documents\GitHub\eaglep3-reporting\EC\2017-09-19-refined-times.txt</v>
      </c>
      <c r="AI157" s="96" t="str">
        <f t="shared" si="74"/>
        <v>echo {"issue":{"subject":"","project_id":79,"tracker_id":40,"status_id":1,"priority_id":2,"assigned_to_id":338,"start_date":"2017-09-20","description":"","custom_fields":[{"id":1,"name":"Subdivision","value":"EC"},{"id":4,"name":"Milepost","value":"0.0125"},{"id":17,"name":"Train ID","value":"242-19"},{"id":16,"name":"Locomotive ID","value":"4055"},{"id":130,"name":"Impact","value":""},{"id":150,"name":"Time of Event (Mountain Time)","value":"01:34:26"},{"id":151,"name":"Denver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75"/>
        <v>start /low /b %USERPROFILE%\Documents\GitHub\eaglep3\Utilities\DownloadLogsFromS3.py --loco 4055 --day 2017-09-20</v>
      </c>
      <c r="AN157" s="151" t="str">
        <f t="shared" si="76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07:34:26"},{"id":29,"name":"Sharepoint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77"/>
        <v>https://d0f6bd738d7f1b3e5a7ca70fe4ff75f0.us-east-1.aws.found.io/app/kibana#/discover/Steve-Slow-Train-Analysis-(2080s-and-2083s)?_g=(refreshInterval:(display:Off,pause:!f,section:0,value:0),time:(from:'2017-09-19T23:44:09-0600',mode:absolute,to:'2017-09-20T02:34:26-0600'))&amp;_a=(columns:!('Message%20ID',Summary),filters:!(),index:'emp_*',interval:auto,query:(query_string:(analyze_wildcard:!t,query:'Message%5C+ID:(*)+AND+%22rtdc.l.rtdc.4055%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856</v>
      </c>
      <c r="B158" s="7">
        <v>4030</v>
      </c>
      <c r="C158" s="21" t="s">
        <v>197</v>
      </c>
      <c r="D158" s="21" t="s">
        <v>371</v>
      </c>
      <c r="E158" s="13">
        <v>42998.015497685185</v>
      </c>
      <c r="F158" s="13">
        <v>42998.021064814813</v>
      </c>
      <c r="G158" s="7">
        <v>64</v>
      </c>
      <c r="H158" s="21" t="s">
        <v>906</v>
      </c>
      <c r="I158" s="13">
        <v>42998.049143518518</v>
      </c>
      <c r="J158" s="7">
        <v>0</v>
      </c>
      <c r="K158" s="89" t="str">
        <f t="shared" si="61"/>
        <v>4029/4030</v>
      </c>
      <c r="L158" s="185" t="str">
        <f>VLOOKUP(A158,'Trips&amp;Operators'!$C$1:$G$99911,5,FALSE)</f>
        <v>HART KEVIN</v>
      </c>
      <c r="M158" s="6">
        <f t="shared" si="62"/>
        <v>2.8078703704522923E-2</v>
      </c>
      <c r="N158" s="7">
        <f t="shared" si="71"/>
        <v>40.433333334513009</v>
      </c>
      <c r="O158" s="7"/>
      <c r="P158" s="7"/>
      <c r="Q158" s="22"/>
      <c r="R158" s="174"/>
      <c r="S158" s="221">
        <f t="shared" si="72"/>
        <v>1</v>
      </c>
      <c r="T158" s="174" t="str">
        <f t="shared" si="63"/>
        <v>NorthBound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 t="shared" si="64"/>
        <v>https://d0f6bd738d7f1b3e5a7ca70fe4ff75f0.us-east-1.aws.found.io/app/kibana#/discover/Steve-Slow-Train-Analysis-(2080s-and-2083s)?_g=(refreshInterval:(display:Off,pause:!f,section:0,value:0),time:(from:'2017-09-19T23:22:19-0600',mode:absolute,to:'2017-09-20T02:10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8" s="204" t="str">
        <f>IF(AA158&lt;VLOOKUP(AG158,Variables!$AC$3:$AD$8,2,FALSE),"Y","N")</f>
        <v>N</v>
      </c>
      <c r="X158" s="204">
        <f t="shared" si="86"/>
        <v>1</v>
      </c>
      <c r="Y158" s="204">
        <f t="shared" si="84"/>
        <v>4.6699999999999998E-2</v>
      </c>
      <c r="Z158" s="204">
        <f t="shared" si="85"/>
        <v>23.333100000000002</v>
      </c>
      <c r="AA158" s="204">
        <f t="shared" si="66"/>
        <v>23.2864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 t="shared" si="67"/>
        <v>243</v>
      </c>
      <c r="AE158" s="77" t="str">
        <f t="shared" si="68"/>
        <v>aws s3 cp s3://rtdc.mdm.uploadarchive.raw/RTDC4030/ "%USERPROFILE%\AppData\Local\Temp\OnboardLogs"\RTDC4030\2017-09-20 --exclude "*" --recursive --include "*20170920*" &amp; "%USERPROFILE%\Documents\GitHub\mrs-test-scripts\Headless Mode &amp; Sideloading\WalkAndUnGZ.bat" "%USERPROFILE%\AppData\Local\Temp\OnboardLogs"\RTDC4030\2017-09-20 &amp; aws s3 cp s3://rtdc.mdm.uploadarchive.raw/RTDC4030/ "%USERPROFILE%\AppData\Local\Temp\OnboardLogs"\RTDC4030\2017-09-21 --exclude "*" --recursive --include "*20170921*" &amp; "%USERPROFILE%\Documents\GitHub\mrs-test-scripts\Headless Mode &amp; Sideloading\WalkAndUnGZ.bat" "%USERPROFILE%\AppData\Local\Temp\OnboardLogs"\RTDC4030\2017-09-21</v>
      </c>
      <c r="AF158" s="74" t="str">
        <f t="shared" si="69"/>
        <v>"C:\Program Files (x86)\AstroGrep\AstroGrep.exe" /e /r /s /spath="%USERPROFILE%\AppData\Local\Temp\OnboardLogs" /stypes="app*4030*20170920*" /stext=" 07:.+((SYSTEM_STATE.+slice.+state.+changed )|(ment ac)|(multiple cpu faults)|(system.+state.+changed )|(\[timeout)|(PRM\|1\|D)|(kpr)|(kdp)|(train st.+moving)|(\|lc)|(penalty))"</v>
      </c>
      <c r="AG158" s="182" t="str">
        <f t="shared" si="70"/>
        <v>EC</v>
      </c>
      <c r="AH158" s="78" t="str">
        <f t="shared" si="73"/>
        <v>"%USERPROFILE%\Documents\GitHub\eaglep3\Utilities\RefineRTDCRunTimes.py" --tripid 243-19 --locoid 4030 --swversion DE.1.0.9.0 --startMP 204:467 --initTime 2017-09-20T00:22:19 --startdatetime 2017-09-20T00:30:20 --delay 64 --endMP 204:233331 --enddatetime 2017-09-20T01:10:46 --enforcementcount 0 &gt;&gt;C:\Users\stu\Documents\GitHub\eaglep3-reporting\EC\2017-09-19-refined-times.txt</v>
      </c>
      <c r="AI158" s="96" t="str">
        <f t="shared" si="74"/>
        <v>echo {"issue":{"subject":"","project_id":79,"tracker_id":40,"status_id":1,"priority_id":2,"assigned_to_id":338,"start_date":"2017-09-20","description":"","custom_fields":[{"id":1,"name":"Subdivision","value":"EC"},{"id":4,"name":"Milepost","value":"23.3331"},{"id":17,"name":"Train ID","value":"243-19"},{"id":16,"name":"Locomotive ID","value":"4030"},{"id":130,"name":"Impact","value":""},{"id":150,"name":"Time of Event (Mountain Time)","value":"01:10:46"},{"id":151,"name":"Denver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75"/>
        <v>start /low /b %USERPROFILE%\Documents\GitHub\eaglep3\Utilities\DownloadLogsFromS3.py --loco 4030 --day 2017-09-20</v>
      </c>
      <c r="AN158" s="151" t="str">
        <f t="shared" si="76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07:10:46"},{"id":29,"name":"Sharepoint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77"/>
        <v>https://d0f6bd738d7f1b3e5a7ca70fe4ff75f0.us-east-1.aws.found.io/app/kibana#/discover/Steve-Slow-Train-Analysis-(2080s-and-2083s)?_g=(refreshInterval:(display:Off,pause:!f,section:0,value:0),time:(from:'2017-09-19T23:22:19-0600',mode:absolute,to:'2017-09-20T02:10:46-0600'))&amp;_a=(columns:!('Message%20ID',Summary),filters:!(),index:'emp_*',interval:auto,query:(query_string:(analyze_wildcard:!t,query:'Message%5C+ID:(*)+AND+%22rtdc.l.rtdc.4030%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860</v>
      </c>
      <c r="B159" s="7">
        <v>4029</v>
      </c>
      <c r="C159" s="21" t="s">
        <v>197</v>
      </c>
      <c r="D159" s="21" t="s">
        <v>449</v>
      </c>
      <c r="E159" s="13">
        <v>42998.057210648149</v>
      </c>
      <c r="F159" s="13">
        <v>42998.060636574075</v>
      </c>
      <c r="G159" s="7">
        <v>60</v>
      </c>
      <c r="H159" s="21" t="s">
        <v>338</v>
      </c>
      <c r="I159" s="13">
        <v>42998.085856481484</v>
      </c>
      <c r="J159" s="7">
        <v>0</v>
      </c>
      <c r="K159" s="89" t="str">
        <f t="shared" si="61"/>
        <v>4029/4030</v>
      </c>
      <c r="L159" s="185" t="str">
        <f>VLOOKUP(A159,'Trips&amp;Operators'!$C$1:$G$99911,5,FALSE)</f>
        <v>HART KEVIN</v>
      </c>
      <c r="M159" s="6">
        <f t="shared" si="62"/>
        <v>2.5219907409336884E-2</v>
      </c>
      <c r="N159" s="7">
        <f t="shared" si="71"/>
        <v>36.316666669445112</v>
      </c>
      <c r="O159" s="7"/>
      <c r="P159" s="7"/>
      <c r="Q159" s="22"/>
      <c r="R159" s="174"/>
      <c r="S159" s="221">
        <f t="shared" si="72"/>
        <v>1</v>
      </c>
      <c r="T159" s="174" t="str">
        <f t="shared" si="63"/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16" t="str">
        <f t="shared" si="64"/>
        <v>https://d0f6bd738d7f1b3e5a7ca70fe4ff75f0.us-east-1.aws.found.io/app/kibana#/discover/Steve-Slow-Train-Analysis-(2080s-and-2083s)?_g=(refreshInterval:(display:Off,pause:!f,section:0,value:0),time:(from:'2017-09-20T00:22:23-0600',mode:absolute,to:'2017-09-20T03:03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9" s="204" t="str">
        <f>IF(AA159&lt;VLOOKUP(AG159,Variables!$AC$3:$AD$8,2,FALSE),"Y","N")</f>
        <v>N</v>
      </c>
      <c r="X159" s="204">
        <f t="shared" si="86"/>
        <v>1</v>
      </c>
      <c r="Y159" s="204">
        <f t="shared" si="84"/>
        <v>23.298300000000001</v>
      </c>
      <c r="Z159" s="204">
        <f t="shared" si="85"/>
        <v>1.4999999999999999E-2</v>
      </c>
      <c r="AA159" s="204">
        <f t="shared" si="66"/>
        <v>23.283300000000001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 t="shared" si="67"/>
        <v>244</v>
      </c>
      <c r="AE159" s="77" t="str">
        <f t="shared" si="68"/>
        <v>aws s3 cp s3://rtdc.mdm.uploadarchive.raw/RTDC4029/ "%USERPROFILE%\AppData\Local\Temp\OnboardLogs"\RTDC4029\2017-09-20 --exclude "*" --recursive --include "*20170920*" &amp; "%USERPROFILE%\Documents\GitHub\mrs-test-scripts\Headless Mode &amp; Sideloading\WalkAndUnGZ.bat" "%USERPROFILE%\AppData\Local\Temp\OnboardLogs"\RTDC4029\2017-09-20 &amp; aws s3 cp s3://rtdc.mdm.uploadarchive.raw/RTDC4029/ "%USERPROFILE%\AppData\Local\Temp\OnboardLogs"\RTDC4029\2017-09-21 --exclude "*" --recursive --include "*20170921*" &amp; "%USERPROFILE%\Documents\GitHub\mrs-test-scripts\Headless Mode &amp; Sideloading\WalkAndUnGZ.bat" "%USERPROFILE%\AppData\Local\Temp\OnboardLogs"\RTDC4029\2017-09-21</v>
      </c>
      <c r="AF159" s="74" t="str">
        <f t="shared" si="69"/>
        <v>"C:\Program Files (x86)\AstroGrep\AstroGrep.exe" /e /r /s /spath="%USERPROFILE%\AppData\Local\Temp\OnboardLogs" /stypes="app*4029*20170920*" /stext=" 08:.+((SYSTEM_STATE.+slice.+state.+changed )|(ment ac)|(multiple cpu faults)|(system.+state.+changed )|(\[timeout)|(PRM\|1\|D)|(kpr)|(kdp)|(train st.+moving)|(\|lc)|(penalty))"</v>
      </c>
      <c r="AG159" s="182" t="str">
        <f t="shared" si="70"/>
        <v>EC</v>
      </c>
      <c r="AH159" s="78" t="str">
        <f t="shared" si="73"/>
        <v>"%USERPROFILE%\Documents\GitHub\eaglep3\Utilities\RefineRTDCRunTimes.py" --tripid 244-19 --locoid 4029 --swversion DE.1.0.9.0 --startMP 204:232983 --initTime 2017-09-20T01:22:23 --startdatetime 2017-09-20T01:27:19 --delay 60 --endMP 204:150 --enddatetime 2017-09-20T02:03:38 --enforcementcount 0 &gt;&gt;C:\Users\stu\Documents\GitHub\eaglep3-reporting\EC\2017-09-19-refined-times.txt</v>
      </c>
      <c r="AI159" s="96" t="str">
        <f t="shared" si="74"/>
        <v>echo {"issue":{"subject":"","project_id":79,"tracker_id":40,"status_id":1,"priority_id":2,"assigned_to_id":338,"start_date":"2017-09-20","description":"","custom_fields":[{"id":1,"name":"Subdivision","value":"EC"},{"id":4,"name":"Milepost","value":"0.015"},{"id":17,"name":"Train ID","value":"244-19"},{"id":16,"name":"Locomotive ID","value":"4029"},{"id":130,"name":"Impact","value":""},{"id":150,"name":"Time of Event (Mountain Time)","value":"02:03:38"},{"id":151,"name":"Denver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75"/>
        <v>start /low /b %USERPROFILE%\Documents\GitHub\eaglep3\Utilities\DownloadLogsFromS3.py --loco 4029 --day 2017-09-20</v>
      </c>
      <c r="AN159" s="151" t="str">
        <f t="shared" si="76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08:03:38"},{"id":29,"name":"Sharepoint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77"/>
        <v>https://d0f6bd738d7f1b3e5a7ca70fe4ff75f0.us-east-1.aws.found.io/app/kibana#/discover/Steve-Slow-Train-Analysis-(2080s-and-2083s)?_g=(refreshInterval:(display:Off,pause:!f,section:0,value:0),time:(from:'2017-09-20T00:22:23-0600',mode:absolute,to:'2017-09-20T03:03:38-0600'))&amp;_a=(columns:!('Message%20ID',Summary),filters:!(),index:'emp_*',interval:auto,query:(query_string:(analyze_wildcard:!t,query:'Message%5C+ID:(*)+AND+%22rtdc.l.rtdc.4029%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669</v>
      </c>
      <c r="B160" s="7">
        <v>4005</v>
      </c>
      <c r="C160" s="21" t="s">
        <v>197</v>
      </c>
      <c r="D160" s="21" t="s">
        <v>930</v>
      </c>
      <c r="E160" s="13">
        <v>42997.215312499997</v>
      </c>
      <c r="F160" s="13">
        <v>42997.216990740744</v>
      </c>
      <c r="G160" s="7">
        <v>70</v>
      </c>
      <c r="H160" s="21" t="s">
        <v>931</v>
      </c>
      <c r="I160" s="13">
        <v>42997.226203703707</v>
      </c>
      <c r="J160" s="7">
        <v>0</v>
      </c>
      <c r="K160" s="89" t="str">
        <f t="shared" si="61"/>
        <v>4005/4006</v>
      </c>
      <c r="L160" s="185" t="str">
        <f>VLOOKUP(A160,'Trips&amp;Operators'!$C$1:$G$99911,5,FALSE)</f>
        <v>YANG JAN</v>
      </c>
      <c r="M160" s="6">
        <f t="shared" si="62"/>
        <v>9.2129629629198462E-3</v>
      </c>
      <c r="N160" s="7">
        <f t="shared" si="71"/>
        <v>13.266666666604578</v>
      </c>
      <c r="O160" s="7"/>
      <c r="P160" s="7"/>
      <c r="Q160" s="22"/>
      <c r="R160" s="174"/>
      <c r="S160" s="221">
        <f t="shared" si="72"/>
        <v>1</v>
      </c>
      <c r="T160" s="174" t="str">
        <f t="shared" si="63"/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 t="shared" si="64"/>
        <v>https://d0f6bd738d7f1b3e5a7ca70fe4ff75f0.us-east-1.aws.found.io/app/kibana#/discover/Steve-Slow-Train-Analysis-(2080s-and-2083s)?_g=(refreshInterval:(display:Off,pause:!f,section:0,value:0),time:(from:'2017-09-19T04:10:03-0600',mode:absolute,to:'2017-09-19T06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0" s="204" t="str">
        <f>IF(AA160&lt;VLOOKUP(AG160,Variables!$AC$3:$AD$8,2,FALSE),"Y","N")</f>
        <v>N</v>
      </c>
      <c r="X160" s="204">
        <f t="shared" si="86"/>
        <v>556</v>
      </c>
      <c r="Y160" s="204">
        <f t="shared" si="84"/>
        <v>5.8648999999999996</v>
      </c>
      <c r="Z160" s="204">
        <f t="shared" si="85"/>
        <v>6.9599999999999995E-2</v>
      </c>
      <c r="AA160" s="204">
        <f t="shared" si="66"/>
        <v>5.7952999999999992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 t="shared" si="67"/>
        <v>800</v>
      </c>
      <c r="AE160" s="77" t="str">
        <f t="shared" si="68"/>
        <v>aws s3 cp s3://rtdc.mdm.uploadarchive.raw/RTDC4005/ "%USERPROFILE%\AppData\Local\Temp\OnboardLogs"\RTDC4005\2017-09-19 --exclude "*" --recursive --include "*20170919*" &amp; "%USERPROFILE%\Documents\GitHub\mrs-test-scripts\Headless Mode &amp; Sideloading\WalkAndUnGZ.bat" "%USERPROFILE%\AppData\Local\Temp\OnboardLogs"\RTDC4005\2017-09-19 &amp; aws s3 cp s3://rtdc.mdm.uploadarchive.raw/RTDC4005/ "%USERPROFILE%\AppData\Local\Temp\OnboardLogs"\RTDC4005\2017-09-20 --exclude "*" --recursive --include "*20170920*" &amp; "%USERPROFILE%\Documents\GitHub\mrs-test-scripts\Headless Mode &amp; Sideloading\WalkAndUnGZ.bat" "%USERPROFILE%\AppData\Local\Temp\OnboardLogs"\RTDC4005\2017-09-20</v>
      </c>
      <c r="AF160" s="74" t="str">
        <f t="shared" si="69"/>
        <v>"C:\Program Files (x86)\AstroGrep\AstroGrep.exe" /e /r /s /spath="%USERPROFILE%\AppData\Local\Temp\OnboardLogs" /stypes="app*4005*20170919*" /stext=" 11:.+((SYSTEM_STATE.+slice.+state.+changed )|(ment ac)|(multiple cpu faults)|(system.+state.+changed )|(\[timeout)|(PRM\|1\|D)|(kpr)|(kdp)|(train st.+moving)|(\|lc)|(penalty))"</v>
      </c>
      <c r="AG160" s="182" t="str">
        <f t="shared" si="70"/>
        <v>NW</v>
      </c>
      <c r="AH160" s="78" t="str">
        <f t="shared" si="73"/>
        <v>"%USERPROFILE%\Documents\GitHub\eaglep3\Utilities\RefineRTDCRunTimes.py" --tripid 800-19 --locoid 4005 --swversion DE.1.0.9.0 --startMP 300:58649 --initTime 2017-09-19T05:10:03 --startdatetime 2017-09-19T05:12:28 --delay 70 --endMP 204:696 --enddatetime 2017-09-19T05:25:44 --enforcementcount 0 &gt;&gt;C:\Users\stu\Documents\GitHub\eaglep3-reporting\EC\2017-09-19-refined-times.txt</v>
      </c>
      <c r="AI160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{"issue":{"subject":"","project_id":79,"tracker_id":40,"status_id":1,"priority_id":2,"assigned_to_id":338,"start_date":"2017-09-19","description":"","custom_fields":[{"id":1,"name":"Subdivision","value":"NW"},{"id":4,"name":"Milepost","value":"0.0696"},{"id":17,"name":"Train ID","value":"800-19"},{"id":16,"name":"Locomotive ID","value":"4005"},{"id":130,"name":"Impact","value":""},{"id":150,"name":"Time of Event (Mountain Time)","value":"05:25:44"},{"id":151,"name":"Denver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75"/>
        <v>start /low /b %USERPROFILE%\Documents\GitHub\eaglep3\Utilities\DownloadLogsFromS3.py --loco 4005 --day 2017-09-19</v>
      </c>
      <c r="AN160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11:25:44"},{"id":29,"name":"Sharepoint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77"/>
        <v>https://d0f6bd738d7f1b3e5a7ca70fe4ff75f0.us-east-1.aws.found.io/app/kibana#/discover/Steve-Slow-Train-Analysis-(2080s-and-2083s)?_g=(refreshInterval:(display:Off,pause:!f,section:0,value:0),time:(from:'2017-09-19T04:10:03-0600',mode:absolute,to:'2017-09-19T06:25:44-0600'))&amp;_a=(columns:!('Message%20ID',Summary),filters:!(),index:'emp_*',interval:auto,query:(query_string:(analyze_wildcard:!t,query:'Message%5C+ID:(*)+AND+%22rtdc.l.rtdc.4005%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671</v>
      </c>
      <c r="B161" s="7">
        <v>4006</v>
      </c>
      <c r="C161" s="21" t="s">
        <v>197</v>
      </c>
      <c r="D161" s="21" t="s">
        <v>587</v>
      </c>
      <c r="E161" s="13">
        <v>42997.231851851851</v>
      </c>
      <c r="F161" s="13">
        <v>42997.235671296294</v>
      </c>
      <c r="G161" s="7">
        <v>66</v>
      </c>
      <c r="H161" s="21" t="s">
        <v>932</v>
      </c>
      <c r="I161" s="13">
        <v>42997.245115740741</v>
      </c>
      <c r="J161" s="7">
        <v>0</v>
      </c>
      <c r="K161" s="89" t="str">
        <f t="shared" si="61"/>
        <v>4005/4006</v>
      </c>
      <c r="L161" s="185" t="str">
        <f>VLOOKUP(A161,'Trips&amp;Operators'!$C$1:$G$99911,5,FALSE)</f>
        <v>YANG JAN</v>
      </c>
      <c r="M161" s="6">
        <f t="shared" si="62"/>
        <v>9.4444444475811906E-3</v>
      </c>
      <c r="N161" s="7">
        <f t="shared" si="71"/>
        <v>13.600000004516914</v>
      </c>
      <c r="O161" s="7"/>
      <c r="P161" s="7"/>
      <c r="Q161" s="22"/>
      <c r="R161" s="174"/>
      <c r="S161" s="221">
        <f t="shared" si="72"/>
        <v>1</v>
      </c>
      <c r="T161" s="174" t="str">
        <f t="shared" si="63"/>
        <v>NorthBound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 t="shared" si="64"/>
        <v>https://d0f6bd738d7f1b3e5a7ca70fe4ff75f0.us-east-1.aws.found.io/app/kibana#/discover/Steve-Slow-Train-Analysis-(2080s-and-2083s)?_g=(refreshInterval:(display:Off,pause:!f,section:0,value:0),time:(from:'2017-09-19T04:33:52-0600',mode:absolute,to:'2017-09-19T06:52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1" s="204" t="str">
        <f>IF(AA161&lt;VLOOKUP(AG161,Variables!$AC$3:$AD$8,2,FALSE),"Y","N")</f>
        <v>N</v>
      </c>
      <c r="X161" s="204">
        <f t="shared" si="86"/>
        <v>1</v>
      </c>
      <c r="Y161" s="204">
        <f t="shared" si="84"/>
        <v>9.8100000000000007E-2</v>
      </c>
      <c r="Z161" s="204">
        <f t="shared" si="85"/>
        <v>5.8952</v>
      </c>
      <c r="AA161" s="204">
        <f t="shared" si="66"/>
        <v>5.7971000000000004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 t="shared" si="67"/>
        <v>801</v>
      </c>
      <c r="AE161" s="77" t="str">
        <f t="shared" si="68"/>
        <v>aws s3 cp s3://rtdc.mdm.uploadarchive.raw/RTDC4006/ "%USERPROFILE%\AppData\Local\Temp\OnboardLogs"\RTDC4006\2017-09-19 --exclude "*" --recursive --include "*20170919*" &amp; "%USERPROFILE%\Documents\GitHub\mrs-test-scripts\Headless Mode &amp; Sideloading\WalkAndUnGZ.bat" "%USERPROFILE%\AppData\Local\Temp\OnboardLogs"\RTDC4006\2017-09-19 &amp; aws s3 cp s3://rtdc.mdm.uploadarchive.raw/RTDC4006/ "%USERPROFILE%\AppData\Local\Temp\OnboardLogs"\RTDC4006\2017-09-20 --exclude "*" --recursive --include "*20170920*" &amp; "%USERPROFILE%\Documents\GitHub\mrs-test-scripts\Headless Mode &amp; Sideloading\WalkAndUnGZ.bat" "%USERPROFILE%\AppData\Local\Temp\OnboardLogs"\RTDC4006\2017-09-20</v>
      </c>
      <c r="AF161" s="74" t="str">
        <f t="shared" si="69"/>
        <v>"C:\Program Files (x86)\AstroGrep\AstroGrep.exe" /e /r /s /spath="%USERPROFILE%\AppData\Local\Temp\OnboardLogs" /stypes="app*4006*20170919*" /stext=" 11:.+((SYSTEM_STATE.+slice.+state.+changed )|(ment ac)|(multiple cpu faults)|(system.+state.+changed )|(\[timeout)|(PRM\|1\|D)|(kpr)|(kdp)|(train st.+moving)|(\|lc)|(penalty))"</v>
      </c>
      <c r="AG161" s="182" t="str">
        <f t="shared" si="70"/>
        <v>NW</v>
      </c>
      <c r="AH161" s="78" t="str">
        <f t="shared" si="73"/>
        <v>"%USERPROFILE%\Documents\GitHub\eaglep3\Utilities\RefineRTDCRunTimes.py" --tripid 801-19 --locoid 4006 --swversion DE.1.0.9.0 --startMP 204:981 --initTime 2017-09-19T05:33:52 --startdatetime 2017-09-19T05:39:22 --delay 66 --endMP 300:58952 --enddatetime 2017-09-19T05:52:58 --enforcementcount 0 &gt;&gt;C:\Users\stu\Documents\GitHub\eaglep3-reporting\EC\2017-09-19-refined-times.txt</v>
      </c>
      <c r="AI161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{"issue":{"subject":"","project_id":79,"tracker_id":40,"status_id":1,"priority_id":2,"assigned_to_id":338,"start_date":"2017-09-19","description":"","custom_fields":[{"id":1,"name":"Subdivision","value":"NW"},{"id":4,"name":"Milepost","value":"5.8952"},{"id":17,"name":"Train ID","value":"801-19"},{"id":16,"name":"Locomotive ID","value":"4006"},{"id":130,"name":"Impact","value":""},{"id":150,"name":"Time of Event (Mountain Time)","value":"05:52:58"},{"id":151,"name":"Denver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75"/>
        <v>start /low /b %USERPROFILE%\Documents\GitHub\eaglep3\Utilities\DownloadLogsFromS3.py --loco 4006 --day 2017-09-19</v>
      </c>
      <c r="AN161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11:52:58"},{"id":29,"name":"Sharepoint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77"/>
        <v>https://d0f6bd738d7f1b3e5a7ca70fe4ff75f0.us-east-1.aws.found.io/app/kibana#/discover/Steve-Slow-Train-Analysis-(2080s-and-2083s)?_g=(refreshInterval:(display:Off,pause:!f,section:0,value:0),time:(from:'2017-09-19T04:33:52-0600',mode:absolute,to:'2017-09-19T06:52:58-0600'))&amp;_a=(columns:!('Message%20ID',Summary),filters:!(),index:'emp_*',interval:auto,query:(query_string:(analyze_wildcard:!t,query:'Message%5C+ID:(*)+AND+%22rtdc.l.rtdc.4006%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681</v>
      </c>
      <c r="B162" s="7">
        <v>4005</v>
      </c>
      <c r="C162" s="21" t="s">
        <v>197</v>
      </c>
      <c r="D162" s="21" t="s">
        <v>933</v>
      </c>
      <c r="E162" s="13">
        <v>42997.247546296298</v>
      </c>
      <c r="F162" s="13">
        <v>42997.255115740743</v>
      </c>
      <c r="G162" s="7">
        <v>133</v>
      </c>
      <c r="H162" s="21" t="s">
        <v>934</v>
      </c>
      <c r="I162" s="13">
        <v>42997.267384259256</v>
      </c>
      <c r="J162" s="7">
        <v>0</v>
      </c>
      <c r="K162" s="89" t="str">
        <f t="shared" si="61"/>
        <v>4005/4006</v>
      </c>
      <c r="L162" s="185" t="str">
        <f>VLOOKUP(A162,'Trips&amp;Operators'!$C$1:$G$99911,5,FALSE)</f>
        <v>YANG JAN</v>
      </c>
      <c r="M162" s="6">
        <f t="shared" si="62"/>
        <v>1.2268518512428273E-2</v>
      </c>
      <c r="N162" s="7">
        <f t="shared" si="71"/>
        <v>17.666666657896712</v>
      </c>
      <c r="O162" s="7"/>
      <c r="P162" s="7"/>
      <c r="Q162" s="22"/>
      <c r="R162" s="174"/>
      <c r="S162" s="221">
        <f t="shared" si="72"/>
        <v>1</v>
      </c>
      <c r="T162" s="174" t="str">
        <f t="shared" si="63"/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64"/>
        <v>https://d0f6bd738d7f1b3e5a7ca70fe4ff75f0.us-east-1.aws.found.io/app/kibana#/discover/Steve-Slow-Train-Analysis-(2080s-and-2083s)?_g=(refreshInterval:(display:Off,pause:!f,section:0,value:0),time:(from:'2017-09-19T04:56:28-0600',mode:absolute,to:'2017-09-19T07:25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2" s="204" t="str">
        <f>IF(AA162&lt;VLOOKUP(AG162,Variables!$AC$3:$AD$8,2,FALSE),"Y","N")</f>
        <v>N</v>
      </c>
      <c r="X162" s="204">
        <f t="shared" si="86"/>
        <v>1</v>
      </c>
      <c r="Y162" s="204">
        <f t="shared" si="84"/>
        <v>5.8647</v>
      </c>
      <c r="Z162" s="204">
        <f t="shared" si="85"/>
        <v>6.8900000000000003E-2</v>
      </c>
      <c r="AA162" s="204">
        <f t="shared" si="66"/>
        <v>5.7957999999999998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 t="shared" si="67"/>
        <v>802</v>
      </c>
      <c r="AE162" s="77" t="str">
        <f t="shared" si="68"/>
        <v>aws s3 cp s3://rtdc.mdm.uploadarchive.raw/RTDC4005/ "%USERPROFILE%\AppData\Local\Temp\OnboardLogs"\RTDC4005\2017-09-19 --exclude "*" --recursive --include "*20170919*" &amp; "%USERPROFILE%\Documents\GitHub\mrs-test-scripts\Headless Mode &amp; Sideloading\WalkAndUnGZ.bat" "%USERPROFILE%\AppData\Local\Temp\OnboardLogs"\RTDC4005\2017-09-19 &amp; aws s3 cp s3://rtdc.mdm.uploadarchive.raw/RTDC4005/ "%USERPROFILE%\AppData\Local\Temp\OnboardLogs"\RTDC4005\2017-09-20 --exclude "*" --recursive --include "*20170920*" &amp; "%USERPROFILE%\Documents\GitHub\mrs-test-scripts\Headless Mode &amp; Sideloading\WalkAndUnGZ.bat" "%USERPROFILE%\AppData\Local\Temp\OnboardLogs"\RTDC4005\2017-09-20</v>
      </c>
      <c r="AF162" s="74" t="str">
        <f t="shared" si="69"/>
        <v>"C:\Program Files (x86)\AstroGrep\AstroGrep.exe" /e /r /s /spath="%USERPROFILE%\AppData\Local\Temp\OnboardLogs" /stypes="app*4005*20170919*" /stext=" 12:.+((SYSTEM_STATE.+slice.+state.+changed )|(ment ac)|(multiple cpu faults)|(system.+state.+changed )|(\[timeout)|(PRM\|1\|D)|(kpr)|(kdp)|(train st.+moving)|(\|lc)|(penalty))"</v>
      </c>
      <c r="AG162" s="182" t="str">
        <f t="shared" si="70"/>
        <v>NW</v>
      </c>
      <c r="AH162" s="78" t="str">
        <f t="shared" si="73"/>
        <v>"%USERPROFILE%\Documents\GitHub\eaglep3\Utilities\RefineRTDCRunTimes.py" --tripid 802-19 --locoid 4005 --swversion DE.1.0.9.0 --startMP 300:58647 --initTime 2017-09-19T05:56:28 --startdatetime 2017-09-19T06:07:22 --delay 133 --endMP 204:689 --enddatetime 2017-09-19T06:25:02 --enforcementcount 0 &gt;&gt;C:\Users\stu\Documents\GitHub\eaglep3-reporting\EC\2017-09-19-refined-times.txt</v>
      </c>
      <c r="AI162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{"issue":{"subject":"","project_id":79,"tracker_id":40,"status_id":1,"priority_id":2,"assigned_to_id":338,"start_date":"2017-09-19","description":"","custom_fields":[{"id":1,"name":"Subdivision","value":"NW"},{"id":4,"name":"Milepost","value":"0.0689"},{"id":17,"name":"Train ID","value":"802-19"},{"id":16,"name":"Locomotive ID","value":"4005"},{"id":130,"name":"Impact","value":""},{"id":150,"name":"Time of Event (Mountain Time)","value":"06:25:02"},{"id":151,"name":"Denver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75"/>
        <v>start /low /b %USERPROFILE%\Documents\GitHub\eaglep3\Utilities\DownloadLogsFromS3.py --loco 4005 --day 2017-09-19</v>
      </c>
      <c r="AN162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12:25:02"},{"id":29,"name":"Sharepoint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77"/>
        <v>https://d0f6bd738d7f1b3e5a7ca70fe4ff75f0.us-east-1.aws.found.io/app/kibana#/discover/Steve-Slow-Train-Analysis-(2080s-and-2083s)?_g=(refreshInterval:(display:Off,pause:!f,section:0,value:0),time:(from:'2017-09-19T04:56:28-0600',mode:absolute,to:'2017-09-19T07:25:02-0600'))&amp;_a=(columns:!('Message%20ID',Summary),filters:!(),index:'emp_*',interval:auto,query:(query_string:(analyze_wildcard:!t,query:'Message%5C+ID:(*)+AND+%22rtdc.l.rtdc.4005%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680</v>
      </c>
      <c r="B163" s="7">
        <v>4044</v>
      </c>
      <c r="C163" s="21" t="s">
        <v>197</v>
      </c>
      <c r="D163" s="21" t="s">
        <v>935</v>
      </c>
      <c r="E163" s="13">
        <v>42997.248078703706</v>
      </c>
      <c r="F163" s="13">
        <v>42997.256423611114</v>
      </c>
      <c r="G163" s="7">
        <v>71</v>
      </c>
      <c r="H163" s="21" t="s">
        <v>932</v>
      </c>
      <c r="I163" s="13">
        <v>42997.267199074071</v>
      </c>
      <c r="J163" s="7">
        <v>0</v>
      </c>
      <c r="K163" s="89" t="str">
        <f t="shared" si="61"/>
        <v>4043/4044</v>
      </c>
      <c r="L163" s="185" t="str">
        <f>VLOOKUP(A163,'Trips&amp;Operators'!$C$1:$G$99911,5,FALSE)</f>
        <v>FORTUNATO FRANK</v>
      </c>
      <c r="M163" s="6">
        <f t="shared" si="62"/>
        <v>1.077546295709908E-2</v>
      </c>
      <c r="N163" s="7">
        <f t="shared" si="71"/>
        <v>15.516666658222675</v>
      </c>
      <c r="O163" s="7"/>
      <c r="P163" s="7"/>
      <c r="Q163" s="22"/>
      <c r="R163" s="174"/>
      <c r="S163" s="221">
        <f t="shared" si="72"/>
        <v>1</v>
      </c>
      <c r="T163" s="174" t="str">
        <f t="shared" si="63"/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64"/>
        <v>https://d0f6bd738d7f1b3e5a7ca70fe4ff75f0.us-east-1.aws.found.io/app/kibana#/discover/Steve-Slow-Train-Analysis-(2080s-and-2083s)?_g=(refreshInterval:(display:Off,pause:!f,section:0,value:0),time:(from:'2017-09-19T04:57:14-0600',mode:absolute,to:'2017-09-19T07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3" s="204" t="str">
        <f>IF(AA163&lt;VLOOKUP(AG163,Variables!$AC$3:$AD$8,2,FALSE),"Y","N")</f>
        <v>N</v>
      </c>
      <c r="X163" s="204">
        <f t="shared" si="86"/>
        <v>1</v>
      </c>
      <c r="Y163" s="204">
        <f t="shared" si="84"/>
        <v>9.9000000000000005E-2</v>
      </c>
      <c r="Z163" s="204">
        <f t="shared" si="85"/>
        <v>5.8952</v>
      </c>
      <c r="AA163" s="204">
        <f t="shared" si="66"/>
        <v>5.7961999999999998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 t="shared" si="67"/>
        <v>803</v>
      </c>
      <c r="AE163" s="77" t="str">
        <f t="shared" si="68"/>
        <v>aws s3 cp s3://rtdc.mdm.uploadarchive.raw/RTDC4044/ "%USERPROFILE%\AppData\Local\Temp\OnboardLogs"\RTDC4044\2017-09-19 --exclude "*" --recursive --include "*20170919*" &amp; "%USERPROFILE%\Documents\GitHub\mrs-test-scripts\Headless Mode &amp; Sideloading\WalkAndUnGZ.bat" "%USERPROFILE%\AppData\Local\Temp\OnboardLogs"\RTDC4044\2017-09-19 &amp; 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</v>
      </c>
      <c r="AF163" s="74" t="str">
        <f t="shared" si="69"/>
        <v>"C:\Program Files (x86)\AstroGrep\AstroGrep.exe" /e /r /s /spath="%USERPROFILE%\AppData\Local\Temp\OnboardLogs" /stypes="app*4044*20170919*" /stext=" 12:.+((SYSTEM_STATE.+slice.+state.+changed )|(ment ac)|(multiple cpu faults)|(system.+state.+changed )|(\[timeout)|(PRM\|1\|D)|(kpr)|(kdp)|(train st.+moving)|(\|lc)|(penalty))"</v>
      </c>
      <c r="AG163" s="182" t="str">
        <f t="shared" si="70"/>
        <v>NW</v>
      </c>
      <c r="AH163" s="78" t="str">
        <f t="shared" si="73"/>
        <v>"%USERPROFILE%\Documents\GitHub\eaglep3\Utilities\RefineRTDCRunTimes.py" --tripid 803-19 --locoid 4044 --swversion DE.1.0.9.0 --startMP 204:990 --initTime 2017-09-19T05:57:14 --startdatetime 2017-09-19T06:09:15 --delay 71 --endMP 300:58952 --enddatetime 2017-09-19T06:24:46 --enforcementcount 0 &gt;&gt;C:\Users\stu\Documents\GitHub\eaglep3-reporting\EC\2017-09-19-refined-times.txt</v>
      </c>
      <c r="AI163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{"issue":{"subject":"","project_id":79,"tracker_id":40,"status_id":1,"priority_id":2,"assigned_to_id":338,"start_date":"2017-09-19","description":"","custom_fields":[{"id":1,"name":"Subdivision","value":"NW"},{"id":4,"name":"Milepost","value":"5.8952"},{"id":17,"name":"Train ID","value":"803-19"},{"id":16,"name":"Locomotive ID","value":"4044"},{"id":130,"name":"Impact","value":""},{"id":150,"name":"Time of Event (Mountain Time)","value":"06:24:46"},{"id":151,"name":"Denver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75"/>
        <v>start /low /b %USERPROFILE%\Documents\GitHub\eaglep3\Utilities\DownloadLogsFromS3.py --loco 4044 --day 2017-09-19</v>
      </c>
      <c r="AN163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12:24:46"},{"id":29,"name":"Sharepoint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77"/>
        <v>https://d0f6bd738d7f1b3e5a7ca70fe4ff75f0.us-east-1.aws.found.io/app/kibana#/discover/Steve-Slow-Train-Analysis-(2080s-and-2083s)?_g=(refreshInterval:(display:Off,pause:!f,section:0,value:0),time:(from:'2017-09-19T04:57:14-0600',mode:absolute,to:'2017-09-19T07:24:46-0600'))&amp;_a=(columns:!('Message%20ID',Summary),filters:!(),index:'emp_*',interval:auto,query:(query_string:(analyze_wildcard:!t,query:'Message%5C+ID:(*)+AND+%22rtdc.l.rtdc.4044%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685</v>
      </c>
      <c r="B164" s="7">
        <v>4043</v>
      </c>
      <c r="C164" s="21" t="s">
        <v>197</v>
      </c>
      <c r="D164" s="21" t="s">
        <v>930</v>
      </c>
      <c r="E164" s="13">
        <v>42997.26866898148</v>
      </c>
      <c r="F164" s="13">
        <v>42997.274467592593</v>
      </c>
      <c r="G164" s="7">
        <v>56</v>
      </c>
      <c r="H164" s="21" t="s">
        <v>936</v>
      </c>
      <c r="I164" s="13">
        <v>42997.288391203707</v>
      </c>
      <c r="J164" s="7">
        <v>0</v>
      </c>
      <c r="K164" s="89" t="str">
        <f t="shared" si="61"/>
        <v>4043/4044</v>
      </c>
      <c r="L164" s="185" t="str">
        <f>VLOOKUP(A164,'Trips&amp;Operators'!$C$1:$G$99911,5,FALSE)</f>
        <v>FORTUNATO FRANK</v>
      </c>
      <c r="M164" s="6">
        <f t="shared" si="62"/>
        <v>1.3923611113568768E-2</v>
      </c>
      <c r="N164" s="7">
        <f t="shared" si="71"/>
        <v>20.050000003539026</v>
      </c>
      <c r="O164" s="7"/>
      <c r="P164" s="7"/>
      <c r="Q164" s="22"/>
      <c r="R164" s="174"/>
      <c r="S164" s="221">
        <f t="shared" si="72"/>
        <v>1</v>
      </c>
      <c r="T164" s="174" t="str">
        <f t="shared" si="63"/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64"/>
        <v>https://d0f6bd738d7f1b3e5a7ca70fe4ff75f0.us-east-1.aws.found.io/app/kibana#/discover/Steve-Slow-Train-Analysis-(2080s-and-2083s)?_g=(refreshInterval:(display:Off,pause:!f,section:0,value:0),time:(from:'2017-09-19T05:26:53-0600',mode:absolute,to:'2017-09-19T07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4" s="204" t="str">
        <f>IF(AA164&lt;VLOOKUP(AG164,Variables!$AC$3:$AD$8,2,FALSE),"Y","N")</f>
        <v>N</v>
      </c>
      <c r="X164" s="204">
        <f t="shared" si="86"/>
        <v>1</v>
      </c>
      <c r="Y164" s="204">
        <f t="shared" si="84"/>
        <v>5.8648999999999996</v>
      </c>
      <c r="Z164" s="204">
        <f t="shared" si="85"/>
        <v>6.9099999999999995E-2</v>
      </c>
      <c r="AA164" s="204">
        <f t="shared" si="66"/>
        <v>5.7957999999999998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 t="shared" si="67"/>
        <v>804</v>
      </c>
      <c r="AE164" s="77" t="str">
        <f t="shared" si="68"/>
        <v>aws s3 cp s3://rtdc.mdm.uploadarchive.raw/RTDC4043/ "%USERPROFILE%\AppData\Local\Temp\OnboardLogs"\RTDC4043\2017-09-19 --exclude "*" --recursive --include "*20170919*" &amp; "%USERPROFILE%\Documents\GitHub\mrs-test-scripts\Headless Mode &amp; Sideloading\WalkAndUnGZ.bat" "%USERPROFILE%\AppData\Local\Temp\OnboardLogs"\RTDC4043\2017-09-19 &amp; 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</v>
      </c>
      <c r="AF164" s="74" t="str">
        <f t="shared" si="69"/>
        <v>"C:\Program Files (x86)\AstroGrep\AstroGrep.exe" /e /r /s /spath="%USERPROFILE%\AppData\Local\Temp\OnboardLogs" /stypes="app*4043*20170919*" /stext=" 12:.+((SYSTEM_STATE.+slice.+state.+changed )|(ment ac)|(multiple cpu faults)|(system.+state.+changed )|(\[timeout)|(PRM\|1\|D)|(kpr)|(kdp)|(train st.+moving)|(\|lc)|(penalty))"</v>
      </c>
      <c r="AG164" s="182" t="str">
        <f t="shared" si="70"/>
        <v>NW</v>
      </c>
      <c r="AH164" s="78" t="str">
        <f t="shared" si="73"/>
        <v>"%USERPROFILE%\Documents\GitHub\eaglep3\Utilities\RefineRTDCRunTimes.py" --tripid 804-19 --locoid 4043 --swversion DE.1.0.9.0 --startMP 300:58649 --initTime 2017-09-19T06:26:53 --startdatetime 2017-09-19T06:35:14 --delay 56 --endMP 204:691 --enddatetime 2017-09-19T06:55:17 --enforcementcount 0 &gt;&gt;C:\Users\stu\Documents\GitHub\eaglep3-reporting\EC\2017-09-19-refined-times.txt</v>
      </c>
      <c r="AI164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{"issue":{"subject":"","project_id":79,"tracker_id":40,"status_id":1,"priority_id":2,"assigned_to_id":338,"start_date":"2017-09-19","description":"","custom_fields":[{"id":1,"name":"Subdivision","value":"NW"},{"id":4,"name":"Milepost","value":"0.0691"},{"id":17,"name":"Train ID","value":"804-19"},{"id":16,"name":"Locomotive ID","value":"4043"},{"id":130,"name":"Impact","value":""},{"id":150,"name":"Time of Event (Mountain Time)","value":"06:55:17"},{"id":151,"name":"Denver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75"/>
        <v>start /low /b %USERPROFILE%\Documents\GitHub\eaglep3\Utilities\DownloadLogsFromS3.py --loco 4043 --day 2017-09-19</v>
      </c>
      <c r="AN164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12:55:17"},{"id":29,"name":"Sharepoint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77"/>
        <v>https://d0f6bd738d7f1b3e5a7ca70fe4ff75f0.us-east-1.aws.found.io/app/kibana#/discover/Steve-Slow-Train-Analysis-(2080s-and-2083s)?_g=(refreshInterval:(display:Off,pause:!f,section:0,value:0),time:(from:'2017-09-19T05:26:53-0600',mode:absolute,to:'2017-09-19T07:55:17-0600'))&amp;_a=(columns:!('Message%20ID',Summary),filters:!(),index:'emp_*',interval:auto,query:(query_string:(analyze_wildcard:!t,query:'Message%5C+ID:(*)+AND+%22rtdc.l.rtdc.4043%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686</v>
      </c>
      <c r="B165" s="7">
        <v>4006</v>
      </c>
      <c r="C165" s="21" t="s">
        <v>197</v>
      </c>
      <c r="D165" s="21" t="s">
        <v>937</v>
      </c>
      <c r="E165" s="13">
        <v>42997.273321759261</v>
      </c>
      <c r="F165" s="13">
        <v>42997.277430555558</v>
      </c>
      <c r="G165" s="7">
        <v>62</v>
      </c>
      <c r="H165" s="21" t="s">
        <v>938</v>
      </c>
      <c r="I165" s="13">
        <v>42997.287569444445</v>
      </c>
      <c r="J165" s="7">
        <v>0</v>
      </c>
      <c r="K165" s="89" t="str">
        <f t="shared" si="61"/>
        <v>4005/4006</v>
      </c>
      <c r="L165" s="185" t="str">
        <f>VLOOKUP(A165,'Trips&amp;Operators'!$C$1:$G$99911,5,FALSE)</f>
        <v>YANG JAN</v>
      </c>
      <c r="M165" s="6">
        <f t="shared" si="62"/>
        <v>1.0138888887013309E-2</v>
      </c>
      <c r="N165" s="7">
        <f t="shared" si="71"/>
        <v>14.599999997299165</v>
      </c>
      <c r="O165" s="7"/>
      <c r="P165" s="7"/>
      <c r="Q165" s="22"/>
      <c r="R165" s="174"/>
      <c r="S165" s="221">
        <f t="shared" si="72"/>
        <v>1</v>
      </c>
      <c r="T165" s="174" t="str">
        <f t="shared" si="63"/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64"/>
        <v>https://d0f6bd738d7f1b3e5a7ca70fe4ff75f0.us-east-1.aws.found.io/app/kibana#/discover/Steve-Slow-Train-Analysis-(2080s-and-2083s)?_g=(refreshInterval:(display:Off,pause:!f,section:0,value:0),time:(from:'2017-09-19T05:33:35-0600',mode:absolute,to:'2017-09-19T07:54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5" s="204" t="str">
        <f>IF(AA165&lt;VLOOKUP(AG165,Variables!$AC$3:$AD$8,2,FALSE),"Y","N")</f>
        <v>N</v>
      </c>
      <c r="X165" s="204">
        <f t="shared" si="86"/>
        <v>1</v>
      </c>
      <c r="Y165" s="204">
        <f t="shared" si="84"/>
        <v>9.7799999999999998E-2</v>
      </c>
      <c r="Z165" s="204">
        <f t="shared" si="85"/>
        <v>5.8945999999999996</v>
      </c>
      <c r="AA165" s="204">
        <f t="shared" si="66"/>
        <v>5.7967999999999993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 t="shared" si="67"/>
        <v>805</v>
      </c>
      <c r="AE165" s="77" t="str">
        <f t="shared" si="68"/>
        <v>aws s3 cp s3://rtdc.mdm.uploadarchive.raw/RTDC4006/ "%USERPROFILE%\AppData\Local\Temp\OnboardLogs"\RTDC4006\2017-09-19 --exclude "*" --recursive --include "*20170919*" &amp; "%USERPROFILE%\Documents\GitHub\mrs-test-scripts\Headless Mode &amp; Sideloading\WalkAndUnGZ.bat" "%USERPROFILE%\AppData\Local\Temp\OnboardLogs"\RTDC4006\2017-09-19 &amp; aws s3 cp s3://rtdc.mdm.uploadarchive.raw/RTDC4006/ "%USERPROFILE%\AppData\Local\Temp\OnboardLogs"\RTDC4006\2017-09-20 --exclude "*" --recursive --include "*20170920*" &amp; "%USERPROFILE%\Documents\GitHub\mrs-test-scripts\Headless Mode &amp; Sideloading\WalkAndUnGZ.bat" "%USERPROFILE%\AppData\Local\Temp\OnboardLogs"\RTDC4006\2017-09-20</v>
      </c>
      <c r="AF165" s="74" t="str">
        <f t="shared" si="69"/>
        <v>"C:\Program Files (x86)\AstroGrep\AstroGrep.exe" /e /r /s /spath="%USERPROFILE%\AppData\Local\Temp\OnboardLogs" /stypes="app*4006*20170919*" /stext=" 12:.+((SYSTEM_STATE.+slice.+state.+changed )|(ment ac)|(multiple cpu faults)|(system.+state.+changed )|(\[timeout)|(PRM\|1\|D)|(kpr)|(kdp)|(train st.+moving)|(\|lc)|(penalty))"</v>
      </c>
      <c r="AG165" s="182" t="str">
        <f t="shared" si="70"/>
        <v>NW</v>
      </c>
      <c r="AH165" s="78" t="str">
        <f t="shared" si="73"/>
        <v>"%USERPROFILE%\Documents\GitHub\eaglep3\Utilities\RefineRTDCRunTimes.py" --tripid 805-19 --locoid 4006 --swversion DE.1.0.9.0 --startMP 204:978 --initTime 2017-09-19T06:33:35 --startdatetime 2017-09-19T06:39:30 --delay 62 --endMP 300:58946 --enddatetime 2017-09-19T06:54:06 --enforcementcount 0 &gt;&gt;C:\Users\stu\Documents\GitHub\eaglep3-reporting\EC\2017-09-19-refined-times.txt</v>
      </c>
      <c r="AI165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{"issue":{"subject":"","project_id":79,"tracker_id":40,"status_id":1,"priority_id":2,"assigned_to_id":338,"start_date":"2017-09-19","description":"","custom_fields":[{"id":1,"name":"Subdivision","value":"NW"},{"id":4,"name":"Milepost","value":"5.8946"},{"id":17,"name":"Train ID","value":"805-19"},{"id":16,"name":"Locomotive ID","value":"4006"},{"id":130,"name":"Impact","value":""},{"id":150,"name":"Time of Event (Mountain Time)","value":"06:54:06"},{"id":151,"name":"Denver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75"/>
        <v>start /low /b %USERPROFILE%\Documents\GitHub\eaglep3\Utilities\DownloadLogsFromS3.py --loco 4006 --day 2017-09-19</v>
      </c>
      <c r="AN165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12:54:06"},{"id":29,"name":"Sharepoint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77"/>
        <v>https://d0f6bd738d7f1b3e5a7ca70fe4ff75f0.us-east-1.aws.found.io/app/kibana#/discover/Steve-Slow-Train-Analysis-(2080s-and-2083s)?_g=(refreshInterval:(display:Off,pause:!f,section:0,value:0),time:(from:'2017-09-19T05:33:35-0600',mode:absolute,to:'2017-09-19T07:54:06-0600'))&amp;_a=(columns:!('Message%20ID',Summary),filters:!(),index:'emp_*',interval:auto,query:(query_string:(analyze_wildcard:!t,query:'Message%5C+ID:(*)+AND+%22rtdc.l.rtdc.4006%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690</v>
      </c>
      <c r="B166" s="7">
        <v>4005</v>
      </c>
      <c r="C166" s="21" t="s">
        <v>197</v>
      </c>
      <c r="D166" s="21" t="s">
        <v>939</v>
      </c>
      <c r="E166" s="13">
        <v>42997.29215277778</v>
      </c>
      <c r="F166" s="13">
        <v>42997.296412037038</v>
      </c>
      <c r="G166" s="7">
        <v>77</v>
      </c>
      <c r="H166" s="21" t="s">
        <v>600</v>
      </c>
      <c r="I166" s="13">
        <v>42997.30909722222</v>
      </c>
      <c r="J166" s="7">
        <v>0</v>
      </c>
      <c r="K166" s="89" t="str">
        <f t="shared" si="61"/>
        <v>4005/4006</v>
      </c>
      <c r="L166" s="185" t="str">
        <f>VLOOKUP(A166,'Trips&amp;Operators'!$C$1:$G$99911,5,FALSE)</f>
        <v>YANG JAN</v>
      </c>
      <c r="M166" s="6">
        <f t="shared" si="62"/>
        <v>1.2685185181908309E-2</v>
      </c>
      <c r="N166" s="7">
        <f t="shared" si="71"/>
        <v>18.266666661947966</v>
      </c>
      <c r="O166" s="7"/>
      <c r="P166" s="7"/>
      <c r="Q166" s="22"/>
      <c r="R166" s="174"/>
      <c r="S166" s="221">
        <f t="shared" si="72"/>
        <v>1</v>
      </c>
      <c r="T166" s="174" t="str">
        <f t="shared" si="63"/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64"/>
        <v>https://d0f6bd738d7f1b3e5a7ca70fe4ff75f0.us-east-1.aws.found.io/app/kibana#/discover/Steve-Slow-Train-Analysis-(2080s-and-2083s)?_g=(refreshInterval:(display:Off,pause:!f,section:0,value:0),time:(from:'2017-09-19T06:00:42-0600',mode:absolute,to:'2017-09-19T08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6" s="204" t="str">
        <f>IF(AA166&lt;VLOOKUP(AG166,Variables!$AC$3:$AD$8,2,FALSE),"Y","N")</f>
        <v>N</v>
      </c>
      <c r="X166" s="204">
        <f t="shared" si="86"/>
        <v>1</v>
      </c>
      <c r="Y166" s="204">
        <f t="shared" si="84"/>
        <v>5.8632</v>
      </c>
      <c r="Z166" s="204">
        <f t="shared" si="85"/>
        <v>6.7799999999999999E-2</v>
      </c>
      <c r="AA166" s="204">
        <f t="shared" si="66"/>
        <v>5.7953999999999999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 t="shared" si="67"/>
        <v>806</v>
      </c>
      <c r="AE166" s="77" t="str">
        <f t="shared" si="68"/>
        <v>aws s3 cp s3://rtdc.mdm.uploadarchive.raw/RTDC4005/ "%USERPROFILE%\AppData\Local\Temp\OnboardLogs"\RTDC4005\2017-09-19 --exclude "*" --recursive --include "*20170919*" &amp; "%USERPROFILE%\Documents\GitHub\mrs-test-scripts\Headless Mode &amp; Sideloading\WalkAndUnGZ.bat" "%USERPROFILE%\AppData\Local\Temp\OnboardLogs"\RTDC4005\2017-09-19 &amp; aws s3 cp s3://rtdc.mdm.uploadarchive.raw/RTDC4005/ "%USERPROFILE%\AppData\Local\Temp\OnboardLogs"\RTDC4005\2017-09-20 --exclude "*" --recursive --include "*20170920*" &amp; "%USERPROFILE%\Documents\GitHub\mrs-test-scripts\Headless Mode &amp; Sideloading\WalkAndUnGZ.bat" "%USERPROFILE%\AppData\Local\Temp\OnboardLogs"\RTDC4005\2017-09-20</v>
      </c>
      <c r="AF166" s="74" t="str">
        <f t="shared" si="69"/>
        <v>"C:\Program Files (x86)\AstroGrep\AstroGrep.exe" /e /r /s /spath="%USERPROFILE%\AppData\Local\Temp\OnboardLogs" /stypes="app*4005*20170919*" /stext=" 13:.+((SYSTEM_STATE.+slice.+state.+changed )|(ment ac)|(multiple cpu faults)|(system.+state.+changed )|(\[timeout)|(PRM\|1\|D)|(kpr)|(kdp)|(train st.+moving)|(\|lc)|(penalty))"</v>
      </c>
      <c r="AG166" s="182" t="str">
        <f t="shared" si="70"/>
        <v>NW</v>
      </c>
      <c r="AH166" s="78" t="str">
        <f t="shared" si="73"/>
        <v>"%USERPROFILE%\Documents\GitHub\eaglep3\Utilities\RefineRTDCRunTimes.py" --tripid 806-19 --locoid 4005 --swversion DE.1.0.9.0 --startMP 300:58632 --initTime 2017-09-19T07:00:42 --startdatetime 2017-09-19T07:06:50 --delay 77 --endMP 204:678 --enddatetime 2017-09-19T07:25:06 --enforcementcount 0 &gt;&gt;C:\Users\stu\Documents\GitHub\eaglep3-reporting\EC\2017-09-19-refined-times.txt</v>
      </c>
      <c r="AI166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{"issue":{"subject":"","project_id":79,"tracker_id":40,"status_id":1,"priority_id":2,"assigned_to_id":338,"start_date":"2017-09-19","description":"","custom_fields":[{"id":1,"name":"Subdivision","value":"NW"},{"id":4,"name":"Milepost","value":"0.0678"},{"id":17,"name":"Train ID","value":"806-19"},{"id":16,"name":"Locomotive ID","value":"4005"},{"id":130,"name":"Impact","value":""},{"id":150,"name":"Time of Event (Mountain Time)","value":"07:25:06"},{"id":151,"name":"Denver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75"/>
        <v>start /low /b %USERPROFILE%\Documents\GitHub\eaglep3\Utilities\DownloadLogsFromS3.py --loco 4005 --day 2017-09-19</v>
      </c>
      <c r="AN166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13:25:06"},{"id":29,"name":"Sharepoint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77"/>
        <v>https://d0f6bd738d7f1b3e5a7ca70fe4ff75f0.us-east-1.aws.found.io/app/kibana#/discover/Steve-Slow-Train-Analysis-(2080s-and-2083s)?_g=(refreshInterval:(display:Off,pause:!f,section:0,value:0),time:(from:'2017-09-19T06:00:42-0600',mode:absolute,to:'2017-09-19T08:25:06-0600'))&amp;_a=(columns:!('Message%20ID',Summary),filters:!(),index:'emp_*',interval:auto,query:(query_string:(analyze_wildcard:!t,query:'Message%5C+ID:(*)+AND+%22rtdc.l.rtdc.4005%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689</v>
      </c>
      <c r="B167" s="7">
        <v>4044</v>
      </c>
      <c r="C167" s="21" t="s">
        <v>197</v>
      </c>
      <c r="D167" s="21" t="s">
        <v>940</v>
      </c>
      <c r="E167" s="13">
        <v>42997.290034722224</v>
      </c>
      <c r="F167" s="13">
        <v>42997.298136574071</v>
      </c>
      <c r="G167" s="7">
        <v>51</v>
      </c>
      <c r="H167" s="21" t="s">
        <v>941</v>
      </c>
      <c r="I167" s="13">
        <v>42997.308576388888</v>
      </c>
      <c r="J167" s="7">
        <v>0</v>
      </c>
      <c r="K167" s="89" t="str">
        <f t="shared" si="61"/>
        <v>4043/4044</v>
      </c>
      <c r="L167" s="185" t="str">
        <f>VLOOKUP(A167,'Trips&amp;Operators'!$C$1:$G$99911,5,FALSE)</f>
        <v>FORTUNATO FRANK</v>
      </c>
      <c r="M167" s="6">
        <f t="shared" si="62"/>
        <v>1.0439814817800652E-2</v>
      </c>
      <c r="N167" s="7">
        <f t="shared" si="71"/>
        <v>15.033333337632939</v>
      </c>
      <c r="O167" s="7"/>
      <c r="P167" s="7"/>
      <c r="Q167" s="22"/>
      <c r="R167" s="174"/>
      <c r="S167" s="221">
        <f t="shared" si="72"/>
        <v>1</v>
      </c>
      <c r="T167" s="174" t="str">
        <f t="shared" si="63"/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64"/>
        <v>https://d0f6bd738d7f1b3e5a7ca70fe4ff75f0.us-east-1.aws.found.io/app/kibana#/discover/Steve-Slow-Train-Analysis-(2080s-and-2083s)?_g=(refreshInterval:(display:Off,pause:!f,section:0,value:0),time:(from:'2017-09-19T05:57:39-0600',mode:absolute,to:'2017-09-19T08:24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7" s="204" t="str">
        <f>IF(AA167&lt;VLOOKUP(AG167,Variables!$AC$3:$AD$8,2,FALSE),"Y","N")</f>
        <v>N</v>
      </c>
      <c r="X167" s="204">
        <f t="shared" si="86"/>
        <v>1</v>
      </c>
      <c r="Y167" s="204">
        <f t="shared" si="84"/>
        <v>9.7199999999999995E-2</v>
      </c>
      <c r="Z167" s="204">
        <f t="shared" si="85"/>
        <v>5.8971</v>
      </c>
      <c r="AA167" s="204">
        <f t="shared" si="66"/>
        <v>5.7999000000000001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 t="shared" si="67"/>
        <v>807</v>
      </c>
      <c r="AE167" s="77" t="str">
        <f t="shared" si="68"/>
        <v>aws s3 cp s3://rtdc.mdm.uploadarchive.raw/RTDC4044/ "%USERPROFILE%\AppData\Local\Temp\OnboardLogs"\RTDC4044\2017-09-19 --exclude "*" --recursive --include "*20170919*" &amp; "%USERPROFILE%\Documents\GitHub\mrs-test-scripts\Headless Mode &amp; Sideloading\WalkAndUnGZ.bat" "%USERPROFILE%\AppData\Local\Temp\OnboardLogs"\RTDC4044\2017-09-19 &amp; 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</v>
      </c>
      <c r="AF167" s="74" t="str">
        <f t="shared" si="69"/>
        <v>"C:\Program Files (x86)\AstroGrep\AstroGrep.exe" /e /r /s /spath="%USERPROFILE%\AppData\Local\Temp\OnboardLogs" /stypes="app*4044*20170919*" /stext=" 13:.+((SYSTEM_STATE.+slice.+state.+changed )|(ment ac)|(multiple cpu faults)|(system.+state.+changed )|(\[timeout)|(PRM\|1\|D)|(kpr)|(kdp)|(train st.+moving)|(\|lc)|(penalty))"</v>
      </c>
      <c r="AG167" s="182" t="str">
        <f t="shared" si="70"/>
        <v>NW</v>
      </c>
      <c r="AH167" s="78" t="str">
        <f t="shared" si="73"/>
        <v>"%USERPROFILE%\Documents\GitHub\eaglep3\Utilities\RefineRTDCRunTimes.py" --tripid 807-19 --locoid 4044 --swversion DE.1.0.9.0 --startMP 204:972 --initTime 2017-09-19T06:57:39 --startdatetime 2017-09-19T07:09:19 --delay 51 --endMP 300:58971 --enddatetime 2017-09-19T07:24:21 --enforcementcount 0 &gt;&gt;C:\Users\stu\Documents\GitHub\eaglep3-reporting\EC\2017-09-19-refined-times.txt</v>
      </c>
      <c r="AI167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{"issue":{"subject":"","project_id":79,"tracker_id":40,"status_id":1,"priority_id":2,"assigned_to_id":338,"start_date":"2017-09-19","description":"","custom_fields":[{"id":1,"name":"Subdivision","value":"NW"},{"id":4,"name":"Milepost","value":"5.8971"},{"id":17,"name":"Train ID","value":"807-19"},{"id":16,"name":"Locomotive ID","value":"4044"},{"id":130,"name":"Impact","value":""},{"id":150,"name":"Time of Event (Mountain Time)","value":"07:24:21"},{"id":151,"name":"Denver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75"/>
        <v>start /low /b %USERPROFILE%\Documents\GitHub\eaglep3\Utilities\DownloadLogsFromS3.py --loco 4044 --day 2017-09-19</v>
      </c>
      <c r="AN167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13:24:21"},{"id":29,"name":"Sharepoint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77"/>
        <v>https://d0f6bd738d7f1b3e5a7ca70fe4ff75f0.us-east-1.aws.found.io/app/kibana#/discover/Steve-Slow-Train-Analysis-(2080s-and-2083s)?_g=(refreshInterval:(display:Off,pause:!f,section:0,value:0),time:(from:'2017-09-19T05:57:39-0600',mode:absolute,to:'2017-09-19T08:24:21-0600'))&amp;_a=(columns:!('Message%20ID',Summary),filters:!(),index:'emp_*',interval:auto,query:(query_string:(analyze_wildcard:!t,query:'Message%5C+ID:(*)+AND+%22rtdc.l.rtdc.4044%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697</v>
      </c>
      <c r="B168" s="7">
        <v>4043</v>
      </c>
      <c r="C168" s="21" t="s">
        <v>197</v>
      </c>
      <c r="D168" s="21" t="s">
        <v>942</v>
      </c>
      <c r="E168" s="13">
        <v>42997.310740740744</v>
      </c>
      <c r="F168" s="13">
        <v>42997.319988425923</v>
      </c>
      <c r="G168" s="7">
        <v>50</v>
      </c>
      <c r="H168" s="21" t="s">
        <v>524</v>
      </c>
      <c r="I168" s="13">
        <v>42997.330185185187</v>
      </c>
      <c r="J168" s="7">
        <v>0</v>
      </c>
      <c r="K168" s="89" t="str">
        <f t="shared" si="61"/>
        <v>4043/4044</v>
      </c>
      <c r="L168" s="185" t="str">
        <f>VLOOKUP(A168,'Trips&amp;Operators'!$C$1:$G$99911,5,FALSE)</f>
        <v>FORTUNATO FRANK</v>
      </c>
      <c r="M168" s="6">
        <f t="shared" si="62"/>
        <v>1.0196759263635613E-2</v>
      </c>
      <c r="N168" s="7">
        <f t="shared" si="71"/>
        <v>14.683333339635283</v>
      </c>
      <c r="O168" s="7"/>
      <c r="P168" s="7"/>
      <c r="Q168" s="22"/>
      <c r="R168" s="174"/>
      <c r="S168" s="221">
        <f t="shared" si="72"/>
        <v>1</v>
      </c>
      <c r="T168" s="174" t="str">
        <f t="shared" si="63"/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64"/>
        <v>https://d0f6bd738d7f1b3e5a7ca70fe4ff75f0.us-east-1.aws.found.io/app/kibana#/discover/Steve-Slow-Train-Analysis-(2080s-and-2083s)?_g=(refreshInterval:(display:Off,pause:!f,section:0,value:0),time:(from:'2017-09-19T06:27:28-0600',mode:absolute,to:'2017-09-19T08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8" s="204" t="str">
        <f>IF(AA168&lt;VLOOKUP(AG168,Variables!$AC$3:$AD$8,2,FALSE),"Y","N")</f>
        <v>N</v>
      </c>
      <c r="X168" s="204">
        <f t="shared" si="86"/>
        <v>1</v>
      </c>
      <c r="Y168" s="204">
        <f t="shared" si="84"/>
        <v>5.8653000000000004</v>
      </c>
      <c r="Z168" s="204">
        <f t="shared" si="85"/>
        <v>6.7000000000000004E-2</v>
      </c>
      <c r="AA168" s="204">
        <f t="shared" si="66"/>
        <v>5.7983000000000002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 t="shared" si="67"/>
        <v>808</v>
      </c>
      <c r="AE168" s="77" t="str">
        <f t="shared" si="68"/>
        <v>aws s3 cp s3://rtdc.mdm.uploadarchive.raw/RTDC4043/ "%USERPROFILE%\AppData\Local\Temp\OnboardLogs"\RTDC4043\2017-09-19 --exclude "*" --recursive --include "*20170919*" &amp; "%USERPROFILE%\Documents\GitHub\mrs-test-scripts\Headless Mode &amp; Sideloading\WalkAndUnGZ.bat" "%USERPROFILE%\AppData\Local\Temp\OnboardLogs"\RTDC4043\2017-09-19 &amp; 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</v>
      </c>
      <c r="AF168" s="74" t="str">
        <f t="shared" si="69"/>
        <v>"C:\Program Files (x86)\AstroGrep\AstroGrep.exe" /e /r /s /spath="%USERPROFILE%\AppData\Local\Temp\OnboardLogs" /stypes="app*4043*20170919*" /stext=" 13:.+((SYSTEM_STATE.+slice.+state.+changed )|(ment ac)|(multiple cpu faults)|(system.+state.+changed )|(\[timeout)|(PRM\|1\|D)|(kpr)|(kdp)|(train st.+moving)|(\|lc)|(penalty))"</v>
      </c>
      <c r="AG168" s="182" t="str">
        <f t="shared" si="70"/>
        <v>NW</v>
      </c>
      <c r="AH168" s="78" t="str">
        <f t="shared" si="73"/>
        <v>"%USERPROFILE%\Documents\GitHub\eaglep3\Utilities\RefineRTDCRunTimes.py" --tripid 808-19 --locoid 4043 --swversion DE.1.0.9.0 --startMP 300:58653 --initTime 2017-09-19T07:27:28 --startdatetime 2017-09-19T07:40:47 --delay 50 --endMP 204:670 --enddatetime 2017-09-19T07:55:28 --enforcementcount 0 &gt;&gt;C:\Users\stu\Documents\GitHub\eaglep3-reporting\EC\2017-09-19-refined-times.txt</v>
      </c>
      <c r="AI168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{"issue":{"subject":"","project_id":79,"tracker_id":40,"status_id":1,"priority_id":2,"assigned_to_id":338,"start_date":"2017-09-19","description":"","custom_fields":[{"id":1,"name":"Subdivision","value":"NW"},{"id":4,"name":"Milepost","value":"0.067"},{"id":17,"name":"Train ID","value":"808-19"},{"id":16,"name":"Locomotive ID","value":"4043"},{"id":130,"name":"Impact","value":""},{"id":150,"name":"Time of Event (Mountain Time)","value":"07:55:28"},{"id":151,"name":"Denver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75"/>
        <v>start /low /b %USERPROFILE%\Documents\GitHub\eaglep3\Utilities\DownloadLogsFromS3.py --loco 4043 --day 2017-09-19</v>
      </c>
      <c r="AN168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13:55:28"},{"id":29,"name":"Sharepoint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77"/>
        <v>https://d0f6bd738d7f1b3e5a7ca70fe4ff75f0.us-east-1.aws.found.io/app/kibana#/discover/Steve-Slow-Train-Analysis-(2080s-and-2083s)?_g=(refreshInterval:(display:Off,pause:!f,section:0,value:0),time:(from:'2017-09-19T06:27:28-0600',mode:absolute,to:'2017-09-19T08:55:28-0600'))&amp;_a=(columns:!('Message%20ID',Summary),filters:!(),index:'emp_*',interval:auto,query:(query_string:(analyze_wildcard:!t,query:'Message%5C+ID:(*)+AND+%22rtdc.l.rtdc.4043%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616</v>
      </c>
      <c r="B169" s="7">
        <v>4006</v>
      </c>
      <c r="C169" s="21" t="s">
        <v>197</v>
      </c>
      <c r="D169" s="21" t="s">
        <v>526</v>
      </c>
      <c r="E169" s="13">
        <v>42997.315196759257</v>
      </c>
      <c r="F169" s="13">
        <v>42997.318923611114</v>
      </c>
      <c r="G169" s="7">
        <v>83</v>
      </c>
      <c r="H169" s="21" t="s">
        <v>938</v>
      </c>
      <c r="I169" s="13">
        <v>42997.330069444448</v>
      </c>
      <c r="J169" s="7">
        <v>0</v>
      </c>
      <c r="K169" s="89" t="str">
        <f t="shared" si="61"/>
        <v>4005/4006</v>
      </c>
      <c r="L169" s="185" t="str">
        <f>VLOOKUP(A169,'Trips&amp;Operators'!$C$1:$G$99911,5,FALSE)</f>
        <v>YANG JAN</v>
      </c>
      <c r="M169" s="6">
        <f t="shared" si="62"/>
        <v>1.1145833334012423E-2</v>
      </c>
      <c r="N169" s="7">
        <f t="shared" si="71"/>
        <v>16.050000000977889</v>
      </c>
      <c r="O169" s="7"/>
      <c r="P169" s="7"/>
      <c r="Q169" s="22"/>
      <c r="R169" s="174"/>
      <c r="S169" s="221">
        <f t="shared" si="72"/>
        <v>1</v>
      </c>
      <c r="T169" s="174" t="str">
        <f t="shared" si="63"/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64"/>
        <v>https://d0f6bd738d7f1b3e5a7ca70fe4ff75f0.us-east-1.aws.found.io/app/kibana#/discover/Steve-Slow-Train-Analysis-(2080s-and-2083s)?_g=(refreshInterval:(display:Off,pause:!f,section:0,value:0),time:(from:'2017-09-19T06:33:53-0600',mode:absolute,to:'2017-09-19T08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9" s="204" t="str">
        <f>IF(AA169&lt;VLOOKUP(AG169,Variables!$AC$3:$AD$8,2,FALSE),"Y","N")</f>
        <v>N</v>
      </c>
      <c r="X169" s="204">
        <f t="shared" si="86"/>
        <v>1</v>
      </c>
      <c r="Y169" s="204">
        <f t="shared" si="84"/>
        <v>9.6699999999999994E-2</v>
      </c>
      <c r="Z169" s="204">
        <f t="shared" si="85"/>
        <v>5.8945999999999996</v>
      </c>
      <c r="AA169" s="204">
        <f t="shared" si="66"/>
        <v>5.7978999999999994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 t="shared" si="67"/>
        <v>809</v>
      </c>
      <c r="AE169" s="77" t="str">
        <f t="shared" si="68"/>
        <v>aws s3 cp s3://rtdc.mdm.uploadarchive.raw/RTDC4006/ "%USERPROFILE%\AppData\Local\Temp\OnboardLogs"\RTDC4006\2017-09-19 --exclude "*" --recursive --include "*20170919*" &amp; "%USERPROFILE%\Documents\GitHub\mrs-test-scripts\Headless Mode &amp; Sideloading\WalkAndUnGZ.bat" "%USERPROFILE%\AppData\Local\Temp\OnboardLogs"\RTDC4006\2017-09-19 &amp; aws s3 cp s3://rtdc.mdm.uploadarchive.raw/RTDC4006/ "%USERPROFILE%\AppData\Local\Temp\OnboardLogs"\RTDC4006\2017-09-20 --exclude "*" --recursive --include "*20170920*" &amp; "%USERPROFILE%\Documents\GitHub\mrs-test-scripts\Headless Mode &amp; Sideloading\WalkAndUnGZ.bat" "%USERPROFILE%\AppData\Local\Temp\OnboardLogs"\RTDC4006\2017-09-20</v>
      </c>
      <c r="AF169" s="74" t="str">
        <f t="shared" si="69"/>
        <v>"C:\Program Files (x86)\AstroGrep\AstroGrep.exe" /e /r /s /spath="%USERPROFILE%\AppData\Local\Temp\OnboardLogs" /stypes="app*4006*20170919*" /stext=" 13:.+((SYSTEM_STATE.+slice.+state.+changed )|(ment ac)|(multiple cpu faults)|(system.+state.+changed )|(\[timeout)|(PRM\|1\|D)|(kpr)|(kdp)|(train st.+moving)|(\|lc)|(penalty))"</v>
      </c>
      <c r="AG169" s="182" t="str">
        <f t="shared" si="70"/>
        <v>NW</v>
      </c>
      <c r="AH169" s="78" t="str">
        <f t="shared" si="73"/>
        <v>"%USERPROFILE%\Documents\GitHub\eaglep3\Utilities\RefineRTDCRunTimes.py" --tripid 809-19 --locoid 4006 --swversion DE.1.0.9.0 --startMP 204:967 --initTime 2017-09-19T07:33:53 --startdatetime 2017-09-19T07:39:15 --delay 83 --endMP 300:58946 --enddatetime 2017-09-19T07:55:18 --enforcementcount 0 &gt;&gt;C:\Users\stu\Documents\GitHub\eaglep3-reporting\EC\2017-09-19-refined-times.txt</v>
      </c>
      <c r="AI169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{"issue":{"subject":"","project_id":79,"tracker_id":40,"status_id":1,"priority_id":2,"assigned_to_id":338,"start_date":"2017-09-19","description":"","custom_fields":[{"id":1,"name":"Subdivision","value":"NW"},{"id":4,"name":"Milepost","value":"5.8946"},{"id":17,"name":"Train ID","value":"809-19"},{"id":16,"name":"Locomotive ID","value":"4006"},{"id":130,"name":"Impact","value":""},{"id":150,"name":"Time of Event (Mountain Time)","value":"07:55:18"},{"id":151,"name":"Denver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75"/>
        <v>start /low /b %USERPROFILE%\Documents\GitHub\eaglep3\Utilities\DownloadLogsFromS3.py --loco 4006 --day 2017-09-19</v>
      </c>
      <c r="AN169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13:55:18"},{"id":29,"name":"Sharepoint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77"/>
        <v>https://d0f6bd738d7f1b3e5a7ca70fe4ff75f0.us-east-1.aws.found.io/app/kibana#/discover/Steve-Slow-Train-Analysis-(2080s-and-2083s)?_g=(refreshInterval:(display:Off,pause:!f,section:0,value:0),time:(from:'2017-09-19T06:33:53-0600',mode:absolute,to:'2017-09-19T08:55:18-0600'))&amp;_a=(columns:!('Message%20ID',Summary),filters:!(),index:'emp_*',interval:auto,query:(query_string:(analyze_wildcard:!t,query:'Message%5C+ID:(*)+AND+%22rtdc.l.rtdc.4006%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703</v>
      </c>
      <c r="B170" s="7">
        <v>4005</v>
      </c>
      <c r="C170" s="21" t="s">
        <v>197</v>
      </c>
      <c r="D170" s="21" t="s">
        <v>933</v>
      </c>
      <c r="E170" s="13">
        <v>42997.331620370373</v>
      </c>
      <c r="F170" s="13">
        <v>42997.338391203702</v>
      </c>
      <c r="G170" s="7">
        <v>96</v>
      </c>
      <c r="H170" s="21" t="s">
        <v>931</v>
      </c>
      <c r="I170" s="13">
        <v>42997.350416666668</v>
      </c>
      <c r="J170" s="7">
        <v>0</v>
      </c>
      <c r="K170" s="89" t="str">
        <f t="shared" si="61"/>
        <v>4005/4006</v>
      </c>
      <c r="L170" s="185" t="str">
        <f>VLOOKUP(A170,'Trips&amp;Operators'!$C$1:$G$99911,5,FALSE)</f>
        <v>YANG JAN</v>
      </c>
      <c r="M170" s="6">
        <f t="shared" si="62"/>
        <v>1.2025462965539191E-2</v>
      </c>
      <c r="N170" s="7">
        <f t="shared" si="71"/>
        <v>17.316666670376435</v>
      </c>
      <c r="O170" s="7"/>
      <c r="P170" s="7"/>
      <c r="Q170" s="22"/>
      <c r="R170" s="174"/>
      <c r="S170" s="221">
        <f t="shared" si="72"/>
        <v>1</v>
      </c>
      <c r="T170" s="174" t="str">
        <f t="shared" si="63"/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64"/>
        <v>https://d0f6bd738d7f1b3e5a7ca70fe4ff75f0.us-east-1.aws.found.io/app/kibana#/discover/Steve-Slow-Train-Analysis-(2080s-and-2083s)?_g=(refreshInterval:(display:Off,pause:!f,section:0,value:0),time:(from:'2017-09-19T06:57:32-0600',mode:absolute,to:'2017-09-19T09:24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0" s="204" t="str">
        <f>IF(AA170&lt;VLOOKUP(AG170,Variables!$AC$3:$AD$8,2,FALSE),"Y","N")</f>
        <v>N</v>
      </c>
      <c r="X170" s="204">
        <f t="shared" si="86"/>
        <v>1</v>
      </c>
      <c r="Y170" s="204">
        <f t="shared" si="84"/>
        <v>5.8647</v>
      </c>
      <c r="Z170" s="204">
        <f t="shared" si="85"/>
        <v>6.9599999999999995E-2</v>
      </c>
      <c r="AA170" s="204">
        <f t="shared" si="66"/>
        <v>5.7950999999999997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 t="shared" si="67"/>
        <v>810</v>
      </c>
      <c r="AE170" s="77" t="str">
        <f t="shared" si="68"/>
        <v>aws s3 cp s3://rtdc.mdm.uploadarchive.raw/RTDC4005/ "%USERPROFILE%\AppData\Local\Temp\OnboardLogs"\RTDC4005\2017-09-19 --exclude "*" --recursive --include "*20170919*" &amp; "%USERPROFILE%\Documents\GitHub\mrs-test-scripts\Headless Mode &amp; Sideloading\WalkAndUnGZ.bat" "%USERPROFILE%\AppData\Local\Temp\OnboardLogs"\RTDC4005\2017-09-19 &amp; aws s3 cp s3://rtdc.mdm.uploadarchive.raw/RTDC4005/ "%USERPROFILE%\AppData\Local\Temp\OnboardLogs"\RTDC4005\2017-09-20 --exclude "*" --recursive --include "*20170920*" &amp; "%USERPROFILE%\Documents\GitHub\mrs-test-scripts\Headless Mode &amp; Sideloading\WalkAndUnGZ.bat" "%USERPROFILE%\AppData\Local\Temp\OnboardLogs"\RTDC4005\2017-09-20</v>
      </c>
      <c r="AF170" s="74" t="str">
        <f t="shared" si="69"/>
        <v>"C:\Program Files (x86)\AstroGrep\AstroGrep.exe" /e /r /s /spath="%USERPROFILE%\AppData\Local\Temp\OnboardLogs" /stypes="app*4005*20170919*" /stext=" 14:.+((SYSTEM_STATE.+slice.+state.+changed )|(ment ac)|(multiple cpu faults)|(system.+state.+changed )|(\[timeout)|(PRM\|1\|D)|(kpr)|(kdp)|(train st.+moving)|(\|lc)|(penalty))"</v>
      </c>
      <c r="AG170" s="182" t="str">
        <f t="shared" si="70"/>
        <v>NW</v>
      </c>
      <c r="AH170" s="78" t="str">
        <f t="shared" si="73"/>
        <v>"%USERPROFILE%\Documents\GitHub\eaglep3\Utilities\RefineRTDCRunTimes.py" --tripid 810-19 --locoid 4005 --swversion DE.1.0.9.0 --startMP 300:58647 --initTime 2017-09-19T07:57:32 --startdatetime 2017-09-19T08:07:17 --delay 96 --endMP 204:696 --enddatetime 2017-09-19T08:24:36 --enforcementcount 0 &gt;&gt;C:\Users\stu\Documents\GitHub\eaglep3-reporting\EC\2017-09-19-refined-times.txt</v>
      </c>
      <c r="AI170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{"issue":{"subject":"","project_id":79,"tracker_id":40,"status_id":1,"priority_id":2,"assigned_to_id":338,"start_date":"2017-09-19","description":"","custom_fields":[{"id":1,"name":"Subdivision","value":"NW"},{"id":4,"name":"Milepost","value":"0.0696"},{"id":17,"name":"Train ID","value":"810-19"},{"id":16,"name":"Locomotive ID","value":"4005"},{"id":130,"name":"Impact","value":""},{"id":150,"name":"Time of Event (Mountain Time)","value":"08:24:36"},{"id":151,"name":"Denver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75"/>
        <v>start /low /b %USERPROFILE%\Documents\GitHub\eaglep3\Utilities\DownloadLogsFromS3.py --loco 4005 --day 2017-09-19</v>
      </c>
      <c r="AN170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14:24:36"},{"id":29,"name":"Sharepoint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77"/>
        <v>https://d0f6bd738d7f1b3e5a7ca70fe4ff75f0.us-east-1.aws.found.io/app/kibana#/discover/Steve-Slow-Train-Analysis-(2080s-and-2083s)?_g=(refreshInterval:(display:Off,pause:!f,section:0,value:0),time:(from:'2017-09-19T06:57:32-0600',mode:absolute,to:'2017-09-19T09:24:36-0600'))&amp;_a=(columns:!('Message%20ID',Summary),filters:!(),index:'emp_*',interval:auto,query:(query_string:(analyze_wildcard:!t,query:'Message%5C+ID:(*)+AND+%22rtdc.l.rtdc.4005%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704</v>
      </c>
      <c r="B171" s="7">
        <v>4044</v>
      </c>
      <c r="C171" s="21" t="s">
        <v>197</v>
      </c>
      <c r="D171" s="21" t="s">
        <v>602</v>
      </c>
      <c r="E171" s="13">
        <v>42997.334976851853</v>
      </c>
      <c r="F171" s="13">
        <v>42997.339814814812</v>
      </c>
      <c r="G171" s="7">
        <v>61</v>
      </c>
      <c r="H171" s="21" t="s">
        <v>943</v>
      </c>
      <c r="I171" s="13">
        <v>42997.350208333337</v>
      </c>
      <c r="J171" s="7">
        <v>0</v>
      </c>
      <c r="K171" s="89" t="str">
        <f t="shared" si="61"/>
        <v>4043/4044</v>
      </c>
      <c r="L171" s="185" t="str">
        <f>VLOOKUP(A171,'Trips&amp;Operators'!$C$1:$G$99911,5,FALSE)</f>
        <v>FORTUNATO FRANK</v>
      </c>
      <c r="M171" s="6">
        <f t="shared" si="62"/>
        <v>1.0393518525233958E-2</v>
      </c>
      <c r="N171" s="7">
        <f t="shared" si="71"/>
        <v>14.966666676336899</v>
      </c>
      <c r="O171" s="7"/>
      <c r="P171" s="7"/>
      <c r="Q171" s="22"/>
      <c r="R171" s="174"/>
      <c r="S171" s="221">
        <f t="shared" si="72"/>
        <v>1</v>
      </c>
      <c r="T171" s="174" t="str">
        <f t="shared" si="63"/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64"/>
        <v>https://d0f6bd738d7f1b3e5a7ca70fe4ff75f0.us-east-1.aws.found.io/app/kibana#/discover/Steve-Slow-Train-Analysis-(2080s-and-2083s)?_g=(refreshInterval:(display:Off,pause:!f,section:0,value:0),time:(from:'2017-09-19T07:02:22-0600',mode:absolute,to:'2017-09-19T09:24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1" s="204" t="str">
        <f>IF(AA171&lt;VLOOKUP(AG171,Variables!$AC$3:$AD$8,2,FALSE),"Y","N")</f>
        <v>N</v>
      </c>
      <c r="X171" s="204">
        <f t="shared" si="86"/>
        <v>1</v>
      </c>
      <c r="Y171" s="204">
        <f t="shared" si="84"/>
        <v>9.74E-2</v>
      </c>
      <c r="Z171" s="204">
        <f t="shared" si="85"/>
        <v>5.8975999999999997</v>
      </c>
      <c r="AA171" s="204">
        <f t="shared" si="66"/>
        <v>5.8001999999999994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 t="shared" si="67"/>
        <v>811</v>
      </c>
      <c r="AE171" s="77" t="str">
        <f t="shared" si="68"/>
        <v>aws s3 cp s3://rtdc.mdm.uploadarchive.raw/RTDC4044/ "%USERPROFILE%\AppData\Local\Temp\OnboardLogs"\RTDC4044\2017-09-19 --exclude "*" --recursive --include "*20170919*" &amp; "%USERPROFILE%\Documents\GitHub\mrs-test-scripts\Headless Mode &amp; Sideloading\WalkAndUnGZ.bat" "%USERPROFILE%\AppData\Local\Temp\OnboardLogs"\RTDC4044\2017-09-19 &amp; 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</v>
      </c>
      <c r="AF171" s="74" t="str">
        <f t="shared" si="69"/>
        <v>"C:\Program Files (x86)\AstroGrep\AstroGrep.exe" /e /r /s /spath="%USERPROFILE%\AppData\Local\Temp\OnboardLogs" /stypes="app*4044*20170919*" /stext=" 14:.+((SYSTEM_STATE.+slice.+state.+changed )|(ment ac)|(multiple cpu faults)|(system.+state.+changed )|(\[timeout)|(PRM\|1\|D)|(kpr)|(kdp)|(train st.+moving)|(\|lc)|(penalty))"</v>
      </c>
      <c r="AG171" s="182" t="str">
        <f t="shared" si="70"/>
        <v>NW</v>
      </c>
      <c r="AH171" s="78" t="str">
        <f t="shared" si="73"/>
        <v>"%USERPROFILE%\Documents\GitHub\eaglep3\Utilities\RefineRTDCRunTimes.py" --tripid 811-19 --locoid 4044 --swversion DE.1.0.9.0 --startMP 204:974 --initTime 2017-09-19T08:02:22 --startdatetime 2017-09-19T08:09:20 --delay 61 --endMP 300:58976 --enddatetime 2017-09-19T08:24:18 --enforcementcount 0 &gt;&gt;C:\Users\stu\Documents\GitHub\eaglep3-reporting\EC\2017-09-19-refined-times.txt</v>
      </c>
      <c r="AI171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{"issue":{"subject":"","project_id":79,"tracker_id":40,"status_id":1,"priority_id":2,"assigned_to_id":338,"start_date":"2017-09-19","description":"","custom_fields":[{"id":1,"name":"Subdivision","value":"NW"},{"id":4,"name":"Milepost","value":"5.8976"},{"id":17,"name":"Train ID","value":"811-19"},{"id":16,"name":"Locomotive ID","value":"4044"},{"id":130,"name":"Impact","value":""},{"id":150,"name":"Time of Event (Mountain Time)","value":"08:24:18"},{"id":151,"name":"Denver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75"/>
        <v>start /low /b %USERPROFILE%\Documents\GitHub\eaglep3\Utilities\DownloadLogsFromS3.py --loco 4044 --day 2017-09-19</v>
      </c>
      <c r="AN171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14:24:18"},{"id":29,"name":"Sharepoint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77"/>
        <v>https://d0f6bd738d7f1b3e5a7ca70fe4ff75f0.us-east-1.aws.found.io/app/kibana#/discover/Steve-Slow-Train-Analysis-(2080s-and-2083s)?_g=(refreshInterval:(display:Off,pause:!f,section:0,value:0),time:(from:'2017-09-19T07:02:22-0600',mode:absolute,to:'2017-09-19T09:24:18-0600'))&amp;_a=(columns:!('Message%20ID',Summary),filters:!(),index:'emp_*',interval:auto,query:(query_string:(analyze_wildcard:!t,query:'Message%5C+ID:(*)+AND+%22rtdc.l.rtdc.4044%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713</v>
      </c>
      <c r="B172" s="7">
        <v>4043</v>
      </c>
      <c r="C172" s="21" t="s">
        <v>197</v>
      </c>
      <c r="D172" s="21" t="s">
        <v>944</v>
      </c>
      <c r="E172" s="13">
        <v>42997.351851851854</v>
      </c>
      <c r="F172" s="13">
        <v>42997.359837962962</v>
      </c>
      <c r="G172" s="7">
        <v>72</v>
      </c>
      <c r="H172" s="21" t="s">
        <v>945</v>
      </c>
      <c r="I172" s="13">
        <v>42997.371574074074</v>
      </c>
      <c r="J172" s="7">
        <v>0</v>
      </c>
      <c r="K172" s="89" t="str">
        <f t="shared" si="61"/>
        <v>4043/4044</v>
      </c>
      <c r="L172" s="185" t="str">
        <f>VLOOKUP(A172,'Trips&amp;Operators'!$C$1:$G$99911,5,FALSE)</f>
        <v>FORTUNATO FRANK</v>
      </c>
      <c r="M172" s="6">
        <f t="shared" si="62"/>
        <v>1.17361111115315E-2</v>
      </c>
      <c r="N172" s="7">
        <f t="shared" si="71"/>
        <v>16.90000000060536</v>
      </c>
      <c r="O172" s="7"/>
      <c r="P172" s="7"/>
      <c r="Q172" s="22"/>
      <c r="R172" s="174"/>
      <c r="S172" s="221">
        <f t="shared" si="72"/>
        <v>1</v>
      </c>
      <c r="T172" s="174" t="str">
        <f t="shared" si="63"/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64"/>
        <v>https://d0f6bd738d7f1b3e5a7ca70fe4ff75f0.us-east-1.aws.found.io/app/kibana#/discover/Steve-Slow-Train-Analysis-(2080s-and-2083s)?_g=(refreshInterval:(display:Off,pause:!f,section:0,value:0),time:(from:'2017-09-19T07:26:40-0600',mode:absolute,to:'2017-09-19T09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2" s="204" t="str">
        <f>IF(AA172&lt;VLOOKUP(AG172,Variables!$AC$3:$AD$8,2,FALSE),"Y","N")</f>
        <v>N</v>
      </c>
      <c r="X172" s="204">
        <f t="shared" si="86"/>
        <v>1</v>
      </c>
      <c r="Y172" s="204">
        <f t="shared" si="84"/>
        <v>5.8678999999999997</v>
      </c>
      <c r="Z172" s="204">
        <f t="shared" si="85"/>
        <v>7.0800000000000002E-2</v>
      </c>
      <c r="AA172" s="204">
        <f t="shared" si="66"/>
        <v>5.7970999999999995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 t="shared" si="67"/>
        <v>812</v>
      </c>
      <c r="AE172" s="77" t="str">
        <f t="shared" si="68"/>
        <v>aws s3 cp s3://rtdc.mdm.uploadarchive.raw/RTDC4043/ "%USERPROFILE%\AppData\Local\Temp\OnboardLogs"\RTDC4043\2017-09-19 --exclude "*" --recursive --include "*20170919*" &amp; "%USERPROFILE%\Documents\GitHub\mrs-test-scripts\Headless Mode &amp; Sideloading\WalkAndUnGZ.bat" "%USERPROFILE%\AppData\Local\Temp\OnboardLogs"\RTDC4043\2017-09-19 &amp; 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</v>
      </c>
      <c r="AF172" s="74" t="str">
        <f t="shared" si="69"/>
        <v>"C:\Program Files (x86)\AstroGrep\AstroGrep.exe" /e /r /s /spath="%USERPROFILE%\AppData\Local\Temp\OnboardLogs" /stypes="app*4043*20170919*" /stext=" 14:.+((SYSTEM_STATE.+slice.+state.+changed )|(ment ac)|(multiple cpu faults)|(system.+state.+changed )|(\[timeout)|(PRM\|1\|D)|(kpr)|(kdp)|(train st.+moving)|(\|lc)|(penalty))"</v>
      </c>
      <c r="AG172" s="182" t="str">
        <f t="shared" si="70"/>
        <v>NW</v>
      </c>
      <c r="AH172" s="78" t="str">
        <f t="shared" si="73"/>
        <v>"%USERPROFILE%\Documents\GitHub\eaglep3\Utilities\RefineRTDCRunTimes.py" --tripid 812-19 --locoid 4043 --swversion DE.1.0.9.0 --startMP 300:58679 --initTime 2017-09-19T08:26:40 --startdatetime 2017-09-19T08:38:10 --delay 72 --endMP 204:708 --enddatetime 2017-09-19T08:55:04 --enforcementcount 0 &gt;&gt;C:\Users\stu\Documents\GitHub\eaglep3-reporting\EC\2017-09-19-refined-times.txt</v>
      </c>
      <c r="AI172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{"issue":{"subject":"","project_id":79,"tracker_id":40,"status_id":1,"priority_id":2,"assigned_to_id":338,"start_date":"2017-09-19","description":"","custom_fields":[{"id":1,"name":"Subdivision","value":"NW"},{"id":4,"name":"Milepost","value":"0.0708"},{"id":17,"name":"Train ID","value":"812-19"},{"id":16,"name":"Locomotive ID","value":"4043"},{"id":130,"name":"Impact","value":""},{"id":150,"name":"Time of Event (Mountain Time)","value":"08:55:04"},{"id":151,"name":"Denver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75"/>
        <v>start /low /b %USERPROFILE%\Documents\GitHub\eaglep3\Utilities\DownloadLogsFromS3.py --loco 4043 --day 2017-09-19</v>
      </c>
      <c r="AN172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14:55:04"},{"id":29,"name":"Sharepoint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77"/>
        <v>https://d0f6bd738d7f1b3e5a7ca70fe4ff75f0.us-east-1.aws.found.io/app/kibana#/discover/Steve-Slow-Train-Analysis-(2080s-and-2083s)?_g=(refreshInterval:(display:Off,pause:!f,section:0,value:0),time:(from:'2017-09-19T07:26:40-0600',mode:absolute,to:'2017-09-19T09:55:04-0600'))&amp;_a=(columns:!('Message%20ID',Summary),filters:!(),index:'emp_*',interval:auto,query:(query_string:(analyze_wildcard:!t,query:'Message%5C+ID:(*)+AND+%22rtdc.l.rtdc.4043%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621</v>
      </c>
      <c r="B173" s="7">
        <v>4044</v>
      </c>
      <c r="C173" s="21" t="s">
        <v>197</v>
      </c>
      <c r="D173" s="21" t="s">
        <v>940</v>
      </c>
      <c r="E173" s="13">
        <v>42997.374247685184</v>
      </c>
      <c r="F173" s="13">
        <v>42997.381412037037</v>
      </c>
      <c r="G173" s="7">
        <v>53</v>
      </c>
      <c r="H173" s="21" t="s">
        <v>588</v>
      </c>
      <c r="I173" s="13">
        <v>42997.390960648147</v>
      </c>
      <c r="J173" s="7">
        <v>0</v>
      </c>
      <c r="K173" s="89" t="str">
        <f t="shared" si="61"/>
        <v>4043/4044</v>
      </c>
      <c r="L173" s="185" t="str">
        <f>VLOOKUP(A173,'Trips&amp;Operators'!$C$1:$G$99911,5,FALSE)</f>
        <v>FORTUNATO FRANK</v>
      </c>
      <c r="M173" s="6">
        <f t="shared" si="62"/>
        <v>9.5486111094942316E-3</v>
      </c>
      <c r="N173" s="7">
        <f t="shared" si="71"/>
        <v>13.749999997671694</v>
      </c>
      <c r="O173" s="7"/>
      <c r="P173" s="7"/>
      <c r="Q173" s="22"/>
      <c r="R173" s="174"/>
      <c r="S173" s="221">
        <f t="shared" si="72"/>
        <v>1</v>
      </c>
      <c r="T173" s="174" t="str">
        <f t="shared" si="63"/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64"/>
        <v>https://d0f6bd738d7f1b3e5a7ca70fe4ff75f0.us-east-1.aws.found.io/app/kibana#/discover/Steve-Slow-Train-Analysis-(2080s-and-2083s)?_g=(refreshInterval:(display:Off,pause:!f,section:0,value:0),time:(from:'2017-09-19T07:58:55-0600',mode:absolute,to:'2017-09-19T10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3" s="204" t="str">
        <f>IF(AA173&lt;VLOOKUP(AG173,Variables!$AC$3:$AD$8,2,FALSE),"Y","N")</f>
        <v>N</v>
      </c>
      <c r="X173" s="204">
        <f t="shared" si="86"/>
        <v>1</v>
      </c>
      <c r="Y173" s="204">
        <f t="shared" si="84"/>
        <v>9.7199999999999995E-2</v>
      </c>
      <c r="Z173" s="204">
        <f t="shared" si="85"/>
        <v>5.8954000000000004</v>
      </c>
      <c r="AA173" s="204">
        <f t="shared" si="66"/>
        <v>5.7982000000000005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 t="shared" si="67"/>
        <v>813</v>
      </c>
      <c r="AE173" s="77" t="str">
        <f t="shared" si="68"/>
        <v>aws s3 cp s3://rtdc.mdm.uploadarchive.raw/RTDC4044/ "%USERPROFILE%\AppData\Local\Temp\OnboardLogs"\RTDC4044\2017-09-19 --exclude "*" --recursive --include "*20170919*" &amp; "%USERPROFILE%\Documents\GitHub\mrs-test-scripts\Headless Mode &amp; Sideloading\WalkAndUnGZ.bat" "%USERPROFILE%\AppData\Local\Temp\OnboardLogs"\RTDC4044\2017-09-19 &amp; 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</v>
      </c>
      <c r="AF173" s="74" t="str">
        <f t="shared" si="69"/>
        <v>"C:\Program Files (x86)\AstroGrep\AstroGrep.exe" /e /r /s /spath="%USERPROFILE%\AppData\Local\Temp\OnboardLogs" /stypes="app*4044*20170919*" /stext=" 15:.+((SYSTEM_STATE.+slice.+state.+changed )|(ment ac)|(multiple cpu faults)|(system.+state.+changed )|(\[timeout)|(PRM\|1\|D)|(kpr)|(kdp)|(train st.+moving)|(\|lc)|(penalty))"</v>
      </c>
      <c r="AG173" s="182" t="str">
        <f t="shared" si="70"/>
        <v>NW</v>
      </c>
      <c r="AH173" s="78" t="str">
        <f t="shared" si="73"/>
        <v>"%USERPROFILE%\Documents\GitHub\eaglep3\Utilities\RefineRTDCRunTimes.py" --tripid 813-19 --locoid 4044 --swversion DE.1.0.9.0 --startMP 204:972 --initTime 2017-09-19T08:58:55 --startdatetime 2017-09-19T09:09:14 --delay 53 --endMP 300:58954 --enddatetime 2017-09-19T09:22:59 --enforcementcount 0 &gt;&gt;C:\Users\stu\Documents\GitHub\eaglep3-reporting\EC\2017-09-19-refined-times.txt</v>
      </c>
      <c r="AI173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{"issue":{"subject":"","project_id":79,"tracker_id":40,"status_id":1,"priority_id":2,"assigned_to_id":338,"start_date":"2017-09-19","description":"","custom_fields":[{"id":1,"name":"Subdivision","value":"NW"},{"id":4,"name":"Milepost","value":"5.8954"},{"id":17,"name":"Train ID","value":"813-19"},{"id":16,"name":"Locomotive ID","value":"4044"},{"id":130,"name":"Impact","value":""},{"id":150,"name":"Time of Event (Mountain Time)","value":"09:22:59"},{"id":151,"name":"Denver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75"/>
        <v>start /low /b %USERPROFILE%\Documents\GitHub\eaglep3\Utilities\DownloadLogsFromS3.py --loco 4044 --day 2017-09-19</v>
      </c>
      <c r="AN173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15:22:59"},{"id":29,"name":"Sharepoint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77"/>
        <v>https://d0f6bd738d7f1b3e5a7ca70fe4ff75f0.us-east-1.aws.found.io/app/kibana#/discover/Steve-Slow-Train-Analysis-(2080s-and-2083s)?_g=(refreshInterval:(display:Off,pause:!f,section:0,value:0),time:(from:'2017-09-19T07:58:55-0600',mode:absolute,to:'2017-09-19T10:22:59-0600'))&amp;_a=(columns:!('Message%20ID',Summary),filters:!(),index:'emp_*',interval:auto,query:(query_string:(analyze_wildcard:!t,query:'Message%5C+ID:(*)+AND+%22rtdc.l.rtdc.4044%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719</v>
      </c>
      <c r="B174" s="7">
        <v>4043</v>
      </c>
      <c r="C174" s="21" t="s">
        <v>197</v>
      </c>
      <c r="D174" s="21" t="s">
        <v>939</v>
      </c>
      <c r="E174" s="13">
        <v>42997.39298611111</v>
      </c>
      <c r="F174" s="13">
        <v>42997.398020833331</v>
      </c>
      <c r="G174" s="7">
        <v>65</v>
      </c>
      <c r="H174" s="21" t="s">
        <v>593</v>
      </c>
      <c r="I174" s="13">
        <v>42997.413819444446</v>
      </c>
      <c r="J174" s="7">
        <v>0</v>
      </c>
      <c r="K174" s="89" t="str">
        <f t="shared" si="61"/>
        <v>4043/4044</v>
      </c>
      <c r="L174" s="185" t="str">
        <f>VLOOKUP(A174,'Trips&amp;Operators'!$C$1:$G$99911,5,FALSE)</f>
        <v>FORTUNATO FRANK</v>
      </c>
      <c r="M174" s="6">
        <f t="shared" si="62"/>
        <v>1.5798611115314998E-2</v>
      </c>
      <c r="N174" s="7">
        <f t="shared" si="71"/>
        <v>22.750000006053597</v>
      </c>
      <c r="O174" s="7"/>
      <c r="P174" s="7"/>
      <c r="Q174" s="22"/>
      <c r="R174" s="174"/>
      <c r="S174" s="221">
        <f t="shared" si="72"/>
        <v>1</v>
      </c>
      <c r="T174" s="174" t="str">
        <f t="shared" si="63"/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64"/>
        <v>https://d0f6bd738d7f1b3e5a7ca70fe4ff75f0.us-east-1.aws.found.io/app/kibana#/discover/Steve-Slow-Train-Analysis-(2080s-and-2083s)?_g=(refreshInterval:(display:Off,pause:!f,section:0,value:0),time:(from:'2017-09-19T08:25:54-0600',mode:absolute,to:'2017-09-19T10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4" s="204" t="str">
        <f>IF(AA174&lt;VLOOKUP(AG174,Variables!$AC$3:$AD$8,2,FALSE),"Y","N")</f>
        <v>N</v>
      </c>
      <c r="X174" s="204">
        <f t="shared" si="86"/>
        <v>1</v>
      </c>
      <c r="Y174" s="204">
        <f t="shared" si="84"/>
        <v>5.8632</v>
      </c>
      <c r="Z174" s="204">
        <f t="shared" si="85"/>
        <v>7.0999999999999994E-2</v>
      </c>
      <c r="AA174" s="204">
        <f t="shared" si="66"/>
        <v>5.7922000000000002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 t="shared" si="67"/>
        <v>814</v>
      </c>
      <c r="AE174" s="77" t="str">
        <f t="shared" si="68"/>
        <v>aws s3 cp s3://rtdc.mdm.uploadarchive.raw/RTDC4043/ "%USERPROFILE%\AppData\Local\Temp\OnboardLogs"\RTDC4043\2017-09-19 --exclude "*" --recursive --include "*20170919*" &amp; "%USERPROFILE%\Documents\GitHub\mrs-test-scripts\Headless Mode &amp; Sideloading\WalkAndUnGZ.bat" "%USERPROFILE%\AppData\Local\Temp\OnboardLogs"\RTDC4043\2017-09-19 &amp; 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</v>
      </c>
      <c r="AF174" s="74" t="str">
        <f t="shared" si="69"/>
        <v>"C:\Program Files (x86)\AstroGrep\AstroGrep.exe" /e /r /s /spath="%USERPROFILE%\AppData\Local\Temp\OnboardLogs" /stypes="app*4043*20170919*" /stext=" 15:.+((SYSTEM_STATE.+slice.+state.+changed )|(ment ac)|(multiple cpu faults)|(system.+state.+changed )|(\[timeout)|(PRM\|1\|D)|(kpr)|(kdp)|(train st.+moving)|(\|lc)|(penalty))"</v>
      </c>
      <c r="AG174" s="182" t="str">
        <f t="shared" si="70"/>
        <v>NW</v>
      </c>
      <c r="AH174" s="78" t="str">
        <f t="shared" si="73"/>
        <v>"%USERPROFILE%\Documents\GitHub\eaglep3\Utilities\RefineRTDCRunTimes.py" --tripid 814-19 --locoid 4043 --swversion DE.1.0.9.0 --startMP 300:58632 --initTime 2017-09-19T09:25:54 --startdatetime 2017-09-19T09:33:09 --delay 65 --endMP 204:710 --enddatetime 2017-09-19T09:55:54 --enforcementcount 0 &gt;&gt;C:\Users\stu\Documents\GitHub\eaglep3-reporting\EC\2017-09-19-refined-times.txt</v>
      </c>
      <c r="AI174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{"issue":{"subject":"","project_id":79,"tracker_id":40,"status_id":1,"priority_id":2,"assigned_to_id":338,"start_date":"2017-09-19","description":"","custom_fields":[{"id":1,"name":"Subdivision","value":"NW"},{"id":4,"name":"Milepost","value":"0.071"},{"id":17,"name":"Train ID","value":"814-19"},{"id":16,"name":"Locomotive ID","value":"4043"},{"id":130,"name":"Impact","value":""},{"id":150,"name":"Time of Event (Mountain Time)","value":"09:55:54"},{"id":151,"name":"Denver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75"/>
        <v>start /low /b %USERPROFILE%\Documents\GitHub\eaglep3\Utilities\DownloadLogsFromS3.py --loco 4043 --day 2017-09-19</v>
      </c>
      <c r="AN174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15:55:54"},{"id":29,"name":"Sharepoint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77"/>
        <v>https://d0f6bd738d7f1b3e5a7ca70fe4ff75f0.us-east-1.aws.found.io/app/kibana#/discover/Steve-Slow-Train-Analysis-(2080s-and-2083s)?_g=(refreshInterval:(display:Off,pause:!f,section:0,value:0),time:(from:'2017-09-19T08:25:54-0600',mode:absolute,to:'2017-09-19T10:55:54-0600'))&amp;_a=(columns:!('Message%20ID',Summary),filters:!(),index:'emp_*',interval:auto,query:(query_string:(analyze_wildcard:!t,query:'Message%5C+ID:(*)+AND+%22rtdc.l.rtdc.4043%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723</v>
      </c>
      <c r="B175" s="7">
        <v>4044</v>
      </c>
      <c r="C175" s="21" t="s">
        <v>197</v>
      </c>
      <c r="D175" s="21" t="s">
        <v>946</v>
      </c>
      <c r="E175" s="13">
        <v>42997.415312500001</v>
      </c>
      <c r="F175" s="13">
        <v>42997.423611111109</v>
      </c>
      <c r="G175" s="7">
        <v>51</v>
      </c>
      <c r="H175" s="21" t="s">
        <v>590</v>
      </c>
      <c r="I175" s="13">
        <v>42997.433275462965</v>
      </c>
      <c r="J175" s="7">
        <v>0</v>
      </c>
      <c r="K175" s="89" t="str">
        <f t="shared" si="61"/>
        <v>4043/4044</v>
      </c>
      <c r="L175" s="185" t="str">
        <f>VLOOKUP(A175,'Trips&amp;Operators'!$C$1:$G$99911,5,FALSE)</f>
        <v>FORTUNATO FRANK</v>
      </c>
      <c r="M175" s="6">
        <f t="shared" si="62"/>
        <v>9.6643518554628827E-3</v>
      </c>
      <c r="N175" s="7">
        <f t="shared" ref="N175:N206" si="87">24*60*SUM($M175:$M175)</f>
        <v>13.916666671866551</v>
      </c>
      <c r="O175" s="7"/>
      <c r="P175" s="7"/>
      <c r="Q175" s="22"/>
      <c r="R175" s="174"/>
      <c r="S175" s="221">
        <f t="shared" ref="S175:S206" si="88">1/IF(AG175="EC",12,1)*SUM(U175:U175)</f>
        <v>1</v>
      </c>
      <c r="T175" s="174" t="str">
        <f t="shared" si="63"/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64"/>
        <v>https://d0f6bd738d7f1b3e5a7ca70fe4ff75f0.us-east-1.aws.found.io/app/kibana#/discover/Steve-Slow-Train-Analysis-(2080s-and-2083s)?_g=(refreshInterval:(display:Off,pause:!f,section:0,value:0),time:(from:'2017-09-19T08:58:03-0600',mode:absolute,to:'2017-09-19T11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5" s="204" t="str">
        <f>IF(AA175&lt;VLOOKUP(AG175,Variables!$AC$3:$AD$8,2,FALSE),"Y","N")</f>
        <v>N</v>
      </c>
      <c r="X175" s="204">
        <f t="shared" si="86"/>
        <v>1</v>
      </c>
      <c r="Y175" s="204">
        <f t="shared" si="84"/>
        <v>9.6500000000000002E-2</v>
      </c>
      <c r="Z175" s="204">
        <f t="shared" si="85"/>
        <v>5.8982000000000001</v>
      </c>
      <c r="AA175" s="204">
        <f t="shared" si="66"/>
        <v>5.8017000000000003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 t="shared" si="67"/>
        <v>815</v>
      </c>
      <c r="AE175" s="77" t="str">
        <f t="shared" si="68"/>
        <v>aws s3 cp s3://rtdc.mdm.uploadarchive.raw/RTDC4044/ "%USERPROFILE%\AppData\Local\Temp\OnboardLogs"\RTDC4044\2017-09-19 --exclude "*" --recursive --include "*20170919*" &amp; "%USERPROFILE%\Documents\GitHub\mrs-test-scripts\Headless Mode &amp; Sideloading\WalkAndUnGZ.bat" "%USERPROFILE%\AppData\Local\Temp\OnboardLogs"\RTDC4044\2017-09-19 &amp; 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</v>
      </c>
      <c r="AF175" s="74" t="str">
        <f t="shared" si="69"/>
        <v>"C:\Program Files (x86)\AstroGrep\AstroGrep.exe" /e /r /s /spath="%USERPROFILE%\AppData\Local\Temp\OnboardLogs" /stypes="app*4044*20170919*" /stext=" 16:.+((SYSTEM_STATE.+slice.+state.+changed )|(ment ac)|(multiple cpu faults)|(system.+state.+changed )|(\[timeout)|(PRM\|1\|D)|(kpr)|(kdp)|(train st.+moving)|(\|lc)|(penalty))"</v>
      </c>
      <c r="AG175" s="182" t="str">
        <f t="shared" si="70"/>
        <v>NW</v>
      </c>
      <c r="AH175" s="78" t="str">
        <f t="shared" si="73"/>
        <v>"%USERPROFILE%\Documents\GitHub\eaglep3\Utilities\RefineRTDCRunTimes.py" --tripid 815-19 --locoid 4044 --swversion DE.1.0.9.0 --startMP 204:965 --initTime 2017-09-19T09:58:03 --startdatetime 2017-09-19T10:10:00 --delay 51 --endMP 300:58982 --enddatetime 2017-09-19T10:23:55 --enforcementcount 0 &gt;&gt;C:\Users\stu\Documents\GitHub\eaglep3-reporting\EC\2017-09-19-refined-times.txt</v>
      </c>
      <c r="AI175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{"issue":{"subject":"","project_id":79,"tracker_id":40,"status_id":1,"priority_id":2,"assigned_to_id":338,"start_date":"2017-09-19","description":"","custom_fields":[{"id":1,"name":"Subdivision","value":"NW"},{"id":4,"name":"Milepost","value":"5.8982"},{"id":17,"name":"Train ID","value":"815-19"},{"id":16,"name":"Locomotive ID","value":"4044"},{"id":130,"name":"Impact","value":""},{"id":150,"name":"Time of Event (Mountain Time)","value":"10:23:55"},{"id":151,"name":"Denver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75"/>
        <v>start /low /b %USERPROFILE%\Documents\GitHub\eaglep3\Utilities\DownloadLogsFromS3.py --loco 4044 --day 2017-09-19</v>
      </c>
      <c r="AN175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16:23:55"},{"id":29,"name":"Sharepoint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77"/>
        <v>https://d0f6bd738d7f1b3e5a7ca70fe4ff75f0.us-east-1.aws.found.io/app/kibana#/discover/Steve-Slow-Train-Analysis-(2080s-and-2083s)?_g=(refreshInterval:(display:Off,pause:!f,section:0,value:0),time:(from:'2017-09-19T08:58:03-0600',mode:absolute,to:'2017-09-19T11:23:55-0600'))&amp;_a=(columns:!('Message%20ID',Summary),filters:!(),index:'emp_*',interval:auto,query:(query_string:(analyze_wildcard:!t,query:'Message%5C+ID:(*)+AND+%22rtdc.l.rtdc.4044%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728</v>
      </c>
      <c r="B176" s="7">
        <v>4043</v>
      </c>
      <c r="C176" s="21" t="s">
        <v>197</v>
      </c>
      <c r="D176" s="21" t="s">
        <v>947</v>
      </c>
      <c r="E176" s="13">
        <v>42997.434803240743</v>
      </c>
      <c r="F176" s="13">
        <v>42997.440462962964</v>
      </c>
      <c r="G176" s="7">
        <v>58</v>
      </c>
      <c r="H176" s="21" t="s">
        <v>584</v>
      </c>
      <c r="I176" s="13">
        <v>42997.45521990741</v>
      </c>
      <c r="J176" s="7">
        <v>0</v>
      </c>
      <c r="K176" s="89" t="str">
        <f t="shared" si="61"/>
        <v>4043/4044</v>
      </c>
      <c r="L176" s="185" t="str">
        <f>VLOOKUP(A176,'Trips&amp;Operators'!$C$1:$G$99911,5,FALSE)</f>
        <v>FORTUNATO FRANK</v>
      </c>
      <c r="M176" s="6">
        <f t="shared" si="62"/>
        <v>1.4756944445252884E-2</v>
      </c>
      <c r="N176" s="7">
        <f t="shared" si="87"/>
        <v>21.250000001164153</v>
      </c>
      <c r="O176" s="7"/>
      <c r="P176" s="7"/>
      <c r="Q176" s="22"/>
      <c r="R176" s="174"/>
      <c r="S176" s="221">
        <f t="shared" si="88"/>
        <v>1</v>
      </c>
      <c r="T176" s="174" t="str">
        <f t="shared" si="63"/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64"/>
        <v>https://d0f6bd738d7f1b3e5a7ca70fe4ff75f0.us-east-1.aws.found.io/app/kibana#/discover/Steve-Slow-Train-Analysis-(2080s-and-2083s)?_g=(refreshInterval:(display:Off,pause:!f,section:0,value:0),time:(from:'2017-09-19T09:26:07-0600',mode:absolute,to:'2017-09-19T11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6" s="204" t="str">
        <f>IF(AA176&lt;VLOOKUP(AG176,Variables!$AC$3:$AD$8,2,FALSE),"Y","N")</f>
        <v>N</v>
      </c>
      <c r="X176" s="204">
        <f t="shared" si="86"/>
        <v>1</v>
      </c>
      <c r="Y176" s="204">
        <f t="shared" si="84"/>
        <v>5.8667999999999996</v>
      </c>
      <c r="Z176" s="204">
        <f t="shared" si="85"/>
        <v>6.9400000000000003E-2</v>
      </c>
      <c r="AA176" s="204">
        <f t="shared" si="66"/>
        <v>5.7973999999999997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 t="shared" si="67"/>
        <v>816</v>
      </c>
      <c r="AE176" s="77" t="str">
        <f t="shared" si="68"/>
        <v>aws s3 cp s3://rtdc.mdm.uploadarchive.raw/RTDC4043/ "%USERPROFILE%\AppData\Local\Temp\OnboardLogs"\RTDC4043\2017-09-19 --exclude "*" --recursive --include "*20170919*" &amp; "%USERPROFILE%\Documents\GitHub\mrs-test-scripts\Headless Mode &amp; Sideloading\WalkAndUnGZ.bat" "%USERPROFILE%\AppData\Local\Temp\OnboardLogs"\RTDC4043\2017-09-19 &amp; 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</v>
      </c>
      <c r="AF176" s="74" t="str">
        <f t="shared" si="69"/>
        <v>"C:\Program Files (x86)\AstroGrep\AstroGrep.exe" /e /r /s /spath="%USERPROFILE%\AppData\Local\Temp\OnboardLogs" /stypes="app*4043*20170919*" /stext=" 16:.+((SYSTEM_STATE.+slice.+state.+changed )|(ment ac)|(multiple cpu faults)|(system.+state.+changed )|(\[timeout)|(PRM\|1\|D)|(kpr)|(kdp)|(train st.+moving)|(\|lc)|(penalty))"</v>
      </c>
      <c r="AG176" s="182" t="str">
        <f t="shared" si="70"/>
        <v>NW</v>
      </c>
      <c r="AH176" s="78" t="str">
        <f t="shared" si="73"/>
        <v>"%USERPROFILE%\Documents\GitHub\eaglep3\Utilities\RefineRTDCRunTimes.py" --tripid 816-19 --locoid 4043 --swversion DE.1.0.9.0 --startMP 300:58668 --initTime 2017-09-19T10:26:07 --startdatetime 2017-09-19T10:34:16 --delay 58 --endMP 204:694 --enddatetime 2017-09-19T10:55:31 --enforcementcount 0 &gt;&gt;C:\Users\stu\Documents\GitHub\eaglep3-reporting\EC\2017-09-19-refined-times.txt</v>
      </c>
      <c r="AI176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{"issue":{"subject":"","project_id":79,"tracker_id":40,"status_id":1,"priority_id":2,"assigned_to_id":338,"start_date":"2017-09-19","description":"","custom_fields":[{"id":1,"name":"Subdivision","value":"NW"},{"id":4,"name":"Milepost","value":"0.0694"},{"id":17,"name":"Train ID","value":"816-19"},{"id":16,"name":"Locomotive ID","value":"4043"},{"id":130,"name":"Impact","value":""},{"id":150,"name":"Time of Event (Mountain Time)","value":"10:55:31"},{"id":151,"name":"Denver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75"/>
        <v>start /low /b %USERPROFILE%\Documents\GitHub\eaglep3\Utilities\DownloadLogsFromS3.py --loco 4043 --day 2017-09-19</v>
      </c>
      <c r="AN176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16:55:31"},{"id":29,"name":"Sharepoint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77"/>
        <v>https://d0f6bd738d7f1b3e5a7ca70fe4ff75f0.us-east-1.aws.found.io/app/kibana#/discover/Steve-Slow-Train-Analysis-(2080s-and-2083s)?_g=(refreshInterval:(display:Off,pause:!f,section:0,value:0),time:(from:'2017-09-19T09:26:07-0600',mode:absolute,to:'2017-09-19T11:55:31-0600'))&amp;_a=(columns:!('Message%20ID',Summary),filters:!(),index:'emp_*',interval:auto,query:(query_string:(analyze_wildcard:!t,query:'Message%5C+ID:(*)+AND+%22rtdc.l.rtdc.4043%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627</v>
      </c>
      <c r="B177" s="7">
        <v>4044</v>
      </c>
      <c r="C177" s="21" t="s">
        <v>197</v>
      </c>
      <c r="D177" s="21" t="s">
        <v>937</v>
      </c>
      <c r="E177" s="13">
        <v>42997.45685185185</v>
      </c>
      <c r="F177" s="13">
        <v>42997.465127314812</v>
      </c>
      <c r="G177" s="7">
        <v>50</v>
      </c>
      <c r="H177" s="21" t="s">
        <v>948</v>
      </c>
      <c r="I177" s="13">
        <v>42997.474930555552</v>
      </c>
      <c r="J177" s="7">
        <v>0</v>
      </c>
      <c r="K177" s="89" t="str">
        <f t="shared" si="61"/>
        <v>4043/4044</v>
      </c>
      <c r="L177" s="185" t="str">
        <f>VLOOKUP(A177,'Trips&amp;Operators'!$C$1:$G$99911,5,FALSE)</f>
        <v>FORTUNATO FRANK</v>
      </c>
      <c r="M177" s="6">
        <f t="shared" si="62"/>
        <v>9.8032407404389232E-3</v>
      </c>
      <c r="N177" s="7">
        <f t="shared" si="87"/>
        <v>14.116666666232049</v>
      </c>
      <c r="O177" s="7"/>
      <c r="P177" s="7"/>
      <c r="Q177" s="22"/>
      <c r="R177" s="174"/>
      <c r="S177" s="221">
        <f t="shared" si="88"/>
        <v>1</v>
      </c>
      <c r="T177" s="174" t="str">
        <f t="shared" si="63"/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64"/>
        <v>https://d0f6bd738d7f1b3e5a7ca70fe4ff75f0.us-east-1.aws.found.io/app/kibana#/discover/Steve-Slow-Train-Analysis-(2080s-and-2083s)?_g=(refreshInterval:(display:Off,pause:!f,section:0,value:0),time:(from:'2017-09-19T09:57:52-0600',mode:absolute,to:'2017-09-19T12:23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7" s="204" t="str">
        <f>IF(AA177&lt;VLOOKUP(AG177,Variables!$AC$3:$AD$8,2,FALSE),"Y","N")</f>
        <v>N</v>
      </c>
      <c r="X177" s="204">
        <f t="shared" si="86"/>
        <v>1</v>
      </c>
      <c r="Y177" s="204">
        <f t="shared" si="84"/>
        <v>9.7799999999999998E-2</v>
      </c>
      <c r="Z177" s="204">
        <f t="shared" si="85"/>
        <v>5.8967000000000001</v>
      </c>
      <c r="AA177" s="204">
        <f t="shared" si="66"/>
        <v>5.7988999999999997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 t="shared" si="67"/>
        <v>817</v>
      </c>
      <c r="AE177" s="77" t="str">
        <f t="shared" si="68"/>
        <v>aws s3 cp s3://rtdc.mdm.uploadarchive.raw/RTDC4044/ "%USERPROFILE%\AppData\Local\Temp\OnboardLogs"\RTDC4044\2017-09-19 --exclude "*" --recursive --include "*20170919*" &amp; "%USERPROFILE%\Documents\GitHub\mrs-test-scripts\Headless Mode &amp; Sideloading\WalkAndUnGZ.bat" "%USERPROFILE%\AppData\Local\Temp\OnboardLogs"\RTDC4044\2017-09-19 &amp; 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</v>
      </c>
      <c r="AF177" s="74" t="str">
        <f t="shared" si="69"/>
        <v>"C:\Program Files (x86)\AstroGrep\AstroGrep.exe" /e /r /s /spath="%USERPROFILE%\AppData\Local\Temp\OnboardLogs" /stypes="app*4044*20170919*" /stext=" 17:.+((SYSTEM_STATE.+slice.+state.+changed )|(ment ac)|(multiple cpu faults)|(system.+state.+changed )|(\[timeout)|(PRM\|1\|D)|(kpr)|(kdp)|(train st.+moving)|(\|lc)|(penalty))"</v>
      </c>
      <c r="AG177" s="182" t="str">
        <f t="shared" si="70"/>
        <v>NW</v>
      </c>
      <c r="AH177" s="78" t="str">
        <f t="shared" si="73"/>
        <v>"%USERPROFILE%\Documents\GitHub\eaglep3\Utilities\RefineRTDCRunTimes.py" --tripid 817-19 --locoid 4044 --swversion DE.1.0.9.0 --startMP 204:978 --initTime 2017-09-19T10:57:52 --startdatetime 2017-09-19T11:09:47 --delay 50 --endMP 300:58967 --enddatetime 2017-09-19T11:23:54 --enforcementcount 0 &gt;&gt;C:\Users\stu\Documents\GitHub\eaglep3-reporting\EC\2017-09-19-refined-times.txt</v>
      </c>
      <c r="AI177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{"issue":{"subject":"","project_id":79,"tracker_id":40,"status_id":1,"priority_id":2,"assigned_to_id":338,"start_date":"2017-09-19","description":"","custom_fields":[{"id":1,"name":"Subdivision","value":"NW"},{"id":4,"name":"Milepost","value":"5.8967"},{"id":17,"name":"Train ID","value":"817-19"},{"id":16,"name":"Locomotive ID","value":"4044"},{"id":130,"name":"Impact","value":""},{"id":150,"name":"Time of Event (Mountain Time)","value":"11:23:54"},{"id":151,"name":"Denver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75"/>
        <v>start /low /b %USERPROFILE%\Documents\GitHub\eaglep3\Utilities\DownloadLogsFromS3.py --loco 4044 --day 2017-09-19</v>
      </c>
      <c r="AN177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17:23:54"},{"id":29,"name":"Sharepoint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77"/>
        <v>https://d0f6bd738d7f1b3e5a7ca70fe4ff75f0.us-east-1.aws.found.io/app/kibana#/discover/Steve-Slow-Train-Analysis-(2080s-and-2083s)?_g=(refreshInterval:(display:Off,pause:!f,section:0,value:0),time:(from:'2017-09-19T09:57:52-0600',mode:absolute,to:'2017-09-19T12:23:54-0600'))&amp;_a=(columns:!('Message%20ID',Summary),filters:!(),index:'emp_*',interval:auto,query:(query_string:(analyze_wildcard:!t,query:'Message%5C+ID:(*)+AND+%22rtdc.l.rtdc.4044%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630</v>
      </c>
      <c r="B178" s="7">
        <v>4043</v>
      </c>
      <c r="C178" s="21" t="s">
        <v>197</v>
      </c>
      <c r="D178" s="21" t="s">
        <v>589</v>
      </c>
      <c r="E178" s="13">
        <v>42997.476701388892</v>
      </c>
      <c r="F178" s="13">
        <v>42997.48159722222</v>
      </c>
      <c r="G178" s="7">
        <v>52</v>
      </c>
      <c r="H178" s="21" t="s">
        <v>949</v>
      </c>
      <c r="I178" s="13">
        <v>42997.497175925928</v>
      </c>
      <c r="J178" s="7">
        <v>0</v>
      </c>
      <c r="K178" s="89" t="str">
        <f t="shared" si="61"/>
        <v>4043/4044</v>
      </c>
      <c r="L178" s="185" t="str">
        <f>VLOOKUP(A178,'Trips&amp;Operators'!$C$1:$G$99911,5,FALSE)</f>
        <v>FORTUNATO FRANK</v>
      </c>
      <c r="M178" s="6">
        <f t="shared" si="62"/>
        <v>1.5578703707433306E-2</v>
      </c>
      <c r="N178" s="7">
        <f t="shared" si="87"/>
        <v>22.43333333870396</v>
      </c>
      <c r="O178" s="7"/>
      <c r="P178" s="7"/>
      <c r="Q178" s="22"/>
      <c r="R178" s="174"/>
      <c r="S178" s="221">
        <f t="shared" si="88"/>
        <v>1</v>
      </c>
      <c r="T178" s="174" t="str">
        <f t="shared" si="63"/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64"/>
        <v>https://d0f6bd738d7f1b3e5a7ca70fe4ff75f0.us-east-1.aws.found.io/app/kibana#/discover/Steve-Slow-Train-Analysis-(2080s-and-2083s)?_g=(refreshInterval:(display:Off,pause:!f,section:0,value:0),time:(from:'2017-09-19T10:26:27-0600',mode:absolute,to:'2017-09-19T12:55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8" s="204" t="str">
        <f>IF(AA178&lt;VLOOKUP(AG178,Variables!$AC$3:$AD$8,2,FALSE),"Y","N")</f>
        <v>N</v>
      </c>
      <c r="X178" s="204">
        <f t="shared" si="86"/>
        <v>1</v>
      </c>
      <c r="Y178" s="204">
        <f t="shared" si="84"/>
        <v>5.8644999999999996</v>
      </c>
      <c r="Z178" s="204">
        <f t="shared" si="85"/>
        <v>7.4800000000000005E-2</v>
      </c>
      <c r="AA178" s="204">
        <f t="shared" si="66"/>
        <v>5.7896999999999998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 t="shared" si="67"/>
        <v>818</v>
      </c>
      <c r="AE178" s="77" t="str">
        <f t="shared" si="68"/>
        <v>aws s3 cp s3://rtdc.mdm.uploadarchive.raw/RTDC4043/ "%USERPROFILE%\AppData\Local\Temp\OnboardLogs"\RTDC4043\2017-09-19 --exclude "*" --recursive --include "*20170919*" &amp; "%USERPROFILE%\Documents\GitHub\mrs-test-scripts\Headless Mode &amp; Sideloading\WalkAndUnGZ.bat" "%USERPROFILE%\AppData\Local\Temp\OnboardLogs"\RTDC4043\2017-09-19 &amp; 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</v>
      </c>
      <c r="AF178" s="74" t="str">
        <f t="shared" si="69"/>
        <v>"C:\Program Files (x86)\AstroGrep\AstroGrep.exe" /e /r /s /spath="%USERPROFILE%\AppData\Local\Temp\OnboardLogs" /stypes="app*4043*20170919*" /stext=" 17:.+((SYSTEM_STATE.+slice.+state.+changed )|(ment ac)|(multiple cpu faults)|(system.+state.+changed )|(\[timeout)|(PRM\|1\|D)|(kpr)|(kdp)|(train st.+moving)|(\|lc)|(penalty))"</v>
      </c>
      <c r="AG178" s="182" t="str">
        <f t="shared" si="70"/>
        <v>NW</v>
      </c>
      <c r="AH178" s="78" t="str">
        <f t="shared" si="73"/>
        <v>"%USERPROFILE%\Documents\GitHub\eaglep3\Utilities\RefineRTDCRunTimes.py" --tripid 818-19 --locoid 4043 --swversion DE.1.0.9.0 --startMP 300:58645 --initTime 2017-09-19T11:26:27 --startdatetime 2017-09-19T11:33:30 --delay 52 --endMP 204:748 --enddatetime 2017-09-19T11:55:56 --enforcementcount 0 &gt;&gt;C:\Users\stu\Documents\GitHub\eaglep3-reporting\EC\2017-09-19-refined-times.txt</v>
      </c>
      <c r="AI178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{"issue":{"subject":"","project_id":79,"tracker_id":40,"status_id":1,"priority_id":2,"assigned_to_id":338,"start_date":"2017-09-19","description":"","custom_fields":[{"id":1,"name":"Subdivision","value":"NW"},{"id":4,"name":"Milepost","value":"0.0748"},{"id":17,"name":"Train ID","value":"818-19"},{"id":16,"name":"Locomotive ID","value":"4043"},{"id":130,"name":"Impact","value":""},{"id":150,"name":"Time of Event (Mountain Time)","value":"11:55:56"},{"id":151,"name":"Denver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75"/>
        <v>start /low /b %USERPROFILE%\Documents\GitHub\eaglep3\Utilities\DownloadLogsFromS3.py --loco 4043 --day 2017-09-19</v>
      </c>
      <c r="AN178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17:55:56"},{"id":29,"name":"Sharepoint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77"/>
        <v>https://d0f6bd738d7f1b3e5a7ca70fe4ff75f0.us-east-1.aws.found.io/app/kibana#/discover/Steve-Slow-Train-Analysis-(2080s-and-2083s)?_g=(refreshInterval:(display:Off,pause:!f,section:0,value:0),time:(from:'2017-09-19T10:26:27-0600',mode:absolute,to:'2017-09-19T12:55:56-0600'))&amp;_a=(columns:!('Message%20ID',Summary),filters:!(),index:'emp_*',interval:auto,query:(query_string:(analyze_wildcard:!t,query:'Message%5C+ID:(*)+AND+%22rtdc.l.rtdc.4043%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745</v>
      </c>
      <c r="B179" s="7">
        <v>4044</v>
      </c>
      <c r="C179" s="21" t="s">
        <v>197</v>
      </c>
      <c r="D179" s="21" t="s">
        <v>950</v>
      </c>
      <c r="E179" s="13">
        <v>42997.501585648148</v>
      </c>
      <c r="F179" s="13">
        <v>42997.50640046296</v>
      </c>
      <c r="G179" s="7">
        <v>49</v>
      </c>
      <c r="H179" s="21" t="s">
        <v>951</v>
      </c>
      <c r="I179" s="13">
        <v>42997.516018518516</v>
      </c>
      <c r="J179" s="7">
        <v>0</v>
      </c>
      <c r="K179" s="89" t="str">
        <f t="shared" si="61"/>
        <v>4043/4044</v>
      </c>
      <c r="L179" s="185" t="str">
        <f>VLOOKUP(A179,'Trips&amp;Operators'!$C$1:$G$99911,5,FALSE)</f>
        <v>FORTUNATO FRANK</v>
      </c>
      <c r="M179" s="6">
        <f t="shared" si="62"/>
        <v>9.6180555556202307E-3</v>
      </c>
      <c r="N179" s="7">
        <f t="shared" si="87"/>
        <v>13.850000000093132</v>
      </c>
      <c r="O179" s="7"/>
      <c r="P179" s="7"/>
      <c r="Q179" s="22"/>
      <c r="R179" s="174"/>
      <c r="S179" s="221">
        <f t="shared" si="88"/>
        <v>1</v>
      </c>
      <c r="T179" s="174" t="str">
        <f t="shared" si="63"/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64"/>
        <v>https://d0f6bd738d7f1b3e5a7ca70fe4ff75f0.us-east-1.aws.found.io/app/kibana#/discover/Steve-Slow-Train-Analysis-(2080s-and-2083s)?_g=(refreshInterval:(display:Off,pause:!f,section:0,value:0),time:(from:'2017-09-19T11:02:17-0600',mode:absolute,to:'2017-09-19T13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9" s="204" t="str">
        <f>IF(AA179&lt;VLOOKUP(AG179,Variables!$AC$3:$AD$8,2,FALSE),"Y","N")</f>
        <v>N</v>
      </c>
      <c r="X179" s="204">
        <f t="shared" si="86"/>
        <v>1</v>
      </c>
      <c r="Y179" s="204">
        <f t="shared" si="84"/>
        <v>0.1016</v>
      </c>
      <c r="Z179" s="204">
        <f t="shared" si="85"/>
        <v>5.9005000000000001</v>
      </c>
      <c r="AA179" s="204">
        <f t="shared" si="66"/>
        <v>5.7988999999999997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 t="shared" si="67"/>
        <v>819</v>
      </c>
      <c r="AE179" s="77" t="str">
        <f t="shared" si="68"/>
        <v>aws s3 cp s3://rtdc.mdm.uploadarchive.raw/RTDC4044/ "%USERPROFILE%\AppData\Local\Temp\OnboardLogs"\RTDC4044\2017-09-19 --exclude "*" --recursive --include "*20170919*" &amp; "%USERPROFILE%\Documents\GitHub\mrs-test-scripts\Headless Mode &amp; Sideloading\WalkAndUnGZ.bat" "%USERPROFILE%\AppData\Local\Temp\OnboardLogs"\RTDC4044\2017-09-19 &amp; 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</v>
      </c>
      <c r="AF179" s="74" t="str">
        <f t="shared" si="69"/>
        <v>"C:\Program Files (x86)\AstroGrep\AstroGrep.exe" /e /r /s /spath="%USERPROFILE%\AppData\Local\Temp\OnboardLogs" /stypes="app*4044*20170919*" /stext=" 18:.+((SYSTEM_STATE.+slice.+state.+changed )|(ment ac)|(multiple cpu faults)|(system.+state.+changed )|(\[timeout)|(PRM\|1\|D)|(kpr)|(kdp)|(train st.+moving)|(\|lc)|(penalty))"</v>
      </c>
      <c r="AG179" s="182" t="str">
        <f t="shared" si="70"/>
        <v>NW</v>
      </c>
      <c r="AH179" s="78" t="str">
        <f t="shared" si="73"/>
        <v>"%USERPROFILE%\Documents\GitHub\eaglep3\Utilities\RefineRTDCRunTimes.py" --tripid 819-19 --locoid 4044 --swversion DE.1.0.9.0 --startMP 204:1016 --initTime 2017-09-19T12:02:17 --startdatetime 2017-09-19T12:09:13 --delay 49 --endMP 300:59005 --enddatetime 2017-09-19T12:23:04 --enforcementcount 0 &gt;&gt;C:\Users\stu\Documents\GitHub\eaglep3-reporting\EC\2017-09-19-refined-times.txt</v>
      </c>
      <c r="AI179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{"issue":{"subject":"","project_id":79,"tracker_id":40,"status_id":1,"priority_id":2,"assigned_to_id":338,"start_date":"2017-09-19","description":"","custom_fields":[{"id":1,"name":"Subdivision","value":"NW"},{"id":4,"name":"Milepost","value":"5.9005"},{"id":17,"name":"Train ID","value":"819-19"},{"id":16,"name":"Locomotive ID","value":"4044"},{"id":130,"name":"Impact","value":""},{"id":150,"name":"Time of Event (Mountain Time)","value":"12:23:04"},{"id":151,"name":"Denver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75"/>
        <v>start /low /b %USERPROFILE%\Documents\GitHub\eaglep3\Utilities\DownloadLogsFromS3.py --loco 4044 --day 2017-09-19</v>
      </c>
      <c r="AN179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18:23:04"},{"id":29,"name":"Sharepoint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77"/>
        <v>https://d0f6bd738d7f1b3e5a7ca70fe4ff75f0.us-east-1.aws.found.io/app/kibana#/discover/Steve-Slow-Train-Analysis-(2080s-and-2083s)?_g=(refreshInterval:(display:Off,pause:!f,section:0,value:0),time:(from:'2017-09-19T11:02:17-0600',mode:absolute,to:'2017-09-19T13:23:04-0600'))&amp;_a=(columns:!('Message%20ID',Summary),filters:!(),index:'emp_*',interval:auto,query:(query_string:(analyze_wildcard:!t,query:'Message%5C+ID:(*)+AND+%22rtdc.l.rtdc.4044%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747</v>
      </c>
      <c r="B180" s="7">
        <v>4043</v>
      </c>
      <c r="C180" s="21" t="s">
        <v>197</v>
      </c>
      <c r="D180" s="21" t="s">
        <v>586</v>
      </c>
      <c r="E180" s="13">
        <v>42997.51734953704</v>
      </c>
      <c r="F180" s="13">
        <v>42997.523032407407</v>
      </c>
      <c r="G180" s="7">
        <v>50</v>
      </c>
      <c r="H180" s="21" t="s">
        <v>952</v>
      </c>
      <c r="I180" s="13">
        <v>42997.538414351853</v>
      </c>
      <c r="J180" s="7">
        <v>0</v>
      </c>
      <c r="K180" s="89" t="str">
        <f t="shared" si="61"/>
        <v>4043/4044</v>
      </c>
      <c r="L180" s="185" t="str">
        <f>VLOOKUP(A180,'Trips&amp;Operators'!$C$1:$G$99911,5,FALSE)</f>
        <v>FORTUNATO FRANK</v>
      </c>
      <c r="M180" s="6">
        <f t="shared" si="62"/>
        <v>1.5381944445834961E-2</v>
      </c>
      <c r="N180" s="7">
        <f t="shared" si="87"/>
        <v>22.150000002002344</v>
      </c>
      <c r="O180" s="7"/>
      <c r="P180" s="7"/>
      <c r="Q180" s="22"/>
      <c r="R180" s="174"/>
      <c r="S180" s="221">
        <f t="shared" si="88"/>
        <v>1</v>
      </c>
      <c r="T180" s="174" t="str">
        <f t="shared" si="63"/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64"/>
        <v>https://d0f6bd738d7f1b3e5a7ca70fe4ff75f0.us-east-1.aws.found.io/app/kibana#/discover/Steve-Slow-Train-Analysis-(2080s-and-2083s)?_g=(refreshInterval:(display:Off,pause:!f,section:0,value:0),time:(from:'2017-09-19T11:24:59-0600',mode:absolute,to:'2017-09-19T13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0" s="204" t="str">
        <f>IF(AA180&lt;VLOOKUP(AG180,Variables!$AC$3:$AD$8,2,FALSE),"Y","N")</f>
        <v>N</v>
      </c>
      <c r="X180" s="204">
        <f t="shared" si="86"/>
        <v>1</v>
      </c>
      <c r="Y180" s="204">
        <f t="shared" si="84"/>
        <v>5.8697999999999997</v>
      </c>
      <c r="Z180" s="204">
        <f t="shared" si="85"/>
        <v>7.1999999999999995E-2</v>
      </c>
      <c r="AA180" s="204">
        <f t="shared" si="66"/>
        <v>5.7977999999999996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 t="shared" si="67"/>
        <v>820</v>
      </c>
      <c r="AE180" s="77" t="str">
        <f t="shared" si="68"/>
        <v>aws s3 cp s3://rtdc.mdm.uploadarchive.raw/RTDC4043/ "%USERPROFILE%\AppData\Local\Temp\OnboardLogs"\RTDC4043\2017-09-19 --exclude "*" --recursive --include "*20170919*" &amp; "%USERPROFILE%\Documents\GitHub\mrs-test-scripts\Headless Mode &amp; Sideloading\WalkAndUnGZ.bat" "%USERPROFILE%\AppData\Local\Temp\OnboardLogs"\RTDC4043\2017-09-19 &amp; 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</v>
      </c>
      <c r="AF180" s="74" t="str">
        <f t="shared" si="69"/>
        <v>"C:\Program Files (x86)\AstroGrep\AstroGrep.exe" /e /r /s /spath="%USERPROFILE%\AppData\Local\Temp\OnboardLogs" /stypes="app*4043*20170919*" /stext=" 18:.+((SYSTEM_STATE.+slice.+state.+changed )|(ment ac)|(multiple cpu faults)|(system.+state.+changed )|(\[timeout)|(PRM\|1\|D)|(kpr)|(kdp)|(train st.+moving)|(\|lc)|(penalty))"</v>
      </c>
      <c r="AG180" s="182" t="str">
        <f t="shared" si="70"/>
        <v>NW</v>
      </c>
      <c r="AH180" s="78" t="str">
        <f t="shared" si="73"/>
        <v>"%USERPROFILE%\Documents\GitHub\eaglep3\Utilities\RefineRTDCRunTimes.py" --tripid 820-19 --locoid 4043 --swversion DE.1.0.9.0 --startMP 300:58698 --initTime 2017-09-19T12:24:59 --startdatetime 2017-09-19T12:33:10 --delay 50 --endMP 204:720 --enddatetime 2017-09-19T12:55:19 --enforcementcount 0 &gt;&gt;C:\Users\stu\Documents\GitHub\eaglep3-reporting\EC\2017-09-19-refined-times.txt</v>
      </c>
      <c r="AI180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{"issue":{"subject":"","project_id":79,"tracker_id":40,"status_id":1,"priority_id":2,"assigned_to_id":338,"start_date":"2017-09-19","description":"","custom_fields":[{"id":1,"name":"Subdivision","value":"NW"},{"id":4,"name":"Milepost","value":"0.072"},{"id":17,"name":"Train ID","value":"820-19"},{"id":16,"name":"Locomotive ID","value":"4043"},{"id":130,"name":"Impact","value":""},{"id":150,"name":"Time of Event (Mountain Time)","value":"12:55:19"},{"id":151,"name":"Denver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75"/>
        <v>start /low /b %USERPROFILE%\Documents\GitHub\eaglep3\Utilities\DownloadLogsFromS3.py --loco 4043 --day 2017-09-19</v>
      </c>
      <c r="AN180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18:55:19"},{"id":29,"name":"Sharepoint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77"/>
        <v>https://d0f6bd738d7f1b3e5a7ca70fe4ff75f0.us-east-1.aws.found.io/app/kibana#/discover/Steve-Slow-Train-Analysis-(2080s-and-2083s)?_g=(refreshInterval:(display:Off,pause:!f,section:0,value:0),time:(from:'2017-09-19T11:24:59-0600',mode:absolute,to:'2017-09-19T13:55:19-0600'))&amp;_a=(columns:!('Message%20ID',Summary),filters:!(),index:'emp_*',interval:auto,query:(query_string:(analyze_wildcard:!t,query:'Message%5C+ID:(*)+AND+%22rtdc.l.rtdc.4043%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751</v>
      </c>
      <c r="B181" s="7">
        <v>4044</v>
      </c>
      <c r="C181" s="21" t="s">
        <v>197</v>
      </c>
      <c r="D181" s="21" t="s">
        <v>592</v>
      </c>
      <c r="E181" s="13">
        <v>42997.541585648149</v>
      </c>
      <c r="F181" s="13">
        <v>42997.548125000001</v>
      </c>
      <c r="G181" s="7">
        <v>80</v>
      </c>
      <c r="H181" s="21" t="s">
        <v>596</v>
      </c>
      <c r="I181" s="13">
        <v>42997.557951388888</v>
      </c>
      <c r="J181" s="7">
        <v>0</v>
      </c>
      <c r="K181" s="89" t="str">
        <f t="shared" si="61"/>
        <v>4043/4044</v>
      </c>
      <c r="L181" s="185" t="str">
        <f>VLOOKUP(A181,'Trips&amp;Operators'!$C$1:$G$99911,5,FALSE)</f>
        <v>ZEWDU DEREJE</v>
      </c>
      <c r="M181" s="6">
        <f t="shared" si="62"/>
        <v>9.8263888867222704E-3</v>
      </c>
      <c r="N181" s="7">
        <f t="shared" si="87"/>
        <v>14.149999996880069</v>
      </c>
      <c r="O181" s="7"/>
      <c r="P181" s="7"/>
      <c r="Q181" s="22"/>
      <c r="R181" s="174"/>
      <c r="S181" s="221">
        <f t="shared" si="88"/>
        <v>1</v>
      </c>
      <c r="T181" s="174" t="str">
        <f t="shared" si="63"/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64"/>
        <v>https://d0f6bd738d7f1b3e5a7ca70fe4ff75f0.us-east-1.aws.found.io/app/kibana#/discover/Steve-Slow-Train-Analysis-(2080s-and-2083s)?_g=(refreshInterval:(display:Off,pause:!f,section:0,value:0),time:(from:'2017-09-19T11:59:53-0600',mode:absolute,to:'2017-09-19T14:23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1" s="204" t="str">
        <f>IF(AA181&lt;VLOOKUP(AG181,Variables!$AC$3:$AD$8,2,FALSE),"Y","N")</f>
        <v>N</v>
      </c>
      <c r="X181" s="204">
        <f t="shared" si="86"/>
        <v>1</v>
      </c>
      <c r="Y181" s="204">
        <f t="shared" si="84"/>
        <v>0.1002</v>
      </c>
      <c r="Z181" s="204">
        <f t="shared" si="85"/>
        <v>5.8964999999999996</v>
      </c>
      <c r="AA181" s="204">
        <f t="shared" si="66"/>
        <v>5.7962999999999996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 t="shared" si="67"/>
        <v>821</v>
      </c>
      <c r="AE181" s="77" t="str">
        <f t="shared" si="68"/>
        <v>aws s3 cp s3://rtdc.mdm.uploadarchive.raw/RTDC4044/ "%USERPROFILE%\AppData\Local\Temp\OnboardLogs"\RTDC4044\2017-09-19 --exclude "*" --recursive --include "*20170919*" &amp; "%USERPROFILE%\Documents\GitHub\mrs-test-scripts\Headless Mode &amp; Sideloading\WalkAndUnGZ.bat" "%USERPROFILE%\AppData\Local\Temp\OnboardLogs"\RTDC4044\2017-09-19 &amp; 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</v>
      </c>
      <c r="AF181" s="74" t="str">
        <f t="shared" si="69"/>
        <v>"C:\Program Files (x86)\AstroGrep\AstroGrep.exe" /e /r /s /spath="%USERPROFILE%\AppData\Local\Temp\OnboardLogs" /stypes="app*4044*20170919*" /stext=" 19:.+((SYSTEM_STATE.+slice.+state.+changed )|(ment ac)|(multiple cpu faults)|(system.+state.+changed )|(\[timeout)|(PRM\|1\|D)|(kpr)|(kdp)|(train st.+moving)|(\|lc)|(penalty))"</v>
      </c>
      <c r="AG181" s="182" t="str">
        <f t="shared" si="70"/>
        <v>NW</v>
      </c>
      <c r="AH181" s="78" t="str">
        <f t="shared" si="73"/>
        <v>"%USERPROFILE%\Documents\GitHub\eaglep3\Utilities\RefineRTDCRunTimes.py" --tripid 821-19 --locoid 4044 --swversion DE.1.0.9.0 --startMP 204:1002 --initTime 2017-09-19T12:59:53 --startdatetime 2017-09-19T13:09:18 --delay 80 --endMP 300:58965 --enddatetime 2017-09-19T13:23:27 --enforcementcount 0 &gt;&gt;C:\Users\stu\Documents\GitHub\eaglep3-reporting\EC\2017-09-19-refined-times.txt</v>
      </c>
      <c r="AI181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{"issue":{"subject":"","project_id":79,"tracker_id":40,"status_id":1,"priority_id":2,"assigned_to_id":338,"start_date":"2017-09-19","description":"","custom_fields":[{"id":1,"name":"Subdivision","value":"NW"},{"id":4,"name":"Milepost","value":"5.8965"},{"id":17,"name":"Train ID","value":"821-19"},{"id":16,"name":"Locomotive ID","value":"4044"},{"id":130,"name":"Impact","value":""},{"id":150,"name":"Time of Event (Mountain Time)","value":"13:23:27"},{"id":151,"name":"Denver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75"/>
        <v>start /low /b %USERPROFILE%\Documents\GitHub\eaglep3\Utilities\DownloadLogsFromS3.py --loco 4044 --day 2017-09-19</v>
      </c>
      <c r="AN181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19:23:27"},{"id":29,"name":"Sharepoint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77"/>
        <v>https://d0f6bd738d7f1b3e5a7ca70fe4ff75f0.us-east-1.aws.found.io/app/kibana#/discover/Steve-Slow-Train-Analysis-(2080s-and-2083s)?_g=(refreshInterval:(display:Off,pause:!f,section:0,value:0),time:(from:'2017-09-19T11:59:53-0600',mode:absolute,to:'2017-09-19T14:23:27-0600'))&amp;_a=(columns:!('Message%20ID',Summary),filters:!(),index:'emp_*',interval:auto,query:(query_string:(analyze_wildcard:!t,query:'Message%5C+ID:(*)+AND+%22rtdc.l.rtdc.4044%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758</v>
      </c>
      <c r="B182" s="7">
        <v>4043</v>
      </c>
      <c r="C182" s="21" t="s">
        <v>197</v>
      </c>
      <c r="D182" s="21" t="s">
        <v>953</v>
      </c>
      <c r="E182" s="13">
        <v>42997.559537037036</v>
      </c>
      <c r="F182" s="13">
        <v>42997.567372685182</v>
      </c>
      <c r="G182" s="7">
        <v>77</v>
      </c>
      <c r="H182" s="21" t="s">
        <v>954</v>
      </c>
      <c r="I182" s="13">
        <v>42997.579652777778</v>
      </c>
      <c r="J182" s="7">
        <v>0</v>
      </c>
      <c r="K182" s="89" t="str">
        <f t="shared" si="61"/>
        <v>4043/4044</v>
      </c>
      <c r="L182" s="185" t="str">
        <f>VLOOKUP(A182,'Trips&amp;Operators'!$C$1:$G$99911,5,FALSE)</f>
        <v>ZEWDU DEREJE</v>
      </c>
      <c r="M182" s="6">
        <f t="shared" si="62"/>
        <v>1.2280092596483883E-2</v>
      </c>
      <c r="N182" s="7">
        <f t="shared" si="87"/>
        <v>17.683333338936791</v>
      </c>
      <c r="O182" s="7"/>
      <c r="P182" s="7"/>
      <c r="Q182" s="22"/>
      <c r="R182" s="174"/>
      <c r="S182" s="221">
        <f t="shared" si="88"/>
        <v>1</v>
      </c>
      <c r="T182" s="174" t="str">
        <f t="shared" si="63"/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64"/>
        <v>https://d0f6bd738d7f1b3e5a7ca70fe4ff75f0.us-east-1.aws.found.io/app/kibana#/discover/Steve-Slow-Train-Analysis-(2080s-and-2083s)?_g=(refreshInterval:(display:Off,pause:!f,section:0,value:0),time:(from:'2017-09-19T12:25:44-0600',mode:absolute,to:'2017-09-19T14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2" s="204" t="str">
        <f>IF(AA182&lt;VLOOKUP(AG182,Variables!$AC$3:$AD$8,2,FALSE),"Y","N")</f>
        <v>N</v>
      </c>
      <c r="X182" s="204">
        <f t="shared" si="86"/>
        <v>1</v>
      </c>
      <c r="Y182" s="204">
        <f t="shared" si="84"/>
        <v>5.8643000000000001</v>
      </c>
      <c r="Z182" s="204">
        <f t="shared" si="85"/>
        <v>7.3999999999999996E-2</v>
      </c>
      <c r="AA182" s="204">
        <f t="shared" si="66"/>
        <v>5.7903000000000002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 t="shared" si="67"/>
        <v>822</v>
      </c>
      <c r="AE182" s="77" t="str">
        <f t="shared" si="68"/>
        <v>aws s3 cp s3://rtdc.mdm.uploadarchive.raw/RTDC4043/ "%USERPROFILE%\AppData\Local\Temp\OnboardLogs"\RTDC4043\2017-09-19 --exclude "*" --recursive --include "*20170919*" &amp; "%USERPROFILE%\Documents\GitHub\mrs-test-scripts\Headless Mode &amp; Sideloading\WalkAndUnGZ.bat" "%USERPROFILE%\AppData\Local\Temp\OnboardLogs"\RTDC4043\2017-09-19 &amp; 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</v>
      </c>
      <c r="AF182" s="74" t="str">
        <f t="shared" si="69"/>
        <v>"C:\Program Files (x86)\AstroGrep\AstroGrep.exe" /e /r /s /spath="%USERPROFILE%\AppData\Local\Temp\OnboardLogs" /stypes="app*4043*20170919*" /stext=" 19:.+((SYSTEM_STATE.+slice.+state.+changed )|(ment ac)|(multiple cpu faults)|(system.+state.+changed )|(\[timeout)|(PRM\|1\|D)|(kpr)|(kdp)|(train st.+moving)|(\|lc)|(penalty))"</v>
      </c>
      <c r="AG182" s="182" t="str">
        <f t="shared" si="70"/>
        <v>NW</v>
      </c>
      <c r="AH182" s="78" t="str">
        <f t="shared" si="73"/>
        <v>"%USERPROFILE%\Documents\GitHub\eaglep3\Utilities\RefineRTDCRunTimes.py" --tripid 822-19 --locoid 4043 --swversion DE.1.0.9.0 --startMP 300:58643 --initTime 2017-09-19T13:25:44 --startdatetime 2017-09-19T13:37:01 --delay 77 --endMP 204:740 --enddatetime 2017-09-19T13:54:42 --enforcementcount 0 &gt;&gt;C:\Users\stu\Documents\GitHub\eaglep3-reporting\EC\2017-09-19-refined-times.txt</v>
      </c>
      <c r="AI182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{"issue":{"subject":"","project_id":79,"tracker_id":40,"status_id":1,"priority_id":2,"assigned_to_id":338,"start_date":"2017-09-19","description":"","custom_fields":[{"id":1,"name":"Subdivision","value":"NW"},{"id":4,"name":"Milepost","value":"0.074"},{"id":17,"name":"Train ID","value":"822-19"},{"id":16,"name":"Locomotive ID","value":"4043"},{"id":130,"name":"Impact","value":""},{"id":150,"name":"Time of Event (Mountain Time)","value":"13:54:42"},{"id":151,"name":"Denver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75"/>
        <v>start /low /b %USERPROFILE%\Documents\GitHub\eaglep3\Utilities\DownloadLogsFromS3.py --loco 4043 --day 2017-09-19</v>
      </c>
      <c r="AN182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19:54:42"},{"id":29,"name":"Sharepoint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77"/>
        <v>https://d0f6bd738d7f1b3e5a7ca70fe4ff75f0.us-east-1.aws.found.io/app/kibana#/discover/Steve-Slow-Train-Analysis-(2080s-and-2083s)?_g=(refreshInterval:(display:Off,pause:!f,section:0,value:0),time:(from:'2017-09-19T12:25:44-0600',mode:absolute,to:'2017-09-19T14:54:42-0600'))&amp;_a=(columns:!('Message%20ID',Summary),filters:!(),index:'emp_*',interval:auto,query:(query_string:(analyze_wildcard:!t,query:'Message%5C+ID:(*)+AND+%22rtdc.l.rtdc.4043%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763</v>
      </c>
      <c r="B183" s="7">
        <v>4044</v>
      </c>
      <c r="C183" s="21" t="s">
        <v>197</v>
      </c>
      <c r="D183" s="21" t="s">
        <v>955</v>
      </c>
      <c r="E183" s="13">
        <v>42997.585532407407</v>
      </c>
      <c r="F183" s="13">
        <v>42997.589814814812</v>
      </c>
      <c r="G183" s="7">
        <v>70</v>
      </c>
      <c r="H183" s="21" t="s">
        <v>956</v>
      </c>
      <c r="I183" s="13">
        <v>42997.600439814814</v>
      </c>
      <c r="J183" s="7">
        <v>0</v>
      </c>
      <c r="K183" s="89" t="str">
        <f t="shared" si="61"/>
        <v>4043/4044</v>
      </c>
      <c r="L183" s="185" t="str">
        <f>VLOOKUP(A183,'Trips&amp;Operators'!$C$1:$G$99911,5,FALSE)</f>
        <v>ZEWDU DEREJE</v>
      </c>
      <c r="M183" s="6">
        <f t="shared" si="62"/>
        <v>1.0625000002619345E-2</v>
      </c>
      <c r="N183" s="7">
        <f t="shared" si="87"/>
        <v>15.300000003771856</v>
      </c>
      <c r="O183" s="7"/>
      <c r="P183" s="7"/>
      <c r="Q183" s="22"/>
      <c r="R183" s="174"/>
      <c r="S183" s="221">
        <f t="shared" si="88"/>
        <v>1</v>
      </c>
      <c r="T183" s="174" t="str">
        <f t="shared" si="63"/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64"/>
        <v>https://d0f6bd738d7f1b3e5a7ca70fe4ff75f0.us-east-1.aws.found.io/app/kibana#/discover/Steve-Slow-Train-Analysis-(2080s-and-2083s)?_g=(refreshInterval:(display:Off,pause:!f,section:0,value:0),time:(from:'2017-09-19T13:03:10-0600',mode:absolute,to:'2017-09-19T15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3" s="204" t="str">
        <f>IF(AA183&lt;VLOOKUP(AG183,Variables!$AC$3:$AD$8,2,FALSE),"Y","N")</f>
        <v>N</v>
      </c>
      <c r="X183" s="204">
        <f t="shared" si="86"/>
        <v>1</v>
      </c>
      <c r="Y183" s="204">
        <f t="shared" si="84"/>
        <v>0.1028</v>
      </c>
      <c r="Z183" s="204">
        <f t="shared" si="85"/>
        <v>5.8960999999999997</v>
      </c>
      <c r="AA183" s="204">
        <f t="shared" si="66"/>
        <v>5.7932999999999995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 t="shared" si="67"/>
        <v>823</v>
      </c>
      <c r="AE183" s="77" t="str">
        <f t="shared" si="68"/>
        <v>aws s3 cp s3://rtdc.mdm.uploadarchive.raw/RTDC4044/ "%USERPROFILE%\AppData\Local\Temp\OnboardLogs"\RTDC4044\2017-09-19 --exclude "*" --recursive --include "*20170919*" &amp; "%USERPROFILE%\Documents\GitHub\mrs-test-scripts\Headless Mode &amp; Sideloading\WalkAndUnGZ.bat" "%USERPROFILE%\AppData\Local\Temp\OnboardLogs"\RTDC4044\2017-09-19 &amp; 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</v>
      </c>
      <c r="AF183" s="74" t="str">
        <f t="shared" si="69"/>
        <v>"C:\Program Files (x86)\AstroGrep\AstroGrep.exe" /e /r /s /spath="%USERPROFILE%\AppData\Local\Temp\OnboardLogs" /stypes="app*4044*20170919*" /stext=" 20:.+((SYSTEM_STATE.+slice.+state.+changed )|(ment ac)|(multiple cpu faults)|(system.+state.+changed )|(\[timeout)|(PRM\|1\|D)|(kpr)|(kdp)|(train st.+moving)|(\|lc)|(penalty))"</v>
      </c>
      <c r="AG183" s="182" t="str">
        <f t="shared" si="70"/>
        <v>NW</v>
      </c>
      <c r="AH183" s="78" t="str">
        <f t="shared" si="73"/>
        <v>"%USERPROFILE%\Documents\GitHub\eaglep3\Utilities\RefineRTDCRunTimes.py" --tripid 823-19 --locoid 4044 --swversion DE.1.0.9.0 --startMP 204:1028 --initTime 2017-09-19T14:03:10 --startdatetime 2017-09-19T14:09:20 --delay 70 --endMP 300:58961 --enddatetime 2017-09-19T14:24:38 --enforcementcount 0 &gt;&gt;C:\Users\stu\Documents\GitHub\eaglep3-reporting\EC\2017-09-19-refined-times.txt</v>
      </c>
      <c r="AI183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{"issue":{"subject":"","project_id":79,"tracker_id":40,"status_id":1,"priority_id":2,"assigned_to_id":338,"start_date":"2017-09-19","description":"","custom_fields":[{"id":1,"name":"Subdivision","value":"NW"},{"id":4,"name":"Milepost","value":"5.8961"},{"id":17,"name":"Train ID","value":"823-19"},{"id":16,"name":"Locomotive ID","value":"4044"},{"id":130,"name":"Impact","value":""},{"id":150,"name":"Time of Event (Mountain Time)","value":"14:24:38"},{"id":151,"name":"Denver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75"/>
        <v>start /low /b %USERPROFILE%\Documents\GitHub\eaglep3\Utilities\DownloadLogsFromS3.py --loco 4044 --day 2017-09-19</v>
      </c>
      <c r="AN183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20:24:38"},{"id":29,"name":"Sharepoint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77"/>
        <v>https://d0f6bd738d7f1b3e5a7ca70fe4ff75f0.us-east-1.aws.found.io/app/kibana#/discover/Steve-Slow-Train-Analysis-(2080s-and-2083s)?_g=(refreshInterval:(display:Off,pause:!f,section:0,value:0),time:(from:'2017-09-19T13:03:10-0600',mode:absolute,to:'2017-09-19T15:24:38-0600'))&amp;_a=(columns:!('Message%20ID',Summary),filters:!(),index:'emp_*',interval:auto,query:(query_string:(analyze_wildcard:!t,query:'Message%5C+ID:(*)+AND+%22rtdc.l.rtdc.4044%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767</v>
      </c>
      <c r="B184" s="7">
        <v>4043</v>
      </c>
      <c r="C184" s="21" t="s">
        <v>197</v>
      </c>
      <c r="D184" s="21" t="s">
        <v>957</v>
      </c>
      <c r="E184" s="13">
        <v>42997.602523148147</v>
      </c>
      <c r="F184" s="13">
        <v>42997.608923611115</v>
      </c>
      <c r="G184" s="7">
        <v>75</v>
      </c>
      <c r="H184" s="21" t="s">
        <v>958</v>
      </c>
      <c r="I184" s="13">
        <v>42997.621689814812</v>
      </c>
      <c r="J184" s="7">
        <v>0</v>
      </c>
      <c r="K184" s="89" t="str">
        <f t="shared" si="61"/>
        <v>4043/4044</v>
      </c>
      <c r="L184" s="185" t="str">
        <f>VLOOKUP(A184,'Trips&amp;Operators'!$C$1:$G$99911,5,FALSE)</f>
        <v>ZEWDU DEREJE</v>
      </c>
      <c r="M184" s="6">
        <f t="shared" si="62"/>
        <v>1.2766203697538003E-2</v>
      </c>
      <c r="N184" s="7">
        <f t="shared" si="87"/>
        <v>18.383333324454725</v>
      </c>
      <c r="O184" s="7"/>
      <c r="P184" s="7"/>
      <c r="Q184" s="22"/>
      <c r="R184" s="174"/>
      <c r="S184" s="221">
        <f t="shared" si="88"/>
        <v>1</v>
      </c>
      <c r="T184" s="174" t="str">
        <f t="shared" si="63"/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64"/>
        <v>https://d0f6bd738d7f1b3e5a7ca70fe4ff75f0.us-east-1.aws.found.io/app/kibana#/discover/Steve-Slow-Train-Analysis-(2080s-and-2083s)?_g=(refreshInterval:(display:Off,pause:!f,section:0,value:0),time:(from:'2017-09-19T13:27:38-0600',mode:absolute,to:'2017-09-19T15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4" s="204" t="str">
        <f>IF(AA184&lt;VLOOKUP(AG184,Variables!$AC$3:$AD$8,2,FALSE),"Y","N")</f>
        <v>N</v>
      </c>
      <c r="X184" s="204">
        <f t="shared" si="86"/>
        <v>1</v>
      </c>
      <c r="Y184" s="204">
        <f t="shared" si="84"/>
        <v>5.8662000000000001</v>
      </c>
      <c r="Z184" s="204">
        <f t="shared" si="85"/>
        <v>7.6399999999999996E-2</v>
      </c>
      <c r="AA184" s="204">
        <f t="shared" si="66"/>
        <v>5.7898000000000005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 t="shared" si="67"/>
        <v>824</v>
      </c>
      <c r="AE184" s="77" t="str">
        <f t="shared" si="68"/>
        <v>aws s3 cp s3://rtdc.mdm.uploadarchive.raw/RTDC4043/ "%USERPROFILE%\AppData\Local\Temp\OnboardLogs"\RTDC4043\2017-09-19 --exclude "*" --recursive --include "*20170919*" &amp; "%USERPROFILE%\Documents\GitHub\mrs-test-scripts\Headless Mode &amp; Sideloading\WalkAndUnGZ.bat" "%USERPROFILE%\AppData\Local\Temp\OnboardLogs"\RTDC4043\2017-09-19 &amp; 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</v>
      </c>
      <c r="AF184" s="74" t="str">
        <f t="shared" si="69"/>
        <v>"C:\Program Files (x86)\AstroGrep\AstroGrep.exe" /e /r /s /spath="%USERPROFILE%\AppData\Local\Temp\OnboardLogs" /stypes="app*4043*20170919*" /stext=" 20:.+((SYSTEM_STATE.+slice.+state.+changed )|(ment ac)|(multiple cpu faults)|(system.+state.+changed )|(\[timeout)|(PRM\|1\|D)|(kpr)|(kdp)|(train st.+moving)|(\|lc)|(penalty))"</v>
      </c>
      <c r="AG184" s="182" t="str">
        <f t="shared" si="70"/>
        <v>NW</v>
      </c>
      <c r="AH184" s="78" t="str">
        <f t="shared" si="73"/>
        <v>"%USERPROFILE%\Documents\GitHub\eaglep3\Utilities\RefineRTDCRunTimes.py" --tripid 824-19 --locoid 4043 --swversion DE.1.0.9.0 --startMP 300:58662 --initTime 2017-09-19T14:27:38 --startdatetime 2017-09-19T14:36:51 --delay 75 --endMP 204:764 --enddatetime 2017-09-19T14:55:14 --enforcementcount 0 &gt;&gt;C:\Users\stu\Documents\GitHub\eaglep3-reporting\EC\2017-09-19-refined-times.txt</v>
      </c>
      <c r="AI184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{"issue":{"subject":"","project_id":79,"tracker_id":40,"status_id":1,"priority_id":2,"assigned_to_id":338,"start_date":"2017-09-19","description":"","custom_fields":[{"id":1,"name":"Subdivision","value":"NW"},{"id":4,"name":"Milepost","value":"0.0764"},{"id":17,"name":"Train ID","value":"824-19"},{"id":16,"name":"Locomotive ID","value":"4043"},{"id":130,"name":"Impact","value":""},{"id":150,"name":"Time of Event (Mountain Time)","value":"14:55:14"},{"id":151,"name":"Denver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75"/>
        <v>start /low /b %USERPROFILE%\Documents\GitHub\eaglep3\Utilities\DownloadLogsFromS3.py --loco 4043 --day 2017-09-19</v>
      </c>
      <c r="AN184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20:55:14"},{"id":29,"name":"Sharepoint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77"/>
        <v>https://d0f6bd738d7f1b3e5a7ca70fe4ff75f0.us-east-1.aws.found.io/app/kibana#/discover/Steve-Slow-Train-Analysis-(2080s-and-2083s)?_g=(refreshInterval:(display:Off,pause:!f,section:0,value:0),time:(from:'2017-09-19T13:27:38-0600',mode:absolute,to:'2017-09-19T15:55:14-0600'))&amp;_a=(columns:!('Message%20ID',Summary),filters:!(),index:'emp_*',interval:auto,query:(query_string:(analyze_wildcard:!t,query:'Message%5C+ID:(*)+AND+%22rtdc.l.rtdc.4043%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771</v>
      </c>
      <c r="B185" s="7">
        <v>4044</v>
      </c>
      <c r="C185" s="21" t="s">
        <v>197</v>
      </c>
      <c r="D185" s="21" t="s">
        <v>959</v>
      </c>
      <c r="E185" s="13">
        <v>42997.624166666668</v>
      </c>
      <c r="F185" s="13">
        <v>42997.631666666668</v>
      </c>
      <c r="G185" s="7">
        <v>85</v>
      </c>
      <c r="H185" s="21" t="s">
        <v>596</v>
      </c>
      <c r="I185" s="13">
        <v>42997.642337962963</v>
      </c>
      <c r="J185" s="7">
        <v>0</v>
      </c>
      <c r="K185" s="89" t="str">
        <f t="shared" si="61"/>
        <v>4043/4044</v>
      </c>
      <c r="L185" s="185" t="str">
        <f>VLOOKUP(A185,'Trips&amp;Operators'!$C$1:$G$99911,5,FALSE)</f>
        <v>ZEWDU DEREJE</v>
      </c>
      <c r="M185" s="6">
        <f t="shared" si="62"/>
        <v>1.0671296295186039E-2</v>
      </c>
      <c r="N185" s="7">
        <f t="shared" si="87"/>
        <v>15.366666665067896</v>
      </c>
      <c r="O185" s="7"/>
      <c r="P185" s="7"/>
      <c r="Q185" s="22"/>
      <c r="R185" s="174"/>
      <c r="S185" s="221">
        <f t="shared" si="88"/>
        <v>1</v>
      </c>
      <c r="T185" s="174" t="str">
        <f t="shared" si="63"/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64"/>
        <v>https://d0f6bd738d7f1b3e5a7ca70fe4ff75f0.us-east-1.aws.found.io/app/kibana#/discover/Steve-Slow-Train-Analysis-(2080s-and-2083s)?_g=(refreshInterval:(display:Off,pause:!f,section:0,value:0),time:(from:'2017-09-19T13:58:48-0600',mode:absolute,to:'2017-09-19T16:24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5" s="204" t="str">
        <f>IF(AA185&lt;VLOOKUP(AG185,Variables!$AC$3:$AD$8,2,FALSE),"Y","N")</f>
        <v>N</v>
      </c>
      <c r="X185" s="204">
        <f t="shared" si="86"/>
        <v>1</v>
      </c>
      <c r="Y185" s="204">
        <f t="shared" si="84"/>
        <v>0.1062</v>
      </c>
      <c r="Z185" s="204">
        <f t="shared" si="85"/>
        <v>5.8964999999999996</v>
      </c>
      <c r="AA185" s="204">
        <f t="shared" si="66"/>
        <v>5.7902999999999993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 t="shared" si="67"/>
        <v>825</v>
      </c>
      <c r="AE185" s="77" t="str">
        <f t="shared" si="68"/>
        <v>aws s3 cp s3://rtdc.mdm.uploadarchive.raw/RTDC4044/ "%USERPROFILE%\AppData\Local\Temp\OnboardLogs"\RTDC4044\2017-09-19 --exclude "*" --recursive --include "*20170919*" &amp; "%USERPROFILE%\Documents\GitHub\mrs-test-scripts\Headless Mode &amp; Sideloading\WalkAndUnGZ.bat" "%USERPROFILE%\AppData\Local\Temp\OnboardLogs"\RTDC4044\2017-09-19 &amp; 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</v>
      </c>
      <c r="AF185" s="74" t="str">
        <f t="shared" si="69"/>
        <v>"C:\Program Files (x86)\AstroGrep\AstroGrep.exe" /e /r /s /spath="%USERPROFILE%\AppData\Local\Temp\OnboardLogs" /stypes="app*4044*20170919*" /stext=" 21:.+((SYSTEM_STATE.+slice.+state.+changed )|(ment ac)|(multiple cpu faults)|(system.+state.+changed )|(\[timeout)|(PRM\|1\|D)|(kpr)|(kdp)|(train st.+moving)|(\|lc)|(penalty))"</v>
      </c>
      <c r="AG185" s="182" t="str">
        <f t="shared" si="70"/>
        <v>NW</v>
      </c>
      <c r="AH185" s="78" t="str">
        <f t="shared" si="73"/>
        <v>"%USERPROFILE%\Documents\GitHub\eaglep3\Utilities\RefineRTDCRunTimes.py" --tripid 825-19 --locoid 4044 --swversion DE.1.0.9.0 --startMP 204:1062 --initTime 2017-09-19T14:58:48 --startdatetime 2017-09-19T15:09:36 --delay 85 --endMP 300:58965 --enddatetime 2017-09-19T15:24:58 --enforcementcount 0 &gt;&gt;C:\Users\stu\Documents\GitHub\eaglep3-reporting\EC\2017-09-19-refined-times.txt</v>
      </c>
      <c r="AI185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{"issue":{"subject":"","project_id":79,"tracker_id":40,"status_id":1,"priority_id":2,"assigned_to_id":338,"start_date":"2017-09-19","description":"","custom_fields":[{"id":1,"name":"Subdivision","value":"NW"},{"id":4,"name":"Milepost","value":"5.8965"},{"id":17,"name":"Train ID","value":"825-19"},{"id":16,"name":"Locomotive ID","value":"4044"},{"id":130,"name":"Impact","value":""},{"id":150,"name":"Time of Event (Mountain Time)","value":"15:24:58"},{"id":151,"name":"Denver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75"/>
        <v>start /low /b %USERPROFILE%\Documents\GitHub\eaglep3\Utilities\DownloadLogsFromS3.py --loco 4044 --day 2017-09-19</v>
      </c>
      <c r="AN185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21:24:58"},{"id":29,"name":"Sharepoint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77"/>
        <v>https://d0f6bd738d7f1b3e5a7ca70fe4ff75f0.us-east-1.aws.found.io/app/kibana#/discover/Steve-Slow-Train-Analysis-(2080s-and-2083s)?_g=(refreshInterval:(display:Off,pause:!f,section:0,value:0),time:(from:'2017-09-19T13:58:48-0600',mode:absolute,to:'2017-09-19T16:24:58-0600'))&amp;_a=(columns:!('Message%20ID',Summary),filters:!(),index:'emp_*',interval:auto,query:(query_string:(analyze_wildcard:!t,query:'Message%5C+ID:(*)+AND+%22rtdc.l.rtdc.4044%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776</v>
      </c>
      <c r="B186" s="7">
        <v>4043</v>
      </c>
      <c r="C186" s="21" t="s">
        <v>197</v>
      </c>
      <c r="D186" s="21" t="s">
        <v>960</v>
      </c>
      <c r="E186" s="13">
        <v>42997.64739583333</v>
      </c>
      <c r="F186" s="13">
        <v>42997.65084490741</v>
      </c>
      <c r="G186" s="7">
        <v>73</v>
      </c>
      <c r="H186" s="21" t="s">
        <v>961</v>
      </c>
      <c r="I186" s="13">
        <v>42997.663090277776</v>
      </c>
      <c r="J186" s="7">
        <v>0</v>
      </c>
      <c r="K186" s="89" t="str">
        <f t="shared" si="61"/>
        <v>4043/4044</v>
      </c>
      <c r="L186" s="185" t="str">
        <f>VLOOKUP(A186,'Trips&amp;Operators'!$C$1:$G$99911,5,FALSE)</f>
        <v>ZEWDU DEREJE</v>
      </c>
      <c r="M186" s="6">
        <f t="shared" si="62"/>
        <v>1.2245370366144925E-2</v>
      </c>
      <c r="N186" s="7">
        <f t="shared" si="87"/>
        <v>17.633333327248693</v>
      </c>
      <c r="O186" s="7"/>
      <c r="P186" s="7"/>
      <c r="Q186" s="22"/>
      <c r="R186" s="174"/>
      <c r="S186" s="221">
        <f t="shared" si="88"/>
        <v>1</v>
      </c>
      <c r="T186" s="174" t="str">
        <f t="shared" si="63"/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64"/>
        <v>https://d0f6bd738d7f1b3e5a7ca70fe4ff75f0.us-east-1.aws.found.io/app/kibana#/discover/Steve-Slow-Train-Analysis-(2080s-and-2083s)?_g=(refreshInterval:(display:Off,pause:!f,section:0,value:0),time:(from:'2017-09-19T14:32:15-0600',mode:absolute,to:'2017-09-19T16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6" s="204" t="str">
        <f>IF(AA186&lt;VLOOKUP(AG186,Variables!$AC$3:$AD$8,2,FALSE),"Y","N")</f>
        <v>N</v>
      </c>
      <c r="X186" s="204">
        <f t="shared" si="86"/>
        <v>1</v>
      </c>
      <c r="Y186" s="204">
        <f t="shared" si="84"/>
        <v>5.8655999999999997</v>
      </c>
      <c r="Z186" s="204">
        <f t="shared" si="85"/>
        <v>7.7600000000000002E-2</v>
      </c>
      <c r="AA186" s="204">
        <f t="shared" si="66"/>
        <v>5.7879999999999994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 t="shared" si="67"/>
        <v>826</v>
      </c>
      <c r="AE186" s="77" t="str">
        <f t="shared" si="68"/>
        <v>aws s3 cp s3://rtdc.mdm.uploadarchive.raw/RTDC4043/ "%USERPROFILE%\AppData\Local\Temp\OnboardLogs"\RTDC4043\2017-09-19 --exclude "*" --recursive --include "*20170919*" &amp; "%USERPROFILE%\Documents\GitHub\mrs-test-scripts\Headless Mode &amp; Sideloading\WalkAndUnGZ.bat" "%USERPROFILE%\AppData\Local\Temp\OnboardLogs"\RTDC4043\2017-09-19 &amp; 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</v>
      </c>
      <c r="AF186" s="74" t="str">
        <f t="shared" si="69"/>
        <v>"C:\Program Files (x86)\AstroGrep\AstroGrep.exe" /e /r /s /spath="%USERPROFILE%\AppData\Local\Temp\OnboardLogs" /stypes="app*4043*20170919*" /stext=" 21:.+((SYSTEM_STATE.+slice.+state.+changed )|(ment ac)|(multiple cpu faults)|(system.+state.+changed )|(\[timeout)|(PRM\|1\|D)|(kpr)|(kdp)|(train st.+moving)|(\|lc)|(penalty))"</v>
      </c>
      <c r="AG186" s="182" t="str">
        <f t="shared" si="70"/>
        <v>NW</v>
      </c>
      <c r="AH186" s="78" t="str">
        <f t="shared" si="73"/>
        <v>"%USERPROFILE%\Documents\GitHub\eaglep3\Utilities\RefineRTDCRunTimes.py" --tripid 826-19 --locoid 4043 --swversion DE.1.0.9.0 --startMP 300:58656 --initTime 2017-09-19T15:32:15 --startdatetime 2017-09-19T15:37:13 --delay 73 --endMP 204:776 --enddatetime 2017-09-19T15:54:51 --enforcementcount 0 &gt;&gt;C:\Users\stu\Documents\GitHub\eaglep3-reporting\EC\2017-09-19-refined-times.txt</v>
      </c>
      <c r="AI186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{"issue":{"subject":"","project_id":79,"tracker_id":40,"status_id":1,"priority_id":2,"assigned_to_id":338,"start_date":"2017-09-19","description":"","custom_fields":[{"id":1,"name":"Subdivision","value":"NW"},{"id":4,"name":"Milepost","value":"0.0776"},{"id":17,"name":"Train ID","value":"826-19"},{"id":16,"name":"Locomotive ID","value":"4043"},{"id":130,"name":"Impact","value":""},{"id":150,"name":"Time of Event (Mountain Time)","value":"15:54:51"},{"id":151,"name":"Denver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75"/>
        <v>start /low /b %USERPROFILE%\Documents\GitHub\eaglep3\Utilities\DownloadLogsFromS3.py --loco 4043 --day 2017-09-19</v>
      </c>
      <c r="AN186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21:54:51"},{"id":29,"name":"Sharepoint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77"/>
        <v>https://d0f6bd738d7f1b3e5a7ca70fe4ff75f0.us-east-1.aws.found.io/app/kibana#/discover/Steve-Slow-Train-Analysis-(2080s-and-2083s)?_g=(refreshInterval:(display:Off,pause:!f,section:0,value:0),time:(from:'2017-09-19T14:32:15-0600',mode:absolute,to:'2017-09-19T16:54:51-0600'))&amp;_a=(columns:!('Message%20ID',Summary),filters:!(),index:'emp_*',interval:auto,query:(query_string:(analyze_wildcard:!t,query:'Message%5C+ID:(*)+AND+%22rtdc.l.rtdc.4043%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639</v>
      </c>
      <c r="B187" s="7">
        <v>4006</v>
      </c>
      <c r="C187" s="21" t="s">
        <v>197</v>
      </c>
      <c r="D187" s="21" t="s">
        <v>960</v>
      </c>
      <c r="E187" s="13">
        <v>42997.64739583333</v>
      </c>
      <c r="F187" s="13">
        <v>42997.65283564815</v>
      </c>
      <c r="G187" s="7">
        <v>73</v>
      </c>
      <c r="H187" s="21" t="s">
        <v>961</v>
      </c>
      <c r="I187" s="13">
        <v>42997.662210648145</v>
      </c>
      <c r="J187" s="7">
        <v>0</v>
      </c>
      <c r="K187" s="89" t="str">
        <f t="shared" si="61"/>
        <v>4005/4006</v>
      </c>
      <c r="L187" s="185" t="str">
        <f>VLOOKUP(A187,'Trips&amp;Operators'!$C$1:$G$99911,5,FALSE)</f>
        <v>STAMBAUGH JAMES</v>
      </c>
      <c r="M187" s="6">
        <f t="shared" si="62"/>
        <v>9.3749999941792339E-3</v>
      </c>
      <c r="N187" s="7">
        <f t="shared" si="87"/>
        <v>13.499999991618097</v>
      </c>
      <c r="O187" s="7"/>
      <c r="P187" s="7"/>
      <c r="Q187" s="22"/>
      <c r="R187" s="174"/>
      <c r="S187" s="221">
        <f t="shared" si="88"/>
        <v>1</v>
      </c>
      <c r="T187" s="174" t="str">
        <f t="shared" si="63"/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64"/>
        <v>https://d0f6bd738d7f1b3e5a7ca70fe4ff75f0.us-east-1.aws.found.io/app/kibana#/discover/Steve-Slow-Train-Analysis-(2080s-and-2083s)?_g=(refreshInterval:(display:Off,pause:!f,section:0,value:0),time:(from:'2017-09-19T14:32:15-0600',mode:absolute,to:'2017-09-19T16:53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7" s="204" t="str">
        <f>IF(AA187&lt;VLOOKUP(AG187,Variables!$AC$3:$AD$8,2,FALSE),"Y","N")</f>
        <v>N</v>
      </c>
      <c r="X187" s="204">
        <f t="shared" ref="X187:X218" si="89">VALUE(LEFT(AD187,4))-VALUE(LEFT(AD186,4))</f>
        <v>1</v>
      </c>
      <c r="Y187" s="204">
        <v>0.1062</v>
      </c>
      <c r="Z187" s="204">
        <v>5.8964999999999996</v>
      </c>
      <c r="AA187" s="204">
        <f t="shared" si="66"/>
        <v>5.7902999999999993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 t="shared" si="67"/>
        <v>827</v>
      </c>
      <c r="AE187" s="77" t="str">
        <f t="shared" si="68"/>
        <v>aws s3 cp s3://rtdc.mdm.uploadarchive.raw/RTDC4006/ "%USERPROFILE%\AppData\Local\Temp\OnboardLogs"\RTDC4006\2017-09-19 --exclude "*" --recursive --include "*20170919*" &amp; "%USERPROFILE%\Documents\GitHub\mrs-test-scripts\Headless Mode &amp; Sideloading\WalkAndUnGZ.bat" "%USERPROFILE%\AppData\Local\Temp\OnboardLogs"\RTDC4006\2017-09-19 &amp; aws s3 cp s3://rtdc.mdm.uploadarchive.raw/RTDC4006/ "%USERPROFILE%\AppData\Local\Temp\OnboardLogs"\RTDC4006\2017-09-20 --exclude "*" --recursive --include "*20170920*" &amp; "%USERPROFILE%\Documents\GitHub\mrs-test-scripts\Headless Mode &amp; Sideloading\WalkAndUnGZ.bat" "%USERPROFILE%\AppData\Local\Temp\OnboardLogs"\RTDC4006\2017-09-20</v>
      </c>
      <c r="AF187" s="74" t="str">
        <f t="shared" si="69"/>
        <v>"C:\Program Files (x86)\AstroGrep\AstroGrep.exe" /e /r /s /spath="%USERPROFILE%\AppData\Local\Temp\OnboardLogs" /stypes="app*4006*20170919*" /stext=" 21:.+((SYSTEM_STATE.+slice.+state.+changed )|(ment ac)|(multiple cpu faults)|(system.+state.+changed )|(\[timeout)|(PRM\|1\|D)|(kpr)|(kdp)|(train st.+moving)|(\|lc)|(penalty))"</v>
      </c>
      <c r="AG187" s="182" t="str">
        <f t="shared" si="70"/>
        <v>NW</v>
      </c>
      <c r="AH187" s="78" t="str">
        <f t="shared" ref="AH187" si="90">refinertdcruntimes&amp;" --tripid "&amp;A187&amp;" --locoid "&amp;B187&amp;" --swversion "&amp;C187&amp;" --startMP "&amp;D187&amp;" --initTime "&amp;TEXT(E187,"yyyy-mm-ddTHH:MM:SS")&amp;" --startdatetime "&amp;TEXT(F187,"yyyy-mm-ddTHH:MM:SS")&amp;" --delay "&amp;G187&amp;" --endMP "&amp;H187&amp;" --enddatetime "&amp;TEXT(I187,"yyyy-mm-ddTHH:MM:SS")&amp;" --enforcementcount "&amp;J187&amp;IF(outputrefinedruntimes," &gt;&gt;"&amp;RefinedRTDCRunTimesOutputFile,"")</f>
        <v>"%USERPROFILE%\Documents\GitHub\eaglep3\Utilities\RefineRTDCRunTimes.py" --tripid 827-19 --locoid 4006 --swversion DE.1.0.9.0 --startMP 300:58656 --initTime 2017-09-19T15:32:15 --startdatetime 2017-09-19T15:40:05 --delay 73 --endMP 204:776 --enddatetime 2017-09-19T15:53:35 --enforcementcount 0 &gt;&gt;C:\Users\stu\Documents\GitHub\eaglep3-reporting\EC\2017-09-19-refined-times.txt</v>
      </c>
      <c r="AI187" s="96" t="str">
        <f t="shared" ref="AI187" si="91">"echo {""issue"":{""subject"":"""&amp;R187&amp;""",""project_id"":79,""tracker_id"":40,""status_id"":"&amp;redmine_status&amp;",""priority_id"":"&amp;redmine_priority&amp;",""assigned_to_id"":"&amp;redmine_assignee&amp;",""start_date"":"""&amp;TEXT(I187,"YYYY-mm-dd")&amp;""",""description"":"""&amp;AJ187&amp;""",""custom_fields"":[{""id"":1,""name"":""Subdivision"",""value"":"""&amp;AG187&amp;"""},{""id"":4,""name"":""Milepost"",""value"":"""&amp;Z187&amp;"""},{""id"":17,""name"":""Train ID"",""value"":"""&amp;A187&amp;"""},{""id"":16,""name"":""Locomotive ID"",""value"":"""&amp;B187&amp;"""},{""id"":130,""name"":""Impact"",""value"":"""&amp;AK187&amp;"""},{""id"":150,""name"":""Time of Event (Mountain Time)"",""value"":"""&amp;TEXT(I187,"hh:mm:ss")&amp;"""},{""id"":151,""name"":""Denver Issue ID"",""value"":"""&amp;"""},{""id"":178,""name"":""Operational Impact"",""value"":"""&amp;redmine_op_impact&amp;"""},{""id"":179,""name"":""Denver Segment Assigned"",""value"":"""&amp;AL187&amp;"""}]}}"&amp;"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{"issue":{"subject":"","project_id":79,"tracker_id":40,"status_id":1,"priority_id":2,"assigned_to_id":338,"start_date":"2017-09-19","description":"","custom_fields":[{"id":1,"name":"Subdivision","value":"NW"},{"id":4,"name":"Milepost","value":"5.8965"},{"id":17,"name":"Train ID","value":"827-19"},{"id":16,"name":"Locomotive ID","value":"4006"},{"id":130,"name":"Impact","value":""},{"id":150,"name":"Time of Event (Mountain Time)","value":"15:53:35"},{"id":151,"name":"Denver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ref="AM187" si="92">"start /low /b "&amp;dls3logs&amp;" --loco "&amp;B187&amp;" --day "&amp;TEXT(F187,"YYYY-MM-DD")</f>
        <v>start /low /b %USERPROFILE%\Documents\GitHub\eaglep3\Utilities\DownloadLogsFromS3.py --loco 4006 --day 2017-09-19</v>
      </c>
      <c r="AN187" s="151" t="str">
        <f t="shared" ref="AN187" si="93">"echo {""issue"":{""subject"":"""&amp;R187&amp;""",""project_id"":30,""tracker_id"":4,""status_id"":"&amp;redmine_status_wcr&amp;",""priority_id"":"&amp;redmine_priority_wcr&amp;",""assigned_to_id"":"&amp;redmine_assignee_wcr&amp;",""start_date"":"""&amp;TEXT(I187-utc_offset/24,"YYYY-mm-dd")&amp;""",""description"":"""&amp;AJ187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21:53:35"},{"id":29,"name":"Sharepoint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ref="AO187" si="94"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Message%20ID',Summary),filters:!(),index:'emp_*',interval:auto,query:"&amp;"(query_string:(analyze_wildcard:!t,query:'Message%5C+ID:(*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-09-19T14:32:15-0600',mode:absolute,to:'2017-09-19T16:53:35-0600'))&amp;_a=(columns:!('Message%20ID',Summary),filters:!(),index:'emp_*',interval:auto,query:(query_string:(analyze_wildcard:!t,query:'Message%5C+ID:(*)+AND+%22rtdc.l.rtdc.4006%22')),sort:!(Time.ISO8601,asc))</v>
      </c>
    </row>
    <row r="188" spans="1:91" s="20" customFormat="1" x14ac:dyDescent="0.25">
      <c r="A188" s="32" t="s">
        <v>780</v>
      </c>
      <c r="B188" s="7">
        <v>4005</v>
      </c>
      <c r="C188" s="21" t="s">
        <v>197</v>
      </c>
      <c r="D188" s="21" t="s">
        <v>603</v>
      </c>
      <c r="E188" s="13">
        <v>42997.663275462961</v>
      </c>
      <c r="F188" s="13">
        <v>42997.674629629626</v>
      </c>
      <c r="G188" s="7">
        <v>66</v>
      </c>
      <c r="H188" s="21" t="s">
        <v>600</v>
      </c>
      <c r="I188" s="13">
        <v>42997.683738425927</v>
      </c>
      <c r="J188" s="7">
        <v>0</v>
      </c>
      <c r="K188" s="89" t="str">
        <f t="shared" si="61"/>
        <v>4005/4006</v>
      </c>
      <c r="L188" s="185" t="str">
        <f>VLOOKUP(A188,'Trips&amp;Operators'!$C$1:$G$99911,5,FALSE)</f>
        <v>STAMBAUGH JAMES</v>
      </c>
      <c r="M188" s="6">
        <f t="shared" si="62"/>
        <v>9.1087963010068052E-3</v>
      </c>
      <c r="N188" s="7">
        <f t="shared" si="87"/>
        <v>13.116666673449799</v>
      </c>
      <c r="O188" s="7"/>
      <c r="P188" s="7"/>
      <c r="Q188" s="22"/>
      <c r="R188" s="174"/>
      <c r="S188" s="221">
        <f t="shared" si="88"/>
        <v>1</v>
      </c>
      <c r="T188" s="174" t="str">
        <f t="shared" si="63"/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64"/>
        <v>https://d0f6bd738d7f1b3e5a7ca70fe4ff75f0.us-east-1.aws.found.io/app/kibana#/discover/Steve-Slow-Train-Analysis-(2080s-and-2083s)?_g=(refreshInterval:(display:Off,pause:!f,section:0,value:0),time:(from:'2017-09-19T14:55:07-0600',mode:absolute,to:'2017-09-19T17:24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8" s="204" t="str">
        <f>IF(AA188&lt;VLOOKUP(AG188,Variables!$AC$3:$AD$8,2,FALSE),"Y","N")</f>
        <v>N</v>
      </c>
      <c r="X188" s="204">
        <f t="shared" si="89"/>
        <v>1</v>
      </c>
      <c r="Y188" s="204">
        <f t="shared" ref="Y188:Y219" si="95">RIGHT(D188,LEN(D188)-4)/10000</f>
        <v>5.8630000000000004</v>
      </c>
      <c r="Z188" s="204">
        <f t="shared" ref="Z188:Z219" si="96">RIGHT(H188,LEN(H188)-4)/10000</f>
        <v>6.7799999999999999E-2</v>
      </c>
      <c r="AA188" s="204">
        <f t="shared" si="66"/>
        <v>5.7952000000000004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 t="shared" si="67"/>
        <v>828</v>
      </c>
      <c r="AE188" s="77" t="str">
        <f t="shared" si="68"/>
        <v>aws s3 cp s3://rtdc.mdm.uploadarchive.raw/RTDC4005/ "%USERPROFILE%\AppData\Local\Temp\OnboardLogs"\RTDC4005\2017-09-19 --exclude "*" --recursive --include "*20170919*" &amp; "%USERPROFILE%\Documents\GitHub\mrs-test-scripts\Headless Mode &amp; Sideloading\WalkAndUnGZ.bat" "%USERPROFILE%\AppData\Local\Temp\OnboardLogs"\RTDC4005\2017-09-19 &amp; aws s3 cp s3://rtdc.mdm.uploadarchive.raw/RTDC4005/ "%USERPROFILE%\AppData\Local\Temp\OnboardLogs"\RTDC4005\2017-09-20 --exclude "*" --recursive --include "*20170920*" &amp; "%USERPROFILE%\Documents\GitHub\mrs-test-scripts\Headless Mode &amp; Sideloading\WalkAndUnGZ.bat" "%USERPROFILE%\AppData\Local\Temp\OnboardLogs"\RTDC4005\2017-09-20</v>
      </c>
      <c r="AF188" s="74" t="str">
        <f t="shared" si="69"/>
        <v>"C:\Program Files (x86)\AstroGrep\AstroGrep.exe" /e /r /s /spath="%USERPROFILE%\AppData\Local\Temp\OnboardLogs" /stypes="app*4005*20170919*" /stext=" 22:.+((SYSTEM_STATE.+slice.+state.+changed )|(ment ac)|(multiple cpu faults)|(system.+state.+changed )|(\[timeout)|(PRM\|1\|D)|(kpr)|(kdp)|(train st.+moving)|(\|lc)|(penalty))"</v>
      </c>
      <c r="AG188" s="182" t="str">
        <f t="shared" si="70"/>
        <v>NW</v>
      </c>
      <c r="AH188" s="78" t="str">
        <f t="shared" si="73"/>
        <v>"%USERPROFILE%\Documents\GitHub\eaglep3\Utilities\RefineRTDCRunTimes.py" --tripid 828-19 --locoid 4005 --swversion DE.1.0.9.0 --startMP 300:58630 --initTime 2017-09-19T15:55:07 --startdatetime 2017-09-19T16:11:28 --delay 66 --endMP 204:678 --enddatetime 2017-09-19T16:24:35 --enforcementcount 0 &gt;&gt;C:\Users\stu\Documents\GitHub\eaglep3-reporting\EC\2017-09-19-refined-times.txt</v>
      </c>
      <c r="AI188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{"issue":{"subject":"","project_id":79,"tracker_id":40,"status_id":1,"priority_id":2,"assigned_to_id":338,"start_date":"2017-09-19","description":"","custom_fields":[{"id":1,"name":"Subdivision","value":"NW"},{"id":4,"name":"Milepost","value":"0.0678"},{"id":17,"name":"Train ID","value":"828-19"},{"id":16,"name":"Locomotive ID","value":"4005"},{"id":130,"name":"Impact","value":""},{"id":150,"name":"Time of Event (Mountain Time)","value":"16:24:35"},{"id":151,"name":"Denver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75"/>
        <v>start /low /b %USERPROFILE%\Documents\GitHub\eaglep3\Utilities\DownloadLogsFromS3.py --loco 4005 --day 2017-09-19</v>
      </c>
      <c r="AN188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22:24:35"},{"id":29,"name":"Sharepoint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77"/>
        <v>https://d0f6bd738d7f1b3e5a7ca70fe4ff75f0.us-east-1.aws.found.io/app/kibana#/discover/Steve-Slow-Train-Analysis-(2080s-and-2083s)?_g=(refreshInterval:(display:Off,pause:!f,section:0,value:0),time:(from:'2017-09-19T14:55:07-0600',mode:absolute,to:'2017-09-19T17:24:35-0600'))&amp;_a=(columns:!('Message%20ID',Summary),filters:!(),index:'emp_*',interval:auto,query:(query_string:(analyze_wildcard:!t,query:'Message%5C+ID:(*)+AND+%22rtdc.l.rtdc.4005%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782</v>
      </c>
      <c r="B189" s="7">
        <v>4044</v>
      </c>
      <c r="C189" s="21" t="s">
        <v>197</v>
      </c>
      <c r="D189" s="21" t="s">
        <v>962</v>
      </c>
      <c r="E189" s="13">
        <v>42997.665810185186</v>
      </c>
      <c r="F189" s="13">
        <v>42997.673460648148</v>
      </c>
      <c r="G189" s="7">
        <v>73</v>
      </c>
      <c r="H189" s="21" t="s">
        <v>963</v>
      </c>
      <c r="I189" s="13">
        <v>42997.683842592596</v>
      </c>
      <c r="J189" s="7">
        <v>0</v>
      </c>
      <c r="K189" s="89" t="str">
        <f t="shared" si="61"/>
        <v>4043/4044</v>
      </c>
      <c r="L189" s="185" t="str">
        <f>VLOOKUP(A189,'Trips&amp;Operators'!$C$1:$G$99911,5,FALSE)</f>
        <v>ZEWDU DEREJE</v>
      </c>
      <c r="M189" s="6">
        <f t="shared" si="62"/>
        <v>1.0381944448454306E-2</v>
      </c>
      <c r="N189" s="7">
        <f t="shared" si="87"/>
        <v>14.9500000057742</v>
      </c>
      <c r="O189" s="7"/>
      <c r="P189" s="7"/>
      <c r="Q189" s="22"/>
      <c r="R189" s="174"/>
      <c r="S189" s="221">
        <f t="shared" si="88"/>
        <v>1</v>
      </c>
      <c r="T189" s="174" t="str">
        <f t="shared" si="63"/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64"/>
        <v>https://d0f6bd738d7f1b3e5a7ca70fe4ff75f0.us-east-1.aws.found.io/app/kibana#/discover/Steve-Slow-Train-Analysis-(2080s-and-2083s)?_g=(refreshInterval:(display:Off,pause:!f,section:0,value:0),time:(from:'2017-09-19T14:58:46-0600',mode:absolute,to:'2017-09-19T17:24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9" s="204" t="str">
        <f>IF(AA189&lt;VLOOKUP(AG189,Variables!$AC$3:$AD$8,2,FALSE),"Y","N")</f>
        <v>N</v>
      </c>
      <c r="X189" s="204">
        <f t="shared" si="89"/>
        <v>1</v>
      </c>
      <c r="Y189" s="204">
        <f t="shared" si="95"/>
        <v>0.10249999999999999</v>
      </c>
      <c r="Z189" s="204">
        <f t="shared" si="96"/>
        <v>5.8986000000000001</v>
      </c>
      <c r="AA189" s="204">
        <f t="shared" si="66"/>
        <v>5.7961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 t="shared" si="67"/>
        <v>829</v>
      </c>
      <c r="AE189" s="77" t="str">
        <f t="shared" si="68"/>
        <v>aws s3 cp s3://rtdc.mdm.uploadarchive.raw/RTDC4044/ "%USERPROFILE%\AppData\Local\Temp\OnboardLogs"\RTDC4044\2017-09-19 --exclude "*" --recursive --include "*20170919*" &amp; "%USERPROFILE%\Documents\GitHub\mrs-test-scripts\Headless Mode &amp; Sideloading\WalkAndUnGZ.bat" "%USERPROFILE%\AppData\Local\Temp\OnboardLogs"\RTDC4044\2017-09-19 &amp; 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</v>
      </c>
      <c r="AF189" s="74" t="str">
        <f t="shared" si="69"/>
        <v>"C:\Program Files (x86)\AstroGrep\AstroGrep.exe" /e /r /s /spath="%USERPROFILE%\AppData\Local\Temp\OnboardLogs" /stypes="app*4044*20170919*" /stext=" 22:.+((SYSTEM_STATE.+slice.+state.+changed )|(ment ac)|(multiple cpu faults)|(system.+state.+changed )|(\[timeout)|(PRM\|1\|D)|(kpr)|(kdp)|(train st.+moving)|(\|lc)|(penalty))"</v>
      </c>
      <c r="AG189" s="182" t="str">
        <f t="shared" si="70"/>
        <v>NW</v>
      </c>
      <c r="AH189" s="78" t="str">
        <f t="shared" si="73"/>
        <v>"%USERPROFILE%\Documents\GitHub\eaglep3\Utilities\RefineRTDCRunTimes.py" --tripid 829-19 --locoid 4044 --swversion DE.1.0.9.0 --startMP 204:1025 --initTime 2017-09-19T15:58:46 --startdatetime 2017-09-19T16:09:47 --delay 73 --endMP 300:58986 --enddatetime 2017-09-19T16:24:44 --enforcementcount 0 &gt;&gt;C:\Users\stu\Documents\GitHub\eaglep3-reporting\EC\2017-09-19-refined-times.txt</v>
      </c>
      <c r="AI189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{"issue":{"subject":"","project_id":79,"tracker_id":40,"status_id":1,"priority_id":2,"assigned_to_id":338,"start_date":"2017-09-19","description":"","custom_fields":[{"id":1,"name":"Subdivision","value":"NW"},{"id":4,"name":"Milepost","value":"5.8986"},{"id":17,"name":"Train ID","value":"829-19"},{"id":16,"name":"Locomotive ID","value":"4044"},{"id":130,"name":"Impact","value":""},{"id":150,"name":"Time of Event (Mountain Time)","value":"16:24:44"},{"id":151,"name":"Denver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75"/>
        <v>start /low /b %USERPROFILE%\Documents\GitHub\eaglep3\Utilities\DownloadLogsFromS3.py --loco 4044 --day 2017-09-19</v>
      </c>
      <c r="AN189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22:24:44"},{"id":29,"name":"Sharepoint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77"/>
        <v>https://d0f6bd738d7f1b3e5a7ca70fe4ff75f0.us-east-1.aws.found.io/app/kibana#/discover/Steve-Slow-Train-Analysis-(2080s-and-2083s)?_g=(refreshInterval:(display:Off,pause:!f,section:0,value:0),time:(from:'2017-09-19T14:58:46-0600',mode:absolute,to:'2017-09-19T17:24:44-0600'))&amp;_a=(columns:!('Message%20ID',Summary),filters:!(),index:'emp_*',interval:auto,query:(query_string:(analyze_wildcard:!t,query:'Message%5C+ID:(*)+AND+%22rtdc.l.rtdc.4044%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789</v>
      </c>
      <c r="B190" s="7">
        <v>4043</v>
      </c>
      <c r="C190" s="21" t="s">
        <v>197</v>
      </c>
      <c r="D190" s="21" t="s">
        <v>964</v>
      </c>
      <c r="E190" s="13">
        <v>42997.687094907407</v>
      </c>
      <c r="F190" s="13">
        <v>42997.692766203705</v>
      </c>
      <c r="G190" s="7">
        <v>77</v>
      </c>
      <c r="H190" s="21" t="s">
        <v>599</v>
      </c>
      <c r="I190" s="13">
        <v>42997.705150462964</v>
      </c>
      <c r="J190" s="7">
        <v>0</v>
      </c>
      <c r="K190" s="89" t="str">
        <f t="shared" si="61"/>
        <v>4043/4044</v>
      </c>
      <c r="L190" s="185" t="str">
        <f>VLOOKUP(A190,'Trips&amp;Operators'!$C$1:$G$99911,5,FALSE)</f>
        <v>ZEWDU DEREJE</v>
      </c>
      <c r="M190" s="6">
        <f t="shared" si="62"/>
        <v>1.2384259258396924E-2</v>
      </c>
      <c r="N190" s="7">
        <f t="shared" si="87"/>
        <v>17.83333333209157</v>
      </c>
      <c r="O190" s="7"/>
      <c r="P190" s="7"/>
      <c r="Q190" s="22"/>
      <c r="R190" s="174"/>
      <c r="S190" s="221">
        <f t="shared" si="88"/>
        <v>1</v>
      </c>
      <c r="T190" s="174" t="str">
        <f t="shared" si="63"/>
        <v>Southbound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64"/>
        <v>https://d0f6bd738d7f1b3e5a7ca70fe4ff75f0.us-east-1.aws.found.io/app/kibana#/discover/Steve-Slow-Train-Analysis-(2080s-and-2083s)?_g=(refreshInterval:(display:Off,pause:!f,section:0,value:0),time:(from:'2017-09-19T15:29:25-0600',mode:absolute,to:'2017-09-19T17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0" s="204" t="str">
        <f>IF(AA190&lt;VLOOKUP(AG190,Variables!$AC$3:$AD$8,2,FALSE),"Y","N")</f>
        <v>N</v>
      </c>
      <c r="X190" s="204">
        <f t="shared" si="89"/>
        <v>1</v>
      </c>
      <c r="Y190" s="204">
        <f t="shared" si="95"/>
        <v>5.8666</v>
      </c>
      <c r="Z190" s="204">
        <f t="shared" si="96"/>
        <v>7.3099999999999998E-2</v>
      </c>
      <c r="AA190" s="204">
        <f t="shared" si="66"/>
        <v>5.7934999999999999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 t="shared" si="67"/>
        <v>830</v>
      </c>
      <c r="AE190" s="77" t="str">
        <f t="shared" si="68"/>
        <v>aws s3 cp s3://rtdc.mdm.uploadarchive.raw/RTDC4043/ "%USERPROFILE%\AppData\Local\Temp\OnboardLogs"\RTDC4043\2017-09-19 --exclude "*" --recursive --include "*20170919*" &amp; "%USERPROFILE%\Documents\GitHub\mrs-test-scripts\Headless Mode &amp; Sideloading\WalkAndUnGZ.bat" "%USERPROFILE%\AppData\Local\Temp\OnboardLogs"\RTDC4043\2017-09-19 &amp; 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</v>
      </c>
      <c r="AF190" s="74" t="str">
        <f t="shared" si="69"/>
        <v>"C:\Program Files (x86)\AstroGrep\AstroGrep.exe" /e /r /s /spath="%USERPROFILE%\AppData\Local\Temp\OnboardLogs" /stypes="app*4043*20170919*" /stext=" 22:.+((SYSTEM_STATE.+slice.+state.+changed )|(ment ac)|(multiple cpu faults)|(system.+state.+changed )|(\[timeout)|(PRM\|1\|D)|(kpr)|(kdp)|(train st.+moving)|(\|lc)|(penalty))"</v>
      </c>
      <c r="AG190" s="182" t="str">
        <f t="shared" si="70"/>
        <v>NW</v>
      </c>
      <c r="AH190" s="78" t="str">
        <f t="shared" si="73"/>
        <v>"%USERPROFILE%\Documents\GitHub\eaglep3\Utilities\RefineRTDCRunTimes.py" --tripid 830-19 --locoid 4043 --swversion DE.1.0.9.0 --startMP 300:58666 --initTime 2017-09-19T16:29:25 --startdatetime 2017-09-19T16:37:35 --delay 77 --endMP 204:731 --enddatetime 2017-09-19T16:55:25 --enforcementcount 0 &gt;&gt;C:\Users\stu\Documents\GitHub\eaglep3-reporting\EC\2017-09-19-refined-times.txt</v>
      </c>
      <c r="AI190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{"issue":{"subject":"","project_id":79,"tracker_id":40,"status_id":1,"priority_id":2,"assigned_to_id":338,"start_date":"2017-09-19","description":"","custom_fields":[{"id":1,"name":"Subdivision","value":"NW"},{"id":4,"name":"Milepost","value":"0.0731"},{"id":17,"name":"Train ID","value":"830-19"},{"id":16,"name":"Locomotive ID","value":"4043"},{"id":130,"name":"Impact","value":""},{"id":150,"name":"Time of Event (Mountain Time)","value":"16:55:25"},{"id":151,"name":"Denver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75"/>
        <v>start /low /b %USERPROFILE%\Documents\GitHub\eaglep3\Utilities\DownloadLogsFromS3.py --loco 4043 --day 2017-09-19</v>
      </c>
      <c r="AN190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22:55:25"},{"id":29,"name":"Sharepoint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77"/>
        <v>https://d0f6bd738d7f1b3e5a7ca70fe4ff75f0.us-east-1.aws.found.io/app/kibana#/discover/Steve-Slow-Train-Analysis-(2080s-and-2083s)?_g=(refreshInterval:(display:Off,pause:!f,section:0,value:0),time:(from:'2017-09-19T15:29:25-0600',mode:absolute,to:'2017-09-19T17:55:25-0600'))&amp;_a=(columns:!('Message%20ID',Summary),filters:!(),index:'emp_*',interval:auto,query:(query_string:(analyze_wildcard:!t,query:'Message%5C+ID:(*)+AND+%22rtdc.l.rtdc.4043%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2" t="s">
        <v>641</v>
      </c>
      <c r="B191" s="7">
        <v>4006</v>
      </c>
      <c r="C191" s="21" t="s">
        <v>197</v>
      </c>
      <c r="D191" s="21" t="s">
        <v>965</v>
      </c>
      <c r="E191" s="13">
        <v>42997.692199074074</v>
      </c>
      <c r="F191" s="13">
        <v>42997.694039351853</v>
      </c>
      <c r="G191" s="7">
        <v>54</v>
      </c>
      <c r="H191" s="21" t="s">
        <v>594</v>
      </c>
      <c r="I191" s="13">
        <v>42997.704351851855</v>
      </c>
      <c r="J191" s="7">
        <v>0</v>
      </c>
      <c r="K191" s="89" t="str">
        <f t="shared" si="61"/>
        <v>4005/4006</v>
      </c>
      <c r="L191" s="185" t="str">
        <f>VLOOKUP(A191,'Trips&amp;Operators'!$C$1:$G$99911,5,FALSE)</f>
        <v>STAMBAUGH JAMES</v>
      </c>
      <c r="M191" s="6">
        <f t="shared" si="62"/>
        <v>1.0312500002328306E-2</v>
      </c>
      <c r="N191" s="7">
        <f t="shared" si="87"/>
        <v>14.850000003352761</v>
      </c>
      <c r="O191" s="7"/>
      <c r="P191" s="7"/>
      <c r="Q191" s="22"/>
      <c r="R191" s="174"/>
      <c r="S191" s="221">
        <f t="shared" si="88"/>
        <v>1</v>
      </c>
      <c r="T191" s="174" t="str">
        <f t="shared" si="63"/>
        <v>NorthBound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64"/>
        <v>https://d0f6bd738d7f1b3e5a7ca70fe4ff75f0.us-east-1.aws.found.io/app/kibana#/discover/Steve-Slow-Train-Analysis-(2080s-and-2083s)?_g=(refreshInterval:(display:Off,pause:!f,section:0,value:0),time:(from:'2017-09-19T15:36:46-0600',mode:absolute,to:'2017-09-19T17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1" s="204" t="str">
        <f>IF(AA191&lt;VLOOKUP(AG191,Variables!$AC$3:$AD$8,2,FALSE),"Y","N")</f>
        <v>N</v>
      </c>
      <c r="X191" s="204">
        <f t="shared" si="89"/>
        <v>1</v>
      </c>
      <c r="Y191" s="204">
        <f t="shared" si="95"/>
        <v>9.5699999999999993E-2</v>
      </c>
      <c r="Z191" s="204">
        <f t="shared" si="96"/>
        <v>5.8944000000000001</v>
      </c>
      <c r="AA191" s="204">
        <f t="shared" si="66"/>
        <v>5.7987000000000002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 t="shared" si="67"/>
        <v>831</v>
      </c>
      <c r="AE191" s="77" t="str">
        <f t="shared" si="68"/>
        <v>aws s3 cp s3://rtdc.mdm.uploadarchive.raw/RTDC4006/ "%USERPROFILE%\AppData\Local\Temp\OnboardLogs"\RTDC4006\2017-09-19 --exclude "*" --recursive --include "*20170919*" &amp; "%USERPROFILE%\Documents\GitHub\mrs-test-scripts\Headless Mode &amp; Sideloading\WalkAndUnGZ.bat" "%USERPROFILE%\AppData\Local\Temp\OnboardLogs"\RTDC4006\2017-09-19 &amp; aws s3 cp s3://rtdc.mdm.uploadarchive.raw/RTDC4006/ "%USERPROFILE%\AppData\Local\Temp\OnboardLogs"\RTDC4006\2017-09-20 --exclude "*" --recursive --include "*20170920*" &amp; "%USERPROFILE%\Documents\GitHub\mrs-test-scripts\Headless Mode &amp; Sideloading\WalkAndUnGZ.bat" "%USERPROFILE%\AppData\Local\Temp\OnboardLogs"\RTDC4006\2017-09-20</v>
      </c>
      <c r="AF191" s="74" t="str">
        <f t="shared" si="69"/>
        <v>"C:\Program Files (x86)\AstroGrep\AstroGrep.exe" /e /r /s /spath="%USERPROFILE%\AppData\Local\Temp\OnboardLogs" /stypes="app*4006*20170919*" /stext=" 22:.+((SYSTEM_STATE.+slice.+state.+changed )|(ment ac)|(multiple cpu faults)|(system.+state.+changed )|(\[timeout)|(PRM\|1\|D)|(kpr)|(kdp)|(train st.+moving)|(\|lc)|(penalty))"</v>
      </c>
      <c r="AG191" s="182" t="str">
        <f t="shared" si="70"/>
        <v>NW</v>
      </c>
      <c r="AH191" s="78" t="str">
        <f t="shared" si="73"/>
        <v>"%USERPROFILE%\Documents\GitHub\eaglep3\Utilities\RefineRTDCRunTimes.py" --tripid 831-19 --locoid 4006 --swversion DE.1.0.9.0 --startMP 204:957 --initTime 2017-09-19T16:36:46 --startdatetime 2017-09-19T16:39:25 --delay 54 --endMP 300:58944 --enddatetime 2017-09-19T16:54:16 --enforcementcount 0 &gt;&gt;C:\Users\stu\Documents\GitHub\eaglep3-reporting\EC\2017-09-19-refined-times.txt</v>
      </c>
      <c r="AI191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{"issue":{"subject":"","project_id":79,"tracker_id":40,"status_id":1,"priority_id":2,"assigned_to_id":338,"start_date":"2017-09-19","description":"","custom_fields":[{"id":1,"name":"Subdivision","value":"NW"},{"id":4,"name":"Milepost","value":"5.8944"},{"id":17,"name":"Train ID","value":"831-19"},{"id":16,"name":"Locomotive ID","value":"4006"},{"id":130,"name":"Impact","value":""},{"id":150,"name":"Time of Event (Mountain Time)","value":"16:54:16"},{"id":151,"name":"Denver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75"/>
        <v>start /low /b %USERPROFILE%\Documents\GitHub\eaglep3\Utilities\DownloadLogsFromS3.py --loco 4006 --day 2017-09-19</v>
      </c>
      <c r="AN191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22:54:16"},{"id":29,"name":"Sharepoint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77"/>
        <v>https://d0f6bd738d7f1b3e5a7ca70fe4ff75f0.us-east-1.aws.found.io/app/kibana#/discover/Steve-Slow-Train-Analysis-(2080s-and-2083s)?_g=(refreshInterval:(display:Off,pause:!f,section:0,value:0),time:(from:'2017-09-19T15:36:46-0600',mode:absolute,to:'2017-09-19T17:54:16-0600'))&amp;_a=(columns:!('Message%20ID',Summary),filters:!(),index:'emp_*',interval:auto,query:(query_string:(analyze_wildcard:!t,query:'Message%5C+ID:(*)+AND+%22rtdc.l.rtdc.4006%22')),sort:!(Time.ISO8601,asc))</v>
      </c>
    </row>
    <row r="192" spans="1:91" s="20" customFormat="1" x14ac:dyDescent="0.25">
      <c r="A192" s="32" t="s">
        <v>794</v>
      </c>
      <c r="B192" s="7">
        <v>4005</v>
      </c>
      <c r="C192" s="21" t="s">
        <v>197</v>
      </c>
      <c r="D192" s="21" t="s">
        <v>597</v>
      </c>
      <c r="E192" s="13">
        <v>42997.70516203704</v>
      </c>
      <c r="F192" s="13">
        <v>42997.716215277775</v>
      </c>
      <c r="G192" s="7">
        <v>56</v>
      </c>
      <c r="H192" s="21" t="s">
        <v>524</v>
      </c>
      <c r="I192" s="13">
        <v>42997.725173611114</v>
      </c>
      <c r="J192" s="7">
        <v>0</v>
      </c>
      <c r="K192" s="89" t="str">
        <f t="shared" si="61"/>
        <v>4005/4006</v>
      </c>
      <c r="L192" s="185" t="str">
        <f>VLOOKUP(A192,'Trips&amp;Operators'!$C$1:$G$99911,5,FALSE)</f>
        <v>STAMBAUGH JAMES</v>
      </c>
      <c r="M192" s="6">
        <f t="shared" si="62"/>
        <v>8.9583333392511122E-3</v>
      </c>
      <c r="N192" s="7">
        <f t="shared" si="87"/>
        <v>12.900000008521602</v>
      </c>
      <c r="O192" s="7"/>
      <c r="P192" s="7"/>
      <c r="Q192" s="22"/>
      <c r="R192" s="174"/>
      <c r="S192" s="221">
        <f t="shared" si="88"/>
        <v>1</v>
      </c>
      <c r="T192" s="174" t="str">
        <f t="shared" si="63"/>
        <v>Southbound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64"/>
        <v>https://d0f6bd738d7f1b3e5a7ca70fe4ff75f0.us-east-1.aws.found.io/app/kibana#/discover/Steve-Slow-Train-Analysis-(2080s-and-2083s)?_g=(refreshInterval:(display:Off,pause:!f,section:0,value:0),time:(from:'2017-09-19T15:55:26-0600',mode:absolute,to:'2017-09-19T18:24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2" s="204" t="str">
        <f>IF(AA192&lt;VLOOKUP(AG192,Variables!$AC$3:$AD$8,2,FALSE),"Y","N")</f>
        <v>N</v>
      </c>
      <c r="X192" s="204">
        <f t="shared" si="89"/>
        <v>1</v>
      </c>
      <c r="Y192" s="204">
        <f t="shared" si="95"/>
        <v>5.8639999999999999</v>
      </c>
      <c r="Z192" s="204">
        <f t="shared" si="96"/>
        <v>6.7000000000000004E-2</v>
      </c>
      <c r="AA192" s="204">
        <f t="shared" si="66"/>
        <v>5.7969999999999997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 t="shared" si="67"/>
        <v>832</v>
      </c>
      <c r="AE192" s="77" t="str">
        <f t="shared" si="68"/>
        <v>aws s3 cp s3://rtdc.mdm.uploadarchive.raw/RTDC4005/ "%USERPROFILE%\AppData\Local\Temp\OnboardLogs"\RTDC4005\2017-09-19 --exclude "*" --recursive --include "*20170919*" &amp; "%USERPROFILE%\Documents\GitHub\mrs-test-scripts\Headless Mode &amp; Sideloading\WalkAndUnGZ.bat" "%USERPROFILE%\AppData\Local\Temp\OnboardLogs"\RTDC4005\2017-09-19 &amp; aws s3 cp s3://rtdc.mdm.uploadarchive.raw/RTDC4005/ "%USERPROFILE%\AppData\Local\Temp\OnboardLogs"\RTDC4005\2017-09-20 --exclude "*" --recursive --include "*20170920*" &amp; "%USERPROFILE%\Documents\GitHub\mrs-test-scripts\Headless Mode &amp; Sideloading\WalkAndUnGZ.bat" "%USERPROFILE%\AppData\Local\Temp\OnboardLogs"\RTDC4005\2017-09-20</v>
      </c>
      <c r="AF192" s="74" t="str">
        <f t="shared" si="69"/>
        <v>"C:\Program Files (x86)\AstroGrep\AstroGrep.exe" /e /r /s /spath="%USERPROFILE%\AppData\Local\Temp\OnboardLogs" /stypes="app*4005*20170919*" /stext=" 23:.+((SYSTEM_STATE.+slice.+state.+changed )|(ment ac)|(multiple cpu faults)|(system.+state.+changed )|(\[timeout)|(PRM\|1\|D)|(kpr)|(kdp)|(train st.+moving)|(\|lc)|(penalty))"</v>
      </c>
      <c r="AG192" s="182" t="str">
        <f t="shared" si="70"/>
        <v>NW</v>
      </c>
      <c r="AH192" s="78" t="str">
        <f t="shared" si="73"/>
        <v>"%USERPROFILE%\Documents\GitHub\eaglep3\Utilities\RefineRTDCRunTimes.py" --tripid 832-19 --locoid 4005 --swversion DE.1.0.9.0 --startMP 300:58640 --initTime 2017-09-19T16:55:26 --startdatetime 2017-09-19T17:11:21 --delay 56 --endMP 204:670 --enddatetime 2017-09-19T17:24:15 --enforcementcount 0 &gt;&gt;C:\Users\stu\Documents\GitHub\eaglep3-reporting\EC\2017-09-19-refined-times.txt</v>
      </c>
      <c r="AI192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{"issue":{"subject":"","project_id":79,"tracker_id":40,"status_id":1,"priority_id":2,"assigned_to_id":338,"start_date":"2017-09-19","description":"","custom_fields":[{"id":1,"name":"Subdivision","value":"NW"},{"id":4,"name":"Milepost","value":"0.067"},{"id":17,"name":"Train ID","value":"832-19"},{"id":16,"name":"Locomotive ID","value":"4005"},{"id":130,"name":"Impact","value":""},{"id":150,"name":"Time of Event (Mountain Time)","value":"17:24:15"},{"id":151,"name":"Denver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75"/>
        <v>start /low /b %USERPROFILE%\Documents\GitHub\eaglep3\Utilities\DownloadLogsFromS3.py --loco 4005 --day 2017-09-19</v>
      </c>
      <c r="AN192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23:24:15"},{"id":29,"name":"Sharepoint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77"/>
        <v>https://d0f6bd738d7f1b3e5a7ca70fe4ff75f0.us-east-1.aws.found.io/app/kibana#/discover/Steve-Slow-Train-Analysis-(2080s-and-2083s)?_g=(refreshInterval:(display:Off,pause:!f,section:0,value:0),time:(from:'2017-09-19T15:55:26-0600',mode:absolute,to:'2017-09-19T18:24:15-0600'))&amp;_a=(columns:!('Message%20ID',Summary),filters:!(),index:'emp_*',interval:auto,query:(query_string:(analyze_wildcard:!t,query:'Message%5C+ID:(*)+AND+%22rtdc.l.rtdc.4005%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795</v>
      </c>
      <c r="B193" s="7">
        <v>4044</v>
      </c>
      <c r="C193" s="21" t="s">
        <v>197</v>
      </c>
      <c r="D193" s="21" t="s">
        <v>966</v>
      </c>
      <c r="E193" s="13">
        <v>42997.708310185182</v>
      </c>
      <c r="F193" s="13">
        <v>42997.714814814812</v>
      </c>
      <c r="G193" s="7">
        <v>423</v>
      </c>
      <c r="H193" s="21" t="s">
        <v>956</v>
      </c>
      <c r="I193" s="13">
        <v>42997.726018518515</v>
      </c>
      <c r="J193" s="7">
        <v>0</v>
      </c>
      <c r="K193" s="89" t="str">
        <f t="shared" si="61"/>
        <v>4043/4044</v>
      </c>
      <c r="L193" s="185" t="str">
        <f>VLOOKUP(A193,'Trips&amp;Operators'!$C$1:$G$99911,5,FALSE)</f>
        <v>ZEWDU DEREJE</v>
      </c>
      <c r="M193" s="6">
        <f t="shared" si="62"/>
        <v>1.1203703703358769E-2</v>
      </c>
      <c r="N193" s="7">
        <f t="shared" si="87"/>
        <v>16.133333332836628</v>
      </c>
      <c r="O193" s="7"/>
      <c r="P193" s="7"/>
      <c r="Q193" s="22"/>
      <c r="R193" s="174"/>
      <c r="S193" s="221">
        <f t="shared" si="88"/>
        <v>1</v>
      </c>
      <c r="T193" s="174" t="str">
        <f t="shared" si="63"/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64"/>
        <v>https://d0f6bd738d7f1b3e5a7ca70fe4ff75f0.us-east-1.aws.found.io/app/kibana#/discover/Steve-Slow-Train-Analysis-(2080s-and-2083s)?_g=(refreshInterval:(display:Off,pause:!f,section:0,value:0),time:(from:'2017-09-19T15:59:58-0600',mode:absolute,to:'2017-09-19T18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3" s="204" t="str">
        <f>IF(AA193&lt;VLOOKUP(AG193,Variables!$AC$3:$AD$8,2,FALSE),"Y","N")</f>
        <v>N</v>
      </c>
      <c r="X193" s="204">
        <f t="shared" si="89"/>
        <v>1</v>
      </c>
      <c r="Y193" s="204">
        <f t="shared" si="95"/>
        <v>0.1023</v>
      </c>
      <c r="Z193" s="204">
        <f t="shared" si="96"/>
        <v>5.8960999999999997</v>
      </c>
      <c r="AA193" s="204">
        <f t="shared" si="66"/>
        <v>5.7938000000000001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 t="shared" si="67"/>
        <v>833</v>
      </c>
      <c r="AE193" s="77" t="str">
        <f t="shared" si="68"/>
        <v>aws s3 cp s3://rtdc.mdm.uploadarchive.raw/RTDC4044/ "%USERPROFILE%\AppData\Local\Temp\OnboardLogs"\RTDC4044\2017-09-19 --exclude "*" --recursive --include "*20170919*" &amp; "%USERPROFILE%\Documents\GitHub\mrs-test-scripts\Headless Mode &amp; Sideloading\WalkAndUnGZ.bat" "%USERPROFILE%\AppData\Local\Temp\OnboardLogs"\RTDC4044\2017-09-19 &amp; 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</v>
      </c>
      <c r="AF193" s="74" t="str">
        <f t="shared" si="69"/>
        <v>"C:\Program Files (x86)\AstroGrep\AstroGrep.exe" /e /r /s /spath="%USERPROFILE%\AppData\Local\Temp\OnboardLogs" /stypes="app*4044*20170919*" /stext=" 23:.+((SYSTEM_STATE.+slice.+state.+changed )|(ment ac)|(multiple cpu faults)|(system.+state.+changed )|(\[timeout)|(PRM\|1\|D)|(kpr)|(kdp)|(train st.+moving)|(\|lc)|(penalty))"</v>
      </c>
      <c r="AG193" s="182" t="str">
        <f t="shared" si="70"/>
        <v>NW</v>
      </c>
      <c r="AH193" s="78" t="str">
        <f t="shared" si="73"/>
        <v>"%USERPROFILE%\Documents\GitHub\eaglep3\Utilities\RefineRTDCRunTimes.py" --tripid 833-19 --locoid 4044 --swversion DE.1.0.9.0 --startMP 204:1023 --initTime 2017-09-19T16:59:58 --startdatetime 2017-09-19T17:09:20 --delay 423 --endMP 300:58961 --enddatetime 2017-09-19T17:25:28 --enforcementcount 0 &gt;&gt;C:\Users\stu\Documents\GitHub\eaglep3-reporting\EC\2017-09-19-refined-times.txt</v>
      </c>
      <c r="AI193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{"issue":{"subject":"","project_id":79,"tracker_id":40,"status_id":1,"priority_id":2,"assigned_to_id":338,"start_date":"2017-09-19","description":"","custom_fields":[{"id":1,"name":"Subdivision","value":"NW"},{"id":4,"name":"Milepost","value":"5.8961"},{"id":17,"name":"Train ID","value":"833-19"},{"id":16,"name":"Locomotive ID","value":"4044"},{"id":130,"name":"Impact","value":""},{"id":150,"name":"Time of Event (Mountain Time)","value":"17:25:28"},{"id":151,"name":"Denver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75"/>
        <v>start /low /b %USERPROFILE%\Documents\GitHub\eaglep3\Utilities\DownloadLogsFromS3.py --loco 4044 --day 2017-09-19</v>
      </c>
      <c r="AN193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23:25:28"},{"id":29,"name":"Sharepoint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77"/>
        <v>https://d0f6bd738d7f1b3e5a7ca70fe4ff75f0.us-east-1.aws.found.io/app/kibana#/discover/Steve-Slow-Train-Analysis-(2080s-and-2083s)?_g=(refreshInterval:(display:Off,pause:!f,section:0,value:0),time:(from:'2017-09-19T15:59:58-0600',mode:absolute,to:'2017-09-19T18:25:28-0600'))&amp;_a=(columns:!('Message%20ID',Summary),filters:!(),index:'emp_*',interval:auto,query:(query_string:(analyze_wildcard:!t,query:'Message%5C+ID:(*)+AND+%22rtdc.l.rtdc.4044%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804</v>
      </c>
      <c r="B194" s="7">
        <v>4043</v>
      </c>
      <c r="C194" s="21" t="s">
        <v>197</v>
      </c>
      <c r="D194" s="21" t="s">
        <v>967</v>
      </c>
      <c r="E194" s="13">
        <v>42997.733263888891</v>
      </c>
      <c r="F194" s="13">
        <v>42997.735196759262</v>
      </c>
      <c r="G194" s="7">
        <v>73</v>
      </c>
      <c r="H194" s="21" t="s">
        <v>968</v>
      </c>
      <c r="I194" s="13">
        <v>42997.746539351851</v>
      </c>
      <c r="J194" s="7">
        <v>0</v>
      </c>
      <c r="K194" s="89" t="str">
        <f t="shared" si="61"/>
        <v>4043/4044</v>
      </c>
      <c r="L194" s="185" t="str">
        <f>VLOOKUP(A194,'Trips&amp;Operators'!$C$1:$G$99911,5,FALSE)</f>
        <v>ZEWDU DEREJE</v>
      </c>
      <c r="M194" s="6">
        <f t="shared" si="62"/>
        <v>1.134259258833481E-2</v>
      </c>
      <c r="N194" s="7">
        <f t="shared" si="87"/>
        <v>16.333333327202126</v>
      </c>
      <c r="O194" s="7"/>
      <c r="P194" s="7"/>
      <c r="Q194" s="22"/>
      <c r="R194" s="174"/>
      <c r="S194" s="221">
        <f t="shared" si="88"/>
        <v>1</v>
      </c>
      <c r="T194" s="174" t="str">
        <f t="shared" si="63"/>
        <v>Southbound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64"/>
        <v>https://d0f6bd738d7f1b3e5a7ca70fe4ff75f0.us-east-1.aws.found.io/app/kibana#/discover/Steve-Slow-Train-Analysis-(2080s-and-2083s)?_g=(refreshInterval:(display:Off,pause:!f,section:0,value:0),time:(from:'2017-09-19T16:35:54-0600',mode:absolute,to:'2017-09-19T18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4" s="204" t="str">
        <f>IF(AA194&lt;VLOOKUP(AG194,Variables!$AC$3:$AD$8,2,FALSE),"Y","N")</f>
        <v>N</v>
      </c>
      <c r="X194" s="204">
        <f t="shared" si="89"/>
        <v>1</v>
      </c>
      <c r="Y194" s="204">
        <f t="shared" si="95"/>
        <v>5.8651</v>
      </c>
      <c r="Z194" s="204">
        <f t="shared" si="96"/>
        <v>7.6799999999999993E-2</v>
      </c>
      <c r="AA194" s="204">
        <f t="shared" si="66"/>
        <v>5.7882999999999996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 t="shared" si="67"/>
        <v>834</v>
      </c>
      <c r="AE194" s="77" t="str">
        <f t="shared" si="68"/>
        <v>aws s3 cp s3://rtdc.mdm.uploadarchive.raw/RTDC4043/ "%USERPROFILE%\AppData\Local\Temp\OnboardLogs"\RTDC4043\2017-09-19 --exclude "*" --recursive --include "*20170919*" &amp; "%USERPROFILE%\Documents\GitHub\mrs-test-scripts\Headless Mode &amp; Sideloading\WalkAndUnGZ.bat" "%USERPROFILE%\AppData\Local\Temp\OnboardLogs"\RTDC4043\2017-09-19 &amp; 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</v>
      </c>
      <c r="AF194" s="74" t="str">
        <f t="shared" si="69"/>
        <v>"C:\Program Files (x86)\AstroGrep\AstroGrep.exe" /e /r /s /spath="%USERPROFILE%\AppData\Local\Temp\OnboardLogs" /stypes="app*4043*20170919*" /stext=" 23:.+((SYSTEM_STATE.+slice.+state.+changed )|(ment ac)|(multiple cpu faults)|(system.+state.+changed )|(\[timeout)|(PRM\|1\|D)|(kpr)|(kdp)|(train st.+moving)|(\|lc)|(penalty))"</v>
      </c>
      <c r="AG194" s="182" t="str">
        <f t="shared" si="70"/>
        <v>NW</v>
      </c>
      <c r="AH194" s="78" t="str">
        <f t="shared" si="73"/>
        <v>"%USERPROFILE%\Documents\GitHub\eaglep3\Utilities\RefineRTDCRunTimes.py" --tripid 834-19 --locoid 4043 --swversion DE.1.0.9.0 --startMP 300:58651 --initTime 2017-09-19T17:35:54 --startdatetime 2017-09-19T17:38:41 --delay 73 --endMP 204:768 --enddatetime 2017-09-19T17:55:01 --enforcementcount 0 &gt;&gt;C:\Users\stu\Documents\GitHub\eaglep3-reporting\EC\2017-09-19-refined-times.txt</v>
      </c>
      <c r="AI194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{"issue":{"subject":"","project_id":79,"tracker_id":40,"status_id":1,"priority_id":2,"assigned_to_id":338,"start_date":"2017-09-19","description":"","custom_fields":[{"id":1,"name":"Subdivision","value":"NW"},{"id":4,"name":"Milepost","value":"0.0768"},{"id":17,"name":"Train ID","value":"834-19"},{"id":16,"name":"Locomotive ID","value":"4043"},{"id":130,"name":"Impact","value":""},{"id":150,"name":"Time of Event (Mountain Time)","value":"17:55:01"},{"id":151,"name":"Denver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75"/>
        <v>start /low /b %USERPROFILE%\Documents\GitHub\eaglep3\Utilities\DownloadLogsFromS3.py --loco 4043 --day 2017-09-19</v>
      </c>
      <c r="AN194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23:55:01"},{"id":29,"name":"Sharepoint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77"/>
        <v>https://d0f6bd738d7f1b3e5a7ca70fe4ff75f0.us-east-1.aws.found.io/app/kibana#/discover/Steve-Slow-Train-Analysis-(2080s-and-2083s)?_g=(refreshInterval:(display:Off,pause:!f,section:0,value:0),time:(from:'2017-09-19T16:35:54-0600',mode:absolute,to:'2017-09-19T18:55:01-0600'))&amp;_a=(columns:!('Message%20ID',Summary),filters:!(),index:'emp_*',interval:auto,query:(query_string:(analyze_wildcard:!t,query:'Message%5C+ID:(*)+AND+%22rtdc.l.rtdc.4043%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805</v>
      </c>
      <c r="B195" s="7">
        <v>4006</v>
      </c>
      <c r="C195" s="21" t="s">
        <v>197</v>
      </c>
      <c r="D195" s="21" t="s">
        <v>969</v>
      </c>
      <c r="E195" s="13">
        <v>42997.734097222223</v>
      </c>
      <c r="F195" s="13">
        <v>42997.735682870371</v>
      </c>
      <c r="G195" s="7">
        <v>56</v>
      </c>
      <c r="H195" s="21" t="s">
        <v>588</v>
      </c>
      <c r="I195" s="13">
        <v>42997.745798611111</v>
      </c>
      <c r="J195" s="7">
        <v>0</v>
      </c>
      <c r="K195" s="89" t="str">
        <f t="shared" si="61"/>
        <v>4005/4006</v>
      </c>
      <c r="L195" s="185" t="str">
        <f>VLOOKUP(A195,'Trips&amp;Operators'!$C$1:$G$99911,5,FALSE)</f>
        <v>STAMBAUGH JAMES</v>
      </c>
      <c r="M195" s="6">
        <f t="shared" si="62"/>
        <v>1.0115740740729962E-2</v>
      </c>
      <c r="N195" s="7">
        <f t="shared" si="87"/>
        <v>14.566666666651145</v>
      </c>
      <c r="O195" s="7"/>
      <c r="P195" s="7"/>
      <c r="Q195" s="22"/>
      <c r="R195" s="174"/>
      <c r="S195" s="221">
        <f t="shared" si="88"/>
        <v>1</v>
      </c>
      <c r="T195" s="174" t="str">
        <f t="shared" si="63"/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64"/>
        <v>https://d0f6bd738d7f1b3e5a7ca70fe4ff75f0.us-east-1.aws.found.io/app/kibana#/discover/Steve-Slow-Train-Analysis-(2080s-and-2083s)?_g=(refreshInterval:(display:Off,pause:!f,section:0,value:0),time:(from:'2017-09-19T16:37:06-0600',mode:absolute,to:'2017-09-19T18:53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5" s="204" t="str">
        <f>IF(AA195&lt;VLOOKUP(AG195,Variables!$AC$3:$AD$8,2,FALSE),"Y","N")</f>
        <v>N</v>
      </c>
      <c r="X195" s="204">
        <f t="shared" si="89"/>
        <v>1</v>
      </c>
      <c r="Y195" s="204">
        <f t="shared" si="95"/>
        <v>9.64E-2</v>
      </c>
      <c r="Z195" s="204">
        <f t="shared" si="96"/>
        <v>5.8954000000000004</v>
      </c>
      <c r="AA195" s="204">
        <f t="shared" si="66"/>
        <v>5.7990000000000004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 t="shared" si="67"/>
        <v>835</v>
      </c>
      <c r="AE195" s="77" t="str">
        <f t="shared" si="68"/>
        <v>aws s3 cp s3://rtdc.mdm.uploadarchive.raw/RTDC4006/ "%USERPROFILE%\AppData\Local\Temp\OnboardLogs"\RTDC4006\2017-09-19 --exclude "*" --recursive --include "*20170919*" &amp; "%USERPROFILE%\Documents\GitHub\mrs-test-scripts\Headless Mode &amp; Sideloading\WalkAndUnGZ.bat" "%USERPROFILE%\AppData\Local\Temp\OnboardLogs"\RTDC4006\2017-09-19 &amp; aws s3 cp s3://rtdc.mdm.uploadarchive.raw/RTDC4006/ "%USERPROFILE%\AppData\Local\Temp\OnboardLogs"\RTDC4006\2017-09-20 --exclude "*" --recursive --include "*20170920*" &amp; "%USERPROFILE%\Documents\GitHub\mrs-test-scripts\Headless Mode &amp; Sideloading\WalkAndUnGZ.bat" "%USERPROFILE%\AppData\Local\Temp\OnboardLogs"\RTDC4006\2017-09-20</v>
      </c>
      <c r="AF195" s="74" t="str">
        <f t="shared" si="69"/>
        <v>"C:\Program Files (x86)\AstroGrep\AstroGrep.exe" /e /r /s /spath="%USERPROFILE%\AppData\Local\Temp\OnboardLogs" /stypes="app*4006*20170919*" /stext=" 23:.+((SYSTEM_STATE.+slice.+state.+changed )|(ment ac)|(multiple cpu faults)|(system.+state.+changed )|(\[timeout)|(PRM\|1\|D)|(kpr)|(kdp)|(train st.+moving)|(\|lc)|(penalty))"</v>
      </c>
      <c r="AG195" s="182" t="str">
        <f t="shared" si="70"/>
        <v>NW</v>
      </c>
      <c r="AH195" s="78" t="str">
        <f t="shared" si="73"/>
        <v>"%USERPROFILE%\Documents\GitHub\eaglep3\Utilities\RefineRTDCRunTimes.py" --tripid 835-19 --locoid 4006 --swversion DE.1.0.9.0 --startMP 204:964 --initTime 2017-09-19T17:37:06 --startdatetime 2017-09-19T17:39:23 --delay 56 --endMP 300:58954 --enddatetime 2017-09-19T17:53:57 --enforcementcount 0 &gt;&gt;C:\Users\stu\Documents\GitHub\eaglep3-reporting\EC\2017-09-19-refined-times.txt</v>
      </c>
      <c r="AI195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{"issue":{"subject":"","project_id":79,"tracker_id":40,"status_id":1,"priority_id":2,"assigned_to_id":338,"start_date":"2017-09-19","description":"","custom_fields":[{"id":1,"name":"Subdivision","value":"NW"},{"id":4,"name":"Milepost","value":"5.8954"},{"id":17,"name":"Train ID","value":"835-19"},{"id":16,"name":"Locomotive ID","value":"4006"},{"id":130,"name":"Impact","value":""},{"id":150,"name":"Time of Event (Mountain Time)","value":"17:53:57"},{"id":151,"name":"Denver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75"/>
        <v>start /low /b %USERPROFILE%\Documents\GitHub\eaglep3\Utilities\DownloadLogsFromS3.py --loco 4006 --day 2017-09-19</v>
      </c>
      <c r="AN195" s="151" t="str">
        <f t="shared" si="76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23:53:57"},{"id":29,"name":"Sharepoint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77"/>
        <v>https://d0f6bd738d7f1b3e5a7ca70fe4ff75f0.us-east-1.aws.found.io/app/kibana#/discover/Steve-Slow-Train-Analysis-(2080s-and-2083s)?_g=(refreshInterval:(display:Off,pause:!f,section:0,value:0),time:(from:'2017-09-19T16:37:06-0600',mode:absolute,to:'2017-09-19T18:53:57-0600'))&amp;_a=(columns:!('Message%20ID',Summary),filters:!(),index:'emp_*',interval:auto,query:(query_string:(analyze_wildcard:!t,query:'Message%5C+ID:(*)+AND+%22rtdc.l.rtdc.4006%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2" t="s">
        <v>642</v>
      </c>
      <c r="B196" s="7">
        <v>4005</v>
      </c>
      <c r="C196" s="21" t="s">
        <v>197</v>
      </c>
      <c r="D196" s="21" t="s">
        <v>953</v>
      </c>
      <c r="E196" s="13">
        <v>42997.746932870374</v>
      </c>
      <c r="F196" s="13">
        <v>42997.757824074077</v>
      </c>
      <c r="G196" s="7">
        <v>57</v>
      </c>
      <c r="H196" s="21" t="s">
        <v>970</v>
      </c>
      <c r="I196" s="13">
        <v>42997.767465277779</v>
      </c>
      <c r="J196" s="7">
        <v>0</v>
      </c>
      <c r="K196" s="89" t="str">
        <f t="shared" si="61"/>
        <v>4005/4006</v>
      </c>
      <c r="L196" s="185" t="str">
        <f>VLOOKUP(A196,'Trips&amp;Operators'!$C$1:$G$99911,5,FALSE)</f>
        <v>STAMBAUGH JAMES</v>
      </c>
      <c r="M196" s="6">
        <f t="shared" si="62"/>
        <v>9.6412037019035779E-3</v>
      </c>
      <c r="N196" s="7">
        <f t="shared" si="87"/>
        <v>13.883333330741152</v>
      </c>
      <c r="O196" s="7"/>
      <c r="P196" s="7"/>
      <c r="Q196" s="22"/>
      <c r="R196" s="174"/>
      <c r="S196" s="221">
        <f t="shared" si="88"/>
        <v>1</v>
      </c>
      <c r="T196" s="174" t="str">
        <f t="shared" si="63"/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64"/>
        <v>https://d0f6bd738d7f1b3e5a7ca70fe4ff75f0.us-east-1.aws.found.io/app/kibana#/discover/Steve-Slow-Train-Analysis-(2080s-and-2083s)?_g=(refreshInterval:(display:Off,pause:!f,section:0,value:0),time:(from:'2017-09-19T16:55:35-0600',mode:absolute,to:'2017-09-19T19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6" s="204" t="str">
        <f>IF(AA196&lt;VLOOKUP(AG196,Variables!$AC$3:$AD$8,2,FALSE),"Y","N")</f>
        <v>N</v>
      </c>
      <c r="X196" s="204">
        <f t="shared" si="89"/>
        <v>1</v>
      </c>
      <c r="Y196" s="204">
        <f t="shared" si="95"/>
        <v>5.8643000000000001</v>
      </c>
      <c r="Z196" s="204">
        <f t="shared" si="96"/>
        <v>6.3600000000000004E-2</v>
      </c>
      <c r="AA196" s="204">
        <f t="shared" si="66"/>
        <v>5.8007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 t="shared" si="67"/>
        <v>836</v>
      </c>
      <c r="AE196" s="77" t="str">
        <f t="shared" si="68"/>
        <v>aws s3 cp s3://rtdc.mdm.uploadarchive.raw/RTDC4005/ "%USERPROFILE%\AppData\Local\Temp\OnboardLogs"\RTDC4005\2017-09-19 --exclude "*" --recursive --include "*20170919*" &amp; "%USERPROFILE%\Documents\GitHub\mrs-test-scripts\Headless Mode &amp; Sideloading\WalkAndUnGZ.bat" "%USERPROFILE%\AppData\Local\Temp\OnboardLogs"\RTDC4005\2017-09-19 &amp; aws s3 cp s3://rtdc.mdm.uploadarchive.raw/RTDC4005/ "%USERPROFILE%\AppData\Local\Temp\OnboardLogs"\RTDC4005\2017-09-20 --exclude "*" --recursive --include "*20170920*" &amp; "%USERPROFILE%\Documents\GitHub\mrs-test-scripts\Headless Mode &amp; Sideloading\WalkAndUnGZ.bat" "%USERPROFILE%\AppData\Local\Temp\OnboardLogs"\RTDC4005\2017-09-20</v>
      </c>
      <c r="AF196" s="74" t="str">
        <f t="shared" si="69"/>
        <v>"C:\Program Files (x86)\AstroGrep\AstroGrep.exe" /e /r /s /spath="%USERPROFILE%\AppData\Local\Temp\OnboardLogs" /stypes="app*4005*20170920*" /stext=" 00:.+((SYSTEM_STATE.+slice.+state.+changed )|(ment ac)|(multiple cpu faults)|(system.+state.+changed )|(\[timeout)|(PRM\|1\|D)|(kpr)|(kdp)|(train st.+moving)|(\|lc)|(penalty))"</v>
      </c>
      <c r="AG196" s="182" t="str">
        <f t="shared" si="70"/>
        <v>NW</v>
      </c>
      <c r="AH196" s="78" t="str">
        <f t="shared" si="73"/>
        <v>"%USERPROFILE%\Documents\GitHub\eaglep3\Utilities\RefineRTDCRunTimes.py" --tripid 836-19 --locoid 4005 --swversion DE.1.0.9.0 --startMP 300:58643 --initTime 2017-09-19T17:55:35 --startdatetime 2017-09-19T18:11:16 --delay 57 --endMP 204:636 --enddatetime 2017-09-19T18:25:09 --enforcementcount 0 &gt;&gt;C:\Users\stu\Documents\GitHub\eaglep3-reporting\EC\2017-09-19-refined-times.txt</v>
      </c>
      <c r="AI196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{"issue":{"subject":"","project_id":79,"tracker_id":40,"status_id":1,"priority_id":2,"assigned_to_id":338,"start_date":"2017-09-19","description":"","custom_fields":[{"id":1,"name":"Subdivision","value":"NW"},{"id":4,"name":"Milepost","value":"0.0636"},{"id":17,"name":"Train ID","value":"836-19"},{"id":16,"name":"Locomotive ID","value":"4005"},{"id":130,"name":"Impact","value":""},{"id":150,"name":"Time of Event (Mountain Time)","value":"18:25:09"},{"id":151,"name":"Denver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75"/>
        <v>start /low /b %USERPROFILE%\Documents\GitHub\eaglep3\Utilities\DownloadLogsFromS3.py --loco 4005 --day 2017-09-19</v>
      </c>
      <c r="AN196" s="151" t="str">
        <f t="shared" si="76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00:25:09"},{"id":29,"name":"Sharepoint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77"/>
        <v>https://d0f6bd738d7f1b3e5a7ca70fe4ff75f0.us-east-1.aws.found.io/app/kibana#/discover/Steve-Slow-Train-Analysis-(2080s-and-2083s)?_g=(refreshInterval:(display:Off,pause:!f,section:0,value:0),time:(from:'2017-09-19T16:55:35-0600',mode:absolute,to:'2017-09-19T19:25:09-0600'))&amp;_a=(columns:!('Message%20ID',Summary),filters:!(),index:'emp_*',interval:auto,query:(query_string:(analyze_wildcard:!t,query:'Message%5C+ID:(*)+AND+%22rtdc.l.rtdc.4005%22')),sort:!(Time.ISO8601,asc))</v>
      </c>
    </row>
    <row r="197" spans="1:91" x14ac:dyDescent="0.25">
      <c r="A197" s="32" t="s">
        <v>811</v>
      </c>
      <c r="B197" s="7">
        <v>4044</v>
      </c>
      <c r="C197" s="21" t="s">
        <v>197</v>
      </c>
      <c r="D197" s="21" t="s">
        <v>955</v>
      </c>
      <c r="E197" s="13">
        <v>42997.753483796296</v>
      </c>
      <c r="F197" s="13">
        <v>42997.756562499999</v>
      </c>
      <c r="G197" s="7">
        <v>68</v>
      </c>
      <c r="H197" s="21" t="s">
        <v>971</v>
      </c>
      <c r="I197" s="13">
        <v>42997.767685185187</v>
      </c>
      <c r="J197" s="7">
        <v>0</v>
      </c>
      <c r="K197" s="89" t="str">
        <f t="shared" si="61"/>
        <v>4043/4044</v>
      </c>
      <c r="L197" s="185" t="str">
        <f>VLOOKUP(A197,'Trips&amp;Operators'!$C$1:$G$99911,5,FALSE)</f>
        <v>ZEWDU DEREJE</v>
      </c>
      <c r="M197" s="6">
        <f t="shared" si="62"/>
        <v>1.1122685187729076E-2</v>
      </c>
      <c r="N197" s="7">
        <f t="shared" si="87"/>
        <v>16.016666670329869</v>
      </c>
      <c r="O197" s="7"/>
      <c r="P197" s="7"/>
      <c r="Q197" s="22"/>
      <c r="R197" s="174"/>
      <c r="S197" s="221">
        <f t="shared" si="88"/>
        <v>1</v>
      </c>
      <c r="T197" s="174" t="str">
        <f t="shared" si="63"/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64"/>
        <v>https://d0f6bd738d7f1b3e5a7ca70fe4ff75f0.us-east-1.aws.found.io/app/kibana#/discover/Steve-Slow-Train-Analysis-(2080s-and-2083s)?_g=(refreshInterval:(display:Off,pause:!f,section:0,value:0),time:(from:'2017-09-19T17:05:01-0600',mode:absolute,to:'2017-09-19T19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7" s="204" t="str">
        <f>IF(AA197&lt;VLOOKUP(AG197,Variables!$AC$3:$AD$8,2,FALSE),"Y","N")</f>
        <v>N</v>
      </c>
      <c r="X197" s="204">
        <f t="shared" si="89"/>
        <v>1</v>
      </c>
      <c r="Y197" s="204">
        <f t="shared" si="95"/>
        <v>0.1028</v>
      </c>
      <c r="Z197" s="204">
        <f t="shared" si="96"/>
        <v>5.8978000000000002</v>
      </c>
      <c r="AA197" s="204">
        <f t="shared" si="66"/>
        <v>5.7949999999999999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 t="shared" si="67"/>
        <v>837</v>
      </c>
      <c r="AE197" s="77" t="str">
        <f t="shared" si="68"/>
        <v>aws s3 cp s3://rtdc.mdm.uploadarchive.raw/RTDC4044/ "%USERPROFILE%\AppData\Local\Temp\OnboardLogs"\RTDC4044\2017-09-19 --exclude "*" --recursive --include "*20170919*" &amp; "%USERPROFILE%\Documents\GitHub\mrs-test-scripts\Headless Mode &amp; Sideloading\WalkAndUnGZ.bat" "%USERPROFILE%\AppData\Local\Temp\OnboardLogs"\RTDC4044\2017-09-19 &amp; 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</v>
      </c>
      <c r="AF197" s="74" t="str">
        <f t="shared" si="69"/>
        <v>"C:\Program Files (x86)\AstroGrep\AstroGrep.exe" /e /r /s /spath="%USERPROFILE%\AppData\Local\Temp\OnboardLogs" /stypes="app*4044*20170920*" /stext=" 00:.+((SYSTEM_STATE.+slice.+state.+changed )|(ment ac)|(multiple cpu faults)|(system.+state.+changed )|(\[timeout)|(PRM\|1\|D)|(kpr)|(kdp)|(train st.+moving)|(\|lc)|(penalty))"</v>
      </c>
      <c r="AG197" s="182" t="str">
        <f t="shared" si="70"/>
        <v>NW</v>
      </c>
      <c r="AH197" s="78" t="str">
        <f t="shared" si="73"/>
        <v>"%USERPROFILE%\Documents\GitHub\eaglep3\Utilities\RefineRTDCRunTimes.py" --tripid 837-19 --locoid 4044 --swversion DE.1.0.9.0 --startMP 204:1028 --initTime 2017-09-19T18:05:01 --startdatetime 2017-09-19T18:09:27 --delay 68 --endMP 300:58978 --enddatetime 2017-09-19T18:25:28 --enforcementcount 0 &gt;&gt;C:\Users\stu\Documents\GitHub\eaglep3-reporting\EC\2017-09-19-refined-times.txt</v>
      </c>
      <c r="AI197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{"issue":{"subject":"","project_id":79,"tracker_id":40,"status_id":1,"priority_id":2,"assigned_to_id":338,"start_date":"2017-09-19","description":"","custom_fields":[{"id":1,"name":"Subdivision","value":"NW"},{"id":4,"name":"Milepost","value":"5.8978"},{"id":17,"name":"Train ID","value":"837-19"},{"id":16,"name":"Locomotive ID","value":"4044"},{"id":130,"name":"Impact","value":""},{"id":150,"name":"Time of Event (Mountain Time)","value":"18:25:28"},{"id":151,"name":"Denver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75"/>
        <v>start /low /b %USERPROFILE%\Documents\GitHub\eaglep3\Utilities\DownloadLogsFromS3.py --loco 4044 --day 2017-09-19</v>
      </c>
      <c r="AN197" s="151" t="str">
        <f t="shared" si="76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00:25:28"},{"id":29,"name":"Sharepoint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77"/>
        <v>https://d0f6bd738d7f1b3e5a7ca70fe4ff75f0.us-east-1.aws.found.io/app/kibana#/discover/Steve-Slow-Train-Analysis-(2080s-and-2083s)?_g=(refreshInterval:(display:Off,pause:!f,section:0,value:0),time:(from:'2017-09-19T17:05:01-0600',mode:absolute,to:'2017-09-19T19:25:28-0600'))&amp;_a=(columns:!('Message%20ID',Summary),filters:!(),index:'emp_*',interval:auto,query:(query_string:(analyze_wildcard:!t,query:'Message%5C+ID:(*)+AND+%22rtdc.l.rtdc.4044%22')),sort:!(Time.ISO8601,asc))</v>
      </c>
    </row>
    <row r="198" spans="1:91" s="20" customFormat="1" x14ac:dyDescent="0.25">
      <c r="A198" s="32" t="s">
        <v>643</v>
      </c>
      <c r="B198" s="7">
        <v>4043</v>
      </c>
      <c r="C198" s="21" t="s">
        <v>197</v>
      </c>
      <c r="D198" s="21" t="s">
        <v>960</v>
      </c>
      <c r="E198" s="13">
        <v>42997.769895833335</v>
      </c>
      <c r="F198" s="13">
        <v>42997.774560185186</v>
      </c>
      <c r="G198" s="7">
        <v>72</v>
      </c>
      <c r="H198" s="21" t="s">
        <v>972</v>
      </c>
      <c r="I198" s="13">
        <v>42997.788715277777</v>
      </c>
      <c r="J198" s="7">
        <v>0</v>
      </c>
      <c r="K198" s="89" t="str">
        <f t="shared" si="61"/>
        <v>4043/4044</v>
      </c>
      <c r="L198" s="185" t="str">
        <f>VLOOKUP(A198,'Trips&amp;Operators'!$C$1:$G$99911,5,FALSE)</f>
        <v>ZEWDU DEREJE</v>
      </c>
      <c r="M198" s="6">
        <f t="shared" si="62"/>
        <v>1.4155092590954155E-2</v>
      </c>
      <c r="N198" s="7">
        <f t="shared" si="87"/>
        <v>20.383333330973983</v>
      </c>
      <c r="O198" s="7"/>
      <c r="P198" s="7"/>
      <c r="Q198" s="22"/>
      <c r="R198" s="174"/>
      <c r="S198" s="221">
        <f t="shared" si="88"/>
        <v>1</v>
      </c>
      <c r="T198" s="174" t="str">
        <f t="shared" si="63"/>
        <v>Southbound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64"/>
        <v>https://d0f6bd738d7f1b3e5a7ca70fe4ff75f0.us-east-1.aws.found.io/app/kibana#/discover/Steve-Slow-Train-Analysis-(2080s-and-2083s)?_g=(refreshInterval:(display:Off,pause:!f,section:0,value:0),time:(from:'2017-09-19T17:28:39-0600',mode:absolute,to:'2017-09-19T19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8" s="204" t="str">
        <f>IF(AA198&lt;VLOOKUP(AG198,Variables!$AC$3:$AD$8,2,FALSE),"Y","N")</f>
        <v>N</v>
      </c>
      <c r="X198" s="204">
        <f t="shared" si="89"/>
        <v>1</v>
      </c>
      <c r="Y198" s="204">
        <f t="shared" si="95"/>
        <v>5.8655999999999997</v>
      </c>
      <c r="Z198" s="204">
        <f t="shared" si="96"/>
        <v>7.4300000000000005E-2</v>
      </c>
      <c r="AA198" s="204">
        <f t="shared" si="66"/>
        <v>5.7912999999999997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 t="shared" si="67"/>
        <v>838</v>
      </c>
      <c r="AE198" s="77" t="str">
        <f t="shared" si="68"/>
        <v>aws s3 cp s3://rtdc.mdm.uploadarchive.raw/RTDC4043/ "%USERPROFILE%\AppData\Local\Temp\OnboardLogs"\RTDC4043\2017-09-19 --exclude "*" --recursive --include "*20170919*" &amp; "%USERPROFILE%\Documents\GitHub\mrs-test-scripts\Headless Mode &amp; Sideloading\WalkAndUnGZ.bat" "%USERPROFILE%\AppData\Local\Temp\OnboardLogs"\RTDC4043\2017-09-19 &amp; 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</v>
      </c>
      <c r="AF198" s="74" t="str">
        <f t="shared" si="69"/>
        <v>"C:\Program Files (x86)\AstroGrep\AstroGrep.exe" /e /r /s /spath="%USERPROFILE%\AppData\Local\Temp\OnboardLogs" /stypes="app*4043*20170920*" /stext=" 00:.+((SYSTEM_STATE.+slice.+state.+changed )|(ment ac)|(multiple cpu faults)|(system.+state.+changed )|(\[timeout)|(PRM\|1\|D)|(kpr)|(kdp)|(train st.+moving)|(\|lc)|(penalty))"</v>
      </c>
      <c r="AG198" s="182" t="str">
        <f t="shared" si="70"/>
        <v>NW</v>
      </c>
      <c r="AH198" s="78" t="str">
        <f t="shared" si="73"/>
        <v>"%USERPROFILE%\Documents\GitHub\eaglep3\Utilities\RefineRTDCRunTimes.py" --tripid 838-19 --locoid 4043 --swversion DE.1.0.9.0 --startMP 300:58656 --initTime 2017-09-19T18:28:39 --startdatetime 2017-09-19T18:35:22 --delay 72 --endMP 204:743 --enddatetime 2017-09-19T18:55:45 --enforcementcount 0 &gt;&gt;C:\Users\stu\Documents\GitHub\eaglep3-reporting\EC\2017-09-19-refined-times.txt</v>
      </c>
      <c r="AI198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{"issue":{"subject":"","project_id":79,"tracker_id":40,"status_id":1,"priority_id":2,"assigned_to_id":338,"start_date":"2017-09-19","description":"","custom_fields":[{"id":1,"name":"Subdivision","value":"NW"},{"id":4,"name":"Milepost","value":"0.0743"},{"id":17,"name":"Train ID","value":"838-19"},{"id":16,"name":"Locomotive ID","value":"4043"},{"id":130,"name":"Impact","value":""},{"id":150,"name":"Time of Event (Mountain Time)","value":"18:55:45"},{"id":151,"name":"Denver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75"/>
        <v>start /low /b %USERPROFILE%\Documents\GitHub\eaglep3\Utilities\DownloadLogsFromS3.py --loco 4043 --day 2017-09-19</v>
      </c>
      <c r="AN198" s="151" t="str">
        <f t="shared" si="76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00:55:45"},{"id":29,"name":"Sharepoint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77"/>
        <v>https://d0f6bd738d7f1b3e5a7ca70fe4ff75f0.us-east-1.aws.found.io/app/kibana#/discover/Steve-Slow-Train-Analysis-(2080s-and-2083s)?_g=(refreshInterval:(display:Off,pause:!f,section:0,value:0),time:(from:'2017-09-19T17:28:39-0600',mode:absolute,to:'2017-09-19T19:55:45-0600'))&amp;_a=(columns:!('Message%20ID',Summary),filters:!(),index:'emp_*',interval:auto,query:(query_string:(analyze_wildcard:!t,query:'Message%5C+ID:(*)+AND+%22rtdc.l.rtdc.4043%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816</v>
      </c>
      <c r="B199" s="7">
        <v>4006</v>
      </c>
      <c r="C199" s="21" t="s">
        <v>197</v>
      </c>
      <c r="D199" s="21" t="s">
        <v>973</v>
      </c>
      <c r="E199" s="13">
        <v>42997.77553240741</v>
      </c>
      <c r="F199" s="13">
        <v>42997.777453703704</v>
      </c>
      <c r="G199" s="7">
        <v>58</v>
      </c>
      <c r="H199" s="21" t="s">
        <v>598</v>
      </c>
      <c r="I199" s="13">
        <v>42997.787488425929</v>
      </c>
      <c r="J199" s="7">
        <v>0</v>
      </c>
      <c r="K199" s="89" t="str">
        <f t="shared" si="61"/>
        <v>4005/4006</v>
      </c>
      <c r="L199" s="185" t="str">
        <f>VLOOKUP(A199,'Trips&amp;Operators'!$C$1:$G$99911,5,FALSE)</f>
        <v>STAMBAUGH JAMES</v>
      </c>
      <c r="M199" s="6">
        <f t="shared" si="62"/>
        <v>1.0034722225100268E-2</v>
      </c>
      <c r="N199" s="7">
        <f t="shared" si="87"/>
        <v>14.450000004144385</v>
      </c>
      <c r="O199" s="7"/>
      <c r="P199" s="7"/>
      <c r="Q199" s="22"/>
      <c r="R199" s="174"/>
      <c r="S199" s="221">
        <f t="shared" si="88"/>
        <v>1</v>
      </c>
      <c r="T199" s="174" t="str">
        <f t="shared" si="63"/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64"/>
        <v>https://d0f6bd738d7f1b3e5a7ca70fe4ff75f0.us-east-1.aws.found.io/app/kibana#/discover/Steve-Slow-Train-Analysis-(2080s-and-2083s)?_g=(refreshInterval:(display:Off,pause:!f,section:0,value:0),time:(from:'2017-09-19T17:36:46-0600',mode:absolute,to:'2017-09-19T19:53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9" s="204" t="str">
        <f>IF(AA199&lt;VLOOKUP(AG199,Variables!$AC$3:$AD$8,2,FALSE),"Y","N")</f>
        <v>N</v>
      </c>
      <c r="X199" s="204">
        <f t="shared" si="89"/>
        <v>1</v>
      </c>
      <c r="Y199" s="204">
        <f t="shared" si="95"/>
        <v>9.1600000000000001E-2</v>
      </c>
      <c r="Z199" s="204">
        <f t="shared" si="96"/>
        <v>5.8939000000000004</v>
      </c>
      <c r="AA199" s="204">
        <f t="shared" si="66"/>
        <v>5.8023000000000007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 t="shared" si="67"/>
        <v>839</v>
      </c>
      <c r="AE199" s="77" t="str">
        <f t="shared" si="68"/>
        <v>aws s3 cp s3://rtdc.mdm.uploadarchive.raw/RTDC4006/ "%USERPROFILE%\AppData\Local\Temp\OnboardLogs"\RTDC4006\2017-09-19 --exclude "*" --recursive --include "*20170919*" &amp; "%USERPROFILE%\Documents\GitHub\mrs-test-scripts\Headless Mode &amp; Sideloading\WalkAndUnGZ.bat" "%USERPROFILE%\AppData\Local\Temp\OnboardLogs"\RTDC4006\2017-09-19 &amp; aws s3 cp s3://rtdc.mdm.uploadarchive.raw/RTDC4006/ "%USERPROFILE%\AppData\Local\Temp\OnboardLogs"\RTDC4006\2017-09-20 --exclude "*" --recursive --include "*20170920*" &amp; "%USERPROFILE%\Documents\GitHub\mrs-test-scripts\Headless Mode &amp; Sideloading\WalkAndUnGZ.bat" "%USERPROFILE%\AppData\Local\Temp\OnboardLogs"\RTDC4006\2017-09-20</v>
      </c>
      <c r="AF199" s="74" t="str">
        <f t="shared" si="69"/>
        <v>"C:\Program Files (x86)\AstroGrep\AstroGrep.exe" /e /r /s /spath="%USERPROFILE%\AppData\Local\Temp\OnboardLogs" /stypes="app*4006*20170920*" /stext=" 00:.+((SYSTEM_STATE.+slice.+state.+changed )|(ment ac)|(multiple cpu faults)|(system.+state.+changed )|(\[timeout)|(PRM\|1\|D)|(kpr)|(kdp)|(train st.+moving)|(\|lc)|(penalty))"</v>
      </c>
      <c r="AG199" s="182" t="str">
        <f t="shared" si="70"/>
        <v>NW</v>
      </c>
      <c r="AH199" s="78" t="str">
        <f t="shared" si="73"/>
        <v>"%USERPROFILE%\Documents\GitHub\eaglep3\Utilities\RefineRTDCRunTimes.py" --tripid 839-19 --locoid 4006 --swversion DE.1.0.9.0 --startMP 204:916 --initTime 2017-09-19T18:36:46 --startdatetime 2017-09-19T18:39:32 --delay 58 --endMP 300:58939 --enddatetime 2017-09-19T18:53:59 --enforcementcount 0 &gt;&gt;C:\Users\stu\Documents\GitHub\eaglep3-reporting\EC\2017-09-19-refined-times.txt</v>
      </c>
      <c r="AI199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{"issue":{"subject":"","project_id":79,"tracker_id":40,"status_id":1,"priority_id":2,"assigned_to_id":338,"start_date":"2017-09-19","description":"","custom_fields":[{"id":1,"name":"Subdivision","value":"NW"},{"id":4,"name":"Milepost","value":"5.8939"},{"id":17,"name":"Train ID","value":"839-19"},{"id":16,"name":"Locomotive ID","value":"4006"},{"id":130,"name":"Impact","value":""},{"id":150,"name":"Time of Event (Mountain Time)","value":"18:53:59"},{"id":151,"name":"Denver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75"/>
        <v>start /low /b %USERPROFILE%\Documents\GitHub\eaglep3\Utilities\DownloadLogsFromS3.py --loco 4006 --day 2017-09-19</v>
      </c>
      <c r="AN199" s="151" t="str">
        <f t="shared" si="76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00:53:59"},{"id":29,"name":"Sharepoint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77"/>
        <v>https://d0f6bd738d7f1b3e5a7ca70fe4ff75f0.us-east-1.aws.found.io/app/kibana#/discover/Steve-Slow-Train-Analysis-(2080s-and-2083s)?_g=(refreshInterval:(display:Off,pause:!f,section:0,value:0),time:(from:'2017-09-19T17:36:46-0600',mode:absolute,to:'2017-09-19T19:53:59-0600'))&amp;_a=(columns:!('Message%20ID',Summary),filters:!(),index:'emp_*',interval:auto,query:(query_string:(analyze_wildcard:!t,query:'Message%5C+ID:(*)+AND+%22rtdc.l.rtdc.4006%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825</v>
      </c>
      <c r="B200" s="7">
        <v>4043</v>
      </c>
      <c r="C200" s="21" t="s">
        <v>197</v>
      </c>
      <c r="D200" s="21" t="s">
        <v>974</v>
      </c>
      <c r="E200" s="13">
        <v>42997.813240740739</v>
      </c>
      <c r="F200" s="13">
        <v>42997.816689814812</v>
      </c>
      <c r="G200" s="7">
        <v>86</v>
      </c>
      <c r="H200" s="21" t="s">
        <v>975</v>
      </c>
      <c r="I200" s="13">
        <v>42997.83152777778</v>
      </c>
      <c r="J200" s="7">
        <v>0</v>
      </c>
      <c r="K200" s="89" t="str">
        <f t="shared" si="61"/>
        <v>4043/4044</v>
      </c>
      <c r="L200" s="185" t="str">
        <f>VLOOKUP(A200,'Trips&amp;Operators'!$C$1:$G$99911,5,FALSE)</f>
        <v>ZEWDU DEREJE</v>
      </c>
      <c r="M200" s="6">
        <f t="shared" si="62"/>
        <v>1.4837962968158536E-2</v>
      </c>
      <c r="N200" s="7">
        <f t="shared" si="87"/>
        <v>21.366666674148291</v>
      </c>
      <c r="O200" s="7"/>
      <c r="P200" s="7"/>
      <c r="Q200" s="22"/>
      <c r="R200" s="174"/>
      <c r="S200" s="221">
        <f t="shared" si="88"/>
        <v>1</v>
      </c>
      <c r="T200" s="174" t="str">
        <f t="shared" si="63"/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64"/>
        <v>https://d0f6bd738d7f1b3e5a7ca70fe4ff75f0.us-east-1.aws.found.io/app/kibana#/discover/Steve-Slow-Train-Analysis-(2080s-and-2083s)?_g=(refreshInterval:(display:Off,pause:!f,section:0,value:0),time:(from:'2017-09-19T18:31:04-0600',mode:absolute,to:'2017-09-19T20:57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0" s="204" t="str">
        <f>IF(AA200&lt;VLOOKUP(AG200,Variables!$AC$3:$AD$8,2,FALSE),"Y","N")</f>
        <v>N</v>
      </c>
      <c r="X200" s="204">
        <f t="shared" si="89"/>
        <v>1</v>
      </c>
      <c r="Y200" s="204">
        <f t="shared" si="95"/>
        <v>5.8654999999999999</v>
      </c>
      <c r="Z200" s="204">
        <f t="shared" si="96"/>
        <v>7.2700000000000001E-2</v>
      </c>
      <c r="AA200" s="204">
        <f t="shared" si="66"/>
        <v>5.7927999999999997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 t="shared" si="67"/>
        <v>840</v>
      </c>
      <c r="AE200" s="77" t="str">
        <f t="shared" si="68"/>
        <v>aws s3 cp s3://rtdc.mdm.uploadarchive.raw/RTDC4043/ "%USERPROFILE%\AppData\Local\Temp\OnboardLogs"\RTDC4043\2017-09-19 --exclude "*" --recursive --include "*20170919*" &amp; "%USERPROFILE%\Documents\GitHub\mrs-test-scripts\Headless Mode &amp; Sideloading\WalkAndUnGZ.bat" "%USERPROFILE%\AppData\Local\Temp\OnboardLogs"\RTDC4043\2017-09-19 &amp; 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</v>
      </c>
      <c r="AF200" s="74" t="str">
        <f t="shared" si="69"/>
        <v>"C:\Program Files (x86)\AstroGrep\AstroGrep.exe" /e /r /s /spath="%USERPROFILE%\AppData\Local\Temp\OnboardLogs" /stypes="app*4043*20170920*" /stext=" 01:.+((SYSTEM_STATE.+slice.+state.+changed )|(ment ac)|(multiple cpu faults)|(system.+state.+changed )|(\[timeout)|(PRM\|1\|D)|(kpr)|(kdp)|(train st.+moving)|(\|lc)|(penalty))"</v>
      </c>
      <c r="AG200" s="182" t="str">
        <f t="shared" si="70"/>
        <v>NW</v>
      </c>
      <c r="AH200" s="78" t="str">
        <f t="shared" si="73"/>
        <v>"%USERPROFILE%\Documents\GitHub\eaglep3\Utilities\RefineRTDCRunTimes.py" --tripid 840-19 --locoid 4043 --swversion DE.1.0.9.0 --startMP 300:58655 --initTime 2017-09-19T19:31:04 --startdatetime 2017-09-19T19:36:02 --delay 86 --endMP 204:727 --enddatetime 2017-09-19T19:57:24 --enforcementcount 0 &gt;&gt;C:\Users\stu\Documents\GitHub\eaglep3-reporting\EC\2017-09-19-refined-times.txt</v>
      </c>
      <c r="AI200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{"issue":{"subject":"","project_id":79,"tracker_id":40,"status_id":1,"priority_id":2,"assigned_to_id":338,"start_date":"2017-09-19","description":"","custom_fields":[{"id":1,"name":"Subdivision","value":"NW"},{"id":4,"name":"Milepost","value":"0.0727"},{"id":17,"name":"Train ID","value":"840-19"},{"id":16,"name":"Locomotive ID","value":"4043"},{"id":130,"name":"Impact","value":""},{"id":150,"name":"Time of Event (Mountain Time)","value":"19:57:24"},{"id":151,"name":"Denver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75"/>
        <v>start /low /b %USERPROFILE%\Documents\GitHub\eaglep3\Utilities\DownloadLogsFromS3.py --loco 4043 --day 2017-09-19</v>
      </c>
      <c r="AN200" s="151" t="str">
        <f t="shared" si="76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01:57:24"},{"id":29,"name":"Sharepoint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77"/>
        <v>https://d0f6bd738d7f1b3e5a7ca70fe4ff75f0.us-east-1.aws.found.io/app/kibana#/discover/Steve-Slow-Train-Analysis-(2080s-and-2083s)?_g=(refreshInterval:(display:Off,pause:!f,section:0,value:0),time:(from:'2017-09-19T18:31:04-0600',mode:absolute,to:'2017-09-19T20:57:24-0600'))&amp;_a=(columns:!('Message%20ID',Summary),filters:!(),index:'emp_*',interval:auto,query:(query_string:(analyze_wildcard:!t,query:'Message%5C+ID:(*)+AND+%22rtdc.l.rtdc.4043%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821</v>
      </c>
      <c r="B201" s="7">
        <v>4044</v>
      </c>
      <c r="C201" s="21" t="s">
        <v>197</v>
      </c>
      <c r="D201" s="21" t="s">
        <v>976</v>
      </c>
      <c r="E201" s="13">
        <v>42997.795011574075</v>
      </c>
      <c r="F201" s="13">
        <v>42997.798252314817</v>
      </c>
      <c r="G201" s="7">
        <v>94</v>
      </c>
      <c r="H201" s="21" t="s">
        <v>971</v>
      </c>
      <c r="I201" s="13">
        <v>42997.807905092595</v>
      </c>
      <c r="J201" s="7">
        <v>0</v>
      </c>
      <c r="K201" s="89" t="str">
        <f t="shared" si="61"/>
        <v>4043/4044</v>
      </c>
      <c r="L201" s="185" t="str">
        <f>VLOOKUP(A201,'Trips&amp;Operators'!$C$1:$G$99911,5,FALSE)</f>
        <v>ZEWDU DEREJE</v>
      </c>
      <c r="M201" s="6">
        <f t="shared" si="62"/>
        <v>9.6527777786832303E-3</v>
      </c>
      <c r="N201" s="7">
        <f t="shared" si="87"/>
        <v>13.900000001303852</v>
      </c>
      <c r="O201" s="7"/>
      <c r="P201" s="7"/>
      <c r="Q201" s="22"/>
      <c r="R201" s="174"/>
      <c r="S201" s="221">
        <f t="shared" si="88"/>
        <v>1</v>
      </c>
      <c r="T201" s="174" t="str">
        <f t="shared" si="63"/>
        <v>NorthBound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64"/>
        <v>https://d0f6bd738d7f1b3e5a7ca70fe4ff75f0.us-east-1.aws.found.io/app/kibana#/discover/Steve-Slow-Train-Analysis-(2080s-and-2083s)?_g=(refreshInterval:(display:Off,pause:!f,section:0,value:0),time:(from:'2017-09-19T18:04:49-0600',mode:absolute,to:'2017-09-19T20:23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1" s="204" t="str">
        <f>IF(AA201&lt;VLOOKUP(AG201,Variables!$AC$3:$AD$8,2,FALSE),"Y","N")</f>
        <v>N</v>
      </c>
      <c r="X201" s="204">
        <f t="shared" si="89"/>
        <v>1</v>
      </c>
      <c r="Y201" s="204">
        <f t="shared" si="95"/>
        <v>0.1046</v>
      </c>
      <c r="Z201" s="204">
        <f t="shared" si="96"/>
        <v>5.8978000000000002</v>
      </c>
      <c r="AA201" s="204">
        <f t="shared" si="66"/>
        <v>5.7932000000000006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 t="shared" si="67"/>
        <v>841</v>
      </c>
      <c r="AE201" s="77" t="str">
        <f t="shared" si="68"/>
        <v>aws s3 cp s3://rtdc.mdm.uploadarchive.raw/RTDC4044/ "%USERPROFILE%\AppData\Local\Temp\OnboardLogs"\RTDC4044\2017-09-19 --exclude "*" --recursive --include "*20170919*" &amp; "%USERPROFILE%\Documents\GitHub\mrs-test-scripts\Headless Mode &amp; Sideloading\WalkAndUnGZ.bat" "%USERPROFILE%\AppData\Local\Temp\OnboardLogs"\RTDC4044\2017-09-19 &amp; 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</v>
      </c>
      <c r="AF201" s="74" t="str">
        <f t="shared" si="69"/>
        <v>"C:\Program Files (x86)\AstroGrep\AstroGrep.exe" /e /r /s /spath="%USERPROFILE%\AppData\Local\Temp\OnboardLogs" /stypes="app*4044*20170920*" /stext=" 01:.+((SYSTEM_STATE.+slice.+state.+changed )|(ment ac)|(multiple cpu faults)|(system.+state.+changed )|(\[timeout)|(PRM\|1\|D)|(kpr)|(kdp)|(train st.+moving)|(\|lc)|(penalty))"</v>
      </c>
      <c r="AG201" s="182" t="str">
        <f t="shared" si="70"/>
        <v>NW</v>
      </c>
      <c r="AH201" s="78" t="str">
        <f t="shared" si="73"/>
        <v>"%USERPROFILE%\Documents\GitHub\eaglep3\Utilities\RefineRTDCRunTimes.py" --tripid 841-19 --locoid 4044 --swversion DE.1.0.9.0 --startMP 204:1046 --initTime 2017-09-19T19:04:49 --startdatetime 2017-09-19T19:09:29 --delay 94 --endMP 300:58978 --enddatetime 2017-09-19T19:23:23 --enforcementcount 0 &gt;&gt;C:\Users\stu\Documents\GitHub\eaglep3-reporting\EC\2017-09-19-refined-times.txt</v>
      </c>
      <c r="AI201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{"issue":{"subject":"","project_id":79,"tracker_id":40,"status_id":1,"priority_id":2,"assigned_to_id":338,"start_date":"2017-09-19","description":"","custom_fields":[{"id":1,"name":"Subdivision","value":"NW"},{"id":4,"name":"Milepost","value":"5.8978"},{"id":17,"name":"Train ID","value":"841-19"},{"id":16,"name":"Locomotive ID","value":"4044"},{"id":130,"name":"Impact","value":""},{"id":150,"name":"Time of Event (Mountain Time)","value":"19:23:23"},{"id":151,"name":"Denver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75"/>
        <v>start /low /b %USERPROFILE%\Documents\GitHub\eaglep3\Utilities\DownloadLogsFromS3.py --loco 4044 --day 2017-09-19</v>
      </c>
      <c r="AN201" s="151" t="str">
        <f t="shared" si="76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01:23:23"},{"id":29,"name":"Sharepoint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77"/>
        <v>https://d0f6bd738d7f1b3e5a7ca70fe4ff75f0.us-east-1.aws.found.io/app/kibana#/discover/Steve-Slow-Train-Analysis-(2080s-and-2083s)?_g=(refreshInterval:(display:Off,pause:!f,section:0,value:0),time:(from:'2017-09-19T18:04:49-0600',mode:absolute,to:'2017-09-19T20:23:23-0600'))&amp;_a=(columns:!('Message%20ID',Summary),filters:!(),index:'emp_*',interval:auto,query:(query_string:(analyze_wildcard:!t,query:'Message%5C+ID:(*)+AND+%22rtdc.l.rtdc.4044%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832</v>
      </c>
      <c r="B202" s="7">
        <v>4043</v>
      </c>
      <c r="C202" s="21" t="s">
        <v>197</v>
      </c>
      <c r="D202" s="21" t="s">
        <v>977</v>
      </c>
      <c r="E202" s="13">
        <v>42997.851701388892</v>
      </c>
      <c r="F202" s="13">
        <v>42997.859513888892</v>
      </c>
      <c r="G202" s="7">
        <v>69</v>
      </c>
      <c r="H202" s="21" t="s">
        <v>978</v>
      </c>
      <c r="I202" s="13">
        <v>42997.871990740743</v>
      </c>
      <c r="J202" s="7">
        <v>0</v>
      </c>
      <c r="K202" s="89" t="str">
        <f t="shared" si="61"/>
        <v>4043/4044</v>
      </c>
      <c r="L202" s="185" t="str">
        <f>VLOOKUP(A202,'Trips&amp;Operators'!$C$1:$G$99911,5,FALSE)</f>
        <v>ZEWDU DEREJE</v>
      </c>
      <c r="M202" s="6">
        <f t="shared" si="62"/>
        <v>1.247685185080627E-2</v>
      </c>
      <c r="N202" s="7">
        <f t="shared" si="87"/>
        <v>17.966666665161029</v>
      </c>
      <c r="O202" s="7"/>
      <c r="P202" s="7"/>
      <c r="Q202" s="22"/>
      <c r="R202" s="174"/>
      <c r="S202" s="221">
        <f t="shared" si="88"/>
        <v>1</v>
      </c>
      <c r="T202" s="174" t="str">
        <f t="shared" si="63"/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64"/>
        <v>https://d0f6bd738d7f1b3e5a7ca70fe4ff75f0.us-east-1.aws.found.io/app/kibana#/discover/Steve-Slow-Train-Analysis-(2080s-and-2083s)?_g=(refreshInterval:(display:Off,pause:!f,section:0,value:0),time:(from:'2017-09-19T19:26:27-0600',mode:absolute,to:'2017-09-19T21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2" s="204" t="str">
        <f>IF(AA202&lt;VLOOKUP(AG202,Variables!$AC$3:$AD$8,2,FALSE),"Y","N")</f>
        <v>N</v>
      </c>
      <c r="X202" s="204">
        <f t="shared" si="89"/>
        <v>1</v>
      </c>
      <c r="Y202" s="204">
        <f t="shared" si="95"/>
        <v>5.8659999999999997</v>
      </c>
      <c r="Z202" s="204">
        <f t="shared" si="96"/>
        <v>7.4999999999999997E-2</v>
      </c>
      <c r="AA202" s="204">
        <f t="shared" si="66"/>
        <v>5.7909999999999995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 t="shared" si="67"/>
        <v>842</v>
      </c>
      <c r="AE202" s="77" t="str">
        <f t="shared" si="68"/>
        <v>aws s3 cp s3://rtdc.mdm.uploadarchive.raw/RTDC4043/ "%USERPROFILE%\AppData\Local\Temp\OnboardLogs"\RTDC4043\2017-09-19 --exclude "*" --recursive --include "*20170919*" &amp; "%USERPROFILE%\Documents\GitHub\mrs-test-scripts\Headless Mode &amp; Sideloading\WalkAndUnGZ.bat" "%USERPROFILE%\AppData\Local\Temp\OnboardLogs"\RTDC4043\2017-09-19 &amp; 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</v>
      </c>
      <c r="AF202" s="74" t="str">
        <f t="shared" si="69"/>
        <v>"C:\Program Files (x86)\AstroGrep\AstroGrep.exe" /e /r /s /spath="%USERPROFILE%\AppData\Local\Temp\OnboardLogs" /stypes="app*4043*20170920*" /stext=" 02:.+((SYSTEM_STATE.+slice.+state.+changed )|(ment ac)|(multiple cpu faults)|(system.+state.+changed )|(\[timeout)|(PRM\|1\|D)|(kpr)|(kdp)|(train st.+moving)|(\|lc)|(penalty))"</v>
      </c>
      <c r="AG202" s="182" t="str">
        <f t="shared" si="70"/>
        <v>NW</v>
      </c>
      <c r="AH202" s="78" t="str">
        <f t="shared" si="73"/>
        <v>"%USERPROFILE%\Documents\GitHub\eaglep3\Utilities\RefineRTDCRunTimes.py" --tripid 842-19 --locoid 4043 --swversion DE.1.0.9.0 --startMP 300:58660 --initTime 2017-09-19T20:26:27 --startdatetime 2017-09-19T20:37:42 --delay 69 --endMP 204:750 --enddatetime 2017-09-19T20:55:40 --enforcementcount 0 &gt;&gt;C:\Users\stu\Documents\GitHub\eaglep3-reporting\EC\2017-09-19-refined-times.txt</v>
      </c>
      <c r="AI202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{"issue":{"subject":"","project_id":79,"tracker_id":40,"status_id":1,"priority_id":2,"assigned_to_id":338,"start_date":"2017-09-19","description":"","custom_fields":[{"id":1,"name":"Subdivision","value":"NW"},{"id":4,"name":"Milepost","value":"0.075"},{"id":17,"name":"Train ID","value":"842-19"},{"id":16,"name":"Locomotive ID","value":"4043"},{"id":130,"name":"Impact","value":""},{"id":150,"name":"Time of Event (Mountain Time)","value":"20:55:40"},{"id":151,"name":"Denver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75"/>
        <v>start /low /b %USERPROFILE%\Documents\GitHub\eaglep3\Utilities\DownloadLogsFromS3.py --loco 4043 --day 2017-09-19</v>
      </c>
      <c r="AN202" s="151" t="str">
        <f t="shared" si="76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02:55:40"},{"id":29,"name":"Sharepoint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77"/>
        <v>https://d0f6bd738d7f1b3e5a7ca70fe4ff75f0.us-east-1.aws.found.io/app/kibana#/discover/Steve-Slow-Train-Analysis-(2080s-and-2083s)?_g=(refreshInterval:(display:Off,pause:!f,section:0,value:0),time:(from:'2017-09-19T19:26:27-0600',mode:absolute,to:'2017-09-19T21:55:40-0600'))&amp;_a=(columns:!('Message%20ID',Summary),filters:!(),index:'emp_*',interval:auto,query:(query_string:(analyze_wildcard:!t,query:'Message%5C+ID:(*)+AND+%22rtdc.l.rtdc.4043%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829</v>
      </c>
      <c r="B203" s="7">
        <v>4044</v>
      </c>
      <c r="C203" s="21" t="s">
        <v>197</v>
      </c>
      <c r="D203" s="21" t="s">
        <v>979</v>
      </c>
      <c r="E203" s="13">
        <v>42997.837418981479</v>
      </c>
      <c r="F203" s="13">
        <v>42997.839837962965</v>
      </c>
      <c r="G203" s="7">
        <v>68</v>
      </c>
      <c r="H203" s="21" t="s">
        <v>980</v>
      </c>
      <c r="I203" s="13">
        <v>42997.849733796298</v>
      </c>
      <c r="J203" s="7">
        <v>0</v>
      </c>
      <c r="K203" s="89" t="str">
        <f t="shared" si="61"/>
        <v>4043/4044</v>
      </c>
      <c r="L203" s="185" t="str">
        <f>VLOOKUP(A203,'Trips&amp;Operators'!$C$1:$G$99911,5,FALSE)</f>
        <v>ZEWDU DEREJE</v>
      </c>
      <c r="M203" s="6">
        <f t="shared" si="62"/>
        <v>9.8958333328482695E-3</v>
      </c>
      <c r="N203" s="7">
        <f t="shared" si="87"/>
        <v>14.249999999301508</v>
      </c>
      <c r="O203" s="7"/>
      <c r="P203" s="7"/>
      <c r="Q203" s="22"/>
      <c r="R203" s="174"/>
      <c r="S203" s="221">
        <f t="shared" si="88"/>
        <v>1</v>
      </c>
      <c r="T203" s="174" t="str">
        <f t="shared" si="63"/>
        <v>NorthBound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64"/>
        <v>https://d0f6bd738d7f1b3e5a7ca70fe4ff75f0.us-east-1.aws.found.io/app/kibana#/discover/Steve-Slow-Train-Analysis-(2080s-and-2083s)?_g=(refreshInterval:(display:Off,pause:!f,section:0,value:0),time:(from:'2017-09-19T19:05:53-0600',mode:absolute,to:'2017-09-19T21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3" s="204" t="str">
        <f>IF(AA203&lt;VLOOKUP(AG203,Variables!$AC$3:$AD$8,2,FALSE),"Y","N")</f>
        <v>N</v>
      </c>
      <c r="X203" s="204">
        <f t="shared" si="89"/>
        <v>1</v>
      </c>
      <c r="Y203" s="204">
        <f t="shared" si="95"/>
        <v>0.10199999999999999</v>
      </c>
      <c r="Z203" s="204">
        <f t="shared" si="96"/>
        <v>5.8979999999999997</v>
      </c>
      <c r="AA203" s="204">
        <f t="shared" si="66"/>
        <v>5.7959999999999994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 t="shared" si="67"/>
        <v>843</v>
      </c>
      <c r="AE203" s="77" t="str">
        <f t="shared" si="68"/>
        <v>aws s3 cp s3://rtdc.mdm.uploadarchive.raw/RTDC4044/ "%USERPROFILE%\AppData\Local\Temp\OnboardLogs"\RTDC4044\2017-09-19 --exclude "*" --recursive --include "*20170919*" &amp; "%USERPROFILE%\Documents\GitHub\mrs-test-scripts\Headless Mode &amp; Sideloading\WalkAndUnGZ.bat" "%USERPROFILE%\AppData\Local\Temp\OnboardLogs"\RTDC4044\2017-09-19 &amp; 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</v>
      </c>
      <c r="AF203" s="74" t="str">
        <f t="shared" si="69"/>
        <v>"C:\Program Files (x86)\AstroGrep\AstroGrep.exe" /e /r /s /spath="%USERPROFILE%\AppData\Local\Temp\OnboardLogs" /stypes="app*4044*20170920*" /stext=" 02:.+((SYSTEM_STATE.+slice.+state.+changed )|(ment ac)|(multiple cpu faults)|(system.+state.+changed )|(\[timeout)|(PRM\|1\|D)|(kpr)|(kdp)|(train st.+moving)|(\|lc)|(penalty))"</v>
      </c>
      <c r="AG203" s="182" t="str">
        <f t="shared" si="70"/>
        <v>NW</v>
      </c>
      <c r="AH203" s="78" t="str">
        <f t="shared" si="73"/>
        <v>"%USERPROFILE%\Documents\GitHub\eaglep3\Utilities\RefineRTDCRunTimes.py" --tripid 843-19 --locoid 4044 --swversion DE.1.0.9.0 --startMP 204:1020 --initTime 2017-09-19T20:05:53 --startdatetime 2017-09-19T20:09:22 --delay 68 --endMP 300:58980 --enddatetime 2017-09-19T20:23:37 --enforcementcount 0 &gt;&gt;C:\Users\stu\Documents\GitHub\eaglep3-reporting\EC\2017-09-19-refined-times.txt</v>
      </c>
      <c r="AI203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{"issue":{"subject":"","project_id":79,"tracker_id":40,"status_id":1,"priority_id":2,"assigned_to_id":338,"start_date":"2017-09-19","description":"","custom_fields":[{"id":1,"name":"Subdivision","value":"NW"},{"id":4,"name":"Milepost","value":"5.898"},{"id":17,"name":"Train ID","value":"843-19"},{"id":16,"name":"Locomotive ID","value":"4044"},{"id":130,"name":"Impact","value":""},{"id":150,"name":"Time of Event (Mountain Time)","value":"20:23:37"},{"id":151,"name":"Denver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si="75"/>
        <v>start /low /b %USERPROFILE%\Documents\GitHub\eaglep3\Utilities\DownloadLogsFromS3.py --loco 4044 --day 2017-09-19</v>
      </c>
      <c r="AN203" s="151" t="str">
        <f t="shared" si="76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02:23:37"},{"id":29,"name":"Sharepoint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77"/>
        <v>https://d0f6bd738d7f1b3e5a7ca70fe4ff75f0.us-east-1.aws.found.io/app/kibana#/discover/Steve-Slow-Train-Analysis-(2080s-and-2083s)?_g=(refreshInterval:(display:Off,pause:!f,section:0,value:0),time:(from:'2017-09-19T19:05:53-0600',mode:absolute,to:'2017-09-19T21:23:37-0600'))&amp;_a=(columns:!('Message%20ID',Summary),filters:!(),index:'emp_*',interval:auto,query:(query_string:(analyze_wildcard:!t,query:'Message%5C+ID:(*)+AND+%22rtdc.l.rtdc.4044%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840</v>
      </c>
      <c r="B204" s="7">
        <v>4043</v>
      </c>
      <c r="C204" s="21" t="s">
        <v>197</v>
      </c>
      <c r="D204" s="21" t="s">
        <v>939</v>
      </c>
      <c r="E204" s="13">
        <v>42997.894108796296</v>
      </c>
      <c r="F204" s="13">
        <v>42997.903495370374</v>
      </c>
      <c r="G204" s="7">
        <v>59</v>
      </c>
      <c r="H204" s="21" t="s">
        <v>981</v>
      </c>
      <c r="I204" s="13">
        <v>42997.912835648145</v>
      </c>
      <c r="J204" s="7">
        <v>0</v>
      </c>
      <c r="K204" s="89" t="str">
        <f t="shared" si="61"/>
        <v>4043/4044</v>
      </c>
      <c r="L204" s="185" t="str">
        <f>VLOOKUP(A204,'Trips&amp;Operators'!$C$1:$G$99911,5,FALSE)</f>
        <v>STAMBAUGH JAMES</v>
      </c>
      <c r="M204" s="6">
        <f t="shared" si="62"/>
        <v>9.3402777711162344E-3</v>
      </c>
      <c r="N204" s="7">
        <f t="shared" si="87"/>
        <v>13.449999990407377</v>
      </c>
      <c r="O204" s="7"/>
      <c r="P204" s="7"/>
      <c r="Q204" s="22"/>
      <c r="R204" s="174"/>
      <c r="S204" s="221">
        <f t="shared" si="88"/>
        <v>1</v>
      </c>
      <c r="T204" s="174" t="str">
        <f t="shared" si="63"/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64"/>
        <v>https://d0f6bd738d7f1b3e5a7ca70fe4ff75f0.us-east-1.aws.found.io/app/kibana#/discover/Steve-Slow-Train-Analysis-(2080s-and-2083s)?_g=(refreshInterval:(display:Off,pause:!f,section:0,value:0),time:(from:'2017-09-19T20:27:31-0600',mode:absolute,to:'2017-09-19T22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4" s="204" t="str">
        <f>IF(AA204&lt;VLOOKUP(AG204,Variables!$AC$3:$AD$8,2,FALSE),"Y","N")</f>
        <v>N</v>
      </c>
      <c r="X204" s="204">
        <f t="shared" si="89"/>
        <v>1</v>
      </c>
      <c r="Y204" s="204">
        <f t="shared" si="95"/>
        <v>5.8632</v>
      </c>
      <c r="Z204" s="204">
        <f t="shared" si="96"/>
        <v>7.0300000000000001E-2</v>
      </c>
      <c r="AA204" s="204">
        <f t="shared" si="66"/>
        <v>5.7929000000000004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 t="shared" si="67"/>
        <v>844</v>
      </c>
      <c r="AE204" s="77" t="str">
        <f t="shared" si="68"/>
        <v>aws s3 cp s3://rtdc.mdm.uploadarchive.raw/RTDC4043/ "%USERPROFILE%\AppData\Local\Temp\OnboardLogs"\RTDC4043\2017-09-19 --exclude "*" --recursive --include "*20170919*" &amp; "%USERPROFILE%\Documents\GitHub\mrs-test-scripts\Headless Mode &amp; Sideloading\WalkAndUnGZ.bat" "%USERPROFILE%\AppData\Local\Temp\OnboardLogs"\RTDC4043\2017-09-19 &amp; 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</v>
      </c>
      <c r="AF204" s="74" t="str">
        <f t="shared" si="69"/>
        <v>"C:\Program Files (x86)\AstroGrep\AstroGrep.exe" /e /r /s /spath="%USERPROFILE%\AppData\Local\Temp\OnboardLogs" /stypes="app*4043*20170920*" /stext=" 03:.+((SYSTEM_STATE.+slice.+state.+changed )|(ment ac)|(multiple cpu faults)|(system.+state.+changed )|(\[timeout)|(PRM\|1\|D)|(kpr)|(kdp)|(train st.+moving)|(\|lc)|(penalty))"</v>
      </c>
      <c r="AG204" s="182" t="str">
        <f t="shared" si="70"/>
        <v>NW</v>
      </c>
      <c r="AH204" s="78" t="str">
        <f t="shared" si="73"/>
        <v>"%USERPROFILE%\Documents\GitHub\eaglep3\Utilities\RefineRTDCRunTimes.py" --tripid 844-19 --locoid 4043 --swversion DE.1.0.9.0 --startMP 300:58632 --initTime 2017-09-19T21:27:31 --startdatetime 2017-09-19T21:41:02 --delay 59 --endMP 204:703 --enddatetime 2017-09-19T21:54:29 --enforcementcount 0 &gt;&gt;C:\Users\stu\Documents\GitHub\eaglep3-reporting\EC\2017-09-19-refined-times.txt</v>
      </c>
      <c r="AI204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{"issue":{"subject":"","project_id":79,"tracker_id":40,"status_id":1,"priority_id":2,"assigned_to_id":338,"start_date":"2017-09-19","description":"","custom_fields":[{"id":1,"name":"Subdivision","value":"NW"},{"id":4,"name":"Milepost","value":"0.0703"},{"id":17,"name":"Train ID","value":"844-19"},{"id":16,"name":"Locomotive ID","value":"4043"},{"id":130,"name":"Impact","value":""},{"id":150,"name":"Time of Event (Mountain Time)","value":"21:54:29"},{"id":151,"name":"Denver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75"/>
        <v>start /low /b %USERPROFILE%\Documents\GitHub\eaglep3\Utilities\DownloadLogsFromS3.py --loco 4043 --day 2017-09-19</v>
      </c>
      <c r="AN204" s="151" t="str">
        <f t="shared" si="76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03:54:29"},{"id":29,"name":"Sharepoint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77"/>
        <v>https://d0f6bd738d7f1b3e5a7ca70fe4ff75f0.us-east-1.aws.found.io/app/kibana#/discover/Steve-Slow-Train-Analysis-(2080s-and-2083s)?_g=(refreshInterval:(display:Off,pause:!f,section:0,value:0),time:(from:'2017-09-19T20:27:31-0600',mode:absolute,to:'2017-09-19T22:54:29-0600'))&amp;_a=(columns:!('Message%20ID',Summary),filters:!(),index:'emp_*',interval:auto,query:(query_string:(analyze_wildcard:!t,query:'Message%5C+ID:(*)+AND+%22rtdc.l.rtdc.4043%22')),sort:!(Time.ISO8601,asc))</v>
      </c>
    </row>
    <row r="205" spans="1:91" s="20" customFormat="1" x14ac:dyDescent="0.25">
      <c r="A205" s="32" t="s">
        <v>837</v>
      </c>
      <c r="B205" s="7">
        <v>4044</v>
      </c>
      <c r="C205" s="21" t="s">
        <v>197</v>
      </c>
      <c r="D205" s="21" t="s">
        <v>982</v>
      </c>
      <c r="E205" s="13">
        <v>42997.876168981478</v>
      </c>
      <c r="F205" s="13">
        <v>42997.881805555553</v>
      </c>
      <c r="G205" s="7">
        <v>149</v>
      </c>
      <c r="H205" s="21" t="s">
        <v>983</v>
      </c>
      <c r="I205" s="13">
        <v>42997.892650462964</v>
      </c>
      <c r="J205" s="7">
        <v>0</v>
      </c>
      <c r="K205" s="89" t="str">
        <f t="shared" ref="K205:K236" si="97">IF(ISEVEN(B205),(B205-1)&amp;"/"&amp;B205,B205&amp;"/"&amp;(B205+1))</f>
        <v>4043/4044</v>
      </c>
      <c r="L205" s="185" t="str">
        <f>VLOOKUP(A205,'Trips&amp;Operators'!$C$1:$G$99911,5,FALSE)</f>
        <v>STAMBAUGH JAMES</v>
      </c>
      <c r="M205" s="6">
        <f t="shared" ref="M205:M236" si="98">I205-F205</f>
        <v>1.0844907410501037E-2</v>
      </c>
      <c r="N205" s="7">
        <f t="shared" si="87"/>
        <v>15.616666671121493</v>
      </c>
      <c r="O205" s="7"/>
      <c r="P205" s="7"/>
      <c r="Q205" s="22"/>
      <c r="R205" s="174"/>
      <c r="S205" s="221">
        <f t="shared" si="88"/>
        <v>1</v>
      </c>
      <c r="T205" s="174" t="str">
        <f t="shared" ref="T205:T236" si="99">IF(ISEVEN(LEFT(AD205,4)),"Southbound","NorthBound")</f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ref="V205:V236" si="100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-09-19T20:01:41-0600',mode:absolute,to:'2017-09-19T22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5" s="204" t="str">
        <f>IF(AA205&lt;VLOOKUP(AG205,Variables!$AC$3:$AD$8,2,FALSE),"Y","N")</f>
        <v>N</v>
      </c>
      <c r="X205" s="204">
        <f t="shared" si="89"/>
        <v>1</v>
      </c>
      <c r="Y205" s="204">
        <f t="shared" si="95"/>
        <v>0.10580000000000001</v>
      </c>
      <c r="Z205" s="204">
        <f t="shared" si="96"/>
        <v>5.8940999999999999</v>
      </c>
      <c r="AA205" s="204">
        <f t="shared" ref="AA205:AA236" si="101">ABS(Z205-Y205)</f>
        <v>5.7882999999999996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 t="shared" ref="AD205:AD236" si="102">VALUE(LEFT(A205,LEN(A205)-3))</f>
        <v>845</v>
      </c>
      <c r="AE205" s="77" t="str">
        <f t="shared" ref="AE205:AE236" si="10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s3://rtdc.mdm.uploadarchive.raw/RTDC4044/ "%USERPROFILE%\AppData\Local\Temp\OnboardLogs"\RTDC4044\2017-09-19 --exclude "*" --recursive --include "*20170919*" &amp; "%USERPROFILE%\Documents\GitHub\mrs-test-scripts\Headless Mode &amp; Sideloading\WalkAndUnGZ.bat" "%USERPROFILE%\AppData\Local\Temp\OnboardLogs"\RTDC4044\2017-09-19 &amp; 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</v>
      </c>
      <c r="AF205" s="74" t="str">
        <f t="shared" ref="AF205:AF236" si="104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/stypes="app*4044*20170920*" /stext=" 03:.+((SYSTEM_STATE.+slice.+state.+changed )|(ment ac)|(multiple cpu faults)|(system.+state.+changed )|(\[timeout)|(PRM\|1\|D)|(kpr)|(kdp)|(train st.+moving)|(\|lc)|(penalty))"</v>
      </c>
      <c r="AG205" s="182" t="str">
        <f t="shared" ref="AG205:AG236" si="105">DetSubdiv(A205)</f>
        <v>NW</v>
      </c>
      <c r="AH205" s="78" t="str">
        <f t="shared" si="73"/>
        <v>"%USERPROFILE%\Documents\GitHub\eaglep3\Utilities\RefineRTDCRunTimes.py" --tripid 845-19 --locoid 4044 --swversion DE.1.0.9.0 --startMP 204:1058 --initTime 2017-09-19T21:01:41 --startdatetime 2017-09-19T21:09:48 --delay 149 --endMP 300:58941 --enddatetime 2017-09-19T21:25:25 --enforcementcount 0 &gt;&gt;C:\Users\stu\Documents\GitHub\eaglep3-reporting\EC\2017-09-19-refined-times.txt</v>
      </c>
      <c r="AI205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{"issue":{"subject":"","project_id":79,"tracker_id":40,"status_id":1,"priority_id":2,"assigned_to_id":338,"start_date":"2017-09-19","description":"","custom_fields":[{"id":1,"name":"Subdivision","value":"NW"},{"id":4,"name":"Milepost","value":"5.8941"},{"id":17,"name":"Train ID","value":"845-19"},{"id":16,"name":"Locomotive ID","value":"4044"},{"id":130,"name":"Impact","value":""},{"id":150,"name":"Time of Event (Mountain Time)","value":"21:25:25"},{"id":151,"name":"Denver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75"/>
        <v>start /low /b %USERPROFILE%\Documents\GitHub\eaglep3\Utilities\DownloadLogsFromS3.py --loco 4044 --day 2017-09-19</v>
      </c>
      <c r="AN205" s="151" t="str">
        <f t="shared" si="76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03:25:25"},{"id":29,"name":"Sharepoint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77"/>
        <v>https://d0f6bd738d7f1b3e5a7ca70fe4ff75f0.us-east-1.aws.found.io/app/kibana#/discover/Steve-Slow-Train-Analysis-(2080s-and-2083s)?_g=(refreshInterval:(display:Off,pause:!f,section:0,value:0),time:(from:'2017-09-19T20:01:41-0600',mode:absolute,to:'2017-09-19T22:25:25-0600'))&amp;_a=(columns:!('Message%20ID',Summary),filters:!(),index:'emp_*',interval:auto,query:(query_string:(analyze_wildcard:!t,query:'Message%5C+ID:(*)+AND+%22rtdc.l.rtdc.4044%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2" t="s">
        <v>845</v>
      </c>
      <c r="B206" s="7">
        <v>4043</v>
      </c>
      <c r="C206" s="21" t="s">
        <v>197</v>
      </c>
      <c r="D206" s="21" t="s">
        <v>974</v>
      </c>
      <c r="E206" s="13">
        <v>42997.933263888888</v>
      </c>
      <c r="F206" s="13">
        <v>42997.944884259261</v>
      </c>
      <c r="G206" s="7">
        <v>58</v>
      </c>
      <c r="H206" s="21" t="s">
        <v>442</v>
      </c>
      <c r="I206" s="13">
        <v>42997.955127314817</v>
      </c>
      <c r="J206" s="7">
        <v>0</v>
      </c>
      <c r="K206" s="89" t="str">
        <f t="shared" si="97"/>
        <v>4043/4044</v>
      </c>
      <c r="L206" s="185" t="str">
        <f>VLOOKUP(A206,'Trips&amp;Operators'!$C$1:$G$99911,5,FALSE)</f>
        <v>STAMBAUGH JAMES</v>
      </c>
      <c r="M206" s="6">
        <f t="shared" si="98"/>
        <v>1.0243055556202307E-2</v>
      </c>
      <c r="N206" s="7">
        <f t="shared" si="87"/>
        <v>14.750000000931323</v>
      </c>
      <c r="O206" s="7"/>
      <c r="P206" s="7"/>
      <c r="Q206" s="22"/>
      <c r="R206" s="174"/>
      <c r="S206" s="221">
        <f t="shared" si="88"/>
        <v>1</v>
      </c>
      <c r="T206" s="174" t="str">
        <f t="shared" si="99"/>
        <v>Southbound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100"/>
        <v>https://d0f6bd738d7f1b3e5a7ca70fe4ff75f0.us-east-1.aws.found.io/app/kibana#/discover/Steve-Slow-Train-Analysis-(2080s-and-2083s)?_g=(refreshInterval:(display:Off,pause:!f,section:0,value:0),time:(from:'2017-09-19T21:23:54-0600',mode:absolute,to:'2017-09-19T23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6" s="204" t="str">
        <f>IF(AA206&lt;VLOOKUP(AG206,Variables!$AC$3:$AD$8,2,FALSE),"Y","N")</f>
        <v>N</v>
      </c>
      <c r="X206" s="204">
        <f t="shared" si="89"/>
        <v>1</v>
      </c>
      <c r="Y206" s="204">
        <f t="shared" si="95"/>
        <v>5.8654999999999999</v>
      </c>
      <c r="Z206" s="204">
        <f t="shared" si="96"/>
        <v>6.8500000000000005E-2</v>
      </c>
      <c r="AA206" s="204">
        <f t="shared" si="101"/>
        <v>5.7969999999999997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 t="shared" si="102"/>
        <v>846</v>
      </c>
      <c r="AE206" s="77" t="str">
        <f t="shared" si="103"/>
        <v>aws s3 cp s3://rtdc.mdm.uploadarchive.raw/RTDC4043/ "%USERPROFILE%\AppData\Local\Temp\OnboardLogs"\RTDC4043\2017-09-19 --exclude "*" --recursive --include "*20170919*" &amp; "%USERPROFILE%\Documents\GitHub\mrs-test-scripts\Headless Mode &amp; Sideloading\WalkAndUnGZ.bat" "%USERPROFILE%\AppData\Local\Temp\OnboardLogs"\RTDC4043\2017-09-19 &amp; 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</v>
      </c>
      <c r="AF206" s="74" t="str">
        <f t="shared" si="104"/>
        <v>"C:\Program Files (x86)\AstroGrep\AstroGrep.exe" /e /r /s /spath="%USERPROFILE%\AppData\Local\Temp\OnboardLogs" /stypes="app*4043*20170920*" /stext=" 04:.+((SYSTEM_STATE.+slice.+state.+changed )|(ment ac)|(multiple cpu faults)|(system.+state.+changed )|(\[timeout)|(PRM\|1\|D)|(kpr)|(kdp)|(train st.+moving)|(\|lc)|(penalty))"</v>
      </c>
      <c r="AG206" s="182" t="str">
        <f t="shared" si="105"/>
        <v>NW</v>
      </c>
      <c r="AH206" s="78" t="str">
        <f t="shared" si="73"/>
        <v>"%USERPROFILE%\Documents\GitHub\eaglep3\Utilities\RefineRTDCRunTimes.py" --tripid 846-19 --locoid 4043 --swversion DE.1.0.9.0 --startMP 300:58655 --initTime 2017-09-19T22:23:54 --startdatetime 2017-09-19T22:40:38 --delay 58 --endMP 204:685 --enddatetime 2017-09-19T22:55:23 --enforcementcount 0 &gt;&gt;C:\Users\stu\Documents\GitHub\eaglep3-reporting\EC\2017-09-19-refined-times.txt</v>
      </c>
      <c r="AI206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{"issue":{"subject":"","project_id":79,"tracker_id":40,"status_id":1,"priority_id":2,"assigned_to_id":338,"start_date":"2017-09-19","description":"","custom_fields":[{"id":1,"name":"Subdivision","value":"NW"},{"id":4,"name":"Milepost","value":"0.0685"},{"id":17,"name":"Train ID","value":"846-19"},{"id":16,"name":"Locomotive ID","value":"4043"},{"id":130,"name":"Impact","value":""},{"id":150,"name":"Time of Event (Mountain Time)","value":"22:55:23"},{"id":151,"name":"Denver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75"/>
        <v>start /low /b %USERPROFILE%\Documents\GitHub\eaglep3\Utilities\DownloadLogsFromS3.py --loco 4043 --day 2017-09-19</v>
      </c>
      <c r="AN206" s="151" t="str">
        <f t="shared" si="76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04:55:23"},{"id":29,"name":"Sharepoint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77"/>
        <v>https://d0f6bd738d7f1b3e5a7ca70fe4ff75f0.us-east-1.aws.found.io/app/kibana#/discover/Steve-Slow-Train-Analysis-(2080s-and-2083s)?_g=(refreshInterval:(display:Off,pause:!f,section:0,value:0),time:(from:'2017-09-19T21:23:54-0600',mode:absolute,to:'2017-09-19T23:55:23-0600'))&amp;_a=(columns:!('Message%20ID',Summary),filters:!(),index:'emp_*',interval:auto,query:(query_string:(analyze_wildcard:!t,query:'Message%5C+ID:(*)+AND+%22rtdc.l.rtdc.4043%22')),sort:!(Time.ISO8601,asc))</v>
      </c>
    </row>
    <row r="207" spans="1:91" s="20" customFormat="1" x14ac:dyDescent="0.25">
      <c r="A207" s="32" t="s">
        <v>843</v>
      </c>
      <c r="B207" s="7">
        <v>4044</v>
      </c>
      <c r="C207" s="21" t="s">
        <v>197</v>
      </c>
      <c r="D207" s="21" t="s">
        <v>969</v>
      </c>
      <c r="E207" s="13">
        <v>42997.921597222223</v>
      </c>
      <c r="F207" s="13">
        <v>42997.923217592594</v>
      </c>
      <c r="G207" s="7">
        <v>64</v>
      </c>
      <c r="H207" s="21" t="s">
        <v>601</v>
      </c>
      <c r="I207" s="13">
        <v>42997.932118055556</v>
      </c>
      <c r="J207" s="7">
        <v>0</v>
      </c>
      <c r="K207" s="89" t="str">
        <f t="shared" si="97"/>
        <v>4043/4044</v>
      </c>
      <c r="L207" s="185" t="str">
        <f>VLOOKUP(A207,'Trips&amp;Operators'!$C$1:$G$99911,5,FALSE)</f>
        <v>STAMBAUGH JAMES</v>
      </c>
      <c r="M207" s="6">
        <f t="shared" si="98"/>
        <v>8.9004629626288079E-3</v>
      </c>
      <c r="N207" s="7">
        <f t="shared" ref="N207:P236" si="106">24*60*SUM($M207:$M207)</f>
        <v>12.816666666185483</v>
      </c>
      <c r="O207" s="7"/>
      <c r="P207" s="7"/>
      <c r="Q207" s="22"/>
      <c r="R207" s="174"/>
      <c r="S207" s="221">
        <f t="shared" ref="S207:S236" si="107">1/IF(AG207="EC",12,1)*SUM(U207:U207)</f>
        <v>1</v>
      </c>
      <c r="T207" s="174" t="str">
        <f t="shared" si="99"/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100"/>
        <v>https://d0f6bd738d7f1b3e5a7ca70fe4ff75f0.us-east-1.aws.found.io/app/kibana#/discover/Steve-Slow-Train-Analysis-(2080s-and-2083s)?_g=(refreshInterval:(display:Off,pause:!f,section:0,value:0),time:(from:'2017-09-19T21:07:06-0600',mode:absolute,to:'2017-09-19T23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7" s="204" t="str">
        <f>IF(AA207&lt;VLOOKUP(AG207,Variables!$AC$3:$AD$8,2,FALSE),"Y","N")</f>
        <v>N</v>
      </c>
      <c r="X207" s="204">
        <f t="shared" si="89"/>
        <v>1</v>
      </c>
      <c r="Y207" s="204">
        <f t="shared" si="95"/>
        <v>9.64E-2</v>
      </c>
      <c r="Z207" s="204">
        <f t="shared" si="96"/>
        <v>5.8958000000000004</v>
      </c>
      <c r="AA207" s="204">
        <f t="shared" si="101"/>
        <v>5.7994000000000003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 t="shared" si="102"/>
        <v>847</v>
      </c>
      <c r="AE207" s="77" t="str">
        <f t="shared" si="103"/>
        <v>aws s3 cp s3://rtdc.mdm.uploadarchive.raw/RTDC4044/ "%USERPROFILE%\AppData\Local\Temp\OnboardLogs"\RTDC4044\2017-09-19 --exclude "*" --recursive --include "*20170919*" &amp; "%USERPROFILE%\Documents\GitHub\mrs-test-scripts\Headless Mode &amp; Sideloading\WalkAndUnGZ.bat" "%USERPROFILE%\AppData\Local\Temp\OnboardLogs"\RTDC4044\2017-09-19 &amp; 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</v>
      </c>
      <c r="AF207" s="74" t="str">
        <f t="shared" si="104"/>
        <v>"C:\Program Files (x86)\AstroGrep\AstroGrep.exe" /e /r /s /spath="%USERPROFILE%\AppData\Local\Temp\OnboardLogs" /stypes="app*4044*20170920*" /stext=" 04:.+((SYSTEM_STATE.+slice.+state.+changed )|(ment ac)|(multiple cpu faults)|(system.+state.+changed )|(\[timeout)|(PRM\|1\|D)|(kpr)|(kdp)|(train st.+moving)|(\|lc)|(penalty))"</v>
      </c>
      <c r="AG207" s="182" t="str">
        <f t="shared" si="105"/>
        <v>NW</v>
      </c>
      <c r="AH207" s="78" t="str">
        <f t="shared" si="73"/>
        <v>"%USERPROFILE%\Documents\GitHub\eaglep3\Utilities\RefineRTDCRunTimes.py" --tripid 847-19 --locoid 4044 --swversion DE.1.0.9.0 --startMP 204:964 --initTime 2017-09-19T22:07:06 --startdatetime 2017-09-19T22:09:26 --delay 64 --endMP 300:58958 --enddatetime 2017-09-19T22:22:15 --enforcementcount 0 &gt;&gt;C:\Users\stu\Documents\GitHub\eaglep3-reporting\EC\2017-09-19-refined-times.txt</v>
      </c>
      <c r="AI207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{"issue":{"subject":"","project_id":79,"tracker_id":40,"status_id":1,"priority_id":2,"assigned_to_id":338,"start_date":"2017-09-19","description":"","custom_fields":[{"id":1,"name":"Subdivision","value":"NW"},{"id":4,"name":"Milepost","value":"5.8958"},{"id":17,"name":"Train ID","value":"847-19"},{"id":16,"name":"Locomotive ID","value":"4044"},{"id":130,"name":"Impact","value":""},{"id":150,"name":"Time of Event (Mountain Time)","value":"22:22:15"},{"id":151,"name":"Denver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7" s="47"/>
      <c r="AL207" s="47"/>
      <c r="AM207" s="142" t="str">
        <f t="shared" si="75"/>
        <v>start /low /b %USERPROFILE%\Documents\GitHub\eaglep3\Utilities\DownloadLogsFromS3.py --loco 4044 --day 2017-09-19</v>
      </c>
      <c r="AN207" s="151" t="str">
        <f t="shared" si="76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04:22:15"},{"id":29,"name":"Sharepoint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77"/>
        <v>https://d0f6bd738d7f1b3e5a7ca70fe4ff75f0.us-east-1.aws.found.io/app/kibana#/discover/Steve-Slow-Train-Analysis-(2080s-and-2083s)?_g=(refreshInterval:(display:Off,pause:!f,section:0,value:0),time:(from:'2017-09-19T21:07:06-0600',mode:absolute,to:'2017-09-19T23:22:15-0600'))&amp;_a=(columns:!('Message%20ID',Summary),filters:!(),index:'emp_*',interval:auto,query:(query_string:(analyze_wildcard:!t,query:'Message%5C+ID:(*)+AND+%22rtdc.l.rtdc.4044%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2" t="s">
        <v>849</v>
      </c>
      <c r="B208" s="7">
        <v>4044</v>
      </c>
      <c r="C208" s="21" t="s">
        <v>197</v>
      </c>
      <c r="D208" s="21" t="s">
        <v>591</v>
      </c>
      <c r="E208" s="13">
        <v>42997.963449074072</v>
      </c>
      <c r="F208" s="13">
        <v>42997.964768518519</v>
      </c>
      <c r="G208" s="7">
        <v>50</v>
      </c>
      <c r="H208" s="21" t="s">
        <v>938</v>
      </c>
      <c r="I208" s="13">
        <v>42997.973506944443</v>
      </c>
      <c r="J208" s="7">
        <v>0</v>
      </c>
      <c r="K208" s="89" t="str">
        <f t="shared" si="97"/>
        <v>4043/4044</v>
      </c>
      <c r="L208" s="185" t="str">
        <f>VLOOKUP(A208,'Trips&amp;Operators'!$C$1:$G$99911,5,FALSE)</f>
        <v>STAMBAUGH JAMES</v>
      </c>
      <c r="M208" s="6">
        <f t="shared" si="98"/>
        <v>8.7384259240934625E-3</v>
      </c>
      <c r="N208" s="7">
        <f t="shared" si="106"/>
        <v>12.583333330694586</v>
      </c>
      <c r="O208" s="7"/>
      <c r="P208" s="7"/>
      <c r="Q208" s="22"/>
      <c r="R208" s="174"/>
      <c r="S208" s="221">
        <f t="shared" si="107"/>
        <v>1</v>
      </c>
      <c r="T208" s="174" t="str">
        <f t="shared" si="99"/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100"/>
        <v>https://d0f6bd738d7f1b3e5a7ca70fe4ff75f0.us-east-1.aws.found.io/app/kibana#/discover/Steve-Slow-Train-Analysis-(2080s-and-2083s)?_g=(refreshInterval:(display:Off,pause:!f,section:0,value:0),time:(from:'2017-09-19T22:07:22-0600',mode:absolute,to:'2017-09-20T00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8" s="204" t="str">
        <f>IF(AA208&lt;VLOOKUP(AG208,Variables!$AC$3:$AD$8,2,FALSE),"Y","N")</f>
        <v>N</v>
      </c>
      <c r="X208" s="204">
        <f t="shared" si="89"/>
        <v>2</v>
      </c>
      <c r="Y208" s="204">
        <f t="shared" si="95"/>
        <v>9.7100000000000006E-2</v>
      </c>
      <c r="Z208" s="204">
        <f t="shared" si="96"/>
        <v>5.8945999999999996</v>
      </c>
      <c r="AA208" s="204">
        <f t="shared" si="101"/>
        <v>5.7974999999999994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 t="shared" si="102"/>
        <v>849</v>
      </c>
      <c r="AE208" s="77" t="str">
        <f t="shared" si="103"/>
        <v>aws s3 cp s3://rtdc.mdm.uploadarchive.raw/RTDC4044/ "%USERPROFILE%\AppData\Local\Temp\OnboardLogs"\RTDC4044\2017-09-19 --exclude "*" --recursive --include "*20170919*" &amp; "%USERPROFILE%\Documents\GitHub\mrs-test-scripts\Headless Mode &amp; Sideloading\WalkAndUnGZ.bat" "%USERPROFILE%\AppData\Local\Temp\OnboardLogs"\RTDC4044\2017-09-19 &amp; 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</v>
      </c>
      <c r="AF208" s="74" t="str">
        <f t="shared" si="104"/>
        <v>"C:\Program Files (x86)\AstroGrep\AstroGrep.exe" /e /r /s /spath="%USERPROFILE%\AppData\Local\Temp\OnboardLogs" /stypes="app*4044*20170920*" /stext=" 05:.+((SYSTEM_STATE.+slice.+state.+changed )|(ment ac)|(multiple cpu faults)|(system.+state.+changed )|(\[timeout)|(PRM\|1\|D)|(kpr)|(kdp)|(train st.+moving)|(\|lc)|(penalty))"</v>
      </c>
      <c r="AG208" s="182" t="str">
        <f t="shared" si="105"/>
        <v>NW</v>
      </c>
      <c r="AH208" s="78" t="str">
        <f t="shared" si="73"/>
        <v>"%USERPROFILE%\Documents\GitHub\eaglep3\Utilities\RefineRTDCRunTimes.py" --tripid 849-19 --locoid 4044 --swversion DE.1.0.9.0 --startMP 204:971 --initTime 2017-09-19T23:07:22 --startdatetime 2017-09-19T23:09:16 --delay 50 --endMP 300:58946 --enddatetime 2017-09-19T23:21:51 --enforcementcount 0 &gt;&gt;C:\Users\stu\Documents\GitHub\eaglep3-reporting\EC\2017-09-19-refined-times.txt</v>
      </c>
      <c r="AI208" s="96" t="str">
        <f t="shared" si="74"/>
        <v>echo {"issue":{"subject":"","project_id":79,"tracker_id":40,"status_id":1,"priority_id":2,"assigned_to_id":338,"start_date":"2017-09-19","description":"","custom_fields":[{"id":1,"name":"Subdivision","value":"NW"},{"id":4,"name":"Milepost","value":"5.8946"},{"id":17,"name":"Train ID","value":"849-19"},{"id":16,"name":"Locomotive ID","value":"4044"},{"id":130,"name":"Impact","value":""},{"id":150,"name":"Time of Event (Mountain Time)","value":"23:21:51"},{"id":151,"name":"Denver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75"/>
        <v>start /low /b %USERPROFILE%\Documents\GitHub\eaglep3\Utilities\DownloadLogsFromS3.py --loco 4044 --day 2017-09-19</v>
      </c>
      <c r="AN208" s="151" t="str">
        <f t="shared" si="76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05:21:51"},{"id":29,"name":"Sharepoint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77"/>
        <v>https://d0f6bd738d7f1b3e5a7ca70fe4ff75f0.us-east-1.aws.found.io/app/kibana#/discover/Steve-Slow-Train-Analysis-(2080s-and-2083s)?_g=(refreshInterval:(display:Off,pause:!f,section:0,value:0),time:(from:'2017-09-19T22:07:22-0600',mode:absolute,to:'2017-09-20T00:21:51-0600'))&amp;_a=(columns:!('Message%20ID',Summary),filters:!(),index:'emp_*',interval:auto,query:(query_string:(analyze_wildcard:!t,query:'Message%5C+ID:(*)+AND+%22rtdc.l.rtdc.4044%22')),sort:!(Time.ISO8601,asc))</v>
      </c>
    </row>
    <row r="209" spans="1:91" s="20" customFormat="1" x14ac:dyDescent="0.25">
      <c r="A209" s="32" t="s">
        <v>815</v>
      </c>
      <c r="B209" s="7">
        <v>4016</v>
      </c>
      <c r="C209" s="21" t="s">
        <v>197</v>
      </c>
      <c r="D209" s="21" t="s">
        <v>395</v>
      </c>
      <c r="E209" s="13">
        <v>42997.775266203702</v>
      </c>
      <c r="F209" s="13">
        <v>42997.776458333334</v>
      </c>
      <c r="G209" s="7">
        <v>68</v>
      </c>
      <c r="H209" s="21" t="s">
        <v>583</v>
      </c>
      <c r="I209" s="13">
        <v>42997.782708333332</v>
      </c>
      <c r="J209" s="7">
        <v>0</v>
      </c>
      <c r="K209" s="89" t="str">
        <f t="shared" si="97"/>
        <v>4015/4016</v>
      </c>
      <c r="L209" s="185" t="str">
        <f>VLOOKUP(A209,'Trips&amp;Operators'!$C$1:$G$99911,5,FALSE)</f>
        <v>LEVIN SCOTT</v>
      </c>
      <c r="M209" s="6">
        <f t="shared" si="98"/>
        <v>6.2499999985448085E-3</v>
      </c>
      <c r="N209" s="7">
        <f t="shared" si="106"/>
        <v>8.9999999979045242</v>
      </c>
      <c r="O209" s="7"/>
      <c r="P209" s="7"/>
      <c r="Q209" s="22"/>
      <c r="R209" s="174"/>
      <c r="S209" s="221">
        <f t="shared" si="107"/>
        <v>1</v>
      </c>
      <c r="T209" s="174" t="str">
        <f t="shared" si="99"/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si="100"/>
        <v>https://d0f6bd738d7f1b3e5a7ca70fe4ff75f0.us-east-1.aws.found.io/app/kibana#/discover/Steve-Slow-Train-Analysis-(2080s-and-2083s)?_g=(refreshInterval:(display:Off,pause:!f,section:0,value:0),time:(from:'2017-09-19T17:36:23-0600',mode:absolute,to:'2017-09-19T19:47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9" s="204" t="str">
        <f>IF(AA209&lt;VLOOKUP(AG209,Variables!$AC$3:$AD$8,2,FALSE),"Y","N")</f>
        <v>Y</v>
      </c>
      <c r="X209" s="204">
        <f t="shared" si="89"/>
        <v>-548</v>
      </c>
      <c r="Y209" s="204">
        <f t="shared" si="95"/>
        <v>4.3999999999999997E-2</v>
      </c>
      <c r="Z209" s="204">
        <f t="shared" si="96"/>
        <v>2.3302</v>
      </c>
      <c r="AA209" s="204">
        <f t="shared" si="101"/>
        <v>2.2862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 t="shared" si="102"/>
        <v>301</v>
      </c>
      <c r="AE209" s="77" t="str">
        <f t="shared" si="103"/>
        <v>aws s3 cp s3://rtdc.mdm.uploadarchive.raw/RTDC4016/ "%USERPROFILE%\AppData\Local\Temp\OnboardLogs"\RTDC4016\2017-09-19 --exclude "*" --recursive --include "*20170919*" &amp; "%USERPROFILE%\Documents\GitHub\mrs-test-scripts\Headless Mode &amp; Sideloading\WalkAndUnGZ.bat" "%USERPROFILE%\AppData\Local\Temp\OnboardLogs"\RTDC4016\2017-09-19 &amp; 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</v>
      </c>
      <c r="AF209" s="74" t="str">
        <f t="shared" si="104"/>
        <v>"C:\Program Files (x86)\AstroGrep\AstroGrep.exe" /e /r /s /spath="%USERPROFILE%\AppData\Local\Temp\OnboardLogs" /stypes="app*4016*20170920*" /stext=" 00:.+((SYSTEM_STATE.+slice.+state.+changed )|(ment ac)|(multiple cpu faults)|(system.+state.+changed )|(\[timeout)|(PRM\|1\|D)|(kpr)|(kdp)|(train st.+moving)|(\|lc)|(penalty))"</v>
      </c>
      <c r="AG209" s="182" t="str">
        <f t="shared" si="105"/>
        <v>Other</v>
      </c>
      <c r="AH209" s="78" t="str">
        <f t="shared" ref="AH209:AH236" si="108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301-19 --locoid 4016 --swversion DE.1.0.9.0 --startMP 204:440 --initTime 2017-09-19T18:36:23 --startdatetime 2017-09-19T18:38:06 --delay 68 --endMP 300:23302 --enddatetime 2017-09-19T18:47:06 --enforcementcount 0 &gt;&gt;C:\Users\stu\Documents\GitHub\eaglep3-reporting\EC\2017-09-19-refined-times.txt</v>
      </c>
      <c r="AI209" s="96" t="str">
        <f t="shared" ref="AI209:AI236" si="109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{"issue":{"subject":"","project_id":79,"tracker_id":40,"status_id":1,"priority_id":2,"assigned_to_id":338,"start_date":"2017-09-19","description":"","custom_fields":[{"id":1,"name":"Subdivision","value":"Other"},{"id":4,"name":"Milepost","value":"2.3302"},{"id":17,"name":"Train ID","value":"301-19"},{"id":16,"name":"Locomotive ID","value":"4016"},{"id":130,"name":"Impact","value":""},{"id":150,"name":"Time of Event (Mountain Time)","value":"18:47:06"},{"id":151,"name":"Denver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9" s="47"/>
      <c r="AL209" s="47"/>
      <c r="AM209" s="142" t="str">
        <f t="shared" ref="AM209:AM236" si="110">"start /low /b "&amp;dls3logs&amp;" --loco "&amp;B209&amp;" --day "&amp;TEXT(F209,"YYYY-MM-DD")</f>
        <v>start /low /b %USERPROFILE%\Documents\GitHub\eaglep3\Utilities\DownloadLogsFromS3.py --loco 4016 --day 2017-09-19</v>
      </c>
      <c r="AN209" s="151" t="str">
        <f t="shared" ref="AN209:AN236" si="111">"echo {""issue"":{""subject"":"""&amp;R209&amp;""",""project_id"":30,""tracker_id"":4,""status_id"":"&amp;redmine_status_wcr&amp;",""priority_id"":"&amp;redmine_priority_wcr&amp;",""assigned_to_id"":"&amp;redmine_assignee_wcr&amp;",""start_date"":"""&amp;TEXT(I209-utc_offset/24,"YYYY-mm-dd")&amp;""",""description"":"""&amp;AJ209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00:47:06"},{"id":29,"name":"Sharepoint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ref="AO209:AO236" si="112"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Message%20ID',Summary),filters:!(),index:'emp_*',interval:auto,query:"&amp;"(query_string:(analyze_wildcard:!t,query:'Message%5C+ID:(*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-09-19T17:36:23-0600',mode:absolute,to:'2017-09-19T19:47:06-0600'))&amp;_a=(columns:!('Message%20ID',Summary),filters:!(),index:'emp_*',interval:auto,query:(query_string:(analyze_wildcard:!t,query:'Message%5C+ID:(*)+AND+%22rtdc.l.rtdc.4016%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 s="32" t="s">
        <v>650</v>
      </c>
      <c r="B210" s="7">
        <v>4027</v>
      </c>
      <c r="C210" s="21" t="s">
        <v>197</v>
      </c>
      <c r="D210" s="21" t="s">
        <v>907</v>
      </c>
      <c r="E210" s="13">
        <v>42997.136793981481</v>
      </c>
      <c r="F210" s="13">
        <v>42997.140555555554</v>
      </c>
      <c r="G210" s="7">
        <v>128</v>
      </c>
      <c r="H210" s="21" t="s">
        <v>340</v>
      </c>
      <c r="I210" s="13">
        <v>42997.146307870367</v>
      </c>
      <c r="J210" s="7">
        <v>0</v>
      </c>
      <c r="K210" s="89" t="str">
        <f t="shared" si="97"/>
        <v>4027/4028</v>
      </c>
      <c r="L210" s="185" t="str">
        <f>VLOOKUP(A210,'Trips&amp;Operators'!$C$1:$G$99911,5,FALSE)</f>
        <v>ACKERMAN JARED</v>
      </c>
      <c r="M210" s="6">
        <f t="shared" si="98"/>
        <v>5.7523148134350777E-3</v>
      </c>
      <c r="N210" s="7">
        <f t="shared" si="106"/>
        <v>8.2833333313465118</v>
      </c>
      <c r="O210" s="7"/>
      <c r="P210" s="7"/>
      <c r="Q210" s="22"/>
      <c r="R210" s="174"/>
      <c r="S210" s="221">
        <f t="shared" si="107"/>
        <v>1</v>
      </c>
      <c r="T210" s="174" t="str">
        <f t="shared" si="99"/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100"/>
        <v>https://d0f6bd738d7f1b3e5a7ca70fe4ff75f0.us-east-1.aws.found.io/app/kibana#/discover/Steve-Slow-Train-Analysis-(2080s-and-2083s)?_g=(refreshInterval:(display:Off,pause:!f,section:0,value:0),time:(from:'2017-09-19T02:16:59-0600',mode:absolute,to:'2017-09-19T04:30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0" s="204" t="str">
        <f>IF(AA210&lt;VLOOKUP(AG210,Variables!$AC$3:$AD$8,2,FALSE),"Y","N")</f>
        <v>Y</v>
      </c>
      <c r="X210" s="204">
        <f t="shared" si="89"/>
        <v>1</v>
      </c>
      <c r="Y210" s="204">
        <f t="shared" si="95"/>
        <v>2.3372000000000002</v>
      </c>
      <c r="Z210" s="204">
        <f t="shared" si="96"/>
        <v>1.43E-2</v>
      </c>
      <c r="AA210" s="204">
        <f t="shared" si="101"/>
        <v>2.3229000000000002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 t="shared" si="102"/>
        <v>302</v>
      </c>
      <c r="AE210" s="77" t="str">
        <f t="shared" si="103"/>
        <v>aws s3 cp s3://rtdc.mdm.uploadarchive.raw/RTDC4027/ "%USERPROFILE%\AppData\Local\Temp\OnboardLogs"\RTDC4027\2017-09-19 --exclude "*" --recursive --include "*20170919*" &amp; "%USERPROFILE%\Documents\GitHub\mrs-test-scripts\Headless Mode &amp; Sideloading\WalkAndUnGZ.bat" "%USERPROFILE%\AppData\Local\Temp\OnboardLogs"\RTDC4027\2017-09-19 &amp; aws s3 cp s3://rtdc.mdm.uploadarchive.raw/RTDC4027/ "%USERPROFILE%\AppData\Local\Temp\OnboardLogs"\RTDC4027\2017-09-20 --exclude "*" --recursive --include "*20170920*" &amp; "%USERPROFILE%\Documents\GitHub\mrs-test-scripts\Headless Mode &amp; Sideloading\WalkAndUnGZ.bat" "%USERPROFILE%\AppData\Local\Temp\OnboardLogs"\RTDC4027\2017-09-20</v>
      </c>
      <c r="AF210" s="74" t="str">
        <f t="shared" si="104"/>
        <v>"C:\Program Files (x86)\AstroGrep\AstroGrep.exe" /e /r /s /spath="%USERPROFILE%\AppData\Local\Temp\OnboardLogs" /stypes="app*4027*20170919*" /stext=" 09:.+((SYSTEM_STATE.+slice.+state.+changed )|(ment ac)|(multiple cpu faults)|(system.+state.+changed )|(\[timeout)|(PRM\|1\|D)|(kpr)|(kdp)|(train st.+moving)|(\|lc)|(penalty))"</v>
      </c>
      <c r="AG210" s="182" t="str">
        <f t="shared" si="105"/>
        <v>Other</v>
      </c>
      <c r="AH210" s="78" t="str">
        <f t="shared" si="108"/>
        <v>"%USERPROFILE%\Documents\GitHub\eaglep3\Utilities\RefineRTDCRunTimes.py" --tripid 302-19 --locoid 4027 --swversion DE.1.0.9.0 --startMP 300:23372 --initTime 2017-09-19T03:16:59 --startdatetime 2017-09-19T03:22:24 --delay 128 --endMP 204:143 --enddatetime 2017-09-19T03:30:41 --enforcementcount 0 &gt;&gt;C:\Users\stu\Documents\GitHub\eaglep3-reporting\EC\2017-09-19-refined-times.txt</v>
      </c>
      <c r="AI210" s="96" t="str">
        <f t="shared" si="109"/>
        <v>echo {"issue":{"subject":"","project_id":79,"tracker_id":40,"status_id":1,"priority_id":2,"assigned_to_id":338,"start_date":"2017-09-19","description":"","custom_fields":[{"id":1,"name":"Subdivision","value":"Other"},{"id":4,"name":"Milepost","value":"0.0143"},{"id":17,"name":"Train ID","value":"302-19"},{"id":16,"name":"Locomotive ID","value":"4027"},{"id":130,"name":"Impact","value":""},{"id":150,"name":"Time of Event (Mountain Time)","value":"03:30:41"},{"id":151,"name":"Denver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110"/>
        <v>start /low /b %USERPROFILE%\Documents\GitHub\eaglep3\Utilities\DownloadLogsFromS3.py --loco 4027 --day 2017-09-19</v>
      </c>
      <c r="AN210" s="151" t="str">
        <f t="shared" si="111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09:30:41"},{"id":29,"name":"Sharepoint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112"/>
        <v>https://d0f6bd738d7f1b3e5a7ca70fe4ff75f0.us-east-1.aws.found.io/app/kibana#/discover/Steve-Slow-Train-Analysis-(2080s-and-2083s)?_g=(refreshInterval:(display:Off,pause:!f,section:0,value:0),time:(from:'2017-09-19T02:16:59-0600',mode:absolute,to:'2017-09-19T04:30:41-0600'))&amp;_a=(columns:!('Message%20ID',Summary),filters:!(),index:'emp_*',interval:auto,query:(query_string:(analyze_wildcard:!t,query:'Message%5C+ID:(*)+AND+%22rtdc.l.rtdc.4027%22')),sort:!(Time.ISO8601,asc))</v>
      </c>
    </row>
    <row r="211" spans="1:91" s="20" customFormat="1" x14ac:dyDescent="0.25">
      <c r="A211" s="32" t="s">
        <v>822</v>
      </c>
      <c r="B211" s="7">
        <v>4054</v>
      </c>
      <c r="C211" s="21" t="s">
        <v>197</v>
      </c>
      <c r="D211" s="21" t="s">
        <v>371</v>
      </c>
      <c r="E211" s="13">
        <v>42997.796701388892</v>
      </c>
      <c r="F211" s="13">
        <v>42997.803506944445</v>
      </c>
      <c r="G211" s="7">
        <v>65</v>
      </c>
      <c r="H211" s="21" t="s">
        <v>908</v>
      </c>
      <c r="I211" s="13">
        <v>42997.81046296296</v>
      </c>
      <c r="J211" s="7">
        <v>0</v>
      </c>
      <c r="K211" s="89" t="str">
        <f t="shared" si="97"/>
        <v>4053/4054</v>
      </c>
      <c r="L211" s="185" t="str">
        <f>VLOOKUP(A211,'Trips&amp;Operators'!$C$1:$G$99911,5,FALSE)</f>
        <v>SAFIEF AEIMEN</v>
      </c>
      <c r="M211" s="6">
        <f t="shared" si="98"/>
        <v>6.956018514756579E-3</v>
      </c>
      <c r="N211" s="7">
        <f t="shared" si="106"/>
        <v>10.016666661249474</v>
      </c>
      <c r="O211" s="7"/>
      <c r="P211" s="7"/>
      <c r="Q211" s="22"/>
      <c r="R211" s="174"/>
      <c r="S211" s="221">
        <f t="shared" si="107"/>
        <v>1</v>
      </c>
      <c r="T211" s="174" t="str">
        <f t="shared" si="99"/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100"/>
        <v>https://d0f6bd738d7f1b3e5a7ca70fe4ff75f0.us-east-1.aws.found.io/app/kibana#/discover/Steve-Slow-Train-Analysis-(2080s-and-2083s)?_g=(refreshInterval:(display:Off,pause:!f,section:0,value:0),time:(from:'2017-09-19T18:07:15-0600',mode:absolute,to:'2017-09-19T20:27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1" s="204" t="str">
        <f>IF(AA211&lt;VLOOKUP(AG211,Variables!$AC$3:$AD$8,2,FALSE),"Y","N")</f>
        <v>Y</v>
      </c>
      <c r="X211" s="204">
        <f t="shared" si="89"/>
        <v>1</v>
      </c>
      <c r="Y211" s="204">
        <f t="shared" si="95"/>
        <v>4.6699999999999998E-2</v>
      </c>
      <c r="Z211" s="204">
        <f t="shared" si="96"/>
        <v>2.3298999999999999</v>
      </c>
      <c r="AA211" s="204">
        <f t="shared" si="101"/>
        <v>2.2831999999999999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 t="shared" si="102"/>
        <v>303</v>
      </c>
      <c r="AE211" s="77" t="str">
        <f t="shared" si="103"/>
        <v>aws s3 cp s3://rtdc.mdm.uploadarchive.raw/RTDC4054/ "%USERPROFILE%\AppData\Local\Temp\OnboardLogs"\RTDC4054\2017-09-19 --exclude "*" --recursive --include "*20170919*" &amp; "%USERPROFILE%\Documents\GitHub\mrs-test-scripts\Headless Mode &amp; Sideloading\WalkAndUnGZ.bat" "%USERPROFILE%\AppData\Local\Temp\OnboardLogs"\RTDC4054\2017-09-19 &amp; aws s3 cp s3://rtdc.mdm.uploadarchive.raw/RTDC4054/ "%USERPROFILE%\AppData\Local\Temp\OnboardLogs"\RTDC4054\2017-09-20 --exclude "*" --recursive --include "*20170920*" &amp; "%USERPROFILE%\Documents\GitHub\mrs-test-scripts\Headless Mode &amp; Sideloading\WalkAndUnGZ.bat" "%USERPROFILE%\AppData\Local\Temp\OnboardLogs"\RTDC4054\2017-09-20</v>
      </c>
      <c r="AF211" s="74" t="str">
        <f t="shared" si="104"/>
        <v>"C:\Program Files (x86)\AstroGrep\AstroGrep.exe" /e /r /s /spath="%USERPROFILE%\AppData\Local\Temp\OnboardLogs" /stypes="app*4054*20170920*" /stext=" 01:.+((SYSTEM_STATE.+slice.+state.+changed )|(ment ac)|(multiple cpu faults)|(system.+state.+changed )|(\[timeout)|(PRM\|1\|D)|(kpr)|(kdp)|(train st.+moving)|(\|lc)|(penalty))"</v>
      </c>
      <c r="AG211" s="182" t="str">
        <f t="shared" si="105"/>
        <v>Other</v>
      </c>
      <c r="AH211" s="78" t="str">
        <f t="shared" si="108"/>
        <v>"%USERPROFILE%\Documents\GitHub\eaglep3\Utilities\RefineRTDCRunTimes.py" --tripid 303-19 --locoid 4054 --swversion DE.1.0.9.0 --startMP 204:467 --initTime 2017-09-19T19:07:15 --startdatetime 2017-09-19T19:17:03 --delay 65 --endMP 300:23299 --enddatetime 2017-09-19T19:27:04 --enforcementcount 0 &gt;&gt;C:\Users\stu\Documents\GitHub\eaglep3-reporting\EC\2017-09-19-refined-times.txt</v>
      </c>
      <c r="AI211" s="96" t="str">
        <f t="shared" si="109"/>
        <v>echo {"issue":{"subject":"","project_id":79,"tracker_id":40,"status_id":1,"priority_id":2,"assigned_to_id":338,"start_date":"2017-09-19","description":"","custom_fields":[{"id":1,"name":"Subdivision","value":"Other"},{"id":4,"name":"Milepost","value":"2.3299"},{"id":17,"name":"Train ID","value":"303-19"},{"id":16,"name":"Locomotive ID","value":"4054"},{"id":130,"name":"Impact","value":""},{"id":150,"name":"Time of Event (Mountain Time)","value":"19:27:04"},{"id":151,"name":"Denver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1" s="47"/>
      <c r="AL211" s="47"/>
      <c r="AM211" s="142" t="str">
        <f t="shared" si="110"/>
        <v>start /low /b %USERPROFILE%\Documents\GitHub\eaglep3\Utilities\DownloadLogsFromS3.py --loco 4054 --day 2017-09-19</v>
      </c>
      <c r="AN211" s="151" t="str">
        <f t="shared" si="11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01:27:04"},{"id":29,"name":"Sharepoint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112"/>
        <v>https://d0f6bd738d7f1b3e5a7ca70fe4ff75f0.us-east-1.aws.found.io/app/kibana#/discover/Steve-Slow-Train-Analysis-(2080s-and-2083s)?_g=(refreshInterval:(display:Off,pause:!f,section:0,value:0),time:(from:'2017-09-19T18:07:15-0600',mode:absolute,to:'2017-09-19T20:27:04-0600'))&amp;_a=(columns:!('Message%20ID',Summary),filters:!(),index:'emp_*',interval:auto,query:(query_string:(analyze_wildcard:!t,query:'Message%5C+ID:(*)+AND+%22rtdc.l.rtdc.4054%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655</v>
      </c>
      <c r="B212" s="7">
        <v>4055</v>
      </c>
      <c r="C212" s="21" t="s">
        <v>197</v>
      </c>
      <c r="D212" s="21" t="s">
        <v>909</v>
      </c>
      <c r="E212" s="13">
        <v>42997.157731481479</v>
      </c>
      <c r="F212" s="13">
        <v>42997.160393518519</v>
      </c>
      <c r="G212" s="7">
        <v>61</v>
      </c>
      <c r="H212" s="21" t="s">
        <v>338</v>
      </c>
      <c r="I212" s="13">
        <v>42997.166724537034</v>
      </c>
      <c r="J212" s="7">
        <v>0</v>
      </c>
      <c r="K212" s="89" t="str">
        <f t="shared" si="97"/>
        <v>4055/4056</v>
      </c>
      <c r="L212" s="185" t="str">
        <f>VLOOKUP(A212,'Trips&amp;Operators'!$C$1:$G$99911,5,FALSE)</f>
        <v>THOMPSON LESTER</v>
      </c>
      <c r="M212" s="6">
        <f t="shared" si="98"/>
        <v>6.3310185141745023E-3</v>
      </c>
      <c r="N212" s="7">
        <f t="shared" si="106"/>
        <v>9.1166666604112834</v>
      </c>
      <c r="O212" s="7"/>
      <c r="P212" s="7"/>
      <c r="Q212" s="22"/>
      <c r="R212" s="174"/>
      <c r="S212" s="221">
        <f t="shared" si="107"/>
        <v>1</v>
      </c>
      <c r="T212" s="174" t="str">
        <f t="shared" si="99"/>
        <v>Southbound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100"/>
        <v>https://d0f6bd738d7f1b3e5a7ca70fe4ff75f0.us-east-1.aws.found.io/app/kibana#/discover/Steve-Slow-Train-Analysis-(2080s-and-2083s)?_g=(refreshInterval:(display:Off,pause:!f,section:0,value:0),time:(from:'2017-09-19T02:47:08-0600',mode:absolute,to:'2017-09-19T05:00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2" s="204" t="str">
        <f>IF(AA212&lt;VLOOKUP(AG212,Variables!$AC$3:$AD$8,2,FALSE),"Y","N")</f>
        <v>Y</v>
      </c>
      <c r="X212" s="204">
        <f t="shared" si="89"/>
        <v>1</v>
      </c>
      <c r="Y212" s="204">
        <f t="shared" si="95"/>
        <v>2.3405999999999998</v>
      </c>
      <c r="Z212" s="204">
        <f t="shared" si="96"/>
        <v>1.4999999999999999E-2</v>
      </c>
      <c r="AA212" s="204">
        <f t="shared" si="101"/>
        <v>2.3255999999999997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 t="shared" si="102"/>
        <v>304</v>
      </c>
      <c r="AE212" s="77" t="str">
        <f t="shared" si="103"/>
        <v>aws s3 cp s3://rtdc.mdm.uploadarchive.raw/RTDC4055/ "%USERPROFILE%\AppData\Local\Temp\OnboardLogs"\RTDC4055\2017-09-19 --exclude "*" --recursive --include "*20170919*" &amp; "%USERPROFILE%\Documents\GitHub\mrs-test-scripts\Headless Mode &amp; Sideloading\WalkAndUnGZ.bat" "%USERPROFILE%\AppData\Local\Temp\OnboardLogs"\RTDC4055\2017-09-19 &amp; aws s3 cp s3://rtdc.mdm.uploadarchive.raw/RTDC4055/ "%USERPROFILE%\AppData\Local\Temp\OnboardLogs"\RTDC4055\2017-09-20 --exclude "*" --recursive --include "*20170920*" &amp; "%USERPROFILE%\Documents\GitHub\mrs-test-scripts\Headless Mode &amp; Sideloading\WalkAndUnGZ.bat" "%USERPROFILE%\AppData\Local\Temp\OnboardLogs"\RTDC4055\2017-09-20</v>
      </c>
      <c r="AF212" s="74" t="str">
        <f t="shared" si="104"/>
        <v>"C:\Program Files (x86)\AstroGrep\AstroGrep.exe" /e /r /s /spath="%USERPROFILE%\AppData\Local\Temp\OnboardLogs" /stypes="app*4055*20170919*" /stext=" 10:.+((SYSTEM_STATE.+slice.+state.+changed )|(ment ac)|(multiple cpu faults)|(system.+state.+changed )|(\[timeout)|(PRM\|1\|D)|(kpr)|(kdp)|(train st.+moving)|(\|lc)|(penalty))"</v>
      </c>
      <c r="AG212" s="182" t="str">
        <f t="shared" si="105"/>
        <v>Other</v>
      </c>
      <c r="AH212" s="78" t="str">
        <f t="shared" si="108"/>
        <v>"%USERPROFILE%\Documents\GitHub\eaglep3\Utilities\RefineRTDCRunTimes.py" --tripid 304-19 --locoid 4055 --swversion DE.1.0.9.0 --startMP 300:23406 --initTime 2017-09-19T03:47:08 --startdatetime 2017-09-19T03:50:58 --delay 61 --endMP 204:150 --enddatetime 2017-09-19T04:00:05 --enforcementcount 0 &gt;&gt;C:\Users\stu\Documents\GitHub\eaglep3-reporting\EC\2017-09-19-refined-times.txt</v>
      </c>
      <c r="AI212" s="96" t="str">
        <f t="shared" si="109"/>
        <v>echo {"issue":{"subject":"","project_id":79,"tracker_id":40,"status_id":1,"priority_id":2,"assigned_to_id":338,"start_date":"2017-09-19","description":"","custom_fields":[{"id":1,"name":"Subdivision","value":"Other"},{"id":4,"name":"Milepost","value":"0.015"},{"id":17,"name":"Train ID","value":"304-19"},{"id":16,"name":"Locomotive ID","value":"4055"},{"id":130,"name":"Impact","value":""},{"id":150,"name":"Time of Event (Mountain Time)","value":"04:00:05"},{"id":151,"name":"Denver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2" s="47"/>
      <c r="AL212" s="47"/>
      <c r="AM212" s="142" t="str">
        <f t="shared" si="110"/>
        <v>start /low /b %USERPROFILE%\Documents\GitHub\eaglep3\Utilities\DownloadLogsFromS3.py --loco 4055 --day 2017-09-19</v>
      </c>
      <c r="AN212" s="151" t="str">
        <f t="shared" si="111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10:00:05"},{"id":29,"name":"Sharepoint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112"/>
        <v>https://d0f6bd738d7f1b3e5a7ca70fe4ff75f0.us-east-1.aws.found.io/app/kibana#/discover/Steve-Slow-Train-Analysis-(2080s-and-2083s)?_g=(refreshInterval:(display:Off,pause:!f,section:0,value:0),time:(from:'2017-09-19T02:47:08-0600',mode:absolute,to:'2017-09-19T05:00:05-0600'))&amp;_a=(columns:!('Message%20ID',Summary),filters:!(),index:'emp_*',interval:auto,query:(query_string:(analyze_wildcard:!t,query:'Message%5C+ID:(*)+AND+%22rtdc.l.rtdc.4055%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x14ac:dyDescent="0.25">
      <c r="A213" s="32" t="s">
        <v>826</v>
      </c>
      <c r="B213" s="7">
        <v>4014</v>
      </c>
      <c r="C213" s="21" t="s">
        <v>197</v>
      </c>
      <c r="D213" s="21" t="s">
        <v>417</v>
      </c>
      <c r="E213" s="13">
        <v>42997.818761574075</v>
      </c>
      <c r="F213" s="13">
        <v>42997.820543981485</v>
      </c>
      <c r="G213" s="7">
        <v>62</v>
      </c>
      <c r="H213" s="21" t="s">
        <v>908</v>
      </c>
      <c r="I213" s="13">
        <v>42997.829930555556</v>
      </c>
      <c r="J213" s="7">
        <v>0</v>
      </c>
      <c r="K213" s="89" t="str">
        <f t="shared" si="97"/>
        <v>4013/4014</v>
      </c>
      <c r="L213" s="185" t="str">
        <f>VLOOKUP(A213,'Trips&amp;Operators'!$C$1:$G$99911,5,FALSE)</f>
        <v>SMITH MICHAEL</v>
      </c>
      <c r="M213" s="6">
        <f t="shared" si="98"/>
        <v>9.3865740709588863E-3</v>
      </c>
      <c r="N213" s="7">
        <f t="shared" si="106"/>
        <v>13.516666662180796</v>
      </c>
      <c r="O213" s="7"/>
      <c r="P213" s="7"/>
      <c r="Q213" s="22"/>
      <c r="R213" s="174"/>
      <c r="S213" s="221">
        <f t="shared" si="107"/>
        <v>1</v>
      </c>
      <c r="T213" s="174" t="str">
        <f t="shared" si="99"/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100"/>
        <v>https://d0f6bd738d7f1b3e5a7ca70fe4ff75f0.us-east-1.aws.found.io/app/kibana#/discover/Steve-Slow-Train-Analysis-(2080s-and-2083s)?_g=(refreshInterval:(display:Off,pause:!f,section:0,value:0),time:(from:'2017-09-19T18:39:01-0600',mode:absolute,to:'2017-09-19T20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3" s="204" t="str">
        <f>IF(AA213&lt;VLOOKUP(AG213,Variables!$AC$3:$AD$8,2,FALSE),"Y","N")</f>
        <v>Y</v>
      </c>
      <c r="X213" s="204">
        <f t="shared" si="89"/>
        <v>1</v>
      </c>
      <c r="Y213" s="204">
        <f t="shared" si="95"/>
        <v>4.5100000000000001E-2</v>
      </c>
      <c r="Z213" s="204">
        <f t="shared" si="96"/>
        <v>2.3298999999999999</v>
      </c>
      <c r="AA213" s="204">
        <f t="shared" si="101"/>
        <v>2.2847999999999997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 t="shared" si="102"/>
        <v>305</v>
      </c>
      <c r="AE213" s="77" t="str">
        <f t="shared" si="103"/>
        <v>aws s3 cp s3://rtdc.mdm.uploadarchive.raw/RTDC4014/ "%USERPROFILE%\AppData\Local\Temp\OnboardLogs"\RTDC4014\2017-09-19 --exclude "*" --recursive --include "*20170919*" &amp; "%USERPROFILE%\Documents\GitHub\mrs-test-scripts\Headless Mode &amp; Sideloading\WalkAndUnGZ.bat" "%USERPROFILE%\AppData\Local\Temp\OnboardLogs"\RTDC4014\2017-09-19 &amp; aws s3 cp s3://rtdc.mdm.uploadarchive.raw/RTDC4014/ "%USERPROFILE%\AppData\Local\Temp\OnboardLogs"\RTDC4014\2017-09-20 --exclude "*" --recursive --include "*20170920*" &amp; "%USERPROFILE%\Documents\GitHub\mrs-test-scripts\Headless Mode &amp; Sideloading\WalkAndUnGZ.bat" "%USERPROFILE%\AppData\Local\Temp\OnboardLogs"\RTDC4014\2017-09-20</v>
      </c>
      <c r="AF213" s="74" t="str">
        <f t="shared" si="104"/>
        <v>"C:\Program Files (x86)\AstroGrep\AstroGrep.exe" /e /r /s /spath="%USERPROFILE%\AppData\Local\Temp\OnboardLogs" /stypes="app*4014*20170920*" /stext=" 01:.+((SYSTEM_STATE.+slice.+state.+changed )|(ment ac)|(multiple cpu faults)|(system.+state.+changed )|(\[timeout)|(PRM\|1\|D)|(kpr)|(kdp)|(train st.+moving)|(\|lc)|(penalty))"</v>
      </c>
      <c r="AG213" s="182" t="str">
        <f t="shared" si="105"/>
        <v>Other</v>
      </c>
      <c r="AH213" s="78" t="str">
        <f t="shared" si="108"/>
        <v>"%USERPROFILE%\Documents\GitHub\eaglep3\Utilities\RefineRTDCRunTimes.py" --tripid 305-19 --locoid 4014 --swversion DE.1.0.9.0 --startMP 204:451 --initTime 2017-09-19T19:39:01 --startdatetime 2017-09-19T19:41:35 --delay 62 --endMP 300:23299 --enddatetime 2017-09-19T19:55:06 --enforcementcount 0 &gt;&gt;C:\Users\stu\Documents\GitHub\eaglep3-reporting\EC\2017-09-19-refined-times.txt</v>
      </c>
      <c r="AI213" s="96" t="str">
        <f t="shared" si="109"/>
        <v>echo {"issue":{"subject":"","project_id":79,"tracker_id":40,"status_id":1,"priority_id":2,"assigned_to_id":338,"start_date":"2017-09-19","description":"","custom_fields":[{"id":1,"name":"Subdivision","value":"Other"},{"id":4,"name":"Milepost","value":"2.3299"},{"id":17,"name":"Train ID","value":"305-19"},{"id":16,"name":"Locomotive ID","value":"4014"},{"id":130,"name":"Impact","value":""},{"id":150,"name":"Time of Event (Mountain Time)","value":"19:55:06"},{"id":151,"name":"Denver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110"/>
        <v>start /low /b %USERPROFILE%\Documents\GitHub\eaglep3\Utilities\DownloadLogsFromS3.py --loco 4014 --day 2017-09-19</v>
      </c>
      <c r="AN213" s="151" t="str">
        <f t="shared" si="11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01:55:06"},{"id":29,"name":"Sharepoint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112"/>
        <v>https://d0f6bd738d7f1b3e5a7ca70fe4ff75f0.us-east-1.aws.found.io/app/kibana#/discover/Steve-Slow-Train-Analysis-(2080s-and-2083s)?_g=(refreshInterval:(display:Off,pause:!f,section:0,value:0),time:(from:'2017-09-19T18:39:01-0600',mode:absolute,to:'2017-09-19T20:55:06-0600'))&amp;_a=(columns:!('Message%20ID',Summary),filters:!(),index:'emp_*',interval:auto,query:(query_string:(analyze_wildcard:!t,query:'Message%5C+ID:(*)+AND+%22rtdc.l.rtdc.4014%22')),sort:!(Time.ISO8601,asc))</v>
      </c>
    </row>
    <row r="214" spans="1:91" s="20" customFormat="1" x14ac:dyDescent="0.25">
      <c r="A214" s="32" t="s">
        <v>657</v>
      </c>
      <c r="B214" s="7">
        <v>4029</v>
      </c>
      <c r="C214" s="21" t="s">
        <v>197</v>
      </c>
      <c r="D214" s="21" t="s">
        <v>910</v>
      </c>
      <c r="E214" s="13">
        <v>42997.166354166664</v>
      </c>
      <c r="F214" s="13">
        <v>42997.170312499999</v>
      </c>
      <c r="G214" s="7">
        <v>72</v>
      </c>
      <c r="H214" s="21" t="s">
        <v>339</v>
      </c>
      <c r="I214" s="13">
        <v>42997.175381944442</v>
      </c>
      <c r="J214" s="7">
        <v>0</v>
      </c>
      <c r="K214" s="89" t="str">
        <f t="shared" si="97"/>
        <v>4029/4030</v>
      </c>
      <c r="L214" s="185" t="str">
        <f>VLOOKUP(A214,'Trips&amp;Operators'!$C$1:$G$99911,5,FALSE)</f>
        <v>LALONDE GREGORY</v>
      </c>
      <c r="M214" s="6">
        <f t="shared" si="98"/>
        <v>5.0694444435066544E-3</v>
      </c>
      <c r="N214" s="7">
        <f t="shared" si="106"/>
        <v>7.2999999986495823</v>
      </c>
      <c r="O214" s="7"/>
      <c r="P214" s="7"/>
      <c r="Q214" s="22"/>
      <c r="R214" s="174"/>
      <c r="S214" s="221">
        <f t="shared" si="107"/>
        <v>1</v>
      </c>
      <c r="T214" s="174" t="str">
        <f t="shared" si="99"/>
        <v>Southbound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 t="shared" si="100"/>
        <v>https://d0f6bd738d7f1b3e5a7ca70fe4ff75f0.us-east-1.aws.found.io/app/kibana#/discover/Steve-Slow-Train-Analysis-(2080s-and-2083s)?_g=(refreshInterval:(display:Off,pause:!f,section:0,value:0),time:(from:'2017-09-19T02:59:33-0600',mode:absolute,to:'2017-09-19T05:12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4" s="204" t="str">
        <f>IF(AA214&lt;VLOOKUP(AG214,Variables!$AC$3:$AD$8,2,FALSE),"Y","N")</f>
        <v>Y</v>
      </c>
      <c r="X214" s="204">
        <f t="shared" si="89"/>
        <v>1</v>
      </c>
      <c r="Y214" s="204">
        <f t="shared" si="95"/>
        <v>2.3452999999999999</v>
      </c>
      <c r="Z214" s="204">
        <f t="shared" si="96"/>
        <v>1.49E-2</v>
      </c>
      <c r="AA214" s="204">
        <f t="shared" si="101"/>
        <v>2.3304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 t="shared" si="102"/>
        <v>306</v>
      </c>
      <c r="AE214" s="77" t="str">
        <f t="shared" si="103"/>
        <v>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 &amp; aws s3 cp s3://rtdc.mdm.uploadarchive.raw/RTDC4029/ "%USERPROFILE%\AppData\Local\Temp\OnboardLogs"\RTDC4029\2017-09-20 --exclude "*" --recursive --include "*20170920*" &amp; "%USERPROFILE%\Documents\GitHub\mrs-test-scripts\Headless Mode &amp; Sideloading\WalkAndUnGZ.bat" "%USERPROFILE%\AppData\Local\Temp\OnboardLogs"\RTDC4029\2017-09-20</v>
      </c>
      <c r="AF214" s="74" t="str">
        <f t="shared" si="104"/>
        <v>"C:\Program Files (x86)\AstroGrep\AstroGrep.exe" /e /r /s /spath="%USERPROFILE%\AppData\Local\Temp\OnboardLogs" /stypes="app*4029*20170919*" /stext=" 10:.+((SYSTEM_STATE.+slice.+state.+changed )|(ment ac)|(multiple cpu faults)|(system.+state.+changed )|(\[timeout)|(PRM\|1\|D)|(kpr)|(kdp)|(train st.+moving)|(\|lc)|(penalty))"</v>
      </c>
      <c r="AG214" s="182" t="str">
        <f t="shared" si="105"/>
        <v>Other</v>
      </c>
      <c r="AH214" s="78" t="str">
        <f t="shared" si="108"/>
        <v>"%USERPROFILE%\Documents\GitHub\eaglep3\Utilities\RefineRTDCRunTimes.py" --tripid 306-19 --locoid 4029 --swversion DE.1.0.9.0 --startMP 300:23453 --initTime 2017-09-19T03:59:33 --startdatetime 2017-09-19T04:05:15 --delay 72 --endMP 204:149 --enddatetime 2017-09-19T04:12:33 --enforcementcount 0 &gt;&gt;C:\Users\stu\Documents\GitHub\eaglep3-reporting\EC\2017-09-19-refined-times.txt</v>
      </c>
      <c r="AI214" s="96" t="str">
        <f t="shared" si="109"/>
        <v>echo {"issue":{"subject":"","project_id":79,"tracker_id":40,"status_id":1,"priority_id":2,"assigned_to_id":338,"start_date":"2017-09-19","description":"","custom_fields":[{"id":1,"name":"Subdivision","value":"Other"},{"id":4,"name":"Milepost","value":"0.0149"},{"id":17,"name":"Train ID","value":"306-19"},{"id":16,"name":"Locomotive ID","value":"4029"},{"id":130,"name":"Impact","value":""},{"id":150,"name":"Time of Event (Mountain Time)","value":"04:12:33"},{"id":151,"name":"Denver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4" s="47"/>
      <c r="AL214" s="47"/>
      <c r="AM214" s="142" t="str">
        <f t="shared" si="110"/>
        <v>start /low /b %USERPROFILE%\Documents\GitHub\eaglep3\Utilities\DownloadLogsFromS3.py --loco 4029 --day 2017-09-19</v>
      </c>
      <c r="AN214" s="151" t="str">
        <f t="shared" si="111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10:12:33"},{"id":29,"name":"Sharepoint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112"/>
        <v>https://d0f6bd738d7f1b3e5a7ca70fe4ff75f0.us-east-1.aws.found.io/app/kibana#/discover/Steve-Slow-Train-Analysis-(2080s-and-2083s)?_g=(refreshInterval:(display:Off,pause:!f,section:0,value:0),time:(from:'2017-09-19T02:59:33-0600',mode:absolute,to:'2017-09-19T05:12:33-0600'))&amp;_a=(columns:!('Message%20ID',Summary),filters:!(),index:'emp_*',interval:auto,query:(query_string:(analyze_wildcard:!t,query:'Message%5C+ID:(*)+AND+%22rtdc.l.rtdc.4029%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2" t="s">
        <v>859</v>
      </c>
      <c r="B215" s="7">
        <v>4028</v>
      </c>
      <c r="C215" s="21" t="s">
        <v>197</v>
      </c>
      <c r="D215" s="21" t="s">
        <v>341</v>
      </c>
      <c r="E215" s="13">
        <v>42998.048055555555</v>
      </c>
      <c r="F215" s="13">
        <v>42998.050671296296</v>
      </c>
      <c r="G215" s="7">
        <v>76</v>
      </c>
      <c r="H215" s="21" t="s">
        <v>911</v>
      </c>
      <c r="I215" s="13">
        <v>42998.057581018518</v>
      </c>
      <c r="J215" s="7">
        <v>0</v>
      </c>
      <c r="K215" s="89" t="str">
        <f t="shared" si="97"/>
        <v>4027/4028</v>
      </c>
      <c r="L215" s="185" t="str">
        <f>VLOOKUP(A215,'Trips&amp;Operators'!$C$1:$G$99911,5,FALSE)</f>
        <v>LOZA FIDEL</v>
      </c>
      <c r="M215" s="6">
        <f t="shared" si="98"/>
        <v>6.9097222221898846E-3</v>
      </c>
      <c r="N215" s="7">
        <f t="shared" si="106"/>
        <v>9.9499999999534339</v>
      </c>
      <c r="O215" s="7"/>
      <c r="P215" s="7"/>
      <c r="Q215" s="22"/>
      <c r="R215" s="174"/>
      <c r="S215" s="221">
        <f t="shared" si="107"/>
        <v>1</v>
      </c>
      <c r="T215" s="174" t="str">
        <f t="shared" si="99"/>
        <v>NorthBound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 t="shared" si="100"/>
        <v>https://d0f6bd738d7f1b3e5a7ca70fe4ff75f0.us-east-1.aws.found.io/app/kibana#/discover/Steve-Slow-Train-Analysis-(2080s-and-2083s)?_g=(refreshInterval:(display:Off,pause:!f,section:0,value:0),time:(from:'2017-09-20T00:09:12-0600',mode:absolute,to:'2017-09-20T02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5" s="204" t="str">
        <f>IF(AA215&lt;VLOOKUP(AG215,Variables!$AC$3:$AD$8,2,FALSE),"Y","N")</f>
        <v>Y</v>
      </c>
      <c r="X215" s="204">
        <f t="shared" si="89"/>
        <v>1</v>
      </c>
      <c r="Y215" s="204">
        <f t="shared" si="95"/>
        <v>4.53E-2</v>
      </c>
      <c r="Z215" s="204">
        <f t="shared" si="96"/>
        <v>2.3294999999999999</v>
      </c>
      <c r="AA215" s="204">
        <f t="shared" si="101"/>
        <v>2.2841999999999998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 t="shared" si="102"/>
        <v>307</v>
      </c>
      <c r="AE215" s="77" t="str">
        <f t="shared" si="103"/>
        <v>aws s3 cp s3://rtdc.mdm.uploadarchive.raw/RTDC4028/ "%USERPROFILE%\AppData\Local\Temp\OnboardLogs"\RTDC4028\2017-09-20 --exclude "*" --recursive --include "*20170920*" &amp; "%USERPROFILE%\Documents\GitHub\mrs-test-scripts\Headless Mode &amp; Sideloading\WalkAndUnGZ.bat" "%USERPROFILE%\AppData\Local\Temp\OnboardLogs"\RTDC4028\2017-09-20 &amp; aws s3 cp s3://rtdc.mdm.uploadarchive.raw/RTDC4028/ "%USERPROFILE%\AppData\Local\Temp\OnboardLogs"\RTDC4028\2017-09-21 --exclude "*" --recursive --include "*20170921*" &amp; "%USERPROFILE%\Documents\GitHub\mrs-test-scripts\Headless Mode &amp; Sideloading\WalkAndUnGZ.bat" "%USERPROFILE%\AppData\Local\Temp\OnboardLogs"\RTDC4028\2017-09-21</v>
      </c>
      <c r="AF215" s="74" t="str">
        <f t="shared" si="104"/>
        <v>"C:\Program Files (x86)\AstroGrep\AstroGrep.exe" /e /r /s /spath="%USERPROFILE%\AppData\Local\Temp\OnboardLogs" /stypes="app*4028*20170920*" /stext=" 07:.+((SYSTEM_STATE.+slice.+state.+changed )|(ment ac)|(multiple cpu faults)|(system.+state.+changed )|(\[timeout)|(PRM\|1\|D)|(kpr)|(kdp)|(train st.+moving)|(\|lc)|(penalty))"</v>
      </c>
      <c r="AG215" s="182" t="str">
        <f t="shared" si="105"/>
        <v>Other</v>
      </c>
      <c r="AH215" s="78" t="str">
        <f t="shared" si="108"/>
        <v>"%USERPROFILE%\Documents\GitHub\eaglep3\Utilities\RefineRTDCRunTimes.py" --tripid 307-19 --locoid 4028 --swversion DE.1.0.9.0 --startMP 204:453 --initTime 2017-09-20T01:09:12 --startdatetime 2017-09-20T01:12:58 --delay 76 --endMP 300:23295 --enddatetime 2017-09-20T01:22:55 --enforcementcount 0 &gt;&gt;C:\Users\stu\Documents\GitHub\eaglep3-reporting\EC\2017-09-19-refined-times.txt</v>
      </c>
      <c r="AI215" s="96" t="str">
        <f t="shared" si="109"/>
        <v>echo {"issue":{"subject":"","project_id":79,"tracker_id":40,"status_id":1,"priority_id":2,"assigned_to_id":338,"start_date":"2017-09-20","description":"","custom_fields":[{"id":1,"name":"Subdivision","value":"Other"},{"id":4,"name":"Milepost","value":"2.3295"},{"id":17,"name":"Train ID","value":"307-19"},{"id":16,"name":"Locomotive ID","value":"4028"},{"id":130,"name":"Impact","value":""},{"id":150,"name":"Time of Event (Mountain Time)","value":"01:22:55"},{"id":151,"name":"Denver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110"/>
        <v>start /low /b %USERPROFILE%\Documents\GitHub\eaglep3\Utilities\DownloadLogsFromS3.py --loco 4028 --day 2017-09-20</v>
      </c>
      <c r="AN215" s="151" t="str">
        <f t="shared" si="11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07:22:55"},{"id":29,"name":"Sharepoint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12"/>
        <v>https://d0f6bd738d7f1b3e5a7ca70fe4ff75f0.us-east-1.aws.found.io/app/kibana#/discover/Steve-Slow-Train-Analysis-(2080s-and-2083s)?_g=(refreshInterval:(display:Off,pause:!f,section:0,value:0),time:(from:'2017-09-20T00:09:12-0600',mode:absolute,to:'2017-09-20T02:22:55-0600'))&amp;_a=(columns:!('Message%20ID',Summary),filters:!(),index:'emp_*',interval:auto,query:(query_string:(analyze_wildcard:!t,query:'Message%5C+ID:(*)+AND+%22rtdc.l.rtdc.4028%22')),sort:!(Time.ISO8601,asc))</v>
      </c>
    </row>
    <row r="216" spans="1:91" s="20" customFormat="1" x14ac:dyDescent="0.25">
      <c r="A216" s="32" t="s">
        <v>659</v>
      </c>
      <c r="B216" s="7">
        <v>4015</v>
      </c>
      <c r="C216" s="21" t="s">
        <v>197</v>
      </c>
      <c r="D216" s="21" t="s">
        <v>912</v>
      </c>
      <c r="E216" s="13">
        <v>42997.181064814817</v>
      </c>
      <c r="F216" s="13">
        <v>42997.185960648145</v>
      </c>
      <c r="G216" s="7">
        <v>126</v>
      </c>
      <c r="H216" s="21" t="s">
        <v>370</v>
      </c>
      <c r="I216" s="13">
        <v>42997.191307870373</v>
      </c>
      <c r="J216" s="7">
        <v>0</v>
      </c>
      <c r="K216" s="89" t="str">
        <f t="shared" si="97"/>
        <v>4015/4016</v>
      </c>
      <c r="L216" s="185" t="str">
        <f>VLOOKUP(A216,'Trips&amp;Operators'!$C$1:$G$99911,5,FALSE)</f>
        <v>LAMAR NEKESHA</v>
      </c>
      <c r="M216" s="6">
        <f t="shared" si="98"/>
        <v>5.3472222280106507E-3</v>
      </c>
      <c r="N216" s="7">
        <f t="shared" si="106"/>
        <v>7.700000008335337</v>
      </c>
      <c r="O216" s="7"/>
      <c r="P216" s="7"/>
      <c r="Q216" s="22"/>
      <c r="R216" s="174"/>
      <c r="S216" s="221">
        <f t="shared" si="107"/>
        <v>1</v>
      </c>
      <c r="T216" s="174" t="str">
        <f t="shared" si="99"/>
        <v>Southbound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 t="shared" si="100"/>
        <v>https://d0f6bd738d7f1b3e5a7ca70fe4ff75f0.us-east-1.aws.found.io/app/kibana#/discover/Steve-Slow-Train-Analysis-(2080s-and-2083s)?_g=(refreshInterval:(display:Off,pause:!f,section:0,value:0),time:(from:'2017-09-19T03:20:44-0600',mode:absolute,to:'2017-09-19T05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6" s="204" t="str">
        <f>IF(AA216&lt;VLOOKUP(AG216,Variables!$AC$3:$AD$8,2,FALSE),"Y","N")</f>
        <v>Y</v>
      </c>
      <c r="X216" s="204">
        <f t="shared" si="89"/>
        <v>1</v>
      </c>
      <c r="Y216" s="204">
        <f t="shared" si="95"/>
        <v>2.2703000000000002</v>
      </c>
      <c r="Z216" s="204">
        <f t="shared" si="96"/>
        <v>1.5599999999999999E-2</v>
      </c>
      <c r="AA216" s="204">
        <f t="shared" si="101"/>
        <v>2.2547000000000001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 t="shared" si="102"/>
        <v>308</v>
      </c>
      <c r="AE216" s="77" t="str">
        <f t="shared" si="103"/>
        <v>aws s3 cp s3://rtdc.mdm.uploadarchive.raw/RTDC4015/ "%USERPROFILE%\AppData\Local\Temp\OnboardLogs"\RTDC4015\2017-09-19 --exclude "*" --recursive --include "*20170919*" &amp; "%USERPROFILE%\Documents\GitHub\mrs-test-scripts\Headless Mode &amp; Sideloading\WalkAndUnGZ.bat" "%USERPROFILE%\AppData\Local\Temp\OnboardLogs"\RTDC4015\2017-09-19 &amp; 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</v>
      </c>
      <c r="AF216" s="74" t="str">
        <f t="shared" si="104"/>
        <v>"C:\Program Files (x86)\AstroGrep\AstroGrep.exe" /e /r /s /spath="%USERPROFILE%\AppData\Local\Temp\OnboardLogs" /stypes="app*4015*20170919*" /stext=" 10:.+((SYSTEM_STATE.+slice.+state.+changed )|(ment ac)|(multiple cpu faults)|(system.+state.+changed )|(\[timeout)|(PRM\|1\|D)|(kpr)|(kdp)|(train st.+moving)|(\|lc)|(penalty))"</v>
      </c>
      <c r="AG216" s="182" t="str">
        <f t="shared" si="105"/>
        <v>Other</v>
      </c>
      <c r="AH216" s="78" t="str">
        <f t="shared" si="108"/>
        <v>"%USERPROFILE%\Documents\GitHub\eaglep3\Utilities\RefineRTDCRunTimes.py" --tripid 308-19 --locoid 4015 --swversion DE.1.0.9.0 --startMP 300:22703 --initTime 2017-09-19T04:20:44 --startdatetime 2017-09-19T04:27:47 --delay 126 --endMP 204:156 --enddatetime 2017-09-19T04:35:29 --enforcementcount 0 &gt;&gt;C:\Users\stu\Documents\GitHub\eaglep3-reporting\EC\2017-09-19-refined-times.txt</v>
      </c>
      <c r="AI216" s="96" t="str">
        <f t="shared" si="109"/>
        <v>echo {"issue":{"subject":"","project_id":79,"tracker_id":40,"status_id":1,"priority_id":2,"assigned_to_id":338,"start_date":"2017-09-19","description":"","custom_fields":[{"id":1,"name":"Subdivision","value":"Other"},{"id":4,"name":"Milepost","value":"0.0156"},{"id":17,"name":"Train ID","value":"308-19"},{"id":16,"name":"Locomotive ID","value":"4015"},{"id":130,"name":"Impact","value":""},{"id":150,"name":"Time of Event (Mountain Time)","value":"04:35:29"},{"id":151,"name":"Denver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6" s="47"/>
      <c r="AL216" s="47"/>
      <c r="AM216" s="142" t="str">
        <f t="shared" si="110"/>
        <v>start /low /b %USERPROFILE%\Documents\GitHub\eaglep3\Utilities\DownloadLogsFromS3.py --loco 4015 --day 2017-09-19</v>
      </c>
      <c r="AN216" s="151" t="str">
        <f t="shared" si="111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10:35:29"},{"id":29,"name":"Sharepoint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112"/>
        <v>https://d0f6bd738d7f1b3e5a7ca70fe4ff75f0.us-east-1.aws.found.io/app/kibana#/discover/Steve-Slow-Train-Analysis-(2080s-and-2083s)?_g=(refreshInterval:(display:Off,pause:!f,section:0,value:0),time:(from:'2017-09-19T03:20:44-0600',mode:absolute,to:'2017-09-19T05:35:29-0600'))&amp;_a=(columns:!('Message%20ID',Summary),filters:!(),index:'emp_*',interval:auto,query:(query_string:(analyze_wildcard:!t,query:'Message%5C+ID:(*)+AND+%22rtdc.l.rtdc.4015%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861</v>
      </c>
      <c r="B217" s="7">
        <v>4056</v>
      </c>
      <c r="C217" s="21" t="s">
        <v>197</v>
      </c>
      <c r="D217" s="21" t="s">
        <v>877</v>
      </c>
      <c r="E217" s="13">
        <v>42998.067349537036</v>
      </c>
      <c r="F217" s="13">
        <v>42998.068749999999</v>
      </c>
      <c r="G217" s="7">
        <v>56</v>
      </c>
      <c r="H217" s="21" t="s">
        <v>493</v>
      </c>
      <c r="I217" s="13">
        <v>42998.078935185185</v>
      </c>
      <c r="J217" s="7">
        <v>0</v>
      </c>
      <c r="K217" s="89" t="str">
        <f t="shared" si="97"/>
        <v>4055/4056</v>
      </c>
      <c r="L217" s="185" t="str">
        <f>VLOOKUP(A217,'Trips&amp;Operators'!$C$1:$G$99911,5,FALSE)</f>
        <v>PERKINS DARREN</v>
      </c>
      <c r="M217" s="6">
        <f t="shared" si="98"/>
        <v>1.0185185186855961E-2</v>
      </c>
      <c r="N217" s="7">
        <f t="shared" si="106"/>
        <v>14.666666669072583</v>
      </c>
      <c r="O217" s="7"/>
      <c r="P217" s="7"/>
      <c r="Q217" s="22"/>
      <c r="R217" s="174"/>
      <c r="S217" s="221">
        <f t="shared" si="107"/>
        <v>1</v>
      </c>
      <c r="T217" s="174" t="str">
        <f t="shared" si="99"/>
        <v>NorthBound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100"/>
        <v>https://d0f6bd738d7f1b3e5a7ca70fe4ff75f0.us-east-1.aws.found.io/app/kibana#/discover/Steve-Slow-Train-Analysis-(2080s-and-2083s)?_g=(refreshInterval:(display:Off,pause:!f,section:0,value:0),time:(from:'2017-09-20T00:36:59-0600',mode:absolute,to:'2017-09-20T02:53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7" s="204" t="str">
        <f>IF(AA217&lt;VLOOKUP(AG217,Variables!$AC$3:$AD$8,2,FALSE),"Y","N")</f>
        <v>Y</v>
      </c>
      <c r="X217" s="204">
        <f t="shared" si="89"/>
        <v>1</v>
      </c>
      <c r="Y217" s="204">
        <f t="shared" si="95"/>
        <v>4.2900000000000001E-2</v>
      </c>
      <c r="Z217" s="204">
        <f t="shared" si="96"/>
        <v>2.3308</v>
      </c>
      <c r="AA217" s="204">
        <f t="shared" si="101"/>
        <v>2.2879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 t="shared" si="102"/>
        <v>309</v>
      </c>
      <c r="AE217" s="77" t="str">
        <f t="shared" si="103"/>
        <v>aws s3 cp s3://rtdc.mdm.uploadarchive.raw/RTDC4056/ "%USERPROFILE%\AppData\Local\Temp\OnboardLogs"\RTDC4056\2017-09-20 --exclude "*" --recursive --include "*20170920*" &amp; "%USERPROFILE%\Documents\GitHub\mrs-test-scripts\Headless Mode &amp; Sideloading\WalkAndUnGZ.bat" "%USERPROFILE%\AppData\Local\Temp\OnboardLogs"\RTDC4056\2017-09-20 &amp; aws s3 cp s3://rtdc.mdm.uploadarchive.raw/RTDC4056/ "%USERPROFILE%\AppData\Local\Temp\OnboardLogs"\RTDC4056\2017-09-21 --exclude "*" --recursive --include "*20170921*" &amp; "%USERPROFILE%\Documents\GitHub\mrs-test-scripts\Headless Mode &amp; Sideloading\WalkAndUnGZ.bat" "%USERPROFILE%\AppData\Local\Temp\OnboardLogs"\RTDC4056\2017-09-21</v>
      </c>
      <c r="AF217" s="74" t="str">
        <f t="shared" si="104"/>
        <v>"C:\Program Files (x86)\AstroGrep\AstroGrep.exe" /e /r /s /spath="%USERPROFILE%\AppData\Local\Temp\OnboardLogs" /stypes="app*4056*20170920*" /stext=" 07:.+((SYSTEM_STATE.+slice.+state.+changed )|(ment ac)|(multiple cpu faults)|(system.+state.+changed )|(\[timeout)|(PRM\|1\|D)|(kpr)|(kdp)|(train st.+moving)|(\|lc)|(penalty))"</v>
      </c>
      <c r="AG217" s="182" t="str">
        <f t="shared" si="105"/>
        <v>Other</v>
      </c>
      <c r="AH217" s="78" t="str">
        <f t="shared" si="108"/>
        <v>"%USERPROFILE%\Documents\GitHub\eaglep3\Utilities\RefineRTDCRunTimes.py" --tripid 309-19 --locoid 4056 --swversion DE.1.0.9.0 --startMP 204:429 --initTime 2017-09-20T01:36:59 --startdatetime 2017-09-20T01:39:00 --delay 56 --endMP 300:23308 --enddatetime 2017-09-20T01:53:40 --enforcementcount 0 &gt;&gt;C:\Users\stu\Documents\GitHub\eaglep3-reporting\EC\2017-09-19-refined-times.txt</v>
      </c>
      <c r="AI217" s="96" t="str">
        <f t="shared" si="109"/>
        <v>echo {"issue":{"subject":"","project_id":79,"tracker_id":40,"status_id":1,"priority_id":2,"assigned_to_id":338,"start_date":"2017-09-20","description":"","custom_fields":[{"id":1,"name":"Subdivision","value":"Other"},{"id":4,"name":"Milepost","value":"2.3308"},{"id":17,"name":"Train ID","value":"309-19"},{"id":16,"name":"Locomotive ID","value":"4056"},{"id":130,"name":"Impact","value":""},{"id":150,"name":"Time of Event (Mountain Time)","value":"01:53:40"},{"id":151,"name":"Denver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si="110"/>
        <v>start /low /b %USERPROFILE%\Documents\GitHub\eaglep3\Utilities\DownloadLogsFromS3.py --loco 4056 --day 2017-09-20</v>
      </c>
      <c r="AN217" s="151" t="str">
        <f t="shared" si="11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07:53:40"},{"id":29,"name":"Sharepoint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112"/>
        <v>https://d0f6bd738d7f1b3e5a7ca70fe4ff75f0.us-east-1.aws.found.io/app/kibana#/discover/Steve-Slow-Train-Analysis-(2080s-and-2083s)?_g=(refreshInterval:(display:Off,pause:!f,section:0,value:0),time:(from:'2017-09-20T00:36:59-0600',mode:absolute,to:'2017-09-20T02:53:40-0600'))&amp;_a=(columns:!('Message%20ID',Summary),filters:!(),index:'emp_*',interval:auto,query:(query_string:(analyze_wildcard:!t,query:'Message%5C+ID:(*)+AND+%22rtdc.l.rtdc.4056%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661</v>
      </c>
      <c r="B218" s="7">
        <v>4053</v>
      </c>
      <c r="C218" s="21" t="s">
        <v>197</v>
      </c>
      <c r="D218" s="21" t="s">
        <v>913</v>
      </c>
      <c r="E218" s="13">
        <v>42997.196793981479</v>
      </c>
      <c r="F218" s="13">
        <v>42997.199594907404</v>
      </c>
      <c r="G218" s="7">
        <v>77</v>
      </c>
      <c r="H218" s="21" t="s">
        <v>869</v>
      </c>
      <c r="I218" s="13">
        <v>42997.205104166664</v>
      </c>
      <c r="J218" s="7">
        <v>0</v>
      </c>
      <c r="K218" s="89" t="str">
        <f t="shared" si="97"/>
        <v>4053/4054</v>
      </c>
      <c r="L218" s="185" t="str">
        <f>VLOOKUP(A218,'Trips&amp;Operators'!$C$1:$G$99911,5,FALSE)</f>
        <v>BARRON PERLA</v>
      </c>
      <c r="M218" s="6">
        <f t="shared" si="98"/>
        <v>5.5092592592700385E-3</v>
      </c>
      <c r="N218" s="7">
        <f t="shared" si="106"/>
        <v>7.9333333333488554</v>
      </c>
      <c r="O218" s="7"/>
      <c r="P218" s="7"/>
      <c r="Q218" s="22"/>
      <c r="R218" s="174"/>
      <c r="S218" s="221">
        <f t="shared" si="107"/>
        <v>1</v>
      </c>
      <c r="T218" s="174" t="str">
        <f t="shared" si="99"/>
        <v>Southbound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 t="shared" si="100"/>
        <v>https://d0f6bd738d7f1b3e5a7ca70fe4ff75f0.us-east-1.aws.found.io/app/kibana#/discover/Steve-Slow-Train-Analysis-(2080s-and-2083s)?_g=(refreshInterval:(display:Off,pause:!f,section:0,value:0),time:(from:'2017-09-19T03:43:23-0600',mode:absolute,to:'2017-09-19T05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8" s="204" t="str">
        <f>IF(AA218&lt;VLOOKUP(AG218,Variables!$AC$3:$AD$8,2,FALSE),"Y","N")</f>
        <v>Y</v>
      </c>
      <c r="X218" s="204">
        <f t="shared" si="89"/>
        <v>1</v>
      </c>
      <c r="Y218" s="204">
        <f t="shared" si="95"/>
        <v>2.3713000000000002</v>
      </c>
      <c r="Z218" s="204">
        <f t="shared" si="96"/>
        <v>1.6500000000000001E-2</v>
      </c>
      <c r="AA218" s="204">
        <f t="shared" si="101"/>
        <v>2.3548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 t="shared" si="102"/>
        <v>310</v>
      </c>
      <c r="AE218" s="77" t="str">
        <f t="shared" si="103"/>
        <v>aws s3 cp s3://rtdc.mdm.uploadarchive.raw/RTDC4053/ "%USERPROFILE%\AppData\Local\Temp\OnboardLogs"\RTDC4053\2017-09-19 --exclude "*" --recursive --include "*20170919*" &amp; "%USERPROFILE%\Documents\GitHub\mrs-test-scripts\Headless Mode &amp; Sideloading\WalkAndUnGZ.bat" "%USERPROFILE%\AppData\Local\Temp\OnboardLogs"\RTDC4053\2017-09-19 &amp; aws s3 cp s3://rtdc.mdm.uploadarchive.raw/RTDC4053/ "%USERPROFILE%\AppData\Local\Temp\OnboardLogs"\RTDC4053\2017-09-20 --exclude "*" --recursive --include "*20170920*" &amp; "%USERPROFILE%\Documents\GitHub\mrs-test-scripts\Headless Mode &amp; Sideloading\WalkAndUnGZ.bat" "%USERPROFILE%\AppData\Local\Temp\OnboardLogs"\RTDC4053\2017-09-20</v>
      </c>
      <c r="AF218" s="74" t="str">
        <f t="shared" si="104"/>
        <v>"C:\Program Files (x86)\AstroGrep\AstroGrep.exe" /e /r /s /spath="%USERPROFILE%\AppData\Local\Temp\OnboardLogs" /stypes="app*4053*20170919*" /stext=" 10:.+((SYSTEM_STATE.+slice.+state.+changed )|(ment ac)|(multiple cpu faults)|(system.+state.+changed )|(\[timeout)|(PRM\|1\|D)|(kpr)|(kdp)|(train st.+moving)|(\|lc)|(penalty))"</v>
      </c>
      <c r="AG218" s="182" t="str">
        <f t="shared" si="105"/>
        <v>Other</v>
      </c>
      <c r="AH218" s="78" t="str">
        <f t="shared" si="108"/>
        <v>"%USERPROFILE%\Documents\GitHub\eaglep3\Utilities\RefineRTDCRunTimes.py" --tripid 310-19 --locoid 4053 --swversion DE.1.0.9.0 --startMP 300:23713 --initTime 2017-09-19T04:43:23 --startdatetime 2017-09-19T04:47:25 --delay 77 --endMP 204:165 --enddatetime 2017-09-19T04:55:21 --enforcementcount 0 &gt;&gt;C:\Users\stu\Documents\GitHub\eaglep3-reporting\EC\2017-09-19-refined-times.txt</v>
      </c>
      <c r="AI218" s="96" t="str">
        <f t="shared" si="109"/>
        <v>echo {"issue":{"subject":"","project_id":79,"tracker_id":40,"status_id":1,"priority_id":2,"assigned_to_id":338,"start_date":"2017-09-19","description":"","custom_fields":[{"id":1,"name":"Subdivision","value":"Other"},{"id":4,"name":"Milepost","value":"0.0165"},{"id":17,"name":"Train ID","value":"310-19"},{"id":16,"name":"Locomotive ID","value":"4053"},{"id":130,"name":"Impact","value":""},{"id":150,"name":"Time of Event (Mountain Time)","value":"04:55:21"},{"id":151,"name":"Denver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8" s="47"/>
      <c r="AL218" s="47"/>
      <c r="AM218" s="142" t="str">
        <f t="shared" si="110"/>
        <v>start /low /b %USERPROFILE%\Documents\GitHub\eaglep3\Utilities\DownloadLogsFromS3.py --loco 4053 --day 2017-09-19</v>
      </c>
      <c r="AN218" s="151" t="str">
        <f t="shared" si="111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10:55:21"},{"id":29,"name":"Sharepoint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112"/>
        <v>https://d0f6bd738d7f1b3e5a7ca70fe4ff75f0.us-east-1.aws.found.io/app/kibana#/discover/Steve-Slow-Train-Analysis-(2080s-and-2083s)?_g=(refreshInterval:(display:Off,pause:!f,section:0,value:0),time:(from:'2017-09-19T03:43:23-0600',mode:absolute,to:'2017-09-19T05:55:21-0600'))&amp;_a=(columns:!('Message%20ID',Summary),filters:!(),index:'emp_*',interval:auto,query:(query_string:(analyze_wildcard:!t,query:'Message%5C+ID:(*)+AND+%22rtdc.l.rtdc.4053%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x14ac:dyDescent="0.25">
      <c r="A219" s="32" t="s">
        <v>862</v>
      </c>
      <c r="B219" s="7">
        <v>4030</v>
      </c>
      <c r="C219" s="21" t="s">
        <v>197</v>
      </c>
      <c r="D219" s="21" t="s">
        <v>415</v>
      </c>
      <c r="E219" s="13">
        <v>42998.087488425925</v>
      </c>
      <c r="F219" s="13">
        <v>42998.089085648149</v>
      </c>
      <c r="G219" s="7">
        <v>58</v>
      </c>
      <c r="H219" s="21" t="s">
        <v>914</v>
      </c>
      <c r="I219" s="13">
        <v>42998.096770833334</v>
      </c>
      <c r="J219" s="7">
        <v>0</v>
      </c>
      <c r="K219" s="89" t="str">
        <f t="shared" si="97"/>
        <v>4029/4030</v>
      </c>
      <c r="L219" s="185" t="str">
        <f>VLOOKUP(A219,'Trips&amp;Operators'!$C$1:$G$99911,5,FALSE)</f>
        <v>HART KEVIN</v>
      </c>
      <c r="M219" s="6">
        <f t="shared" si="98"/>
        <v>7.6851851845276542E-3</v>
      </c>
      <c r="N219" s="7">
        <f t="shared" si="106"/>
        <v>11.066666665719822</v>
      </c>
      <c r="O219" s="7"/>
      <c r="P219" s="7"/>
      <c r="Q219" s="22"/>
      <c r="R219" s="174"/>
      <c r="S219" s="221">
        <f t="shared" si="107"/>
        <v>1</v>
      </c>
      <c r="T219" s="174" t="str">
        <f t="shared" si="99"/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 t="shared" si="100"/>
        <v>https://d0f6bd738d7f1b3e5a7ca70fe4ff75f0.us-east-1.aws.found.io/app/kibana#/discover/Steve-Slow-Train-Analysis-(2080s-and-2083s)?_g=(refreshInterval:(display:Off,pause:!f,section:0,value:0),time:(from:'2017-09-20T01:05:59-0600',mode:absolute,to:'2017-09-20T03:19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9" s="204" t="str">
        <f>IF(AA219&lt;VLOOKUP(AG219,Variables!$AC$3:$AD$8,2,FALSE),"Y","N")</f>
        <v>Y</v>
      </c>
      <c r="X219" s="204">
        <f t="shared" ref="X219:X236" si="113">VALUE(LEFT(AD219,4))-VALUE(LEFT(AD218,4))</f>
        <v>1</v>
      </c>
      <c r="Y219" s="204">
        <f t="shared" si="95"/>
        <v>4.6199999999999998E-2</v>
      </c>
      <c r="Z219" s="204">
        <f t="shared" si="96"/>
        <v>2.3306</v>
      </c>
      <c r="AA219" s="204">
        <f t="shared" si="101"/>
        <v>2.2844000000000002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 t="shared" si="102"/>
        <v>311</v>
      </c>
      <c r="AE219" s="77" t="str">
        <f t="shared" si="103"/>
        <v>aws s3 cp s3://rtdc.mdm.uploadarchive.raw/RTDC4030/ "%USERPROFILE%\AppData\Local\Temp\OnboardLogs"\RTDC4030\2017-09-20 --exclude "*" --recursive --include "*20170920*" &amp; "%USERPROFILE%\Documents\GitHub\mrs-test-scripts\Headless Mode &amp; Sideloading\WalkAndUnGZ.bat" "%USERPROFILE%\AppData\Local\Temp\OnboardLogs"\RTDC4030\2017-09-20 &amp; aws s3 cp s3://rtdc.mdm.uploadarchive.raw/RTDC4030/ "%USERPROFILE%\AppData\Local\Temp\OnboardLogs"\RTDC4030\2017-09-21 --exclude "*" --recursive --include "*20170921*" &amp; "%USERPROFILE%\Documents\GitHub\mrs-test-scripts\Headless Mode &amp; Sideloading\WalkAndUnGZ.bat" "%USERPROFILE%\AppData\Local\Temp\OnboardLogs"\RTDC4030\2017-09-21</v>
      </c>
      <c r="AF219" s="74" t="str">
        <f t="shared" si="104"/>
        <v>"C:\Program Files (x86)\AstroGrep\AstroGrep.exe" /e /r /s /spath="%USERPROFILE%\AppData\Local\Temp\OnboardLogs" /stypes="app*4030*20170920*" /stext=" 08:.+((SYSTEM_STATE.+slice.+state.+changed )|(ment ac)|(multiple cpu faults)|(system.+state.+changed )|(\[timeout)|(PRM\|1\|D)|(kpr)|(kdp)|(train st.+moving)|(\|lc)|(penalty))"</v>
      </c>
      <c r="AG219" s="182" t="str">
        <f t="shared" si="105"/>
        <v>Other</v>
      </c>
      <c r="AH219" s="78" t="str">
        <f t="shared" si="108"/>
        <v>"%USERPROFILE%\Documents\GitHub\eaglep3\Utilities\RefineRTDCRunTimes.py" --tripid 311-19 --locoid 4030 --swversion DE.1.0.9.0 --startMP 204:462 --initTime 2017-09-20T02:05:59 --startdatetime 2017-09-20T02:08:17 --delay 58 --endMP 300:23306 --enddatetime 2017-09-20T02:19:21 --enforcementcount 0 &gt;&gt;C:\Users\stu\Documents\GitHub\eaglep3-reporting\EC\2017-09-19-refined-times.txt</v>
      </c>
      <c r="AI219" s="96" t="str">
        <f t="shared" si="109"/>
        <v>echo {"issue":{"subject":"","project_id":79,"tracker_id":40,"status_id":1,"priority_id":2,"assigned_to_id":338,"start_date":"2017-09-20","description":"","custom_fields":[{"id":1,"name":"Subdivision","value":"Other"},{"id":4,"name":"Milepost","value":"2.3306"},{"id":17,"name":"Train ID","value":"311-19"},{"id":16,"name":"Locomotive ID","value":"4030"},{"id":130,"name":"Impact","value":""},{"id":150,"name":"Time of Event (Mountain Time)","value":"02:19:21"},{"id":151,"name":"Denver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110"/>
        <v>start /low /b %USERPROFILE%\Documents\GitHub\eaglep3\Utilities\DownloadLogsFromS3.py --loco 4030 --day 2017-09-20</v>
      </c>
      <c r="AN219" s="151" t="str">
        <f t="shared" si="11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08:19:21"},{"id":29,"name":"Sharepoint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112"/>
        <v>https://d0f6bd738d7f1b3e5a7ca70fe4ff75f0.us-east-1.aws.found.io/app/kibana#/discover/Steve-Slow-Train-Analysis-(2080s-and-2083s)?_g=(refreshInterval:(display:Off,pause:!f,section:0,value:0),time:(from:'2017-09-20T01:05:59-0600',mode:absolute,to:'2017-09-20T03:19:21-0600'))&amp;_a=(columns:!('Message%20ID',Summary),filters:!(),index:'emp_*',interval:auto,query:(query_string:(analyze_wildcard:!t,query:'Message%5C+ID:(*)+AND+%22rtdc.l.rtdc.4030%22')),sort:!(Time.ISO8601,asc))</v>
      </c>
    </row>
    <row r="220" spans="1:91" s="20" customFormat="1" x14ac:dyDescent="0.25">
      <c r="A220" s="32" t="s">
        <v>612</v>
      </c>
      <c r="B220" s="7">
        <v>4013</v>
      </c>
      <c r="C220" s="21" t="s">
        <v>197</v>
      </c>
      <c r="D220" s="21" t="s">
        <v>915</v>
      </c>
      <c r="E220" s="13">
        <v>42997.218923611108</v>
      </c>
      <c r="F220" s="13">
        <v>42997.223460648151</v>
      </c>
      <c r="G220" s="7">
        <v>64</v>
      </c>
      <c r="H220" s="21" t="s">
        <v>916</v>
      </c>
      <c r="I220" s="13">
        <v>42997.225949074076</v>
      </c>
      <c r="J220" s="7">
        <v>0</v>
      </c>
      <c r="K220" s="89" t="str">
        <f t="shared" si="97"/>
        <v>4013/4014</v>
      </c>
      <c r="L220" s="185" t="str">
        <f>VLOOKUP(A220,'Trips&amp;Operators'!$C$1:$G$99911,5,FALSE)</f>
        <v>BIRENBAUM THOMAS</v>
      </c>
      <c r="M220" s="6">
        <f t="shared" si="98"/>
        <v>2.488425925548654E-3</v>
      </c>
      <c r="N220" s="7"/>
      <c r="O220" s="7"/>
      <c r="P220" s="7">
        <f t="shared" si="106"/>
        <v>3.5833333327900618</v>
      </c>
      <c r="Q220" s="22"/>
      <c r="R220" s="174" t="s">
        <v>1013</v>
      </c>
      <c r="S220" s="221">
        <f t="shared" si="107"/>
        <v>0</v>
      </c>
      <c r="T220" s="174" t="str">
        <f t="shared" si="99"/>
        <v>Southbound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16" t="str">
        <f t="shared" si="100"/>
        <v>https://d0f6bd738d7f1b3e5a7ca70fe4ff75f0.us-east-1.aws.found.io/app/kibana#/discover/Steve-Slow-Train-Analysis-(2080s-and-2083s)?_g=(refreshInterval:(display:Off,pause:!f,section:0,value:0),time:(from:'2017-09-19T04:15:15-0600',mode:absolute,to:'2017-09-19T06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0" s="204" t="str">
        <f>IF(AA220&lt;VLOOKUP(AG220,Variables!$AC$3:$AD$8,2,FALSE),"Y","N")</f>
        <v>Y</v>
      </c>
      <c r="X220" s="204">
        <f t="shared" si="113"/>
        <v>1</v>
      </c>
      <c r="Y220" s="204">
        <f t="shared" ref="Y220:Y236" si="114">RIGHT(D220,LEN(D220)-4)/10000</f>
        <v>2.3226</v>
      </c>
      <c r="Z220" s="204">
        <f t="shared" ref="Z220:Z236" si="115">RIGHT(H220,LEN(H220)-4)/10000</f>
        <v>1.48</v>
      </c>
      <c r="AA220" s="204">
        <f t="shared" si="101"/>
        <v>0.84260000000000002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 t="shared" si="102"/>
        <v>312</v>
      </c>
      <c r="AE220" s="77" t="str">
        <f t="shared" si="103"/>
        <v>aws s3 cp s3://rtdc.mdm.uploadarchive.raw/RTDC4013/ "%USERPROFILE%\AppData\Local\Temp\OnboardLogs"\RTDC4013\2017-09-19 --exclude "*" --recursive --include "*20170919*" &amp; "%USERPROFILE%\Documents\GitHub\mrs-test-scripts\Headless Mode &amp; Sideloading\WalkAndUnGZ.bat" "%USERPROFILE%\AppData\Local\Temp\OnboardLogs"\RTDC4013\2017-09-19 &amp; aws s3 cp s3://rtdc.mdm.uploadarchive.raw/RTDC4013/ "%USERPROFILE%\AppData\Local\Temp\OnboardLogs"\RTDC4013\2017-09-20 --exclude "*" --recursive --include "*20170920*" &amp; "%USERPROFILE%\Documents\GitHub\mrs-test-scripts\Headless Mode &amp; Sideloading\WalkAndUnGZ.bat" "%USERPROFILE%\AppData\Local\Temp\OnboardLogs"\RTDC4013\2017-09-20</v>
      </c>
      <c r="AF220" s="74" t="str">
        <f t="shared" si="104"/>
        <v>"C:\Program Files (x86)\AstroGrep\AstroGrep.exe" /e /r /s /spath="%USERPROFILE%\AppData\Local\Temp\OnboardLogs" /stypes="app*4013*20170919*" /stext=" 11:.+((SYSTEM_STATE.+slice.+state.+changed )|(ment ac)|(multiple cpu faults)|(system.+state.+changed )|(\[timeout)|(PRM\|1\|D)|(kpr)|(kdp)|(train st.+moving)|(\|lc)|(penalty))"</v>
      </c>
      <c r="AG220" s="182" t="str">
        <f t="shared" si="105"/>
        <v>Other</v>
      </c>
      <c r="AH220" s="78" t="str">
        <f t="shared" si="108"/>
        <v>"%USERPROFILE%\Documents\GitHub\eaglep3\Utilities\RefineRTDCRunTimes.py" --tripid 312-19 --locoid 4013 --swversion DE.1.0.9.0 --startMP 300:23226 --initTime 2017-09-19T05:15:15 --startdatetime 2017-09-19T05:21:47 --delay 64 --endMP 300:14800 --enddatetime 2017-09-19T05:25:22 --enforcementcount 0 &gt;&gt;C:\Users\stu\Documents\GitHub\eaglep3-reporting\EC\2017-09-19-refined-times.txt</v>
      </c>
      <c r="AI220" s="96" t="str">
        <f t="shared" si="109"/>
        <v>echo {"issue":{"subject":"Wi-MAX data drop (same set of outages as affected 118-19)","project_id":79,"tracker_id":40,"status_id":1,"priority_id":2,"assigned_to_id":338,"start_date":"2017-09-19","description":"","custom_fields":[{"id":1,"name":"Subdivision","value":"Other"},{"id":4,"name":"Milepost","value":"1.48"},{"id":17,"name":"Train ID","value":"312-19"},{"id":16,"name":"Locomotive ID","value":"4013"},{"id":130,"name":"Impact","value":""},{"id":150,"name":"Time of Event (Mountain Time)","value":"05:25:22"},{"id":151,"name":"Denver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0" s="47"/>
      <c r="AL220" s="47"/>
      <c r="AM220" s="142" t="str">
        <f t="shared" si="110"/>
        <v>start /low /b %USERPROFILE%\Documents\GitHub\eaglep3\Utilities\DownloadLogsFromS3.py --loco 4013 --day 2017-09-19</v>
      </c>
      <c r="AN220" s="151" t="str">
        <f t="shared" si="111"/>
        <v>echo {"issue":{"subject":"Wi-MAX data drop (same set of outages as affected 118-19)","project_id":30,"tracker_id":4,"status_id":1,"priority_id":1,"assigned_to_id":10,"start_date":"2017-09-19","description":"","custom_fields":[{"id":30,"name":"Category","value":"Issue"},{"id":3,"name":"Functional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11:25:22"},{"id":29,"name":"Sharepoint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112"/>
        <v>https://d0f6bd738d7f1b3e5a7ca70fe4ff75f0.us-east-1.aws.found.io/app/kibana#/discover/Steve-Slow-Train-Analysis-(2080s-and-2083s)?_g=(refreshInterval:(display:Off,pause:!f,section:0,value:0),time:(from:'2017-09-19T04:15:15-0600',mode:absolute,to:'2017-09-19T06:25:22-0600'))&amp;_a=(columns:!('Message%20ID',Summary),filters:!(),index:'emp_*',interval:auto,query:(query_string:(analyze_wildcard:!t,query:'Message%5C+ID:(*)+AND+%22rtdc.l.rtdc.4013%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32" t="s">
        <v>857</v>
      </c>
      <c r="B221" s="7">
        <v>4050</v>
      </c>
      <c r="C221" s="21" t="s">
        <v>197</v>
      </c>
      <c r="D221" s="21" t="s">
        <v>917</v>
      </c>
      <c r="E221" s="13">
        <v>42998.025023148148</v>
      </c>
      <c r="F221" s="13">
        <v>42998.028495370374</v>
      </c>
      <c r="G221" s="7">
        <v>203</v>
      </c>
      <c r="H221" s="21" t="s">
        <v>918</v>
      </c>
      <c r="I221" s="13">
        <v>42998.035162037035</v>
      </c>
      <c r="J221" s="7">
        <v>0</v>
      </c>
      <c r="K221" s="89" t="str">
        <f t="shared" si="97"/>
        <v>4049/4050</v>
      </c>
      <c r="L221" s="185" t="str">
        <f>VLOOKUP(A221,'Trips&amp;Operators'!$C$1:$G$99911,5,FALSE)</f>
        <v>DUNCAN SHEILA</v>
      </c>
      <c r="M221" s="6">
        <f t="shared" si="98"/>
        <v>6.6666666607488878E-3</v>
      </c>
      <c r="N221" s="7">
        <f t="shared" si="106"/>
        <v>9.5999999914783984</v>
      </c>
      <c r="O221" s="7"/>
      <c r="P221" s="7"/>
      <c r="Q221" s="22"/>
      <c r="R221" s="174"/>
      <c r="S221" s="221">
        <f t="shared" si="107"/>
        <v>1</v>
      </c>
      <c r="T221" s="174" t="str">
        <f t="shared" si="99"/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 t="shared" si="100"/>
        <v>https://d0f6bd738d7f1b3e5a7ca70fe4ff75f0.us-east-1.aws.found.io/app/kibana#/discover/Steve-Slow-Train-Analysis-(2080s-and-2083s)?_g=(refreshInterval:(display:Off,pause:!f,section:0,value:0),time:(from:'2017-09-19T23:36:02-0600',mode:absolute,to:'2017-09-20T01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1" s="204" t="str">
        <f>IF(AA221&lt;VLOOKUP(AG221,Variables!$AC$3:$AD$8,2,FALSE),"Y","N")</f>
        <v>Y</v>
      </c>
      <c r="X221" s="204">
        <f t="shared" si="113"/>
        <v>1</v>
      </c>
      <c r="Y221" s="204">
        <f t="shared" si="114"/>
        <v>3.3300000000000003E-2</v>
      </c>
      <c r="Z221" s="204">
        <f t="shared" si="115"/>
        <v>2.3346</v>
      </c>
      <c r="AA221" s="204">
        <f t="shared" si="101"/>
        <v>2.3012999999999999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 t="shared" si="102"/>
        <v>313</v>
      </c>
      <c r="AE221" s="77" t="str">
        <f t="shared" si="103"/>
        <v>aws s3 cp s3://rtdc.mdm.uploadarchive.raw/RTDC4050/ "%USERPROFILE%\AppData\Local\Temp\OnboardLogs"\RTDC4050\2017-09-20 --exclude "*" --recursive --include "*20170920*" &amp; "%USERPROFILE%\Documents\GitHub\mrs-test-scripts\Headless Mode &amp; Sideloading\WalkAndUnGZ.bat" "%USERPROFILE%\AppData\Local\Temp\OnboardLogs"\RTDC4050\2017-09-20 &amp; aws s3 cp s3://rtdc.mdm.uploadarchive.raw/RTDC4050/ "%USERPROFILE%\AppData\Local\Temp\OnboardLogs"\RTDC4050\2017-09-21 --exclude "*" --recursive --include "*20170921*" &amp; "%USERPROFILE%\Documents\GitHub\mrs-test-scripts\Headless Mode &amp; Sideloading\WalkAndUnGZ.bat" "%USERPROFILE%\AppData\Local\Temp\OnboardLogs"\RTDC4050\2017-09-21</v>
      </c>
      <c r="AF221" s="74" t="str">
        <f t="shared" si="104"/>
        <v>"C:\Program Files (x86)\AstroGrep\AstroGrep.exe" /e /r /s /spath="%USERPROFILE%\AppData\Local\Temp\OnboardLogs" /stypes="app*4050*20170920*" /stext=" 06:.+((SYSTEM_STATE.+slice.+state.+changed )|(ment ac)|(multiple cpu faults)|(system.+state.+changed )|(\[timeout)|(PRM\|1\|D)|(kpr)|(kdp)|(train st.+moving)|(\|lc)|(penalty))"</v>
      </c>
      <c r="AG221" s="182" t="str">
        <f t="shared" si="105"/>
        <v>Other</v>
      </c>
      <c r="AH221" s="78" t="str">
        <f t="shared" si="108"/>
        <v>"%USERPROFILE%\Documents\GitHub\eaglep3\Utilities\RefineRTDCRunTimes.py" --tripid 313-19 --locoid 4050 --swversion DE.1.0.9.0 --startMP 204:333 --initTime 2017-09-20T00:36:02 --startdatetime 2017-09-20T00:41:02 --delay 203 --endMP 300:23346 --enddatetime 2017-09-20T00:50:38 --enforcementcount 0 &gt;&gt;C:\Users\stu\Documents\GitHub\eaglep3-reporting\EC\2017-09-19-refined-times.txt</v>
      </c>
      <c r="AI221" s="96" t="str">
        <f t="shared" si="109"/>
        <v>echo {"issue":{"subject":"","project_id":79,"tracker_id":40,"status_id":1,"priority_id":2,"assigned_to_id":338,"start_date":"2017-09-20","description":"","custom_fields":[{"id":1,"name":"Subdivision","value":"Other"},{"id":4,"name":"Milepost","value":"2.3346"},{"id":17,"name":"Train ID","value":"313-19"},{"id":16,"name":"Locomotive ID","value":"4050"},{"id":130,"name":"Impact","value":""},{"id":150,"name":"Time of Event (Mountain Time)","value":"00:50:38"},{"id":151,"name":"Denver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110"/>
        <v>start /low /b %USERPROFILE%\Documents\GitHub\eaglep3\Utilities\DownloadLogsFromS3.py --loco 4050 --day 2017-09-20</v>
      </c>
      <c r="AN221" s="151" t="str">
        <f t="shared" si="11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06:50:38"},{"id":29,"name":"Sharepoint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112"/>
        <v>https://d0f6bd738d7f1b3e5a7ca70fe4ff75f0.us-east-1.aws.found.io/app/kibana#/discover/Steve-Slow-Train-Analysis-(2080s-and-2083s)?_g=(refreshInterval:(display:Off,pause:!f,section:0,value:0),time:(from:'2017-09-19T23:36:02-0600',mode:absolute,to:'2017-09-20T01:50:38-0600'))&amp;_a=(columns:!('Message%20ID',Summary),filters:!(),index:'emp_*',interval:auto,query:(query_string:(analyze_wildcard:!t,query:'Message%5C+ID:(*)+AND+%22rtdc.l.rtdc.4050%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663</v>
      </c>
      <c r="B222" s="7">
        <v>4006</v>
      </c>
      <c r="C222" s="21" t="s">
        <v>197</v>
      </c>
      <c r="D222" s="21" t="s">
        <v>986</v>
      </c>
      <c r="E222" s="13">
        <v>42997.202476851853</v>
      </c>
      <c r="F222" s="13">
        <v>42997.208194444444</v>
      </c>
      <c r="G222" s="7">
        <v>225</v>
      </c>
      <c r="H222" s="21" t="s">
        <v>948</v>
      </c>
      <c r="I222" s="13">
        <v>42997.213969907411</v>
      </c>
      <c r="J222" s="7">
        <v>0</v>
      </c>
      <c r="K222" s="89" t="str">
        <f t="shared" si="97"/>
        <v>4005/4006</v>
      </c>
      <c r="L222" s="185" t="str">
        <f>VLOOKUP(A222,'Trips&amp;Operators'!$C$1:$G$99911,5,FALSE)</f>
        <v>YANG JAN</v>
      </c>
      <c r="M222" s="6">
        <f t="shared" si="98"/>
        <v>5.7754629669943824E-3</v>
      </c>
      <c r="N222" s="7"/>
      <c r="O222" s="7"/>
      <c r="P222" s="7">
        <f t="shared" si="106"/>
        <v>8.3166666724719107</v>
      </c>
      <c r="Q222" s="22"/>
      <c r="R222" s="174" t="s">
        <v>1017</v>
      </c>
      <c r="S222" s="221">
        <f t="shared" si="107"/>
        <v>0</v>
      </c>
      <c r="T222" s="174" t="str">
        <f t="shared" si="99"/>
        <v>NorthBound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16" t="str">
        <f t="shared" si="100"/>
        <v>https://d0f6bd738d7f1b3e5a7ca70fe4ff75f0.us-east-1.aws.found.io/app/kibana#/discover/Steve-Slow-Train-Analysis-(2080s-and-2083s)?_g=(refreshInterval:(display:Off,pause:!f,section:0,value:0),time:(from:'2017-09-19T03:51:34-0600',mode:absolute,to:'2017-09-19T06:08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2" s="204" t="str">
        <f>IF(AA222&lt;VLOOKUP(AG222,Variables!$AC$3:$AD$8,2,FALSE),"Y","N")</f>
        <v>Y</v>
      </c>
      <c r="X222" s="204">
        <f t="shared" si="113"/>
        <v>588</v>
      </c>
      <c r="Y222" s="204">
        <f t="shared" si="114"/>
        <v>2.9889000000000001</v>
      </c>
      <c r="Z222" s="204">
        <f t="shared" si="115"/>
        <v>5.8967000000000001</v>
      </c>
      <c r="AA222" s="204">
        <f t="shared" si="101"/>
        <v>2.9077999999999999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 t="shared" si="102"/>
        <v>901</v>
      </c>
      <c r="AE222" s="77" t="str">
        <f t="shared" si="103"/>
        <v>aws s3 cp s3://rtdc.mdm.uploadarchive.raw/RTDC4006/ "%USERPROFILE%\AppData\Local\Temp\OnboardLogs"\RTDC4006\2017-09-19 --exclude "*" --recursive --include "*20170919*" &amp; "%USERPROFILE%\Documents\GitHub\mrs-test-scripts\Headless Mode &amp; Sideloading\WalkAndUnGZ.bat" "%USERPROFILE%\AppData\Local\Temp\OnboardLogs"\RTDC4006\2017-09-19 &amp; aws s3 cp s3://rtdc.mdm.uploadarchive.raw/RTDC4006/ "%USERPROFILE%\AppData\Local\Temp\OnboardLogs"\RTDC4006\2017-09-20 --exclude "*" --recursive --include "*20170920*" &amp; "%USERPROFILE%\Documents\GitHub\mrs-test-scripts\Headless Mode &amp; Sideloading\WalkAndUnGZ.bat" "%USERPROFILE%\AppData\Local\Temp\OnboardLogs"\RTDC4006\2017-09-20</v>
      </c>
      <c r="AF222" s="74" t="str">
        <f t="shared" si="104"/>
        <v>"C:\Program Files (x86)\AstroGrep\AstroGrep.exe" /e /r /s /spath="%USERPROFILE%\AppData\Local\Temp\OnboardLogs" /stypes="app*4006*20170919*" /stext=" 11:.+((SYSTEM_STATE.+slice.+state.+changed )|(ment ac)|(multiple cpu faults)|(system.+state.+changed )|(\[timeout)|(PRM\|1\|D)|(kpr)|(kdp)|(train st.+moving)|(\|lc)|(penalty))"</v>
      </c>
      <c r="AG222" s="182" t="str">
        <f t="shared" si="105"/>
        <v>Other</v>
      </c>
      <c r="AH222" s="78" t="str">
        <f t="shared" si="108"/>
        <v>"%USERPROFILE%\Documents\GitHub\eaglep3\Utilities\RefineRTDCRunTimes.py" --tripid 901-19 --locoid 4006 --swversion DE.1.0.9.0 --startMP 300:29889 --initTime 2017-09-19T04:51:34 --startdatetime 2017-09-19T04:59:48 --delay 225 --endMP 300:58967 --enddatetime 2017-09-19T05:08:07 --enforcementcount 0 &gt;&gt;C:\Users\stu\Documents\GitHub\eaglep3-reporting\EC\2017-09-19-refined-times.txt</v>
      </c>
      <c r="AI222" s="96" t="str">
        <f t="shared" si="109"/>
        <v>echo {"issue":{"subject":"Red fence due to mid-block init","project_id":79,"tracker_id":40,"status_id":1,"priority_id":2,"assigned_to_id":338,"start_date":"2017-09-19","description":"","custom_fields":[{"id":1,"name":"Subdivision","value":"Other"},{"id":4,"name":"Milepost","value":"5.8967"},{"id":17,"name":"Train ID","value":"901-19"},{"id":16,"name":"Locomotive ID","value":"4006"},{"id":130,"name":"Impact","value":""},{"id":150,"name":"Time of Event (Mountain Time)","value":"05:08:07"},{"id":151,"name":"Denver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2" s="47"/>
      <c r="AL222" s="47"/>
      <c r="AM222" s="142" t="str">
        <f t="shared" si="110"/>
        <v>start /low /b %USERPROFILE%\Documents\GitHub\eaglep3\Utilities\DownloadLogsFromS3.py --loco 4006 --day 2017-09-19</v>
      </c>
      <c r="AN222" s="151" t="str">
        <f t="shared" si="111"/>
        <v>echo {"issue":{"subject":"Red fence due to mid-block init","project_id":30,"tracker_id":4,"status_id":1,"priority_id":1,"assigned_to_id":10,"start_date":"2017-09-19","description":"","custom_fields":[{"id":30,"name":"Category","value":"Issue"},{"id":3,"name":"Functional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11:08:07"},{"id":29,"name":"Sharepoint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112"/>
        <v>https://d0f6bd738d7f1b3e5a7ca70fe4ff75f0.us-east-1.aws.found.io/app/kibana#/discover/Steve-Slow-Train-Analysis-(2080s-and-2083s)?_g=(refreshInterval:(display:Off,pause:!f,section:0,value:0),time:(from:'2017-09-19T03:51:34-0600',mode:absolute,to:'2017-09-19T06:08:07-0600'))&amp;_a=(columns:!('Message%20ID',Summary),filters:!(),index:'emp_*',interval:auto,query:(query_string:(analyze_wildcard:!t,query:'Message%5C+ID:(*)+AND+%22rtdc.l.rtdc.4006%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x14ac:dyDescent="0.25">
      <c r="A223" s="32" t="s">
        <v>675</v>
      </c>
      <c r="B223" s="7">
        <v>4043</v>
      </c>
      <c r="C223" s="21" t="s">
        <v>197</v>
      </c>
      <c r="D223" s="21" t="s">
        <v>987</v>
      </c>
      <c r="E223" s="13">
        <v>42997.238506944443</v>
      </c>
      <c r="F223" s="13">
        <v>42997.240405092591</v>
      </c>
      <c r="G223" s="7">
        <v>53</v>
      </c>
      <c r="H223" s="21" t="s">
        <v>981</v>
      </c>
      <c r="I223" s="13">
        <v>42997.246701388889</v>
      </c>
      <c r="J223" s="7">
        <v>0</v>
      </c>
      <c r="K223" s="89" t="str">
        <f t="shared" si="97"/>
        <v>4043/4044</v>
      </c>
      <c r="L223" s="185" t="str">
        <f>VLOOKUP(A223,'Trips&amp;Operators'!$C$1:$G$99911,5,FALSE)</f>
        <v>FORTUNATO FRANK</v>
      </c>
      <c r="M223" s="6">
        <f t="shared" si="98"/>
        <v>6.2962962983874604E-3</v>
      </c>
      <c r="N223" s="7">
        <f t="shared" si="106"/>
        <v>9.066666669677943</v>
      </c>
      <c r="O223" s="7"/>
      <c r="P223" s="7"/>
      <c r="Q223" s="22"/>
      <c r="R223" s="174"/>
      <c r="S223" s="221">
        <f t="shared" si="107"/>
        <v>1</v>
      </c>
      <c r="T223" s="174" t="str">
        <f t="shared" si="99"/>
        <v>Southbound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 t="shared" si="100"/>
        <v>https://d0f6bd738d7f1b3e5a7ca70fe4ff75f0.us-east-1.aws.found.io/app/kibana#/discover/Steve-Slow-Train-Analysis-(2080s-and-2083s)?_g=(refreshInterval:(display:Off,pause:!f,section:0,value:0),time:(from:'2017-09-19T04:43:27-0600',mode:absolute,to:'2017-09-19T06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3" s="204" t="str">
        <f>IF(AA223&lt;VLOOKUP(AG223,Variables!$AC$3:$AD$8,2,FALSE),"Y","N")</f>
        <v>Y</v>
      </c>
      <c r="X223" s="204">
        <f t="shared" si="113"/>
        <v>1</v>
      </c>
      <c r="Y223" s="204">
        <f t="shared" si="114"/>
        <v>2.3715999999999999</v>
      </c>
      <c r="Z223" s="204">
        <f t="shared" si="115"/>
        <v>7.0300000000000001E-2</v>
      </c>
      <c r="AA223" s="204">
        <f t="shared" si="101"/>
        <v>2.3012999999999999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 t="shared" si="102"/>
        <v>902</v>
      </c>
      <c r="AE223" s="77" t="str">
        <f t="shared" si="103"/>
        <v>aws s3 cp s3://rtdc.mdm.uploadarchive.raw/RTDC4043/ "%USERPROFILE%\AppData\Local\Temp\OnboardLogs"\RTDC4043\2017-09-19 --exclude "*" --recursive --include "*20170919*" &amp; "%USERPROFILE%\Documents\GitHub\mrs-test-scripts\Headless Mode &amp; Sideloading\WalkAndUnGZ.bat" "%USERPROFILE%\AppData\Local\Temp\OnboardLogs"\RTDC4043\2017-09-19 &amp; 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</v>
      </c>
      <c r="AF223" s="74" t="str">
        <f t="shared" si="104"/>
        <v>"C:\Program Files (x86)\AstroGrep\AstroGrep.exe" /e /r /s /spath="%USERPROFILE%\AppData\Local\Temp\OnboardLogs" /stypes="app*4043*20170919*" /stext=" 11:.+((SYSTEM_STATE.+slice.+state.+changed )|(ment ac)|(multiple cpu faults)|(system.+state.+changed )|(\[timeout)|(PRM\|1\|D)|(kpr)|(kdp)|(train st.+moving)|(\|lc)|(penalty))"</v>
      </c>
      <c r="AG223" s="182" t="str">
        <f t="shared" si="105"/>
        <v>Other</v>
      </c>
      <c r="AH223" s="78" t="str">
        <f t="shared" si="108"/>
        <v>"%USERPROFILE%\Documents\GitHub\eaglep3\Utilities\RefineRTDCRunTimes.py" --tripid 902-19 --locoid 4043 --swversion DE.1.0.9.0 --startMP 300:23716 --initTime 2017-09-19T05:43:27 --startdatetime 2017-09-19T05:46:11 --delay 53 --endMP 204:703 --enddatetime 2017-09-19T05:55:15 --enforcementcount 0 &gt;&gt;C:\Users\stu\Documents\GitHub\eaglep3-reporting\EC\2017-09-19-refined-times.txt</v>
      </c>
      <c r="AI223" s="96" t="str">
        <f t="shared" si="109"/>
        <v>echo {"issue":{"subject":"","project_id":79,"tracker_id":40,"status_id":1,"priority_id":2,"assigned_to_id":338,"start_date":"2017-09-19","description":"","custom_fields":[{"id":1,"name":"Subdivision","value":"Other"},{"id":4,"name":"Milepost","value":"0.0703"},{"id":17,"name":"Train ID","value":"902-19"},{"id":16,"name":"Locomotive ID","value":"4043"},{"id":130,"name":"Impact","value":""},{"id":150,"name":"Time of Event (Mountain Time)","value":"05:55:15"},{"id":151,"name":"Denver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110"/>
        <v>start /low /b %USERPROFILE%\Documents\GitHub\eaglep3\Utilities\DownloadLogsFromS3.py --loco 4043 --day 2017-09-19</v>
      </c>
      <c r="AN223" s="151" t="str">
        <f t="shared" si="111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11:55:15"},{"id":29,"name":"Sharepoint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112"/>
        <v>https://d0f6bd738d7f1b3e5a7ca70fe4ff75f0.us-east-1.aws.found.io/app/kibana#/discover/Steve-Slow-Train-Analysis-(2080s-and-2083s)?_g=(refreshInterval:(display:Off,pause:!f,section:0,value:0),time:(from:'2017-09-19T04:43:27-0600',mode:absolute,to:'2017-09-19T06:55:15-0600'))&amp;_a=(columns:!('Message%20ID',Summary),filters:!(),index:'emp_*',interval:auto,query:(query_string:(analyze_wildcard:!t,query:'Message%5C+ID:(*)+AND+%22rtdc.l.rtdc.4043%22')),sort:!(Time.ISO8601,asc))</v>
      </c>
    </row>
    <row r="224" spans="1:91" s="20" customFormat="1" x14ac:dyDescent="0.25">
      <c r="A224" s="32" t="s">
        <v>714</v>
      </c>
      <c r="B224" s="7">
        <v>4006</v>
      </c>
      <c r="C224" s="21" t="s">
        <v>197</v>
      </c>
      <c r="D224" s="21" t="s">
        <v>946</v>
      </c>
      <c r="E224" s="13">
        <v>42997.352962962963</v>
      </c>
      <c r="F224" s="13">
        <v>42997.356423611112</v>
      </c>
      <c r="G224" s="7">
        <v>54</v>
      </c>
      <c r="H224" s="21" t="s">
        <v>988</v>
      </c>
      <c r="I224" s="13">
        <v>42997.362210648149</v>
      </c>
      <c r="J224" s="7">
        <v>0</v>
      </c>
      <c r="K224" s="89" t="str">
        <f t="shared" si="97"/>
        <v>4005/4006</v>
      </c>
      <c r="L224" s="185" t="str">
        <f>VLOOKUP(A224,'Trips&amp;Operators'!$C$1:$G$99911,5,FALSE)</f>
        <v>YANG JAN</v>
      </c>
      <c r="M224" s="6">
        <f t="shared" si="98"/>
        <v>5.7870370364980772E-3</v>
      </c>
      <c r="N224" s="7">
        <f t="shared" si="106"/>
        <v>8.3333333325572312</v>
      </c>
      <c r="O224" s="7"/>
      <c r="P224" s="7"/>
      <c r="Q224" s="22"/>
      <c r="R224" s="174"/>
      <c r="S224" s="221">
        <f t="shared" si="107"/>
        <v>1</v>
      </c>
      <c r="T224" s="174" t="str">
        <f t="shared" si="99"/>
        <v>NorthBound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6" t="str">
        <f t="shared" si="100"/>
        <v>https://d0f6bd738d7f1b3e5a7ca70fe4ff75f0.us-east-1.aws.found.io/app/kibana#/discover/Steve-Slow-Train-Analysis-(2080s-and-2083s)?_g=(refreshInterval:(display:Off,pause:!f,section:0,value:0),time:(from:'2017-09-19T07:28:16-0600',mode:absolute,to:'2017-09-19T09:41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4" s="204" t="str">
        <f>IF(AA224&lt;VLOOKUP(AG224,Variables!$AC$3:$AD$8,2,FALSE),"Y","N")</f>
        <v>Y</v>
      </c>
      <c r="X224" s="204">
        <f t="shared" si="113"/>
        <v>1</v>
      </c>
      <c r="Y224" s="204">
        <f t="shared" si="114"/>
        <v>9.6500000000000002E-2</v>
      </c>
      <c r="Z224" s="204">
        <f t="shared" si="115"/>
        <v>2.4260000000000002</v>
      </c>
      <c r="AA224" s="204">
        <f t="shared" si="101"/>
        <v>2.3295000000000003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 t="shared" si="102"/>
        <v>903</v>
      </c>
      <c r="AE224" s="77" t="str">
        <f t="shared" si="103"/>
        <v>aws s3 cp s3://rtdc.mdm.uploadarchive.raw/RTDC4006/ "%USERPROFILE%\AppData\Local\Temp\OnboardLogs"\RTDC4006\2017-09-19 --exclude "*" --recursive --include "*20170919*" &amp; "%USERPROFILE%\Documents\GitHub\mrs-test-scripts\Headless Mode &amp; Sideloading\WalkAndUnGZ.bat" "%USERPROFILE%\AppData\Local\Temp\OnboardLogs"\RTDC4006\2017-09-19 &amp; aws s3 cp s3://rtdc.mdm.uploadarchive.raw/RTDC4006/ "%USERPROFILE%\AppData\Local\Temp\OnboardLogs"\RTDC4006\2017-09-20 --exclude "*" --recursive --include "*20170920*" &amp; "%USERPROFILE%\Documents\GitHub\mrs-test-scripts\Headless Mode &amp; Sideloading\WalkAndUnGZ.bat" "%USERPROFILE%\AppData\Local\Temp\OnboardLogs"\RTDC4006\2017-09-20</v>
      </c>
      <c r="AF224" s="74" t="str">
        <f t="shared" si="104"/>
        <v>"C:\Program Files (x86)\AstroGrep\AstroGrep.exe" /e /r /s /spath="%USERPROFILE%\AppData\Local\Temp\OnboardLogs" /stypes="app*4006*20170919*" /stext=" 14:.+((SYSTEM_STATE.+slice.+state.+changed )|(ment ac)|(multiple cpu faults)|(system.+state.+changed )|(\[timeout)|(PRM\|1\|D)|(kpr)|(kdp)|(train st.+moving)|(\|lc)|(penalty))"</v>
      </c>
      <c r="AG224" s="182" t="str">
        <f t="shared" si="105"/>
        <v>Other</v>
      </c>
      <c r="AH224" s="78" t="str">
        <f t="shared" si="108"/>
        <v>"%USERPROFILE%\Documents\GitHub\eaglep3\Utilities\RefineRTDCRunTimes.py" --tripid 903-19 --locoid 4006 --swversion DE.1.0.9.0 --startMP 204:965 --initTime 2017-09-19T08:28:16 --startdatetime 2017-09-19T08:33:15 --delay 54 --endMP 300:24260 --enddatetime 2017-09-19T08:41:35 --enforcementcount 0 &gt;&gt;C:\Users\stu\Documents\GitHub\eaglep3-reporting\EC\2017-09-19-refined-times.txt</v>
      </c>
      <c r="AI224" s="96" t="str">
        <f t="shared" si="109"/>
        <v>echo {"issue":{"subject":"","project_id":79,"tracker_id":40,"status_id":1,"priority_id":2,"assigned_to_id":338,"start_date":"2017-09-19","description":"","custom_fields":[{"id":1,"name":"Subdivision","value":"Other"},{"id":4,"name":"Milepost","value":"2.426"},{"id":17,"name":"Train ID","value":"903-19"},{"id":16,"name":"Locomotive ID","value":"4006"},{"id":130,"name":"Impact","value":""},{"id":150,"name":"Time of Event (Mountain Time)","value":"08:41:35"},{"id":151,"name":"Denver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4" s="47"/>
      <c r="AL224" s="47"/>
      <c r="AM224" s="142" t="str">
        <f t="shared" si="110"/>
        <v>start /low /b %USERPROFILE%\Documents\GitHub\eaglep3\Utilities\DownloadLogsFromS3.py --loco 4006 --day 2017-09-19</v>
      </c>
      <c r="AN224" s="151" t="str">
        <f t="shared" si="111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14:41:35"},{"id":29,"name":"Sharepoint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112"/>
        <v>https://d0f6bd738d7f1b3e5a7ca70fe4ff75f0.us-east-1.aws.found.io/app/kibana#/discover/Steve-Slow-Train-Analysis-(2080s-and-2083s)?_g=(refreshInterval:(display:Off,pause:!f,section:0,value:0),time:(from:'2017-09-19T07:28:16-0600',mode:absolute,to:'2017-09-19T09:41:35-0600'))&amp;_a=(columns:!('Message%20ID',Summary),filters:!(),index:'emp_*',interval:auto,query:(query_string:(analyze_wildcard:!t,query:'Message%5C+ID:(*)+AND+%22rtdc.l.rtdc.4006%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32" t="s">
        <v>775</v>
      </c>
      <c r="B225" s="7">
        <v>4005</v>
      </c>
      <c r="C225" s="21" t="s">
        <v>197</v>
      </c>
      <c r="D225" s="21" t="s">
        <v>989</v>
      </c>
      <c r="E225" s="13">
        <v>42997.637361111112</v>
      </c>
      <c r="F225" s="13">
        <v>42997.640335648146</v>
      </c>
      <c r="G225" s="7">
        <v>141</v>
      </c>
      <c r="H225" s="21" t="s">
        <v>585</v>
      </c>
      <c r="I225" s="13">
        <v>42997.64949074074</v>
      </c>
      <c r="J225" s="7">
        <v>0</v>
      </c>
      <c r="K225" s="89" t="str">
        <f t="shared" si="97"/>
        <v>4005/4006</v>
      </c>
      <c r="L225" s="185" t="str">
        <f>VLOOKUP(A225,'Trips&amp;Operators'!$C$1:$G$99911,5,FALSE)</f>
        <v>STAMBAUGH JAMES</v>
      </c>
      <c r="M225" s="6">
        <f t="shared" si="98"/>
        <v>9.1550925935734995E-3</v>
      </c>
      <c r="N225" s="7">
        <f t="shared" si="106"/>
        <v>13.183333334745839</v>
      </c>
      <c r="O225" s="7"/>
      <c r="P225" s="7"/>
      <c r="Q225" s="22"/>
      <c r="R225" s="174"/>
      <c r="S225" s="221">
        <f t="shared" si="107"/>
        <v>1</v>
      </c>
      <c r="T225" s="174" t="str">
        <f t="shared" si="99"/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16" t="str">
        <f t="shared" si="100"/>
        <v>https://d0f6bd738d7f1b3e5a7ca70fe4ff75f0.us-east-1.aws.found.io/app/kibana#/discover/Steve-Slow-Train-Analysis-(2080s-and-2083s)?_g=(refreshInterval:(display:Off,pause:!f,section:0,value:0),time:(from:'2017-09-19T14:17:48-0600',mode:absolute,to:'2017-09-19T16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5" s="204" t="str">
        <f>IF(AA225&lt;VLOOKUP(AG225,Variables!$AC$3:$AD$8,2,FALSE),"Y","N")</f>
        <v>Y</v>
      </c>
      <c r="X225" s="204">
        <f t="shared" si="113"/>
        <v>1</v>
      </c>
      <c r="Y225" s="204">
        <f t="shared" si="114"/>
        <v>2.3664999999999998</v>
      </c>
      <c r="Z225" s="204">
        <f t="shared" si="115"/>
        <v>6.6299999999999998E-2</v>
      </c>
      <c r="AA225" s="204">
        <f t="shared" si="101"/>
        <v>2.3001999999999998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 t="shared" si="102"/>
        <v>904</v>
      </c>
      <c r="AE225" s="77" t="str">
        <f t="shared" si="103"/>
        <v>aws s3 cp s3://rtdc.mdm.uploadarchive.raw/RTDC4005/ "%USERPROFILE%\AppData\Local\Temp\OnboardLogs"\RTDC4005\2017-09-19 --exclude "*" --recursive --include "*20170919*" &amp; "%USERPROFILE%\Documents\GitHub\mrs-test-scripts\Headless Mode &amp; Sideloading\WalkAndUnGZ.bat" "%USERPROFILE%\AppData\Local\Temp\OnboardLogs"\RTDC4005\2017-09-19 &amp; aws s3 cp s3://rtdc.mdm.uploadarchive.raw/RTDC4005/ "%USERPROFILE%\AppData\Local\Temp\OnboardLogs"\RTDC4005\2017-09-20 --exclude "*" --recursive --include "*20170920*" &amp; "%USERPROFILE%\Documents\GitHub\mrs-test-scripts\Headless Mode &amp; Sideloading\WalkAndUnGZ.bat" "%USERPROFILE%\AppData\Local\Temp\OnboardLogs"\RTDC4005\2017-09-20</v>
      </c>
      <c r="AF225" s="74" t="str">
        <f t="shared" si="104"/>
        <v>"C:\Program Files (x86)\AstroGrep\AstroGrep.exe" /e /r /s /spath="%USERPROFILE%\AppData\Local\Temp\OnboardLogs" /stypes="app*4005*20170919*" /stext=" 21:.+((SYSTEM_STATE.+slice.+state.+changed )|(ment ac)|(multiple cpu faults)|(system.+state.+changed )|(\[timeout)|(PRM\|1\|D)|(kpr)|(kdp)|(train st.+moving)|(\|lc)|(penalty))"</v>
      </c>
      <c r="AG225" s="182" t="str">
        <f t="shared" si="105"/>
        <v>Other</v>
      </c>
      <c r="AH225" s="78" t="str">
        <f t="shared" si="108"/>
        <v>"%USERPROFILE%\Documents\GitHub\eaglep3\Utilities\RefineRTDCRunTimes.py" --tripid 904-19 --locoid 4005 --swversion DE.1.0.9.0 --startMP 300:23665 --initTime 2017-09-19T15:17:48 --startdatetime 2017-09-19T15:22:05 --delay 141 --endMP 204:663 --enddatetime 2017-09-19T15:35:16 --enforcementcount 0 &gt;&gt;C:\Users\stu\Documents\GitHub\eaglep3-reporting\EC\2017-09-19-refined-times.txt</v>
      </c>
      <c r="AI225" s="96" t="str">
        <f t="shared" si="109"/>
        <v>echo {"issue":{"subject":"","project_id":79,"tracker_id":40,"status_id":1,"priority_id":2,"assigned_to_id":338,"start_date":"2017-09-19","description":"","custom_fields":[{"id":1,"name":"Subdivision","value":"Other"},{"id":4,"name":"Milepost","value":"0.0663"},{"id":17,"name":"Train ID","value":"904-19"},{"id":16,"name":"Locomotive ID","value":"4005"},{"id":130,"name":"Impact","value":""},{"id":150,"name":"Time of Event (Mountain Time)","value":"15:35:16"},{"id":151,"name":"Denver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5" s="47"/>
      <c r="AL225" s="47"/>
      <c r="AM225" s="142" t="str">
        <f t="shared" si="110"/>
        <v>start /low /b %USERPROFILE%\Documents\GitHub\eaglep3\Utilities\DownloadLogsFromS3.py --loco 4005 --day 2017-09-19</v>
      </c>
      <c r="AN225" s="151" t="str">
        <f t="shared" si="111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21:35:16"},{"id":29,"name":"Sharepoint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112"/>
        <v>https://d0f6bd738d7f1b3e5a7ca70fe4ff75f0.us-east-1.aws.found.io/app/kibana#/discover/Steve-Slow-Train-Analysis-(2080s-and-2083s)?_g=(refreshInterval:(display:Off,pause:!f,section:0,value:0),time:(from:'2017-09-19T14:17:48-0600',mode:absolute,to:'2017-09-19T16:35:16-0600'))&amp;_a=(columns:!('Message%20ID',Summary),filters:!(),index:'emp_*',interval:auto,query:(query_string:(analyze_wildcard:!t,query:'Message%5C+ID:(*)+AND+%22rtdc.l.rtdc.4005%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32" t="s">
        <v>820</v>
      </c>
      <c r="B226" s="7">
        <v>4005</v>
      </c>
      <c r="C226" s="21" t="s">
        <v>197</v>
      </c>
      <c r="D226" s="21" t="s">
        <v>595</v>
      </c>
      <c r="E226" s="13">
        <v>42997.78833333333</v>
      </c>
      <c r="F226" s="13">
        <v>42997.789768518516</v>
      </c>
      <c r="G226" s="7">
        <v>64</v>
      </c>
      <c r="H226" s="21" t="s">
        <v>990</v>
      </c>
      <c r="I226" s="13">
        <v>25568.708333333332</v>
      </c>
      <c r="J226" s="7">
        <v>0</v>
      </c>
      <c r="K226" s="89" t="str">
        <f t="shared" si="97"/>
        <v>4005/4006</v>
      </c>
      <c r="L226" s="185" t="str">
        <f>VLOOKUP(A226,'Trips&amp;Operators'!$C$1:$G$99911,5,FALSE)</f>
        <v>STAMBAUGH JAMES</v>
      </c>
      <c r="M226" s="6">
        <f t="shared" si="98"/>
        <v>-17429.081435185184</v>
      </c>
      <c r="N226" s="7">
        <f t="shared" si="106"/>
        <v>-25097877.266666666</v>
      </c>
      <c r="O226" s="7"/>
      <c r="P226" s="7"/>
      <c r="Q226" s="22"/>
      <c r="R226" s="174"/>
      <c r="S226" s="221">
        <f t="shared" si="107"/>
        <v>0</v>
      </c>
      <c r="T226" s="174" t="str">
        <f t="shared" si="99"/>
        <v>Southbound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 t="shared" si="100"/>
        <v>https://d0f6bd738d7f1b3e5a7ca70fe4ff75f0.us-east-1.aws.found.io/app/kibana#/discover/Steve-Slow-Train-Analysis-(2080s-and-2083s)?_g=(refreshInterval:(display:Off,pause:!f,section:0,value:0),time:(from:'2017-09-19T17:55:12-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6" s="204" t="str">
        <f>IF(AA226&lt;VLOOKUP(AG226,Variables!$AC$3:$AD$8,2,FALSE),"Y","N")</f>
        <v>Y</v>
      </c>
      <c r="X226" s="204">
        <f t="shared" si="113"/>
        <v>2</v>
      </c>
      <c r="Y226" s="204">
        <f t="shared" si="114"/>
        <v>5.8628</v>
      </c>
      <c r="Z226" s="204">
        <f t="shared" si="115"/>
        <v>2.8715000000000002</v>
      </c>
      <c r="AA226" s="204">
        <f t="shared" si="101"/>
        <v>2.9912999999999998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 t="shared" si="102"/>
        <v>906</v>
      </c>
      <c r="AE226" s="77" t="str">
        <f t="shared" si="103"/>
        <v>aws s3 cp s3://rtdc.mdm.uploadarchive.raw/RTDC4005/ "%USERPROFILE%\AppData\Local\Temp\OnboardLogs"\RTDC4005\2017-09-19 --exclude "*" --recursive --include "*20170919*" &amp; "%USERPROFILE%\Documents\GitHub\mrs-test-scripts\Headless Mode &amp; Sideloading\WalkAndUnGZ.bat" "%USERPROFILE%\AppData\Local\Temp\OnboardLogs"\RTDC4005\2017-09-19 &amp; aws s3 cp s3://rtdc.mdm.uploadarchive.raw/RTDC4005/ "%USERPROFILE%\AppData\Local\Temp\OnboardLogs"\RTDC4005\2017-09-20 --exclude "*" --recursive --include "*20170920*" &amp; "%USERPROFILE%\Documents\GitHub\mrs-test-scripts\Headless Mode &amp; Sideloading\WalkAndUnGZ.bat" "%USERPROFILE%\AppData\Local\Temp\OnboardLogs"\RTDC4005\2017-09-20</v>
      </c>
      <c r="AF226" s="74" t="str">
        <f t="shared" si="104"/>
        <v>"C:\Program Files (x86)\AstroGrep\AstroGrep.exe" /e /r /s /spath="%USERPROFILE%\AppData\Local\Temp\OnboardLogs" /stypes="app*4005*19691231*" /stext=" 23:.+((SYSTEM_STATE.+slice.+state.+changed )|(ment ac)|(multiple cpu faults)|(system.+state.+changed )|(\[timeout)|(PRM\|1\|D)|(kpr)|(kdp)|(train st.+moving)|(\|lc)|(penalty))"</v>
      </c>
      <c r="AG226" s="182" t="str">
        <f t="shared" si="105"/>
        <v>Other</v>
      </c>
      <c r="AH226" s="78" t="str">
        <f t="shared" si="108"/>
        <v>"%USERPROFILE%\Documents\GitHub\eaglep3\Utilities\RefineRTDCRunTimes.py" --tripid 906-19 --locoid 4005 --swversion DE.1.0.9.0 --startMP 300:58628 --initTime 2017-09-19T18:55:12 --startdatetime 2017-09-19T18:57:16 --delay 64 --endMP 300:28715 --enddatetime 1969-12-31T17:00:00 --enforcementcount 0 &gt;&gt;C:\Users\stu\Documents\GitHub\eaglep3-reporting\EC\2017-09-19-refined-times.txt</v>
      </c>
      <c r="AI226" s="96" t="str">
        <f t="shared" si="109"/>
        <v>echo {"issue":{"subject":"","project_id":79,"tracker_id":40,"status_id":1,"priority_id":2,"assigned_to_id":338,"start_date":"1969-12-31","description":"","custom_fields":[{"id":1,"name":"Subdivision","value":"Other"},{"id":4,"name":"Milepost","value":"2.8715"},{"id":17,"name":"Train ID","value":"906-19"},{"id":16,"name":"Locomotive ID","value":"4005"},{"id":130,"name":"Impact","value":""},{"id":150,"name":"Time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6" s="47"/>
      <c r="AL226" s="47"/>
      <c r="AM226" s="142" t="str">
        <f t="shared" si="110"/>
        <v>start /low /b %USERPROFILE%\Documents\GitHub\eaglep3\Utilities\DownloadLogsFromS3.py --loco 4005 --day 2017-09-19</v>
      </c>
      <c r="AN226" s="151" t="str">
        <f t="shared" si="111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112"/>
        <v>https://d0f6bd738d7f1b3e5a7ca70fe4ff75f0.us-east-1.aws.found.io/app/kibana#/discover/Steve-Slow-Train-Analysis-(2080s-and-2083s)?_g=(refreshInterval:(display:Off,pause:!f,section:0,value:0),time:(from:'2017-09-19T17:55:12-0600',mode:absolute,to:'1969-12-31T18:00:00-0600'))&amp;_a=(columns:!('Message%20ID',Summary),filters:!(),index:'emp_*',interval:auto,query:(query_string:(analyze_wildcard:!t,query:'Message%5C+ID:(*)+AND+%22rtdc.l.rtdc.4005%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32" t="s">
        <v>851</v>
      </c>
      <c r="B227" s="7">
        <v>4043</v>
      </c>
      <c r="C227" s="21" t="s">
        <v>197</v>
      </c>
      <c r="D227" s="21" t="s">
        <v>991</v>
      </c>
      <c r="E227" s="13">
        <v>42997.974363425928</v>
      </c>
      <c r="F227" s="13">
        <v>42997.975578703707</v>
      </c>
      <c r="G227" s="7">
        <v>50</v>
      </c>
      <c r="H227" s="21" t="s">
        <v>992</v>
      </c>
      <c r="I227" s="13">
        <v>42997.984525462962</v>
      </c>
      <c r="J227" s="7">
        <v>0</v>
      </c>
      <c r="K227" s="89" t="str">
        <f t="shared" si="97"/>
        <v>4043/4044</v>
      </c>
      <c r="L227" s="185" t="str">
        <f>VLOOKUP(A227,'Trips&amp;Operators'!$C$1:$G$99911,5,FALSE)</f>
        <v>STAMBAUGH JAMES</v>
      </c>
      <c r="M227" s="6">
        <f t="shared" si="98"/>
        <v>8.9467592551955022E-3</v>
      </c>
      <c r="N227" s="7">
        <f t="shared" si="106"/>
        <v>12.883333327481523</v>
      </c>
      <c r="O227" s="7"/>
      <c r="P227" s="7"/>
      <c r="Q227" s="22"/>
      <c r="R227" s="174"/>
      <c r="S227" s="221">
        <f t="shared" si="107"/>
        <v>0</v>
      </c>
      <c r="T227" s="174" t="str">
        <f t="shared" si="99"/>
        <v>Southbound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6" t="str">
        <f t="shared" si="100"/>
        <v>https://d0f6bd738d7f1b3e5a7ca70fe4ff75f0.us-east-1.aws.found.io/app/kibana#/discover/Steve-Slow-Train-Analysis-(2080s-and-2083s)?_g=(refreshInterval:(display:Off,pause:!f,section:0,value:0),time:(from:'2017-09-19T22:23:05-0600',mode:absolute,to:'2017-09-20T00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7" s="204" t="str">
        <f>IF(AA227&lt;VLOOKUP(AG227,Variables!$AC$3:$AD$8,2,FALSE),"Y","N")</f>
        <v>Y</v>
      </c>
      <c r="X227" s="204">
        <f t="shared" si="113"/>
        <v>2</v>
      </c>
      <c r="Y227" s="204">
        <f t="shared" si="114"/>
        <v>5.8634000000000004</v>
      </c>
      <c r="Z227" s="204">
        <f t="shared" si="115"/>
        <v>2.8761000000000001</v>
      </c>
      <c r="AA227" s="204">
        <f t="shared" si="101"/>
        <v>2.9873000000000003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 t="shared" si="102"/>
        <v>908</v>
      </c>
      <c r="AE227" s="77" t="str">
        <f t="shared" si="103"/>
        <v>aws s3 cp s3://rtdc.mdm.uploadarchive.raw/RTDC4043/ "%USERPROFILE%\AppData\Local\Temp\OnboardLogs"\RTDC4043\2017-09-19 --exclude "*" --recursive --include "*20170919*" &amp; "%USERPROFILE%\Documents\GitHub\mrs-test-scripts\Headless Mode &amp; Sideloading\WalkAndUnGZ.bat" "%USERPROFILE%\AppData\Local\Temp\OnboardLogs"\RTDC4043\2017-09-19 &amp; 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</v>
      </c>
      <c r="AF227" s="74" t="str">
        <f t="shared" si="104"/>
        <v>"C:\Program Files (x86)\AstroGrep\AstroGrep.exe" /e /r /s /spath="%USERPROFILE%\AppData\Local\Temp\OnboardLogs" /stypes="app*4043*20170920*" /stext=" 05:.+((SYSTEM_STATE.+slice.+state.+changed )|(ment ac)|(multiple cpu faults)|(system.+state.+changed )|(\[timeout)|(PRM\|1\|D)|(kpr)|(kdp)|(train st.+moving)|(\|lc)|(penalty))"</v>
      </c>
      <c r="AG227" s="182" t="str">
        <f t="shared" si="105"/>
        <v>Other</v>
      </c>
      <c r="AH227" s="78" t="str">
        <f t="shared" si="108"/>
        <v>"%USERPROFILE%\Documents\GitHub\eaglep3\Utilities\RefineRTDCRunTimes.py" --tripid 908-19 --locoid 4043 --swversion DE.1.0.9.0 --startMP 300:58634 --initTime 2017-09-19T23:23:05 --startdatetime 2017-09-19T23:24:50 --delay 50 --endMP 300:28761 --enddatetime 2017-09-19T23:37:43 --enforcementcount 0 &gt;&gt;C:\Users\stu\Documents\GitHub\eaglep3-reporting\EC\2017-09-19-refined-times.txt</v>
      </c>
      <c r="AI227" s="96" t="str">
        <f t="shared" si="109"/>
        <v>echo {"issue":{"subject":"","project_id":79,"tracker_id":40,"status_id":1,"priority_id":2,"assigned_to_id":338,"start_date":"2017-09-19","description":"","custom_fields":[{"id":1,"name":"Subdivision","value":"Other"},{"id":4,"name":"Milepost","value":"2.8761"},{"id":17,"name":"Train ID","value":"908-19"},{"id":16,"name":"Locomotive ID","value":"4043"},{"id":130,"name":"Impact","value":""},{"id":150,"name":"Time of Event (Mountain Time)","value":"23:37:43"},{"id":151,"name":"Denver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7" s="47"/>
      <c r="AL227" s="47"/>
      <c r="AM227" s="142" t="str">
        <f t="shared" si="110"/>
        <v>start /low /b %USERPROFILE%\Documents\GitHub\eaglep3\Utilities\DownloadLogsFromS3.py --loco 4043 --day 2017-09-19</v>
      </c>
      <c r="AN227" s="151" t="str">
        <f t="shared" si="11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05:37:43"},{"id":29,"name":"Sharepoint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112"/>
        <v>https://d0f6bd738d7f1b3e5a7ca70fe4ff75f0.us-east-1.aws.found.io/app/kibana#/discover/Steve-Slow-Train-Analysis-(2080s-and-2083s)?_g=(refreshInterval:(display:Off,pause:!f,section:0,value:0),time:(from:'2017-09-19T22:23:05-0600',mode:absolute,to:'2017-09-20T00:37:43-0600'))&amp;_a=(columns:!('Message%20ID',Summary),filters:!(),index:'emp_*',interval:auto,query:(query_string:(analyze_wildcard:!t,query:'Message%5C+ID:(*)+AND+%22rtdc.l.rtdc.4043%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x14ac:dyDescent="0.25">
      <c r="A228" s="32" t="s">
        <v>808</v>
      </c>
      <c r="B228" s="7">
        <v>4009</v>
      </c>
      <c r="C228" s="21" t="s">
        <v>197</v>
      </c>
      <c r="D228" s="21" t="s">
        <v>919</v>
      </c>
      <c r="E228" s="13">
        <v>42997.753622685188</v>
      </c>
      <c r="F228" s="13">
        <v>42997.759375000001</v>
      </c>
      <c r="G228" s="7">
        <v>79</v>
      </c>
      <c r="H228" s="21" t="s">
        <v>920</v>
      </c>
      <c r="I228" s="13">
        <v>42997.765370370369</v>
      </c>
      <c r="J228" s="7">
        <v>0</v>
      </c>
      <c r="K228" s="89" t="str">
        <f t="shared" si="97"/>
        <v>4009/4010</v>
      </c>
      <c r="L228" s="185" t="str">
        <f>VLOOKUP(A228,'Trips&amp;Operators'!$C$1:$G$99911,5,FALSE)</f>
        <v>RESPASS AARON</v>
      </c>
      <c r="M228" s="6">
        <f t="shared" si="98"/>
        <v>5.9953703676001169E-3</v>
      </c>
      <c r="N228" s="7">
        <f t="shared" si="106"/>
        <v>8.6333333293441683</v>
      </c>
      <c r="O228" s="7"/>
      <c r="P228" s="7"/>
      <c r="Q228" s="22"/>
      <c r="R228" s="174"/>
      <c r="S228" s="221">
        <f t="shared" si="107"/>
        <v>1</v>
      </c>
      <c r="T228" s="174" t="str">
        <f t="shared" si="99"/>
        <v>Southbound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16" t="str">
        <f t="shared" si="100"/>
        <v>https://d0f6bd738d7f1b3e5a7ca70fe4ff75f0.us-east-1.aws.found.io/app/kibana#/discover/Steve-Slow-Train-Analysis-(2080s-and-2083s)?_g=(refreshInterval:(display:Off,pause:!f,section:0,value:0),time:(from:'2017-09-19T17:05:13-0600',mode:absolute,to:'2017-09-19T19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8" s="204" t="str">
        <f>IF(AA228&lt;VLOOKUP(AG228,Variables!$AC$3:$AD$8,2,FALSE),"Y","N")</f>
        <v>Y</v>
      </c>
      <c r="X228" s="204">
        <f t="shared" si="113"/>
        <v>-858</v>
      </c>
      <c r="Y228" s="204">
        <f t="shared" si="114"/>
        <v>2.2290999999999999</v>
      </c>
      <c r="Z228" s="204">
        <f t="shared" si="115"/>
        <v>0.1128</v>
      </c>
      <c r="AA228" s="204">
        <f t="shared" si="101"/>
        <v>2.1162999999999998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 t="shared" si="102"/>
        <v>50</v>
      </c>
      <c r="AE228" s="77" t="str">
        <f t="shared" si="103"/>
        <v>aws s3 cp s3://rtdc.mdm.uploadarchive.raw/RTDC4009/ "%USERPROFILE%\AppData\Local\Temp\OnboardLogs"\RTDC4009\2017-09-19 --exclude "*" --recursive --include "*20170919*" &amp; "%USERPROFILE%\Documents\GitHub\mrs-test-scripts\Headless Mode &amp; Sideloading\WalkAndUnGZ.bat" "%USERPROFILE%\AppData\Local\Temp\OnboardLogs"\RTDC4009\2017-09-19 &amp; aws s3 cp s3://rtdc.mdm.uploadarchive.raw/RTDC4009/ "%USERPROFILE%\AppData\Local\Temp\OnboardLogs"\RTDC4009\2017-09-20 --exclude "*" --recursive --include "*20170920*" &amp; "%USERPROFILE%\Documents\GitHub\mrs-test-scripts\Headless Mode &amp; Sideloading\WalkAndUnGZ.bat" "%USERPROFILE%\AppData\Local\Temp\OnboardLogs"\RTDC4009\2017-09-20</v>
      </c>
      <c r="AF228" s="74" t="str">
        <f t="shared" si="104"/>
        <v>"C:\Program Files (x86)\AstroGrep\AstroGrep.exe" /e /r /s /spath="%USERPROFILE%\AppData\Local\Temp\OnboardLogs" /stypes="app*4009*20170920*" /stext=" 00:.+((SYSTEM_STATE.+slice.+state.+changed )|(ment ac)|(multiple cpu faults)|(system.+state.+changed )|(\[timeout)|(PRM\|1\|D)|(kpr)|(kdp)|(train st.+moving)|(\|lc)|(penalty))"</v>
      </c>
      <c r="AG228" s="182" t="str">
        <f t="shared" si="105"/>
        <v>Shuttle/Test</v>
      </c>
      <c r="AH228" s="78" t="str">
        <f t="shared" si="108"/>
        <v>"%USERPROFILE%\Documents\GitHub\eaglep3\Utilities\RefineRTDCRunTimes.py" --tripid 50-19 --locoid 4009 --swversion DE.1.0.9.0 --startMP 300:22291 --initTime 2017-09-19T18:05:13 --startdatetime 2017-09-19T18:13:30 --delay 79 --endMP 204:1128 --enddatetime 2017-09-19T18:22:08 --enforcementcount 0 &gt;&gt;C:\Users\stu\Documents\GitHub\eaglep3-reporting\EC\2017-09-19-refined-times.txt</v>
      </c>
      <c r="AI228" s="96" t="str">
        <f t="shared" si="109"/>
        <v>echo {"issue":{"subject":"","project_id":79,"tracker_id":40,"status_id":1,"priority_id":2,"assigned_to_id":338,"start_date":"2017-09-19","description":"","custom_fields":[{"id":1,"name":"Subdivision","value":"Shuttle/Test"},{"id":4,"name":"Milepost","value":"0.1128"},{"id":17,"name":"Train ID","value":"50-19"},{"id":16,"name":"Locomotive ID","value":"4009"},{"id":130,"name":"Impact","value":""},{"id":150,"name":"Time of Event (Mountain Time)","value":"18:22:08"},{"id":151,"name":"Denver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110"/>
        <v>start /low /b %USERPROFILE%\Documents\GitHub\eaglep3\Utilities\DownloadLogsFromS3.py --loco 4009 --day 2017-09-19</v>
      </c>
      <c r="AN228" s="151" t="str">
        <f t="shared" si="11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00:22:08"},{"id":29,"name":"Sharepoint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112"/>
        <v>https://d0f6bd738d7f1b3e5a7ca70fe4ff75f0.us-east-1.aws.found.io/app/kibana#/discover/Steve-Slow-Train-Analysis-(2080s-and-2083s)?_g=(refreshInterval:(display:Off,pause:!f,section:0,value:0),time:(from:'2017-09-19T17:05:13-0600',mode:absolute,to:'2017-09-19T19:22:08-0600'))&amp;_a=(columns:!('Message%20ID',Summary),filters:!(),index:'emp_*',interval:auto,query:(query_string:(analyze_wildcard:!t,query:'Message%5C+ID:(*)+AND+%22rtdc.l.rtdc.4009%22')),sort:!(Time.ISO8601,asc))</v>
      </c>
    </row>
    <row r="229" spans="1:91" x14ac:dyDescent="0.25">
      <c r="A229" s="32" t="s">
        <v>729</v>
      </c>
      <c r="B229" s="7">
        <v>4017</v>
      </c>
      <c r="C229" s="21" t="s">
        <v>197</v>
      </c>
      <c r="D229" s="21" t="s">
        <v>921</v>
      </c>
      <c r="E229" s="13">
        <v>42997.439606481479</v>
      </c>
      <c r="F229" s="13">
        <v>42997.444525462961</v>
      </c>
      <c r="G229" s="7">
        <v>152</v>
      </c>
      <c r="H229" s="21" t="s">
        <v>922</v>
      </c>
      <c r="I229" s="13">
        <v>42997.449675925927</v>
      </c>
      <c r="J229" s="7">
        <v>0</v>
      </c>
      <c r="K229" s="89" t="str">
        <f t="shared" si="97"/>
        <v>4017/4018</v>
      </c>
      <c r="L229" s="185" t="str">
        <f>VLOOKUP(A229,'Trips&amp;Operators'!$C$1:$G$99911,5,FALSE)</f>
        <v>SWANSON BRYCE</v>
      </c>
      <c r="M229" s="6">
        <f t="shared" si="98"/>
        <v>5.1504629664123058E-3</v>
      </c>
      <c r="N229" s="7">
        <f t="shared" si="106"/>
        <v>7.4166666716337204</v>
      </c>
      <c r="O229" s="7"/>
      <c r="P229" s="7"/>
      <c r="Q229" s="22"/>
      <c r="R229" s="174"/>
      <c r="S229" s="221">
        <f t="shared" si="107"/>
        <v>1</v>
      </c>
      <c r="T229" s="174" t="str">
        <f t="shared" si="99"/>
        <v>Southbound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16" t="str">
        <f t="shared" si="100"/>
        <v>https://d0f6bd738d7f1b3e5a7ca70fe4ff75f0.us-east-1.aws.found.io/app/kibana#/discover/Steve-Slow-Train-Analysis-(2080s-and-2083s)?_g=(refreshInterval:(display:Off,pause:!f,section:0,value:0),time:(from:'2017-09-19T09:33:02-0600',mode:absolute,to:'2017-09-19T11:47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9" s="204" t="str">
        <f>IF(AA229&lt;VLOOKUP(AG229,Variables!$AC$3:$AD$8,2,FALSE),"Y","N")</f>
        <v>Y</v>
      </c>
      <c r="X229" s="204">
        <f t="shared" si="113"/>
        <v>6</v>
      </c>
      <c r="Y229" s="204">
        <f t="shared" si="114"/>
        <v>2.1871</v>
      </c>
      <c r="Z229" s="204">
        <f t="shared" si="115"/>
        <v>9.4299999999999995E-2</v>
      </c>
      <c r="AA229" s="204">
        <f t="shared" si="101"/>
        <v>2.0928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 t="shared" si="102"/>
        <v>56</v>
      </c>
      <c r="AE229" s="77" t="str">
        <f t="shared" si="103"/>
        <v>aws s3 cp s3://rtdc.mdm.uploadarchive.raw/RTDC4017/ "%USERPROFILE%\AppData\Local\Temp\OnboardLogs"\RTDC4017\2017-09-19 --exclude "*" --recursive --include "*20170919*" &amp; "%USERPROFILE%\Documents\GitHub\mrs-test-scripts\Headless Mode &amp; Sideloading\WalkAndUnGZ.bat" "%USERPROFILE%\AppData\Local\Temp\OnboardLogs"\RTDC4017\2017-09-19 &amp; aws s3 cp s3://rtdc.mdm.uploadarchive.raw/RTDC4017/ "%USERPROFILE%\AppData\Local\Temp\OnboardLogs"\RTDC4017\2017-09-20 --exclude "*" --recursive --include "*20170920*" &amp; "%USERPROFILE%\Documents\GitHub\mrs-test-scripts\Headless Mode &amp; Sideloading\WalkAndUnGZ.bat" "%USERPROFILE%\AppData\Local\Temp\OnboardLogs"\RTDC4017\2017-09-20</v>
      </c>
      <c r="AF229" s="74" t="str">
        <f t="shared" si="104"/>
        <v>"C:\Program Files (x86)\AstroGrep\AstroGrep.exe" /e /r /s /spath="%USERPROFILE%\AppData\Local\Temp\OnboardLogs" /stypes="app*4017*20170919*" /stext=" 16:.+((SYSTEM_STATE.+slice.+state.+changed )|(ment ac)|(multiple cpu faults)|(system.+state.+changed )|(\[timeout)|(PRM\|1\|D)|(kpr)|(kdp)|(train st.+moving)|(\|lc)|(penalty))"</v>
      </c>
      <c r="AG229" s="182" t="str">
        <f t="shared" si="105"/>
        <v>Shuttle/Test</v>
      </c>
      <c r="AH229" s="78" t="str">
        <f t="shared" si="108"/>
        <v>"%USERPROFILE%\Documents\GitHub\eaglep3\Utilities\RefineRTDCRunTimes.py" --tripid 56-19 --locoid 4017 --swversion DE.1.0.9.0 --startMP 300:21871 --initTime 2017-09-19T10:33:02 --startdatetime 2017-09-19T10:40:07 --delay 152 --endMP 204:943 --enddatetime 2017-09-19T10:47:32 --enforcementcount 0 &gt;&gt;C:\Users\stu\Documents\GitHub\eaglep3-reporting\EC\2017-09-19-refined-times.txt</v>
      </c>
      <c r="AI229" s="96" t="str">
        <f t="shared" si="109"/>
        <v>echo {"issue":{"subject":"","project_id":79,"tracker_id":40,"status_id":1,"priority_id":2,"assigned_to_id":338,"start_date":"2017-09-19","description":"","custom_fields":[{"id":1,"name":"Subdivision","value":"Shuttle/Test"},{"id":4,"name":"Milepost","value":"0.0943"},{"id":17,"name":"Train ID","value":"56-19"},{"id":16,"name":"Locomotive ID","value":"4017"},{"id":130,"name":"Impact","value":""},{"id":150,"name":"Time of Event (Mountain Time)","value":"10:47:32"},{"id":151,"name":"Denver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110"/>
        <v>start /low /b %USERPROFILE%\Documents\GitHub\eaglep3\Utilities\DownloadLogsFromS3.py --loco 4017 --day 2017-09-19</v>
      </c>
      <c r="AN229" s="151" t="str">
        <f t="shared" si="111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16:47:32"},{"id":29,"name":"Sharepoint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112"/>
        <v>https://d0f6bd738d7f1b3e5a7ca70fe4ff75f0.us-east-1.aws.found.io/app/kibana#/discover/Steve-Slow-Train-Analysis-(2080s-and-2083s)?_g=(refreshInterval:(display:Off,pause:!f,section:0,value:0),time:(from:'2017-09-19T09:33:02-0600',mode:absolute,to:'2017-09-19T11:47:32-0600'))&amp;_a=(columns:!('Message%20ID',Summary),filters:!(),index:'emp_*',interval:auto,query:(query_string:(analyze_wildcard:!t,query:'Message%5C+ID:(*)+AND+%22rtdc.l.rtdc.4017%22')),sort:!(Time.ISO8601,asc))</v>
      </c>
    </row>
    <row r="230" spans="1:91" s="20" customFormat="1" x14ac:dyDescent="0.25">
      <c r="A230" s="32" t="s">
        <v>740</v>
      </c>
      <c r="B230" s="7">
        <v>4018</v>
      </c>
      <c r="C230" s="21" t="s">
        <v>197</v>
      </c>
      <c r="D230" s="21" t="s">
        <v>923</v>
      </c>
      <c r="E230" s="13">
        <v>42997.477743055555</v>
      </c>
      <c r="F230" s="13">
        <v>42997.480057870373</v>
      </c>
      <c r="G230" s="7">
        <v>109</v>
      </c>
      <c r="H230" s="21" t="s">
        <v>924</v>
      </c>
      <c r="I230" s="13">
        <v>42997.485486111109</v>
      </c>
      <c r="J230" s="7">
        <v>0</v>
      </c>
      <c r="K230" s="89" t="str">
        <f t="shared" si="97"/>
        <v>4017/4018</v>
      </c>
      <c r="L230" s="185" t="str">
        <f>VLOOKUP(A230,'Trips&amp;Operators'!$C$1:$G$99911,5,FALSE)</f>
        <v>ROMERO CHAD</v>
      </c>
      <c r="M230" s="6">
        <f t="shared" si="98"/>
        <v>5.428240736364387E-3</v>
      </c>
      <c r="N230" s="7">
        <f t="shared" si="106"/>
        <v>7.8166666603647172</v>
      </c>
      <c r="O230" s="7"/>
      <c r="P230" s="7"/>
      <c r="Q230" s="22"/>
      <c r="R230" s="174"/>
      <c r="S230" s="221">
        <f t="shared" si="107"/>
        <v>1</v>
      </c>
      <c r="T230" s="174" t="str">
        <f t="shared" si="99"/>
        <v>NorthBound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216" t="str">
        <f t="shared" si="100"/>
        <v>https://d0f6bd738d7f1b3e5a7ca70fe4ff75f0.us-east-1.aws.found.io/app/kibana#/discover/Steve-Slow-Train-Analysis-(2080s-and-2083s)?_g=(refreshInterval:(display:Off,pause:!f,section:0,value:0),time:(from:'2017-09-19T10:27:57-0600',mode:absolute,to:'2017-09-19T12:39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0" s="204" t="str">
        <f>IF(AA230&lt;VLOOKUP(AG230,Variables!$AC$3:$AD$8,2,FALSE),"Y","N")</f>
        <v>Y</v>
      </c>
      <c r="X230" s="204">
        <f t="shared" si="113"/>
        <v>1</v>
      </c>
      <c r="Y230" s="204">
        <f t="shared" si="114"/>
        <v>0.12590000000000001</v>
      </c>
      <c r="Z230" s="204">
        <f t="shared" si="115"/>
        <v>2.4266999999999999</v>
      </c>
      <c r="AA230" s="204">
        <f t="shared" si="101"/>
        <v>2.3007999999999997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 t="shared" si="102"/>
        <v>57</v>
      </c>
      <c r="AE230" s="77" t="str">
        <f t="shared" si="103"/>
        <v>aws s3 cp s3://rtdc.mdm.uploadarchive.raw/RTDC4018/ "%USERPROFILE%\AppData\Local\Temp\OnboardLogs"\RTDC4018\2017-09-19 --exclude "*" --recursive --include "*20170919*" &amp; "%USERPROFILE%\Documents\GitHub\mrs-test-scripts\Headless Mode &amp; Sideloading\WalkAndUnGZ.bat" "%USERPROFILE%\AppData\Local\Temp\OnboardLogs"\RTDC4018\2017-09-19 &amp; aws s3 cp s3://rtdc.mdm.uploadarchive.raw/RTDC4018/ "%USERPROFILE%\AppData\Local\Temp\OnboardLogs"\RTDC4018\2017-09-20 --exclude "*" --recursive --include "*20170920*" &amp; "%USERPROFILE%\Documents\GitHub\mrs-test-scripts\Headless Mode &amp; Sideloading\WalkAndUnGZ.bat" "%USERPROFILE%\AppData\Local\Temp\OnboardLogs"\RTDC4018\2017-09-20</v>
      </c>
      <c r="AF230" s="74" t="str">
        <f t="shared" si="104"/>
        <v>"C:\Program Files (x86)\AstroGrep\AstroGrep.exe" /e /r /s /spath="%USERPROFILE%\AppData\Local\Temp\OnboardLogs" /stypes="app*4018*20170919*" /stext=" 17:.+((SYSTEM_STATE.+slice.+state.+changed )|(ment ac)|(multiple cpu faults)|(system.+state.+changed )|(\[timeout)|(PRM\|1\|D)|(kpr)|(kdp)|(train st.+moving)|(\|lc)|(penalty))"</v>
      </c>
      <c r="AG230" s="182" t="str">
        <f t="shared" si="105"/>
        <v>Shuttle/Test</v>
      </c>
      <c r="AH230" s="78" t="str">
        <f t="shared" si="108"/>
        <v>"%USERPROFILE%\Documents\GitHub\eaglep3\Utilities\RefineRTDCRunTimes.py" --tripid 57-19 --locoid 4018 --swversion DE.1.0.9.0 --startMP 204:1259 --initTime 2017-09-19T11:27:57 --startdatetime 2017-09-19T11:31:17 --delay 109 --endMP 300:24267 --enddatetime 2017-09-19T11:39:06 --enforcementcount 0 &gt;&gt;C:\Users\stu\Documents\GitHub\eaglep3-reporting\EC\2017-09-19-refined-times.txt</v>
      </c>
      <c r="AI230" s="96" t="str">
        <f t="shared" si="109"/>
        <v>echo {"issue":{"subject":"","project_id":79,"tracker_id":40,"status_id":1,"priority_id":2,"assigned_to_id":338,"start_date":"2017-09-19","description":"","custom_fields":[{"id":1,"name":"Subdivision","value":"Shuttle/Test"},{"id":4,"name":"Milepost","value":"2.4267"},{"id":17,"name":"Train ID","value":"57-19"},{"id":16,"name":"Locomotive ID","value":"4018"},{"id":130,"name":"Impact","value":""},{"id":150,"name":"Time of Event (Mountain Time)","value":"11:39:06"},{"id":151,"name":"Denver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0" s="47"/>
      <c r="AL230" s="47"/>
      <c r="AM230" s="142" t="str">
        <f t="shared" si="110"/>
        <v>start /low /b %USERPROFILE%\Documents\GitHub\eaglep3\Utilities\DownloadLogsFromS3.py --loco 4018 --day 2017-09-19</v>
      </c>
      <c r="AN230" s="151" t="str">
        <f t="shared" si="111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17:39:06"},{"id":29,"name":"Sharepoint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112"/>
        <v>https://d0f6bd738d7f1b3e5a7ca70fe4ff75f0.us-east-1.aws.found.io/app/kibana#/discover/Steve-Slow-Train-Analysis-(2080s-and-2083s)?_g=(refreshInterval:(display:Off,pause:!f,section:0,value:0),time:(from:'2017-09-19T10:27:57-0600',mode:absolute,to:'2017-09-19T12:39:06-0600'))&amp;_a=(columns:!('Message%20ID',Summary),filters:!(),index:'emp_*',interval:auto,query:(query_string:(analyze_wildcard:!t,query:'Message%5C+ID:(*)+AND+%22rtdc.l.rtdc.4018%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x14ac:dyDescent="0.25">
      <c r="A231" s="32" t="s">
        <v>798</v>
      </c>
      <c r="B231" s="7">
        <v>4060</v>
      </c>
      <c r="C231" s="21" t="s">
        <v>197</v>
      </c>
      <c r="D231" s="21" t="s">
        <v>925</v>
      </c>
      <c r="E231" s="13">
        <v>42997.717777777776</v>
      </c>
      <c r="F231" s="13">
        <v>42997.734317129631</v>
      </c>
      <c r="G231" s="7">
        <v>66</v>
      </c>
      <c r="H231" s="21" t="s">
        <v>918</v>
      </c>
      <c r="I231" s="13">
        <v>42997.741631944446</v>
      </c>
      <c r="J231" s="7">
        <v>0</v>
      </c>
      <c r="K231" s="89" t="str">
        <f t="shared" si="97"/>
        <v>4059/4060</v>
      </c>
      <c r="L231" s="185" t="str">
        <f>VLOOKUP(A231,'Trips&amp;Operators'!$C$1:$G$99911,5,FALSE)</f>
        <v>NELSON ARIANE</v>
      </c>
      <c r="M231" s="6">
        <f t="shared" si="98"/>
        <v>7.3148148148902692E-3</v>
      </c>
      <c r="N231" s="7">
        <f t="shared" si="106"/>
        <v>10.533333333441988</v>
      </c>
      <c r="O231" s="7"/>
      <c r="P231" s="7"/>
      <c r="Q231" s="22"/>
      <c r="R231" s="174"/>
      <c r="S231" s="221">
        <f t="shared" si="107"/>
        <v>1</v>
      </c>
      <c r="T231" s="174" t="str">
        <f t="shared" si="99"/>
        <v>NorthBound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216" t="str">
        <f t="shared" si="100"/>
        <v>https://d0f6bd738d7f1b3e5a7ca70fe4ff75f0.us-east-1.aws.found.io/app/kibana#/discover/Steve-Slow-Train-Analysis-(2080s-and-2083s)?_g=(refreshInterval:(display:Off,pause:!f,section:0,value:0),time:(from:'2017-09-19T16:13:36-0600',mode:absolute,to:'2017-09-19T18:47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1" s="204" t="str">
        <f>IF(AA231&lt;VLOOKUP(AG231,Variables!$AC$3:$AD$8,2,FALSE),"Y","N")</f>
        <v>Y</v>
      </c>
      <c r="X231" s="204">
        <f t="shared" si="113"/>
        <v>4</v>
      </c>
      <c r="Y231" s="204">
        <f t="shared" si="114"/>
        <v>0.1148</v>
      </c>
      <c r="Z231" s="204">
        <f t="shared" si="115"/>
        <v>2.3346</v>
      </c>
      <c r="AA231" s="204">
        <f t="shared" si="101"/>
        <v>2.2198000000000002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 t="shared" si="102"/>
        <v>61</v>
      </c>
      <c r="AE231" s="77" t="str">
        <f t="shared" si="103"/>
        <v>aws s3 cp s3://rtdc.mdm.uploadarchive.raw/RTDC4060/ "%USERPROFILE%\AppData\Local\Temp\OnboardLogs"\RTDC4060\2017-09-19 --exclude "*" --recursive --include "*20170919*" &amp; "%USERPROFILE%\Documents\GitHub\mrs-test-scripts\Headless Mode &amp; Sideloading\WalkAndUnGZ.bat" "%USERPROFILE%\AppData\Local\Temp\OnboardLogs"\RTDC4060\2017-09-19 &amp; aws s3 cp s3://rtdc.mdm.uploadarchive.raw/RTDC4060/ "%USERPROFILE%\AppData\Local\Temp\OnboardLogs"\RTDC4060\2017-09-20 --exclude "*" --recursive --include "*20170920*" &amp; "%USERPROFILE%\Documents\GitHub\mrs-test-scripts\Headless Mode &amp; Sideloading\WalkAndUnGZ.bat" "%USERPROFILE%\AppData\Local\Temp\OnboardLogs"\RTDC4060\2017-09-20</v>
      </c>
      <c r="AF231" s="74" t="str">
        <f t="shared" si="104"/>
        <v>"C:\Program Files (x86)\AstroGrep\AstroGrep.exe" /e /r /s /spath="%USERPROFILE%\AppData\Local\Temp\OnboardLogs" /stypes="app*4060*20170919*" /stext=" 23:.+((SYSTEM_STATE.+slice.+state.+changed )|(ment ac)|(multiple cpu faults)|(system.+state.+changed )|(\[timeout)|(PRM\|1\|D)|(kpr)|(kdp)|(train st.+moving)|(\|lc)|(penalty))"</v>
      </c>
      <c r="AG231" s="182" t="str">
        <f t="shared" si="105"/>
        <v>Shuttle/Test</v>
      </c>
      <c r="AH231" s="78" t="str">
        <f t="shared" si="108"/>
        <v>"%USERPROFILE%\Documents\GitHub\eaglep3\Utilities\RefineRTDCRunTimes.py" --tripid 61-19 --locoid 4060 --swversion DE.1.0.9.0 --startMP 204:1148 --initTime 2017-09-19T17:13:36 --startdatetime 2017-09-19T17:37:25 --delay 66 --endMP 300:23346 --enddatetime 2017-09-19T17:47:57 --enforcementcount 0 &gt;&gt;C:\Users\stu\Documents\GitHub\eaglep3-reporting\EC\2017-09-19-refined-times.txt</v>
      </c>
      <c r="AI231" s="96" t="str">
        <f t="shared" si="109"/>
        <v>echo {"issue":{"subject":"","project_id":79,"tracker_id":40,"status_id":1,"priority_id":2,"assigned_to_id":338,"start_date":"2017-09-19","description":"","custom_fields":[{"id":1,"name":"Subdivision","value":"Shuttle/Test"},{"id":4,"name":"Milepost","value":"2.3346"},{"id":17,"name":"Train ID","value":"61-19"},{"id":16,"name":"Locomotive ID","value":"4060"},{"id":130,"name":"Impact","value":""},{"id":150,"name":"Time of Event (Mountain Time)","value":"17:47:57"},{"id":151,"name":"Denver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110"/>
        <v>start /low /b %USERPROFILE%\Documents\GitHub\eaglep3\Utilities\DownloadLogsFromS3.py --loco 4060 --day 2017-09-19</v>
      </c>
      <c r="AN231" s="151" t="str">
        <f t="shared" si="111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23:47:57"},{"id":29,"name":"Sharepoint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112"/>
        <v>https://d0f6bd738d7f1b3e5a7ca70fe4ff75f0.us-east-1.aws.found.io/app/kibana#/discover/Steve-Slow-Train-Analysis-(2080s-and-2083s)?_g=(refreshInterval:(display:Off,pause:!f,section:0,value:0),time:(from:'2017-09-19T16:13:36-0600',mode:absolute,to:'2017-09-19T18:47:57-0600'))&amp;_a=(columns:!('Message%20ID',Summary),filters:!(),index:'emp_*',interval:auto,query:(query_string:(analyze_wildcard:!t,query:'Message%5C+ID:(*)+AND+%22rtdc.l.rtdc.4060%22')),sort:!(Time.ISO8601,asc))</v>
      </c>
    </row>
    <row r="232" spans="1:91" s="20" customFormat="1" x14ac:dyDescent="0.25">
      <c r="A232" s="32" t="s">
        <v>649</v>
      </c>
      <c r="B232" s="7">
        <v>4012</v>
      </c>
      <c r="C232" s="21" t="s">
        <v>197</v>
      </c>
      <c r="D232" s="21" t="s">
        <v>582</v>
      </c>
      <c r="E232" s="13">
        <v>42997.126793981479</v>
      </c>
      <c r="F232" s="13">
        <v>42997.138009259259</v>
      </c>
      <c r="G232" s="7">
        <v>74</v>
      </c>
      <c r="H232" s="21" t="s">
        <v>926</v>
      </c>
      <c r="I232" s="13">
        <v>42997.139004629629</v>
      </c>
      <c r="J232" s="7">
        <v>0</v>
      </c>
      <c r="K232" s="89" t="str">
        <f t="shared" si="97"/>
        <v>4011/4012</v>
      </c>
      <c r="L232" s="185" t="str">
        <f>VLOOKUP(A232,'Trips&amp;Operators'!$C$1:$G$99911,5,FALSE)</f>
        <v>SPECTOR MICHAEL</v>
      </c>
      <c r="M232" s="6">
        <f t="shared" si="98"/>
        <v>9.9537037021946162E-4</v>
      </c>
      <c r="N232" s="7">
        <f t="shared" si="106"/>
        <v>1.4333333331160247</v>
      </c>
      <c r="O232" s="7"/>
      <c r="P232" s="7"/>
      <c r="Q232" s="22"/>
      <c r="R232" s="174"/>
      <c r="S232" s="221">
        <f t="shared" si="107"/>
        <v>0</v>
      </c>
      <c r="T232" s="174" t="str">
        <f t="shared" si="99"/>
        <v>NorthBound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16" t="str">
        <f t="shared" si="100"/>
        <v>https://d0f6bd738d7f1b3e5a7ca70fe4ff75f0.us-east-1.aws.found.io/app/kibana#/discover/Steve-Slow-Train-Analysis-(2080s-and-2083s)?_g=(refreshInterval:(display:Off,pause:!f,section:0,value:0),time:(from:'2017-09-19T02:02:35-0600',mode:absolute,to:'2017-09-19T04:20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2" s="204" t="str">
        <f>IF(AA232&lt;VLOOKUP(AG232,Variables!$AC$3:$AD$8,2,FALSE),"Y","N")</f>
        <v>Y</v>
      </c>
      <c r="X232" s="204">
        <f t="shared" si="113"/>
        <v>6</v>
      </c>
      <c r="Y232" s="204">
        <f t="shared" si="114"/>
        <v>4.2200000000000001E-2</v>
      </c>
      <c r="Z232" s="204">
        <f t="shared" si="115"/>
        <v>0.35830000000000001</v>
      </c>
      <c r="AA232" s="204">
        <f t="shared" si="101"/>
        <v>0.31609999999999999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 t="shared" si="102"/>
        <v>67</v>
      </c>
      <c r="AE232" s="77" t="str">
        <f t="shared" si="103"/>
        <v>aws s3 cp s3://rtdc.mdm.uploadarchive.raw/RTDC4012/ "%USERPROFILE%\AppData\Local\Temp\OnboardLogs"\RTDC4012\2017-09-19 --exclude "*" --recursive --include "*20170919*" &amp; "%USERPROFILE%\Documents\GitHub\mrs-test-scripts\Headless Mode &amp; Sideloading\WalkAndUnGZ.bat" "%USERPROFILE%\AppData\Local\Temp\OnboardLogs"\RTDC4012\2017-09-19 &amp; 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</v>
      </c>
      <c r="AF232" s="74" t="str">
        <f t="shared" si="104"/>
        <v>"C:\Program Files (x86)\AstroGrep\AstroGrep.exe" /e /r /s /spath="%USERPROFILE%\AppData\Local\Temp\OnboardLogs" /stypes="app*4012*20170919*" /stext=" 09:.+((SYSTEM_STATE.+slice.+state.+changed )|(ment ac)|(multiple cpu faults)|(system.+state.+changed )|(\[timeout)|(PRM\|1\|D)|(kpr)|(kdp)|(train st.+moving)|(\|lc)|(penalty))"</v>
      </c>
      <c r="AG232" s="182" t="str">
        <f t="shared" si="105"/>
        <v>Shuttle/Test</v>
      </c>
      <c r="AH232" s="78" t="str">
        <f t="shared" si="108"/>
        <v>"%USERPROFILE%\Documents\GitHub\eaglep3\Utilities\RefineRTDCRunTimes.py" --tripid 67-19 --locoid 4012 --swversion DE.1.0.9.0 --startMP 204:422 --initTime 2017-09-19T03:02:35 --startdatetime 2017-09-19T03:18:44 --delay 74 --endMP 204:3583 --enddatetime 2017-09-19T03:20:10 --enforcementcount 0 &gt;&gt;C:\Users\stu\Documents\GitHub\eaglep3-reporting\EC\2017-09-19-refined-times.txt</v>
      </c>
      <c r="AI232" s="96" t="str">
        <f t="shared" si="109"/>
        <v>echo {"issue":{"subject":"","project_id":79,"tracker_id":40,"status_id":1,"priority_id":2,"assigned_to_id":338,"start_date":"2017-09-19","description":"","custom_fields":[{"id":1,"name":"Subdivision","value":"Shuttle/Test"},{"id":4,"name":"Milepost","value":"0.3583"},{"id":17,"name":"Train ID","value":"67-19"},{"id":16,"name":"Locomotive ID","value":"4012"},{"id":130,"name":"Impact","value":""},{"id":150,"name":"Time of Event (Mountain Time)","value":"03:20:10"},{"id":151,"name":"Denver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2" s="47"/>
      <c r="AL232" s="47"/>
      <c r="AM232" s="142" t="str">
        <f t="shared" si="110"/>
        <v>start /low /b %USERPROFILE%\Documents\GitHub\eaglep3\Utilities\DownloadLogsFromS3.py --loco 4012 --day 2017-09-19</v>
      </c>
      <c r="AN232" s="151" t="str">
        <f t="shared" si="111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09:20:10"},{"id":29,"name":"Sharepoint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112"/>
        <v>https://d0f6bd738d7f1b3e5a7ca70fe4ff75f0.us-east-1.aws.found.io/app/kibana#/discover/Steve-Slow-Train-Analysis-(2080s-and-2083s)?_g=(refreshInterval:(display:Off,pause:!f,section:0,value:0),time:(from:'2017-09-19T02:02:35-0600',mode:absolute,to:'2017-09-19T04:20:10-0600'))&amp;_a=(columns:!('Message%20ID',Summary),filters:!(),index:'emp_*',interval:auto,query:(query_string:(analyze_wildcard:!t,query:'Message%5C+ID:(*)+AND+%22rtdc.l.rtdc.4012%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32" t="s">
        <v>653</v>
      </c>
      <c r="B233" s="7">
        <v>4011</v>
      </c>
      <c r="C233" s="21" t="s">
        <v>197</v>
      </c>
      <c r="D233" s="21" t="s">
        <v>927</v>
      </c>
      <c r="E233" s="13">
        <v>42997.139872685184</v>
      </c>
      <c r="F233" s="13">
        <v>42997.141747685186</v>
      </c>
      <c r="G233" s="7">
        <v>68</v>
      </c>
      <c r="H233" s="21" t="s">
        <v>928</v>
      </c>
      <c r="I233" s="13">
        <v>42997.142731481479</v>
      </c>
      <c r="J233" s="7">
        <v>0</v>
      </c>
      <c r="K233" s="89" t="str">
        <f t="shared" si="97"/>
        <v>4011/4012</v>
      </c>
      <c r="L233" s="185" t="str">
        <f>VLOOKUP(A233,'Trips&amp;Operators'!$C$1:$G$99911,5,FALSE)</f>
        <v>SPECTOR MICHAEL</v>
      </c>
      <c r="M233" s="6">
        <f t="shared" si="98"/>
        <v>9.8379629343980923E-4</v>
      </c>
      <c r="N233" s="7">
        <f t="shared" si="106"/>
        <v>1.4166666625533253</v>
      </c>
      <c r="O233" s="7"/>
      <c r="P233" s="7"/>
      <c r="Q233" s="22"/>
      <c r="R233" s="174"/>
      <c r="S233" s="221">
        <f t="shared" si="107"/>
        <v>0</v>
      </c>
      <c r="T233" s="174" t="str">
        <f t="shared" si="99"/>
        <v>Southbound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16" t="str">
        <f t="shared" si="100"/>
        <v>https://d0f6bd738d7f1b3e5a7ca70fe4ff75f0.us-east-1.aws.found.io/app/kibana#/discover/Steve-Slow-Train-Analysis-(2080s-and-2083s)?_g=(refreshInterval:(display:Off,pause:!f,section:0,value:0),time:(from:'2017-09-19T02:21:25-0600',mode:absolute,to:'2017-09-19T04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3" s="204" t="str">
        <f>IF(AA233&lt;VLOOKUP(AG233,Variables!$AC$3:$AD$8,2,FALSE),"Y","N")</f>
        <v>Y</v>
      </c>
      <c r="X233" s="204">
        <f t="shared" si="113"/>
        <v>1</v>
      </c>
      <c r="Y233" s="204">
        <f t="shared" si="114"/>
        <v>0.32450000000000001</v>
      </c>
      <c r="Z233" s="204">
        <f t="shared" si="115"/>
        <v>0.1177</v>
      </c>
      <c r="AA233" s="204">
        <f t="shared" si="101"/>
        <v>0.20680000000000001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9">
        <f t="shared" si="102"/>
        <v>68</v>
      </c>
      <c r="AE233" s="77" t="str">
        <f t="shared" si="103"/>
        <v>aws s3 cp s3://rtdc.mdm.uploadarchive.raw/RTDC4011/ "%USERPROFILE%\AppData\Local\Temp\OnboardLogs"\RTDC4011\2017-09-19 --exclude "*" --recursive --include "*20170919*" &amp; "%USERPROFILE%\Documents\GitHub\mrs-test-scripts\Headless Mode &amp; Sideloading\WalkAndUnGZ.bat" "%USERPROFILE%\AppData\Local\Temp\OnboardLogs"\RTDC4011\2017-09-19 &amp; aws s3 cp s3://rtdc.mdm.uploadarchive.raw/RTDC4011/ "%USERPROFILE%\AppData\Local\Temp\OnboardLogs"\RTDC4011\2017-09-20 --exclude "*" --recursive --include "*20170920*" &amp; "%USERPROFILE%\Documents\GitHub\mrs-test-scripts\Headless Mode &amp; Sideloading\WalkAndUnGZ.bat" "%USERPROFILE%\AppData\Local\Temp\OnboardLogs"\RTDC4011\2017-09-20</v>
      </c>
      <c r="AF233" s="74" t="str">
        <f t="shared" si="104"/>
        <v>"C:\Program Files (x86)\AstroGrep\AstroGrep.exe" /e /r /s /spath="%USERPROFILE%\AppData\Local\Temp\OnboardLogs" /stypes="app*4011*20170919*" /stext=" 09:.+((SYSTEM_STATE.+slice.+state.+changed )|(ment ac)|(multiple cpu faults)|(system.+state.+changed )|(\[timeout)|(PRM\|1\|D)|(kpr)|(kdp)|(train st.+moving)|(\|lc)|(penalty))"</v>
      </c>
      <c r="AG233" s="182" t="str">
        <f t="shared" si="105"/>
        <v>Shuttle/Test</v>
      </c>
      <c r="AH233" s="78" t="str">
        <f t="shared" si="108"/>
        <v>"%USERPROFILE%\Documents\GitHub\eaglep3\Utilities\RefineRTDCRunTimes.py" --tripid 68-19 --locoid 4011 --swversion DE.1.0.9.0 --startMP 204:3245 --initTime 2017-09-19T03:21:25 --startdatetime 2017-09-19T03:24:07 --delay 68 --endMP 204:1177 --enddatetime 2017-09-19T03:25:32 --enforcementcount 0 &gt;&gt;C:\Users\stu\Documents\GitHub\eaglep3-reporting\EC\2017-09-19-refined-times.txt</v>
      </c>
      <c r="AI233" s="96" t="str">
        <f t="shared" si="109"/>
        <v>echo {"issue":{"subject":"","project_id":79,"tracker_id":40,"status_id":1,"priority_id":2,"assigned_to_id":338,"start_date":"2017-09-19","description":"","custom_fields":[{"id":1,"name":"Subdivision","value":"Shuttle/Test"},{"id":4,"name":"Milepost","value":"0.1177"},{"id":17,"name":"Train ID","value":"68-19"},{"id":16,"name":"Locomotive ID","value":"4011"},{"id":130,"name":"Impact","value":""},{"id":150,"name":"Time of Event (Mountain Time)","value":"03:25:32"},{"id":151,"name":"Denver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3" s="47"/>
      <c r="AL233" s="47"/>
      <c r="AM233" s="142" t="str">
        <f t="shared" si="110"/>
        <v>start /low /b %USERPROFILE%\Documents\GitHub\eaglep3\Utilities\DownloadLogsFromS3.py --loco 4011 --day 2017-09-19</v>
      </c>
      <c r="AN233" s="151" t="str">
        <f t="shared" si="111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09:25:32"},{"id":29,"name":"Sharepoint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112"/>
        <v>https://d0f6bd738d7f1b3e5a7ca70fe4ff75f0.us-east-1.aws.found.io/app/kibana#/discover/Steve-Slow-Train-Analysis-(2080s-and-2083s)?_g=(refreshInterval:(display:Off,pause:!f,section:0,value:0),time:(from:'2017-09-19T02:21:25-0600',mode:absolute,to:'2017-09-19T04:25:32-0600'))&amp;_a=(columns:!('Message%20ID',Summary),filters:!(),index:'emp_*',interval:auto,query:(query_string:(analyze_wildcard:!t,query:'Message%5C+ID:(*)+AND+%22rtdc.l.rtdc.4011%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32" t="s">
        <v>784</v>
      </c>
      <c r="B234" s="7">
        <v>4012</v>
      </c>
      <c r="C234" s="21" t="s">
        <v>197</v>
      </c>
      <c r="D234" s="21" t="s">
        <v>929</v>
      </c>
      <c r="E234" s="13">
        <v>42997.683703703704</v>
      </c>
      <c r="F234" s="13">
        <v>42997.687337962961</v>
      </c>
      <c r="G234" s="7">
        <v>88</v>
      </c>
      <c r="H234" s="21" t="s">
        <v>493</v>
      </c>
      <c r="I234" s="13">
        <v>42997.700474537036</v>
      </c>
      <c r="J234" s="7">
        <v>0</v>
      </c>
      <c r="K234" s="89" t="str">
        <f t="shared" si="97"/>
        <v>4011/4012</v>
      </c>
      <c r="L234" s="185" t="str">
        <f>VLOOKUP(A234,'Trips&amp;Operators'!$C$1:$G$99911,5,FALSE)</f>
        <v>NEWELL JAMES</v>
      </c>
      <c r="M234" s="6">
        <f t="shared" si="98"/>
        <v>1.3136574074451346E-2</v>
      </c>
      <c r="N234" s="7">
        <f t="shared" si="106"/>
        <v>18.916666667209938</v>
      </c>
      <c r="O234" s="7"/>
      <c r="P234" s="7"/>
      <c r="Q234" s="22"/>
      <c r="R234" s="174"/>
      <c r="S234" s="221">
        <f t="shared" si="107"/>
        <v>1</v>
      </c>
      <c r="T234" s="174" t="str">
        <f t="shared" si="99"/>
        <v>NorthBound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16" t="str">
        <f t="shared" si="100"/>
        <v>https://d0f6bd738d7f1b3e5a7ca70fe4ff75f0.us-east-1.aws.found.io/app/kibana#/discover/Steve-Slow-Train-Analysis-(2080s-and-2083s)?_g=(refreshInterval:(display:Off,pause:!f,section:0,value:0),time:(from:'2017-09-19T15:24:32-0600',mode:absolute,to:'2017-09-19T17:48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4" s="204" t="str">
        <f>IF(AA234&lt;VLOOKUP(AG234,Variables!$AC$3:$AD$8,2,FALSE),"Y","N")</f>
        <v>Y</v>
      </c>
      <c r="X234" s="204">
        <f t="shared" si="113"/>
        <v>7</v>
      </c>
      <c r="Y234" s="204">
        <f t="shared" si="114"/>
        <v>0.14940000000000001</v>
      </c>
      <c r="Z234" s="204">
        <f t="shared" si="115"/>
        <v>2.3308</v>
      </c>
      <c r="AA234" s="204">
        <f t="shared" si="101"/>
        <v>2.1814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9">
        <f t="shared" si="102"/>
        <v>75</v>
      </c>
      <c r="AE234" s="77" t="str">
        <f t="shared" si="103"/>
        <v>aws s3 cp s3://rtdc.mdm.uploadarchive.raw/RTDC4012/ "%USERPROFILE%\AppData\Local\Temp\OnboardLogs"\RTDC4012\2017-09-19 --exclude "*" --recursive --include "*20170919*" &amp; "%USERPROFILE%\Documents\GitHub\mrs-test-scripts\Headless Mode &amp; Sideloading\WalkAndUnGZ.bat" "%USERPROFILE%\AppData\Local\Temp\OnboardLogs"\RTDC4012\2017-09-19 &amp; 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</v>
      </c>
      <c r="AF234" s="74" t="str">
        <f t="shared" si="104"/>
        <v>"C:\Program Files (x86)\AstroGrep\AstroGrep.exe" /e /r /s /spath="%USERPROFILE%\AppData\Local\Temp\OnboardLogs" /stypes="app*4012*20170919*" /stext=" 22:.+((SYSTEM_STATE.+slice.+state.+changed )|(ment ac)|(multiple cpu faults)|(system.+state.+changed )|(\[timeout)|(PRM\|1\|D)|(kpr)|(kdp)|(train st.+moving)|(\|lc)|(penalty))"</v>
      </c>
      <c r="AG234" s="182" t="str">
        <f t="shared" si="105"/>
        <v>Shuttle/Test</v>
      </c>
      <c r="AH234" s="78" t="str">
        <f t="shared" si="108"/>
        <v>"%USERPROFILE%\Documents\GitHub\eaglep3\Utilities\RefineRTDCRunTimes.py" --tripid 75-19 --locoid 4012 --swversion DE.1.0.9.0 --startMP 204:1494 --initTime 2017-09-19T16:24:32 --startdatetime 2017-09-19T16:29:46 --delay 88 --endMP 300:23308 --enddatetime 2017-09-19T16:48:41 --enforcementcount 0 &gt;&gt;C:\Users\stu\Documents\GitHub\eaglep3-reporting\EC\2017-09-19-refined-times.txt</v>
      </c>
      <c r="AI234" s="96" t="str">
        <f t="shared" si="109"/>
        <v>echo {"issue":{"subject":"","project_id":79,"tracker_id":40,"status_id":1,"priority_id":2,"assigned_to_id":338,"start_date":"2017-09-19","description":"","custom_fields":[{"id":1,"name":"Subdivision","value":"Shuttle/Test"},{"id":4,"name":"Milepost","value":"2.3308"},{"id":17,"name":"Train ID","value":"75-19"},{"id":16,"name":"Locomotive ID","value":"4012"},{"id":130,"name":"Impact","value":""},{"id":150,"name":"Time of Event (Mountain Time)","value":"16:48:41"},{"id":151,"name":"Denver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4" s="47"/>
      <c r="AL234" s="47"/>
      <c r="AM234" s="142" t="str">
        <f t="shared" si="110"/>
        <v>start /low /b %USERPROFILE%\Documents\GitHub\eaglep3\Utilities\DownloadLogsFromS3.py --loco 4012 --day 2017-09-19</v>
      </c>
      <c r="AN234" s="151" t="str">
        <f t="shared" si="111"/>
        <v>echo {"issue":{"subject":"","project_id":30,"tracker_id":4,"status_id":1,"priority_id":1,"assigned_to_id":10,"start_date":"2017-09-19","description":"","custom_fields":[{"id":30,"name":"Category","value":"Issue"},{"id":3,"name":"Functional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UTC","value":"2017-09-19 22:48:41"},{"id":29,"name":"Sharepoint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112"/>
        <v>https://d0f6bd738d7f1b3e5a7ca70fe4ff75f0.us-east-1.aws.found.io/app/kibana#/discover/Steve-Slow-Train-Analysis-(2080s-and-2083s)?_g=(refreshInterval:(display:Off,pause:!f,section:0,value:0),time:(from:'2017-09-19T15:24:32-0600',mode:absolute,to:'2017-09-19T17:48:41-0600'))&amp;_a=(columns:!('Message%20ID',Summary),filters:!(),index:'emp_*',interval:auto,query:(query_string:(analyze_wildcard:!t,query:'Message%5C+ID:(*)+AND+%22rtdc.l.rtdc.4012%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x14ac:dyDescent="0.25">
      <c r="A235" s="32" t="s">
        <v>847</v>
      </c>
      <c r="B235" s="7">
        <v>4050</v>
      </c>
      <c r="C235" s="21" t="s">
        <v>197</v>
      </c>
      <c r="D235" s="21" t="s">
        <v>349</v>
      </c>
      <c r="E235" s="13">
        <v>42997.951215277775</v>
      </c>
      <c r="F235" s="13">
        <v>42997.953912037039</v>
      </c>
      <c r="G235" s="7">
        <v>92</v>
      </c>
      <c r="H235" s="21" t="s">
        <v>984</v>
      </c>
      <c r="I235" s="13">
        <v>42997.961099537039</v>
      </c>
      <c r="J235" s="7">
        <v>0</v>
      </c>
      <c r="K235" s="89" t="str">
        <f t="shared" si="97"/>
        <v>4049/4050</v>
      </c>
      <c r="L235" s="185" t="str">
        <f>VLOOKUP(A235,'Trips&amp;Operators'!$C$1:$G$99911,5,FALSE)</f>
        <v>RESPASS AARON</v>
      </c>
      <c r="M235" s="6">
        <f t="shared" si="98"/>
        <v>7.1874999994179234E-3</v>
      </c>
      <c r="N235" s="7">
        <f t="shared" si="106"/>
        <v>10.34999999916181</v>
      </c>
      <c r="O235" s="7"/>
      <c r="P235" s="7"/>
      <c r="Q235" s="22"/>
      <c r="R235" s="174"/>
      <c r="S235" s="221">
        <f t="shared" si="107"/>
        <v>0</v>
      </c>
      <c r="T235" s="174" t="str">
        <f t="shared" si="99"/>
        <v>NorthBound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16" t="str">
        <f t="shared" si="100"/>
        <v>https://d0f6bd738d7f1b3e5a7ca70fe4ff75f0.us-east-1.aws.found.io/app/kibana#/discover/Steve-Slow-Train-Analysis-(2080s-and-2083s)?_g=(refreshInterval:(display:Off,pause:!f,section:0,value:0),time:(from:'2017-09-19T21:49:45-0600',mode:absolute,to:'2017-09-20T00:03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5" s="204" t="str">
        <f>IF(AA235&lt;VLOOKUP(AG235,Variables!$AC$3:$AD$8,2,FALSE),"Y","N")</f>
        <v>Y</v>
      </c>
      <c r="X235" s="204">
        <f t="shared" si="113"/>
        <v>12</v>
      </c>
      <c r="Y235" s="204">
        <f t="shared" si="114"/>
        <v>4.5499999999999999E-2</v>
      </c>
      <c r="Z235" s="204">
        <f t="shared" si="115"/>
        <v>0.40500000000000003</v>
      </c>
      <c r="AA235" s="204">
        <f t="shared" si="101"/>
        <v>0.35950000000000004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9">
        <f t="shared" si="102"/>
        <v>87</v>
      </c>
      <c r="AE235" s="77" t="str">
        <f t="shared" si="103"/>
        <v>aws s3 cp s3://rtdc.mdm.uploadarchive.raw/RTDC4050/ "%USERPROFILE%\AppData\Local\Temp\OnboardLogs"\RTDC4050\2017-09-19 --exclude "*" --recursive --include "*20170919*" &amp; "%USERPROFILE%\Documents\GitHub\mrs-test-scripts\Headless Mode &amp; Sideloading\WalkAndUnGZ.bat" "%USERPROFILE%\AppData\Local\Temp\OnboardLogs"\RTDC4050\2017-09-19 &amp; aws s3 cp s3://rtdc.mdm.uploadarchive.raw/RTDC4050/ "%USERPROFILE%\AppData\Local\Temp\OnboardLogs"\RTDC4050\2017-09-20 --exclude "*" --recursive --include "*20170920*" &amp; "%USERPROFILE%\Documents\GitHub\mrs-test-scripts\Headless Mode &amp; Sideloading\WalkAndUnGZ.bat" "%USERPROFILE%\AppData\Local\Temp\OnboardLogs"\RTDC4050\2017-09-20</v>
      </c>
      <c r="AF235" s="74" t="str">
        <f t="shared" si="104"/>
        <v>"C:\Program Files (x86)\AstroGrep\AstroGrep.exe" /e /r /s /spath="%USERPROFILE%\AppData\Local\Temp\OnboardLogs" /stypes="app*4050*20170920*" /stext=" 05:.+((SYSTEM_STATE.+slice.+state.+changed )|(ment ac)|(multiple cpu faults)|(system.+state.+changed )|(\[timeout)|(PRM\|1\|D)|(kpr)|(kdp)|(train st.+moving)|(\|lc)|(penalty))"</v>
      </c>
      <c r="AG235" s="182" t="str">
        <f t="shared" si="105"/>
        <v>Shuttle/Test</v>
      </c>
      <c r="AH235" s="78" t="str">
        <f t="shared" si="108"/>
        <v>"%USERPROFILE%\Documents\GitHub\eaglep3\Utilities\RefineRTDCRunTimes.py" --tripid 87-19 --locoid 4050 --swversion DE.1.0.9.0 --startMP 204:455 --initTime 2017-09-19T22:49:45 --startdatetime 2017-09-19T22:53:38 --delay 92 --endMP 204:4050 --enddatetime 2017-09-19T23:03:59 --enforcementcount 0 &gt;&gt;C:\Users\stu\Documents\GitHub\eaglep3-reporting\EC\2017-09-19-refined-times.txt</v>
      </c>
      <c r="AI235" s="96" t="str">
        <f t="shared" si="109"/>
        <v>echo {"issue":{"subject":"","project_id":79,"tracker_id":40,"status_id":1,"priority_id":2,"assigned_to_id":338,"start_date":"2017-09-19","description":"","custom_fields":[{"id":1,"name":"Subdivision","value":"Shuttle/Test"},{"id":4,"name":"Milepost","value":"0.405"},{"id":17,"name":"Train ID","value":"87-19"},{"id":16,"name":"Locomotive ID","value":"4050"},{"id":130,"name":"Impact","value":""},{"id":150,"name":"Time of Event (Mountain Time)","value":"23:03:59"},{"id":151,"name":"Denver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110"/>
        <v>start /low /b %USERPROFILE%\Documents\GitHub\eaglep3\Utilities\DownloadLogsFromS3.py --loco 4050 --day 2017-09-19</v>
      </c>
      <c r="AN235" s="151" t="str">
        <f t="shared" si="11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05:03:59"},{"id":29,"name":"Sharepoint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112"/>
        <v>https://d0f6bd738d7f1b3e5a7ca70fe4ff75f0.us-east-1.aws.found.io/app/kibana#/discover/Steve-Slow-Train-Analysis-(2080s-and-2083s)?_g=(refreshInterval:(display:Off,pause:!f,section:0,value:0),time:(from:'2017-09-19T21:49:45-0600',mode:absolute,to:'2017-09-20T00:03:59-0600'))&amp;_a=(columns:!('Message%20ID',Summary),filters:!(),index:'emp_*',interval:auto,query:(query_string:(analyze_wildcard:!t,query:'Message%5C+ID:(*)+AND+%22rtdc.l.rtdc.4050%22')),sort:!(Time.ISO8601,asc))</v>
      </c>
    </row>
    <row r="236" spans="1:91" x14ac:dyDescent="0.25">
      <c r="A236" s="32" t="s">
        <v>645</v>
      </c>
      <c r="B236" s="7">
        <v>4049</v>
      </c>
      <c r="C236" s="21" t="s">
        <v>197</v>
      </c>
      <c r="D236" s="21" t="s">
        <v>985</v>
      </c>
      <c r="E236" s="13">
        <v>42997.963472222225</v>
      </c>
      <c r="F236" s="13">
        <v>42997.965011574073</v>
      </c>
      <c r="G236" s="7">
        <v>68</v>
      </c>
      <c r="H236" s="21">
        <v>8.5298611111111118</v>
      </c>
      <c r="I236" s="13">
        <v>42997.967083333337</v>
      </c>
      <c r="J236" s="7">
        <v>0</v>
      </c>
      <c r="K236" s="89" t="str">
        <f t="shared" si="97"/>
        <v>4049/4050</v>
      </c>
      <c r="L236" s="185" t="str">
        <f>VLOOKUP(A236,'Trips&amp;Operators'!$C$1:$G$99911,5,FALSE)</f>
        <v>RESPASS AARON</v>
      </c>
      <c r="M236" s="6">
        <f t="shared" si="98"/>
        <v>2.0717592633445747E-3</v>
      </c>
      <c r="N236" s="7">
        <f t="shared" si="106"/>
        <v>2.9833333392161876</v>
      </c>
      <c r="O236" s="7"/>
      <c r="P236" s="7"/>
      <c r="Q236" s="22"/>
      <c r="R236" s="174"/>
      <c r="S236" s="221">
        <f t="shared" si="107"/>
        <v>0</v>
      </c>
      <c r="T236" s="174" t="str">
        <f t="shared" si="99"/>
        <v>Southbound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16" t="str">
        <f t="shared" si="100"/>
        <v>https://d0f6bd738d7f1b3e5a7ca70fe4ff75f0.us-east-1.aws.found.io/app/kibana#/discover/Steve-Slow-Train-Analysis-(2080s-and-2083s)?_g=(refreshInterval:(display:Off,pause:!f,section:0,value:0),time:(from:'2017-09-19T22:07:24-0600',mode:absolute,to:'2017-09-20T00:12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6" s="204" t="str">
        <f>IF(AA236&lt;VLOOKUP(AG236,Variables!$AC$3:$AD$8,2,FALSE),"Y","N")</f>
        <v>N</v>
      </c>
      <c r="X236" s="204">
        <f t="shared" si="113"/>
        <v>1</v>
      </c>
      <c r="Y236" s="204">
        <f t="shared" si="114"/>
        <v>0.37419999999999998</v>
      </c>
      <c r="Z236" s="204">
        <f t="shared" si="115"/>
        <v>98611111.111100003</v>
      </c>
      <c r="AA236" s="204">
        <f t="shared" si="101"/>
        <v>98611110.736900002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179">
        <f t="shared" si="102"/>
        <v>88</v>
      </c>
      <c r="AE236" s="77" t="str">
        <f t="shared" si="103"/>
        <v>aws s3 cp s3://rtdc.mdm.uploadarchive.raw/RTDC4049/ "%USERPROFILE%\AppData\Local\Temp\OnboardLogs"\RTDC4049\2017-09-19 --exclude "*" --recursive --include "*20170919*" &amp; "%USERPROFILE%\Documents\GitHub\mrs-test-scripts\Headless Mode &amp; Sideloading\WalkAndUnGZ.bat" "%USERPROFILE%\AppData\Local\Temp\OnboardLogs"\RTDC4049\2017-09-19 &amp; aws s3 cp s3://rtdc.mdm.uploadarchive.raw/RTDC4049/ "%USERPROFILE%\AppData\Local\Temp\OnboardLogs"\RTDC4049\2017-09-20 --exclude "*" --recursive --include "*20170920*" &amp; "%USERPROFILE%\Documents\GitHub\mrs-test-scripts\Headless Mode &amp; Sideloading\WalkAndUnGZ.bat" "%USERPROFILE%\AppData\Local\Temp\OnboardLogs"\RTDC4049\2017-09-20</v>
      </c>
      <c r="AF236" s="74" t="str">
        <f t="shared" si="104"/>
        <v>"C:\Program Files (x86)\AstroGrep\AstroGrep.exe" /e /r /s /spath="%USERPROFILE%\AppData\Local\Temp\OnboardLogs" /stypes="app*4049*20170920*" /stext=" 05:.+((SYSTEM_STATE.+slice.+state.+changed )|(ment ac)|(multiple cpu faults)|(system.+state.+changed )|(\[timeout)|(PRM\|1\|D)|(kpr)|(kdp)|(train st.+moving)|(\|lc)|(penalty))"</v>
      </c>
      <c r="AG236" s="182" t="str">
        <f t="shared" si="105"/>
        <v>Shuttle/Test</v>
      </c>
      <c r="AH236" s="78" t="str">
        <f t="shared" si="108"/>
        <v>"%USERPROFILE%\Documents\GitHub\eaglep3\Utilities\RefineRTDCRunTimes.py" --tripid 88-19 --locoid 4049 --swversion DE.1.0.9.0 --startMP 204:3742 --initTime 2017-09-19T23:07:24 --startdatetime 2017-09-19T23:09:37 --delay 68 --endMP 8.52986111111111 --enddatetime 2017-09-19T23:12:36 --enforcementcount 0 &gt;&gt;C:\Users\stu\Documents\GitHub\eaglep3-reporting\EC\2017-09-19-refined-times.txt</v>
      </c>
      <c r="AI236" s="96" t="str">
        <f t="shared" si="109"/>
        <v>echo {"issue":{"subject":"","project_id":79,"tracker_id":40,"status_id":1,"priority_id":2,"assigned_to_id":338,"start_date":"2017-09-19","description":"","custom_fields":[{"id":1,"name":"Subdivision","value":"Shuttle/Test"},{"id":4,"name":"Milepost","value":"98611111.1111"},{"id":17,"name":"Train ID","value":"88-19"},{"id":16,"name":"Locomotive ID","value":"4049"},{"id":130,"name":"Impact","value":""},{"id":150,"name":"Time of Event (Mountain Time)","value":"23:12:36"},{"id":151,"name":"Denver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110"/>
        <v>start /low /b %USERPROFILE%\Documents\GitHub\eaglep3\Utilities\DownloadLogsFromS3.py --loco 4049 --day 2017-09-19</v>
      </c>
      <c r="AN236" s="151" t="str">
        <f t="shared" si="11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05:12:36"},{"id":29,"name":"Sharepoint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112"/>
        <v>https://d0f6bd738d7f1b3e5a7ca70fe4ff75f0.us-east-1.aws.found.io/app/kibana#/discover/Steve-Slow-Train-Analysis-(2080s-and-2083s)?_g=(refreshInterval:(display:Off,pause:!f,section:0,value:0),time:(from:'2017-09-19T22:07:24-0600',mode:absolute,to:'2017-09-20T00:12:36-0600'))&amp;_a=(columns:!('Message%20ID',Summary),filters:!(),index:'emp_*',interval:auto,query:(query_string:(analyze_wildcard:!t,query:'Message%5C+ID:(*)+AND+%22rtdc.l.rtdc.4049%22')),sort:!(Time.ISO8601,asc))</v>
      </c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9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9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9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9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9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9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9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9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9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9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9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9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9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9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9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9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9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9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9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9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9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9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9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M283"/>
      <c r="AO283"/>
    </row>
    <row r="284" spans="1:9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M284"/>
      <c r="AO284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M287"/>
      <c r="AO287"/>
    </row>
    <row r="288" spans="1:9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M288"/>
      <c r="AO288"/>
    </row>
    <row r="289" spans="1:4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M289"/>
      <c r="AO289"/>
    </row>
    <row r="290" spans="1:4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M290"/>
      <c r="AO290"/>
    </row>
    <row r="291" spans="1:4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M291"/>
      <c r="AO291"/>
    </row>
    <row r="292" spans="1:4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4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M293"/>
      <c r="AO293"/>
    </row>
    <row r="294" spans="1:4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M294"/>
      <c r="AO294"/>
    </row>
    <row r="295" spans="1:4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M295"/>
      <c r="AO295"/>
    </row>
    <row r="296" spans="1:4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M296"/>
      <c r="AO296"/>
    </row>
    <row r="297" spans="1:4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M297"/>
      <c r="AO297"/>
    </row>
    <row r="298" spans="1:4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M298"/>
      <c r="AO298"/>
    </row>
    <row r="299" spans="1:4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M299"/>
      <c r="AO299"/>
    </row>
    <row r="300" spans="1:4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M300"/>
      <c r="AO300"/>
    </row>
    <row r="301" spans="1:4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M301"/>
      <c r="AO301"/>
    </row>
    <row r="302" spans="1:4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4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M303"/>
      <c r="AO303"/>
    </row>
    <row r="304" spans="1:4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  <row r="305" spans="1:4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M305"/>
      <c r="AO305"/>
    </row>
    <row r="306" spans="1:4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4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M307"/>
      <c r="AO307"/>
    </row>
  </sheetData>
  <autoFilter ref="A12:AG302">
    <sortState ref="A13:AG302">
      <sortCondition ref="AG13:AG236"/>
      <sortCondition ref="AD13:AD236"/>
    </sortState>
  </autoFilter>
  <sortState ref="A13:AN257">
    <sortCondition ref="AG13:AG257"/>
    <sortCondition ref="AD13:AD257"/>
  </sortState>
  <mergeCells count="1">
    <mergeCell ref="A11:P11"/>
  </mergeCells>
  <conditionalFormatting sqref="W11:W12 W308:X1048576 W13:X236">
    <cfRule type="cellIs" dxfId="10" priority="422" operator="equal">
      <formula>"Y"</formula>
    </cfRule>
  </conditionalFormatting>
  <conditionalFormatting sqref="X308:X1048576 X13:X236">
    <cfRule type="cellIs" dxfId="9" priority="405" operator="greaterThan">
      <formula>1</formula>
    </cfRule>
  </conditionalFormatting>
  <conditionalFormatting sqref="X308:X1048576 X12:X236">
    <cfRule type="cellIs" dxfId="8" priority="402" operator="equal">
      <formula>0</formula>
    </cfRule>
  </conditionalFormatting>
  <conditionalFormatting sqref="A13:S236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AK13:AK236</xm:sqref>
        </x14:dataValidation>
        <x14:dataValidation type="list" allowBlank="1" showInputMessage="1" showErrorMessage="1">
          <x14:formula1>
            <xm:f>'Redmine List Values'!$C$2:$C$15</xm:f>
          </x14:formula1>
          <xm:sqref>AL13:AL236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4"/>
  <sheetViews>
    <sheetView topLeftCell="A2" zoomScaleNormal="100" workbookViewId="0">
      <selection activeCell="P7" sqref="P7:P1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COUNTIF($O$7:$O$247,"=Y")</f>
        <v>6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COUNTA($O$7:$O$247)-O2</f>
        <v>28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5" t="str">
        <f>"Eagle P3 Braking Events - "&amp;TEXT(Variables!$A$2,"YYYY-mm-dd")</f>
        <v>Eagle P3 Braking Events - 2017-09-19</v>
      </c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357</v>
      </c>
      <c r="X6" s="181" t="s">
        <v>350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192</v>
      </c>
    </row>
    <row r="7" spans="1:32" s="1" customFormat="1" x14ac:dyDescent="0.25">
      <c r="A7" s="31">
        <v>42997.821203703701</v>
      </c>
      <c r="B7" s="30" t="s">
        <v>501</v>
      </c>
      <c r="C7" s="30" t="s">
        <v>644</v>
      </c>
      <c r="D7" s="30" t="s">
        <v>96</v>
      </c>
      <c r="E7" s="30" t="s">
        <v>187</v>
      </c>
      <c r="F7" s="42">
        <v>0</v>
      </c>
      <c r="G7" s="42">
        <v>137</v>
      </c>
      <c r="H7" s="42">
        <v>27301</v>
      </c>
      <c r="I7" s="42">
        <v>27124</v>
      </c>
      <c r="J7" s="30" t="s">
        <v>188</v>
      </c>
      <c r="K7" s="42">
        <v>27350</v>
      </c>
      <c r="L7" s="131" t="s">
        <v>51</v>
      </c>
      <c r="M7" s="132">
        <f t="shared" ref="M7:M40" si="0">CONVERT((I7-K7)/10000,"mi","ft")*IF(L7="Increasing Mileposts (1)",-1,1)</f>
        <v>-119.328</v>
      </c>
      <c r="N7" s="133" t="str">
        <f>VLOOKUP(C7,'Trips&amp;Operators'!$C$1:$G$99911,5,FALSE)</f>
        <v>PERKINS DARREN</v>
      </c>
      <c r="O7" s="176" t="s">
        <v>180</v>
      </c>
      <c r="P7" s="134" t="s">
        <v>369</v>
      </c>
      <c r="Q7" s="30"/>
      <c r="R7" s="81" t="str">
        <f>VLOOKUP(C7,'Train Runs'!$A$13:$AE$9961,31,0)</f>
        <v>aws s3 cp s3://rtdc.mdm.uploadarchive.raw/RTDC4055/ "%USERPROFILE%\AppData\Local\Temp\OnboardLogs"\RTDC4055\2017-09-19 --exclude "*" --recursive --include "*20170919*" &amp; "%USERPROFILE%\Documents\GitHub\mrs-test-scripts\Headless Mode &amp; Sideloading\WalkAndUnGZ.bat" "%USERPROFILE%\AppData\Local\Temp\OnboardLogs"\RTDC4055\2017-09-19 &amp; aws s3 cp s3://rtdc.mdm.uploadarchive.raw/RTDC4055/ "%USERPROFILE%\AppData\Local\Temp\OnboardLogs"\RTDC4055\2017-09-20 --exclude "*" --recursive --include "*20170920*" &amp; "%USERPROFILE%\Documents\GitHub\mrs-test-scripts\Headless Mode &amp; Sideloading\WalkAndUnGZ.bat" "%USERPROFILE%\AppData\Local\Temp\OnboardLogs"\RTDC4055\2017-09-20</v>
      </c>
      <c r="S7" s="84" t="str">
        <f>VLOOKUP(C7,'Train Runs'!$A$13:$AE$9961,22,0)</f>
        <v>https://d0f6bd738d7f1b3e5a7ca70fe4ff75f0.us-east-1.aws.found.io/app/kibana#/discover/Steve-Slow-Train-Analysis-(2080s-and-2083s)?_g=(refreshInterval:(display:Off,pause:!f,section:0,value:0),time:(from:'2017-09-19T17:57:17-0600',mode:absolute,to:'2017-09-19T20:49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7" s="86" t="str">
        <f t="shared" ref="T7:T40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/stypes="*4055*201709200*" /stext=" 01:.+((SYSTEM_STATE.+slice.+state.+changed )|(ment ac)|(multiple cpu faults)|(system.+state.+changed )|(\[timeout)|(PRM\|1\|D)|(kpr)|(kdp)|(train st.+moving)|(\|lc)|(penalty))"</v>
      </c>
      <c r="U7" s="9" t="str">
        <f t="shared" ref="U7:U40" si="2">MID(B7,13,4)</f>
        <v>4055</v>
      </c>
      <c r="V7" s="31">
        <f t="shared" ref="V7:V40" si="3">A7-utc_offset/24</f>
        <v>42998.071203703701</v>
      </c>
      <c r="W7" s="45" t="str">
        <f t="shared" ref="W7:W40" si="4">DetSubdiv(C7)</f>
        <v>EC</v>
      </c>
      <c r="X7" s="22">
        <f t="shared" ref="X7:X40" si="5">VALUE(LEFT(C7,LEN(C7)-3))</f>
        <v>218</v>
      </c>
      <c r="Y7" s="96" t="str">
        <f t="shared" ref="Y7:Y4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Arrival","project_id":79,"tracker_id":40,"status_id":1,"priority_id":2,"assigned_to_id":338,"start_date":"2017-09-19","description":"","custom_fields":[{"id":1,"name":"Subdivision","value":"EC"},{"id":4,"name":"Milepost","value":"2.735"},{"id":17,"name":"Train ID","value":"218-19"},{"id":16,"name":"Locomotive ID","value":"4055"},{"id":130,"name":"Impact","value":""},{"id":150,"name":"Time of Event (Mountain Time)","value":"19:42:32"},{"id":151,"name":"Denver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0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/c/Users/stu/AppData/Local/Temp/OnboardLogs/RTDC4055 --include="*4055*201709200*"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"%USERPROFILE%\AppData\Local\Temp\OnboardLogs"\RTDC4055\*4055*201709200* &gt;&gt; 2017-09-19-SliceDisagreementCheck.txt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4055 --day 2017-09-20</v>
      </c>
    </row>
    <row r="8" spans="1:32" s="1" customFormat="1" x14ac:dyDescent="0.25">
      <c r="A8" s="31">
        <v>42997.35974537037</v>
      </c>
      <c r="B8" s="30" t="s">
        <v>609</v>
      </c>
      <c r="C8" s="30" t="s">
        <v>617</v>
      </c>
      <c r="D8" s="30" t="s">
        <v>49</v>
      </c>
      <c r="E8" s="30" t="s">
        <v>187</v>
      </c>
      <c r="F8" s="42">
        <v>250</v>
      </c>
      <c r="G8" s="42">
        <v>310</v>
      </c>
      <c r="H8" s="42">
        <v>58746</v>
      </c>
      <c r="I8" s="42">
        <v>57863</v>
      </c>
      <c r="J8" s="30" t="s">
        <v>188</v>
      </c>
      <c r="K8" s="42">
        <v>58301</v>
      </c>
      <c r="L8" s="131" t="s">
        <v>51</v>
      </c>
      <c r="M8" s="132">
        <f t="shared" si="0"/>
        <v>-231.26400000000001</v>
      </c>
      <c r="N8" s="133" t="str">
        <f>VLOOKUP(C8,'Trips&amp;Operators'!$C$1:$G$99911,5,FALSE)</f>
        <v>BROWN JACOB</v>
      </c>
      <c r="O8" s="176" t="s">
        <v>180</v>
      </c>
      <c r="P8" s="134" t="s">
        <v>369</v>
      </c>
      <c r="Q8" s="30"/>
      <c r="R8" s="81" t="str">
        <f>VLOOKUP(C8,'Train Runs'!$A$13:$AE$9961,31,0)</f>
        <v>aws s3 cp s3://rtdc.mdm.uploadarchive.raw/RTDC4027/ "%USERPROFILE%\AppData\Local\Temp\OnboardLogs"\RTDC4027\2017-09-19 --exclude "*" --recursive --include "*20170919*" &amp; "%USERPROFILE%\Documents\GitHub\mrs-test-scripts\Headless Mode &amp; Sideloading\WalkAndUnGZ.bat" "%USERPROFILE%\AppData\Local\Temp\OnboardLogs"\RTDC4027\2017-09-19 &amp; aws s3 cp s3://rtdc.mdm.uploadarchive.raw/RTDC4027/ "%USERPROFILE%\AppData\Local\Temp\OnboardLogs"\RTDC4027\2017-09-20 --exclude "*" --recursive --include "*20170920*" &amp; "%USERPROFILE%\Documents\GitHub\mrs-test-scripts\Headless Mode &amp; Sideloading\WalkAndUnGZ.bat" "%USERPROFILE%\AppData\Local\Temp\OnboardLogs"\RTDC4027\2017-09-20</v>
      </c>
      <c r="S8" s="84" t="str">
        <f>VLOOKUP(C8,'Train Runs'!$A$13:$AE$9961,22,0)</f>
        <v>https://d0f6bd738d7f1b3e5a7ca70fe4ff75f0.us-east-1.aws.found.io/app/kibana#/discover/Steve-Slow-Train-Analysis-(2080s-and-2083s)?_g=(refreshInterval:(display:Off,pause:!f,section:0,value:0),time:(from:'2017-09-19T07:02:05-0600',mode:absolute,to:'2017-09-19T09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8" s="86" t="str">
        <f t="shared" si="1"/>
        <v>"C:\Program Files (x86)\AstroGrep\AstroGrep.exe" /e /r /s /spath="%USERPROFILE%\AppData\Local\Temp\OnboardLogs" /stypes="*4027*201709191*" /stext=" 14:.+((SYSTEM_STATE.+slice.+state.+changed )|(ment ac)|(multiple cpu faults)|(system.+state.+changed )|(\[timeout)|(PRM\|1\|D)|(kpr)|(kdp)|(train st.+moving)|(\|lc)|(penalty))"</v>
      </c>
      <c r="U8" s="9" t="str">
        <f t="shared" si="2"/>
        <v>4027</v>
      </c>
      <c r="V8" s="31">
        <f t="shared" si="3"/>
        <v>42997.60974537037</v>
      </c>
      <c r="W8" s="45" t="str">
        <f t="shared" si="4"/>
        <v>EC</v>
      </c>
      <c r="X8" s="22">
        <f t="shared" si="5"/>
        <v>130</v>
      </c>
      <c r="Y8" s="96" t="str">
        <f t="shared" si="6"/>
        <v>echo {"issue":{"subject":"Early Arrival","project_id":79,"tracker_id":40,"status_id":1,"priority_id":2,"assigned_to_id":338,"start_date":"2017-09-19","description":"","custom_fields":[{"id":1,"name":"Subdivision","value":"EC"},{"id":4,"name":"Milepost","value":"5.8301"},{"id":17,"name":"Train ID","value":"130-19"},{"id":16,"name":"Locomotive ID","value":"4027"},{"id":130,"name":"Impact","value":""},{"id":150,"name":"Time of Event (Mountain Time)","value":"08:38:02"},{"id":151,"name":"Denver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/c/Users/stu/AppData/Local/Temp/OnboardLogs/RTDC4027 --include="*4027*201709191*"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"%USERPROFILE%\AppData\Local\Temp\OnboardLogs"\RTDC4027\*4027*201709191* &gt;&gt; 2017-09-19-SliceDisagreementCheck.txt</v>
      </c>
      <c r="AE8" s="145" t="str">
        <f t="shared" ref="AE8:AE40" si="9">"start /low /b "&amp;dls3logs&amp;" --loco "&amp;U8&amp;" --day "&amp;TEXT(V8,"YYYY-MM-DD")</f>
        <v>start /low /b %USERPROFILE%\Documents\GitHub\eaglep3\Utilities\DownloadLogsFromS3.py --loco 4027 --day 2017-09-19</v>
      </c>
    </row>
    <row r="9" spans="1:32" s="1" customFormat="1" x14ac:dyDescent="0.25">
      <c r="A9" s="31">
        <v>42997.373472222222</v>
      </c>
      <c r="B9" s="30" t="s">
        <v>613</v>
      </c>
      <c r="C9" s="30" t="s">
        <v>618</v>
      </c>
      <c r="D9" s="30" t="s">
        <v>49</v>
      </c>
      <c r="E9" s="30" t="s">
        <v>187</v>
      </c>
      <c r="F9" s="42">
        <v>430</v>
      </c>
      <c r="G9" s="42">
        <v>485</v>
      </c>
      <c r="H9" s="42">
        <v>62229</v>
      </c>
      <c r="I9" s="42">
        <v>63592</v>
      </c>
      <c r="J9" s="30" t="s">
        <v>188</v>
      </c>
      <c r="K9" s="42">
        <v>63069</v>
      </c>
      <c r="L9" s="131" t="s">
        <v>50</v>
      </c>
      <c r="M9" s="132">
        <f t="shared" si="0"/>
        <v>-276.14400000000001</v>
      </c>
      <c r="N9" s="133" t="str">
        <f>VLOOKUP(C9,'Trips&amp;Operators'!$C$1:$G$99911,5,FALSE)</f>
        <v>BARRON PERLA</v>
      </c>
      <c r="O9" s="176" t="s">
        <v>180</v>
      </c>
      <c r="P9" s="134" t="s">
        <v>369</v>
      </c>
      <c r="Q9" s="30"/>
      <c r="R9" s="81" t="str">
        <f>VLOOKUP(C9,'Train Runs'!$A$13:$AE$9961,31,0)</f>
        <v>aws s3 cp s3://rtdc.mdm.uploadarchive.raw/RTDC4054/ "%USERPROFILE%\AppData\Local\Temp\OnboardLogs"\RTDC4054\2017-09-19 --exclude "*" --recursive --include "*20170919*" &amp; "%USERPROFILE%\Documents\GitHub\mrs-test-scripts\Headless Mode &amp; Sideloading\WalkAndUnGZ.bat" "%USERPROFILE%\AppData\Local\Temp\OnboardLogs"\RTDC4054\2017-09-19 &amp; aws s3 cp s3://rtdc.mdm.uploadarchive.raw/RTDC4054/ "%USERPROFILE%\AppData\Local\Temp\OnboardLogs"\RTDC4054\2017-09-20 --exclude "*" --recursive --include "*20170920*" &amp; "%USERPROFILE%\Documents\GitHub\mrs-test-scripts\Headless Mode &amp; Sideloading\WalkAndUnGZ.bat" "%USERPROFILE%\AppData\Local\Temp\OnboardLogs"\RTDC4054\2017-09-20</v>
      </c>
      <c r="S9" s="84" t="str">
        <f>VLOOKUP(C9,'Train Runs'!$A$13:$AE$9961,22,0)</f>
        <v>https://d0f6bd738d7f1b3e5a7ca70fe4ff75f0.us-east-1.aws.found.io/app/kibana#/discover/Steve-Slow-Train-Analysis-(2080s-and-2083s)?_g=(refreshInterval:(display:Off,pause:!f,section:0,value:0),time:(from:'2017-09-19T07:39:09-0600',mode:absolute,to:'2017-09-19T10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9" s="86" t="str">
        <f t="shared" si="1"/>
        <v>"C:\Program Files (x86)\AstroGrep\AstroGrep.exe" /e /r /s /spath="%USERPROFILE%\AppData\Local\Temp\OnboardLogs" /stypes="*4054*201709191*" /stext=" 14:.+((SYSTEM_STATE.+slice.+state.+changed )|(ment ac)|(multiple cpu faults)|(system.+state.+changed )|(\[timeout)|(PRM\|1\|D)|(kpr)|(kdp)|(train st.+moving)|(\|lc)|(penalty))"</v>
      </c>
      <c r="U9" s="9" t="str">
        <f t="shared" si="2"/>
        <v>4054</v>
      </c>
      <c r="V9" s="31">
        <f t="shared" si="3"/>
        <v>42997.623472222222</v>
      </c>
      <c r="W9" s="45" t="str">
        <f t="shared" si="4"/>
        <v>EC</v>
      </c>
      <c r="X9" s="22">
        <f t="shared" si="5"/>
        <v>141</v>
      </c>
      <c r="Y9" s="96" t="str">
        <f t="shared" si="6"/>
        <v>echo {"issue":{"subject":"Early Arrival","project_id":79,"tracker_id":40,"status_id":1,"priority_id":2,"assigned_to_id":338,"start_date":"2017-09-19","description":"","custom_fields":[{"id":1,"name":"Subdivision","value":"EC"},{"id":4,"name":"Milepost","value":"6.3069"},{"id":17,"name":"Train ID","value":"141-19"},{"id":16,"name":"Locomotive ID","value":"4054"},{"id":130,"name":"Impact","value":""},{"id":150,"name":"Time of Event (Mountain Time)","value":"08:57:48"},{"id":151,"name":"Denver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/c/Users/stu/AppData/Local/Temp/OnboardLogs/RTDC4054 --include="*4054*201709191*"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"%USERPROFILE%\AppData\Local\Temp\OnboardLogs"\RTDC4054\*4054*201709191* &gt;&gt; 2017-09-19-SliceDisagreementCheck.txt</v>
      </c>
      <c r="AE9" s="145" t="str">
        <f t="shared" si="9"/>
        <v>start /low /b %USERPROFILE%\Documents\GitHub\eaglep3\Utilities\DownloadLogsFromS3.py --loco 4054 --day 2017-09-19</v>
      </c>
    </row>
    <row r="10" spans="1:32" s="1" customFormat="1" x14ac:dyDescent="0.25">
      <c r="A10" s="31">
        <v>42997.535740740743</v>
      </c>
      <c r="B10" s="30" t="s">
        <v>419</v>
      </c>
      <c r="C10" s="30" t="s">
        <v>632</v>
      </c>
      <c r="D10" s="30" t="s">
        <v>96</v>
      </c>
      <c r="E10" s="30" t="s">
        <v>187</v>
      </c>
      <c r="F10" s="42">
        <v>0</v>
      </c>
      <c r="G10" s="42">
        <v>159</v>
      </c>
      <c r="H10" s="42">
        <v>63274</v>
      </c>
      <c r="I10" s="42">
        <v>63213</v>
      </c>
      <c r="J10" s="30" t="s">
        <v>188</v>
      </c>
      <c r="K10" s="42">
        <v>63309</v>
      </c>
      <c r="L10" s="131" t="s">
        <v>51</v>
      </c>
      <c r="M10" s="132">
        <f t="shared" si="0"/>
        <v>-50.688000000000002</v>
      </c>
      <c r="N10" s="133" t="str">
        <f>VLOOKUP(C10,'Trips&amp;Operators'!$C$1:$G$99911,5,FALSE)</f>
        <v>MOSES BRADLEY</v>
      </c>
      <c r="O10" s="176" t="s">
        <v>180</v>
      </c>
      <c r="P10" s="134" t="s">
        <v>369</v>
      </c>
      <c r="Q10" s="30"/>
      <c r="R10" s="81" t="str">
        <f>VLOOKUP(C10,'Train Runs'!$A$13:$AE$9961,31,0)</f>
        <v>aws s3 cp s3://rtdc.mdm.uploadarchive.raw/RTDC4029/ "%USERPROFILE%\AppData\Local\Temp\OnboardLogs"\RTDC4029\2017-09-19 --exclude "*" --recursive --include "*20170919*" &amp; "%USERPROFILE%\Documents\GitHub\mrs-test-scripts\Headless Mode &amp; Sideloading\WalkAndUnGZ.bat" "%USERPROFILE%\AppData\Local\Temp\OnboardLogs"\RTDC4029\2017-09-19 &amp; aws s3 cp s3://rtdc.mdm.uploadarchive.raw/RTDC4029/ "%USERPROFILE%\AppData\Local\Temp\OnboardLogs"\RTDC4029\2017-09-20 --exclude "*" --recursive --include "*20170920*" &amp; "%USERPROFILE%\Documents\GitHub\mrs-test-scripts\Headless Mode &amp; Sideloading\WalkAndUnGZ.bat" "%USERPROFILE%\AppData\Local\Temp\OnboardLogs"\RTDC4029\2017-09-20</v>
      </c>
      <c r="S10" s="84" t="str">
        <f>VLOOKUP(C10,'Train Runs'!$A$13:$AE$9961,22,0)</f>
        <v>https://d0f6bd738d7f1b3e5a7ca70fe4ff75f0.us-east-1.aws.found.io/app/kibana#/discover/Steve-Slow-Train-Analysis-(2080s-and-2083s)?_g=(refreshInterval:(display:Off,pause:!f,section:0,value:0),time:(from:'2017-09-19T11:21:14-0600',mode:absolute,to:'2017-09-19T14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0" s="86" t="str">
        <f t="shared" si="1"/>
        <v>"C:\Program Files (x86)\AstroGrep\AstroGrep.exe" /e /r /s /spath="%USERPROFILE%\AppData\Local\Temp\OnboardLogs" /stypes="*4029*201709191*" /stext=" 18:.+((SYSTEM_STATE.+slice.+state.+changed )|(ment ac)|(multiple cpu faults)|(system.+state.+changed )|(\[timeout)|(PRM\|1\|D)|(kpr)|(kdp)|(train st.+moving)|(\|lc)|(penalty))"</v>
      </c>
      <c r="U10" s="9" t="str">
        <f t="shared" si="2"/>
        <v>4029</v>
      </c>
      <c r="V10" s="31">
        <f t="shared" si="3"/>
        <v>42997.785740740743</v>
      </c>
      <c r="W10" s="45" t="str">
        <f t="shared" si="4"/>
        <v>EC</v>
      </c>
      <c r="X10" s="22">
        <f t="shared" si="5"/>
        <v>164</v>
      </c>
      <c r="Y10" s="96" t="str">
        <f t="shared" si="6"/>
        <v>echo {"issue":{"subject":"Early Arrival","project_id":79,"tracker_id":40,"status_id":1,"priority_id":2,"assigned_to_id":338,"start_date":"2017-09-19","description":"","custom_fields":[{"id":1,"name":"Subdivision","value":"EC"},{"id":4,"name":"Milepost","value":"6.3309"},{"id":17,"name":"Train ID","value":"164-19"},{"id":16,"name":"Locomotive ID","value":"4029"},{"id":130,"name":"Impact","value":""},{"id":150,"name":"Time of Event (Mountain Time)","value":"12:51:28"},{"id":151,"name":"Denver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/c/Users/stu/AppData/Local/Temp/OnboardLogs/RTDC4029 --include="*4029*201709191*"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"%USERPROFILE%\AppData\Local\Temp\OnboardLogs"\RTDC4029\*4029*201709191* &gt;&gt; 2017-09-19-SliceDisagreementCheck.txt</v>
      </c>
      <c r="AE10" s="145" t="str">
        <f t="shared" si="9"/>
        <v>start /low /b %USERPROFILE%\Documents\GitHub\eaglep3\Utilities\DownloadLogsFromS3.py --loco 4029 --day 2017-09-19</v>
      </c>
    </row>
    <row r="11" spans="1:32" s="1" customFormat="1" x14ac:dyDescent="0.25">
      <c r="A11" s="31">
        <v>42997.356504629628</v>
      </c>
      <c r="B11" s="30" t="s">
        <v>609</v>
      </c>
      <c r="C11" s="30" t="s">
        <v>617</v>
      </c>
      <c r="D11" s="30" t="s">
        <v>49</v>
      </c>
      <c r="E11" s="30" t="s">
        <v>187</v>
      </c>
      <c r="F11" s="42">
        <v>580</v>
      </c>
      <c r="G11" s="42">
        <v>656</v>
      </c>
      <c r="H11" s="42">
        <v>81066</v>
      </c>
      <c r="I11" s="42">
        <v>78401</v>
      </c>
      <c r="J11" s="30" t="s">
        <v>188</v>
      </c>
      <c r="K11" s="42">
        <v>78469</v>
      </c>
      <c r="L11" s="131" t="s">
        <v>51</v>
      </c>
      <c r="M11" s="132">
        <f t="shared" si="0"/>
        <v>-35.904000000000003</v>
      </c>
      <c r="N11" s="133" t="str">
        <f>VLOOKUP(C11,'Trips&amp;Operators'!$C$1:$G$99911,5,FALSE)</f>
        <v>BROWN JACOB</v>
      </c>
      <c r="O11" s="176" t="s">
        <v>180</v>
      </c>
      <c r="P11" s="134" t="s">
        <v>369</v>
      </c>
      <c r="Q11" s="30"/>
      <c r="R11" s="81" t="str">
        <f>VLOOKUP(C11,'Train Runs'!$A$13:$AE$9961,31,0)</f>
        <v>aws s3 cp s3://rtdc.mdm.uploadarchive.raw/RTDC4027/ "%USERPROFILE%\AppData\Local\Temp\OnboardLogs"\RTDC4027\2017-09-19 --exclude "*" --recursive --include "*20170919*" &amp; "%USERPROFILE%\Documents\GitHub\mrs-test-scripts\Headless Mode &amp; Sideloading\WalkAndUnGZ.bat" "%USERPROFILE%\AppData\Local\Temp\OnboardLogs"\RTDC4027\2017-09-19 &amp; aws s3 cp s3://rtdc.mdm.uploadarchive.raw/RTDC4027/ "%USERPROFILE%\AppData\Local\Temp\OnboardLogs"\RTDC4027\2017-09-20 --exclude "*" --recursive --include "*20170920*" &amp; "%USERPROFILE%\Documents\GitHub\mrs-test-scripts\Headless Mode &amp; Sideloading\WalkAndUnGZ.bat" "%USERPROFILE%\AppData\Local\Temp\OnboardLogs"\RTDC4027\2017-09-20</v>
      </c>
      <c r="S11" s="84" t="str">
        <f>VLOOKUP(C11,'Train Runs'!$A$13:$AE$9961,22,0)</f>
        <v>https://d0f6bd738d7f1b3e5a7ca70fe4ff75f0.us-east-1.aws.found.io/app/kibana#/discover/Steve-Slow-Train-Analysis-(2080s-and-2083s)?_g=(refreshInterval:(display:Off,pause:!f,section:0,value:0),time:(from:'2017-09-19T07:02:05-0600',mode:absolute,to:'2017-09-19T09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1" s="86" t="str">
        <f t="shared" si="1"/>
        <v>"C:\Program Files (x86)\AstroGrep\AstroGrep.exe" /e /r /s /spath="%USERPROFILE%\AppData\Local\Temp\OnboardLogs" /stypes="*4027*201709191*" /stext=" 14:.+((SYSTEM_STATE.+slice.+state.+changed )|(ment ac)|(multiple cpu faults)|(system.+state.+changed )|(\[timeout)|(PRM\|1\|D)|(kpr)|(kdp)|(train st.+moving)|(\|lc)|(penalty))"</v>
      </c>
      <c r="U11" s="9" t="str">
        <f t="shared" si="2"/>
        <v>4027</v>
      </c>
      <c r="V11" s="31">
        <f t="shared" si="3"/>
        <v>42997.606504629628</v>
      </c>
      <c r="W11" s="45" t="str">
        <f t="shared" si="4"/>
        <v>EC</v>
      </c>
      <c r="X11" s="22">
        <f t="shared" si="5"/>
        <v>130</v>
      </c>
      <c r="Y11" s="96" t="str">
        <f t="shared" si="6"/>
        <v>echo {"issue":{"subject":"Early Arrival","project_id":79,"tracker_id":40,"status_id":1,"priority_id":2,"assigned_to_id":338,"start_date":"2017-09-19","description":"","custom_fields":[{"id":1,"name":"Subdivision","value":"EC"},{"id":4,"name":"Milepost","value":"7.8469"},{"id":17,"name":"Train ID","value":"130-19"},{"id":16,"name":"Locomotive ID","value":"4027"},{"id":130,"name":"Impact","value":""},{"id":150,"name":"Time of Event (Mountain Time)","value":"08:33:22"},{"id":151,"name":"Denver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/c/Users/stu/AppData/Local/Temp/OnboardLogs/RTDC4027 --include="*4027*201709191*"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"%USERPROFILE%\AppData\Local\Temp\OnboardLogs"\RTDC4027\*4027*201709191* &gt;&gt; 2017-09-19-SliceDisagreementCheck.txt</v>
      </c>
      <c r="AE11" s="145" t="str">
        <f t="shared" si="9"/>
        <v>start /low /b %USERPROFILE%\Documents\GitHub\eaglep3\Utilities\DownloadLogsFromS3.py --loco 4027 --day 2017-09-19</v>
      </c>
    </row>
    <row r="12" spans="1:32" x14ac:dyDescent="0.25">
      <c r="A12" s="31">
        <v>42997.301874999997</v>
      </c>
      <c r="B12" s="30" t="s">
        <v>501</v>
      </c>
      <c r="C12" s="30" t="s">
        <v>615</v>
      </c>
      <c r="D12" s="30" t="s">
        <v>49</v>
      </c>
      <c r="E12" s="30" t="s">
        <v>187</v>
      </c>
      <c r="F12" s="42">
        <v>0</v>
      </c>
      <c r="G12" s="42">
        <v>398</v>
      </c>
      <c r="H12" s="42">
        <v>109455</v>
      </c>
      <c r="I12" s="42">
        <v>108889</v>
      </c>
      <c r="J12" s="30" t="s">
        <v>188</v>
      </c>
      <c r="K12" s="42">
        <v>109135</v>
      </c>
      <c r="L12" s="131" t="s">
        <v>51</v>
      </c>
      <c r="M12" s="132">
        <f t="shared" si="0"/>
        <v>-129.88800000000001</v>
      </c>
      <c r="N12" s="133" t="str">
        <f>VLOOKUP(C12,'Trips&amp;Operators'!$C$1:$G$99911,5,FALSE)</f>
        <v>THOMPSON LESTER</v>
      </c>
      <c r="O12" s="176" t="s">
        <v>180</v>
      </c>
      <c r="P12" s="134" t="s">
        <v>369</v>
      </c>
      <c r="Q12" s="30"/>
      <c r="R12" s="81" t="str">
        <f>VLOOKUP(C12,'Train Runs'!$A$13:$AE$9961,31,0)</f>
        <v>aws s3 cp s3://rtdc.mdm.uploadarchive.raw/RTDC4055/ "%USERPROFILE%\AppData\Local\Temp\OnboardLogs"\RTDC4055\2017-09-19 --exclude "*" --recursive --include "*20170919*" &amp; "%USERPROFILE%\Documents\GitHub\mrs-test-scripts\Headless Mode &amp; Sideloading\WalkAndUnGZ.bat" "%USERPROFILE%\AppData\Local\Temp\OnboardLogs"\RTDC4055\2017-09-19 &amp; aws s3 cp s3://rtdc.mdm.uploadarchive.raw/RTDC4055/ "%USERPROFILE%\AppData\Local\Temp\OnboardLogs"\RTDC4055\2017-09-20 --exclude "*" --recursive --include "*20170920*" &amp; "%USERPROFILE%\Documents\GitHub\mrs-test-scripts\Headless Mode &amp; Sideloading\WalkAndUnGZ.bat" "%USERPROFILE%\AppData\Local\Temp\OnboardLogs"\RTDC4055\2017-09-20</v>
      </c>
      <c r="S12" s="84" t="str">
        <f>VLOOKUP(C12,'Train Runs'!$A$13:$AE$9961,22,0)</f>
        <v>https://d0f6bd738d7f1b3e5a7ca70fe4ff75f0.us-east-1.aws.found.io/app/kibana#/discover/Steve-Slow-Train-Analysis-(2080s-and-2083s)?_g=(refreshInterval:(display:Off,pause:!f,section:0,value:0),time:(from:'2017-09-19T05:54:17-0600',mode:absolute,to:'2017-09-19T08:38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2" s="86" t="str">
        <f t="shared" si="1"/>
        <v>"C:\Program Files (x86)\AstroGrep\AstroGrep.exe" /e /r /s /spath="%USERPROFILE%\AppData\Local\Temp\OnboardLogs" /stypes="*4055*201709191*" /stext=" 13:.+((SYSTEM_STATE.+slice.+state.+changed )|(ment ac)|(multiple cpu faults)|(system.+state.+changed )|(\[timeout)|(PRM\|1\|D)|(kpr)|(kdp)|(train st.+moving)|(\|lc)|(penalty))"</v>
      </c>
      <c r="U12" s="9" t="str">
        <f t="shared" si="2"/>
        <v>4055</v>
      </c>
      <c r="V12" s="31">
        <f t="shared" si="3"/>
        <v>42997.551874999997</v>
      </c>
      <c r="W12" s="45" t="str">
        <f t="shared" si="4"/>
        <v>EC</v>
      </c>
      <c r="X12" s="22">
        <f t="shared" si="5"/>
        <v>120</v>
      </c>
      <c r="Y12" s="96" t="str">
        <f t="shared" si="6"/>
        <v>echo {"issue":{"subject":"Early Arrival","project_id":79,"tracker_id":40,"status_id":1,"priority_id":2,"assigned_to_id":338,"start_date":"2017-09-19","description":"","custom_fields":[{"id":1,"name":"Subdivision","value":"EC"},{"id":4,"name":"Milepost","value":"10.9135"},{"id":17,"name":"Train ID","value":"120-19"},{"id":16,"name":"Locomotive ID","value":"4055"},{"id":130,"name":"Impact","value":""},{"id":150,"name":"Time of Event (Mountain Time)","value":"07:14:42"},{"id":151,"name":"Denver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/c/Users/stu/AppData/Local/Temp/OnboardLogs/RTDC4055 --include="*4055*201709191*"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"%USERPROFILE%\AppData\Local\Temp\OnboardLogs"\RTDC4055\*4055*201709191* &gt;&gt; 2017-09-19-SliceDisagreementCheck.txt</v>
      </c>
      <c r="AE12" s="145" t="str">
        <f t="shared" si="9"/>
        <v>start /low /b %USERPROFILE%\Documents\GitHub\eaglep3\Utilities\DownloadLogsFromS3.py --loco 4055 --day 2017-09-19</v>
      </c>
      <c r="AF12" s="1"/>
    </row>
    <row r="13" spans="1:32" x14ac:dyDescent="0.25">
      <c r="A13" s="31">
        <v>42997.181331018517</v>
      </c>
      <c r="B13" s="30" t="s">
        <v>497</v>
      </c>
      <c r="C13" s="30" t="s">
        <v>608</v>
      </c>
      <c r="D13" s="30" t="s">
        <v>96</v>
      </c>
      <c r="E13" s="30" t="s">
        <v>195</v>
      </c>
      <c r="F13" s="42">
        <v>300</v>
      </c>
      <c r="G13" s="42">
        <v>350</v>
      </c>
      <c r="H13" s="42">
        <v>21923</v>
      </c>
      <c r="I13" s="42">
        <v>23020</v>
      </c>
      <c r="J13" s="30" t="s">
        <v>196</v>
      </c>
      <c r="K13" s="42">
        <v>20338</v>
      </c>
      <c r="L13" s="131" t="s">
        <v>50</v>
      </c>
      <c r="M13" s="132">
        <f t="shared" si="0"/>
        <v>-1416.096</v>
      </c>
      <c r="N13" s="133" t="str">
        <f>VLOOKUP(C13,'Trips&amp;Operators'!$C$1:$G$99911,5,FALSE)</f>
        <v>THOMPSON LESTER</v>
      </c>
      <c r="O13" s="176" t="s">
        <v>180</v>
      </c>
      <c r="P13" s="134"/>
      <c r="Q13" s="30"/>
      <c r="R13" s="81" t="str">
        <f>VLOOKUP(C13,'Train Runs'!$A$13:$AE$9961,31,0)</f>
        <v>aws s3 cp s3://rtdc.mdm.uploadarchive.raw/RTDC4056/ "%USERPROFILE%\AppData\Local\Temp\OnboardLogs"\RTDC4056\2017-09-19 --exclude "*" --recursive --include "*20170919*" &amp; "%USERPROFILE%\Documents\GitHub\mrs-test-scripts\Headless Mode &amp; Sideloading\WalkAndUnGZ.bat" "%USERPROFILE%\AppData\Local\Temp\OnboardLogs"\RTDC4056\2017-09-19 &amp; aws s3 cp s3://rtdc.mdm.uploadarchive.raw/RTDC4056/ "%USERPROFILE%\AppData\Local\Temp\OnboardLogs"\RTDC4056\2017-09-20 --exclude "*" --recursive --include "*20170920*" &amp; "%USERPROFILE%\Documents\GitHub\mrs-test-scripts\Headless Mode &amp; Sideloading\WalkAndUnGZ.bat" "%USERPROFILE%\AppData\Local\Temp\OnboardLogs"\RTDC4056\2017-09-20</v>
      </c>
      <c r="S13" s="84" t="str">
        <f>VLOOKUP(C13,'Train Runs'!$A$13:$AE$9961,22,0)</f>
        <v>https://d0f6bd738d7f1b3e5a7ca70fe4ff75f0.us-east-1.aws.found.io/app/kibana#/discover/Steve-Slow-Train-Analysis-(2080s-and-2083s)?_g=(refreshInterval:(display:Off,pause:!f,section:0,value:0),time:(from:'2017-09-19T03:08:22-0600',mode:absolute,to:'2017-09-19T05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3" s="86" t="str">
        <f t="shared" si="1"/>
        <v>"C:\Program Files (x86)\AstroGrep\AstroGrep.exe" /e /r /s /spath="%USERPROFILE%\AppData\Local\Temp\OnboardLogs" /stypes="*4056*201709191*" /stext=" 10:.+((SYSTEM_STATE.+slice.+state.+changed )|(ment ac)|(multiple cpu faults)|(system.+state.+changed )|(\[timeout)|(PRM\|1\|D)|(kpr)|(kdp)|(train st.+moving)|(\|lc)|(penalty))"</v>
      </c>
      <c r="U13" s="9" t="str">
        <f t="shared" si="2"/>
        <v>4056</v>
      </c>
      <c r="V13" s="31">
        <f t="shared" si="3"/>
        <v>42997.431331018517</v>
      </c>
      <c r="W13" s="45" t="str">
        <f t="shared" si="4"/>
        <v>EC</v>
      </c>
      <c r="X13" s="22">
        <f t="shared" si="5"/>
        <v>105</v>
      </c>
      <c r="Y13" s="96" t="str">
        <f t="shared" si="6"/>
        <v>echo {"issue":{"subject":"","project_id":79,"tracker_id":40,"status_id":1,"priority_id":2,"assigned_to_id":338,"start_date":"2017-09-19","description":"","custom_fields":[{"id":1,"name":"Subdivision","value":"EC"},{"id":4,"name":"Milepost","value":"2.0338"},{"id":17,"name":"Train ID","value":"105-19"},{"id":16,"name":"Locomotive ID","value":"4056"},{"id":130,"name":"Impact","value":""},{"id":150,"name":"Time of Event (Mountain Time)","value":"04:21:07"},{"id":151,"name":"Denver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/c/Users/stu/AppData/Local/Temp/OnboardLogs/RTDC4056 --include="*4056*201709191*"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"%USERPROFILE%\AppData\Local\Temp\OnboardLogs"\RTDC4056\*4056*201709191* &gt;&gt; 2017-09-19-SliceDisagreementCheck.txt</v>
      </c>
      <c r="AE13" s="145" t="str">
        <f t="shared" si="9"/>
        <v>start /low /b %USERPROFILE%\Documents\GitHub\eaglep3\Utilities\DownloadLogsFromS3.py --loco 4056 --day 2017-09-19</v>
      </c>
      <c r="AF13" s="1"/>
    </row>
    <row r="14" spans="1:32" x14ac:dyDescent="0.25">
      <c r="A14" s="31">
        <v>42997.978761574072</v>
      </c>
      <c r="B14" s="30" t="s">
        <v>501</v>
      </c>
      <c r="C14" s="30" t="s">
        <v>646</v>
      </c>
      <c r="D14" s="30" t="s">
        <v>49</v>
      </c>
      <c r="E14" s="30" t="s">
        <v>195</v>
      </c>
      <c r="F14" s="42">
        <v>300</v>
      </c>
      <c r="G14" s="42">
        <v>387</v>
      </c>
      <c r="H14" s="42">
        <v>22486</v>
      </c>
      <c r="I14" s="42">
        <v>21396</v>
      </c>
      <c r="J14" s="30" t="s">
        <v>196</v>
      </c>
      <c r="K14" s="42">
        <v>21848</v>
      </c>
      <c r="L14" s="131" t="s">
        <v>51</v>
      </c>
      <c r="M14" s="132">
        <f t="shared" si="0"/>
        <v>-238.65600000000001</v>
      </c>
      <c r="N14" s="133" t="str">
        <f>VLOOKUP(C14,'Trips&amp;Operators'!$C$1:$G$99911,5,FALSE)</f>
        <v>PERKINS DARREN</v>
      </c>
      <c r="O14" s="176" t="s">
        <v>180</v>
      </c>
      <c r="P14" s="134"/>
      <c r="Q14" s="30"/>
      <c r="R14" s="81" t="str">
        <f>VLOOKUP(C14,'Train Runs'!$A$13:$AE$9961,31,0)</f>
        <v>aws s3 cp s3://rtdc.mdm.uploadarchive.raw/RTDC4055/ "%USERPROFILE%\AppData\Local\Temp\OnboardLogs"\RTDC4055\2017-09-19 --exclude "*" --recursive --include "*20170919*" &amp; "%USERPROFILE%\Documents\GitHub\mrs-test-scripts\Headless Mode &amp; Sideloading\WalkAndUnGZ.bat" "%USERPROFILE%\AppData\Local\Temp\OnboardLogs"\RTDC4055\2017-09-19 &amp; aws s3 cp s3://rtdc.mdm.uploadarchive.raw/RTDC4055/ "%USERPROFILE%\AppData\Local\Temp\OnboardLogs"\RTDC4055\2017-09-20 --exclude "*" --recursive --include "*20170920*" &amp; "%USERPROFILE%\Documents\GitHub\mrs-test-scripts\Headless Mode &amp; Sideloading\WalkAndUnGZ.bat" "%USERPROFILE%\AppData\Local\Temp\OnboardLogs"\RTDC4055\2017-09-20</v>
      </c>
      <c r="S14" s="84" t="str">
        <f>VLOOKUP(C14,'Train Runs'!$A$13:$AE$9961,22,0)</f>
        <v>https://d0f6bd738d7f1b3e5a7ca70fe4ff75f0.us-east-1.aws.found.io/app/kibana#/discover/Steve-Slow-Train-Analysis-(2080s-and-2083s)?_g=(refreshInterval:(display:Off,pause:!f,section:0,value:0),time:(from:'2017-09-19T21:38:28-0600',mode:absolute,to:'2017-09-20T00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4" s="86" t="str">
        <f t="shared" si="1"/>
        <v>"C:\Program Files (x86)\AstroGrep\AstroGrep.exe" /e /r /s /spath="%USERPROFILE%\AppData\Local\Temp\OnboardLogs" /stypes="*4055*201709200*" /stext=" 05:.+((SYSTEM_STATE.+slice.+state.+changed )|(ment ac)|(multiple cpu faults)|(system.+state.+changed )|(\[timeout)|(PRM\|1\|D)|(kpr)|(kdp)|(train st.+moving)|(\|lc)|(penalty))"</v>
      </c>
      <c r="U14" s="9" t="str">
        <f t="shared" si="2"/>
        <v>4055</v>
      </c>
      <c r="V14" s="31">
        <f t="shared" si="3"/>
        <v>42998.228761574072</v>
      </c>
      <c r="W14" s="45" t="str">
        <f t="shared" si="4"/>
        <v>EC</v>
      </c>
      <c r="X14" s="22">
        <f t="shared" si="5"/>
        <v>234</v>
      </c>
      <c r="Y14" s="96" t="str">
        <f t="shared" si="6"/>
        <v>echo {"issue":{"subject":"","project_id":79,"tracker_id":40,"status_id":1,"priority_id":2,"assigned_to_id":338,"start_date":"2017-09-19","description":"","custom_fields":[{"id":1,"name":"Subdivision","value":"EC"},{"id":4,"name":"Milepost","value":"2.1848"},{"id":17,"name":"Train ID","value":"234-19"},{"id":16,"name":"Locomotive ID","value":"4055"},{"id":130,"name":"Impact","value":""},{"id":150,"name":"Time of Event (Mountain Time)","value":"23:29:25"},{"id":151,"name":"Denver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/c/Users/stu/AppData/Local/Temp/OnboardLogs/RTDC4055 --include="*4055*201709200*"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"%USERPROFILE%\AppData\Local\Temp\OnboardLogs"\RTDC4055\*4055*201709200* &gt;&gt; 2017-09-19-SliceDisagreementCheck.txt</v>
      </c>
      <c r="AE14" s="145" t="str">
        <f t="shared" si="9"/>
        <v>start /low /b %USERPROFILE%\Documents\GitHub\eaglep3\Utilities\DownloadLogsFromS3.py --loco 4055 --day 2017-09-20</v>
      </c>
      <c r="AF14" s="1"/>
    </row>
    <row r="15" spans="1:32" x14ac:dyDescent="0.25">
      <c r="A15" s="31">
        <v>42997.296493055554</v>
      </c>
      <c r="B15" s="30" t="s">
        <v>613</v>
      </c>
      <c r="C15" s="30" t="s">
        <v>614</v>
      </c>
      <c r="D15" s="30" t="s">
        <v>49</v>
      </c>
      <c r="E15" s="30" t="s">
        <v>195</v>
      </c>
      <c r="F15" s="42">
        <v>200</v>
      </c>
      <c r="G15" s="42">
        <v>345</v>
      </c>
      <c r="H15" s="42">
        <v>26167</v>
      </c>
      <c r="I15" s="42">
        <v>26918</v>
      </c>
      <c r="J15" s="30" t="s">
        <v>196</v>
      </c>
      <c r="K15" s="42">
        <v>27333</v>
      </c>
      <c r="L15" s="131" t="s">
        <v>50</v>
      </c>
      <c r="M15" s="132">
        <f t="shared" si="0"/>
        <v>219.12</v>
      </c>
      <c r="N15" s="133" t="str">
        <f>VLOOKUP(C15,'Trips&amp;Operators'!$C$1:$G$99911,5,FALSE)</f>
        <v>BARRON PERLA</v>
      </c>
      <c r="O15" s="176" t="s">
        <v>180</v>
      </c>
      <c r="P15" s="134"/>
      <c r="Q15" s="30"/>
      <c r="R15" s="81" t="str">
        <f>VLOOKUP(C15,'Train Runs'!$A$13:$AE$9961,31,0)</f>
        <v>aws s3 cp s3://rtdc.mdm.uploadarchive.raw/RTDC4054/ "%USERPROFILE%\AppData\Local\Temp\OnboardLogs"\RTDC4054\2017-09-19 --exclude "*" --recursive --include "*20170919*" &amp; "%USERPROFILE%\Documents\GitHub\mrs-test-scripts\Headless Mode &amp; Sideloading\WalkAndUnGZ.bat" "%USERPROFILE%\AppData\Local\Temp\OnboardLogs"\RTDC4054\2017-09-19 &amp; aws s3 cp s3://rtdc.mdm.uploadarchive.raw/RTDC4054/ "%USERPROFILE%\AppData\Local\Temp\OnboardLogs"\RTDC4054\2017-09-20 --exclude "*" --recursive --include "*20170920*" &amp; "%USERPROFILE%\Documents\GitHub\mrs-test-scripts\Headless Mode &amp; Sideloading\WalkAndUnGZ.bat" "%USERPROFILE%\AppData\Local\Temp\OnboardLogs"\RTDC4054\2017-09-20</v>
      </c>
      <c r="S15" s="84" t="str">
        <f>VLOOKUP(C15,'Train Runs'!$A$13:$AE$9961,22,0)</f>
        <v>https://d0f6bd738d7f1b3e5a7ca70fe4ff75f0.us-east-1.aws.found.io/app/kibana#/discover/Steve-Slow-Train-Analysis-(2080s-and-2083s)?_g=(refreshInterval:(display:Off,pause:!f,section:0,value:0),time:(from:'2017-09-19T05:52:50-0600',mode:absolute,to:'2017-09-19T08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5" s="86" t="str">
        <f t="shared" si="1"/>
        <v>"C:\Program Files (x86)\AstroGrep\AstroGrep.exe" /e /r /s /spath="%USERPROFILE%\AppData\Local\Temp\OnboardLogs" /stypes="*4054*201709191*" /stext=" 13:.+((SYSTEM_STATE.+slice.+state.+changed )|(ment ac)|(multiple cpu faults)|(system.+state.+changed )|(\[timeout)|(PRM\|1\|D)|(kpr)|(kdp)|(train st.+moving)|(\|lc)|(penalty))"</v>
      </c>
      <c r="U15" s="9" t="str">
        <f t="shared" si="2"/>
        <v>4054</v>
      </c>
      <c r="V15" s="31">
        <f t="shared" si="3"/>
        <v>42997.546493055554</v>
      </c>
      <c r="W15" s="45" t="str">
        <f t="shared" si="4"/>
        <v>EC</v>
      </c>
      <c r="X15" s="22">
        <f t="shared" si="5"/>
        <v>127</v>
      </c>
      <c r="Y15" s="96" t="str">
        <f t="shared" si="6"/>
        <v>echo {"issue":{"subject":"","project_id":79,"tracker_id":40,"status_id":1,"priority_id":2,"assigned_to_id":338,"start_date":"2017-09-19","description":"","custom_fields":[{"id":1,"name":"Subdivision","value":"EC"},{"id":4,"name":"Milepost","value":"2.7333"},{"id":17,"name":"Train ID","value":"127-19"},{"id":16,"name":"Locomotive ID","value":"4054"},{"id":130,"name":"Impact","value":""},{"id":150,"name":"Time of Event (Mountain Time)","value":"07:06:57"},{"id":151,"name":"Denver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/c/Users/stu/AppData/Local/Temp/OnboardLogs/RTDC4054 --include="*4054*201709191*"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"%USERPROFILE%\AppData\Local\Temp\OnboardLogs"\RTDC4054\*4054*201709191* &gt;&gt; 2017-09-19-SliceDisagreementCheck.txt</v>
      </c>
      <c r="AE15" s="145" t="str">
        <f t="shared" si="9"/>
        <v>start /low /b %USERPROFILE%\Documents\GitHub\eaglep3\Utilities\DownloadLogsFromS3.py --loco 4054 --day 2017-09-19</v>
      </c>
      <c r="AF15" s="1"/>
    </row>
    <row r="16" spans="1:32" x14ac:dyDescent="0.25">
      <c r="A16" s="31">
        <v>42997.542708333334</v>
      </c>
      <c r="B16" s="30" t="s">
        <v>434</v>
      </c>
      <c r="C16" s="30" t="s">
        <v>633</v>
      </c>
      <c r="D16" s="30" t="s">
        <v>49</v>
      </c>
      <c r="E16" s="30" t="s">
        <v>195</v>
      </c>
      <c r="F16" s="42">
        <v>600</v>
      </c>
      <c r="G16" s="42">
        <v>691</v>
      </c>
      <c r="H16" s="42">
        <v>181807</v>
      </c>
      <c r="I16" s="42">
        <v>184628</v>
      </c>
      <c r="J16" s="30" t="s">
        <v>196</v>
      </c>
      <c r="K16" s="42">
        <v>183829</v>
      </c>
      <c r="L16" s="131" t="s">
        <v>50</v>
      </c>
      <c r="M16" s="132">
        <f t="shared" si="0"/>
        <v>-421.87200000000001</v>
      </c>
      <c r="N16" s="133" t="str">
        <f>VLOOKUP(C16,'Trips&amp;Operators'!$C$1:$G$99911,5,FALSE)</f>
        <v>DAVIS MICHAEL</v>
      </c>
      <c r="O16" s="176" t="s">
        <v>180</v>
      </c>
      <c r="P16" s="134"/>
      <c r="Q16" s="30"/>
      <c r="R16" s="81" t="str">
        <f>VLOOKUP(C16,'Train Runs'!$A$13:$AE$9961,31,0)</f>
        <v>aws s3 cp s3://rtdc.mdm.uploadarchive.raw/RTDC4028/ "%USERPROFILE%\AppData\Local\Temp\OnboardLogs"\RTDC4028\2017-09-19 --exclude "*" --recursive --include "*20170919*" &amp; "%USERPROFILE%\Documents\GitHub\mrs-test-scripts\Headless Mode &amp; Sideloading\WalkAndUnGZ.bat" "%USERPROFILE%\AppData\Local\Temp\OnboardLogs"\RTDC4028\2017-09-19 &amp; aws s3 cp s3://rtdc.mdm.uploadarchive.raw/RTDC4028/ "%USERPROFILE%\AppData\Local\Temp\OnboardLogs"\RTDC4028\2017-09-20 --exclude "*" --recursive --include "*20170920*" &amp; "%USERPROFILE%\Documents\GitHub\mrs-test-scripts\Headless Mode &amp; Sideloading\WalkAndUnGZ.bat" "%USERPROFILE%\AppData\Local\Temp\OnboardLogs"\RTDC4028\2017-09-20</v>
      </c>
      <c r="S16" s="84" t="str">
        <f>VLOOKUP(C16,'Train Runs'!$A$13:$AE$9961,22,0)</f>
        <v>https://d0f6bd738d7f1b3e5a7ca70fe4ff75f0.us-east-1.aws.found.io/app/kibana#/discover/Steve-Slow-Train-Analysis-(2080s-and-2083s)?_g=(refreshInterval:(display:Off,pause:!f,section:0,value:0),time:(from:'2017-09-19T11:28:02-0600',mode:absolute,to:'2017-09-19T14:08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6" s="86" t="str">
        <f t="shared" si="1"/>
        <v>"C:\Program Files (x86)\AstroGrep\AstroGrep.exe" /e /r /s /spath="%USERPROFILE%\AppData\Local\Temp\OnboardLogs" /stypes="*4028*201709191*" /stext=" 19:.+((SYSTEM_STATE.+slice.+state.+changed )|(ment ac)|(multiple cpu faults)|(system.+state.+changed )|(\[timeout)|(PRM\|1\|D)|(kpr)|(kdp)|(train st.+moving)|(\|lc)|(penalty))"</v>
      </c>
      <c r="U16" s="9" t="str">
        <f t="shared" si="2"/>
        <v>4028</v>
      </c>
      <c r="V16" s="31">
        <f t="shared" si="3"/>
        <v>42997.792708333334</v>
      </c>
      <c r="W16" s="45" t="str">
        <f t="shared" si="4"/>
        <v>EC</v>
      </c>
      <c r="X16" s="22">
        <f t="shared" si="5"/>
        <v>171</v>
      </c>
      <c r="Y16" s="96" t="str">
        <f t="shared" si="6"/>
        <v>echo {"issue":{"subject":"","project_id":79,"tracker_id":40,"status_id":1,"priority_id":2,"assigned_to_id":338,"start_date":"2017-09-19","description":"","custom_fields":[{"id":1,"name":"Subdivision","value":"EC"},{"id":4,"name":"Milepost","value":"18.3829"},{"id":17,"name":"Train ID","value":"171-19"},{"id":16,"name":"Locomotive ID","value":"4028"},{"id":130,"name":"Impact","value":""},{"id":150,"name":"Time of Event (Mountain Time)","value":"13:01:30"},{"id":151,"name":"Denver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/c/Users/stu/AppData/Local/Temp/OnboardLogs/RTDC4028 --include="*4028*201709191*"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"%USERPROFILE%\AppData\Local\Temp\OnboardLogs"\RTDC4028\*4028*201709191* &gt;&gt; 2017-09-19-SliceDisagreementCheck.txt</v>
      </c>
      <c r="AE16" s="145" t="str">
        <f t="shared" si="9"/>
        <v>start /low /b %USERPROFILE%\Documents\GitHub\eaglep3\Utilities\DownloadLogsFromS3.py --loco 4028 --day 2017-09-19</v>
      </c>
      <c r="AF16" s="1"/>
    </row>
    <row r="17" spans="1:32" x14ac:dyDescent="0.25">
      <c r="A17" s="31">
        <v>42997.418796296297</v>
      </c>
      <c r="B17" s="30" t="s">
        <v>497</v>
      </c>
      <c r="C17" s="30" t="s">
        <v>622</v>
      </c>
      <c r="D17" s="30" t="s">
        <v>49</v>
      </c>
      <c r="E17" s="30" t="s">
        <v>195</v>
      </c>
      <c r="F17" s="42">
        <v>550</v>
      </c>
      <c r="G17" s="42">
        <v>772</v>
      </c>
      <c r="H17" s="42">
        <v>217474</v>
      </c>
      <c r="I17" s="42">
        <v>221323</v>
      </c>
      <c r="J17" s="30" t="s">
        <v>196</v>
      </c>
      <c r="K17" s="42">
        <v>222090</v>
      </c>
      <c r="L17" s="131" t="s">
        <v>50</v>
      </c>
      <c r="M17" s="132">
        <f t="shared" si="0"/>
        <v>404.976</v>
      </c>
      <c r="N17" s="133" t="str">
        <f>VLOOKUP(C17,'Trips&amp;Operators'!$C$1:$G$99911,5,FALSE)</f>
        <v>THOMPSON LESTER</v>
      </c>
      <c r="O17" s="176" t="s">
        <v>180</v>
      </c>
      <c r="P17" s="134"/>
      <c r="Q17" s="30"/>
      <c r="R17" s="81" t="str">
        <f>VLOOKUP(C17,'Train Runs'!$A$13:$AE$9961,31,0)</f>
        <v>aws s3 cp s3://rtdc.mdm.uploadarchive.raw/RTDC4056/ "%USERPROFILE%\AppData\Local\Temp\OnboardLogs"\RTDC4056\2017-09-19 --exclude "*" --recursive --include "*20170919*" &amp; "%USERPROFILE%\Documents\GitHub\mrs-test-scripts\Headless Mode &amp; Sideloading\WalkAndUnGZ.bat" "%USERPROFILE%\AppData\Local\Temp\OnboardLogs"\RTDC4056\2017-09-19 &amp; aws s3 cp s3://rtdc.mdm.uploadarchive.raw/RTDC4056/ "%USERPROFILE%\AppData\Local\Temp\OnboardLogs"\RTDC4056\2017-09-20 --exclude "*" --recursive --include "*20170920*" &amp; "%USERPROFILE%\Documents\GitHub\mrs-test-scripts\Headless Mode &amp; Sideloading\WalkAndUnGZ.bat" "%USERPROFILE%\AppData\Local\Temp\OnboardLogs"\RTDC4056\2017-09-20</v>
      </c>
      <c r="S17" s="84" t="str">
        <f>VLOOKUP(C17,'Train Runs'!$A$13:$AE$9961,22,0)</f>
        <v>https://d0f6bd738d7f1b3e5a7ca70fe4ff75f0.us-east-1.aws.found.io/app/kibana#/discover/Steve-Slow-Train-Analysis-(2080s-and-2083s)?_g=(refreshInterval:(display:Off,pause:!f,section:0,value:0),time:(from:'2017-09-19T08:27:04-0600',mode:absolute,to:'2017-09-19T11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7" s="86" t="str">
        <f t="shared" si="1"/>
        <v>"C:\Program Files (x86)\AstroGrep\AstroGrep.exe" /e /r /s /spath="%USERPROFILE%\AppData\Local\Temp\OnboardLogs" /stypes="*4056*201709191*" /stext=" 16:.+((SYSTEM_STATE.+slice.+state.+changed )|(ment ac)|(multiple cpu faults)|(system.+state.+changed )|(\[timeout)|(PRM\|1\|D)|(kpr)|(kdp)|(train st.+moving)|(\|lc)|(penalty))"</v>
      </c>
      <c r="U17" s="9" t="str">
        <f t="shared" si="2"/>
        <v>4056</v>
      </c>
      <c r="V17" s="31">
        <f t="shared" si="3"/>
        <v>42997.668796296297</v>
      </c>
      <c r="W17" s="45" t="str">
        <f t="shared" si="4"/>
        <v>EC</v>
      </c>
      <c r="X17" s="22">
        <f t="shared" si="5"/>
        <v>147</v>
      </c>
      <c r="Y17" s="96" t="str">
        <f t="shared" si="6"/>
        <v>echo {"issue":{"subject":"","project_id":79,"tracker_id":40,"status_id":1,"priority_id":2,"assigned_to_id":338,"start_date":"2017-09-19","description":"","custom_fields":[{"id":1,"name":"Subdivision","value":"EC"},{"id":4,"name":"Milepost","value":"22.209"},{"id":17,"name":"Train ID","value":"147-19"},{"id":16,"name":"Locomotive ID","value":"4056"},{"id":130,"name":"Impact","value":""},{"id":150,"name":"Time of Event (Mountain Time)","value":"10:03:04"},{"id":151,"name":"Denver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/c/Users/stu/AppData/Local/Temp/OnboardLogs/RTDC4056 --include="*4056*201709191*"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"%USERPROFILE%\AppData\Local\Temp\OnboardLogs"\RTDC4056\*4056*201709191* &gt;&gt; 2017-09-19-SliceDisagreementCheck.txt</v>
      </c>
      <c r="AE17" s="145" t="str">
        <f t="shared" si="9"/>
        <v>start /low /b %USERPROFILE%\Documents\GitHub\eaglep3\Utilities\DownloadLogsFromS3.py --loco 4056 --day 2017-09-19</v>
      </c>
      <c r="AF17" s="1"/>
    </row>
    <row r="18" spans="1:32" x14ac:dyDescent="0.25">
      <c r="A18" s="31">
        <v>42997.480115740742</v>
      </c>
      <c r="B18" s="30" t="s">
        <v>628</v>
      </c>
      <c r="C18" s="30" t="s">
        <v>629</v>
      </c>
      <c r="D18" s="30" t="s">
        <v>49</v>
      </c>
      <c r="E18" s="30" t="s">
        <v>195</v>
      </c>
      <c r="F18" s="42">
        <v>550</v>
      </c>
      <c r="G18" s="42">
        <v>798</v>
      </c>
      <c r="H18" s="42">
        <v>217693</v>
      </c>
      <c r="I18" s="42">
        <v>221843</v>
      </c>
      <c r="J18" s="30" t="s">
        <v>196</v>
      </c>
      <c r="K18" s="42">
        <v>222090</v>
      </c>
      <c r="L18" s="131" t="s">
        <v>50</v>
      </c>
      <c r="M18" s="132">
        <f t="shared" si="0"/>
        <v>130.416</v>
      </c>
      <c r="N18" s="133" t="str">
        <f>VLOOKUP(C18,'Trips&amp;Operators'!$C$1:$G$99911,5,FALSE)</f>
        <v>BIRENBAUM THOMAS</v>
      </c>
      <c r="O18" s="176" t="s">
        <v>180</v>
      </c>
      <c r="P18" s="134"/>
      <c r="Q18" s="30"/>
      <c r="R18" s="81" t="str">
        <f>VLOOKUP(C18,'Train Runs'!$A$13:$AE$9961,31,0)</f>
        <v>aws s3 cp s3://rtdc.mdm.uploadarchive.raw/RTDC4014/ "%USERPROFILE%\AppData\Local\Temp\OnboardLogs"\RTDC4014\2017-09-19 --exclude "*" --recursive --include "*20170919*" &amp; "%USERPROFILE%\Documents\GitHub\mrs-test-scripts\Headless Mode &amp; Sideloading\WalkAndUnGZ.bat" "%USERPROFILE%\AppData\Local\Temp\OnboardLogs"\RTDC4014\2017-09-19 &amp; aws s3 cp s3://rtdc.mdm.uploadarchive.raw/RTDC4014/ "%USERPROFILE%\AppData\Local\Temp\OnboardLogs"\RTDC4014\2017-09-20 --exclude "*" --recursive --include "*20170920*" &amp; "%USERPROFILE%\Documents\GitHub\mrs-test-scripts\Headless Mode &amp; Sideloading\WalkAndUnGZ.bat" "%USERPROFILE%\AppData\Local\Temp\OnboardLogs"\RTDC4014\2017-09-20</v>
      </c>
      <c r="S18" s="84" t="str">
        <f>VLOOKUP(C18,'Train Runs'!$A$13:$AE$9961,22,0)</f>
        <v>https://d0f6bd738d7f1b3e5a7ca70fe4ff75f0.us-east-1.aws.found.io/app/kibana#/discover/Steve-Slow-Train-Analysis-(2080s-and-2083s)?_g=(refreshInterval:(display:Off,pause:!f,section:0,value:0),time:(from:'2017-09-19T09:56:31-0600',mode:absolute,to:'2017-09-19T12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8" s="86" t="str">
        <f t="shared" si="1"/>
        <v>"C:\Program Files (x86)\AstroGrep\AstroGrep.exe" /e /r /s /spath="%USERPROFILE%\AppData\Local\Temp\OnboardLogs" /stypes="*4014*201709191*" /stext=" 17:.+((SYSTEM_STATE.+slice.+state.+changed )|(ment ac)|(multiple cpu faults)|(system.+state.+changed )|(\[timeout)|(PRM\|1\|D)|(kpr)|(kdp)|(train st.+moving)|(\|lc)|(penalty))"</v>
      </c>
      <c r="U18" s="9" t="str">
        <f t="shared" si="2"/>
        <v>4014</v>
      </c>
      <c r="V18" s="31">
        <f t="shared" si="3"/>
        <v>42997.730115740742</v>
      </c>
      <c r="W18" s="45" t="str">
        <f t="shared" si="4"/>
        <v>EC</v>
      </c>
      <c r="X18" s="22">
        <f t="shared" si="5"/>
        <v>159</v>
      </c>
      <c r="Y18" s="96" t="str">
        <f t="shared" si="6"/>
        <v>echo {"issue":{"subject":"","project_id":79,"tracker_id":40,"status_id":1,"priority_id":2,"assigned_to_id":338,"start_date":"2017-09-19","description":"","custom_fields":[{"id":1,"name":"Subdivision","value":"EC"},{"id":4,"name":"Milepost","value":"22.209"},{"id":17,"name":"Train ID","value":"159-19"},{"id":16,"name":"Locomotive ID","value":"4014"},{"id":130,"name":"Impact","value":""},{"id":150,"name":"Time of Event (Mountain Time)","value":"11:31:22"},{"id":151,"name":"Denver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/c/Users/stu/AppData/Local/Temp/OnboardLogs/RTDC4014 --include="*4014*201709191*"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"%USERPROFILE%\AppData\Local\Temp\OnboardLogs"\RTDC4014\*4014*201709191* &gt;&gt; 2017-09-19-SliceDisagreementCheck.txt</v>
      </c>
      <c r="AE18" s="145" t="str">
        <f t="shared" si="9"/>
        <v>start /low /b %USERPROFILE%\Documents\GitHub\eaglep3\Utilities\DownloadLogsFromS3.py --loco 4014 --day 2017-09-19</v>
      </c>
      <c r="AF18" s="1"/>
    </row>
    <row r="19" spans="1:32" x14ac:dyDescent="0.25">
      <c r="A19" s="31">
        <v>42997.6171412037</v>
      </c>
      <c r="B19" s="30" t="s">
        <v>434</v>
      </c>
      <c r="C19" s="30" t="s">
        <v>636</v>
      </c>
      <c r="D19" s="30" t="s">
        <v>49</v>
      </c>
      <c r="E19" s="30" t="s">
        <v>195</v>
      </c>
      <c r="F19" s="42">
        <v>550</v>
      </c>
      <c r="G19" s="42">
        <v>764</v>
      </c>
      <c r="H19" s="42">
        <v>217787</v>
      </c>
      <c r="I19" s="42">
        <v>221532</v>
      </c>
      <c r="J19" s="30" t="s">
        <v>196</v>
      </c>
      <c r="K19" s="42">
        <v>222091</v>
      </c>
      <c r="L19" s="131" t="s">
        <v>50</v>
      </c>
      <c r="M19" s="132">
        <f t="shared" si="0"/>
        <v>295.15199999999999</v>
      </c>
      <c r="N19" s="133" t="str">
        <f>VLOOKUP(C19,'Trips&amp;Operators'!$C$1:$G$99911,5,FALSE)</f>
        <v>DAVIS MICHAEL</v>
      </c>
      <c r="O19" s="176" t="s">
        <v>180</v>
      </c>
      <c r="P19" s="134"/>
      <c r="Q19" s="30"/>
      <c r="R19" s="81" t="str">
        <f>VLOOKUP(C19,'Train Runs'!$A$13:$AE$9961,31,0)</f>
        <v>aws s3 cp s3://rtdc.mdm.uploadarchive.raw/RTDC4028/ "%USERPROFILE%\AppData\Local\Temp\OnboardLogs"\RTDC4028\2017-09-19 --exclude "*" --recursive --include "*20170919*" &amp; "%USERPROFILE%\Documents\GitHub\mrs-test-scripts\Headless Mode &amp; Sideloading\WalkAndUnGZ.bat" "%USERPROFILE%\AppData\Local\Temp\OnboardLogs"\RTDC4028\2017-09-19 &amp; aws s3 cp s3://rtdc.mdm.uploadarchive.raw/RTDC4028/ "%USERPROFILE%\AppData\Local\Temp\OnboardLogs"\RTDC4028\2017-09-20 --exclude "*" --recursive --include "*20170920*" &amp; "%USERPROFILE%\Documents\GitHub\mrs-test-scripts\Headless Mode &amp; Sideloading\WalkAndUnGZ.bat" "%USERPROFILE%\AppData\Local\Temp\OnboardLogs"\RTDC4028\2017-09-20</v>
      </c>
      <c r="S19" s="84" t="str">
        <f>VLOOKUP(C19,'Train Runs'!$A$13:$AE$9961,22,0)</f>
        <v>https://d0f6bd738d7f1b3e5a7ca70fe4ff75f0.us-east-1.aws.found.io/app/kibana#/discover/Steve-Slow-Train-Analysis-(2080s-and-2083s)?_g=(refreshInterval:(display:Off,pause:!f,section:0,value:0),time:(from:'2017-09-19T13:12:04-0600',mode:absolute,to:'2017-09-19T15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9" s="86" t="str">
        <f t="shared" si="1"/>
        <v>"C:\Program Files (x86)\AstroGrep\AstroGrep.exe" /e /r /s /spath="%USERPROFILE%\AppData\Local\Temp\OnboardLogs" /stypes="*4028*201709192*" /stext=" 20:.+((SYSTEM_STATE.+slice.+state.+changed )|(ment ac)|(multiple cpu faults)|(system.+state.+changed )|(\[timeout)|(PRM\|1\|D)|(kpr)|(kdp)|(train st.+moving)|(\|lc)|(penalty))"</v>
      </c>
      <c r="U19" s="9" t="str">
        <f t="shared" si="2"/>
        <v>4028</v>
      </c>
      <c r="V19" s="31">
        <f t="shared" si="3"/>
        <v>42997.8671412037</v>
      </c>
      <c r="W19" s="45" t="str">
        <f t="shared" si="4"/>
        <v>EC</v>
      </c>
      <c r="X19" s="22">
        <f t="shared" si="5"/>
        <v>185</v>
      </c>
      <c r="Y19" s="96" t="str">
        <f t="shared" si="6"/>
        <v>echo {"issue":{"subject":"","project_id":79,"tracker_id":40,"status_id":1,"priority_id":2,"assigned_to_id":338,"start_date":"2017-09-19","description":"","custom_fields":[{"id":1,"name":"Subdivision","value":"EC"},{"id":4,"name":"Milepost","value":"22.2091"},{"id":17,"name":"Train ID","value":"185-19"},{"id":16,"name":"Locomotive ID","value":"4028"},{"id":130,"name":"Impact","value":""},{"id":150,"name":"Time of Event (Mountain Time)","value":"14:48:41"},{"id":151,"name":"Denver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/c/Users/stu/AppData/Local/Temp/OnboardLogs/RTDC4028 --include="*4028*201709192*"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"%USERPROFILE%\AppData\Local\Temp\OnboardLogs"\RTDC4028\*4028*201709192* &gt;&gt; 2017-09-19-SliceDisagreementCheck.txt</v>
      </c>
      <c r="AE19" s="145" t="str">
        <f t="shared" si="9"/>
        <v>start /low /b %USERPROFILE%\Documents\GitHub\eaglep3\Utilities\DownloadLogsFromS3.py --loco 4028 --day 2017-09-19</v>
      </c>
      <c r="AF19" s="1"/>
    </row>
    <row r="20" spans="1:32" x14ac:dyDescent="0.25">
      <c r="A20" s="31">
        <v>42997.672951388886</v>
      </c>
      <c r="B20" s="30" t="s">
        <v>625</v>
      </c>
      <c r="C20" s="30" t="s">
        <v>638</v>
      </c>
      <c r="D20" s="30" t="s">
        <v>96</v>
      </c>
      <c r="E20" s="30" t="s">
        <v>361</v>
      </c>
      <c r="F20" s="42">
        <v>0</v>
      </c>
      <c r="G20" s="42">
        <v>430</v>
      </c>
      <c r="H20" s="42">
        <v>217207</v>
      </c>
      <c r="I20" s="42">
        <v>218652</v>
      </c>
      <c r="J20" s="30" t="s">
        <v>362</v>
      </c>
      <c r="K20" s="42">
        <v>217106</v>
      </c>
      <c r="L20" s="131" t="s">
        <v>50</v>
      </c>
      <c r="M20" s="132">
        <f t="shared" si="0"/>
        <v>-816.28800000000001</v>
      </c>
      <c r="N20" s="133" t="str">
        <f>VLOOKUP(C20,'Trips&amp;Operators'!$C$1:$G$99911,5,FALSE)</f>
        <v>LEVERE CRAIG</v>
      </c>
      <c r="O20" s="176" t="s">
        <v>462</v>
      </c>
      <c r="P20" s="134" t="s">
        <v>1016</v>
      </c>
      <c r="Q20" s="30"/>
      <c r="R20" s="81" t="str">
        <f>VLOOKUP(C20,'Train Runs'!$A$13:$AE$9961,31,0)</f>
        <v>aws s3 cp s3://rtdc.mdm.uploadarchive.raw/RTDC4050/ "%USERPROFILE%\AppData\Local\Temp\OnboardLogs"\RTDC4050\2017-09-19 --exclude "*" --recursive --include "*20170919*" &amp; "%USERPROFILE%\Documents\GitHub\mrs-test-scripts\Headless Mode &amp; Sideloading\WalkAndUnGZ.bat" "%USERPROFILE%\AppData\Local\Temp\OnboardLogs"\RTDC4050\2017-09-19 &amp; aws s3 cp s3://rtdc.mdm.uploadarchive.raw/RTDC4050/ "%USERPROFILE%\AppData\Local\Temp\OnboardLogs"\RTDC4050\2017-09-20 --exclude "*" --recursive --include "*20170920*" &amp; "%USERPROFILE%\Documents\GitHub\mrs-test-scripts\Headless Mode &amp; Sideloading\WalkAndUnGZ.bat" "%USERPROFILE%\AppData\Local\Temp\OnboardLogs"\RTDC4050\2017-09-20</v>
      </c>
      <c r="S20" s="84" t="str">
        <f>VLOOKUP(C20,'Train Runs'!$A$13:$AE$9961,22,0)</f>
        <v>https://d0f6bd738d7f1b3e5a7ca70fe4ff75f0.us-east-1.aws.found.io/app/kibana#/discover/Steve-Slow-Train-Analysis-(2080s-and-2083s)?_g=(refreshInterval:(display:Off,pause:!f,section:0,value:0),time:(from:'2017-09-19T14:46:59-0600',mode:absolute,to:'2017-09-19T17:09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0" s="86" t="str">
        <f t="shared" si="1"/>
        <v>"C:\Program Files (x86)\AstroGrep\AstroGrep.exe" /e /r /s /spath="%USERPROFILE%\AppData\Local\Temp\OnboardLogs" /stypes="*4050*201709192*" /stext=" 22:.+((SYSTEM_STATE.+slice.+state.+changed )|(ment ac)|(multiple cpu faults)|(system.+state.+changed )|(\[timeout)|(PRM\|1\|D)|(kpr)|(kdp)|(train st.+moving)|(\|lc)|(penalty))"</v>
      </c>
      <c r="U20" s="9" t="str">
        <f t="shared" si="2"/>
        <v>4050</v>
      </c>
      <c r="V20" s="31">
        <f t="shared" si="3"/>
        <v>42997.922951388886</v>
      </c>
      <c r="W20" s="45" t="str">
        <f t="shared" si="4"/>
        <v>EC</v>
      </c>
      <c r="X20" s="22">
        <f t="shared" si="5"/>
        <v>195</v>
      </c>
      <c r="Y20" s="96" t="str">
        <f t="shared" si="6"/>
        <v>echo {"issue":{"subject":"Premature downgrade at 78th 4N","project_id":79,"tracker_id":40,"status_id":1,"priority_id":2,"assigned_to_id":338,"start_date":"2017-09-19","description":"16:08:40 - 78th 2n dropped from proceed cab to stop while train was 50 ft away, anything unusual in logs or just business as usual?","custom_fields":[{"id":1,"name":"Subdivision","value":"EC"},{"id":4,"name":"Milepost","value":"21.7106"},{"id":17,"name":"Train ID","value":"195-19"},{"id":16,"name":"Locomotive ID","value":"4050"},{"id":130,"name":"Impact","value":"Enforcement"},{"id":150,"name":"Time of Event (Mountain Time)","value":"16:09:03"},{"id":151,"name":"Denver Issue ID","value":""},{"id":178,"name":"Operational Impact","value":"Yes"},{"id":179,"name":"Denver Segment Assigned","value":"Signal"}]}} | curl --insecure -X POST -H "Content-Type: application/json" -H "X-Redmine-API-Key: d6333d4a04012a730768444271f8ca06482dae87" https://secure.xorail.net/redmine/issues.json --data @-</v>
      </c>
      <c r="Z20" s="159" t="s">
        <v>1010</v>
      </c>
      <c r="AA20" s="47" t="s">
        <v>120</v>
      </c>
      <c r="AB20" s="47" t="s">
        <v>125</v>
      </c>
      <c r="AC20" s="115" t="str">
        <f t="shared" si="7"/>
        <v>grep -hrE -A400 "Enforcement Action" /c/Users/stu/AppData/Local/Temp/OnboardLogs/RTDC4050 --include="*4050*201709192*"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"%USERPROFILE%\AppData\Local\Temp\OnboardLogs"\RTDC4050\*4050*201709192* &gt;&gt; 2017-09-19-SliceDisagreementCheck.txt</v>
      </c>
      <c r="AE20" s="145" t="str">
        <f t="shared" si="9"/>
        <v>start /low /b %USERPROFILE%\Documents\GitHub\eaglep3\Utilities\DownloadLogsFromS3.py --loco 4050 --day 2017-09-19</v>
      </c>
      <c r="AF20" s="1"/>
    </row>
    <row r="21" spans="1:32" x14ac:dyDescent="0.25">
      <c r="A21" s="31">
        <v>42997.654733796298</v>
      </c>
      <c r="B21" s="30" t="s">
        <v>625</v>
      </c>
      <c r="C21" s="30" t="s">
        <v>638</v>
      </c>
      <c r="D21" s="30" t="s">
        <v>49</v>
      </c>
      <c r="E21" s="30" t="s">
        <v>453</v>
      </c>
      <c r="F21" s="42">
        <v>0</v>
      </c>
      <c r="G21" s="42">
        <v>541</v>
      </c>
      <c r="H21" s="42">
        <v>55261</v>
      </c>
      <c r="I21" s="42">
        <v>56974</v>
      </c>
      <c r="J21" s="30" t="s">
        <v>454</v>
      </c>
      <c r="K21" s="42">
        <v>56976</v>
      </c>
      <c r="L21" s="131" t="s">
        <v>50</v>
      </c>
      <c r="M21" s="132">
        <f t="shared" si="0"/>
        <v>1.056</v>
      </c>
      <c r="N21" s="133" t="str">
        <f>VLOOKUP(C21,'Trips&amp;Operators'!$C$1:$G$99911,5,FALSE)</f>
        <v>LEVERE CRAIG</v>
      </c>
      <c r="O21" s="176" t="s">
        <v>462</v>
      </c>
      <c r="P21" s="134" t="s">
        <v>607</v>
      </c>
      <c r="Q21" s="30"/>
      <c r="R21" s="81" t="str">
        <f>VLOOKUP(C21,'Train Runs'!$A$13:$AE$9961,31,0)</f>
        <v>aws s3 cp s3://rtdc.mdm.uploadarchive.raw/RTDC4050/ "%USERPROFILE%\AppData\Local\Temp\OnboardLogs"\RTDC4050\2017-09-19 --exclude "*" --recursive --include "*20170919*" &amp; "%USERPROFILE%\Documents\GitHub\mrs-test-scripts\Headless Mode &amp; Sideloading\WalkAndUnGZ.bat" "%USERPROFILE%\AppData\Local\Temp\OnboardLogs"\RTDC4050\2017-09-19 &amp; aws s3 cp s3://rtdc.mdm.uploadarchive.raw/RTDC4050/ "%USERPROFILE%\AppData\Local\Temp\OnboardLogs"\RTDC4050\2017-09-20 --exclude "*" --recursive --include "*20170920*" &amp; "%USERPROFILE%\Documents\GitHub\mrs-test-scripts\Headless Mode &amp; Sideloading\WalkAndUnGZ.bat" "%USERPROFILE%\AppData\Local\Temp\OnboardLogs"\RTDC4050\2017-09-20</v>
      </c>
      <c r="S21" s="84" t="str">
        <f>VLOOKUP(C21,'Train Runs'!$A$13:$AE$9961,22,0)</f>
        <v>https://d0f6bd738d7f1b3e5a7ca70fe4ff75f0.us-east-1.aws.found.io/app/kibana#/discover/Steve-Slow-Train-Analysis-(2080s-and-2083s)?_g=(refreshInterval:(display:Off,pause:!f,section:0,value:0),time:(from:'2017-09-19T14:46:59-0600',mode:absolute,to:'2017-09-19T17:09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1" s="86" t="str">
        <f t="shared" si="1"/>
        <v>"C:\Program Files (x86)\AstroGrep\AstroGrep.exe" /e /r /s /spath="%USERPROFILE%\AppData\Local\Temp\OnboardLogs" /stypes="*4050*201709192*" /stext=" 21:.+((SYSTEM_STATE.+slice.+state.+changed )|(ment ac)|(multiple cpu faults)|(system.+state.+changed )|(\[timeout)|(PRM\|1\|D)|(kpr)|(kdp)|(train st.+moving)|(\|lc)|(penalty))"</v>
      </c>
      <c r="U21" s="9" t="str">
        <f t="shared" si="2"/>
        <v>4050</v>
      </c>
      <c r="V21" s="31">
        <f t="shared" si="3"/>
        <v>42997.904733796298</v>
      </c>
      <c r="W21" s="45" t="str">
        <f t="shared" si="4"/>
        <v>EC</v>
      </c>
      <c r="X21" s="22">
        <f t="shared" si="5"/>
        <v>195</v>
      </c>
      <c r="Y21" s="96" t="str">
        <f t="shared" si="6"/>
        <v>echo {"issue":{"subject":"Wi-MAX data drop","project_id":79,"tracker_id":40,"status_id":1,"priority_id":2,"assigned_to_id":338,"start_date":"2017-09-19","description":"","custom_fields":[{"id":1,"name":"Subdivision","value":"EC"},{"id":4,"name":"Milepost","value":"5.6976"},{"id":17,"name":"Train ID","value":"195-19"},{"id":16,"name":"Locomotive ID","value":"4050"},{"id":130,"name":"Impact","value":""},{"id":150,"name":"Time of Event (Mountain Time)","value":"15:42:49"},{"id":151,"name":"Denver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/c/Users/stu/AppData/Local/Temp/OnboardLogs/RTDC4050 --include="*4050*201709192*"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"%USERPROFILE%\AppData\Local\Temp\OnboardLogs"\RTDC4050\*4050*201709192* &gt;&gt; 2017-09-19-SliceDisagreementCheck.txt</v>
      </c>
      <c r="AE21" s="145" t="str">
        <f t="shared" si="9"/>
        <v>start /low /b %USERPROFILE%\Documents\GitHub\eaglep3\Utilities\DownloadLogsFromS3.py --loco 4050 --day 2017-09-19</v>
      </c>
      <c r="AF21" s="1"/>
    </row>
    <row r="22" spans="1:32" x14ac:dyDescent="0.25">
      <c r="A22" s="31">
        <v>42997.385671296295</v>
      </c>
      <c r="B22" s="30" t="s">
        <v>434</v>
      </c>
      <c r="C22" s="30" t="s">
        <v>619</v>
      </c>
      <c r="D22" s="30" t="s">
        <v>49</v>
      </c>
      <c r="E22" s="30" t="s">
        <v>453</v>
      </c>
      <c r="F22" s="42">
        <v>0</v>
      </c>
      <c r="G22" s="42">
        <v>539</v>
      </c>
      <c r="H22" s="42">
        <v>68230</v>
      </c>
      <c r="I22" s="42">
        <v>70299</v>
      </c>
      <c r="J22" s="30" t="s">
        <v>454</v>
      </c>
      <c r="K22" s="42">
        <v>68372</v>
      </c>
      <c r="L22" s="131" t="s">
        <v>50</v>
      </c>
      <c r="M22" s="132">
        <f t="shared" si="0"/>
        <v>-1017.456</v>
      </c>
      <c r="N22" s="133" t="str">
        <f>VLOOKUP(C22,'Trips&amp;Operators'!$C$1:$G$99911,5,FALSE)</f>
        <v>ACKERMAN JARED</v>
      </c>
      <c r="O22" s="176" t="s">
        <v>462</v>
      </c>
      <c r="P22" s="134" t="s">
        <v>607</v>
      </c>
      <c r="Q22" s="30"/>
      <c r="R22" s="81" t="str">
        <f>VLOOKUP(C22,'Train Runs'!$A$13:$AE$9961,31,0)</f>
        <v>aws s3 cp s3://rtdc.mdm.uploadarchive.raw/RTDC4028/ "%USERPROFILE%\AppData\Local\Temp\OnboardLogs"\RTDC4028\2017-09-19 --exclude "*" --recursive --include "*20170919*" &amp; "%USERPROFILE%\Documents\GitHub\mrs-test-scripts\Headless Mode &amp; Sideloading\WalkAndUnGZ.bat" "%USERPROFILE%\AppData\Local\Temp\OnboardLogs"\RTDC4028\2017-09-19 &amp; aws s3 cp s3://rtdc.mdm.uploadarchive.raw/RTDC4028/ "%USERPROFILE%\AppData\Local\Temp\OnboardLogs"\RTDC4028\2017-09-20 --exclude "*" --recursive --include "*20170920*" &amp; "%USERPROFILE%\Documents\GitHub\mrs-test-scripts\Headless Mode &amp; Sideloading\WalkAndUnGZ.bat" "%USERPROFILE%\AppData\Local\Temp\OnboardLogs"\RTDC4028\2017-09-20</v>
      </c>
      <c r="S22" s="84" t="str">
        <f>VLOOKUP(C22,'Train Runs'!$A$13:$AE$9961,22,0)</f>
        <v>https://d0f6bd738d7f1b3e5a7ca70fe4ff75f0.us-east-1.aws.found.io/app/kibana#/discover/Steve-Slow-Train-Analysis-(2080s-and-2083s)?_g=(refreshInterval:(display:Off,pause:!f,section:0,value:0),time:(from:'2017-09-19T07:55:01-0600',mode:absolute,to:'2017-09-19T10:38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2" s="86" t="str">
        <f t="shared" si="1"/>
        <v>"C:\Program Files (x86)\AstroGrep\AstroGrep.exe" /e /r /s /spath="%USERPROFILE%\AppData\Local\Temp\OnboardLogs" /stypes="*4028*201709191*" /stext=" 15:.+((SYSTEM_STATE.+slice.+state.+changed )|(ment ac)|(multiple cpu faults)|(system.+state.+changed )|(\[timeout)|(PRM\|1\|D)|(kpr)|(kdp)|(train st.+moving)|(\|lc)|(penalty))"</v>
      </c>
      <c r="U22" s="9" t="str">
        <f t="shared" si="2"/>
        <v>4028</v>
      </c>
      <c r="V22" s="31">
        <f t="shared" si="3"/>
        <v>42997.635671296295</v>
      </c>
      <c r="W22" s="45" t="str">
        <f t="shared" si="4"/>
        <v>EC</v>
      </c>
      <c r="X22" s="22">
        <f t="shared" si="5"/>
        <v>143</v>
      </c>
      <c r="Y22" s="96" t="str">
        <f t="shared" si="6"/>
        <v>echo {"issue":{"subject":"Wi-MAX data drop","project_id":79,"tracker_id":40,"status_id":1,"priority_id":2,"assigned_to_id":338,"start_date":"2017-09-19","description":"","custom_fields":[{"id":1,"name":"Subdivision","value":"EC"},{"id":4,"name":"Milepost","value":"6.8372"},{"id":17,"name":"Train ID","value":"143-19"},{"id":16,"name":"Locomotive ID","value":"4028"},{"id":130,"name":"Impact","value":""},{"id":150,"name":"Time of Event (Mountain Time)","value":"09:15:22"},{"id":151,"name":"Denver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/c/Users/stu/AppData/Local/Temp/OnboardLogs/RTDC4028 --include="*4028*201709191*"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"%USERPROFILE%\AppData\Local\Temp\OnboardLogs"\RTDC4028\*4028*201709191* &gt;&gt; 2017-09-19-SliceDisagreementCheck.txt</v>
      </c>
      <c r="AE22" s="145" t="str">
        <f t="shared" si="9"/>
        <v>start /low /b %USERPROFILE%\Documents\GitHub\eaglep3\Utilities\DownloadLogsFromS3.py --loco 4028 --day 2017-09-19</v>
      </c>
      <c r="AF22" s="1"/>
    </row>
    <row r="23" spans="1:32" x14ac:dyDescent="0.25">
      <c r="A23" s="31">
        <v>42997.556354166663</v>
      </c>
      <c r="B23" s="30" t="s">
        <v>634</v>
      </c>
      <c r="C23" s="30" t="s">
        <v>635</v>
      </c>
      <c r="D23" s="30" t="s">
        <v>49</v>
      </c>
      <c r="E23" s="30" t="s">
        <v>453</v>
      </c>
      <c r="F23" s="42">
        <v>0</v>
      </c>
      <c r="G23" s="42">
        <v>684</v>
      </c>
      <c r="H23" s="42">
        <v>69413</v>
      </c>
      <c r="I23" s="42">
        <v>66750</v>
      </c>
      <c r="J23" s="30" t="s">
        <v>454</v>
      </c>
      <c r="K23" s="42">
        <v>69363</v>
      </c>
      <c r="L23" s="131" t="s">
        <v>51</v>
      </c>
      <c r="M23" s="132">
        <f t="shared" si="0"/>
        <v>-1379.6639999999998</v>
      </c>
      <c r="N23" s="133" t="str">
        <f>VLOOKUP(C23,'Trips&amp;Operators'!$C$1:$G$99911,5,FALSE)</f>
        <v>LEVERE CRAIG</v>
      </c>
      <c r="O23" s="176" t="s">
        <v>462</v>
      </c>
      <c r="P23" s="134" t="s">
        <v>1014</v>
      </c>
      <c r="Q23" s="30"/>
      <c r="R23" s="81" t="str">
        <f>VLOOKUP(C23,'Train Runs'!$A$13:$AE$9961,31,0)</f>
        <v>aws s3 cp s3://rtdc.mdm.uploadarchive.raw/RTDC4049/ "%USERPROFILE%\AppData\Local\Temp\OnboardLogs"\RTDC4049\2017-09-19 --exclude "*" --recursive --include "*20170919*" &amp; "%USERPROFILE%\Documents\GitHub\mrs-test-scripts\Headless Mode &amp; Sideloading\WalkAndUnGZ.bat" "%USERPROFILE%\AppData\Local\Temp\OnboardLogs"\RTDC4049\2017-09-19 &amp; aws s3 cp s3://rtdc.mdm.uploadarchive.raw/RTDC4049/ "%USERPROFILE%\AppData\Local\Temp\OnboardLogs"\RTDC4049\2017-09-20 --exclude "*" --recursive --include "*20170920*" &amp; "%USERPROFILE%\Documents\GitHub\mrs-test-scripts\Headless Mode &amp; Sideloading\WalkAndUnGZ.bat" "%USERPROFILE%\AppData\Local\Temp\OnboardLogs"\RTDC4049\2017-09-20</v>
      </c>
      <c r="S23" s="84" t="str">
        <f>VLOOKUP(C23,'Train Runs'!$A$13:$AE$9961,22,0)</f>
        <v>https://d0f6bd738d7f1b3e5a7ca70fe4ff75f0.us-east-1.aws.found.io/app/kibana#/discover/Steve-Slow-Train-Analysis-(2080s-and-2083s)?_g=(refreshInterval:(display:Off,pause:!f,section:0,value:0),time:(from:'2017-09-19T11:48:13-0600',mode:absolute,to:'2017-09-19T14:41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3" s="86" t="str">
        <f t="shared" si="1"/>
        <v>"C:\Program Files (x86)\AstroGrep\AstroGrep.exe" /e /r /s /spath="%USERPROFILE%\AppData\Local\Temp\OnboardLogs" /stypes="*4049*201709191*" /stext=" 19:.+((SYSTEM_STATE.+slice.+state.+changed )|(ment ac)|(multiple cpu faults)|(system.+state.+changed )|(\[timeout)|(PRM\|1\|D)|(kpr)|(kdp)|(train st.+moving)|(\|lc)|(penalty))"</v>
      </c>
      <c r="U23" s="9" t="str">
        <f t="shared" si="2"/>
        <v>4049</v>
      </c>
      <c r="V23" s="31">
        <f t="shared" si="3"/>
        <v>42997.806354166663</v>
      </c>
      <c r="W23" s="45" t="str">
        <f t="shared" si="4"/>
        <v>EC</v>
      </c>
      <c r="X23" s="22">
        <f t="shared" si="5"/>
        <v>168</v>
      </c>
      <c r="Y23" s="96" t="str">
        <f t="shared" si="6"/>
        <v>echo {"issue":{"subject":"Wi-MAX data drop (54076)","project_id":79,"tracker_id":40,"status_id":1,"priority_id":2,"assigned_to_id":338,"start_date":"2017-09-19","description":"","custom_fields":[{"id":1,"name":"Subdivision","value":"EC"},{"id":4,"name":"Milepost","value":"6.9363"},{"id":17,"name":"Train ID","value":"168-19"},{"id":16,"name":"Locomotive ID","value":"4049"},{"id":130,"name":"Impact","value":""},{"id":150,"name":"Time of Event (Mountain Time)","value":"13:21:09"},{"id":151,"name":"Denver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/c/Users/stu/AppData/Local/Temp/OnboardLogs/RTDC4049 --include="*4049*201709191*"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"%USERPROFILE%\AppData\Local\Temp\OnboardLogs"\RTDC4049\*4049*201709191* &gt;&gt; 2017-09-19-SliceDisagreementCheck.txt</v>
      </c>
      <c r="AE23" s="145" t="str">
        <f t="shared" si="9"/>
        <v>start /low /b %USERPROFILE%\Documents\GitHub\eaglep3\Utilities\DownloadLogsFromS3.py --loco 4049 --day 2017-09-19</v>
      </c>
      <c r="AF23" s="1"/>
    </row>
    <row r="24" spans="1:32" x14ac:dyDescent="0.25">
      <c r="A24" s="31">
        <v>42997.446747685186</v>
      </c>
      <c r="B24" s="30" t="s">
        <v>625</v>
      </c>
      <c r="C24" s="30" t="s">
        <v>626</v>
      </c>
      <c r="D24" s="30" t="s">
        <v>49</v>
      </c>
      <c r="E24" s="30" t="s">
        <v>453</v>
      </c>
      <c r="F24" s="42">
        <v>0</v>
      </c>
      <c r="G24" s="42">
        <v>97</v>
      </c>
      <c r="H24" s="42">
        <v>154528</v>
      </c>
      <c r="I24" s="42">
        <v>154742</v>
      </c>
      <c r="J24" s="30" t="s">
        <v>454</v>
      </c>
      <c r="K24" s="42">
        <v>155600</v>
      </c>
      <c r="L24" s="131" t="s">
        <v>50</v>
      </c>
      <c r="M24" s="132">
        <f t="shared" si="0"/>
        <v>453.024</v>
      </c>
      <c r="N24" s="133" t="str">
        <f>VLOOKUP(C24,'Trips&amp;Operators'!$C$1:$G$99911,5,FALSE)</f>
        <v>YANG JAN</v>
      </c>
      <c r="O24" s="176" t="s">
        <v>462</v>
      </c>
      <c r="P24" s="134" t="s">
        <v>607</v>
      </c>
      <c r="Q24" s="30"/>
      <c r="R24" s="81" t="str">
        <f>VLOOKUP(C24,'Train Runs'!$A$13:$AE$9961,31,0)</f>
        <v>aws s3 cp s3://rtdc.mdm.uploadarchive.raw/RTDC4050/ "%USERPROFILE%\AppData\Local\Temp\OnboardLogs"\RTDC4050\2017-09-19 --exclude "*" --recursive --include "*20170919*" &amp; "%USERPROFILE%\Documents\GitHub\mrs-test-scripts\Headless Mode &amp; Sideloading\WalkAndUnGZ.bat" "%USERPROFILE%\AppData\Local\Temp\OnboardLogs"\RTDC4050\2017-09-19 &amp; aws s3 cp s3://rtdc.mdm.uploadarchive.raw/RTDC4050/ "%USERPROFILE%\AppData\Local\Temp\OnboardLogs"\RTDC4050\2017-09-20 --exclude "*" --recursive --include "*20170920*" &amp; "%USERPROFILE%\Documents\GitHub\mrs-test-scripts\Headless Mode &amp; Sideloading\WalkAndUnGZ.bat" "%USERPROFILE%\AppData\Local\Temp\OnboardLogs"\RTDC4050\2017-09-20</v>
      </c>
      <c r="S24" s="84" t="str">
        <f>VLOOKUP(C24,'Train Runs'!$A$13:$AE$9961,22,0)</f>
        <v>https://d0f6bd738d7f1b3e5a7ca70fe4ff75f0.us-east-1.aws.found.io/app/kibana#/discover/Steve-Slow-Train-Analysis-(2080s-and-2083s)?_g=(refreshInterval:(display:Off,pause:!f,section:0,value:0),time:(from:'2017-09-19T09:12:37-0600',mode:absolute,to:'2017-09-19T11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4" s="86" t="str">
        <f t="shared" si="1"/>
        <v>"C:\Program Files (x86)\AstroGrep\AstroGrep.exe" /e /r /s /spath="%USERPROFILE%\AppData\Local\Temp\OnboardLogs" /stypes="*4050*201709191*" /stext=" 16:.+((SYSTEM_STATE.+slice.+state.+changed )|(ment ac)|(multiple cpu faults)|(system.+state.+changed )|(\[timeout)|(PRM\|1\|D)|(kpr)|(kdp)|(train st.+moving)|(\|lc)|(penalty))"</v>
      </c>
      <c r="U24" s="9" t="str">
        <f t="shared" si="2"/>
        <v>4050</v>
      </c>
      <c r="V24" s="31">
        <f t="shared" si="3"/>
        <v>42997.696747685186</v>
      </c>
      <c r="W24" s="45" t="str">
        <f t="shared" si="4"/>
        <v>EC</v>
      </c>
      <c r="X24" s="22">
        <f t="shared" si="5"/>
        <v>153</v>
      </c>
      <c r="Y24" s="96" t="str">
        <f t="shared" si="6"/>
        <v>echo {"issue":{"subject":"Wi-MAX data drop","project_id":79,"tracker_id":40,"status_id":1,"priority_id":2,"assigned_to_id":338,"start_date":"2017-09-19","description":"","custom_fields":[{"id":1,"name":"Subdivision","value":"EC"},{"id":4,"name":"Milepost","value":"15.56"},{"id":17,"name":"Train ID","value":"153-19"},{"id":16,"name":"Locomotive ID","value":"4050"},{"id":130,"name":"Impact","value":""},{"id":150,"name":"Time of Event (Mountain Time)","value":"10:43:19"},{"id":151,"name":"Denver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/c/Users/stu/AppData/Local/Temp/OnboardLogs/RTDC4050 --include="*4050*201709191*"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"%USERPROFILE%\AppData\Local\Temp\OnboardLogs"\RTDC4050\*4050*201709191* &gt;&gt; 2017-09-19-SliceDisagreementCheck.txt</v>
      </c>
      <c r="AE24" s="145" t="str">
        <f t="shared" si="9"/>
        <v>start /low /b %USERPROFILE%\Documents\GitHub\eaglep3\Utilities\DownloadLogsFromS3.py --loco 4050 --day 2017-09-19</v>
      </c>
      <c r="AF24" s="1"/>
    </row>
    <row r="25" spans="1:32" x14ac:dyDescent="0.25">
      <c r="A25" s="31">
        <v>42997.533020833333</v>
      </c>
      <c r="B25" s="30" t="s">
        <v>613</v>
      </c>
      <c r="C25" s="30" t="s">
        <v>631</v>
      </c>
      <c r="D25" s="30" t="s">
        <v>49</v>
      </c>
      <c r="E25" s="30" t="s">
        <v>453</v>
      </c>
      <c r="F25" s="42">
        <v>0</v>
      </c>
      <c r="G25" s="42">
        <v>431</v>
      </c>
      <c r="H25" s="42">
        <v>214531</v>
      </c>
      <c r="I25" s="42">
        <v>216147</v>
      </c>
      <c r="J25" s="30" t="s">
        <v>454</v>
      </c>
      <c r="K25" s="42">
        <v>217106</v>
      </c>
      <c r="L25" s="131" t="s">
        <v>50</v>
      </c>
      <c r="M25" s="132">
        <f t="shared" si="0"/>
        <v>506.35199999999998</v>
      </c>
      <c r="N25" s="133" t="str">
        <f>VLOOKUP(C25,'Trips&amp;Operators'!$C$1:$G$99911,5,FALSE)</f>
        <v>SAFIEF AEIMEN</v>
      </c>
      <c r="O25" s="176" t="s">
        <v>462</v>
      </c>
      <c r="P25" s="134" t="s">
        <v>607</v>
      </c>
      <c r="Q25" s="30"/>
      <c r="R25" s="81" t="str">
        <f>VLOOKUP(C25,'Train Runs'!$A$13:$AE$9961,31,0)</f>
        <v>aws s3 cp s3://rtdc.mdm.uploadarchive.raw/RTDC4054/ "%USERPROFILE%\AppData\Local\Temp\OnboardLogs"\RTDC4054\2017-09-19 --exclude "*" --recursive --include "*20170919*" &amp; "%USERPROFILE%\Documents\GitHub\mrs-test-scripts\Headless Mode &amp; Sideloading\WalkAndUnGZ.bat" "%USERPROFILE%\AppData\Local\Temp\OnboardLogs"\RTDC4054\2017-09-19 &amp; aws s3 cp s3://rtdc.mdm.uploadarchive.raw/RTDC4054/ "%USERPROFILE%\AppData\Local\Temp\OnboardLogs"\RTDC4054\2017-09-20 --exclude "*" --recursive --include "*20170920*" &amp; "%USERPROFILE%\Documents\GitHub\mrs-test-scripts\Headless Mode &amp; Sideloading\WalkAndUnGZ.bat" "%USERPROFILE%\AppData\Local\Temp\OnboardLogs"\RTDC4054\2017-09-20</v>
      </c>
      <c r="S25" s="84" t="str">
        <f>VLOOKUP(C25,'Train Runs'!$A$13:$AE$9961,22,0)</f>
        <v>https://d0f6bd738d7f1b3e5a7ca70fe4ff75f0.us-east-1.aws.found.io/app/kibana#/discover/Steve-Slow-Train-Analysis-(2080s-and-2083s)?_g=(refreshInterval:(display:Off,pause:!f,section:0,value:0),time:(from:'2017-09-19T11:08:19-0600',mode:absolute,to:'2017-09-19T13:53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5" s="86" t="str">
        <f t="shared" si="1"/>
        <v>"C:\Program Files (x86)\AstroGrep\AstroGrep.exe" /e /r /s /spath="%USERPROFILE%\AppData\Local\Temp\OnboardLogs" /stypes="*4054*201709191*" /stext=" 18:.+((SYSTEM_STATE.+slice.+state.+changed )|(ment ac)|(multiple cpu faults)|(system.+state.+changed )|(\[timeout)|(PRM\|1\|D)|(kpr)|(kdp)|(train st.+moving)|(\|lc)|(penalty))"</v>
      </c>
      <c r="U25" s="9" t="str">
        <f t="shared" si="2"/>
        <v>4054</v>
      </c>
      <c r="V25" s="31">
        <f t="shared" si="3"/>
        <v>42997.783020833333</v>
      </c>
      <c r="W25" s="45" t="str">
        <f t="shared" si="4"/>
        <v>EC</v>
      </c>
      <c r="X25" s="22">
        <f t="shared" si="5"/>
        <v>169</v>
      </c>
      <c r="Y25" s="96" t="str">
        <f t="shared" si="6"/>
        <v>echo {"issue":{"subject":"Wi-MAX data drop","project_id":79,"tracker_id":40,"status_id":1,"priority_id":2,"assigned_to_id":338,"start_date":"2017-09-19","description":"","custom_fields":[{"id":1,"name":"Subdivision","value":"EC"},{"id":4,"name":"Milepost","value":"21.7106"},{"id":17,"name":"Train ID","value":"169-19"},{"id":16,"name":"Locomotive ID","value":"4054"},{"id":130,"name":"Impact","value":""},{"id":150,"name":"Time of Event (Mountain Time)","value":"12:47:33"},{"id":151,"name":"Denver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/c/Users/stu/AppData/Local/Temp/OnboardLogs/RTDC4054 --include="*4054*201709191*"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"%USERPROFILE%\AppData\Local\Temp\OnboardLogs"\RTDC4054\*4054*201709191* &gt;&gt; 2017-09-19-SliceDisagreementCheck.txt</v>
      </c>
      <c r="AE25" s="145" t="str">
        <f t="shared" si="9"/>
        <v>start /low /b %USERPROFILE%\Documents\GitHub\eaglep3\Utilities\DownloadLogsFromS3.py --loco 4054 --day 2017-09-19</v>
      </c>
      <c r="AF25" s="1"/>
    </row>
    <row r="26" spans="1:32" x14ac:dyDescent="0.25">
      <c r="A26" s="31">
        <v>42997.223287037035</v>
      </c>
      <c r="B26" s="30" t="s">
        <v>609</v>
      </c>
      <c r="C26" s="30" t="s">
        <v>610</v>
      </c>
      <c r="D26" s="30" t="s">
        <v>49</v>
      </c>
      <c r="E26" s="30" t="s">
        <v>181</v>
      </c>
      <c r="F26" s="42">
        <v>0</v>
      </c>
      <c r="G26" s="42">
        <v>36</v>
      </c>
      <c r="H26" s="42">
        <v>127</v>
      </c>
      <c r="I26" s="42">
        <v>109</v>
      </c>
      <c r="J26" s="30" t="s">
        <v>182</v>
      </c>
      <c r="K26" s="42">
        <v>1</v>
      </c>
      <c r="L26" s="131" t="s">
        <v>51</v>
      </c>
      <c r="M26" s="132">
        <f t="shared" si="0"/>
        <v>57.024000000000001</v>
      </c>
      <c r="N26" s="133" t="str">
        <f>VLOOKUP(C26,'Trips&amp;Operators'!$C$1:$G$99911,5,FALSE)</f>
        <v>ACKERMAN JARED</v>
      </c>
      <c r="O26" s="176" t="s">
        <v>180</v>
      </c>
      <c r="P26" s="134"/>
      <c r="Q26" s="30"/>
      <c r="R26" s="81" t="str">
        <f>VLOOKUP(C26,'Train Runs'!$A$13:$AE$9961,31,0)</f>
        <v>aws s3 cp s3://rtdc.mdm.uploadarchive.raw/RTDC4027/ "%USERPROFILE%\AppData\Local\Temp\OnboardLogs"\RTDC4027\2017-09-19 --exclude "*" --recursive --include "*20170919*" &amp; "%USERPROFILE%\Documents\GitHub\mrs-test-scripts\Headless Mode &amp; Sideloading\WalkAndUnGZ.bat" "%USERPROFILE%\AppData\Local\Temp\OnboardLogs"\RTDC4027\2017-09-19 &amp; aws s3 cp s3://rtdc.mdm.uploadarchive.raw/RTDC4027/ "%USERPROFILE%\AppData\Local\Temp\OnboardLogs"\RTDC4027\2017-09-20 --exclude "*" --recursive --include "*20170920*" &amp; "%USERPROFILE%\Documents\GitHub\mrs-test-scripts\Headless Mode &amp; Sideloading\WalkAndUnGZ.bat" "%USERPROFILE%\AppData\Local\Temp\OnboardLogs"\RTDC4027\2017-09-20</v>
      </c>
      <c r="S26" s="84" t="str">
        <f>VLOOKUP(C26,'Train Runs'!$A$13:$AE$9961,22,0)</f>
        <v>https://d0f6bd738d7f1b3e5a7ca70fe4ff75f0.us-east-1.aws.found.io/app/kibana#/discover/Steve-Slow-Train-Analysis-(2080s-and-2083s)?_g=(refreshInterval:(display:Off,pause:!f,section:0,value:0),time:(from:'2017-09-19T03:31:06-0600',mode:absolute,to:'2017-09-19T06:21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6" s="86" t="str">
        <f t="shared" si="1"/>
        <v>"C:\Program Files (x86)\AstroGrep\AstroGrep.exe" /e /r /s /spath="%USERPROFILE%\AppData\Local\Temp\OnboardLogs" /stypes="*4027*201709191*" /stext=" 11:.+((SYSTEM_STATE.+slice.+state.+changed )|(ment ac)|(multiple cpu faults)|(system.+state.+changed )|(\[timeout)|(PRM\|1\|D)|(kpr)|(kdp)|(train st.+moving)|(\|lc)|(penalty))"</v>
      </c>
      <c r="U26" s="9" t="str">
        <f t="shared" si="2"/>
        <v>4027</v>
      </c>
      <c r="V26" s="31">
        <f t="shared" si="3"/>
        <v>42997.473287037035</v>
      </c>
      <c r="W26" s="45" t="str">
        <f t="shared" si="4"/>
        <v>EC</v>
      </c>
      <c r="X26" s="22">
        <f t="shared" si="5"/>
        <v>104</v>
      </c>
      <c r="Y26" s="96" t="str">
        <f t="shared" si="6"/>
        <v>echo {"issue":{"subject":"","project_id":79,"tracker_id":40,"status_id":1,"priority_id":2,"assigned_to_id":338,"start_date":"2017-09-19","description":"","custom_fields":[{"id":1,"name":"Subdivision","value":"EC"},{"id":4,"name":"Milepost","value":"0.0001"},{"id":17,"name":"Train ID","value":"104-19"},{"id":16,"name":"Locomotive ID","value":"4027"},{"id":130,"name":"Impact","value":""},{"id":150,"name":"Time of Event (Mountain Time)","value":"05:21:32"},{"id":151,"name":"Denver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/c/Users/stu/AppData/Local/Temp/OnboardLogs/RTDC4027 --include="*4027*201709191*"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"%USERPROFILE%\AppData\Local\Temp\OnboardLogs"\RTDC4027\*4027*201709191* &gt;&gt; 2017-09-19-SliceDisagreementCheck.txt</v>
      </c>
      <c r="AE26" s="145" t="str">
        <f t="shared" si="9"/>
        <v>start /low /b %USERPROFILE%\Documents\GitHub\eaglep3\Utilities\DownloadLogsFromS3.py --loco 4027 --day 2017-09-19</v>
      </c>
      <c r="AF26" s="1"/>
    </row>
    <row r="27" spans="1:32" x14ac:dyDescent="0.25">
      <c r="A27" s="31">
        <v>42997.429212962961</v>
      </c>
      <c r="B27" s="30" t="s">
        <v>623</v>
      </c>
      <c r="C27" s="30" t="s">
        <v>624</v>
      </c>
      <c r="D27" s="30" t="s">
        <v>49</v>
      </c>
      <c r="E27" s="30" t="s">
        <v>181</v>
      </c>
      <c r="F27" s="42">
        <v>0</v>
      </c>
      <c r="G27" s="42">
        <v>64</v>
      </c>
      <c r="H27" s="42">
        <v>156</v>
      </c>
      <c r="I27" s="42">
        <v>103</v>
      </c>
      <c r="J27" s="30" t="s">
        <v>182</v>
      </c>
      <c r="K27" s="42">
        <v>1</v>
      </c>
      <c r="L27" s="131" t="s">
        <v>51</v>
      </c>
      <c r="M27" s="132">
        <f t="shared" si="0"/>
        <v>53.856000000000002</v>
      </c>
      <c r="N27" s="133" t="str">
        <f>VLOOKUP(C27,'Trips&amp;Operators'!$C$1:$G$99911,5,FALSE)</f>
        <v>BARRON PERLA</v>
      </c>
      <c r="O27" s="176" t="s">
        <v>180</v>
      </c>
      <c r="P27" s="134"/>
      <c r="Q27" s="30"/>
      <c r="R27" s="81" t="str">
        <f>VLOOKUP(C27,'Train Runs'!$A$13:$AE$9961,31,0)</f>
        <v>aws s3 cp s3://rtdc.mdm.uploadarchive.raw/RTDC4053/ "%USERPROFILE%\AppData\Local\Temp\OnboardLogs"\RTDC4053\2017-09-19 --exclude "*" --recursive --include "*20170919*" &amp; "%USERPROFILE%\Documents\GitHub\mrs-test-scripts\Headless Mode &amp; Sideloading\WalkAndUnGZ.bat" "%USERPROFILE%\AppData\Local\Temp\OnboardLogs"\RTDC4053\2017-09-19 &amp; aws s3 cp s3://rtdc.mdm.uploadarchive.raw/RTDC4053/ "%USERPROFILE%\AppData\Local\Temp\OnboardLogs"\RTDC4053\2017-09-20 --exclude "*" --recursive --include "*20170920*" &amp; "%USERPROFILE%\Documents\GitHub\mrs-test-scripts\Headless Mode &amp; Sideloading\WalkAndUnGZ.bat" "%USERPROFILE%\AppData\Local\Temp\OnboardLogs"\RTDC4053\2017-09-20</v>
      </c>
      <c r="S27" s="84" t="str">
        <f>VLOOKUP(C27,'Train Runs'!$A$13:$AE$9961,22,0)</f>
        <v>https://d0f6bd738d7f1b3e5a7ca70fe4ff75f0.us-east-1.aws.found.io/app/kibana#/discover/Steve-Slow-Train-Analysis-(2080s-and-2083s)?_g=(refreshInterval:(display:Off,pause:!f,section:0,value:0),time:(from:'2017-09-19T08:22:24-0600',mode:absolute,to:'2017-09-19T11:18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7" s="86" t="str">
        <f t="shared" si="1"/>
        <v>"C:\Program Files (x86)\AstroGrep\AstroGrep.exe" /e /r /s /spath="%USERPROFILE%\AppData\Local\Temp\OnboardLogs" /stypes="*4053*201709191*" /stext=" 16:.+((SYSTEM_STATE.+slice.+state.+changed )|(ment ac)|(multiple cpu faults)|(system.+state.+changed )|(\[timeout)|(PRM\|1\|D)|(kpr)|(kdp)|(train st.+moving)|(\|lc)|(penalty))"</v>
      </c>
      <c r="U27" s="9" t="str">
        <f t="shared" si="2"/>
        <v>4053</v>
      </c>
      <c r="V27" s="31">
        <f t="shared" si="3"/>
        <v>42997.679212962961</v>
      </c>
      <c r="W27" s="45" t="str">
        <f t="shared" si="4"/>
        <v>EC</v>
      </c>
      <c r="X27" s="22">
        <f t="shared" si="5"/>
        <v>142</v>
      </c>
      <c r="Y27" s="96" t="str">
        <f t="shared" si="6"/>
        <v>echo {"issue":{"subject":"","project_id":79,"tracker_id":40,"status_id":1,"priority_id":2,"assigned_to_id":338,"start_date":"2017-09-19","description":"","custom_fields":[{"id":1,"name":"Subdivision","value":"EC"},{"id":4,"name":"Milepost","value":"0.0001"},{"id":17,"name":"Train ID","value":"142-19"},{"id":16,"name":"Locomotive ID","value":"4053"},{"id":130,"name":"Impact","value":""},{"id":150,"name":"Time of Event (Mountain Time)","value":"10:18:04"},{"id":151,"name":"Denver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/c/Users/stu/AppData/Local/Temp/OnboardLogs/RTDC4053 --include="*4053*201709191*"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"%USERPROFILE%\AppData\Local\Temp\OnboardLogs"\RTDC4053\*4053*201709191* &gt;&gt; 2017-09-19-SliceDisagreementCheck.txt</v>
      </c>
      <c r="AE27" s="145" t="str">
        <f t="shared" si="9"/>
        <v>start /low /b %USERPROFILE%\Documents\GitHub\eaglep3\Utilities\DownloadLogsFromS3.py --loco 4053 --day 2017-09-19</v>
      </c>
      <c r="AF27" s="1"/>
    </row>
    <row r="28" spans="1:32" x14ac:dyDescent="0.25">
      <c r="A28" s="31">
        <v>42997.639386574076</v>
      </c>
      <c r="B28" s="30" t="s">
        <v>634</v>
      </c>
      <c r="C28" s="30" t="s">
        <v>637</v>
      </c>
      <c r="D28" s="30" t="s">
        <v>49</v>
      </c>
      <c r="E28" s="30" t="s">
        <v>181</v>
      </c>
      <c r="F28" s="42">
        <v>0</v>
      </c>
      <c r="G28" s="42">
        <v>45</v>
      </c>
      <c r="H28" s="42">
        <v>147</v>
      </c>
      <c r="I28" s="42">
        <v>118</v>
      </c>
      <c r="J28" s="30" t="s">
        <v>182</v>
      </c>
      <c r="K28" s="42">
        <v>1</v>
      </c>
      <c r="L28" s="131" t="s">
        <v>51</v>
      </c>
      <c r="M28" s="132">
        <f t="shared" si="0"/>
        <v>61.776000000000003</v>
      </c>
      <c r="N28" s="133" t="str">
        <f>VLOOKUP(C28,'Trips&amp;Operators'!$C$1:$G$99911,5,FALSE)</f>
        <v>LEVERE CRAIG</v>
      </c>
      <c r="O28" s="176" t="s">
        <v>180</v>
      </c>
      <c r="P28" s="134"/>
      <c r="Q28" s="30"/>
      <c r="R28" s="81" t="str">
        <f>VLOOKUP(C28,'Train Runs'!$A$13:$AE$9961,31,0)</f>
        <v>aws s3 cp s3://rtdc.mdm.uploadarchive.raw/RTDC4049/ "%USERPROFILE%\AppData\Local\Temp\OnboardLogs"\RTDC4049\2017-09-19 --exclude "*" --recursive --include "*20170919*" &amp; "%USERPROFILE%\Documents\GitHub\mrs-test-scripts\Headless Mode &amp; Sideloading\WalkAndUnGZ.bat" "%USERPROFILE%\AppData\Local\Temp\OnboardLogs"\RTDC4049\2017-09-19 &amp; aws s3 cp s3://rtdc.mdm.uploadarchive.raw/RTDC4049/ "%USERPROFILE%\AppData\Local\Temp\OnboardLogs"\RTDC4049\2017-09-20 --exclude "*" --recursive --include "*20170920*" &amp; "%USERPROFILE%\Documents\GitHub\mrs-test-scripts\Headless Mode &amp; Sideloading\WalkAndUnGZ.bat" "%USERPROFILE%\AppData\Local\Temp\OnboardLogs"\RTDC4049\2017-09-20</v>
      </c>
      <c r="S28" s="84" t="str">
        <f>VLOOKUP(C28,'Train Runs'!$A$13:$AE$9961,22,0)</f>
        <v>https://d0f6bd738d7f1b3e5a7ca70fe4ff75f0.us-east-1.aws.found.io/app/kibana#/discover/Steve-Slow-Train-Analysis-(2080s-and-2083s)?_g=(refreshInterval:(display:Off,pause:!f,section:0,value:0),time:(from:'2017-09-19T13:33:05-0600',mode:absolute,to:'2017-09-19T16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8" s="86" t="str">
        <f t="shared" si="1"/>
        <v>"C:\Program Files (x86)\AstroGrep\AstroGrep.exe" /e /r /s /spath="%USERPROFILE%\AppData\Local\Temp\OnboardLogs" /stypes="*4049*201709192*" /stext=" 21:.+((SYSTEM_STATE.+slice.+state.+changed )|(ment ac)|(multiple cpu faults)|(system.+state.+changed )|(\[timeout)|(PRM\|1\|D)|(kpr)|(kdp)|(train st.+moving)|(\|lc)|(penalty))"</v>
      </c>
      <c r="U28" s="9" t="str">
        <f t="shared" si="2"/>
        <v>4049</v>
      </c>
      <c r="V28" s="31">
        <f t="shared" si="3"/>
        <v>42997.889386574076</v>
      </c>
      <c r="W28" s="45" t="str">
        <f t="shared" si="4"/>
        <v>EC</v>
      </c>
      <c r="X28" s="22">
        <f t="shared" si="5"/>
        <v>182</v>
      </c>
      <c r="Y28" s="96" t="str">
        <f t="shared" si="6"/>
        <v>echo {"issue":{"subject":"","project_id":79,"tracker_id":40,"status_id":1,"priority_id":2,"assigned_to_id":338,"start_date":"2017-09-19","description":"","custom_fields":[{"id":1,"name":"Subdivision","value":"EC"},{"id":4,"name":"Milepost","value":"0.0001"},{"id":17,"name":"Train ID","value":"182-19"},{"id":16,"name":"Locomotive ID","value":"4049"},{"id":130,"name":"Impact","value":""},{"id":150,"name":"Time of Event (Mountain Time)","value":"15:20:43"},{"id":151,"name":"Denver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/c/Users/stu/AppData/Local/Temp/OnboardLogs/RTDC4049 --include="*4049*201709192*"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"%USERPROFILE%\AppData\Local\Temp\OnboardLogs"\RTDC4049\*4049*201709192* &gt;&gt; 2017-09-19-SliceDisagreementCheck.txt</v>
      </c>
      <c r="AE28" s="145" t="str">
        <f t="shared" si="9"/>
        <v>start /low /b %USERPROFILE%\Documents\GitHub\eaglep3\Utilities\DownloadLogsFromS3.py --loco 4049 --day 2017-09-19</v>
      </c>
      <c r="AF28" s="1"/>
    </row>
    <row r="29" spans="1:32" x14ac:dyDescent="0.25">
      <c r="A29" s="31">
        <v>42997.694247685184</v>
      </c>
      <c r="B29" s="30" t="s">
        <v>434</v>
      </c>
      <c r="C29" s="30" t="s">
        <v>640</v>
      </c>
      <c r="D29" s="30" t="s">
        <v>49</v>
      </c>
      <c r="E29" s="30" t="s">
        <v>181</v>
      </c>
      <c r="F29" s="42">
        <v>0</v>
      </c>
      <c r="G29" s="42">
        <v>86</v>
      </c>
      <c r="H29" s="42">
        <v>233147</v>
      </c>
      <c r="I29" s="42">
        <v>233243</v>
      </c>
      <c r="J29" s="30" t="s">
        <v>182</v>
      </c>
      <c r="K29" s="42">
        <v>233491</v>
      </c>
      <c r="L29" s="131" t="s">
        <v>50</v>
      </c>
      <c r="M29" s="132">
        <f t="shared" si="0"/>
        <v>130.94399999999999</v>
      </c>
      <c r="N29" s="133" t="str">
        <f>VLOOKUP(C29,'Trips&amp;Operators'!$C$1:$G$99911,5,FALSE)</f>
        <v>DAVIS MICHAEL</v>
      </c>
      <c r="O29" s="176" t="s">
        <v>180</v>
      </c>
      <c r="P29" s="134"/>
      <c r="Q29" s="30"/>
      <c r="R29" s="81" t="str">
        <f>VLOOKUP(C29,'Train Runs'!$A$13:$AE$9961,31,0)</f>
        <v>aws s3 cp s3://rtdc.mdm.uploadarchive.raw/RTDC4028/ "%USERPROFILE%\AppData\Local\Temp\OnboardLogs"\RTDC4028\2017-09-19 --exclude "*" --recursive --include "*20170919*" &amp; "%USERPROFILE%\Documents\GitHub\mrs-test-scripts\Headless Mode &amp; Sideloading\WalkAndUnGZ.bat" "%USERPROFILE%\AppData\Local\Temp\OnboardLogs"\RTDC4028\2017-09-19 &amp; aws s3 cp s3://rtdc.mdm.uploadarchive.raw/RTDC4028/ "%USERPROFILE%\AppData\Local\Temp\OnboardLogs"\RTDC4028\2017-09-20 --exclude "*" --recursive --include "*20170920*" &amp; "%USERPROFILE%\Documents\GitHub\mrs-test-scripts\Headless Mode &amp; Sideloading\WalkAndUnGZ.bat" "%USERPROFILE%\AppData\Local\Temp\OnboardLogs"\RTDC4028\2017-09-20</v>
      </c>
      <c r="S29" s="84" t="str">
        <f>VLOOKUP(C29,'Train Runs'!$A$13:$AE$9961,22,0)</f>
        <v>https://d0f6bd738d7f1b3e5a7ca70fe4ff75f0.us-east-1.aws.found.io/app/kibana#/discover/Steve-Slow-Train-Analysis-(2080s-and-2083s)?_g=(refreshInterval:(display:Off,pause:!f,section:0,value:0),time:(from:'2017-09-19T14:57:19-0600',mode:absolute,to:'2017-09-19T17:39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9" s="86" t="str">
        <f t="shared" si="1"/>
        <v>"C:\Program Files (x86)\AstroGrep\AstroGrep.exe" /e /r /s /spath="%USERPROFILE%\AppData\Local\Temp\OnboardLogs" /stypes="*4028*201709192*" /stext=" 22:.+((SYSTEM_STATE.+slice.+state.+changed )|(ment ac)|(multiple cpu faults)|(system.+state.+changed )|(\[timeout)|(PRM\|1\|D)|(kpr)|(kdp)|(train st.+moving)|(\|lc)|(penalty))"</v>
      </c>
      <c r="U29" s="9" t="str">
        <f t="shared" si="2"/>
        <v>4028</v>
      </c>
      <c r="V29" s="31">
        <f t="shared" si="3"/>
        <v>42997.944247685184</v>
      </c>
      <c r="W29" s="45" t="str">
        <f t="shared" si="4"/>
        <v>EC</v>
      </c>
      <c r="X29" s="22">
        <f t="shared" si="5"/>
        <v>199</v>
      </c>
      <c r="Y29" s="96" t="str">
        <f t="shared" si="6"/>
        <v>echo {"issue":{"subject":"","project_id":79,"tracker_id":40,"status_id":1,"priority_id":2,"assigned_to_id":338,"start_date":"2017-09-19","description":"","custom_fields":[{"id":1,"name":"Subdivision","value":"EC"},{"id":4,"name":"Milepost","value":"23.3491"},{"id":17,"name":"Train ID","value":"199-19"},{"id":16,"name":"Locomotive ID","value":"4028"},{"id":130,"name":"Impact","value":""},{"id":150,"name":"Time of Event (Mountain Time)","value":"16:39:43"},{"id":151,"name":"Denver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/c/Users/stu/AppData/Local/Temp/OnboardLogs/RTDC4028 --include="*4028*201709192*"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"%USERPROFILE%\AppData\Local\Temp\OnboardLogs"\RTDC4028\*4028*201709192* &gt;&gt; 2017-09-19-SliceDisagreementCheck.txt</v>
      </c>
      <c r="AE29" s="145" t="str">
        <f t="shared" si="9"/>
        <v>start /low /b %USERPROFILE%\Documents\GitHub\eaglep3\Utilities\DownloadLogsFromS3.py --loco 4028 --day 2017-09-19</v>
      </c>
      <c r="AF29" s="1"/>
    </row>
    <row r="30" spans="1:32" x14ac:dyDescent="0.25">
      <c r="A30" s="31">
        <v>42997.694641203707</v>
      </c>
      <c r="B30" s="30" t="s">
        <v>434</v>
      </c>
      <c r="C30" s="30" t="s">
        <v>640</v>
      </c>
      <c r="D30" s="30" t="s">
        <v>49</v>
      </c>
      <c r="E30" s="30" t="s">
        <v>181</v>
      </c>
      <c r="F30" s="42">
        <v>0</v>
      </c>
      <c r="G30" s="42">
        <v>29</v>
      </c>
      <c r="H30" s="42">
        <v>233274</v>
      </c>
      <c r="I30" s="42">
        <v>233291</v>
      </c>
      <c r="J30" s="30" t="s">
        <v>182</v>
      </c>
      <c r="K30" s="42">
        <v>233491</v>
      </c>
      <c r="L30" s="131" t="s">
        <v>50</v>
      </c>
      <c r="M30" s="132">
        <f t="shared" si="0"/>
        <v>105.6</v>
      </c>
      <c r="N30" s="133" t="str">
        <f>VLOOKUP(C30,'Trips&amp;Operators'!$C$1:$G$99911,5,FALSE)</f>
        <v>DAVIS MICHAEL</v>
      </c>
      <c r="O30" s="176" t="s">
        <v>180</v>
      </c>
      <c r="P30" s="134"/>
      <c r="Q30" s="30"/>
      <c r="R30" s="81" t="str">
        <f>VLOOKUP(C30,'Train Runs'!$A$13:$AE$9961,31,0)</f>
        <v>aws s3 cp s3://rtdc.mdm.uploadarchive.raw/RTDC4028/ "%USERPROFILE%\AppData\Local\Temp\OnboardLogs"\RTDC4028\2017-09-19 --exclude "*" --recursive --include "*20170919*" &amp; "%USERPROFILE%\Documents\GitHub\mrs-test-scripts\Headless Mode &amp; Sideloading\WalkAndUnGZ.bat" "%USERPROFILE%\AppData\Local\Temp\OnboardLogs"\RTDC4028\2017-09-19 &amp; aws s3 cp s3://rtdc.mdm.uploadarchive.raw/RTDC4028/ "%USERPROFILE%\AppData\Local\Temp\OnboardLogs"\RTDC4028\2017-09-20 --exclude "*" --recursive --include "*20170920*" &amp; "%USERPROFILE%\Documents\GitHub\mrs-test-scripts\Headless Mode &amp; Sideloading\WalkAndUnGZ.bat" "%USERPROFILE%\AppData\Local\Temp\OnboardLogs"\RTDC4028\2017-09-20</v>
      </c>
      <c r="S30" s="84" t="str">
        <f>VLOOKUP(C30,'Train Runs'!$A$13:$AE$9961,22,0)</f>
        <v>https://d0f6bd738d7f1b3e5a7ca70fe4ff75f0.us-east-1.aws.found.io/app/kibana#/discover/Steve-Slow-Train-Analysis-(2080s-and-2083s)?_g=(refreshInterval:(display:Off,pause:!f,section:0,value:0),time:(from:'2017-09-19T14:57:19-0600',mode:absolute,to:'2017-09-19T17:39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0" s="86" t="str">
        <f t="shared" si="1"/>
        <v>"C:\Program Files (x86)\AstroGrep\AstroGrep.exe" /e /r /s /spath="%USERPROFILE%\AppData\Local\Temp\OnboardLogs" /stypes="*4028*201709192*" /stext=" 22:.+((SYSTEM_STATE.+slice.+state.+changed )|(ment ac)|(multiple cpu faults)|(system.+state.+changed )|(\[timeout)|(PRM\|1\|D)|(kpr)|(kdp)|(train st.+moving)|(\|lc)|(penalty))"</v>
      </c>
      <c r="U30" s="9" t="str">
        <f t="shared" si="2"/>
        <v>4028</v>
      </c>
      <c r="V30" s="31">
        <f t="shared" si="3"/>
        <v>42997.944641203707</v>
      </c>
      <c r="W30" s="45" t="str">
        <f t="shared" si="4"/>
        <v>EC</v>
      </c>
      <c r="X30" s="22">
        <f t="shared" si="5"/>
        <v>199</v>
      </c>
      <c r="Y30" s="96" t="str">
        <f t="shared" si="6"/>
        <v>echo {"issue":{"subject":"","project_id":79,"tracker_id":40,"status_id":1,"priority_id":2,"assigned_to_id":338,"start_date":"2017-09-19","description":"","custom_fields":[{"id":1,"name":"Subdivision","value":"EC"},{"id":4,"name":"Milepost","value":"23.3491"},{"id":17,"name":"Train ID","value":"199-19"},{"id":16,"name":"Locomotive ID","value":"4028"},{"id":130,"name":"Impact","value":""},{"id":150,"name":"Time of Event (Mountain Time)","value":"16:40:17"},{"id":151,"name":"Denver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/c/Users/stu/AppData/Local/Temp/OnboardLogs/RTDC4028 --include="*4028*201709192*"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"%USERPROFILE%\AppData\Local\Temp\OnboardLogs"\RTDC4028\*4028*201709192* &gt;&gt; 2017-09-19-SliceDisagreementCheck.txt</v>
      </c>
      <c r="AE30" s="145" t="str">
        <f t="shared" si="9"/>
        <v>start /low /b %USERPROFILE%\Documents\GitHub\eaglep3\Utilities\DownloadLogsFromS3.py --loco 4028 --day 2017-09-19</v>
      </c>
      <c r="AF30" s="1"/>
    </row>
    <row r="31" spans="1:32" x14ac:dyDescent="0.25">
      <c r="A31" s="31">
        <v>42997.490995370368</v>
      </c>
      <c r="B31" s="30" t="s">
        <v>443</v>
      </c>
      <c r="C31" s="30" t="s">
        <v>630</v>
      </c>
      <c r="D31" s="30" t="s">
        <v>96</v>
      </c>
      <c r="E31" s="30" t="s">
        <v>195</v>
      </c>
      <c r="F31" s="42">
        <v>400</v>
      </c>
      <c r="G31" s="42">
        <v>453</v>
      </c>
      <c r="H31" s="42">
        <v>38265</v>
      </c>
      <c r="I31" s="42">
        <v>37121</v>
      </c>
      <c r="J31" s="30" t="s">
        <v>196</v>
      </c>
      <c r="K31" s="42">
        <v>40977</v>
      </c>
      <c r="L31" s="131" t="s">
        <v>51</v>
      </c>
      <c r="M31" s="132">
        <f t="shared" si="0"/>
        <v>-2035.9680000000001</v>
      </c>
      <c r="N31" s="133" t="str">
        <f>VLOOKUP(C31,'Trips&amp;Operators'!$C$1:$G$99911,5,FALSE)</f>
        <v>FORTUNATO FRANK</v>
      </c>
      <c r="O31" s="176" t="s">
        <v>180</v>
      </c>
      <c r="P31" s="134"/>
      <c r="Q31" s="30"/>
      <c r="R31" s="81" t="str">
        <f>VLOOKUP(C31,'Train Runs'!$A$13:$AE$9961,31,0)</f>
        <v>aws s3 cp s3://rtdc.mdm.uploadarchive.raw/RTDC4043/ "%USERPROFILE%\AppData\Local\Temp\OnboardLogs"\RTDC4043\2017-09-19 --exclude "*" --recursive --include "*20170919*" &amp; "%USERPROFILE%\Documents\GitHub\mrs-test-scripts\Headless Mode &amp; Sideloading\WalkAndUnGZ.bat" "%USERPROFILE%\AppData\Local\Temp\OnboardLogs"\RTDC4043\2017-09-19 &amp; 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</v>
      </c>
      <c r="S31" s="84" t="str">
        <f>VLOOKUP(C31,'Train Runs'!$A$13:$AE$9961,22,0)</f>
        <v>https://d0f6bd738d7f1b3e5a7ca70fe4ff75f0.us-east-1.aws.found.io/app/kibana#/discover/Steve-Slow-Train-Analysis-(2080s-and-2083s)?_g=(refreshInterval:(display:Off,pause:!f,section:0,value:0),time:(from:'2017-09-19T10:26:27-0600',mode:absolute,to:'2017-09-19T12:55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1" s="86" t="str">
        <f t="shared" si="1"/>
        <v>"C:\Program Files (x86)\AstroGrep\AstroGrep.exe" /e /r /s /spath="%USERPROFILE%\AppData\Local\Temp\OnboardLogs" /stypes="*4043*201709191*" /stext=" 17:.+((SYSTEM_STATE.+slice.+state.+changed )|(ment ac)|(multiple cpu faults)|(system.+state.+changed )|(\[timeout)|(PRM\|1\|D)|(kpr)|(kdp)|(train st.+moving)|(\|lc)|(penalty))"</v>
      </c>
      <c r="U31" s="9" t="str">
        <f t="shared" si="2"/>
        <v>4043</v>
      </c>
      <c r="V31" s="31">
        <f t="shared" si="3"/>
        <v>42997.740995370368</v>
      </c>
      <c r="W31" s="45" t="str">
        <f t="shared" si="4"/>
        <v>NW</v>
      </c>
      <c r="X31" s="22">
        <f t="shared" si="5"/>
        <v>818</v>
      </c>
      <c r="Y31" s="96" t="str">
        <f t="shared" si="6"/>
        <v>echo {"issue":{"subject":"","project_id":79,"tracker_id":40,"status_id":1,"priority_id":2,"assigned_to_id":338,"start_date":"2017-09-19","description":"","custom_fields":[{"id":1,"name":"Subdivision","value":"NW"},{"id":4,"name":"Milepost","value":"4.0977"},{"id":17,"name":"Train ID","value":"818-19"},{"id":16,"name":"Locomotive ID","value":"4043"},{"id":130,"name":"Impact","value":""},{"id":150,"name":"Time of Event (Mountain Time)","value":"11:47:02"},{"id":151,"name":"Denver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/c/Users/stu/AppData/Local/Temp/OnboardLogs/RTDC4043 --include="*4043*201709191*"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"%USERPROFILE%\AppData\Local\Temp\OnboardLogs"\RTDC4043\*4043*201709191* &gt;&gt; 2017-09-19-SliceDisagreementCheck.txt</v>
      </c>
      <c r="AE31" s="145" t="str">
        <f t="shared" si="9"/>
        <v>start /low /b %USERPROFILE%\Documents\GitHub\eaglep3\Utilities\DownloadLogsFromS3.py --loco 4043 --day 2017-09-19</v>
      </c>
      <c r="AF31" s="1"/>
    </row>
    <row r="32" spans="1:32" x14ac:dyDescent="0.25">
      <c r="A32" s="31">
        <v>42997.7812962963</v>
      </c>
      <c r="B32" s="30" t="s">
        <v>443</v>
      </c>
      <c r="C32" s="30" t="s">
        <v>643</v>
      </c>
      <c r="D32" s="30" t="s">
        <v>96</v>
      </c>
      <c r="E32" s="30" t="s">
        <v>195</v>
      </c>
      <c r="F32" s="42">
        <v>400</v>
      </c>
      <c r="G32" s="42">
        <v>459</v>
      </c>
      <c r="H32" s="42">
        <v>48375</v>
      </c>
      <c r="I32" s="42">
        <v>46776</v>
      </c>
      <c r="J32" s="30" t="s">
        <v>196</v>
      </c>
      <c r="K32" s="42">
        <v>49775</v>
      </c>
      <c r="L32" s="131" t="s">
        <v>51</v>
      </c>
      <c r="M32" s="132">
        <f t="shared" si="0"/>
        <v>-1583.472</v>
      </c>
      <c r="N32" s="133" t="str">
        <f>VLOOKUP(C32,'Trips&amp;Operators'!$C$1:$G$99911,5,FALSE)</f>
        <v>ZEWDU DEREJE</v>
      </c>
      <c r="O32" s="176" t="s">
        <v>180</v>
      </c>
      <c r="P32" s="134"/>
      <c r="Q32" s="30"/>
      <c r="R32" s="81" t="str">
        <f>VLOOKUP(C32,'Train Runs'!$A$13:$AE$9961,31,0)</f>
        <v>aws s3 cp s3://rtdc.mdm.uploadarchive.raw/RTDC4043/ "%USERPROFILE%\AppData\Local\Temp\OnboardLogs"\RTDC4043\2017-09-19 --exclude "*" --recursive --include "*20170919*" &amp; "%USERPROFILE%\Documents\GitHub\mrs-test-scripts\Headless Mode &amp; Sideloading\WalkAndUnGZ.bat" "%USERPROFILE%\AppData\Local\Temp\OnboardLogs"\RTDC4043\2017-09-19 &amp; 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</v>
      </c>
      <c r="S32" s="84" t="str">
        <f>VLOOKUP(C32,'Train Runs'!$A$13:$AE$9961,22,0)</f>
        <v>https://d0f6bd738d7f1b3e5a7ca70fe4ff75f0.us-east-1.aws.found.io/app/kibana#/discover/Steve-Slow-Train-Analysis-(2080s-and-2083s)?_g=(refreshInterval:(display:Off,pause:!f,section:0,value:0),time:(from:'2017-09-19T17:28:39-0600',mode:absolute,to:'2017-09-19T19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2" s="86" t="str">
        <f t="shared" si="1"/>
        <v>"C:\Program Files (x86)\AstroGrep\AstroGrep.exe" /e /r /s /spath="%USERPROFILE%\AppData\Local\Temp\OnboardLogs" /stypes="*4043*201709200*" /stext=" 00:.+((SYSTEM_STATE.+slice.+state.+changed )|(ment ac)|(multiple cpu faults)|(system.+state.+changed )|(\[timeout)|(PRM\|1\|D)|(kpr)|(kdp)|(train st.+moving)|(\|lc)|(penalty))"</v>
      </c>
      <c r="U32" s="9" t="str">
        <f t="shared" si="2"/>
        <v>4043</v>
      </c>
      <c r="V32" s="31">
        <f t="shared" si="3"/>
        <v>42998.0312962963</v>
      </c>
      <c r="W32" s="45" t="str">
        <f t="shared" si="4"/>
        <v>NW</v>
      </c>
      <c r="X32" s="22">
        <f t="shared" si="5"/>
        <v>838</v>
      </c>
      <c r="Y32" s="96" t="str">
        <f t="shared" si="6"/>
        <v>echo {"issue":{"subject":"","project_id":79,"tracker_id":40,"status_id":1,"priority_id":2,"assigned_to_id":338,"start_date":"2017-09-19","description":"","custom_fields":[{"id":1,"name":"Subdivision","value":"NW"},{"id":4,"name":"Milepost","value":"4.9775"},{"id":17,"name":"Train ID","value":"838-19"},{"id":16,"name":"Locomotive ID","value":"4043"},{"id":130,"name":"Impact","value":""},{"id":150,"name":"Time of Event (Mountain Time)","value":"18:45:04"},{"id":151,"name":"Denver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/c/Users/stu/AppData/Local/Temp/OnboardLogs/RTDC4043 --include="*4043*201709200*"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"%USERPROFILE%\AppData\Local\Temp\OnboardLogs"\RTDC4043\*4043*201709200* &gt;&gt; 2017-09-19-SliceDisagreementCheck.txt</v>
      </c>
      <c r="AE32" s="145" t="str">
        <f t="shared" si="9"/>
        <v>start /low /b %USERPROFILE%\Documents\GitHub\eaglep3\Utilities\DownloadLogsFromS3.py --loco 4043 --day 2017-09-20</v>
      </c>
      <c r="AF32" s="1"/>
    </row>
    <row r="33" spans="1:32" x14ac:dyDescent="0.25">
      <c r="A33" s="31">
        <v>42997.324583333335</v>
      </c>
      <c r="B33" s="30" t="s">
        <v>539</v>
      </c>
      <c r="C33" s="30" t="s">
        <v>616</v>
      </c>
      <c r="D33" s="30" t="s">
        <v>96</v>
      </c>
      <c r="E33" s="30" t="s">
        <v>361</v>
      </c>
      <c r="F33" s="42">
        <v>200</v>
      </c>
      <c r="G33" s="42">
        <v>254</v>
      </c>
      <c r="H33" s="42">
        <v>35326</v>
      </c>
      <c r="I33" s="42">
        <v>36244</v>
      </c>
      <c r="J33" s="30" t="s">
        <v>362</v>
      </c>
      <c r="K33" s="42">
        <v>34583</v>
      </c>
      <c r="L33" s="131" t="s">
        <v>50</v>
      </c>
      <c r="M33" s="132">
        <f t="shared" si="0"/>
        <v>-877.00800000000004</v>
      </c>
      <c r="N33" s="133" t="str">
        <f>VLOOKUP(C33,'Trips&amp;Operators'!$C$1:$G$99911,5,FALSE)</f>
        <v>YANG JAN</v>
      </c>
      <c r="O33" s="176" t="s">
        <v>180</v>
      </c>
      <c r="P33" s="134" t="s">
        <v>1011</v>
      </c>
      <c r="Q33" s="30"/>
      <c r="R33" s="81" t="str">
        <f>VLOOKUP(C33,'Train Runs'!$A$13:$AE$9961,31,0)</f>
        <v>aws s3 cp s3://rtdc.mdm.uploadarchive.raw/RTDC4006/ "%USERPROFILE%\AppData\Local\Temp\OnboardLogs"\RTDC4006\2017-09-19 --exclude "*" --recursive --include "*20170919*" &amp; "%USERPROFILE%\Documents\GitHub\mrs-test-scripts\Headless Mode &amp; Sideloading\WalkAndUnGZ.bat" "%USERPROFILE%\AppData\Local\Temp\OnboardLogs"\RTDC4006\2017-09-19 &amp; aws s3 cp s3://rtdc.mdm.uploadarchive.raw/RTDC4006/ "%USERPROFILE%\AppData\Local\Temp\OnboardLogs"\RTDC4006\2017-09-20 --exclude "*" --recursive --include "*20170920*" &amp; "%USERPROFILE%\Documents\GitHub\mrs-test-scripts\Headless Mode &amp; Sideloading\WalkAndUnGZ.bat" "%USERPROFILE%\AppData\Local\Temp\OnboardLogs"\RTDC4006\2017-09-20</v>
      </c>
      <c r="S33" s="84" t="str">
        <f>VLOOKUP(C33,'Train Runs'!$A$13:$AE$9961,22,0)</f>
        <v>https://d0f6bd738d7f1b3e5a7ca70fe4ff75f0.us-east-1.aws.found.io/app/kibana#/discover/Steve-Slow-Train-Analysis-(2080s-and-2083s)?_g=(refreshInterval:(display:Off,pause:!f,section:0,value:0),time:(from:'2017-09-19T06:33:53-0600',mode:absolute,to:'2017-09-19T08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3" s="86" t="str">
        <f t="shared" si="1"/>
        <v>"C:\Program Files (x86)\AstroGrep\AstroGrep.exe" /e /r /s /spath="%USERPROFILE%\AppData\Local\Temp\OnboardLogs" /stypes="*4006*201709191*" /stext=" 13:.+((SYSTEM_STATE.+slice.+state.+changed )|(ment ac)|(multiple cpu faults)|(system.+state.+changed )|(\[timeout)|(PRM\|1\|D)|(kpr)|(kdp)|(train st.+moving)|(\|lc)|(penalty))"</v>
      </c>
      <c r="U33" s="9" t="str">
        <f t="shared" si="2"/>
        <v>4006</v>
      </c>
      <c r="V33" s="31">
        <f t="shared" si="3"/>
        <v>42997.574583333335</v>
      </c>
      <c r="W33" s="45" t="str">
        <f t="shared" si="4"/>
        <v>NW</v>
      </c>
      <c r="X33" s="22">
        <f t="shared" si="5"/>
        <v>809</v>
      </c>
      <c r="Y33" s="96" t="str">
        <f t="shared" si="6"/>
        <v>echo {"issue":{"subject":"RESTRICTING aspect","project_id":79,"tracker_id":40,"status_id":1,"priority_id":2,"assigned_to_id":338,"start_date":"2017-09-19","description":"","custom_fields":[{"id":1,"name":"Subdivision","value":"NW"},{"id":4,"name":"Milepost","value":"3.4583"},{"id":17,"name":"Train ID","value":"809-19"},{"id":16,"name":"Locomotive ID","value":"4006"},{"id":130,"name":"Impact","value":""},{"id":150,"name":"Time of Event (Mountain Time)","value":"07:47:24"},{"id":151,"name":"Denver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/c/Users/stu/AppData/Local/Temp/OnboardLogs/RTDC4006 --include="*4006*201709191*"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"%USERPROFILE%\AppData\Local\Temp\OnboardLogs"\RTDC4006\*4006*201709191* &gt;&gt; 2017-09-19-SliceDisagreementCheck.txt</v>
      </c>
      <c r="AE33" s="145" t="str">
        <f t="shared" si="9"/>
        <v>start /low /b %USERPROFILE%\Documents\GitHub\eaglep3\Utilities\DownloadLogsFromS3.py --loco 4006 --day 2017-09-19</v>
      </c>
      <c r="AF33" s="1"/>
    </row>
    <row r="34" spans="1:32" x14ac:dyDescent="0.25">
      <c r="A34" s="31">
        <v>42997.767465277779</v>
      </c>
      <c r="B34" s="30" t="s">
        <v>498</v>
      </c>
      <c r="C34" s="30" t="s">
        <v>642</v>
      </c>
      <c r="D34" s="30" t="s">
        <v>49</v>
      </c>
      <c r="E34" s="30" t="s">
        <v>181</v>
      </c>
      <c r="F34" s="42">
        <v>0</v>
      </c>
      <c r="G34" s="42">
        <v>25</v>
      </c>
      <c r="H34" s="42">
        <v>610</v>
      </c>
      <c r="I34" s="42">
        <v>603</v>
      </c>
      <c r="J34" s="30" t="s">
        <v>182</v>
      </c>
      <c r="K34" s="42">
        <v>575</v>
      </c>
      <c r="L34" s="131" t="s">
        <v>51</v>
      </c>
      <c r="M34" s="132">
        <f t="shared" si="0"/>
        <v>14.784000000000001</v>
      </c>
      <c r="N34" s="133" t="str">
        <f>VLOOKUP(C34,'Trips&amp;Operators'!$C$1:$G$99911,5,FALSE)</f>
        <v>STAMBAUGH JAMES</v>
      </c>
      <c r="O34" s="176" t="s">
        <v>180</v>
      </c>
      <c r="P34" s="134"/>
      <c r="Q34" s="30"/>
      <c r="R34" s="81" t="str">
        <f>VLOOKUP(C34,'Train Runs'!$A$13:$AE$9961,31,0)</f>
        <v>aws s3 cp s3://rtdc.mdm.uploadarchive.raw/RTDC4005/ "%USERPROFILE%\AppData\Local\Temp\OnboardLogs"\RTDC4005\2017-09-19 --exclude "*" --recursive --include "*20170919*" &amp; "%USERPROFILE%\Documents\GitHub\mrs-test-scripts\Headless Mode &amp; Sideloading\WalkAndUnGZ.bat" "%USERPROFILE%\AppData\Local\Temp\OnboardLogs"\RTDC4005\2017-09-19 &amp; aws s3 cp s3://rtdc.mdm.uploadarchive.raw/RTDC4005/ "%USERPROFILE%\AppData\Local\Temp\OnboardLogs"\RTDC4005\2017-09-20 --exclude "*" --recursive --include "*20170920*" &amp; "%USERPROFILE%\Documents\GitHub\mrs-test-scripts\Headless Mode &amp; Sideloading\WalkAndUnGZ.bat" "%USERPROFILE%\AppData\Local\Temp\OnboardLogs"\RTDC4005\2017-09-20</v>
      </c>
      <c r="S34" s="84" t="str">
        <f>VLOOKUP(C34,'Train Runs'!$A$13:$AE$9961,22,0)</f>
        <v>https://d0f6bd738d7f1b3e5a7ca70fe4ff75f0.us-east-1.aws.found.io/app/kibana#/discover/Steve-Slow-Train-Analysis-(2080s-and-2083s)?_g=(refreshInterval:(display:Off,pause:!f,section:0,value:0),time:(from:'2017-09-19T16:55:35-0600',mode:absolute,to:'2017-09-19T19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4" s="86" t="str">
        <f t="shared" si="1"/>
        <v>"C:\Program Files (x86)\AstroGrep\AstroGrep.exe" /e /r /s /spath="%USERPROFILE%\AppData\Local\Temp\OnboardLogs" /stypes="*4005*201709200*" /stext=" 00:.+((SYSTEM_STATE.+slice.+state.+changed )|(ment ac)|(multiple cpu faults)|(system.+state.+changed )|(\[timeout)|(PRM\|1\|D)|(kpr)|(kdp)|(train st.+moving)|(\|lc)|(penalty))"</v>
      </c>
      <c r="U34" s="9" t="str">
        <f t="shared" si="2"/>
        <v>4005</v>
      </c>
      <c r="V34" s="31">
        <f t="shared" si="3"/>
        <v>42998.017465277779</v>
      </c>
      <c r="W34" s="45" t="str">
        <f t="shared" si="4"/>
        <v>NW</v>
      </c>
      <c r="X34" s="22">
        <f t="shared" si="5"/>
        <v>836</v>
      </c>
      <c r="Y34" s="96" t="str">
        <f t="shared" si="6"/>
        <v>echo {"issue":{"subject":"","project_id":79,"tracker_id":40,"status_id":1,"priority_id":2,"assigned_to_id":338,"start_date":"2017-09-19","description":"","custom_fields":[{"id":1,"name":"Subdivision","value":"NW"},{"id":4,"name":"Milepost","value":"0.0575"},{"id":17,"name":"Train ID","value":"836-19"},{"id":16,"name":"Locomotive ID","value":"4005"},{"id":130,"name":"Impact","value":""},{"id":150,"name":"Time of Event (Mountain Time)","value":"18:25:09"},{"id":151,"name":"Denver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/c/Users/stu/AppData/Local/Temp/OnboardLogs/RTDC4005 --include="*4005*201709200*"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"%USERPROFILE%\AppData\Local\Temp\OnboardLogs"\RTDC4005\*4005*201709200* &gt;&gt; 2017-09-19-SliceDisagreementCheck.txt</v>
      </c>
      <c r="AE34" s="145" t="str">
        <f t="shared" si="9"/>
        <v>start /low /b %USERPROFILE%\Documents\GitHub\eaglep3\Utilities\DownloadLogsFromS3.py --loco 4005 --day 2017-09-20</v>
      </c>
      <c r="AF34" s="1"/>
    </row>
    <row r="35" spans="1:32" x14ac:dyDescent="0.25">
      <c r="A35" s="31">
        <v>42997.390960648147</v>
      </c>
      <c r="B35" s="30" t="s">
        <v>620</v>
      </c>
      <c r="C35" s="30" t="s">
        <v>621</v>
      </c>
      <c r="D35" s="30" t="s">
        <v>49</v>
      </c>
      <c r="E35" s="30" t="s">
        <v>181</v>
      </c>
      <c r="F35" s="42">
        <v>0</v>
      </c>
      <c r="G35" s="42">
        <v>73</v>
      </c>
      <c r="H35" s="42">
        <v>58832</v>
      </c>
      <c r="I35" s="42">
        <v>58912</v>
      </c>
      <c r="J35" s="30" t="s">
        <v>182</v>
      </c>
      <c r="K35" s="42">
        <v>59048</v>
      </c>
      <c r="L35" s="131" t="s">
        <v>50</v>
      </c>
      <c r="M35" s="132">
        <f t="shared" si="0"/>
        <v>71.808000000000007</v>
      </c>
      <c r="N35" s="133" t="str">
        <f>VLOOKUP(C35,'Trips&amp;Operators'!$C$1:$G$99911,5,FALSE)</f>
        <v>FORTUNATO FRANK</v>
      </c>
      <c r="O35" s="176" t="s">
        <v>180</v>
      </c>
      <c r="P35" s="134"/>
      <c r="Q35" s="30"/>
      <c r="R35" s="81" t="str">
        <f>VLOOKUP(C35,'Train Runs'!$A$13:$AE$9961,31,0)</f>
        <v>aws s3 cp s3://rtdc.mdm.uploadarchive.raw/RTDC4044/ "%USERPROFILE%\AppData\Local\Temp\OnboardLogs"\RTDC4044\2017-09-19 --exclude "*" --recursive --include "*20170919*" &amp; "%USERPROFILE%\Documents\GitHub\mrs-test-scripts\Headless Mode &amp; Sideloading\WalkAndUnGZ.bat" "%USERPROFILE%\AppData\Local\Temp\OnboardLogs"\RTDC4044\2017-09-19 &amp; 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</v>
      </c>
      <c r="S35" s="84" t="str">
        <f>VLOOKUP(C35,'Train Runs'!$A$13:$AE$9961,22,0)</f>
        <v>https://d0f6bd738d7f1b3e5a7ca70fe4ff75f0.us-east-1.aws.found.io/app/kibana#/discover/Steve-Slow-Train-Analysis-(2080s-and-2083s)?_g=(refreshInterval:(display:Off,pause:!f,section:0,value:0),time:(from:'2017-09-19T07:58:55-0600',mode:absolute,to:'2017-09-19T10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5" s="86" t="str">
        <f t="shared" si="1"/>
        <v>"C:\Program Files (x86)\AstroGrep\AstroGrep.exe" /e /r /s /spath="%USERPROFILE%\AppData\Local\Temp\OnboardLogs" /stypes="*4044*201709191*" /stext=" 15:.+((SYSTEM_STATE.+slice.+state.+changed )|(ment ac)|(multiple cpu faults)|(system.+state.+changed )|(\[timeout)|(PRM\|1\|D)|(kpr)|(kdp)|(train st.+moving)|(\|lc)|(penalty))"</v>
      </c>
      <c r="U35" s="9" t="str">
        <f t="shared" si="2"/>
        <v>4044</v>
      </c>
      <c r="V35" s="31">
        <f t="shared" si="3"/>
        <v>42997.640960648147</v>
      </c>
      <c r="W35" s="45" t="str">
        <f t="shared" si="4"/>
        <v>NW</v>
      </c>
      <c r="X35" s="22">
        <f t="shared" si="5"/>
        <v>813</v>
      </c>
      <c r="Y35" s="96" t="str">
        <f t="shared" si="6"/>
        <v>echo {"issue":{"subject":"","project_id":79,"tracker_id":40,"status_id":1,"priority_id":2,"assigned_to_id":338,"start_date":"2017-09-19","description":"","custom_fields":[{"id":1,"name":"Subdivision","value":"NW"},{"id":4,"name":"Milepost","value":"5.9048"},{"id":17,"name":"Train ID","value":"813-19"},{"id":16,"name":"Locomotive ID","value":"4044"},{"id":130,"name":"Impact","value":""},{"id":150,"name":"Time of Event (Mountain Time)","value":"09:22:59"},{"id":151,"name":"Denver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/c/Users/stu/AppData/Local/Temp/OnboardLogs/RTDC4044 --include="*4044*201709191*"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"%USERPROFILE%\AppData\Local\Temp\OnboardLogs"\RTDC4044\*4044*201709191* &gt;&gt; 2017-09-19-SliceDisagreementCheck.txt</v>
      </c>
      <c r="AE35" s="145" t="str">
        <f t="shared" si="9"/>
        <v>start /low /b %USERPROFILE%\Documents\GitHub\eaglep3\Utilities\DownloadLogsFromS3.py --loco 4044 --day 2017-09-19</v>
      </c>
      <c r="AF35" s="1"/>
    </row>
    <row r="36" spans="1:32" x14ac:dyDescent="0.25">
      <c r="A36" s="31">
        <v>42997.474930555552</v>
      </c>
      <c r="B36" s="30" t="s">
        <v>620</v>
      </c>
      <c r="C36" s="30" t="s">
        <v>627</v>
      </c>
      <c r="D36" s="30" t="s">
        <v>49</v>
      </c>
      <c r="E36" s="30" t="s">
        <v>181</v>
      </c>
      <c r="F36" s="42">
        <v>0</v>
      </c>
      <c r="G36" s="42">
        <v>28</v>
      </c>
      <c r="H36" s="42">
        <v>58973</v>
      </c>
      <c r="I36" s="42">
        <v>58995</v>
      </c>
      <c r="J36" s="30" t="s">
        <v>182</v>
      </c>
      <c r="K36" s="42">
        <v>59048</v>
      </c>
      <c r="L36" s="131" t="s">
        <v>50</v>
      </c>
      <c r="M36" s="132">
        <f t="shared" si="0"/>
        <v>27.984000000000002</v>
      </c>
      <c r="N36" s="133" t="str">
        <f>VLOOKUP(C36,'Trips&amp;Operators'!$C$1:$G$99911,5,FALSE)</f>
        <v>FORTUNATO FRANK</v>
      </c>
      <c r="O36" s="176" t="s">
        <v>180</v>
      </c>
      <c r="P36" s="134"/>
      <c r="Q36" s="30"/>
      <c r="R36" s="81" t="str">
        <f>VLOOKUP(C36,'Train Runs'!$A$13:$AE$9961,31,0)</f>
        <v>aws s3 cp s3://rtdc.mdm.uploadarchive.raw/RTDC4044/ "%USERPROFILE%\AppData\Local\Temp\OnboardLogs"\RTDC4044\2017-09-19 --exclude "*" --recursive --include "*20170919*" &amp; "%USERPROFILE%\Documents\GitHub\mrs-test-scripts\Headless Mode &amp; Sideloading\WalkAndUnGZ.bat" "%USERPROFILE%\AppData\Local\Temp\OnboardLogs"\RTDC4044\2017-09-19 &amp; 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</v>
      </c>
      <c r="S36" s="84" t="str">
        <f>VLOOKUP(C36,'Train Runs'!$A$13:$AE$9961,22,0)</f>
        <v>https://d0f6bd738d7f1b3e5a7ca70fe4ff75f0.us-east-1.aws.found.io/app/kibana#/discover/Steve-Slow-Train-Analysis-(2080s-and-2083s)?_g=(refreshInterval:(display:Off,pause:!f,section:0,value:0),time:(from:'2017-09-19T09:57:52-0600',mode:absolute,to:'2017-09-19T12:23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6" s="86" t="str">
        <f t="shared" si="1"/>
        <v>"C:\Program Files (x86)\AstroGrep\AstroGrep.exe" /e /r /s /spath="%USERPROFILE%\AppData\Local\Temp\OnboardLogs" /stypes="*4044*201709191*" /stext=" 17:.+((SYSTEM_STATE.+slice.+state.+changed )|(ment ac)|(multiple cpu faults)|(system.+state.+changed )|(\[timeout)|(PRM\|1\|D)|(kpr)|(kdp)|(train st.+moving)|(\|lc)|(penalty))"</v>
      </c>
      <c r="U36" s="9" t="str">
        <f t="shared" si="2"/>
        <v>4044</v>
      </c>
      <c r="V36" s="31">
        <f t="shared" si="3"/>
        <v>42997.724930555552</v>
      </c>
      <c r="W36" s="45" t="str">
        <f t="shared" si="4"/>
        <v>NW</v>
      </c>
      <c r="X36" s="22">
        <f t="shared" si="5"/>
        <v>817</v>
      </c>
      <c r="Y36" s="96" t="str">
        <f t="shared" si="6"/>
        <v>echo {"issue":{"subject":"","project_id":79,"tracker_id":40,"status_id":1,"priority_id":2,"assigned_to_id":338,"start_date":"2017-09-19","description":"","custom_fields":[{"id":1,"name":"Subdivision","value":"NW"},{"id":4,"name":"Milepost","value":"5.9048"},{"id":17,"name":"Train ID","value":"817-19"},{"id":16,"name":"Locomotive ID","value":"4044"},{"id":130,"name":"Impact","value":""},{"id":150,"name":"Time of Event (Mountain Time)","value":"11:23:54"},{"id":151,"name":"Denver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/c/Users/stu/AppData/Local/Temp/OnboardLogs/RTDC4044 --include="*4044*201709191*"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"%USERPROFILE%\AppData\Local\Temp\OnboardLogs"\RTDC4044\*4044*201709191* &gt;&gt; 2017-09-19-SliceDisagreementCheck.txt</v>
      </c>
      <c r="AE36" s="145" t="str">
        <f t="shared" si="9"/>
        <v>start /low /b %USERPROFILE%\Documents\GitHub\eaglep3\Utilities\DownloadLogsFromS3.py --loco 4044 --day 2017-09-19</v>
      </c>
      <c r="AF36" s="1"/>
    </row>
    <row r="37" spans="1:32" x14ac:dyDescent="0.25">
      <c r="A37" s="31">
        <v>42997.662210648145</v>
      </c>
      <c r="B37" s="30" t="s">
        <v>539</v>
      </c>
      <c r="C37" s="30" t="s">
        <v>639</v>
      </c>
      <c r="D37" s="30" t="s">
        <v>49</v>
      </c>
      <c r="E37" s="30" t="s">
        <v>181</v>
      </c>
      <c r="F37" s="42">
        <v>0</v>
      </c>
      <c r="G37" s="42">
        <v>50</v>
      </c>
      <c r="H37" s="42">
        <v>58935</v>
      </c>
      <c r="I37" s="42">
        <v>58973</v>
      </c>
      <c r="J37" s="30" t="s">
        <v>182</v>
      </c>
      <c r="K37" s="42">
        <v>59048</v>
      </c>
      <c r="L37" s="131" t="s">
        <v>50</v>
      </c>
      <c r="M37" s="132">
        <f t="shared" si="0"/>
        <v>39.6</v>
      </c>
      <c r="N37" s="133" t="str">
        <f>VLOOKUP(C37,'Trips&amp;Operators'!$C$1:$G$99911,5,FALSE)</f>
        <v>STAMBAUGH JAMES</v>
      </c>
      <c r="O37" s="176" t="s">
        <v>180</v>
      </c>
      <c r="P37" s="134"/>
      <c r="Q37" s="30"/>
      <c r="R37" s="81" t="str">
        <f>VLOOKUP(C37,'Train Runs'!$A$13:$AE$9961,31,0)</f>
        <v>aws s3 cp s3://rtdc.mdm.uploadarchive.raw/RTDC4006/ "%USERPROFILE%\AppData\Local\Temp\OnboardLogs"\RTDC4006\2017-09-19 --exclude "*" --recursive --include "*20170919*" &amp; "%USERPROFILE%\Documents\GitHub\mrs-test-scripts\Headless Mode &amp; Sideloading\WalkAndUnGZ.bat" "%USERPROFILE%\AppData\Local\Temp\OnboardLogs"\RTDC4006\2017-09-19 &amp; aws s3 cp s3://rtdc.mdm.uploadarchive.raw/RTDC4006/ "%USERPROFILE%\AppData\Local\Temp\OnboardLogs"\RTDC4006\2017-09-20 --exclude "*" --recursive --include "*20170920*" &amp; "%USERPROFILE%\Documents\GitHub\mrs-test-scripts\Headless Mode &amp; Sideloading\WalkAndUnGZ.bat" "%USERPROFILE%\AppData\Local\Temp\OnboardLogs"\RTDC4006\2017-09-20</v>
      </c>
      <c r="S37" s="84" t="str">
        <f>VLOOKUP(C37,'Train Runs'!$A$13:$AE$9961,22,0)</f>
        <v>https://d0f6bd738d7f1b3e5a7ca70fe4ff75f0.us-east-1.aws.found.io/app/kibana#/discover/Steve-Slow-Train-Analysis-(2080s-and-2083s)?_g=(refreshInterval:(display:Off,pause:!f,section:0,value:0),time:(from:'2017-09-19T14:32:15-0600',mode:absolute,to:'2017-09-19T16:53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7" s="86" t="str">
        <f t="shared" si="1"/>
        <v>"C:\Program Files (x86)\AstroGrep\AstroGrep.exe" /e /r /s /spath="%USERPROFILE%\AppData\Local\Temp\OnboardLogs" /stypes="*4006*201709192*" /stext=" 21:.+((SYSTEM_STATE.+slice.+state.+changed )|(ment ac)|(multiple cpu faults)|(system.+state.+changed )|(\[timeout)|(PRM\|1\|D)|(kpr)|(kdp)|(train st.+moving)|(\|lc)|(penalty))"</v>
      </c>
      <c r="U37" s="9" t="str">
        <f t="shared" si="2"/>
        <v>4006</v>
      </c>
      <c r="V37" s="31">
        <f t="shared" si="3"/>
        <v>42997.912210648145</v>
      </c>
      <c r="W37" s="45" t="str">
        <f t="shared" si="4"/>
        <v>NW</v>
      </c>
      <c r="X37" s="22">
        <f t="shared" si="5"/>
        <v>827</v>
      </c>
      <c r="Y37" s="96" t="str">
        <f t="shared" si="6"/>
        <v>echo {"issue":{"subject":"","project_id":79,"tracker_id":40,"status_id":1,"priority_id":2,"assigned_to_id":338,"start_date":"2017-09-19","description":"","custom_fields":[{"id":1,"name":"Subdivision","value":"NW"},{"id":4,"name":"Milepost","value":"5.9048"},{"id":17,"name":"Train ID","value":"827-19"},{"id":16,"name":"Locomotive ID","value":"4006"},{"id":130,"name":"Impact","value":""},{"id":150,"name":"Time of Event (Mountain Time)","value":"15:53:35"},{"id":151,"name":"Denver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/c/Users/stu/AppData/Local/Temp/OnboardLogs/RTDC4006 --include="*4006*201709192*"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"%USERPROFILE%\AppData\Local\Temp\OnboardLogs"\RTDC4006\*4006*201709192* &gt;&gt; 2017-09-19-SliceDisagreementCheck.txt</v>
      </c>
      <c r="AE37" s="145" t="str">
        <f t="shared" si="9"/>
        <v>start /low /b %USERPROFILE%\Documents\GitHub\eaglep3\Utilities\DownloadLogsFromS3.py --loco 4006 --day 2017-09-19</v>
      </c>
      <c r="AF37" s="1"/>
    </row>
    <row r="38" spans="1:32" x14ac:dyDescent="0.25">
      <c r="A38" s="31">
        <v>42997.703773148147</v>
      </c>
      <c r="B38" s="30" t="s">
        <v>539</v>
      </c>
      <c r="C38" s="30" t="s">
        <v>641</v>
      </c>
      <c r="D38" s="30" t="s">
        <v>49</v>
      </c>
      <c r="E38" s="30" t="s">
        <v>181</v>
      </c>
      <c r="F38" s="42">
        <v>0</v>
      </c>
      <c r="G38" s="42">
        <v>79</v>
      </c>
      <c r="H38" s="42">
        <v>58773</v>
      </c>
      <c r="I38" s="42">
        <v>58848</v>
      </c>
      <c r="J38" s="30" t="s">
        <v>182</v>
      </c>
      <c r="K38" s="42">
        <v>59048</v>
      </c>
      <c r="L38" s="131" t="s">
        <v>50</v>
      </c>
      <c r="M38" s="132">
        <f t="shared" si="0"/>
        <v>105.6</v>
      </c>
      <c r="N38" s="133" t="str">
        <f>VLOOKUP(C38,'Trips&amp;Operators'!$C$1:$G$99911,5,FALSE)</f>
        <v>STAMBAUGH JAMES</v>
      </c>
      <c r="O38" s="176" t="s">
        <v>180</v>
      </c>
      <c r="P38" s="134"/>
      <c r="Q38" s="30"/>
      <c r="R38" s="81" t="str">
        <f>VLOOKUP(C38,'Train Runs'!$A$13:$AE$9961,31,0)</f>
        <v>aws s3 cp s3://rtdc.mdm.uploadarchive.raw/RTDC4006/ "%USERPROFILE%\AppData\Local\Temp\OnboardLogs"\RTDC4006\2017-09-19 --exclude "*" --recursive --include "*20170919*" &amp; "%USERPROFILE%\Documents\GitHub\mrs-test-scripts\Headless Mode &amp; Sideloading\WalkAndUnGZ.bat" "%USERPROFILE%\AppData\Local\Temp\OnboardLogs"\RTDC4006\2017-09-19 &amp; aws s3 cp s3://rtdc.mdm.uploadarchive.raw/RTDC4006/ "%USERPROFILE%\AppData\Local\Temp\OnboardLogs"\RTDC4006\2017-09-20 --exclude "*" --recursive --include "*20170920*" &amp; "%USERPROFILE%\Documents\GitHub\mrs-test-scripts\Headless Mode &amp; Sideloading\WalkAndUnGZ.bat" "%USERPROFILE%\AppData\Local\Temp\OnboardLogs"\RTDC4006\2017-09-20</v>
      </c>
      <c r="S38" s="84" t="str">
        <f>VLOOKUP(C38,'Train Runs'!$A$13:$AE$9961,22,0)</f>
        <v>https://d0f6bd738d7f1b3e5a7ca70fe4ff75f0.us-east-1.aws.found.io/app/kibana#/discover/Steve-Slow-Train-Analysis-(2080s-and-2083s)?_g=(refreshInterval:(display:Off,pause:!f,section:0,value:0),time:(from:'2017-09-19T15:36:46-0600',mode:absolute,to:'2017-09-19T17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8" s="86" t="str">
        <f t="shared" si="1"/>
        <v>"C:\Program Files (x86)\AstroGrep\AstroGrep.exe" /e /r /s /spath="%USERPROFILE%\AppData\Local\Temp\OnboardLogs" /stypes="*4006*201709192*" /stext=" 22:.+((SYSTEM_STATE.+slice.+state.+changed )|(ment ac)|(multiple cpu faults)|(system.+state.+changed )|(\[timeout)|(PRM\|1\|D)|(kpr)|(kdp)|(train st.+moving)|(\|lc)|(penalty))"</v>
      </c>
      <c r="U38" s="9" t="str">
        <f t="shared" si="2"/>
        <v>4006</v>
      </c>
      <c r="V38" s="31">
        <f t="shared" si="3"/>
        <v>42997.953773148147</v>
      </c>
      <c r="W38" s="45" t="str">
        <f t="shared" si="4"/>
        <v>NW</v>
      </c>
      <c r="X38" s="22">
        <f t="shared" si="5"/>
        <v>831</v>
      </c>
      <c r="Y38" s="96" t="str">
        <f t="shared" si="6"/>
        <v>echo {"issue":{"subject":"","project_id":79,"tracker_id":40,"status_id":1,"priority_id":2,"assigned_to_id":338,"start_date":"2017-09-19","description":"","custom_fields":[{"id":1,"name":"Subdivision","value":"NW"},{"id":4,"name":"Milepost","value":"5.9048"},{"id":17,"name":"Train ID","value":"831-19"},{"id":16,"name":"Locomotive ID","value":"4006"},{"id":130,"name":"Impact","value":""},{"id":150,"name":"Time of Event (Mountain Time)","value":"16:53:26"},{"id":151,"name":"Denver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/c/Users/stu/AppData/Local/Temp/OnboardLogs/RTDC4006 --include="*4006*201709192*"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"%USERPROFILE%\AppData\Local\Temp\OnboardLogs"\RTDC4006\*4006*201709192* &gt;&gt; 2017-09-19-SliceDisagreementCheck.txt</v>
      </c>
      <c r="AE38" s="145" t="str">
        <f t="shared" si="9"/>
        <v>start /low /b %USERPROFILE%\Documents\GitHub\eaglep3\Utilities\DownloadLogsFromS3.py --loco 4006 --day 2017-09-19</v>
      </c>
      <c r="AF38" s="1"/>
    </row>
    <row r="39" spans="1:32" x14ac:dyDescent="0.25">
      <c r="A39" s="31">
        <v>42997.22483796296</v>
      </c>
      <c r="B39" s="30" t="s">
        <v>611</v>
      </c>
      <c r="C39" s="30" t="s">
        <v>612</v>
      </c>
      <c r="D39" s="30" t="s">
        <v>49</v>
      </c>
      <c r="E39" s="30" t="s">
        <v>361</v>
      </c>
      <c r="F39" s="42">
        <v>0</v>
      </c>
      <c r="G39" s="42">
        <v>412</v>
      </c>
      <c r="H39" s="42">
        <v>17413</v>
      </c>
      <c r="I39" s="42">
        <v>15969</v>
      </c>
      <c r="J39" s="30" t="s">
        <v>362</v>
      </c>
      <c r="K39" s="42">
        <v>16590</v>
      </c>
      <c r="L39" s="131" t="s">
        <v>51</v>
      </c>
      <c r="M39" s="132">
        <f t="shared" si="0"/>
        <v>-327.88799999999998</v>
      </c>
      <c r="N39" s="133" t="str">
        <f>VLOOKUP(C39,'Trips&amp;Operators'!$C$1:$G$99911,5,FALSE)</f>
        <v>BIRENBAUM THOMAS</v>
      </c>
      <c r="O39" s="176" t="s">
        <v>180</v>
      </c>
      <c r="P39" s="134"/>
      <c r="Q39" s="30"/>
      <c r="R39" s="81" t="str">
        <f>VLOOKUP(C39,'Train Runs'!$A$13:$AE$9961,31,0)</f>
        <v>aws s3 cp s3://rtdc.mdm.uploadarchive.raw/RTDC4013/ "%USERPROFILE%\AppData\Local\Temp\OnboardLogs"\RTDC4013\2017-09-19 --exclude "*" --recursive --include "*20170919*" &amp; "%USERPROFILE%\Documents\GitHub\mrs-test-scripts\Headless Mode &amp; Sideloading\WalkAndUnGZ.bat" "%USERPROFILE%\AppData\Local\Temp\OnboardLogs"\RTDC4013\2017-09-19 &amp; aws s3 cp s3://rtdc.mdm.uploadarchive.raw/RTDC4013/ "%USERPROFILE%\AppData\Local\Temp\OnboardLogs"\RTDC4013\2017-09-20 --exclude "*" --recursive --include "*20170920*" &amp; "%USERPROFILE%\Documents\GitHub\mrs-test-scripts\Headless Mode &amp; Sideloading\WalkAndUnGZ.bat" "%USERPROFILE%\AppData\Local\Temp\OnboardLogs"\RTDC4013\2017-09-20</v>
      </c>
      <c r="S39" s="84" t="str">
        <f>VLOOKUP(C39,'Train Runs'!$A$13:$AE$9961,22,0)</f>
        <v>https://d0f6bd738d7f1b3e5a7ca70fe4ff75f0.us-east-1.aws.found.io/app/kibana#/discover/Steve-Slow-Train-Analysis-(2080s-and-2083s)?_g=(refreshInterval:(display:Off,pause:!f,section:0,value:0),time:(from:'2017-09-19T04:15:15-0600',mode:absolute,to:'2017-09-19T06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9" s="86" t="str">
        <f t="shared" si="1"/>
        <v>"C:\Program Files (x86)\AstroGrep\AstroGrep.exe" /e /r /s /spath="%USERPROFILE%\AppData\Local\Temp\OnboardLogs" /stypes="*4013*201709191*" /stext=" 11:.+((SYSTEM_STATE.+slice.+state.+changed )|(ment ac)|(multiple cpu faults)|(system.+state.+changed )|(\[timeout)|(PRM\|1\|D)|(kpr)|(kdp)|(train st.+moving)|(\|lc)|(penalty))"</v>
      </c>
      <c r="U39" s="9" t="str">
        <f t="shared" si="2"/>
        <v>4013</v>
      </c>
      <c r="V39" s="31">
        <f t="shared" si="3"/>
        <v>42997.47483796296</v>
      </c>
      <c r="W39" s="45" t="str">
        <f t="shared" si="4"/>
        <v>Other</v>
      </c>
      <c r="X39" s="22">
        <f t="shared" si="5"/>
        <v>312</v>
      </c>
      <c r="Y39" s="96" t="str">
        <f t="shared" si="6"/>
        <v>echo {"issue":{"subject":"","project_id":79,"tracker_id":40,"status_id":1,"priority_id":2,"assigned_to_id":338,"start_date":"2017-09-19","description":"","custom_fields":[{"id":1,"name":"Subdivision","value":"Other"},{"id":4,"name":"Milepost","value":"1.659"},{"id":17,"name":"Train ID","value":"312-19"},{"id":16,"name":"Locomotive ID","value":"4013"},{"id":130,"name":"Impact","value":""},{"id":150,"name":"Time of Event (Mountain Time)","value":"05:23:46"},{"id":151,"name":"Denver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/c/Users/stu/AppData/Local/Temp/OnboardLogs/RTDC4013 --include="*4013*201709191*"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"%USERPROFILE%\AppData\Local\Temp\OnboardLogs"\RTDC4013\*4013*201709191* &gt;&gt; 2017-09-19-SliceDisagreementCheck.txt</v>
      </c>
      <c r="AE39" s="145" t="str">
        <f t="shared" si="9"/>
        <v>start /low /b %USERPROFILE%\Documents\GitHub\eaglep3\Utilities\DownloadLogsFromS3.py --loco 4013 --day 2017-09-19</v>
      </c>
      <c r="AF39" s="1"/>
    </row>
    <row r="40" spans="1:32" x14ac:dyDescent="0.25">
      <c r="A40" s="31">
        <v>42997.967199074075</v>
      </c>
      <c r="B40" s="30" t="s">
        <v>634</v>
      </c>
      <c r="C40" s="30" t="s">
        <v>645</v>
      </c>
      <c r="D40" s="30" t="s">
        <v>96</v>
      </c>
      <c r="E40" s="30" t="s">
        <v>181</v>
      </c>
      <c r="F40" s="42">
        <v>0</v>
      </c>
      <c r="G40" s="42">
        <v>7</v>
      </c>
      <c r="H40" s="42">
        <v>1</v>
      </c>
      <c r="I40" s="42">
        <v>0</v>
      </c>
      <c r="J40" s="30" t="s">
        <v>182</v>
      </c>
      <c r="K40" s="42">
        <v>1</v>
      </c>
      <c r="L40" s="131" t="s">
        <v>51</v>
      </c>
      <c r="M40" s="132">
        <f t="shared" si="0"/>
        <v>-0.52800000000000002</v>
      </c>
      <c r="N40" s="133" t="str">
        <f>VLOOKUP(C40,'Trips&amp;Operators'!$C$1:$G$99911,5,FALSE)</f>
        <v>RESPASS AARON</v>
      </c>
      <c r="O40" s="176" t="s">
        <v>180</v>
      </c>
      <c r="P40" s="134"/>
      <c r="Q40" s="30"/>
      <c r="R40" s="81" t="str">
        <f>VLOOKUP(C40,'Train Runs'!$A$13:$AE$9961,31,0)</f>
        <v>aws s3 cp s3://rtdc.mdm.uploadarchive.raw/RTDC4049/ "%USERPROFILE%\AppData\Local\Temp\OnboardLogs"\RTDC4049\2017-09-19 --exclude "*" --recursive --include "*20170919*" &amp; "%USERPROFILE%\Documents\GitHub\mrs-test-scripts\Headless Mode &amp; Sideloading\WalkAndUnGZ.bat" "%USERPROFILE%\AppData\Local\Temp\OnboardLogs"\RTDC4049\2017-09-19 &amp; aws s3 cp s3://rtdc.mdm.uploadarchive.raw/RTDC4049/ "%USERPROFILE%\AppData\Local\Temp\OnboardLogs"\RTDC4049\2017-09-20 --exclude "*" --recursive --include "*20170920*" &amp; "%USERPROFILE%\Documents\GitHub\mrs-test-scripts\Headless Mode &amp; Sideloading\WalkAndUnGZ.bat" "%USERPROFILE%\AppData\Local\Temp\OnboardLogs"\RTDC4049\2017-09-20</v>
      </c>
      <c r="S40" s="84" t="str">
        <f>VLOOKUP(C40,'Train Runs'!$A$13:$AE$9961,22,0)</f>
        <v>https://d0f6bd738d7f1b3e5a7ca70fe4ff75f0.us-east-1.aws.found.io/app/kibana#/discover/Steve-Slow-Train-Analysis-(2080s-and-2083s)?_g=(refreshInterval:(display:Off,pause:!f,section:0,value:0),time:(from:'2017-09-19T22:07:24-0600',mode:absolute,to:'2017-09-20T00:12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40" s="86" t="str">
        <f t="shared" si="1"/>
        <v>"C:\Program Files (x86)\AstroGrep\AstroGrep.exe" /e /r /s /spath="%USERPROFILE%\AppData\Local\Temp\OnboardLogs" /stypes="*4049*201709200*" /stext=" 05:.+((SYSTEM_STATE.+slice.+state.+changed )|(ment ac)|(multiple cpu faults)|(system.+state.+changed )|(\[timeout)|(PRM\|1\|D)|(kpr)|(kdp)|(train st.+moving)|(\|lc)|(penalty))"</v>
      </c>
      <c r="U40" s="9" t="str">
        <f t="shared" si="2"/>
        <v>4049</v>
      </c>
      <c r="V40" s="31">
        <f t="shared" si="3"/>
        <v>42998.217199074075</v>
      </c>
      <c r="W40" s="45" t="str">
        <f t="shared" si="4"/>
        <v>Shuttle/Test</v>
      </c>
      <c r="X40" s="22">
        <f t="shared" si="5"/>
        <v>88</v>
      </c>
      <c r="Y40" s="96" t="str">
        <f t="shared" si="6"/>
        <v>echo {"issue":{"subject":"","project_id":79,"tracker_id":40,"status_id":1,"priority_id":2,"assigned_to_id":338,"start_date":"2017-09-19","description":"","custom_fields":[{"id":1,"name":"Subdivision","value":"Shuttle/Test"},{"id":4,"name":"Milepost","value":"0.0001"},{"id":17,"name":"Train ID","value":"88-19"},{"id":16,"name":"Locomotive ID","value":"4049"},{"id":130,"name":"Impact","value":""},{"id":150,"name":"Time of Event (Mountain Time)","value":"23:12:46"},{"id":151,"name":"Denver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/c/Users/stu/AppData/Local/Temp/OnboardLogs/RTDC4049 --include="*4049*201709200*"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"%USERPROFILE%\AppData\Local\Temp\OnboardLogs"\RTDC4049\*4049*201709200* &gt;&gt; 2017-09-19-SliceDisagreementCheck.txt</v>
      </c>
      <c r="AE40" s="145" t="str">
        <f t="shared" si="9"/>
        <v>start /low /b %USERPROFILE%\Documents\GitHub\eaglep3\Utilities\DownloadLogsFromS3.py --loco 4049 --day 2017-09-20</v>
      </c>
      <c r="AF40" s="1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</sheetData>
  <autoFilter ref="A6:AC45">
    <sortState ref="A7:AC45">
      <sortCondition ref="W7:W40"/>
      <sortCondition ref="E7:E40"/>
      <sortCondition ref="K7:K40"/>
      <sortCondition ref="F7:F40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55:O1048576 O7:O4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0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AA7:AA40</xm:sqref>
        </x14:dataValidation>
        <x14:dataValidation type="list" allowBlank="1" showInputMessage="1" showErrorMessage="1">
          <x14:formula1>
            <xm:f>'Redmine List Values'!$C$2:$C$15</xm:f>
          </x14:formula1>
          <xm:sqref>AB7:AB40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6" t="str">
        <f>"Trips that did not appear in PTC Data "&amp;TEXT(Variables!$A$2,"YYYY-mm-dd")</f>
        <v>Trips that did not appear in PTC Data 2017-09-19</v>
      </c>
      <c r="C1" s="226"/>
      <c r="D1" s="226"/>
      <c r="E1" s="226"/>
      <c r="F1" s="226"/>
      <c r="I1" s="189"/>
    </row>
    <row r="2" spans="1:10" s="23" customFormat="1" ht="45" x14ac:dyDescent="0.25">
      <c r="A2" s="224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102</v>
      </c>
      <c r="J2" s="28" t="s">
        <v>60</v>
      </c>
    </row>
    <row r="3" spans="1:10" x14ac:dyDescent="0.25">
      <c r="A3" s="198">
        <v>827</v>
      </c>
      <c r="B3" s="42" t="str">
        <f>A3&amp;"-"&amp;IF(DAY(Variables!$A$2)&lt;10,0,"")&amp;DAY(Variables!$A$2)</f>
        <v>827-19</v>
      </c>
      <c r="C3" s="135"/>
      <c r="D3" s="153" t="str">
        <f>VLOOKUP(B3,'Trips&amp;Operators'!$C$1:$H$1072,6,FALSE)</f>
        <v>4006</v>
      </c>
      <c r="E3" s="30"/>
      <c r="F3" s="21" t="str">
        <f>VLOOKUP(B3,'Trips&amp;Operators'!$C$2:$E$9912,3,FALSE)</f>
        <v>STAMBAUGH</v>
      </c>
      <c r="G3" s="21" t="str">
        <f>VLOOKUP(B3,'Trips&amp;Operators'!$C$1:$F$9912,4,FALSE)</f>
        <v>JAMES</v>
      </c>
      <c r="H3" s="29" t="str">
        <f>VLOOKUP(B3,'Trips&amp;Operators'!$C$1:$H$9912,5,FALSE)</f>
        <v>STAMBAUGH JAMES</v>
      </c>
      <c r="I3" s="191" t="str">
        <f t="shared" ref="I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22827-19%22)),sort:!(Time.ISO8601,asc))</v>
      </c>
      <c r="J3" s="30" t="str">
        <f>VLOOKUP(B3,'Train Runs'!$A$13:$A$99958,1,FALSE)</f>
        <v>827-19</v>
      </c>
    </row>
    <row r="4" spans="1:10" x14ac:dyDescent="0.25">
      <c r="A4" s="198"/>
      <c r="B4" s="42" t="str">
        <f>A4&amp;"-"&amp;IF(DAY(Variables!$A$2)&lt;10,0,"")&amp;DAY(Variables!$A$2)</f>
        <v>-19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ref="I4:I18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" s="30" t="e">
        <f>VLOOKUP(B4,'Train Runs'!$A$13:$A$99958,1,FALSE)</f>
        <v>#N/A</v>
      </c>
    </row>
    <row r="5" spans="1:10" x14ac:dyDescent="0.25">
      <c r="A5" s="198"/>
      <c r="B5" s="42" t="str">
        <f>A5&amp;"-"&amp;IF(DAY(Variables!$A$2)&lt;10,0,"")&amp;DAY(Variables!$A$2)</f>
        <v>-19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" s="30" t="e">
        <f>VLOOKUP(B5,'Train Runs'!$A$13:$A$99958,1,FALSE)</f>
        <v>#N/A</v>
      </c>
    </row>
    <row r="6" spans="1:10" x14ac:dyDescent="0.25">
      <c r="A6" s="198"/>
      <c r="B6" s="42" t="str">
        <f>A6&amp;"-"&amp;IF(DAY(Variables!$A$2)&lt;10,0,"")&amp;DAY(Variables!$A$2)</f>
        <v>-19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" s="30" t="e">
        <f>VLOOKUP(B6,'Train Runs'!$A$13:$A$99958,1,FALSE)</f>
        <v>#N/A</v>
      </c>
    </row>
    <row r="7" spans="1:10" x14ac:dyDescent="0.25">
      <c r="A7" s="198"/>
      <c r="B7" s="42" t="str">
        <f>A7&amp;"-"&amp;IF(DAY(Variables!$A$2)&lt;10,0,"")&amp;DAY(Variables!$A$2)</f>
        <v>-19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" s="30" t="e">
        <f>VLOOKUP(B7,'Train Runs'!$A$13:$A$99958,1,FALSE)</f>
        <v>#N/A</v>
      </c>
    </row>
    <row r="8" spans="1:10" x14ac:dyDescent="0.25">
      <c r="A8" s="198"/>
      <c r="B8" s="42" t="str">
        <f>A8&amp;"-"&amp;IF(DAY(Variables!$A$2)&lt;10,0,"")&amp;DAY(Variables!$A$2)</f>
        <v>-19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" s="30" t="e">
        <f>VLOOKUP(B8,'Train Runs'!$A$13:$A$99958,1,FALSE)</f>
        <v>#N/A</v>
      </c>
    </row>
    <row r="9" spans="1:10" x14ac:dyDescent="0.25">
      <c r="A9" s="198"/>
      <c r="B9" s="42" t="str">
        <f>A9&amp;"-"&amp;IF(DAY(Variables!$A$2)&lt;10,0,"")&amp;DAY(Variables!$A$2)</f>
        <v>-19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9" s="30" t="e">
        <f>VLOOKUP(B9,'Train Runs'!$A$13:$A$99958,1,FALSE)</f>
        <v>#N/A</v>
      </c>
    </row>
    <row r="10" spans="1:10" x14ac:dyDescent="0.25">
      <c r="A10" s="198"/>
      <c r="B10" s="42" t="str">
        <f>A10&amp;"-"&amp;IF(DAY(Variables!$A$2)&lt;10,0,"")&amp;DAY(Variables!$A$2)</f>
        <v>-19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0" s="30" t="e">
        <f>VLOOKUP(B10,'Train Runs'!$A$13:$A$99958,1,FALSE)</f>
        <v>#N/A</v>
      </c>
    </row>
    <row r="11" spans="1:10" x14ac:dyDescent="0.25">
      <c r="A11" s="198"/>
      <c r="B11" s="42" t="str">
        <f>A11&amp;"-"&amp;IF(DAY(Variables!$A$2)&lt;10,0,"")&amp;DAY(Variables!$A$2)</f>
        <v>-19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1" s="30" t="e">
        <f>VLOOKUP(B11,'Train Runs'!$A$13:$A$99958,1,FALSE)</f>
        <v>#N/A</v>
      </c>
    </row>
    <row r="12" spans="1:10" x14ac:dyDescent="0.25">
      <c r="A12" s="198"/>
      <c r="B12" s="42" t="str">
        <f>A12&amp;"-"&amp;IF(DAY(Variables!$A$2)&lt;10,0,"")&amp;DAY(Variables!$A$2)</f>
        <v>-19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2" s="30" t="e">
        <f>VLOOKUP(B12,'Train Runs'!$A$13:$A$99958,1,FALSE)</f>
        <v>#N/A</v>
      </c>
    </row>
    <row r="13" spans="1:10" x14ac:dyDescent="0.25">
      <c r="A13" s="198"/>
      <c r="B13" s="42" t="str">
        <f>A13&amp;"-"&amp;IF(DAY(Variables!$A$2)&lt;10,0,"")&amp;DAY(Variables!$A$2)</f>
        <v>-19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3" s="30" t="e">
        <f>VLOOKUP(B13,'Train Runs'!$A$13:$A$99958,1,FALSE)</f>
        <v>#N/A</v>
      </c>
    </row>
    <row r="14" spans="1:10" x14ac:dyDescent="0.25">
      <c r="A14" s="198"/>
      <c r="B14" s="42" t="str">
        <f>A14&amp;"-"&amp;IF(DAY(Variables!$A$2)&lt;10,0,"")&amp;DAY(Variables!$A$2)</f>
        <v>-19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4" s="30" t="e">
        <f>VLOOKUP(B14,'Train Runs'!$A$13:$A$99958,1,FALSE)</f>
        <v>#N/A</v>
      </c>
    </row>
    <row r="15" spans="1:10" x14ac:dyDescent="0.25">
      <c r="A15" s="198"/>
      <c r="B15" s="42" t="str">
        <f>A15&amp;"-"&amp;IF(DAY(Variables!$A$2)&lt;10,0,"")&amp;DAY(Variables!$A$2)</f>
        <v>-19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5" s="30" t="e">
        <f>VLOOKUP(B15,'Train Runs'!$A$13:$A$99958,1,FALSE)</f>
        <v>#N/A</v>
      </c>
    </row>
    <row r="16" spans="1:10" x14ac:dyDescent="0.25">
      <c r="A16" s="198"/>
      <c r="B16" s="42" t="str">
        <f>A16&amp;"-"&amp;IF(DAY(Variables!$A$2)&lt;10,0,"")&amp;DAY(Variables!$A$2)</f>
        <v>-19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6" s="30" t="e">
        <f>VLOOKUP(B16,'Train Runs'!$A$13:$A$99958,1,FALSE)</f>
        <v>#N/A</v>
      </c>
    </row>
    <row r="17" spans="1:10" x14ac:dyDescent="0.25">
      <c r="A17" s="198"/>
      <c r="B17" s="42" t="str">
        <f>A17&amp;"-"&amp;IF(DAY(Variables!$A$2)&lt;10,0,"")&amp;DAY(Variables!$A$2)</f>
        <v>-19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7" s="30" t="e">
        <f>VLOOKUP(B17,'Train Runs'!$A$13:$A$99958,1,FALSE)</f>
        <v>#N/A</v>
      </c>
    </row>
    <row r="18" spans="1:10" x14ac:dyDescent="0.25">
      <c r="A18" s="198"/>
      <c r="B18" s="42" t="str">
        <f>A18&amp;"-"&amp;IF(DAY(Variables!$A$2)&lt;10,0,"")&amp;DAY(Variables!$A$2)</f>
        <v>-19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8" s="30" t="e">
        <f>VLOOKUP(B18,'Train Runs'!$A$13:$A$99958,1,FALSE)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05">
    <sortCondition ref="A3:A105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3"/>
  <sheetViews>
    <sheetView topLeftCell="A1035" workbookViewId="0">
      <selection sqref="A1:F23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190</v>
      </c>
      <c r="G1" s="8" t="s">
        <v>189</v>
      </c>
      <c r="H1" s="20" t="s">
        <v>60</v>
      </c>
    </row>
    <row r="2" spans="1:8" x14ac:dyDescent="0.25">
      <c r="A2" s="8">
        <v>42997.045983796299</v>
      </c>
      <c r="B2" s="20" t="s">
        <v>537</v>
      </c>
      <c r="C2" s="20" t="s">
        <v>553</v>
      </c>
      <c r="D2" s="138">
        <v>890000</v>
      </c>
      <c r="E2" s="20" t="s">
        <v>372</v>
      </c>
      <c r="F2" s="20" t="s">
        <v>373</v>
      </c>
      <c r="G2" s="8" t="str">
        <f>E2&amp;" "&amp;F2</f>
        <v>LOZA FIDEL</v>
      </c>
      <c r="H2" t="str">
        <f>MID(B2,13,4)</f>
        <v>4010</v>
      </c>
    </row>
    <row r="3" spans="1:8" x14ac:dyDescent="0.25">
      <c r="A3" s="8">
        <v>42997.055763888886</v>
      </c>
      <c r="B3" s="20" t="s">
        <v>495</v>
      </c>
      <c r="C3" s="20" t="s">
        <v>554</v>
      </c>
      <c r="D3" s="138">
        <v>3040000</v>
      </c>
      <c r="E3" s="20" t="s">
        <v>463</v>
      </c>
      <c r="F3" s="20" t="s">
        <v>464</v>
      </c>
      <c r="G3" s="8" t="str">
        <f t="shared" ref="G3:G66" si="0">E3&amp;" "&amp;F3</f>
        <v>WILLIAMS DONTE</v>
      </c>
      <c r="H3" s="20" t="str">
        <f t="shared" ref="H3:H66" si="1">MID(B3,13,4)</f>
        <v>4023</v>
      </c>
    </row>
    <row r="4" spans="1:8" x14ac:dyDescent="0.25">
      <c r="A4" s="8">
        <v>42997.067789351851</v>
      </c>
      <c r="B4" s="20" t="s">
        <v>543</v>
      </c>
      <c r="C4" s="20" t="s">
        <v>555</v>
      </c>
      <c r="D4" s="138">
        <v>2680000</v>
      </c>
      <c r="E4" s="20" t="s">
        <v>386</v>
      </c>
      <c r="F4" s="20" t="s">
        <v>387</v>
      </c>
      <c r="G4" s="8" t="str">
        <f t="shared" si="0"/>
        <v>DUNCAN SHEILA</v>
      </c>
      <c r="H4" s="20" t="str">
        <f t="shared" si="1"/>
        <v>4040</v>
      </c>
    </row>
    <row r="5" spans="1:8" x14ac:dyDescent="0.25">
      <c r="A5" s="8">
        <v>42997.090185185189</v>
      </c>
      <c r="B5" s="20" t="s">
        <v>496</v>
      </c>
      <c r="C5" s="20" t="s">
        <v>556</v>
      </c>
      <c r="D5" s="138">
        <v>3040000</v>
      </c>
      <c r="E5" s="20" t="s">
        <v>463</v>
      </c>
      <c r="F5" s="20" t="s">
        <v>464</v>
      </c>
      <c r="G5" s="8" t="str">
        <f t="shared" si="0"/>
        <v>WILLIAMS DONTE</v>
      </c>
      <c r="H5" s="20" t="str">
        <f t="shared" si="1"/>
        <v>4024</v>
      </c>
    </row>
    <row r="6" spans="1:8" x14ac:dyDescent="0.25">
      <c r="A6" s="8">
        <v>42997.112673611111</v>
      </c>
      <c r="B6" s="20" t="s">
        <v>557</v>
      </c>
      <c r="C6" s="20" t="s">
        <v>558</v>
      </c>
      <c r="D6" s="138">
        <v>1830000</v>
      </c>
      <c r="E6" s="20" t="s">
        <v>444</v>
      </c>
      <c r="F6" s="20" t="s">
        <v>445</v>
      </c>
      <c r="G6" s="8" t="str">
        <f t="shared" si="0"/>
        <v>YORK EDGAR</v>
      </c>
      <c r="H6" s="20" t="str">
        <f t="shared" si="1"/>
        <v>4011</v>
      </c>
    </row>
    <row r="7" spans="1:8" x14ac:dyDescent="0.25">
      <c r="A7" s="8">
        <v>42997.122928240744</v>
      </c>
      <c r="B7" s="20" t="s">
        <v>625</v>
      </c>
      <c r="C7" s="20" t="s">
        <v>647</v>
      </c>
      <c r="D7" s="138">
        <v>1830000</v>
      </c>
      <c r="E7" s="20" t="s">
        <v>444</v>
      </c>
      <c r="F7" s="20" t="s">
        <v>445</v>
      </c>
      <c r="G7" s="8" t="str">
        <f t="shared" si="0"/>
        <v>YORK EDGAR</v>
      </c>
      <c r="H7" s="20" t="str">
        <f t="shared" si="1"/>
        <v>4050</v>
      </c>
    </row>
    <row r="8" spans="1:8" x14ac:dyDescent="0.25">
      <c r="A8" s="8">
        <v>42997.127314814818</v>
      </c>
      <c r="B8" s="20" t="s">
        <v>648</v>
      </c>
      <c r="C8" s="20" t="s">
        <v>649</v>
      </c>
      <c r="D8" s="138">
        <v>1090000</v>
      </c>
      <c r="E8" s="20" t="s">
        <v>538</v>
      </c>
      <c r="F8" s="20" t="s">
        <v>191</v>
      </c>
      <c r="G8" s="8" t="str">
        <f t="shared" si="0"/>
        <v>SPECTOR MICHAEL</v>
      </c>
      <c r="H8" s="20" t="str">
        <f t="shared" si="1"/>
        <v>4012</v>
      </c>
    </row>
    <row r="9" spans="1:8" ht="15.75" thickBot="1" x14ac:dyDescent="0.3">
      <c r="A9" s="24">
        <v>42997.137986111113</v>
      </c>
      <c r="B9" s="20" t="s">
        <v>609</v>
      </c>
      <c r="C9" s="20" t="s">
        <v>650</v>
      </c>
      <c r="D9" s="138">
        <v>1260000</v>
      </c>
      <c r="E9" s="20" t="s">
        <v>651</v>
      </c>
      <c r="F9" s="20" t="s">
        <v>652</v>
      </c>
      <c r="G9" s="8" t="str">
        <f t="shared" si="0"/>
        <v>ACKERMAN JARED</v>
      </c>
      <c r="H9" s="20" t="str">
        <f t="shared" si="1"/>
        <v>4027</v>
      </c>
    </row>
    <row r="10" spans="1:8" x14ac:dyDescent="0.25">
      <c r="A10" s="8">
        <v>42997.1403587963</v>
      </c>
      <c r="B10" s="20" t="s">
        <v>557</v>
      </c>
      <c r="C10" s="20" t="s">
        <v>653</v>
      </c>
      <c r="D10" s="138">
        <v>1090000</v>
      </c>
      <c r="E10" s="20" t="s">
        <v>538</v>
      </c>
      <c r="F10" s="20" t="s">
        <v>191</v>
      </c>
      <c r="G10" s="8" t="str">
        <f t="shared" si="0"/>
        <v>SPECTOR MICHAEL</v>
      </c>
      <c r="H10" s="20" t="str">
        <f t="shared" si="1"/>
        <v>4011</v>
      </c>
    </row>
    <row r="11" spans="1:8" x14ac:dyDescent="0.25">
      <c r="A11" s="8">
        <v>42997.14912037037</v>
      </c>
      <c r="B11" s="20" t="s">
        <v>434</v>
      </c>
      <c r="C11" s="20" t="s">
        <v>654</v>
      </c>
      <c r="D11" s="138">
        <v>1260000</v>
      </c>
      <c r="E11" s="20" t="s">
        <v>651</v>
      </c>
      <c r="F11" s="20" t="s">
        <v>652</v>
      </c>
      <c r="G11" s="8" t="str">
        <f t="shared" si="0"/>
        <v>ACKERMAN JARED</v>
      </c>
      <c r="H11" s="20" t="str">
        <f t="shared" si="1"/>
        <v>4028</v>
      </c>
    </row>
    <row r="12" spans="1:8" x14ac:dyDescent="0.25">
      <c r="A12" s="8">
        <v>42997.158206018517</v>
      </c>
      <c r="B12" s="20" t="s">
        <v>501</v>
      </c>
      <c r="C12" s="20" t="s">
        <v>655</v>
      </c>
      <c r="D12" s="138">
        <v>3120000</v>
      </c>
      <c r="E12" s="20" t="s">
        <v>499</v>
      </c>
      <c r="F12" s="20" t="s">
        <v>500</v>
      </c>
      <c r="G12" s="8" t="str">
        <f t="shared" si="0"/>
        <v>THOMPSON LESTER</v>
      </c>
      <c r="H12" s="20" t="str">
        <f t="shared" si="1"/>
        <v>4055</v>
      </c>
    </row>
    <row r="13" spans="1:8" x14ac:dyDescent="0.25">
      <c r="A13" s="8">
        <v>42997.16064814815</v>
      </c>
      <c r="B13" s="20" t="s">
        <v>634</v>
      </c>
      <c r="C13" s="20" t="s">
        <v>656</v>
      </c>
      <c r="D13" s="138">
        <v>1830000</v>
      </c>
      <c r="E13" s="20" t="s">
        <v>444</v>
      </c>
      <c r="F13" s="20" t="s">
        <v>445</v>
      </c>
      <c r="G13" s="8" t="str">
        <f t="shared" si="0"/>
        <v>YORK EDGAR</v>
      </c>
      <c r="H13" s="20" t="str">
        <f t="shared" si="1"/>
        <v>4049</v>
      </c>
    </row>
    <row r="14" spans="1:8" x14ac:dyDescent="0.25">
      <c r="A14" s="8">
        <v>42997.166875000003</v>
      </c>
      <c r="B14" s="20" t="s">
        <v>419</v>
      </c>
      <c r="C14" s="20" t="s">
        <v>657</v>
      </c>
      <c r="D14" s="138">
        <v>2530000</v>
      </c>
      <c r="E14" s="20" t="s">
        <v>502</v>
      </c>
      <c r="F14" s="20" t="s">
        <v>503</v>
      </c>
      <c r="G14" s="8" t="str">
        <f t="shared" si="0"/>
        <v>LALONDE GREGORY</v>
      </c>
      <c r="H14" s="20" t="str">
        <f t="shared" si="1"/>
        <v>4029</v>
      </c>
    </row>
    <row r="15" spans="1:8" x14ac:dyDescent="0.25">
      <c r="A15" s="8">
        <v>42997.173043981478</v>
      </c>
      <c r="B15" s="20" t="s">
        <v>497</v>
      </c>
      <c r="C15" s="20" t="s">
        <v>608</v>
      </c>
      <c r="D15" s="138">
        <v>3120000</v>
      </c>
      <c r="E15" s="20" t="s">
        <v>499</v>
      </c>
      <c r="F15" s="20" t="s">
        <v>500</v>
      </c>
      <c r="G15" s="8" t="str">
        <f t="shared" si="0"/>
        <v>THOMPSON LESTER</v>
      </c>
      <c r="H15" s="20" t="str">
        <f t="shared" si="1"/>
        <v>4056</v>
      </c>
    </row>
    <row r="16" spans="1:8" x14ac:dyDescent="0.25">
      <c r="A16" s="8">
        <v>42997.179479166669</v>
      </c>
      <c r="B16" s="20" t="s">
        <v>375</v>
      </c>
      <c r="C16" s="20" t="s">
        <v>658</v>
      </c>
      <c r="D16" s="138">
        <v>2530000</v>
      </c>
      <c r="E16" s="20" t="s">
        <v>502</v>
      </c>
      <c r="F16" s="20" t="s">
        <v>503</v>
      </c>
      <c r="G16" s="8" t="str">
        <f t="shared" si="0"/>
        <v>LALONDE GREGORY</v>
      </c>
      <c r="H16" s="20" t="str">
        <f t="shared" si="1"/>
        <v>4030</v>
      </c>
    </row>
    <row r="17" spans="1:8" x14ac:dyDescent="0.25">
      <c r="A17" s="8">
        <v>42997.182291666664</v>
      </c>
      <c r="B17" s="20" t="s">
        <v>399</v>
      </c>
      <c r="C17" s="20" t="s">
        <v>659</v>
      </c>
      <c r="D17" s="138">
        <v>3090000</v>
      </c>
      <c r="E17" s="20" t="s">
        <v>504</v>
      </c>
      <c r="F17" s="20" t="s">
        <v>505</v>
      </c>
      <c r="G17" s="8" t="str">
        <f t="shared" si="0"/>
        <v>LAMAR NEKESHA</v>
      </c>
      <c r="H17" s="20" t="str">
        <f t="shared" si="1"/>
        <v>4015</v>
      </c>
    </row>
    <row r="18" spans="1:8" x14ac:dyDescent="0.25">
      <c r="A18" s="8">
        <v>42997.188981481479</v>
      </c>
      <c r="B18" s="20" t="s">
        <v>609</v>
      </c>
      <c r="C18" s="20" t="s">
        <v>610</v>
      </c>
      <c r="D18" s="138">
        <v>1260000</v>
      </c>
      <c r="E18" s="20" t="s">
        <v>651</v>
      </c>
      <c r="F18" s="20" t="s">
        <v>652</v>
      </c>
      <c r="G18" s="8" t="str">
        <f t="shared" si="0"/>
        <v>ACKERMAN JARED</v>
      </c>
      <c r="H18" s="20" t="str">
        <f t="shared" si="1"/>
        <v>4027</v>
      </c>
    </row>
    <row r="19" spans="1:8" x14ac:dyDescent="0.25">
      <c r="A19" s="8">
        <v>42997.194050925929</v>
      </c>
      <c r="B19" s="20" t="s">
        <v>400</v>
      </c>
      <c r="C19" s="20" t="s">
        <v>660</v>
      </c>
      <c r="D19" s="138">
        <v>3090000</v>
      </c>
      <c r="E19" s="20" t="s">
        <v>504</v>
      </c>
      <c r="F19" s="20" t="s">
        <v>505</v>
      </c>
      <c r="G19" s="8" t="str">
        <f t="shared" si="0"/>
        <v>LAMAR NEKESHA</v>
      </c>
      <c r="H19" s="20" t="str">
        <f t="shared" si="1"/>
        <v>4016</v>
      </c>
    </row>
    <row r="20" spans="1:8" x14ac:dyDescent="0.25">
      <c r="A20" s="8">
        <v>42997.19734953704</v>
      </c>
      <c r="B20" s="20" t="s">
        <v>623</v>
      </c>
      <c r="C20" s="20" t="s">
        <v>661</v>
      </c>
      <c r="D20" s="138">
        <v>3510000</v>
      </c>
      <c r="E20" s="20" t="s">
        <v>541</v>
      </c>
      <c r="F20" s="20" t="s">
        <v>542</v>
      </c>
      <c r="G20" s="8" t="str">
        <f t="shared" si="0"/>
        <v>BARRON PERLA</v>
      </c>
      <c r="H20" s="20" t="str">
        <f t="shared" si="1"/>
        <v>4053</v>
      </c>
    </row>
    <row r="21" spans="1:8" x14ac:dyDescent="0.25">
      <c r="A21" s="8">
        <v>42997.201921296299</v>
      </c>
      <c r="B21" s="20" t="s">
        <v>625</v>
      </c>
      <c r="C21" s="20" t="s">
        <v>662</v>
      </c>
      <c r="D21" s="138">
        <v>1830000</v>
      </c>
      <c r="E21" s="20" t="s">
        <v>444</v>
      </c>
      <c r="F21" s="20" t="s">
        <v>445</v>
      </c>
      <c r="G21" s="8" t="str">
        <f t="shared" si="0"/>
        <v>YORK EDGAR</v>
      </c>
      <c r="H21" s="20" t="str">
        <f t="shared" si="1"/>
        <v>4050</v>
      </c>
    </row>
    <row r="22" spans="1:8" x14ac:dyDescent="0.25">
      <c r="A22" s="26">
        <v>42997.204837962963</v>
      </c>
      <c r="B22" s="20" t="s">
        <v>539</v>
      </c>
      <c r="C22" s="20" t="s">
        <v>663</v>
      </c>
      <c r="D22" s="138">
        <v>2730000</v>
      </c>
      <c r="E22" s="20" t="s">
        <v>664</v>
      </c>
      <c r="F22" s="20" t="s">
        <v>665</v>
      </c>
      <c r="G22" s="8" t="str">
        <f t="shared" si="0"/>
        <v>YANG JAN</v>
      </c>
      <c r="H22" s="20" t="str">
        <f t="shared" si="1"/>
        <v>4006</v>
      </c>
    </row>
    <row r="23" spans="1:8" x14ac:dyDescent="0.25">
      <c r="A23" s="8">
        <v>42997.211412037039</v>
      </c>
      <c r="B23" s="20" t="s">
        <v>613</v>
      </c>
      <c r="C23" s="20" t="s">
        <v>666</v>
      </c>
      <c r="D23" s="138">
        <v>3510000</v>
      </c>
      <c r="E23" s="20" t="s">
        <v>541</v>
      </c>
      <c r="F23" s="20" t="s">
        <v>542</v>
      </c>
      <c r="G23" s="8" t="str">
        <f t="shared" si="0"/>
        <v>BARRON PERLA</v>
      </c>
      <c r="H23" s="20" t="str">
        <f t="shared" si="1"/>
        <v>4054</v>
      </c>
    </row>
    <row r="24" spans="1:8" x14ac:dyDescent="0.25">
      <c r="A24" s="8">
        <v>42997.213912037034</v>
      </c>
      <c r="B24" s="20" t="s">
        <v>419</v>
      </c>
      <c r="C24" s="20" t="s">
        <v>667</v>
      </c>
      <c r="D24" s="138">
        <v>2530000</v>
      </c>
      <c r="E24" s="20" t="s">
        <v>502</v>
      </c>
      <c r="F24" s="20" t="s">
        <v>503</v>
      </c>
      <c r="G24" s="8" t="str">
        <f t="shared" si="0"/>
        <v>LALONDE GREGORY</v>
      </c>
      <c r="H24" s="20" t="str">
        <f t="shared" si="1"/>
        <v>4029</v>
      </c>
    </row>
    <row r="25" spans="1:8" x14ac:dyDescent="0.25">
      <c r="A25" s="8">
        <v>42997.215532407405</v>
      </c>
      <c r="B25" s="20" t="s">
        <v>501</v>
      </c>
      <c r="C25" s="20" t="s">
        <v>668</v>
      </c>
      <c r="D25" s="138">
        <v>3120000</v>
      </c>
      <c r="E25" s="20" t="s">
        <v>499</v>
      </c>
      <c r="F25" s="20" t="s">
        <v>500</v>
      </c>
      <c r="G25" s="8" t="str">
        <f t="shared" si="0"/>
        <v>THOMPSON LESTER</v>
      </c>
      <c r="H25" s="20" t="str">
        <f t="shared" si="1"/>
        <v>4055</v>
      </c>
    </row>
    <row r="26" spans="1:8" x14ac:dyDescent="0.25">
      <c r="A26" s="8">
        <v>42997.215891203705</v>
      </c>
      <c r="B26" s="20" t="s">
        <v>498</v>
      </c>
      <c r="C26" s="20" t="s">
        <v>669</v>
      </c>
      <c r="D26" s="138">
        <v>2730000</v>
      </c>
      <c r="E26" s="20" t="s">
        <v>664</v>
      </c>
      <c r="F26" s="20" t="s">
        <v>665</v>
      </c>
      <c r="G26" s="8" t="str">
        <f t="shared" si="0"/>
        <v>YANG JAN</v>
      </c>
      <c r="H26" s="20" t="str">
        <f t="shared" si="1"/>
        <v>4005</v>
      </c>
    </row>
    <row r="27" spans="1:8" x14ac:dyDescent="0.25">
      <c r="A27" s="8">
        <v>42997.219456018516</v>
      </c>
      <c r="B27" s="20" t="s">
        <v>611</v>
      </c>
      <c r="C27" s="20" t="s">
        <v>612</v>
      </c>
      <c r="D27" s="138">
        <v>3030000</v>
      </c>
      <c r="E27" s="20" t="s">
        <v>544</v>
      </c>
      <c r="F27" s="20" t="s">
        <v>545</v>
      </c>
      <c r="G27" s="8" t="str">
        <f t="shared" si="0"/>
        <v>BIRENBAUM THOMAS</v>
      </c>
      <c r="H27" s="20" t="str">
        <f t="shared" si="1"/>
        <v>4013</v>
      </c>
    </row>
    <row r="28" spans="1:8" x14ac:dyDescent="0.25">
      <c r="A28" s="8">
        <v>42997.225335648145</v>
      </c>
      <c r="B28" s="20" t="s">
        <v>434</v>
      </c>
      <c r="C28" s="20" t="s">
        <v>670</v>
      </c>
      <c r="D28" s="138">
        <v>1260000</v>
      </c>
      <c r="E28" s="20" t="s">
        <v>651</v>
      </c>
      <c r="F28" s="20" t="s">
        <v>652</v>
      </c>
      <c r="G28" s="8" t="str">
        <f t="shared" si="0"/>
        <v>ACKERMAN JARED</v>
      </c>
      <c r="H28" s="20" t="str">
        <f t="shared" si="1"/>
        <v>4028</v>
      </c>
    </row>
    <row r="29" spans="1:8" x14ac:dyDescent="0.25">
      <c r="A29" s="8">
        <v>42997.232291666667</v>
      </c>
      <c r="B29" s="20" t="s">
        <v>539</v>
      </c>
      <c r="C29" s="20" t="s">
        <v>671</v>
      </c>
      <c r="D29" s="138">
        <v>2730000</v>
      </c>
      <c r="E29" s="20" t="s">
        <v>664</v>
      </c>
      <c r="F29" s="20" t="s">
        <v>665</v>
      </c>
      <c r="G29" s="8" t="str">
        <f t="shared" si="0"/>
        <v>YANG JAN</v>
      </c>
      <c r="H29" s="20" t="str">
        <f t="shared" si="1"/>
        <v>4006</v>
      </c>
    </row>
    <row r="30" spans="1:8" x14ac:dyDescent="0.25">
      <c r="A30" s="8">
        <v>42997.234780092593</v>
      </c>
      <c r="B30" s="20" t="s">
        <v>634</v>
      </c>
      <c r="C30" s="20" t="s">
        <v>672</v>
      </c>
      <c r="D30" s="138">
        <v>1830000</v>
      </c>
      <c r="E30" s="20" t="s">
        <v>444</v>
      </c>
      <c r="F30" s="20" t="s">
        <v>445</v>
      </c>
      <c r="G30" s="8" t="str">
        <f t="shared" si="0"/>
        <v>YORK EDGAR</v>
      </c>
      <c r="H30" s="20" t="str">
        <f t="shared" si="1"/>
        <v>4049</v>
      </c>
    </row>
    <row r="31" spans="1:8" x14ac:dyDescent="0.25">
      <c r="A31" s="8">
        <v>42997.235115740739</v>
      </c>
      <c r="B31" s="20" t="s">
        <v>399</v>
      </c>
      <c r="C31" s="20" t="s">
        <v>673</v>
      </c>
      <c r="D31" s="138">
        <v>3090000</v>
      </c>
      <c r="E31" s="20" t="s">
        <v>504</v>
      </c>
      <c r="F31" s="20" t="s">
        <v>505</v>
      </c>
      <c r="G31" s="8" t="str">
        <f t="shared" si="0"/>
        <v>LAMAR NEKESHA</v>
      </c>
      <c r="H31" s="20" t="str">
        <f t="shared" si="1"/>
        <v>4015</v>
      </c>
    </row>
    <row r="32" spans="1:8" x14ac:dyDescent="0.25">
      <c r="A32" s="8">
        <v>42997.236400462964</v>
      </c>
      <c r="B32" s="20" t="s">
        <v>628</v>
      </c>
      <c r="C32" s="20" t="s">
        <v>674</v>
      </c>
      <c r="D32" s="138">
        <v>3030000</v>
      </c>
      <c r="E32" s="20" t="s">
        <v>544</v>
      </c>
      <c r="F32" s="20" t="s">
        <v>545</v>
      </c>
      <c r="G32" s="8" t="str">
        <f t="shared" si="0"/>
        <v>BIRENBAUM THOMAS</v>
      </c>
      <c r="H32" s="20" t="str">
        <f t="shared" si="1"/>
        <v>4014</v>
      </c>
    </row>
    <row r="33" spans="1:8" x14ac:dyDescent="0.25">
      <c r="A33" s="8">
        <v>42997.236886574072</v>
      </c>
      <c r="B33" s="20" t="s">
        <v>443</v>
      </c>
      <c r="C33" s="20" t="s">
        <v>675</v>
      </c>
      <c r="D33" s="138">
        <v>3000000</v>
      </c>
      <c r="E33" s="20" t="s">
        <v>676</v>
      </c>
      <c r="F33" s="20" t="s">
        <v>677</v>
      </c>
      <c r="G33" s="8" t="str">
        <f t="shared" si="0"/>
        <v>FORTUNATO FRANK</v>
      </c>
      <c r="H33" s="20" t="str">
        <f t="shared" si="1"/>
        <v>4043</v>
      </c>
    </row>
    <row r="34" spans="1:8" x14ac:dyDescent="0.25">
      <c r="A34" s="8">
        <v>42997.238912037035</v>
      </c>
      <c r="B34" s="20" t="s">
        <v>443</v>
      </c>
      <c r="C34" s="20" t="s">
        <v>675</v>
      </c>
      <c r="D34" s="138">
        <v>3000000</v>
      </c>
      <c r="E34" s="20" t="s">
        <v>676</v>
      </c>
      <c r="F34" s="20" t="s">
        <v>677</v>
      </c>
      <c r="G34" s="8" t="str">
        <f t="shared" si="0"/>
        <v>FORTUNATO FRANK</v>
      </c>
      <c r="H34" s="20" t="str">
        <f t="shared" si="1"/>
        <v>4043</v>
      </c>
    </row>
    <row r="35" spans="1:8" x14ac:dyDescent="0.25">
      <c r="A35" s="8">
        <v>42997.24560185185</v>
      </c>
      <c r="B35" s="20" t="s">
        <v>623</v>
      </c>
      <c r="C35" s="20" t="s">
        <v>678</v>
      </c>
      <c r="D35" s="138">
        <v>3510000</v>
      </c>
      <c r="E35" s="20" t="s">
        <v>541</v>
      </c>
      <c r="F35" s="20" t="s">
        <v>542</v>
      </c>
      <c r="G35" s="8" t="str">
        <f t="shared" si="0"/>
        <v>BARRON PERLA</v>
      </c>
      <c r="H35" s="20" t="str">
        <f t="shared" si="1"/>
        <v>4053</v>
      </c>
    </row>
    <row r="36" spans="1:8" x14ac:dyDescent="0.25">
      <c r="A36" s="8">
        <v>42997.248333333337</v>
      </c>
      <c r="B36" s="20" t="s">
        <v>497</v>
      </c>
      <c r="C36" s="20" t="s">
        <v>679</v>
      </c>
      <c r="D36" s="138">
        <v>3120000</v>
      </c>
      <c r="E36" s="20" t="s">
        <v>499</v>
      </c>
      <c r="F36" s="20" t="s">
        <v>500</v>
      </c>
      <c r="G36" s="8" t="str">
        <f t="shared" si="0"/>
        <v>THOMPSON LESTER</v>
      </c>
      <c r="H36" s="20" t="str">
        <f t="shared" si="1"/>
        <v>4056</v>
      </c>
    </row>
    <row r="37" spans="1:8" x14ac:dyDescent="0.25">
      <c r="A37" s="8">
        <v>42997.24863425926</v>
      </c>
      <c r="B37" s="20" t="s">
        <v>620</v>
      </c>
      <c r="C37" s="20" t="s">
        <v>680</v>
      </c>
      <c r="D37" s="138">
        <v>3000000</v>
      </c>
      <c r="E37" s="20" t="s">
        <v>676</v>
      </c>
      <c r="F37" s="20" t="s">
        <v>677</v>
      </c>
      <c r="G37" s="8" t="str">
        <f t="shared" si="0"/>
        <v>FORTUNATO FRANK</v>
      </c>
      <c r="H37" s="20" t="str">
        <f t="shared" si="1"/>
        <v>4044</v>
      </c>
    </row>
    <row r="38" spans="1:8" x14ac:dyDescent="0.25">
      <c r="A38" s="8">
        <v>42997.248773148145</v>
      </c>
      <c r="B38" s="20" t="s">
        <v>498</v>
      </c>
      <c r="C38" s="20" t="s">
        <v>681</v>
      </c>
      <c r="D38" s="138">
        <v>2730000</v>
      </c>
      <c r="E38" s="20" t="s">
        <v>664</v>
      </c>
      <c r="F38" s="20" t="s">
        <v>665</v>
      </c>
      <c r="G38" s="8" t="str">
        <f t="shared" si="0"/>
        <v>YANG JAN</v>
      </c>
      <c r="H38" s="20" t="str">
        <f t="shared" si="1"/>
        <v>4005</v>
      </c>
    </row>
    <row r="39" spans="1:8" x14ac:dyDescent="0.25">
      <c r="A39" s="8">
        <v>42997.254201388889</v>
      </c>
      <c r="B39" s="20" t="s">
        <v>375</v>
      </c>
      <c r="C39" s="20" t="s">
        <v>682</v>
      </c>
      <c r="D39" s="138">
        <v>2530000</v>
      </c>
      <c r="E39" s="20" t="s">
        <v>502</v>
      </c>
      <c r="F39" s="20" t="s">
        <v>503</v>
      </c>
      <c r="G39" s="8" t="str">
        <f t="shared" si="0"/>
        <v>LALONDE GREGORY</v>
      </c>
      <c r="H39" s="20" t="str">
        <f t="shared" si="1"/>
        <v>4030</v>
      </c>
    </row>
    <row r="40" spans="1:8" x14ac:dyDescent="0.25">
      <c r="A40" s="8">
        <v>42997.263437499998</v>
      </c>
      <c r="B40" s="25" t="s">
        <v>609</v>
      </c>
      <c r="C40" s="20" t="s">
        <v>683</v>
      </c>
      <c r="D40" s="138">
        <v>1260000</v>
      </c>
      <c r="E40" s="20" t="s">
        <v>651</v>
      </c>
      <c r="F40" s="20" t="s">
        <v>652</v>
      </c>
      <c r="G40" s="8" t="str">
        <f t="shared" si="0"/>
        <v>ACKERMAN JARED</v>
      </c>
      <c r="H40" s="20" t="str">
        <f t="shared" si="1"/>
        <v>4027</v>
      </c>
    </row>
    <row r="41" spans="1:8" x14ac:dyDescent="0.25">
      <c r="A41" s="8">
        <v>42997.266145833331</v>
      </c>
      <c r="B41" s="20" t="s">
        <v>400</v>
      </c>
      <c r="C41" s="20" t="s">
        <v>684</v>
      </c>
      <c r="D41" s="138">
        <v>3090000</v>
      </c>
      <c r="E41" s="20" t="s">
        <v>504</v>
      </c>
      <c r="F41" s="20" t="s">
        <v>505</v>
      </c>
      <c r="G41" s="8" t="str">
        <f t="shared" si="0"/>
        <v>LAMAR NEKESHA</v>
      </c>
      <c r="H41" s="20" t="str">
        <f t="shared" si="1"/>
        <v>4016</v>
      </c>
    </row>
    <row r="42" spans="1:8" x14ac:dyDescent="0.25">
      <c r="A42" s="8">
        <v>42997.269097222219</v>
      </c>
      <c r="B42" s="20" t="s">
        <v>443</v>
      </c>
      <c r="C42" s="20" t="s">
        <v>685</v>
      </c>
      <c r="D42" s="138">
        <v>3000000</v>
      </c>
      <c r="E42" s="20" t="s">
        <v>676</v>
      </c>
      <c r="F42" s="20" t="s">
        <v>677</v>
      </c>
      <c r="G42" s="8" t="str">
        <f t="shared" si="0"/>
        <v>FORTUNATO FRANK</v>
      </c>
      <c r="H42" s="20" t="str">
        <f t="shared" si="1"/>
        <v>4043</v>
      </c>
    </row>
    <row r="43" spans="1:8" x14ac:dyDescent="0.25">
      <c r="A43" s="8">
        <v>42997.273761574077</v>
      </c>
      <c r="B43" s="20" t="s">
        <v>539</v>
      </c>
      <c r="C43" s="20" t="s">
        <v>686</v>
      </c>
      <c r="D43" s="138">
        <v>2730000</v>
      </c>
      <c r="E43" s="20" t="s">
        <v>664</v>
      </c>
      <c r="F43" s="20" t="s">
        <v>665</v>
      </c>
      <c r="G43" s="8" t="str">
        <f t="shared" si="0"/>
        <v>YANG JAN</v>
      </c>
      <c r="H43" s="20" t="str">
        <f t="shared" si="1"/>
        <v>4006</v>
      </c>
    </row>
    <row r="44" spans="1:8" x14ac:dyDescent="0.25">
      <c r="A44" s="8">
        <v>42997.275543981479</v>
      </c>
      <c r="B44" s="20" t="s">
        <v>625</v>
      </c>
      <c r="C44" s="20" t="s">
        <v>687</v>
      </c>
      <c r="D44" s="138">
        <v>1830000</v>
      </c>
      <c r="E44" s="20" t="s">
        <v>444</v>
      </c>
      <c r="F44" s="20" t="s">
        <v>445</v>
      </c>
      <c r="G44" s="8" t="str">
        <f t="shared" si="0"/>
        <v>YORK EDGAR</v>
      </c>
      <c r="H44" s="20" t="str">
        <f t="shared" si="1"/>
        <v>4050</v>
      </c>
    </row>
    <row r="45" spans="1:8" x14ac:dyDescent="0.25">
      <c r="A45" s="8">
        <v>42997.287395833337</v>
      </c>
      <c r="B45" s="20" t="s">
        <v>419</v>
      </c>
      <c r="C45" s="20" t="s">
        <v>688</v>
      </c>
      <c r="D45" s="138">
        <v>2530000</v>
      </c>
      <c r="E45" s="20" t="s">
        <v>502</v>
      </c>
      <c r="F45" s="20" t="s">
        <v>503</v>
      </c>
      <c r="G45" s="8" t="str">
        <f t="shared" si="0"/>
        <v>LALONDE GREGORY</v>
      </c>
      <c r="H45" s="20" t="str">
        <f t="shared" si="1"/>
        <v>4029</v>
      </c>
    </row>
    <row r="46" spans="1:8" x14ac:dyDescent="0.25">
      <c r="A46" s="8">
        <v>42997.287719907406</v>
      </c>
      <c r="B46" s="20" t="s">
        <v>613</v>
      </c>
      <c r="C46" s="20" t="s">
        <v>614</v>
      </c>
      <c r="D46" s="138">
        <v>3510000</v>
      </c>
      <c r="E46" s="20" t="s">
        <v>541</v>
      </c>
      <c r="F46" s="20" t="s">
        <v>542</v>
      </c>
      <c r="G46" s="8" t="str">
        <f t="shared" si="0"/>
        <v>BARRON PERLA</v>
      </c>
      <c r="H46" s="20" t="str">
        <f t="shared" si="1"/>
        <v>4054</v>
      </c>
    </row>
    <row r="47" spans="1:8" x14ac:dyDescent="0.25">
      <c r="A47" s="8">
        <v>42997.288113425922</v>
      </c>
      <c r="B47" s="20" t="s">
        <v>501</v>
      </c>
      <c r="C47" s="20" t="s">
        <v>615</v>
      </c>
      <c r="D47" s="138">
        <v>3120000</v>
      </c>
      <c r="E47" s="20" t="s">
        <v>499</v>
      </c>
      <c r="F47" s="20" t="s">
        <v>500</v>
      </c>
      <c r="G47" s="8" t="str">
        <f t="shared" si="0"/>
        <v>THOMPSON LESTER</v>
      </c>
      <c r="H47" s="20" t="str">
        <f t="shared" si="1"/>
        <v>4055</v>
      </c>
    </row>
    <row r="48" spans="1:8" x14ac:dyDescent="0.25">
      <c r="A48" s="8">
        <v>42997.290405092594</v>
      </c>
      <c r="B48" s="20" t="s">
        <v>620</v>
      </c>
      <c r="C48" s="20" t="s">
        <v>689</v>
      </c>
      <c r="D48" s="138">
        <v>3000000</v>
      </c>
      <c r="E48" s="20" t="s">
        <v>676</v>
      </c>
      <c r="F48" s="20" t="s">
        <v>677</v>
      </c>
      <c r="G48" s="8" t="str">
        <f t="shared" si="0"/>
        <v>FORTUNATO FRANK</v>
      </c>
      <c r="H48" s="20" t="str">
        <f t="shared" si="1"/>
        <v>4044</v>
      </c>
    </row>
    <row r="49" spans="1:8" x14ac:dyDescent="0.25">
      <c r="A49" s="8">
        <v>42997.292824074073</v>
      </c>
      <c r="B49" s="20" t="s">
        <v>498</v>
      </c>
      <c r="C49" s="20" t="s">
        <v>690</v>
      </c>
      <c r="D49" s="138">
        <v>2730000</v>
      </c>
      <c r="E49" s="20" t="s">
        <v>664</v>
      </c>
      <c r="F49" s="20" t="s">
        <v>665</v>
      </c>
      <c r="G49" s="8" t="str">
        <f t="shared" si="0"/>
        <v>YANG JAN</v>
      </c>
      <c r="H49" s="20" t="str">
        <f t="shared" si="1"/>
        <v>4005</v>
      </c>
    </row>
    <row r="50" spans="1:8" x14ac:dyDescent="0.25">
      <c r="A50" s="8">
        <v>42997.298981481479</v>
      </c>
      <c r="B50" s="20" t="s">
        <v>434</v>
      </c>
      <c r="C50" s="20" t="s">
        <v>691</v>
      </c>
      <c r="D50" s="138">
        <v>2270000</v>
      </c>
      <c r="E50" s="20" t="s">
        <v>692</v>
      </c>
      <c r="F50" s="20" t="s">
        <v>693</v>
      </c>
      <c r="G50" s="8" t="str">
        <f t="shared" si="0"/>
        <v>BROWN JACOB</v>
      </c>
      <c r="H50" s="20" t="str">
        <f t="shared" si="1"/>
        <v>4028</v>
      </c>
    </row>
    <row r="51" spans="1:8" x14ac:dyDescent="0.25">
      <c r="A51" s="8">
        <v>42997.305300925924</v>
      </c>
      <c r="B51" s="20" t="s">
        <v>628</v>
      </c>
      <c r="C51" s="20" t="s">
        <v>694</v>
      </c>
      <c r="D51" s="138">
        <v>3030000</v>
      </c>
      <c r="E51" s="20" t="s">
        <v>544</v>
      </c>
      <c r="F51" s="20" t="s">
        <v>545</v>
      </c>
      <c r="G51" s="8" t="str">
        <f t="shared" si="0"/>
        <v>BIRENBAUM THOMAS</v>
      </c>
      <c r="H51" s="20" t="str">
        <f t="shared" si="1"/>
        <v>4014</v>
      </c>
    </row>
    <row r="52" spans="1:8" x14ac:dyDescent="0.25">
      <c r="A52" s="8">
        <v>42997.306863425925</v>
      </c>
      <c r="B52" s="20" t="s">
        <v>634</v>
      </c>
      <c r="C52" s="20" t="s">
        <v>695</v>
      </c>
      <c r="D52" s="138">
        <v>1830000</v>
      </c>
      <c r="E52" s="20" t="s">
        <v>444</v>
      </c>
      <c r="F52" s="20" t="s">
        <v>445</v>
      </c>
      <c r="G52" s="8" t="str">
        <f t="shared" si="0"/>
        <v>YORK EDGAR</v>
      </c>
      <c r="H52" s="20" t="str">
        <f t="shared" si="1"/>
        <v>4049</v>
      </c>
    </row>
    <row r="53" spans="1:8" x14ac:dyDescent="0.25">
      <c r="A53" s="8">
        <v>42997.307523148149</v>
      </c>
      <c r="B53" s="20" t="s">
        <v>399</v>
      </c>
      <c r="C53" s="20" t="s">
        <v>696</v>
      </c>
      <c r="D53" s="138">
        <v>3090000</v>
      </c>
      <c r="E53" s="20" t="s">
        <v>504</v>
      </c>
      <c r="F53" s="20" t="s">
        <v>505</v>
      </c>
      <c r="G53" s="8" t="str">
        <f t="shared" si="0"/>
        <v>LAMAR NEKESHA</v>
      </c>
      <c r="H53" s="20" t="str">
        <f t="shared" si="1"/>
        <v>4015</v>
      </c>
    </row>
    <row r="54" spans="1:8" x14ac:dyDescent="0.25">
      <c r="A54" s="8">
        <v>42997.311099537037</v>
      </c>
      <c r="B54" s="20" t="s">
        <v>443</v>
      </c>
      <c r="C54" s="20" t="s">
        <v>697</v>
      </c>
      <c r="D54" s="138">
        <v>3000000</v>
      </c>
      <c r="E54" s="20" t="s">
        <v>676</v>
      </c>
      <c r="F54" s="20" t="s">
        <v>677</v>
      </c>
      <c r="G54" s="8" t="str">
        <f t="shared" si="0"/>
        <v>FORTUNATO FRANK</v>
      </c>
      <c r="H54" s="20" t="str">
        <f t="shared" si="1"/>
        <v>4043</v>
      </c>
    </row>
    <row r="55" spans="1:8" x14ac:dyDescent="0.25">
      <c r="A55" s="8">
        <v>42997.315752314818</v>
      </c>
      <c r="B55" s="20" t="s">
        <v>539</v>
      </c>
      <c r="C55" s="20" t="s">
        <v>616</v>
      </c>
      <c r="D55" s="138">
        <v>2730000</v>
      </c>
      <c r="E55" s="20" t="s">
        <v>664</v>
      </c>
      <c r="F55" s="20" t="s">
        <v>665</v>
      </c>
      <c r="G55" s="8" t="str">
        <f t="shared" si="0"/>
        <v>YANG JAN</v>
      </c>
      <c r="H55" s="20" t="str">
        <f t="shared" si="1"/>
        <v>4006</v>
      </c>
    </row>
    <row r="56" spans="1:8" x14ac:dyDescent="0.25">
      <c r="A56" s="8">
        <v>42997.318842592591</v>
      </c>
      <c r="B56" s="20" t="s">
        <v>623</v>
      </c>
      <c r="C56" s="20" t="s">
        <v>698</v>
      </c>
      <c r="D56" s="138">
        <v>3510000</v>
      </c>
      <c r="E56" s="20" t="s">
        <v>541</v>
      </c>
      <c r="F56" s="20" t="s">
        <v>542</v>
      </c>
      <c r="G56" s="8" t="str">
        <f t="shared" si="0"/>
        <v>BARRON PERLA</v>
      </c>
      <c r="H56" s="20" t="str">
        <f t="shared" si="1"/>
        <v>4053</v>
      </c>
    </row>
    <row r="57" spans="1:8" x14ac:dyDescent="0.25">
      <c r="A57" s="8">
        <v>42997.322164351855</v>
      </c>
      <c r="B57" s="20" t="s">
        <v>497</v>
      </c>
      <c r="C57" s="20" t="s">
        <v>699</v>
      </c>
      <c r="D57" s="138">
        <v>3300000</v>
      </c>
      <c r="E57" s="20" t="s">
        <v>700</v>
      </c>
      <c r="F57" s="20" t="s">
        <v>701</v>
      </c>
      <c r="G57" s="8" t="str">
        <f t="shared" si="0"/>
        <v>LANGERAK WILLIAM</v>
      </c>
      <c r="H57" s="20" t="str">
        <f t="shared" si="1"/>
        <v>4056</v>
      </c>
    </row>
    <row r="58" spans="1:8" x14ac:dyDescent="0.25">
      <c r="A58" s="8">
        <v>42997.326979166668</v>
      </c>
      <c r="B58" s="20" t="s">
        <v>375</v>
      </c>
      <c r="C58" s="20" t="s">
        <v>702</v>
      </c>
      <c r="D58" s="138">
        <v>2530000</v>
      </c>
      <c r="E58" s="20" t="s">
        <v>502</v>
      </c>
      <c r="F58" s="20" t="s">
        <v>503</v>
      </c>
      <c r="G58" s="8" t="str">
        <f t="shared" si="0"/>
        <v>LALONDE GREGORY</v>
      </c>
      <c r="H58" s="20" t="str">
        <f t="shared" si="1"/>
        <v>4030</v>
      </c>
    </row>
    <row r="59" spans="1:8" x14ac:dyDescent="0.25">
      <c r="A59" s="8">
        <v>42997.332083333335</v>
      </c>
      <c r="B59" s="20" t="s">
        <v>498</v>
      </c>
      <c r="C59" s="20" t="s">
        <v>703</v>
      </c>
      <c r="D59" s="138">
        <v>2730000</v>
      </c>
      <c r="E59" s="20" t="s">
        <v>664</v>
      </c>
      <c r="F59" s="20" t="s">
        <v>665</v>
      </c>
      <c r="G59" s="8" t="str">
        <f t="shared" si="0"/>
        <v>YANG JAN</v>
      </c>
      <c r="H59" s="20" t="str">
        <f t="shared" si="1"/>
        <v>4005</v>
      </c>
    </row>
    <row r="60" spans="1:8" x14ac:dyDescent="0.25">
      <c r="A60" s="8">
        <v>42997.335428240738</v>
      </c>
      <c r="B60" s="20" t="s">
        <v>620</v>
      </c>
      <c r="C60" s="20" t="s">
        <v>704</v>
      </c>
      <c r="D60" s="138">
        <v>3000000</v>
      </c>
      <c r="E60" s="20" t="s">
        <v>676</v>
      </c>
      <c r="F60" s="20" t="s">
        <v>677</v>
      </c>
      <c r="G60" s="8" t="str">
        <f t="shared" si="0"/>
        <v>FORTUNATO FRANK</v>
      </c>
      <c r="H60" s="20" t="str">
        <f t="shared" si="1"/>
        <v>4044</v>
      </c>
    </row>
    <row r="61" spans="1:8" x14ac:dyDescent="0.25">
      <c r="A61" s="8">
        <v>42997.335590277777</v>
      </c>
      <c r="B61" s="20" t="s">
        <v>609</v>
      </c>
      <c r="C61" s="20" t="s">
        <v>617</v>
      </c>
      <c r="D61" s="138">
        <v>2270000</v>
      </c>
      <c r="E61" s="20" t="s">
        <v>692</v>
      </c>
      <c r="F61" s="20" t="s">
        <v>693</v>
      </c>
      <c r="G61" s="8" t="str">
        <f t="shared" si="0"/>
        <v>BROWN JACOB</v>
      </c>
      <c r="H61" s="20" t="str">
        <f t="shared" si="1"/>
        <v>4027</v>
      </c>
    </row>
    <row r="62" spans="1:8" x14ac:dyDescent="0.25">
      <c r="A62" s="8">
        <v>42997.33966435185</v>
      </c>
      <c r="B62" s="20" t="s">
        <v>400</v>
      </c>
      <c r="C62" s="20" t="s">
        <v>705</v>
      </c>
      <c r="D62" s="138">
        <v>2470000</v>
      </c>
      <c r="E62" s="20" t="s">
        <v>706</v>
      </c>
      <c r="F62" s="20" t="s">
        <v>707</v>
      </c>
      <c r="G62" s="8" t="str">
        <f t="shared" si="0"/>
        <v>ROMERO CHAD</v>
      </c>
      <c r="H62" s="20" t="str">
        <f t="shared" si="1"/>
        <v>4016</v>
      </c>
    </row>
    <row r="63" spans="1:8" x14ac:dyDescent="0.25">
      <c r="A63" s="8">
        <v>42997.340185185189</v>
      </c>
      <c r="B63" s="20" t="s">
        <v>611</v>
      </c>
      <c r="C63" s="20" t="s">
        <v>708</v>
      </c>
      <c r="D63" s="138">
        <v>3030000</v>
      </c>
      <c r="E63" s="20" t="s">
        <v>544</v>
      </c>
      <c r="F63" s="20" t="s">
        <v>545</v>
      </c>
      <c r="G63" s="8" t="str">
        <f t="shared" si="0"/>
        <v>BIRENBAUM THOMAS</v>
      </c>
      <c r="H63" s="20" t="str">
        <f t="shared" si="1"/>
        <v>4013</v>
      </c>
    </row>
    <row r="64" spans="1:8" x14ac:dyDescent="0.25">
      <c r="A64" s="26">
        <v>42997.350868055553</v>
      </c>
      <c r="B64" s="20" t="s">
        <v>625</v>
      </c>
      <c r="C64" s="20" t="s">
        <v>709</v>
      </c>
      <c r="D64" s="138">
        <v>1340000</v>
      </c>
      <c r="E64" s="20" t="s">
        <v>710</v>
      </c>
      <c r="F64" s="20" t="s">
        <v>711</v>
      </c>
      <c r="G64" s="8" t="str">
        <f t="shared" si="0"/>
        <v>BEAM ROSS</v>
      </c>
      <c r="H64" s="20" t="str">
        <f t="shared" si="1"/>
        <v>4050</v>
      </c>
    </row>
    <row r="65" spans="1:8" x14ac:dyDescent="0.25">
      <c r="A65" s="8">
        <v>42997.352094907408</v>
      </c>
      <c r="B65" s="20" t="s">
        <v>501</v>
      </c>
      <c r="C65" s="20" t="s">
        <v>712</v>
      </c>
      <c r="D65" s="138">
        <v>3300000</v>
      </c>
      <c r="E65" s="20" t="s">
        <v>700</v>
      </c>
      <c r="F65" s="20" t="s">
        <v>701</v>
      </c>
      <c r="G65" s="8" t="str">
        <f t="shared" si="0"/>
        <v>LANGERAK WILLIAM</v>
      </c>
      <c r="H65" s="20" t="str">
        <f t="shared" si="1"/>
        <v>4055</v>
      </c>
    </row>
    <row r="66" spans="1:8" x14ac:dyDescent="0.25">
      <c r="A66" s="8">
        <v>42997.352442129632</v>
      </c>
      <c r="B66" s="20" t="s">
        <v>443</v>
      </c>
      <c r="C66" s="20" t="s">
        <v>713</v>
      </c>
      <c r="D66" s="138">
        <v>3000000</v>
      </c>
      <c r="E66" s="20" t="s">
        <v>676</v>
      </c>
      <c r="F66" s="20" t="s">
        <v>677</v>
      </c>
      <c r="G66" s="8" t="str">
        <f t="shared" si="0"/>
        <v>FORTUNATO FRANK</v>
      </c>
      <c r="H66" s="20" t="str">
        <f t="shared" si="1"/>
        <v>4043</v>
      </c>
    </row>
    <row r="67" spans="1:8" x14ac:dyDescent="0.25">
      <c r="A67" s="8">
        <v>42997.353368055556</v>
      </c>
      <c r="B67" s="20" t="s">
        <v>539</v>
      </c>
      <c r="C67" s="20" t="s">
        <v>714</v>
      </c>
      <c r="D67" s="138">
        <v>2730000</v>
      </c>
      <c r="E67" s="20" t="s">
        <v>664</v>
      </c>
      <c r="F67" s="20" t="s">
        <v>665</v>
      </c>
      <c r="G67" s="8" t="str">
        <f t="shared" ref="G67:G130" si="2">E67&amp;" "&amp;F67</f>
        <v>YANG JAN</v>
      </c>
      <c r="H67" s="20" t="str">
        <f t="shared" ref="H67:H130" si="3">MID(B67,13,4)</f>
        <v>4006</v>
      </c>
    </row>
    <row r="68" spans="1:8" x14ac:dyDescent="0.25">
      <c r="A68" s="8">
        <v>42997.358344907407</v>
      </c>
      <c r="B68" s="20" t="s">
        <v>419</v>
      </c>
      <c r="C68" s="20" t="s">
        <v>715</v>
      </c>
      <c r="D68" s="138">
        <v>2530000</v>
      </c>
      <c r="E68" s="20" t="s">
        <v>502</v>
      </c>
      <c r="F68" s="20" t="s">
        <v>503</v>
      </c>
      <c r="G68" s="8" t="str">
        <f t="shared" si="2"/>
        <v>LALONDE GREGORY</v>
      </c>
      <c r="H68" s="20" t="str">
        <f t="shared" si="3"/>
        <v>4029</v>
      </c>
    </row>
    <row r="69" spans="1:8" x14ac:dyDescent="0.25">
      <c r="A69" s="8">
        <v>42997.360879629632</v>
      </c>
      <c r="B69" s="20" t="s">
        <v>613</v>
      </c>
      <c r="C69" s="20" t="s">
        <v>618</v>
      </c>
      <c r="D69" s="138">
        <v>3510000</v>
      </c>
      <c r="E69" s="20" t="s">
        <v>541</v>
      </c>
      <c r="F69" s="20" t="s">
        <v>542</v>
      </c>
      <c r="G69" s="8" t="str">
        <f t="shared" si="2"/>
        <v>BARRON PERLA</v>
      </c>
      <c r="H69" s="20" t="str">
        <f t="shared" si="3"/>
        <v>4054</v>
      </c>
    </row>
    <row r="70" spans="1:8" x14ac:dyDescent="0.25">
      <c r="A70" s="8">
        <v>42997.370023148149</v>
      </c>
      <c r="B70" s="20" t="s">
        <v>399</v>
      </c>
      <c r="C70" s="20" t="s">
        <v>716</v>
      </c>
      <c r="D70" s="138">
        <v>2470000</v>
      </c>
      <c r="E70" s="20" t="s">
        <v>706</v>
      </c>
      <c r="F70" s="20" t="s">
        <v>707</v>
      </c>
      <c r="G70" s="8" t="str">
        <f t="shared" si="2"/>
        <v>ROMERO CHAD</v>
      </c>
      <c r="H70" s="20" t="str">
        <f t="shared" si="3"/>
        <v>4015</v>
      </c>
    </row>
    <row r="71" spans="1:8" x14ac:dyDescent="0.25">
      <c r="A71" s="8">
        <v>42997.372106481482</v>
      </c>
      <c r="B71" s="20" t="s">
        <v>434</v>
      </c>
      <c r="C71" s="20" t="s">
        <v>619</v>
      </c>
      <c r="D71" s="138">
        <v>1260000</v>
      </c>
      <c r="E71" s="20" t="s">
        <v>651</v>
      </c>
      <c r="F71" s="20" t="s">
        <v>652</v>
      </c>
      <c r="G71" s="8" t="str">
        <f t="shared" si="2"/>
        <v>ACKERMAN JARED</v>
      </c>
      <c r="H71" s="20" t="str">
        <f t="shared" si="3"/>
        <v>4028</v>
      </c>
    </row>
    <row r="72" spans="1:8" x14ac:dyDescent="0.25">
      <c r="A72" s="8">
        <v>42997.374641203707</v>
      </c>
      <c r="B72" s="20" t="s">
        <v>620</v>
      </c>
      <c r="C72" s="20" t="s">
        <v>621</v>
      </c>
      <c r="D72" s="138">
        <v>3000000</v>
      </c>
      <c r="E72" s="20" t="s">
        <v>676</v>
      </c>
      <c r="F72" s="20" t="s">
        <v>677</v>
      </c>
      <c r="G72" s="8" t="str">
        <f t="shared" si="2"/>
        <v>FORTUNATO FRANK</v>
      </c>
      <c r="H72" s="20" t="str">
        <f t="shared" si="3"/>
        <v>4044</v>
      </c>
    </row>
    <row r="73" spans="1:8" x14ac:dyDescent="0.25">
      <c r="A73" s="8">
        <v>42997.381666666668</v>
      </c>
      <c r="B73" s="20" t="s">
        <v>634</v>
      </c>
      <c r="C73" s="20" t="s">
        <v>717</v>
      </c>
      <c r="D73" s="138">
        <v>1340000</v>
      </c>
      <c r="E73" s="20" t="s">
        <v>710</v>
      </c>
      <c r="F73" s="20" t="s">
        <v>711</v>
      </c>
      <c r="G73" s="8" t="str">
        <f t="shared" si="2"/>
        <v>BEAM ROSS</v>
      </c>
      <c r="H73" s="20" t="str">
        <f t="shared" si="3"/>
        <v>4049</v>
      </c>
    </row>
    <row r="74" spans="1:8" x14ac:dyDescent="0.25">
      <c r="A74" s="8">
        <v>42997.383101851854</v>
      </c>
      <c r="B74" s="20" t="s">
        <v>628</v>
      </c>
      <c r="C74" s="20" t="s">
        <v>718</v>
      </c>
      <c r="D74" s="138">
        <v>3030000</v>
      </c>
      <c r="E74" s="20" t="s">
        <v>544</v>
      </c>
      <c r="F74" s="20" t="s">
        <v>545</v>
      </c>
      <c r="G74" s="8" t="str">
        <f t="shared" si="2"/>
        <v>BIRENBAUM THOMAS</v>
      </c>
      <c r="H74" s="20" t="str">
        <f t="shared" si="3"/>
        <v>4014</v>
      </c>
    </row>
    <row r="75" spans="1:8" x14ac:dyDescent="0.25">
      <c r="A75" s="8">
        <v>42997.38857638889</v>
      </c>
      <c r="B75" s="20" t="s">
        <v>434</v>
      </c>
      <c r="C75" s="20" t="s">
        <v>619</v>
      </c>
      <c r="D75" s="138">
        <v>1260000</v>
      </c>
      <c r="E75" s="20" t="s">
        <v>651</v>
      </c>
      <c r="F75" s="20" t="s">
        <v>652</v>
      </c>
      <c r="G75" s="8" t="str">
        <f t="shared" si="2"/>
        <v>ACKERMAN JARED</v>
      </c>
      <c r="H75" s="20" t="str">
        <f t="shared" si="3"/>
        <v>4028</v>
      </c>
    </row>
    <row r="76" spans="1:8" x14ac:dyDescent="0.25">
      <c r="A76" s="8">
        <v>42997.390925925924</v>
      </c>
      <c r="B76" s="20" t="s">
        <v>623</v>
      </c>
      <c r="C76" s="20" t="s">
        <v>624</v>
      </c>
      <c r="D76" s="138">
        <v>3510000</v>
      </c>
      <c r="E76" s="20" t="s">
        <v>541</v>
      </c>
      <c r="F76" s="20" t="s">
        <v>542</v>
      </c>
      <c r="G76" s="8" t="str">
        <f t="shared" si="2"/>
        <v>BARRON PERLA</v>
      </c>
      <c r="H76" s="20" t="str">
        <f t="shared" si="3"/>
        <v>4053</v>
      </c>
    </row>
    <row r="77" spans="1:8" x14ac:dyDescent="0.25">
      <c r="A77" s="8">
        <v>42997.393449074072</v>
      </c>
      <c r="B77" s="20" t="s">
        <v>443</v>
      </c>
      <c r="C77" s="20" t="s">
        <v>719</v>
      </c>
      <c r="D77" s="138">
        <v>3000000</v>
      </c>
      <c r="E77" s="20" t="s">
        <v>676</v>
      </c>
      <c r="F77" s="20" t="s">
        <v>677</v>
      </c>
      <c r="G77" s="8" t="str">
        <f t="shared" si="2"/>
        <v>FORTUNATO FRANK</v>
      </c>
      <c r="H77" s="20" t="str">
        <f t="shared" si="3"/>
        <v>4043</v>
      </c>
    </row>
    <row r="78" spans="1:8" x14ac:dyDescent="0.25">
      <c r="A78" s="8">
        <v>42997.394317129627</v>
      </c>
      <c r="B78" s="20" t="s">
        <v>497</v>
      </c>
      <c r="C78" s="20" t="s">
        <v>622</v>
      </c>
      <c r="D78" s="138">
        <v>3120000</v>
      </c>
      <c r="E78" s="20" t="s">
        <v>499</v>
      </c>
      <c r="F78" s="20" t="s">
        <v>500</v>
      </c>
      <c r="G78" s="8" t="str">
        <f t="shared" si="2"/>
        <v>THOMPSON LESTER</v>
      </c>
      <c r="H78" s="20" t="str">
        <f t="shared" si="3"/>
        <v>4056</v>
      </c>
    </row>
    <row r="79" spans="1:8" x14ac:dyDescent="0.25">
      <c r="A79" s="8">
        <v>42997.399837962963</v>
      </c>
      <c r="B79" s="20" t="s">
        <v>375</v>
      </c>
      <c r="C79" s="20" t="s">
        <v>720</v>
      </c>
      <c r="D79" s="138">
        <v>2530000</v>
      </c>
      <c r="E79" s="20" t="s">
        <v>502</v>
      </c>
      <c r="F79" s="20" t="s">
        <v>503</v>
      </c>
      <c r="G79" s="8" t="str">
        <f t="shared" si="2"/>
        <v>LALONDE GREGORY</v>
      </c>
      <c r="H79" s="20" t="str">
        <f t="shared" si="3"/>
        <v>4030</v>
      </c>
    </row>
    <row r="80" spans="1:8" x14ac:dyDescent="0.25">
      <c r="A80" s="8">
        <v>42997.407962962963</v>
      </c>
      <c r="B80" s="20" t="s">
        <v>609</v>
      </c>
      <c r="C80" s="20" t="s">
        <v>721</v>
      </c>
      <c r="D80" s="138">
        <v>1260000</v>
      </c>
      <c r="E80" s="20" t="s">
        <v>651</v>
      </c>
      <c r="F80" s="20" t="s">
        <v>652</v>
      </c>
      <c r="G80" s="8" t="str">
        <f t="shared" si="2"/>
        <v>ACKERMAN JARED</v>
      </c>
      <c r="H80" s="20" t="str">
        <f t="shared" si="3"/>
        <v>4027</v>
      </c>
    </row>
    <row r="81" spans="1:8" x14ac:dyDescent="0.25">
      <c r="A81" s="8">
        <v>42997.414131944446</v>
      </c>
      <c r="B81" s="20" t="s">
        <v>400</v>
      </c>
      <c r="C81" s="20" t="s">
        <v>722</v>
      </c>
      <c r="D81" s="138">
        <v>3090000</v>
      </c>
      <c r="E81" s="20" t="s">
        <v>504</v>
      </c>
      <c r="F81" s="20" t="s">
        <v>505</v>
      </c>
      <c r="G81" s="8" t="str">
        <f t="shared" si="2"/>
        <v>LAMAR NEKESHA</v>
      </c>
      <c r="H81" s="20" t="str">
        <f t="shared" si="3"/>
        <v>4016</v>
      </c>
    </row>
    <row r="82" spans="1:8" x14ac:dyDescent="0.25">
      <c r="A82" s="8">
        <v>42997.415694444448</v>
      </c>
      <c r="B82" s="20" t="s">
        <v>620</v>
      </c>
      <c r="C82" s="20" t="s">
        <v>723</v>
      </c>
      <c r="D82" s="138">
        <v>3000000</v>
      </c>
      <c r="E82" s="20" t="s">
        <v>676</v>
      </c>
      <c r="F82" s="20" t="s">
        <v>677</v>
      </c>
      <c r="G82" s="8" t="str">
        <f t="shared" si="2"/>
        <v>FORTUNATO FRANK</v>
      </c>
      <c r="H82" s="20" t="str">
        <f t="shared" si="3"/>
        <v>4044</v>
      </c>
    </row>
    <row r="83" spans="1:8" x14ac:dyDescent="0.25">
      <c r="A83" s="8">
        <v>42997.423009259262</v>
      </c>
      <c r="B83" s="20" t="s">
        <v>611</v>
      </c>
      <c r="C83" s="20" t="s">
        <v>724</v>
      </c>
      <c r="D83" s="138">
        <v>3030000</v>
      </c>
      <c r="E83" s="20" t="s">
        <v>544</v>
      </c>
      <c r="F83" s="20" t="s">
        <v>545</v>
      </c>
      <c r="G83" s="8" t="str">
        <f t="shared" si="2"/>
        <v>BIRENBAUM THOMAS</v>
      </c>
      <c r="H83" s="20" t="str">
        <f t="shared" si="3"/>
        <v>4013</v>
      </c>
    </row>
    <row r="84" spans="1:8" x14ac:dyDescent="0.25">
      <c r="A84" s="8">
        <v>42997.427534722221</v>
      </c>
      <c r="B84" s="20" t="s">
        <v>625</v>
      </c>
      <c r="C84" s="20" t="s">
        <v>626</v>
      </c>
      <c r="D84" s="138">
        <v>2730000</v>
      </c>
      <c r="E84" s="20" t="s">
        <v>664</v>
      </c>
      <c r="F84" s="20" t="s">
        <v>665</v>
      </c>
      <c r="G84" s="8" t="str">
        <f t="shared" si="2"/>
        <v>YANG JAN</v>
      </c>
      <c r="H84" s="20" t="str">
        <f t="shared" si="3"/>
        <v>4050</v>
      </c>
    </row>
    <row r="85" spans="1:8" x14ac:dyDescent="0.25">
      <c r="A85" s="8">
        <v>42997.431643518517</v>
      </c>
      <c r="B85" s="20" t="s">
        <v>613</v>
      </c>
      <c r="C85" s="20" t="s">
        <v>725</v>
      </c>
      <c r="D85" s="138">
        <v>3510000</v>
      </c>
      <c r="E85" s="20" t="s">
        <v>541</v>
      </c>
      <c r="F85" s="20" t="s">
        <v>542</v>
      </c>
      <c r="G85" s="8" t="str">
        <f t="shared" si="2"/>
        <v>BARRON PERLA</v>
      </c>
      <c r="H85" s="20" t="str">
        <f t="shared" si="3"/>
        <v>4054</v>
      </c>
    </row>
    <row r="86" spans="1:8" x14ac:dyDescent="0.25">
      <c r="A86" s="8">
        <v>42997.43209490741</v>
      </c>
      <c r="B86" s="20" t="s">
        <v>419</v>
      </c>
      <c r="C86" s="20" t="s">
        <v>726</v>
      </c>
      <c r="D86" s="138">
        <v>2530000</v>
      </c>
      <c r="E86" s="20" t="s">
        <v>502</v>
      </c>
      <c r="F86" s="20" t="s">
        <v>503</v>
      </c>
      <c r="G86" s="8" t="str">
        <f t="shared" si="2"/>
        <v>LALONDE GREGORY</v>
      </c>
      <c r="H86" s="20" t="str">
        <f t="shared" si="3"/>
        <v>4029</v>
      </c>
    </row>
    <row r="87" spans="1:8" x14ac:dyDescent="0.25">
      <c r="A87" s="8">
        <v>42997.434560185182</v>
      </c>
      <c r="B87" s="20" t="s">
        <v>501</v>
      </c>
      <c r="C87" s="20" t="s">
        <v>727</v>
      </c>
      <c r="D87" s="138">
        <v>3120000</v>
      </c>
      <c r="E87" s="20" t="s">
        <v>499</v>
      </c>
      <c r="F87" s="20" t="s">
        <v>500</v>
      </c>
      <c r="G87" s="8" t="str">
        <f t="shared" si="2"/>
        <v>THOMPSON LESTER</v>
      </c>
      <c r="H87" s="20" t="str">
        <f t="shared" si="3"/>
        <v>4055</v>
      </c>
    </row>
    <row r="88" spans="1:8" x14ac:dyDescent="0.25">
      <c r="A88" s="8">
        <v>42997.435266203705</v>
      </c>
      <c r="B88" s="20" t="s">
        <v>443</v>
      </c>
      <c r="C88" s="20" t="s">
        <v>728</v>
      </c>
      <c r="D88" s="138">
        <v>3000000</v>
      </c>
      <c r="E88" s="20" t="s">
        <v>676</v>
      </c>
      <c r="F88" s="20" t="s">
        <v>677</v>
      </c>
      <c r="G88" s="8" t="str">
        <f t="shared" si="2"/>
        <v>FORTUNATO FRANK</v>
      </c>
      <c r="H88" s="20" t="str">
        <f t="shared" si="3"/>
        <v>4043</v>
      </c>
    </row>
    <row r="89" spans="1:8" x14ac:dyDescent="0.25">
      <c r="A89" s="8">
        <v>42997.441064814811</v>
      </c>
      <c r="B89" s="20" t="s">
        <v>540</v>
      </c>
      <c r="C89" s="20" t="s">
        <v>729</v>
      </c>
      <c r="D89" s="138">
        <v>2150000</v>
      </c>
      <c r="E89" s="20" t="s">
        <v>546</v>
      </c>
      <c r="F89" s="20" t="s">
        <v>547</v>
      </c>
      <c r="G89" s="8" t="str">
        <f t="shared" si="2"/>
        <v>SWANSON BRYCE</v>
      </c>
      <c r="H89" s="20" t="str">
        <f t="shared" si="3"/>
        <v>4017</v>
      </c>
    </row>
    <row r="90" spans="1:8" x14ac:dyDescent="0.25">
      <c r="A90" s="8">
        <v>42997.445405092592</v>
      </c>
      <c r="B90" s="20" t="s">
        <v>434</v>
      </c>
      <c r="C90" s="20" t="s">
        <v>730</v>
      </c>
      <c r="D90" s="138">
        <v>920000</v>
      </c>
      <c r="E90" s="20" t="s">
        <v>345</v>
      </c>
      <c r="F90" s="20" t="s">
        <v>191</v>
      </c>
      <c r="G90" s="8" t="str">
        <f t="shared" si="2"/>
        <v>DAVIS MICHAEL</v>
      </c>
      <c r="H90" s="20" t="str">
        <f t="shared" si="3"/>
        <v>4028</v>
      </c>
    </row>
    <row r="91" spans="1:8" x14ac:dyDescent="0.25">
      <c r="A91" s="8">
        <v>42997.454270833332</v>
      </c>
      <c r="B91" s="20" t="s">
        <v>399</v>
      </c>
      <c r="C91" s="20" t="s">
        <v>731</v>
      </c>
      <c r="D91" s="138">
        <v>3090000</v>
      </c>
      <c r="E91" s="20" t="s">
        <v>504</v>
      </c>
      <c r="F91" s="20" t="s">
        <v>505</v>
      </c>
      <c r="G91" s="8" t="str">
        <f t="shared" si="2"/>
        <v>LAMAR NEKESHA</v>
      </c>
      <c r="H91" s="20" t="str">
        <f t="shared" si="3"/>
        <v>4015</v>
      </c>
    </row>
    <row r="92" spans="1:8" x14ac:dyDescent="0.25">
      <c r="A92" s="8">
        <v>42997.456296296295</v>
      </c>
      <c r="B92" s="20" t="s">
        <v>628</v>
      </c>
      <c r="C92" s="20" t="s">
        <v>629</v>
      </c>
      <c r="D92" s="138">
        <v>3030000</v>
      </c>
      <c r="E92" s="20" t="s">
        <v>544</v>
      </c>
      <c r="F92" s="20" t="s">
        <v>545</v>
      </c>
      <c r="G92" s="8" t="str">
        <f t="shared" si="2"/>
        <v>BIRENBAUM THOMAS</v>
      </c>
      <c r="H92" s="20" t="str">
        <f t="shared" si="3"/>
        <v>4014</v>
      </c>
    </row>
    <row r="93" spans="1:8" x14ac:dyDescent="0.25">
      <c r="A93" s="8">
        <v>42997.45721064815</v>
      </c>
      <c r="B93" s="20" t="s">
        <v>620</v>
      </c>
      <c r="C93" s="20" t="s">
        <v>627</v>
      </c>
      <c r="D93" s="138">
        <v>3000000</v>
      </c>
      <c r="E93" s="20" t="s">
        <v>676</v>
      </c>
      <c r="F93" s="20" t="s">
        <v>677</v>
      </c>
      <c r="G93" s="8" t="str">
        <f t="shared" si="2"/>
        <v>FORTUNATO FRANK</v>
      </c>
      <c r="H93" s="20" t="str">
        <f t="shared" si="3"/>
        <v>4044</v>
      </c>
    </row>
    <row r="94" spans="1:8" x14ac:dyDescent="0.25">
      <c r="A94" s="8">
        <v>42997.46361111111</v>
      </c>
      <c r="B94" s="20" t="s">
        <v>634</v>
      </c>
      <c r="C94" s="20" t="s">
        <v>732</v>
      </c>
      <c r="D94" s="138">
        <v>2730000</v>
      </c>
      <c r="E94" s="20" t="s">
        <v>664</v>
      </c>
      <c r="F94" s="20" t="s">
        <v>665</v>
      </c>
      <c r="G94" s="8" t="str">
        <f t="shared" si="2"/>
        <v>YANG JAN</v>
      </c>
      <c r="H94" s="20" t="str">
        <f t="shared" si="3"/>
        <v>4049</v>
      </c>
    </row>
    <row r="95" spans="1:8" x14ac:dyDescent="0.25">
      <c r="A95" s="8">
        <v>42997.464050925926</v>
      </c>
      <c r="B95" s="20" t="s">
        <v>623</v>
      </c>
      <c r="C95" s="20" t="s">
        <v>733</v>
      </c>
      <c r="D95" s="138">
        <v>3510000</v>
      </c>
      <c r="E95" s="20" t="s">
        <v>541</v>
      </c>
      <c r="F95" s="20" t="s">
        <v>542</v>
      </c>
      <c r="G95" s="8" t="str">
        <f t="shared" si="2"/>
        <v>BARRON PERLA</v>
      </c>
      <c r="H95" s="20" t="str">
        <f t="shared" si="3"/>
        <v>4053</v>
      </c>
    </row>
    <row r="96" spans="1:8" x14ac:dyDescent="0.25">
      <c r="A96" s="8">
        <v>42997.466469907406</v>
      </c>
      <c r="B96" s="20" t="s">
        <v>497</v>
      </c>
      <c r="C96" s="20" t="s">
        <v>734</v>
      </c>
      <c r="D96" s="138">
        <v>1770000</v>
      </c>
      <c r="E96" s="20" t="s">
        <v>735</v>
      </c>
      <c r="F96" s="20" t="s">
        <v>736</v>
      </c>
      <c r="G96" s="8" t="str">
        <f t="shared" si="2"/>
        <v>BRUDER RICHARD</v>
      </c>
      <c r="H96" s="20" t="str">
        <f t="shared" si="3"/>
        <v>4056</v>
      </c>
    </row>
    <row r="97" spans="1:8" x14ac:dyDescent="0.25">
      <c r="A97" s="8">
        <v>42997.475266203706</v>
      </c>
      <c r="B97" s="20" t="s">
        <v>375</v>
      </c>
      <c r="C97" s="20" t="s">
        <v>737</v>
      </c>
      <c r="D97" s="138">
        <v>2040000</v>
      </c>
      <c r="E97" s="20" t="s">
        <v>738</v>
      </c>
      <c r="F97" s="20" t="s">
        <v>739</v>
      </c>
      <c r="G97" s="8" t="str">
        <f t="shared" si="2"/>
        <v>MOSES BRADLEY</v>
      </c>
      <c r="H97" s="20" t="str">
        <f t="shared" si="3"/>
        <v>4030</v>
      </c>
    </row>
    <row r="98" spans="1:8" x14ac:dyDescent="0.25">
      <c r="A98" s="8">
        <v>42997.477083333331</v>
      </c>
      <c r="B98" s="20" t="s">
        <v>443</v>
      </c>
      <c r="C98" s="20" t="s">
        <v>630</v>
      </c>
      <c r="D98" s="138">
        <v>3000000</v>
      </c>
      <c r="E98" s="20" t="s">
        <v>676</v>
      </c>
      <c r="F98" s="20" t="s">
        <v>677</v>
      </c>
      <c r="G98" s="8" t="str">
        <f t="shared" si="2"/>
        <v>FORTUNATO FRANK</v>
      </c>
      <c r="H98" s="20" t="str">
        <f t="shared" si="3"/>
        <v>4043</v>
      </c>
    </row>
    <row r="99" spans="1:8" x14ac:dyDescent="0.25">
      <c r="A99" s="8">
        <v>42997.478761574072</v>
      </c>
      <c r="B99" s="20" t="s">
        <v>536</v>
      </c>
      <c r="C99" s="20" t="s">
        <v>740</v>
      </c>
      <c r="D99" s="138">
        <v>2470000</v>
      </c>
      <c r="E99" s="20" t="s">
        <v>706</v>
      </c>
      <c r="F99" s="20" t="s">
        <v>707</v>
      </c>
      <c r="G99" s="8" t="str">
        <f t="shared" si="2"/>
        <v>ROMERO CHAD</v>
      </c>
      <c r="H99" s="20" t="str">
        <f t="shared" si="3"/>
        <v>4018</v>
      </c>
    </row>
    <row r="100" spans="1:8" x14ac:dyDescent="0.25">
      <c r="A100" s="8">
        <v>42997.484178240738</v>
      </c>
      <c r="B100" s="20" t="s">
        <v>611</v>
      </c>
      <c r="C100" s="20" t="s">
        <v>741</v>
      </c>
      <c r="D100" s="138">
        <v>3030000</v>
      </c>
      <c r="E100" s="20" t="s">
        <v>544</v>
      </c>
      <c r="F100" s="20" t="s">
        <v>545</v>
      </c>
      <c r="G100" s="8" t="str">
        <f t="shared" si="2"/>
        <v>BIRENBAUM THOMAS</v>
      </c>
      <c r="H100" s="20" t="str">
        <f t="shared" si="3"/>
        <v>4013</v>
      </c>
    </row>
    <row r="101" spans="1:8" x14ac:dyDescent="0.25">
      <c r="A101" s="8">
        <v>42997.485590277778</v>
      </c>
      <c r="B101" s="20" t="s">
        <v>400</v>
      </c>
      <c r="C101" s="20" t="s">
        <v>742</v>
      </c>
      <c r="D101" s="138">
        <v>1300000</v>
      </c>
      <c r="E101" s="20" t="s">
        <v>550</v>
      </c>
      <c r="F101" s="20" t="s">
        <v>551</v>
      </c>
      <c r="G101" s="8" t="str">
        <f t="shared" si="2"/>
        <v>LEVIN SCOTT</v>
      </c>
      <c r="H101" s="20" t="str">
        <f t="shared" si="3"/>
        <v>4016</v>
      </c>
    </row>
    <row r="102" spans="1:8" x14ac:dyDescent="0.25">
      <c r="A102" s="8">
        <v>42997.486226851855</v>
      </c>
      <c r="B102" s="20" t="s">
        <v>609</v>
      </c>
      <c r="C102" s="20" t="s">
        <v>743</v>
      </c>
      <c r="D102" s="138">
        <v>920000</v>
      </c>
      <c r="E102" s="20" t="s">
        <v>345</v>
      </c>
      <c r="F102" s="20" t="s">
        <v>191</v>
      </c>
      <c r="G102" s="8" t="str">
        <f t="shared" si="2"/>
        <v>DAVIS MICHAEL</v>
      </c>
      <c r="H102" s="20" t="str">
        <f t="shared" si="3"/>
        <v>4027</v>
      </c>
    </row>
    <row r="103" spans="1:8" x14ac:dyDescent="0.25">
      <c r="A103" s="8">
        <v>42997.49596064815</v>
      </c>
      <c r="B103" s="20" t="s">
        <v>625</v>
      </c>
      <c r="C103" s="20" t="s">
        <v>744</v>
      </c>
      <c r="D103" s="138">
        <v>1180000</v>
      </c>
      <c r="E103" s="20" t="s">
        <v>548</v>
      </c>
      <c r="F103" s="20" t="s">
        <v>549</v>
      </c>
      <c r="G103" s="8" t="str">
        <f t="shared" si="2"/>
        <v>LEVERE CRAIG</v>
      </c>
      <c r="H103" s="20" t="str">
        <f t="shared" si="3"/>
        <v>4050</v>
      </c>
    </row>
    <row r="104" spans="1:8" x14ac:dyDescent="0.25">
      <c r="A104" s="8">
        <v>42997.501944444448</v>
      </c>
      <c r="B104" s="20" t="s">
        <v>620</v>
      </c>
      <c r="C104" s="20" t="s">
        <v>745</v>
      </c>
      <c r="D104" s="138">
        <v>3000000</v>
      </c>
      <c r="E104" s="20" t="s">
        <v>676</v>
      </c>
      <c r="F104" s="20" t="s">
        <v>677</v>
      </c>
      <c r="G104" s="8" t="str">
        <f t="shared" si="2"/>
        <v>FORTUNATO FRANK</v>
      </c>
      <c r="H104" s="20" t="str">
        <f t="shared" si="3"/>
        <v>4044</v>
      </c>
    </row>
    <row r="105" spans="1:8" x14ac:dyDescent="0.25">
      <c r="A105" s="8">
        <v>42997.505925925929</v>
      </c>
      <c r="B105" s="20" t="s">
        <v>501</v>
      </c>
      <c r="C105" s="20" t="s">
        <v>746</v>
      </c>
      <c r="D105" s="138">
        <v>1770000</v>
      </c>
      <c r="E105" s="20" t="s">
        <v>735</v>
      </c>
      <c r="F105" s="20" t="s">
        <v>736</v>
      </c>
      <c r="G105" s="8" t="str">
        <f t="shared" si="2"/>
        <v>BRUDER RICHARD</v>
      </c>
      <c r="H105" s="20" t="str">
        <f t="shared" si="3"/>
        <v>4055</v>
      </c>
    </row>
    <row r="106" spans="1:8" x14ac:dyDescent="0.25">
      <c r="A106" s="8">
        <v>42997.507384259261</v>
      </c>
      <c r="B106" s="20" t="s">
        <v>613</v>
      </c>
      <c r="C106" s="20" t="s">
        <v>631</v>
      </c>
      <c r="D106" s="138">
        <v>2630000</v>
      </c>
      <c r="E106" s="20" t="s">
        <v>506</v>
      </c>
      <c r="F106" s="20" t="s">
        <v>507</v>
      </c>
      <c r="G106" s="8" t="str">
        <f t="shared" si="2"/>
        <v>SAFIEF AEIMEN</v>
      </c>
      <c r="H106" s="20" t="str">
        <f t="shared" si="3"/>
        <v>4054</v>
      </c>
    </row>
    <row r="107" spans="1:8" x14ac:dyDescent="0.25">
      <c r="A107" s="8">
        <v>42997.515405092592</v>
      </c>
      <c r="B107" s="20" t="s">
        <v>419</v>
      </c>
      <c r="C107" s="20" t="s">
        <v>632</v>
      </c>
      <c r="D107" s="138">
        <v>2040000</v>
      </c>
      <c r="E107" s="20" t="s">
        <v>738</v>
      </c>
      <c r="F107" s="20" t="s">
        <v>739</v>
      </c>
      <c r="G107" s="8" t="str">
        <f t="shared" si="2"/>
        <v>MOSES BRADLEY</v>
      </c>
      <c r="H107" s="20" t="str">
        <f t="shared" si="3"/>
        <v>4029</v>
      </c>
    </row>
    <row r="108" spans="1:8" x14ac:dyDescent="0.25">
      <c r="A108" s="8">
        <v>42997.517708333333</v>
      </c>
      <c r="B108" s="20" t="s">
        <v>443</v>
      </c>
      <c r="C108" s="20" t="s">
        <v>747</v>
      </c>
      <c r="D108" s="138">
        <v>3000000</v>
      </c>
      <c r="E108" s="20" t="s">
        <v>676</v>
      </c>
      <c r="F108" s="20" t="s">
        <v>677</v>
      </c>
      <c r="G108" s="8" t="str">
        <f t="shared" si="2"/>
        <v>FORTUNATO FRANK</v>
      </c>
      <c r="H108" s="20" t="str">
        <f t="shared" si="3"/>
        <v>4043</v>
      </c>
    </row>
    <row r="109" spans="1:8" x14ac:dyDescent="0.25">
      <c r="A109" s="8">
        <v>42997.519976851851</v>
      </c>
      <c r="B109" s="20" t="s">
        <v>434</v>
      </c>
      <c r="C109" s="20" t="s">
        <v>633</v>
      </c>
      <c r="D109" s="138">
        <v>920000</v>
      </c>
      <c r="E109" s="20" t="s">
        <v>345</v>
      </c>
      <c r="F109" s="20" t="s">
        <v>191</v>
      </c>
      <c r="G109" s="8" t="str">
        <f t="shared" si="2"/>
        <v>DAVIS MICHAEL</v>
      </c>
      <c r="H109" s="20" t="str">
        <f t="shared" si="3"/>
        <v>4028</v>
      </c>
    </row>
    <row r="110" spans="1:8" x14ac:dyDescent="0.25">
      <c r="A110" s="8">
        <v>42997.524351851855</v>
      </c>
      <c r="B110" s="20" t="s">
        <v>399</v>
      </c>
      <c r="C110" s="20" t="s">
        <v>748</v>
      </c>
      <c r="D110" s="138">
        <v>1300000</v>
      </c>
      <c r="E110" s="20" t="s">
        <v>550</v>
      </c>
      <c r="F110" s="20" t="s">
        <v>551</v>
      </c>
      <c r="G110" s="8" t="str">
        <f t="shared" si="2"/>
        <v>LEVIN SCOTT</v>
      </c>
      <c r="H110" s="20" t="str">
        <f t="shared" si="3"/>
        <v>4015</v>
      </c>
    </row>
    <row r="111" spans="1:8" x14ac:dyDescent="0.25">
      <c r="A111" s="8">
        <v>42997.526701388888</v>
      </c>
      <c r="B111" s="20" t="s">
        <v>628</v>
      </c>
      <c r="C111" s="20" t="s">
        <v>749</v>
      </c>
      <c r="D111" s="138">
        <v>2230000</v>
      </c>
      <c r="E111" s="20" t="s">
        <v>508</v>
      </c>
      <c r="F111" s="20" t="s">
        <v>191</v>
      </c>
      <c r="G111" s="8" t="str">
        <f t="shared" si="2"/>
        <v>SMITH MICHAEL</v>
      </c>
      <c r="H111" s="20" t="str">
        <f t="shared" si="3"/>
        <v>4014</v>
      </c>
    </row>
    <row r="112" spans="1:8" x14ac:dyDescent="0.25">
      <c r="A112" s="8">
        <v>42997.534004629626</v>
      </c>
      <c r="B112" s="20" t="s">
        <v>634</v>
      </c>
      <c r="C112" s="20" t="s">
        <v>635</v>
      </c>
      <c r="D112" s="138">
        <v>1180000</v>
      </c>
      <c r="E112" s="20" t="s">
        <v>548</v>
      </c>
      <c r="F112" s="20" t="s">
        <v>549</v>
      </c>
      <c r="G112" s="8" t="str">
        <f t="shared" si="2"/>
        <v>LEVERE CRAIG</v>
      </c>
      <c r="H112" s="20" t="str">
        <f t="shared" si="3"/>
        <v>4049</v>
      </c>
    </row>
    <row r="113" spans="1:8" x14ac:dyDescent="0.25">
      <c r="A113" s="8">
        <v>42997.542083333334</v>
      </c>
      <c r="B113" s="20" t="s">
        <v>623</v>
      </c>
      <c r="C113" s="20" t="s">
        <v>750</v>
      </c>
      <c r="D113" s="138">
        <v>2630000</v>
      </c>
      <c r="E113" s="20" t="s">
        <v>506</v>
      </c>
      <c r="F113" s="20" t="s">
        <v>507</v>
      </c>
      <c r="G113" s="8" t="str">
        <f t="shared" si="2"/>
        <v>SAFIEF AEIMEN</v>
      </c>
      <c r="H113" s="20" t="str">
        <f t="shared" si="3"/>
        <v>4053</v>
      </c>
    </row>
    <row r="114" spans="1:8" x14ac:dyDescent="0.25">
      <c r="A114" s="8">
        <v>42997.542268518519</v>
      </c>
      <c r="B114" s="20" t="s">
        <v>620</v>
      </c>
      <c r="C114" s="20" t="s">
        <v>751</v>
      </c>
      <c r="D114" s="138">
        <v>3130000</v>
      </c>
      <c r="E114" s="20" t="s">
        <v>752</v>
      </c>
      <c r="F114" s="20" t="s">
        <v>753</v>
      </c>
      <c r="G114" s="8" t="str">
        <f t="shared" si="2"/>
        <v>ZEWDU DEREJE</v>
      </c>
      <c r="H114" s="20" t="str">
        <f t="shared" si="3"/>
        <v>4044</v>
      </c>
    </row>
    <row r="115" spans="1:8" x14ac:dyDescent="0.25">
      <c r="A115" s="8">
        <v>42997.543171296296</v>
      </c>
      <c r="B115" s="20" t="s">
        <v>497</v>
      </c>
      <c r="C115" s="20" t="s">
        <v>754</v>
      </c>
      <c r="D115" s="138">
        <v>1770000</v>
      </c>
      <c r="E115" s="20" t="s">
        <v>735</v>
      </c>
      <c r="F115" s="20" t="s">
        <v>736</v>
      </c>
      <c r="G115" s="8" t="str">
        <f t="shared" si="2"/>
        <v>BRUDER RICHARD</v>
      </c>
      <c r="H115" s="20" t="str">
        <f t="shared" si="3"/>
        <v>4056</v>
      </c>
    </row>
    <row r="116" spans="1:8" x14ac:dyDescent="0.25">
      <c r="A116" s="8">
        <v>42997.550405092596</v>
      </c>
      <c r="B116" s="20" t="s">
        <v>375</v>
      </c>
      <c r="C116" s="20" t="s">
        <v>755</v>
      </c>
      <c r="D116" s="138">
        <v>2040000</v>
      </c>
      <c r="E116" s="20" t="s">
        <v>738</v>
      </c>
      <c r="F116" s="20" t="s">
        <v>739</v>
      </c>
      <c r="G116" s="8" t="str">
        <f t="shared" si="2"/>
        <v>MOSES BRADLEY</v>
      </c>
      <c r="H116" s="20" t="str">
        <f t="shared" si="3"/>
        <v>4030</v>
      </c>
    </row>
    <row r="117" spans="1:8" x14ac:dyDescent="0.25">
      <c r="A117" s="8">
        <v>42997.557106481479</v>
      </c>
      <c r="B117" s="20" t="s">
        <v>400</v>
      </c>
      <c r="C117" s="20" t="s">
        <v>756</v>
      </c>
      <c r="D117" s="138">
        <v>1300000</v>
      </c>
      <c r="E117" s="20" t="s">
        <v>550</v>
      </c>
      <c r="F117" s="20" t="s">
        <v>551</v>
      </c>
      <c r="G117" s="8" t="str">
        <f t="shared" si="2"/>
        <v>LEVIN SCOTT</v>
      </c>
      <c r="H117" s="20" t="str">
        <f t="shared" si="3"/>
        <v>4016</v>
      </c>
    </row>
    <row r="118" spans="1:8" x14ac:dyDescent="0.25">
      <c r="A118" s="8">
        <v>42997.558923611112</v>
      </c>
      <c r="B118" s="20" t="s">
        <v>609</v>
      </c>
      <c r="C118" s="20" t="s">
        <v>757</v>
      </c>
      <c r="D118" s="138">
        <v>920000</v>
      </c>
      <c r="E118" s="20" t="s">
        <v>345</v>
      </c>
      <c r="F118" s="20" t="s">
        <v>191</v>
      </c>
      <c r="G118" s="8" t="str">
        <f t="shared" si="2"/>
        <v>DAVIS MICHAEL</v>
      </c>
      <c r="H118" s="20" t="str">
        <f t="shared" si="3"/>
        <v>4027</v>
      </c>
    </row>
    <row r="119" spans="1:8" x14ac:dyDescent="0.25">
      <c r="A119" s="8">
        <v>42997.559201388889</v>
      </c>
      <c r="B119" s="20" t="s">
        <v>634</v>
      </c>
      <c r="C119" s="20" t="s">
        <v>635</v>
      </c>
      <c r="D119" s="138">
        <v>1180000</v>
      </c>
      <c r="E119" s="20" t="s">
        <v>548</v>
      </c>
      <c r="F119" s="20" t="s">
        <v>549</v>
      </c>
      <c r="G119" s="8" t="str">
        <f t="shared" si="2"/>
        <v>LEVERE CRAIG</v>
      </c>
      <c r="H119" s="20" t="str">
        <f t="shared" si="3"/>
        <v>4049</v>
      </c>
    </row>
    <row r="120" spans="1:8" x14ac:dyDescent="0.25">
      <c r="A120" s="8">
        <v>42997.560196759259</v>
      </c>
      <c r="B120" s="20" t="s">
        <v>443</v>
      </c>
      <c r="C120" s="20" t="s">
        <v>758</v>
      </c>
      <c r="D120" s="138">
        <v>3130000</v>
      </c>
      <c r="E120" s="20" t="s">
        <v>752</v>
      </c>
      <c r="F120" s="20" t="s">
        <v>753</v>
      </c>
      <c r="G120" s="8" t="str">
        <f t="shared" si="2"/>
        <v>ZEWDU DEREJE</v>
      </c>
      <c r="H120" s="20" t="str">
        <f t="shared" si="3"/>
        <v>4043</v>
      </c>
    </row>
    <row r="121" spans="1:8" x14ac:dyDescent="0.25">
      <c r="A121" s="8">
        <v>42997.567002314812</v>
      </c>
      <c r="B121" s="20" t="s">
        <v>611</v>
      </c>
      <c r="C121" s="20" t="s">
        <v>759</v>
      </c>
      <c r="D121" s="138">
        <v>2230000</v>
      </c>
      <c r="E121" s="20" t="s">
        <v>508</v>
      </c>
      <c r="F121" s="20" t="s">
        <v>191</v>
      </c>
      <c r="G121" s="8" t="str">
        <f t="shared" si="2"/>
        <v>SMITH MICHAEL</v>
      </c>
      <c r="H121" s="20" t="str">
        <f t="shared" si="3"/>
        <v>4013</v>
      </c>
    </row>
    <row r="122" spans="1:8" x14ac:dyDescent="0.25">
      <c r="A122" s="8">
        <v>42997.571828703702</v>
      </c>
      <c r="B122" s="25" t="s">
        <v>625</v>
      </c>
      <c r="C122" s="20" t="s">
        <v>760</v>
      </c>
      <c r="D122" s="138">
        <v>1180000</v>
      </c>
      <c r="E122" s="20" t="s">
        <v>548</v>
      </c>
      <c r="F122" s="20" t="s">
        <v>549</v>
      </c>
      <c r="G122" s="8" t="str">
        <f t="shared" si="2"/>
        <v>LEVERE CRAIG</v>
      </c>
      <c r="H122" s="20" t="str">
        <f t="shared" si="3"/>
        <v>4050</v>
      </c>
    </row>
    <row r="123" spans="1:8" x14ac:dyDescent="0.25">
      <c r="A123" s="8">
        <v>42997.578865740739</v>
      </c>
      <c r="B123" s="20" t="s">
        <v>501</v>
      </c>
      <c r="C123" s="20" t="s">
        <v>761</v>
      </c>
      <c r="D123" s="138">
        <v>1770000</v>
      </c>
      <c r="E123" s="20" t="s">
        <v>735</v>
      </c>
      <c r="F123" s="20" t="s">
        <v>736</v>
      </c>
      <c r="G123" s="8" t="str">
        <f t="shared" si="2"/>
        <v>BRUDER RICHARD</v>
      </c>
      <c r="H123" s="20" t="str">
        <f t="shared" si="3"/>
        <v>4055</v>
      </c>
    </row>
    <row r="124" spans="1:8" x14ac:dyDescent="0.25">
      <c r="A124" s="8">
        <v>42997.579756944448</v>
      </c>
      <c r="B124" s="20" t="s">
        <v>613</v>
      </c>
      <c r="C124" s="20" t="s">
        <v>762</v>
      </c>
      <c r="D124" s="138">
        <v>2630000</v>
      </c>
      <c r="E124" s="20" t="s">
        <v>506</v>
      </c>
      <c r="F124" s="20" t="s">
        <v>507</v>
      </c>
      <c r="G124" s="8" t="str">
        <f t="shared" si="2"/>
        <v>SAFIEF AEIMEN</v>
      </c>
      <c r="H124" s="20" t="str">
        <f t="shared" si="3"/>
        <v>4054</v>
      </c>
    </row>
    <row r="125" spans="1:8" x14ac:dyDescent="0.25">
      <c r="A125" s="8">
        <v>42997.586134259262</v>
      </c>
      <c r="B125" s="20" t="s">
        <v>620</v>
      </c>
      <c r="C125" s="20" t="s">
        <v>763</v>
      </c>
      <c r="D125" s="138">
        <v>3130000</v>
      </c>
      <c r="E125" s="20" t="s">
        <v>752</v>
      </c>
      <c r="F125" s="20" t="s">
        <v>753</v>
      </c>
      <c r="G125" s="8" t="str">
        <f t="shared" si="2"/>
        <v>ZEWDU DEREJE</v>
      </c>
      <c r="H125" s="20" t="str">
        <f t="shared" si="3"/>
        <v>4044</v>
      </c>
    </row>
    <row r="126" spans="1:8" x14ac:dyDescent="0.25">
      <c r="A126" s="8">
        <v>42997.587777777779</v>
      </c>
      <c r="B126" s="20" t="s">
        <v>419</v>
      </c>
      <c r="C126" s="20" t="s">
        <v>764</v>
      </c>
      <c r="D126" s="138">
        <v>2040000</v>
      </c>
      <c r="E126" s="20" t="s">
        <v>738</v>
      </c>
      <c r="F126" s="20" t="s">
        <v>739</v>
      </c>
      <c r="G126" s="8" t="str">
        <f t="shared" si="2"/>
        <v>MOSES BRADLEY</v>
      </c>
      <c r="H126" s="20" t="str">
        <f t="shared" si="3"/>
        <v>4029</v>
      </c>
    </row>
    <row r="127" spans="1:8" x14ac:dyDescent="0.25">
      <c r="A127" s="8">
        <v>42997.592118055552</v>
      </c>
      <c r="B127" s="20" t="s">
        <v>434</v>
      </c>
      <c r="C127" s="20" t="s">
        <v>636</v>
      </c>
      <c r="D127" s="138">
        <v>920000</v>
      </c>
      <c r="E127" s="20" t="s">
        <v>345</v>
      </c>
      <c r="F127" s="20" t="s">
        <v>191</v>
      </c>
      <c r="G127" s="8" t="str">
        <f t="shared" si="2"/>
        <v>DAVIS MICHAEL</v>
      </c>
      <c r="H127" s="20" t="str">
        <f t="shared" si="3"/>
        <v>4028</v>
      </c>
    </row>
    <row r="128" spans="1:8" x14ac:dyDescent="0.25">
      <c r="A128" s="8">
        <v>42997.594236111108</v>
      </c>
      <c r="B128" s="20" t="s">
        <v>399</v>
      </c>
      <c r="C128" s="20" t="s">
        <v>765</v>
      </c>
      <c r="D128" s="138">
        <v>1300000</v>
      </c>
      <c r="E128" s="20" t="s">
        <v>550</v>
      </c>
      <c r="F128" s="20" t="s">
        <v>551</v>
      </c>
      <c r="G128" s="8" t="str">
        <f t="shared" si="2"/>
        <v>LEVIN SCOTT</v>
      </c>
      <c r="H128" s="20" t="str">
        <f t="shared" si="3"/>
        <v>4015</v>
      </c>
    </row>
    <row r="129" spans="1:8" x14ac:dyDescent="0.25">
      <c r="A129" s="8">
        <v>42997.599699074075</v>
      </c>
      <c r="B129" s="20" t="s">
        <v>628</v>
      </c>
      <c r="C129" s="20" t="s">
        <v>766</v>
      </c>
      <c r="D129" s="138">
        <v>2230000</v>
      </c>
      <c r="E129" s="20" t="s">
        <v>508</v>
      </c>
      <c r="F129" s="20" t="s">
        <v>191</v>
      </c>
      <c r="G129" s="8" t="str">
        <f t="shared" si="2"/>
        <v>SMITH MICHAEL</v>
      </c>
      <c r="H129" s="20" t="str">
        <f t="shared" si="3"/>
        <v>4014</v>
      </c>
    </row>
    <row r="130" spans="1:8" x14ac:dyDescent="0.25">
      <c r="A130" s="8">
        <v>42997.603159722225</v>
      </c>
      <c r="B130" s="20" t="s">
        <v>443</v>
      </c>
      <c r="C130" s="20" t="s">
        <v>767</v>
      </c>
      <c r="D130" s="138">
        <v>3130000</v>
      </c>
      <c r="E130" s="20" t="s">
        <v>752</v>
      </c>
      <c r="F130" s="20" t="s">
        <v>753</v>
      </c>
      <c r="G130" s="8" t="str">
        <f t="shared" si="2"/>
        <v>ZEWDU DEREJE</v>
      </c>
      <c r="H130" s="20" t="str">
        <f t="shared" si="3"/>
        <v>4043</v>
      </c>
    </row>
    <row r="131" spans="1:8" x14ac:dyDescent="0.25">
      <c r="A131" s="8">
        <v>42997.606874999998</v>
      </c>
      <c r="B131" s="20" t="s">
        <v>634</v>
      </c>
      <c r="C131" s="20" t="s">
        <v>637</v>
      </c>
      <c r="D131" s="138">
        <v>1180000</v>
      </c>
      <c r="E131" s="20" t="s">
        <v>548</v>
      </c>
      <c r="F131" s="20" t="s">
        <v>549</v>
      </c>
      <c r="G131" s="8" t="str">
        <f t="shared" ref="G131:G194" si="4">E131&amp;" "&amp;F131</f>
        <v>LEVERE CRAIG</v>
      </c>
      <c r="H131" s="20" t="str">
        <f t="shared" ref="H131:H194" si="5">MID(B131,13,4)</f>
        <v>4049</v>
      </c>
    </row>
    <row r="132" spans="1:8" x14ac:dyDescent="0.25">
      <c r="A132" s="8">
        <v>42997.611458333333</v>
      </c>
      <c r="B132" s="20" t="s">
        <v>497</v>
      </c>
      <c r="C132" s="20" t="s">
        <v>768</v>
      </c>
      <c r="D132" s="138">
        <v>1770000</v>
      </c>
      <c r="E132" s="20" t="s">
        <v>735</v>
      </c>
      <c r="F132" s="20" t="s">
        <v>736</v>
      </c>
      <c r="G132" s="8" t="str">
        <f t="shared" si="4"/>
        <v>BRUDER RICHARD</v>
      </c>
      <c r="H132" s="20" t="str">
        <f t="shared" si="5"/>
        <v>4056</v>
      </c>
    </row>
    <row r="133" spans="1:8" x14ac:dyDescent="0.25">
      <c r="A133" s="8">
        <v>42997.613564814812</v>
      </c>
      <c r="B133" s="20" t="s">
        <v>623</v>
      </c>
      <c r="C133" s="20" t="s">
        <v>769</v>
      </c>
      <c r="D133" s="138">
        <v>2630000</v>
      </c>
      <c r="E133" s="20" t="s">
        <v>506</v>
      </c>
      <c r="F133" s="20" t="s">
        <v>507</v>
      </c>
      <c r="G133" s="8" t="str">
        <f t="shared" si="4"/>
        <v>SAFIEF AEIMEN</v>
      </c>
      <c r="H133" s="20" t="str">
        <f t="shared" si="5"/>
        <v>4053</v>
      </c>
    </row>
    <row r="134" spans="1:8" x14ac:dyDescent="0.25">
      <c r="A134" s="8">
        <v>42997.62096064815</v>
      </c>
      <c r="B134" s="20" t="s">
        <v>375</v>
      </c>
      <c r="C134" s="20" t="s">
        <v>770</v>
      </c>
      <c r="D134" s="138">
        <v>2040000</v>
      </c>
      <c r="E134" s="20" t="s">
        <v>738</v>
      </c>
      <c r="F134" s="20" t="s">
        <v>739</v>
      </c>
      <c r="G134" s="8" t="str">
        <f t="shared" si="4"/>
        <v>MOSES BRADLEY</v>
      </c>
      <c r="H134" s="20" t="str">
        <f t="shared" si="5"/>
        <v>4030</v>
      </c>
    </row>
    <row r="135" spans="1:8" x14ac:dyDescent="0.25">
      <c r="A135" s="8">
        <v>42997.624930555554</v>
      </c>
      <c r="B135" s="20" t="s">
        <v>620</v>
      </c>
      <c r="C135" s="20" t="s">
        <v>771</v>
      </c>
      <c r="D135" s="138">
        <v>3130000</v>
      </c>
      <c r="E135" s="20" t="s">
        <v>752</v>
      </c>
      <c r="F135" s="20" t="s">
        <v>753</v>
      </c>
      <c r="G135" s="8" t="str">
        <f t="shared" si="4"/>
        <v>ZEWDU DEREJE</v>
      </c>
      <c r="H135" s="20" t="str">
        <f t="shared" si="5"/>
        <v>4044</v>
      </c>
    </row>
    <row r="136" spans="1:8" x14ac:dyDescent="0.25">
      <c r="A136" s="8">
        <v>42997.631342592591</v>
      </c>
      <c r="B136" s="20" t="s">
        <v>611</v>
      </c>
      <c r="C136" s="20" t="s">
        <v>772</v>
      </c>
      <c r="D136" s="138">
        <v>2230000</v>
      </c>
      <c r="E136" s="20" t="s">
        <v>508</v>
      </c>
      <c r="F136" s="20" t="s">
        <v>191</v>
      </c>
      <c r="G136" s="8" t="str">
        <f t="shared" si="4"/>
        <v>SMITH MICHAEL</v>
      </c>
      <c r="H136" s="20" t="str">
        <f t="shared" si="5"/>
        <v>4013</v>
      </c>
    </row>
    <row r="137" spans="1:8" x14ac:dyDescent="0.25">
      <c r="A137" s="8">
        <v>42997.632141203707</v>
      </c>
      <c r="B137" s="20" t="s">
        <v>609</v>
      </c>
      <c r="C137" s="20" t="s">
        <v>773</v>
      </c>
      <c r="D137" s="138">
        <v>920000</v>
      </c>
      <c r="E137" s="20" t="s">
        <v>345</v>
      </c>
      <c r="F137" s="20" t="s">
        <v>191</v>
      </c>
      <c r="G137" s="8" t="str">
        <f t="shared" si="4"/>
        <v>DAVIS MICHAEL</v>
      </c>
      <c r="H137" s="20" t="str">
        <f t="shared" si="5"/>
        <v>4027</v>
      </c>
    </row>
    <row r="138" spans="1:8" x14ac:dyDescent="0.25">
      <c r="A138" s="8">
        <v>42997.632824074077</v>
      </c>
      <c r="B138" s="20" t="s">
        <v>400</v>
      </c>
      <c r="C138" s="20" t="s">
        <v>774</v>
      </c>
      <c r="D138" s="138">
        <v>1300000</v>
      </c>
      <c r="E138" s="20" t="s">
        <v>550</v>
      </c>
      <c r="F138" s="20" t="s">
        <v>551</v>
      </c>
      <c r="G138" s="8" t="str">
        <f t="shared" si="4"/>
        <v>LEVIN SCOTT</v>
      </c>
      <c r="H138" s="20" t="str">
        <f t="shared" si="5"/>
        <v>4016</v>
      </c>
    </row>
    <row r="139" spans="1:8" x14ac:dyDescent="0.25">
      <c r="A139" s="8">
        <v>42997.638784722221</v>
      </c>
      <c r="B139" s="20" t="s">
        <v>498</v>
      </c>
      <c r="C139" s="20" t="s">
        <v>775</v>
      </c>
      <c r="D139" s="138">
        <v>2000000</v>
      </c>
      <c r="E139" s="20" t="s">
        <v>425</v>
      </c>
      <c r="F139" s="20" t="s">
        <v>379</v>
      </c>
      <c r="G139" s="8" t="str">
        <f t="shared" si="4"/>
        <v>STAMBAUGH JAMES</v>
      </c>
      <c r="H139" s="20" t="str">
        <f t="shared" si="5"/>
        <v>4005</v>
      </c>
    </row>
    <row r="140" spans="1:8" x14ac:dyDescent="0.25">
      <c r="A140" s="8">
        <v>42997.641574074078</v>
      </c>
      <c r="B140" s="20" t="s">
        <v>625</v>
      </c>
      <c r="C140" s="20" t="s">
        <v>638</v>
      </c>
      <c r="D140" s="138">
        <v>1180000</v>
      </c>
      <c r="E140" s="20" t="s">
        <v>548</v>
      </c>
      <c r="F140" s="20" t="s">
        <v>549</v>
      </c>
      <c r="G140" s="8" t="str">
        <f t="shared" si="4"/>
        <v>LEVERE CRAIG</v>
      </c>
      <c r="H140" s="20" t="str">
        <f t="shared" si="5"/>
        <v>4050</v>
      </c>
    </row>
    <row r="141" spans="1:8" x14ac:dyDescent="0.25">
      <c r="A141" s="8">
        <v>42997.647986111115</v>
      </c>
      <c r="B141" s="20" t="s">
        <v>443</v>
      </c>
      <c r="C141" s="20" t="s">
        <v>776</v>
      </c>
      <c r="D141" s="138">
        <v>3130000</v>
      </c>
      <c r="E141" s="20" t="s">
        <v>752</v>
      </c>
      <c r="F141" s="20" t="s">
        <v>753</v>
      </c>
      <c r="G141" s="8" t="str">
        <f t="shared" si="4"/>
        <v>ZEWDU DEREJE</v>
      </c>
      <c r="H141" s="20" t="str">
        <f t="shared" si="5"/>
        <v>4043</v>
      </c>
    </row>
    <row r="142" spans="1:8" x14ac:dyDescent="0.25">
      <c r="A142" s="8">
        <v>42997.651446759257</v>
      </c>
      <c r="B142" s="20" t="s">
        <v>501</v>
      </c>
      <c r="C142" s="20" t="s">
        <v>777</v>
      </c>
      <c r="D142" s="138">
        <v>1770000</v>
      </c>
      <c r="E142" s="20" t="s">
        <v>735</v>
      </c>
      <c r="F142" s="20" t="s">
        <v>736</v>
      </c>
      <c r="G142" s="8" t="str">
        <f t="shared" si="4"/>
        <v>BRUDER RICHARD</v>
      </c>
      <c r="H142" s="20" t="str">
        <f t="shared" si="5"/>
        <v>4055</v>
      </c>
    </row>
    <row r="143" spans="1:8" x14ac:dyDescent="0.25">
      <c r="A143" s="8">
        <v>42997.651585648149</v>
      </c>
      <c r="B143" s="20" t="s">
        <v>539</v>
      </c>
      <c r="C143" s="20" t="s">
        <v>639</v>
      </c>
      <c r="D143" s="138">
        <v>2000000</v>
      </c>
      <c r="E143" s="20" t="s">
        <v>425</v>
      </c>
      <c r="F143" s="20" t="s">
        <v>379</v>
      </c>
      <c r="G143" s="8" t="str">
        <f t="shared" si="4"/>
        <v>STAMBAUGH JAMES</v>
      </c>
      <c r="H143" s="20" t="str">
        <f t="shared" si="5"/>
        <v>4006</v>
      </c>
    </row>
    <row r="144" spans="1:8" x14ac:dyDescent="0.25">
      <c r="A144" s="8">
        <v>42997.652592592596</v>
      </c>
      <c r="B144" s="20" t="s">
        <v>419</v>
      </c>
      <c r="C144" s="20" t="s">
        <v>778</v>
      </c>
      <c r="D144" s="138">
        <v>2040000</v>
      </c>
      <c r="E144" s="20" t="s">
        <v>738</v>
      </c>
      <c r="F144" s="20" t="s">
        <v>739</v>
      </c>
      <c r="G144" s="8" t="str">
        <f t="shared" si="4"/>
        <v>MOSES BRADLEY</v>
      </c>
      <c r="H144" s="20" t="str">
        <f t="shared" si="5"/>
        <v>4029</v>
      </c>
    </row>
    <row r="145" spans="1:8" x14ac:dyDescent="0.25">
      <c r="A145" s="8">
        <v>42997.652951388889</v>
      </c>
      <c r="B145" s="20" t="s">
        <v>613</v>
      </c>
      <c r="C145" s="20" t="s">
        <v>779</v>
      </c>
      <c r="D145" s="138">
        <v>2630000</v>
      </c>
      <c r="E145" s="20" t="s">
        <v>506</v>
      </c>
      <c r="F145" s="20" t="s">
        <v>507</v>
      </c>
      <c r="G145" s="8" t="str">
        <f t="shared" si="4"/>
        <v>SAFIEF AEIMEN</v>
      </c>
      <c r="H145" s="20" t="str">
        <f t="shared" si="5"/>
        <v>4054</v>
      </c>
    </row>
    <row r="146" spans="1:8" x14ac:dyDescent="0.25">
      <c r="A146" s="8">
        <v>42997.657858796294</v>
      </c>
      <c r="B146" s="20" t="s">
        <v>625</v>
      </c>
      <c r="C146" s="20" t="s">
        <v>638</v>
      </c>
      <c r="D146" s="138">
        <v>1180000</v>
      </c>
      <c r="E146" s="20" t="s">
        <v>548</v>
      </c>
      <c r="F146" s="20" t="s">
        <v>549</v>
      </c>
      <c r="G146" s="8" t="str">
        <f t="shared" si="4"/>
        <v>LEVERE CRAIG</v>
      </c>
      <c r="H146" s="20" t="str">
        <f t="shared" si="5"/>
        <v>4050</v>
      </c>
    </row>
    <row r="147" spans="1:8" x14ac:dyDescent="0.25">
      <c r="A147" s="8">
        <v>42997.663831018515</v>
      </c>
      <c r="B147" s="20" t="s">
        <v>498</v>
      </c>
      <c r="C147" s="20" t="s">
        <v>780</v>
      </c>
      <c r="D147" s="138">
        <v>2000000</v>
      </c>
      <c r="E147" s="20" t="s">
        <v>425</v>
      </c>
      <c r="F147" s="20" t="s">
        <v>379</v>
      </c>
      <c r="G147" s="8" t="str">
        <f t="shared" si="4"/>
        <v>STAMBAUGH JAMES</v>
      </c>
      <c r="H147" s="20" t="str">
        <f t="shared" si="5"/>
        <v>4005</v>
      </c>
    </row>
    <row r="148" spans="1:8" x14ac:dyDescent="0.25">
      <c r="A148" s="8">
        <v>42997.66511574074</v>
      </c>
      <c r="B148" s="20" t="s">
        <v>399</v>
      </c>
      <c r="C148" s="20" t="s">
        <v>781</v>
      </c>
      <c r="D148" s="138">
        <v>1300000</v>
      </c>
      <c r="E148" s="20" t="s">
        <v>550</v>
      </c>
      <c r="F148" s="20" t="s">
        <v>551</v>
      </c>
      <c r="G148" s="8" t="str">
        <f t="shared" si="4"/>
        <v>LEVIN SCOTT</v>
      </c>
      <c r="H148" s="20" t="str">
        <f t="shared" si="5"/>
        <v>4015</v>
      </c>
    </row>
    <row r="149" spans="1:8" x14ac:dyDescent="0.25">
      <c r="A149" s="8">
        <v>42997.665243055555</v>
      </c>
      <c r="B149" s="20" t="s">
        <v>434</v>
      </c>
      <c r="C149" s="20" t="s">
        <v>640</v>
      </c>
      <c r="D149" s="138">
        <v>920000</v>
      </c>
      <c r="E149" s="20" t="s">
        <v>345</v>
      </c>
      <c r="F149" s="20" t="s">
        <v>191</v>
      </c>
      <c r="G149" s="8" t="str">
        <f t="shared" si="4"/>
        <v>DAVIS MICHAEL</v>
      </c>
      <c r="H149" s="20" t="str">
        <f t="shared" si="5"/>
        <v>4028</v>
      </c>
    </row>
    <row r="150" spans="1:8" x14ac:dyDescent="0.25">
      <c r="A150" s="8">
        <v>42997.666273148148</v>
      </c>
      <c r="B150" s="20" t="s">
        <v>620</v>
      </c>
      <c r="C150" s="20" t="s">
        <v>782</v>
      </c>
      <c r="D150" s="138">
        <v>3130000</v>
      </c>
      <c r="E150" s="20" t="s">
        <v>752</v>
      </c>
      <c r="F150" s="20" t="s">
        <v>753</v>
      </c>
      <c r="G150" s="8" t="str">
        <f t="shared" si="4"/>
        <v>ZEWDU DEREJE</v>
      </c>
      <c r="H150" s="20" t="str">
        <f t="shared" si="5"/>
        <v>4044</v>
      </c>
    </row>
    <row r="151" spans="1:8" x14ac:dyDescent="0.25">
      <c r="A151" s="8">
        <v>42997.672280092593</v>
      </c>
      <c r="B151" s="20" t="s">
        <v>628</v>
      </c>
      <c r="C151" s="20" t="s">
        <v>783</v>
      </c>
      <c r="D151" s="138">
        <v>2230000</v>
      </c>
      <c r="E151" s="20" t="s">
        <v>508</v>
      </c>
      <c r="F151" s="20" t="s">
        <v>191</v>
      </c>
      <c r="G151" s="8" t="str">
        <f t="shared" si="4"/>
        <v>SMITH MICHAEL</v>
      </c>
      <c r="H151" s="20" t="str">
        <f t="shared" si="5"/>
        <v>4014</v>
      </c>
    </row>
    <row r="152" spans="1:8" x14ac:dyDescent="0.25">
      <c r="A152" s="8">
        <v>42997.684340277781</v>
      </c>
      <c r="B152" s="20" t="s">
        <v>648</v>
      </c>
      <c r="C152" s="20" t="s">
        <v>784</v>
      </c>
      <c r="D152" s="138">
        <v>1810000</v>
      </c>
      <c r="E152" s="20" t="s">
        <v>785</v>
      </c>
      <c r="F152" s="20" t="s">
        <v>379</v>
      </c>
      <c r="G152" s="8" t="str">
        <f t="shared" si="4"/>
        <v>NEWELL JAMES</v>
      </c>
      <c r="H152" s="20" t="str">
        <f t="shared" si="5"/>
        <v>4012</v>
      </c>
    </row>
    <row r="153" spans="1:8" x14ac:dyDescent="0.25">
      <c r="A153" s="8">
        <v>42997.684907407405</v>
      </c>
      <c r="B153" s="20" t="s">
        <v>497</v>
      </c>
      <c r="C153" s="20" t="s">
        <v>786</v>
      </c>
      <c r="D153" s="138">
        <v>1770000</v>
      </c>
      <c r="E153" s="20" t="s">
        <v>735</v>
      </c>
      <c r="F153" s="20" t="s">
        <v>736</v>
      </c>
      <c r="G153" s="8" t="str">
        <f t="shared" si="4"/>
        <v>BRUDER RICHARD</v>
      </c>
      <c r="H153" s="20" t="str">
        <f t="shared" si="5"/>
        <v>4056</v>
      </c>
    </row>
    <row r="154" spans="1:8" x14ac:dyDescent="0.25">
      <c r="A154" s="8">
        <v>42997.686006944445</v>
      </c>
      <c r="B154" s="20" t="s">
        <v>623</v>
      </c>
      <c r="C154" s="20" t="s">
        <v>787</v>
      </c>
      <c r="D154" s="138">
        <v>2630000</v>
      </c>
      <c r="E154" s="20" t="s">
        <v>506</v>
      </c>
      <c r="F154" s="20" t="s">
        <v>507</v>
      </c>
      <c r="G154" s="8" t="str">
        <f t="shared" si="4"/>
        <v>SAFIEF AEIMEN</v>
      </c>
      <c r="H154" s="20" t="str">
        <f t="shared" si="5"/>
        <v>4053</v>
      </c>
    </row>
    <row r="155" spans="1:8" x14ac:dyDescent="0.25">
      <c r="A155" s="8">
        <v>42997.686678240738</v>
      </c>
      <c r="B155" s="20" t="s">
        <v>634</v>
      </c>
      <c r="C155" s="20" t="s">
        <v>788</v>
      </c>
      <c r="D155" s="138">
        <v>1180000</v>
      </c>
      <c r="E155" s="20" t="s">
        <v>548</v>
      </c>
      <c r="F155" s="20" t="s">
        <v>549</v>
      </c>
      <c r="G155" s="8" t="str">
        <f t="shared" si="4"/>
        <v>LEVERE CRAIG</v>
      </c>
      <c r="H155" s="20" t="str">
        <f t="shared" si="5"/>
        <v>4049</v>
      </c>
    </row>
    <row r="156" spans="1:8" x14ac:dyDescent="0.25">
      <c r="A156" s="8">
        <v>42997.6877662037</v>
      </c>
      <c r="B156" s="20" t="s">
        <v>443</v>
      </c>
      <c r="C156" s="20" t="s">
        <v>789</v>
      </c>
      <c r="D156" s="138">
        <v>3130000</v>
      </c>
      <c r="E156" s="20" t="s">
        <v>752</v>
      </c>
      <c r="F156" s="20" t="s">
        <v>753</v>
      </c>
      <c r="G156" s="8" t="str">
        <f t="shared" si="4"/>
        <v>ZEWDU DEREJE</v>
      </c>
      <c r="H156" s="20" t="str">
        <f t="shared" si="5"/>
        <v>4043</v>
      </c>
    </row>
    <row r="157" spans="1:8" x14ac:dyDescent="0.25">
      <c r="A157" s="8">
        <v>42997.69258101852</v>
      </c>
      <c r="B157" s="20" t="s">
        <v>539</v>
      </c>
      <c r="C157" s="20" t="s">
        <v>641</v>
      </c>
      <c r="D157" s="138">
        <v>2000000</v>
      </c>
      <c r="E157" s="20" t="s">
        <v>425</v>
      </c>
      <c r="F157" s="20" t="s">
        <v>379</v>
      </c>
      <c r="G157" s="8" t="str">
        <f t="shared" si="4"/>
        <v>STAMBAUGH JAMES</v>
      </c>
      <c r="H157" s="20" t="str">
        <f t="shared" si="5"/>
        <v>4006</v>
      </c>
    </row>
    <row r="158" spans="1:8" x14ac:dyDescent="0.25">
      <c r="A158" s="8">
        <v>42997.696817129632</v>
      </c>
      <c r="B158" s="20" t="s">
        <v>375</v>
      </c>
      <c r="C158" s="20" t="s">
        <v>790</v>
      </c>
      <c r="D158" s="138">
        <v>2040000</v>
      </c>
      <c r="E158" s="20" t="s">
        <v>738</v>
      </c>
      <c r="F158" s="20" t="s">
        <v>739</v>
      </c>
      <c r="G158" s="8" t="str">
        <f t="shared" si="4"/>
        <v>MOSES BRADLEY</v>
      </c>
      <c r="H158" s="20" t="str">
        <f t="shared" si="5"/>
        <v>4030</v>
      </c>
    </row>
    <row r="159" spans="1:8" x14ac:dyDescent="0.25">
      <c r="A159" s="8">
        <v>42997.704965277779</v>
      </c>
      <c r="B159" s="20" t="s">
        <v>611</v>
      </c>
      <c r="C159" s="20" t="s">
        <v>791</v>
      </c>
      <c r="D159" s="138">
        <v>2230000</v>
      </c>
      <c r="E159" s="20" t="s">
        <v>508</v>
      </c>
      <c r="F159" s="20" t="s">
        <v>191</v>
      </c>
      <c r="G159" s="8" t="str">
        <f t="shared" si="4"/>
        <v>SMITH MICHAEL</v>
      </c>
      <c r="H159" s="20" t="str">
        <f t="shared" si="5"/>
        <v>4013</v>
      </c>
    </row>
    <row r="160" spans="1:8" x14ac:dyDescent="0.25">
      <c r="A160" s="8">
        <v>42997.705000000002</v>
      </c>
      <c r="B160" s="20" t="s">
        <v>400</v>
      </c>
      <c r="C160" s="20" t="s">
        <v>792</v>
      </c>
      <c r="D160" s="138">
        <v>1300000</v>
      </c>
      <c r="E160" s="20" t="s">
        <v>550</v>
      </c>
      <c r="F160" s="20" t="s">
        <v>551</v>
      </c>
      <c r="G160" s="8" t="str">
        <f t="shared" si="4"/>
        <v>LEVIN SCOTT</v>
      </c>
      <c r="H160" s="20" t="str">
        <f t="shared" si="5"/>
        <v>4016</v>
      </c>
    </row>
    <row r="161" spans="1:8" x14ac:dyDescent="0.25">
      <c r="A161" s="8">
        <v>42997.705312500002</v>
      </c>
      <c r="B161" s="20" t="s">
        <v>609</v>
      </c>
      <c r="C161" s="20" t="s">
        <v>793</v>
      </c>
      <c r="D161" s="138">
        <v>920000</v>
      </c>
      <c r="E161" s="20" t="s">
        <v>345</v>
      </c>
      <c r="F161" s="20" t="s">
        <v>191</v>
      </c>
      <c r="G161" s="8" t="str">
        <f t="shared" si="4"/>
        <v>DAVIS MICHAEL</v>
      </c>
      <c r="H161" s="20" t="str">
        <f t="shared" si="5"/>
        <v>4027</v>
      </c>
    </row>
    <row r="162" spans="1:8" x14ac:dyDescent="0.25">
      <c r="A162" s="8">
        <v>42997.705601851849</v>
      </c>
      <c r="B162" s="20" t="s">
        <v>498</v>
      </c>
      <c r="C162" s="20" t="s">
        <v>794</v>
      </c>
      <c r="D162" s="138">
        <v>2000000</v>
      </c>
      <c r="E162" s="20" t="s">
        <v>425</v>
      </c>
      <c r="F162" s="20" t="s">
        <v>379</v>
      </c>
      <c r="G162" s="8" t="str">
        <f t="shared" si="4"/>
        <v>STAMBAUGH JAMES</v>
      </c>
      <c r="H162" s="20" t="str">
        <f t="shared" si="5"/>
        <v>4005</v>
      </c>
    </row>
    <row r="163" spans="1:8" x14ac:dyDescent="0.25">
      <c r="A163" s="8">
        <v>42997.71297453704</v>
      </c>
      <c r="B163" s="20" t="s">
        <v>620</v>
      </c>
      <c r="C163" s="20" t="s">
        <v>795</v>
      </c>
      <c r="D163" s="138">
        <v>3130000</v>
      </c>
      <c r="E163" s="20" t="s">
        <v>752</v>
      </c>
      <c r="F163" s="20" t="s">
        <v>753</v>
      </c>
      <c r="G163" s="8" t="str">
        <f t="shared" si="4"/>
        <v>ZEWDU DEREJE</v>
      </c>
      <c r="H163" s="20" t="str">
        <f t="shared" si="5"/>
        <v>4044</v>
      </c>
    </row>
    <row r="164" spans="1:8" x14ac:dyDescent="0.25">
      <c r="A164" s="8">
        <v>42997.717962962961</v>
      </c>
      <c r="B164" s="20" t="s">
        <v>625</v>
      </c>
      <c r="C164" s="20" t="s">
        <v>796</v>
      </c>
      <c r="D164" s="138">
        <v>1180000</v>
      </c>
      <c r="E164" s="20" t="s">
        <v>548</v>
      </c>
      <c r="F164" s="20" t="s">
        <v>549</v>
      </c>
      <c r="G164" s="8" t="str">
        <f t="shared" si="4"/>
        <v>LEVERE CRAIG</v>
      </c>
      <c r="H164" s="20" t="str">
        <f t="shared" si="5"/>
        <v>4050</v>
      </c>
    </row>
    <row r="165" spans="1:8" x14ac:dyDescent="0.25">
      <c r="A165" s="8">
        <v>42997.718310185184</v>
      </c>
      <c r="B165" s="20" t="s">
        <v>797</v>
      </c>
      <c r="C165" s="20" t="s">
        <v>798</v>
      </c>
      <c r="D165" s="138">
        <v>2450000</v>
      </c>
      <c r="E165" s="20" t="s">
        <v>799</v>
      </c>
      <c r="F165" s="20" t="s">
        <v>800</v>
      </c>
      <c r="G165" s="8" t="str">
        <f t="shared" si="4"/>
        <v>NELSON ARIANE</v>
      </c>
      <c r="H165" s="20" t="str">
        <f t="shared" si="5"/>
        <v>4060</v>
      </c>
    </row>
    <row r="166" spans="1:8" x14ac:dyDescent="0.25">
      <c r="A166" s="8">
        <v>42997.724224537036</v>
      </c>
      <c r="B166" s="20" t="s">
        <v>501</v>
      </c>
      <c r="C166" s="20" t="s">
        <v>801</v>
      </c>
      <c r="D166" s="138">
        <v>1770000</v>
      </c>
      <c r="E166" s="20" t="s">
        <v>735</v>
      </c>
      <c r="F166" s="20" t="s">
        <v>736</v>
      </c>
      <c r="G166" s="8" t="str">
        <f t="shared" si="4"/>
        <v>BRUDER RICHARD</v>
      </c>
      <c r="H166" s="20" t="str">
        <f t="shared" si="5"/>
        <v>4055</v>
      </c>
    </row>
    <row r="167" spans="1:8" x14ac:dyDescent="0.25">
      <c r="A167" s="8">
        <v>42997.725671296299</v>
      </c>
      <c r="B167" s="20" t="s">
        <v>613</v>
      </c>
      <c r="C167" s="20" t="s">
        <v>802</v>
      </c>
      <c r="D167" s="138">
        <v>2630000</v>
      </c>
      <c r="E167" s="20" t="s">
        <v>506</v>
      </c>
      <c r="F167" s="20" t="s">
        <v>507</v>
      </c>
      <c r="G167" s="8" t="str">
        <f t="shared" si="4"/>
        <v>SAFIEF AEIMEN</v>
      </c>
      <c r="H167" s="20" t="str">
        <f t="shared" si="5"/>
        <v>4054</v>
      </c>
    </row>
    <row r="168" spans="1:8" x14ac:dyDescent="0.25">
      <c r="A168" s="8">
        <v>42997.732824074075</v>
      </c>
      <c r="B168" s="20" t="s">
        <v>419</v>
      </c>
      <c r="C168" s="20" t="s">
        <v>803</v>
      </c>
      <c r="D168" s="138">
        <v>2040000</v>
      </c>
      <c r="E168" s="20" t="s">
        <v>738</v>
      </c>
      <c r="F168" s="20" t="s">
        <v>739</v>
      </c>
      <c r="G168" s="8" t="str">
        <f t="shared" si="4"/>
        <v>MOSES BRADLEY</v>
      </c>
      <c r="H168" s="20" t="str">
        <f t="shared" si="5"/>
        <v>4029</v>
      </c>
    </row>
    <row r="169" spans="1:8" x14ac:dyDescent="0.25">
      <c r="A169" s="8">
        <v>42997.733761574076</v>
      </c>
      <c r="B169" s="20" t="s">
        <v>443</v>
      </c>
      <c r="C169" s="20" t="s">
        <v>804</v>
      </c>
      <c r="D169" s="138">
        <v>3130000</v>
      </c>
      <c r="E169" s="20" t="s">
        <v>752</v>
      </c>
      <c r="F169" s="20" t="s">
        <v>753</v>
      </c>
      <c r="G169" s="8" t="str">
        <f t="shared" si="4"/>
        <v>ZEWDU DEREJE</v>
      </c>
      <c r="H169" s="20" t="str">
        <f t="shared" si="5"/>
        <v>4043</v>
      </c>
    </row>
    <row r="170" spans="1:8" x14ac:dyDescent="0.25">
      <c r="A170" s="8">
        <v>42997.734490740739</v>
      </c>
      <c r="B170" s="20" t="s">
        <v>539</v>
      </c>
      <c r="C170" s="20" t="s">
        <v>805</v>
      </c>
      <c r="D170" s="138">
        <v>2000000</v>
      </c>
      <c r="E170" s="20" t="s">
        <v>425</v>
      </c>
      <c r="F170" s="20" t="s">
        <v>379</v>
      </c>
      <c r="G170" s="8" t="str">
        <f t="shared" si="4"/>
        <v>STAMBAUGH JAMES</v>
      </c>
      <c r="H170" s="20" t="str">
        <f t="shared" si="5"/>
        <v>4006</v>
      </c>
    </row>
    <row r="171" spans="1:8" x14ac:dyDescent="0.25">
      <c r="A171" s="8">
        <v>42997.738240740742</v>
      </c>
      <c r="B171" s="20" t="s">
        <v>434</v>
      </c>
      <c r="C171" s="20" t="s">
        <v>806</v>
      </c>
      <c r="D171" s="138">
        <v>890000</v>
      </c>
      <c r="E171" s="20" t="s">
        <v>372</v>
      </c>
      <c r="F171" s="20" t="s">
        <v>373</v>
      </c>
      <c r="G171" s="8" t="str">
        <f t="shared" si="4"/>
        <v>LOZA FIDEL</v>
      </c>
      <c r="H171" s="20" t="str">
        <f t="shared" si="5"/>
        <v>4028</v>
      </c>
    </row>
    <row r="172" spans="1:8" x14ac:dyDescent="0.25">
      <c r="A172" s="8">
        <v>42997.738368055558</v>
      </c>
      <c r="B172" s="20" t="s">
        <v>399</v>
      </c>
      <c r="C172" s="20" t="s">
        <v>807</v>
      </c>
      <c r="D172" s="138">
        <v>1300000</v>
      </c>
      <c r="E172" s="20" t="s">
        <v>550</v>
      </c>
      <c r="F172" s="20" t="s">
        <v>551</v>
      </c>
      <c r="G172" s="8" t="str">
        <f t="shared" si="4"/>
        <v>LEVIN SCOTT</v>
      </c>
      <c r="H172" s="20" t="str">
        <f t="shared" si="5"/>
        <v>4015</v>
      </c>
    </row>
    <row r="173" spans="1:8" x14ac:dyDescent="0.25">
      <c r="A173" s="8">
        <v>42997.74050925926</v>
      </c>
      <c r="B173" s="20" t="s">
        <v>390</v>
      </c>
      <c r="C173" s="20" t="s">
        <v>808</v>
      </c>
      <c r="D173" s="138">
        <v>3220000</v>
      </c>
      <c r="E173" s="20" t="s">
        <v>509</v>
      </c>
      <c r="F173" s="20" t="s">
        <v>510</v>
      </c>
      <c r="G173" s="8" t="str">
        <f t="shared" si="4"/>
        <v>RESPASS AARON</v>
      </c>
      <c r="H173" s="20" t="str">
        <f t="shared" si="5"/>
        <v>4019</v>
      </c>
    </row>
    <row r="174" spans="1:8" x14ac:dyDescent="0.25">
      <c r="A174" s="8">
        <v>42997.744884259257</v>
      </c>
      <c r="B174" s="20" t="s">
        <v>628</v>
      </c>
      <c r="C174" s="20" t="s">
        <v>809</v>
      </c>
      <c r="D174" s="138">
        <v>2230000</v>
      </c>
      <c r="E174" s="20" t="s">
        <v>508</v>
      </c>
      <c r="F174" s="20" t="s">
        <v>191</v>
      </c>
      <c r="G174" s="8" t="str">
        <f t="shared" si="4"/>
        <v>SMITH MICHAEL</v>
      </c>
      <c r="H174" s="20" t="str">
        <f t="shared" si="5"/>
        <v>4014</v>
      </c>
    </row>
    <row r="175" spans="1:8" x14ac:dyDescent="0.25">
      <c r="A175" s="8">
        <v>42997.747349537036</v>
      </c>
      <c r="B175" s="20" t="s">
        <v>498</v>
      </c>
      <c r="C175" s="20" t="s">
        <v>642</v>
      </c>
      <c r="D175" s="138">
        <v>2000000</v>
      </c>
      <c r="E175" s="20" t="s">
        <v>425</v>
      </c>
      <c r="F175" s="20" t="s">
        <v>379</v>
      </c>
      <c r="G175" s="8" t="str">
        <f t="shared" si="4"/>
        <v>STAMBAUGH JAMES</v>
      </c>
      <c r="H175" s="20" t="str">
        <f t="shared" si="5"/>
        <v>4005</v>
      </c>
    </row>
    <row r="176" spans="1:8" x14ac:dyDescent="0.25">
      <c r="A176" s="8">
        <v>42997.752893518518</v>
      </c>
      <c r="B176" s="20" t="s">
        <v>634</v>
      </c>
      <c r="C176" s="20" t="s">
        <v>810</v>
      </c>
      <c r="D176" s="138">
        <v>1180000</v>
      </c>
      <c r="E176" s="20" t="s">
        <v>548</v>
      </c>
      <c r="F176" s="20" t="s">
        <v>549</v>
      </c>
      <c r="G176" s="8" t="str">
        <f t="shared" si="4"/>
        <v>LEVERE CRAIG</v>
      </c>
      <c r="H176" s="20" t="str">
        <f t="shared" si="5"/>
        <v>4049</v>
      </c>
    </row>
    <row r="177" spans="1:8" x14ac:dyDescent="0.25">
      <c r="A177" s="8">
        <v>42997.754050925927</v>
      </c>
      <c r="B177" s="20" t="s">
        <v>620</v>
      </c>
      <c r="C177" s="20" t="s">
        <v>811</v>
      </c>
      <c r="D177" s="138">
        <v>3130000</v>
      </c>
      <c r="E177" s="20" t="s">
        <v>752</v>
      </c>
      <c r="F177" s="20" t="s">
        <v>753</v>
      </c>
      <c r="G177" s="8" t="str">
        <f t="shared" si="4"/>
        <v>ZEWDU DEREJE</v>
      </c>
      <c r="H177" s="20" t="str">
        <f t="shared" si="5"/>
        <v>4044</v>
      </c>
    </row>
    <row r="178" spans="1:8" x14ac:dyDescent="0.25">
      <c r="A178" s="8">
        <v>42997.754074074073</v>
      </c>
      <c r="B178" s="20" t="s">
        <v>385</v>
      </c>
      <c r="C178" s="20" t="s">
        <v>808</v>
      </c>
      <c r="D178" s="138">
        <v>3220000</v>
      </c>
      <c r="E178" s="20" t="s">
        <v>509</v>
      </c>
      <c r="F178" s="20" t="s">
        <v>510</v>
      </c>
      <c r="G178" s="8" t="str">
        <f t="shared" si="4"/>
        <v>RESPASS AARON</v>
      </c>
      <c r="H178" s="20" t="str">
        <f t="shared" si="5"/>
        <v>4009</v>
      </c>
    </row>
    <row r="179" spans="1:8" x14ac:dyDescent="0.25">
      <c r="A179" s="8">
        <v>42997.756145833337</v>
      </c>
      <c r="B179" s="20" t="s">
        <v>497</v>
      </c>
      <c r="C179" s="20" t="s">
        <v>812</v>
      </c>
      <c r="D179" s="138">
        <v>2620000</v>
      </c>
      <c r="E179" s="20" t="s">
        <v>391</v>
      </c>
      <c r="F179" s="20" t="s">
        <v>392</v>
      </c>
      <c r="G179" s="8" t="str">
        <f t="shared" si="4"/>
        <v>PERKINS DARREN</v>
      </c>
      <c r="H179" s="20" t="str">
        <f t="shared" si="5"/>
        <v>4056</v>
      </c>
    </row>
    <row r="180" spans="1:8" x14ac:dyDescent="0.25">
      <c r="A180" s="8">
        <v>42997.759594907409</v>
      </c>
      <c r="B180" s="20" t="s">
        <v>623</v>
      </c>
      <c r="C180" s="20" t="s">
        <v>813</v>
      </c>
      <c r="D180" s="138">
        <v>2630000</v>
      </c>
      <c r="E180" s="20" t="s">
        <v>506</v>
      </c>
      <c r="F180" s="20" t="s">
        <v>507</v>
      </c>
      <c r="G180" s="8" t="str">
        <f t="shared" si="4"/>
        <v>SAFIEF AEIMEN</v>
      </c>
      <c r="H180" s="20" t="str">
        <f t="shared" si="5"/>
        <v>4053</v>
      </c>
    </row>
    <row r="181" spans="1:8" x14ac:dyDescent="0.25">
      <c r="A181" s="8">
        <v>42997.767777777779</v>
      </c>
      <c r="B181" s="20" t="s">
        <v>375</v>
      </c>
      <c r="C181" s="20" t="s">
        <v>814</v>
      </c>
      <c r="D181" s="138">
        <v>3190000</v>
      </c>
      <c r="E181" s="20" t="s">
        <v>393</v>
      </c>
      <c r="F181" s="20" t="s">
        <v>394</v>
      </c>
      <c r="G181" s="8" t="str">
        <f t="shared" si="4"/>
        <v>HART KEVIN</v>
      </c>
      <c r="H181" s="20" t="str">
        <f t="shared" si="5"/>
        <v>4030</v>
      </c>
    </row>
    <row r="182" spans="1:8" x14ac:dyDescent="0.25">
      <c r="A182" s="8">
        <v>42997.770497685182</v>
      </c>
      <c r="B182" s="20" t="s">
        <v>443</v>
      </c>
      <c r="C182" s="20" t="s">
        <v>643</v>
      </c>
      <c r="D182" s="138">
        <v>3130000</v>
      </c>
      <c r="E182" s="20" t="s">
        <v>752</v>
      </c>
      <c r="F182" s="20" t="s">
        <v>753</v>
      </c>
      <c r="G182" s="8" t="str">
        <f t="shared" si="4"/>
        <v>ZEWDU DEREJE</v>
      </c>
      <c r="H182" s="20" t="str">
        <f t="shared" si="5"/>
        <v>4043</v>
      </c>
    </row>
    <row r="183" spans="1:8" x14ac:dyDescent="0.25">
      <c r="A183" s="8">
        <v>42997.775752314818</v>
      </c>
      <c r="B183" s="20" t="s">
        <v>400</v>
      </c>
      <c r="C183" s="20" t="s">
        <v>815</v>
      </c>
      <c r="D183" s="138">
        <v>1300000</v>
      </c>
      <c r="E183" s="20" t="s">
        <v>550</v>
      </c>
      <c r="F183" s="20" t="s">
        <v>551</v>
      </c>
      <c r="G183" s="8" t="str">
        <f t="shared" si="4"/>
        <v>LEVIN SCOTT</v>
      </c>
      <c r="H183" s="20" t="str">
        <f t="shared" si="5"/>
        <v>4016</v>
      </c>
    </row>
    <row r="184" spans="1:8" x14ac:dyDescent="0.25">
      <c r="A184" s="8">
        <v>42997.775972222225</v>
      </c>
      <c r="B184" s="20" t="s">
        <v>539</v>
      </c>
      <c r="C184" s="20" t="s">
        <v>816</v>
      </c>
      <c r="D184" s="138">
        <v>2000000</v>
      </c>
      <c r="E184" s="20" t="s">
        <v>425</v>
      </c>
      <c r="F184" s="20" t="s">
        <v>379</v>
      </c>
      <c r="G184" s="8" t="str">
        <f t="shared" si="4"/>
        <v>STAMBAUGH JAMES</v>
      </c>
      <c r="H184" s="20" t="str">
        <f t="shared" si="5"/>
        <v>4006</v>
      </c>
    </row>
    <row r="185" spans="1:8" x14ac:dyDescent="0.25">
      <c r="A185" s="8">
        <v>42997.776678240742</v>
      </c>
      <c r="B185" s="20" t="s">
        <v>609</v>
      </c>
      <c r="C185" s="20" t="s">
        <v>817</v>
      </c>
      <c r="D185" s="138">
        <v>890000</v>
      </c>
      <c r="E185" s="20" t="s">
        <v>372</v>
      </c>
      <c r="F185" s="20" t="s">
        <v>373</v>
      </c>
      <c r="G185" s="8" t="str">
        <f t="shared" si="4"/>
        <v>LOZA FIDEL</v>
      </c>
      <c r="H185" s="20" t="str">
        <f t="shared" si="5"/>
        <v>4027</v>
      </c>
    </row>
    <row r="186" spans="1:8" x14ac:dyDescent="0.25">
      <c r="A186" s="8">
        <v>42997.781990740739</v>
      </c>
      <c r="B186" s="20" t="s">
        <v>611</v>
      </c>
      <c r="C186" s="20" t="s">
        <v>818</v>
      </c>
      <c r="D186" s="138">
        <v>2230000</v>
      </c>
      <c r="E186" s="20" t="s">
        <v>508</v>
      </c>
      <c r="F186" s="20" t="s">
        <v>191</v>
      </c>
      <c r="G186" s="8" t="str">
        <f t="shared" si="4"/>
        <v>SMITH MICHAEL</v>
      </c>
      <c r="H186" s="20" t="str">
        <f t="shared" si="5"/>
        <v>4013</v>
      </c>
    </row>
    <row r="187" spans="1:8" x14ac:dyDescent="0.25">
      <c r="A187" s="8">
        <v>42997.787476851852</v>
      </c>
      <c r="B187" s="20" t="s">
        <v>625</v>
      </c>
      <c r="C187" s="20" t="s">
        <v>819</v>
      </c>
      <c r="D187" s="138">
        <v>2680000</v>
      </c>
      <c r="E187" s="20" t="s">
        <v>386</v>
      </c>
      <c r="F187" s="20" t="s">
        <v>387</v>
      </c>
      <c r="G187" s="8" t="str">
        <f t="shared" si="4"/>
        <v>DUNCAN SHEILA</v>
      </c>
      <c r="H187" s="20" t="str">
        <f t="shared" si="5"/>
        <v>4050</v>
      </c>
    </row>
    <row r="188" spans="1:8" x14ac:dyDescent="0.25">
      <c r="A188" s="8">
        <v>42997.788773148146</v>
      </c>
      <c r="B188" s="20" t="s">
        <v>498</v>
      </c>
      <c r="C188" s="20" t="s">
        <v>820</v>
      </c>
      <c r="D188" s="138">
        <v>2000000</v>
      </c>
      <c r="E188" s="20" t="s">
        <v>425</v>
      </c>
      <c r="F188" s="20" t="s">
        <v>379</v>
      </c>
      <c r="G188" s="8" t="str">
        <f t="shared" si="4"/>
        <v>STAMBAUGH JAMES</v>
      </c>
      <c r="H188" s="20" t="str">
        <f t="shared" si="5"/>
        <v>4005</v>
      </c>
    </row>
    <row r="189" spans="1:8" x14ac:dyDescent="0.25">
      <c r="A189" s="8">
        <v>42997.790451388886</v>
      </c>
      <c r="B189" s="20" t="s">
        <v>501</v>
      </c>
      <c r="C189" s="20" t="s">
        <v>644</v>
      </c>
      <c r="D189" s="138">
        <v>2620000</v>
      </c>
      <c r="E189" s="20" t="s">
        <v>391</v>
      </c>
      <c r="F189" s="20" t="s">
        <v>392</v>
      </c>
      <c r="G189" s="8" t="str">
        <f t="shared" si="4"/>
        <v>PERKINS DARREN</v>
      </c>
      <c r="H189" s="20" t="str">
        <f t="shared" si="5"/>
        <v>4055</v>
      </c>
    </row>
    <row r="190" spans="1:8" x14ac:dyDescent="0.25">
      <c r="A190" s="8">
        <v>42997.795868055553</v>
      </c>
      <c r="B190" s="20" t="s">
        <v>620</v>
      </c>
      <c r="C190" s="20" t="s">
        <v>821</v>
      </c>
      <c r="D190" s="138">
        <v>3130000</v>
      </c>
      <c r="E190" s="20" t="s">
        <v>752</v>
      </c>
      <c r="F190" s="20" t="s">
        <v>753</v>
      </c>
      <c r="G190" s="8" t="str">
        <f t="shared" si="4"/>
        <v>ZEWDU DEREJE</v>
      </c>
      <c r="H190" s="20" t="str">
        <f t="shared" si="5"/>
        <v>4044</v>
      </c>
    </row>
    <row r="191" spans="1:8" x14ac:dyDescent="0.25">
      <c r="A191" s="8">
        <v>42997.797199074077</v>
      </c>
      <c r="B191" s="20" t="s">
        <v>613</v>
      </c>
      <c r="C191" s="20" t="s">
        <v>822</v>
      </c>
      <c r="D191" s="138">
        <v>2630000</v>
      </c>
      <c r="E191" s="20" t="s">
        <v>506</v>
      </c>
      <c r="F191" s="20" t="s">
        <v>507</v>
      </c>
      <c r="G191" s="8" t="str">
        <f t="shared" si="4"/>
        <v>SAFIEF AEIMEN</v>
      </c>
      <c r="H191" s="20" t="str">
        <f t="shared" si="5"/>
        <v>4054</v>
      </c>
    </row>
    <row r="192" spans="1:8" x14ac:dyDescent="0.25">
      <c r="A192" s="8">
        <v>42997.80809027778</v>
      </c>
      <c r="B192" s="20" t="s">
        <v>419</v>
      </c>
      <c r="C192" s="20" t="s">
        <v>823</v>
      </c>
      <c r="D192" s="138">
        <v>3190000</v>
      </c>
      <c r="E192" s="20" t="s">
        <v>393</v>
      </c>
      <c r="F192" s="20" t="s">
        <v>394</v>
      </c>
      <c r="G192" s="8" t="str">
        <f t="shared" si="4"/>
        <v>HART KEVIN</v>
      </c>
      <c r="H192" s="20" t="str">
        <f t="shared" si="5"/>
        <v>4029</v>
      </c>
    </row>
    <row r="193" spans="1:8" x14ac:dyDescent="0.25">
      <c r="A193" s="8">
        <v>42997.81045138889</v>
      </c>
      <c r="B193" s="20" t="s">
        <v>434</v>
      </c>
      <c r="C193" s="20" t="s">
        <v>824</v>
      </c>
      <c r="D193" s="138">
        <v>890000</v>
      </c>
      <c r="E193" s="20" t="s">
        <v>372</v>
      </c>
      <c r="F193" s="20" t="s">
        <v>373</v>
      </c>
      <c r="G193" s="8" t="str">
        <f t="shared" si="4"/>
        <v>LOZA FIDEL</v>
      </c>
      <c r="H193" s="20" t="str">
        <f t="shared" si="5"/>
        <v>4028</v>
      </c>
    </row>
    <row r="194" spans="1:8" x14ac:dyDescent="0.25">
      <c r="A194" s="8">
        <v>42997.814004629632</v>
      </c>
      <c r="B194" s="20" t="s">
        <v>443</v>
      </c>
      <c r="C194" s="20" t="s">
        <v>825</v>
      </c>
      <c r="D194" s="138">
        <v>3130000</v>
      </c>
      <c r="E194" s="20" t="s">
        <v>752</v>
      </c>
      <c r="F194" s="20" t="s">
        <v>753</v>
      </c>
      <c r="G194" s="8" t="str">
        <f t="shared" si="4"/>
        <v>ZEWDU DEREJE</v>
      </c>
      <c r="H194" s="20" t="str">
        <f t="shared" si="5"/>
        <v>4043</v>
      </c>
    </row>
    <row r="195" spans="1:8" x14ac:dyDescent="0.25">
      <c r="A195" s="8">
        <v>42997.819201388891</v>
      </c>
      <c r="B195" s="20" t="s">
        <v>628</v>
      </c>
      <c r="C195" s="20" t="s">
        <v>826</v>
      </c>
      <c r="D195" s="138">
        <v>2230000</v>
      </c>
      <c r="E195" s="20" t="s">
        <v>508</v>
      </c>
      <c r="F195" s="20" t="s">
        <v>191</v>
      </c>
      <c r="G195" s="8" t="str">
        <f t="shared" ref="G195:G258" si="6">E195&amp;" "&amp;F195</f>
        <v>SMITH MICHAEL</v>
      </c>
      <c r="H195" s="20" t="str">
        <f t="shared" ref="H195:H258" si="7">MID(B195,13,4)</f>
        <v>4014</v>
      </c>
    </row>
    <row r="196" spans="1:8" x14ac:dyDescent="0.25">
      <c r="A196" s="8">
        <v>42997.82603009259</v>
      </c>
      <c r="B196" s="20" t="s">
        <v>634</v>
      </c>
      <c r="C196" s="20" t="s">
        <v>827</v>
      </c>
      <c r="D196" s="138">
        <v>2680000</v>
      </c>
      <c r="E196" s="20" t="s">
        <v>386</v>
      </c>
      <c r="F196" s="20" t="s">
        <v>387</v>
      </c>
      <c r="G196" s="8" t="str">
        <f t="shared" si="6"/>
        <v>DUNCAN SHEILA</v>
      </c>
      <c r="H196" s="20" t="str">
        <f t="shared" si="7"/>
        <v>4049</v>
      </c>
    </row>
    <row r="197" spans="1:8" x14ac:dyDescent="0.25">
      <c r="A197" s="8">
        <v>42997.830659722225</v>
      </c>
      <c r="B197" s="20" t="s">
        <v>497</v>
      </c>
      <c r="C197" s="20" t="s">
        <v>828</v>
      </c>
      <c r="D197" s="138">
        <v>2620000</v>
      </c>
      <c r="E197" s="20" t="s">
        <v>391</v>
      </c>
      <c r="F197" s="20" t="s">
        <v>392</v>
      </c>
      <c r="G197" s="8" t="str">
        <f t="shared" si="6"/>
        <v>PERKINS DARREN</v>
      </c>
      <c r="H197" s="20" t="str">
        <f t="shared" si="7"/>
        <v>4056</v>
      </c>
    </row>
    <row r="198" spans="1:8" x14ac:dyDescent="0.25">
      <c r="A198" s="8">
        <v>42997.83798611111</v>
      </c>
      <c r="B198" s="20" t="s">
        <v>620</v>
      </c>
      <c r="C198" s="20" t="s">
        <v>829</v>
      </c>
      <c r="D198" s="138">
        <v>3130000</v>
      </c>
      <c r="E198" s="20" t="s">
        <v>752</v>
      </c>
      <c r="F198" s="20" t="s">
        <v>753</v>
      </c>
      <c r="G198" s="8" t="str">
        <f t="shared" si="6"/>
        <v>ZEWDU DEREJE</v>
      </c>
      <c r="H198" s="20" t="str">
        <f t="shared" si="7"/>
        <v>4044</v>
      </c>
    </row>
    <row r="199" spans="1:8" x14ac:dyDescent="0.25">
      <c r="A199" s="8">
        <v>42997.850868055553</v>
      </c>
      <c r="B199" s="20" t="s">
        <v>609</v>
      </c>
      <c r="C199" s="20" t="s">
        <v>830</v>
      </c>
      <c r="D199" s="138">
        <v>890000</v>
      </c>
      <c r="E199" s="20" t="s">
        <v>372</v>
      </c>
      <c r="F199" s="20" t="s">
        <v>373</v>
      </c>
      <c r="G199" s="8" t="str">
        <f t="shared" si="6"/>
        <v>LOZA FIDEL</v>
      </c>
      <c r="H199" s="20" t="str">
        <f t="shared" si="7"/>
        <v>4027</v>
      </c>
    </row>
    <row r="200" spans="1:8" x14ac:dyDescent="0.25">
      <c r="A200" s="8">
        <v>42997.852129629631</v>
      </c>
      <c r="B200" s="20" t="s">
        <v>375</v>
      </c>
      <c r="C200" s="20" t="s">
        <v>831</v>
      </c>
      <c r="D200" s="138">
        <v>3190000</v>
      </c>
      <c r="E200" s="20" t="s">
        <v>393</v>
      </c>
      <c r="F200" s="20" t="s">
        <v>394</v>
      </c>
      <c r="G200" s="8" t="str">
        <f t="shared" si="6"/>
        <v>HART KEVIN</v>
      </c>
      <c r="H200" s="20" t="str">
        <f t="shared" si="7"/>
        <v>4030</v>
      </c>
    </row>
    <row r="201" spans="1:8" x14ac:dyDescent="0.25">
      <c r="A201" s="8">
        <v>42997.852233796293</v>
      </c>
      <c r="B201" s="20" t="s">
        <v>443</v>
      </c>
      <c r="C201" s="20" t="s">
        <v>832</v>
      </c>
      <c r="D201" s="138">
        <v>3130000</v>
      </c>
      <c r="E201" s="20" t="s">
        <v>752</v>
      </c>
      <c r="F201" s="20" t="s">
        <v>753</v>
      </c>
      <c r="G201" s="8" t="str">
        <f t="shared" si="6"/>
        <v>ZEWDU DEREJE</v>
      </c>
      <c r="H201" s="20" t="str">
        <f t="shared" si="7"/>
        <v>4043</v>
      </c>
    </row>
    <row r="202" spans="1:8" x14ac:dyDescent="0.25">
      <c r="A202" s="26">
        <v>42997.860625000001</v>
      </c>
      <c r="B202" s="20" t="s">
        <v>501</v>
      </c>
      <c r="C202" s="20" t="s">
        <v>833</v>
      </c>
      <c r="D202" s="138">
        <v>2620000</v>
      </c>
      <c r="E202" s="20" t="s">
        <v>391</v>
      </c>
      <c r="F202" s="20" t="s">
        <v>392</v>
      </c>
      <c r="G202" s="8" t="str">
        <f t="shared" si="6"/>
        <v>PERKINS DARREN</v>
      </c>
      <c r="H202" s="20" t="str">
        <f t="shared" si="7"/>
        <v>4055</v>
      </c>
    </row>
    <row r="203" spans="1:8" x14ac:dyDescent="0.25">
      <c r="A203" s="8">
        <v>42997.861655092594</v>
      </c>
      <c r="B203" s="20" t="s">
        <v>625</v>
      </c>
      <c r="C203" s="20" t="s">
        <v>834</v>
      </c>
      <c r="D203" s="138">
        <v>3280000</v>
      </c>
      <c r="E203" s="20" t="s">
        <v>835</v>
      </c>
      <c r="F203" s="20" t="s">
        <v>836</v>
      </c>
      <c r="G203" s="8" t="str">
        <f t="shared" si="6"/>
        <v>BIRKHOLZ NADINE</v>
      </c>
      <c r="H203" s="20" t="str">
        <f t="shared" si="7"/>
        <v>4050</v>
      </c>
    </row>
    <row r="204" spans="1:8" x14ac:dyDescent="0.25">
      <c r="A204" s="8">
        <v>42997.877430555556</v>
      </c>
      <c r="B204" s="20" t="s">
        <v>620</v>
      </c>
      <c r="C204" s="20" t="s">
        <v>837</v>
      </c>
      <c r="D204" s="138">
        <v>2000000</v>
      </c>
      <c r="E204" s="20" t="s">
        <v>425</v>
      </c>
      <c r="F204" s="20" t="s">
        <v>379</v>
      </c>
      <c r="G204" s="8" t="str">
        <f t="shared" si="6"/>
        <v>STAMBAUGH JAMES</v>
      </c>
      <c r="H204" s="20" t="str">
        <f t="shared" si="7"/>
        <v>4044</v>
      </c>
    </row>
    <row r="205" spans="1:8" x14ac:dyDescent="0.25">
      <c r="A205" s="8">
        <v>42997.88417824074</v>
      </c>
      <c r="B205" s="20" t="s">
        <v>434</v>
      </c>
      <c r="C205" s="20" t="s">
        <v>838</v>
      </c>
      <c r="D205" s="138">
        <v>890000</v>
      </c>
      <c r="E205" s="20" t="s">
        <v>372</v>
      </c>
      <c r="F205" s="20" t="s">
        <v>373</v>
      </c>
      <c r="G205" s="8" t="str">
        <f t="shared" si="6"/>
        <v>LOZA FIDEL</v>
      </c>
      <c r="H205" s="20" t="str">
        <f t="shared" si="7"/>
        <v>4028</v>
      </c>
    </row>
    <row r="206" spans="1:8" x14ac:dyDescent="0.25">
      <c r="A206" s="8">
        <v>42997.890706018516</v>
      </c>
      <c r="B206" s="20" t="s">
        <v>419</v>
      </c>
      <c r="C206" s="20" t="s">
        <v>839</v>
      </c>
      <c r="D206" s="138">
        <v>3190000</v>
      </c>
      <c r="E206" s="20" t="s">
        <v>393</v>
      </c>
      <c r="F206" s="20" t="s">
        <v>394</v>
      </c>
      <c r="G206" s="8" t="str">
        <f t="shared" si="6"/>
        <v>HART KEVIN</v>
      </c>
      <c r="H206" s="20" t="str">
        <f t="shared" si="7"/>
        <v>4029</v>
      </c>
    </row>
    <row r="207" spans="1:8" x14ac:dyDescent="0.25">
      <c r="A207" s="8">
        <v>42997.894571759258</v>
      </c>
      <c r="B207" s="20" t="s">
        <v>443</v>
      </c>
      <c r="C207" s="20" t="s">
        <v>840</v>
      </c>
      <c r="D207" s="138">
        <v>2000000</v>
      </c>
      <c r="E207" s="20" t="s">
        <v>425</v>
      </c>
      <c r="F207" s="20" t="s">
        <v>379</v>
      </c>
      <c r="G207" s="8" t="str">
        <f t="shared" si="6"/>
        <v>STAMBAUGH JAMES</v>
      </c>
      <c r="H207" s="20" t="str">
        <f t="shared" si="7"/>
        <v>4043</v>
      </c>
    </row>
    <row r="208" spans="1:8" x14ac:dyDescent="0.25">
      <c r="A208" s="8">
        <v>42997.900763888887</v>
      </c>
      <c r="B208" s="20" t="s">
        <v>497</v>
      </c>
      <c r="C208" s="20" t="s">
        <v>841</v>
      </c>
      <c r="D208" s="138">
        <v>2620000</v>
      </c>
      <c r="E208" s="20" t="s">
        <v>391</v>
      </c>
      <c r="F208" s="20" t="s">
        <v>392</v>
      </c>
      <c r="G208" s="8" t="str">
        <f t="shared" si="6"/>
        <v>PERKINS DARREN</v>
      </c>
      <c r="H208" s="20" t="str">
        <f t="shared" si="7"/>
        <v>4056</v>
      </c>
    </row>
    <row r="209" spans="1:8" x14ac:dyDescent="0.25">
      <c r="A209" s="8">
        <v>42997.910509259258</v>
      </c>
      <c r="B209" s="20" t="s">
        <v>634</v>
      </c>
      <c r="C209" s="20" t="s">
        <v>842</v>
      </c>
      <c r="D209" s="138">
        <v>3280000</v>
      </c>
      <c r="E209" s="20" t="s">
        <v>835</v>
      </c>
      <c r="F209" s="20" t="s">
        <v>836</v>
      </c>
      <c r="G209" s="8" t="str">
        <f t="shared" si="6"/>
        <v>BIRKHOLZ NADINE</v>
      </c>
      <c r="H209" s="20" t="str">
        <f t="shared" si="7"/>
        <v>4049</v>
      </c>
    </row>
    <row r="210" spans="1:8" x14ac:dyDescent="0.25">
      <c r="A210" s="8">
        <v>42997.921990740739</v>
      </c>
      <c r="B210" s="20" t="s">
        <v>620</v>
      </c>
      <c r="C210" s="20" t="s">
        <v>843</v>
      </c>
      <c r="D210" s="138">
        <v>2000000</v>
      </c>
      <c r="E210" s="20" t="s">
        <v>425</v>
      </c>
      <c r="F210" s="20" t="s">
        <v>379</v>
      </c>
      <c r="G210" s="8" t="str">
        <f t="shared" si="6"/>
        <v>STAMBAUGH JAMES</v>
      </c>
      <c r="H210" s="20" t="str">
        <f t="shared" si="7"/>
        <v>4044</v>
      </c>
    </row>
    <row r="211" spans="1:8" x14ac:dyDescent="0.25">
      <c r="A211" s="8">
        <v>42997.932673611111</v>
      </c>
      <c r="B211" s="20" t="s">
        <v>609</v>
      </c>
      <c r="C211" s="20" t="s">
        <v>844</v>
      </c>
      <c r="D211" s="138">
        <v>890000</v>
      </c>
      <c r="E211" s="20" t="s">
        <v>372</v>
      </c>
      <c r="F211" s="20" t="s">
        <v>373</v>
      </c>
      <c r="G211" s="8" t="str">
        <f t="shared" si="6"/>
        <v>LOZA FIDEL</v>
      </c>
      <c r="H211" s="20" t="str">
        <f t="shared" si="7"/>
        <v>4027</v>
      </c>
    </row>
    <row r="212" spans="1:8" x14ac:dyDescent="0.25">
      <c r="A212" s="8">
        <v>42997.933715277781</v>
      </c>
      <c r="B212" s="20" t="s">
        <v>443</v>
      </c>
      <c r="C212" s="20" t="s">
        <v>845</v>
      </c>
      <c r="D212" s="138">
        <v>2000000</v>
      </c>
      <c r="E212" s="20" t="s">
        <v>425</v>
      </c>
      <c r="F212" s="20" t="s">
        <v>379</v>
      </c>
      <c r="G212" s="8" t="str">
        <f t="shared" si="6"/>
        <v>STAMBAUGH JAMES</v>
      </c>
      <c r="H212" s="20" t="str">
        <f t="shared" si="7"/>
        <v>4043</v>
      </c>
    </row>
    <row r="213" spans="1:8" x14ac:dyDescent="0.25">
      <c r="A213" s="8">
        <v>42997.934814814813</v>
      </c>
      <c r="B213" s="20" t="s">
        <v>375</v>
      </c>
      <c r="C213" s="20" t="s">
        <v>846</v>
      </c>
      <c r="D213" s="138">
        <v>3190000</v>
      </c>
      <c r="E213" s="20" t="s">
        <v>393</v>
      </c>
      <c r="F213" s="20" t="s">
        <v>394</v>
      </c>
      <c r="G213" s="8" t="str">
        <f t="shared" si="6"/>
        <v>HART KEVIN</v>
      </c>
      <c r="H213" s="20" t="str">
        <f t="shared" si="7"/>
        <v>4030</v>
      </c>
    </row>
    <row r="214" spans="1:8" x14ac:dyDescent="0.25">
      <c r="A214" s="8">
        <v>42997.943819444445</v>
      </c>
      <c r="B214" s="20" t="s">
        <v>501</v>
      </c>
      <c r="C214" s="20" t="s">
        <v>646</v>
      </c>
      <c r="D214" s="138">
        <v>2620000</v>
      </c>
      <c r="E214" s="20" t="s">
        <v>391</v>
      </c>
      <c r="F214" s="20" t="s">
        <v>392</v>
      </c>
      <c r="G214" s="8" t="str">
        <f t="shared" si="6"/>
        <v>PERKINS DARREN</v>
      </c>
      <c r="H214" s="20" t="str">
        <f t="shared" si="7"/>
        <v>4055</v>
      </c>
    </row>
    <row r="215" spans="1:8" x14ac:dyDescent="0.25">
      <c r="A215" s="8">
        <v>42997.951944444445</v>
      </c>
      <c r="B215" s="20" t="s">
        <v>625</v>
      </c>
      <c r="C215" s="20" t="s">
        <v>847</v>
      </c>
      <c r="D215" s="138">
        <v>3220000</v>
      </c>
      <c r="E215" s="20" t="s">
        <v>509</v>
      </c>
      <c r="F215" s="20" t="s">
        <v>510</v>
      </c>
      <c r="G215" s="8" t="str">
        <f t="shared" si="6"/>
        <v>RESPASS AARON</v>
      </c>
      <c r="H215" s="20" t="str">
        <f t="shared" si="7"/>
        <v>4050</v>
      </c>
    </row>
    <row r="216" spans="1:8" x14ac:dyDescent="0.25">
      <c r="A216" s="8">
        <v>42997.952256944445</v>
      </c>
      <c r="B216" s="20" t="s">
        <v>537</v>
      </c>
      <c r="C216" s="20" t="s">
        <v>848</v>
      </c>
      <c r="D216" s="138">
        <v>2680000</v>
      </c>
      <c r="E216" s="20" t="s">
        <v>386</v>
      </c>
      <c r="F216" s="20" t="s">
        <v>387</v>
      </c>
      <c r="G216" s="8" t="str">
        <f t="shared" si="6"/>
        <v>DUNCAN SHEILA</v>
      </c>
      <c r="H216" s="20" t="str">
        <f t="shared" si="7"/>
        <v>4010</v>
      </c>
    </row>
    <row r="217" spans="1:8" x14ac:dyDescent="0.25">
      <c r="A217" s="8">
        <v>42997.953229166669</v>
      </c>
      <c r="B217" s="20" t="s">
        <v>537</v>
      </c>
      <c r="C217" s="20" t="s">
        <v>848</v>
      </c>
      <c r="D217" s="138">
        <v>2680000</v>
      </c>
      <c r="E217" s="20" t="s">
        <v>386</v>
      </c>
      <c r="F217" s="20" t="s">
        <v>387</v>
      </c>
      <c r="G217" s="8" t="str">
        <f t="shared" si="6"/>
        <v>DUNCAN SHEILA</v>
      </c>
      <c r="H217" s="20" t="str">
        <f t="shared" si="7"/>
        <v>4010</v>
      </c>
    </row>
    <row r="218" spans="1:8" x14ac:dyDescent="0.25">
      <c r="A218" s="8">
        <v>42997.963796296295</v>
      </c>
      <c r="B218" s="20" t="s">
        <v>620</v>
      </c>
      <c r="C218" s="20" t="s">
        <v>849</v>
      </c>
      <c r="D218" s="138">
        <v>2000000</v>
      </c>
      <c r="E218" s="20" t="s">
        <v>425</v>
      </c>
      <c r="F218" s="20" t="s">
        <v>379</v>
      </c>
      <c r="G218" s="8" t="str">
        <f t="shared" si="6"/>
        <v>STAMBAUGH JAMES</v>
      </c>
      <c r="H218" s="20" t="str">
        <f t="shared" si="7"/>
        <v>4044</v>
      </c>
    </row>
    <row r="219" spans="1:8" x14ac:dyDescent="0.25">
      <c r="A219" s="8">
        <v>42997.963958333334</v>
      </c>
      <c r="B219" s="20" t="s">
        <v>634</v>
      </c>
      <c r="C219" s="20" t="s">
        <v>645</v>
      </c>
      <c r="D219" s="138">
        <v>3220000</v>
      </c>
      <c r="E219" s="20" t="s">
        <v>509</v>
      </c>
      <c r="F219" s="20" t="s">
        <v>510</v>
      </c>
      <c r="G219" s="8" t="str">
        <f t="shared" si="6"/>
        <v>RESPASS AARON</v>
      </c>
      <c r="H219" s="20" t="str">
        <f t="shared" si="7"/>
        <v>4049</v>
      </c>
    </row>
    <row r="220" spans="1:8" x14ac:dyDescent="0.25">
      <c r="A220" s="8">
        <v>42997.966504629629</v>
      </c>
      <c r="B220" s="20" t="s">
        <v>434</v>
      </c>
      <c r="C220" s="20" t="s">
        <v>850</v>
      </c>
      <c r="D220" s="138">
        <v>890000</v>
      </c>
      <c r="E220" s="20" t="s">
        <v>372</v>
      </c>
      <c r="F220" s="20" t="s">
        <v>373</v>
      </c>
      <c r="G220" s="8" t="str">
        <f t="shared" si="6"/>
        <v>LOZA FIDEL</v>
      </c>
      <c r="H220" s="20" t="str">
        <f t="shared" si="7"/>
        <v>4028</v>
      </c>
    </row>
    <row r="221" spans="1:8" x14ac:dyDescent="0.25">
      <c r="A221" s="8">
        <v>42997.974722222221</v>
      </c>
      <c r="B221" s="20" t="s">
        <v>443</v>
      </c>
      <c r="C221" s="20" t="s">
        <v>851</v>
      </c>
      <c r="D221" s="138">
        <v>2000000</v>
      </c>
      <c r="E221" s="20" t="s">
        <v>425</v>
      </c>
      <c r="F221" s="20" t="s">
        <v>379</v>
      </c>
      <c r="G221" s="8" t="str">
        <f t="shared" si="6"/>
        <v>STAMBAUGH JAMES</v>
      </c>
      <c r="H221" s="20" t="str">
        <f t="shared" si="7"/>
        <v>4043</v>
      </c>
    </row>
    <row r="222" spans="1:8" x14ac:dyDescent="0.25">
      <c r="A222" s="8">
        <v>42997.975636574076</v>
      </c>
      <c r="B222" s="20" t="s">
        <v>419</v>
      </c>
      <c r="C222" s="20" t="s">
        <v>852</v>
      </c>
      <c r="D222" s="138">
        <v>3190000</v>
      </c>
      <c r="E222" s="20" t="s">
        <v>393</v>
      </c>
      <c r="F222" s="20" t="s">
        <v>394</v>
      </c>
      <c r="G222" s="8" t="str">
        <f t="shared" si="6"/>
        <v>HART KEVIN</v>
      </c>
      <c r="H222" s="20" t="str">
        <f t="shared" si="7"/>
        <v>4029</v>
      </c>
    </row>
    <row r="223" spans="1:8" x14ac:dyDescent="0.25">
      <c r="A223" s="8">
        <v>42997.985034722224</v>
      </c>
      <c r="B223" s="20" t="s">
        <v>385</v>
      </c>
      <c r="C223" s="20" t="s">
        <v>853</v>
      </c>
      <c r="D223" s="138">
        <v>2680000</v>
      </c>
      <c r="E223" s="20" t="s">
        <v>386</v>
      </c>
      <c r="F223" s="20" t="s">
        <v>387</v>
      </c>
      <c r="G223" s="8" t="str">
        <f t="shared" si="6"/>
        <v>DUNCAN SHEILA</v>
      </c>
      <c r="H223" s="20" t="str">
        <f t="shared" si="7"/>
        <v>4009</v>
      </c>
    </row>
    <row r="224" spans="1:8" x14ac:dyDescent="0.25">
      <c r="A224" s="8">
        <v>42997.985671296294</v>
      </c>
      <c r="B224" t="s">
        <v>497</v>
      </c>
      <c r="C224" t="s">
        <v>854</v>
      </c>
      <c r="D224" s="138">
        <v>2620000</v>
      </c>
      <c r="E224" t="s">
        <v>391</v>
      </c>
      <c r="F224" s="20" t="s">
        <v>392</v>
      </c>
      <c r="G224" s="8" t="str">
        <f t="shared" si="6"/>
        <v>PERKINS DARREN</v>
      </c>
      <c r="H224" s="20" t="str">
        <f t="shared" si="7"/>
        <v>4056</v>
      </c>
    </row>
    <row r="225" spans="1:8" x14ac:dyDescent="0.25">
      <c r="A225" s="8">
        <v>42998.009479166663</v>
      </c>
      <c r="B225" t="s">
        <v>609</v>
      </c>
      <c r="C225" t="s">
        <v>855</v>
      </c>
      <c r="D225" s="138">
        <v>890000</v>
      </c>
      <c r="E225" t="s">
        <v>372</v>
      </c>
      <c r="F225" s="20" t="s">
        <v>373</v>
      </c>
      <c r="G225" s="8" t="str">
        <f t="shared" si="6"/>
        <v>LOZA FIDEL</v>
      </c>
      <c r="H225" s="20" t="str">
        <f t="shared" si="7"/>
        <v>4027</v>
      </c>
    </row>
    <row r="226" spans="1:8" x14ac:dyDescent="0.25">
      <c r="A226" s="8">
        <v>42998.015949074077</v>
      </c>
      <c r="B226" t="s">
        <v>375</v>
      </c>
      <c r="C226" t="s">
        <v>856</v>
      </c>
      <c r="D226" s="138">
        <v>3190000</v>
      </c>
      <c r="E226" t="s">
        <v>393</v>
      </c>
      <c r="F226" s="20" t="s">
        <v>394</v>
      </c>
      <c r="G226" s="8" t="str">
        <f t="shared" si="6"/>
        <v>HART KEVIN</v>
      </c>
      <c r="H226" s="20" t="str">
        <f t="shared" si="7"/>
        <v>4030</v>
      </c>
    </row>
    <row r="227" spans="1:8" x14ac:dyDescent="0.25">
      <c r="A227" s="8">
        <v>42998.027129629627</v>
      </c>
      <c r="B227" t="s">
        <v>625</v>
      </c>
      <c r="C227" t="s">
        <v>857</v>
      </c>
      <c r="D227" s="138">
        <v>2680000</v>
      </c>
      <c r="E227" t="s">
        <v>386</v>
      </c>
      <c r="F227" s="20" t="s">
        <v>387</v>
      </c>
      <c r="G227" s="8" t="str">
        <f t="shared" si="6"/>
        <v>DUNCAN SHEILA</v>
      </c>
      <c r="H227" s="20" t="str">
        <f t="shared" si="7"/>
        <v>4050</v>
      </c>
    </row>
    <row r="228" spans="1:8" x14ac:dyDescent="0.25">
      <c r="A228" s="8">
        <v>42998.031076388892</v>
      </c>
      <c r="B228" t="s">
        <v>501</v>
      </c>
      <c r="C228" t="s">
        <v>858</v>
      </c>
      <c r="D228" s="138">
        <v>2620000</v>
      </c>
      <c r="E228" t="s">
        <v>391</v>
      </c>
      <c r="F228" s="20" t="s">
        <v>392</v>
      </c>
      <c r="G228" s="8" t="str">
        <f t="shared" si="6"/>
        <v>PERKINS DARREN</v>
      </c>
      <c r="H228" s="20" t="str">
        <f t="shared" si="7"/>
        <v>4055</v>
      </c>
    </row>
    <row r="229" spans="1:8" x14ac:dyDescent="0.25">
      <c r="A229" s="8">
        <v>42998.048530092594</v>
      </c>
      <c r="B229" t="s">
        <v>434</v>
      </c>
      <c r="C229" t="s">
        <v>859</v>
      </c>
      <c r="D229" s="138">
        <v>890000</v>
      </c>
      <c r="E229" t="s">
        <v>372</v>
      </c>
      <c r="F229" s="20" t="s">
        <v>373</v>
      </c>
      <c r="G229" s="8" t="str">
        <f t="shared" si="6"/>
        <v>LOZA FIDEL</v>
      </c>
      <c r="H229" s="20" t="str">
        <f t="shared" si="7"/>
        <v>4028</v>
      </c>
    </row>
    <row r="230" spans="1:8" x14ac:dyDescent="0.25">
      <c r="A230" s="8">
        <v>42998.057604166665</v>
      </c>
      <c r="B230" t="s">
        <v>419</v>
      </c>
      <c r="C230" t="s">
        <v>860</v>
      </c>
      <c r="D230" s="138">
        <v>3190000</v>
      </c>
      <c r="E230" t="s">
        <v>393</v>
      </c>
      <c r="F230" s="20" t="s">
        <v>394</v>
      </c>
      <c r="G230" s="8" t="str">
        <f t="shared" si="6"/>
        <v>HART KEVIN</v>
      </c>
      <c r="H230" s="20" t="str">
        <f t="shared" si="7"/>
        <v>4029</v>
      </c>
    </row>
    <row r="231" spans="1:8" x14ac:dyDescent="0.25">
      <c r="A231" s="8">
        <v>42998.067777777775</v>
      </c>
      <c r="B231" t="s">
        <v>497</v>
      </c>
      <c r="C231" t="s">
        <v>861</v>
      </c>
      <c r="D231" s="138">
        <v>2620000</v>
      </c>
      <c r="E231" t="s">
        <v>391</v>
      </c>
      <c r="F231" s="20" t="s">
        <v>392</v>
      </c>
      <c r="G231" s="8" t="str">
        <f t="shared" si="6"/>
        <v>PERKINS DARREN</v>
      </c>
      <c r="H231" s="20" t="str">
        <f t="shared" si="7"/>
        <v>4056</v>
      </c>
    </row>
    <row r="232" spans="1:8" x14ac:dyDescent="0.25">
      <c r="A232" s="8">
        <v>42998.087951388887</v>
      </c>
      <c r="B232" t="s">
        <v>375</v>
      </c>
      <c r="C232" t="s">
        <v>862</v>
      </c>
      <c r="D232" s="138">
        <v>3190000</v>
      </c>
      <c r="E232" t="s">
        <v>393</v>
      </c>
      <c r="F232" s="20" t="s">
        <v>394</v>
      </c>
      <c r="G232" s="8" t="str">
        <f t="shared" si="6"/>
        <v>HART KEVIN</v>
      </c>
      <c r="H232" s="20" t="str">
        <f t="shared" si="7"/>
        <v>4030</v>
      </c>
    </row>
    <row r="233" spans="1:8" x14ac:dyDescent="0.25">
      <c r="A233" s="8">
        <v>42997.026909722219</v>
      </c>
      <c r="B233" t="s">
        <v>535</v>
      </c>
      <c r="C233" t="s">
        <v>552</v>
      </c>
      <c r="D233" s="138">
        <v>2680000</v>
      </c>
      <c r="E233" t="s">
        <v>386</v>
      </c>
      <c r="F233" s="20" t="s">
        <v>387</v>
      </c>
      <c r="G233" s="8" t="str">
        <f t="shared" si="6"/>
        <v>DUNCAN SHEILA</v>
      </c>
      <c r="H233" s="20" t="str">
        <f t="shared" si="7"/>
        <v>4039</v>
      </c>
    </row>
    <row r="234" spans="1:8" x14ac:dyDescent="0.25">
      <c r="A234" s="8">
        <v>42997.045983796299</v>
      </c>
      <c r="B234" t="s">
        <v>537</v>
      </c>
      <c r="C234" t="s">
        <v>553</v>
      </c>
      <c r="D234" s="138">
        <v>890000</v>
      </c>
      <c r="E234" t="s">
        <v>372</v>
      </c>
      <c r="F234" s="20" t="s">
        <v>373</v>
      </c>
      <c r="G234" s="8" t="str">
        <f t="shared" si="6"/>
        <v>LOZA FIDEL</v>
      </c>
      <c r="H234" s="20" t="str">
        <f t="shared" si="7"/>
        <v>4010</v>
      </c>
    </row>
    <row r="235" spans="1:8" x14ac:dyDescent="0.25">
      <c r="A235" s="8">
        <v>42997.055763888886</v>
      </c>
      <c r="B235" t="s">
        <v>495</v>
      </c>
      <c r="C235" t="s">
        <v>554</v>
      </c>
      <c r="D235" s="138">
        <v>3040000</v>
      </c>
      <c r="E235" t="s">
        <v>463</v>
      </c>
      <c r="F235" s="20" t="s">
        <v>464</v>
      </c>
      <c r="G235" s="8" t="str">
        <f t="shared" si="6"/>
        <v>WILLIAMS DONTE</v>
      </c>
      <c r="H235" s="20" t="str">
        <f t="shared" si="7"/>
        <v>4023</v>
      </c>
    </row>
    <row r="236" spans="1:8" x14ac:dyDescent="0.25">
      <c r="A236" s="8">
        <v>42997.067789351851</v>
      </c>
      <c r="B236" t="s">
        <v>543</v>
      </c>
      <c r="C236" t="s">
        <v>555</v>
      </c>
      <c r="D236" s="138">
        <v>2680000</v>
      </c>
      <c r="E236" t="s">
        <v>386</v>
      </c>
      <c r="F236" s="20" t="s">
        <v>387</v>
      </c>
      <c r="G236" s="8" t="str">
        <f t="shared" si="6"/>
        <v>DUNCAN SHEILA</v>
      </c>
      <c r="H236" s="20" t="str">
        <f t="shared" si="7"/>
        <v>4040</v>
      </c>
    </row>
    <row r="237" spans="1:8" x14ac:dyDescent="0.25">
      <c r="A237" s="8">
        <v>42997.090185185189</v>
      </c>
      <c r="B237" t="s">
        <v>496</v>
      </c>
      <c r="C237" t="s">
        <v>556</v>
      </c>
      <c r="D237" s="138">
        <v>3040000</v>
      </c>
      <c r="E237" t="s">
        <v>463</v>
      </c>
      <c r="F237" s="20" t="s">
        <v>464</v>
      </c>
      <c r="G237" s="8" t="str">
        <f t="shared" si="6"/>
        <v>WILLIAMS DONTE</v>
      </c>
      <c r="H237" s="20" t="str">
        <f t="shared" si="7"/>
        <v>4024</v>
      </c>
    </row>
    <row r="238" spans="1:8" x14ac:dyDescent="0.25">
      <c r="A238" s="8">
        <v>42997.112673611111</v>
      </c>
      <c r="B238" t="s">
        <v>557</v>
      </c>
      <c r="C238" t="s">
        <v>558</v>
      </c>
      <c r="D238" s="138">
        <v>1830000</v>
      </c>
      <c r="E238" t="s">
        <v>444</v>
      </c>
      <c r="F238" s="20" t="s">
        <v>445</v>
      </c>
      <c r="G238" s="8" t="str">
        <f t="shared" si="6"/>
        <v>YORK EDGAR</v>
      </c>
      <c r="H238" s="20" t="str">
        <f t="shared" si="7"/>
        <v>4011</v>
      </c>
    </row>
    <row r="239" spans="1:8" x14ac:dyDescent="0.25">
      <c r="A239" s="8">
        <v>42992.95008101852</v>
      </c>
      <c r="B239" t="s">
        <v>469</v>
      </c>
      <c r="C239" t="s">
        <v>470</v>
      </c>
      <c r="D239" s="138">
        <v>2440000</v>
      </c>
      <c r="E239" t="s">
        <v>446</v>
      </c>
      <c r="F239" s="20" t="s">
        <v>447</v>
      </c>
      <c r="G239" s="8" t="str">
        <f t="shared" si="6"/>
        <v>LOPES KIMBERLY</v>
      </c>
      <c r="H239" s="20" t="str">
        <f t="shared" si="7"/>
        <v>4036</v>
      </c>
    </row>
    <row r="240" spans="1:8" x14ac:dyDescent="0.25">
      <c r="A240" s="8">
        <v>42992.955497685187</v>
      </c>
      <c r="B240" t="s">
        <v>456</v>
      </c>
      <c r="C240" t="s">
        <v>471</v>
      </c>
      <c r="D240" s="138">
        <v>3190000</v>
      </c>
      <c r="E240" t="s">
        <v>393</v>
      </c>
      <c r="F240" s="20" t="s">
        <v>394</v>
      </c>
      <c r="G240" s="8" t="str">
        <f t="shared" si="6"/>
        <v>HART KEVIN</v>
      </c>
      <c r="H240" s="20" t="str">
        <f t="shared" si="7"/>
        <v>4004</v>
      </c>
    </row>
    <row r="241" spans="1:8" x14ac:dyDescent="0.25">
      <c r="A241" s="8">
        <v>42992.956250000003</v>
      </c>
      <c r="B241" t="s">
        <v>455</v>
      </c>
      <c r="C241" t="s">
        <v>459</v>
      </c>
      <c r="D241" s="138">
        <v>2680000</v>
      </c>
      <c r="E241" t="s">
        <v>386</v>
      </c>
      <c r="F241" s="20" t="s">
        <v>387</v>
      </c>
      <c r="G241" s="8" t="str">
        <f t="shared" si="6"/>
        <v>DUNCAN SHEILA</v>
      </c>
      <c r="H241" s="20" t="str">
        <f t="shared" si="7"/>
        <v>4034</v>
      </c>
    </row>
    <row r="242" spans="1:8" x14ac:dyDescent="0.25">
      <c r="A242" s="8">
        <v>42992.964282407411</v>
      </c>
      <c r="B242" t="s">
        <v>428</v>
      </c>
      <c r="C242" t="s">
        <v>472</v>
      </c>
      <c r="D242" s="138">
        <v>890000</v>
      </c>
      <c r="E242" t="s">
        <v>372</v>
      </c>
      <c r="F242" s="20" t="s">
        <v>373</v>
      </c>
      <c r="G242" s="8" t="str">
        <f t="shared" si="6"/>
        <v>LOZA FIDEL</v>
      </c>
      <c r="H242" s="20" t="str">
        <f t="shared" si="7"/>
        <v>4058</v>
      </c>
    </row>
    <row r="243" spans="1:8" x14ac:dyDescent="0.25">
      <c r="A243" s="8">
        <v>42992.96429398148</v>
      </c>
      <c r="B243" t="s">
        <v>398</v>
      </c>
      <c r="C243" t="s">
        <v>473</v>
      </c>
      <c r="D243" s="138">
        <v>2620000</v>
      </c>
      <c r="E243" t="s">
        <v>391</v>
      </c>
      <c r="F243" s="20" t="s">
        <v>392</v>
      </c>
      <c r="G243" s="8" t="str">
        <f t="shared" si="6"/>
        <v>PERKINS DARREN</v>
      </c>
      <c r="H243" s="20" t="str">
        <f t="shared" si="7"/>
        <v>4031</v>
      </c>
    </row>
    <row r="244" spans="1:8" x14ac:dyDescent="0.25">
      <c r="A244" s="8">
        <v>42992.974999999999</v>
      </c>
      <c r="B244" t="s">
        <v>467</v>
      </c>
      <c r="C244" t="s">
        <v>468</v>
      </c>
      <c r="D244" s="138">
        <v>2440000</v>
      </c>
      <c r="E244" t="s">
        <v>446</v>
      </c>
      <c r="F244" s="20" t="s">
        <v>447</v>
      </c>
      <c r="G244" s="8" t="str">
        <f t="shared" si="6"/>
        <v>LOPES KIMBERLY</v>
      </c>
      <c r="H244" s="20" t="str">
        <f t="shared" si="7"/>
        <v>4035</v>
      </c>
    </row>
    <row r="245" spans="1:8" x14ac:dyDescent="0.25">
      <c r="A245" s="8">
        <v>42992.976111111115</v>
      </c>
      <c r="B245" t="s">
        <v>458</v>
      </c>
      <c r="C245" t="s">
        <v>474</v>
      </c>
      <c r="D245" s="138">
        <v>2680000</v>
      </c>
      <c r="E245" t="s">
        <v>386</v>
      </c>
      <c r="F245" s="20" t="s">
        <v>387</v>
      </c>
      <c r="G245" s="8" t="str">
        <f t="shared" si="6"/>
        <v>DUNCAN SHEILA</v>
      </c>
      <c r="H245" s="20" t="str">
        <f t="shared" si="7"/>
        <v>4033</v>
      </c>
    </row>
    <row r="246" spans="1:8" x14ac:dyDescent="0.25">
      <c r="A246" s="8">
        <v>42992.996307870373</v>
      </c>
      <c r="B246" t="s">
        <v>448</v>
      </c>
      <c r="C246" t="s">
        <v>475</v>
      </c>
      <c r="D246" s="138">
        <v>3190000</v>
      </c>
      <c r="E246" t="s">
        <v>393</v>
      </c>
      <c r="F246" s="20" t="s">
        <v>394</v>
      </c>
      <c r="G246" s="8" t="str">
        <f t="shared" si="6"/>
        <v>HART KEVIN</v>
      </c>
      <c r="H246" s="20" t="str">
        <f t="shared" si="7"/>
        <v>4003</v>
      </c>
    </row>
    <row r="247" spans="1:8" x14ac:dyDescent="0.25">
      <c r="A247" s="8">
        <v>42992.997337962966</v>
      </c>
      <c r="B247" t="s">
        <v>375</v>
      </c>
      <c r="C247" t="s">
        <v>476</v>
      </c>
      <c r="D247" s="138">
        <v>3340000</v>
      </c>
      <c r="E247" t="s">
        <v>465</v>
      </c>
      <c r="F247" s="20" t="s">
        <v>466</v>
      </c>
      <c r="G247" s="8" t="str">
        <f t="shared" si="6"/>
        <v>ELBAUM MIKE</v>
      </c>
      <c r="H247" s="20" t="str">
        <f t="shared" si="7"/>
        <v>4030</v>
      </c>
    </row>
    <row r="248" spans="1:8" x14ac:dyDescent="0.25">
      <c r="A248" s="8">
        <v>42993.005486111113</v>
      </c>
      <c r="B248" t="s">
        <v>383</v>
      </c>
      <c r="C248" t="s">
        <v>460</v>
      </c>
      <c r="D248" s="138">
        <v>2620000</v>
      </c>
      <c r="E248" t="s">
        <v>391</v>
      </c>
      <c r="F248" s="20" t="s">
        <v>392</v>
      </c>
      <c r="G248" s="8" t="str">
        <f t="shared" si="6"/>
        <v>PERKINS DARREN</v>
      </c>
      <c r="H248" s="20" t="str">
        <f t="shared" si="7"/>
        <v>4032</v>
      </c>
    </row>
    <row r="249" spans="1:8" x14ac:dyDescent="0.25">
      <c r="A249" s="8">
        <v>42993.017222222225</v>
      </c>
      <c r="B249" t="s">
        <v>457</v>
      </c>
      <c r="C249" t="s">
        <v>477</v>
      </c>
      <c r="D249" s="138">
        <v>890000</v>
      </c>
      <c r="E249" t="s">
        <v>372</v>
      </c>
      <c r="F249" s="20" t="s">
        <v>373</v>
      </c>
      <c r="G249" s="8" t="str">
        <f t="shared" si="6"/>
        <v>LOZA FIDEL</v>
      </c>
      <c r="H249" s="20" t="str">
        <f t="shared" si="7"/>
        <v>4057</v>
      </c>
    </row>
    <row r="250" spans="1:8" x14ac:dyDescent="0.25">
      <c r="A250" s="8">
        <v>42993.021782407406</v>
      </c>
      <c r="B250" t="s">
        <v>469</v>
      </c>
      <c r="C250" t="s">
        <v>470</v>
      </c>
      <c r="D250" s="138">
        <v>2440000</v>
      </c>
      <c r="E250" t="s">
        <v>446</v>
      </c>
      <c r="F250" s="20" t="s">
        <v>447</v>
      </c>
      <c r="G250" s="8" t="str">
        <f t="shared" si="6"/>
        <v>LOPES KIMBERLY</v>
      </c>
      <c r="H250" s="20" t="str">
        <f t="shared" si="7"/>
        <v>4036</v>
      </c>
    </row>
    <row r="251" spans="1:8" x14ac:dyDescent="0.25">
      <c r="A251" s="8">
        <v>42993.025300925925</v>
      </c>
      <c r="B251" t="s">
        <v>456</v>
      </c>
      <c r="C251" t="s">
        <v>478</v>
      </c>
      <c r="D251" s="138">
        <v>3190000</v>
      </c>
      <c r="E251" t="s">
        <v>393</v>
      </c>
      <c r="F251" s="20" t="s">
        <v>394</v>
      </c>
      <c r="G251" s="8" t="str">
        <f t="shared" si="6"/>
        <v>HART KEVIN</v>
      </c>
      <c r="H251" s="20" t="str">
        <f t="shared" si="7"/>
        <v>4004</v>
      </c>
    </row>
    <row r="252" spans="1:8" x14ac:dyDescent="0.25">
      <c r="A252" s="8">
        <v>42993.026296296295</v>
      </c>
      <c r="B252" t="s">
        <v>419</v>
      </c>
      <c r="C252" t="s">
        <v>479</v>
      </c>
      <c r="D252" s="138">
        <v>3340000</v>
      </c>
      <c r="E252" t="s">
        <v>465</v>
      </c>
      <c r="F252" s="20" t="s">
        <v>466</v>
      </c>
      <c r="G252" s="8" t="str">
        <f t="shared" si="6"/>
        <v>ELBAUM MIKE</v>
      </c>
      <c r="H252" s="20" t="str">
        <f t="shared" si="7"/>
        <v>4029</v>
      </c>
    </row>
    <row r="253" spans="1:8" x14ac:dyDescent="0.25">
      <c r="A253" s="8">
        <v>42993.046979166669</v>
      </c>
      <c r="B253" t="s">
        <v>428</v>
      </c>
      <c r="C253" t="s">
        <v>480</v>
      </c>
      <c r="D253" s="138">
        <v>890000</v>
      </c>
      <c r="E253" t="s">
        <v>372</v>
      </c>
      <c r="F253" s="20" t="s">
        <v>373</v>
      </c>
      <c r="G253" s="8" t="str">
        <f t="shared" si="6"/>
        <v>LOZA FIDEL</v>
      </c>
      <c r="H253" s="20" t="str">
        <f t="shared" si="7"/>
        <v>4058</v>
      </c>
    </row>
    <row r="254" spans="1:8" x14ac:dyDescent="0.25">
      <c r="A254" s="8">
        <v>42993.047731481478</v>
      </c>
      <c r="B254" t="s">
        <v>428</v>
      </c>
      <c r="C254" t="s">
        <v>480</v>
      </c>
      <c r="D254" s="138">
        <v>890000</v>
      </c>
      <c r="E254" t="s">
        <v>372</v>
      </c>
      <c r="F254" s="20" t="s">
        <v>373</v>
      </c>
      <c r="G254" s="8" t="str">
        <f t="shared" si="6"/>
        <v>LOZA FIDEL</v>
      </c>
      <c r="H254" s="20" t="str">
        <f t="shared" si="7"/>
        <v>4058</v>
      </c>
    </row>
    <row r="255" spans="1:8" x14ac:dyDescent="0.25">
      <c r="A255" s="8">
        <v>42993.049201388887</v>
      </c>
      <c r="B255" t="s">
        <v>428</v>
      </c>
      <c r="C255" t="s">
        <v>480</v>
      </c>
      <c r="D255" s="138">
        <v>890000</v>
      </c>
      <c r="E255" t="s">
        <v>372</v>
      </c>
      <c r="F255" s="20" t="s">
        <v>373</v>
      </c>
      <c r="G255" s="8" t="str">
        <f t="shared" si="6"/>
        <v>LOZA FIDEL</v>
      </c>
      <c r="H255" s="20" t="str">
        <f t="shared" si="7"/>
        <v>4058</v>
      </c>
    </row>
    <row r="256" spans="1:8" x14ac:dyDescent="0.25">
      <c r="A256" s="8">
        <v>42993.051527777781</v>
      </c>
      <c r="B256" t="s">
        <v>398</v>
      </c>
      <c r="C256" t="s">
        <v>461</v>
      </c>
      <c r="D256" s="138">
        <v>2620000</v>
      </c>
      <c r="E256" t="s">
        <v>391</v>
      </c>
      <c r="F256" s="20" t="s">
        <v>392</v>
      </c>
      <c r="G256" s="8" t="str">
        <f t="shared" si="6"/>
        <v>PERKINS DARREN</v>
      </c>
      <c r="H256" s="20" t="str">
        <f t="shared" si="7"/>
        <v>4031</v>
      </c>
    </row>
    <row r="257" spans="1:8" x14ac:dyDescent="0.25">
      <c r="A257" s="8">
        <v>42993.051759259259</v>
      </c>
      <c r="B257" t="s">
        <v>467</v>
      </c>
      <c r="C257" t="s">
        <v>468</v>
      </c>
      <c r="D257" s="138">
        <v>2440000</v>
      </c>
      <c r="E257" t="s">
        <v>446</v>
      </c>
      <c r="F257" s="20" t="s">
        <v>447</v>
      </c>
      <c r="G257" s="8" t="str">
        <f t="shared" si="6"/>
        <v>LOPES KIMBERLY</v>
      </c>
      <c r="H257" s="20" t="str">
        <f t="shared" si="7"/>
        <v>4035</v>
      </c>
    </row>
    <row r="258" spans="1:8" x14ac:dyDescent="0.25">
      <c r="A258" s="8">
        <v>42993.067615740743</v>
      </c>
      <c r="B258" t="s">
        <v>375</v>
      </c>
      <c r="C258" t="s">
        <v>481</v>
      </c>
      <c r="D258" s="138">
        <v>3340000</v>
      </c>
      <c r="E258" t="s">
        <v>465</v>
      </c>
      <c r="F258" s="20" t="s">
        <v>466</v>
      </c>
      <c r="G258" s="8" t="str">
        <f t="shared" si="6"/>
        <v>ELBAUM MIKE</v>
      </c>
      <c r="H258" s="20" t="str">
        <f t="shared" si="7"/>
        <v>4030</v>
      </c>
    </row>
    <row r="259" spans="1:8" x14ac:dyDescent="0.25">
      <c r="A259" s="8">
        <v>42993.068460648145</v>
      </c>
      <c r="B259" t="s">
        <v>375</v>
      </c>
      <c r="C259" t="s">
        <v>481</v>
      </c>
      <c r="D259" s="138">
        <v>3340000</v>
      </c>
      <c r="E259" t="s">
        <v>465</v>
      </c>
      <c r="F259" s="20" t="s">
        <v>466</v>
      </c>
      <c r="G259" s="8" t="str">
        <f t="shared" ref="G259:G273" si="8">E259&amp;" "&amp;F259</f>
        <v>ELBAUM MIKE</v>
      </c>
      <c r="H259" s="20" t="str">
        <f t="shared" ref="H259:H273" si="9">MID(B259,13,4)</f>
        <v>4030</v>
      </c>
    </row>
    <row r="260" spans="1:8" x14ac:dyDescent="0.25">
      <c r="A260" s="8">
        <v>42993.080104166664</v>
      </c>
      <c r="B260" t="s">
        <v>469</v>
      </c>
      <c r="C260" t="s">
        <v>468</v>
      </c>
      <c r="D260" s="138">
        <v>2440000</v>
      </c>
      <c r="E260" t="s">
        <v>446</v>
      </c>
      <c r="F260" s="20" t="s">
        <v>447</v>
      </c>
      <c r="G260" s="8" t="str">
        <f t="shared" si="8"/>
        <v>LOPES KIMBERLY</v>
      </c>
      <c r="H260" s="20" t="str">
        <f t="shared" si="9"/>
        <v>4036</v>
      </c>
    </row>
    <row r="261" spans="1:8" x14ac:dyDescent="0.25">
      <c r="A261" s="8">
        <v>42993.081076388888</v>
      </c>
      <c r="B261" t="s">
        <v>469</v>
      </c>
      <c r="C261" t="s">
        <v>468</v>
      </c>
      <c r="D261" s="138">
        <v>2440000</v>
      </c>
      <c r="E261" t="s">
        <v>446</v>
      </c>
      <c r="F261" s="20" t="s">
        <v>447</v>
      </c>
      <c r="G261" s="8" t="str">
        <f t="shared" si="8"/>
        <v>LOPES KIMBERLY</v>
      </c>
      <c r="H261" s="20" t="str">
        <f t="shared" si="9"/>
        <v>4036</v>
      </c>
    </row>
    <row r="262" spans="1:8" x14ac:dyDescent="0.25">
      <c r="A262" s="8">
        <v>42993.081678240742</v>
      </c>
      <c r="B262" t="s">
        <v>469</v>
      </c>
      <c r="C262" t="s">
        <v>482</v>
      </c>
      <c r="D262" s="138">
        <v>2440000</v>
      </c>
      <c r="E262" t="s">
        <v>446</v>
      </c>
      <c r="F262" s="20" t="s">
        <v>447</v>
      </c>
      <c r="G262" s="8" t="str">
        <f t="shared" si="8"/>
        <v>LOPES KIMBERLY</v>
      </c>
      <c r="H262" s="20" t="str">
        <f t="shared" si="9"/>
        <v>4036</v>
      </c>
    </row>
    <row r="263" spans="1:8" x14ac:dyDescent="0.25">
      <c r="A263" s="8">
        <v>42993.089236111111</v>
      </c>
      <c r="B263" t="s">
        <v>383</v>
      </c>
      <c r="C263" t="s">
        <v>483</v>
      </c>
      <c r="D263" s="138">
        <v>2620000</v>
      </c>
      <c r="E263" t="s">
        <v>391</v>
      </c>
      <c r="F263" s="20" t="s">
        <v>392</v>
      </c>
      <c r="G263" s="8" t="str">
        <f t="shared" si="8"/>
        <v>PERKINS DARREN</v>
      </c>
      <c r="H263" s="20" t="str">
        <f t="shared" si="9"/>
        <v>4032</v>
      </c>
    </row>
    <row r="264" spans="1:8" x14ac:dyDescent="0.25">
      <c r="A264" s="8">
        <v>42993.113506944443</v>
      </c>
      <c r="B264" t="s">
        <v>443</v>
      </c>
      <c r="C264" t="s">
        <v>484</v>
      </c>
      <c r="D264" s="138">
        <v>1830000</v>
      </c>
      <c r="E264" t="s">
        <v>444</v>
      </c>
      <c r="F264" s="20" t="s">
        <v>445</v>
      </c>
      <c r="G264" s="8" t="str">
        <f t="shared" si="8"/>
        <v>YORK EDGAR</v>
      </c>
      <c r="H264" s="20" t="str">
        <f t="shared" si="9"/>
        <v>4043</v>
      </c>
    </row>
    <row r="265" spans="1:8" x14ac:dyDescent="0.25">
      <c r="A265" s="8">
        <v>42985.008680555555</v>
      </c>
      <c r="B265" t="s">
        <v>398</v>
      </c>
      <c r="C265" t="s">
        <v>405</v>
      </c>
      <c r="D265" s="138">
        <v>2620000</v>
      </c>
      <c r="E265" t="s">
        <v>391</v>
      </c>
      <c r="F265" s="20" t="s">
        <v>392</v>
      </c>
      <c r="G265" s="8" t="str">
        <f t="shared" si="8"/>
        <v>PERKINS DARREN</v>
      </c>
      <c r="H265" s="20" t="str">
        <f t="shared" si="9"/>
        <v>4031</v>
      </c>
    </row>
    <row r="266" spans="1:8" x14ac:dyDescent="0.25">
      <c r="A266" s="8">
        <v>42985.011296296296</v>
      </c>
      <c r="B266" t="s">
        <v>399</v>
      </c>
      <c r="C266" t="s">
        <v>406</v>
      </c>
      <c r="D266" s="138">
        <v>3320000</v>
      </c>
      <c r="E266" t="s">
        <v>403</v>
      </c>
      <c r="F266" s="20" t="s">
        <v>404</v>
      </c>
      <c r="G266" s="8" t="str">
        <f t="shared" si="8"/>
        <v>NICHOLSON WESLEY</v>
      </c>
      <c r="H266" s="20" t="str">
        <f t="shared" si="9"/>
        <v>4015</v>
      </c>
    </row>
    <row r="267" spans="1:8" x14ac:dyDescent="0.25">
      <c r="A267" s="8">
        <v>42985.017731481479</v>
      </c>
      <c r="B267" t="s">
        <v>389</v>
      </c>
      <c r="C267" t="s">
        <v>407</v>
      </c>
      <c r="D267" s="138">
        <v>3190000</v>
      </c>
      <c r="E267" t="s">
        <v>393</v>
      </c>
      <c r="F267" s="20" t="s">
        <v>394</v>
      </c>
      <c r="G267" s="8" t="str">
        <f t="shared" si="8"/>
        <v>HART KEVIN</v>
      </c>
      <c r="H267" s="20" t="str">
        <f t="shared" si="9"/>
        <v>4020</v>
      </c>
    </row>
    <row r="268" spans="1:8" x14ac:dyDescent="0.25">
      <c r="A268" s="8">
        <v>42985.028749999998</v>
      </c>
      <c r="B268" t="s">
        <v>383</v>
      </c>
      <c r="C268" t="s">
        <v>408</v>
      </c>
      <c r="D268" s="138">
        <v>2620000</v>
      </c>
      <c r="E268" t="s">
        <v>391</v>
      </c>
      <c r="F268" s="20" t="s">
        <v>392</v>
      </c>
      <c r="G268" s="8" t="str">
        <f t="shared" si="8"/>
        <v>PERKINS DARREN</v>
      </c>
      <c r="H268" s="20" t="str">
        <f t="shared" si="9"/>
        <v>4032</v>
      </c>
    </row>
    <row r="269" spans="1:8" x14ac:dyDescent="0.25">
      <c r="A269" s="8">
        <v>42985.037442129629</v>
      </c>
      <c r="B269" t="s">
        <v>388</v>
      </c>
      <c r="C269" t="s">
        <v>409</v>
      </c>
      <c r="D269" s="138">
        <v>890000</v>
      </c>
      <c r="E269" t="s">
        <v>372</v>
      </c>
      <c r="F269" s="20" t="s">
        <v>373</v>
      </c>
      <c r="G269" s="8" t="str">
        <f t="shared" si="8"/>
        <v>LOZA FIDEL</v>
      </c>
      <c r="H269" s="20" t="str">
        <f t="shared" si="9"/>
        <v>4061</v>
      </c>
    </row>
    <row r="270" spans="1:8" x14ac:dyDescent="0.25">
      <c r="A270" s="8">
        <v>42985.050081018519</v>
      </c>
      <c r="B270" t="s">
        <v>400</v>
      </c>
      <c r="C270" t="s">
        <v>410</v>
      </c>
      <c r="D270" s="138">
        <v>2680000</v>
      </c>
      <c r="E270" t="s">
        <v>386</v>
      </c>
      <c r="F270" s="20" t="s">
        <v>387</v>
      </c>
      <c r="G270" s="8" t="str">
        <f t="shared" si="8"/>
        <v>DUNCAN SHEILA</v>
      </c>
      <c r="H270" s="20" t="str">
        <f t="shared" si="9"/>
        <v>4016</v>
      </c>
    </row>
    <row r="271" spans="1:8" x14ac:dyDescent="0.25">
      <c r="A271" s="8">
        <v>42985.058425925927</v>
      </c>
      <c r="B271" t="s">
        <v>390</v>
      </c>
      <c r="C271" t="s">
        <v>411</v>
      </c>
      <c r="D271" s="138">
        <v>3190000</v>
      </c>
      <c r="E271" t="s">
        <v>393</v>
      </c>
      <c r="F271" s="20" t="s">
        <v>394</v>
      </c>
      <c r="G271" s="8" t="str">
        <f t="shared" si="8"/>
        <v>HART KEVIN</v>
      </c>
      <c r="H271" s="20" t="str">
        <f t="shared" si="9"/>
        <v>4019</v>
      </c>
    </row>
    <row r="272" spans="1:8" x14ac:dyDescent="0.25">
      <c r="A272" s="8">
        <v>42985.067395833335</v>
      </c>
      <c r="B272" t="s">
        <v>402</v>
      </c>
      <c r="C272" t="s">
        <v>412</v>
      </c>
      <c r="D272" s="138">
        <v>890000</v>
      </c>
      <c r="E272" t="s">
        <v>372</v>
      </c>
      <c r="F272" s="20" t="s">
        <v>373</v>
      </c>
      <c r="G272" s="8" t="str">
        <f t="shared" si="8"/>
        <v>LOZA FIDEL</v>
      </c>
      <c r="H272" s="20" t="str">
        <f t="shared" si="9"/>
        <v>4062</v>
      </c>
    </row>
    <row r="273" spans="1:8" x14ac:dyDescent="0.25">
      <c r="A273" s="8">
        <v>42985.088564814818</v>
      </c>
      <c r="B273" t="s">
        <v>389</v>
      </c>
      <c r="C273" t="s">
        <v>401</v>
      </c>
      <c r="D273" s="138">
        <v>3190000</v>
      </c>
      <c r="E273" t="s">
        <v>393</v>
      </c>
      <c r="F273" s="20" t="s">
        <v>394</v>
      </c>
      <c r="G273" s="8" t="str">
        <f t="shared" si="8"/>
        <v>HART KEVIN</v>
      </c>
      <c r="H273" s="20" t="str">
        <f t="shared" si="9"/>
        <v>4020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218" t="s">
        <v>158</v>
      </c>
      <c r="B1" s="218" t="s">
        <v>161</v>
      </c>
      <c r="C1" s="218" t="s">
        <v>154</v>
      </c>
      <c r="D1" s="136" t="s">
        <v>166</v>
      </c>
      <c r="E1" s="218" t="s">
        <v>155</v>
      </c>
      <c r="F1" s="218" t="s">
        <v>153</v>
      </c>
      <c r="G1" s="218" t="s">
        <v>151</v>
      </c>
      <c r="H1" s="218" t="s">
        <v>164</v>
      </c>
      <c r="I1" s="218" t="s">
        <v>165</v>
      </c>
      <c r="J1" s="218" t="s">
        <v>159</v>
      </c>
      <c r="K1" s="218" t="s">
        <v>157</v>
      </c>
      <c r="L1" s="218" t="s">
        <v>152</v>
      </c>
      <c r="M1" s="218" t="s">
        <v>162</v>
      </c>
      <c r="N1" s="218" t="s">
        <v>347</v>
      </c>
      <c r="O1" s="218" t="s">
        <v>156</v>
      </c>
      <c r="P1" s="218" t="s">
        <v>163</v>
      </c>
      <c r="Q1" s="218" t="s">
        <v>348</v>
      </c>
      <c r="R1" s="218" t="s">
        <v>160</v>
      </c>
      <c r="S1"/>
    </row>
    <row r="2" spans="1:19" x14ac:dyDescent="0.25">
      <c r="A2" s="196">
        <v>61.78</v>
      </c>
      <c r="B2" s="196">
        <v>0</v>
      </c>
      <c r="C2" s="196">
        <v>37.19</v>
      </c>
      <c r="D2" s="8">
        <v>42997</v>
      </c>
      <c r="E2" s="196">
        <v>0.4</v>
      </c>
      <c r="F2" s="196" t="s">
        <v>368</v>
      </c>
      <c r="G2" s="196">
        <v>275.56</v>
      </c>
      <c r="H2" s="196">
        <v>0</v>
      </c>
      <c r="I2" s="196">
        <v>0</v>
      </c>
      <c r="J2" s="196">
        <v>1003.38</v>
      </c>
      <c r="K2" s="196" t="s">
        <v>367</v>
      </c>
      <c r="L2" s="196">
        <v>61.78</v>
      </c>
      <c r="M2" s="196">
        <v>1505800800</v>
      </c>
      <c r="N2" s="196">
        <v>0</v>
      </c>
      <c r="O2" s="196">
        <v>3.2</v>
      </c>
      <c r="P2" s="196">
        <v>186</v>
      </c>
      <c r="Q2" s="196">
        <v>5.32</v>
      </c>
      <c r="R2" s="196">
        <v>1.98</v>
      </c>
      <c r="S2"/>
    </row>
    <row r="3" spans="1:19" x14ac:dyDescent="0.25">
      <c r="A3" s="196">
        <v>60.74</v>
      </c>
      <c r="B3" s="196">
        <v>0</v>
      </c>
      <c r="C3" s="196">
        <v>37.520000000000003</v>
      </c>
      <c r="D3" s="8">
        <v>42997.041666666664</v>
      </c>
      <c r="E3" s="196">
        <v>0.42</v>
      </c>
      <c r="F3" s="196" t="s">
        <v>368</v>
      </c>
      <c r="G3" s="196">
        <v>276.17</v>
      </c>
      <c r="H3" s="196">
        <v>0</v>
      </c>
      <c r="I3" s="196">
        <v>0</v>
      </c>
      <c r="J3" s="196">
        <v>1002.64</v>
      </c>
      <c r="K3" s="196" t="s">
        <v>367</v>
      </c>
      <c r="L3" s="196">
        <v>60.74</v>
      </c>
      <c r="M3" s="196">
        <v>1505804400</v>
      </c>
      <c r="N3" s="196">
        <v>0</v>
      </c>
      <c r="O3" s="196">
        <v>3.69</v>
      </c>
      <c r="P3" s="196">
        <v>203</v>
      </c>
      <c r="Q3" s="196">
        <v>5.37</v>
      </c>
      <c r="R3" s="196">
        <v>2.12</v>
      </c>
      <c r="S3"/>
    </row>
    <row r="4" spans="1:19" x14ac:dyDescent="0.25">
      <c r="A4" s="196">
        <v>59.25</v>
      </c>
      <c r="B4" s="196">
        <v>0.01</v>
      </c>
      <c r="C4" s="196">
        <v>37.26</v>
      </c>
      <c r="D4" s="8">
        <v>42997.083333333336</v>
      </c>
      <c r="E4" s="196">
        <v>0.44</v>
      </c>
      <c r="F4" s="196" t="s">
        <v>368</v>
      </c>
      <c r="G4" s="196">
        <v>276.77</v>
      </c>
      <c r="H4" s="196">
        <v>0</v>
      </c>
      <c r="I4" s="196">
        <v>0</v>
      </c>
      <c r="J4" s="196">
        <v>1002.06</v>
      </c>
      <c r="K4" s="196" t="s">
        <v>367</v>
      </c>
      <c r="L4" s="196">
        <v>59.25</v>
      </c>
      <c r="M4" s="196">
        <v>1505808000</v>
      </c>
      <c r="N4" s="196">
        <v>0</v>
      </c>
      <c r="O4" s="196">
        <v>3.01</v>
      </c>
      <c r="P4" s="196">
        <v>195</v>
      </c>
      <c r="Q4" s="196">
        <v>4.76</v>
      </c>
      <c r="R4" s="196">
        <v>2</v>
      </c>
      <c r="S4"/>
    </row>
    <row r="5" spans="1:19" x14ac:dyDescent="0.25">
      <c r="A5" s="196">
        <v>57.08</v>
      </c>
      <c r="B5" s="196">
        <v>0</v>
      </c>
      <c r="C5" s="196">
        <v>36.03</v>
      </c>
      <c r="D5" s="8">
        <v>42997.125</v>
      </c>
      <c r="E5" s="196">
        <v>0.45</v>
      </c>
      <c r="F5" s="196" t="s">
        <v>368</v>
      </c>
      <c r="G5" s="196">
        <v>277.37</v>
      </c>
      <c r="H5" s="196">
        <v>0</v>
      </c>
      <c r="I5" s="196">
        <v>0</v>
      </c>
      <c r="J5" s="196">
        <v>1001.46</v>
      </c>
      <c r="K5" s="196" t="s">
        <v>367</v>
      </c>
      <c r="L5" s="196">
        <v>57.08</v>
      </c>
      <c r="M5" s="196">
        <v>1505811600</v>
      </c>
      <c r="N5" s="196">
        <v>0</v>
      </c>
      <c r="O5" s="196">
        <v>3.65</v>
      </c>
      <c r="P5" s="196">
        <v>209</v>
      </c>
      <c r="Q5" s="196">
        <v>4.68</v>
      </c>
      <c r="R5" s="196">
        <v>1.65</v>
      </c>
      <c r="S5"/>
    </row>
    <row r="6" spans="1:19" x14ac:dyDescent="0.25">
      <c r="A6" s="196">
        <v>56.63</v>
      </c>
      <c r="B6" s="196">
        <v>0.02</v>
      </c>
      <c r="C6" s="196">
        <v>34.42</v>
      </c>
      <c r="D6" s="8">
        <v>42997.166666666664</v>
      </c>
      <c r="E6" s="196">
        <v>0.43</v>
      </c>
      <c r="F6" s="196" t="s">
        <v>368</v>
      </c>
      <c r="G6" s="196">
        <v>277.73</v>
      </c>
      <c r="H6" s="196">
        <v>0</v>
      </c>
      <c r="I6" s="196">
        <v>0</v>
      </c>
      <c r="J6" s="196">
        <v>1000.93</v>
      </c>
      <c r="K6" s="196" t="s">
        <v>367</v>
      </c>
      <c r="L6" s="196">
        <v>56.63</v>
      </c>
      <c r="M6" s="196">
        <v>1505815200</v>
      </c>
      <c r="N6" s="196">
        <v>0</v>
      </c>
      <c r="O6" s="196">
        <v>4.3899999999999997</v>
      </c>
      <c r="P6" s="196">
        <v>204</v>
      </c>
      <c r="Q6" s="196">
        <v>5.76</v>
      </c>
      <c r="R6" s="196">
        <v>2.39</v>
      </c>
      <c r="S6"/>
    </row>
    <row r="7" spans="1:19" x14ac:dyDescent="0.25">
      <c r="A7" s="196">
        <v>58.55</v>
      </c>
      <c r="B7" s="196">
        <v>0.05</v>
      </c>
      <c r="C7" s="196">
        <v>30.51</v>
      </c>
      <c r="D7" s="8">
        <v>42997.208333333336</v>
      </c>
      <c r="E7" s="196">
        <v>0.34</v>
      </c>
      <c r="F7" s="196" t="s">
        <v>368</v>
      </c>
      <c r="G7" s="196">
        <v>277.95999999999998</v>
      </c>
      <c r="H7" s="196">
        <v>0</v>
      </c>
      <c r="I7" s="196">
        <v>0</v>
      </c>
      <c r="J7" s="196">
        <v>1000.71</v>
      </c>
      <c r="K7" s="196" t="s">
        <v>367</v>
      </c>
      <c r="L7" s="196">
        <v>58.55</v>
      </c>
      <c r="M7" s="196">
        <v>1505818800</v>
      </c>
      <c r="N7" s="196">
        <v>0</v>
      </c>
      <c r="O7" s="196">
        <v>4.93</v>
      </c>
      <c r="P7" s="196">
        <v>191</v>
      </c>
      <c r="Q7" s="196">
        <v>7.29</v>
      </c>
      <c r="R7" s="196">
        <v>3.51</v>
      </c>
      <c r="S7"/>
    </row>
    <row r="8" spans="1:19" x14ac:dyDescent="0.25">
      <c r="A8" s="196">
        <v>59.09</v>
      </c>
      <c r="B8" s="196">
        <v>0.09</v>
      </c>
      <c r="C8" s="196">
        <v>29.43</v>
      </c>
      <c r="D8" s="8">
        <v>42997.25</v>
      </c>
      <c r="E8" s="196">
        <v>0.32</v>
      </c>
      <c r="F8" s="196" t="s">
        <v>368</v>
      </c>
      <c r="G8" s="196">
        <v>276.89</v>
      </c>
      <c r="H8" s="196">
        <v>0</v>
      </c>
      <c r="I8" s="196">
        <v>0</v>
      </c>
      <c r="J8" s="196">
        <v>1000.3</v>
      </c>
      <c r="K8" s="196" t="s">
        <v>367</v>
      </c>
      <c r="L8" s="196">
        <v>59.09</v>
      </c>
      <c r="M8" s="196">
        <v>1505822400</v>
      </c>
      <c r="N8" s="196">
        <v>0</v>
      </c>
      <c r="O8" s="196">
        <v>5.52</v>
      </c>
      <c r="P8" s="196">
        <v>189</v>
      </c>
      <c r="Q8" s="196">
        <v>7.76</v>
      </c>
      <c r="R8" s="196">
        <v>3.38</v>
      </c>
      <c r="S8"/>
    </row>
    <row r="9" spans="1:19" x14ac:dyDescent="0.25">
      <c r="A9" s="196">
        <v>58.59</v>
      </c>
      <c r="B9" s="196">
        <v>7.0000000000000007E-2</v>
      </c>
      <c r="C9" s="196">
        <v>29.07</v>
      </c>
      <c r="D9" s="8">
        <v>42997.291666666664</v>
      </c>
      <c r="E9" s="196">
        <v>0.32</v>
      </c>
      <c r="F9" s="196" t="s">
        <v>366</v>
      </c>
      <c r="G9" s="196">
        <v>277.49</v>
      </c>
      <c r="H9" s="196">
        <v>0</v>
      </c>
      <c r="I9" s="196">
        <v>0</v>
      </c>
      <c r="J9" s="196">
        <v>1001.09</v>
      </c>
      <c r="K9" s="196" t="s">
        <v>367</v>
      </c>
      <c r="L9" s="196">
        <v>58.59</v>
      </c>
      <c r="M9" s="196">
        <v>1505826000</v>
      </c>
      <c r="N9" s="196">
        <v>0</v>
      </c>
      <c r="O9" s="196">
        <v>5.56</v>
      </c>
      <c r="P9" s="196">
        <v>188</v>
      </c>
      <c r="Q9" s="196">
        <v>7.08</v>
      </c>
      <c r="R9" s="196">
        <v>3.23</v>
      </c>
      <c r="S9"/>
    </row>
    <row r="10" spans="1:19" x14ac:dyDescent="0.25">
      <c r="A10" s="196">
        <v>59.17</v>
      </c>
      <c r="B10" s="196">
        <v>0.12</v>
      </c>
      <c r="C10" s="196">
        <v>30.49</v>
      </c>
      <c r="D10" s="8">
        <v>42997.333333333336</v>
      </c>
      <c r="E10" s="196">
        <v>0.34</v>
      </c>
      <c r="F10" s="196" t="s">
        <v>366</v>
      </c>
      <c r="G10" s="196">
        <v>278.56</v>
      </c>
      <c r="H10" s="196">
        <v>0</v>
      </c>
      <c r="I10" s="196">
        <v>0</v>
      </c>
      <c r="J10" s="196">
        <v>1000.47</v>
      </c>
      <c r="K10" s="196" t="s">
        <v>367</v>
      </c>
      <c r="L10" s="196">
        <v>59.17</v>
      </c>
      <c r="M10" s="196">
        <v>1505829600</v>
      </c>
      <c r="N10" s="196">
        <v>1</v>
      </c>
      <c r="O10" s="196">
        <v>3.66</v>
      </c>
      <c r="P10" s="196">
        <v>179</v>
      </c>
      <c r="Q10" s="196">
        <v>5.82</v>
      </c>
      <c r="R10" s="196">
        <v>2.63</v>
      </c>
      <c r="S10"/>
    </row>
    <row r="11" spans="1:19" x14ac:dyDescent="0.25">
      <c r="A11" s="196">
        <v>61.81</v>
      </c>
      <c r="B11" s="196">
        <v>0.09</v>
      </c>
      <c r="C11" s="196">
        <v>32.67</v>
      </c>
      <c r="D11" s="8">
        <v>42997.375</v>
      </c>
      <c r="E11" s="196">
        <v>0.33</v>
      </c>
      <c r="F11" s="196" t="s">
        <v>366</v>
      </c>
      <c r="G11" s="196">
        <v>279.87</v>
      </c>
      <c r="H11" s="196">
        <v>0</v>
      </c>
      <c r="I11" s="196">
        <v>0</v>
      </c>
      <c r="J11" s="196">
        <v>999.74</v>
      </c>
      <c r="K11" s="196" t="s">
        <v>367</v>
      </c>
      <c r="L11" s="196">
        <v>61.81</v>
      </c>
      <c r="M11" s="196">
        <v>1505833200</v>
      </c>
      <c r="N11" s="196">
        <v>1</v>
      </c>
      <c r="O11" s="196">
        <v>6.18</v>
      </c>
      <c r="P11" s="196">
        <v>189</v>
      </c>
      <c r="Q11" s="196">
        <v>6.64</v>
      </c>
      <c r="R11" s="196">
        <v>2.96</v>
      </c>
      <c r="S11"/>
    </row>
    <row r="12" spans="1:19" x14ac:dyDescent="0.25">
      <c r="A12" s="196">
        <v>66.62</v>
      </c>
      <c r="B12" s="196">
        <v>0.15</v>
      </c>
      <c r="C12" s="196">
        <v>32.909999999999997</v>
      </c>
      <c r="D12" s="8">
        <v>42997.416666666664</v>
      </c>
      <c r="E12" s="196">
        <v>0.28000000000000003</v>
      </c>
      <c r="F12" s="196" t="s">
        <v>366</v>
      </c>
      <c r="G12" s="196">
        <v>281.52</v>
      </c>
      <c r="H12" s="196">
        <v>0</v>
      </c>
      <c r="I12" s="196">
        <v>0</v>
      </c>
      <c r="J12" s="196">
        <v>999.04</v>
      </c>
      <c r="K12" s="196" t="s">
        <v>367</v>
      </c>
      <c r="L12" s="196">
        <v>66.62</v>
      </c>
      <c r="M12" s="196">
        <v>1505836800</v>
      </c>
      <c r="N12" s="196">
        <v>3</v>
      </c>
      <c r="O12" s="196">
        <v>4.78</v>
      </c>
      <c r="P12" s="196">
        <v>211</v>
      </c>
      <c r="Q12" s="196">
        <v>7.37</v>
      </c>
      <c r="R12" s="196">
        <v>2.08</v>
      </c>
      <c r="S12"/>
    </row>
    <row r="13" spans="1:19" x14ac:dyDescent="0.25">
      <c r="A13" s="196">
        <v>74.84</v>
      </c>
      <c r="B13" s="196">
        <v>0.1</v>
      </c>
      <c r="C13" s="196">
        <v>29.99</v>
      </c>
      <c r="D13" s="8">
        <v>42997.458333333336</v>
      </c>
      <c r="E13" s="196">
        <v>0.19</v>
      </c>
      <c r="F13" s="196" t="s">
        <v>366</v>
      </c>
      <c r="G13" s="196">
        <v>283.52</v>
      </c>
      <c r="H13" s="196">
        <v>0</v>
      </c>
      <c r="I13" s="196">
        <v>0</v>
      </c>
      <c r="J13" s="196">
        <v>998.73</v>
      </c>
      <c r="K13" s="196" t="s">
        <v>367</v>
      </c>
      <c r="L13" s="196">
        <v>74.84</v>
      </c>
      <c r="M13" s="196">
        <v>1505840400</v>
      </c>
      <c r="N13" s="196">
        <v>5</v>
      </c>
      <c r="O13" s="196">
        <v>4.9000000000000004</v>
      </c>
      <c r="P13" s="196">
        <v>183</v>
      </c>
      <c r="Q13" s="196">
        <v>10.62</v>
      </c>
      <c r="R13" s="196">
        <v>3.89</v>
      </c>
      <c r="S13"/>
    </row>
    <row r="14" spans="1:19" x14ac:dyDescent="0.25">
      <c r="A14" s="196">
        <v>79.31</v>
      </c>
      <c r="B14" s="196">
        <v>0.06</v>
      </c>
      <c r="C14" s="196">
        <v>26.07</v>
      </c>
      <c r="D14" s="8">
        <v>42997.5</v>
      </c>
      <c r="E14" s="196">
        <v>0.14000000000000001</v>
      </c>
      <c r="F14" s="196" t="s">
        <v>366</v>
      </c>
      <c r="G14" s="196">
        <v>285.49</v>
      </c>
      <c r="H14" s="196">
        <v>0</v>
      </c>
      <c r="I14" s="196">
        <v>0</v>
      </c>
      <c r="J14" s="196">
        <v>996.81</v>
      </c>
      <c r="K14" s="196" t="s">
        <v>367</v>
      </c>
      <c r="L14" s="196">
        <v>79.31</v>
      </c>
      <c r="M14" s="196">
        <v>1505844000</v>
      </c>
      <c r="N14" s="196">
        <v>6</v>
      </c>
      <c r="O14" s="196">
        <v>4.75</v>
      </c>
      <c r="P14" s="196">
        <v>169</v>
      </c>
      <c r="Q14" s="196">
        <v>10.06</v>
      </c>
      <c r="R14" s="196">
        <v>3.76</v>
      </c>
      <c r="S14"/>
    </row>
    <row r="15" spans="1:19" x14ac:dyDescent="0.25">
      <c r="A15" s="196">
        <v>82.98</v>
      </c>
      <c r="B15" s="196">
        <v>0.11</v>
      </c>
      <c r="C15" s="196">
        <v>22.18</v>
      </c>
      <c r="D15" s="8">
        <v>42997.541666666664</v>
      </c>
      <c r="E15" s="196">
        <v>0.11</v>
      </c>
      <c r="F15" s="196" t="s">
        <v>366</v>
      </c>
      <c r="G15" s="196">
        <v>285.83999999999997</v>
      </c>
      <c r="H15" s="196">
        <v>0</v>
      </c>
      <c r="I15" s="196">
        <v>0</v>
      </c>
      <c r="J15" s="196">
        <v>995.61</v>
      </c>
      <c r="K15" s="196" t="s">
        <v>367</v>
      </c>
      <c r="L15" s="196">
        <v>82.98</v>
      </c>
      <c r="M15" s="196">
        <v>1505847600</v>
      </c>
      <c r="N15" s="196">
        <v>7</v>
      </c>
      <c r="O15" s="196">
        <v>4.66</v>
      </c>
      <c r="P15" s="196">
        <v>124</v>
      </c>
      <c r="Q15" s="196">
        <v>9.6999999999999993</v>
      </c>
      <c r="R15" s="196">
        <v>3.17</v>
      </c>
      <c r="S15"/>
    </row>
    <row r="16" spans="1:19" x14ac:dyDescent="0.25">
      <c r="A16" s="196">
        <v>85.13</v>
      </c>
      <c r="B16" s="196">
        <v>7.0000000000000007E-2</v>
      </c>
      <c r="C16" s="196">
        <v>21.14</v>
      </c>
      <c r="D16" s="8">
        <v>42997.583333333336</v>
      </c>
      <c r="E16" s="196">
        <v>0.09</v>
      </c>
      <c r="F16" s="196" t="s">
        <v>366</v>
      </c>
      <c r="G16" s="196">
        <v>285.49</v>
      </c>
      <c r="H16" s="196">
        <v>0</v>
      </c>
      <c r="I16" s="196">
        <v>0</v>
      </c>
      <c r="J16" s="196">
        <v>994.19</v>
      </c>
      <c r="K16" s="196" t="s">
        <v>367</v>
      </c>
      <c r="L16" s="196">
        <v>85.13</v>
      </c>
      <c r="M16" s="196">
        <v>1505851200</v>
      </c>
      <c r="N16" s="196">
        <v>6</v>
      </c>
      <c r="O16" s="196">
        <v>4.74</v>
      </c>
      <c r="P16" s="196">
        <v>76</v>
      </c>
      <c r="Q16" s="196">
        <v>10.4</v>
      </c>
      <c r="R16" s="196">
        <v>1.29</v>
      </c>
      <c r="S16"/>
    </row>
    <row r="17" spans="1:19" x14ac:dyDescent="0.25">
      <c r="A17" s="196">
        <v>86.36</v>
      </c>
      <c r="B17" s="196">
        <v>7.0000000000000007E-2</v>
      </c>
      <c r="C17" s="196">
        <v>21.39</v>
      </c>
      <c r="D17" s="8">
        <v>42997.625</v>
      </c>
      <c r="E17" s="196">
        <v>0.09</v>
      </c>
      <c r="F17" s="196" t="s">
        <v>366</v>
      </c>
      <c r="G17" s="196">
        <v>285.02999999999997</v>
      </c>
      <c r="H17" s="196">
        <v>0</v>
      </c>
      <c r="I17" s="196">
        <v>0</v>
      </c>
      <c r="J17" s="196">
        <v>993.26</v>
      </c>
      <c r="K17" s="196" t="s">
        <v>367</v>
      </c>
      <c r="L17" s="196">
        <v>86.36</v>
      </c>
      <c r="M17" s="196">
        <v>1505854800</v>
      </c>
      <c r="N17" s="196">
        <v>4</v>
      </c>
      <c r="O17" s="196">
        <v>4.7300000000000004</v>
      </c>
      <c r="P17" s="196">
        <v>352</v>
      </c>
      <c r="Q17" s="196">
        <v>12.43</v>
      </c>
      <c r="R17" s="196">
        <v>2.63</v>
      </c>
      <c r="S17"/>
    </row>
    <row r="18" spans="1:19" x14ac:dyDescent="0.25">
      <c r="A18" s="196">
        <v>85.52</v>
      </c>
      <c r="B18" s="196">
        <v>0.06</v>
      </c>
      <c r="C18" s="196">
        <v>22.59</v>
      </c>
      <c r="D18" s="8">
        <v>42997.666666666664</v>
      </c>
      <c r="E18" s="196">
        <v>0.1</v>
      </c>
      <c r="F18" s="196" t="s">
        <v>366</v>
      </c>
      <c r="G18" s="196">
        <v>284.45</v>
      </c>
      <c r="H18" s="196">
        <v>0</v>
      </c>
      <c r="I18" s="196">
        <v>0</v>
      </c>
      <c r="J18" s="196">
        <v>993.5</v>
      </c>
      <c r="K18" s="196" t="s">
        <v>367</v>
      </c>
      <c r="L18" s="196">
        <v>85.52</v>
      </c>
      <c r="M18" s="196">
        <v>1505858400</v>
      </c>
      <c r="N18" s="196">
        <v>3</v>
      </c>
      <c r="O18" s="196">
        <v>4.9000000000000004</v>
      </c>
      <c r="P18" s="196">
        <v>351</v>
      </c>
      <c r="Q18" s="196">
        <v>14.73</v>
      </c>
      <c r="R18" s="196">
        <v>4.3499999999999996</v>
      </c>
      <c r="S18"/>
    </row>
    <row r="19" spans="1:19" x14ac:dyDescent="0.25">
      <c r="A19" s="196">
        <v>84.43</v>
      </c>
      <c r="B19" s="196">
        <v>0.03</v>
      </c>
      <c r="C19" s="196">
        <v>23.34</v>
      </c>
      <c r="D19" s="8">
        <v>42997.708333333336</v>
      </c>
      <c r="E19" s="196">
        <v>0.11</v>
      </c>
      <c r="F19" s="196" t="s">
        <v>366</v>
      </c>
      <c r="G19" s="196">
        <v>283.63</v>
      </c>
      <c r="H19" s="196">
        <v>0</v>
      </c>
      <c r="I19" s="196">
        <v>0</v>
      </c>
      <c r="J19" s="196">
        <v>994.84</v>
      </c>
      <c r="K19" s="196" t="s">
        <v>367</v>
      </c>
      <c r="L19" s="196">
        <v>84.43</v>
      </c>
      <c r="M19" s="196">
        <v>1505862000</v>
      </c>
      <c r="N19" s="196">
        <v>1</v>
      </c>
      <c r="O19" s="196">
        <v>3.66</v>
      </c>
      <c r="P19" s="196">
        <v>1</v>
      </c>
      <c r="Q19" s="196">
        <v>14.32</v>
      </c>
      <c r="R19" s="196">
        <v>4.71</v>
      </c>
      <c r="S19"/>
    </row>
    <row r="20" spans="1:19" x14ac:dyDescent="0.25">
      <c r="A20" s="196">
        <v>81.55</v>
      </c>
      <c r="B20" s="196">
        <v>0.05</v>
      </c>
      <c r="C20" s="196">
        <v>25.17</v>
      </c>
      <c r="D20" s="8">
        <v>42997.75</v>
      </c>
      <c r="E20" s="196">
        <v>0.13</v>
      </c>
      <c r="F20" s="196" t="s">
        <v>366</v>
      </c>
      <c r="G20" s="196">
        <v>283.52</v>
      </c>
      <c r="H20" s="196">
        <v>0</v>
      </c>
      <c r="I20" s="196">
        <v>0</v>
      </c>
      <c r="J20" s="196">
        <v>995.76</v>
      </c>
      <c r="K20" s="196" t="s">
        <v>367</v>
      </c>
      <c r="L20" s="196">
        <v>81.55</v>
      </c>
      <c r="M20" s="196">
        <v>1505865600</v>
      </c>
      <c r="N20" s="196">
        <v>1</v>
      </c>
      <c r="O20" s="196">
        <v>4.43</v>
      </c>
      <c r="P20" s="196">
        <v>30</v>
      </c>
      <c r="Q20" s="196">
        <v>14.11</v>
      </c>
      <c r="R20" s="196">
        <v>5.16</v>
      </c>
      <c r="S20"/>
    </row>
    <row r="21" spans="1:19" x14ac:dyDescent="0.25">
      <c r="A21" s="196">
        <v>64.02</v>
      </c>
      <c r="B21" s="196">
        <v>0.06</v>
      </c>
      <c r="C21" s="196">
        <v>34.79</v>
      </c>
      <c r="D21" s="8">
        <v>42997.791666666664</v>
      </c>
      <c r="E21" s="196">
        <v>0.34</v>
      </c>
      <c r="F21" s="196" t="s">
        <v>368</v>
      </c>
      <c r="G21" s="196">
        <v>284.22000000000003</v>
      </c>
      <c r="H21" s="196">
        <v>0</v>
      </c>
      <c r="I21" s="196">
        <v>0</v>
      </c>
      <c r="J21" s="196">
        <v>999.6</v>
      </c>
      <c r="K21" s="196" t="s">
        <v>367</v>
      </c>
      <c r="L21" s="196">
        <v>64.02</v>
      </c>
      <c r="M21" s="196">
        <v>1505869200</v>
      </c>
      <c r="N21" s="196">
        <v>0</v>
      </c>
      <c r="O21" s="196">
        <v>4.1100000000000003</v>
      </c>
      <c r="P21" s="196">
        <v>39</v>
      </c>
      <c r="Q21" s="196">
        <v>16.510000000000002</v>
      </c>
      <c r="R21" s="196">
        <v>7.14</v>
      </c>
      <c r="S21"/>
    </row>
    <row r="22" spans="1:19" x14ac:dyDescent="0.25">
      <c r="A22" s="196">
        <v>58.58</v>
      </c>
      <c r="B22" s="196">
        <v>7.0000000000000007E-2</v>
      </c>
      <c r="C22" s="196">
        <v>33.46</v>
      </c>
      <c r="D22" s="8">
        <v>42997.833333333336</v>
      </c>
      <c r="E22" s="196">
        <v>0.39</v>
      </c>
      <c r="F22" s="196" t="s">
        <v>368</v>
      </c>
      <c r="G22" s="196">
        <v>285.27</v>
      </c>
      <c r="H22" s="196">
        <v>0</v>
      </c>
      <c r="I22" s="196">
        <v>0</v>
      </c>
      <c r="J22" s="196">
        <v>1002.91</v>
      </c>
      <c r="K22" s="196" t="s">
        <v>367</v>
      </c>
      <c r="L22" s="196">
        <v>58.58</v>
      </c>
      <c r="M22" s="196">
        <v>1505872800</v>
      </c>
      <c r="N22" s="196">
        <v>0</v>
      </c>
      <c r="O22" s="196">
        <v>4.0999999999999996</v>
      </c>
      <c r="P22" s="196">
        <v>77</v>
      </c>
      <c r="Q22" s="196">
        <v>9.76</v>
      </c>
      <c r="R22" s="196">
        <v>3.6</v>
      </c>
      <c r="S22"/>
    </row>
    <row r="23" spans="1:19" x14ac:dyDescent="0.25">
      <c r="A23" s="196">
        <v>55.72</v>
      </c>
      <c r="B23" s="196">
        <v>0.04</v>
      </c>
      <c r="C23" s="196">
        <v>32.590000000000003</v>
      </c>
      <c r="D23" s="8">
        <v>42997.875</v>
      </c>
      <c r="E23" s="196">
        <v>0.41</v>
      </c>
      <c r="F23" s="196" t="s">
        <v>368</v>
      </c>
      <c r="G23" s="196">
        <v>285.62</v>
      </c>
      <c r="H23" s="196">
        <v>0</v>
      </c>
      <c r="I23" s="196">
        <v>0</v>
      </c>
      <c r="J23" s="196">
        <v>1005.26</v>
      </c>
      <c r="K23" s="196" t="s">
        <v>367</v>
      </c>
      <c r="L23" s="196">
        <v>55.72</v>
      </c>
      <c r="M23" s="196">
        <v>1505876400</v>
      </c>
      <c r="N23" s="196">
        <v>0</v>
      </c>
      <c r="O23" s="196">
        <v>3.78</v>
      </c>
      <c r="P23" s="196">
        <v>127</v>
      </c>
      <c r="Q23" s="196">
        <v>9.99</v>
      </c>
      <c r="R23" s="196">
        <v>4.16</v>
      </c>
      <c r="S23"/>
    </row>
    <row r="24" spans="1:19" x14ac:dyDescent="0.25">
      <c r="A24" s="196">
        <v>53.53</v>
      </c>
      <c r="B24" s="196">
        <v>0.02</v>
      </c>
      <c r="C24" s="196">
        <v>32.090000000000003</v>
      </c>
      <c r="D24" s="8">
        <v>42997.916666666664</v>
      </c>
      <c r="E24" s="196">
        <v>0.44</v>
      </c>
      <c r="F24" s="196" t="s">
        <v>368</v>
      </c>
      <c r="G24" s="196">
        <v>284.69</v>
      </c>
      <c r="H24" s="196">
        <v>0</v>
      </c>
      <c r="I24" s="196">
        <v>0</v>
      </c>
      <c r="J24" s="196">
        <v>1005.31</v>
      </c>
      <c r="K24" s="196" t="s">
        <v>367</v>
      </c>
      <c r="L24" s="196">
        <v>53.53</v>
      </c>
      <c r="M24" s="196">
        <v>1505880000</v>
      </c>
      <c r="N24" s="196">
        <v>0</v>
      </c>
      <c r="O24" s="196">
        <v>3.8</v>
      </c>
      <c r="P24" s="196">
        <v>131</v>
      </c>
      <c r="Q24" s="196">
        <v>9.65</v>
      </c>
      <c r="R24" s="196">
        <v>4.1900000000000004</v>
      </c>
      <c r="S24"/>
    </row>
    <row r="25" spans="1:19" x14ac:dyDescent="0.25">
      <c r="A25" s="196">
        <v>51.95</v>
      </c>
      <c r="B25" s="196">
        <v>0</v>
      </c>
      <c r="C25" s="196">
        <v>32.159999999999997</v>
      </c>
      <c r="D25" s="8">
        <v>42997.958333333336</v>
      </c>
      <c r="E25" s="196">
        <v>0.47</v>
      </c>
      <c r="F25" s="196" t="s">
        <v>368</v>
      </c>
      <c r="G25" s="196">
        <v>283.18</v>
      </c>
      <c r="H25" s="196">
        <v>0</v>
      </c>
      <c r="I25" s="196">
        <v>0</v>
      </c>
      <c r="J25" s="196">
        <v>1005.54</v>
      </c>
      <c r="K25" s="196" t="s">
        <v>367</v>
      </c>
      <c r="L25" s="196">
        <v>51.95</v>
      </c>
      <c r="M25" s="196">
        <v>1505883600</v>
      </c>
      <c r="N25" s="196">
        <v>0</v>
      </c>
      <c r="O25" s="196">
        <v>3.58</v>
      </c>
      <c r="P25" s="196">
        <v>137</v>
      </c>
      <c r="Q25" s="196">
        <v>7.96</v>
      </c>
      <c r="R25" s="196">
        <v>3.09</v>
      </c>
      <c r="S25"/>
    </row>
    <row r="26" spans="1:19" x14ac:dyDescent="0.25">
      <c r="A26" s="196">
        <v>50.14</v>
      </c>
      <c r="B26" s="196">
        <v>0</v>
      </c>
      <c r="C26" s="196">
        <v>32.28</v>
      </c>
      <c r="D26" s="8">
        <v>42998</v>
      </c>
      <c r="E26" s="196">
        <v>0.5</v>
      </c>
      <c r="F26" s="196" t="s">
        <v>368</v>
      </c>
      <c r="G26" s="196">
        <v>288.74</v>
      </c>
      <c r="H26" s="196">
        <v>0</v>
      </c>
      <c r="I26" s="196">
        <v>0</v>
      </c>
      <c r="J26" s="196">
        <v>1005.43</v>
      </c>
      <c r="K26" s="196" t="s">
        <v>367</v>
      </c>
      <c r="L26" s="196">
        <v>50.14</v>
      </c>
      <c r="M26" s="196">
        <v>1505887200</v>
      </c>
      <c r="N26" s="196">
        <v>0</v>
      </c>
      <c r="O26" s="196">
        <v>3.75</v>
      </c>
      <c r="P26" s="196">
        <v>119</v>
      </c>
      <c r="Q26" s="196">
        <v>5.77</v>
      </c>
      <c r="R26" s="196">
        <v>2.37</v>
      </c>
      <c r="S26"/>
    </row>
    <row r="27" spans="1:19" x14ac:dyDescent="0.25">
      <c r="A27" s="196">
        <v>48.25</v>
      </c>
      <c r="B27" s="196">
        <v>0.02</v>
      </c>
      <c r="C27" s="196">
        <v>32.07</v>
      </c>
      <c r="D27" s="8">
        <v>42998.041666666664</v>
      </c>
      <c r="E27" s="196">
        <v>0.53</v>
      </c>
      <c r="F27" s="196" t="s">
        <v>368</v>
      </c>
      <c r="G27" s="196">
        <v>287.7</v>
      </c>
      <c r="H27" s="196">
        <v>0</v>
      </c>
      <c r="I27" s="196">
        <v>0</v>
      </c>
      <c r="J27" s="196">
        <v>1006.19</v>
      </c>
      <c r="K27" s="196" t="s">
        <v>367</v>
      </c>
      <c r="L27" s="196">
        <v>48.25</v>
      </c>
      <c r="M27" s="196">
        <v>1505890800</v>
      </c>
      <c r="N27" s="196">
        <v>0</v>
      </c>
      <c r="O27" s="196">
        <v>3.58</v>
      </c>
      <c r="P27" s="196">
        <v>120</v>
      </c>
      <c r="Q27" s="196">
        <v>4.0199999999999996</v>
      </c>
      <c r="R27" s="196">
        <v>1.38</v>
      </c>
      <c r="S27"/>
    </row>
    <row r="28" spans="1:19" x14ac:dyDescent="0.25">
      <c r="A28" s="196">
        <v>47.12</v>
      </c>
      <c r="B28" s="196">
        <v>0</v>
      </c>
      <c r="C28" s="196">
        <v>31.71</v>
      </c>
      <c r="D28" s="8">
        <v>42998.083333333336</v>
      </c>
      <c r="E28" s="196">
        <v>0.55000000000000004</v>
      </c>
      <c r="F28" s="196" t="s">
        <v>368</v>
      </c>
      <c r="G28" s="196">
        <v>285.73</v>
      </c>
      <c r="H28" s="196">
        <v>0</v>
      </c>
      <c r="I28" s="196">
        <v>0</v>
      </c>
      <c r="J28" s="196">
        <v>1006.52</v>
      </c>
      <c r="K28" s="196" t="s">
        <v>367</v>
      </c>
      <c r="L28" s="196">
        <v>47.12</v>
      </c>
      <c r="M28" s="196">
        <v>1505894400</v>
      </c>
      <c r="N28" s="196">
        <v>0</v>
      </c>
      <c r="O28" s="196">
        <v>3.58</v>
      </c>
      <c r="P28" s="196">
        <v>127</v>
      </c>
      <c r="Q28" s="196">
        <v>5.1100000000000003</v>
      </c>
      <c r="R28" s="196">
        <v>2.13</v>
      </c>
      <c r="S28"/>
    </row>
    <row r="29" spans="1:19" x14ac:dyDescent="0.25">
      <c r="A29" s="196">
        <v>46.02</v>
      </c>
      <c r="B29" s="196">
        <v>0.03</v>
      </c>
      <c r="C29" s="196">
        <v>31.82</v>
      </c>
      <c r="D29" s="8">
        <v>42998.125</v>
      </c>
      <c r="E29" s="196">
        <v>0.56999999999999995</v>
      </c>
      <c r="F29" s="196" t="s">
        <v>368</v>
      </c>
      <c r="G29" s="196">
        <v>284.20999999999998</v>
      </c>
      <c r="H29" s="196">
        <v>0</v>
      </c>
      <c r="I29" s="196">
        <v>0</v>
      </c>
      <c r="J29" s="196">
        <v>1006.84</v>
      </c>
      <c r="K29" s="196" t="s">
        <v>367</v>
      </c>
      <c r="L29" s="196">
        <v>46.02</v>
      </c>
      <c r="M29" s="196">
        <v>1505898000</v>
      </c>
      <c r="N29" s="196">
        <v>0</v>
      </c>
      <c r="O29" s="196">
        <v>3.76</v>
      </c>
      <c r="P29" s="196">
        <v>135</v>
      </c>
      <c r="Q29" s="196">
        <v>4.82</v>
      </c>
      <c r="R29" s="196">
        <v>2.0699999999999998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3"/>
  <sheetViews>
    <sheetView workbookViewId="0">
      <selection activeCell="F9" sqref="F9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329</v>
      </c>
      <c r="U1" s="156"/>
      <c r="V1" s="156"/>
      <c r="W1" s="156"/>
      <c r="X1" s="156"/>
    </row>
    <row r="2" spans="1:32" ht="15.75" thickBot="1" x14ac:dyDescent="0.3">
      <c r="A2" s="12">
        <v>42997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330</v>
      </c>
      <c r="U2" s="155">
        <v>167</v>
      </c>
      <c r="V2" s="155">
        <v>168</v>
      </c>
      <c r="W2" s="155">
        <v>199</v>
      </c>
      <c r="X2" s="155">
        <v>200</v>
      </c>
      <c r="AD2" t="s">
        <v>351</v>
      </c>
      <c r="AE2" s="56" t="s">
        <v>354</v>
      </c>
      <c r="AF2" s="56" t="s">
        <v>355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331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332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333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352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346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353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533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356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993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994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995</v>
      </c>
      <c r="J20" s="140" t="s">
        <v>87</v>
      </c>
      <c r="M20" s="154" t="s">
        <v>344</v>
      </c>
      <c r="N20" s="154" t="s">
        <v>328</v>
      </c>
      <c r="T20" s="155"/>
      <c r="U20" s="155"/>
      <c r="V20" s="155"/>
      <c r="W20" s="155"/>
      <c r="X20" s="155"/>
    </row>
    <row r="21" spans="3:24" x14ac:dyDescent="0.25">
      <c r="C21" t="s">
        <v>996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997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998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604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999</v>
      </c>
      <c r="J25" s="140" t="s">
        <v>146</v>
      </c>
      <c r="M25" s="154" t="b">
        <v>1</v>
      </c>
    </row>
    <row r="26" spans="3:24" x14ac:dyDescent="0.25">
      <c r="C26" t="s">
        <v>1000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C:\Users\stu\Documents\GitHub\eaglep3-reporting\EC\2017-09-19-refined-times.txt</v>
      </c>
    </row>
    <row r="27" spans="3:24" x14ac:dyDescent="0.25">
      <c r="C27" t="s">
        <v>1001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C:\Users\stu\Documents\GitHub\eaglep3-reporting\EC\2017-09-19-Enforcements.txt</v>
      </c>
    </row>
    <row r="28" spans="3:24" x14ac:dyDescent="0.25">
      <c r="C28" t="s">
        <v>1002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C:\Users\stu\Documents\GitHub\eaglep3-reporting\EC\2017-09-19-Runs-refined.txt</v>
      </c>
    </row>
    <row r="29" spans="3:24" x14ac:dyDescent="0.25">
      <c r="C29" t="s">
        <v>1003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C:\Users\stu\Documents\GitHub\eaglep3-reporting\EC\2017-09-19-Trips.txt</v>
      </c>
    </row>
    <row r="30" spans="3:24" x14ac:dyDescent="0.25">
      <c r="C30" t="s">
        <v>1004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C:\Users\stu\Documents\GitHub\eaglep3-reporting\EC\2017-09-19-Weather.txt</v>
      </c>
    </row>
    <row r="31" spans="3:24" x14ac:dyDescent="0.25">
      <c r="C31" t="s">
        <v>1005</v>
      </c>
      <c r="J31" s="140" t="s">
        <v>193</v>
      </c>
      <c r="M31" s="154" t="s">
        <v>194</v>
      </c>
    </row>
    <row r="32" spans="3:24" x14ac:dyDescent="0.25">
      <c r="C32" t="s">
        <v>1006</v>
      </c>
    </row>
    <row r="33" spans="3:3" x14ac:dyDescent="0.25">
      <c r="C33" t="s">
        <v>1007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5" sqref="I5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s="168" t="s">
        <v>113</v>
      </c>
      <c r="I1" s="186" t="s">
        <v>115</v>
      </c>
      <c r="J1" s="168" t="s">
        <v>335</v>
      </c>
    </row>
    <row r="2" spans="1:11" x14ac:dyDescent="0.25">
      <c r="A2" s="93" t="s">
        <v>120</v>
      </c>
      <c r="B2" s="93" t="s">
        <v>121</v>
      </c>
      <c r="C2" s="93" t="s">
        <v>122</v>
      </c>
      <c r="H2" s="168" t="s">
        <v>114</v>
      </c>
      <c r="I2" s="168" t="s">
        <v>116</v>
      </c>
      <c r="J2" s="168" t="s">
        <v>336</v>
      </c>
    </row>
    <row r="3" spans="1:11" x14ac:dyDescent="0.25">
      <c r="A3" s="93" t="s">
        <v>123</v>
      </c>
      <c r="B3" s="93" t="s">
        <v>124</v>
      </c>
      <c r="C3" s="93" t="s">
        <v>125</v>
      </c>
      <c r="H3" s="168" t="s">
        <v>139</v>
      </c>
      <c r="I3" s="168">
        <v>1</v>
      </c>
      <c r="J3" s="168">
        <v>1</v>
      </c>
      <c r="K3" s="55"/>
    </row>
    <row r="4" spans="1:11" x14ac:dyDescent="0.25">
      <c r="A4" s="93" t="s">
        <v>126</v>
      </c>
      <c r="C4" s="93" t="s">
        <v>127</v>
      </c>
      <c r="H4" s="168" t="s">
        <v>140</v>
      </c>
      <c r="I4" s="168">
        <v>2</v>
      </c>
      <c r="J4" s="168">
        <v>1</v>
      </c>
      <c r="K4" s="55"/>
    </row>
    <row r="5" spans="1:11" x14ac:dyDescent="0.25">
      <c r="A5" s="93" t="s">
        <v>128</v>
      </c>
      <c r="C5" s="93" t="s">
        <v>129</v>
      </c>
      <c r="H5" s="168" t="s">
        <v>141</v>
      </c>
      <c r="I5" s="168">
        <v>338</v>
      </c>
      <c r="J5" s="168">
        <v>10</v>
      </c>
      <c r="K5" s="55"/>
    </row>
    <row r="6" spans="1:11" x14ac:dyDescent="0.25">
      <c r="A6" s="93" t="s">
        <v>130</v>
      </c>
      <c r="C6" s="93" t="s">
        <v>131</v>
      </c>
      <c r="H6" s="187" t="s">
        <v>142</v>
      </c>
      <c r="I6" s="187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2017-09-21T14:54:38Z</dcterms:modified>
</cp:coreProperties>
</file>